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d1130d9666c805/Documents/WVS/"/>
    </mc:Choice>
  </mc:AlternateContent>
  <xr:revisionPtr revIDLastSave="2489" documentId="8_{788ED788-231C-4633-8514-4CD38030D9D4}" xr6:coauthVersionLast="47" xr6:coauthVersionMax="47" xr10:uidLastSave="{6A0E01AC-9167-48F9-90C7-CED52A220CDC}"/>
  <bookViews>
    <workbookView xWindow="-120" yWindow="-120" windowWidth="19440" windowHeight="11205" firstSheet="6" activeTab="7" xr2:uid="{00000000-000D-0000-FFFF-FFFF00000000}"/>
  </bookViews>
  <sheets>
    <sheet name="Supporter_Raw" sheetId="1" r:id="rId1"/>
    <sheet name="CampaignResponses_Raw" sheetId="2" r:id="rId2"/>
    <sheet name="CampaignMaster_Raw" sheetId="3" r:id="rId3"/>
    <sheet name="Supporter_Clean" sheetId="4" r:id="rId4"/>
    <sheet name="CampaignResponses_Clean" sheetId="5" r:id="rId5"/>
    <sheet name="CampaignMaster_Clean" sheetId="6" r:id="rId6"/>
    <sheet name="Audit_Log" sheetId="8" r:id="rId7"/>
    <sheet name="Supporter_Duplicates" sheetId="12" r:id="rId8"/>
    <sheet name="Merged_Analysis" sheetId="13" r:id="rId9"/>
    <sheet name="Campaign_Performance" sheetId="15" r:id="rId10"/>
    <sheet name="Campaign_ROI" sheetId="16" r:id="rId11"/>
    <sheet name="Channel_Performance" sheetId="18" r:id="rId12"/>
    <sheet name="Segment_Performance" sheetId="19" r:id="rId13"/>
    <sheet name="Geography_Analysis" sheetId="20" r:id="rId14"/>
    <sheet name="Age_Demographics" sheetId="21" r:id="rId15"/>
  </sheets>
  <definedNames>
    <definedName name="_xlnm._FilterDatabase" localSheetId="6" hidden="1">Audit_Log!$E$1:$E$25</definedName>
    <definedName name="_xlnm._FilterDatabase" localSheetId="4" hidden="1">CampaignResponses_Clean!$A$1:$I$909</definedName>
    <definedName name="_xlnm._FilterDatabase" localSheetId="1" hidden="1">CampaignResponses_Raw!$A$1:$I$909</definedName>
    <definedName name="_xlnm._FilterDatabase" localSheetId="3" hidden="1">Supporter_Clean!$A$1:$W$509</definedName>
    <definedName name="_xlnm._FilterDatabase" localSheetId="0" hidden="1">Supporter_Raw!$A$1:$U$509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9" i="4" l="1"/>
  <c r="Z41" i="4"/>
  <c r="Z55" i="4"/>
  <c r="Z57" i="4"/>
  <c r="Z86" i="4"/>
  <c r="Z101" i="4"/>
  <c r="Z140" i="4"/>
  <c r="Z162" i="4"/>
  <c r="Z187" i="4"/>
  <c r="Z192" i="4"/>
  <c r="Z196" i="4"/>
  <c r="Z209" i="4"/>
  <c r="Z219" i="4"/>
  <c r="Z241" i="4"/>
  <c r="Z246" i="4"/>
  <c r="Z310" i="4"/>
  <c r="Z311" i="4"/>
  <c r="Z330" i="4"/>
  <c r="Z333" i="4"/>
  <c r="Z336" i="4"/>
  <c r="Z356" i="4"/>
  <c r="Z413" i="4"/>
  <c r="Z420" i="4"/>
  <c r="Z425" i="4"/>
  <c r="X4" i="4"/>
  <c r="S654" i="13" s="1"/>
  <c r="Q430" i="13"/>
  <c r="I2" i="4"/>
  <c r="Z2" i="4" s="1"/>
  <c r="I3" i="4"/>
  <c r="Z3" i="4" s="1"/>
  <c r="I4" i="4"/>
  <c r="Z4" i="4" s="1"/>
  <c r="I5" i="4"/>
  <c r="Z5" i="4" s="1"/>
  <c r="I6" i="4"/>
  <c r="Z6" i="4" s="1"/>
  <c r="I7" i="4"/>
  <c r="Z7" i="4" s="1"/>
  <c r="I8" i="4"/>
  <c r="Z8" i="4" s="1"/>
  <c r="I9" i="4"/>
  <c r="Z9" i="4" s="1"/>
  <c r="I10" i="4"/>
  <c r="Z10" i="4" s="1"/>
  <c r="I11" i="4"/>
  <c r="Z11" i="4" s="1"/>
  <c r="I12" i="4"/>
  <c r="Z12" i="4" s="1"/>
  <c r="I13" i="4"/>
  <c r="Z13" i="4" s="1"/>
  <c r="I14" i="4"/>
  <c r="Z14" i="4" s="1"/>
  <c r="I15" i="4"/>
  <c r="Z15" i="4" s="1"/>
  <c r="I16" i="4"/>
  <c r="Z16" i="4" s="1"/>
  <c r="I17" i="4"/>
  <c r="Z17" i="4" s="1"/>
  <c r="I18" i="4"/>
  <c r="Z18" i="4" s="1"/>
  <c r="I19" i="4"/>
  <c r="Z19" i="4" s="1"/>
  <c r="I20" i="4"/>
  <c r="Z20" i="4" s="1"/>
  <c r="I21" i="4"/>
  <c r="Z21" i="4" s="1"/>
  <c r="I22" i="4"/>
  <c r="Z22" i="4" s="1"/>
  <c r="I23" i="4"/>
  <c r="Z23" i="4" s="1"/>
  <c r="I24" i="4"/>
  <c r="Z24" i="4" s="1"/>
  <c r="I25" i="4"/>
  <c r="Z25" i="4" s="1"/>
  <c r="I26" i="4"/>
  <c r="Z26" i="4" s="1"/>
  <c r="I27" i="4"/>
  <c r="Z27" i="4" s="1"/>
  <c r="I28" i="4"/>
  <c r="Z28" i="4" s="1"/>
  <c r="I29" i="4"/>
  <c r="I30" i="4"/>
  <c r="Z30" i="4" s="1"/>
  <c r="I31" i="4"/>
  <c r="Z31" i="4" s="1"/>
  <c r="I32" i="4"/>
  <c r="Z32" i="4" s="1"/>
  <c r="I33" i="4"/>
  <c r="Z33" i="4" s="1"/>
  <c r="I34" i="4"/>
  <c r="Z34" i="4" s="1"/>
  <c r="I35" i="4"/>
  <c r="Z35" i="4" s="1"/>
  <c r="I36" i="4"/>
  <c r="Z36" i="4" s="1"/>
  <c r="I37" i="4"/>
  <c r="Z37" i="4" s="1"/>
  <c r="I38" i="4"/>
  <c r="Z38" i="4" s="1"/>
  <c r="I39" i="4"/>
  <c r="Z39" i="4" s="1"/>
  <c r="I40" i="4"/>
  <c r="Z40" i="4" s="1"/>
  <c r="I41" i="4"/>
  <c r="I42" i="4"/>
  <c r="Z42" i="4" s="1"/>
  <c r="I43" i="4"/>
  <c r="Z43" i="4" s="1"/>
  <c r="I44" i="4"/>
  <c r="Z44" i="4" s="1"/>
  <c r="I45" i="4"/>
  <c r="Z45" i="4" s="1"/>
  <c r="I46" i="4"/>
  <c r="Z46" i="4" s="1"/>
  <c r="I47" i="4"/>
  <c r="Z47" i="4" s="1"/>
  <c r="I48" i="4"/>
  <c r="Z48" i="4" s="1"/>
  <c r="I49" i="4"/>
  <c r="Z49" i="4" s="1"/>
  <c r="I50" i="4"/>
  <c r="Z50" i="4" s="1"/>
  <c r="I51" i="4"/>
  <c r="Z51" i="4" s="1"/>
  <c r="I52" i="4"/>
  <c r="Z52" i="4" s="1"/>
  <c r="I53" i="4"/>
  <c r="Z53" i="4" s="1"/>
  <c r="I54" i="4"/>
  <c r="Z54" i="4" s="1"/>
  <c r="I55" i="4"/>
  <c r="I56" i="4"/>
  <c r="Z56" i="4" s="1"/>
  <c r="I57" i="4"/>
  <c r="I58" i="4"/>
  <c r="Z58" i="4" s="1"/>
  <c r="I59" i="4"/>
  <c r="Z59" i="4" s="1"/>
  <c r="I60" i="4"/>
  <c r="Z60" i="4" s="1"/>
  <c r="I61" i="4"/>
  <c r="Z61" i="4" s="1"/>
  <c r="I62" i="4"/>
  <c r="Z62" i="4" s="1"/>
  <c r="I63" i="4"/>
  <c r="Z63" i="4" s="1"/>
  <c r="I64" i="4"/>
  <c r="Z64" i="4" s="1"/>
  <c r="I65" i="4"/>
  <c r="Z65" i="4" s="1"/>
  <c r="I66" i="4"/>
  <c r="Z66" i="4" s="1"/>
  <c r="I67" i="4"/>
  <c r="Z67" i="4" s="1"/>
  <c r="I68" i="4"/>
  <c r="Z68" i="4" s="1"/>
  <c r="I69" i="4"/>
  <c r="Z69" i="4" s="1"/>
  <c r="I70" i="4"/>
  <c r="Z70" i="4" s="1"/>
  <c r="I71" i="4"/>
  <c r="Z71" i="4" s="1"/>
  <c r="I72" i="4"/>
  <c r="Z72" i="4" s="1"/>
  <c r="I73" i="4"/>
  <c r="Z73" i="4" s="1"/>
  <c r="I74" i="4"/>
  <c r="Z74" i="4" s="1"/>
  <c r="I75" i="4"/>
  <c r="Z75" i="4" s="1"/>
  <c r="I76" i="4"/>
  <c r="Z76" i="4" s="1"/>
  <c r="I77" i="4"/>
  <c r="Z77" i="4" s="1"/>
  <c r="I78" i="4"/>
  <c r="Z78" i="4" s="1"/>
  <c r="I79" i="4"/>
  <c r="Z79" i="4" s="1"/>
  <c r="I80" i="4"/>
  <c r="Z80" i="4" s="1"/>
  <c r="I81" i="4"/>
  <c r="Z81" i="4" s="1"/>
  <c r="I82" i="4"/>
  <c r="Z82" i="4" s="1"/>
  <c r="I83" i="4"/>
  <c r="Z83" i="4" s="1"/>
  <c r="I84" i="4"/>
  <c r="Z84" i="4" s="1"/>
  <c r="I85" i="4"/>
  <c r="Z85" i="4" s="1"/>
  <c r="I86" i="4"/>
  <c r="I87" i="4"/>
  <c r="Z87" i="4" s="1"/>
  <c r="I88" i="4"/>
  <c r="Z88" i="4" s="1"/>
  <c r="I89" i="4"/>
  <c r="Z89" i="4" s="1"/>
  <c r="I90" i="4"/>
  <c r="Z90" i="4" s="1"/>
  <c r="I91" i="4"/>
  <c r="Z91" i="4" s="1"/>
  <c r="I92" i="4"/>
  <c r="Z92" i="4" s="1"/>
  <c r="I93" i="4"/>
  <c r="Z93" i="4" s="1"/>
  <c r="I94" i="4"/>
  <c r="Z94" i="4" s="1"/>
  <c r="I95" i="4"/>
  <c r="Z95" i="4" s="1"/>
  <c r="I96" i="4"/>
  <c r="Z96" i="4" s="1"/>
  <c r="I97" i="4"/>
  <c r="Z97" i="4" s="1"/>
  <c r="I98" i="4"/>
  <c r="Z98" i="4" s="1"/>
  <c r="I99" i="4"/>
  <c r="Z99" i="4" s="1"/>
  <c r="I100" i="4"/>
  <c r="Z100" i="4" s="1"/>
  <c r="I101" i="4"/>
  <c r="I102" i="4"/>
  <c r="Z102" i="4" s="1"/>
  <c r="I103" i="4"/>
  <c r="Z103" i="4" s="1"/>
  <c r="I104" i="4"/>
  <c r="Z104" i="4" s="1"/>
  <c r="I105" i="4"/>
  <c r="Z105" i="4" s="1"/>
  <c r="I106" i="4"/>
  <c r="Z106" i="4" s="1"/>
  <c r="I107" i="4"/>
  <c r="Z107" i="4" s="1"/>
  <c r="I108" i="4"/>
  <c r="Z108" i="4" s="1"/>
  <c r="I109" i="4"/>
  <c r="Z109" i="4" s="1"/>
  <c r="I110" i="4"/>
  <c r="Z110" i="4" s="1"/>
  <c r="I111" i="4"/>
  <c r="Z111" i="4" s="1"/>
  <c r="I112" i="4"/>
  <c r="Z112" i="4" s="1"/>
  <c r="I113" i="4"/>
  <c r="Z113" i="4" s="1"/>
  <c r="I114" i="4"/>
  <c r="Z114" i="4" s="1"/>
  <c r="I115" i="4"/>
  <c r="Z115" i="4" s="1"/>
  <c r="I116" i="4"/>
  <c r="Z116" i="4" s="1"/>
  <c r="I117" i="4"/>
  <c r="Z117" i="4" s="1"/>
  <c r="I118" i="4"/>
  <c r="Z118" i="4" s="1"/>
  <c r="I119" i="4"/>
  <c r="Z119" i="4" s="1"/>
  <c r="I120" i="4"/>
  <c r="Z120" i="4" s="1"/>
  <c r="I121" i="4"/>
  <c r="Z121" i="4" s="1"/>
  <c r="I122" i="4"/>
  <c r="Z122" i="4" s="1"/>
  <c r="I123" i="4"/>
  <c r="Z123" i="4" s="1"/>
  <c r="I124" i="4"/>
  <c r="Z124" i="4" s="1"/>
  <c r="I125" i="4"/>
  <c r="Z125" i="4" s="1"/>
  <c r="I126" i="4"/>
  <c r="Z126" i="4" s="1"/>
  <c r="I127" i="4"/>
  <c r="Z127" i="4" s="1"/>
  <c r="I128" i="4"/>
  <c r="Z128" i="4" s="1"/>
  <c r="I129" i="4"/>
  <c r="Z129" i="4" s="1"/>
  <c r="I130" i="4"/>
  <c r="Z130" i="4" s="1"/>
  <c r="I131" i="4"/>
  <c r="Z131" i="4" s="1"/>
  <c r="I132" i="4"/>
  <c r="Z132" i="4" s="1"/>
  <c r="I133" i="4"/>
  <c r="Z133" i="4" s="1"/>
  <c r="I134" i="4"/>
  <c r="Z134" i="4" s="1"/>
  <c r="I135" i="4"/>
  <c r="Z135" i="4" s="1"/>
  <c r="I136" i="4"/>
  <c r="Z136" i="4" s="1"/>
  <c r="I137" i="4"/>
  <c r="Z137" i="4" s="1"/>
  <c r="I138" i="4"/>
  <c r="Z138" i="4" s="1"/>
  <c r="I139" i="4"/>
  <c r="Z139" i="4" s="1"/>
  <c r="I140" i="4"/>
  <c r="I141" i="4"/>
  <c r="Z141" i="4" s="1"/>
  <c r="I142" i="4"/>
  <c r="Z142" i="4" s="1"/>
  <c r="I143" i="4"/>
  <c r="Z143" i="4" s="1"/>
  <c r="I144" i="4"/>
  <c r="Z144" i="4" s="1"/>
  <c r="I145" i="4"/>
  <c r="Z145" i="4" s="1"/>
  <c r="I146" i="4"/>
  <c r="Z146" i="4" s="1"/>
  <c r="I147" i="4"/>
  <c r="Z147" i="4" s="1"/>
  <c r="I148" i="4"/>
  <c r="Z148" i="4" s="1"/>
  <c r="I149" i="4"/>
  <c r="Z149" i="4" s="1"/>
  <c r="I150" i="4"/>
  <c r="Z150" i="4" s="1"/>
  <c r="I151" i="4"/>
  <c r="Z151" i="4" s="1"/>
  <c r="I152" i="4"/>
  <c r="Z152" i="4" s="1"/>
  <c r="I153" i="4"/>
  <c r="Z153" i="4" s="1"/>
  <c r="I154" i="4"/>
  <c r="Z154" i="4" s="1"/>
  <c r="I155" i="4"/>
  <c r="Z155" i="4" s="1"/>
  <c r="I156" i="4"/>
  <c r="Z156" i="4" s="1"/>
  <c r="I157" i="4"/>
  <c r="Z157" i="4" s="1"/>
  <c r="I158" i="4"/>
  <c r="Z158" i="4" s="1"/>
  <c r="I159" i="4"/>
  <c r="Z159" i="4" s="1"/>
  <c r="I160" i="4"/>
  <c r="Z160" i="4" s="1"/>
  <c r="I161" i="4"/>
  <c r="Z161" i="4" s="1"/>
  <c r="I162" i="4"/>
  <c r="I163" i="4"/>
  <c r="Z163" i="4" s="1"/>
  <c r="I164" i="4"/>
  <c r="Z164" i="4" s="1"/>
  <c r="I165" i="4"/>
  <c r="Z165" i="4" s="1"/>
  <c r="I166" i="4"/>
  <c r="Z166" i="4" s="1"/>
  <c r="I167" i="4"/>
  <c r="Z167" i="4" s="1"/>
  <c r="I168" i="4"/>
  <c r="Z168" i="4" s="1"/>
  <c r="I169" i="4"/>
  <c r="Z169" i="4" s="1"/>
  <c r="I170" i="4"/>
  <c r="Z170" i="4" s="1"/>
  <c r="I171" i="4"/>
  <c r="Z171" i="4" s="1"/>
  <c r="I172" i="4"/>
  <c r="Z172" i="4" s="1"/>
  <c r="I173" i="4"/>
  <c r="Z173" i="4" s="1"/>
  <c r="I174" i="4"/>
  <c r="Z174" i="4" s="1"/>
  <c r="I175" i="4"/>
  <c r="Z175" i="4" s="1"/>
  <c r="I176" i="4"/>
  <c r="Z176" i="4" s="1"/>
  <c r="I177" i="4"/>
  <c r="Z177" i="4" s="1"/>
  <c r="I178" i="4"/>
  <c r="Z178" i="4" s="1"/>
  <c r="I179" i="4"/>
  <c r="Z179" i="4" s="1"/>
  <c r="I180" i="4"/>
  <c r="Z180" i="4" s="1"/>
  <c r="I181" i="4"/>
  <c r="Z181" i="4" s="1"/>
  <c r="I182" i="4"/>
  <c r="Z182" i="4" s="1"/>
  <c r="I183" i="4"/>
  <c r="Z183" i="4" s="1"/>
  <c r="I184" i="4"/>
  <c r="Z184" i="4" s="1"/>
  <c r="I185" i="4"/>
  <c r="Z185" i="4" s="1"/>
  <c r="I186" i="4"/>
  <c r="Z186" i="4" s="1"/>
  <c r="I187" i="4"/>
  <c r="I188" i="4"/>
  <c r="Z188" i="4" s="1"/>
  <c r="I189" i="4"/>
  <c r="Z189" i="4" s="1"/>
  <c r="I190" i="4"/>
  <c r="Z190" i="4" s="1"/>
  <c r="I191" i="4"/>
  <c r="Z191" i="4" s="1"/>
  <c r="I192" i="4"/>
  <c r="I193" i="4"/>
  <c r="Z193" i="4" s="1"/>
  <c r="I194" i="4"/>
  <c r="Z194" i="4" s="1"/>
  <c r="I195" i="4"/>
  <c r="Z195" i="4" s="1"/>
  <c r="I196" i="4"/>
  <c r="I197" i="4"/>
  <c r="Z197" i="4" s="1"/>
  <c r="I198" i="4"/>
  <c r="Z198" i="4" s="1"/>
  <c r="I199" i="4"/>
  <c r="Z199" i="4" s="1"/>
  <c r="I200" i="4"/>
  <c r="Z200" i="4" s="1"/>
  <c r="I201" i="4"/>
  <c r="Z201" i="4" s="1"/>
  <c r="I202" i="4"/>
  <c r="Z202" i="4" s="1"/>
  <c r="I203" i="4"/>
  <c r="Z203" i="4" s="1"/>
  <c r="I204" i="4"/>
  <c r="Z204" i="4" s="1"/>
  <c r="I205" i="4"/>
  <c r="Z205" i="4" s="1"/>
  <c r="I206" i="4"/>
  <c r="Z206" i="4" s="1"/>
  <c r="I207" i="4"/>
  <c r="Z207" i="4" s="1"/>
  <c r="I208" i="4"/>
  <c r="Z208" i="4" s="1"/>
  <c r="I209" i="4"/>
  <c r="I210" i="4"/>
  <c r="Z210" i="4" s="1"/>
  <c r="I211" i="4"/>
  <c r="Z211" i="4" s="1"/>
  <c r="I212" i="4"/>
  <c r="Z212" i="4" s="1"/>
  <c r="I213" i="4"/>
  <c r="Z213" i="4" s="1"/>
  <c r="I214" i="4"/>
  <c r="Z214" i="4" s="1"/>
  <c r="I215" i="4"/>
  <c r="Z215" i="4" s="1"/>
  <c r="I216" i="4"/>
  <c r="Z216" i="4" s="1"/>
  <c r="I217" i="4"/>
  <c r="Z217" i="4" s="1"/>
  <c r="I218" i="4"/>
  <c r="Z218" i="4" s="1"/>
  <c r="I219" i="4"/>
  <c r="I220" i="4"/>
  <c r="Z220" i="4" s="1"/>
  <c r="I221" i="4"/>
  <c r="Z221" i="4" s="1"/>
  <c r="I222" i="4"/>
  <c r="Z222" i="4" s="1"/>
  <c r="I223" i="4"/>
  <c r="Z223" i="4" s="1"/>
  <c r="I224" i="4"/>
  <c r="Z224" i="4" s="1"/>
  <c r="I225" i="4"/>
  <c r="Z225" i="4" s="1"/>
  <c r="I226" i="4"/>
  <c r="Z226" i="4" s="1"/>
  <c r="I227" i="4"/>
  <c r="Z227" i="4" s="1"/>
  <c r="I228" i="4"/>
  <c r="Z228" i="4" s="1"/>
  <c r="I229" i="4"/>
  <c r="Z229" i="4" s="1"/>
  <c r="I230" i="4"/>
  <c r="Z230" i="4" s="1"/>
  <c r="I231" i="4"/>
  <c r="Z231" i="4" s="1"/>
  <c r="I232" i="4"/>
  <c r="Z232" i="4" s="1"/>
  <c r="I233" i="4"/>
  <c r="Z233" i="4" s="1"/>
  <c r="I234" i="4"/>
  <c r="Z234" i="4" s="1"/>
  <c r="I235" i="4"/>
  <c r="Z235" i="4" s="1"/>
  <c r="I236" i="4"/>
  <c r="Z236" i="4" s="1"/>
  <c r="I237" i="4"/>
  <c r="Z237" i="4" s="1"/>
  <c r="I238" i="4"/>
  <c r="Z238" i="4" s="1"/>
  <c r="I239" i="4"/>
  <c r="Z239" i="4" s="1"/>
  <c r="I240" i="4"/>
  <c r="Z240" i="4" s="1"/>
  <c r="I241" i="4"/>
  <c r="I242" i="4"/>
  <c r="Z242" i="4" s="1"/>
  <c r="I243" i="4"/>
  <c r="Z243" i="4" s="1"/>
  <c r="I244" i="4"/>
  <c r="Z244" i="4" s="1"/>
  <c r="I245" i="4"/>
  <c r="Z245" i="4" s="1"/>
  <c r="I246" i="4"/>
  <c r="I247" i="4"/>
  <c r="Z247" i="4" s="1"/>
  <c r="I248" i="4"/>
  <c r="Z248" i="4" s="1"/>
  <c r="I249" i="4"/>
  <c r="Z249" i="4" s="1"/>
  <c r="I250" i="4"/>
  <c r="Z250" i="4" s="1"/>
  <c r="I251" i="4"/>
  <c r="Z251" i="4" s="1"/>
  <c r="I252" i="4"/>
  <c r="Z252" i="4" s="1"/>
  <c r="I253" i="4"/>
  <c r="Z253" i="4" s="1"/>
  <c r="I254" i="4"/>
  <c r="Z254" i="4" s="1"/>
  <c r="I255" i="4"/>
  <c r="Z255" i="4" s="1"/>
  <c r="I256" i="4"/>
  <c r="Z256" i="4" s="1"/>
  <c r="I257" i="4"/>
  <c r="Z257" i="4" s="1"/>
  <c r="I258" i="4"/>
  <c r="Z258" i="4" s="1"/>
  <c r="I259" i="4"/>
  <c r="Z259" i="4" s="1"/>
  <c r="I260" i="4"/>
  <c r="Z260" i="4" s="1"/>
  <c r="I261" i="4"/>
  <c r="Z261" i="4" s="1"/>
  <c r="I262" i="4"/>
  <c r="Z262" i="4" s="1"/>
  <c r="I263" i="4"/>
  <c r="Z263" i="4" s="1"/>
  <c r="I264" i="4"/>
  <c r="Z264" i="4" s="1"/>
  <c r="I265" i="4"/>
  <c r="Z265" i="4" s="1"/>
  <c r="I266" i="4"/>
  <c r="Z266" i="4" s="1"/>
  <c r="I267" i="4"/>
  <c r="Z267" i="4" s="1"/>
  <c r="I268" i="4"/>
  <c r="Z268" i="4" s="1"/>
  <c r="I269" i="4"/>
  <c r="Z269" i="4" s="1"/>
  <c r="I270" i="4"/>
  <c r="Z270" i="4" s="1"/>
  <c r="I271" i="4"/>
  <c r="Z271" i="4" s="1"/>
  <c r="I272" i="4"/>
  <c r="Z272" i="4" s="1"/>
  <c r="I273" i="4"/>
  <c r="Z273" i="4" s="1"/>
  <c r="I274" i="4"/>
  <c r="Z274" i="4" s="1"/>
  <c r="I275" i="4"/>
  <c r="Z275" i="4" s="1"/>
  <c r="I276" i="4"/>
  <c r="Z276" i="4" s="1"/>
  <c r="I277" i="4"/>
  <c r="Z277" i="4" s="1"/>
  <c r="I278" i="4"/>
  <c r="Z278" i="4" s="1"/>
  <c r="I279" i="4"/>
  <c r="Z279" i="4" s="1"/>
  <c r="I280" i="4"/>
  <c r="Z280" i="4" s="1"/>
  <c r="I281" i="4"/>
  <c r="Z281" i="4" s="1"/>
  <c r="I282" i="4"/>
  <c r="Z282" i="4" s="1"/>
  <c r="I283" i="4"/>
  <c r="Z283" i="4" s="1"/>
  <c r="I284" i="4"/>
  <c r="Z284" i="4" s="1"/>
  <c r="I285" i="4"/>
  <c r="Z285" i="4" s="1"/>
  <c r="I286" i="4"/>
  <c r="Z286" i="4" s="1"/>
  <c r="I287" i="4"/>
  <c r="Z287" i="4" s="1"/>
  <c r="I288" i="4"/>
  <c r="Z288" i="4" s="1"/>
  <c r="I289" i="4"/>
  <c r="Z289" i="4" s="1"/>
  <c r="I290" i="4"/>
  <c r="Z290" i="4" s="1"/>
  <c r="I291" i="4"/>
  <c r="Z291" i="4" s="1"/>
  <c r="I292" i="4"/>
  <c r="Z292" i="4" s="1"/>
  <c r="I293" i="4"/>
  <c r="Z293" i="4" s="1"/>
  <c r="I294" i="4"/>
  <c r="Z294" i="4" s="1"/>
  <c r="I295" i="4"/>
  <c r="Z295" i="4" s="1"/>
  <c r="I296" i="4"/>
  <c r="Z296" i="4" s="1"/>
  <c r="I297" i="4"/>
  <c r="Z297" i="4" s="1"/>
  <c r="I298" i="4"/>
  <c r="Z298" i="4" s="1"/>
  <c r="I299" i="4"/>
  <c r="Z299" i="4" s="1"/>
  <c r="I300" i="4"/>
  <c r="Z300" i="4" s="1"/>
  <c r="I301" i="4"/>
  <c r="Z301" i="4" s="1"/>
  <c r="I302" i="4"/>
  <c r="Z302" i="4" s="1"/>
  <c r="I303" i="4"/>
  <c r="Z303" i="4" s="1"/>
  <c r="I304" i="4"/>
  <c r="Z304" i="4" s="1"/>
  <c r="I305" i="4"/>
  <c r="Z305" i="4" s="1"/>
  <c r="I306" i="4"/>
  <c r="Z306" i="4" s="1"/>
  <c r="I307" i="4"/>
  <c r="Z307" i="4" s="1"/>
  <c r="I308" i="4"/>
  <c r="Z308" i="4" s="1"/>
  <c r="I309" i="4"/>
  <c r="Z309" i="4" s="1"/>
  <c r="I310" i="4"/>
  <c r="I311" i="4"/>
  <c r="I312" i="4"/>
  <c r="Z312" i="4" s="1"/>
  <c r="I313" i="4"/>
  <c r="Z313" i="4" s="1"/>
  <c r="I314" i="4"/>
  <c r="Z314" i="4" s="1"/>
  <c r="I315" i="4"/>
  <c r="Z315" i="4" s="1"/>
  <c r="I316" i="4"/>
  <c r="Z316" i="4" s="1"/>
  <c r="I317" i="4"/>
  <c r="Z317" i="4" s="1"/>
  <c r="I318" i="4"/>
  <c r="Z318" i="4" s="1"/>
  <c r="I319" i="4"/>
  <c r="Z319" i="4" s="1"/>
  <c r="I320" i="4"/>
  <c r="Z320" i="4" s="1"/>
  <c r="I321" i="4"/>
  <c r="Z321" i="4" s="1"/>
  <c r="I322" i="4"/>
  <c r="Z322" i="4" s="1"/>
  <c r="I323" i="4"/>
  <c r="Z323" i="4" s="1"/>
  <c r="I324" i="4"/>
  <c r="Z324" i="4" s="1"/>
  <c r="I325" i="4"/>
  <c r="Z325" i="4" s="1"/>
  <c r="I326" i="4"/>
  <c r="Z326" i="4" s="1"/>
  <c r="I327" i="4"/>
  <c r="Z327" i="4" s="1"/>
  <c r="I328" i="4"/>
  <c r="Z328" i="4" s="1"/>
  <c r="I329" i="4"/>
  <c r="Z329" i="4" s="1"/>
  <c r="I330" i="4"/>
  <c r="I331" i="4"/>
  <c r="Z331" i="4" s="1"/>
  <c r="I332" i="4"/>
  <c r="Z332" i="4" s="1"/>
  <c r="I333" i="4"/>
  <c r="I334" i="4"/>
  <c r="Z334" i="4" s="1"/>
  <c r="I335" i="4"/>
  <c r="Z335" i="4" s="1"/>
  <c r="I336" i="4"/>
  <c r="I337" i="4"/>
  <c r="Z337" i="4" s="1"/>
  <c r="I338" i="4"/>
  <c r="Z338" i="4" s="1"/>
  <c r="I339" i="4"/>
  <c r="Z339" i="4" s="1"/>
  <c r="I340" i="4"/>
  <c r="Z340" i="4" s="1"/>
  <c r="I341" i="4"/>
  <c r="Z341" i="4" s="1"/>
  <c r="I342" i="4"/>
  <c r="Z342" i="4" s="1"/>
  <c r="I343" i="4"/>
  <c r="Z343" i="4" s="1"/>
  <c r="I344" i="4"/>
  <c r="Z344" i="4" s="1"/>
  <c r="I345" i="4"/>
  <c r="Z345" i="4" s="1"/>
  <c r="I346" i="4"/>
  <c r="Z346" i="4" s="1"/>
  <c r="I347" i="4"/>
  <c r="Z347" i="4" s="1"/>
  <c r="I348" i="4"/>
  <c r="Z348" i="4" s="1"/>
  <c r="I349" i="4"/>
  <c r="Z349" i="4" s="1"/>
  <c r="I350" i="4"/>
  <c r="Z350" i="4" s="1"/>
  <c r="I351" i="4"/>
  <c r="Z351" i="4" s="1"/>
  <c r="I352" i="4"/>
  <c r="Z352" i="4" s="1"/>
  <c r="I353" i="4"/>
  <c r="Z353" i="4" s="1"/>
  <c r="I354" i="4"/>
  <c r="Z354" i="4" s="1"/>
  <c r="I355" i="4"/>
  <c r="Z355" i="4" s="1"/>
  <c r="I356" i="4"/>
  <c r="I357" i="4"/>
  <c r="Z357" i="4" s="1"/>
  <c r="I358" i="4"/>
  <c r="Z358" i="4" s="1"/>
  <c r="I359" i="4"/>
  <c r="Z359" i="4" s="1"/>
  <c r="I360" i="4"/>
  <c r="Z360" i="4" s="1"/>
  <c r="I361" i="4"/>
  <c r="Z361" i="4" s="1"/>
  <c r="I362" i="4"/>
  <c r="Z362" i="4" s="1"/>
  <c r="I363" i="4"/>
  <c r="Z363" i="4" s="1"/>
  <c r="I364" i="4"/>
  <c r="Z364" i="4" s="1"/>
  <c r="I365" i="4"/>
  <c r="Z365" i="4" s="1"/>
  <c r="I366" i="4"/>
  <c r="Z366" i="4" s="1"/>
  <c r="I367" i="4"/>
  <c r="Z367" i="4" s="1"/>
  <c r="I368" i="4"/>
  <c r="Z368" i="4" s="1"/>
  <c r="I369" i="4"/>
  <c r="Z369" i="4" s="1"/>
  <c r="I370" i="4"/>
  <c r="Z370" i="4" s="1"/>
  <c r="I371" i="4"/>
  <c r="Z371" i="4" s="1"/>
  <c r="I372" i="4"/>
  <c r="Z372" i="4" s="1"/>
  <c r="I373" i="4"/>
  <c r="Z373" i="4" s="1"/>
  <c r="I374" i="4"/>
  <c r="Z374" i="4" s="1"/>
  <c r="I375" i="4"/>
  <c r="Z375" i="4" s="1"/>
  <c r="I376" i="4"/>
  <c r="Z376" i="4" s="1"/>
  <c r="I377" i="4"/>
  <c r="Z377" i="4" s="1"/>
  <c r="I378" i="4"/>
  <c r="Z378" i="4" s="1"/>
  <c r="I379" i="4"/>
  <c r="Z379" i="4" s="1"/>
  <c r="I380" i="4"/>
  <c r="Z380" i="4" s="1"/>
  <c r="I381" i="4"/>
  <c r="Z381" i="4" s="1"/>
  <c r="I382" i="4"/>
  <c r="Z382" i="4" s="1"/>
  <c r="I383" i="4"/>
  <c r="Z383" i="4" s="1"/>
  <c r="I384" i="4"/>
  <c r="Z384" i="4" s="1"/>
  <c r="I385" i="4"/>
  <c r="Z385" i="4" s="1"/>
  <c r="I386" i="4"/>
  <c r="Z386" i="4" s="1"/>
  <c r="I387" i="4"/>
  <c r="Z387" i="4" s="1"/>
  <c r="I388" i="4"/>
  <c r="Z388" i="4" s="1"/>
  <c r="I389" i="4"/>
  <c r="Z389" i="4" s="1"/>
  <c r="I390" i="4"/>
  <c r="Z390" i="4" s="1"/>
  <c r="I391" i="4"/>
  <c r="Z391" i="4" s="1"/>
  <c r="I392" i="4"/>
  <c r="Z392" i="4" s="1"/>
  <c r="I393" i="4"/>
  <c r="Z393" i="4" s="1"/>
  <c r="I394" i="4"/>
  <c r="Z394" i="4" s="1"/>
  <c r="I395" i="4"/>
  <c r="Z395" i="4" s="1"/>
  <c r="I396" i="4"/>
  <c r="Z396" i="4" s="1"/>
  <c r="I397" i="4"/>
  <c r="Z397" i="4" s="1"/>
  <c r="I398" i="4"/>
  <c r="Z398" i="4" s="1"/>
  <c r="I399" i="4"/>
  <c r="Z399" i="4" s="1"/>
  <c r="I400" i="4"/>
  <c r="Z400" i="4" s="1"/>
  <c r="I401" i="4"/>
  <c r="Z401" i="4" s="1"/>
  <c r="I402" i="4"/>
  <c r="Z402" i="4" s="1"/>
  <c r="I403" i="4"/>
  <c r="Z403" i="4" s="1"/>
  <c r="I404" i="4"/>
  <c r="Z404" i="4" s="1"/>
  <c r="I405" i="4"/>
  <c r="Z405" i="4" s="1"/>
  <c r="I406" i="4"/>
  <c r="Z406" i="4" s="1"/>
  <c r="I407" i="4"/>
  <c r="Z407" i="4" s="1"/>
  <c r="I408" i="4"/>
  <c r="Z408" i="4" s="1"/>
  <c r="I409" i="4"/>
  <c r="Z409" i="4" s="1"/>
  <c r="I410" i="4"/>
  <c r="Z410" i="4" s="1"/>
  <c r="I411" i="4"/>
  <c r="Z411" i="4" s="1"/>
  <c r="I412" i="4"/>
  <c r="Z412" i="4" s="1"/>
  <c r="I413" i="4"/>
  <c r="I414" i="4"/>
  <c r="Z414" i="4" s="1"/>
  <c r="I415" i="4"/>
  <c r="Z415" i="4" s="1"/>
  <c r="I416" i="4"/>
  <c r="Z416" i="4" s="1"/>
  <c r="I417" i="4"/>
  <c r="Z417" i="4" s="1"/>
  <c r="I418" i="4"/>
  <c r="Z418" i="4" s="1"/>
  <c r="I419" i="4"/>
  <c r="Z419" i="4" s="1"/>
  <c r="I420" i="4"/>
  <c r="I421" i="4"/>
  <c r="Z421" i="4" s="1"/>
  <c r="I422" i="4"/>
  <c r="Z422" i="4" s="1"/>
  <c r="I423" i="4"/>
  <c r="Z423" i="4" s="1"/>
  <c r="I424" i="4"/>
  <c r="Z424" i="4" s="1"/>
  <c r="I425" i="4"/>
  <c r="I426" i="4"/>
  <c r="Z426" i="4" s="1"/>
  <c r="I427" i="4"/>
  <c r="Z427" i="4" s="1"/>
  <c r="I428" i="4"/>
  <c r="Z428" i="4" s="1"/>
  <c r="I429" i="4"/>
  <c r="Z429" i="4" s="1"/>
  <c r="I430" i="4"/>
  <c r="Z430" i="4" s="1"/>
  <c r="I431" i="4"/>
  <c r="Z431" i="4" s="1"/>
  <c r="I432" i="4"/>
  <c r="Z432" i="4" s="1"/>
  <c r="I433" i="4"/>
  <c r="Z433" i="4" s="1"/>
  <c r="I434" i="4"/>
  <c r="Z434" i="4" s="1"/>
  <c r="I435" i="4"/>
  <c r="Z435" i="4" s="1"/>
  <c r="I436" i="4"/>
  <c r="Z436" i="4" s="1"/>
  <c r="I437" i="4"/>
  <c r="Z437" i="4" s="1"/>
  <c r="I438" i="4"/>
  <c r="Z438" i="4" s="1"/>
  <c r="I439" i="4"/>
  <c r="Z439" i="4" s="1"/>
  <c r="I440" i="4"/>
  <c r="Z440" i="4" s="1"/>
  <c r="I441" i="4"/>
  <c r="Z441" i="4" s="1"/>
  <c r="I442" i="4"/>
  <c r="Z442" i="4" s="1"/>
  <c r="I443" i="4"/>
  <c r="Z443" i="4" s="1"/>
  <c r="I444" i="4"/>
  <c r="Z444" i="4" s="1"/>
  <c r="I445" i="4"/>
  <c r="Z445" i="4" s="1"/>
  <c r="I446" i="4"/>
  <c r="Z446" i="4" s="1"/>
  <c r="I447" i="4"/>
  <c r="Z447" i="4" s="1"/>
  <c r="I448" i="4"/>
  <c r="Z448" i="4" s="1"/>
  <c r="I449" i="4"/>
  <c r="Z449" i="4" s="1"/>
  <c r="I450" i="4"/>
  <c r="Z450" i="4" s="1"/>
  <c r="I451" i="4"/>
  <c r="Z451" i="4" s="1"/>
  <c r="I452" i="4"/>
  <c r="Z452" i="4" s="1"/>
  <c r="I453" i="4"/>
  <c r="Z453" i="4" s="1"/>
  <c r="I454" i="4"/>
  <c r="Z454" i="4" s="1"/>
  <c r="I455" i="4"/>
  <c r="Z455" i="4" s="1"/>
  <c r="I456" i="4"/>
  <c r="Z456" i="4" s="1"/>
  <c r="I457" i="4"/>
  <c r="Z457" i="4" s="1"/>
  <c r="I458" i="4"/>
  <c r="Z458" i="4" s="1"/>
  <c r="I459" i="4"/>
  <c r="Z459" i="4" s="1"/>
  <c r="I460" i="4"/>
  <c r="Z460" i="4" s="1"/>
  <c r="I461" i="4"/>
  <c r="Z461" i="4" s="1"/>
  <c r="I462" i="4"/>
  <c r="Z462" i="4" s="1"/>
  <c r="I463" i="4"/>
  <c r="Z463" i="4" s="1"/>
  <c r="I464" i="4"/>
  <c r="Z464" i="4" s="1"/>
  <c r="I465" i="4"/>
  <c r="Z465" i="4" s="1"/>
  <c r="I466" i="4"/>
  <c r="Z466" i="4" s="1"/>
  <c r="I467" i="4"/>
  <c r="Z467" i="4" s="1"/>
  <c r="I468" i="4"/>
  <c r="Z468" i="4" s="1"/>
  <c r="I469" i="4"/>
  <c r="Z469" i="4" s="1"/>
  <c r="I470" i="4"/>
  <c r="Z470" i="4" s="1"/>
  <c r="I471" i="4"/>
  <c r="Z471" i="4" s="1"/>
  <c r="I472" i="4"/>
  <c r="Z472" i="4" s="1"/>
  <c r="I473" i="4"/>
  <c r="Z473" i="4" s="1"/>
  <c r="I474" i="4"/>
  <c r="Z474" i="4" s="1"/>
  <c r="I475" i="4"/>
  <c r="Z475" i="4" s="1"/>
  <c r="I476" i="4"/>
  <c r="Z476" i="4" s="1"/>
  <c r="I477" i="4"/>
  <c r="Z477" i="4" s="1"/>
  <c r="I478" i="4"/>
  <c r="Z478" i="4" s="1"/>
  <c r="I479" i="4"/>
  <c r="Z479" i="4" s="1"/>
  <c r="I480" i="4"/>
  <c r="Z480" i="4" s="1"/>
  <c r="I481" i="4"/>
  <c r="Z481" i="4" s="1"/>
  <c r="I482" i="4"/>
  <c r="Z482" i="4" s="1"/>
  <c r="I483" i="4"/>
  <c r="Z483" i="4" s="1"/>
  <c r="I484" i="4"/>
  <c r="Z484" i="4" s="1"/>
  <c r="I485" i="4"/>
  <c r="Z485" i="4" s="1"/>
  <c r="I486" i="4"/>
  <c r="Z486" i="4" s="1"/>
  <c r="I487" i="4"/>
  <c r="Z487" i="4" s="1"/>
  <c r="I488" i="4"/>
  <c r="Z488" i="4" s="1"/>
  <c r="I489" i="4"/>
  <c r="Z489" i="4" s="1"/>
  <c r="I490" i="4"/>
  <c r="Z490" i="4" s="1"/>
  <c r="I491" i="4"/>
  <c r="Z491" i="4" s="1"/>
  <c r="I492" i="4"/>
  <c r="Z492" i="4" s="1"/>
  <c r="I493" i="4"/>
  <c r="Z493" i="4" s="1"/>
  <c r="I494" i="4"/>
  <c r="Z494" i="4" s="1"/>
  <c r="I495" i="4"/>
  <c r="Z495" i="4" s="1"/>
  <c r="I496" i="4"/>
  <c r="Z496" i="4" s="1"/>
  <c r="I497" i="4"/>
  <c r="Z497" i="4" s="1"/>
  <c r="I498" i="4"/>
  <c r="Z498" i="4" s="1"/>
  <c r="I499" i="4"/>
  <c r="Z499" i="4" s="1"/>
  <c r="I500" i="4"/>
  <c r="Z500" i="4" s="1"/>
  <c r="I501" i="4"/>
  <c r="Z501" i="4" s="1"/>
  <c r="I502" i="4"/>
  <c r="Z502" i="4" s="1"/>
  <c r="I503" i="4"/>
  <c r="Z503" i="4" s="1"/>
  <c r="I504" i="4"/>
  <c r="Z504" i="4" s="1"/>
  <c r="I505" i="4"/>
  <c r="Z505" i="4" s="1"/>
  <c r="I506" i="4"/>
  <c r="Z506" i="4" s="1"/>
  <c r="I507" i="4"/>
  <c r="Z507" i="4" s="1"/>
  <c r="I508" i="4"/>
  <c r="Z508" i="4" s="1"/>
  <c r="I509" i="4"/>
  <c r="Z509" i="4" s="1"/>
  <c r="N40" i="13"/>
  <c r="T40" i="13" s="1"/>
  <c r="D4" i="16"/>
  <c r="D13" i="16"/>
  <c r="D12" i="16"/>
  <c r="D11" i="16"/>
  <c r="D10" i="16"/>
  <c r="D9" i="16"/>
  <c r="D8" i="16"/>
  <c r="D7" i="16"/>
  <c r="D6" i="16"/>
  <c r="D5" i="16"/>
  <c r="AB2" i="13"/>
  <c r="AB3" i="13"/>
  <c r="AB4" i="13"/>
  <c r="AB5" i="13"/>
  <c r="AB6" i="13"/>
  <c r="AB7" i="13"/>
  <c r="AB8" i="13"/>
  <c r="AB9" i="13"/>
  <c r="AB10" i="13"/>
  <c r="AB11" i="13"/>
  <c r="AB12" i="13"/>
  <c r="AB13" i="13"/>
  <c r="AB14" i="13"/>
  <c r="AB15" i="13"/>
  <c r="AB16" i="13"/>
  <c r="AB17" i="13"/>
  <c r="AB18" i="13"/>
  <c r="AB19" i="13"/>
  <c r="AB20" i="13"/>
  <c r="AB21" i="13"/>
  <c r="AB22" i="13"/>
  <c r="AB23" i="13"/>
  <c r="AB24" i="13"/>
  <c r="AB25" i="13"/>
  <c r="AB26" i="13"/>
  <c r="AB27" i="13"/>
  <c r="AB28" i="13"/>
  <c r="AB29" i="13"/>
  <c r="AB30" i="13"/>
  <c r="AB31" i="13"/>
  <c r="AB32" i="13"/>
  <c r="AB33" i="13"/>
  <c r="AB34" i="13"/>
  <c r="AB35" i="13"/>
  <c r="AB36" i="13"/>
  <c r="AB37" i="13"/>
  <c r="AB38" i="13"/>
  <c r="AB39" i="13"/>
  <c r="AB40" i="13"/>
  <c r="AB41" i="13"/>
  <c r="AB42" i="13"/>
  <c r="AB43" i="13"/>
  <c r="AB44" i="13"/>
  <c r="AB45" i="13"/>
  <c r="AB46" i="13"/>
  <c r="AB47" i="13"/>
  <c r="AB48" i="13"/>
  <c r="AB49" i="13"/>
  <c r="AB50" i="13"/>
  <c r="AB51" i="13"/>
  <c r="AB52" i="13"/>
  <c r="AB53" i="13"/>
  <c r="AB54" i="13"/>
  <c r="AB55" i="13"/>
  <c r="AB56" i="13"/>
  <c r="AB57" i="13"/>
  <c r="AB58" i="13"/>
  <c r="AB59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3" i="13"/>
  <c r="AB74" i="13"/>
  <c r="AB75" i="13"/>
  <c r="AB76" i="13"/>
  <c r="AB77" i="13"/>
  <c r="AB78" i="13"/>
  <c r="AB79" i="13"/>
  <c r="AB80" i="13"/>
  <c r="AB81" i="13"/>
  <c r="AB82" i="13"/>
  <c r="AB83" i="13"/>
  <c r="AB84" i="13"/>
  <c r="AB85" i="13"/>
  <c r="AB86" i="13"/>
  <c r="AB87" i="13"/>
  <c r="AB88" i="13"/>
  <c r="AB89" i="13"/>
  <c r="AB90" i="13"/>
  <c r="AB91" i="13"/>
  <c r="AB92" i="13"/>
  <c r="AB93" i="13"/>
  <c r="AB94" i="13"/>
  <c r="AB95" i="13"/>
  <c r="AB96" i="13"/>
  <c r="AB97" i="13"/>
  <c r="AB98" i="13"/>
  <c r="AB99" i="13"/>
  <c r="AB100" i="13"/>
  <c r="AB101" i="13"/>
  <c r="AB102" i="13"/>
  <c r="AB103" i="13"/>
  <c r="AB104" i="13"/>
  <c r="AB105" i="13"/>
  <c r="AB106" i="13"/>
  <c r="AB107" i="13"/>
  <c r="AB108" i="13"/>
  <c r="AB109" i="13"/>
  <c r="AB110" i="13"/>
  <c r="AB111" i="13"/>
  <c r="AB112" i="13"/>
  <c r="AB113" i="13"/>
  <c r="AB114" i="13"/>
  <c r="AB115" i="13"/>
  <c r="AB116" i="13"/>
  <c r="AB117" i="13"/>
  <c r="AB118" i="13"/>
  <c r="AB119" i="13"/>
  <c r="AB120" i="13"/>
  <c r="AB121" i="13"/>
  <c r="AB122" i="13"/>
  <c r="AB123" i="13"/>
  <c r="AB124" i="13"/>
  <c r="AB125" i="13"/>
  <c r="AB126" i="13"/>
  <c r="AB127" i="13"/>
  <c r="AB128" i="13"/>
  <c r="AB129" i="13"/>
  <c r="AB130" i="13"/>
  <c r="AB131" i="13"/>
  <c r="AB132" i="13"/>
  <c r="AB133" i="13"/>
  <c r="AB134" i="13"/>
  <c r="AB135" i="13"/>
  <c r="AB136" i="13"/>
  <c r="AB137" i="13"/>
  <c r="AB138" i="13"/>
  <c r="AB139" i="13"/>
  <c r="AB140" i="13"/>
  <c r="AB141" i="13"/>
  <c r="AB142" i="13"/>
  <c r="AB143" i="13"/>
  <c r="AB144" i="13"/>
  <c r="AB145" i="13"/>
  <c r="AB146" i="13"/>
  <c r="AB147" i="13"/>
  <c r="AB148" i="13"/>
  <c r="AB149" i="13"/>
  <c r="AB150" i="13"/>
  <c r="AB151" i="13"/>
  <c r="AB152" i="13"/>
  <c r="AB153" i="13"/>
  <c r="AB154" i="13"/>
  <c r="AB155" i="13"/>
  <c r="AB156" i="13"/>
  <c r="AB157" i="13"/>
  <c r="AB158" i="13"/>
  <c r="AB159" i="13"/>
  <c r="AB160" i="13"/>
  <c r="AB161" i="13"/>
  <c r="AB162" i="13"/>
  <c r="AB163" i="13"/>
  <c r="AB164" i="13"/>
  <c r="AB165" i="13"/>
  <c r="AB166" i="13"/>
  <c r="AB167" i="13"/>
  <c r="AB168" i="13"/>
  <c r="AB169" i="13"/>
  <c r="AB170" i="13"/>
  <c r="AB171" i="13"/>
  <c r="AB172" i="13"/>
  <c r="AB173" i="13"/>
  <c r="AB174" i="13"/>
  <c r="AB175" i="13"/>
  <c r="AB176" i="13"/>
  <c r="AB177" i="13"/>
  <c r="AB178" i="13"/>
  <c r="AB179" i="13"/>
  <c r="AB180" i="13"/>
  <c r="AB181" i="13"/>
  <c r="AB182" i="13"/>
  <c r="AB183" i="13"/>
  <c r="AB184" i="13"/>
  <c r="AB185" i="13"/>
  <c r="AB186" i="13"/>
  <c r="AB187" i="13"/>
  <c r="AB188" i="13"/>
  <c r="AB189" i="13"/>
  <c r="AB190" i="13"/>
  <c r="AB191" i="13"/>
  <c r="AB192" i="13"/>
  <c r="AB193" i="13"/>
  <c r="AB194" i="13"/>
  <c r="AB195" i="13"/>
  <c r="AB196" i="13"/>
  <c r="AB197" i="13"/>
  <c r="AB198" i="13"/>
  <c r="AB199" i="13"/>
  <c r="AB200" i="13"/>
  <c r="AB201" i="13"/>
  <c r="AB202" i="13"/>
  <c r="AB203" i="13"/>
  <c r="AB204" i="13"/>
  <c r="AB205" i="13"/>
  <c r="AB206" i="13"/>
  <c r="AB207" i="13"/>
  <c r="AB208" i="13"/>
  <c r="AB209" i="13"/>
  <c r="AB210" i="13"/>
  <c r="AB211" i="13"/>
  <c r="AB212" i="13"/>
  <c r="AB213" i="13"/>
  <c r="AB214" i="13"/>
  <c r="AB215" i="13"/>
  <c r="AB216" i="13"/>
  <c r="AB217" i="13"/>
  <c r="AB218" i="13"/>
  <c r="AB219" i="13"/>
  <c r="AB220" i="13"/>
  <c r="AB221" i="13"/>
  <c r="AB222" i="13"/>
  <c r="AB223" i="13"/>
  <c r="AB224" i="13"/>
  <c r="AB225" i="13"/>
  <c r="AB226" i="13"/>
  <c r="AB227" i="13"/>
  <c r="AB228" i="13"/>
  <c r="AB229" i="13"/>
  <c r="AB230" i="13"/>
  <c r="AB231" i="13"/>
  <c r="AB232" i="13"/>
  <c r="AB233" i="13"/>
  <c r="AB234" i="13"/>
  <c r="AB235" i="13"/>
  <c r="AB236" i="13"/>
  <c r="AB237" i="13"/>
  <c r="AB238" i="13"/>
  <c r="AB239" i="13"/>
  <c r="AB240" i="13"/>
  <c r="AB241" i="13"/>
  <c r="AB242" i="13"/>
  <c r="AB243" i="13"/>
  <c r="AB244" i="13"/>
  <c r="AB245" i="13"/>
  <c r="AB246" i="13"/>
  <c r="AB247" i="13"/>
  <c r="AB248" i="13"/>
  <c r="AB249" i="13"/>
  <c r="AB250" i="13"/>
  <c r="AB251" i="13"/>
  <c r="AB252" i="13"/>
  <c r="AB253" i="13"/>
  <c r="AB254" i="13"/>
  <c r="AB255" i="13"/>
  <c r="AB256" i="13"/>
  <c r="AB257" i="13"/>
  <c r="AB258" i="13"/>
  <c r="AB259" i="13"/>
  <c r="AB260" i="13"/>
  <c r="AB261" i="13"/>
  <c r="AB262" i="13"/>
  <c r="AB263" i="13"/>
  <c r="AB264" i="13"/>
  <c r="AB265" i="13"/>
  <c r="AB266" i="13"/>
  <c r="AB267" i="13"/>
  <c r="AB268" i="13"/>
  <c r="AB269" i="13"/>
  <c r="AB270" i="13"/>
  <c r="AB271" i="13"/>
  <c r="AB272" i="13"/>
  <c r="AB273" i="13"/>
  <c r="AB274" i="13"/>
  <c r="AB275" i="13"/>
  <c r="AB276" i="13"/>
  <c r="AB277" i="13"/>
  <c r="AB278" i="13"/>
  <c r="AB279" i="13"/>
  <c r="AB280" i="13"/>
  <c r="AB281" i="13"/>
  <c r="AB282" i="13"/>
  <c r="AB283" i="13"/>
  <c r="AB284" i="13"/>
  <c r="AB285" i="13"/>
  <c r="AB286" i="13"/>
  <c r="AB287" i="13"/>
  <c r="AB288" i="13"/>
  <c r="AB289" i="13"/>
  <c r="AB290" i="13"/>
  <c r="AB291" i="13"/>
  <c r="AB292" i="13"/>
  <c r="AB293" i="13"/>
  <c r="AB294" i="13"/>
  <c r="AB295" i="13"/>
  <c r="AB296" i="13"/>
  <c r="AB297" i="13"/>
  <c r="AB298" i="13"/>
  <c r="AB299" i="13"/>
  <c r="AB300" i="13"/>
  <c r="AB301" i="13"/>
  <c r="AB302" i="13"/>
  <c r="AB303" i="13"/>
  <c r="AB304" i="13"/>
  <c r="AB305" i="13"/>
  <c r="AB306" i="13"/>
  <c r="AB307" i="13"/>
  <c r="AB308" i="13"/>
  <c r="AB309" i="13"/>
  <c r="AB310" i="13"/>
  <c r="AB311" i="13"/>
  <c r="AB312" i="13"/>
  <c r="AB313" i="13"/>
  <c r="AB314" i="13"/>
  <c r="AB315" i="13"/>
  <c r="AB316" i="13"/>
  <c r="AB317" i="13"/>
  <c r="AB318" i="13"/>
  <c r="AB319" i="13"/>
  <c r="AB320" i="13"/>
  <c r="AB321" i="13"/>
  <c r="AB322" i="13"/>
  <c r="AB323" i="13"/>
  <c r="AB324" i="13"/>
  <c r="AB325" i="13"/>
  <c r="AB326" i="13"/>
  <c r="AB327" i="13"/>
  <c r="AB328" i="13"/>
  <c r="AB329" i="13"/>
  <c r="AB330" i="13"/>
  <c r="AB331" i="13"/>
  <c r="AB332" i="13"/>
  <c r="AB333" i="13"/>
  <c r="AB334" i="13"/>
  <c r="AB335" i="13"/>
  <c r="AB336" i="13"/>
  <c r="AB337" i="13"/>
  <c r="AB338" i="13"/>
  <c r="AB339" i="13"/>
  <c r="AB340" i="13"/>
  <c r="AB341" i="13"/>
  <c r="AB342" i="13"/>
  <c r="AB343" i="13"/>
  <c r="AB344" i="13"/>
  <c r="AB345" i="13"/>
  <c r="AB346" i="13"/>
  <c r="AB347" i="13"/>
  <c r="AB348" i="13"/>
  <c r="AB349" i="13"/>
  <c r="AB350" i="13"/>
  <c r="AB351" i="13"/>
  <c r="AB352" i="13"/>
  <c r="AB353" i="13"/>
  <c r="AB354" i="13"/>
  <c r="AB355" i="13"/>
  <c r="AB356" i="13"/>
  <c r="AB357" i="13"/>
  <c r="AB358" i="13"/>
  <c r="AB359" i="13"/>
  <c r="AB360" i="13"/>
  <c r="AB361" i="13"/>
  <c r="AB362" i="13"/>
  <c r="AB363" i="13"/>
  <c r="AB364" i="13"/>
  <c r="AB365" i="13"/>
  <c r="AB366" i="13"/>
  <c r="AB367" i="13"/>
  <c r="AB368" i="13"/>
  <c r="AB369" i="13"/>
  <c r="AB370" i="13"/>
  <c r="AB371" i="13"/>
  <c r="AB372" i="13"/>
  <c r="AB373" i="13"/>
  <c r="AB374" i="13"/>
  <c r="AB375" i="13"/>
  <c r="AB376" i="13"/>
  <c r="AB377" i="13"/>
  <c r="AB378" i="13"/>
  <c r="AB379" i="13"/>
  <c r="AB380" i="13"/>
  <c r="AB381" i="13"/>
  <c r="AB382" i="13"/>
  <c r="AB383" i="13"/>
  <c r="AB384" i="13"/>
  <c r="AB385" i="13"/>
  <c r="AB386" i="13"/>
  <c r="AB387" i="13"/>
  <c r="AB388" i="13"/>
  <c r="AB389" i="13"/>
  <c r="AB390" i="13"/>
  <c r="AB391" i="13"/>
  <c r="AB392" i="13"/>
  <c r="AB393" i="13"/>
  <c r="AB394" i="13"/>
  <c r="AB395" i="13"/>
  <c r="AB396" i="13"/>
  <c r="AB397" i="13"/>
  <c r="AB398" i="13"/>
  <c r="AB399" i="13"/>
  <c r="AB400" i="13"/>
  <c r="AB401" i="13"/>
  <c r="AB402" i="13"/>
  <c r="AB403" i="13"/>
  <c r="AB404" i="13"/>
  <c r="AB405" i="13"/>
  <c r="AB406" i="13"/>
  <c r="AB407" i="13"/>
  <c r="AB408" i="13"/>
  <c r="AB409" i="13"/>
  <c r="AB410" i="13"/>
  <c r="AB411" i="13"/>
  <c r="AB412" i="13"/>
  <c r="AB413" i="13"/>
  <c r="AB414" i="13"/>
  <c r="AB415" i="13"/>
  <c r="AB416" i="13"/>
  <c r="AB417" i="13"/>
  <c r="AB418" i="13"/>
  <c r="AB419" i="13"/>
  <c r="AB420" i="13"/>
  <c r="AB421" i="13"/>
  <c r="AB422" i="13"/>
  <c r="AB423" i="13"/>
  <c r="AB424" i="13"/>
  <c r="AB425" i="13"/>
  <c r="AB426" i="13"/>
  <c r="AB427" i="13"/>
  <c r="AB428" i="13"/>
  <c r="AB429" i="13"/>
  <c r="AB430" i="13"/>
  <c r="AB431" i="13"/>
  <c r="AB432" i="13"/>
  <c r="AB433" i="13"/>
  <c r="AB434" i="13"/>
  <c r="AB435" i="13"/>
  <c r="AB436" i="13"/>
  <c r="AB437" i="13"/>
  <c r="AB438" i="13"/>
  <c r="AB439" i="13"/>
  <c r="AB440" i="13"/>
  <c r="AB441" i="13"/>
  <c r="AB442" i="13"/>
  <c r="AB443" i="13"/>
  <c r="AB444" i="13"/>
  <c r="AB445" i="13"/>
  <c r="AB446" i="13"/>
  <c r="AB447" i="13"/>
  <c r="AB448" i="13"/>
  <c r="AB449" i="13"/>
  <c r="AB450" i="13"/>
  <c r="AB451" i="13"/>
  <c r="AB452" i="13"/>
  <c r="AB453" i="13"/>
  <c r="AB454" i="13"/>
  <c r="AB455" i="13"/>
  <c r="AB456" i="13"/>
  <c r="AB457" i="13"/>
  <c r="AB458" i="13"/>
  <c r="AB459" i="13"/>
  <c r="AB460" i="13"/>
  <c r="AB461" i="13"/>
  <c r="AB462" i="13"/>
  <c r="AB463" i="13"/>
  <c r="AB464" i="13"/>
  <c r="AB465" i="13"/>
  <c r="AB466" i="13"/>
  <c r="AB467" i="13"/>
  <c r="AB468" i="13"/>
  <c r="AB469" i="13"/>
  <c r="AB470" i="13"/>
  <c r="AB471" i="13"/>
  <c r="AB472" i="13"/>
  <c r="AB473" i="13"/>
  <c r="AB474" i="13"/>
  <c r="AB475" i="13"/>
  <c r="AB476" i="13"/>
  <c r="AB477" i="13"/>
  <c r="AB478" i="13"/>
  <c r="AB479" i="13"/>
  <c r="AB480" i="13"/>
  <c r="AB481" i="13"/>
  <c r="AB482" i="13"/>
  <c r="AB483" i="13"/>
  <c r="AB484" i="13"/>
  <c r="AB485" i="13"/>
  <c r="AB486" i="13"/>
  <c r="AB487" i="13"/>
  <c r="AB488" i="13"/>
  <c r="AB489" i="13"/>
  <c r="AB490" i="13"/>
  <c r="AB491" i="13"/>
  <c r="AB492" i="13"/>
  <c r="AB493" i="13"/>
  <c r="AB494" i="13"/>
  <c r="AB495" i="13"/>
  <c r="AB496" i="13"/>
  <c r="AB497" i="13"/>
  <c r="AB498" i="13"/>
  <c r="AB499" i="13"/>
  <c r="AB500" i="13"/>
  <c r="AB501" i="13"/>
  <c r="AB502" i="13"/>
  <c r="AB503" i="13"/>
  <c r="AB504" i="13"/>
  <c r="AB505" i="13"/>
  <c r="AB506" i="13"/>
  <c r="AB507" i="13"/>
  <c r="AB508" i="13"/>
  <c r="AB509" i="13"/>
  <c r="AB510" i="13"/>
  <c r="AB511" i="13"/>
  <c r="AB512" i="13"/>
  <c r="AB513" i="13"/>
  <c r="AB514" i="13"/>
  <c r="AB515" i="13"/>
  <c r="AB516" i="13"/>
  <c r="AB517" i="13"/>
  <c r="AB518" i="13"/>
  <c r="AB519" i="13"/>
  <c r="AB520" i="13"/>
  <c r="AB521" i="13"/>
  <c r="AB522" i="13"/>
  <c r="AB523" i="13"/>
  <c r="AB524" i="13"/>
  <c r="AB525" i="13"/>
  <c r="AB526" i="13"/>
  <c r="AB527" i="13"/>
  <c r="AB528" i="13"/>
  <c r="AB529" i="13"/>
  <c r="AB530" i="13"/>
  <c r="AB531" i="13"/>
  <c r="AB532" i="13"/>
  <c r="AB533" i="13"/>
  <c r="AB534" i="13"/>
  <c r="AB535" i="13"/>
  <c r="AB536" i="13"/>
  <c r="AB537" i="13"/>
  <c r="AB538" i="13"/>
  <c r="AB539" i="13"/>
  <c r="AB540" i="13"/>
  <c r="AB541" i="13"/>
  <c r="AB542" i="13"/>
  <c r="AB543" i="13"/>
  <c r="AB544" i="13"/>
  <c r="AB545" i="13"/>
  <c r="AB546" i="13"/>
  <c r="AB547" i="13"/>
  <c r="AB548" i="13"/>
  <c r="AB549" i="13"/>
  <c r="AB550" i="13"/>
  <c r="AB551" i="13"/>
  <c r="AB552" i="13"/>
  <c r="AB553" i="13"/>
  <c r="AB554" i="13"/>
  <c r="AB555" i="13"/>
  <c r="AB556" i="13"/>
  <c r="AB557" i="13"/>
  <c r="AB558" i="13"/>
  <c r="AB559" i="13"/>
  <c r="AB560" i="13"/>
  <c r="AB561" i="13"/>
  <c r="AB562" i="13"/>
  <c r="AB563" i="13"/>
  <c r="AB564" i="13"/>
  <c r="AB565" i="13"/>
  <c r="AB566" i="13"/>
  <c r="AB567" i="13"/>
  <c r="AB568" i="13"/>
  <c r="AB569" i="13"/>
  <c r="AB570" i="13"/>
  <c r="AB571" i="13"/>
  <c r="AB572" i="13"/>
  <c r="AB573" i="13"/>
  <c r="AB574" i="13"/>
  <c r="AB575" i="13"/>
  <c r="AB576" i="13"/>
  <c r="AB577" i="13"/>
  <c r="AB578" i="13"/>
  <c r="AB579" i="13"/>
  <c r="AB580" i="13"/>
  <c r="AB581" i="13"/>
  <c r="AB582" i="13"/>
  <c r="AB583" i="13"/>
  <c r="AB584" i="13"/>
  <c r="AB585" i="13"/>
  <c r="AB586" i="13"/>
  <c r="AB587" i="13"/>
  <c r="AB588" i="13"/>
  <c r="AB589" i="13"/>
  <c r="AB590" i="13"/>
  <c r="AB591" i="13"/>
  <c r="AB592" i="13"/>
  <c r="AB593" i="13"/>
  <c r="AB594" i="13"/>
  <c r="AB595" i="13"/>
  <c r="AB596" i="13"/>
  <c r="AB597" i="13"/>
  <c r="AB598" i="13"/>
  <c r="AB599" i="13"/>
  <c r="AB600" i="13"/>
  <c r="AB601" i="13"/>
  <c r="AB602" i="13"/>
  <c r="AB603" i="13"/>
  <c r="AB604" i="13"/>
  <c r="AB605" i="13"/>
  <c r="AB606" i="13"/>
  <c r="AB607" i="13"/>
  <c r="AB608" i="13"/>
  <c r="AB609" i="13"/>
  <c r="AB610" i="13"/>
  <c r="AB611" i="13"/>
  <c r="AB612" i="13"/>
  <c r="AB613" i="13"/>
  <c r="AB614" i="13"/>
  <c r="AB615" i="13"/>
  <c r="AB616" i="13"/>
  <c r="AB617" i="13"/>
  <c r="AB618" i="13"/>
  <c r="AB619" i="13"/>
  <c r="AB620" i="13"/>
  <c r="AB621" i="13"/>
  <c r="AB622" i="13"/>
  <c r="AB623" i="13"/>
  <c r="AB624" i="13"/>
  <c r="AB625" i="13"/>
  <c r="AB626" i="13"/>
  <c r="AB627" i="13"/>
  <c r="AB628" i="13"/>
  <c r="AB629" i="13"/>
  <c r="AB630" i="13"/>
  <c r="AB631" i="13"/>
  <c r="AB632" i="13"/>
  <c r="AB633" i="13"/>
  <c r="AB634" i="13"/>
  <c r="AB635" i="13"/>
  <c r="AB636" i="13"/>
  <c r="AB637" i="13"/>
  <c r="AB638" i="13"/>
  <c r="AB639" i="13"/>
  <c r="AB640" i="13"/>
  <c r="AB641" i="13"/>
  <c r="AB642" i="13"/>
  <c r="AB643" i="13"/>
  <c r="AB644" i="13"/>
  <c r="AB645" i="13"/>
  <c r="AB646" i="13"/>
  <c r="AB647" i="13"/>
  <c r="AB648" i="13"/>
  <c r="AB649" i="13"/>
  <c r="AB650" i="13"/>
  <c r="AB651" i="13"/>
  <c r="AB652" i="13"/>
  <c r="AB653" i="13"/>
  <c r="AB654" i="13"/>
  <c r="AB655" i="13"/>
  <c r="AB656" i="13"/>
  <c r="AB657" i="13"/>
  <c r="AB658" i="13"/>
  <c r="AB659" i="13"/>
  <c r="AB660" i="13"/>
  <c r="AB661" i="13"/>
  <c r="AB662" i="13"/>
  <c r="AB663" i="13"/>
  <c r="AB664" i="13"/>
  <c r="AB665" i="13"/>
  <c r="AB666" i="13"/>
  <c r="AB667" i="13"/>
  <c r="AB668" i="13"/>
  <c r="AB669" i="13"/>
  <c r="AB670" i="13"/>
  <c r="AB671" i="13"/>
  <c r="AB672" i="13"/>
  <c r="AB673" i="13"/>
  <c r="AB674" i="13"/>
  <c r="AB675" i="13"/>
  <c r="AB676" i="13"/>
  <c r="AB677" i="13"/>
  <c r="AB678" i="13"/>
  <c r="AB679" i="13"/>
  <c r="AB680" i="13"/>
  <c r="AB681" i="13"/>
  <c r="AB682" i="13"/>
  <c r="AB683" i="13"/>
  <c r="AB684" i="13"/>
  <c r="AB685" i="13"/>
  <c r="AB686" i="13"/>
  <c r="AB687" i="13"/>
  <c r="AB688" i="13"/>
  <c r="AB689" i="13"/>
  <c r="AB690" i="13"/>
  <c r="AB691" i="13"/>
  <c r="AB692" i="13"/>
  <c r="AB693" i="13"/>
  <c r="AB694" i="13"/>
  <c r="AB695" i="13"/>
  <c r="AB696" i="13"/>
  <c r="AB697" i="13"/>
  <c r="AB698" i="13"/>
  <c r="AB699" i="13"/>
  <c r="AB700" i="13"/>
  <c r="AB701" i="13"/>
  <c r="AB702" i="13"/>
  <c r="AB703" i="13"/>
  <c r="AB704" i="13"/>
  <c r="AB705" i="13"/>
  <c r="AB706" i="13"/>
  <c r="AB707" i="13"/>
  <c r="AB708" i="13"/>
  <c r="AB709" i="13"/>
  <c r="AB710" i="13"/>
  <c r="AB711" i="13"/>
  <c r="AB712" i="13"/>
  <c r="AB713" i="13"/>
  <c r="AB714" i="13"/>
  <c r="AB715" i="13"/>
  <c r="AB716" i="13"/>
  <c r="AB717" i="13"/>
  <c r="AB718" i="13"/>
  <c r="AB719" i="13"/>
  <c r="AB720" i="13"/>
  <c r="AB721" i="13"/>
  <c r="AB722" i="13"/>
  <c r="AB723" i="13"/>
  <c r="AB724" i="13"/>
  <c r="AB725" i="13"/>
  <c r="AB726" i="13"/>
  <c r="AB727" i="13"/>
  <c r="AB728" i="13"/>
  <c r="AB729" i="13"/>
  <c r="AB730" i="13"/>
  <c r="AB731" i="13"/>
  <c r="AB732" i="13"/>
  <c r="AB733" i="13"/>
  <c r="AB734" i="13"/>
  <c r="AB735" i="13"/>
  <c r="AB736" i="13"/>
  <c r="AB737" i="13"/>
  <c r="AB738" i="13"/>
  <c r="AB739" i="13"/>
  <c r="AB740" i="13"/>
  <c r="AB741" i="13"/>
  <c r="AB742" i="13"/>
  <c r="AB743" i="13"/>
  <c r="AB744" i="13"/>
  <c r="AB745" i="13"/>
  <c r="AB746" i="13"/>
  <c r="AB747" i="13"/>
  <c r="AB748" i="13"/>
  <c r="AB749" i="13"/>
  <c r="AB750" i="13"/>
  <c r="AB751" i="13"/>
  <c r="AB752" i="13"/>
  <c r="AB753" i="13"/>
  <c r="AB754" i="13"/>
  <c r="AB755" i="13"/>
  <c r="AB756" i="13"/>
  <c r="AB757" i="13"/>
  <c r="AB758" i="13"/>
  <c r="AB759" i="13"/>
  <c r="AB760" i="13"/>
  <c r="AB761" i="13"/>
  <c r="AB762" i="13"/>
  <c r="AB763" i="13"/>
  <c r="AB764" i="13"/>
  <c r="AB765" i="13"/>
  <c r="AB766" i="13"/>
  <c r="AB767" i="13"/>
  <c r="AB768" i="13"/>
  <c r="AB769" i="13"/>
  <c r="AB770" i="13"/>
  <c r="AB771" i="13"/>
  <c r="AB772" i="13"/>
  <c r="AB773" i="13"/>
  <c r="AB774" i="13"/>
  <c r="AB775" i="13"/>
  <c r="AB776" i="13"/>
  <c r="AB777" i="13"/>
  <c r="AB778" i="13"/>
  <c r="AB779" i="13"/>
  <c r="AB780" i="13"/>
  <c r="AB781" i="13"/>
  <c r="AB782" i="13"/>
  <c r="AB783" i="13"/>
  <c r="AB784" i="13"/>
  <c r="AB785" i="13"/>
  <c r="AB786" i="13"/>
  <c r="AB787" i="13"/>
  <c r="AB788" i="13"/>
  <c r="AB789" i="13"/>
  <c r="AB790" i="13"/>
  <c r="AB791" i="13"/>
  <c r="AB792" i="13"/>
  <c r="AB793" i="13"/>
  <c r="AB794" i="13"/>
  <c r="AB795" i="13"/>
  <c r="AB796" i="13"/>
  <c r="AB797" i="13"/>
  <c r="AB798" i="13"/>
  <c r="AB799" i="13"/>
  <c r="AB800" i="13"/>
  <c r="AB801" i="13"/>
  <c r="AB802" i="13"/>
  <c r="AB803" i="13"/>
  <c r="AB804" i="13"/>
  <c r="AB805" i="13"/>
  <c r="AB806" i="13"/>
  <c r="AB807" i="13"/>
  <c r="AB808" i="13"/>
  <c r="AB809" i="13"/>
  <c r="AB810" i="13"/>
  <c r="AB811" i="13"/>
  <c r="AB812" i="13"/>
  <c r="AB813" i="13"/>
  <c r="AB814" i="13"/>
  <c r="AB815" i="13"/>
  <c r="AB816" i="13"/>
  <c r="AB817" i="13"/>
  <c r="AB818" i="13"/>
  <c r="AB819" i="13"/>
  <c r="AB820" i="13"/>
  <c r="AB821" i="13"/>
  <c r="AB822" i="13"/>
  <c r="AB823" i="13"/>
  <c r="AB824" i="13"/>
  <c r="AB825" i="13"/>
  <c r="AB826" i="13"/>
  <c r="AB827" i="13"/>
  <c r="AB828" i="13"/>
  <c r="AB829" i="13"/>
  <c r="AB830" i="13"/>
  <c r="AB831" i="13"/>
  <c r="AB832" i="13"/>
  <c r="AB833" i="13"/>
  <c r="AB834" i="13"/>
  <c r="AB835" i="13"/>
  <c r="AB836" i="13"/>
  <c r="AB837" i="13"/>
  <c r="AB838" i="13"/>
  <c r="AB839" i="13"/>
  <c r="AB840" i="13"/>
  <c r="AB841" i="13"/>
  <c r="AB842" i="13"/>
  <c r="AB843" i="13"/>
  <c r="AB844" i="13"/>
  <c r="AB845" i="13"/>
  <c r="AB846" i="13"/>
  <c r="AB847" i="13"/>
  <c r="AB848" i="13"/>
  <c r="AB849" i="13"/>
  <c r="AB850" i="13"/>
  <c r="AB851" i="13"/>
  <c r="AB852" i="13"/>
  <c r="AB853" i="13"/>
  <c r="AB854" i="13"/>
  <c r="AB855" i="13"/>
  <c r="AB856" i="13"/>
  <c r="AB857" i="13"/>
  <c r="AB858" i="13"/>
  <c r="AB859" i="13"/>
  <c r="AB860" i="13"/>
  <c r="AB861" i="13"/>
  <c r="AB862" i="13"/>
  <c r="AB863" i="13"/>
  <c r="AB864" i="13"/>
  <c r="AB865" i="13"/>
  <c r="AB866" i="13"/>
  <c r="AB867" i="13"/>
  <c r="AB868" i="13"/>
  <c r="AB869" i="13"/>
  <c r="AB870" i="13"/>
  <c r="AB871" i="13"/>
  <c r="AB872" i="13"/>
  <c r="AB873" i="13"/>
  <c r="AB874" i="13"/>
  <c r="AB875" i="13"/>
  <c r="AB876" i="13"/>
  <c r="AB877" i="13"/>
  <c r="AB878" i="13"/>
  <c r="AB879" i="13"/>
  <c r="AB880" i="13"/>
  <c r="AB881" i="13"/>
  <c r="AB882" i="13"/>
  <c r="AB883" i="13"/>
  <c r="AB884" i="13"/>
  <c r="AB885" i="13"/>
  <c r="AB886" i="13"/>
  <c r="AB887" i="13"/>
  <c r="AB888" i="13"/>
  <c r="AB889" i="13"/>
  <c r="AB890" i="13"/>
  <c r="AB891" i="13"/>
  <c r="AB892" i="13"/>
  <c r="AB893" i="13"/>
  <c r="AB894" i="13"/>
  <c r="AB895" i="13"/>
  <c r="AB896" i="13"/>
  <c r="AB897" i="13"/>
  <c r="AB898" i="13"/>
  <c r="AB899" i="13"/>
  <c r="AB900" i="13"/>
  <c r="AB901" i="13"/>
  <c r="AB902" i="13"/>
  <c r="AB903" i="13"/>
  <c r="AB904" i="13"/>
  <c r="AB905" i="13"/>
  <c r="AB906" i="13"/>
  <c r="AB907" i="13"/>
  <c r="AB908" i="13"/>
  <c r="AB909" i="13"/>
  <c r="AA2" i="13"/>
  <c r="AA3" i="13"/>
  <c r="AA4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96" i="13"/>
  <c r="AA97" i="13"/>
  <c r="AA98" i="13"/>
  <c r="AA99" i="13"/>
  <c r="AA100" i="13"/>
  <c r="AA101" i="13"/>
  <c r="AA102" i="13"/>
  <c r="AA103" i="13"/>
  <c r="AA104" i="13"/>
  <c r="AA105" i="13"/>
  <c r="AA106" i="13"/>
  <c r="AA107" i="13"/>
  <c r="AA108" i="13"/>
  <c r="AA109" i="13"/>
  <c r="AA110" i="13"/>
  <c r="AA111" i="13"/>
  <c r="AA112" i="13"/>
  <c r="AA113" i="13"/>
  <c r="AA114" i="13"/>
  <c r="AA115" i="13"/>
  <c r="AA116" i="13"/>
  <c r="AA117" i="13"/>
  <c r="AA118" i="13"/>
  <c r="AA119" i="13"/>
  <c r="AA120" i="13"/>
  <c r="AA121" i="13"/>
  <c r="AA122" i="13"/>
  <c r="AA123" i="13"/>
  <c r="AA124" i="13"/>
  <c r="AA125" i="13"/>
  <c r="AA126" i="13"/>
  <c r="AA127" i="13"/>
  <c r="AA128" i="13"/>
  <c r="AA129" i="13"/>
  <c r="AA130" i="13"/>
  <c r="AA131" i="13"/>
  <c r="AA132" i="13"/>
  <c r="AA133" i="13"/>
  <c r="AA134" i="13"/>
  <c r="AA135" i="13"/>
  <c r="AA136" i="13"/>
  <c r="AA137" i="13"/>
  <c r="AA138" i="13"/>
  <c r="AA139" i="13"/>
  <c r="AA140" i="13"/>
  <c r="AA141" i="13"/>
  <c r="AA142" i="13"/>
  <c r="AA143" i="13"/>
  <c r="AA144" i="13"/>
  <c r="AA145" i="13"/>
  <c r="AA146" i="13"/>
  <c r="AA147" i="13"/>
  <c r="AA148" i="13"/>
  <c r="AA149" i="13"/>
  <c r="AA150" i="13"/>
  <c r="AA151" i="13"/>
  <c r="AA152" i="13"/>
  <c r="AA153" i="13"/>
  <c r="AA154" i="13"/>
  <c r="AA155" i="13"/>
  <c r="AA156" i="13"/>
  <c r="AA157" i="13"/>
  <c r="AA158" i="13"/>
  <c r="AA159" i="13"/>
  <c r="AA160" i="13"/>
  <c r="AA161" i="13"/>
  <c r="AA162" i="13"/>
  <c r="AA163" i="13"/>
  <c r="AA164" i="13"/>
  <c r="AA165" i="13"/>
  <c r="AA166" i="13"/>
  <c r="AA167" i="13"/>
  <c r="AA168" i="13"/>
  <c r="AA169" i="13"/>
  <c r="AA170" i="13"/>
  <c r="AA171" i="13"/>
  <c r="AA172" i="13"/>
  <c r="AA173" i="13"/>
  <c r="AA174" i="13"/>
  <c r="AA175" i="13"/>
  <c r="AA176" i="13"/>
  <c r="AA177" i="13"/>
  <c r="AA178" i="13"/>
  <c r="AA179" i="13"/>
  <c r="AA180" i="13"/>
  <c r="AA181" i="13"/>
  <c r="AA182" i="13"/>
  <c r="AA183" i="13"/>
  <c r="AA184" i="13"/>
  <c r="AA185" i="13"/>
  <c r="AA186" i="13"/>
  <c r="AA187" i="13"/>
  <c r="AA188" i="13"/>
  <c r="AA189" i="13"/>
  <c r="AA190" i="13"/>
  <c r="AA191" i="13"/>
  <c r="AA192" i="13"/>
  <c r="AA193" i="13"/>
  <c r="AA194" i="13"/>
  <c r="AA195" i="13"/>
  <c r="AA196" i="13"/>
  <c r="AA197" i="13"/>
  <c r="AA198" i="13"/>
  <c r="AA199" i="13"/>
  <c r="AA200" i="13"/>
  <c r="AA201" i="13"/>
  <c r="AA202" i="13"/>
  <c r="AA203" i="13"/>
  <c r="AA204" i="13"/>
  <c r="AA205" i="13"/>
  <c r="AA206" i="13"/>
  <c r="AA207" i="13"/>
  <c r="AA208" i="13"/>
  <c r="AA209" i="13"/>
  <c r="AA210" i="13"/>
  <c r="AA211" i="13"/>
  <c r="AA212" i="13"/>
  <c r="AA213" i="13"/>
  <c r="AA214" i="13"/>
  <c r="AA215" i="13"/>
  <c r="AA216" i="13"/>
  <c r="AA217" i="13"/>
  <c r="AA218" i="13"/>
  <c r="AA219" i="13"/>
  <c r="AA220" i="13"/>
  <c r="AA221" i="13"/>
  <c r="AA222" i="13"/>
  <c r="AA223" i="13"/>
  <c r="AA224" i="13"/>
  <c r="AA225" i="13"/>
  <c r="AA226" i="13"/>
  <c r="AA227" i="13"/>
  <c r="AA228" i="13"/>
  <c r="AA229" i="13"/>
  <c r="AA230" i="13"/>
  <c r="AA231" i="13"/>
  <c r="AA232" i="13"/>
  <c r="AA233" i="13"/>
  <c r="AA234" i="13"/>
  <c r="AA235" i="13"/>
  <c r="AA236" i="13"/>
  <c r="AA237" i="13"/>
  <c r="AA238" i="13"/>
  <c r="AA239" i="13"/>
  <c r="AA240" i="13"/>
  <c r="AA241" i="13"/>
  <c r="AA242" i="13"/>
  <c r="AA243" i="13"/>
  <c r="AA244" i="13"/>
  <c r="AA245" i="13"/>
  <c r="AA246" i="13"/>
  <c r="AA247" i="13"/>
  <c r="AA248" i="13"/>
  <c r="AA249" i="13"/>
  <c r="AA250" i="13"/>
  <c r="AA251" i="13"/>
  <c r="AA252" i="13"/>
  <c r="AA253" i="13"/>
  <c r="AA254" i="13"/>
  <c r="AA255" i="13"/>
  <c r="AA256" i="13"/>
  <c r="AA257" i="13"/>
  <c r="AA258" i="13"/>
  <c r="AA259" i="13"/>
  <c r="AA260" i="13"/>
  <c r="AA261" i="13"/>
  <c r="AA262" i="13"/>
  <c r="AA263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77" i="13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91" i="13"/>
  <c r="AA292" i="13"/>
  <c r="AA293" i="13"/>
  <c r="AA294" i="13"/>
  <c r="AA295" i="13"/>
  <c r="AA296" i="13"/>
  <c r="AA297" i="13"/>
  <c r="AA298" i="13"/>
  <c r="AA299" i="13"/>
  <c r="AA300" i="13"/>
  <c r="AA301" i="13"/>
  <c r="AA302" i="13"/>
  <c r="AA303" i="13"/>
  <c r="AA304" i="13"/>
  <c r="AA305" i="13"/>
  <c r="AA306" i="13"/>
  <c r="AA307" i="13"/>
  <c r="AA308" i="13"/>
  <c r="AA309" i="13"/>
  <c r="AA310" i="13"/>
  <c r="AA311" i="13"/>
  <c r="AA312" i="13"/>
  <c r="AA313" i="13"/>
  <c r="AA314" i="13"/>
  <c r="AA315" i="13"/>
  <c r="AA316" i="13"/>
  <c r="AA317" i="13"/>
  <c r="AA318" i="13"/>
  <c r="AA319" i="13"/>
  <c r="AA320" i="13"/>
  <c r="AA321" i="13"/>
  <c r="AA322" i="13"/>
  <c r="AA323" i="13"/>
  <c r="AA324" i="13"/>
  <c r="AA325" i="13"/>
  <c r="AA326" i="13"/>
  <c r="AA327" i="13"/>
  <c r="AA328" i="13"/>
  <c r="AA329" i="13"/>
  <c r="AA330" i="13"/>
  <c r="AA331" i="13"/>
  <c r="AA332" i="13"/>
  <c r="AA333" i="13"/>
  <c r="AA334" i="13"/>
  <c r="AA335" i="13"/>
  <c r="AA336" i="13"/>
  <c r="AA337" i="13"/>
  <c r="AA338" i="13"/>
  <c r="AA339" i="13"/>
  <c r="AA340" i="13"/>
  <c r="AA341" i="13"/>
  <c r="AA342" i="13"/>
  <c r="AA343" i="13"/>
  <c r="AA344" i="13"/>
  <c r="AA345" i="13"/>
  <c r="AA346" i="13"/>
  <c r="AA347" i="13"/>
  <c r="AA348" i="13"/>
  <c r="AA349" i="13"/>
  <c r="AA350" i="13"/>
  <c r="AA351" i="13"/>
  <c r="AA352" i="13"/>
  <c r="AA353" i="13"/>
  <c r="AA354" i="13"/>
  <c r="AA355" i="13"/>
  <c r="AA356" i="13"/>
  <c r="AA357" i="13"/>
  <c r="AA358" i="13"/>
  <c r="AA359" i="13"/>
  <c r="AA360" i="13"/>
  <c r="AA361" i="13"/>
  <c r="AA362" i="13"/>
  <c r="AA363" i="13"/>
  <c r="AA364" i="13"/>
  <c r="AA365" i="13"/>
  <c r="AA366" i="13"/>
  <c r="AA367" i="13"/>
  <c r="AA368" i="13"/>
  <c r="AA369" i="13"/>
  <c r="AA370" i="13"/>
  <c r="AA371" i="13"/>
  <c r="AA372" i="13"/>
  <c r="AA373" i="13"/>
  <c r="AA374" i="13"/>
  <c r="AA375" i="13"/>
  <c r="AA376" i="13"/>
  <c r="AA377" i="13"/>
  <c r="AA378" i="13"/>
  <c r="AA379" i="13"/>
  <c r="AA380" i="13"/>
  <c r="AA381" i="13"/>
  <c r="AA382" i="13"/>
  <c r="AA383" i="13"/>
  <c r="AA384" i="13"/>
  <c r="AA385" i="13"/>
  <c r="AA386" i="13"/>
  <c r="AA387" i="13"/>
  <c r="AA388" i="13"/>
  <c r="AA389" i="13"/>
  <c r="AA390" i="13"/>
  <c r="AA391" i="13"/>
  <c r="AA392" i="13"/>
  <c r="AA393" i="13"/>
  <c r="AA394" i="13"/>
  <c r="AA395" i="13"/>
  <c r="AA396" i="13"/>
  <c r="AA397" i="13"/>
  <c r="AA398" i="13"/>
  <c r="AA399" i="13"/>
  <c r="AA400" i="13"/>
  <c r="AA401" i="13"/>
  <c r="AA402" i="13"/>
  <c r="AA403" i="13"/>
  <c r="AA404" i="13"/>
  <c r="AA405" i="13"/>
  <c r="AA406" i="13"/>
  <c r="AA407" i="13"/>
  <c r="AA408" i="13"/>
  <c r="AA409" i="13"/>
  <c r="AA410" i="13"/>
  <c r="AA411" i="13"/>
  <c r="AA412" i="13"/>
  <c r="AA413" i="13"/>
  <c r="AA414" i="13"/>
  <c r="AA415" i="13"/>
  <c r="AA416" i="13"/>
  <c r="AA417" i="13"/>
  <c r="AA418" i="13"/>
  <c r="AA419" i="13"/>
  <c r="AA420" i="13"/>
  <c r="AA421" i="13"/>
  <c r="AA422" i="13"/>
  <c r="AA423" i="13"/>
  <c r="AA424" i="13"/>
  <c r="AA425" i="13"/>
  <c r="AA426" i="13"/>
  <c r="AA427" i="13"/>
  <c r="AA428" i="13"/>
  <c r="AA429" i="13"/>
  <c r="AA430" i="13"/>
  <c r="AA431" i="13"/>
  <c r="AA432" i="13"/>
  <c r="AA433" i="13"/>
  <c r="AA434" i="13"/>
  <c r="AA435" i="13"/>
  <c r="AA436" i="13"/>
  <c r="AA437" i="13"/>
  <c r="AA438" i="13"/>
  <c r="AA439" i="13"/>
  <c r="AA440" i="13"/>
  <c r="AA441" i="13"/>
  <c r="AA442" i="13"/>
  <c r="AA443" i="13"/>
  <c r="AA444" i="13"/>
  <c r="AA445" i="13"/>
  <c r="AA446" i="13"/>
  <c r="AA447" i="13"/>
  <c r="AA448" i="13"/>
  <c r="AA449" i="13"/>
  <c r="AA450" i="13"/>
  <c r="AA451" i="13"/>
  <c r="AA452" i="13"/>
  <c r="AA453" i="13"/>
  <c r="AA454" i="13"/>
  <c r="AA455" i="13"/>
  <c r="AA456" i="13"/>
  <c r="AA457" i="13"/>
  <c r="AA458" i="13"/>
  <c r="AA459" i="13"/>
  <c r="AA460" i="13"/>
  <c r="AA461" i="13"/>
  <c r="AA462" i="13"/>
  <c r="AA463" i="13"/>
  <c r="AA464" i="13"/>
  <c r="AA465" i="13"/>
  <c r="AA466" i="13"/>
  <c r="AA467" i="13"/>
  <c r="AA468" i="13"/>
  <c r="AA469" i="13"/>
  <c r="AA470" i="13"/>
  <c r="AA471" i="13"/>
  <c r="AA472" i="13"/>
  <c r="AA473" i="13"/>
  <c r="AA474" i="13"/>
  <c r="AA475" i="13"/>
  <c r="AA476" i="13"/>
  <c r="AA477" i="13"/>
  <c r="AA478" i="13"/>
  <c r="AA479" i="13"/>
  <c r="AA480" i="13"/>
  <c r="AA481" i="13"/>
  <c r="AA482" i="13"/>
  <c r="AA483" i="13"/>
  <c r="AA484" i="13"/>
  <c r="AA485" i="13"/>
  <c r="AA486" i="13"/>
  <c r="AA487" i="13"/>
  <c r="AA488" i="13"/>
  <c r="AA489" i="13"/>
  <c r="AA490" i="13"/>
  <c r="AA491" i="13"/>
  <c r="AA492" i="13"/>
  <c r="AA493" i="13"/>
  <c r="AA494" i="13"/>
  <c r="AA495" i="13"/>
  <c r="AA496" i="13"/>
  <c r="AA497" i="13"/>
  <c r="AA498" i="13"/>
  <c r="AA499" i="13"/>
  <c r="AA500" i="13"/>
  <c r="AA501" i="13"/>
  <c r="AA502" i="13"/>
  <c r="AA503" i="13"/>
  <c r="AA504" i="13"/>
  <c r="AA505" i="13"/>
  <c r="AA506" i="13"/>
  <c r="AA507" i="13"/>
  <c r="AA508" i="13"/>
  <c r="AA509" i="13"/>
  <c r="AA510" i="13"/>
  <c r="AA511" i="13"/>
  <c r="AA512" i="13"/>
  <c r="AA513" i="13"/>
  <c r="AA514" i="13"/>
  <c r="AA515" i="13"/>
  <c r="AA516" i="13"/>
  <c r="AA517" i="13"/>
  <c r="AA518" i="13"/>
  <c r="AA519" i="13"/>
  <c r="AA520" i="13"/>
  <c r="AA521" i="13"/>
  <c r="AA522" i="13"/>
  <c r="AA523" i="13"/>
  <c r="AA524" i="13"/>
  <c r="AA525" i="13"/>
  <c r="AA526" i="13"/>
  <c r="AA527" i="13"/>
  <c r="AA528" i="13"/>
  <c r="AA529" i="13"/>
  <c r="AA530" i="13"/>
  <c r="AA531" i="13"/>
  <c r="AA532" i="13"/>
  <c r="AA533" i="13"/>
  <c r="AA534" i="13"/>
  <c r="AA535" i="13"/>
  <c r="AA536" i="13"/>
  <c r="AA537" i="13"/>
  <c r="AA538" i="13"/>
  <c r="AA539" i="13"/>
  <c r="AA540" i="13"/>
  <c r="AA541" i="13"/>
  <c r="AA542" i="13"/>
  <c r="AA543" i="13"/>
  <c r="AA544" i="13"/>
  <c r="AA545" i="13"/>
  <c r="AA546" i="13"/>
  <c r="AA547" i="13"/>
  <c r="AA548" i="13"/>
  <c r="AA549" i="13"/>
  <c r="AA550" i="13"/>
  <c r="AA551" i="13"/>
  <c r="AA552" i="13"/>
  <c r="AA553" i="13"/>
  <c r="AA554" i="13"/>
  <c r="AA555" i="13"/>
  <c r="AA556" i="13"/>
  <c r="AA557" i="13"/>
  <c r="AA558" i="13"/>
  <c r="AA559" i="13"/>
  <c r="AA560" i="13"/>
  <c r="AA561" i="13"/>
  <c r="AA562" i="13"/>
  <c r="AA563" i="13"/>
  <c r="AA564" i="13"/>
  <c r="AA565" i="13"/>
  <c r="AA566" i="13"/>
  <c r="AA567" i="13"/>
  <c r="AA568" i="13"/>
  <c r="AA569" i="13"/>
  <c r="AA570" i="13"/>
  <c r="AA571" i="13"/>
  <c r="AA572" i="13"/>
  <c r="AA573" i="13"/>
  <c r="AA574" i="13"/>
  <c r="AA575" i="13"/>
  <c r="AA576" i="13"/>
  <c r="AA577" i="13"/>
  <c r="AA578" i="13"/>
  <c r="AA579" i="13"/>
  <c r="AA580" i="13"/>
  <c r="AA581" i="13"/>
  <c r="AA582" i="13"/>
  <c r="AA583" i="13"/>
  <c r="AA584" i="13"/>
  <c r="AA585" i="13"/>
  <c r="AA586" i="13"/>
  <c r="AA587" i="13"/>
  <c r="AA588" i="13"/>
  <c r="AA589" i="13"/>
  <c r="AA590" i="13"/>
  <c r="AA591" i="13"/>
  <c r="AA592" i="13"/>
  <c r="AA593" i="13"/>
  <c r="AA594" i="13"/>
  <c r="AA595" i="13"/>
  <c r="AA596" i="13"/>
  <c r="AA597" i="13"/>
  <c r="AA598" i="13"/>
  <c r="AA599" i="13"/>
  <c r="AA600" i="13"/>
  <c r="AA601" i="13"/>
  <c r="AA602" i="13"/>
  <c r="AA603" i="13"/>
  <c r="AA604" i="13"/>
  <c r="AA605" i="13"/>
  <c r="AA606" i="13"/>
  <c r="AA607" i="13"/>
  <c r="AA608" i="13"/>
  <c r="AA609" i="13"/>
  <c r="AA610" i="13"/>
  <c r="AA611" i="13"/>
  <c r="AA612" i="13"/>
  <c r="AA613" i="13"/>
  <c r="AA614" i="13"/>
  <c r="AA615" i="13"/>
  <c r="AA616" i="13"/>
  <c r="AA617" i="13"/>
  <c r="AA618" i="13"/>
  <c r="AA619" i="13"/>
  <c r="AA620" i="13"/>
  <c r="AA621" i="13"/>
  <c r="AA622" i="13"/>
  <c r="AA623" i="13"/>
  <c r="AA624" i="13"/>
  <c r="AA625" i="13"/>
  <c r="AA626" i="13"/>
  <c r="AA627" i="13"/>
  <c r="AA628" i="13"/>
  <c r="AA629" i="13"/>
  <c r="AA630" i="13"/>
  <c r="AA631" i="13"/>
  <c r="AA632" i="13"/>
  <c r="AA633" i="13"/>
  <c r="AA634" i="13"/>
  <c r="AA635" i="13"/>
  <c r="AA636" i="13"/>
  <c r="AA637" i="13"/>
  <c r="AA638" i="13"/>
  <c r="AA639" i="13"/>
  <c r="AA640" i="13"/>
  <c r="AA641" i="13"/>
  <c r="AA642" i="13"/>
  <c r="AA643" i="13"/>
  <c r="AA644" i="13"/>
  <c r="AA645" i="13"/>
  <c r="AA646" i="13"/>
  <c r="AA647" i="13"/>
  <c r="AA648" i="13"/>
  <c r="AA649" i="13"/>
  <c r="AA650" i="13"/>
  <c r="AA651" i="13"/>
  <c r="AA652" i="13"/>
  <c r="AA653" i="13"/>
  <c r="AA654" i="13"/>
  <c r="AA655" i="13"/>
  <c r="AA656" i="13"/>
  <c r="AA657" i="13"/>
  <c r="AA658" i="13"/>
  <c r="AA659" i="13"/>
  <c r="AA660" i="13"/>
  <c r="AA661" i="13"/>
  <c r="AA662" i="13"/>
  <c r="AA663" i="13"/>
  <c r="AA664" i="13"/>
  <c r="AA665" i="13"/>
  <c r="AA666" i="13"/>
  <c r="AA667" i="13"/>
  <c r="AA668" i="13"/>
  <c r="AA669" i="13"/>
  <c r="AA670" i="13"/>
  <c r="AA671" i="13"/>
  <c r="AA672" i="13"/>
  <c r="AA673" i="13"/>
  <c r="AA674" i="13"/>
  <c r="AA675" i="13"/>
  <c r="AA676" i="13"/>
  <c r="AA677" i="13"/>
  <c r="AA678" i="13"/>
  <c r="AA679" i="13"/>
  <c r="AA680" i="13"/>
  <c r="AA681" i="13"/>
  <c r="AA682" i="13"/>
  <c r="AA683" i="13"/>
  <c r="AA684" i="13"/>
  <c r="AA685" i="13"/>
  <c r="AA686" i="13"/>
  <c r="AA687" i="13"/>
  <c r="AA688" i="13"/>
  <c r="AA689" i="13"/>
  <c r="AA690" i="13"/>
  <c r="AA691" i="13"/>
  <c r="AA692" i="13"/>
  <c r="AA693" i="13"/>
  <c r="AA694" i="13"/>
  <c r="AA695" i="13"/>
  <c r="AA696" i="13"/>
  <c r="AA697" i="13"/>
  <c r="AA698" i="13"/>
  <c r="AA699" i="13"/>
  <c r="AA700" i="13"/>
  <c r="AA701" i="13"/>
  <c r="AA702" i="13"/>
  <c r="AA703" i="13"/>
  <c r="AA704" i="13"/>
  <c r="AA705" i="13"/>
  <c r="AA706" i="13"/>
  <c r="AA707" i="13"/>
  <c r="AA708" i="13"/>
  <c r="AA709" i="13"/>
  <c r="AA710" i="13"/>
  <c r="AA711" i="13"/>
  <c r="AA712" i="13"/>
  <c r="AA713" i="13"/>
  <c r="AA714" i="13"/>
  <c r="AA715" i="13"/>
  <c r="AA716" i="13"/>
  <c r="AA717" i="13"/>
  <c r="AA718" i="13"/>
  <c r="AA719" i="13"/>
  <c r="AA720" i="13"/>
  <c r="AA721" i="13"/>
  <c r="AA722" i="13"/>
  <c r="AA723" i="13"/>
  <c r="AA724" i="13"/>
  <c r="AA725" i="13"/>
  <c r="AA726" i="13"/>
  <c r="AA727" i="13"/>
  <c r="AA728" i="13"/>
  <c r="AA729" i="13"/>
  <c r="AA730" i="13"/>
  <c r="AA731" i="13"/>
  <c r="AA732" i="13"/>
  <c r="AA733" i="13"/>
  <c r="AA734" i="13"/>
  <c r="AA735" i="13"/>
  <c r="AA736" i="13"/>
  <c r="AA737" i="13"/>
  <c r="AA738" i="13"/>
  <c r="AA739" i="13"/>
  <c r="AA740" i="13"/>
  <c r="AA741" i="13"/>
  <c r="AA742" i="13"/>
  <c r="AA743" i="13"/>
  <c r="AA744" i="13"/>
  <c r="AA745" i="13"/>
  <c r="AA746" i="13"/>
  <c r="AA747" i="13"/>
  <c r="AA748" i="13"/>
  <c r="AA749" i="13"/>
  <c r="AA750" i="13"/>
  <c r="AA751" i="13"/>
  <c r="AA752" i="13"/>
  <c r="AA753" i="13"/>
  <c r="AA754" i="13"/>
  <c r="AA755" i="13"/>
  <c r="AA756" i="13"/>
  <c r="AA757" i="13"/>
  <c r="AA758" i="13"/>
  <c r="AA759" i="13"/>
  <c r="AA760" i="13"/>
  <c r="AA761" i="13"/>
  <c r="AA762" i="13"/>
  <c r="AA763" i="13"/>
  <c r="AA764" i="13"/>
  <c r="AA765" i="13"/>
  <c r="AA766" i="13"/>
  <c r="AA767" i="13"/>
  <c r="AA768" i="13"/>
  <c r="AA769" i="13"/>
  <c r="AA770" i="13"/>
  <c r="AA771" i="13"/>
  <c r="AA772" i="13"/>
  <c r="AA773" i="13"/>
  <c r="AA774" i="13"/>
  <c r="AA775" i="13"/>
  <c r="AA776" i="13"/>
  <c r="AA777" i="13"/>
  <c r="AA778" i="13"/>
  <c r="AA779" i="13"/>
  <c r="AA780" i="13"/>
  <c r="AA781" i="13"/>
  <c r="AA782" i="13"/>
  <c r="AA783" i="13"/>
  <c r="AA784" i="13"/>
  <c r="AA785" i="13"/>
  <c r="AA786" i="13"/>
  <c r="AA787" i="13"/>
  <c r="AA788" i="13"/>
  <c r="AA789" i="13"/>
  <c r="AA790" i="13"/>
  <c r="AA791" i="13"/>
  <c r="AA792" i="13"/>
  <c r="AA793" i="13"/>
  <c r="AA794" i="13"/>
  <c r="AA795" i="13"/>
  <c r="AA796" i="13"/>
  <c r="AA797" i="13"/>
  <c r="AA798" i="13"/>
  <c r="AA799" i="13"/>
  <c r="AA800" i="13"/>
  <c r="AA801" i="13"/>
  <c r="AA802" i="13"/>
  <c r="AA803" i="13"/>
  <c r="AA804" i="13"/>
  <c r="AA805" i="13"/>
  <c r="AA806" i="13"/>
  <c r="AA807" i="13"/>
  <c r="AA808" i="13"/>
  <c r="AA809" i="13"/>
  <c r="AA810" i="13"/>
  <c r="AA811" i="13"/>
  <c r="AA812" i="13"/>
  <c r="AA813" i="13"/>
  <c r="AA814" i="13"/>
  <c r="AA815" i="13"/>
  <c r="AA816" i="13"/>
  <c r="AA817" i="13"/>
  <c r="AA818" i="13"/>
  <c r="AA819" i="13"/>
  <c r="AA820" i="13"/>
  <c r="AA821" i="13"/>
  <c r="AA822" i="13"/>
  <c r="AA823" i="13"/>
  <c r="AA824" i="13"/>
  <c r="AA825" i="13"/>
  <c r="AA826" i="13"/>
  <c r="AA827" i="13"/>
  <c r="AA828" i="13"/>
  <c r="AA829" i="13"/>
  <c r="AA830" i="13"/>
  <c r="AA831" i="13"/>
  <c r="AA832" i="13"/>
  <c r="AA833" i="13"/>
  <c r="AA834" i="13"/>
  <c r="AA835" i="13"/>
  <c r="AA836" i="13"/>
  <c r="AA837" i="13"/>
  <c r="AA838" i="13"/>
  <c r="AA839" i="13"/>
  <c r="AA840" i="13"/>
  <c r="AA841" i="13"/>
  <c r="AA842" i="13"/>
  <c r="AA843" i="13"/>
  <c r="AA844" i="13"/>
  <c r="AA845" i="13"/>
  <c r="AA846" i="13"/>
  <c r="AA847" i="13"/>
  <c r="AA848" i="13"/>
  <c r="AA849" i="13"/>
  <c r="AA850" i="13"/>
  <c r="AA851" i="13"/>
  <c r="AA852" i="13"/>
  <c r="AA853" i="13"/>
  <c r="AA854" i="13"/>
  <c r="AA855" i="13"/>
  <c r="AA856" i="13"/>
  <c r="AA857" i="13"/>
  <c r="AA858" i="13"/>
  <c r="AA859" i="13"/>
  <c r="AA860" i="13"/>
  <c r="AA861" i="13"/>
  <c r="AA862" i="13"/>
  <c r="AA863" i="13"/>
  <c r="AA864" i="13"/>
  <c r="AA865" i="13"/>
  <c r="AA866" i="13"/>
  <c r="AA867" i="13"/>
  <c r="AA868" i="13"/>
  <c r="AA869" i="13"/>
  <c r="AA870" i="13"/>
  <c r="AA871" i="13"/>
  <c r="AA872" i="13"/>
  <c r="AA873" i="13"/>
  <c r="AA874" i="13"/>
  <c r="AA875" i="13"/>
  <c r="AA876" i="13"/>
  <c r="AA877" i="13"/>
  <c r="AA878" i="13"/>
  <c r="AA879" i="13"/>
  <c r="AA880" i="13"/>
  <c r="AA881" i="13"/>
  <c r="AA882" i="13"/>
  <c r="AA883" i="13"/>
  <c r="AA884" i="13"/>
  <c r="AA885" i="13"/>
  <c r="AA886" i="13"/>
  <c r="AA887" i="13"/>
  <c r="AA888" i="13"/>
  <c r="AA889" i="13"/>
  <c r="AA890" i="13"/>
  <c r="AA891" i="13"/>
  <c r="AA892" i="13"/>
  <c r="AA893" i="13"/>
  <c r="AA894" i="13"/>
  <c r="AA895" i="13"/>
  <c r="AA896" i="13"/>
  <c r="AA897" i="13"/>
  <c r="AA898" i="13"/>
  <c r="AA899" i="13"/>
  <c r="AA900" i="13"/>
  <c r="AA901" i="13"/>
  <c r="AA902" i="13"/>
  <c r="AA903" i="13"/>
  <c r="AA904" i="13"/>
  <c r="AA905" i="13"/>
  <c r="AA906" i="13"/>
  <c r="AA907" i="13"/>
  <c r="AA908" i="13"/>
  <c r="AA909" i="13"/>
  <c r="Z2" i="13"/>
  <c r="Z3" i="13"/>
  <c r="Z4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Z40" i="13"/>
  <c r="Z41" i="13"/>
  <c r="Z42" i="13"/>
  <c r="Z43" i="13"/>
  <c r="Z44" i="13"/>
  <c r="Z45" i="13"/>
  <c r="Z46" i="13"/>
  <c r="Z47" i="13"/>
  <c r="Z48" i="13"/>
  <c r="Z49" i="13"/>
  <c r="Z50" i="13"/>
  <c r="Z51" i="13"/>
  <c r="Z52" i="13"/>
  <c r="Z53" i="13"/>
  <c r="Z54" i="13"/>
  <c r="Z55" i="13"/>
  <c r="Z56" i="13"/>
  <c r="Z57" i="13"/>
  <c r="Z58" i="13"/>
  <c r="Z59" i="13"/>
  <c r="Z60" i="13"/>
  <c r="Z61" i="13"/>
  <c r="Z62" i="13"/>
  <c r="Z63" i="13"/>
  <c r="Z64" i="13"/>
  <c r="Z65" i="13"/>
  <c r="Z66" i="13"/>
  <c r="Z67" i="13"/>
  <c r="Z68" i="13"/>
  <c r="Z69" i="13"/>
  <c r="Z70" i="13"/>
  <c r="Z71" i="13"/>
  <c r="Z72" i="13"/>
  <c r="Z73" i="13"/>
  <c r="Z74" i="13"/>
  <c r="Z75" i="13"/>
  <c r="Z76" i="13"/>
  <c r="Z77" i="13"/>
  <c r="Z78" i="13"/>
  <c r="Z79" i="13"/>
  <c r="Z80" i="13"/>
  <c r="Z81" i="13"/>
  <c r="Z82" i="13"/>
  <c r="Z83" i="13"/>
  <c r="Z84" i="13"/>
  <c r="Z85" i="13"/>
  <c r="Z86" i="13"/>
  <c r="Z87" i="13"/>
  <c r="Z88" i="13"/>
  <c r="Z89" i="13"/>
  <c r="Z90" i="13"/>
  <c r="Z91" i="13"/>
  <c r="Z92" i="13"/>
  <c r="Z93" i="13"/>
  <c r="Z94" i="13"/>
  <c r="Z95" i="13"/>
  <c r="Z96" i="13"/>
  <c r="Z97" i="13"/>
  <c r="Z98" i="13"/>
  <c r="Z99" i="13"/>
  <c r="Z100" i="13"/>
  <c r="Z101" i="13"/>
  <c r="Z102" i="13"/>
  <c r="Z103" i="13"/>
  <c r="Z104" i="13"/>
  <c r="Z105" i="13"/>
  <c r="Z106" i="13"/>
  <c r="Z107" i="13"/>
  <c r="Z108" i="13"/>
  <c r="Z109" i="13"/>
  <c r="Z110" i="13"/>
  <c r="Z111" i="13"/>
  <c r="Z112" i="13"/>
  <c r="Z113" i="13"/>
  <c r="Z114" i="13"/>
  <c r="Z115" i="13"/>
  <c r="Z116" i="13"/>
  <c r="Z117" i="13"/>
  <c r="Z118" i="13"/>
  <c r="Z119" i="13"/>
  <c r="Z120" i="13"/>
  <c r="Z121" i="13"/>
  <c r="Z122" i="13"/>
  <c r="Z123" i="13"/>
  <c r="Z124" i="13"/>
  <c r="Z125" i="13"/>
  <c r="Z126" i="13"/>
  <c r="Z127" i="13"/>
  <c r="Z128" i="13"/>
  <c r="Z129" i="13"/>
  <c r="Z130" i="13"/>
  <c r="Z131" i="13"/>
  <c r="Z132" i="13"/>
  <c r="Z133" i="13"/>
  <c r="Z134" i="13"/>
  <c r="Z135" i="13"/>
  <c r="Z136" i="13"/>
  <c r="Z137" i="13"/>
  <c r="Z138" i="13"/>
  <c r="Z139" i="13"/>
  <c r="Z140" i="13"/>
  <c r="Z141" i="13"/>
  <c r="Z142" i="13"/>
  <c r="Z143" i="13"/>
  <c r="Z144" i="13"/>
  <c r="Z145" i="13"/>
  <c r="Z146" i="13"/>
  <c r="Z147" i="13"/>
  <c r="Z148" i="13"/>
  <c r="Z149" i="13"/>
  <c r="Z150" i="13"/>
  <c r="Z151" i="13"/>
  <c r="Z152" i="13"/>
  <c r="Z153" i="13"/>
  <c r="Z154" i="13"/>
  <c r="Z155" i="13"/>
  <c r="Z156" i="13"/>
  <c r="Z157" i="13"/>
  <c r="Z158" i="13"/>
  <c r="Z159" i="13"/>
  <c r="Z160" i="13"/>
  <c r="Z161" i="13"/>
  <c r="Z162" i="13"/>
  <c r="Z163" i="13"/>
  <c r="Z164" i="13"/>
  <c r="Z165" i="13"/>
  <c r="Z166" i="13"/>
  <c r="Z167" i="13"/>
  <c r="Z168" i="13"/>
  <c r="Z169" i="13"/>
  <c r="Z170" i="13"/>
  <c r="Z171" i="13"/>
  <c r="Z172" i="13"/>
  <c r="Z173" i="13"/>
  <c r="Z174" i="13"/>
  <c r="Z175" i="13"/>
  <c r="Z176" i="13"/>
  <c r="Z177" i="13"/>
  <c r="Z178" i="13"/>
  <c r="Z179" i="13"/>
  <c r="Z180" i="13"/>
  <c r="Z181" i="13"/>
  <c r="Z182" i="13"/>
  <c r="Z183" i="13"/>
  <c r="Z184" i="13"/>
  <c r="Z185" i="13"/>
  <c r="Z186" i="13"/>
  <c r="Z187" i="13"/>
  <c r="Z188" i="13"/>
  <c r="Z189" i="13"/>
  <c r="Z190" i="13"/>
  <c r="Z191" i="13"/>
  <c r="Z192" i="13"/>
  <c r="Z193" i="13"/>
  <c r="Z194" i="13"/>
  <c r="Z195" i="13"/>
  <c r="Z196" i="13"/>
  <c r="Z197" i="13"/>
  <c r="Z198" i="13"/>
  <c r="Z199" i="13"/>
  <c r="Z200" i="13"/>
  <c r="Z201" i="13"/>
  <c r="Z202" i="13"/>
  <c r="Z203" i="13"/>
  <c r="Z204" i="13"/>
  <c r="Z205" i="13"/>
  <c r="Z206" i="13"/>
  <c r="Z207" i="13"/>
  <c r="Z208" i="13"/>
  <c r="Z209" i="13"/>
  <c r="Z210" i="13"/>
  <c r="Z211" i="13"/>
  <c r="Z212" i="13"/>
  <c r="Z213" i="13"/>
  <c r="Z214" i="13"/>
  <c r="Z215" i="13"/>
  <c r="Z216" i="13"/>
  <c r="Z217" i="13"/>
  <c r="Z218" i="13"/>
  <c r="Z219" i="13"/>
  <c r="Z220" i="13"/>
  <c r="Z221" i="13"/>
  <c r="Z222" i="13"/>
  <c r="Z223" i="13"/>
  <c r="Z224" i="13"/>
  <c r="Z225" i="13"/>
  <c r="Z226" i="13"/>
  <c r="Z227" i="13"/>
  <c r="Z228" i="13"/>
  <c r="Z229" i="13"/>
  <c r="Z230" i="13"/>
  <c r="Z231" i="13"/>
  <c r="Z232" i="13"/>
  <c r="Z233" i="13"/>
  <c r="Z234" i="13"/>
  <c r="Z235" i="13"/>
  <c r="Z236" i="13"/>
  <c r="Z237" i="13"/>
  <c r="Z238" i="13"/>
  <c r="Z239" i="13"/>
  <c r="Z240" i="13"/>
  <c r="Z241" i="13"/>
  <c r="Z242" i="13"/>
  <c r="Z243" i="13"/>
  <c r="Z244" i="13"/>
  <c r="Z245" i="13"/>
  <c r="Z246" i="13"/>
  <c r="Z247" i="13"/>
  <c r="Z248" i="13"/>
  <c r="Z249" i="13"/>
  <c r="Z250" i="13"/>
  <c r="Z251" i="13"/>
  <c r="Z252" i="13"/>
  <c r="Z253" i="13"/>
  <c r="Z254" i="13"/>
  <c r="Z255" i="13"/>
  <c r="Z256" i="13"/>
  <c r="Z257" i="13"/>
  <c r="Z258" i="13"/>
  <c r="Z259" i="13"/>
  <c r="Z260" i="13"/>
  <c r="Z261" i="13"/>
  <c r="Z262" i="13"/>
  <c r="Z263" i="13"/>
  <c r="Z264" i="13"/>
  <c r="Z265" i="13"/>
  <c r="Z266" i="13"/>
  <c r="Z267" i="13"/>
  <c r="Z268" i="13"/>
  <c r="Z269" i="13"/>
  <c r="Z270" i="13"/>
  <c r="Z271" i="13"/>
  <c r="Z272" i="13"/>
  <c r="Z273" i="13"/>
  <c r="Z274" i="13"/>
  <c r="Z275" i="13"/>
  <c r="Z276" i="13"/>
  <c r="Z277" i="13"/>
  <c r="Z278" i="13"/>
  <c r="Z279" i="13"/>
  <c r="Z280" i="13"/>
  <c r="Z281" i="13"/>
  <c r="Z282" i="13"/>
  <c r="Z283" i="13"/>
  <c r="Z284" i="13"/>
  <c r="Z285" i="13"/>
  <c r="Z286" i="13"/>
  <c r="Z287" i="13"/>
  <c r="Z288" i="13"/>
  <c r="Z289" i="13"/>
  <c r="Z290" i="13"/>
  <c r="Z291" i="13"/>
  <c r="Z292" i="13"/>
  <c r="Z293" i="13"/>
  <c r="Z294" i="13"/>
  <c r="Z295" i="13"/>
  <c r="Z296" i="13"/>
  <c r="Z297" i="13"/>
  <c r="Z298" i="13"/>
  <c r="Z299" i="13"/>
  <c r="Z300" i="13"/>
  <c r="Z301" i="13"/>
  <c r="Z302" i="13"/>
  <c r="Z303" i="13"/>
  <c r="Z304" i="13"/>
  <c r="Z305" i="13"/>
  <c r="Z306" i="13"/>
  <c r="Z307" i="13"/>
  <c r="Z308" i="13"/>
  <c r="Z309" i="13"/>
  <c r="Z310" i="13"/>
  <c r="Z311" i="13"/>
  <c r="Z312" i="13"/>
  <c r="Z313" i="13"/>
  <c r="Z314" i="13"/>
  <c r="Z315" i="13"/>
  <c r="Z316" i="13"/>
  <c r="Z317" i="13"/>
  <c r="Z318" i="13"/>
  <c r="Z319" i="13"/>
  <c r="Z320" i="13"/>
  <c r="Z321" i="13"/>
  <c r="Z322" i="13"/>
  <c r="Z323" i="13"/>
  <c r="Z324" i="13"/>
  <c r="Z325" i="13"/>
  <c r="Z326" i="13"/>
  <c r="Z327" i="13"/>
  <c r="Z328" i="13"/>
  <c r="Z329" i="13"/>
  <c r="Z330" i="13"/>
  <c r="Z331" i="13"/>
  <c r="Z332" i="13"/>
  <c r="Z333" i="13"/>
  <c r="Z334" i="13"/>
  <c r="Z335" i="13"/>
  <c r="Z336" i="13"/>
  <c r="Z337" i="13"/>
  <c r="Z338" i="13"/>
  <c r="Z339" i="13"/>
  <c r="Z340" i="13"/>
  <c r="Z341" i="13"/>
  <c r="Z342" i="13"/>
  <c r="Z343" i="13"/>
  <c r="Z344" i="13"/>
  <c r="Z345" i="13"/>
  <c r="Z346" i="13"/>
  <c r="Z347" i="13"/>
  <c r="Z348" i="13"/>
  <c r="Z349" i="13"/>
  <c r="Z350" i="13"/>
  <c r="Z351" i="13"/>
  <c r="Z352" i="13"/>
  <c r="Z353" i="13"/>
  <c r="Z354" i="13"/>
  <c r="Z355" i="13"/>
  <c r="Z356" i="13"/>
  <c r="Z357" i="13"/>
  <c r="Z358" i="13"/>
  <c r="Z359" i="13"/>
  <c r="Z360" i="13"/>
  <c r="Z361" i="13"/>
  <c r="Z362" i="13"/>
  <c r="Z363" i="13"/>
  <c r="Z364" i="13"/>
  <c r="Z365" i="13"/>
  <c r="Z366" i="13"/>
  <c r="Z367" i="13"/>
  <c r="Z368" i="13"/>
  <c r="Z369" i="13"/>
  <c r="Z370" i="13"/>
  <c r="Z371" i="13"/>
  <c r="Z372" i="13"/>
  <c r="Z373" i="13"/>
  <c r="Z374" i="13"/>
  <c r="Z375" i="13"/>
  <c r="Z376" i="13"/>
  <c r="Z377" i="13"/>
  <c r="Z378" i="13"/>
  <c r="Z379" i="13"/>
  <c r="Z380" i="13"/>
  <c r="Z381" i="13"/>
  <c r="Z382" i="13"/>
  <c r="Z383" i="13"/>
  <c r="Z384" i="13"/>
  <c r="Z385" i="13"/>
  <c r="Z386" i="13"/>
  <c r="Z387" i="13"/>
  <c r="Z388" i="13"/>
  <c r="Z389" i="13"/>
  <c r="Z390" i="13"/>
  <c r="Z391" i="13"/>
  <c r="Z392" i="13"/>
  <c r="Z393" i="13"/>
  <c r="Z394" i="13"/>
  <c r="Z395" i="13"/>
  <c r="Z396" i="13"/>
  <c r="Z397" i="13"/>
  <c r="Z398" i="13"/>
  <c r="Z399" i="13"/>
  <c r="Z400" i="13"/>
  <c r="Z401" i="13"/>
  <c r="Z402" i="13"/>
  <c r="Z403" i="13"/>
  <c r="Z404" i="13"/>
  <c r="Z405" i="13"/>
  <c r="Z406" i="13"/>
  <c r="Z407" i="13"/>
  <c r="Z408" i="13"/>
  <c r="Z409" i="13"/>
  <c r="Z410" i="13"/>
  <c r="Z411" i="13"/>
  <c r="Z412" i="13"/>
  <c r="Z413" i="13"/>
  <c r="Z414" i="13"/>
  <c r="Z415" i="13"/>
  <c r="Z416" i="13"/>
  <c r="Z417" i="13"/>
  <c r="Z418" i="13"/>
  <c r="Z419" i="13"/>
  <c r="Z420" i="13"/>
  <c r="Z421" i="13"/>
  <c r="Z422" i="13"/>
  <c r="Z423" i="13"/>
  <c r="Z424" i="13"/>
  <c r="Z425" i="13"/>
  <c r="Z426" i="13"/>
  <c r="Z427" i="13"/>
  <c r="Z428" i="13"/>
  <c r="Z429" i="13"/>
  <c r="Z430" i="13"/>
  <c r="Z431" i="13"/>
  <c r="Z432" i="13"/>
  <c r="Z433" i="13"/>
  <c r="Z434" i="13"/>
  <c r="Z435" i="13"/>
  <c r="Z436" i="13"/>
  <c r="Z437" i="13"/>
  <c r="Z438" i="13"/>
  <c r="Z439" i="13"/>
  <c r="Z440" i="13"/>
  <c r="Z441" i="13"/>
  <c r="Z442" i="13"/>
  <c r="Z443" i="13"/>
  <c r="Z444" i="13"/>
  <c r="Z445" i="13"/>
  <c r="Z446" i="13"/>
  <c r="Z447" i="13"/>
  <c r="Z448" i="13"/>
  <c r="Z449" i="13"/>
  <c r="Z450" i="13"/>
  <c r="Z451" i="13"/>
  <c r="Z452" i="13"/>
  <c r="Z453" i="13"/>
  <c r="Z454" i="13"/>
  <c r="Z455" i="13"/>
  <c r="Z456" i="13"/>
  <c r="Z457" i="13"/>
  <c r="Z458" i="13"/>
  <c r="Z459" i="13"/>
  <c r="Z460" i="13"/>
  <c r="Z461" i="13"/>
  <c r="Z462" i="13"/>
  <c r="Z463" i="13"/>
  <c r="Z464" i="13"/>
  <c r="Z465" i="13"/>
  <c r="Z466" i="13"/>
  <c r="Z467" i="13"/>
  <c r="Z468" i="13"/>
  <c r="Z469" i="13"/>
  <c r="Z470" i="13"/>
  <c r="Z471" i="13"/>
  <c r="Z472" i="13"/>
  <c r="Z473" i="13"/>
  <c r="Z474" i="13"/>
  <c r="Z475" i="13"/>
  <c r="Z476" i="13"/>
  <c r="Z477" i="13"/>
  <c r="Z478" i="13"/>
  <c r="Z479" i="13"/>
  <c r="Z480" i="13"/>
  <c r="Z481" i="13"/>
  <c r="Z482" i="13"/>
  <c r="Z483" i="13"/>
  <c r="Z484" i="13"/>
  <c r="Z485" i="13"/>
  <c r="Z486" i="13"/>
  <c r="Z487" i="13"/>
  <c r="Z488" i="13"/>
  <c r="Z489" i="13"/>
  <c r="Z490" i="13"/>
  <c r="Z491" i="13"/>
  <c r="Z492" i="13"/>
  <c r="Z493" i="13"/>
  <c r="Z494" i="13"/>
  <c r="Z495" i="13"/>
  <c r="Z496" i="13"/>
  <c r="Z497" i="13"/>
  <c r="Z498" i="13"/>
  <c r="Z499" i="13"/>
  <c r="Z500" i="13"/>
  <c r="Z501" i="13"/>
  <c r="Z502" i="13"/>
  <c r="Z503" i="13"/>
  <c r="Z504" i="13"/>
  <c r="Z505" i="13"/>
  <c r="Z506" i="13"/>
  <c r="Z507" i="13"/>
  <c r="Z508" i="13"/>
  <c r="Z509" i="13"/>
  <c r="Z510" i="13"/>
  <c r="Z511" i="13"/>
  <c r="Z512" i="13"/>
  <c r="Z513" i="13"/>
  <c r="Z514" i="13"/>
  <c r="Z515" i="13"/>
  <c r="Z516" i="13"/>
  <c r="Z517" i="13"/>
  <c r="Z518" i="13"/>
  <c r="Z519" i="13"/>
  <c r="Z520" i="13"/>
  <c r="Z521" i="13"/>
  <c r="Z522" i="13"/>
  <c r="Z523" i="13"/>
  <c r="Z524" i="13"/>
  <c r="Z525" i="13"/>
  <c r="Z526" i="13"/>
  <c r="Z527" i="13"/>
  <c r="Z528" i="13"/>
  <c r="Z529" i="13"/>
  <c r="Z530" i="13"/>
  <c r="Z531" i="13"/>
  <c r="Z532" i="13"/>
  <c r="Z533" i="13"/>
  <c r="Z534" i="13"/>
  <c r="Z535" i="13"/>
  <c r="Z536" i="13"/>
  <c r="Z537" i="13"/>
  <c r="Z538" i="13"/>
  <c r="Z539" i="13"/>
  <c r="Z540" i="13"/>
  <c r="Z541" i="13"/>
  <c r="Z542" i="13"/>
  <c r="Z543" i="13"/>
  <c r="Z544" i="13"/>
  <c r="Z545" i="13"/>
  <c r="Z546" i="13"/>
  <c r="Z547" i="13"/>
  <c r="Z548" i="13"/>
  <c r="Z549" i="13"/>
  <c r="Z550" i="13"/>
  <c r="Z551" i="13"/>
  <c r="Z552" i="13"/>
  <c r="Z553" i="13"/>
  <c r="Z554" i="13"/>
  <c r="Z555" i="13"/>
  <c r="Z556" i="13"/>
  <c r="Z557" i="13"/>
  <c r="Z558" i="13"/>
  <c r="Z559" i="13"/>
  <c r="Z560" i="13"/>
  <c r="Z561" i="13"/>
  <c r="Z562" i="13"/>
  <c r="Z563" i="13"/>
  <c r="Z564" i="13"/>
  <c r="Z565" i="13"/>
  <c r="Z566" i="13"/>
  <c r="Z567" i="13"/>
  <c r="Z568" i="13"/>
  <c r="Z569" i="13"/>
  <c r="Z570" i="13"/>
  <c r="Z571" i="13"/>
  <c r="Z572" i="13"/>
  <c r="Z573" i="13"/>
  <c r="Z574" i="13"/>
  <c r="Z575" i="13"/>
  <c r="Z576" i="13"/>
  <c r="Z577" i="13"/>
  <c r="Z578" i="13"/>
  <c r="Z579" i="13"/>
  <c r="Z580" i="13"/>
  <c r="Z581" i="13"/>
  <c r="Z582" i="13"/>
  <c r="Z583" i="13"/>
  <c r="Z584" i="13"/>
  <c r="Z585" i="13"/>
  <c r="Z586" i="13"/>
  <c r="Z587" i="13"/>
  <c r="Z588" i="13"/>
  <c r="Z589" i="13"/>
  <c r="Z590" i="13"/>
  <c r="Z591" i="13"/>
  <c r="Z592" i="13"/>
  <c r="Z593" i="13"/>
  <c r="Z594" i="13"/>
  <c r="Z595" i="13"/>
  <c r="Z596" i="13"/>
  <c r="Z597" i="13"/>
  <c r="Z598" i="13"/>
  <c r="Z599" i="13"/>
  <c r="Z600" i="13"/>
  <c r="Z601" i="13"/>
  <c r="Z602" i="13"/>
  <c r="Z603" i="13"/>
  <c r="Z604" i="13"/>
  <c r="Z605" i="13"/>
  <c r="Z606" i="13"/>
  <c r="Z607" i="13"/>
  <c r="Z608" i="13"/>
  <c r="Z609" i="13"/>
  <c r="Z610" i="13"/>
  <c r="Z611" i="13"/>
  <c r="Z612" i="13"/>
  <c r="Z613" i="13"/>
  <c r="Z614" i="13"/>
  <c r="Z615" i="13"/>
  <c r="Z616" i="13"/>
  <c r="Z617" i="13"/>
  <c r="Z618" i="13"/>
  <c r="Z619" i="13"/>
  <c r="Z620" i="13"/>
  <c r="Z621" i="13"/>
  <c r="Z622" i="13"/>
  <c r="Z623" i="13"/>
  <c r="Z624" i="13"/>
  <c r="Z625" i="13"/>
  <c r="Z626" i="13"/>
  <c r="Z627" i="13"/>
  <c r="Z628" i="13"/>
  <c r="Z629" i="13"/>
  <c r="Z630" i="13"/>
  <c r="Z631" i="13"/>
  <c r="Z632" i="13"/>
  <c r="Z633" i="13"/>
  <c r="Z634" i="13"/>
  <c r="Z635" i="13"/>
  <c r="Z636" i="13"/>
  <c r="Z637" i="13"/>
  <c r="Z638" i="13"/>
  <c r="Z639" i="13"/>
  <c r="Z640" i="13"/>
  <c r="Z641" i="13"/>
  <c r="Z642" i="13"/>
  <c r="Z643" i="13"/>
  <c r="Z644" i="13"/>
  <c r="Z645" i="13"/>
  <c r="Z646" i="13"/>
  <c r="Z647" i="13"/>
  <c r="Z648" i="13"/>
  <c r="Z649" i="13"/>
  <c r="Z650" i="13"/>
  <c r="Z651" i="13"/>
  <c r="Z652" i="13"/>
  <c r="Z653" i="13"/>
  <c r="Z654" i="13"/>
  <c r="Z655" i="13"/>
  <c r="Z656" i="13"/>
  <c r="Z657" i="13"/>
  <c r="Z658" i="13"/>
  <c r="Z659" i="13"/>
  <c r="Z660" i="13"/>
  <c r="Z661" i="13"/>
  <c r="Z662" i="13"/>
  <c r="Z663" i="13"/>
  <c r="Z664" i="13"/>
  <c r="Z665" i="13"/>
  <c r="Z666" i="13"/>
  <c r="Z667" i="13"/>
  <c r="Z668" i="13"/>
  <c r="Z669" i="13"/>
  <c r="Z670" i="13"/>
  <c r="Z671" i="13"/>
  <c r="Z672" i="13"/>
  <c r="Z673" i="13"/>
  <c r="Z674" i="13"/>
  <c r="Z675" i="13"/>
  <c r="Z676" i="13"/>
  <c r="Z677" i="13"/>
  <c r="Z678" i="13"/>
  <c r="Z679" i="13"/>
  <c r="Z680" i="13"/>
  <c r="Z681" i="13"/>
  <c r="Z682" i="13"/>
  <c r="Z683" i="13"/>
  <c r="Z684" i="13"/>
  <c r="Z685" i="13"/>
  <c r="Z686" i="13"/>
  <c r="Z687" i="13"/>
  <c r="Z688" i="13"/>
  <c r="Z689" i="13"/>
  <c r="Z690" i="13"/>
  <c r="Z691" i="13"/>
  <c r="Z692" i="13"/>
  <c r="Z693" i="13"/>
  <c r="Z694" i="13"/>
  <c r="Z695" i="13"/>
  <c r="Z696" i="13"/>
  <c r="Z697" i="13"/>
  <c r="Z698" i="13"/>
  <c r="Z699" i="13"/>
  <c r="Z700" i="13"/>
  <c r="Z701" i="13"/>
  <c r="Z702" i="13"/>
  <c r="Z703" i="13"/>
  <c r="Z704" i="13"/>
  <c r="Z705" i="13"/>
  <c r="Z706" i="13"/>
  <c r="Z707" i="13"/>
  <c r="Z708" i="13"/>
  <c r="Z709" i="13"/>
  <c r="Z710" i="13"/>
  <c r="Z711" i="13"/>
  <c r="Z712" i="13"/>
  <c r="Z713" i="13"/>
  <c r="Z714" i="13"/>
  <c r="Z715" i="13"/>
  <c r="Z716" i="13"/>
  <c r="Z717" i="13"/>
  <c r="Z718" i="13"/>
  <c r="Z719" i="13"/>
  <c r="Z720" i="13"/>
  <c r="Z721" i="13"/>
  <c r="Z722" i="13"/>
  <c r="Z723" i="13"/>
  <c r="Z724" i="13"/>
  <c r="Z725" i="13"/>
  <c r="Z726" i="13"/>
  <c r="Z727" i="13"/>
  <c r="Z728" i="13"/>
  <c r="Z729" i="13"/>
  <c r="Z730" i="13"/>
  <c r="Z731" i="13"/>
  <c r="Z732" i="13"/>
  <c r="Z733" i="13"/>
  <c r="Z734" i="13"/>
  <c r="Z735" i="13"/>
  <c r="Z736" i="13"/>
  <c r="Z737" i="13"/>
  <c r="Z738" i="13"/>
  <c r="Z739" i="13"/>
  <c r="Z740" i="13"/>
  <c r="Z741" i="13"/>
  <c r="Z742" i="13"/>
  <c r="Z743" i="13"/>
  <c r="Z744" i="13"/>
  <c r="Z745" i="13"/>
  <c r="Z746" i="13"/>
  <c r="Z747" i="13"/>
  <c r="Z748" i="13"/>
  <c r="Z749" i="13"/>
  <c r="Z750" i="13"/>
  <c r="Z751" i="13"/>
  <c r="Z752" i="13"/>
  <c r="Z753" i="13"/>
  <c r="Z754" i="13"/>
  <c r="Z755" i="13"/>
  <c r="Z756" i="13"/>
  <c r="Z757" i="13"/>
  <c r="Z758" i="13"/>
  <c r="Z759" i="13"/>
  <c r="Z760" i="13"/>
  <c r="Z761" i="13"/>
  <c r="Z762" i="13"/>
  <c r="Z763" i="13"/>
  <c r="Z764" i="13"/>
  <c r="Z765" i="13"/>
  <c r="Z766" i="13"/>
  <c r="Z767" i="13"/>
  <c r="Z768" i="13"/>
  <c r="Z769" i="13"/>
  <c r="Z770" i="13"/>
  <c r="Z771" i="13"/>
  <c r="Z772" i="13"/>
  <c r="Z773" i="13"/>
  <c r="Z774" i="13"/>
  <c r="Z775" i="13"/>
  <c r="Z776" i="13"/>
  <c r="Z777" i="13"/>
  <c r="Z778" i="13"/>
  <c r="Z779" i="13"/>
  <c r="Z780" i="13"/>
  <c r="Z781" i="13"/>
  <c r="Z782" i="13"/>
  <c r="Z783" i="13"/>
  <c r="Z784" i="13"/>
  <c r="Z785" i="13"/>
  <c r="Z786" i="13"/>
  <c r="Z787" i="13"/>
  <c r="Z788" i="13"/>
  <c r="Z789" i="13"/>
  <c r="Z790" i="13"/>
  <c r="Z791" i="13"/>
  <c r="Z792" i="13"/>
  <c r="Z793" i="13"/>
  <c r="Z794" i="13"/>
  <c r="Z795" i="13"/>
  <c r="Z796" i="13"/>
  <c r="Z797" i="13"/>
  <c r="Z798" i="13"/>
  <c r="Z799" i="13"/>
  <c r="Z800" i="13"/>
  <c r="Z801" i="13"/>
  <c r="Z802" i="13"/>
  <c r="Z803" i="13"/>
  <c r="Z804" i="13"/>
  <c r="Z805" i="13"/>
  <c r="Z806" i="13"/>
  <c r="Z807" i="13"/>
  <c r="Z808" i="13"/>
  <c r="Z809" i="13"/>
  <c r="Z810" i="13"/>
  <c r="Z811" i="13"/>
  <c r="Z812" i="13"/>
  <c r="Z813" i="13"/>
  <c r="Z814" i="13"/>
  <c r="Z815" i="13"/>
  <c r="Z816" i="13"/>
  <c r="Z817" i="13"/>
  <c r="Z818" i="13"/>
  <c r="Z819" i="13"/>
  <c r="Z820" i="13"/>
  <c r="Z821" i="13"/>
  <c r="Z822" i="13"/>
  <c r="Z823" i="13"/>
  <c r="Z824" i="13"/>
  <c r="Z825" i="13"/>
  <c r="Z826" i="13"/>
  <c r="Z827" i="13"/>
  <c r="Z828" i="13"/>
  <c r="Z829" i="13"/>
  <c r="Z830" i="13"/>
  <c r="Z831" i="13"/>
  <c r="Z832" i="13"/>
  <c r="Z833" i="13"/>
  <c r="Z834" i="13"/>
  <c r="Z835" i="13"/>
  <c r="Z836" i="13"/>
  <c r="Z837" i="13"/>
  <c r="Z838" i="13"/>
  <c r="Z839" i="13"/>
  <c r="Z840" i="13"/>
  <c r="Z841" i="13"/>
  <c r="Z842" i="13"/>
  <c r="Z843" i="13"/>
  <c r="Z844" i="13"/>
  <c r="Z845" i="13"/>
  <c r="Z846" i="13"/>
  <c r="Z847" i="13"/>
  <c r="Z848" i="13"/>
  <c r="Z849" i="13"/>
  <c r="Z850" i="13"/>
  <c r="Z851" i="13"/>
  <c r="Z852" i="13"/>
  <c r="Z853" i="13"/>
  <c r="Z854" i="13"/>
  <c r="Z855" i="13"/>
  <c r="Z856" i="13"/>
  <c r="Z857" i="13"/>
  <c r="Z858" i="13"/>
  <c r="Z859" i="13"/>
  <c r="Z860" i="13"/>
  <c r="Z861" i="13"/>
  <c r="Z862" i="13"/>
  <c r="Z863" i="13"/>
  <c r="Z864" i="13"/>
  <c r="Z865" i="13"/>
  <c r="Z866" i="13"/>
  <c r="Z867" i="13"/>
  <c r="Z868" i="13"/>
  <c r="Z869" i="13"/>
  <c r="Z870" i="13"/>
  <c r="Z871" i="13"/>
  <c r="Z872" i="13"/>
  <c r="Z873" i="13"/>
  <c r="Z874" i="13"/>
  <c r="Z875" i="13"/>
  <c r="Z876" i="13"/>
  <c r="Z877" i="13"/>
  <c r="Z878" i="13"/>
  <c r="Z879" i="13"/>
  <c r="Z880" i="13"/>
  <c r="Z881" i="13"/>
  <c r="Z882" i="13"/>
  <c r="Z883" i="13"/>
  <c r="Z884" i="13"/>
  <c r="Z885" i="13"/>
  <c r="Z886" i="13"/>
  <c r="Z887" i="13"/>
  <c r="Z888" i="13"/>
  <c r="Z889" i="13"/>
  <c r="Z890" i="13"/>
  <c r="Z891" i="13"/>
  <c r="Z892" i="13"/>
  <c r="Z893" i="13"/>
  <c r="Z894" i="13"/>
  <c r="Z895" i="13"/>
  <c r="Z896" i="13"/>
  <c r="Z897" i="13"/>
  <c r="Z898" i="13"/>
  <c r="Z899" i="13"/>
  <c r="Z900" i="13"/>
  <c r="Z901" i="13"/>
  <c r="Z902" i="13"/>
  <c r="Z903" i="13"/>
  <c r="Z904" i="13"/>
  <c r="Z905" i="13"/>
  <c r="Z906" i="13"/>
  <c r="Z907" i="13"/>
  <c r="Z908" i="13"/>
  <c r="Z909" i="13"/>
  <c r="Y2" i="13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Y178" i="13"/>
  <c r="Y179" i="13"/>
  <c r="Y180" i="13"/>
  <c r="Y181" i="13"/>
  <c r="Y182" i="13"/>
  <c r="Y183" i="13"/>
  <c r="Y184" i="13"/>
  <c r="Y185" i="13"/>
  <c r="Y186" i="13"/>
  <c r="Y187" i="13"/>
  <c r="Y188" i="13"/>
  <c r="Y189" i="13"/>
  <c r="Y190" i="13"/>
  <c r="Y191" i="13"/>
  <c r="Y192" i="13"/>
  <c r="Y193" i="13"/>
  <c r="Y194" i="13"/>
  <c r="Y195" i="13"/>
  <c r="Y196" i="13"/>
  <c r="Y197" i="13"/>
  <c r="Y198" i="13"/>
  <c r="Y199" i="13"/>
  <c r="Y200" i="13"/>
  <c r="Y201" i="13"/>
  <c r="Y202" i="13"/>
  <c r="Y203" i="13"/>
  <c r="Y204" i="13"/>
  <c r="Y205" i="13"/>
  <c r="Y206" i="13"/>
  <c r="Y207" i="13"/>
  <c r="Y208" i="13"/>
  <c r="Y209" i="13"/>
  <c r="Y210" i="13"/>
  <c r="Y211" i="13"/>
  <c r="Y212" i="13"/>
  <c r="Y213" i="13"/>
  <c r="Y214" i="13"/>
  <c r="Y215" i="13"/>
  <c r="Y216" i="13"/>
  <c r="Y217" i="13"/>
  <c r="Y218" i="13"/>
  <c r="Y219" i="13"/>
  <c r="Y220" i="13"/>
  <c r="Y221" i="13"/>
  <c r="Y222" i="13"/>
  <c r="Y223" i="13"/>
  <c r="Y224" i="13"/>
  <c r="Y225" i="13"/>
  <c r="Y226" i="13"/>
  <c r="Y227" i="13"/>
  <c r="Y228" i="13"/>
  <c r="Y229" i="13"/>
  <c r="Y230" i="13"/>
  <c r="Y231" i="13"/>
  <c r="Y232" i="13"/>
  <c r="Y233" i="13"/>
  <c r="Y234" i="13"/>
  <c r="Y235" i="13"/>
  <c r="Y236" i="13"/>
  <c r="Y237" i="13"/>
  <c r="Y238" i="13"/>
  <c r="Y239" i="13"/>
  <c r="Y240" i="13"/>
  <c r="Y241" i="13"/>
  <c r="Y242" i="13"/>
  <c r="Y243" i="13"/>
  <c r="Y244" i="13"/>
  <c r="Y245" i="13"/>
  <c r="Y246" i="13"/>
  <c r="Y247" i="13"/>
  <c r="Y248" i="13"/>
  <c r="Y249" i="13"/>
  <c r="Y250" i="13"/>
  <c r="Y251" i="13"/>
  <c r="Y252" i="13"/>
  <c r="Y253" i="13"/>
  <c r="Y254" i="13"/>
  <c r="Y255" i="13"/>
  <c r="Y256" i="13"/>
  <c r="Y257" i="13"/>
  <c r="Y258" i="13"/>
  <c r="Y259" i="13"/>
  <c r="Y260" i="13"/>
  <c r="Y261" i="13"/>
  <c r="Y262" i="13"/>
  <c r="Y263" i="13"/>
  <c r="Y264" i="13"/>
  <c r="Y265" i="13"/>
  <c r="Y266" i="13"/>
  <c r="Y267" i="13"/>
  <c r="Y268" i="13"/>
  <c r="Y269" i="13"/>
  <c r="Y270" i="13"/>
  <c r="Y271" i="13"/>
  <c r="Y272" i="13"/>
  <c r="Y273" i="13"/>
  <c r="Y274" i="13"/>
  <c r="Y275" i="13"/>
  <c r="Y276" i="13"/>
  <c r="Y277" i="13"/>
  <c r="Y278" i="13"/>
  <c r="Y279" i="13"/>
  <c r="Y280" i="13"/>
  <c r="Y281" i="13"/>
  <c r="Y282" i="13"/>
  <c r="Y283" i="13"/>
  <c r="Y284" i="13"/>
  <c r="Y285" i="13"/>
  <c r="Y286" i="13"/>
  <c r="Y287" i="13"/>
  <c r="Y288" i="13"/>
  <c r="Y289" i="13"/>
  <c r="Y290" i="13"/>
  <c r="Y291" i="13"/>
  <c r="Y292" i="13"/>
  <c r="Y293" i="13"/>
  <c r="Y294" i="13"/>
  <c r="Y295" i="13"/>
  <c r="Y296" i="13"/>
  <c r="Y297" i="13"/>
  <c r="Y298" i="13"/>
  <c r="Y299" i="13"/>
  <c r="Y300" i="13"/>
  <c r="Y301" i="13"/>
  <c r="Y302" i="13"/>
  <c r="Y303" i="13"/>
  <c r="Y304" i="13"/>
  <c r="Y305" i="13"/>
  <c r="Y306" i="13"/>
  <c r="Y307" i="13"/>
  <c r="Y308" i="13"/>
  <c r="Y309" i="13"/>
  <c r="Y310" i="13"/>
  <c r="Y311" i="13"/>
  <c r="Y312" i="13"/>
  <c r="Y313" i="13"/>
  <c r="Y314" i="13"/>
  <c r="Y315" i="13"/>
  <c r="Y316" i="13"/>
  <c r="Y317" i="13"/>
  <c r="Y318" i="13"/>
  <c r="Y319" i="13"/>
  <c r="Y320" i="13"/>
  <c r="Y321" i="13"/>
  <c r="Y322" i="13"/>
  <c r="Y323" i="13"/>
  <c r="Y324" i="13"/>
  <c r="Y325" i="13"/>
  <c r="Y326" i="13"/>
  <c r="Y327" i="13"/>
  <c r="Y328" i="13"/>
  <c r="Y329" i="13"/>
  <c r="Y330" i="13"/>
  <c r="Y331" i="13"/>
  <c r="Y332" i="13"/>
  <c r="Y333" i="13"/>
  <c r="Y334" i="13"/>
  <c r="Y335" i="13"/>
  <c r="Y336" i="13"/>
  <c r="Y337" i="13"/>
  <c r="Y338" i="13"/>
  <c r="Y339" i="13"/>
  <c r="Y340" i="13"/>
  <c r="Y341" i="13"/>
  <c r="Y342" i="13"/>
  <c r="Y343" i="13"/>
  <c r="Y344" i="13"/>
  <c r="Y345" i="13"/>
  <c r="Y346" i="13"/>
  <c r="Y347" i="13"/>
  <c r="Y348" i="13"/>
  <c r="Y349" i="13"/>
  <c r="Y350" i="13"/>
  <c r="Y351" i="13"/>
  <c r="Y352" i="13"/>
  <c r="Y353" i="13"/>
  <c r="Y354" i="13"/>
  <c r="Y355" i="13"/>
  <c r="Y356" i="13"/>
  <c r="Y357" i="13"/>
  <c r="Y358" i="13"/>
  <c r="Y359" i="13"/>
  <c r="Y360" i="13"/>
  <c r="Y361" i="13"/>
  <c r="Y362" i="13"/>
  <c r="Y363" i="13"/>
  <c r="Y364" i="13"/>
  <c r="Y365" i="13"/>
  <c r="Y366" i="13"/>
  <c r="Y367" i="13"/>
  <c r="Y368" i="13"/>
  <c r="Y369" i="13"/>
  <c r="Y370" i="13"/>
  <c r="Y371" i="13"/>
  <c r="Y372" i="13"/>
  <c r="Y373" i="13"/>
  <c r="Y374" i="13"/>
  <c r="Y375" i="13"/>
  <c r="Y376" i="13"/>
  <c r="Y377" i="13"/>
  <c r="Y378" i="13"/>
  <c r="Y379" i="13"/>
  <c r="Y380" i="13"/>
  <c r="Y381" i="13"/>
  <c r="Y382" i="13"/>
  <c r="Y383" i="13"/>
  <c r="Y384" i="13"/>
  <c r="Y385" i="13"/>
  <c r="Y386" i="13"/>
  <c r="Y387" i="13"/>
  <c r="Y388" i="13"/>
  <c r="Y389" i="13"/>
  <c r="Y390" i="13"/>
  <c r="Y391" i="13"/>
  <c r="Y392" i="13"/>
  <c r="Y393" i="13"/>
  <c r="Y394" i="13"/>
  <c r="Y395" i="13"/>
  <c r="Y396" i="13"/>
  <c r="Y397" i="13"/>
  <c r="Y398" i="13"/>
  <c r="Y399" i="13"/>
  <c r="Y400" i="13"/>
  <c r="Y401" i="13"/>
  <c r="Y402" i="13"/>
  <c r="Y403" i="13"/>
  <c r="Y404" i="13"/>
  <c r="Y405" i="13"/>
  <c r="Y406" i="13"/>
  <c r="Y407" i="13"/>
  <c r="Y408" i="13"/>
  <c r="Y409" i="13"/>
  <c r="Y410" i="13"/>
  <c r="Y411" i="13"/>
  <c r="Y412" i="13"/>
  <c r="Y413" i="13"/>
  <c r="Y414" i="13"/>
  <c r="Y415" i="13"/>
  <c r="Y416" i="13"/>
  <c r="Y417" i="13"/>
  <c r="Y418" i="13"/>
  <c r="Y419" i="13"/>
  <c r="Y420" i="13"/>
  <c r="Y421" i="13"/>
  <c r="Y422" i="13"/>
  <c r="Y423" i="13"/>
  <c r="Y424" i="13"/>
  <c r="Y425" i="13"/>
  <c r="Y426" i="13"/>
  <c r="Y427" i="13"/>
  <c r="Y428" i="13"/>
  <c r="Y429" i="13"/>
  <c r="Y430" i="13"/>
  <c r="Y431" i="13"/>
  <c r="Y432" i="13"/>
  <c r="Y433" i="13"/>
  <c r="Y434" i="13"/>
  <c r="Y435" i="13"/>
  <c r="Y436" i="13"/>
  <c r="Y437" i="13"/>
  <c r="Y438" i="13"/>
  <c r="Y439" i="13"/>
  <c r="Y440" i="13"/>
  <c r="Y441" i="13"/>
  <c r="Y442" i="13"/>
  <c r="Y443" i="13"/>
  <c r="Y444" i="13"/>
  <c r="Y445" i="13"/>
  <c r="Y446" i="13"/>
  <c r="Y447" i="13"/>
  <c r="Y448" i="13"/>
  <c r="Y449" i="13"/>
  <c r="Y450" i="13"/>
  <c r="Y451" i="13"/>
  <c r="Y452" i="13"/>
  <c r="Y453" i="13"/>
  <c r="Y454" i="13"/>
  <c r="Y455" i="13"/>
  <c r="Y456" i="13"/>
  <c r="Y457" i="13"/>
  <c r="Y458" i="13"/>
  <c r="Y459" i="13"/>
  <c r="Y460" i="13"/>
  <c r="Y461" i="13"/>
  <c r="Y462" i="13"/>
  <c r="Y463" i="13"/>
  <c r="Y464" i="13"/>
  <c r="Y465" i="13"/>
  <c r="Y466" i="13"/>
  <c r="Y467" i="13"/>
  <c r="Y468" i="13"/>
  <c r="Y469" i="13"/>
  <c r="Y470" i="13"/>
  <c r="Y471" i="13"/>
  <c r="Y472" i="13"/>
  <c r="Y473" i="13"/>
  <c r="Y474" i="13"/>
  <c r="Y475" i="13"/>
  <c r="Y476" i="13"/>
  <c r="Y477" i="13"/>
  <c r="Y478" i="13"/>
  <c r="Y479" i="13"/>
  <c r="Y480" i="13"/>
  <c r="Y481" i="13"/>
  <c r="Y482" i="13"/>
  <c r="Y483" i="13"/>
  <c r="Y484" i="13"/>
  <c r="Y485" i="13"/>
  <c r="Y486" i="13"/>
  <c r="Y487" i="13"/>
  <c r="Y488" i="13"/>
  <c r="Y489" i="13"/>
  <c r="Y490" i="13"/>
  <c r="Y491" i="13"/>
  <c r="Y492" i="13"/>
  <c r="Y493" i="13"/>
  <c r="Y494" i="13"/>
  <c r="Y495" i="13"/>
  <c r="Y496" i="13"/>
  <c r="Y497" i="13"/>
  <c r="Y498" i="13"/>
  <c r="Y499" i="13"/>
  <c r="Y500" i="13"/>
  <c r="Y501" i="13"/>
  <c r="Y502" i="13"/>
  <c r="Y503" i="13"/>
  <c r="Y504" i="13"/>
  <c r="Y505" i="13"/>
  <c r="Y506" i="13"/>
  <c r="Y507" i="13"/>
  <c r="Y508" i="13"/>
  <c r="Y509" i="13"/>
  <c r="Y510" i="13"/>
  <c r="Y511" i="13"/>
  <c r="Y512" i="13"/>
  <c r="Y513" i="13"/>
  <c r="Y514" i="13"/>
  <c r="Y515" i="13"/>
  <c r="Y516" i="13"/>
  <c r="Y517" i="13"/>
  <c r="Y518" i="13"/>
  <c r="Y519" i="13"/>
  <c r="Y520" i="13"/>
  <c r="Y521" i="13"/>
  <c r="Y522" i="13"/>
  <c r="Y523" i="13"/>
  <c r="Y524" i="13"/>
  <c r="Y525" i="13"/>
  <c r="Y526" i="13"/>
  <c r="Y527" i="13"/>
  <c r="Y528" i="13"/>
  <c r="Y529" i="13"/>
  <c r="Y530" i="13"/>
  <c r="Y531" i="13"/>
  <c r="Y532" i="13"/>
  <c r="Y533" i="13"/>
  <c r="Y534" i="13"/>
  <c r="Y535" i="13"/>
  <c r="Y536" i="13"/>
  <c r="Y537" i="13"/>
  <c r="Y538" i="13"/>
  <c r="Y539" i="13"/>
  <c r="Y540" i="13"/>
  <c r="Y541" i="13"/>
  <c r="Y542" i="13"/>
  <c r="Y543" i="13"/>
  <c r="Y544" i="13"/>
  <c r="Y545" i="13"/>
  <c r="Y546" i="13"/>
  <c r="Y547" i="13"/>
  <c r="Y548" i="13"/>
  <c r="Y549" i="13"/>
  <c r="Y550" i="13"/>
  <c r="Y551" i="13"/>
  <c r="Y552" i="13"/>
  <c r="Y553" i="13"/>
  <c r="Y554" i="13"/>
  <c r="Y555" i="13"/>
  <c r="Y556" i="13"/>
  <c r="Y557" i="13"/>
  <c r="Y558" i="13"/>
  <c r="Y559" i="13"/>
  <c r="Y560" i="13"/>
  <c r="Y561" i="13"/>
  <c r="Y562" i="13"/>
  <c r="Y563" i="13"/>
  <c r="Y564" i="13"/>
  <c r="Y565" i="13"/>
  <c r="Y566" i="13"/>
  <c r="Y567" i="13"/>
  <c r="Y568" i="13"/>
  <c r="Y569" i="13"/>
  <c r="Y570" i="13"/>
  <c r="Y571" i="13"/>
  <c r="Y572" i="13"/>
  <c r="Y573" i="13"/>
  <c r="Y574" i="13"/>
  <c r="Y575" i="13"/>
  <c r="Y576" i="13"/>
  <c r="Y577" i="13"/>
  <c r="Y578" i="13"/>
  <c r="Y579" i="13"/>
  <c r="Y580" i="13"/>
  <c r="Y581" i="13"/>
  <c r="Y582" i="13"/>
  <c r="Y583" i="13"/>
  <c r="Y584" i="13"/>
  <c r="Y585" i="13"/>
  <c r="Y586" i="13"/>
  <c r="Y587" i="13"/>
  <c r="Y588" i="13"/>
  <c r="Y589" i="13"/>
  <c r="Y590" i="13"/>
  <c r="Y591" i="13"/>
  <c r="Y592" i="13"/>
  <c r="Y593" i="13"/>
  <c r="Y594" i="13"/>
  <c r="Y595" i="13"/>
  <c r="Y596" i="13"/>
  <c r="Y597" i="13"/>
  <c r="Y598" i="13"/>
  <c r="Y599" i="13"/>
  <c r="Y600" i="13"/>
  <c r="Y601" i="13"/>
  <c r="Y602" i="13"/>
  <c r="Y603" i="13"/>
  <c r="Y604" i="13"/>
  <c r="Y605" i="13"/>
  <c r="Y606" i="13"/>
  <c r="Y607" i="13"/>
  <c r="Y608" i="13"/>
  <c r="Y609" i="13"/>
  <c r="Y610" i="13"/>
  <c r="Y611" i="13"/>
  <c r="Y612" i="13"/>
  <c r="Y613" i="13"/>
  <c r="Y614" i="13"/>
  <c r="Y615" i="13"/>
  <c r="Y616" i="13"/>
  <c r="Y617" i="13"/>
  <c r="Y618" i="13"/>
  <c r="Y619" i="13"/>
  <c r="Y620" i="13"/>
  <c r="Y621" i="13"/>
  <c r="Y622" i="13"/>
  <c r="Y623" i="13"/>
  <c r="Y624" i="13"/>
  <c r="Y625" i="13"/>
  <c r="Y626" i="13"/>
  <c r="Y627" i="13"/>
  <c r="Y628" i="13"/>
  <c r="Y629" i="13"/>
  <c r="Y630" i="13"/>
  <c r="Y631" i="13"/>
  <c r="Y632" i="13"/>
  <c r="Y633" i="13"/>
  <c r="Y634" i="13"/>
  <c r="Y635" i="13"/>
  <c r="Y636" i="13"/>
  <c r="Y637" i="13"/>
  <c r="Y638" i="13"/>
  <c r="Y639" i="13"/>
  <c r="Y640" i="13"/>
  <c r="Y641" i="13"/>
  <c r="Y642" i="13"/>
  <c r="Y643" i="13"/>
  <c r="Y644" i="13"/>
  <c r="Y645" i="13"/>
  <c r="Y646" i="13"/>
  <c r="Y647" i="13"/>
  <c r="Y648" i="13"/>
  <c r="Y649" i="13"/>
  <c r="Y650" i="13"/>
  <c r="Y651" i="13"/>
  <c r="Y652" i="13"/>
  <c r="Y653" i="13"/>
  <c r="Y654" i="13"/>
  <c r="Y655" i="13"/>
  <c r="Y656" i="13"/>
  <c r="Y657" i="13"/>
  <c r="Y658" i="13"/>
  <c r="Y659" i="13"/>
  <c r="Y660" i="13"/>
  <c r="Y661" i="13"/>
  <c r="Y662" i="13"/>
  <c r="Y663" i="13"/>
  <c r="Y664" i="13"/>
  <c r="Y665" i="13"/>
  <c r="Y666" i="13"/>
  <c r="Y667" i="13"/>
  <c r="Y668" i="13"/>
  <c r="Y669" i="13"/>
  <c r="Y670" i="13"/>
  <c r="Y671" i="13"/>
  <c r="Y672" i="13"/>
  <c r="Y673" i="13"/>
  <c r="Y674" i="13"/>
  <c r="Y675" i="13"/>
  <c r="Y676" i="13"/>
  <c r="Y677" i="13"/>
  <c r="Y678" i="13"/>
  <c r="Y679" i="13"/>
  <c r="Y680" i="13"/>
  <c r="Y681" i="13"/>
  <c r="Y682" i="13"/>
  <c r="Y683" i="13"/>
  <c r="Y684" i="13"/>
  <c r="Y685" i="13"/>
  <c r="Y686" i="13"/>
  <c r="Y687" i="13"/>
  <c r="Y688" i="13"/>
  <c r="Y689" i="13"/>
  <c r="Y690" i="13"/>
  <c r="Y691" i="13"/>
  <c r="Y692" i="13"/>
  <c r="Y693" i="13"/>
  <c r="Y694" i="13"/>
  <c r="Y695" i="13"/>
  <c r="Y696" i="13"/>
  <c r="Y697" i="13"/>
  <c r="Y698" i="13"/>
  <c r="Y699" i="13"/>
  <c r="Y700" i="13"/>
  <c r="Y701" i="13"/>
  <c r="Y702" i="13"/>
  <c r="Y703" i="13"/>
  <c r="Y704" i="13"/>
  <c r="Y705" i="13"/>
  <c r="Y706" i="13"/>
  <c r="Y707" i="13"/>
  <c r="Y708" i="13"/>
  <c r="Y709" i="13"/>
  <c r="Y710" i="13"/>
  <c r="Y711" i="13"/>
  <c r="Y712" i="13"/>
  <c r="Y713" i="13"/>
  <c r="Y714" i="13"/>
  <c r="Y715" i="13"/>
  <c r="Y716" i="13"/>
  <c r="Y717" i="13"/>
  <c r="Y718" i="13"/>
  <c r="Y719" i="13"/>
  <c r="Y720" i="13"/>
  <c r="Y721" i="13"/>
  <c r="Y722" i="13"/>
  <c r="Y723" i="13"/>
  <c r="Y724" i="13"/>
  <c r="Y725" i="13"/>
  <c r="Y726" i="13"/>
  <c r="Y727" i="13"/>
  <c r="Y728" i="13"/>
  <c r="Y729" i="13"/>
  <c r="Y730" i="13"/>
  <c r="Y731" i="13"/>
  <c r="Y732" i="13"/>
  <c r="Y733" i="13"/>
  <c r="Y734" i="13"/>
  <c r="Y735" i="13"/>
  <c r="Y736" i="13"/>
  <c r="Y737" i="13"/>
  <c r="Y738" i="13"/>
  <c r="Y739" i="13"/>
  <c r="Y740" i="13"/>
  <c r="Y741" i="13"/>
  <c r="Y742" i="13"/>
  <c r="Y743" i="13"/>
  <c r="Y744" i="13"/>
  <c r="Y745" i="13"/>
  <c r="Y746" i="13"/>
  <c r="Y747" i="13"/>
  <c r="Y748" i="13"/>
  <c r="Y749" i="13"/>
  <c r="Y750" i="13"/>
  <c r="Y751" i="13"/>
  <c r="Y752" i="13"/>
  <c r="Y753" i="13"/>
  <c r="Y754" i="13"/>
  <c r="Y755" i="13"/>
  <c r="Y756" i="13"/>
  <c r="Y757" i="13"/>
  <c r="Y758" i="13"/>
  <c r="Y759" i="13"/>
  <c r="Y760" i="13"/>
  <c r="Y761" i="13"/>
  <c r="Y762" i="13"/>
  <c r="Y763" i="13"/>
  <c r="Y764" i="13"/>
  <c r="Y765" i="13"/>
  <c r="Y766" i="13"/>
  <c r="Y767" i="13"/>
  <c r="Y768" i="13"/>
  <c r="Y769" i="13"/>
  <c r="Y770" i="13"/>
  <c r="Y771" i="13"/>
  <c r="Y772" i="13"/>
  <c r="Y773" i="13"/>
  <c r="Y774" i="13"/>
  <c r="Y775" i="13"/>
  <c r="Y776" i="13"/>
  <c r="Y777" i="13"/>
  <c r="Y778" i="13"/>
  <c r="Y779" i="13"/>
  <c r="Y780" i="13"/>
  <c r="Y781" i="13"/>
  <c r="Y782" i="13"/>
  <c r="Y783" i="13"/>
  <c r="Y784" i="13"/>
  <c r="Y785" i="13"/>
  <c r="Y786" i="13"/>
  <c r="Y787" i="13"/>
  <c r="Y788" i="13"/>
  <c r="Y789" i="13"/>
  <c r="Y790" i="13"/>
  <c r="Y791" i="13"/>
  <c r="Y792" i="13"/>
  <c r="Y793" i="13"/>
  <c r="Y794" i="13"/>
  <c r="Y795" i="13"/>
  <c r="Y796" i="13"/>
  <c r="Y797" i="13"/>
  <c r="Y798" i="13"/>
  <c r="Y799" i="13"/>
  <c r="Y800" i="13"/>
  <c r="Y801" i="13"/>
  <c r="Y802" i="13"/>
  <c r="Y803" i="13"/>
  <c r="Y804" i="13"/>
  <c r="Y805" i="13"/>
  <c r="Y806" i="13"/>
  <c r="Y807" i="13"/>
  <c r="Y808" i="13"/>
  <c r="Y809" i="13"/>
  <c r="Y810" i="13"/>
  <c r="Y811" i="13"/>
  <c r="Y812" i="13"/>
  <c r="Y813" i="13"/>
  <c r="Y814" i="13"/>
  <c r="Y815" i="13"/>
  <c r="Y816" i="13"/>
  <c r="Y817" i="13"/>
  <c r="Y818" i="13"/>
  <c r="Y819" i="13"/>
  <c r="Y820" i="13"/>
  <c r="Y821" i="13"/>
  <c r="Y822" i="13"/>
  <c r="Y823" i="13"/>
  <c r="Y824" i="13"/>
  <c r="Y825" i="13"/>
  <c r="Y826" i="13"/>
  <c r="Y827" i="13"/>
  <c r="Y828" i="13"/>
  <c r="Y829" i="13"/>
  <c r="Y830" i="13"/>
  <c r="Y831" i="13"/>
  <c r="Y832" i="13"/>
  <c r="Y833" i="13"/>
  <c r="Y834" i="13"/>
  <c r="Y835" i="13"/>
  <c r="Y836" i="13"/>
  <c r="Y837" i="13"/>
  <c r="Y838" i="13"/>
  <c r="Y839" i="13"/>
  <c r="Y840" i="13"/>
  <c r="Y841" i="13"/>
  <c r="Y842" i="13"/>
  <c r="Y843" i="13"/>
  <c r="Y844" i="13"/>
  <c r="Y845" i="13"/>
  <c r="Y846" i="13"/>
  <c r="Y847" i="13"/>
  <c r="Y848" i="13"/>
  <c r="Y849" i="13"/>
  <c r="Y850" i="13"/>
  <c r="Y851" i="13"/>
  <c r="Y852" i="13"/>
  <c r="Y853" i="13"/>
  <c r="Y854" i="13"/>
  <c r="Y855" i="13"/>
  <c r="Y856" i="13"/>
  <c r="Y857" i="13"/>
  <c r="Y858" i="13"/>
  <c r="Y859" i="13"/>
  <c r="Y860" i="13"/>
  <c r="Y861" i="13"/>
  <c r="Y862" i="13"/>
  <c r="Y863" i="13"/>
  <c r="Y864" i="13"/>
  <c r="Y865" i="13"/>
  <c r="Y866" i="13"/>
  <c r="Y867" i="13"/>
  <c r="Y868" i="13"/>
  <c r="Y869" i="13"/>
  <c r="Y870" i="13"/>
  <c r="Y871" i="13"/>
  <c r="Y872" i="13"/>
  <c r="Y873" i="13"/>
  <c r="Y874" i="13"/>
  <c r="Y875" i="13"/>
  <c r="Y876" i="13"/>
  <c r="Y877" i="13"/>
  <c r="Y878" i="13"/>
  <c r="Y879" i="13"/>
  <c r="Y880" i="13"/>
  <c r="Y881" i="13"/>
  <c r="Y882" i="13"/>
  <c r="Y883" i="13"/>
  <c r="Y884" i="13"/>
  <c r="Y885" i="13"/>
  <c r="Y886" i="13"/>
  <c r="Y887" i="13"/>
  <c r="Y888" i="13"/>
  <c r="Y889" i="13"/>
  <c r="Y890" i="13"/>
  <c r="Y891" i="13"/>
  <c r="Y892" i="13"/>
  <c r="Y893" i="13"/>
  <c r="Y894" i="13"/>
  <c r="Y895" i="13"/>
  <c r="Y896" i="13"/>
  <c r="Y897" i="13"/>
  <c r="Y898" i="13"/>
  <c r="Y899" i="13"/>
  <c r="Y900" i="13"/>
  <c r="Y901" i="13"/>
  <c r="Y902" i="13"/>
  <c r="Y903" i="13"/>
  <c r="Y904" i="13"/>
  <c r="Y905" i="13"/>
  <c r="Y906" i="13"/>
  <c r="Y907" i="13"/>
  <c r="Y908" i="13"/>
  <c r="Y909" i="13"/>
  <c r="X2" i="13"/>
  <c r="X3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X88" i="13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102" i="13"/>
  <c r="X103" i="13"/>
  <c r="X104" i="13"/>
  <c r="X105" i="13"/>
  <c r="X106" i="13"/>
  <c r="X107" i="13"/>
  <c r="X108" i="13"/>
  <c r="X109" i="13"/>
  <c r="X110" i="13"/>
  <c r="X111" i="13"/>
  <c r="X112" i="13"/>
  <c r="X113" i="13"/>
  <c r="X114" i="13"/>
  <c r="X115" i="13"/>
  <c r="X116" i="13"/>
  <c r="X117" i="13"/>
  <c r="X118" i="13"/>
  <c r="X119" i="13"/>
  <c r="X120" i="13"/>
  <c r="X121" i="13"/>
  <c r="X122" i="13"/>
  <c r="X123" i="13"/>
  <c r="X124" i="13"/>
  <c r="X125" i="13"/>
  <c r="X126" i="13"/>
  <c r="X127" i="13"/>
  <c r="X128" i="13"/>
  <c r="X129" i="13"/>
  <c r="X130" i="13"/>
  <c r="X131" i="13"/>
  <c r="X132" i="13"/>
  <c r="X133" i="13"/>
  <c r="X134" i="13"/>
  <c r="X135" i="13"/>
  <c r="X136" i="13"/>
  <c r="X137" i="13"/>
  <c r="X138" i="13"/>
  <c r="X139" i="13"/>
  <c r="X140" i="13"/>
  <c r="X141" i="13"/>
  <c r="X142" i="13"/>
  <c r="X143" i="13"/>
  <c r="X144" i="13"/>
  <c r="X145" i="13"/>
  <c r="X146" i="13"/>
  <c r="X147" i="13"/>
  <c r="X148" i="13"/>
  <c r="X149" i="13"/>
  <c r="X150" i="13"/>
  <c r="X151" i="13"/>
  <c r="X152" i="13"/>
  <c r="X153" i="13"/>
  <c r="X154" i="13"/>
  <c r="X155" i="13"/>
  <c r="X156" i="13"/>
  <c r="X157" i="13"/>
  <c r="X158" i="13"/>
  <c r="X159" i="13"/>
  <c r="X160" i="13"/>
  <c r="X161" i="13"/>
  <c r="X162" i="13"/>
  <c r="X163" i="13"/>
  <c r="X164" i="13"/>
  <c r="X165" i="13"/>
  <c r="X166" i="13"/>
  <c r="X167" i="13"/>
  <c r="X168" i="13"/>
  <c r="X169" i="13"/>
  <c r="X170" i="13"/>
  <c r="X171" i="13"/>
  <c r="X172" i="13"/>
  <c r="X173" i="13"/>
  <c r="X174" i="13"/>
  <c r="X175" i="13"/>
  <c r="X176" i="13"/>
  <c r="X177" i="13"/>
  <c r="X178" i="13"/>
  <c r="X179" i="13"/>
  <c r="X180" i="13"/>
  <c r="X181" i="13"/>
  <c r="X182" i="13"/>
  <c r="X183" i="13"/>
  <c r="X184" i="13"/>
  <c r="X185" i="13"/>
  <c r="X186" i="13"/>
  <c r="X187" i="13"/>
  <c r="X188" i="13"/>
  <c r="X189" i="13"/>
  <c r="X190" i="13"/>
  <c r="X191" i="13"/>
  <c r="X192" i="13"/>
  <c r="X193" i="13"/>
  <c r="X194" i="13"/>
  <c r="X195" i="13"/>
  <c r="X196" i="13"/>
  <c r="X197" i="13"/>
  <c r="X198" i="13"/>
  <c r="X199" i="13"/>
  <c r="X200" i="13"/>
  <c r="X201" i="13"/>
  <c r="X202" i="13"/>
  <c r="X203" i="13"/>
  <c r="X204" i="13"/>
  <c r="X205" i="13"/>
  <c r="X206" i="13"/>
  <c r="X207" i="13"/>
  <c r="X208" i="13"/>
  <c r="X209" i="13"/>
  <c r="X210" i="13"/>
  <c r="X211" i="13"/>
  <c r="X212" i="13"/>
  <c r="X213" i="13"/>
  <c r="X214" i="13"/>
  <c r="X215" i="13"/>
  <c r="X216" i="13"/>
  <c r="X217" i="13"/>
  <c r="X218" i="13"/>
  <c r="X219" i="13"/>
  <c r="X220" i="13"/>
  <c r="X221" i="13"/>
  <c r="X222" i="13"/>
  <c r="X223" i="13"/>
  <c r="X224" i="13"/>
  <c r="X225" i="13"/>
  <c r="X226" i="13"/>
  <c r="X227" i="13"/>
  <c r="X228" i="13"/>
  <c r="X229" i="13"/>
  <c r="X230" i="13"/>
  <c r="X231" i="13"/>
  <c r="X232" i="13"/>
  <c r="X233" i="13"/>
  <c r="X234" i="13"/>
  <c r="X235" i="13"/>
  <c r="X236" i="13"/>
  <c r="X237" i="13"/>
  <c r="X238" i="13"/>
  <c r="X239" i="13"/>
  <c r="X240" i="13"/>
  <c r="X241" i="13"/>
  <c r="X242" i="13"/>
  <c r="X243" i="13"/>
  <c r="X244" i="13"/>
  <c r="X245" i="13"/>
  <c r="X246" i="13"/>
  <c r="X247" i="13"/>
  <c r="X248" i="13"/>
  <c r="X249" i="13"/>
  <c r="X250" i="13"/>
  <c r="X251" i="13"/>
  <c r="X252" i="13"/>
  <c r="X253" i="13"/>
  <c r="X254" i="13"/>
  <c r="X255" i="13"/>
  <c r="X256" i="13"/>
  <c r="X257" i="13"/>
  <c r="X258" i="13"/>
  <c r="X259" i="13"/>
  <c r="X260" i="13"/>
  <c r="X261" i="13"/>
  <c r="X262" i="13"/>
  <c r="X263" i="13"/>
  <c r="X264" i="13"/>
  <c r="X265" i="13"/>
  <c r="X266" i="13"/>
  <c r="X267" i="13"/>
  <c r="X268" i="13"/>
  <c r="X269" i="13"/>
  <c r="X270" i="13"/>
  <c r="X271" i="13"/>
  <c r="X272" i="13"/>
  <c r="X273" i="13"/>
  <c r="X274" i="13"/>
  <c r="X275" i="13"/>
  <c r="X276" i="13"/>
  <c r="X277" i="13"/>
  <c r="X278" i="13"/>
  <c r="X279" i="13"/>
  <c r="X280" i="13"/>
  <c r="X281" i="13"/>
  <c r="X282" i="13"/>
  <c r="X283" i="13"/>
  <c r="X284" i="13"/>
  <c r="X285" i="13"/>
  <c r="X286" i="13"/>
  <c r="X287" i="13"/>
  <c r="X288" i="13"/>
  <c r="X289" i="13"/>
  <c r="X290" i="13"/>
  <c r="X291" i="13"/>
  <c r="X292" i="13"/>
  <c r="X293" i="13"/>
  <c r="X294" i="13"/>
  <c r="X295" i="13"/>
  <c r="X296" i="13"/>
  <c r="X297" i="13"/>
  <c r="X298" i="13"/>
  <c r="X299" i="13"/>
  <c r="X300" i="13"/>
  <c r="X301" i="13"/>
  <c r="X302" i="13"/>
  <c r="X303" i="13"/>
  <c r="X304" i="13"/>
  <c r="X305" i="13"/>
  <c r="X306" i="13"/>
  <c r="X307" i="13"/>
  <c r="X308" i="13"/>
  <c r="X309" i="13"/>
  <c r="X310" i="13"/>
  <c r="X311" i="13"/>
  <c r="X312" i="13"/>
  <c r="X313" i="13"/>
  <c r="X314" i="13"/>
  <c r="X315" i="13"/>
  <c r="X316" i="13"/>
  <c r="X317" i="13"/>
  <c r="X318" i="13"/>
  <c r="X319" i="13"/>
  <c r="X320" i="13"/>
  <c r="X321" i="13"/>
  <c r="X322" i="13"/>
  <c r="X323" i="13"/>
  <c r="X324" i="13"/>
  <c r="X325" i="13"/>
  <c r="X326" i="13"/>
  <c r="X327" i="13"/>
  <c r="X328" i="13"/>
  <c r="X329" i="13"/>
  <c r="X330" i="13"/>
  <c r="X331" i="13"/>
  <c r="X332" i="13"/>
  <c r="X333" i="13"/>
  <c r="X334" i="13"/>
  <c r="X335" i="13"/>
  <c r="X336" i="13"/>
  <c r="X337" i="13"/>
  <c r="X338" i="13"/>
  <c r="X339" i="13"/>
  <c r="X340" i="13"/>
  <c r="X341" i="13"/>
  <c r="X342" i="13"/>
  <c r="X343" i="13"/>
  <c r="X344" i="13"/>
  <c r="X345" i="13"/>
  <c r="X346" i="13"/>
  <c r="X347" i="13"/>
  <c r="X348" i="13"/>
  <c r="X349" i="13"/>
  <c r="X350" i="13"/>
  <c r="X351" i="13"/>
  <c r="X352" i="13"/>
  <c r="X353" i="13"/>
  <c r="X354" i="13"/>
  <c r="X355" i="13"/>
  <c r="X356" i="13"/>
  <c r="X357" i="13"/>
  <c r="X358" i="13"/>
  <c r="X359" i="13"/>
  <c r="X360" i="13"/>
  <c r="X361" i="13"/>
  <c r="X362" i="13"/>
  <c r="X363" i="13"/>
  <c r="X364" i="13"/>
  <c r="X365" i="13"/>
  <c r="X366" i="13"/>
  <c r="X367" i="13"/>
  <c r="X368" i="13"/>
  <c r="X369" i="13"/>
  <c r="X370" i="13"/>
  <c r="X371" i="13"/>
  <c r="X372" i="13"/>
  <c r="X373" i="13"/>
  <c r="X374" i="13"/>
  <c r="X375" i="13"/>
  <c r="X376" i="13"/>
  <c r="X377" i="13"/>
  <c r="X378" i="13"/>
  <c r="X379" i="13"/>
  <c r="X380" i="13"/>
  <c r="X381" i="13"/>
  <c r="X382" i="13"/>
  <c r="X383" i="13"/>
  <c r="X384" i="13"/>
  <c r="X385" i="13"/>
  <c r="X386" i="13"/>
  <c r="X387" i="13"/>
  <c r="X388" i="13"/>
  <c r="X389" i="13"/>
  <c r="X390" i="13"/>
  <c r="X391" i="13"/>
  <c r="X392" i="13"/>
  <c r="X393" i="13"/>
  <c r="X394" i="13"/>
  <c r="X395" i="13"/>
  <c r="X396" i="13"/>
  <c r="X397" i="13"/>
  <c r="X398" i="13"/>
  <c r="X399" i="13"/>
  <c r="X400" i="13"/>
  <c r="X401" i="13"/>
  <c r="X402" i="13"/>
  <c r="X403" i="13"/>
  <c r="X404" i="13"/>
  <c r="X405" i="13"/>
  <c r="X406" i="13"/>
  <c r="X407" i="13"/>
  <c r="X408" i="13"/>
  <c r="X409" i="13"/>
  <c r="X410" i="13"/>
  <c r="X411" i="13"/>
  <c r="X412" i="13"/>
  <c r="X413" i="13"/>
  <c r="X414" i="13"/>
  <c r="X415" i="13"/>
  <c r="X416" i="13"/>
  <c r="X417" i="13"/>
  <c r="X418" i="13"/>
  <c r="X419" i="13"/>
  <c r="X420" i="13"/>
  <c r="X421" i="13"/>
  <c r="X422" i="13"/>
  <c r="X423" i="13"/>
  <c r="X424" i="13"/>
  <c r="X425" i="13"/>
  <c r="X426" i="13"/>
  <c r="X427" i="13"/>
  <c r="X428" i="13"/>
  <c r="X429" i="13"/>
  <c r="X430" i="13"/>
  <c r="X431" i="13"/>
  <c r="X432" i="13"/>
  <c r="X433" i="13"/>
  <c r="X434" i="13"/>
  <c r="X435" i="13"/>
  <c r="X436" i="13"/>
  <c r="X437" i="13"/>
  <c r="X438" i="13"/>
  <c r="X439" i="13"/>
  <c r="X440" i="13"/>
  <c r="X441" i="13"/>
  <c r="X442" i="13"/>
  <c r="X443" i="13"/>
  <c r="X444" i="13"/>
  <c r="X445" i="13"/>
  <c r="X446" i="13"/>
  <c r="X447" i="13"/>
  <c r="X448" i="13"/>
  <c r="X449" i="13"/>
  <c r="X450" i="13"/>
  <c r="X451" i="13"/>
  <c r="X452" i="13"/>
  <c r="X453" i="13"/>
  <c r="X454" i="13"/>
  <c r="X455" i="13"/>
  <c r="X456" i="13"/>
  <c r="X457" i="13"/>
  <c r="X458" i="13"/>
  <c r="X459" i="13"/>
  <c r="X460" i="13"/>
  <c r="X461" i="13"/>
  <c r="X462" i="13"/>
  <c r="X463" i="13"/>
  <c r="X464" i="13"/>
  <c r="X465" i="13"/>
  <c r="X466" i="13"/>
  <c r="X467" i="13"/>
  <c r="X468" i="13"/>
  <c r="X469" i="13"/>
  <c r="X470" i="13"/>
  <c r="X471" i="13"/>
  <c r="X472" i="13"/>
  <c r="X473" i="13"/>
  <c r="X474" i="13"/>
  <c r="X475" i="13"/>
  <c r="X476" i="13"/>
  <c r="X477" i="13"/>
  <c r="X478" i="13"/>
  <c r="X479" i="13"/>
  <c r="X480" i="13"/>
  <c r="X481" i="13"/>
  <c r="X482" i="13"/>
  <c r="X483" i="13"/>
  <c r="X484" i="13"/>
  <c r="X485" i="13"/>
  <c r="X486" i="13"/>
  <c r="X487" i="13"/>
  <c r="X488" i="13"/>
  <c r="X489" i="13"/>
  <c r="X490" i="13"/>
  <c r="X491" i="13"/>
  <c r="X492" i="13"/>
  <c r="X493" i="13"/>
  <c r="X494" i="13"/>
  <c r="X495" i="13"/>
  <c r="X496" i="13"/>
  <c r="X497" i="13"/>
  <c r="X498" i="13"/>
  <c r="X499" i="13"/>
  <c r="X500" i="13"/>
  <c r="X501" i="13"/>
  <c r="X502" i="13"/>
  <c r="X503" i="13"/>
  <c r="X504" i="13"/>
  <c r="X505" i="13"/>
  <c r="X506" i="13"/>
  <c r="X507" i="13"/>
  <c r="X508" i="13"/>
  <c r="X509" i="13"/>
  <c r="X510" i="13"/>
  <c r="X511" i="13"/>
  <c r="X512" i="13"/>
  <c r="X513" i="13"/>
  <c r="X514" i="13"/>
  <c r="X515" i="13"/>
  <c r="X516" i="13"/>
  <c r="X517" i="13"/>
  <c r="X518" i="13"/>
  <c r="X519" i="13"/>
  <c r="X520" i="13"/>
  <c r="X521" i="13"/>
  <c r="X522" i="13"/>
  <c r="X523" i="13"/>
  <c r="X524" i="13"/>
  <c r="X525" i="13"/>
  <c r="X526" i="13"/>
  <c r="X527" i="13"/>
  <c r="X528" i="13"/>
  <c r="X529" i="13"/>
  <c r="X530" i="13"/>
  <c r="X531" i="13"/>
  <c r="X532" i="13"/>
  <c r="X533" i="13"/>
  <c r="X534" i="13"/>
  <c r="X535" i="13"/>
  <c r="X536" i="13"/>
  <c r="X537" i="13"/>
  <c r="X538" i="13"/>
  <c r="X539" i="13"/>
  <c r="X540" i="13"/>
  <c r="X541" i="13"/>
  <c r="X542" i="13"/>
  <c r="X543" i="13"/>
  <c r="X544" i="13"/>
  <c r="X545" i="13"/>
  <c r="X546" i="13"/>
  <c r="X547" i="13"/>
  <c r="X548" i="13"/>
  <c r="X549" i="13"/>
  <c r="X550" i="13"/>
  <c r="X551" i="13"/>
  <c r="X552" i="13"/>
  <c r="X553" i="13"/>
  <c r="X554" i="13"/>
  <c r="X555" i="13"/>
  <c r="X556" i="13"/>
  <c r="X557" i="13"/>
  <c r="X558" i="13"/>
  <c r="X559" i="13"/>
  <c r="X560" i="13"/>
  <c r="X561" i="13"/>
  <c r="X562" i="13"/>
  <c r="X563" i="13"/>
  <c r="X564" i="13"/>
  <c r="X565" i="13"/>
  <c r="X566" i="13"/>
  <c r="X567" i="13"/>
  <c r="X568" i="13"/>
  <c r="X569" i="13"/>
  <c r="X570" i="13"/>
  <c r="X571" i="13"/>
  <c r="X572" i="13"/>
  <c r="X573" i="13"/>
  <c r="X574" i="13"/>
  <c r="X575" i="13"/>
  <c r="X576" i="13"/>
  <c r="X577" i="13"/>
  <c r="X578" i="13"/>
  <c r="X579" i="13"/>
  <c r="X580" i="13"/>
  <c r="X581" i="13"/>
  <c r="X582" i="13"/>
  <c r="X583" i="13"/>
  <c r="X584" i="13"/>
  <c r="X585" i="13"/>
  <c r="X586" i="13"/>
  <c r="X587" i="13"/>
  <c r="X588" i="13"/>
  <c r="X589" i="13"/>
  <c r="X590" i="13"/>
  <c r="X591" i="13"/>
  <c r="X592" i="13"/>
  <c r="X593" i="13"/>
  <c r="X594" i="13"/>
  <c r="X595" i="13"/>
  <c r="X596" i="13"/>
  <c r="X597" i="13"/>
  <c r="X598" i="13"/>
  <c r="X599" i="13"/>
  <c r="X600" i="13"/>
  <c r="X601" i="13"/>
  <c r="X602" i="13"/>
  <c r="X603" i="13"/>
  <c r="X604" i="13"/>
  <c r="X605" i="13"/>
  <c r="X606" i="13"/>
  <c r="X607" i="13"/>
  <c r="X608" i="13"/>
  <c r="X609" i="13"/>
  <c r="X610" i="13"/>
  <c r="X611" i="13"/>
  <c r="X612" i="13"/>
  <c r="X613" i="13"/>
  <c r="X614" i="13"/>
  <c r="X615" i="13"/>
  <c r="X616" i="13"/>
  <c r="X617" i="13"/>
  <c r="X618" i="13"/>
  <c r="X619" i="13"/>
  <c r="X620" i="13"/>
  <c r="X621" i="13"/>
  <c r="X622" i="13"/>
  <c r="X623" i="13"/>
  <c r="X624" i="13"/>
  <c r="X625" i="13"/>
  <c r="X626" i="13"/>
  <c r="X627" i="13"/>
  <c r="X628" i="13"/>
  <c r="X629" i="13"/>
  <c r="X630" i="13"/>
  <c r="X631" i="13"/>
  <c r="X632" i="13"/>
  <c r="X633" i="13"/>
  <c r="X634" i="13"/>
  <c r="X635" i="13"/>
  <c r="X636" i="13"/>
  <c r="X637" i="13"/>
  <c r="X638" i="13"/>
  <c r="X639" i="13"/>
  <c r="X640" i="13"/>
  <c r="X641" i="13"/>
  <c r="X642" i="13"/>
  <c r="X643" i="13"/>
  <c r="X644" i="13"/>
  <c r="X645" i="13"/>
  <c r="X646" i="13"/>
  <c r="X647" i="13"/>
  <c r="X648" i="13"/>
  <c r="X649" i="13"/>
  <c r="X650" i="13"/>
  <c r="X651" i="13"/>
  <c r="X652" i="13"/>
  <c r="X653" i="13"/>
  <c r="X654" i="13"/>
  <c r="X655" i="13"/>
  <c r="X656" i="13"/>
  <c r="X657" i="13"/>
  <c r="X658" i="13"/>
  <c r="X659" i="13"/>
  <c r="X660" i="13"/>
  <c r="X661" i="13"/>
  <c r="X662" i="13"/>
  <c r="X663" i="13"/>
  <c r="X664" i="13"/>
  <c r="X665" i="13"/>
  <c r="X666" i="13"/>
  <c r="X667" i="13"/>
  <c r="X668" i="13"/>
  <c r="X669" i="13"/>
  <c r="X670" i="13"/>
  <c r="X671" i="13"/>
  <c r="X672" i="13"/>
  <c r="X673" i="13"/>
  <c r="X674" i="13"/>
  <c r="X675" i="13"/>
  <c r="X676" i="13"/>
  <c r="X677" i="13"/>
  <c r="X678" i="13"/>
  <c r="X679" i="13"/>
  <c r="X680" i="13"/>
  <c r="X681" i="13"/>
  <c r="X682" i="13"/>
  <c r="X683" i="13"/>
  <c r="X684" i="13"/>
  <c r="X685" i="13"/>
  <c r="X686" i="13"/>
  <c r="X687" i="13"/>
  <c r="X688" i="13"/>
  <c r="X689" i="13"/>
  <c r="X690" i="13"/>
  <c r="X691" i="13"/>
  <c r="X692" i="13"/>
  <c r="X693" i="13"/>
  <c r="X694" i="13"/>
  <c r="X695" i="13"/>
  <c r="X696" i="13"/>
  <c r="X697" i="13"/>
  <c r="X698" i="13"/>
  <c r="X699" i="13"/>
  <c r="X700" i="13"/>
  <c r="X701" i="13"/>
  <c r="X702" i="13"/>
  <c r="X703" i="13"/>
  <c r="X704" i="13"/>
  <c r="X705" i="13"/>
  <c r="X706" i="13"/>
  <c r="X707" i="13"/>
  <c r="X708" i="13"/>
  <c r="X709" i="13"/>
  <c r="X710" i="13"/>
  <c r="X711" i="13"/>
  <c r="X712" i="13"/>
  <c r="X713" i="13"/>
  <c r="X714" i="13"/>
  <c r="X715" i="13"/>
  <c r="X716" i="13"/>
  <c r="X717" i="13"/>
  <c r="X718" i="13"/>
  <c r="X719" i="13"/>
  <c r="X720" i="13"/>
  <c r="X721" i="13"/>
  <c r="X722" i="13"/>
  <c r="X723" i="13"/>
  <c r="X724" i="13"/>
  <c r="X725" i="13"/>
  <c r="X726" i="13"/>
  <c r="X727" i="13"/>
  <c r="X728" i="13"/>
  <c r="X729" i="13"/>
  <c r="X730" i="13"/>
  <c r="X731" i="13"/>
  <c r="X732" i="13"/>
  <c r="X733" i="13"/>
  <c r="X734" i="13"/>
  <c r="X735" i="13"/>
  <c r="X736" i="13"/>
  <c r="X737" i="13"/>
  <c r="X738" i="13"/>
  <c r="X739" i="13"/>
  <c r="X740" i="13"/>
  <c r="X741" i="13"/>
  <c r="X742" i="13"/>
  <c r="X743" i="13"/>
  <c r="X744" i="13"/>
  <c r="X745" i="13"/>
  <c r="X746" i="13"/>
  <c r="X747" i="13"/>
  <c r="X748" i="13"/>
  <c r="X749" i="13"/>
  <c r="X750" i="13"/>
  <c r="X751" i="13"/>
  <c r="X752" i="13"/>
  <c r="X753" i="13"/>
  <c r="X754" i="13"/>
  <c r="X755" i="13"/>
  <c r="X756" i="13"/>
  <c r="X757" i="13"/>
  <c r="X758" i="13"/>
  <c r="X759" i="13"/>
  <c r="X760" i="13"/>
  <c r="X761" i="13"/>
  <c r="X762" i="13"/>
  <c r="X763" i="13"/>
  <c r="X764" i="13"/>
  <c r="X765" i="13"/>
  <c r="X766" i="13"/>
  <c r="X767" i="13"/>
  <c r="X768" i="13"/>
  <c r="X769" i="13"/>
  <c r="X770" i="13"/>
  <c r="X771" i="13"/>
  <c r="X772" i="13"/>
  <c r="X773" i="13"/>
  <c r="X774" i="13"/>
  <c r="X775" i="13"/>
  <c r="X776" i="13"/>
  <c r="X777" i="13"/>
  <c r="X778" i="13"/>
  <c r="X779" i="13"/>
  <c r="X780" i="13"/>
  <c r="X781" i="13"/>
  <c r="X782" i="13"/>
  <c r="X783" i="13"/>
  <c r="X784" i="13"/>
  <c r="X785" i="13"/>
  <c r="X786" i="13"/>
  <c r="X787" i="13"/>
  <c r="X788" i="13"/>
  <c r="X789" i="13"/>
  <c r="X790" i="13"/>
  <c r="X791" i="13"/>
  <c r="X792" i="13"/>
  <c r="X793" i="13"/>
  <c r="X794" i="13"/>
  <c r="X795" i="13"/>
  <c r="X796" i="13"/>
  <c r="X797" i="13"/>
  <c r="X798" i="13"/>
  <c r="X799" i="13"/>
  <c r="X800" i="13"/>
  <c r="X801" i="13"/>
  <c r="X802" i="13"/>
  <c r="X803" i="13"/>
  <c r="X804" i="13"/>
  <c r="X805" i="13"/>
  <c r="X806" i="13"/>
  <c r="X807" i="13"/>
  <c r="X808" i="13"/>
  <c r="X809" i="13"/>
  <c r="X810" i="13"/>
  <c r="X811" i="13"/>
  <c r="X812" i="13"/>
  <c r="X813" i="13"/>
  <c r="X814" i="13"/>
  <c r="X815" i="13"/>
  <c r="X816" i="13"/>
  <c r="X817" i="13"/>
  <c r="X818" i="13"/>
  <c r="X819" i="13"/>
  <c r="X820" i="13"/>
  <c r="X821" i="13"/>
  <c r="X822" i="13"/>
  <c r="X823" i="13"/>
  <c r="X824" i="13"/>
  <c r="X825" i="13"/>
  <c r="X826" i="13"/>
  <c r="X827" i="13"/>
  <c r="X828" i="13"/>
  <c r="X829" i="13"/>
  <c r="X830" i="13"/>
  <c r="X831" i="13"/>
  <c r="X832" i="13"/>
  <c r="X833" i="13"/>
  <c r="X834" i="13"/>
  <c r="X835" i="13"/>
  <c r="X836" i="13"/>
  <c r="X837" i="13"/>
  <c r="X838" i="13"/>
  <c r="X839" i="13"/>
  <c r="X840" i="13"/>
  <c r="X841" i="13"/>
  <c r="X842" i="13"/>
  <c r="X843" i="13"/>
  <c r="X844" i="13"/>
  <c r="X845" i="13"/>
  <c r="X846" i="13"/>
  <c r="X847" i="13"/>
  <c r="X848" i="13"/>
  <c r="X849" i="13"/>
  <c r="X850" i="13"/>
  <c r="X851" i="13"/>
  <c r="X852" i="13"/>
  <c r="X853" i="13"/>
  <c r="X854" i="13"/>
  <c r="X855" i="13"/>
  <c r="X856" i="13"/>
  <c r="X857" i="13"/>
  <c r="X858" i="13"/>
  <c r="X859" i="13"/>
  <c r="X860" i="13"/>
  <c r="X861" i="13"/>
  <c r="X862" i="13"/>
  <c r="X863" i="13"/>
  <c r="X864" i="13"/>
  <c r="X865" i="13"/>
  <c r="X866" i="13"/>
  <c r="X867" i="13"/>
  <c r="X868" i="13"/>
  <c r="X869" i="13"/>
  <c r="X870" i="13"/>
  <c r="X871" i="13"/>
  <c r="X872" i="13"/>
  <c r="X873" i="13"/>
  <c r="X874" i="13"/>
  <c r="X875" i="13"/>
  <c r="X876" i="13"/>
  <c r="X877" i="13"/>
  <c r="X878" i="13"/>
  <c r="X879" i="13"/>
  <c r="X880" i="13"/>
  <c r="X881" i="13"/>
  <c r="X882" i="13"/>
  <c r="X883" i="13"/>
  <c r="X884" i="13"/>
  <c r="X885" i="13"/>
  <c r="X886" i="13"/>
  <c r="X887" i="13"/>
  <c r="X888" i="13"/>
  <c r="X889" i="13"/>
  <c r="X890" i="13"/>
  <c r="X891" i="13"/>
  <c r="X892" i="13"/>
  <c r="X893" i="13"/>
  <c r="X894" i="13"/>
  <c r="X895" i="13"/>
  <c r="X896" i="13"/>
  <c r="X897" i="13"/>
  <c r="X898" i="13"/>
  <c r="X899" i="13"/>
  <c r="X900" i="13"/>
  <c r="X901" i="13"/>
  <c r="X902" i="13"/>
  <c r="X903" i="13"/>
  <c r="X904" i="13"/>
  <c r="X905" i="13"/>
  <c r="X906" i="13"/>
  <c r="X907" i="13"/>
  <c r="X908" i="13"/>
  <c r="X909" i="13"/>
  <c r="W2" i="13"/>
  <c r="W3" i="13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W178" i="13"/>
  <c r="W179" i="13"/>
  <c r="W180" i="13"/>
  <c r="W181" i="13"/>
  <c r="W182" i="13"/>
  <c r="W183" i="13"/>
  <c r="W184" i="13"/>
  <c r="W185" i="13"/>
  <c r="W186" i="13"/>
  <c r="W187" i="13"/>
  <c r="W188" i="13"/>
  <c r="W189" i="13"/>
  <c r="W190" i="13"/>
  <c r="W191" i="13"/>
  <c r="W192" i="13"/>
  <c r="W193" i="13"/>
  <c r="W194" i="13"/>
  <c r="W195" i="13"/>
  <c r="W196" i="13"/>
  <c r="W197" i="13"/>
  <c r="W198" i="13"/>
  <c r="W199" i="13"/>
  <c r="W200" i="13"/>
  <c r="W201" i="13"/>
  <c r="W202" i="13"/>
  <c r="W203" i="13"/>
  <c r="W204" i="13"/>
  <c r="W205" i="13"/>
  <c r="W206" i="13"/>
  <c r="W207" i="13"/>
  <c r="W208" i="13"/>
  <c r="W209" i="13"/>
  <c r="W210" i="13"/>
  <c r="W211" i="13"/>
  <c r="W212" i="13"/>
  <c r="W213" i="13"/>
  <c r="W214" i="13"/>
  <c r="W215" i="13"/>
  <c r="W216" i="13"/>
  <c r="W217" i="13"/>
  <c r="W218" i="13"/>
  <c r="W219" i="13"/>
  <c r="W220" i="13"/>
  <c r="W221" i="13"/>
  <c r="W222" i="13"/>
  <c r="W223" i="13"/>
  <c r="W224" i="13"/>
  <c r="W225" i="13"/>
  <c r="W226" i="13"/>
  <c r="W227" i="13"/>
  <c r="W228" i="13"/>
  <c r="W229" i="13"/>
  <c r="W230" i="13"/>
  <c r="W231" i="13"/>
  <c r="W232" i="13"/>
  <c r="W233" i="13"/>
  <c r="W234" i="13"/>
  <c r="W235" i="13"/>
  <c r="W236" i="13"/>
  <c r="W237" i="13"/>
  <c r="W238" i="13"/>
  <c r="W239" i="13"/>
  <c r="W240" i="13"/>
  <c r="W241" i="13"/>
  <c r="W242" i="13"/>
  <c r="W243" i="13"/>
  <c r="W244" i="13"/>
  <c r="W245" i="13"/>
  <c r="W246" i="13"/>
  <c r="W247" i="13"/>
  <c r="W248" i="13"/>
  <c r="W249" i="13"/>
  <c r="W250" i="13"/>
  <c r="W251" i="13"/>
  <c r="W252" i="13"/>
  <c r="W253" i="13"/>
  <c r="W254" i="13"/>
  <c r="W255" i="13"/>
  <c r="W256" i="13"/>
  <c r="W257" i="13"/>
  <c r="W258" i="13"/>
  <c r="W259" i="13"/>
  <c r="W260" i="13"/>
  <c r="W261" i="13"/>
  <c r="W262" i="13"/>
  <c r="W263" i="13"/>
  <c r="W264" i="13"/>
  <c r="W265" i="13"/>
  <c r="W266" i="13"/>
  <c r="W267" i="13"/>
  <c r="W268" i="13"/>
  <c r="W269" i="13"/>
  <c r="W270" i="13"/>
  <c r="W271" i="13"/>
  <c r="W272" i="13"/>
  <c r="W273" i="13"/>
  <c r="W274" i="13"/>
  <c r="W275" i="13"/>
  <c r="W276" i="13"/>
  <c r="W277" i="13"/>
  <c r="W278" i="13"/>
  <c r="W279" i="13"/>
  <c r="W280" i="13"/>
  <c r="W281" i="13"/>
  <c r="W282" i="13"/>
  <c r="W283" i="13"/>
  <c r="W284" i="13"/>
  <c r="W285" i="13"/>
  <c r="W286" i="13"/>
  <c r="W287" i="13"/>
  <c r="W288" i="13"/>
  <c r="W289" i="13"/>
  <c r="W290" i="13"/>
  <c r="W291" i="13"/>
  <c r="W292" i="13"/>
  <c r="W293" i="13"/>
  <c r="W294" i="13"/>
  <c r="W295" i="13"/>
  <c r="W296" i="13"/>
  <c r="W297" i="13"/>
  <c r="W298" i="13"/>
  <c r="W299" i="13"/>
  <c r="W300" i="13"/>
  <c r="W301" i="13"/>
  <c r="W302" i="13"/>
  <c r="W303" i="13"/>
  <c r="W304" i="13"/>
  <c r="W305" i="13"/>
  <c r="W306" i="13"/>
  <c r="W307" i="13"/>
  <c r="W308" i="13"/>
  <c r="W309" i="13"/>
  <c r="W310" i="13"/>
  <c r="W311" i="13"/>
  <c r="W312" i="13"/>
  <c r="W313" i="13"/>
  <c r="W314" i="13"/>
  <c r="W315" i="13"/>
  <c r="W316" i="13"/>
  <c r="W317" i="13"/>
  <c r="W318" i="13"/>
  <c r="W319" i="13"/>
  <c r="W320" i="13"/>
  <c r="W321" i="13"/>
  <c r="W322" i="13"/>
  <c r="W323" i="13"/>
  <c r="W324" i="13"/>
  <c r="W325" i="13"/>
  <c r="W326" i="13"/>
  <c r="W327" i="13"/>
  <c r="W328" i="13"/>
  <c r="W329" i="13"/>
  <c r="W330" i="13"/>
  <c r="W331" i="13"/>
  <c r="W332" i="13"/>
  <c r="W333" i="13"/>
  <c r="W334" i="13"/>
  <c r="W335" i="13"/>
  <c r="W336" i="13"/>
  <c r="W337" i="13"/>
  <c r="W338" i="13"/>
  <c r="W339" i="13"/>
  <c r="W340" i="13"/>
  <c r="W341" i="13"/>
  <c r="W342" i="13"/>
  <c r="W343" i="13"/>
  <c r="W344" i="13"/>
  <c r="W345" i="13"/>
  <c r="W346" i="13"/>
  <c r="W347" i="13"/>
  <c r="W348" i="13"/>
  <c r="W349" i="13"/>
  <c r="W350" i="13"/>
  <c r="W351" i="13"/>
  <c r="W352" i="13"/>
  <c r="W353" i="13"/>
  <c r="W354" i="13"/>
  <c r="W355" i="13"/>
  <c r="W356" i="13"/>
  <c r="W357" i="13"/>
  <c r="W358" i="13"/>
  <c r="W359" i="13"/>
  <c r="W360" i="13"/>
  <c r="W361" i="13"/>
  <c r="W362" i="13"/>
  <c r="W363" i="13"/>
  <c r="W364" i="13"/>
  <c r="W365" i="13"/>
  <c r="W366" i="13"/>
  <c r="W367" i="13"/>
  <c r="W368" i="13"/>
  <c r="W369" i="13"/>
  <c r="W370" i="13"/>
  <c r="W371" i="13"/>
  <c r="W372" i="13"/>
  <c r="W373" i="13"/>
  <c r="W374" i="13"/>
  <c r="W375" i="13"/>
  <c r="W376" i="13"/>
  <c r="W377" i="13"/>
  <c r="W378" i="13"/>
  <c r="W379" i="13"/>
  <c r="W380" i="13"/>
  <c r="W381" i="13"/>
  <c r="W382" i="13"/>
  <c r="W383" i="13"/>
  <c r="W384" i="13"/>
  <c r="W385" i="13"/>
  <c r="W386" i="13"/>
  <c r="W387" i="13"/>
  <c r="W388" i="13"/>
  <c r="W389" i="13"/>
  <c r="W390" i="13"/>
  <c r="W391" i="13"/>
  <c r="W392" i="13"/>
  <c r="W393" i="13"/>
  <c r="W394" i="13"/>
  <c r="W395" i="13"/>
  <c r="W396" i="13"/>
  <c r="W397" i="13"/>
  <c r="W398" i="13"/>
  <c r="W399" i="13"/>
  <c r="W400" i="13"/>
  <c r="W401" i="13"/>
  <c r="W402" i="13"/>
  <c r="W403" i="13"/>
  <c r="W404" i="13"/>
  <c r="W405" i="13"/>
  <c r="W406" i="13"/>
  <c r="W407" i="13"/>
  <c r="W408" i="13"/>
  <c r="W409" i="13"/>
  <c r="W410" i="13"/>
  <c r="W411" i="13"/>
  <c r="W412" i="13"/>
  <c r="W413" i="13"/>
  <c r="W414" i="13"/>
  <c r="W415" i="13"/>
  <c r="W416" i="13"/>
  <c r="W417" i="13"/>
  <c r="W418" i="13"/>
  <c r="W419" i="13"/>
  <c r="W420" i="13"/>
  <c r="W421" i="13"/>
  <c r="W422" i="13"/>
  <c r="W423" i="13"/>
  <c r="W424" i="13"/>
  <c r="W425" i="13"/>
  <c r="W426" i="13"/>
  <c r="W427" i="13"/>
  <c r="W428" i="13"/>
  <c r="W429" i="13"/>
  <c r="W430" i="13"/>
  <c r="W431" i="13"/>
  <c r="W432" i="13"/>
  <c r="W433" i="13"/>
  <c r="W434" i="13"/>
  <c r="W435" i="13"/>
  <c r="W436" i="13"/>
  <c r="W437" i="13"/>
  <c r="W438" i="13"/>
  <c r="W439" i="13"/>
  <c r="W440" i="13"/>
  <c r="W441" i="13"/>
  <c r="W442" i="13"/>
  <c r="W443" i="13"/>
  <c r="W444" i="13"/>
  <c r="W445" i="13"/>
  <c r="W446" i="13"/>
  <c r="W447" i="13"/>
  <c r="W448" i="13"/>
  <c r="W449" i="13"/>
  <c r="W450" i="13"/>
  <c r="W451" i="13"/>
  <c r="W452" i="13"/>
  <c r="W453" i="13"/>
  <c r="W454" i="13"/>
  <c r="W455" i="13"/>
  <c r="W456" i="13"/>
  <c r="W457" i="13"/>
  <c r="W458" i="13"/>
  <c r="W459" i="13"/>
  <c r="W460" i="13"/>
  <c r="W461" i="13"/>
  <c r="W462" i="13"/>
  <c r="W463" i="13"/>
  <c r="W464" i="13"/>
  <c r="W465" i="13"/>
  <c r="W466" i="13"/>
  <c r="W467" i="13"/>
  <c r="W468" i="13"/>
  <c r="W469" i="13"/>
  <c r="W470" i="13"/>
  <c r="W471" i="13"/>
  <c r="W472" i="13"/>
  <c r="W473" i="13"/>
  <c r="W474" i="13"/>
  <c r="W475" i="13"/>
  <c r="W476" i="13"/>
  <c r="W477" i="13"/>
  <c r="W478" i="13"/>
  <c r="W479" i="13"/>
  <c r="W480" i="13"/>
  <c r="W481" i="13"/>
  <c r="W482" i="13"/>
  <c r="W483" i="13"/>
  <c r="W484" i="13"/>
  <c r="W485" i="13"/>
  <c r="W486" i="13"/>
  <c r="W487" i="13"/>
  <c r="W488" i="13"/>
  <c r="W489" i="13"/>
  <c r="W490" i="13"/>
  <c r="W491" i="13"/>
  <c r="W492" i="13"/>
  <c r="W493" i="13"/>
  <c r="W494" i="13"/>
  <c r="W495" i="13"/>
  <c r="W496" i="13"/>
  <c r="W497" i="13"/>
  <c r="W498" i="13"/>
  <c r="W499" i="13"/>
  <c r="W500" i="13"/>
  <c r="W501" i="13"/>
  <c r="W502" i="13"/>
  <c r="W503" i="13"/>
  <c r="W504" i="13"/>
  <c r="W505" i="13"/>
  <c r="W506" i="13"/>
  <c r="W507" i="13"/>
  <c r="W508" i="13"/>
  <c r="W509" i="13"/>
  <c r="W510" i="13"/>
  <c r="W511" i="13"/>
  <c r="W512" i="13"/>
  <c r="W513" i="13"/>
  <c r="W514" i="13"/>
  <c r="W515" i="13"/>
  <c r="W516" i="13"/>
  <c r="W517" i="13"/>
  <c r="W518" i="13"/>
  <c r="W519" i="13"/>
  <c r="W520" i="13"/>
  <c r="W521" i="13"/>
  <c r="W522" i="13"/>
  <c r="W523" i="13"/>
  <c r="W524" i="13"/>
  <c r="W525" i="13"/>
  <c r="W526" i="13"/>
  <c r="W527" i="13"/>
  <c r="W528" i="13"/>
  <c r="W529" i="13"/>
  <c r="W530" i="13"/>
  <c r="W531" i="13"/>
  <c r="W532" i="13"/>
  <c r="W533" i="13"/>
  <c r="W534" i="13"/>
  <c r="W535" i="13"/>
  <c r="W536" i="13"/>
  <c r="W537" i="13"/>
  <c r="W538" i="13"/>
  <c r="W539" i="13"/>
  <c r="W540" i="13"/>
  <c r="W541" i="13"/>
  <c r="W542" i="13"/>
  <c r="W543" i="13"/>
  <c r="W544" i="13"/>
  <c r="W545" i="13"/>
  <c r="W546" i="13"/>
  <c r="W547" i="13"/>
  <c r="W548" i="13"/>
  <c r="W549" i="13"/>
  <c r="W550" i="13"/>
  <c r="W551" i="13"/>
  <c r="W552" i="13"/>
  <c r="W553" i="13"/>
  <c r="W554" i="13"/>
  <c r="W555" i="13"/>
  <c r="W556" i="13"/>
  <c r="W557" i="13"/>
  <c r="W558" i="13"/>
  <c r="W559" i="13"/>
  <c r="W560" i="13"/>
  <c r="W561" i="13"/>
  <c r="W562" i="13"/>
  <c r="W563" i="13"/>
  <c r="W564" i="13"/>
  <c r="W565" i="13"/>
  <c r="W566" i="13"/>
  <c r="W567" i="13"/>
  <c r="W568" i="13"/>
  <c r="W569" i="13"/>
  <c r="W570" i="13"/>
  <c r="W571" i="13"/>
  <c r="W572" i="13"/>
  <c r="W573" i="13"/>
  <c r="W574" i="13"/>
  <c r="W575" i="13"/>
  <c r="W576" i="13"/>
  <c r="W577" i="13"/>
  <c r="W578" i="13"/>
  <c r="W579" i="13"/>
  <c r="W580" i="13"/>
  <c r="W581" i="13"/>
  <c r="W582" i="13"/>
  <c r="W583" i="13"/>
  <c r="W584" i="13"/>
  <c r="W585" i="13"/>
  <c r="W586" i="13"/>
  <c r="W587" i="13"/>
  <c r="W588" i="13"/>
  <c r="W589" i="13"/>
  <c r="W590" i="13"/>
  <c r="W591" i="13"/>
  <c r="W592" i="13"/>
  <c r="W593" i="13"/>
  <c r="W594" i="13"/>
  <c r="W595" i="13"/>
  <c r="W596" i="13"/>
  <c r="W597" i="13"/>
  <c r="W598" i="13"/>
  <c r="W599" i="13"/>
  <c r="W600" i="13"/>
  <c r="W601" i="13"/>
  <c r="W602" i="13"/>
  <c r="W603" i="13"/>
  <c r="W604" i="13"/>
  <c r="W605" i="13"/>
  <c r="W606" i="13"/>
  <c r="W607" i="13"/>
  <c r="W608" i="13"/>
  <c r="W609" i="13"/>
  <c r="W610" i="13"/>
  <c r="W611" i="13"/>
  <c r="W612" i="13"/>
  <c r="W613" i="13"/>
  <c r="W614" i="13"/>
  <c r="W615" i="13"/>
  <c r="W616" i="13"/>
  <c r="W617" i="13"/>
  <c r="W618" i="13"/>
  <c r="W619" i="13"/>
  <c r="W620" i="13"/>
  <c r="W621" i="13"/>
  <c r="W622" i="13"/>
  <c r="W623" i="13"/>
  <c r="W624" i="13"/>
  <c r="W625" i="13"/>
  <c r="W626" i="13"/>
  <c r="W627" i="13"/>
  <c r="W628" i="13"/>
  <c r="W629" i="13"/>
  <c r="W630" i="13"/>
  <c r="W631" i="13"/>
  <c r="W632" i="13"/>
  <c r="W633" i="13"/>
  <c r="W634" i="13"/>
  <c r="W635" i="13"/>
  <c r="W636" i="13"/>
  <c r="W637" i="13"/>
  <c r="W638" i="13"/>
  <c r="W639" i="13"/>
  <c r="W640" i="13"/>
  <c r="W641" i="13"/>
  <c r="W642" i="13"/>
  <c r="W643" i="13"/>
  <c r="W644" i="13"/>
  <c r="W645" i="13"/>
  <c r="W646" i="13"/>
  <c r="W647" i="13"/>
  <c r="W648" i="13"/>
  <c r="W649" i="13"/>
  <c r="W650" i="13"/>
  <c r="W651" i="13"/>
  <c r="W652" i="13"/>
  <c r="W653" i="13"/>
  <c r="W654" i="13"/>
  <c r="W655" i="13"/>
  <c r="W656" i="13"/>
  <c r="W657" i="13"/>
  <c r="W658" i="13"/>
  <c r="W659" i="13"/>
  <c r="W660" i="13"/>
  <c r="W661" i="13"/>
  <c r="W662" i="13"/>
  <c r="W663" i="13"/>
  <c r="W664" i="13"/>
  <c r="W665" i="13"/>
  <c r="W666" i="13"/>
  <c r="W667" i="13"/>
  <c r="W668" i="13"/>
  <c r="W669" i="13"/>
  <c r="W670" i="13"/>
  <c r="W671" i="13"/>
  <c r="W672" i="13"/>
  <c r="W673" i="13"/>
  <c r="W674" i="13"/>
  <c r="W675" i="13"/>
  <c r="W676" i="13"/>
  <c r="W677" i="13"/>
  <c r="W678" i="13"/>
  <c r="W679" i="13"/>
  <c r="W680" i="13"/>
  <c r="W681" i="13"/>
  <c r="W682" i="13"/>
  <c r="W683" i="13"/>
  <c r="W684" i="13"/>
  <c r="W685" i="13"/>
  <c r="W686" i="13"/>
  <c r="W687" i="13"/>
  <c r="W688" i="13"/>
  <c r="W689" i="13"/>
  <c r="W690" i="13"/>
  <c r="W691" i="13"/>
  <c r="W692" i="13"/>
  <c r="W693" i="13"/>
  <c r="W694" i="13"/>
  <c r="W695" i="13"/>
  <c r="W696" i="13"/>
  <c r="W697" i="13"/>
  <c r="W698" i="13"/>
  <c r="W699" i="13"/>
  <c r="W700" i="13"/>
  <c r="W701" i="13"/>
  <c r="W702" i="13"/>
  <c r="W703" i="13"/>
  <c r="W704" i="13"/>
  <c r="W705" i="13"/>
  <c r="W706" i="13"/>
  <c r="W707" i="13"/>
  <c r="W708" i="13"/>
  <c r="W709" i="13"/>
  <c r="W710" i="13"/>
  <c r="W711" i="13"/>
  <c r="W712" i="13"/>
  <c r="W713" i="13"/>
  <c r="W714" i="13"/>
  <c r="W715" i="13"/>
  <c r="W716" i="13"/>
  <c r="W717" i="13"/>
  <c r="W718" i="13"/>
  <c r="W719" i="13"/>
  <c r="W720" i="13"/>
  <c r="W721" i="13"/>
  <c r="W722" i="13"/>
  <c r="W723" i="13"/>
  <c r="W724" i="13"/>
  <c r="W725" i="13"/>
  <c r="W726" i="13"/>
  <c r="W727" i="13"/>
  <c r="W728" i="13"/>
  <c r="W729" i="13"/>
  <c r="W730" i="13"/>
  <c r="W731" i="13"/>
  <c r="W732" i="13"/>
  <c r="W733" i="13"/>
  <c r="W734" i="13"/>
  <c r="W735" i="13"/>
  <c r="W736" i="13"/>
  <c r="W737" i="13"/>
  <c r="W738" i="13"/>
  <c r="W739" i="13"/>
  <c r="W740" i="13"/>
  <c r="W741" i="13"/>
  <c r="W742" i="13"/>
  <c r="W743" i="13"/>
  <c r="W744" i="13"/>
  <c r="W745" i="13"/>
  <c r="W746" i="13"/>
  <c r="W747" i="13"/>
  <c r="W748" i="13"/>
  <c r="W749" i="13"/>
  <c r="W750" i="13"/>
  <c r="W751" i="13"/>
  <c r="W752" i="13"/>
  <c r="W753" i="13"/>
  <c r="W754" i="13"/>
  <c r="W755" i="13"/>
  <c r="W756" i="13"/>
  <c r="W757" i="13"/>
  <c r="W758" i="13"/>
  <c r="W759" i="13"/>
  <c r="W760" i="13"/>
  <c r="W761" i="13"/>
  <c r="W762" i="13"/>
  <c r="W763" i="13"/>
  <c r="W764" i="13"/>
  <c r="W765" i="13"/>
  <c r="W766" i="13"/>
  <c r="W767" i="13"/>
  <c r="W768" i="13"/>
  <c r="W769" i="13"/>
  <c r="W770" i="13"/>
  <c r="W771" i="13"/>
  <c r="W772" i="13"/>
  <c r="W773" i="13"/>
  <c r="W774" i="13"/>
  <c r="W775" i="13"/>
  <c r="W776" i="13"/>
  <c r="W777" i="13"/>
  <c r="W778" i="13"/>
  <c r="W779" i="13"/>
  <c r="W780" i="13"/>
  <c r="W781" i="13"/>
  <c r="W782" i="13"/>
  <c r="W783" i="13"/>
  <c r="W784" i="13"/>
  <c r="W785" i="13"/>
  <c r="W786" i="13"/>
  <c r="W787" i="13"/>
  <c r="W788" i="13"/>
  <c r="W789" i="13"/>
  <c r="W790" i="13"/>
  <c r="W791" i="13"/>
  <c r="W792" i="13"/>
  <c r="W793" i="13"/>
  <c r="W794" i="13"/>
  <c r="W795" i="13"/>
  <c r="W796" i="13"/>
  <c r="W797" i="13"/>
  <c r="W798" i="13"/>
  <c r="W799" i="13"/>
  <c r="W800" i="13"/>
  <c r="W801" i="13"/>
  <c r="W802" i="13"/>
  <c r="W803" i="13"/>
  <c r="W804" i="13"/>
  <c r="W805" i="13"/>
  <c r="W806" i="13"/>
  <c r="W807" i="13"/>
  <c r="W808" i="13"/>
  <c r="W809" i="13"/>
  <c r="W810" i="13"/>
  <c r="W811" i="13"/>
  <c r="W812" i="13"/>
  <c r="W813" i="13"/>
  <c r="W814" i="13"/>
  <c r="W815" i="13"/>
  <c r="W816" i="13"/>
  <c r="W817" i="13"/>
  <c r="W818" i="13"/>
  <c r="W819" i="13"/>
  <c r="W820" i="13"/>
  <c r="W821" i="13"/>
  <c r="W822" i="13"/>
  <c r="W823" i="13"/>
  <c r="W824" i="13"/>
  <c r="W825" i="13"/>
  <c r="W826" i="13"/>
  <c r="W827" i="13"/>
  <c r="W828" i="13"/>
  <c r="W829" i="13"/>
  <c r="W830" i="13"/>
  <c r="W831" i="13"/>
  <c r="W832" i="13"/>
  <c r="W833" i="13"/>
  <c r="W834" i="13"/>
  <c r="W835" i="13"/>
  <c r="W836" i="13"/>
  <c r="W837" i="13"/>
  <c r="W838" i="13"/>
  <c r="W839" i="13"/>
  <c r="W840" i="13"/>
  <c r="W841" i="13"/>
  <c r="W842" i="13"/>
  <c r="W843" i="13"/>
  <c r="W844" i="13"/>
  <c r="W845" i="13"/>
  <c r="W846" i="13"/>
  <c r="W847" i="13"/>
  <c r="W848" i="13"/>
  <c r="W849" i="13"/>
  <c r="W850" i="13"/>
  <c r="W851" i="13"/>
  <c r="W852" i="13"/>
  <c r="W853" i="13"/>
  <c r="W854" i="13"/>
  <c r="W855" i="13"/>
  <c r="W856" i="13"/>
  <c r="W857" i="13"/>
  <c r="W858" i="13"/>
  <c r="W859" i="13"/>
  <c r="W860" i="13"/>
  <c r="W861" i="13"/>
  <c r="W862" i="13"/>
  <c r="W863" i="13"/>
  <c r="W864" i="13"/>
  <c r="W865" i="13"/>
  <c r="W866" i="13"/>
  <c r="W867" i="13"/>
  <c r="W868" i="13"/>
  <c r="W869" i="13"/>
  <c r="W870" i="13"/>
  <c r="W871" i="13"/>
  <c r="W872" i="13"/>
  <c r="W873" i="13"/>
  <c r="W874" i="13"/>
  <c r="W875" i="13"/>
  <c r="W876" i="13"/>
  <c r="W877" i="13"/>
  <c r="W878" i="13"/>
  <c r="W879" i="13"/>
  <c r="W880" i="13"/>
  <c r="W881" i="13"/>
  <c r="W882" i="13"/>
  <c r="W883" i="13"/>
  <c r="W884" i="13"/>
  <c r="W885" i="13"/>
  <c r="W886" i="13"/>
  <c r="W887" i="13"/>
  <c r="W888" i="13"/>
  <c r="W889" i="13"/>
  <c r="W890" i="13"/>
  <c r="W891" i="13"/>
  <c r="W892" i="13"/>
  <c r="W893" i="13"/>
  <c r="AC893" i="13" s="1"/>
  <c r="W894" i="13"/>
  <c r="AC894" i="13" s="1"/>
  <c r="W895" i="13"/>
  <c r="AC895" i="13" s="1"/>
  <c r="W896" i="13"/>
  <c r="AC896" i="13" s="1"/>
  <c r="W897" i="13"/>
  <c r="AC897" i="13" s="1"/>
  <c r="W898" i="13"/>
  <c r="AC898" i="13" s="1"/>
  <c r="W899" i="13"/>
  <c r="AC899" i="13" s="1"/>
  <c r="W900" i="13"/>
  <c r="AC900" i="13" s="1"/>
  <c r="W901" i="13"/>
  <c r="AC901" i="13" s="1"/>
  <c r="W902" i="13"/>
  <c r="AC902" i="13" s="1"/>
  <c r="W903" i="13"/>
  <c r="AC903" i="13" s="1"/>
  <c r="W904" i="13"/>
  <c r="AC904" i="13" s="1"/>
  <c r="W905" i="13"/>
  <c r="AC905" i="13" s="1"/>
  <c r="W906" i="13"/>
  <c r="AC906" i="13" s="1"/>
  <c r="W907" i="13"/>
  <c r="AC907" i="13" s="1"/>
  <c r="W908" i="13"/>
  <c r="AC908" i="13" s="1"/>
  <c r="W909" i="13"/>
  <c r="AC909" i="13" s="1"/>
  <c r="V2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200" i="13"/>
  <c r="V201" i="13"/>
  <c r="V202" i="13"/>
  <c r="V203" i="13"/>
  <c r="V204" i="13"/>
  <c r="V205" i="13"/>
  <c r="V206" i="13"/>
  <c r="V207" i="13"/>
  <c r="V208" i="13"/>
  <c r="V209" i="13"/>
  <c r="V210" i="13"/>
  <c r="V211" i="13"/>
  <c r="V212" i="13"/>
  <c r="V213" i="13"/>
  <c r="V214" i="13"/>
  <c r="V215" i="13"/>
  <c r="V216" i="13"/>
  <c r="V217" i="13"/>
  <c r="V218" i="13"/>
  <c r="V219" i="13"/>
  <c r="V220" i="13"/>
  <c r="V221" i="13"/>
  <c r="V222" i="13"/>
  <c r="V223" i="13"/>
  <c r="V224" i="13"/>
  <c r="V225" i="13"/>
  <c r="V226" i="13"/>
  <c r="V227" i="13"/>
  <c r="V228" i="13"/>
  <c r="V229" i="13"/>
  <c r="V230" i="13"/>
  <c r="V231" i="13"/>
  <c r="V232" i="13"/>
  <c r="V233" i="13"/>
  <c r="V234" i="13"/>
  <c r="V235" i="13"/>
  <c r="V236" i="13"/>
  <c r="V237" i="13"/>
  <c r="V238" i="13"/>
  <c r="V239" i="13"/>
  <c r="V240" i="13"/>
  <c r="V241" i="13"/>
  <c r="V242" i="13"/>
  <c r="V243" i="13"/>
  <c r="V244" i="13"/>
  <c r="V245" i="13"/>
  <c r="V246" i="13"/>
  <c r="V247" i="13"/>
  <c r="V248" i="13"/>
  <c r="V249" i="13"/>
  <c r="V250" i="13"/>
  <c r="V251" i="13"/>
  <c r="V252" i="13"/>
  <c r="V253" i="13"/>
  <c r="V254" i="13"/>
  <c r="V255" i="13"/>
  <c r="V256" i="13"/>
  <c r="V257" i="13"/>
  <c r="V258" i="13"/>
  <c r="V259" i="13"/>
  <c r="V260" i="13"/>
  <c r="V261" i="13"/>
  <c r="V262" i="13"/>
  <c r="V263" i="13"/>
  <c r="V264" i="13"/>
  <c r="V265" i="13"/>
  <c r="V266" i="13"/>
  <c r="V267" i="13"/>
  <c r="V268" i="13"/>
  <c r="V269" i="13"/>
  <c r="V270" i="13"/>
  <c r="V271" i="13"/>
  <c r="V272" i="13"/>
  <c r="V273" i="13"/>
  <c r="V274" i="13"/>
  <c r="V275" i="13"/>
  <c r="V276" i="13"/>
  <c r="V277" i="13"/>
  <c r="V278" i="13"/>
  <c r="V279" i="13"/>
  <c r="V280" i="13"/>
  <c r="V281" i="13"/>
  <c r="V282" i="13"/>
  <c r="V283" i="13"/>
  <c r="V284" i="13"/>
  <c r="V285" i="13"/>
  <c r="V286" i="13"/>
  <c r="V287" i="13"/>
  <c r="V288" i="13"/>
  <c r="V289" i="13"/>
  <c r="V290" i="13"/>
  <c r="V291" i="13"/>
  <c r="V292" i="13"/>
  <c r="V293" i="13"/>
  <c r="V294" i="13"/>
  <c r="V295" i="13"/>
  <c r="V296" i="13"/>
  <c r="V297" i="13"/>
  <c r="V298" i="13"/>
  <c r="V299" i="13"/>
  <c r="V300" i="13"/>
  <c r="V301" i="13"/>
  <c r="V302" i="13"/>
  <c r="V303" i="13"/>
  <c r="V304" i="13"/>
  <c r="V305" i="13"/>
  <c r="V306" i="13"/>
  <c r="V307" i="13"/>
  <c r="V308" i="13"/>
  <c r="V309" i="13"/>
  <c r="V310" i="13"/>
  <c r="V311" i="13"/>
  <c r="V312" i="13"/>
  <c r="V313" i="13"/>
  <c r="V314" i="13"/>
  <c r="V315" i="13"/>
  <c r="V316" i="13"/>
  <c r="V317" i="13"/>
  <c r="V318" i="13"/>
  <c r="V319" i="13"/>
  <c r="V320" i="13"/>
  <c r="V321" i="13"/>
  <c r="V322" i="13"/>
  <c r="V323" i="13"/>
  <c r="V324" i="13"/>
  <c r="V325" i="13"/>
  <c r="V326" i="13"/>
  <c r="V327" i="13"/>
  <c r="V328" i="13"/>
  <c r="V329" i="13"/>
  <c r="V330" i="13"/>
  <c r="V331" i="13"/>
  <c r="V332" i="13"/>
  <c r="V333" i="13"/>
  <c r="V334" i="13"/>
  <c r="V335" i="13"/>
  <c r="V336" i="13"/>
  <c r="V337" i="13"/>
  <c r="V338" i="13"/>
  <c r="V339" i="13"/>
  <c r="V340" i="13"/>
  <c r="V341" i="13"/>
  <c r="V342" i="13"/>
  <c r="V343" i="13"/>
  <c r="V344" i="13"/>
  <c r="V345" i="13"/>
  <c r="V346" i="13"/>
  <c r="V347" i="13"/>
  <c r="V348" i="13"/>
  <c r="V349" i="13"/>
  <c r="V350" i="13"/>
  <c r="V351" i="13"/>
  <c r="V352" i="13"/>
  <c r="V353" i="13"/>
  <c r="V354" i="13"/>
  <c r="V355" i="13"/>
  <c r="V356" i="13"/>
  <c r="V357" i="13"/>
  <c r="V358" i="13"/>
  <c r="V359" i="13"/>
  <c r="V360" i="13"/>
  <c r="V361" i="13"/>
  <c r="V362" i="13"/>
  <c r="V363" i="13"/>
  <c r="V364" i="13"/>
  <c r="V365" i="13"/>
  <c r="V366" i="13"/>
  <c r="V367" i="13"/>
  <c r="V368" i="13"/>
  <c r="V369" i="13"/>
  <c r="V370" i="13"/>
  <c r="V371" i="13"/>
  <c r="V372" i="13"/>
  <c r="V373" i="13"/>
  <c r="V374" i="13"/>
  <c r="V375" i="13"/>
  <c r="V376" i="13"/>
  <c r="V377" i="13"/>
  <c r="V378" i="13"/>
  <c r="V379" i="13"/>
  <c r="V380" i="13"/>
  <c r="V381" i="13"/>
  <c r="V382" i="13"/>
  <c r="V383" i="13"/>
  <c r="V384" i="13"/>
  <c r="V385" i="13"/>
  <c r="V386" i="13"/>
  <c r="V387" i="13"/>
  <c r="V388" i="13"/>
  <c r="V389" i="13"/>
  <c r="V390" i="13"/>
  <c r="V391" i="13"/>
  <c r="V392" i="13"/>
  <c r="V393" i="13"/>
  <c r="V394" i="13"/>
  <c r="V395" i="13"/>
  <c r="V396" i="13"/>
  <c r="V397" i="13"/>
  <c r="V398" i="13"/>
  <c r="V399" i="13"/>
  <c r="V400" i="13"/>
  <c r="V401" i="13"/>
  <c r="V402" i="13"/>
  <c r="V403" i="13"/>
  <c r="V404" i="13"/>
  <c r="V405" i="13"/>
  <c r="V406" i="13"/>
  <c r="V407" i="13"/>
  <c r="V408" i="13"/>
  <c r="V409" i="13"/>
  <c r="V410" i="13"/>
  <c r="V411" i="13"/>
  <c r="V412" i="13"/>
  <c r="V413" i="13"/>
  <c r="V414" i="13"/>
  <c r="V415" i="13"/>
  <c r="V416" i="13"/>
  <c r="V417" i="13"/>
  <c r="V418" i="13"/>
  <c r="V419" i="13"/>
  <c r="V420" i="13"/>
  <c r="V421" i="13"/>
  <c r="V422" i="13"/>
  <c r="V423" i="13"/>
  <c r="V424" i="13"/>
  <c r="V425" i="13"/>
  <c r="V426" i="13"/>
  <c r="V427" i="13"/>
  <c r="V428" i="13"/>
  <c r="V429" i="13"/>
  <c r="V430" i="13"/>
  <c r="V431" i="13"/>
  <c r="V432" i="13"/>
  <c r="V433" i="13"/>
  <c r="V434" i="13"/>
  <c r="V435" i="13"/>
  <c r="V436" i="13"/>
  <c r="V437" i="13"/>
  <c r="V438" i="13"/>
  <c r="V439" i="13"/>
  <c r="V440" i="13"/>
  <c r="V441" i="13"/>
  <c r="V442" i="13"/>
  <c r="V443" i="13"/>
  <c r="V444" i="13"/>
  <c r="V445" i="13"/>
  <c r="V446" i="13"/>
  <c r="V447" i="13"/>
  <c r="V448" i="13"/>
  <c r="V449" i="13"/>
  <c r="V450" i="13"/>
  <c r="V451" i="13"/>
  <c r="V452" i="13"/>
  <c r="V453" i="13"/>
  <c r="V454" i="13"/>
  <c r="V455" i="13"/>
  <c r="V456" i="13"/>
  <c r="V457" i="13"/>
  <c r="V458" i="13"/>
  <c r="V459" i="13"/>
  <c r="V460" i="13"/>
  <c r="V461" i="13"/>
  <c r="V462" i="13"/>
  <c r="V463" i="13"/>
  <c r="V464" i="13"/>
  <c r="V465" i="13"/>
  <c r="V466" i="13"/>
  <c r="V467" i="13"/>
  <c r="V468" i="13"/>
  <c r="V469" i="13"/>
  <c r="V470" i="13"/>
  <c r="V471" i="13"/>
  <c r="V472" i="13"/>
  <c r="V473" i="13"/>
  <c r="V474" i="13"/>
  <c r="V475" i="13"/>
  <c r="V476" i="13"/>
  <c r="V477" i="13"/>
  <c r="V478" i="13"/>
  <c r="V479" i="13"/>
  <c r="V480" i="13"/>
  <c r="V481" i="13"/>
  <c r="V482" i="13"/>
  <c r="V483" i="13"/>
  <c r="V484" i="13"/>
  <c r="V485" i="13"/>
  <c r="V486" i="13"/>
  <c r="V487" i="13"/>
  <c r="V488" i="13"/>
  <c r="V489" i="13"/>
  <c r="V490" i="13"/>
  <c r="V491" i="13"/>
  <c r="V492" i="13"/>
  <c r="V493" i="13"/>
  <c r="V494" i="13"/>
  <c r="V495" i="13"/>
  <c r="V496" i="13"/>
  <c r="V497" i="13"/>
  <c r="V498" i="13"/>
  <c r="V499" i="13"/>
  <c r="V500" i="13"/>
  <c r="V501" i="13"/>
  <c r="V502" i="13"/>
  <c r="V503" i="13"/>
  <c r="V504" i="13"/>
  <c r="V505" i="13"/>
  <c r="V506" i="13"/>
  <c r="V507" i="13"/>
  <c r="V508" i="13"/>
  <c r="V509" i="13"/>
  <c r="V510" i="13"/>
  <c r="V511" i="13"/>
  <c r="V512" i="13"/>
  <c r="V513" i="13"/>
  <c r="V514" i="13"/>
  <c r="V515" i="13"/>
  <c r="V516" i="13"/>
  <c r="V517" i="13"/>
  <c r="V518" i="13"/>
  <c r="V519" i="13"/>
  <c r="V520" i="13"/>
  <c r="V521" i="13"/>
  <c r="V522" i="13"/>
  <c r="V523" i="13"/>
  <c r="V524" i="13"/>
  <c r="V525" i="13"/>
  <c r="V526" i="13"/>
  <c r="V527" i="13"/>
  <c r="V528" i="13"/>
  <c r="V529" i="13"/>
  <c r="V530" i="13"/>
  <c r="V531" i="13"/>
  <c r="V532" i="13"/>
  <c r="V533" i="13"/>
  <c r="V534" i="13"/>
  <c r="V535" i="13"/>
  <c r="V536" i="13"/>
  <c r="V537" i="13"/>
  <c r="V538" i="13"/>
  <c r="V539" i="13"/>
  <c r="V540" i="13"/>
  <c r="V541" i="13"/>
  <c r="V542" i="13"/>
  <c r="V543" i="13"/>
  <c r="V544" i="13"/>
  <c r="V545" i="13"/>
  <c r="V546" i="13"/>
  <c r="V547" i="13"/>
  <c r="V548" i="13"/>
  <c r="V549" i="13"/>
  <c r="V550" i="13"/>
  <c r="V551" i="13"/>
  <c r="V552" i="13"/>
  <c r="V553" i="13"/>
  <c r="V554" i="13"/>
  <c r="V555" i="13"/>
  <c r="V556" i="13"/>
  <c r="V557" i="13"/>
  <c r="V558" i="13"/>
  <c r="V559" i="13"/>
  <c r="V560" i="13"/>
  <c r="V561" i="13"/>
  <c r="V562" i="13"/>
  <c r="V563" i="13"/>
  <c r="V564" i="13"/>
  <c r="V565" i="13"/>
  <c r="V566" i="13"/>
  <c r="V567" i="13"/>
  <c r="V568" i="13"/>
  <c r="V569" i="13"/>
  <c r="V570" i="13"/>
  <c r="V571" i="13"/>
  <c r="V572" i="13"/>
  <c r="V573" i="13"/>
  <c r="V574" i="13"/>
  <c r="V575" i="13"/>
  <c r="V576" i="13"/>
  <c r="V577" i="13"/>
  <c r="V578" i="13"/>
  <c r="V579" i="13"/>
  <c r="V580" i="13"/>
  <c r="V581" i="13"/>
  <c r="V582" i="13"/>
  <c r="V583" i="13"/>
  <c r="V584" i="13"/>
  <c r="V585" i="13"/>
  <c r="V586" i="13"/>
  <c r="V587" i="13"/>
  <c r="V588" i="13"/>
  <c r="V589" i="13"/>
  <c r="V590" i="13"/>
  <c r="V591" i="13"/>
  <c r="V592" i="13"/>
  <c r="V593" i="13"/>
  <c r="V594" i="13"/>
  <c r="V595" i="13"/>
  <c r="V596" i="13"/>
  <c r="V597" i="13"/>
  <c r="V598" i="13"/>
  <c r="V599" i="13"/>
  <c r="V600" i="13"/>
  <c r="V601" i="13"/>
  <c r="V602" i="13"/>
  <c r="V603" i="13"/>
  <c r="V604" i="13"/>
  <c r="V605" i="13"/>
  <c r="V606" i="13"/>
  <c r="V607" i="13"/>
  <c r="V608" i="13"/>
  <c r="V609" i="13"/>
  <c r="V610" i="13"/>
  <c r="V611" i="13"/>
  <c r="V612" i="13"/>
  <c r="V613" i="13"/>
  <c r="V614" i="13"/>
  <c r="V615" i="13"/>
  <c r="V616" i="13"/>
  <c r="V617" i="13"/>
  <c r="V618" i="13"/>
  <c r="V619" i="13"/>
  <c r="V620" i="13"/>
  <c r="V621" i="13"/>
  <c r="V622" i="13"/>
  <c r="V623" i="13"/>
  <c r="V624" i="13"/>
  <c r="V625" i="13"/>
  <c r="V626" i="13"/>
  <c r="V627" i="13"/>
  <c r="V628" i="13"/>
  <c r="V629" i="13"/>
  <c r="V630" i="13"/>
  <c r="V631" i="13"/>
  <c r="V632" i="13"/>
  <c r="V633" i="13"/>
  <c r="V634" i="13"/>
  <c r="V635" i="13"/>
  <c r="V636" i="13"/>
  <c r="V637" i="13"/>
  <c r="V638" i="13"/>
  <c r="V639" i="13"/>
  <c r="V640" i="13"/>
  <c r="V641" i="13"/>
  <c r="V642" i="13"/>
  <c r="V643" i="13"/>
  <c r="V644" i="13"/>
  <c r="V645" i="13"/>
  <c r="V646" i="13"/>
  <c r="V647" i="13"/>
  <c r="V648" i="13"/>
  <c r="V649" i="13"/>
  <c r="V650" i="13"/>
  <c r="V651" i="13"/>
  <c r="V652" i="13"/>
  <c r="V653" i="13"/>
  <c r="V654" i="13"/>
  <c r="V655" i="13"/>
  <c r="V656" i="13"/>
  <c r="V657" i="13"/>
  <c r="V658" i="13"/>
  <c r="V659" i="13"/>
  <c r="V660" i="13"/>
  <c r="V661" i="13"/>
  <c r="V662" i="13"/>
  <c r="V663" i="13"/>
  <c r="V664" i="13"/>
  <c r="V665" i="13"/>
  <c r="V666" i="13"/>
  <c r="V667" i="13"/>
  <c r="V668" i="13"/>
  <c r="V669" i="13"/>
  <c r="V670" i="13"/>
  <c r="V671" i="13"/>
  <c r="V672" i="13"/>
  <c r="V673" i="13"/>
  <c r="V674" i="13"/>
  <c r="V675" i="13"/>
  <c r="V676" i="13"/>
  <c r="V677" i="13"/>
  <c r="V678" i="13"/>
  <c r="V679" i="13"/>
  <c r="V680" i="13"/>
  <c r="V681" i="13"/>
  <c r="V682" i="13"/>
  <c r="V683" i="13"/>
  <c r="V684" i="13"/>
  <c r="V685" i="13"/>
  <c r="V686" i="13"/>
  <c r="V687" i="13"/>
  <c r="V688" i="13"/>
  <c r="V689" i="13"/>
  <c r="V690" i="13"/>
  <c r="V691" i="13"/>
  <c r="V692" i="13"/>
  <c r="V693" i="13"/>
  <c r="V694" i="13"/>
  <c r="V695" i="13"/>
  <c r="V696" i="13"/>
  <c r="V697" i="13"/>
  <c r="V698" i="13"/>
  <c r="V699" i="13"/>
  <c r="V700" i="13"/>
  <c r="V701" i="13"/>
  <c r="V702" i="13"/>
  <c r="V703" i="13"/>
  <c r="V704" i="13"/>
  <c r="V705" i="13"/>
  <c r="V706" i="13"/>
  <c r="V707" i="13"/>
  <c r="V708" i="13"/>
  <c r="V709" i="13"/>
  <c r="V710" i="13"/>
  <c r="V711" i="13"/>
  <c r="V712" i="13"/>
  <c r="V713" i="13"/>
  <c r="V714" i="13"/>
  <c r="V715" i="13"/>
  <c r="V716" i="13"/>
  <c r="V717" i="13"/>
  <c r="V718" i="13"/>
  <c r="V719" i="13"/>
  <c r="V720" i="13"/>
  <c r="V721" i="13"/>
  <c r="V722" i="13"/>
  <c r="V723" i="13"/>
  <c r="V724" i="13"/>
  <c r="V725" i="13"/>
  <c r="V726" i="13"/>
  <c r="V727" i="13"/>
  <c r="V728" i="13"/>
  <c r="V729" i="13"/>
  <c r="V730" i="13"/>
  <c r="V731" i="13"/>
  <c r="V732" i="13"/>
  <c r="V733" i="13"/>
  <c r="V734" i="13"/>
  <c r="V735" i="13"/>
  <c r="V736" i="13"/>
  <c r="V737" i="13"/>
  <c r="V738" i="13"/>
  <c r="V739" i="13"/>
  <c r="V740" i="13"/>
  <c r="V741" i="13"/>
  <c r="V742" i="13"/>
  <c r="V743" i="13"/>
  <c r="V744" i="13"/>
  <c r="V745" i="13"/>
  <c r="V746" i="13"/>
  <c r="V747" i="13"/>
  <c r="V748" i="13"/>
  <c r="V749" i="13"/>
  <c r="V750" i="13"/>
  <c r="V751" i="13"/>
  <c r="V752" i="13"/>
  <c r="V753" i="13"/>
  <c r="V754" i="13"/>
  <c r="V755" i="13"/>
  <c r="V756" i="13"/>
  <c r="V757" i="13"/>
  <c r="V758" i="13"/>
  <c r="V759" i="13"/>
  <c r="V760" i="13"/>
  <c r="V761" i="13"/>
  <c r="V762" i="13"/>
  <c r="V763" i="13"/>
  <c r="V764" i="13"/>
  <c r="V765" i="13"/>
  <c r="V766" i="13"/>
  <c r="V767" i="13"/>
  <c r="V768" i="13"/>
  <c r="V769" i="13"/>
  <c r="V770" i="13"/>
  <c r="V771" i="13"/>
  <c r="V772" i="13"/>
  <c r="V773" i="13"/>
  <c r="V774" i="13"/>
  <c r="V775" i="13"/>
  <c r="V776" i="13"/>
  <c r="V777" i="13"/>
  <c r="V778" i="13"/>
  <c r="V779" i="13"/>
  <c r="V780" i="13"/>
  <c r="V781" i="13"/>
  <c r="V782" i="13"/>
  <c r="V783" i="13"/>
  <c r="V784" i="13"/>
  <c r="V785" i="13"/>
  <c r="V786" i="13"/>
  <c r="V787" i="13"/>
  <c r="V788" i="13"/>
  <c r="V789" i="13"/>
  <c r="V790" i="13"/>
  <c r="V791" i="13"/>
  <c r="V792" i="13"/>
  <c r="V793" i="13"/>
  <c r="V794" i="13"/>
  <c r="V795" i="13"/>
  <c r="V796" i="13"/>
  <c r="V797" i="13"/>
  <c r="V798" i="13"/>
  <c r="V799" i="13"/>
  <c r="V800" i="13"/>
  <c r="V801" i="13"/>
  <c r="V802" i="13"/>
  <c r="V803" i="13"/>
  <c r="V804" i="13"/>
  <c r="V805" i="13"/>
  <c r="V806" i="13"/>
  <c r="V807" i="13"/>
  <c r="V808" i="13"/>
  <c r="V809" i="13"/>
  <c r="V810" i="13"/>
  <c r="V811" i="13"/>
  <c r="V812" i="13"/>
  <c r="V813" i="13"/>
  <c r="V814" i="13"/>
  <c r="V815" i="13"/>
  <c r="V816" i="13"/>
  <c r="V817" i="13"/>
  <c r="V818" i="13"/>
  <c r="V819" i="13"/>
  <c r="V820" i="13"/>
  <c r="V821" i="13"/>
  <c r="V822" i="13"/>
  <c r="V823" i="13"/>
  <c r="V824" i="13"/>
  <c r="V825" i="13"/>
  <c r="V826" i="13"/>
  <c r="V827" i="13"/>
  <c r="V828" i="13"/>
  <c r="V829" i="13"/>
  <c r="V830" i="13"/>
  <c r="V831" i="13"/>
  <c r="V832" i="13"/>
  <c r="V833" i="13"/>
  <c r="V834" i="13"/>
  <c r="V835" i="13"/>
  <c r="V836" i="13"/>
  <c r="V837" i="13"/>
  <c r="V838" i="13"/>
  <c r="V839" i="13"/>
  <c r="V840" i="13"/>
  <c r="V841" i="13"/>
  <c r="V842" i="13"/>
  <c r="V843" i="13"/>
  <c r="V844" i="13"/>
  <c r="V845" i="13"/>
  <c r="V846" i="13"/>
  <c r="V847" i="13"/>
  <c r="V848" i="13"/>
  <c r="V849" i="13"/>
  <c r="V850" i="13"/>
  <c r="V851" i="13"/>
  <c r="V852" i="13"/>
  <c r="V853" i="13"/>
  <c r="V854" i="13"/>
  <c r="V855" i="13"/>
  <c r="V856" i="13"/>
  <c r="V857" i="13"/>
  <c r="V858" i="13"/>
  <c r="V859" i="13"/>
  <c r="V860" i="13"/>
  <c r="V861" i="13"/>
  <c r="V862" i="13"/>
  <c r="V863" i="13"/>
  <c r="V864" i="13"/>
  <c r="V865" i="13"/>
  <c r="V866" i="13"/>
  <c r="V867" i="13"/>
  <c r="V868" i="13"/>
  <c r="V869" i="13"/>
  <c r="V870" i="13"/>
  <c r="V871" i="13"/>
  <c r="V872" i="13"/>
  <c r="V873" i="13"/>
  <c r="V874" i="13"/>
  <c r="V875" i="13"/>
  <c r="V876" i="13"/>
  <c r="V877" i="13"/>
  <c r="V878" i="13"/>
  <c r="V879" i="13"/>
  <c r="V880" i="13"/>
  <c r="V881" i="13"/>
  <c r="V882" i="13"/>
  <c r="V883" i="13"/>
  <c r="V884" i="13"/>
  <c r="V885" i="13"/>
  <c r="V886" i="13"/>
  <c r="V887" i="13"/>
  <c r="V888" i="13"/>
  <c r="V889" i="13"/>
  <c r="V890" i="13"/>
  <c r="V891" i="13"/>
  <c r="V892" i="13"/>
  <c r="V893" i="13"/>
  <c r="V894" i="13"/>
  <c r="V895" i="13"/>
  <c r="V896" i="13"/>
  <c r="V897" i="13"/>
  <c r="V898" i="13"/>
  <c r="V899" i="13"/>
  <c r="V900" i="13"/>
  <c r="V901" i="13"/>
  <c r="V902" i="13"/>
  <c r="V903" i="13"/>
  <c r="V904" i="13"/>
  <c r="V905" i="13"/>
  <c r="V906" i="13"/>
  <c r="V907" i="13"/>
  <c r="V908" i="13"/>
  <c r="V909" i="13"/>
  <c r="U2" i="13"/>
  <c r="AD2" i="13" s="1"/>
  <c r="U3" i="13"/>
  <c r="AD3" i="13" s="1"/>
  <c r="U4" i="13"/>
  <c r="AD4" i="13" s="1"/>
  <c r="U5" i="13"/>
  <c r="AD5" i="13" s="1"/>
  <c r="U6" i="13"/>
  <c r="AD6" i="13" s="1"/>
  <c r="U7" i="13"/>
  <c r="AD7" i="13" s="1"/>
  <c r="U8" i="13"/>
  <c r="AD8" i="13" s="1"/>
  <c r="U9" i="13"/>
  <c r="AD9" i="13" s="1"/>
  <c r="U10" i="13"/>
  <c r="AD10" i="13" s="1"/>
  <c r="U11" i="13"/>
  <c r="AD11" i="13" s="1"/>
  <c r="U12" i="13"/>
  <c r="AD12" i="13" s="1"/>
  <c r="U13" i="13"/>
  <c r="AD13" i="13" s="1"/>
  <c r="U14" i="13"/>
  <c r="AD14" i="13" s="1"/>
  <c r="U15" i="13"/>
  <c r="AD15" i="13" s="1"/>
  <c r="U16" i="13"/>
  <c r="AD16" i="13" s="1"/>
  <c r="U17" i="13"/>
  <c r="AD17" i="13" s="1"/>
  <c r="U18" i="13"/>
  <c r="AD18" i="13" s="1"/>
  <c r="U19" i="13"/>
  <c r="AD19" i="13" s="1"/>
  <c r="U20" i="13"/>
  <c r="AD20" i="13" s="1"/>
  <c r="U21" i="13"/>
  <c r="AD21" i="13" s="1"/>
  <c r="U22" i="13"/>
  <c r="AD22" i="13" s="1"/>
  <c r="U23" i="13"/>
  <c r="AD23" i="13" s="1"/>
  <c r="U24" i="13"/>
  <c r="AD24" i="13" s="1"/>
  <c r="U25" i="13"/>
  <c r="AD25" i="13" s="1"/>
  <c r="U26" i="13"/>
  <c r="AD26" i="13" s="1"/>
  <c r="U27" i="13"/>
  <c r="AD27" i="13" s="1"/>
  <c r="U28" i="13"/>
  <c r="AD28" i="13" s="1"/>
  <c r="U29" i="13"/>
  <c r="AD29" i="13" s="1"/>
  <c r="U30" i="13"/>
  <c r="AD30" i="13" s="1"/>
  <c r="U31" i="13"/>
  <c r="AD31" i="13" s="1"/>
  <c r="U32" i="13"/>
  <c r="AD32" i="13" s="1"/>
  <c r="U33" i="13"/>
  <c r="AD33" i="13" s="1"/>
  <c r="U34" i="13"/>
  <c r="AD34" i="13" s="1"/>
  <c r="U35" i="13"/>
  <c r="AD35" i="13" s="1"/>
  <c r="U36" i="13"/>
  <c r="AD36" i="13" s="1"/>
  <c r="U37" i="13"/>
  <c r="AD37" i="13" s="1"/>
  <c r="U38" i="13"/>
  <c r="AD38" i="13" s="1"/>
  <c r="U39" i="13"/>
  <c r="AD39" i="13" s="1"/>
  <c r="U40" i="13"/>
  <c r="AD40" i="13" s="1"/>
  <c r="U41" i="13"/>
  <c r="AD41" i="13" s="1"/>
  <c r="U42" i="13"/>
  <c r="AD42" i="13" s="1"/>
  <c r="U43" i="13"/>
  <c r="AD43" i="13" s="1"/>
  <c r="U44" i="13"/>
  <c r="AD44" i="13" s="1"/>
  <c r="U45" i="13"/>
  <c r="AD45" i="13" s="1"/>
  <c r="U46" i="13"/>
  <c r="AD46" i="13" s="1"/>
  <c r="U47" i="13"/>
  <c r="AD47" i="13" s="1"/>
  <c r="U48" i="13"/>
  <c r="AD48" i="13" s="1"/>
  <c r="U49" i="13"/>
  <c r="AD49" i="13" s="1"/>
  <c r="U50" i="13"/>
  <c r="AD50" i="13" s="1"/>
  <c r="U51" i="13"/>
  <c r="AD51" i="13" s="1"/>
  <c r="U52" i="13"/>
  <c r="AD52" i="13" s="1"/>
  <c r="U53" i="13"/>
  <c r="AD53" i="13" s="1"/>
  <c r="U54" i="13"/>
  <c r="AD54" i="13" s="1"/>
  <c r="U55" i="13"/>
  <c r="AD55" i="13" s="1"/>
  <c r="U56" i="13"/>
  <c r="AD56" i="13" s="1"/>
  <c r="U57" i="13"/>
  <c r="AD57" i="13" s="1"/>
  <c r="U58" i="13"/>
  <c r="AD58" i="13" s="1"/>
  <c r="U59" i="13"/>
  <c r="AD59" i="13" s="1"/>
  <c r="U60" i="13"/>
  <c r="AD60" i="13" s="1"/>
  <c r="U61" i="13"/>
  <c r="AD61" i="13" s="1"/>
  <c r="U62" i="13"/>
  <c r="AD62" i="13" s="1"/>
  <c r="U63" i="13"/>
  <c r="AD63" i="13" s="1"/>
  <c r="U64" i="13"/>
  <c r="AD64" i="13" s="1"/>
  <c r="U65" i="13"/>
  <c r="AD65" i="13" s="1"/>
  <c r="U66" i="13"/>
  <c r="AD66" i="13" s="1"/>
  <c r="U67" i="13"/>
  <c r="AD67" i="13" s="1"/>
  <c r="U68" i="13"/>
  <c r="AD68" i="13" s="1"/>
  <c r="U69" i="13"/>
  <c r="AD69" i="13" s="1"/>
  <c r="U70" i="13"/>
  <c r="AD70" i="13" s="1"/>
  <c r="U71" i="13"/>
  <c r="AD71" i="13" s="1"/>
  <c r="U72" i="13"/>
  <c r="AD72" i="13" s="1"/>
  <c r="U73" i="13"/>
  <c r="AD73" i="13" s="1"/>
  <c r="U74" i="13"/>
  <c r="AD74" i="13" s="1"/>
  <c r="U75" i="13"/>
  <c r="AD75" i="13" s="1"/>
  <c r="U76" i="13"/>
  <c r="AD76" i="13" s="1"/>
  <c r="U77" i="13"/>
  <c r="AD77" i="13" s="1"/>
  <c r="U78" i="13"/>
  <c r="AD78" i="13" s="1"/>
  <c r="U79" i="13"/>
  <c r="AD79" i="13" s="1"/>
  <c r="U80" i="13"/>
  <c r="AD80" i="13" s="1"/>
  <c r="U81" i="13"/>
  <c r="AD81" i="13" s="1"/>
  <c r="U82" i="13"/>
  <c r="AD82" i="13" s="1"/>
  <c r="U83" i="13"/>
  <c r="AD83" i="13" s="1"/>
  <c r="U84" i="13"/>
  <c r="AD84" i="13" s="1"/>
  <c r="U85" i="13"/>
  <c r="AD85" i="13" s="1"/>
  <c r="U86" i="13"/>
  <c r="AD86" i="13" s="1"/>
  <c r="U87" i="13"/>
  <c r="AD87" i="13" s="1"/>
  <c r="U88" i="13"/>
  <c r="AD88" i="13" s="1"/>
  <c r="U89" i="13"/>
  <c r="AD89" i="13" s="1"/>
  <c r="U90" i="13"/>
  <c r="AD90" i="13" s="1"/>
  <c r="U91" i="13"/>
  <c r="AD91" i="13" s="1"/>
  <c r="U92" i="13"/>
  <c r="AD92" i="13" s="1"/>
  <c r="U93" i="13"/>
  <c r="AD93" i="13" s="1"/>
  <c r="U94" i="13"/>
  <c r="AD94" i="13" s="1"/>
  <c r="U95" i="13"/>
  <c r="AD95" i="13" s="1"/>
  <c r="U96" i="13"/>
  <c r="AD96" i="13" s="1"/>
  <c r="U97" i="13"/>
  <c r="AD97" i="13" s="1"/>
  <c r="U98" i="13"/>
  <c r="AD98" i="13" s="1"/>
  <c r="U99" i="13"/>
  <c r="AD99" i="13" s="1"/>
  <c r="U100" i="13"/>
  <c r="AD100" i="13" s="1"/>
  <c r="U101" i="13"/>
  <c r="AD101" i="13" s="1"/>
  <c r="U102" i="13"/>
  <c r="AD102" i="13" s="1"/>
  <c r="U103" i="13"/>
  <c r="AD103" i="13" s="1"/>
  <c r="U104" i="13"/>
  <c r="AD104" i="13" s="1"/>
  <c r="U105" i="13"/>
  <c r="AD105" i="13" s="1"/>
  <c r="U106" i="13"/>
  <c r="AD106" i="13" s="1"/>
  <c r="U107" i="13"/>
  <c r="AD107" i="13" s="1"/>
  <c r="U108" i="13"/>
  <c r="AD108" i="13" s="1"/>
  <c r="U109" i="13"/>
  <c r="AD109" i="13" s="1"/>
  <c r="U110" i="13"/>
  <c r="AD110" i="13" s="1"/>
  <c r="U111" i="13"/>
  <c r="AD111" i="13" s="1"/>
  <c r="U112" i="13"/>
  <c r="AD112" i="13" s="1"/>
  <c r="U113" i="13"/>
  <c r="AD113" i="13" s="1"/>
  <c r="U114" i="13"/>
  <c r="AD114" i="13" s="1"/>
  <c r="U115" i="13"/>
  <c r="AD115" i="13" s="1"/>
  <c r="U116" i="13"/>
  <c r="AD116" i="13" s="1"/>
  <c r="U117" i="13"/>
  <c r="AD117" i="13" s="1"/>
  <c r="U118" i="13"/>
  <c r="AD118" i="13" s="1"/>
  <c r="U119" i="13"/>
  <c r="AD119" i="13" s="1"/>
  <c r="U120" i="13"/>
  <c r="AD120" i="13" s="1"/>
  <c r="U121" i="13"/>
  <c r="AD121" i="13" s="1"/>
  <c r="U122" i="13"/>
  <c r="AD122" i="13" s="1"/>
  <c r="U123" i="13"/>
  <c r="AD123" i="13" s="1"/>
  <c r="U124" i="13"/>
  <c r="AD124" i="13" s="1"/>
  <c r="U125" i="13"/>
  <c r="AD125" i="13" s="1"/>
  <c r="U126" i="13"/>
  <c r="AD126" i="13" s="1"/>
  <c r="U127" i="13"/>
  <c r="AD127" i="13" s="1"/>
  <c r="U128" i="13"/>
  <c r="AD128" i="13" s="1"/>
  <c r="U129" i="13"/>
  <c r="AD129" i="13" s="1"/>
  <c r="U130" i="13"/>
  <c r="AD130" i="13" s="1"/>
  <c r="U131" i="13"/>
  <c r="AD131" i="13" s="1"/>
  <c r="U132" i="13"/>
  <c r="AD132" i="13" s="1"/>
  <c r="U133" i="13"/>
  <c r="AD133" i="13" s="1"/>
  <c r="U134" i="13"/>
  <c r="AD134" i="13" s="1"/>
  <c r="U135" i="13"/>
  <c r="AD135" i="13" s="1"/>
  <c r="U136" i="13"/>
  <c r="AD136" i="13" s="1"/>
  <c r="U137" i="13"/>
  <c r="AD137" i="13" s="1"/>
  <c r="U138" i="13"/>
  <c r="AD138" i="13" s="1"/>
  <c r="U139" i="13"/>
  <c r="AD139" i="13" s="1"/>
  <c r="U140" i="13"/>
  <c r="AD140" i="13" s="1"/>
  <c r="U141" i="13"/>
  <c r="AD141" i="13" s="1"/>
  <c r="U142" i="13"/>
  <c r="AD142" i="13" s="1"/>
  <c r="U143" i="13"/>
  <c r="AD143" i="13" s="1"/>
  <c r="U144" i="13"/>
  <c r="AD144" i="13" s="1"/>
  <c r="U145" i="13"/>
  <c r="AD145" i="13" s="1"/>
  <c r="U146" i="13"/>
  <c r="AD146" i="13" s="1"/>
  <c r="U147" i="13"/>
  <c r="AD147" i="13" s="1"/>
  <c r="U148" i="13"/>
  <c r="AD148" i="13" s="1"/>
  <c r="U149" i="13"/>
  <c r="AD149" i="13" s="1"/>
  <c r="U150" i="13"/>
  <c r="AD150" i="13" s="1"/>
  <c r="U151" i="13"/>
  <c r="AD151" i="13" s="1"/>
  <c r="U152" i="13"/>
  <c r="AD152" i="13" s="1"/>
  <c r="U153" i="13"/>
  <c r="AD153" i="13" s="1"/>
  <c r="U154" i="13"/>
  <c r="AD154" i="13" s="1"/>
  <c r="U155" i="13"/>
  <c r="AD155" i="13" s="1"/>
  <c r="U156" i="13"/>
  <c r="AD156" i="13" s="1"/>
  <c r="U157" i="13"/>
  <c r="AD157" i="13" s="1"/>
  <c r="U158" i="13"/>
  <c r="AD158" i="13" s="1"/>
  <c r="U159" i="13"/>
  <c r="AD159" i="13" s="1"/>
  <c r="U160" i="13"/>
  <c r="AD160" i="13" s="1"/>
  <c r="U161" i="13"/>
  <c r="AD161" i="13" s="1"/>
  <c r="U162" i="13"/>
  <c r="AD162" i="13" s="1"/>
  <c r="U163" i="13"/>
  <c r="AD163" i="13" s="1"/>
  <c r="U164" i="13"/>
  <c r="AD164" i="13" s="1"/>
  <c r="U165" i="13"/>
  <c r="AD165" i="13" s="1"/>
  <c r="U166" i="13"/>
  <c r="AD166" i="13" s="1"/>
  <c r="U167" i="13"/>
  <c r="AD167" i="13" s="1"/>
  <c r="U168" i="13"/>
  <c r="AD168" i="13" s="1"/>
  <c r="U169" i="13"/>
  <c r="AD169" i="13" s="1"/>
  <c r="U170" i="13"/>
  <c r="AD170" i="13" s="1"/>
  <c r="U171" i="13"/>
  <c r="AD171" i="13" s="1"/>
  <c r="U172" i="13"/>
  <c r="AD172" i="13" s="1"/>
  <c r="U173" i="13"/>
  <c r="AD173" i="13" s="1"/>
  <c r="U174" i="13"/>
  <c r="AD174" i="13" s="1"/>
  <c r="U175" i="13"/>
  <c r="AD175" i="13" s="1"/>
  <c r="U176" i="13"/>
  <c r="AD176" i="13" s="1"/>
  <c r="U177" i="13"/>
  <c r="AD177" i="13" s="1"/>
  <c r="U178" i="13"/>
  <c r="AD178" i="13" s="1"/>
  <c r="U179" i="13"/>
  <c r="AD179" i="13" s="1"/>
  <c r="U180" i="13"/>
  <c r="AD180" i="13" s="1"/>
  <c r="U181" i="13"/>
  <c r="AD181" i="13" s="1"/>
  <c r="U182" i="13"/>
  <c r="AD182" i="13" s="1"/>
  <c r="U183" i="13"/>
  <c r="AD183" i="13" s="1"/>
  <c r="U184" i="13"/>
  <c r="AD184" i="13" s="1"/>
  <c r="U185" i="13"/>
  <c r="AD185" i="13" s="1"/>
  <c r="U186" i="13"/>
  <c r="AD186" i="13" s="1"/>
  <c r="U187" i="13"/>
  <c r="AD187" i="13" s="1"/>
  <c r="U188" i="13"/>
  <c r="AD188" i="13" s="1"/>
  <c r="U189" i="13"/>
  <c r="AD189" i="13" s="1"/>
  <c r="U190" i="13"/>
  <c r="AD190" i="13" s="1"/>
  <c r="U191" i="13"/>
  <c r="AD191" i="13" s="1"/>
  <c r="U192" i="13"/>
  <c r="AD192" i="13" s="1"/>
  <c r="U193" i="13"/>
  <c r="AD193" i="13" s="1"/>
  <c r="U194" i="13"/>
  <c r="AD194" i="13" s="1"/>
  <c r="U195" i="13"/>
  <c r="AD195" i="13" s="1"/>
  <c r="U196" i="13"/>
  <c r="AD196" i="13" s="1"/>
  <c r="U197" i="13"/>
  <c r="AD197" i="13" s="1"/>
  <c r="U198" i="13"/>
  <c r="AD198" i="13" s="1"/>
  <c r="U199" i="13"/>
  <c r="AD199" i="13" s="1"/>
  <c r="U200" i="13"/>
  <c r="AD200" i="13" s="1"/>
  <c r="U201" i="13"/>
  <c r="AD201" i="13" s="1"/>
  <c r="U202" i="13"/>
  <c r="AD202" i="13" s="1"/>
  <c r="U203" i="13"/>
  <c r="AD203" i="13" s="1"/>
  <c r="U204" i="13"/>
  <c r="AD204" i="13" s="1"/>
  <c r="U205" i="13"/>
  <c r="AD205" i="13" s="1"/>
  <c r="U206" i="13"/>
  <c r="AD206" i="13" s="1"/>
  <c r="U207" i="13"/>
  <c r="AD207" i="13" s="1"/>
  <c r="U208" i="13"/>
  <c r="AD208" i="13" s="1"/>
  <c r="U209" i="13"/>
  <c r="AD209" i="13" s="1"/>
  <c r="U210" i="13"/>
  <c r="AD210" i="13" s="1"/>
  <c r="U211" i="13"/>
  <c r="AD211" i="13" s="1"/>
  <c r="U212" i="13"/>
  <c r="AD212" i="13" s="1"/>
  <c r="U213" i="13"/>
  <c r="AD213" i="13" s="1"/>
  <c r="U214" i="13"/>
  <c r="AD214" i="13" s="1"/>
  <c r="U215" i="13"/>
  <c r="AD215" i="13" s="1"/>
  <c r="U216" i="13"/>
  <c r="AD216" i="13" s="1"/>
  <c r="U217" i="13"/>
  <c r="AD217" i="13" s="1"/>
  <c r="U218" i="13"/>
  <c r="AD218" i="13" s="1"/>
  <c r="U219" i="13"/>
  <c r="AD219" i="13" s="1"/>
  <c r="U220" i="13"/>
  <c r="AD220" i="13" s="1"/>
  <c r="U221" i="13"/>
  <c r="AD221" i="13" s="1"/>
  <c r="U222" i="13"/>
  <c r="AD222" i="13" s="1"/>
  <c r="U223" i="13"/>
  <c r="AD223" i="13" s="1"/>
  <c r="U224" i="13"/>
  <c r="AD224" i="13" s="1"/>
  <c r="U225" i="13"/>
  <c r="AD225" i="13" s="1"/>
  <c r="U226" i="13"/>
  <c r="AD226" i="13" s="1"/>
  <c r="U227" i="13"/>
  <c r="AD227" i="13" s="1"/>
  <c r="U228" i="13"/>
  <c r="AD228" i="13" s="1"/>
  <c r="U229" i="13"/>
  <c r="AD229" i="13" s="1"/>
  <c r="U230" i="13"/>
  <c r="AD230" i="13" s="1"/>
  <c r="U231" i="13"/>
  <c r="AD231" i="13" s="1"/>
  <c r="U232" i="13"/>
  <c r="AD232" i="13" s="1"/>
  <c r="U233" i="13"/>
  <c r="AD233" i="13" s="1"/>
  <c r="U234" i="13"/>
  <c r="AD234" i="13" s="1"/>
  <c r="U235" i="13"/>
  <c r="AD235" i="13" s="1"/>
  <c r="U236" i="13"/>
  <c r="AD236" i="13" s="1"/>
  <c r="U237" i="13"/>
  <c r="AD237" i="13" s="1"/>
  <c r="U238" i="13"/>
  <c r="AD238" i="13" s="1"/>
  <c r="U239" i="13"/>
  <c r="AD239" i="13" s="1"/>
  <c r="U240" i="13"/>
  <c r="AD240" i="13" s="1"/>
  <c r="U241" i="13"/>
  <c r="AD241" i="13" s="1"/>
  <c r="U242" i="13"/>
  <c r="AD242" i="13" s="1"/>
  <c r="U243" i="13"/>
  <c r="AD243" i="13" s="1"/>
  <c r="U244" i="13"/>
  <c r="AD244" i="13" s="1"/>
  <c r="U245" i="13"/>
  <c r="AD245" i="13" s="1"/>
  <c r="U246" i="13"/>
  <c r="AD246" i="13" s="1"/>
  <c r="U247" i="13"/>
  <c r="AD247" i="13" s="1"/>
  <c r="U248" i="13"/>
  <c r="AD248" i="13" s="1"/>
  <c r="U249" i="13"/>
  <c r="AD249" i="13" s="1"/>
  <c r="U250" i="13"/>
  <c r="AD250" i="13" s="1"/>
  <c r="U251" i="13"/>
  <c r="AD251" i="13" s="1"/>
  <c r="U252" i="13"/>
  <c r="AD252" i="13" s="1"/>
  <c r="U253" i="13"/>
  <c r="AD253" i="13" s="1"/>
  <c r="U254" i="13"/>
  <c r="AD254" i="13" s="1"/>
  <c r="U255" i="13"/>
  <c r="AD255" i="13" s="1"/>
  <c r="U256" i="13"/>
  <c r="AD256" i="13" s="1"/>
  <c r="U257" i="13"/>
  <c r="AD257" i="13" s="1"/>
  <c r="U258" i="13"/>
  <c r="AD258" i="13" s="1"/>
  <c r="U259" i="13"/>
  <c r="AD259" i="13" s="1"/>
  <c r="U260" i="13"/>
  <c r="AD260" i="13" s="1"/>
  <c r="U261" i="13"/>
  <c r="AD261" i="13" s="1"/>
  <c r="U262" i="13"/>
  <c r="AD262" i="13" s="1"/>
  <c r="U263" i="13"/>
  <c r="AD263" i="13" s="1"/>
  <c r="U264" i="13"/>
  <c r="AD264" i="13" s="1"/>
  <c r="U265" i="13"/>
  <c r="AD265" i="13" s="1"/>
  <c r="U266" i="13"/>
  <c r="AD266" i="13" s="1"/>
  <c r="U267" i="13"/>
  <c r="AD267" i="13" s="1"/>
  <c r="U268" i="13"/>
  <c r="AD268" i="13" s="1"/>
  <c r="U269" i="13"/>
  <c r="AD269" i="13" s="1"/>
  <c r="U270" i="13"/>
  <c r="AD270" i="13" s="1"/>
  <c r="U271" i="13"/>
  <c r="AD271" i="13" s="1"/>
  <c r="U272" i="13"/>
  <c r="AD272" i="13" s="1"/>
  <c r="U273" i="13"/>
  <c r="AD273" i="13" s="1"/>
  <c r="U274" i="13"/>
  <c r="AD274" i="13" s="1"/>
  <c r="U275" i="13"/>
  <c r="AD275" i="13" s="1"/>
  <c r="U276" i="13"/>
  <c r="AD276" i="13" s="1"/>
  <c r="U277" i="13"/>
  <c r="AD277" i="13" s="1"/>
  <c r="U278" i="13"/>
  <c r="AD278" i="13" s="1"/>
  <c r="U279" i="13"/>
  <c r="AD279" i="13" s="1"/>
  <c r="U280" i="13"/>
  <c r="AD280" i="13" s="1"/>
  <c r="U281" i="13"/>
  <c r="AD281" i="13" s="1"/>
  <c r="U282" i="13"/>
  <c r="AD282" i="13" s="1"/>
  <c r="U283" i="13"/>
  <c r="AD283" i="13" s="1"/>
  <c r="U284" i="13"/>
  <c r="AD284" i="13" s="1"/>
  <c r="U285" i="13"/>
  <c r="AD285" i="13" s="1"/>
  <c r="U286" i="13"/>
  <c r="AD286" i="13" s="1"/>
  <c r="U287" i="13"/>
  <c r="AD287" i="13" s="1"/>
  <c r="U288" i="13"/>
  <c r="AD288" i="13" s="1"/>
  <c r="U289" i="13"/>
  <c r="AD289" i="13" s="1"/>
  <c r="U290" i="13"/>
  <c r="AD290" i="13" s="1"/>
  <c r="U291" i="13"/>
  <c r="AD291" i="13" s="1"/>
  <c r="U292" i="13"/>
  <c r="AD292" i="13" s="1"/>
  <c r="U293" i="13"/>
  <c r="AD293" i="13" s="1"/>
  <c r="U294" i="13"/>
  <c r="AD294" i="13" s="1"/>
  <c r="U295" i="13"/>
  <c r="AD295" i="13" s="1"/>
  <c r="U296" i="13"/>
  <c r="AD296" i="13" s="1"/>
  <c r="U297" i="13"/>
  <c r="AD297" i="13" s="1"/>
  <c r="U298" i="13"/>
  <c r="AD298" i="13" s="1"/>
  <c r="U299" i="13"/>
  <c r="AD299" i="13" s="1"/>
  <c r="U300" i="13"/>
  <c r="AD300" i="13" s="1"/>
  <c r="U301" i="13"/>
  <c r="AD301" i="13" s="1"/>
  <c r="U302" i="13"/>
  <c r="AD302" i="13" s="1"/>
  <c r="U303" i="13"/>
  <c r="AD303" i="13" s="1"/>
  <c r="U304" i="13"/>
  <c r="AD304" i="13" s="1"/>
  <c r="U305" i="13"/>
  <c r="AD305" i="13" s="1"/>
  <c r="U306" i="13"/>
  <c r="AD306" i="13" s="1"/>
  <c r="U307" i="13"/>
  <c r="AD307" i="13" s="1"/>
  <c r="U308" i="13"/>
  <c r="AD308" i="13" s="1"/>
  <c r="U309" i="13"/>
  <c r="AD309" i="13" s="1"/>
  <c r="U310" i="13"/>
  <c r="AD310" i="13" s="1"/>
  <c r="U311" i="13"/>
  <c r="AD311" i="13" s="1"/>
  <c r="U312" i="13"/>
  <c r="AD312" i="13" s="1"/>
  <c r="U313" i="13"/>
  <c r="AD313" i="13" s="1"/>
  <c r="U314" i="13"/>
  <c r="AD314" i="13" s="1"/>
  <c r="U315" i="13"/>
  <c r="AD315" i="13" s="1"/>
  <c r="U316" i="13"/>
  <c r="AD316" i="13" s="1"/>
  <c r="U317" i="13"/>
  <c r="AD317" i="13" s="1"/>
  <c r="U318" i="13"/>
  <c r="AD318" i="13" s="1"/>
  <c r="U319" i="13"/>
  <c r="AD319" i="13" s="1"/>
  <c r="U320" i="13"/>
  <c r="AD320" i="13" s="1"/>
  <c r="U321" i="13"/>
  <c r="AD321" i="13" s="1"/>
  <c r="U322" i="13"/>
  <c r="AD322" i="13" s="1"/>
  <c r="U323" i="13"/>
  <c r="AD323" i="13" s="1"/>
  <c r="U324" i="13"/>
  <c r="AD324" i="13" s="1"/>
  <c r="U325" i="13"/>
  <c r="AD325" i="13" s="1"/>
  <c r="U326" i="13"/>
  <c r="AD326" i="13" s="1"/>
  <c r="U327" i="13"/>
  <c r="AD327" i="13" s="1"/>
  <c r="U328" i="13"/>
  <c r="AD328" i="13" s="1"/>
  <c r="U329" i="13"/>
  <c r="AD329" i="13" s="1"/>
  <c r="U330" i="13"/>
  <c r="AD330" i="13" s="1"/>
  <c r="U331" i="13"/>
  <c r="AD331" i="13" s="1"/>
  <c r="U332" i="13"/>
  <c r="AD332" i="13" s="1"/>
  <c r="U333" i="13"/>
  <c r="AD333" i="13" s="1"/>
  <c r="U334" i="13"/>
  <c r="AD334" i="13" s="1"/>
  <c r="U335" i="13"/>
  <c r="AD335" i="13" s="1"/>
  <c r="U336" i="13"/>
  <c r="AD336" i="13" s="1"/>
  <c r="U337" i="13"/>
  <c r="AD337" i="13" s="1"/>
  <c r="U338" i="13"/>
  <c r="AD338" i="13" s="1"/>
  <c r="U339" i="13"/>
  <c r="AD339" i="13" s="1"/>
  <c r="U340" i="13"/>
  <c r="AD340" i="13" s="1"/>
  <c r="U341" i="13"/>
  <c r="AD341" i="13" s="1"/>
  <c r="U342" i="13"/>
  <c r="AD342" i="13" s="1"/>
  <c r="U343" i="13"/>
  <c r="AD343" i="13" s="1"/>
  <c r="U344" i="13"/>
  <c r="AD344" i="13" s="1"/>
  <c r="U345" i="13"/>
  <c r="AD345" i="13" s="1"/>
  <c r="U346" i="13"/>
  <c r="AD346" i="13" s="1"/>
  <c r="U347" i="13"/>
  <c r="AD347" i="13" s="1"/>
  <c r="U348" i="13"/>
  <c r="AD348" i="13" s="1"/>
  <c r="U349" i="13"/>
  <c r="AD349" i="13" s="1"/>
  <c r="U350" i="13"/>
  <c r="AD350" i="13" s="1"/>
  <c r="U351" i="13"/>
  <c r="AD351" i="13" s="1"/>
  <c r="U352" i="13"/>
  <c r="AD352" i="13" s="1"/>
  <c r="U353" i="13"/>
  <c r="AD353" i="13" s="1"/>
  <c r="U354" i="13"/>
  <c r="AD354" i="13" s="1"/>
  <c r="U355" i="13"/>
  <c r="AD355" i="13" s="1"/>
  <c r="U356" i="13"/>
  <c r="AD356" i="13" s="1"/>
  <c r="U357" i="13"/>
  <c r="AD357" i="13" s="1"/>
  <c r="U358" i="13"/>
  <c r="AD358" i="13" s="1"/>
  <c r="U359" i="13"/>
  <c r="AD359" i="13" s="1"/>
  <c r="U360" i="13"/>
  <c r="AD360" i="13" s="1"/>
  <c r="U361" i="13"/>
  <c r="AD361" i="13" s="1"/>
  <c r="U362" i="13"/>
  <c r="AD362" i="13" s="1"/>
  <c r="U363" i="13"/>
  <c r="AD363" i="13" s="1"/>
  <c r="U364" i="13"/>
  <c r="AD364" i="13" s="1"/>
  <c r="U365" i="13"/>
  <c r="AD365" i="13" s="1"/>
  <c r="U366" i="13"/>
  <c r="AD366" i="13" s="1"/>
  <c r="U367" i="13"/>
  <c r="AD367" i="13" s="1"/>
  <c r="U368" i="13"/>
  <c r="AD368" i="13" s="1"/>
  <c r="U369" i="13"/>
  <c r="AD369" i="13" s="1"/>
  <c r="U370" i="13"/>
  <c r="AD370" i="13" s="1"/>
  <c r="U371" i="13"/>
  <c r="AD371" i="13" s="1"/>
  <c r="U372" i="13"/>
  <c r="AD372" i="13" s="1"/>
  <c r="U373" i="13"/>
  <c r="AD373" i="13" s="1"/>
  <c r="U374" i="13"/>
  <c r="AD374" i="13" s="1"/>
  <c r="U375" i="13"/>
  <c r="AD375" i="13" s="1"/>
  <c r="U376" i="13"/>
  <c r="AD376" i="13" s="1"/>
  <c r="U377" i="13"/>
  <c r="AD377" i="13" s="1"/>
  <c r="U378" i="13"/>
  <c r="AD378" i="13" s="1"/>
  <c r="U379" i="13"/>
  <c r="AD379" i="13" s="1"/>
  <c r="U380" i="13"/>
  <c r="AD380" i="13" s="1"/>
  <c r="U381" i="13"/>
  <c r="AD381" i="13" s="1"/>
  <c r="U382" i="13"/>
  <c r="AD382" i="13" s="1"/>
  <c r="U383" i="13"/>
  <c r="AD383" i="13" s="1"/>
  <c r="U384" i="13"/>
  <c r="AD384" i="13" s="1"/>
  <c r="U385" i="13"/>
  <c r="AD385" i="13" s="1"/>
  <c r="U386" i="13"/>
  <c r="AD386" i="13" s="1"/>
  <c r="U387" i="13"/>
  <c r="AD387" i="13" s="1"/>
  <c r="U388" i="13"/>
  <c r="AD388" i="13" s="1"/>
  <c r="U389" i="13"/>
  <c r="AD389" i="13" s="1"/>
  <c r="U390" i="13"/>
  <c r="AD390" i="13" s="1"/>
  <c r="U391" i="13"/>
  <c r="AD391" i="13" s="1"/>
  <c r="U392" i="13"/>
  <c r="AD392" i="13" s="1"/>
  <c r="U393" i="13"/>
  <c r="AD393" i="13" s="1"/>
  <c r="U394" i="13"/>
  <c r="AD394" i="13" s="1"/>
  <c r="U395" i="13"/>
  <c r="AD395" i="13" s="1"/>
  <c r="U396" i="13"/>
  <c r="AD396" i="13" s="1"/>
  <c r="U397" i="13"/>
  <c r="AD397" i="13" s="1"/>
  <c r="U398" i="13"/>
  <c r="AD398" i="13" s="1"/>
  <c r="U399" i="13"/>
  <c r="AD399" i="13" s="1"/>
  <c r="U400" i="13"/>
  <c r="AD400" i="13" s="1"/>
  <c r="U401" i="13"/>
  <c r="AD401" i="13" s="1"/>
  <c r="U402" i="13"/>
  <c r="AD402" i="13" s="1"/>
  <c r="U403" i="13"/>
  <c r="AD403" i="13" s="1"/>
  <c r="U404" i="13"/>
  <c r="AD404" i="13" s="1"/>
  <c r="U405" i="13"/>
  <c r="AD405" i="13" s="1"/>
  <c r="U406" i="13"/>
  <c r="AD406" i="13" s="1"/>
  <c r="U407" i="13"/>
  <c r="AD407" i="13" s="1"/>
  <c r="U408" i="13"/>
  <c r="AD408" i="13" s="1"/>
  <c r="U409" i="13"/>
  <c r="AD409" i="13" s="1"/>
  <c r="U410" i="13"/>
  <c r="AD410" i="13" s="1"/>
  <c r="U411" i="13"/>
  <c r="AD411" i="13" s="1"/>
  <c r="U412" i="13"/>
  <c r="AD412" i="13" s="1"/>
  <c r="U413" i="13"/>
  <c r="AD413" i="13" s="1"/>
  <c r="U414" i="13"/>
  <c r="AD414" i="13" s="1"/>
  <c r="U415" i="13"/>
  <c r="AD415" i="13" s="1"/>
  <c r="U416" i="13"/>
  <c r="AD416" i="13" s="1"/>
  <c r="U417" i="13"/>
  <c r="AD417" i="13" s="1"/>
  <c r="U418" i="13"/>
  <c r="AD418" i="13" s="1"/>
  <c r="U419" i="13"/>
  <c r="AD419" i="13" s="1"/>
  <c r="U420" i="13"/>
  <c r="AD420" i="13" s="1"/>
  <c r="U421" i="13"/>
  <c r="AD421" i="13" s="1"/>
  <c r="U422" i="13"/>
  <c r="AD422" i="13" s="1"/>
  <c r="U423" i="13"/>
  <c r="AD423" i="13" s="1"/>
  <c r="U424" i="13"/>
  <c r="AD424" i="13" s="1"/>
  <c r="U425" i="13"/>
  <c r="AD425" i="13" s="1"/>
  <c r="U426" i="13"/>
  <c r="AD426" i="13" s="1"/>
  <c r="U427" i="13"/>
  <c r="AD427" i="13" s="1"/>
  <c r="U428" i="13"/>
  <c r="AD428" i="13" s="1"/>
  <c r="U429" i="13"/>
  <c r="AD429" i="13" s="1"/>
  <c r="U430" i="13"/>
  <c r="AD430" i="13" s="1"/>
  <c r="U431" i="13"/>
  <c r="AD431" i="13" s="1"/>
  <c r="U432" i="13"/>
  <c r="AD432" i="13" s="1"/>
  <c r="U433" i="13"/>
  <c r="AD433" i="13" s="1"/>
  <c r="U434" i="13"/>
  <c r="AD434" i="13" s="1"/>
  <c r="U435" i="13"/>
  <c r="AD435" i="13" s="1"/>
  <c r="U436" i="13"/>
  <c r="AD436" i="13" s="1"/>
  <c r="U437" i="13"/>
  <c r="AD437" i="13" s="1"/>
  <c r="U438" i="13"/>
  <c r="AD438" i="13" s="1"/>
  <c r="U439" i="13"/>
  <c r="AD439" i="13" s="1"/>
  <c r="U440" i="13"/>
  <c r="AD440" i="13" s="1"/>
  <c r="U441" i="13"/>
  <c r="AD441" i="13" s="1"/>
  <c r="U442" i="13"/>
  <c r="AD442" i="13" s="1"/>
  <c r="U443" i="13"/>
  <c r="AD443" i="13" s="1"/>
  <c r="U444" i="13"/>
  <c r="AD444" i="13" s="1"/>
  <c r="U445" i="13"/>
  <c r="AD445" i="13" s="1"/>
  <c r="U446" i="13"/>
  <c r="AD446" i="13" s="1"/>
  <c r="U447" i="13"/>
  <c r="AD447" i="13" s="1"/>
  <c r="U448" i="13"/>
  <c r="AD448" i="13" s="1"/>
  <c r="U449" i="13"/>
  <c r="AD449" i="13" s="1"/>
  <c r="U450" i="13"/>
  <c r="AD450" i="13" s="1"/>
  <c r="U451" i="13"/>
  <c r="AD451" i="13" s="1"/>
  <c r="U452" i="13"/>
  <c r="AD452" i="13" s="1"/>
  <c r="U453" i="13"/>
  <c r="AD453" i="13" s="1"/>
  <c r="U454" i="13"/>
  <c r="AD454" i="13" s="1"/>
  <c r="U455" i="13"/>
  <c r="AD455" i="13" s="1"/>
  <c r="U456" i="13"/>
  <c r="AD456" i="13" s="1"/>
  <c r="U457" i="13"/>
  <c r="AD457" i="13" s="1"/>
  <c r="U458" i="13"/>
  <c r="AD458" i="13" s="1"/>
  <c r="U459" i="13"/>
  <c r="AD459" i="13" s="1"/>
  <c r="U460" i="13"/>
  <c r="AD460" i="13" s="1"/>
  <c r="U461" i="13"/>
  <c r="AD461" i="13" s="1"/>
  <c r="U462" i="13"/>
  <c r="AD462" i="13" s="1"/>
  <c r="U463" i="13"/>
  <c r="AD463" i="13" s="1"/>
  <c r="U464" i="13"/>
  <c r="AD464" i="13" s="1"/>
  <c r="U465" i="13"/>
  <c r="AD465" i="13" s="1"/>
  <c r="U466" i="13"/>
  <c r="AD466" i="13" s="1"/>
  <c r="U467" i="13"/>
  <c r="AD467" i="13" s="1"/>
  <c r="U468" i="13"/>
  <c r="AD468" i="13" s="1"/>
  <c r="U469" i="13"/>
  <c r="AD469" i="13" s="1"/>
  <c r="U470" i="13"/>
  <c r="AD470" i="13" s="1"/>
  <c r="U471" i="13"/>
  <c r="AD471" i="13" s="1"/>
  <c r="U472" i="13"/>
  <c r="AD472" i="13" s="1"/>
  <c r="U473" i="13"/>
  <c r="AD473" i="13" s="1"/>
  <c r="U474" i="13"/>
  <c r="AD474" i="13" s="1"/>
  <c r="U475" i="13"/>
  <c r="AD475" i="13" s="1"/>
  <c r="U476" i="13"/>
  <c r="AD476" i="13" s="1"/>
  <c r="U477" i="13"/>
  <c r="AD477" i="13" s="1"/>
  <c r="U478" i="13"/>
  <c r="AD478" i="13" s="1"/>
  <c r="U479" i="13"/>
  <c r="AD479" i="13" s="1"/>
  <c r="U480" i="13"/>
  <c r="AD480" i="13" s="1"/>
  <c r="U481" i="13"/>
  <c r="AD481" i="13" s="1"/>
  <c r="U482" i="13"/>
  <c r="AD482" i="13" s="1"/>
  <c r="U483" i="13"/>
  <c r="AD483" i="13" s="1"/>
  <c r="U484" i="13"/>
  <c r="AD484" i="13" s="1"/>
  <c r="U485" i="13"/>
  <c r="AD485" i="13" s="1"/>
  <c r="U486" i="13"/>
  <c r="AD486" i="13" s="1"/>
  <c r="U487" i="13"/>
  <c r="AD487" i="13" s="1"/>
  <c r="U488" i="13"/>
  <c r="AD488" i="13" s="1"/>
  <c r="U489" i="13"/>
  <c r="AD489" i="13" s="1"/>
  <c r="U490" i="13"/>
  <c r="AD490" i="13" s="1"/>
  <c r="U491" i="13"/>
  <c r="AD491" i="13" s="1"/>
  <c r="U492" i="13"/>
  <c r="AD492" i="13" s="1"/>
  <c r="U493" i="13"/>
  <c r="AD493" i="13" s="1"/>
  <c r="U494" i="13"/>
  <c r="AD494" i="13" s="1"/>
  <c r="U495" i="13"/>
  <c r="AD495" i="13" s="1"/>
  <c r="U496" i="13"/>
  <c r="AD496" i="13" s="1"/>
  <c r="U497" i="13"/>
  <c r="AD497" i="13" s="1"/>
  <c r="U498" i="13"/>
  <c r="AD498" i="13" s="1"/>
  <c r="U499" i="13"/>
  <c r="AD499" i="13" s="1"/>
  <c r="U500" i="13"/>
  <c r="AD500" i="13" s="1"/>
  <c r="U501" i="13"/>
  <c r="AD501" i="13" s="1"/>
  <c r="U502" i="13"/>
  <c r="AD502" i="13" s="1"/>
  <c r="U503" i="13"/>
  <c r="AD503" i="13" s="1"/>
  <c r="U504" i="13"/>
  <c r="AD504" i="13" s="1"/>
  <c r="U505" i="13"/>
  <c r="AD505" i="13" s="1"/>
  <c r="U506" i="13"/>
  <c r="AD506" i="13" s="1"/>
  <c r="U507" i="13"/>
  <c r="AD507" i="13" s="1"/>
  <c r="U508" i="13"/>
  <c r="AD508" i="13" s="1"/>
  <c r="U509" i="13"/>
  <c r="AD509" i="13" s="1"/>
  <c r="U510" i="13"/>
  <c r="AD510" i="13" s="1"/>
  <c r="U511" i="13"/>
  <c r="AD511" i="13" s="1"/>
  <c r="U512" i="13"/>
  <c r="AD512" i="13" s="1"/>
  <c r="U513" i="13"/>
  <c r="AD513" i="13" s="1"/>
  <c r="U514" i="13"/>
  <c r="AD514" i="13" s="1"/>
  <c r="U515" i="13"/>
  <c r="AD515" i="13" s="1"/>
  <c r="U516" i="13"/>
  <c r="AD516" i="13" s="1"/>
  <c r="U517" i="13"/>
  <c r="AD517" i="13" s="1"/>
  <c r="U518" i="13"/>
  <c r="AD518" i="13" s="1"/>
  <c r="U519" i="13"/>
  <c r="AD519" i="13" s="1"/>
  <c r="U520" i="13"/>
  <c r="AD520" i="13" s="1"/>
  <c r="U521" i="13"/>
  <c r="AD521" i="13" s="1"/>
  <c r="U522" i="13"/>
  <c r="AD522" i="13" s="1"/>
  <c r="U523" i="13"/>
  <c r="AD523" i="13" s="1"/>
  <c r="U524" i="13"/>
  <c r="AD524" i="13" s="1"/>
  <c r="U525" i="13"/>
  <c r="AD525" i="13" s="1"/>
  <c r="U526" i="13"/>
  <c r="AD526" i="13" s="1"/>
  <c r="U527" i="13"/>
  <c r="AD527" i="13" s="1"/>
  <c r="U528" i="13"/>
  <c r="AD528" i="13" s="1"/>
  <c r="U529" i="13"/>
  <c r="AD529" i="13" s="1"/>
  <c r="U530" i="13"/>
  <c r="AD530" i="13" s="1"/>
  <c r="U531" i="13"/>
  <c r="AD531" i="13" s="1"/>
  <c r="U532" i="13"/>
  <c r="AD532" i="13" s="1"/>
  <c r="U533" i="13"/>
  <c r="AD533" i="13" s="1"/>
  <c r="U534" i="13"/>
  <c r="AD534" i="13" s="1"/>
  <c r="U535" i="13"/>
  <c r="AD535" i="13" s="1"/>
  <c r="U536" i="13"/>
  <c r="AD536" i="13" s="1"/>
  <c r="U537" i="13"/>
  <c r="AD537" i="13" s="1"/>
  <c r="U538" i="13"/>
  <c r="AD538" i="13" s="1"/>
  <c r="U539" i="13"/>
  <c r="AD539" i="13" s="1"/>
  <c r="U540" i="13"/>
  <c r="AD540" i="13" s="1"/>
  <c r="U541" i="13"/>
  <c r="AD541" i="13" s="1"/>
  <c r="U542" i="13"/>
  <c r="AD542" i="13" s="1"/>
  <c r="U543" i="13"/>
  <c r="AD543" i="13" s="1"/>
  <c r="U544" i="13"/>
  <c r="AD544" i="13" s="1"/>
  <c r="U545" i="13"/>
  <c r="AD545" i="13" s="1"/>
  <c r="U546" i="13"/>
  <c r="AD546" i="13" s="1"/>
  <c r="U547" i="13"/>
  <c r="AD547" i="13" s="1"/>
  <c r="U548" i="13"/>
  <c r="AD548" i="13" s="1"/>
  <c r="U549" i="13"/>
  <c r="AD549" i="13" s="1"/>
  <c r="U550" i="13"/>
  <c r="AD550" i="13" s="1"/>
  <c r="U551" i="13"/>
  <c r="AD551" i="13" s="1"/>
  <c r="U552" i="13"/>
  <c r="AD552" i="13" s="1"/>
  <c r="U553" i="13"/>
  <c r="AD553" i="13" s="1"/>
  <c r="U554" i="13"/>
  <c r="AD554" i="13" s="1"/>
  <c r="U555" i="13"/>
  <c r="AD555" i="13" s="1"/>
  <c r="U556" i="13"/>
  <c r="AD556" i="13" s="1"/>
  <c r="U557" i="13"/>
  <c r="AD557" i="13" s="1"/>
  <c r="U558" i="13"/>
  <c r="AD558" i="13" s="1"/>
  <c r="U559" i="13"/>
  <c r="AD559" i="13" s="1"/>
  <c r="U560" i="13"/>
  <c r="AD560" i="13" s="1"/>
  <c r="U561" i="13"/>
  <c r="AD561" i="13" s="1"/>
  <c r="U562" i="13"/>
  <c r="AD562" i="13" s="1"/>
  <c r="U563" i="13"/>
  <c r="AD563" i="13" s="1"/>
  <c r="U564" i="13"/>
  <c r="AD564" i="13" s="1"/>
  <c r="U565" i="13"/>
  <c r="AD565" i="13" s="1"/>
  <c r="U566" i="13"/>
  <c r="AD566" i="13" s="1"/>
  <c r="U567" i="13"/>
  <c r="AD567" i="13" s="1"/>
  <c r="U568" i="13"/>
  <c r="AD568" i="13" s="1"/>
  <c r="U569" i="13"/>
  <c r="AD569" i="13" s="1"/>
  <c r="U570" i="13"/>
  <c r="AD570" i="13" s="1"/>
  <c r="U571" i="13"/>
  <c r="AD571" i="13" s="1"/>
  <c r="U572" i="13"/>
  <c r="AD572" i="13" s="1"/>
  <c r="U573" i="13"/>
  <c r="AD573" i="13" s="1"/>
  <c r="U574" i="13"/>
  <c r="AD574" i="13" s="1"/>
  <c r="U575" i="13"/>
  <c r="AD575" i="13" s="1"/>
  <c r="U576" i="13"/>
  <c r="AD576" i="13" s="1"/>
  <c r="U577" i="13"/>
  <c r="AD577" i="13" s="1"/>
  <c r="U578" i="13"/>
  <c r="AD578" i="13" s="1"/>
  <c r="U579" i="13"/>
  <c r="AD579" i="13" s="1"/>
  <c r="U580" i="13"/>
  <c r="AD580" i="13" s="1"/>
  <c r="U581" i="13"/>
  <c r="AD581" i="13" s="1"/>
  <c r="U582" i="13"/>
  <c r="AD582" i="13" s="1"/>
  <c r="U583" i="13"/>
  <c r="AD583" i="13" s="1"/>
  <c r="U584" i="13"/>
  <c r="AD584" i="13" s="1"/>
  <c r="U585" i="13"/>
  <c r="AD585" i="13" s="1"/>
  <c r="U586" i="13"/>
  <c r="AD586" i="13" s="1"/>
  <c r="U587" i="13"/>
  <c r="AD587" i="13" s="1"/>
  <c r="U588" i="13"/>
  <c r="AD588" i="13" s="1"/>
  <c r="U589" i="13"/>
  <c r="AD589" i="13" s="1"/>
  <c r="U590" i="13"/>
  <c r="AD590" i="13" s="1"/>
  <c r="U591" i="13"/>
  <c r="AD591" i="13" s="1"/>
  <c r="U592" i="13"/>
  <c r="AD592" i="13" s="1"/>
  <c r="U593" i="13"/>
  <c r="AD593" i="13" s="1"/>
  <c r="U594" i="13"/>
  <c r="AD594" i="13" s="1"/>
  <c r="U595" i="13"/>
  <c r="AD595" i="13" s="1"/>
  <c r="U596" i="13"/>
  <c r="AD596" i="13" s="1"/>
  <c r="U597" i="13"/>
  <c r="AD597" i="13" s="1"/>
  <c r="U598" i="13"/>
  <c r="AD598" i="13" s="1"/>
  <c r="U599" i="13"/>
  <c r="AD599" i="13" s="1"/>
  <c r="U600" i="13"/>
  <c r="AD600" i="13" s="1"/>
  <c r="U601" i="13"/>
  <c r="AD601" i="13" s="1"/>
  <c r="U602" i="13"/>
  <c r="AD602" i="13" s="1"/>
  <c r="U603" i="13"/>
  <c r="AD603" i="13" s="1"/>
  <c r="U604" i="13"/>
  <c r="AD604" i="13" s="1"/>
  <c r="U605" i="13"/>
  <c r="AD605" i="13" s="1"/>
  <c r="U606" i="13"/>
  <c r="AD606" i="13" s="1"/>
  <c r="U607" i="13"/>
  <c r="AD607" i="13" s="1"/>
  <c r="U608" i="13"/>
  <c r="AD608" i="13" s="1"/>
  <c r="U609" i="13"/>
  <c r="AD609" i="13" s="1"/>
  <c r="U610" i="13"/>
  <c r="AD610" i="13" s="1"/>
  <c r="U611" i="13"/>
  <c r="AD611" i="13" s="1"/>
  <c r="U612" i="13"/>
  <c r="AD612" i="13" s="1"/>
  <c r="U613" i="13"/>
  <c r="AD613" i="13" s="1"/>
  <c r="U614" i="13"/>
  <c r="AD614" i="13" s="1"/>
  <c r="U615" i="13"/>
  <c r="AD615" i="13" s="1"/>
  <c r="U616" i="13"/>
  <c r="AD616" i="13" s="1"/>
  <c r="U617" i="13"/>
  <c r="AD617" i="13" s="1"/>
  <c r="U618" i="13"/>
  <c r="AD618" i="13" s="1"/>
  <c r="U619" i="13"/>
  <c r="AD619" i="13" s="1"/>
  <c r="U620" i="13"/>
  <c r="AD620" i="13" s="1"/>
  <c r="U621" i="13"/>
  <c r="AD621" i="13" s="1"/>
  <c r="U622" i="13"/>
  <c r="AD622" i="13" s="1"/>
  <c r="U623" i="13"/>
  <c r="AD623" i="13" s="1"/>
  <c r="U624" i="13"/>
  <c r="AD624" i="13" s="1"/>
  <c r="U625" i="13"/>
  <c r="AD625" i="13" s="1"/>
  <c r="U626" i="13"/>
  <c r="AD626" i="13" s="1"/>
  <c r="U627" i="13"/>
  <c r="AD627" i="13" s="1"/>
  <c r="U628" i="13"/>
  <c r="AD628" i="13" s="1"/>
  <c r="U629" i="13"/>
  <c r="AD629" i="13" s="1"/>
  <c r="U630" i="13"/>
  <c r="AD630" i="13" s="1"/>
  <c r="U631" i="13"/>
  <c r="AD631" i="13" s="1"/>
  <c r="U632" i="13"/>
  <c r="AD632" i="13" s="1"/>
  <c r="U633" i="13"/>
  <c r="AD633" i="13" s="1"/>
  <c r="U634" i="13"/>
  <c r="AD634" i="13" s="1"/>
  <c r="U635" i="13"/>
  <c r="AD635" i="13" s="1"/>
  <c r="U636" i="13"/>
  <c r="AD636" i="13" s="1"/>
  <c r="U637" i="13"/>
  <c r="AD637" i="13" s="1"/>
  <c r="U638" i="13"/>
  <c r="AD638" i="13" s="1"/>
  <c r="U639" i="13"/>
  <c r="AD639" i="13" s="1"/>
  <c r="U640" i="13"/>
  <c r="AD640" i="13" s="1"/>
  <c r="U641" i="13"/>
  <c r="AD641" i="13" s="1"/>
  <c r="U642" i="13"/>
  <c r="AD642" i="13" s="1"/>
  <c r="U643" i="13"/>
  <c r="AD643" i="13" s="1"/>
  <c r="U644" i="13"/>
  <c r="AD644" i="13" s="1"/>
  <c r="U645" i="13"/>
  <c r="AD645" i="13" s="1"/>
  <c r="U646" i="13"/>
  <c r="AD646" i="13" s="1"/>
  <c r="U647" i="13"/>
  <c r="AD647" i="13" s="1"/>
  <c r="U648" i="13"/>
  <c r="AD648" i="13" s="1"/>
  <c r="U649" i="13"/>
  <c r="AD649" i="13" s="1"/>
  <c r="U650" i="13"/>
  <c r="AD650" i="13" s="1"/>
  <c r="U651" i="13"/>
  <c r="AD651" i="13" s="1"/>
  <c r="U652" i="13"/>
  <c r="AD652" i="13" s="1"/>
  <c r="U653" i="13"/>
  <c r="AD653" i="13" s="1"/>
  <c r="U654" i="13"/>
  <c r="AD654" i="13" s="1"/>
  <c r="U655" i="13"/>
  <c r="AD655" i="13" s="1"/>
  <c r="U656" i="13"/>
  <c r="AD656" i="13" s="1"/>
  <c r="U657" i="13"/>
  <c r="AD657" i="13" s="1"/>
  <c r="U658" i="13"/>
  <c r="AD658" i="13" s="1"/>
  <c r="U659" i="13"/>
  <c r="AD659" i="13" s="1"/>
  <c r="U660" i="13"/>
  <c r="AD660" i="13" s="1"/>
  <c r="U661" i="13"/>
  <c r="AD661" i="13" s="1"/>
  <c r="U662" i="13"/>
  <c r="AD662" i="13" s="1"/>
  <c r="U663" i="13"/>
  <c r="AD663" i="13" s="1"/>
  <c r="U664" i="13"/>
  <c r="AD664" i="13" s="1"/>
  <c r="U665" i="13"/>
  <c r="AD665" i="13" s="1"/>
  <c r="U666" i="13"/>
  <c r="AD666" i="13" s="1"/>
  <c r="U667" i="13"/>
  <c r="AD667" i="13" s="1"/>
  <c r="U668" i="13"/>
  <c r="AD668" i="13" s="1"/>
  <c r="U669" i="13"/>
  <c r="AD669" i="13" s="1"/>
  <c r="U670" i="13"/>
  <c r="AD670" i="13" s="1"/>
  <c r="U671" i="13"/>
  <c r="AD671" i="13" s="1"/>
  <c r="U672" i="13"/>
  <c r="AD672" i="13" s="1"/>
  <c r="U673" i="13"/>
  <c r="AD673" i="13" s="1"/>
  <c r="U674" i="13"/>
  <c r="AD674" i="13" s="1"/>
  <c r="U675" i="13"/>
  <c r="AD675" i="13" s="1"/>
  <c r="U676" i="13"/>
  <c r="AD676" i="13" s="1"/>
  <c r="U677" i="13"/>
  <c r="AD677" i="13" s="1"/>
  <c r="U678" i="13"/>
  <c r="AD678" i="13" s="1"/>
  <c r="U679" i="13"/>
  <c r="AD679" i="13" s="1"/>
  <c r="U680" i="13"/>
  <c r="AD680" i="13" s="1"/>
  <c r="U681" i="13"/>
  <c r="AD681" i="13" s="1"/>
  <c r="U682" i="13"/>
  <c r="AD682" i="13" s="1"/>
  <c r="U683" i="13"/>
  <c r="AD683" i="13" s="1"/>
  <c r="U684" i="13"/>
  <c r="AD684" i="13" s="1"/>
  <c r="U685" i="13"/>
  <c r="AD685" i="13" s="1"/>
  <c r="U686" i="13"/>
  <c r="AD686" i="13" s="1"/>
  <c r="U687" i="13"/>
  <c r="AD687" i="13" s="1"/>
  <c r="U688" i="13"/>
  <c r="AD688" i="13" s="1"/>
  <c r="U689" i="13"/>
  <c r="AD689" i="13" s="1"/>
  <c r="U690" i="13"/>
  <c r="AD690" i="13" s="1"/>
  <c r="U691" i="13"/>
  <c r="AD691" i="13" s="1"/>
  <c r="U692" i="13"/>
  <c r="AD692" i="13" s="1"/>
  <c r="U693" i="13"/>
  <c r="AD693" i="13" s="1"/>
  <c r="U694" i="13"/>
  <c r="AD694" i="13" s="1"/>
  <c r="U695" i="13"/>
  <c r="AD695" i="13" s="1"/>
  <c r="U696" i="13"/>
  <c r="AD696" i="13" s="1"/>
  <c r="U697" i="13"/>
  <c r="AD697" i="13" s="1"/>
  <c r="U698" i="13"/>
  <c r="AD698" i="13" s="1"/>
  <c r="U699" i="13"/>
  <c r="AD699" i="13" s="1"/>
  <c r="U700" i="13"/>
  <c r="AD700" i="13" s="1"/>
  <c r="U701" i="13"/>
  <c r="AD701" i="13" s="1"/>
  <c r="U702" i="13"/>
  <c r="AD702" i="13" s="1"/>
  <c r="U703" i="13"/>
  <c r="AD703" i="13" s="1"/>
  <c r="U704" i="13"/>
  <c r="AD704" i="13" s="1"/>
  <c r="U705" i="13"/>
  <c r="AD705" i="13" s="1"/>
  <c r="U706" i="13"/>
  <c r="AD706" i="13" s="1"/>
  <c r="U707" i="13"/>
  <c r="AD707" i="13" s="1"/>
  <c r="U708" i="13"/>
  <c r="AD708" i="13" s="1"/>
  <c r="U709" i="13"/>
  <c r="AD709" i="13" s="1"/>
  <c r="U710" i="13"/>
  <c r="AD710" i="13" s="1"/>
  <c r="U711" i="13"/>
  <c r="AD711" i="13" s="1"/>
  <c r="U712" i="13"/>
  <c r="AD712" i="13" s="1"/>
  <c r="U713" i="13"/>
  <c r="AD713" i="13" s="1"/>
  <c r="U714" i="13"/>
  <c r="AD714" i="13" s="1"/>
  <c r="U715" i="13"/>
  <c r="AD715" i="13" s="1"/>
  <c r="U716" i="13"/>
  <c r="AD716" i="13" s="1"/>
  <c r="U717" i="13"/>
  <c r="AD717" i="13" s="1"/>
  <c r="U718" i="13"/>
  <c r="AD718" i="13" s="1"/>
  <c r="U719" i="13"/>
  <c r="AD719" i="13" s="1"/>
  <c r="U720" i="13"/>
  <c r="AD720" i="13" s="1"/>
  <c r="U721" i="13"/>
  <c r="AD721" i="13" s="1"/>
  <c r="U722" i="13"/>
  <c r="AD722" i="13" s="1"/>
  <c r="U723" i="13"/>
  <c r="AD723" i="13" s="1"/>
  <c r="U724" i="13"/>
  <c r="AD724" i="13" s="1"/>
  <c r="U725" i="13"/>
  <c r="AD725" i="13" s="1"/>
  <c r="U726" i="13"/>
  <c r="AD726" i="13" s="1"/>
  <c r="U727" i="13"/>
  <c r="AD727" i="13" s="1"/>
  <c r="U728" i="13"/>
  <c r="AD728" i="13" s="1"/>
  <c r="U729" i="13"/>
  <c r="AD729" i="13" s="1"/>
  <c r="U730" i="13"/>
  <c r="AD730" i="13" s="1"/>
  <c r="U731" i="13"/>
  <c r="AD731" i="13" s="1"/>
  <c r="U732" i="13"/>
  <c r="AD732" i="13" s="1"/>
  <c r="U733" i="13"/>
  <c r="AD733" i="13" s="1"/>
  <c r="U734" i="13"/>
  <c r="AD734" i="13" s="1"/>
  <c r="U735" i="13"/>
  <c r="AD735" i="13" s="1"/>
  <c r="U736" i="13"/>
  <c r="AD736" i="13" s="1"/>
  <c r="U737" i="13"/>
  <c r="AD737" i="13" s="1"/>
  <c r="U738" i="13"/>
  <c r="AD738" i="13" s="1"/>
  <c r="U739" i="13"/>
  <c r="AD739" i="13" s="1"/>
  <c r="U740" i="13"/>
  <c r="AD740" i="13" s="1"/>
  <c r="U741" i="13"/>
  <c r="AD741" i="13" s="1"/>
  <c r="U742" i="13"/>
  <c r="AD742" i="13" s="1"/>
  <c r="U743" i="13"/>
  <c r="AD743" i="13" s="1"/>
  <c r="U744" i="13"/>
  <c r="AD744" i="13" s="1"/>
  <c r="U745" i="13"/>
  <c r="AD745" i="13" s="1"/>
  <c r="U746" i="13"/>
  <c r="AD746" i="13" s="1"/>
  <c r="U747" i="13"/>
  <c r="AD747" i="13" s="1"/>
  <c r="U748" i="13"/>
  <c r="AD748" i="13" s="1"/>
  <c r="U749" i="13"/>
  <c r="AD749" i="13" s="1"/>
  <c r="U750" i="13"/>
  <c r="AD750" i="13" s="1"/>
  <c r="U751" i="13"/>
  <c r="AD751" i="13" s="1"/>
  <c r="U752" i="13"/>
  <c r="AD752" i="13" s="1"/>
  <c r="U753" i="13"/>
  <c r="AD753" i="13" s="1"/>
  <c r="U754" i="13"/>
  <c r="AD754" i="13" s="1"/>
  <c r="U755" i="13"/>
  <c r="AD755" i="13" s="1"/>
  <c r="U756" i="13"/>
  <c r="AD756" i="13" s="1"/>
  <c r="U757" i="13"/>
  <c r="AD757" i="13" s="1"/>
  <c r="U758" i="13"/>
  <c r="AD758" i="13" s="1"/>
  <c r="U759" i="13"/>
  <c r="AD759" i="13" s="1"/>
  <c r="U760" i="13"/>
  <c r="AD760" i="13" s="1"/>
  <c r="U761" i="13"/>
  <c r="AD761" i="13" s="1"/>
  <c r="U762" i="13"/>
  <c r="AD762" i="13" s="1"/>
  <c r="U763" i="13"/>
  <c r="AD763" i="13" s="1"/>
  <c r="U764" i="13"/>
  <c r="AD764" i="13" s="1"/>
  <c r="U765" i="13"/>
  <c r="AD765" i="13" s="1"/>
  <c r="U766" i="13"/>
  <c r="AD766" i="13" s="1"/>
  <c r="U767" i="13"/>
  <c r="AD767" i="13" s="1"/>
  <c r="U768" i="13"/>
  <c r="AD768" i="13" s="1"/>
  <c r="U769" i="13"/>
  <c r="AD769" i="13" s="1"/>
  <c r="U770" i="13"/>
  <c r="AD770" i="13" s="1"/>
  <c r="U771" i="13"/>
  <c r="AD771" i="13" s="1"/>
  <c r="U772" i="13"/>
  <c r="AD772" i="13" s="1"/>
  <c r="U773" i="13"/>
  <c r="AD773" i="13" s="1"/>
  <c r="U774" i="13"/>
  <c r="AD774" i="13" s="1"/>
  <c r="U775" i="13"/>
  <c r="AD775" i="13" s="1"/>
  <c r="U776" i="13"/>
  <c r="AD776" i="13" s="1"/>
  <c r="U777" i="13"/>
  <c r="AD777" i="13" s="1"/>
  <c r="U778" i="13"/>
  <c r="AD778" i="13" s="1"/>
  <c r="U779" i="13"/>
  <c r="AD779" i="13" s="1"/>
  <c r="U780" i="13"/>
  <c r="AD780" i="13" s="1"/>
  <c r="U781" i="13"/>
  <c r="AD781" i="13" s="1"/>
  <c r="U782" i="13"/>
  <c r="AD782" i="13" s="1"/>
  <c r="U783" i="13"/>
  <c r="AD783" i="13" s="1"/>
  <c r="U784" i="13"/>
  <c r="AD784" i="13" s="1"/>
  <c r="U785" i="13"/>
  <c r="AD785" i="13" s="1"/>
  <c r="U786" i="13"/>
  <c r="AD786" i="13" s="1"/>
  <c r="U787" i="13"/>
  <c r="AD787" i="13" s="1"/>
  <c r="U788" i="13"/>
  <c r="AD788" i="13" s="1"/>
  <c r="U789" i="13"/>
  <c r="AD789" i="13" s="1"/>
  <c r="U790" i="13"/>
  <c r="AD790" i="13" s="1"/>
  <c r="U791" i="13"/>
  <c r="AD791" i="13" s="1"/>
  <c r="U792" i="13"/>
  <c r="AD792" i="13" s="1"/>
  <c r="U793" i="13"/>
  <c r="AD793" i="13" s="1"/>
  <c r="U794" i="13"/>
  <c r="AD794" i="13" s="1"/>
  <c r="U795" i="13"/>
  <c r="AD795" i="13" s="1"/>
  <c r="U796" i="13"/>
  <c r="AD796" i="13" s="1"/>
  <c r="U797" i="13"/>
  <c r="AD797" i="13" s="1"/>
  <c r="U798" i="13"/>
  <c r="AD798" i="13" s="1"/>
  <c r="U799" i="13"/>
  <c r="AD799" i="13" s="1"/>
  <c r="U800" i="13"/>
  <c r="AD800" i="13" s="1"/>
  <c r="U801" i="13"/>
  <c r="AD801" i="13" s="1"/>
  <c r="U802" i="13"/>
  <c r="AD802" i="13" s="1"/>
  <c r="U803" i="13"/>
  <c r="AD803" i="13" s="1"/>
  <c r="U804" i="13"/>
  <c r="AD804" i="13" s="1"/>
  <c r="U805" i="13"/>
  <c r="AD805" i="13" s="1"/>
  <c r="U806" i="13"/>
  <c r="AD806" i="13" s="1"/>
  <c r="U807" i="13"/>
  <c r="AD807" i="13" s="1"/>
  <c r="U808" i="13"/>
  <c r="AD808" i="13" s="1"/>
  <c r="U809" i="13"/>
  <c r="AD809" i="13" s="1"/>
  <c r="U810" i="13"/>
  <c r="AD810" i="13" s="1"/>
  <c r="U811" i="13"/>
  <c r="AD811" i="13" s="1"/>
  <c r="U812" i="13"/>
  <c r="AD812" i="13" s="1"/>
  <c r="U813" i="13"/>
  <c r="AD813" i="13" s="1"/>
  <c r="U814" i="13"/>
  <c r="AD814" i="13" s="1"/>
  <c r="U815" i="13"/>
  <c r="AD815" i="13" s="1"/>
  <c r="U816" i="13"/>
  <c r="AD816" i="13" s="1"/>
  <c r="U817" i="13"/>
  <c r="AD817" i="13" s="1"/>
  <c r="U818" i="13"/>
  <c r="AD818" i="13" s="1"/>
  <c r="U819" i="13"/>
  <c r="AD819" i="13" s="1"/>
  <c r="U820" i="13"/>
  <c r="AD820" i="13" s="1"/>
  <c r="U821" i="13"/>
  <c r="AD821" i="13" s="1"/>
  <c r="U822" i="13"/>
  <c r="AD822" i="13" s="1"/>
  <c r="U823" i="13"/>
  <c r="AD823" i="13" s="1"/>
  <c r="U824" i="13"/>
  <c r="AD824" i="13" s="1"/>
  <c r="U825" i="13"/>
  <c r="AD825" i="13" s="1"/>
  <c r="U826" i="13"/>
  <c r="AD826" i="13" s="1"/>
  <c r="U827" i="13"/>
  <c r="AD827" i="13" s="1"/>
  <c r="U828" i="13"/>
  <c r="AD828" i="13" s="1"/>
  <c r="U829" i="13"/>
  <c r="AD829" i="13" s="1"/>
  <c r="U830" i="13"/>
  <c r="AD830" i="13" s="1"/>
  <c r="U831" i="13"/>
  <c r="AD831" i="13" s="1"/>
  <c r="U832" i="13"/>
  <c r="AD832" i="13" s="1"/>
  <c r="U833" i="13"/>
  <c r="AD833" i="13" s="1"/>
  <c r="U834" i="13"/>
  <c r="AD834" i="13" s="1"/>
  <c r="U835" i="13"/>
  <c r="AD835" i="13" s="1"/>
  <c r="U836" i="13"/>
  <c r="AD836" i="13" s="1"/>
  <c r="U837" i="13"/>
  <c r="AD837" i="13" s="1"/>
  <c r="U838" i="13"/>
  <c r="AD838" i="13" s="1"/>
  <c r="U839" i="13"/>
  <c r="AD839" i="13" s="1"/>
  <c r="U840" i="13"/>
  <c r="AD840" i="13" s="1"/>
  <c r="U841" i="13"/>
  <c r="AD841" i="13" s="1"/>
  <c r="U842" i="13"/>
  <c r="AD842" i="13" s="1"/>
  <c r="U843" i="13"/>
  <c r="AD843" i="13" s="1"/>
  <c r="U844" i="13"/>
  <c r="AD844" i="13" s="1"/>
  <c r="U845" i="13"/>
  <c r="AD845" i="13" s="1"/>
  <c r="U846" i="13"/>
  <c r="AD846" i="13" s="1"/>
  <c r="U847" i="13"/>
  <c r="AD847" i="13" s="1"/>
  <c r="U848" i="13"/>
  <c r="AD848" i="13" s="1"/>
  <c r="U849" i="13"/>
  <c r="AD849" i="13" s="1"/>
  <c r="U850" i="13"/>
  <c r="AD850" i="13" s="1"/>
  <c r="U851" i="13"/>
  <c r="AD851" i="13" s="1"/>
  <c r="U852" i="13"/>
  <c r="AD852" i="13" s="1"/>
  <c r="U853" i="13"/>
  <c r="AD853" i="13" s="1"/>
  <c r="U854" i="13"/>
  <c r="AD854" i="13" s="1"/>
  <c r="U855" i="13"/>
  <c r="AD855" i="13" s="1"/>
  <c r="U856" i="13"/>
  <c r="AD856" i="13" s="1"/>
  <c r="U857" i="13"/>
  <c r="AD857" i="13" s="1"/>
  <c r="U858" i="13"/>
  <c r="AD858" i="13" s="1"/>
  <c r="U859" i="13"/>
  <c r="AD859" i="13" s="1"/>
  <c r="U860" i="13"/>
  <c r="AD860" i="13" s="1"/>
  <c r="U861" i="13"/>
  <c r="AD861" i="13" s="1"/>
  <c r="U862" i="13"/>
  <c r="AD862" i="13" s="1"/>
  <c r="U863" i="13"/>
  <c r="AD863" i="13" s="1"/>
  <c r="U864" i="13"/>
  <c r="AD864" i="13" s="1"/>
  <c r="U865" i="13"/>
  <c r="AD865" i="13" s="1"/>
  <c r="U866" i="13"/>
  <c r="AD866" i="13" s="1"/>
  <c r="U867" i="13"/>
  <c r="AD867" i="13" s="1"/>
  <c r="U868" i="13"/>
  <c r="AD868" i="13" s="1"/>
  <c r="U869" i="13"/>
  <c r="AD869" i="13" s="1"/>
  <c r="U870" i="13"/>
  <c r="AD870" i="13" s="1"/>
  <c r="U871" i="13"/>
  <c r="AD871" i="13" s="1"/>
  <c r="U872" i="13"/>
  <c r="AD872" i="13" s="1"/>
  <c r="U873" i="13"/>
  <c r="AD873" i="13" s="1"/>
  <c r="U874" i="13"/>
  <c r="AD874" i="13" s="1"/>
  <c r="U875" i="13"/>
  <c r="AD875" i="13" s="1"/>
  <c r="U876" i="13"/>
  <c r="AD876" i="13" s="1"/>
  <c r="U877" i="13"/>
  <c r="AD877" i="13" s="1"/>
  <c r="U878" i="13"/>
  <c r="AD878" i="13" s="1"/>
  <c r="U879" i="13"/>
  <c r="AD879" i="13" s="1"/>
  <c r="U880" i="13"/>
  <c r="AD880" i="13" s="1"/>
  <c r="U881" i="13"/>
  <c r="AD881" i="13" s="1"/>
  <c r="U882" i="13"/>
  <c r="AD882" i="13" s="1"/>
  <c r="U883" i="13"/>
  <c r="AD883" i="13" s="1"/>
  <c r="U884" i="13"/>
  <c r="AD884" i="13" s="1"/>
  <c r="U885" i="13"/>
  <c r="AD885" i="13" s="1"/>
  <c r="U886" i="13"/>
  <c r="AD886" i="13" s="1"/>
  <c r="U887" i="13"/>
  <c r="AD887" i="13" s="1"/>
  <c r="U888" i="13"/>
  <c r="AD888" i="13" s="1"/>
  <c r="U889" i="13"/>
  <c r="AD889" i="13" s="1"/>
  <c r="U890" i="13"/>
  <c r="AD890" i="13" s="1"/>
  <c r="U891" i="13"/>
  <c r="AD891" i="13" s="1"/>
  <c r="U892" i="13"/>
  <c r="AD892" i="13" s="1"/>
  <c r="U893" i="13"/>
  <c r="AD893" i="13" s="1"/>
  <c r="U894" i="13"/>
  <c r="AD894" i="13" s="1"/>
  <c r="U895" i="13"/>
  <c r="AD895" i="13" s="1"/>
  <c r="U896" i="13"/>
  <c r="AD896" i="13" s="1"/>
  <c r="U897" i="13"/>
  <c r="AD897" i="13" s="1"/>
  <c r="U898" i="13"/>
  <c r="AD898" i="13" s="1"/>
  <c r="U899" i="13"/>
  <c r="AD899" i="13" s="1"/>
  <c r="U900" i="13"/>
  <c r="AD900" i="13" s="1"/>
  <c r="U901" i="13"/>
  <c r="AD901" i="13" s="1"/>
  <c r="U902" i="13"/>
  <c r="AD902" i="13" s="1"/>
  <c r="U903" i="13"/>
  <c r="AD903" i="13" s="1"/>
  <c r="U904" i="13"/>
  <c r="AD904" i="13" s="1"/>
  <c r="U905" i="13"/>
  <c r="AD905" i="13" s="1"/>
  <c r="U906" i="13"/>
  <c r="AD906" i="13" s="1"/>
  <c r="U907" i="13"/>
  <c r="AD907" i="13" s="1"/>
  <c r="U908" i="13"/>
  <c r="AD908" i="13" s="1"/>
  <c r="U909" i="13"/>
  <c r="AD909" i="13" s="1"/>
  <c r="S89" i="13"/>
  <c r="S425" i="13"/>
  <c r="S520" i="13"/>
  <c r="S524" i="13"/>
  <c r="S551" i="13"/>
  <c r="S594" i="13"/>
  <c r="S634" i="13"/>
  <c r="S663" i="13"/>
  <c r="S732" i="13"/>
  <c r="S802" i="13"/>
  <c r="R89" i="13"/>
  <c r="R425" i="13"/>
  <c r="R520" i="13"/>
  <c r="R524" i="13"/>
  <c r="R551" i="13"/>
  <c r="R594" i="13"/>
  <c r="R634" i="13"/>
  <c r="R663" i="13"/>
  <c r="R732" i="13"/>
  <c r="R802" i="13"/>
  <c r="Q2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Q232" i="13"/>
  <c r="Q233" i="13"/>
  <c r="Q234" i="13"/>
  <c r="Q235" i="13"/>
  <c r="Q236" i="13"/>
  <c r="Q237" i="13"/>
  <c r="Q238" i="13"/>
  <c r="Q239" i="13"/>
  <c r="Q240" i="13"/>
  <c r="Q241" i="13"/>
  <c r="Q242" i="13"/>
  <c r="Q243" i="13"/>
  <c r="Q244" i="13"/>
  <c r="Q245" i="13"/>
  <c r="Q246" i="13"/>
  <c r="Q247" i="13"/>
  <c r="Q248" i="13"/>
  <c r="Q249" i="13"/>
  <c r="Q250" i="13"/>
  <c r="Q251" i="13"/>
  <c r="Q252" i="13"/>
  <c r="Q253" i="13"/>
  <c r="Q254" i="13"/>
  <c r="Q255" i="13"/>
  <c r="Q256" i="13"/>
  <c r="Q257" i="13"/>
  <c r="Q258" i="13"/>
  <c r="Q259" i="13"/>
  <c r="Q260" i="13"/>
  <c r="Q261" i="13"/>
  <c r="Q262" i="13"/>
  <c r="Q263" i="13"/>
  <c r="Q264" i="13"/>
  <c r="Q265" i="13"/>
  <c r="Q266" i="13"/>
  <c r="Q267" i="13"/>
  <c r="Q268" i="13"/>
  <c r="Q269" i="13"/>
  <c r="Q270" i="13"/>
  <c r="Q271" i="13"/>
  <c r="Q272" i="13"/>
  <c r="Q273" i="13"/>
  <c r="Q274" i="13"/>
  <c r="Q275" i="13"/>
  <c r="Q276" i="13"/>
  <c r="Q277" i="13"/>
  <c r="Q278" i="13"/>
  <c r="Q279" i="13"/>
  <c r="Q280" i="13"/>
  <c r="Q281" i="13"/>
  <c r="Q282" i="13"/>
  <c r="Q283" i="13"/>
  <c r="Q284" i="13"/>
  <c r="Q285" i="13"/>
  <c r="Q286" i="13"/>
  <c r="Q287" i="13"/>
  <c r="Q288" i="13"/>
  <c r="Q289" i="13"/>
  <c r="Q290" i="13"/>
  <c r="Q291" i="13"/>
  <c r="Q292" i="13"/>
  <c r="Q293" i="13"/>
  <c r="Q294" i="13"/>
  <c r="Q295" i="13"/>
  <c r="Q296" i="13"/>
  <c r="Q297" i="13"/>
  <c r="Q298" i="13"/>
  <c r="Q299" i="13"/>
  <c r="Q300" i="13"/>
  <c r="Q301" i="13"/>
  <c r="Q302" i="13"/>
  <c r="Q303" i="13"/>
  <c r="Q304" i="13"/>
  <c r="Q305" i="13"/>
  <c r="Q306" i="13"/>
  <c r="Q307" i="13"/>
  <c r="Q308" i="13"/>
  <c r="Q309" i="13"/>
  <c r="Q310" i="13"/>
  <c r="Q311" i="13"/>
  <c r="Q312" i="13"/>
  <c r="Q313" i="13"/>
  <c r="Q314" i="13"/>
  <c r="Q315" i="13"/>
  <c r="Q316" i="13"/>
  <c r="Q317" i="13"/>
  <c r="Q318" i="13"/>
  <c r="Q319" i="13"/>
  <c r="Q320" i="13"/>
  <c r="Q321" i="13"/>
  <c r="Q322" i="13"/>
  <c r="Q323" i="13"/>
  <c r="Q324" i="13"/>
  <c r="Q325" i="13"/>
  <c r="Q326" i="13"/>
  <c r="Q327" i="13"/>
  <c r="Q328" i="13"/>
  <c r="Q329" i="13"/>
  <c r="Q330" i="13"/>
  <c r="Q331" i="13"/>
  <c r="Q332" i="13"/>
  <c r="Q333" i="13"/>
  <c r="Q334" i="13"/>
  <c r="Q335" i="13"/>
  <c r="Q336" i="13"/>
  <c r="Q337" i="13"/>
  <c r="Q338" i="13"/>
  <c r="Q339" i="13"/>
  <c r="Q340" i="13"/>
  <c r="Q341" i="13"/>
  <c r="Q342" i="13"/>
  <c r="Q343" i="13"/>
  <c r="Q344" i="13"/>
  <c r="Q345" i="13"/>
  <c r="Q346" i="13"/>
  <c r="Q347" i="13"/>
  <c r="Q348" i="13"/>
  <c r="Q349" i="13"/>
  <c r="Q350" i="13"/>
  <c r="Q351" i="13"/>
  <c r="Q352" i="13"/>
  <c r="Q353" i="13"/>
  <c r="Q354" i="13"/>
  <c r="Q355" i="13"/>
  <c r="Q356" i="13"/>
  <c r="Q357" i="13"/>
  <c r="Q358" i="13"/>
  <c r="Q359" i="13"/>
  <c r="Q360" i="13"/>
  <c r="Q361" i="13"/>
  <c r="Q362" i="13"/>
  <c r="Q363" i="13"/>
  <c r="Q364" i="13"/>
  <c r="Q365" i="13"/>
  <c r="Q366" i="13"/>
  <c r="Q367" i="13"/>
  <c r="Q368" i="13"/>
  <c r="Q369" i="13"/>
  <c r="Q370" i="13"/>
  <c r="Q371" i="13"/>
  <c r="Q372" i="13"/>
  <c r="Q373" i="13"/>
  <c r="Q374" i="13"/>
  <c r="Q375" i="13"/>
  <c r="Q376" i="13"/>
  <c r="Q377" i="13"/>
  <c r="Q378" i="13"/>
  <c r="Q379" i="13"/>
  <c r="Q380" i="13"/>
  <c r="Q381" i="13"/>
  <c r="Q382" i="13"/>
  <c r="Q383" i="13"/>
  <c r="Q384" i="13"/>
  <c r="Q385" i="13"/>
  <c r="Q386" i="13"/>
  <c r="Q387" i="13"/>
  <c r="Q388" i="13"/>
  <c r="Q389" i="13"/>
  <c r="Q390" i="13"/>
  <c r="Q391" i="13"/>
  <c r="Q392" i="13"/>
  <c r="Q393" i="13"/>
  <c r="Q394" i="13"/>
  <c r="Q395" i="13"/>
  <c r="Q396" i="13"/>
  <c r="Q397" i="13"/>
  <c r="Q398" i="13"/>
  <c r="Q399" i="13"/>
  <c r="Q400" i="13"/>
  <c r="Q401" i="13"/>
  <c r="Q402" i="13"/>
  <c r="Q403" i="13"/>
  <c r="Q404" i="13"/>
  <c r="Q405" i="13"/>
  <c r="Q406" i="13"/>
  <c r="Q407" i="13"/>
  <c r="Q408" i="13"/>
  <c r="Q409" i="13"/>
  <c r="Q410" i="13"/>
  <c r="Q411" i="13"/>
  <c r="Q412" i="13"/>
  <c r="Q413" i="13"/>
  <c r="Q414" i="13"/>
  <c r="Q415" i="13"/>
  <c r="Q416" i="13"/>
  <c r="Q417" i="13"/>
  <c r="Q418" i="13"/>
  <c r="Q419" i="13"/>
  <c r="Q420" i="13"/>
  <c r="Q421" i="13"/>
  <c r="Q422" i="13"/>
  <c r="Q423" i="13"/>
  <c r="Q424" i="13"/>
  <c r="Q425" i="13"/>
  <c r="Q426" i="13"/>
  <c r="Q427" i="13"/>
  <c r="Q428" i="13"/>
  <c r="Q429" i="13"/>
  <c r="Q431" i="13"/>
  <c r="Q432" i="13"/>
  <c r="Q433" i="13"/>
  <c r="Q434" i="13"/>
  <c r="Q435" i="13"/>
  <c r="Q436" i="13"/>
  <c r="Q437" i="13"/>
  <c r="Q438" i="13"/>
  <c r="Q439" i="13"/>
  <c r="Q440" i="13"/>
  <c r="Q441" i="13"/>
  <c r="Q442" i="13"/>
  <c r="Q443" i="13"/>
  <c r="Q444" i="13"/>
  <c r="Q445" i="13"/>
  <c r="Q446" i="13"/>
  <c r="Q447" i="13"/>
  <c r="Q448" i="13"/>
  <c r="Q449" i="13"/>
  <c r="Q450" i="13"/>
  <c r="Q451" i="13"/>
  <c r="Q452" i="13"/>
  <c r="Q453" i="13"/>
  <c r="Q454" i="13"/>
  <c r="Q455" i="13"/>
  <c r="Q456" i="13"/>
  <c r="Q457" i="13"/>
  <c r="Q458" i="13"/>
  <c r="Q459" i="13"/>
  <c r="Q460" i="13"/>
  <c r="Q461" i="13"/>
  <c r="Q462" i="13"/>
  <c r="Q463" i="13"/>
  <c r="Q464" i="13"/>
  <c r="Q465" i="13"/>
  <c r="Q466" i="13"/>
  <c r="Q467" i="13"/>
  <c r="Q468" i="13"/>
  <c r="Q469" i="13"/>
  <c r="Q470" i="13"/>
  <c r="Q471" i="13"/>
  <c r="Q472" i="13"/>
  <c r="Q473" i="13"/>
  <c r="Q474" i="13"/>
  <c r="Q475" i="13"/>
  <c r="Q476" i="13"/>
  <c r="Q477" i="13"/>
  <c r="Q478" i="13"/>
  <c r="Q479" i="13"/>
  <c r="Q480" i="13"/>
  <c r="Q481" i="13"/>
  <c r="Q482" i="13"/>
  <c r="Q483" i="13"/>
  <c r="Q484" i="13"/>
  <c r="Q485" i="13"/>
  <c r="Q486" i="13"/>
  <c r="Q487" i="13"/>
  <c r="Q488" i="13"/>
  <c r="Q489" i="13"/>
  <c r="Q490" i="13"/>
  <c r="Q491" i="13"/>
  <c r="Q492" i="13"/>
  <c r="Q493" i="13"/>
  <c r="Q494" i="13"/>
  <c r="Q495" i="13"/>
  <c r="Q496" i="13"/>
  <c r="Q497" i="13"/>
  <c r="Q498" i="13"/>
  <c r="Q499" i="13"/>
  <c r="Q500" i="13"/>
  <c r="Q501" i="13"/>
  <c r="Q502" i="13"/>
  <c r="Q503" i="13"/>
  <c r="Q504" i="13"/>
  <c r="Q505" i="13"/>
  <c r="Q506" i="13"/>
  <c r="Q507" i="13"/>
  <c r="Q508" i="13"/>
  <c r="Q509" i="13"/>
  <c r="Q510" i="13"/>
  <c r="Q511" i="13"/>
  <c r="Q512" i="13"/>
  <c r="Q513" i="13"/>
  <c r="Q514" i="13"/>
  <c r="Q515" i="13"/>
  <c r="Q516" i="13"/>
  <c r="Q517" i="13"/>
  <c r="Q518" i="13"/>
  <c r="Q519" i="13"/>
  <c r="Q520" i="13"/>
  <c r="Q521" i="13"/>
  <c r="Q522" i="13"/>
  <c r="Q523" i="13"/>
  <c r="Q524" i="13"/>
  <c r="Q525" i="13"/>
  <c r="Q526" i="13"/>
  <c r="Q527" i="13"/>
  <c r="Q528" i="13"/>
  <c r="Q529" i="13"/>
  <c r="Q530" i="13"/>
  <c r="Q531" i="13"/>
  <c r="Q532" i="13"/>
  <c r="Q533" i="13"/>
  <c r="Q534" i="13"/>
  <c r="Q535" i="13"/>
  <c r="Q536" i="13"/>
  <c r="Q537" i="13"/>
  <c r="Q538" i="13"/>
  <c r="Q539" i="13"/>
  <c r="Q540" i="13"/>
  <c r="Q541" i="13"/>
  <c r="Q542" i="13"/>
  <c r="Q543" i="13"/>
  <c r="Q544" i="13"/>
  <c r="Q545" i="13"/>
  <c r="Q546" i="13"/>
  <c r="Q547" i="13"/>
  <c r="Q548" i="13"/>
  <c r="Q549" i="13"/>
  <c r="Q550" i="13"/>
  <c r="Q551" i="13"/>
  <c r="Q552" i="13"/>
  <c r="Q553" i="13"/>
  <c r="Q554" i="13"/>
  <c r="Q555" i="13"/>
  <c r="Q556" i="13"/>
  <c r="Q557" i="13"/>
  <c r="Q558" i="13"/>
  <c r="Q559" i="13"/>
  <c r="Q560" i="13"/>
  <c r="Q561" i="13"/>
  <c r="Q562" i="13"/>
  <c r="Q563" i="13"/>
  <c r="Q564" i="13"/>
  <c r="Q565" i="13"/>
  <c r="Q566" i="13"/>
  <c r="Q567" i="13"/>
  <c r="Q568" i="13"/>
  <c r="Q569" i="13"/>
  <c r="Q570" i="13"/>
  <c r="Q571" i="13"/>
  <c r="Q572" i="13"/>
  <c r="Q573" i="13"/>
  <c r="Q574" i="13"/>
  <c r="Q575" i="13"/>
  <c r="Q576" i="13"/>
  <c r="Q577" i="13"/>
  <c r="Q578" i="13"/>
  <c r="Q579" i="13"/>
  <c r="Q580" i="13"/>
  <c r="Q581" i="13"/>
  <c r="Q582" i="13"/>
  <c r="Q583" i="13"/>
  <c r="Q584" i="13"/>
  <c r="Q585" i="13"/>
  <c r="Q586" i="13"/>
  <c r="Q587" i="13"/>
  <c r="Q588" i="13"/>
  <c r="Q589" i="13"/>
  <c r="Q590" i="13"/>
  <c r="Q591" i="13"/>
  <c r="Q592" i="13"/>
  <c r="Q593" i="13"/>
  <c r="Q594" i="13"/>
  <c r="Q595" i="13"/>
  <c r="Q596" i="13"/>
  <c r="Q597" i="13"/>
  <c r="Q598" i="13"/>
  <c r="Q599" i="13"/>
  <c r="Q600" i="13"/>
  <c r="Q601" i="13"/>
  <c r="Q602" i="13"/>
  <c r="Q603" i="13"/>
  <c r="Q604" i="13"/>
  <c r="Q605" i="13"/>
  <c r="Q606" i="13"/>
  <c r="Q607" i="13"/>
  <c r="Q608" i="13"/>
  <c r="Q609" i="13"/>
  <c r="Q610" i="13"/>
  <c r="Q611" i="13"/>
  <c r="Q612" i="13"/>
  <c r="Q613" i="13"/>
  <c r="Q614" i="13"/>
  <c r="Q615" i="13"/>
  <c r="Q616" i="13"/>
  <c r="Q617" i="13"/>
  <c r="Q618" i="13"/>
  <c r="Q619" i="13"/>
  <c r="Q620" i="13"/>
  <c r="Q621" i="13"/>
  <c r="Q622" i="13"/>
  <c r="Q623" i="13"/>
  <c r="Q624" i="13"/>
  <c r="Q625" i="13"/>
  <c r="Q626" i="13"/>
  <c r="Q627" i="13"/>
  <c r="Q628" i="13"/>
  <c r="Q629" i="13"/>
  <c r="Q630" i="13"/>
  <c r="Q631" i="13"/>
  <c r="Q632" i="13"/>
  <c r="Q633" i="13"/>
  <c r="Q634" i="13"/>
  <c r="Q635" i="13"/>
  <c r="Q636" i="13"/>
  <c r="Q637" i="13"/>
  <c r="Q638" i="13"/>
  <c r="Q639" i="13"/>
  <c r="Q640" i="13"/>
  <c r="Q641" i="13"/>
  <c r="Q642" i="13"/>
  <c r="Q643" i="13"/>
  <c r="Q644" i="13"/>
  <c r="Q645" i="13"/>
  <c r="Q646" i="13"/>
  <c r="Q647" i="13"/>
  <c r="Q648" i="13"/>
  <c r="Q649" i="13"/>
  <c r="Q650" i="13"/>
  <c r="Q651" i="13"/>
  <c r="Q652" i="13"/>
  <c r="Q653" i="13"/>
  <c r="Q654" i="13"/>
  <c r="Q655" i="13"/>
  <c r="Q656" i="13"/>
  <c r="Q657" i="13"/>
  <c r="Q658" i="13"/>
  <c r="Q659" i="13"/>
  <c r="Q660" i="13"/>
  <c r="Q661" i="13"/>
  <c r="Q662" i="13"/>
  <c r="Q663" i="13"/>
  <c r="Q664" i="13"/>
  <c r="Q665" i="13"/>
  <c r="Q666" i="13"/>
  <c r="Q667" i="13"/>
  <c r="Q668" i="13"/>
  <c r="Q669" i="13"/>
  <c r="Q670" i="13"/>
  <c r="Q671" i="13"/>
  <c r="Q672" i="13"/>
  <c r="Q673" i="13"/>
  <c r="Q674" i="13"/>
  <c r="Q675" i="13"/>
  <c r="Q676" i="13"/>
  <c r="Q677" i="13"/>
  <c r="Q678" i="13"/>
  <c r="Q679" i="13"/>
  <c r="Q680" i="13"/>
  <c r="Q681" i="13"/>
  <c r="Q682" i="13"/>
  <c r="Q683" i="13"/>
  <c r="Q684" i="13"/>
  <c r="Q685" i="13"/>
  <c r="Q686" i="13"/>
  <c r="Q687" i="13"/>
  <c r="Q688" i="13"/>
  <c r="Q689" i="13"/>
  <c r="Q690" i="13"/>
  <c r="Q691" i="13"/>
  <c r="Q692" i="13"/>
  <c r="Q693" i="13"/>
  <c r="Q694" i="13"/>
  <c r="Q695" i="13"/>
  <c r="Q696" i="13"/>
  <c r="Q697" i="13"/>
  <c r="Q698" i="13"/>
  <c r="Q699" i="13"/>
  <c r="Q700" i="13"/>
  <c r="Q701" i="13"/>
  <c r="Q702" i="13"/>
  <c r="Q703" i="13"/>
  <c r="Q704" i="13"/>
  <c r="Q705" i="13"/>
  <c r="Q706" i="13"/>
  <c r="Q707" i="13"/>
  <c r="Q708" i="13"/>
  <c r="Q709" i="13"/>
  <c r="Q710" i="13"/>
  <c r="Q711" i="13"/>
  <c r="Q712" i="13"/>
  <c r="Q713" i="13"/>
  <c r="Q714" i="13"/>
  <c r="Q715" i="13"/>
  <c r="Q716" i="13"/>
  <c r="Q717" i="13"/>
  <c r="Q718" i="13"/>
  <c r="Q719" i="13"/>
  <c r="Q720" i="13"/>
  <c r="Q721" i="13"/>
  <c r="Q722" i="13"/>
  <c r="Q723" i="13"/>
  <c r="Q724" i="13"/>
  <c r="Q725" i="13"/>
  <c r="Q726" i="13"/>
  <c r="Q727" i="13"/>
  <c r="Q728" i="13"/>
  <c r="Q729" i="13"/>
  <c r="Q730" i="13"/>
  <c r="Q731" i="13"/>
  <c r="Q732" i="13"/>
  <c r="Q733" i="13"/>
  <c r="Q734" i="13"/>
  <c r="Q735" i="13"/>
  <c r="Q736" i="13"/>
  <c r="Q737" i="13"/>
  <c r="Q738" i="13"/>
  <c r="Q739" i="13"/>
  <c r="Q740" i="13"/>
  <c r="Q741" i="13"/>
  <c r="Q742" i="13"/>
  <c r="Q743" i="13"/>
  <c r="Q744" i="13"/>
  <c r="Q745" i="13"/>
  <c r="Q746" i="13"/>
  <c r="Q747" i="13"/>
  <c r="Q748" i="13"/>
  <c r="Q749" i="13"/>
  <c r="Q750" i="13"/>
  <c r="Q751" i="13"/>
  <c r="Q752" i="13"/>
  <c r="Q753" i="13"/>
  <c r="Q754" i="13"/>
  <c r="Q755" i="13"/>
  <c r="Q756" i="13"/>
  <c r="Q757" i="13"/>
  <c r="Q758" i="13"/>
  <c r="Q759" i="13"/>
  <c r="Q760" i="13"/>
  <c r="Q761" i="13"/>
  <c r="Q762" i="13"/>
  <c r="Q763" i="13"/>
  <c r="Q764" i="13"/>
  <c r="Q765" i="13"/>
  <c r="Q766" i="13"/>
  <c r="Q767" i="13"/>
  <c r="Q768" i="13"/>
  <c r="Q769" i="13"/>
  <c r="Q770" i="13"/>
  <c r="Q771" i="13"/>
  <c r="Q772" i="13"/>
  <c r="Q773" i="13"/>
  <c r="Q774" i="13"/>
  <c r="Q775" i="13"/>
  <c r="Q776" i="13"/>
  <c r="Q777" i="13"/>
  <c r="Q778" i="13"/>
  <c r="Q779" i="13"/>
  <c r="Q780" i="13"/>
  <c r="Q781" i="13"/>
  <c r="Q782" i="13"/>
  <c r="Q783" i="13"/>
  <c r="Q784" i="13"/>
  <c r="Q785" i="13"/>
  <c r="Q786" i="13"/>
  <c r="Q787" i="13"/>
  <c r="Q788" i="13"/>
  <c r="Q789" i="13"/>
  <c r="Q790" i="13"/>
  <c r="Q791" i="13"/>
  <c r="Q792" i="13"/>
  <c r="Q793" i="13"/>
  <c r="Q794" i="13"/>
  <c r="Q795" i="13"/>
  <c r="Q796" i="13"/>
  <c r="Q797" i="13"/>
  <c r="Q798" i="13"/>
  <c r="Q799" i="13"/>
  <c r="Q800" i="13"/>
  <c r="Q801" i="13"/>
  <c r="Q802" i="13"/>
  <c r="Q803" i="13"/>
  <c r="Q804" i="13"/>
  <c r="Q805" i="13"/>
  <c r="Q806" i="13"/>
  <c r="Q807" i="13"/>
  <c r="Q808" i="13"/>
  <c r="Q809" i="13"/>
  <c r="Q810" i="13"/>
  <c r="Q811" i="13"/>
  <c r="Q812" i="13"/>
  <c r="Q813" i="13"/>
  <c r="Q814" i="13"/>
  <c r="Q815" i="13"/>
  <c r="Q816" i="13"/>
  <c r="Q817" i="13"/>
  <c r="Q818" i="13"/>
  <c r="Q819" i="13"/>
  <c r="Q820" i="13"/>
  <c r="Q821" i="13"/>
  <c r="Q822" i="13"/>
  <c r="Q823" i="13"/>
  <c r="Q824" i="13"/>
  <c r="Q825" i="13"/>
  <c r="Q826" i="13"/>
  <c r="Q827" i="13"/>
  <c r="Q828" i="13"/>
  <c r="Q829" i="13"/>
  <c r="Q830" i="13"/>
  <c r="Q831" i="13"/>
  <c r="Q832" i="13"/>
  <c r="Q833" i="13"/>
  <c r="Q834" i="13"/>
  <c r="Q835" i="13"/>
  <c r="Q836" i="13"/>
  <c r="Q837" i="13"/>
  <c r="Q838" i="13"/>
  <c r="Q839" i="13"/>
  <c r="Q840" i="13"/>
  <c r="Q841" i="13"/>
  <c r="Q842" i="13"/>
  <c r="Q843" i="13"/>
  <c r="Q844" i="13"/>
  <c r="Q845" i="13"/>
  <c r="Q846" i="13"/>
  <c r="Q847" i="13"/>
  <c r="Q848" i="13"/>
  <c r="Q849" i="13"/>
  <c r="Q850" i="13"/>
  <c r="Q851" i="13"/>
  <c r="Q852" i="13"/>
  <c r="Q853" i="13"/>
  <c r="Q854" i="13"/>
  <c r="Q855" i="13"/>
  <c r="Q856" i="13"/>
  <c r="Q857" i="13"/>
  <c r="Q858" i="13"/>
  <c r="Q859" i="13"/>
  <c r="Q860" i="13"/>
  <c r="Q861" i="13"/>
  <c r="Q862" i="13"/>
  <c r="Q863" i="13"/>
  <c r="Q864" i="13"/>
  <c r="Q865" i="13"/>
  <c r="Q866" i="13"/>
  <c r="Q867" i="13"/>
  <c r="Q868" i="13"/>
  <c r="Q869" i="13"/>
  <c r="Q870" i="13"/>
  <c r="Q871" i="13"/>
  <c r="Q872" i="13"/>
  <c r="Q873" i="13"/>
  <c r="Q874" i="13"/>
  <c r="Q875" i="13"/>
  <c r="Q876" i="13"/>
  <c r="Q877" i="13"/>
  <c r="Q878" i="13"/>
  <c r="Q879" i="13"/>
  <c r="Q880" i="13"/>
  <c r="Q881" i="13"/>
  <c r="Q882" i="13"/>
  <c r="Q883" i="13"/>
  <c r="Q884" i="13"/>
  <c r="Q885" i="13"/>
  <c r="Q886" i="13"/>
  <c r="Q887" i="13"/>
  <c r="Q888" i="13"/>
  <c r="Q889" i="13"/>
  <c r="Q890" i="13"/>
  <c r="Q891" i="13"/>
  <c r="Q892" i="13"/>
  <c r="Q893" i="13"/>
  <c r="Q894" i="13"/>
  <c r="Q895" i="13"/>
  <c r="Q896" i="13"/>
  <c r="Q897" i="13"/>
  <c r="Q898" i="13"/>
  <c r="Q899" i="13"/>
  <c r="Q900" i="13"/>
  <c r="Q901" i="13"/>
  <c r="Q902" i="13"/>
  <c r="Q903" i="13"/>
  <c r="Q904" i="13"/>
  <c r="Q905" i="13"/>
  <c r="Q906" i="13"/>
  <c r="Q907" i="13"/>
  <c r="Q908" i="13"/>
  <c r="Q909" i="13"/>
  <c r="O89" i="13"/>
  <c r="P89" i="13" s="1"/>
  <c r="O425" i="13"/>
  <c r="P425" i="13" s="1"/>
  <c r="O520" i="13"/>
  <c r="P520" i="13" s="1"/>
  <c r="O524" i="13"/>
  <c r="P524" i="13" s="1"/>
  <c r="O551" i="13"/>
  <c r="P551" i="13" s="1"/>
  <c r="O594" i="13"/>
  <c r="P594" i="13" s="1"/>
  <c r="O634" i="13"/>
  <c r="P634" i="13" s="1"/>
  <c r="O663" i="13"/>
  <c r="P663" i="13" s="1"/>
  <c r="O732" i="13"/>
  <c r="P732" i="13" s="1"/>
  <c r="O802" i="13"/>
  <c r="P802" i="13" s="1"/>
  <c r="N89" i="13"/>
  <c r="T89" i="13" s="1"/>
  <c r="N425" i="13"/>
  <c r="T425" i="13" s="1"/>
  <c r="N520" i="13"/>
  <c r="T520" i="13" s="1"/>
  <c r="N524" i="13"/>
  <c r="T524" i="13" s="1"/>
  <c r="N551" i="13"/>
  <c r="T551" i="13" s="1"/>
  <c r="N594" i="13"/>
  <c r="T594" i="13" s="1"/>
  <c r="N634" i="13"/>
  <c r="T634" i="13" s="1"/>
  <c r="N663" i="13"/>
  <c r="T663" i="13" s="1"/>
  <c r="N732" i="13"/>
  <c r="T732" i="13" s="1"/>
  <c r="N802" i="13"/>
  <c r="T802" i="13" s="1"/>
  <c r="M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605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M654" i="13"/>
  <c r="M655" i="13"/>
  <c r="M656" i="13"/>
  <c r="M657" i="13"/>
  <c r="M658" i="13"/>
  <c r="M659" i="13"/>
  <c r="M660" i="13"/>
  <c r="M661" i="13"/>
  <c r="M662" i="13"/>
  <c r="M663" i="13"/>
  <c r="M664" i="13"/>
  <c r="M665" i="13"/>
  <c r="M666" i="13"/>
  <c r="M667" i="13"/>
  <c r="M668" i="13"/>
  <c r="M669" i="13"/>
  <c r="M670" i="13"/>
  <c r="M671" i="13"/>
  <c r="M672" i="13"/>
  <c r="M673" i="13"/>
  <c r="M674" i="13"/>
  <c r="M675" i="13"/>
  <c r="M676" i="13"/>
  <c r="M677" i="13"/>
  <c r="M678" i="13"/>
  <c r="M679" i="13"/>
  <c r="M680" i="13"/>
  <c r="M681" i="13"/>
  <c r="M682" i="13"/>
  <c r="M683" i="13"/>
  <c r="M684" i="13"/>
  <c r="M685" i="13"/>
  <c r="M686" i="13"/>
  <c r="M687" i="13"/>
  <c r="M688" i="13"/>
  <c r="M689" i="13"/>
  <c r="M690" i="13"/>
  <c r="M691" i="13"/>
  <c r="M692" i="13"/>
  <c r="M693" i="13"/>
  <c r="M694" i="13"/>
  <c r="M695" i="13"/>
  <c r="M696" i="13"/>
  <c r="M697" i="13"/>
  <c r="M698" i="13"/>
  <c r="M699" i="13"/>
  <c r="M700" i="13"/>
  <c r="M701" i="13"/>
  <c r="M702" i="13"/>
  <c r="M703" i="13"/>
  <c r="M704" i="13"/>
  <c r="M705" i="13"/>
  <c r="M706" i="13"/>
  <c r="M707" i="13"/>
  <c r="M708" i="13"/>
  <c r="M709" i="13"/>
  <c r="M710" i="13"/>
  <c r="M711" i="13"/>
  <c r="M712" i="13"/>
  <c r="M713" i="13"/>
  <c r="M714" i="13"/>
  <c r="M715" i="13"/>
  <c r="M716" i="13"/>
  <c r="M717" i="13"/>
  <c r="M718" i="13"/>
  <c r="M719" i="13"/>
  <c r="M720" i="13"/>
  <c r="M721" i="13"/>
  <c r="M722" i="13"/>
  <c r="M723" i="13"/>
  <c r="M724" i="13"/>
  <c r="M725" i="13"/>
  <c r="M726" i="13"/>
  <c r="M727" i="13"/>
  <c r="M728" i="13"/>
  <c r="M729" i="13"/>
  <c r="M730" i="13"/>
  <c r="M731" i="13"/>
  <c r="M732" i="13"/>
  <c r="M733" i="13"/>
  <c r="M734" i="13"/>
  <c r="M735" i="13"/>
  <c r="M736" i="13"/>
  <c r="M737" i="13"/>
  <c r="M738" i="13"/>
  <c r="M739" i="13"/>
  <c r="M740" i="13"/>
  <c r="M741" i="13"/>
  <c r="M742" i="13"/>
  <c r="M743" i="13"/>
  <c r="M744" i="13"/>
  <c r="M745" i="13"/>
  <c r="M746" i="13"/>
  <c r="M747" i="13"/>
  <c r="M748" i="13"/>
  <c r="M749" i="13"/>
  <c r="M750" i="13"/>
  <c r="M751" i="13"/>
  <c r="M752" i="13"/>
  <c r="M753" i="13"/>
  <c r="M754" i="13"/>
  <c r="M755" i="13"/>
  <c r="M756" i="13"/>
  <c r="M757" i="13"/>
  <c r="M758" i="13"/>
  <c r="M759" i="13"/>
  <c r="M760" i="13"/>
  <c r="M761" i="13"/>
  <c r="M762" i="13"/>
  <c r="M763" i="13"/>
  <c r="M764" i="13"/>
  <c r="M765" i="13"/>
  <c r="M766" i="13"/>
  <c r="M767" i="13"/>
  <c r="M768" i="13"/>
  <c r="M769" i="13"/>
  <c r="M770" i="13"/>
  <c r="M771" i="13"/>
  <c r="M772" i="13"/>
  <c r="M773" i="13"/>
  <c r="M774" i="13"/>
  <c r="M775" i="13"/>
  <c r="M776" i="13"/>
  <c r="M777" i="13"/>
  <c r="M778" i="13"/>
  <c r="M779" i="13"/>
  <c r="M780" i="13"/>
  <c r="M781" i="13"/>
  <c r="M782" i="13"/>
  <c r="M783" i="13"/>
  <c r="M784" i="13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M798" i="13"/>
  <c r="M799" i="13"/>
  <c r="M800" i="13"/>
  <c r="M801" i="13"/>
  <c r="M802" i="13"/>
  <c r="M803" i="13"/>
  <c r="M804" i="13"/>
  <c r="M805" i="13"/>
  <c r="M806" i="13"/>
  <c r="M807" i="13"/>
  <c r="M808" i="13"/>
  <c r="M809" i="13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2" i="13"/>
  <c r="M823" i="13"/>
  <c r="M824" i="13"/>
  <c r="M825" i="13"/>
  <c r="M826" i="13"/>
  <c r="M827" i="13"/>
  <c r="M828" i="13"/>
  <c r="M829" i="13"/>
  <c r="M830" i="13"/>
  <c r="M831" i="13"/>
  <c r="M832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M846" i="13"/>
  <c r="M847" i="13"/>
  <c r="M848" i="13"/>
  <c r="M849" i="13"/>
  <c r="M850" i="13"/>
  <c r="M851" i="13"/>
  <c r="M852" i="13"/>
  <c r="M853" i="13"/>
  <c r="M854" i="13"/>
  <c r="M855" i="13"/>
  <c r="M856" i="13"/>
  <c r="M857" i="13"/>
  <c r="M858" i="13"/>
  <c r="M859" i="13"/>
  <c r="M860" i="13"/>
  <c r="M861" i="13"/>
  <c r="M862" i="13"/>
  <c r="M863" i="13"/>
  <c r="M864" i="13"/>
  <c r="M865" i="13"/>
  <c r="M866" i="13"/>
  <c r="M867" i="13"/>
  <c r="M868" i="13"/>
  <c r="M869" i="13"/>
  <c r="M870" i="13"/>
  <c r="M871" i="13"/>
  <c r="M872" i="13"/>
  <c r="M873" i="13"/>
  <c r="M874" i="13"/>
  <c r="M875" i="13"/>
  <c r="M876" i="13"/>
  <c r="M877" i="13"/>
  <c r="M878" i="13"/>
  <c r="M879" i="13"/>
  <c r="M880" i="13"/>
  <c r="M881" i="13"/>
  <c r="M882" i="13"/>
  <c r="M883" i="13"/>
  <c r="M884" i="13"/>
  <c r="M885" i="13"/>
  <c r="M886" i="13"/>
  <c r="M887" i="13"/>
  <c r="M888" i="13"/>
  <c r="M889" i="13"/>
  <c r="M890" i="13"/>
  <c r="M891" i="13"/>
  <c r="M892" i="13"/>
  <c r="M893" i="13"/>
  <c r="M894" i="13"/>
  <c r="M895" i="13"/>
  <c r="M896" i="13"/>
  <c r="M897" i="13"/>
  <c r="M898" i="13"/>
  <c r="M899" i="13"/>
  <c r="M900" i="13"/>
  <c r="M901" i="13"/>
  <c r="M902" i="13"/>
  <c r="M903" i="13"/>
  <c r="M904" i="13"/>
  <c r="M905" i="13"/>
  <c r="M906" i="13"/>
  <c r="M907" i="13"/>
  <c r="M908" i="13"/>
  <c r="M909" i="13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402" i="13"/>
  <c r="L403" i="13"/>
  <c r="L404" i="13"/>
  <c r="L405" i="13"/>
  <c r="L406" i="13"/>
  <c r="L407" i="13"/>
  <c r="L408" i="13"/>
  <c r="L409" i="13"/>
  <c r="L410" i="13"/>
  <c r="L411" i="13"/>
  <c r="L412" i="13"/>
  <c r="L413" i="13"/>
  <c r="L414" i="13"/>
  <c r="L415" i="13"/>
  <c r="L416" i="13"/>
  <c r="L417" i="13"/>
  <c r="L418" i="13"/>
  <c r="L419" i="13"/>
  <c r="L420" i="13"/>
  <c r="L421" i="13"/>
  <c r="L422" i="13"/>
  <c r="L423" i="13"/>
  <c r="L424" i="13"/>
  <c r="L425" i="13"/>
  <c r="L426" i="13"/>
  <c r="L427" i="13"/>
  <c r="L428" i="13"/>
  <c r="L429" i="13"/>
  <c r="L430" i="13"/>
  <c r="L431" i="13"/>
  <c r="L432" i="13"/>
  <c r="L433" i="13"/>
  <c r="L434" i="13"/>
  <c r="L435" i="13"/>
  <c r="L436" i="13"/>
  <c r="L437" i="13"/>
  <c r="L438" i="13"/>
  <c r="L439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452" i="13"/>
  <c r="L453" i="13"/>
  <c r="L454" i="13"/>
  <c r="L455" i="13"/>
  <c r="L456" i="13"/>
  <c r="L457" i="13"/>
  <c r="L458" i="13"/>
  <c r="L459" i="13"/>
  <c r="L460" i="13"/>
  <c r="L461" i="13"/>
  <c r="L462" i="13"/>
  <c r="L463" i="13"/>
  <c r="L464" i="13"/>
  <c r="L465" i="13"/>
  <c r="L466" i="13"/>
  <c r="L467" i="13"/>
  <c r="L468" i="13"/>
  <c r="L469" i="13"/>
  <c r="L470" i="13"/>
  <c r="L471" i="13"/>
  <c r="L472" i="13"/>
  <c r="L473" i="13"/>
  <c r="L474" i="13"/>
  <c r="L475" i="13"/>
  <c r="L476" i="13"/>
  <c r="L477" i="13"/>
  <c r="L478" i="13"/>
  <c r="L479" i="13"/>
  <c r="L480" i="13"/>
  <c r="L481" i="13"/>
  <c r="L482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510" i="13"/>
  <c r="L511" i="13"/>
  <c r="L512" i="13"/>
  <c r="L513" i="13"/>
  <c r="L514" i="13"/>
  <c r="L515" i="13"/>
  <c r="L516" i="13"/>
  <c r="L517" i="13"/>
  <c r="L518" i="13"/>
  <c r="L519" i="13"/>
  <c r="L520" i="13"/>
  <c r="L521" i="13"/>
  <c r="L522" i="13"/>
  <c r="L523" i="13"/>
  <c r="L524" i="13"/>
  <c r="L525" i="13"/>
  <c r="L526" i="13"/>
  <c r="L527" i="13"/>
  <c r="L528" i="13"/>
  <c r="L529" i="13"/>
  <c r="L530" i="13"/>
  <c r="L531" i="13"/>
  <c r="L532" i="13"/>
  <c r="L533" i="13"/>
  <c r="L534" i="13"/>
  <c r="L535" i="13"/>
  <c r="L536" i="13"/>
  <c r="L537" i="13"/>
  <c r="L538" i="13"/>
  <c r="L539" i="13"/>
  <c r="L540" i="13"/>
  <c r="L541" i="13"/>
  <c r="L542" i="13"/>
  <c r="L543" i="13"/>
  <c r="L544" i="13"/>
  <c r="L545" i="13"/>
  <c r="L546" i="13"/>
  <c r="L547" i="13"/>
  <c r="L548" i="13"/>
  <c r="L549" i="13"/>
  <c r="L550" i="13"/>
  <c r="L551" i="13"/>
  <c r="L552" i="13"/>
  <c r="L553" i="13"/>
  <c r="L554" i="13"/>
  <c r="L555" i="13"/>
  <c r="L556" i="13"/>
  <c r="L557" i="13"/>
  <c r="L558" i="13"/>
  <c r="L559" i="13"/>
  <c r="L560" i="13"/>
  <c r="L561" i="13"/>
  <c r="L562" i="13"/>
  <c r="L563" i="13"/>
  <c r="L564" i="13"/>
  <c r="L565" i="13"/>
  <c r="L566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L583" i="13"/>
  <c r="L584" i="13"/>
  <c r="L585" i="13"/>
  <c r="L586" i="13"/>
  <c r="L587" i="13"/>
  <c r="L588" i="13"/>
  <c r="L589" i="13"/>
  <c r="L590" i="13"/>
  <c r="L591" i="13"/>
  <c r="L592" i="13"/>
  <c r="L593" i="13"/>
  <c r="L594" i="13"/>
  <c r="L595" i="13"/>
  <c r="L596" i="13"/>
  <c r="L597" i="13"/>
  <c r="L598" i="13"/>
  <c r="L599" i="13"/>
  <c r="L600" i="13"/>
  <c r="L601" i="13"/>
  <c r="L602" i="13"/>
  <c r="L603" i="13"/>
  <c r="L604" i="13"/>
  <c r="L605" i="13"/>
  <c r="L606" i="13"/>
  <c r="L607" i="13"/>
  <c r="L608" i="13"/>
  <c r="L609" i="13"/>
  <c r="L610" i="13"/>
  <c r="L611" i="13"/>
  <c r="L612" i="13"/>
  <c r="L613" i="13"/>
  <c r="L614" i="13"/>
  <c r="L615" i="13"/>
  <c r="L616" i="13"/>
  <c r="L617" i="13"/>
  <c r="L618" i="13"/>
  <c r="L619" i="13"/>
  <c r="L620" i="13"/>
  <c r="L621" i="13"/>
  <c r="L622" i="13"/>
  <c r="L623" i="13"/>
  <c r="L624" i="13"/>
  <c r="L625" i="13"/>
  <c r="L626" i="13"/>
  <c r="L627" i="13"/>
  <c r="L628" i="13"/>
  <c r="L629" i="13"/>
  <c r="L630" i="13"/>
  <c r="L631" i="13"/>
  <c r="L632" i="13"/>
  <c r="L633" i="13"/>
  <c r="L634" i="13"/>
  <c r="L635" i="13"/>
  <c r="L636" i="13"/>
  <c r="L637" i="13"/>
  <c r="L638" i="13"/>
  <c r="L639" i="13"/>
  <c r="L640" i="13"/>
  <c r="L641" i="13"/>
  <c r="L642" i="13"/>
  <c r="L643" i="13"/>
  <c r="L644" i="13"/>
  <c r="L645" i="13"/>
  <c r="L646" i="13"/>
  <c r="L647" i="13"/>
  <c r="L648" i="13"/>
  <c r="L649" i="13"/>
  <c r="L650" i="13"/>
  <c r="L651" i="13"/>
  <c r="L652" i="13"/>
  <c r="L653" i="13"/>
  <c r="L654" i="13"/>
  <c r="L655" i="13"/>
  <c r="L656" i="13"/>
  <c r="L657" i="13"/>
  <c r="L658" i="13"/>
  <c r="L659" i="13"/>
  <c r="L660" i="13"/>
  <c r="L661" i="13"/>
  <c r="L662" i="13"/>
  <c r="L663" i="13"/>
  <c r="L664" i="13"/>
  <c r="L665" i="13"/>
  <c r="L666" i="13"/>
  <c r="L667" i="13"/>
  <c r="L668" i="13"/>
  <c r="L669" i="13"/>
  <c r="L670" i="13"/>
  <c r="L671" i="13"/>
  <c r="L672" i="13"/>
  <c r="L673" i="13"/>
  <c r="L674" i="13"/>
  <c r="L675" i="13"/>
  <c r="L676" i="13"/>
  <c r="L677" i="13"/>
  <c r="L678" i="13"/>
  <c r="L679" i="13"/>
  <c r="L680" i="13"/>
  <c r="L681" i="13"/>
  <c r="L682" i="13"/>
  <c r="L683" i="13"/>
  <c r="L684" i="13"/>
  <c r="L685" i="13"/>
  <c r="L686" i="13"/>
  <c r="L687" i="13"/>
  <c r="L688" i="13"/>
  <c r="L689" i="13"/>
  <c r="L690" i="13"/>
  <c r="L691" i="13"/>
  <c r="L692" i="13"/>
  <c r="L693" i="13"/>
  <c r="L694" i="13"/>
  <c r="L695" i="13"/>
  <c r="L696" i="13"/>
  <c r="L697" i="13"/>
  <c r="L698" i="13"/>
  <c r="L699" i="13"/>
  <c r="L700" i="13"/>
  <c r="L701" i="13"/>
  <c r="L702" i="13"/>
  <c r="L703" i="13"/>
  <c r="L704" i="13"/>
  <c r="L705" i="13"/>
  <c r="L706" i="13"/>
  <c r="L707" i="13"/>
  <c r="L708" i="13"/>
  <c r="L709" i="13"/>
  <c r="L710" i="13"/>
  <c r="L711" i="13"/>
  <c r="L712" i="13"/>
  <c r="L713" i="13"/>
  <c r="L714" i="13"/>
  <c r="L715" i="13"/>
  <c r="L716" i="13"/>
  <c r="L717" i="13"/>
  <c r="L718" i="13"/>
  <c r="L719" i="13"/>
  <c r="L720" i="13"/>
  <c r="L721" i="13"/>
  <c r="L722" i="13"/>
  <c r="L723" i="13"/>
  <c r="L724" i="13"/>
  <c r="L725" i="13"/>
  <c r="L726" i="13"/>
  <c r="L727" i="13"/>
  <c r="L728" i="13"/>
  <c r="L729" i="13"/>
  <c r="L730" i="13"/>
  <c r="L731" i="13"/>
  <c r="L732" i="13"/>
  <c r="L733" i="13"/>
  <c r="L734" i="13"/>
  <c r="L735" i="13"/>
  <c r="L736" i="13"/>
  <c r="L737" i="13"/>
  <c r="L738" i="13"/>
  <c r="L739" i="13"/>
  <c r="L740" i="13"/>
  <c r="L741" i="13"/>
  <c r="L742" i="13"/>
  <c r="L743" i="13"/>
  <c r="L744" i="13"/>
  <c r="L745" i="13"/>
  <c r="L746" i="13"/>
  <c r="L747" i="13"/>
  <c r="L748" i="13"/>
  <c r="L749" i="13"/>
  <c r="L750" i="13"/>
  <c r="L751" i="13"/>
  <c r="L752" i="13"/>
  <c r="L753" i="13"/>
  <c r="L754" i="13"/>
  <c r="L755" i="13"/>
  <c r="L756" i="13"/>
  <c r="L757" i="13"/>
  <c r="L758" i="13"/>
  <c r="L759" i="13"/>
  <c r="L760" i="13"/>
  <c r="L761" i="13"/>
  <c r="L762" i="13"/>
  <c r="L763" i="13"/>
  <c r="L764" i="13"/>
  <c r="L765" i="13"/>
  <c r="L766" i="13"/>
  <c r="L767" i="13"/>
  <c r="L768" i="13"/>
  <c r="L769" i="13"/>
  <c r="L770" i="13"/>
  <c r="L771" i="13"/>
  <c r="L772" i="13"/>
  <c r="L773" i="13"/>
  <c r="L774" i="13"/>
  <c r="L775" i="13"/>
  <c r="L776" i="13"/>
  <c r="L777" i="13"/>
  <c r="L778" i="13"/>
  <c r="L779" i="13"/>
  <c r="L780" i="13"/>
  <c r="L781" i="13"/>
  <c r="L782" i="13"/>
  <c r="L783" i="13"/>
  <c r="L784" i="13"/>
  <c r="L785" i="13"/>
  <c r="L786" i="13"/>
  <c r="L787" i="13"/>
  <c r="L788" i="13"/>
  <c r="L789" i="13"/>
  <c r="L790" i="13"/>
  <c r="L791" i="13"/>
  <c r="L792" i="13"/>
  <c r="L793" i="13"/>
  <c r="L794" i="13"/>
  <c r="L795" i="13"/>
  <c r="L796" i="13"/>
  <c r="L797" i="13"/>
  <c r="L798" i="13"/>
  <c r="L799" i="13"/>
  <c r="L800" i="13"/>
  <c r="L801" i="13"/>
  <c r="L802" i="13"/>
  <c r="L803" i="13"/>
  <c r="L804" i="13"/>
  <c r="L805" i="13"/>
  <c r="L806" i="13"/>
  <c r="L807" i="13"/>
  <c r="L808" i="13"/>
  <c r="L809" i="13"/>
  <c r="L810" i="13"/>
  <c r="L811" i="13"/>
  <c r="L812" i="13"/>
  <c r="L813" i="13"/>
  <c r="L814" i="13"/>
  <c r="L815" i="13"/>
  <c r="L816" i="13"/>
  <c r="L817" i="13"/>
  <c r="L818" i="13"/>
  <c r="L819" i="13"/>
  <c r="L820" i="13"/>
  <c r="L821" i="13"/>
  <c r="L822" i="13"/>
  <c r="L823" i="13"/>
  <c r="L824" i="13"/>
  <c r="L825" i="13"/>
  <c r="L826" i="13"/>
  <c r="L827" i="13"/>
  <c r="L828" i="13"/>
  <c r="L829" i="13"/>
  <c r="L830" i="13"/>
  <c r="L831" i="13"/>
  <c r="L832" i="13"/>
  <c r="L833" i="13"/>
  <c r="L834" i="13"/>
  <c r="L835" i="13"/>
  <c r="L836" i="13"/>
  <c r="L837" i="13"/>
  <c r="L838" i="13"/>
  <c r="L839" i="13"/>
  <c r="L840" i="13"/>
  <c r="L841" i="13"/>
  <c r="L842" i="13"/>
  <c r="L843" i="13"/>
  <c r="L844" i="13"/>
  <c r="L845" i="13"/>
  <c r="L846" i="13"/>
  <c r="L847" i="13"/>
  <c r="L848" i="13"/>
  <c r="L849" i="13"/>
  <c r="L850" i="13"/>
  <c r="L851" i="13"/>
  <c r="L852" i="13"/>
  <c r="L853" i="13"/>
  <c r="L854" i="13"/>
  <c r="L855" i="13"/>
  <c r="L856" i="13"/>
  <c r="L857" i="13"/>
  <c r="L858" i="13"/>
  <c r="L859" i="13"/>
  <c r="L860" i="13"/>
  <c r="L861" i="13"/>
  <c r="L862" i="13"/>
  <c r="L863" i="13"/>
  <c r="L864" i="13"/>
  <c r="L865" i="13"/>
  <c r="L866" i="13"/>
  <c r="L867" i="13"/>
  <c r="L868" i="13"/>
  <c r="L869" i="13"/>
  <c r="L870" i="13"/>
  <c r="L871" i="13"/>
  <c r="L872" i="13"/>
  <c r="L873" i="13"/>
  <c r="L874" i="13"/>
  <c r="L875" i="13"/>
  <c r="L876" i="13"/>
  <c r="L877" i="13"/>
  <c r="L878" i="13"/>
  <c r="L879" i="13"/>
  <c r="L880" i="13"/>
  <c r="L881" i="13"/>
  <c r="L882" i="13"/>
  <c r="L883" i="13"/>
  <c r="L884" i="13"/>
  <c r="L885" i="13"/>
  <c r="L886" i="13"/>
  <c r="L887" i="13"/>
  <c r="L888" i="13"/>
  <c r="L889" i="13"/>
  <c r="L890" i="13"/>
  <c r="L891" i="13"/>
  <c r="L892" i="13"/>
  <c r="L893" i="13"/>
  <c r="L894" i="13"/>
  <c r="L895" i="13"/>
  <c r="L896" i="13"/>
  <c r="L897" i="13"/>
  <c r="L898" i="13"/>
  <c r="L899" i="13"/>
  <c r="L900" i="13"/>
  <c r="L901" i="13"/>
  <c r="L902" i="13"/>
  <c r="L903" i="13"/>
  <c r="L904" i="13"/>
  <c r="L905" i="13"/>
  <c r="L906" i="13"/>
  <c r="L907" i="13"/>
  <c r="L908" i="13"/>
  <c r="L909" i="13"/>
  <c r="K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K382" i="13"/>
  <c r="K383" i="13"/>
  <c r="K384" i="13"/>
  <c r="K385" i="13"/>
  <c r="K386" i="13"/>
  <c r="K387" i="13"/>
  <c r="K388" i="13"/>
  <c r="K389" i="13"/>
  <c r="K390" i="13"/>
  <c r="K391" i="13"/>
  <c r="K392" i="13"/>
  <c r="K393" i="13"/>
  <c r="K394" i="13"/>
  <c r="K395" i="13"/>
  <c r="K396" i="13"/>
  <c r="K397" i="13"/>
  <c r="K398" i="13"/>
  <c r="K399" i="13"/>
  <c r="K400" i="13"/>
  <c r="K401" i="13"/>
  <c r="K402" i="13"/>
  <c r="K403" i="13"/>
  <c r="K404" i="13"/>
  <c r="K405" i="13"/>
  <c r="K406" i="13"/>
  <c r="K407" i="13"/>
  <c r="K408" i="13"/>
  <c r="K409" i="13"/>
  <c r="K410" i="13"/>
  <c r="K411" i="13"/>
  <c r="K412" i="13"/>
  <c r="K413" i="13"/>
  <c r="K414" i="13"/>
  <c r="K415" i="13"/>
  <c r="K416" i="13"/>
  <c r="K417" i="13"/>
  <c r="K418" i="13"/>
  <c r="K419" i="13"/>
  <c r="K420" i="13"/>
  <c r="K421" i="13"/>
  <c r="K422" i="13"/>
  <c r="K423" i="13"/>
  <c r="K424" i="13"/>
  <c r="K425" i="13"/>
  <c r="K426" i="13"/>
  <c r="K427" i="13"/>
  <c r="K428" i="13"/>
  <c r="K429" i="13"/>
  <c r="K430" i="13"/>
  <c r="K431" i="13"/>
  <c r="K432" i="13"/>
  <c r="K433" i="13"/>
  <c r="K434" i="13"/>
  <c r="K435" i="13"/>
  <c r="K436" i="13"/>
  <c r="K437" i="13"/>
  <c r="K438" i="13"/>
  <c r="K439" i="13"/>
  <c r="K440" i="13"/>
  <c r="K441" i="13"/>
  <c r="K442" i="13"/>
  <c r="K443" i="13"/>
  <c r="K444" i="13"/>
  <c r="K445" i="13"/>
  <c r="K446" i="13"/>
  <c r="K447" i="13"/>
  <c r="K448" i="13"/>
  <c r="K449" i="13"/>
  <c r="K450" i="13"/>
  <c r="K451" i="13"/>
  <c r="K452" i="13"/>
  <c r="K453" i="13"/>
  <c r="K454" i="13"/>
  <c r="K455" i="13"/>
  <c r="K456" i="13"/>
  <c r="K457" i="13"/>
  <c r="K458" i="13"/>
  <c r="K459" i="13"/>
  <c r="K460" i="13"/>
  <c r="K461" i="13"/>
  <c r="K462" i="13"/>
  <c r="K463" i="13"/>
  <c r="K464" i="13"/>
  <c r="K465" i="13"/>
  <c r="K466" i="13"/>
  <c r="K467" i="13"/>
  <c r="K468" i="13"/>
  <c r="K469" i="13"/>
  <c r="K470" i="13"/>
  <c r="K471" i="13"/>
  <c r="K472" i="13"/>
  <c r="K473" i="13"/>
  <c r="K474" i="13"/>
  <c r="K475" i="13"/>
  <c r="K476" i="13"/>
  <c r="K477" i="13"/>
  <c r="K478" i="13"/>
  <c r="K479" i="13"/>
  <c r="K480" i="13"/>
  <c r="K481" i="13"/>
  <c r="K482" i="13"/>
  <c r="K483" i="13"/>
  <c r="K484" i="13"/>
  <c r="K485" i="13"/>
  <c r="K486" i="13"/>
  <c r="K487" i="13"/>
  <c r="K488" i="13"/>
  <c r="K489" i="13"/>
  <c r="K490" i="13"/>
  <c r="K491" i="13"/>
  <c r="K492" i="13"/>
  <c r="K493" i="13"/>
  <c r="K494" i="13"/>
  <c r="K495" i="13"/>
  <c r="K496" i="13"/>
  <c r="K497" i="13"/>
  <c r="K498" i="13"/>
  <c r="K499" i="13"/>
  <c r="K500" i="13"/>
  <c r="K501" i="13"/>
  <c r="K502" i="13"/>
  <c r="K503" i="13"/>
  <c r="K504" i="13"/>
  <c r="K505" i="13"/>
  <c r="K506" i="13"/>
  <c r="K507" i="13"/>
  <c r="K508" i="13"/>
  <c r="K509" i="13"/>
  <c r="K510" i="13"/>
  <c r="K511" i="13"/>
  <c r="K512" i="13"/>
  <c r="K513" i="13"/>
  <c r="K514" i="13"/>
  <c r="K515" i="13"/>
  <c r="K516" i="13"/>
  <c r="K517" i="13"/>
  <c r="K518" i="13"/>
  <c r="K519" i="13"/>
  <c r="K520" i="13"/>
  <c r="K521" i="13"/>
  <c r="K522" i="13"/>
  <c r="K523" i="13"/>
  <c r="K524" i="13"/>
  <c r="K525" i="13"/>
  <c r="K526" i="13"/>
  <c r="K527" i="13"/>
  <c r="K528" i="13"/>
  <c r="K529" i="13"/>
  <c r="K530" i="13"/>
  <c r="K531" i="13"/>
  <c r="K532" i="13"/>
  <c r="K533" i="13"/>
  <c r="K534" i="13"/>
  <c r="K535" i="13"/>
  <c r="K536" i="13"/>
  <c r="K537" i="13"/>
  <c r="K538" i="13"/>
  <c r="K539" i="13"/>
  <c r="K540" i="13"/>
  <c r="K541" i="13"/>
  <c r="K542" i="13"/>
  <c r="K543" i="13"/>
  <c r="K544" i="13"/>
  <c r="K545" i="13"/>
  <c r="K546" i="13"/>
  <c r="K547" i="13"/>
  <c r="K548" i="13"/>
  <c r="K549" i="13"/>
  <c r="K550" i="13"/>
  <c r="K551" i="13"/>
  <c r="K552" i="13"/>
  <c r="K553" i="13"/>
  <c r="K554" i="13"/>
  <c r="K555" i="13"/>
  <c r="K556" i="13"/>
  <c r="K557" i="13"/>
  <c r="K558" i="13"/>
  <c r="K559" i="13"/>
  <c r="K560" i="13"/>
  <c r="K561" i="13"/>
  <c r="K562" i="13"/>
  <c r="K563" i="13"/>
  <c r="K564" i="13"/>
  <c r="K565" i="13"/>
  <c r="K566" i="13"/>
  <c r="K567" i="13"/>
  <c r="K568" i="13"/>
  <c r="K569" i="13"/>
  <c r="K570" i="13"/>
  <c r="K571" i="13"/>
  <c r="K572" i="13"/>
  <c r="K573" i="13"/>
  <c r="K574" i="13"/>
  <c r="K575" i="13"/>
  <c r="K576" i="13"/>
  <c r="K577" i="13"/>
  <c r="K578" i="13"/>
  <c r="K579" i="13"/>
  <c r="K580" i="13"/>
  <c r="K581" i="13"/>
  <c r="K582" i="13"/>
  <c r="K583" i="13"/>
  <c r="K584" i="13"/>
  <c r="K585" i="13"/>
  <c r="K586" i="13"/>
  <c r="K587" i="13"/>
  <c r="K588" i="13"/>
  <c r="K589" i="13"/>
  <c r="K590" i="13"/>
  <c r="K591" i="13"/>
  <c r="K592" i="13"/>
  <c r="K593" i="13"/>
  <c r="K594" i="13"/>
  <c r="K595" i="13"/>
  <c r="K596" i="13"/>
  <c r="K597" i="13"/>
  <c r="K598" i="13"/>
  <c r="K599" i="13"/>
  <c r="K600" i="13"/>
  <c r="K601" i="13"/>
  <c r="K602" i="13"/>
  <c r="K603" i="13"/>
  <c r="K604" i="13"/>
  <c r="K605" i="13"/>
  <c r="K606" i="13"/>
  <c r="K607" i="13"/>
  <c r="K608" i="13"/>
  <c r="K609" i="13"/>
  <c r="K610" i="13"/>
  <c r="K611" i="13"/>
  <c r="K612" i="13"/>
  <c r="K613" i="13"/>
  <c r="K614" i="13"/>
  <c r="K615" i="13"/>
  <c r="K616" i="13"/>
  <c r="K617" i="13"/>
  <c r="K618" i="13"/>
  <c r="K619" i="13"/>
  <c r="K620" i="13"/>
  <c r="K621" i="13"/>
  <c r="K622" i="13"/>
  <c r="K623" i="13"/>
  <c r="K624" i="13"/>
  <c r="K625" i="13"/>
  <c r="K626" i="13"/>
  <c r="K627" i="13"/>
  <c r="K628" i="13"/>
  <c r="K629" i="13"/>
  <c r="K630" i="13"/>
  <c r="K631" i="13"/>
  <c r="K632" i="13"/>
  <c r="K633" i="13"/>
  <c r="K634" i="13"/>
  <c r="K635" i="13"/>
  <c r="K636" i="13"/>
  <c r="K637" i="13"/>
  <c r="K638" i="13"/>
  <c r="K639" i="13"/>
  <c r="K640" i="13"/>
  <c r="K641" i="13"/>
  <c r="K642" i="13"/>
  <c r="K643" i="13"/>
  <c r="K644" i="13"/>
  <c r="K645" i="13"/>
  <c r="K646" i="13"/>
  <c r="K647" i="13"/>
  <c r="K648" i="13"/>
  <c r="K649" i="13"/>
  <c r="K650" i="13"/>
  <c r="K651" i="13"/>
  <c r="K652" i="13"/>
  <c r="K653" i="13"/>
  <c r="K654" i="13"/>
  <c r="K655" i="13"/>
  <c r="K656" i="13"/>
  <c r="K657" i="13"/>
  <c r="K658" i="13"/>
  <c r="K659" i="13"/>
  <c r="K660" i="13"/>
  <c r="K661" i="13"/>
  <c r="K662" i="13"/>
  <c r="K663" i="13"/>
  <c r="K664" i="13"/>
  <c r="K665" i="13"/>
  <c r="K666" i="13"/>
  <c r="K667" i="13"/>
  <c r="K668" i="13"/>
  <c r="K669" i="13"/>
  <c r="K670" i="13"/>
  <c r="K671" i="13"/>
  <c r="K672" i="13"/>
  <c r="K673" i="13"/>
  <c r="K674" i="13"/>
  <c r="K675" i="13"/>
  <c r="K676" i="13"/>
  <c r="K677" i="13"/>
  <c r="K678" i="13"/>
  <c r="K679" i="13"/>
  <c r="K680" i="13"/>
  <c r="K681" i="13"/>
  <c r="K682" i="13"/>
  <c r="K683" i="13"/>
  <c r="K684" i="13"/>
  <c r="K685" i="13"/>
  <c r="K686" i="13"/>
  <c r="K687" i="13"/>
  <c r="K688" i="13"/>
  <c r="K689" i="13"/>
  <c r="K690" i="13"/>
  <c r="K691" i="13"/>
  <c r="K692" i="13"/>
  <c r="K693" i="13"/>
  <c r="K694" i="13"/>
  <c r="K695" i="13"/>
  <c r="K696" i="13"/>
  <c r="K697" i="13"/>
  <c r="K698" i="13"/>
  <c r="K699" i="13"/>
  <c r="K700" i="13"/>
  <c r="K701" i="13"/>
  <c r="K702" i="13"/>
  <c r="K703" i="13"/>
  <c r="K704" i="13"/>
  <c r="K705" i="13"/>
  <c r="K706" i="13"/>
  <c r="K707" i="13"/>
  <c r="K708" i="13"/>
  <c r="K709" i="13"/>
  <c r="K710" i="13"/>
  <c r="K711" i="13"/>
  <c r="K712" i="13"/>
  <c r="K713" i="13"/>
  <c r="K714" i="13"/>
  <c r="K715" i="13"/>
  <c r="K716" i="13"/>
  <c r="K717" i="13"/>
  <c r="K718" i="13"/>
  <c r="K719" i="13"/>
  <c r="K720" i="13"/>
  <c r="K721" i="13"/>
  <c r="K722" i="13"/>
  <c r="K723" i="13"/>
  <c r="K724" i="13"/>
  <c r="K725" i="13"/>
  <c r="K726" i="13"/>
  <c r="K727" i="13"/>
  <c r="K728" i="13"/>
  <c r="K729" i="13"/>
  <c r="K730" i="13"/>
  <c r="K731" i="13"/>
  <c r="K732" i="13"/>
  <c r="K733" i="13"/>
  <c r="K734" i="13"/>
  <c r="K735" i="13"/>
  <c r="K736" i="13"/>
  <c r="K737" i="13"/>
  <c r="K738" i="13"/>
  <c r="K739" i="13"/>
  <c r="K740" i="13"/>
  <c r="K741" i="13"/>
  <c r="K742" i="13"/>
  <c r="K743" i="13"/>
  <c r="K744" i="13"/>
  <c r="K745" i="13"/>
  <c r="K746" i="13"/>
  <c r="K747" i="13"/>
  <c r="K748" i="13"/>
  <c r="K749" i="13"/>
  <c r="K750" i="13"/>
  <c r="K751" i="13"/>
  <c r="K752" i="13"/>
  <c r="K753" i="13"/>
  <c r="K754" i="13"/>
  <c r="K755" i="13"/>
  <c r="K756" i="13"/>
  <c r="K757" i="13"/>
  <c r="K758" i="13"/>
  <c r="K759" i="13"/>
  <c r="K760" i="13"/>
  <c r="K761" i="13"/>
  <c r="K762" i="13"/>
  <c r="K763" i="13"/>
  <c r="K764" i="13"/>
  <c r="K765" i="13"/>
  <c r="K766" i="13"/>
  <c r="K767" i="13"/>
  <c r="K768" i="13"/>
  <c r="K769" i="13"/>
  <c r="K770" i="13"/>
  <c r="K771" i="13"/>
  <c r="K772" i="13"/>
  <c r="K773" i="13"/>
  <c r="K774" i="13"/>
  <c r="K775" i="13"/>
  <c r="K776" i="13"/>
  <c r="K777" i="13"/>
  <c r="K778" i="13"/>
  <c r="K779" i="13"/>
  <c r="K780" i="13"/>
  <c r="K781" i="13"/>
  <c r="K782" i="13"/>
  <c r="K783" i="13"/>
  <c r="K784" i="13"/>
  <c r="K785" i="13"/>
  <c r="K786" i="13"/>
  <c r="K787" i="13"/>
  <c r="K788" i="13"/>
  <c r="K789" i="13"/>
  <c r="K790" i="13"/>
  <c r="K791" i="13"/>
  <c r="K792" i="13"/>
  <c r="K793" i="13"/>
  <c r="K794" i="13"/>
  <c r="K795" i="13"/>
  <c r="K796" i="13"/>
  <c r="K797" i="13"/>
  <c r="K798" i="13"/>
  <c r="K799" i="13"/>
  <c r="K800" i="13"/>
  <c r="K801" i="13"/>
  <c r="K802" i="13"/>
  <c r="K803" i="13"/>
  <c r="K804" i="13"/>
  <c r="K805" i="13"/>
  <c r="K806" i="13"/>
  <c r="K807" i="13"/>
  <c r="K808" i="13"/>
  <c r="K809" i="13"/>
  <c r="K810" i="13"/>
  <c r="K811" i="13"/>
  <c r="K812" i="13"/>
  <c r="K813" i="13"/>
  <c r="K814" i="13"/>
  <c r="K815" i="13"/>
  <c r="K816" i="13"/>
  <c r="K817" i="13"/>
  <c r="K818" i="13"/>
  <c r="K819" i="13"/>
  <c r="K820" i="13"/>
  <c r="K821" i="13"/>
  <c r="K822" i="13"/>
  <c r="K823" i="13"/>
  <c r="K824" i="13"/>
  <c r="K825" i="13"/>
  <c r="K826" i="13"/>
  <c r="K827" i="13"/>
  <c r="K828" i="13"/>
  <c r="K829" i="13"/>
  <c r="K830" i="13"/>
  <c r="K831" i="13"/>
  <c r="K832" i="13"/>
  <c r="K833" i="13"/>
  <c r="K834" i="13"/>
  <c r="K835" i="13"/>
  <c r="K836" i="13"/>
  <c r="K837" i="13"/>
  <c r="K838" i="13"/>
  <c r="K839" i="13"/>
  <c r="K840" i="13"/>
  <c r="K841" i="13"/>
  <c r="K842" i="13"/>
  <c r="K843" i="13"/>
  <c r="K844" i="13"/>
  <c r="K845" i="13"/>
  <c r="K846" i="13"/>
  <c r="K847" i="13"/>
  <c r="K848" i="13"/>
  <c r="K849" i="13"/>
  <c r="K850" i="13"/>
  <c r="K851" i="13"/>
  <c r="K852" i="13"/>
  <c r="K853" i="13"/>
  <c r="K854" i="13"/>
  <c r="K855" i="13"/>
  <c r="K856" i="13"/>
  <c r="K857" i="13"/>
  <c r="K858" i="13"/>
  <c r="K859" i="13"/>
  <c r="K860" i="13"/>
  <c r="K861" i="13"/>
  <c r="K862" i="13"/>
  <c r="K863" i="13"/>
  <c r="K864" i="13"/>
  <c r="K865" i="13"/>
  <c r="K866" i="13"/>
  <c r="K867" i="13"/>
  <c r="K868" i="13"/>
  <c r="K869" i="13"/>
  <c r="K870" i="13"/>
  <c r="K871" i="13"/>
  <c r="K872" i="13"/>
  <c r="K873" i="13"/>
  <c r="K874" i="13"/>
  <c r="K875" i="13"/>
  <c r="K876" i="13"/>
  <c r="K877" i="13"/>
  <c r="K878" i="13"/>
  <c r="K879" i="13"/>
  <c r="K880" i="13"/>
  <c r="K881" i="13"/>
  <c r="K882" i="13"/>
  <c r="K883" i="13"/>
  <c r="K884" i="13"/>
  <c r="K885" i="13"/>
  <c r="K886" i="13"/>
  <c r="K887" i="13"/>
  <c r="K888" i="13"/>
  <c r="K889" i="13"/>
  <c r="K890" i="13"/>
  <c r="K891" i="13"/>
  <c r="K892" i="13"/>
  <c r="K893" i="13"/>
  <c r="K894" i="13"/>
  <c r="K895" i="13"/>
  <c r="K896" i="13"/>
  <c r="K897" i="13"/>
  <c r="K898" i="13"/>
  <c r="K899" i="13"/>
  <c r="K900" i="13"/>
  <c r="K901" i="13"/>
  <c r="K902" i="13"/>
  <c r="K903" i="13"/>
  <c r="K904" i="13"/>
  <c r="K905" i="13"/>
  <c r="K906" i="13"/>
  <c r="K907" i="13"/>
  <c r="K908" i="13"/>
  <c r="K909" i="13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J382" i="13"/>
  <c r="J383" i="13"/>
  <c r="J384" i="13"/>
  <c r="J385" i="13"/>
  <c r="J386" i="13"/>
  <c r="J387" i="13"/>
  <c r="J388" i="13"/>
  <c r="J389" i="13"/>
  <c r="J390" i="13"/>
  <c r="J391" i="13"/>
  <c r="J392" i="13"/>
  <c r="J393" i="13"/>
  <c r="J394" i="13"/>
  <c r="J395" i="13"/>
  <c r="J396" i="13"/>
  <c r="J397" i="13"/>
  <c r="J398" i="13"/>
  <c r="J399" i="13"/>
  <c r="J400" i="13"/>
  <c r="J401" i="13"/>
  <c r="J402" i="13"/>
  <c r="J403" i="13"/>
  <c r="J404" i="13"/>
  <c r="J405" i="13"/>
  <c r="J406" i="13"/>
  <c r="J407" i="13"/>
  <c r="J408" i="13"/>
  <c r="J409" i="13"/>
  <c r="J410" i="13"/>
  <c r="J411" i="13"/>
  <c r="J412" i="13"/>
  <c r="J413" i="13"/>
  <c r="J414" i="13"/>
  <c r="J415" i="13"/>
  <c r="J416" i="13"/>
  <c r="J417" i="13"/>
  <c r="J418" i="13"/>
  <c r="J419" i="13"/>
  <c r="J420" i="13"/>
  <c r="J421" i="13"/>
  <c r="J422" i="13"/>
  <c r="J423" i="13"/>
  <c r="J424" i="13"/>
  <c r="J425" i="13"/>
  <c r="J426" i="13"/>
  <c r="J427" i="13"/>
  <c r="J428" i="13"/>
  <c r="J429" i="13"/>
  <c r="J430" i="13"/>
  <c r="J431" i="13"/>
  <c r="J432" i="13"/>
  <c r="J433" i="13"/>
  <c r="J434" i="13"/>
  <c r="J435" i="13"/>
  <c r="J436" i="13"/>
  <c r="J437" i="13"/>
  <c r="J438" i="13"/>
  <c r="J439" i="13"/>
  <c r="J440" i="13"/>
  <c r="J441" i="13"/>
  <c r="J442" i="13"/>
  <c r="J443" i="13"/>
  <c r="J444" i="13"/>
  <c r="J445" i="13"/>
  <c r="J446" i="13"/>
  <c r="J447" i="13"/>
  <c r="J448" i="13"/>
  <c r="J449" i="13"/>
  <c r="J450" i="13"/>
  <c r="J451" i="13"/>
  <c r="J452" i="13"/>
  <c r="J453" i="13"/>
  <c r="J454" i="13"/>
  <c r="J455" i="13"/>
  <c r="J456" i="13"/>
  <c r="J457" i="13"/>
  <c r="J458" i="13"/>
  <c r="J459" i="13"/>
  <c r="J460" i="13"/>
  <c r="J461" i="13"/>
  <c r="J462" i="13"/>
  <c r="J463" i="13"/>
  <c r="J464" i="13"/>
  <c r="J465" i="13"/>
  <c r="J466" i="13"/>
  <c r="J467" i="13"/>
  <c r="J468" i="13"/>
  <c r="J469" i="13"/>
  <c r="J470" i="13"/>
  <c r="J471" i="13"/>
  <c r="J472" i="13"/>
  <c r="J473" i="13"/>
  <c r="J474" i="13"/>
  <c r="J475" i="13"/>
  <c r="J476" i="13"/>
  <c r="J477" i="13"/>
  <c r="J478" i="13"/>
  <c r="J479" i="13"/>
  <c r="J480" i="13"/>
  <c r="J481" i="13"/>
  <c r="J482" i="13"/>
  <c r="J483" i="13"/>
  <c r="J484" i="13"/>
  <c r="J485" i="13"/>
  <c r="J486" i="13"/>
  <c r="J487" i="13"/>
  <c r="J488" i="13"/>
  <c r="J489" i="13"/>
  <c r="J490" i="13"/>
  <c r="J491" i="13"/>
  <c r="J492" i="13"/>
  <c r="J493" i="13"/>
  <c r="J494" i="13"/>
  <c r="J495" i="13"/>
  <c r="J496" i="13"/>
  <c r="J497" i="13"/>
  <c r="J498" i="13"/>
  <c r="J499" i="13"/>
  <c r="J500" i="13"/>
  <c r="J501" i="13"/>
  <c r="J502" i="13"/>
  <c r="J503" i="13"/>
  <c r="J504" i="13"/>
  <c r="J505" i="13"/>
  <c r="J506" i="13"/>
  <c r="J507" i="13"/>
  <c r="J508" i="13"/>
  <c r="J509" i="13"/>
  <c r="J510" i="13"/>
  <c r="J511" i="13"/>
  <c r="J512" i="13"/>
  <c r="J513" i="13"/>
  <c r="J514" i="13"/>
  <c r="J515" i="13"/>
  <c r="J516" i="13"/>
  <c r="J517" i="13"/>
  <c r="J518" i="13"/>
  <c r="J519" i="13"/>
  <c r="J520" i="13"/>
  <c r="J521" i="13"/>
  <c r="J522" i="13"/>
  <c r="J523" i="13"/>
  <c r="J524" i="13"/>
  <c r="J525" i="13"/>
  <c r="J526" i="13"/>
  <c r="J527" i="13"/>
  <c r="J528" i="13"/>
  <c r="J529" i="13"/>
  <c r="J530" i="13"/>
  <c r="J531" i="13"/>
  <c r="J532" i="13"/>
  <c r="J533" i="13"/>
  <c r="J534" i="13"/>
  <c r="J535" i="13"/>
  <c r="J536" i="13"/>
  <c r="J537" i="13"/>
  <c r="J538" i="13"/>
  <c r="J539" i="13"/>
  <c r="J540" i="13"/>
  <c r="J541" i="13"/>
  <c r="J542" i="13"/>
  <c r="J543" i="13"/>
  <c r="J544" i="13"/>
  <c r="J545" i="13"/>
  <c r="J546" i="13"/>
  <c r="J547" i="13"/>
  <c r="J548" i="13"/>
  <c r="J549" i="13"/>
  <c r="J550" i="13"/>
  <c r="J551" i="13"/>
  <c r="J552" i="13"/>
  <c r="J553" i="13"/>
  <c r="J554" i="13"/>
  <c r="J555" i="13"/>
  <c r="J556" i="13"/>
  <c r="J557" i="13"/>
  <c r="J558" i="13"/>
  <c r="J559" i="13"/>
  <c r="J560" i="13"/>
  <c r="J561" i="13"/>
  <c r="J562" i="13"/>
  <c r="J563" i="13"/>
  <c r="J564" i="13"/>
  <c r="J565" i="13"/>
  <c r="J566" i="13"/>
  <c r="J567" i="13"/>
  <c r="J568" i="13"/>
  <c r="J569" i="13"/>
  <c r="J570" i="13"/>
  <c r="J571" i="13"/>
  <c r="J572" i="13"/>
  <c r="J573" i="13"/>
  <c r="J574" i="13"/>
  <c r="J575" i="13"/>
  <c r="J576" i="13"/>
  <c r="J577" i="13"/>
  <c r="J578" i="13"/>
  <c r="J579" i="13"/>
  <c r="J580" i="13"/>
  <c r="J581" i="13"/>
  <c r="J582" i="13"/>
  <c r="J583" i="13"/>
  <c r="J584" i="13"/>
  <c r="J585" i="13"/>
  <c r="J586" i="13"/>
  <c r="J587" i="13"/>
  <c r="J588" i="13"/>
  <c r="J589" i="13"/>
  <c r="J590" i="13"/>
  <c r="J591" i="13"/>
  <c r="J592" i="13"/>
  <c r="J593" i="13"/>
  <c r="J594" i="13"/>
  <c r="J595" i="13"/>
  <c r="J596" i="13"/>
  <c r="J597" i="13"/>
  <c r="J598" i="13"/>
  <c r="J599" i="13"/>
  <c r="J600" i="13"/>
  <c r="J601" i="13"/>
  <c r="J602" i="13"/>
  <c r="J603" i="13"/>
  <c r="J604" i="13"/>
  <c r="J605" i="13"/>
  <c r="J606" i="13"/>
  <c r="J607" i="13"/>
  <c r="J608" i="13"/>
  <c r="J609" i="13"/>
  <c r="J610" i="13"/>
  <c r="J611" i="13"/>
  <c r="J612" i="13"/>
  <c r="J613" i="13"/>
  <c r="J614" i="13"/>
  <c r="J615" i="13"/>
  <c r="J616" i="13"/>
  <c r="J617" i="13"/>
  <c r="J618" i="13"/>
  <c r="J619" i="13"/>
  <c r="J620" i="13"/>
  <c r="J621" i="13"/>
  <c r="J622" i="13"/>
  <c r="J623" i="13"/>
  <c r="J624" i="13"/>
  <c r="J625" i="13"/>
  <c r="J626" i="13"/>
  <c r="J627" i="13"/>
  <c r="J628" i="13"/>
  <c r="J629" i="13"/>
  <c r="J630" i="13"/>
  <c r="J631" i="13"/>
  <c r="J632" i="13"/>
  <c r="J633" i="13"/>
  <c r="J634" i="13"/>
  <c r="J635" i="13"/>
  <c r="J636" i="13"/>
  <c r="J637" i="13"/>
  <c r="J638" i="13"/>
  <c r="J639" i="13"/>
  <c r="J640" i="13"/>
  <c r="J641" i="13"/>
  <c r="J642" i="13"/>
  <c r="J643" i="13"/>
  <c r="J644" i="13"/>
  <c r="J645" i="13"/>
  <c r="J646" i="13"/>
  <c r="J647" i="13"/>
  <c r="J648" i="13"/>
  <c r="J649" i="13"/>
  <c r="J650" i="13"/>
  <c r="J651" i="13"/>
  <c r="J652" i="13"/>
  <c r="J653" i="13"/>
  <c r="J654" i="13"/>
  <c r="J655" i="13"/>
  <c r="J656" i="13"/>
  <c r="J657" i="13"/>
  <c r="J658" i="13"/>
  <c r="J659" i="13"/>
  <c r="J660" i="13"/>
  <c r="J661" i="13"/>
  <c r="J662" i="13"/>
  <c r="J663" i="13"/>
  <c r="J664" i="13"/>
  <c r="J665" i="13"/>
  <c r="J666" i="13"/>
  <c r="J667" i="13"/>
  <c r="J668" i="13"/>
  <c r="J669" i="13"/>
  <c r="J670" i="13"/>
  <c r="J671" i="13"/>
  <c r="J672" i="13"/>
  <c r="J673" i="13"/>
  <c r="J674" i="13"/>
  <c r="J675" i="13"/>
  <c r="J676" i="13"/>
  <c r="J677" i="13"/>
  <c r="J678" i="13"/>
  <c r="J679" i="13"/>
  <c r="J680" i="13"/>
  <c r="J681" i="13"/>
  <c r="J682" i="13"/>
  <c r="J683" i="13"/>
  <c r="J684" i="13"/>
  <c r="J685" i="13"/>
  <c r="J686" i="13"/>
  <c r="J687" i="13"/>
  <c r="J688" i="13"/>
  <c r="J689" i="13"/>
  <c r="J690" i="13"/>
  <c r="J691" i="13"/>
  <c r="J692" i="13"/>
  <c r="J693" i="13"/>
  <c r="J694" i="13"/>
  <c r="J695" i="13"/>
  <c r="J696" i="13"/>
  <c r="J697" i="13"/>
  <c r="J698" i="13"/>
  <c r="J699" i="13"/>
  <c r="J700" i="13"/>
  <c r="J701" i="13"/>
  <c r="J702" i="13"/>
  <c r="J703" i="13"/>
  <c r="J704" i="13"/>
  <c r="J705" i="13"/>
  <c r="J706" i="13"/>
  <c r="J707" i="13"/>
  <c r="J708" i="13"/>
  <c r="J709" i="13"/>
  <c r="J710" i="13"/>
  <c r="J711" i="13"/>
  <c r="J712" i="13"/>
  <c r="J713" i="13"/>
  <c r="J714" i="13"/>
  <c r="J715" i="13"/>
  <c r="J716" i="13"/>
  <c r="J717" i="13"/>
  <c r="J718" i="13"/>
  <c r="J719" i="13"/>
  <c r="J720" i="13"/>
  <c r="J721" i="13"/>
  <c r="J722" i="13"/>
  <c r="J723" i="13"/>
  <c r="J724" i="13"/>
  <c r="J725" i="13"/>
  <c r="J726" i="13"/>
  <c r="J727" i="13"/>
  <c r="J728" i="13"/>
  <c r="J729" i="13"/>
  <c r="J730" i="13"/>
  <c r="J731" i="13"/>
  <c r="J732" i="13"/>
  <c r="J733" i="13"/>
  <c r="J734" i="13"/>
  <c r="J735" i="13"/>
  <c r="J736" i="13"/>
  <c r="J737" i="13"/>
  <c r="J738" i="13"/>
  <c r="J739" i="13"/>
  <c r="J740" i="13"/>
  <c r="J741" i="13"/>
  <c r="J742" i="13"/>
  <c r="J743" i="13"/>
  <c r="J744" i="13"/>
  <c r="J745" i="13"/>
  <c r="J746" i="13"/>
  <c r="J747" i="13"/>
  <c r="J748" i="13"/>
  <c r="J749" i="13"/>
  <c r="J750" i="13"/>
  <c r="J751" i="13"/>
  <c r="J752" i="13"/>
  <c r="J753" i="13"/>
  <c r="J754" i="13"/>
  <c r="J755" i="13"/>
  <c r="J756" i="13"/>
  <c r="J757" i="13"/>
  <c r="J758" i="13"/>
  <c r="J759" i="13"/>
  <c r="J760" i="13"/>
  <c r="J761" i="13"/>
  <c r="J762" i="13"/>
  <c r="J763" i="13"/>
  <c r="J764" i="13"/>
  <c r="J765" i="13"/>
  <c r="J766" i="13"/>
  <c r="J767" i="13"/>
  <c r="J768" i="13"/>
  <c r="J769" i="13"/>
  <c r="J770" i="13"/>
  <c r="J771" i="13"/>
  <c r="J772" i="13"/>
  <c r="J773" i="13"/>
  <c r="J774" i="13"/>
  <c r="J775" i="13"/>
  <c r="J776" i="13"/>
  <c r="J777" i="13"/>
  <c r="J778" i="13"/>
  <c r="J779" i="13"/>
  <c r="J780" i="13"/>
  <c r="J781" i="13"/>
  <c r="J782" i="13"/>
  <c r="J783" i="13"/>
  <c r="J784" i="13"/>
  <c r="J785" i="13"/>
  <c r="J786" i="13"/>
  <c r="J787" i="13"/>
  <c r="J788" i="13"/>
  <c r="J789" i="13"/>
  <c r="J790" i="13"/>
  <c r="J791" i="13"/>
  <c r="J792" i="13"/>
  <c r="J793" i="13"/>
  <c r="J794" i="13"/>
  <c r="J795" i="13"/>
  <c r="J796" i="13"/>
  <c r="J797" i="13"/>
  <c r="J798" i="13"/>
  <c r="J799" i="13"/>
  <c r="J800" i="13"/>
  <c r="J801" i="13"/>
  <c r="J802" i="13"/>
  <c r="J803" i="13"/>
  <c r="J804" i="13"/>
  <c r="J805" i="13"/>
  <c r="J806" i="13"/>
  <c r="J807" i="13"/>
  <c r="J808" i="13"/>
  <c r="J809" i="13"/>
  <c r="J810" i="13"/>
  <c r="J811" i="13"/>
  <c r="J812" i="13"/>
  <c r="J813" i="13"/>
  <c r="J814" i="13"/>
  <c r="J815" i="13"/>
  <c r="J816" i="13"/>
  <c r="J817" i="13"/>
  <c r="J818" i="13"/>
  <c r="J819" i="13"/>
  <c r="J820" i="13"/>
  <c r="J821" i="13"/>
  <c r="J822" i="13"/>
  <c r="J823" i="13"/>
  <c r="J824" i="13"/>
  <c r="J825" i="13"/>
  <c r="J826" i="13"/>
  <c r="J827" i="13"/>
  <c r="J828" i="13"/>
  <c r="J829" i="13"/>
  <c r="J830" i="13"/>
  <c r="J831" i="13"/>
  <c r="J832" i="13"/>
  <c r="J833" i="13"/>
  <c r="J834" i="13"/>
  <c r="J835" i="13"/>
  <c r="J836" i="13"/>
  <c r="J837" i="13"/>
  <c r="J838" i="13"/>
  <c r="J839" i="13"/>
  <c r="J840" i="13"/>
  <c r="J841" i="13"/>
  <c r="J842" i="13"/>
  <c r="J843" i="13"/>
  <c r="J844" i="13"/>
  <c r="J845" i="13"/>
  <c r="J846" i="13"/>
  <c r="J847" i="13"/>
  <c r="J848" i="13"/>
  <c r="J849" i="13"/>
  <c r="J850" i="13"/>
  <c r="J851" i="13"/>
  <c r="J852" i="13"/>
  <c r="J853" i="13"/>
  <c r="J854" i="13"/>
  <c r="J855" i="13"/>
  <c r="J856" i="13"/>
  <c r="J857" i="13"/>
  <c r="J858" i="13"/>
  <c r="J859" i="13"/>
  <c r="J860" i="13"/>
  <c r="J861" i="13"/>
  <c r="J862" i="13"/>
  <c r="J863" i="13"/>
  <c r="J864" i="13"/>
  <c r="J865" i="13"/>
  <c r="J866" i="13"/>
  <c r="J867" i="13"/>
  <c r="J868" i="13"/>
  <c r="J869" i="13"/>
  <c r="J870" i="13"/>
  <c r="J871" i="13"/>
  <c r="J872" i="13"/>
  <c r="J873" i="13"/>
  <c r="J874" i="13"/>
  <c r="J875" i="13"/>
  <c r="J876" i="13"/>
  <c r="J877" i="13"/>
  <c r="J878" i="13"/>
  <c r="J879" i="13"/>
  <c r="J880" i="13"/>
  <c r="J881" i="13"/>
  <c r="J882" i="13"/>
  <c r="J883" i="13"/>
  <c r="J884" i="13"/>
  <c r="J885" i="13"/>
  <c r="J886" i="13"/>
  <c r="J887" i="13"/>
  <c r="J888" i="13"/>
  <c r="J889" i="13"/>
  <c r="J890" i="13"/>
  <c r="J891" i="13"/>
  <c r="J892" i="13"/>
  <c r="J893" i="13"/>
  <c r="J894" i="13"/>
  <c r="J895" i="13"/>
  <c r="J896" i="13"/>
  <c r="J897" i="13"/>
  <c r="J898" i="13"/>
  <c r="J899" i="13"/>
  <c r="J900" i="13"/>
  <c r="J901" i="13"/>
  <c r="J902" i="13"/>
  <c r="J903" i="13"/>
  <c r="J904" i="13"/>
  <c r="J905" i="13"/>
  <c r="J906" i="13"/>
  <c r="J907" i="13"/>
  <c r="J908" i="13"/>
  <c r="J909" i="13"/>
  <c r="AB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A2" i="4"/>
  <c r="R848" i="13" s="1"/>
  <c r="AA3" i="4"/>
  <c r="AA4" i="4"/>
  <c r="R654" i="13" s="1"/>
  <c r="AA5" i="4"/>
  <c r="R750" i="13" s="1"/>
  <c r="AA6" i="4"/>
  <c r="AA7" i="4"/>
  <c r="R828" i="13" s="1"/>
  <c r="AA8" i="4"/>
  <c r="AA9" i="4"/>
  <c r="AA10" i="4"/>
  <c r="AA11" i="4"/>
  <c r="R365" i="13" s="1"/>
  <c r="AA12" i="4"/>
  <c r="AA13" i="4"/>
  <c r="R586" i="13" s="1"/>
  <c r="AA14" i="4"/>
  <c r="AA15" i="4"/>
  <c r="AA16" i="4"/>
  <c r="AA17" i="4"/>
  <c r="AA18" i="4"/>
  <c r="R569" i="13" s="1"/>
  <c r="AA19" i="4"/>
  <c r="R225" i="13" s="1"/>
  <c r="AA20" i="4"/>
  <c r="AA21" i="4"/>
  <c r="AA22" i="4"/>
  <c r="AA23" i="4"/>
  <c r="AA24" i="4"/>
  <c r="AA25" i="4"/>
  <c r="R738" i="13" s="1"/>
  <c r="AA26" i="4"/>
  <c r="R857" i="13" s="1"/>
  <c r="AA27" i="4"/>
  <c r="R603" i="13" s="1"/>
  <c r="AA28" i="4"/>
  <c r="AA29" i="4"/>
  <c r="AA30" i="4"/>
  <c r="AA31" i="4"/>
  <c r="AA32" i="4"/>
  <c r="AA33" i="4"/>
  <c r="AA34" i="4"/>
  <c r="R281" i="13" s="1"/>
  <c r="AA35" i="4"/>
  <c r="AA36" i="4"/>
  <c r="AA37" i="4"/>
  <c r="R448" i="13" s="1"/>
  <c r="AA38" i="4"/>
  <c r="R190" i="13" s="1"/>
  <c r="AA39" i="4"/>
  <c r="R267" i="13" s="1"/>
  <c r="AA40" i="4"/>
  <c r="R80" i="13" s="1"/>
  <c r="AA41" i="4"/>
  <c r="R613" i="13" s="1"/>
  <c r="AA42" i="4"/>
  <c r="R243" i="13" s="1"/>
  <c r="AA43" i="4"/>
  <c r="R538" i="13" s="1"/>
  <c r="AA44" i="4"/>
  <c r="R751" i="13" s="1"/>
  <c r="AA45" i="4"/>
  <c r="R42" i="13" s="1"/>
  <c r="AA46" i="4"/>
  <c r="R707" i="13" s="1"/>
  <c r="AA47" i="4"/>
  <c r="AA48" i="4"/>
  <c r="AA49" i="4"/>
  <c r="R196" i="13" s="1"/>
  <c r="AA50" i="4"/>
  <c r="R304" i="13" s="1"/>
  <c r="AA51" i="4"/>
  <c r="AA52" i="4"/>
  <c r="R886" i="13" s="1"/>
  <c r="AA53" i="4"/>
  <c r="R789" i="13" s="1"/>
  <c r="AA54" i="4"/>
  <c r="AA55" i="4"/>
  <c r="AA56" i="4"/>
  <c r="R71" i="13" s="1"/>
  <c r="AA57" i="4"/>
  <c r="AA58" i="4"/>
  <c r="R40" i="13" s="1"/>
  <c r="AA59" i="4"/>
  <c r="R90" i="13" s="1"/>
  <c r="AA60" i="4"/>
  <c r="R160" i="13" s="1"/>
  <c r="AA61" i="4"/>
  <c r="AA62" i="4"/>
  <c r="AA63" i="4"/>
  <c r="AA64" i="4"/>
  <c r="R612" i="13" s="1"/>
  <c r="AA65" i="4"/>
  <c r="AA66" i="4"/>
  <c r="R81" i="13" s="1"/>
  <c r="AA67" i="4"/>
  <c r="R142" i="13" s="1"/>
  <c r="AA68" i="4"/>
  <c r="R449" i="13" s="1"/>
  <c r="AA69" i="4"/>
  <c r="AA70" i="4"/>
  <c r="AA71" i="4"/>
  <c r="R647" i="13" s="1"/>
  <c r="AA72" i="4"/>
  <c r="R601" i="13" s="1"/>
  <c r="AA73" i="4"/>
  <c r="R800" i="13" s="1"/>
  <c r="AA74" i="4"/>
  <c r="AA75" i="4"/>
  <c r="AA76" i="4"/>
  <c r="R871" i="13" s="1"/>
  <c r="AA77" i="4"/>
  <c r="R891" i="13" s="1"/>
  <c r="AA78" i="4"/>
  <c r="AA79" i="4"/>
  <c r="AA80" i="4"/>
  <c r="AA81" i="4"/>
  <c r="R669" i="13" s="1"/>
  <c r="AA82" i="4"/>
  <c r="R251" i="13" s="1"/>
  <c r="AA83" i="4"/>
  <c r="AA84" i="4"/>
  <c r="R801" i="13" s="1"/>
  <c r="AA85" i="4"/>
  <c r="R723" i="13" s="1"/>
  <c r="AA86" i="4"/>
  <c r="AA87" i="4"/>
  <c r="R637" i="13" s="1"/>
  <c r="AA88" i="4"/>
  <c r="R837" i="13" s="1"/>
  <c r="AA89" i="4"/>
  <c r="R232" i="13" s="1"/>
  <c r="AA90" i="4"/>
  <c r="R203" i="13" s="1"/>
  <c r="AA91" i="4"/>
  <c r="R687" i="13" s="1"/>
  <c r="AA92" i="4"/>
  <c r="R831" i="13" s="1"/>
  <c r="AA93" i="4"/>
  <c r="AA94" i="4"/>
  <c r="R867" i="13" s="1"/>
  <c r="AA95" i="4"/>
  <c r="R45" i="13" s="1"/>
  <c r="AA96" i="4"/>
  <c r="AA97" i="4"/>
  <c r="R22" i="13" s="1"/>
  <c r="AA98" i="4"/>
  <c r="R799" i="13" s="1"/>
  <c r="AA99" i="4"/>
  <c r="R93" i="13" s="1"/>
  <c r="AA100" i="4"/>
  <c r="R808" i="13" s="1"/>
  <c r="AA101" i="4"/>
  <c r="AA102" i="4"/>
  <c r="AA103" i="4"/>
  <c r="R622" i="13" s="1"/>
  <c r="AA104" i="4"/>
  <c r="AA105" i="4"/>
  <c r="R589" i="13" s="1"/>
  <c r="AA106" i="4"/>
  <c r="R783" i="13" s="1"/>
  <c r="AA107" i="4"/>
  <c r="R147" i="13" s="1"/>
  <c r="AA108" i="4"/>
  <c r="R48" i="13" s="1"/>
  <c r="AA109" i="4"/>
  <c r="R364" i="13" s="1"/>
  <c r="AA110" i="4"/>
  <c r="AA111" i="4"/>
  <c r="AA112" i="4"/>
  <c r="AA113" i="4"/>
  <c r="AA114" i="4"/>
  <c r="AA115" i="4"/>
  <c r="R399" i="13" s="1"/>
  <c r="AA116" i="4"/>
  <c r="AA117" i="4"/>
  <c r="AA118" i="4"/>
  <c r="R441" i="13" s="1"/>
  <c r="AA119" i="4"/>
  <c r="AA120" i="4"/>
  <c r="AA121" i="4"/>
  <c r="AA122" i="4"/>
  <c r="R608" i="13" s="1"/>
  <c r="AA123" i="4"/>
  <c r="AA124" i="4"/>
  <c r="AA125" i="4"/>
  <c r="AA126" i="4"/>
  <c r="R26" i="13" s="1"/>
  <c r="AA127" i="4"/>
  <c r="AA128" i="4"/>
  <c r="R309" i="13" s="1"/>
  <c r="AA129" i="4"/>
  <c r="AA130" i="4"/>
  <c r="R733" i="13" s="1"/>
  <c r="AA131" i="4"/>
  <c r="AA132" i="4"/>
  <c r="AA133" i="4"/>
  <c r="R171" i="13" s="1"/>
  <c r="AA134" i="4"/>
  <c r="AA135" i="4"/>
  <c r="R754" i="13" s="1"/>
  <c r="AA136" i="4"/>
  <c r="AA137" i="4"/>
  <c r="R252" i="13" s="1"/>
  <c r="AA138" i="4"/>
  <c r="R302" i="13" s="1"/>
  <c r="AA139" i="4"/>
  <c r="AA140" i="4"/>
  <c r="R610" i="13" s="1"/>
  <c r="AA141" i="4"/>
  <c r="AA142" i="4"/>
  <c r="AA143" i="4"/>
  <c r="R476" i="13" s="1"/>
  <c r="AA144" i="4"/>
  <c r="R134" i="13" s="1"/>
  <c r="AA145" i="4"/>
  <c r="R552" i="13" s="1"/>
  <c r="AA146" i="4"/>
  <c r="AA147" i="4"/>
  <c r="AA148" i="4"/>
  <c r="R92" i="13" s="1"/>
  <c r="AA149" i="4"/>
  <c r="AA150" i="4"/>
  <c r="R208" i="13" s="1"/>
  <c r="AA151" i="4"/>
  <c r="AA152" i="4"/>
  <c r="R900" i="13" s="1"/>
  <c r="AA153" i="4"/>
  <c r="AA154" i="4"/>
  <c r="R795" i="13" s="1"/>
  <c r="AA155" i="4"/>
  <c r="AA156" i="4"/>
  <c r="R576" i="13" s="1"/>
  <c r="AA157" i="4"/>
  <c r="AA158" i="4"/>
  <c r="R341" i="13" s="1"/>
  <c r="AA159" i="4"/>
  <c r="AA160" i="4"/>
  <c r="R504" i="13" s="1"/>
  <c r="AA161" i="4"/>
  <c r="R472" i="13" s="1"/>
  <c r="AA162" i="4"/>
  <c r="R780" i="13" s="1"/>
  <c r="AA163" i="4"/>
  <c r="AA164" i="4"/>
  <c r="AA165" i="4"/>
  <c r="AA166" i="4"/>
  <c r="R8" i="13" s="1"/>
  <c r="AA167" i="4"/>
  <c r="R305" i="13" s="1"/>
  <c r="AA168" i="4"/>
  <c r="R773" i="13" s="1"/>
  <c r="AA169" i="4"/>
  <c r="R324" i="13" s="1"/>
  <c r="AA170" i="4"/>
  <c r="AA171" i="4"/>
  <c r="R525" i="13" s="1"/>
  <c r="AA172" i="4"/>
  <c r="AA173" i="4"/>
  <c r="R592" i="13" s="1"/>
  <c r="AA174" i="4"/>
  <c r="AA175" i="4"/>
  <c r="R139" i="13" s="1"/>
  <c r="AA176" i="4"/>
  <c r="R393" i="13" s="1"/>
  <c r="AA177" i="4"/>
  <c r="AA178" i="4"/>
  <c r="R460" i="13" s="1"/>
  <c r="AA179" i="4"/>
  <c r="R765" i="13" s="1"/>
  <c r="AA180" i="4"/>
  <c r="AA181" i="4"/>
  <c r="R432" i="13" s="1"/>
  <c r="AA182" i="4"/>
  <c r="R797" i="13" s="1"/>
  <c r="AA183" i="4"/>
  <c r="AA184" i="4"/>
  <c r="AA185" i="4"/>
  <c r="R192" i="13" s="1"/>
  <c r="AA186" i="4"/>
  <c r="R157" i="13" s="1"/>
  <c r="AA187" i="4"/>
  <c r="R313" i="13" s="1"/>
  <c r="AA188" i="4"/>
  <c r="R686" i="13" s="1"/>
  <c r="AA189" i="4"/>
  <c r="R405" i="13" s="1"/>
  <c r="AA190" i="4"/>
  <c r="R564" i="13" s="1"/>
  <c r="AA191" i="4"/>
  <c r="R431" i="13" s="1"/>
  <c r="AA192" i="4"/>
  <c r="R821" i="13" s="1"/>
  <c r="AA193" i="4"/>
  <c r="R852" i="13" s="1"/>
  <c r="AA194" i="4"/>
  <c r="AA195" i="4"/>
  <c r="AA196" i="4"/>
  <c r="AA197" i="4"/>
  <c r="AA198" i="4"/>
  <c r="R311" i="13" s="1"/>
  <c r="AA199" i="4"/>
  <c r="AA200" i="4"/>
  <c r="R301" i="13" s="1"/>
  <c r="AA201" i="4"/>
  <c r="AA202" i="4"/>
  <c r="R895" i="13" s="1"/>
  <c r="AA203" i="4"/>
  <c r="AA204" i="4"/>
  <c r="AA205" i="4"/>
  <c r="AA206" i="4"/>
  <c r="AA207" i="4"/>
  <c r="AA208" i="4"/>
  <c r="R306" i="13" s="1"/>
  <c r="AA209" i="4"/>
  <c r="R557" i="13" s="1"/>
  <c r="AA210" i="4"/>
  <c r="AA211" i="4"/>
  <c r="R417" i="13" s="1"/>
  <c r="AA212" i="4"/>
  <c r="AA213" i="4"/>
  <c r="R898" i="13" s="1"/>
  <c r="AA214" i="4"/>
  <c r="AA215" i="4"/>
  <c r="R711" i="13" s="1"/>
  <c r="AA216" i="4"/>
  <c r="R767" i="13" s="1"/>
  <c r="AA217" i="4"/>
  <c r="R495" i="13" s="1"/>
  <c r="AA218" i="4"/>
  <c r="R443" i="13" s="1"/>
  <c r="AA219" i="4"/>
  <c r="R246" i="13" s="1"/>
  <c r="AA220" i="4"/>
  <c r="AA221" i="4"/>
  <c r="R363" i="13" s="1"/>
  <c r="AA222" i="4"/>
  <c r="R537" i="13" s="1"/>
  <c r="AA223" i="4"/>
  <c r="R183" i="13" s="1"/>
  <c r="AA224" i="4"/>
  <c r="R53" i="13" s="1"/>
  <c r="AA225" i="4"/>
  <c r="AA226" i="4"/>
  <c r="AA227" i="4"/>
  <c r="AA228" i="4"/>
  <c r="AA229" i="4"/>
  <c r="R368" i="13" s="1"/>
  <c r="AA230" i="4"/>
  <c r="AA231" i="4"/>
  <c r="AA232" i="4"/>
  <c r="AA233" i="4"/>
  <c r="R483" i="13" s="1"/>
  <c r="AA234" i="4"/>
  <c r="AA235" i="4"/>
  <c r="AA236" i="4"/>
  <c r="R141" i="13" s="1"/>
  <c r="AA237" i="4"/>
  <c r="AA238" i="4"/>
  <c r="AA239" i="4"/>
  <c r="AA240" i="4"/>
  <c r="R352" i="13" s="1"/>
  <c r="AA241" i="4"/>
  <c r="R29" i="13" s="1"/>
  <c r="AA242" i="4"/>
  <c r="AA243" i="4"/>
  <c r="R188" i="13" s="1"/>
  <c r="AA244" i="4"/>
  <c r="R381" i="13" s="1"/>
  <c r="AA245" i="4"/>
  <c r="R517" i="13" s="1"/>
  <c r="AA246" i="4"/>
  <c r="AA247" i="4"/>
  <c r="AA248" i="4"/>
  <c r="AA249" i="4"/>
  <c r="R286" i="13" s="1"/>
  <c r="AA250" i="4"/>
  <c r="AA251" i="4"/>
  <c r="R459" i="13" s="1"/>
  <c r="AA252" i="4"/>
  <c r="AA253" i="4"/>
  <c r="AA254" i="4"/>
  <c r="R3" i="13" s="1"/>
  <c r="AA255" i="4"/>
  <c r="AA256" i="4"/>
  <c r="R470" i="13" s="1"/>
  <c r="AA257" i="4"/>
  <c r="R739" i="13" s="1"/>
  <c r="AA258" i="4"/>
  <c r="AA259" i="4"/>
  <c r="AA260" i="4"/>
  <c r="AA261" i="4"/>
  <c r="R735" i="13" s="1"/>
  <c r="AA262" i="4"/>
  <c r="AA263" i="4"/>
  <c r="R86" i="13" s="1"/>
  <c r="AA264" i="4"/>
  <c r="AA265" i="4"/>
  <c r="AA266" i="4"/>
  <c r="R307" i="13" s="1"/>
  <c r="AA267" i="4"/>
  <c r="R234" i="13" s="1"/>
  <c r="AA268" i="4"/>
  <c r="AA269" i="4"/>
  <c r="R740" i="13" s="1"/>
  <c r="AA270" i="4"/>
  <c r="R633" i="13" s="1"/>
  <c r="AA271" i="4"/>
  <c r="AA272" i="4"/>
  <c r="R370" i="13" s="1"/>
  <c r="AA273" i="4"/>
  <c r="AA274" i="4"/>
  <c r="R793" i="13" s="1"/>
  <c r="AA275" i="4"/>
  <c r="R325" i="13" s="1"/>
  <c r="AA276" i="4"/>
  <c r="R644" i="13" s="1"/>
  <c r="AA277" i="4"/>
  <c r="R216" i="13" s="1"/>
  <c r="AA278" i="4"/>
  <c r="R627" i="13" s="1"/>
  <c r="AA279" i="4"/>
  <c r="AA280" i="4"/>
  <c r="R743" i="13" s="1"/>
  <c r="AA281" i="4"/>
  <c r="AA282" i="4"/>
  <c r="AA283" i="4"/>
  <c r="R122" i="13" s="1"/>
  <c r="AA284" i="4"/>
  <c r="R786" i="13" s="1"/>
  <c r="AA285" i="4"/>
  <c r="R823" i="13" s="1"/>
  <c r="AA286" i="4"/>
  <c r="R819" i="13" s="1"/>
  <c r="AA287" i="4"/>
  <c r="R505" i="13" s="1"/>
  <c r="AA288" i="4"/>
  <c r="AA289" i="4"/>
  <c r="R509" i="13" s="1"/>
  <c r="AA290" i="4"/>
  <c r="R350" i="13" s="1"/>
  <c r="AA291" i="4"/>
  <c r="AA292" i="4"/>
  <c r="R205" i="13" s="1"/>
  <c r="AA293" i="4"/>
  <c r="AA294" i="4"/>
  <c r="R152" i="13" s="1"/>
  <c r="AA295" i="4"/>
  <c r="AA296" i="4"/>
  <c r="AA297" i="4"/>
  <c r="AA298" i="4"/>
  <c r="R222" i="13" s="1"/>
  <c r="AA299" i="4"/>
  <c r="R136" i="13" s="1"/>
  <c r="AA300" i="4"/>
  <c r="R778" i="13" s="1"/>
  <c r="AA301" i="4"/>
  <c r="R388" i="13" s="1"/>
  <c r="AA302" i="4"/>
  <c r="AA303" i="4"/>
  <c r="R56" i="13" s="1"/>
  <c r="AA304" i="4"/>
  <c r="R223" i="13" s="1"/>
  <c r="AA305" i="4"/>
  <c r="R545" i="13" s="1"/>
  <c r="AA306" i="4"/>
  <c r="R12" i="13" s="1"/>
  <c r="AA307" i="4"/>
  <c r="R471" i="13" s="1"/>
  <c r="AA308" i="4"/>
  <c r="AA309" i="4"/>
  <c r="R255" i="13" s="1"/>
  <c r="AA310" i="4"/>
  <c r="R242" i="13" s="1"/>
  <c r="AA311" i="4"/>
  <c r="R38" i="13" s="1"/>
  <c r="AA312" i="4"/>
  <c r="R779" i="13" s="1"/>
  <c r="AA313" i="4"/>
  <c r="R809" i="13" s="1"/>
  <c r="AA314" i="4"/>
  <c r="R785" i="13" s="1"/>
  <c r="AA315" i="4"/>
  <c r="AA316" i="4"/>
  <c r="AA317" i="4"/>
  <c r="R600" i="13" s="1"/>
  <c r="AA318" i="4"/>
  <c r="AA319" i="4"/>
  <c r="R704" i="13" s="1"/>
  <c r="AA320" i="4"/>
  <c r="R656" i="13" s="1"/>
  <c r="AA321" i="4"/>
  <c r="R215" i="13" s="1"/>
  <c r="AA322" i="4"/>
  <c r="R237" i="13" s="1"/>
  <c r="AA323" i="4"/>
  <c r="AA324" i="4"/>
  <c r="R248" i="13" s="1"/>
  <c r="AA325" i="4"/>
  <c r="AA326" i="4"/>
  <c r="R161" i="13" s="1"/>
  <c r="AA327" i="4"/>
  <c r="AA328" i="4"/>
  <c r="R319" i="13" s="1"/>
  <c r="AA329" i="4"/>
  <c r="AA330" i="4"/>
  <c r="AA331" i="4"/>
  <c r="R30" i="13" s="1"/>
  <c r="AA332" i="4"/>
  <c r="R37" i="13" s="1"/>
  <c r="AA333" i="4"/>
  <c r="R110" i="13" s="1"/>
  <c r="AA334" i="4"/>
  <c r="AA335" i="4"/>
  <c r="AA336" i="4"/>
  <c r="AA337" i="4"/>
  <c r="AA338" i="4"/>
  <c r="AA339" i="4"/>
  <c r="R530" i="13" s="1"/>
  <c r="AA340" i="4"/>
  <c r="AA341" i="4"/>
  <c r="AA342" i="4"/>
  <c r="R507" i="13" s="1"/>
  <c r="AA343" i="4"/>
  <c r="AA344" i="4"/>
  <c r="AA345" i="4"/>
  <c r="AA346" i="4"/>
  <c r="AA347" i="4"/>
  <c r="AA348" i="4"/>
  <c r="R642" i="13" s="1"/>
  <c r="AA349" i="4"/>
  <c r="R670" i="13" s="1"/>
  <c r="AA350" i="4"/>
  <c r="AA351" i="4"/>
  <c r="R65" i="13" s="1"/>
  <c r="AA352" i="4"/>
  <c r="R533" i="13" s="1"/>
  <c r="AA353" i="4"/>
  <c r="AA354" i="4"/>
  <c r="R9" i="13" s="1"/>
  <c r="AA355" i="4"/>
  <c r="R854" i="13" s="1"/>
  <c r="AA356" i="4"/>
  <c r="R389" i="13" s="1"/>
  <c r="AA357" i="4"/>
  <c r="AA358" i="4"/>
  <c r="R731" i="13" s="1"/>
  <c r="AA359" i="4"/>
  <c r="AA360" i="4"/>
  <c r="R280" i="13" s="1"/>
  <c r="AA361" i="4"/>
  <c r="AA362" i="4"/>
  <c r="R411" i="13" s="1"/>
  <c r="AA363" i="4"/>
  <c r="AA364" i="4"/>
  <c r="AA365" i="4"/>
  <c r="AA366" i="4"/>
  <c r="R536" i="13" s="1"/>
  <c r="AA367" i="4"/>
  <c r="AA368" i="4"/>
  <c r="R881" i="13" s="1"/>
  <c r="AA369" i="4"/>
  <c r="R605" i="13" s="1"/>
  <c r="AA370" i="4"/>
  <c r="R277" i="13" s="1"/>
  <c r="AA371" i="4"/>
  <c r="R574" i="13" s="1"/>
  <c r="AA372" i="4"/>
  <c r="R124" i="13" s="1"/>
  <c r="AA373" i="4"/>
  <c r="AA374" i="4"/>
  <c r="R528" i="13" s="1"/>
  <c r="AA375" i="4"/>
  <c r="AA376" i="4"/>
  <c r="AA377" i="4"/>
  <c r="R695" i="13" s="1"/>
  <c r="AA378" i="4"/>
  <c r="AA379" i="4"/>
  <c r="R698" i="13" s="1"/>
  <c r="AA380" i="4"/>
  <c r="AA381" i="4"/>
  <c r="AA382" i="4"/>
  <c r="AA383" i="4"/>
  <c r="AA384" i="4"/>
  <c r="R701" i="13" s="1"/>
  <c r="AA385" i="4"/>
  <c r="R756" i="13" s="1"/>
  <c r="AA386" i="4"/>
  <c r="R374" i="13" s="1"/>
  <c r="AA387" i="4"/>
  <c r="AA388" i="4"/>
  <c r="R761" i="13" s="1"/>
  <c r="AA389" i="4"/>
  <c r="R385" i="13" s="1"/>
  <c r="AA390" i="4"/>
  <c r="R178" i="13" s="1"/>
  <c r="AA391" i="4"/>
  <c r="AA392" i="4"/>
  <c r="R775" i="13" s="1"/>
  <c r="AA393" i="4"/>
  <c r="AA394" i="4"/>
  <c r="AA395" i="4"/>
  <c r="R450" i="13" s="1"/>
  <c r="AA396" i="4"/>
  <c r="AA397" i="4"/>
  <c r="AA398" i="4"/>
  <c r="R266" i="13" s="1"/>
  <c r="AA399" i="4"/>
  <c r="R31" i="13" s="1"/>
  <c r="AA400" i="4"/>
  <c r="R820" i="13" s="1"/>
  <c r="AA401" i="4"/>
  <c r="R534" i="13" s="1"/>
  <c r="AA402" i="4"/>
  <c r="AA403" i="4"/>
  <c r="AA404" i="4"/>
  <c r="R482" i="13" s="1"/>
  <c r="AA405" i="4"/>
  <c r="R109" i="13" s="1"/>
  <c r="AA406" i="4"/>
  <c r="R480" i="13" s="1"/>
  <c r="AA407" i="4"/>
  <c r="AA408" i="4"/>
  <c r="R412" i="13" s="1"/>
  <c r="AA409" i="4"/>
  <c r="R185" i="13" s="1"/>
  <c r="AA410" i="4"/>
  <c r="AA411" i="4"/>
  <c r="R19" i="13" s="1"/>
  <c r="AA412" i="4"/>
  <c r="R395" i="13" s="1"/>
  <c r="AA413" i="4"/>
  <c r="R322" i="13" s="1"/>
  <c r="AA414" i="4"/>
  <c r="AA415" i="4"/>
  <c r="AA416" i="4"/>
  <c r="R271" i="13" s="1"/>
  <c r="AA417" i="4"/>
  <c r="AA418" i="4"/>
  <c r="R128" i="13" s="1"/>
  <c r="AA419" i="4"/>
  <c r="R299" i="13" s="1"/>
  <c r="AA420" i="4"/>
  <c r="AA421" i="4"/>
  <c r="R752" i="13" s="1"/>
  <c r="AA422" i="4"/>
  <c r="AA423" i="4"/>
  <c r="R563" i="13" s="1"/>
  <c r="AA424" i="4"/>
  <c r="AA425" i="4"/>
  <c r="R410" i="13" s="1"/>
  <c r="AA426" i="4"/>
  <c r="AA427" i="4"/>
  <c r="AA428" i="4"/>
  <c r="R453" i="13" s="1"/>
  <c r="AA429" i="4"/>
  <c r="AA430" i="4"/>
  <c r="R327" i="13" s="1"/>
  <c r="AA431" i="4"/>
  <c r="AA432" i="4"/>
  <c r="R777" i="13" s="1"/>
  <c r="AA433" i="4"/>
  <c r="AA434" i="4"/>
  <c r="AA435" i="4"/>
  <c r="R879" i="13" s="1"/>
  <c r="AA436" i="4"/>
  <c r="R348" i="13" s="1"/>
  <c r="AA437" i="4"/>
  <c r="AA438" i="4"/>
  <c r="R32" i="13" s="1"/>
  <c r="AA439" i="4"/>
  <c r="R403" i="13" s="1"/>
  <c r="AA440" i="4"/>
  <c r="R903" i="13" s="1"/>
  <c r="AA441" i="4"/>
  <c r="AA442" i="4"/>
  <c r="R596" i="13" s="1"/>
  <c r="AA443" i="4"/>
  <c r="AA444" i="4"/>
  <c r="AA445" i="4"/>
  <c r="R439" i="13" s="1"/>
  <c r="AA446" i="4"/>
  <c r="AA447" i="4"/>
  <c r="AA448" i="4"/>
  <c r="AA449" i="4"/>
  <c r="AA450" i="4"/>
  <c r="AA451" i="4"/>
  <c r="AA452" i="4"/>
  <c r="AA453" i="4"/>
  <c r="R466" i="13" s="1"/>
  <c r="AA454" i="4"/>
  <c r="AA455" i="4"/>
  <c r="AA456" i="4"/>
  <c r="AA457" i="4"/>
  <c r="AA458" i="4"/>
  <c r="R227" i="13" s="1"/>
  <c r="AA459" i="4"/>
  <c r="AA460" i="4"/>
  <c r="AA461" i="4"/>
  <c r="R570" i="13" s="1"/>
  <c r="AA462" i="4"/>
  <c r="R835" i="13" s="1"/>
  <c r="AA463" i="4"/>
  <c r="AA464" i="4"/>
  <c r="AA465" i="4"/>
  <c r="AA466" i="4"/>
  <c r="AA467" i="4"/>
  <c r="R700" i="13" s="1"/>
  <c r="AA468" i="4"/>
  <c r="AA469" i="4"/>
  <c r="R351" i="13" s="1"/>
  <c r="AA470" i="4"/>
  <c r="R105" i="13" s="1"/>
  <c r="AA471" i="4"/>
  <c r="AA472" i="4"/>
  <c r="R790" i="13" s="1"/>
  <c r="AA473" i="4"/>
  <c r="AA474" i="4"/>
  <c r="AA475" i="4"/>
  <c r="AA476" i="4"/>
  <c r="R421" i="13" s="1"/>
  <c r="AA477" i="4"/>
  <c r="AA478" i="4"/>
  <c r="R402" i="13" s="1"/>
  <c r="AA479" i="4"/>
  <c r="R514" i="13" s="1"/>
  <c r="AA480" i="4"/>
  <c r="R218" i="13" s="1"/>
  <c r="AA481" i="4"/>
  <c r="R718" i="13" s="1"/>
  <c r="AA482" i="4"/>
  <c r="R901" i="13" s="1"/>
  <c r="AA483" i="4"/>
  <c r="R310" i="13" s="1"/>
  <c r="AA484" i="4"/>
  <c r="AA485" i="4"/>
  <c r="R334" i="13" s="1"/>
  <c r="AA486" i="4"/>
  <c r="R870" i="13" s="1"/>
  <c r="AA487" i="4"/>
  <c r="AA488" i="4"/>
  <c r="R741" i="13" s="1"/>
  <c r="AA489" i="4"/>
  <c r="AA490" i="4"/>
  <c r="R442" i="13" s="1"/>
  <c r="AA491" i="4"/>
  <c r="R585" i="13" s="1"/>
  <c r="AA492" i="4"/>
  <c r="AA493" i="4"/>
  <c r="R444" i="13" s="1"/>
  <c r="AA494" i="4"/>
  <c r="R262" i="13" s="1"/>
  <c r="AA495" i="4"/>
  <c r="R219" i="13" s="1"/>
  <c r="AA496" i="4"/>
  <c r="AA497" i="4"/>
  <c r="AA498" i="4"/>
  <c r="R76" i="13" s="1"/>
  <c r="AA499" i="4"/>
  <c r="AA500" i="4"/>
  <c r="R845" i="13" s="1"/>
  <c r="AA501" i="4"/>
  <c r="AA502" i="4"/>
  <c r="R435" i="13" s="1"/>
  <c r="AA503" i="4"/>
  <c r="R896" i="13" s="1"/>
  <c r="AA504" i="4"/>
  <c r="AA505" i="4"/>
  <c r="AA506" i="4"/>
  <c r="AA507" i="4"/>
  <c r="R418" i="13" s="1"/>
  <c r="AA508" i="4"/>
  <c r="R763" i="13" s="1"/>
  <c r="AA509" i="4"/>
  <c r="R616" i="13" s="1"/>
  <c r="I2" i="6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X2" i="4"/>
  <c r="S848" i="13" s="1"/>
  <c r="X3" i="4"/>
  <c r="X5" i="4"/>
  <c r="X6" i="4"/>
  <c r="X7" i="4"/>
  <c r="S828" i="13" s="1"/>
  <c r="X8" i="4"/>
  <c r="X9" i="4"/>
  <c r="X10" i="4"/>
  <c r="X11" i="4"/>
  <c r="S365" i="13" s="1"/>
  <c r="X12" i="4"/>
  <c r="X13" i="4"/>
  <c r="X14" i="4"/>
  <c r="X15" i="4"/>
  <c r="X16" i="4"/>
  <c r="X17" i="4"/>
  <c r="X18" i="4"/>
  <c r="S569" i="13" s="1"/>
  <c r="X19" i="4"/>
  <c r="S225" i="13" s="1"/>
  <c r="X20" i="4"/>
  <c r="X21" i="4"/>
  <c r="X22" i="4"/>
  <c r="X23" i="4"/>
  <c r="X24" i="4"/>
  <c r="X25" i="4"/>
  <c r="S738" i="13" s="1"/>
  <c r="X26" i="4"/>
  <c r="S857" i="13" s="1"/>
  <c r="X27" i="4"/>
  <c r="S603" i="13" s="1"/>
  <c r="X28" i="4"/>
  <c r="X29" i="4"/>
  <c r="X30" i="4"/>
  <c r="X31" i="4"/>
  <c r="X32" i="4"/>
  <c r="X33" i="4"/>
  <c r="X34" i="4"/>
  <c r="X35" i="4"/>
  <c r="X36" i="4"/>
  <c r="X37" i="4"/>
  <c r="S448" i="13" s="1"/>
  <c r="X38" i="4"/>
  <c r="S190" i="13" s="1"/>
  <c r="X39" i="4"/>
  <c r="S267" i="13" s="1"/>
  <c r="X40" i="4"/>
  <c r="X41" i="4"/>
  <c r="S613" i="13" s="1"/>
  <c r="X42" i="4"/>
  <c r="X43" i="4"/>
  <c r="S538" i="13" s="1"/>
  <c r="X44" i="4"/>
  <c r="X45" i="4"/>
  <c r="S42" i="13" s="1"/>
  <c r="X46" i="4"/>
  <c r="S707" i="13" s="1"/>
  <c r="X47" i="4"/>
  <c r="X48" i="4"/>
  <c r="X49" i="4"/>
  <c r="S196" i="13" s="1"/>
  <c r="X50" i="4"/>
  <c r="S304" i="13" s="1"/>
  <c r="X51" i="4"/>
  <c r="X52" i="4"/>
  <c r="S886" i="13" s="1"/>
  <c r="X53" i="4"/>
  <c r="S789" i="13" s="1"/>
  <c r="X54" i="4"/>
  <c r="X55" i="4"/>
  <c r="X56" i="4"/>
  <c r="S71" i="13" s="1"/>
  <c r="X57" i="4"/>
  <c r="X58" i="4"/>
  <c r="S40" i="13" s="1"/>
  <c r="X59" i="4"/>
  <c r="X60" i="4"/>
  <c r="S160" i="13" s="1"/>
  <c r="X61" i="4"/>
  <c r="X62" i="4"/>
  <c r="X63" i="4"/>
  <c r="X64" i="4"/>
  <c r="S612" i="13" s="1"/>
  <c r="X65" i="4"/>
  <c r="X66" i="4"/>
  <c r="S81" i="13" s="1"/>
  <c r="X67" i="4"/>
  <c r="S142" i="13" s="1"/>
  <c r="X68" i="4"/>
  <c r="S449" i="13" s="1"/>
  <c r="X69" i="4"/>
  <c r="X70" i="4"/>
  <c r="X71" i="4"/>
  <c r="S647" i="13" s="1"/>
  <c r="X72" i="4"/>
  <c r="S601" i="13" s="1"/>
  <c r="X73" i="4"/>
  <c r="S800" i="13" s="1"/>
  <c r="X74" i="4"/>
  <c r="X75" i="4"/>
  <c r="X76" i="4"/>
  <c r="S871" i="13" s="1"/>
  <c r="X77" i="4"/>
  <c r="S891" i="13" s="1"/>
  <c r="X78" i="4"/>
  <c r="X79" i="4"/>
  <c r="X80" i="4"/>
  <c r="X81" i="4"/>
  <c r="S669" i="13" s="1"/>
  <c r="X82" i="4"/>
  <c r="S251" i="13" s="1"/>
  <c r="X83" i="4"/>
  <c r="X84" i="4"/>
  <c r="X85" i="4"/>
  <c r="S723" i="13" s="1"/>
  <c r="X86" i="4"/>
  <c r="X87" i="4"/>
  <c r="S637" i="13" s="1"/>
  <c r="X88" i="4"/>
  <c r="S837" i="13" s="1"/>
  <c r="X89" i="4"/>
  <c r="S232" i="13" s="1"/>
  <c r="X90" i="4"/>
  <c r="X91" i="4"/>
  <c r="X92" i="4"/>
  <c r="X93" i="4"/>
  <c r="X94" i="4"/>
  <c r="X95" i="4"/>
  <c r="X96" i="4"/>
  <c r="X97" i="4"/>
  <c r="S22" i="13" s="1"/>
  <c r="X98" i="4"/>
  <c r="X99" i="4"/>
  <c r="X100" i="4"/>
  <c r="S808" i="13" s="1"/>
  <c r="X101" i="4"/>
  <c r="X102" i="4"/>
  <c r="X103" i="4"/>
  <c r="X104" i="4"/>
  <c r="X105" i="4"/>
  <c r="X106" i="4"/>
  <c r="S783" i="13" s="1"/>
  <c r="X107" i="4"/>
  <c r="X108" i="4"/>
  <c r="X109" i="4"/>
  <c r="X110" i="4"/>
  <c r="X111" i="4"/>
  <c r="X112" i="4"/>
  <c r="X113" i="4"/>
  <c r="X114" i="4"/>
  <c r="X115" i="4"/>
  <c r="S399" i="13" s="1"/>
  <c r="X116" i="4"/>
  <c r="X117" i="4"/>
  <c r="X118" i="4"/>
  <c r="S441" i="13" s="1"/>
  <c r="X119" i="4"/>
  <c r="X120" i="4"/>
  <c r="X121" i="4"/>
  <c r="X122" i="4"/>
  <c r="X123" i="4"/>
  <c r="X124" i="4"/>
  <c r="X125" i="4"/>
  <c r="X126" i="4"/>
  <c r="S26" i="13" s="1"/>
  <c r="X127" i="4"/>
  <c r="X128" i="4"/>
  <c r="S309" i="13" s="1"/>
  <c r="X129" i="4"/>
  <c r="X130" i="4"/>
  <c r="X131" i="4"/>
  <c r="X132" i="4"/>
  <c r="X133" i="4"/>
  <c r="S171" i="13" s="1"/>
  <c r="X134" i="4"/>
  <c r="X135" i="4"/>
  <c r="S754" i="13" s="1"/>
  <c r="X136" i="4"/>
  <c r="X137" i="4"/>
  <c r="S252" i="13" s="1"/>
  <c r="X138" i="4"/>
  <c r="S302" i="13" s="1"/>
  <c r="X139" i="4"/>
  <c r="X140" i="4"/>
  <c r="X141" i="4"/>
  <c r="X142" i="4"/>
  <c r="X143" i="4"/>
  <c r="X144" i="4"/>
  <c r="X145" i="4"/>
  <c r="S552" i="13" s="1"/>
  <c r="X146" i="4"/>
  <c r="X147" i="4"/>
  <c r="X148" i="4"/>
  <c r="X149" i="4"/>
  <c r="X150" i="4"/>
  <c r="X151" i="4"/>
  <c r="X152" i="4"/>
  <c r="S900" i="13" s="1"/>
  <c r="X153" i="4"/>
  <c r="X154" i="4"/>
  <c r="S795" i="13" s="1"/>
  <c r="X155" i="4"/>
  <c r="X156" i="4"/>
  <c r="X157" i="4"/>
  <c r="X158" i="4"/>
  <c r="S341" i="13" s="1"/>
  <c r="X159" i="4"/>
  <c r="X160" i="4"/>
  <c r="X161" i="4"/>
  <c r="S472" i="13" s="1"/>
  <c r="X162" i="4"/>
  <c r="X163" i="4"/>
  <c r="X164" i="4"/>
  <c r="X165" i="4"/>
  <c r="X166" i="4"/>
  <c r="S8" i="13" s="1"/>
  <c r="X167" i="4"/>
  <c r="S305" i="13" s="1"/>
  <c r="X168" i="4"/>
  <c r="S773" i="13" s="1"/>
  <c r="X169" i="4"/>
  <c r="S324" i="13" s="1"/>
  <c r="X170" i="4"/>
  <c r="X171" i="4"/>
  <c r="S525" i="13" s="1"/>
  <c r="X172" i="4"/>
  <c r="X173" i="4"/>
  <c r="S592" i="13" s="1"/>
  <c r="X174" i="4"/>
  <c r="X175" i="4"/>
  <c r="S139" i="13" s="1"/>
  <c r="X176" i="4"/>
  <c r="S393" i="13" s="1"/>
  <c r="X177" i="4"/>
  <c r="X178" i="4"/>
  <c r="S460" i="13" s="1"/>
  <c r="X179" i="4"/>
  <c r="S765" i="13" s="1"/>
  <c r="X180" i="4"/>
  <c r="X181" i="4"/>
  <c r="X182" i="4"/>
  <c r="X183" i="4"/>
  <c r="X184" i="4"/>
  <c r="X185" i="4"/>
  <c r="S192" i="13" s="1"/>
  <c r="X186" i="4"/>
  <c r="S157" i="13" s="1"/>
  <c r="X187" i="4"/>
  <c r="X188" i="4"/>
  <c r="S686" i="13" s="1"/>
  <c r="X189" i="4"/>
  <c r="S405" i="13" s="1"/>
  <c r="X190" i="4"/>
  <c r="S564" i="13" s="1"/>
  <c r="X191" i="4"/>
  <c r="X192" i="4"/>
  <c r="S821" i="13" s="1"/>
  <c r="X193" i="4"/>
  <c r="S852" i="13" s="1"/>
  <c r="X194" i="4"/>
  <c r="X195" i="4"/>
  <c r="X196" i="4"/>
  <c r="X197" i="4"/>
  <c r="X198" i="4"/>
  <c r="S311" i="13" s="1"/>
  <c r="X199" i="4"/>
  <c r="X200" i="4"/>
  <c r="S301" i="13" s="1"/>
  <c r="X201" i="4"/>
  <c r="X202" i="4"/>
  <c r="X203" i="4"/>
  <c r="X204" i="4"/>
  <c r="X205" i="4"/>
  <c r="X206" i="4"/>
  <c r="X207" i="4"/>
  <c r="X208" i="4"/>
  <c r="S306" i="13" s="1"/>
  <c r="X209" i="4"/>
  <c r="S557" i="13" s="1"/>
  <c r="X210" i="4"/>
  <c r="X211" i="4"/>
  <c r="S417" i="13" s="1"/>
  <c r="X212" i="4"/>
  <c r="X213" i="4"/>
  <c r="S898" i="13" s="1"/>
  <c r="X214" i="4"/>
  <c r="X215" i="4"/>
  <c r="S711" i="13" s="1"/>
  <c r="X216" i="4"/>
  <c r="X217" i="4"/>
  <c r="S495" i="13" s="1"/>
  <c r="X218" i="4"/>
  <c r="S443" i="13" s="1"/>
  <c r="X219" i="4"/>
  <c r="X220" i="4"/>
  <c r="X221" i="4"/>
  <c r="S363" i="13" s="1"/>
  <c r="X222" i="4"/>
  <c r="X223" i="4"/>
  <c r="X224" i="4"/>
  <c r="S53" i="13" s="1"/>
  <c r="X225" i="4"/>
  <c r="X226" i="4"/>
  <c r="X227" i="4"/>
  <c r="X228" i="4"/>
  <c r="X229" i="4"/>
  <c r="X230" i="4"/>
  <c r="X231" i="4"/>
  <c r="X232" i="4"/>
  <c r="X233" i="4"/>
  <c r="S483" i="13" s="1"/>
  <c r="X234" i="4"/>
  <c r="X235" i="4"/>
  <c r="X236" i="4"/>
  <c r="X237" i="4"/>
  <c r="X238" i="4"/>
  <c r="X239" i="4"/>
  <c r="X240" i="4"/>
  <c r="S352" i="13" s="1"/>
  <c r="X241" i="4"/>
  <c r="X242" i="4"/>
  <c r="X243" i="4"/>
  <c r="S188" i="13" s="1"/>
  <c r="X244" i="4"/>
  <c r="X245" i="4"/>
  <c r="X246" i="4"/>
  <c r="X247" i="4"/>
  <c r="X248" i="4"/>
  <c r="X249" i="4"/>
  <c r="X250" i="4"/>
  <c r="X251" i="4"/>
  <c r="S459" i="13" s="1"/>
  <c r="X252" i="4"/>
  <c r="X253" i="4"/>
  <c r="X254" i="4"/>
  <c r="S3" i="13" s="1"/>
  <c r="X255" i="4"/>
  <c r="X256" i="4"/>
  <c r="X257" i="4"/>
  <c r="S739" i="13" s="1"/>
  <c r="X258" i="4"/>
  <c r="X259" i="4"/>
  <c r="X260" i="4"/>
  <c r="X261" i="4"/>
  <c r="S735" i="13" s="1"/>
  <c r="X262" i="4"/>
  <c r="X263" i="4"/>
  <c r="S86" i="13" s="1"/>
  <c r="X264" i="4"/>
  <c r="X265" i="4"/>
  <c r="X266" i="4"/>
  <c r="S307" i="13" s="1"/>
  <c r="X267" i="4"/>
  <c r="X268" i="4"/>
  <c r="X269" i="4"/>
  <c r="X270" i="4"/>
  <c r="X271" i="4"/>
  <c r="X272" i="4"/>
  <c r="S370" i="13" s="1"/>
  <c r="X273" i="4"/>
  <c r="X274" i="4"/>
  <c r="X275" i="4"/>
  <c r="S325" i="13" s="1"/>
  <c r="X276" i="4"/>
  <c r="X277" i="4"/>
  <c r="S216" i="13" s="1"/>
  <c r="X278" i="4"/>
  <c r="S627" i="13" s="1"/>
  <c r="X279" i="4"/>
  <c r="X280" i="4"/>
  <c r="X281" i="4"/>
  <c r="X282" i="4"/>
  <c r="X283" i="4"/>
  <c r="S122" i="13" s="1"/>
  <c r="X284" i="4"/>
  <c r="S786" i="13" s="1"/>
  <c r="X285" i="4"/>
  <c r="S823" i="13" s="1"/>
  <c r="X286" i="4"/>
  <c r="X287" i="4"/>
  <c r="S505" i="13" s="1"/>
  <c r="X288" i="4"/>
  <c r="X289" i="4"/>
  <c r="S509" i="13" s="1"/>
  <c r="X290" i="4"/>
  <c r="S350" i="13" s="1"/>
  <c r="X291" i="4"/>
  <c r="X292" i="4"/>
  <c r="X293" i="4"/>
  <c r="X294" i="4"/>
  <c r="X295" i="4"/>
  <c r="X296" i="4"/>
  <c r="X297" i="4"/>
  <c r="X298" i="4"/>
  <c r="S222" i="13" s="1"/>
  <c r="X299" i="4"/>
  <c r="S136" i="13" s="1"/>
  <c r="X300" i="4"/>
  <c r="S778" i="13" s="1"/>
  <c r="X301" i="4"/>
  <c r="S388" i="13" s="1"/>
  <c r="X302" i="4"/>
  <c r="X303" i="4"/>
  <c r="X304" i="4"/>
  <c r="S223" i="13" s="1"/>
  <c r="X305" i="4"/>
  <c r="S545" i="13" s="1"/>
  <c r="X306" i="4"/>
  <c r="S12" i="13" s="1"/>
  <c r="X307" i="4"/>
  <c r="X308" i="4"/>
  <c r="X309" i="4"/>
  <c r="X310" i="4"/>
  <c r="S242" i="13" s="1"/>
  <c r="X311" i="4"/>
  <c r="X312" i="4"/>
  <c r="X313" i="4"/>
  <c r="S809" i="13" s="1"/>
  <c r="X314" i="4"/>
  <c r="X315" i="4"/>
  <c r="X316" i="4"/>
  <c r="X317" i="4"/>
  <c r="S600" i="13" s="1"/>
  <c r="X318" i="4"/>
  <c r="X319" i="4"/>
  <c r="S704" i="13" s="1"/>
  <c r="X320" i="4"/>
  <c r="S656" i="13" s="1"/>
  <c r="X321" i="4"/>
  <c r="S215" i="13" s="1"/>
  <c r="X322" i="4"/>
  <c r="X323" i="4"/>
  <c r="X324" i="4"/>
  <c r="X325" i="4"/>
  <c r="X326" i="4"/>
  <c r="X327" i="4"/>
  <c r="X328" i="4"/>
  <c r="X329" i="4"/>
  <c r="X330" i="4"/>
  <c r="X331" i="4"/>
  <c r="X332" i="4"/>
  <c r="S37" i="13" s="1"/>
  <c r="X333" i="4"/>
  <c r="S110" i="13" s="1"/>
  <c r="X334" i="4"/>
  <c r="X335" i="4"/>
  <c r="X336" i="4"/>
  <c r="X337" i="4"/>
  <c r="X338" i="4"/>
  <c r="X339" i="4"/>
  <c r="S530" i="13" s="1"/>
  <c r="X340" i="4"/>
  <c r="X341" i="4"/>
  <c r="X342" i="4"/>
  <c r="X343" i="4"/>
  <c r="X344" i="4"/>
  <c r="X345" i="4"/>
  <c r="X346" i="4"/>
  <c r="X347" i="4"/>
  <c r="X348" i="4"/>
  <c r="S642" i="13" s="1"/>
  <c r="X349" i="4"/>
  <c r="X350" i="4"/>
  <c r="X351" i="4"/>
  <c r="X352" i="4"/>
  <c r="S533" i="13" s="1"/>
  <c r="X353" i="4"/>
  <c r="X354" i="4"/>
  <c r="X355" i="4"/>
  <c r="S854" i="13" s="1"/>
  <c r="X356" i="4"/>
  <c r="S389" i="13" s="1"/>
  <c r="X357" i="4"/>
  <c r="X358" i="4"/>
  <c r="X359" i="4"/>
  <c r="X360" i="4"/>
  <c r="X361" i="4"/>
  <c r="X362" i="4"/>
  <c r="S411" i="13" s="1"/>
  <c r="X363" i="4"/>
  <c r="X364" i="4"/>
  <c r="X365" i="4"/>
  <c r="X366" i="4"/>
  <c r="S536" i="13" s="1"/>
  <c r="X367" i="4"/>
  <c r="X368" i="4"/>
  <c r="X369" i="4"/>
  <c r="S605" i="13" s="1"/>
  <c r="X370" i="4"/>
  <c r="S277" i="13" s="1"/>
  <c r="X371" i="4"/>
  <c r="X372" i="4"/>
  <c r="S124" i="13" s="1"/>
  <c r="X373" i="4"/>
  <c r="X374" i="4"/>
  <c r="X375" i="4"/>
  <c r="X376" i="4"/>
  <c r="X377" i="4"/>
  <c r="X378" i="4"/>
  <c r="X379" i="4"/>
  <c r="S698" i="13" s="1"/>
  <c r="X380" i="4"/>
  <c r="X381" i="4"/>
  <c r="X382" i="4"/>
  <c r="X383" i="4"/>
  <c r="X384" i="4"/>
  <c r="S701" i="13" s="1"/>
  <c r="X385" i="4"/>
  <c r="X386" i="4"/>
  <c r="X387" i="4"/>
  <c r="X388" i="4"/>
  <c r="X389" i="4"/>
  <c r="X390" i="4"/>
  <c r="S178" i="13" s="1"/>
  <c r="X391" i="4"/>
  <c r="X392" i="4"/>
  <c r="X393" i="4"/>
  <c r="X394" i="4"/>
  <c r="X395" i="4"/>
  <c r="X396" i="4"/>
  <c r="X397" i="4"/>
  <c r="X398" i="4"/>
  <c r="X399" i="4"/>
  <c r="S31" i="13" s="1"/>
  <c r="X400" i="4"/>
  <c r="S820" i="13" s="1"/>
  <c r="X401" i="4"/>
  <c r="X402" i="4"/>
  <c r="X403" i="4"/>
  <c r="X404" i="4"/>
  <c r="S482" i="13" s="1"/>
  <c r="X405" i="4"/>
  <c r="S109" i="13" s="1"/>
  <c r="X406" i="4"/>
  <c r="S480" i="13" s="1"/>
  <c r="X407" i="4"/>
  <c r="X408" i="4"/>
  <c r="S412" i="13" s="1"/>
  <c r="X409" i="4"/>
  <c r="S185" i="13" s="1"/>
  <c r="X410" i="4"/>
  <c r="X411" i="4"/>
  <c r="S19" i="13" s="1"/>
  <c r="X412" i="4"/>
  <c r="S395" i="13" s="1"/>
  <c r="X413" i="4"/>
  <c r="S322" i="13" s="1"/>
  <c r="X414" i="4"/>
  <c r="X415" i="4"/>
  <c r="X416" i="4"/>
  <c r="S271" i="13" s="1"/>
  <c r="X417" i="4"/>
  <c r="X418" i="4"/>
  <c r="S128" i="13" s="1"/>
  <c r="X419" i="4"/>
  <c r="S299" i="13" s="1"/>
  <c r="X420" i="4"/>
  <c r="X421" i="4"/>
  <c r="X422" i="4"/>
  <c r="X423" i="4"/>
  <c r="X424" i="4"/>
  <c r="X425" i="4"/>
  <c r="S410" i="13" s="1"/>
  <c r="X426" i="4"/>
  <c r="X427" i="4"/>
  <c r="X428" i="4"/>
  <c r="S453" i="13" s="1"/>
  <c r="X429" i="4"/>
  <c r="X430" i="4"/>
  <c r="S327" i="13" s="1"/>
  <c r="X431" i="4"/>
  <c r="X432" i="4"/>
  <c r="X433" i="4"/>
  <c r="X434" i="4"/>
  <c r="X435" i="4"/>
  <c r="S879" i="13" s="1"/>
  <c r="X436" i="4"/>
  <c r="S348" i="13" s="1"/>
  <c r="X437" i="4"/>
  <c r="X438" i="4"/>
  <c r="S32" i="13" s="1"/>
  <c r="X439" i="4"/>
  <c r="S403" i="13" s="1"/>
  <c r="X440" i="4"/>
  <c r="X441" i="4"/>
  <c r="X442" i="4"/>
  <c r="X443" i="4"/>
  <c r="X444" i="4"/>
  <c r="X445" i="4"/>
  <c r="S439" i="13" s="1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S351" i="13" s="1"/>
  <c r="X470" i="4"/>
  <c r="S105" i="13" s="1"/>
  <c r="X471" i="4"/>
  <c r="X472" i="4"/>
  <c r="S790" i="13" s="1"/>
  <c r="X473" i="4"/>
  <c r="X474" i="4"/>
  <c r="X475" i="4"/>
  <c r="X476" i="4"/>
  <c r="S421" i="13" s="1"/>
  <c r="X477" i="4"/>
  <c r="X478" i="4"/>
  <c r="S402" i="13" s="1"/>
  <c r="X479" i="4"/>
  <c r="X480" i="4"/>
  <c r="S218" i="13" s="1"/>
  <c r="X481" i="4"/>
  <c r="S718" i="13" s="1"/>
  <c r="X482" i="4"/>
  <c r="X483" i="4"/>
  <c r="X484" i="4"/>
  <c r="X485" i="4"/>
  <c r="X486" i="4"/>
  <c r="S870" i="13" s="1"/>
  <c r="X487" i="4"/>
  <c r="X488" i="4"/>
  <c r="X489" i="4"/>
  <c r="X490" i="4"/>
  <c r="X491" i="4"/>
  <c r="S585" i="13" s="1"/>
  <c r="X492" i="4"/>
  <c r="X493" i="4"/>
  <c r="X494" i="4"/>
  <c r="S262" i="13" s="1"/>
  <c r="X495" i="4"/>
  <c r="X496" i="4"/>
  <c r="X497" i="4"/>
  <c r="X498" i="4"/>
  <c r="S76" i="13" s="1"/>
  <c r="X499" i="4"/>
  <c r="X500" i="4"/>
  <c r="X501" i="4"/>
  <c r="X502" i="4"/>
  <c r="S435" i="13" s="1"/>
  <c r="X503" i="4"/>
  <c r="S896" i="13" s="1"/>
  <c r="X504" i="4"/>
  <c r="X505" i="4"/>
  <c r="X506" i="4"/>
  <c r="X507" i="4"/>
  <c r="X508" i="4"/>
  <c r="X509" i="4"/>
  <c r="S616" i="13" s="1"/>
  <c r="G2" i="4"/>
  <c r="Y2" i="4" s="1"/>
  <c r="G3" i="4"/>
  <c r="Y3" i="4" s="1"/>
  <c r="G4" i="4"/>
  <c r="Y4" i="4" s="1"/>
  <c r="G5" i="4"/>
  <c r="Y5" i="4" s="1"/>
  <c r="G6" i="4"/>
  <c r="Y6" i="4" s="1"/>
  <c r="G7" i="4"/>
  <c r="Y7" i="4" s="1"/>
  <c r="G8" i="4"/>
  <c r="Y8" i="4" s="1"/>
  <c r="G9" i="4"/>
  <c r="Y9" i="4" s="1"/>
  <c r="G10" i="4"/>
  <c r="Y10" i="4" s="1"/>
  <c r="G11" i="4"/>
  <c r="Y11" i="4" s="1"/>
  <c r="G12" i="4"/>
  <c r="Y12" i="4" s="1"/>
  <c r="G13" i="4"/>
  <c r="Y13" i="4" s="1"/>
  <c r="G14" i="4"/>
  <c r="Y14" i="4" s="1"/>
  <c r="G15" i="4"/>
  <c r="Y15" i="4" s="1"/>
  <c r="G16" i="4"/>
  <c r="Y16" i="4" s="1"/>
  <c r="G17" i="4"/>
  <c r="Y17" i="4" s="1"/>
  <c r="G18" i="4"/>
  <c r="Y18" i="4" s="1"/>
  <c r="G19" i="4"/>
  <c r="Y19" i="4" s="1"/>
  <c r="G20" i="4"/>
  <c r="Y20" i="4" s="1"/>
  <c r="G21" i="4"/>
  <c r="Y21" i="4" s="1"/>
  <c r="G22" i="4"/>
  <c r="Y22" i="4" s="1"/>
  <c r="G23" i="4"/>
  <c r="Y23" i="4" s="1"/>
  <c r="G24" i="4"/>
  <c r="Y24" i="4" s="1"/>
  <c r="G25" i="4"/>
  <c r="Y25" i="4" s="1"/>
  <c r="G26" i="4"/>
  <c r="Y26" i="4" s="1"/>
  <c r="G27" i="4"/>
  <c r="Y27" i="4" s="1"/>
  <c r="G28" i="4"/>
  <c r="Y28" i="4" s="1"/>
  <c r="G29" i="4"/>
  <c r="Y29" i="4" s="1"/>
  <c r="G30" i="4"/>
  <c r="Y30" i="4" s="1"/>
  <c r="G31" i="4"/>
  <c r="Y31" i="4" s="1"/>
  <c r="G32" i="4"/>
  <c r="Y32" i="4" s="1"/>
  <c r="G33" i="4"/>
  <c r="Y33" i="4" s="1"/>
  <c r="G34" i="4"/>
  <c r="Y34" i="4" s="1"/>
  <c r="G35" i="4"/>
  <c r="Y35" i="4" s="1"/>
  <c r="G36" i="4"/>
  <c r="Y36" i="4" s="1"/>
  <c r="G37" i="4"/>
  <c r="Y37" i="4" s="1"/>
  <c r="G38" i="4"/>
  <c r="Y38" i="4" s="1"/>
  <c r="G39" i="4"/>
  <c r="Y39" i="4" s="1"/>
  <c r="G40" i="4"/>
  <c r="Y40" i="4" s="1"/>
  <c r="G41" i="4"/>
  <c r="Y41" i="4" s="1"/>
  <c r="G42" i="4"/>
  <c r="Y42" i="4" s="1"/>
  <c r="G43" i="4"/>
  <c r="Y43" i="4" s="1"/>
  <c r="G44" i="4"/>
  <c r="Y44" i="4" s="1"/>
  <c r="G45" i="4"/>
  <c r="Y45" i="4" s="1"/>
  <c r="G46" i="4"/>
  <c r="Y46" i="4" s="1"/>
  <c r="G47" i="4"/>
  <c r="Y47" i="4" s="1"/>
  <c r="G48" i="4"/>
  <c r="Y48" i="4" s="1"/>
  <c r="G49" i="4"/>
  <c r="Y49" i="4" s="1"/>
  <c r="G50" i="4"/>
  <c r="Y50" i="4" s="1"/>
  <c r="G51" i="4"/>
  <c r="Y51" i="4" s="1"/>
  <c r="G52" i="4"/>
  <c r="Y52" i="4" s="1"/>
  <c r="G53" i="4"/>
  <c r="Y53" i="4" s="1"/>
  <c r="G54" i="4"/>
  <c r="Y54" i="4" s="1"/>
  <c r="G55" i="4"/>
  <c r="Y55" i="4" s="1"/>
  <c r="G56" i="4"/>
  <c r="Y56" i="4" s="1"/>
  <c r="G57" i="4"/>
  <c r="Y57" i="4" s="1"/>
  <c r="G58" i="4"/>
  <c r="Y58" i="4" s="1"/>
  <c r="G59" i="4"/>
  <c r="Y59" i="4" s="1"/>
  <c r="G60" i="4"/>
  <c r="Y60" i="4" s="1"/>
  <c r="G61" i="4"/>
  <c r="Y61" i="4" s="1"/>
  <c r="G62" i="4"/>
  <c r="Y62" i="4" s="1"/>
  <c r="G63" i="4"/>
  <c r="Y63" i="4" s="1"/>
  <c r="G64" i="4"/>
  <c r="Y64" i="4" s="1"/>
  <c r="G65" i="4"/>
  <c r="Y65" i="4" s="1"/>
  <c r="G66" i="4"/>
  <c r="Y66" i="4" s="1"/>
  <c r="G67" i="4"/>
  <c r="Y67" i="4" s="1"/>
  <c r="G68" i="4"/>
  <c r="Y68" i="4" s="1"/>
  <c r="G69" i="4"/>
  <c r="Y69" i="4" s="1"/>
  <c r="G70" i="4"/>
  <c r="Y70" i="4" s="1"/>
  <c r="G71" i="4"/>
  <c r="Y71" i="4" s="1"/>
  <c r="G72" i="4"/>
  <c r="Y72" i="4" s="1"/>
  <c r="G73" i="4"/>
  <c r="Y73" i="4" s="1"/>
  <c r="G74" i="4"/>
  <c r="Y74" i="4" s="1"/>
  <c r="G75" i="4"/>
  <c r="Y75" i="4" s="1"/>
  <c r="G76" i="4"/>
  <c r="Y76" i="4" s="1"/>
  <c r="G77" i="4"/>
  <c r="Y77" i="4" s="1"/>
  <c r="G78" i="4"/>
  <c r="Y78" i="4" s="1"/>
  <c r="G79" i="4"/>
  <c r="Y79" i="4" s="1"/>
  <c r="G80" i="4"/>
  <c r="Y80" i="4" s="1"/>
  <c r="G81" i="4"/>
  <c r="Y81" i="4" s="1"/>
  <c r="G82" i="4"/>
  <c r="Y82" i="4" s="1"/>
  <c r="G83" i="4"/>
  <c r="Y83" i="4" s="1"/>
  <c r="G84" i="4"/>
  <c r="Y84" i="4" s="1"/>
  <c r="G85" i="4"/>
  <c r="Y85" i="4" s="1"/>
  <c r="G86" i="4"/>
  <c r="Y86" i="4" s="1"/>
  <c r="G87" i="4"/>
  <c r="Y87" i="4" s="1"/>
  <c r="G88" i="4"/>
  <c r="Y88" i="4" s="1"/>
  <c r="G89" i="4"/>
  <c r="Y89" i="4" s="1"/>
  <c r="G90" i="4"/>
  <c r="Y90" i="4" s="1"/>
  <c r="G91" i="4"/>
  <c r="Y91" i="4" s="1"/>
  <c r="G92" i="4"/>
  <c r="Y92" i="4" s="1"/>
  <c r="G93" i="4"/>
  <c r="Y93" i="4" s="1"/>
  <c r="G94" i="4"/>
  <c r="Y94" i="4" s="1"/>
  <c r="G95" i="4"/>
  <c r="Y95" i="4" s="1"/>
  <c r="G96" i="4"/>
  <c r="Y96" i="4" s="1"/>
  <c r="G97" i="4"/>
  <c r="Y97" i="4" s="1"/>
  <c r="G98" i="4"/>
  <c r="Y98" i="4" s="1"/>
  <c r="G99" i="4"/>
  <c r="Y99" i="4" s="1"/>
  <c r="G100" i="4"/>
  <c r="Y100" i="4" s="1"/>
  <c r="G101" i="4"/>
  <c r="Y101" i="4" s="1"/>
  <c r="G102" i="4"/>
  <c r="Y102" i="4" s="1"/>
  <c r="G103" i="4"/>
  <c r="Y103" i="4" s="1"/>
  <c r="G104" i="4"/>
  <c r="Y104" i="4" s="1"/>
  <c r="G105" i="4"/>
  <c r="Y105" i="4" s="1"/>
  <c r="G106" i="4"/>
  <c r="Y106" i="4" s="1"/>
  <c r="G107" i="4"/>
  <c r="Y107" i="4" s="1"/>
  <c r="G108" i="4"/>
  <c r="Y108" i="4" s="1"/>
  <c r="G109" i="4"/>
  <c r="Y109" i="4" s="1"/>
  <c r="G110" i="4"/>
  <c r="Y110" i="4" s="1"/>
  <c r="G111" i="4"/>
  <c r="Y111" i="4" s="1"/>
  <c r="G112" i="4"/>
  <c r="Y112" i="4" s="1"/>
  <c r="G113" i="4"/>
  <c r="Y113" i="4" s="1"/>
  <c r="G114" i="4"/>
  <c r="Y114" i="4" s="1"/>
  <c r="G115" i="4"/>
  <c r="Y115" i="4" s="1"/>
  <c r="G116" i="4"/>
  <c r="Y116" i="4" s="1"/>
  <c r="G117" i="4"/>
  <c r="Y117" i="4" s="1"/>
  <c r="G118" i="4"/>
  <c r="Y118" i="4" s="1"/>
  <c r="G119" i="4"/>
  <c r="Y119" i="4" s="1"/>
  <c r="G120" i="4"/>
  <c r="Y120" i="4" s="1"/>
  <c r="G121" i="4"/>
  <c r="Y121" i="4" s="1"/>
  <c r="G122" i="4"/>
  <c r="Y122" i="4" s="1"/>
  <c r="G123" i="4"/>
  <c r="Y123" i="4" s="1"/>
  <c r="G124" i="4"/>
  <c r="Y124" i="4" s="1"/>
  <c r="G125" i="4"/>
  <c r="Y125" i="4" s="1"/>
  <c r="G126" i="4"/>
  <c r="Y126" i="4" s="1"/>
  <c r="G127" i="4"/>
  <c r="Y127" i="4" s="1"/>
  <c r="G128" i="4"/>
  <c r="Y128" i="4" s="1"/>
  <c r="G129" i="4"/>
  <c r="Y129" i="4" s="1"/>
  <c r="G130" i="4"/>
  <c r="Y130" i="4" s="1"/>
  <c r="G131" i="4"/>
  <c r="Y131" i="4" s="1"/>
  <c r="G132" i="4"/>
  <c r="Y132" i="4" s="1"/>
  <c r="G133" i="4"/>
  <c r="Y133" i="4" s="1"/>
  <c r="G134" i="4"/>
  <c r="Y134" i="4" s="1"/>
  <c r="G135" i="4"/>
  <c r="Y135" i="4" s="1"/>
  <c r="G136" i="4"/>
  <c r="Y136" i="4" s="1"/>
  <c r="G137" i="4"/>
  <c r="Y137" i="4" s="1"/>
  <c r="G138" i="4"/>
  <c r="Y138" i="4" s="1"/>
  <c r="G139" i="4"/>
  <c r="Y139" i="4" s="1"/>
  <c r="G140" i="4"/>
  <c r="Y140" i="4" s="1"/>
  <c r="G141" i="4"/>
  <c r="Y141" i="4" s="1"/>
  <c r="G142" i="4"/>
  <c r="Y142" i="4" s="1"/>
  <c r="G143" i="4"/>
  <c r="Y143" i="4" s="1"/>
  <c r="G144" i="4"/>
  <c r="Y144" i="4" s="1"/>
  <c r="G145" i="4"/>
  <c r="Y145" i="4" s="1"/>
  <c r="G146" i="4"/>
  <c r="Y146" i="4" s="1"/>
  <c r="G147" i="4"/>
  <c r="Y147" i="4" s="1"/>
  <c r="G148" i="4"/>
  <c r="Y148" i="4" s="1"/>
  <c r="G149" i="4"/>
  <c r="Y149" i="4" s="1"/>
  <c r="G150" i="4"/>
  <c r="Y150" i="4" s="1"/>
  <c r="G151" i="4"/>
  <c r="Y151" i="4" s="1"/>
  <c r="G152" i="4"/>
  <c r="Y152" i="4" s="1"/>
  <c r="G153" i="4"/>
  <c r="Y153" i="4" s="1"/>
  <c r="G154" i="4"/>
  <c r="Y154" i="4" s="1"/>
  <c r="G155" i="4"/>
  <c r="Y155" i="4" s="1"/>
  <c r="G156" i="4"/>
  <c r="Y156" i="4" s="1"/>
  <c r="G157" i="4"/>
  <c r="Y157" i="4" s="1"/>
  <c r="G158" i="4"/>
  <c r="Y158" i="4" s="1"/>
  <c r="G159" i="4"/>
  <c r="Y159" i="4" s="1"/>
  <c r="G160" i="4"/>
  <c r="Y160" i="4" s="1"/>
  <c r="G161" i="4"/>
  <c r="Y161" i="4" s="1"/>
  <c r="G162" i="4"/>
  <c r="Y162" i="4" s="1"/>
  <c r="G163" i="4"/>
  <c r="Y163" i="4" s="1"/>
  <c r="G164" i="4"/>
  <c r="Y164" i="4" s="1"/>
  <c r="G165" i="4"/>
  <c r="Y165" i="4" s="1"/>
  <c r="G166" i="4"/>
  <c r="Y166" i="4" s="1"/>
  <c r="G167" i="4"/>
  <c r="Y167" i="4" s="1"/>
  <c r="G168" i="4"/>
  <c r="Y168" i="4" s="1"/>
  <c r="G169" i="4"/>
  <c r="Y169" i="4" s="1"/>
  <c r="G170" i="4"/>
  <c r="Y170" i="4" s="1"/>
  <c r="G171" i="4"/>
  <c r="Y171" i="4" s="1"/>
  <c r="G172" i="4"/>
  <c r="Y172" i="4" s="1"/>
  <c r="G173" i="4"/>
  <c r="Y173" i="4" s="1"/>
  <c r="G174" i="4"/>
  <c r="Y174" i="4" s="1"/>
  <c r="G175" i="4"/>
  <c r="Y175" i="4" s="1"/>
  <c r="G176" i="4"/>
  <c r="Y176" i="4" s="1"/>
  <c r="G177" i="4"/>
  <c r="Y177" i="4" s="1"/>
  <c r="G178" i="4"/>
  <c r="Y178" i="4" s="1"/>
  <c r="G179" i="4"/>
  <c r="Y179" i="4" s="1"/>
  <c r="G180" i="4"/>
  <c r="Y180" i="4" s="1"/>
  <c r="G181" i="4"/>
  <c r="Y181" i="4" s="1"/>
  <c r="G182" i="4"/>
  <c r="Y182" i="4" s="1"/>
  <c r="G183" i="4"/>
  <c r="Y183" i="4" s="1"/>
  <c r="G184" i="4"/>
  <c r="Y184" i="4" s="1"/>
  <c r="G185" i="4"/>
  <c r="Y185" i="4" s="1"/>
  <c r="G186" i="4"/>
  <c r="Y186" i="4" s="1"/>
  <c r="G187" i="4"/>
  <c r="Y187" i="4" s="1"/>
  <c r="G188" i="4"/>
  <c r="Y188" i="4" s="1"/>
  <c r="G189" i="4"/>
  <c r="Y189" i="4" s="1"/>
  <c r="G190" i="4"/>
  <c r="Y190" i="4" s="1"/>
  <c r="G191" i="4"/>
  <c r="Y191" i="4" s="1"/>
  <c r="G192" i="4"/>
  <c r="Y192" i="4" s="1"/>
  <c r="G193" i="4"/>
  <c r="Y193" i="4" s="1"/>
  <c r="G194" i="4"/>
  <c r="Y194" i="4" s="1"/>
  <c r="G195" i="4"/>
  <c r="Y195" i="4" s="1"/>
  <c r="G196" i="4"/>
  <c r="Y196" i="4" s="1"/>
  <c r="G197" i="4"/>
  <c r="Y197" i="4" s="1"/>
  <c r="G198" i="4"/>
  <c r="Y198" i="4" s="1"/>
  <c r="G199" i="4"/>
  <c r="Y199" i="4" s="1"/>
  <c r="G200" i="4"/>
  <c r="Y200" i="4" s="1"/>
  <c r="G201" i="4"/>
  <c r="Y201" i="4" s="1"/>
  <c r="G202" i="4"/>
  <c r="Y202" i="4" s="1"/>
  <c r="G203" i="4"/>
  <c r="Y203" i="4" s="1"/>
  <c r="G204" i="4"/>
  <c r="Y204" i="4" s="1"/>
  <c r="G205" i="4"/>
  <c r="Y205" i="4" s="1"/>
  <c r="G206" i="4"/>
  <c r="Y206" i="4" s="1"/>
  <c r="G207" i="4"/>
  <c r="Y207" i="4" s="1"/>
  <c r="G208" i="4"/>
  <c r="Y208" i="4" s="1"/>
  <c r="G209" i="4"/>
  <c r="Y209" i="4" s="1"/>
  <c r="G210" i="4"/>
  <c r="Y210" i="4" s="1"/>
  <c r="G211" i="4"/>
  <c r="Y211" i="4" s="1"/>
  <c r="G212" i="4"/>
  <c r="Y212" i="4" s="1"/>
  <c r="G213" i="4"/>
  <c r="Y213" i="4" s="1"/>
  <c r="G214" i="4"/>
  <c r="Y214" i="4" s="1"/>
  <c r="G215" i="4"/>
  <c r="Y215" i="4" s="1"/>
  <c r="G216" i="4"/>
  <c r="Y216" i="4" s="1"/>
  <c r="G217" i="4"/>
  <c r="Y217" i="4" s="1"/>
  <c r="G218" i="4"/>
  <c r="Y218" i="4" s="1"/>
  <c r="G219" i="4"/>
  <c r="Y219" i="4" s="1"/>
  <c r="G220" i="4"/>
  <c r="Y220" i="4" s="1"/>
  <c r="G221" i="4"/>
  <c r="Y221" i="4" s="1"/>
  <c r="G222" i="4"/>
  <c r="Y222" i="4" s="1"/>
  <c r="G223" i="4"/>
  <c r="Y223" i="4" s="1"/>
  <c r="G224" i="4"/>
  <c r="Y224" i="4" s="1"/>
  <c r="G225" i="4"/>
  <c r="Y225" i="4" s="1"/>
  <c r="G226" i="4"/>
  <c r="Y226" i="4" s="1"/>
  <c r="G227" i="4"/>
  <c r="Y227" i="4" s="1"/>
  <c r="G228" i="4"/>
  <c r="Y228" i="4" s="1"/>
  <c r="G229" i="4"/>
  <c r="Y229" i="4" s="1"/>
  <c r="G230" i="4"/>
  <c r="Y230" i="4" s="1"/>
  <c r="G231" i="4"/>
  <c r="Y231" i="4" s="1"/>
  <c r="G232" i="4"/>
  <c r="Y232" i="4" s="1"/>
  <c r="G233" i="4"/>
  <c r="Y233" i="4" s="1"/>
  <c r="G234" i="4"/>
  <c r="Y234" i="4" s="1"/>
  <c r="G235" i="4"/>
  <c r="Y235" i="4" s="1"/>
  <c r="G236" i="4"/>
  <c r="Y236" i="4" s="1"/>
  <c r="G237" i="4"/>
  <c r="Y237" i="4" s="1"/>
  <c r="G238" i="4"/>
  <c r="Y238" i="4" s="1"/>
  <c r="G239" i="4"/>
  <c r="Y239" i="4" s="1"/>
  <c r="G240" i="4"/>
  <c r="Y240" i="4" s="1"/>
  <c r="G241" i="4"/>
  <c r="Y241" i="4" s="1"/>
  <c r="G242" i="4"/>
  <c r="Y242" i="4" s="1"/>
  <c r="G243" i="4"/>
  <c r="Y243" i="4" s="1"/>
  <c r="G244" i="4"/>
  <c r="Y244" i="4" s="1"/>
  <c r="G245" i="4"/>
  <c r="Y245" i="4" s="1"/>
  <c r="G246" i="4"/>
  <c r="Y246" i="4" s="1"/>
  <c r="G247" i="4"/>
  <c r="Y247" i="4" s="1"/>
  <c r="G248" i="4"/>
  <c r="Y248" i="4" s="1"/>
  <c r="G249" i="4"/>
  <c r="Y249" i="4" s="1"/>
  <c r="G250" i="4"/>
  <c r="Y250" i="4" s="1"/>
  <c r="G251" i="4"/>
  <c r="Y251" i="4" s="1"/>
  <c r="G252" i="4"/>
  <c r="Y252" i="4" s="1"/>
  <c r="G253" i="4"/>
  <c r="Y253" i="4" s="1"/>
  <c r="G254" i="4"/>
  <c r="Y254" i="4" s="1"/>
  <c r="G255" i="4"/>
  <c r="Y255" i="4" s="1"/>
  <c r="G256" i="4"/>
  <c r="Y256" i="4" s="1"/>
  <c r="G257" i="4"/>
  <c r="Y257" i="4" s="1"/>
  <c r="G258" i="4"/>
  <c r="Y258" i="4" s="1"/>
  <c r="G259" i="4"/>
  <c r="Y259" i="4" s="1"/>
  <c r="G260" i="4"/>
  <c r="Y260" i="4" s="1"/>
  <c r="G261" i="4"/>
  <c r="Y261" i="4" s="1"/>
  <c r="G262" i="4"/>
  <c r="Y262" i="4" s="1"/>
  <c r="G263" i="4"/>
  <c r="Y263" i="4" s="1"/>
  <c r="G264" i="4"/>
  <c r="Y264" i="4" s="1"/>
  <c r="G265" i="4"/>
  <c r="Y265" i="4" s="1"/>
  <c r="G266" i="4"/>
  <c r="Y266" i="4" s="1"/>
  <c r="G267" i="4"/>
  <c r="Y267" i="4" s="1"/>
  <c r="G268" i="4"/>
  <c r="Y268" i="4" s="1"/>
  <c r="G269" i="4"/>
  <c r="Y269" i="4" s="1"/>
  <c r="G270" i="4"/>
  <c r="Y270" i="4" s="1"/>
  <c r="G271" i="4"/>
  <c r="Y271" i="4" s="1"/>
  <c r="G272" i="4"/>
  <c r="Y272" i="4" s="1"/>
  <c r="G273" i="4"/>
  <c r="Y273" i="4" s="1"/>
  <c r="G274" i="4"/>
  <c r="Y274" i="4" s="1"/>
  <c r="G275" i="4"/>
  <c r="Y275" i="4" s="1"/>
  <c r="G276" i="4"/>
  <c r="Y276" i="4" s="1"/>
  <c r="G277" i="4"/>
  <c r="Y277" i="4" s="1"/>
  <c r="G278" i="4"/>
  <c r="Y278" i="4" s="1"/>
  <c r="G279" i="4"/>
  <c r="Y279" i="4" s="1"/>
  <c r="G280" i="4"/>
  <c r="Y280" i="4" s="1"/>
  <c r="G281" i="4"/>
  <c r="Y281" i="4" s="1"/>
  <c r="G282" i="4"/>
  <c r="Y282" i="4" s="1"/>
  <c r="G283" i="4"/>
  <c r="Y283" i="4" s="1"/>
  <c r="G284" i="4"/>
  <c r="Y284" i="4" s="1"/>
  <c r="G285" i="4"/>
  <c r="Y285" i="4" s="1"/>
  <c r="G286" i="4"/>
  <c r="Y286" i="4" s="1"/>
  <c r="G287" i="4"/>
  <c r="Y287" i="4" s="1"/>
  <c r="G288" i="4"/>
  <c r="Y288" i="4" s="1"/>
  <c r="G289" i="4"/>
  <c r="Y289" i="4" s="1"/>
  <c r="G290" i="4"/>
  <c r="Y290" i="4" s="1"/>
  <c r="G291" i="4"/>
  <c r="Y291" i="4" s="1"/>
  <c r="G292" i="4"/>
  <c r="Y292" i="4" s="1"/>
  <c r="G293" i="4"/>
  <c r="Y293" i="4" s="1"/>
  <c r="G294" i="4"/>
  <c r="Y294" i="4" s="1"/>
  <c r="G295" i="4"/>
  <c r="Y295" i="4" s="1"/>
  <c r="G296" i="4"/>
  <c r="Y296" i="4" s="1"/>
  <c r="G297" i="4"/>
  <c r="Y297" i="4" s="1"/>
  <c r="G298" i="4"/>
  <c r="Y298" i="4" s="1"/>
  <c r="G299" i="4"/>
  <c r="Y299" i="4" s="1"/>
  <c r="G300" i="4"/>
  <c r="Y300" i="4" s="1"/>
  <c r="G301" i="4"/>
  <c r="Y301" i="4" s="1"/>
  <c r="G302" i="4"/>
  <c r="Y302" i="4" s="1"/>
  <c r="G303" i="4"/>
  <c r="Y303" i="4" s="1"/>
  <c r="G304" i="4"/>
  <c r="Y304" i="4" s="1"/>
  <c r="G305" i="4"/>
  <c r="Y305" i="4" s="1"/>
  <c r="G306" i="4"/>
  <c r="Y306" i="4" s="1"/>
  <c r="G307" i="4"/>
  <c r="Y307" i="4" s="1"/>
  <c r="G308" i="4"/>
  <c r="Y308" i="4" s="1"/>
  <c r="G309" i="4"/>
  <c r="Y309" i="4" s="1"/>
  <c r="G310" i="4"/>
  <c r="Y310" i="4" s="1"/>
  <c r="G311" i="4"/>
  <c r="Y311" i="4" s="1"/>
  <c r="G312" i="4"/>
  <c r="Y312" i="4" s="1"/>
  <c r="G313" i="4"/>
  <c r="Y313" i="4" s="1"/>
  <c r="G314" i="4"/>
  <c r="Y314" i="4" s="1"/>
  <c r="G315" i="4"/>
  <c r="Y315" i="4" s="1"/>
  <c r="G316" i="4"/>
  <c r="Y316" i="4" s="1"/>
  <c r="G317" i="4"/>
  <c r="Y317" i="4" s="1"/>
  <c r="G318" i="4"/>
  <c r="Y318" i="4" s="1"/>
  <c r="G319" i="4"/>
  <c r="Y319" i="4" s="1"/>
  <c r="G320" i="4"/>
  <c r="Y320" i="4" s="1"/>
  <c r="G321" i="4"/>
  <c r="Y321" i="4" s="1"/>
  <c r="G322" i="4"/>
  <c r="Y322" i="4" s="1"/>
  <c r="G323" i="4"/>
  <c r="Y323" i="4" s="1"/>
  <c r="G324" i="4"/>
  <c r="Y324" i="4" s="1"/>
  <c r="G325" i="4"/>
  <c r="Y325" i="4" s="1"/>
  <c r="G326" i="4"/>
  <c r="Y326" i="4" s="1"/>
  <c r="G327" i="4"/>
  <c r="Y327" i="4" s="1"/>
  <c r="G328" i="4"/>
  <c r="Y328" i="4" s="1"/>
  <c r="G329" i="4"/>
  <c r="Y329" i="4" s="1"/>
  <c r="G330" i="4"/>
  <c r="Y330" i="4" s="1"/>
  <c r="G331" i="4"/>
  <c r="Y331" i="4" s="1"/>
  <c r="G332" i="4"/>
  <c r="Y332" i="4" s="1"/>
  <c r="G333" i="4"/>
  <c r="Y333" i="4" s="1"/>
  <c r="G334" i="4"/>
  <c r="Y334" i="4" s="1"/>
  <c r="G335" i="4"/>
  <c r="Y335" i="4" s="1"/>
  <c r="G336" i="4"/>
  <c r="Y336" i="4" s="1"/>
  <c r="G337" i="4"/>
  <c r="Y337" i="4" s="1"/>
  <c r="G338" i="4"/>
  <c r="Y338" i="4" s="1"/>
  <c r="G339" i="4"/>
  <c r="Y339" i="4" s="1"/>
  <c r="G340" i="4"/>
  <c r="Y340" i="4" s="1"/>
  <c r="G341" i="4"/>
  <c r="Y341" i="4" s="1"/>
  <c r="G342" i="4"/>
  <c r="Y342" i="4" s="1"/>
  <c r="G343" i="4"/>
  <c r="Y343" i="4" s="1"/>
  <c r="G344" i="4"/>
  <c r="Y344" i="4" s="1"/>
  <c r="G345" i="4"/>
  <c r="Y345" i="4" s="1"/>
  <c r="G346" i="4"/>
  <c r="Y346" i="4" s="1"/>
  <c r="G347" i="4"/>
  <c r="Y347" i="4" s="1"/>
  <c r="G348" i="4"/>
  <c r="Y348" i="4" s="1"/>
  <c r="G349" i="4"/>
  <c r="Y349" i="4" s="1"/>
  <c r="G350" i="4"/>
  <c r="Y350" i="4" s="1"/>
  <c r="G351" i="4"/>
  <c r="Y351" i="4" s="1"/>
  <c r="G352" i="4"/>
  <c r="Y352" i="4" s="1"/>
  <c r="G353" i="4"/>
  <c r="Y353" i="4" s="1"/>
  <c r="G354" i="4"/>
  <c r="Y354" i="4" s="1"/>
  <c r="G355" i="4"/>
  <c r="Y355" i="4" s="1"/>
  <c r="G356" i="4"/>
  <c r="Y356" i="4" s="1"/>
  <c r="G357" i="4"/>
  <c r="Y357" i="4" s="1"/>
  <c r="G358" i="4"/>
  <c r="Y358" i="4" s="1"/>
  <c r="G359" i="4"/>
  <c r="Y359" i="4" s="1"/>
  <c r="G360" i="4"/>
  <c r="Y360" i="4" s="1"/>
  <c r="G361" i="4"/>
  <c r="Y361" i="4" s="1"/>
  <c r="G362" i="4"/>
  <c r="Y362" i="4" s="1"/>
  <c r="G363" i="4"/>
  <c r="Y363" i="4" s="1"/>
  <c r="G364" i="4"/>
  <c r="Y364" i="4" s="1"/>
  <c r="G365" i="4"/>
  <c r="Y365" i="4" s="1"/>
  <c r="G366" i="4"/>
  <c r="Y366" i="4" s="1"/>
  <c r="G367" i="4"/>
  <c r="Y367" i="4" s="1"/>
  <c r="G368" i="4"/>
  <c r="Y368" i="4" s="1"/>
  <c r="G369" i="4"/>
  <c r="Y369" i="4" s="1"/>
  <c r="G370" i="4"/>
  <c r="Y370" i="4" s="1"/>
  <c r="G371" i="4"/>
  <c r="Y371" i="4" s="1"/>
  <c r="G372" i="4"/>
  <c r="Y372" i="4" s="1"/>
  <c r="G373" i="4"/>
  <c r="Y373" i="4" s="1"/>
  <c r="G374" i="4"/>
  <c r="Y374" i="4" s="1"/>
  <c r="G375" i="4"/>
  <c r="Y375" i="4" s="1"/>
  <c r="G376" i="4"/>
  <c r="Y376" i="4" s="1"/>
  <c r="G377" i="4"/>
  <c r="Y377" i="4" s="1"/>
  <c r="G378" i="4"/>
  <c r="Y378" i="4" s="1"/>
  <c r="G379" i="4"/>
  <c r="Y379" i="4" s="1"/>
  <c r="G380" i="4"/>
  <c r="Y380" i="4" s="1"/>
  <c r="G381" i="4"/>
  <c r="Y381" i="4" s="1"/>
  <c r="G382" i="4"/>
  <c r="Y382" i="4" s="1"/>
  <c r="G383" i="4"/>
  <c r="Y383" i="4" s="1"/>
  <c r="G384" i="4"/>
  <c r="Y384" i="4" s="1"/>
  <c r="G385" i="4"/>
  <c r="Y385" i="4" s="1"/>
  <c r="G386" i="4"/>
  <c r="Y386" i="4" s="1"/>
  <c r="G387" i="4"/>
  <c r="Y387" i="4" s="1"/>
  <c r="G388" i="4"/>
  <c r="Y388" i="4" s="1"/>
  <c r="G389" i="4"/>
  <c r="Y389" i="4" s="1"/>
  <c r="G390" i="4"/>
  <c r="Y390" i="4" s="1"/>
  <c r="G391" i="4"/>
  <c r="Y391" i="4" s="1"/>
  <c r="G392" i="4"/>
  <c r="Y392" i="4" s="1"/>
  <c r="G393" i="4"/>
  <c r="Y393" i="4" s="1"/>
  <c r="G394" i="4"/>
  <c r="Y394" i="4" s="1"/>
  <c r="G395" i="4"/>
  <c r="Y395" i="4" s="1"/>
  <c r="G396" i="4"/>
  <c r="Y396" i="4" s="1"/>
  <c r="G397" i="4"/>
  <c r="Y397" i="4" s="1"/>
  <c r="G398" i="4"/>
  <c r="Y398" i="4" s="1"/>
  <c r="G399" i="4"/>
  <c r="Y399" i="4" s="1"/>
  <c r="G400" i="4"/>
  <c r="Y400" i="4" s="1"/>
  <c r="G401" i="4"/>
  <c r="Y401" i="4" s="1"/>
  <c r="G402" i="4"/>
  <c r="Y402" i="4" s="1"/>
  <c r="G403" i="4"/>
  <c r="Y403" i="4" s="1"/>
  <c r="G404" i="4"/>
  <c r="Y404" i="4" s="1"/>
  <c r="G405" i="4"/>
  <c r="Y405" i="4" s="1"/>
  <c r="G406" i="4"/>
  <c r="Y406" i="4" s="1"/>
  <c r="G407" i="4"/>
  <c r="Y407" i="4" s="1"/>
  <c r="G408" i="4"/>
  <c r="Y408" i="4" s="1"/>
  <c r="G409" i="4"/>
  <c r="Y409" i="4" s="1"/>
  <c r="G410" i="4"/>
  <c r="Y410" i="4" s="1"/>
  <c r="G411" i="4"/>
  <c r="Y411" i="4" s="1"/>
  <c r="G412" i="4"/>
  <c r="Y412" i="4" s="1"/>
  <c r="G413" i="4"/>
  <c r="Y413" i="4" s="1"/>
  <c r="G414" i="4"/>
  <c r="Y414" i="4" s="1"/>
  <c r="G415" i="4"/>
  <c r="Y415" i="4" s="1"/>
  <c r="G416" i="4"/>
  <c r="Y416" i="4" s="1"/>
  <c r="G417" i="4"/>
  <c r="Y417" i="4" s="1"/>
  <c r="G418" i="4"/>
  <c r="Y418" i="4" s="1"/>
  <c r="G419" i="4"/>
  <c r="Y419" i="4" s="1"/>
  <c r="G420" i="4"/>
  <c r="Y420" i="4" s="1"/>
  <c r="G421" i="4"/>
  <c r="Y421" i="4" s="1"/>
  <c r="G422" i="4"/>
  <c r="Y422" i="4" s="1"/>
  <c r="G423" i="4"/>
  <c r="Y423" i="4" s="1"/>
  <c r="G424" i="4"/>
  <c r="Y424" i="4" s="1"/>
  <c r="G425" i="4"/>
  <c r="Y425" i="4" s="1"/>
  <c r="G426" i="4"/>
  <c r="Y426" i="4" s="1"/>
  <c r="G427" i="4"/>
  <c r="Y427" i="4" s="1"/>
  <c r="G428" i="4"/>
  <c r="Y428" i="4" s="1"/>
  <c r="G429" i="4"/>
  <c r="Y429" i="4" s="1"/>
  <c r="G430" i="4"/>
  <c r="Y430" i="4" s="1"/>
  <c r="G431" i="4"/>
  <c r="Y431" i="4" s="1"/>
  <c r="G432" i="4"/>
  <c r="Y432" i="4" s="1"/>
  <c r="G433" i="4"/>
  <c r="Y433" i="4" s="1"/>
  <c r="G434" i="4"/>
  <c r="Y434" i="4" s="1"/>
  <c r="G435" i="4"/>
  <c r="Y435" i="4" s="1"/>
  <c r="G436" i="4"/>
  <c r="Y436" i="4" s="1"/>
  <c r="G437" i="4"/>
  <c r="Y437" i="4" s="1"/>
  <c r="G438" i="4"/>
  <c r="Y438" i="4" s="1"/>
  <c r="G439" i="4"/>
  <c r="Y439" i="4" s="1"/>
  <c r="G440" i="4"/>
  <c r="Y440" i="4" s="1"/>
  <c r="G441" i="4"/>
  <c r="Y441" i="4" s="1"/>
  <c r="G442" i="4"/>
  <c r="Y442" i="4" s="1"/>
  <c r="G443" i="4"/>
  <c r="Y443" i="4" s="1"/>
  <c r="G444" i="4"/>
  <c r="Y444" i="4" s="1"/>
  <c r="G445" i="4"/>
  <c r="Y445" i="4" s="1"/>
  <c r="G446" i="4"/>
  <c r="Y446" i="4" s="1"/>
  <c r="G447" i="4"/>
  <c r="Y447" i="4" s="1"/>
  <c r="G448" i="4"/>
  <c r="Y448" i="4" s="1"/>
  <c r="G449" i="4"/>
  <c r="Y449" i="4" s="1"/>
  <c r="G450" i="4"/>
  <c r="Y450" i="4" s="1"/>
  <c r="G451" i="4"/>
  <c r="Y451" i="4" s="1"/>
  <c r="G452" i="4"/>
  <c r="Y452" i="4" s="1"/>
  <c r="G453" i="4"/>
  <c r="Y453" i="4" s="1"/>
  <c r="G454" i="4"/>
  <c r="Y454" i="4" s="1"/>
  <c r="G455" i="4"/>
  <c r="Y455" i="4" s="1"/>
  <c r="G456" i="4"/>
  <c r="Y456" i="4" s="1"/>
  <c r="G457" i="4"/>
  <c r="Y457" i="4" s="1"/>
  <c r="G458" i="4"/>
  <c r="Y458" i="4" s="1"/>
  <c r="G459" i="4"/>
  <c r="Y459" i="4" s="1"/>
  <c r="G460" i="4"/>
  <c r="Y460" i="4" s="1"/>
  <c r="G461" i="4"/>
  <c r="Y461" i="4" s="1"/>
  <c r="G462" i="4"/>
  <c r="Y462" i="4" s="1"/>
  <c r="G463" i="4"/>
  <c r="Y463" i="4" s="1"/>
  <c r="G464" i="4"/>
  <c r="Y464" i="4" s="1"/>
  <c r="G465" i="4"/>
  <c r="Y465" i="4" s="1"/>
  <c r="G466" i="4"/>
  <c r="Y466" i="4" s="1"/>
  <c r="G467" i="4"/>
  <c r="Y467" i="4" s="1"/>
  <c r="G468" i="4"/>
  <c r="Y468" i="4" s="1"/>
  <c r="G469" i="4"/>
  <c r="Y469" i="4" s="1"/>
  <c r="G470" i="4"/>
  <c r="Y470" i="4" s="1"/>
  <c r="G471" i="4"/>
  <c r="Y471" i="4" s="1"/>
  <c r="G472" i="4"/>
  <c r="Y472" i="4" s="1"/>
  <c r="G473" i="4"/>
  <c r="Y473" i="4" s="1"/>
  <c r="G474" i="4"/>
  <c r="Y474" i="4" s="1"/>
  <c r="G475" i="4"/>
  <c r="Y475" i="4" s="1"/>
  <c r="G476" i="4"/>
  <c r="Y476" i="4" s="1"/>
  <c r="G477" i="4"/>
  <c r="Y477" i="4" s="1"/>
  <c r="G478" i="4"/>
  <c r="Y478" i="4" s="1"/>
  <c r="G479" i="4"/>
  <c r="Y479" i="4" s="1"/>
  <c r="G480" i="4"/>
  <c r="Y480" i="4" s="1"/>
  <c r="G481" i="4"/>
  <c r="Y481" i="4" s="1"/>
  <c r="G482" i="4"/>
  <c r="Y482" i="4" s="1"/>
  <c r="G483" i="4"/>
  <c r="Y483" i="4" s="1"/>
  <c r="G484" i="4"/>
  <c r="Y484" i="4" s="1"/>
  <c r="G485" i="4"/>
  <c r="Y485" i="4" s="1"/>
  <c r="G486" i="4"/>
  <c r="Y486" i="4" s="1"/>
  <c r="G487" i="4"/>
  <c r="Y487" i="4" s="1"/>
  <c r="G488" i="4"/>
  <c r="Y488" i="4" s="1"/>
  <c r="G489" i="4"/>
  <c r="Y489" i="4" s="1"/>
  <c r="G490" i="4"/>
  <c r="Y490" i="4" s="1"/>
  <c r="G491" i="4"/>
  <c r="Y491" i="4" s="1"/>
  <c r="G492" i="4"/>
  <c r="Y492" i="4" s="1"/>
  <c r="G493" i="4"/>
  <c r="Y493" i="4" s="1"/>
  <c r="G494" i="4"/>
  <c r="Y494" i="4" s="1"/>
  <c r="G495" i="4"/>
  <c r="Y495" i="4" s="1"/>
  <c r="G496" i="4"/>
  <c r="Y496" i="4" s="1"/>
  <c r="G497" i="4"/>
  <c r="Y497" i="4" s="1"/>
  <c r="G498" i="4"/>
  <c r="Y498" i="4" s="1"/>
  <c r="G499" i="4"/>
  <c r="Y499" i="4" s="1"/>
  <c r="G500" i="4"/>
  <c r="Y500" i="4" s="1"/>
  <c r="G501" i="4"/>
  <c r="Y501" i="4" s="1"/>
  <c r="G502" i="4"/>
  <c r="Y502" i="4" s="1"/>
  <c r="G503" i="4"/>
  <c r="Y503" i="4" s="1"/>
  <c r="G504" i="4"/>
  <c r="Y504" i="4" s="1"/>
  <c r="G505" i="4"/>
  <c r="Y505" i="4" s="1"/>
  <c r="G506" i="4"/>
  <c r="Y506" i="4" s="1"/>
  <c r="G507" i="4"/>
  <c r="Y507" i="4" s="1"/>
  <c r="G508" i="4"/>
  <c r="Y508" i="4" s="1"/>
  <c r="G509" i="4"/>
  <c r="Y509" i="4" s="1"/>
  <c r="N654" i="13" l="1"/>
  <c r="T654" i="13" s="1"/>
  <c r="N365" i="13"/>
  <c r="T365" i="13" s="1"/>
  <c r="N569" i="13"/>
  <c r="T569" i="13" s="1"/>
  <c r="N738" i="13"/>
  <c r="T738" i="13" s="1"/>
  <c r="N857" i="13"/>
  <c r="T857" i="13" s="1"/>
  <c r="N603" i="13"/>
  <c r="T603" i="13" s="1"/>
  <c r="N281" i="13"/>
  <c r="T281" i="13" s="1"/>
  <c r="N448" i="13"/>
  <c r="T448" i="13" s="1"/>
  <c r="N190" i="13"/>
  <c r="T190" i="13" s="1"/>
  <c r="N267" i="13"/>
  <c r="T267" i="13" s="1"/>
  <c r="N80" i="13"/>
  <c r="T80" i="13" s="1"/>
  <c r="N613" i="13"/>
  <c r="T613" i="13" s="1"/>
  <c r="N243" i="13"/>
  <c r="T243" i="13" s="1"/>
  <c r="N538" i="13"/>
  <c r="T538" i="13" s="1"/>
  <c r="N707" i="13"/>
  <c r="T707" i="13" s="1"/>
  <c r="N304" i="13"/>
  <c r="T304" i="13" s="1"/>
  <c r="N886" i="13"/>
  <c r="T886" i="13" s="1"/>
  <c r="N71" i="13"/>
  <c r="T71" i="13" s="1"/>
  <c r="N160" i="13"/>
  <c r="T160" i="13" s="1"/>
  <c r="N612" i="13"/>
  <c r="T612" i="13" s="1"/>
  <c r="N81" i="13"/>
  <c r="T81" i="13" s="1"/>
  <c r="N449" i="13"/>
  <c r="T449" i="13" s="1"/>
  <c r="N601" i="13"/>
  <c r="T601" i="13" s="1"/>
  <c r="N871" i="13"/>
  <c r="T871" i="13" s="1"/>
  <c r="N251" i="13"/>
  <c r="T251" i="13" s="1"/>
  <c r="N808" i="13"/>
  <c r="T808" i="13" s="1"/>
  <c r="N454" i="13"/>
  <c r="T454" i="13" s="1"/>
  <c r="N309" i="13"/>
  <c r="T309" i="13" s="1"/>
  <c r="N302" i="13"/>
  <c r="T302" i="13" s="1"/>
  <c r="N134" i="13"/>
  <c r="T134" i="13" s="1"/>
  <c r="N900" i="13"/>
  <c r="T900" i="13" s="1"/>
  <c r="N341" i="13"/>
  <c r="T341" i="13" s="1"/>
  <c r="N8" i="13"/>
  <c r="T8" i="13" s="1"/>
  <c r="N460" i="13"/>
  <c r="T460" i="13" s="1"/>
  <c r="N432" i="13"/>
  <c r="T432" i="13" s="1"/>
  <c r="N157" i="13"/>
  <c r="T157" i="13" s="1"/>
  <c r="N686" i="13"/>
  <c r="T686" i="13" s="1"/>
  <c r="N405" i="13"/>
  <c r="T405" i="13" s="1"/>
  <c r="N564" i="13"/>
  <c r="T564" i="13" s="1"/>
  <c r="N821" i="13"/>
  <c r="T821" i="13" s="1"/>
  <c r="N311" i="13"/>
  <c r="T311" i="13" s="1"/>
  <c r="N306" i="13"/>
  <c r="T306" i="13" s="1"/>
  <c r="N443" i="13"/>
  <c r="T443" i="13" s="1"/>
  <c r="N53" i="13"/>
  <c r="T53" i="13" s="1"/>
  <c r="N483" i="13"/>
  <c r="T483" i="13" s="1"/>
  <c r="N141" i="13"/>
  <c r="T141" i="13" s="1"/>
  <c r="N381" i="13"/>
  <c r="T381" i="13" s="1"/>
  <c r="N3" i="13"/>
  <c r="T3" i="13" s="1"/>
  <c r="N470" i="13"/>
  <c r="T470" i="13" s="1"/>
  <c r="N307" i="13"/>
  <c r="T307" i="13" s="1"/>
  <c r="N627" i="13"/>
  <c r="T627" i="13" s="1"/>
  <c r="N742" i="13"/>
  <c r="T742" i="13" s="1"/>
  <c r="N505" i="13"/>
  <c r="T505" i="13" s="1"/>
  <c r="N152" i="13"/>
  <c r="T152" i="13" s="1"/>
  <c r="N56" i="13"/>
  <c r="T56" i="13" s="1"/>
  <c r="N12" i="13"/>
  <c r="T12" i="13" s="1"/>
  <c r="N471" i="13"/>
  <c r="T471" i="13" s="1"/>
  <c r="N600" i="13"/>
  <c r="T600" i="13" s="1"/>
  <c r="N215" i="13"/>
  <c r="T215" i="13" s="1"/>
  <c r="N248" i="13"/>
  <c r="T248" i="13" s="1"/>
  <c r="N782" i="13"/>
  <c r="T782" i="13" s="1"/>
  <c r="N110" i="13"/>
  <c r="T110" i="13" s="1"/>
  <c r="N892" i="13"/>
  <c r="T892" i="13" s="1"/>
  <c r="N507" i="13"/>
  <c r="T507" i="13" s="1"/>
  <c r="N642" i="13"/>
  <c r="T642" i="13" s="1"/>
  <c r="N389" i="13"/>
  <c r="T389" i="13" s="1"/>
  <c r="N411" i="13"/>
  <c r="T411" i="13" s="1"/>
  <c r="N536" i="13"/>
  <c r="T536" i="13" s="1"/>
  <c r="N277" i="13"/>
  <c r="T277" i="13" s="1"/>
  <c r="N124" i="13"/>
  <c r="T124" i="13" s="1"/>
  <c r="N528" i="13"/>
  <c r="T528" i="13" s="1"/>
  <c r="N46" i="13"/>
  <c r="T46" i="13" s="1"/>
  <c r="N878" i="13"/>
  <c r="T878" i="13" s="1"/>
  <c r="N729" i="13"/>
  <c r="T729" i="13" s="1"/>
  <c r="N374" i="13"/>
  <c r="T374" i="13" s="1"/>
  <c r="N385" i="13"/>
  <c r="T385" i="13" s="1"/>
  <c r="N178" i="13"/>
  <c r="T178" i="13" s="1"/>
  <c r="N560" i="13"/>
  <c r="T560" i="13" s="1"/>
  <c r="N266" i="13"/>
  <c r="T266" i="13" s="1"/>
  <c r="N31" i="13"/>
  <c r="T31" i="13" s="1"/>
  <c r="N109" i="13"/>
  <c r="T109" i="13" s="1"/>
  <c r="N480" i="13"/>
  <c r="T480" i="13" s="1"/>
  <c r="N412" i="13"/>
  <c r="T412" i="13" s="1"/>
  <c r="N271" i="13"/>
  <c r="T271" i="13" s="1"/>
  <c r="N128" i="13"/>
  <c r="T128" i="13" s="1"/>
  <c r="N327" i="13"/>
  <c r="T327" i="13" s="1"/>
  <c r="N348" i="13"/>
  <c r="T348" i="13" s="1"/>
  <c r="N32" i="13"/>
  <c r="T32" i="13" s="1"/>
  <c r="N596" i="13"/>
  <c r="T596" i="13" s="1"/>
  <c r="N838" i="13"/>
  <c r="T838" i="13" s="1"/>
  <c r="N822" i="13"/>
  <c r="T822" i="13" s="1"/>
  <c r="N227" i="13"/>
  <c r="T227" i="13" s="1"/>
  <c r="N570" i="13"/>
  <c r="T570" i="13" s="1"/>
  <c r="N105" i="13"/>
  <c r="T105" i="13" s="1"/>
  <c r="N790" i="13"/>
  <c r="T790" i="13" s="1"/>
  <c r="N402" i="13"/>
  <c r="T402" i="13" s="1"/>
  <c r="N870" i="13"/>
  <c r="T870" i="13" s="1"/>
  <c r="N442" i="13"/>
  <c r="T442" i="13" s="1"/>
  <c r="N262" i="13"/>
  <c r="T262" i="13" s="1"/>
  <c r="N76" i="13"/>
  <c r="T76" i="13" s="1"/>
  <c r="N435" i="13"/>
  <c r="T435" i="13" s="1"/>
  <c r="N418" i="13"/>
  <c r="T418" i="13" s="1"/>
  <c r="AC2" i="13"/>
  <c r="AC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C101" i="13"/>
  <c r="AC102" i="13"/>
  <c r="AC103" i="13"/>
  <c r="AC104" i="13"/>
  <c r="AC105" i="13"/>
  <c r="AC106" i="13"/>
  <c r="AC107" i="13"/>
  <c r="AC108" i="13"/>
  <c r="AC109" i="13"/>
  <c r="AC110" i="13"/>
  <c r="AC111" i="13"/>
  <c r="AC112" i="13"/>
  <c r="AC113" i="13"/>
  <c r="AC114" i="13"/>
  <c r="AC115" i="13"/>
  <c r="AC116" i="13"/>
  <c r="AC117" i="13"/>
  <c r="AC118" i="13"/>
  <c r="AC119" i="13"/>
  <c r="AC120" i="13"/>
  <c r="AC121" i="13"/>
  <c r="AC122" i="13"/>
  <c r="AC123" i="13"/>
  <c r="AC124" i="13"/>
  <c r="AC125" i="13"/>
  <c r="AC126" i="13"/>
  <c r="AC127" i="13"/>
  <c r="AC128" i="13"/>
  <c r="AC129" i="13"/>
  <c r="AC130" i="13"/>
  <c r="AC131" i="13"/>
  <c r="AC132" i="13"/>
  <c r="AC133" i="13"/>
  <c r="AC134" i="13"/>
  <c r="AC135" i="13"/>
  <c r="AC136" i="13"/>
  <c r="AC137" i="13"/>
  <c r="AC138" i="13"/>
  <c r="AC139" i="13"/>
  <c r="AC140" i="13"/>
  <c r="AC141" i="13"/>
  <c r="AC142" i="13"/>
  <c r="AC143" i="13"/>
  <c r="AC144" i="13"/>
  <c r="AC145" i="13"/>
  <c r="AC146" i="13"/>
  <c r="AC147" i="13"/>
  <c r="AC148" i="13"/>
  <c r="AC149" i="13"/>
  <c r="AC150" i="13"/>
  <c r="AC151" i="13"/>
  <c r="AC152" i="13"/>
  <c r="AC153" i="13"/>
  <c r="AC154" i="13"/>
  <c r="AC155" i="13"/>
  <c r="AC156" i="13"/>
  <c r="AC157" i="13"/>
  <c r="AC158" i="13"/>
  <c r="AC159" i="13"/>
  <c r="AC160" i="13"/>
  <c r="AC161" i="13"/>
  <c r="AC162" i="13"/>
  <c r="AC163" i="13"/>
  <c r="AC164" i="13"/>
  <c r="AC165" i="13"/>
  <c r="AC166" i="13"/>
  <c r="AC167" i="13"/>
  <c r="AC168" i="13"/>
  <c r="AC169" i="13"/>
  <c r="AC170" i="13"/>
  <c r="AC171" i="13"/>
  <c r="AC172" i="13"/>
  <c r="AC173" i="13"/>
  <c r="AC174" i="13"/>
  <c r="AC175" i="13"/>
  <c r="AC176" i="13"/>
  <c r="AC177" i="13"/>
  <c r="AC178" i="13"/>
  <c r="AC179" i="13"/>
  <c r="AC180" i="13"/>
  <c r="AC181" i="13"/>
  <c r="AC182" i="13"/>
  <c r="AC183" i="13"/>
  <c r="AC184" i="13"/>
  <c r="AC185" i="13"/>
  <c r="AC186" i="13"/>
  <c r="AC187" i="13"/>
  <c r="AC188" i="13"/>
  <c r="AC189" i="13"/>
  <c r="AC190" i="13"/>
  <c r="AC191" i="13"/>
  <c r="AC192" i="13"/>
  <c r="AC193" i="13"/>
  <c r="AC194" i="13"/>
  <c r="AC195" i="13"/>
  <c r="AC196" i="13"/>
  <c r="AC197" i="13"/>
  <c r="AC198" i="13"/>
  <c r="AC199" i="13"/>
  <c r="AC200" i="13"/>
  <c r="AC201" i="13"/>
  <c r="AC202" i="13"/>
  <c r="AC203" i="13"/>
  <c r="AC204" i="13"/>
  <c r="AC205" i="13"/>
  <c r="AC206" i="13"/>
  <c r="AC207" i="13"/>
  <c r="AC208" i="13"/>
  <c r="AC209" i="13"/>
  <c r="AC210" i="13"/>
  <c r="AC211" i="13"/>
  <c r="AC212" i="13"/>
  <c r="AC213" i="13"/>
  <c r="AC214" i="13"/>
  <c r="AC215" i="13"/>
  <c r="AC216" i="13"/>
  <c r="AC217" i="13"/>
  <c r="AC218" i="13"/>
  <c r="AC219" i="13"/>
  <c r="AC220" i="13"/>
  <c r="AC221" i="13"/>
  <c r="AC222" i="13"/>
  <c r="AC223" i="13"/>
  <c r="AC224" i="13"/>
  <c r="AC225" i="13"/>
  <c r="AC226" i="13"/>
  <c r="AC227" i="13"/>
  <c r="AC228" i="13"/>
  <c r="AC229" i="13"/>
  <c r="AC230" i="13"/>
  <c r="AC231" i="13"/>
  <c r="AC232" i="13"/>
  <c r="AC233" i="13"/>
  <c r="AC234" i="13"/>
  <c r="AC235" i="13"/>
  <c r="AC236" i="13"/>
  <c r="AC237" i="13"/>
  <c r="AC238" i="13"/>
  <c r="AC239" i="13"/>
  <c r="AC240" i="13"/>
  <c r="AC241" i="13"/>
  <c r="AC242" i="13"/>
  <c r="AC243" i="13"/>
  <c r="AC244" i="13"/>
  <c r="AC245" i="13"/>
  <c r="AC246" i="13"/>
  <c r="AC247" i="13"/>
  <c r="AC248" i="13"/>
  <c r="AC249" i="13"/>
  <c r="AC250" i="13"/>
  <c r="AC251" i="13"/>
  <c r="AC252" i="13"/>
  <c r="AC253" i="13"/>
  <c r="AC254" i="13"/>
  <c r="AC255" i="13"/>
  <c r="AC256" i="13"/>
  <c r="AC257" i="13"/>
  <c r="AC258" i="13"/>
  <c r="AC259" i="13"/>
  <c r="AC260" i="13"/>
  <c r="AC261" i="13"/>
  <c r="AC262" i="13"/>
  <c r="AC263" i="13"/>
  <c r="AC264" i="13"/>
  <c r="AC265" i="13"/>
  <c r="AC266" i="13"/>
  <c r="AC267" i="13"/>
  <c r="AC268" i="13"/>
  <c r="AC269" i="13"/>
  <c r="AC270" i="13"/>
  <c r="AC271" i="13"/>
  <c r="AC272" i="13"/>
  <c r="AC273" i="13"/>
  <c r="AC274" i="13"/>
  <c r="AC275" i="13"/>
  <c r="AC276" i="13"/>
  <c r="AC277" i="13"/>
  <c r="AC278" i="13"/>
  <c r="AC279" i="13"/>
  <c r="AC280" i="13"/>
  <c r="AC281" i="13"/>
  <c r="AC282" i="13"/>
  <c r="AC283" i="13"/>
  <c r="AC284" i="13"/>
  <c r="AC285" i="13"/>
  <c r="AC286" i="13"/>
  <c r="AC287" i="13"/>
  <c r="AC288" i="13"/>
  <c r="AC289" i="13"/>
  <c r="AC290" i="13"/>
  <c r="AC291" i="13"/>
  <c r="AC292" i="13"/>
  <c r="AC293" i="13"/>
  <c r="AC294" i="13"/>
  <c r="AC295" i="13"/>
  <c r="AC296" i="13"/>
  <c r="AC297" i="13"/>
  <c r="AC298" i="13"/>
  <c r="AC299" i="13"/>
  <c r="AC300" i="13"/>
  <c r="AC301" i="13"/>
  <c r="AC302" i="13"/>
  <c r="AC303" i="13"/>
  <c r="AC304" i="13"/>
  <c r="AC305" i="13"/>
  <c r="AC306" i="13"/>
  <c r="AC307" i="13"/>
  <c r="AC308" i="13"/>
  <c r="AC309" i="13"/>
  <c r="AC310" i="13"/>
  <c r="AC311" i="13"/>
  <c r="AC312" i="13"/>
  <c r="AC313" i="13"/>
  <c r="AC314" i="13"/>
  <c r="AC315" i="13"/>
  <c r="AC316" i="13"/>
  <c r="AC317" i="13"/>
  <c r="AC318" i="13"/>
  <c r="AC319" i="13"/>
  <c r="AC320" i="13"/>
  <c r="AC321" i="13"/>
  <c r="AC322" i="13"/>
  <c r="AC323" i="13"/>
  <c r="AC324" i="13"/>
  <c r="AC325" i="13"/>
  <c r="AC326" i="13"/>
  <c r="AC327" i="13"/>
  <c r="AC328" i="13"/>
  <c r="AC329" i="13"/>
  <c r="AC330" i="13"/>
  <c r="AC331" i="13"/>
  <c r="AC332" i="13"/>
  <c r="AC333" i="13"/>
  <c r="AC334" i="13"/>
  <c r="AC335" i="13"/>
  <c r="AC336" i="13"/>
  <c r="AC337" i="13"/>
  <c r="AC338" i="13"/>
  <c r="AC339" i="13"/>
  <c r="AC340" i="13"/>
  <c r="AC341" i="13"/>
  <c r="AC342" i="13"/>
  <c r="AC343" i="13"/>
  <c r="AC344" i="13"/>
  <c r="AC345" i="13"/>
  <c r="AC346" i="13"/>
  <c r="AC347" i="13"/>
  <c r="AC348" i="13"/>
  <c r="AC349" i="13"/>
  <c r="AC350" i="13"/>
  <c r="AC351" i="13"/>
  <c r="AC352" i="13"/>
  <c r="AC353" i="13"/>
  <c r="AC354" i="13"/>
  <c r="AC355" i="13"/>
  <c r="AC356" i="13"/>
  <c r="AC357" i="13"/>
  <c r="AC358" i="13"/>
  <c r="AC359" i="13"/>
  <c r="AC360" i="13"/>
  <c r="AC361" i="13"/>
  <c r="AC362" i="13"/>
  <c r="AC363" i="13"/>
  <c r="AC364" i="13"/>
  <c r="AC365" i="13"/>
  <c r="AC366" i="13"/>
  <c r="AC367" i="13"/>
  <c r="AC368" i="13"/>
  <c r="AC369" i="13"/>
  <c r="AC370" i="13"/>
  <c r="AC371" i="13"/>
  <c r="AC372" i="13"/>
  <c r="AC373" i="13"/>
  <c r="AC374" i="13"/>
  <c r="AC375" i="13"/>
  <c r="AC376" i="13"/>
  <c r="AC377" i="13"/>
  <c r="AC378" i="13"/>
  <c r="AC379" i="13"/>
  <c r="AC380" i="13"/>
  <c r="AC381" i="13"/>
  <c r="AC382" i="13"/>
  <c r="AC383" i="13"/>
  <c r="AC384" i="13"/>
  <c r="AC385" i="13"/>
  <c r="AC386" i="13"/>
  <c r="AC387" i="13"/>
  <c r="AC388" i="13"/>
  <c r="AC389" i="13"/>
  <c r="AC390" i="13"/>
  <c r="AC391" i="13"/>
  <c r="AC392" i="13"/>
  <c r="AC393" i="13"/>
  <c r="AC394" i="13"/>
  <c r="AC395" i="13"/>
  <c r="AC396" i="13"/>
  <c r="AC397" i="13"/>
  <c r="AC398" i="13"/>
  <c r="AC399" i="13"/>
  <c r="AC400" i="13"/>
  <c r="AC401" i="13"/>
  <c r="AC402" i="13"/>
  <c r="AC403" i="13"/>
  <c r="AC404" i="13"/>
  <c r="AC405" i="13"/>
  <c r="AC406" i="13"/>
  <c r="AC407" i="13"/>
  <c r="AC408" i="13"/>
  <c r="AC409" i="13"/>
  <c r="AC410" i="13"/>
  <c r="AC411" i="13"/>
  <c r="AC412" i="13"/>
  <c r="AC413" i="13"/>
  <c r="AC414" i="13"/>
  <c r="AC415" i="13"/>
  <c r="AC416" i="13"/>
  <c r="AC417" i="13"/>
  <c r="AC418" i="13"/>
  <c r="AC419" i="13"/>
  <c r="AC420" i="13"/>
  <c r="AC421" i="13"/>
  <c r="AC422" i="13"/>
  <c r="AC423" i="13"/>
  <c r="AC424" i="13"/>
  <c r="AC425" i="13"/>
  <c r="AC426" i="13"/>
  <c r="AC427" i="13"/>
  <c r="AC428" i="13"/>
  <c r="AC429" i="13"/>
  <c r="AC430" i="13"/>
  <c r="AC431" i="13"/>
  <c r="AC432" i="13"/>
  <c r="AC433" i="13"/>
  <c r="AC434" i="13"/>
  <c r="AC435" i="13"/>
  <c r="AC436" i="13"/>
  <c r="AC437" i="13"/>
  <c r="AC438" i="13"/>
  <c r="AC439" i="13"/>
  <c r="AC440" i="13"/>
  <c r="AC441" i="13"/>
  <c r="AC442" i="13"/>
  <c r="AC443" i="13"/>
  <c r="AC444" i="13"/>
  <c r="AC445" i="13"/>
  <c r="AC446" i="13"/>
  <c r="AC447" i="13"/>
  <c r="AC448" i="13"/>
  <c r="AC449" i="13"/>
  <c r="AC450" i="13"/>
  <c r="AC451" i="13"/>
  <c r="AC452" i="13"/>
  <c r="AC453" i="13"/>
  <c r="AC454" i="13"/>
  <c r="AC455" i="13"/>
  <c r="AC456" i="13"/>
  <c r="AC457" i="13"/>
  <c r="AC458" i="13"/>
  <c r="AC459" i="13"/>
  <c r="AC460" i="13"/>
  <c r="AC461" i="13"/>
  <c r="AC462" i="13"/>
  <c r="AC463" i="13"/>
  <c r="AC464" i="13"/>
  <c r="AC465" i="13"/>
  <c r="AC466" i="13"/>
  <c r="AC467" i="13"/>
  <c r="AC468" i="13"/>
  <c r="AC469" i="13"/>
  <c r="AC470" i="13"/>
  <c r="AC471" i="13"/>
  <c r="AC472" i="13"/>
  <c r="AC473" i="13"/>
  <c r="AC474" i="13"/>
  <c r="AC475" i="13"/>
  <c r="AC476" i="13"/>
  <c r="AC477" i="13"/>
  <c r="AC478" i="13"/>
  <c r="AC479" i="13"/>
  <c r="AC480" i="13"/>
  <c r="AC481" i="13"/>
  <c r="AC482" i="13"/>
  <c r="AC483" i="13"/>
  <c r="AC484" i="13"/>
  <c r="AC485" i="13"/>
  <c r="AC486" i="13"/>
  <c r="AC487" i="13"/>
  <c r="AC488" i="13"/>
  <c r="AC489" i="13"/>
  <c r="AC490" i="13"/>
  <c r="AC491" i="13"/>
  <c r="AC492" i="13"/>
  <c r="AC493" i="13"/>
  <c r="AC494" i="13"/>
  <c r="AC495" i="13"/>
  <c r="AC496" i="13"/>
  <c r="AC497" i="13"/>
  <c r="AC498" i="13"/>
  <c r="AC499" i="13"/>
  <c r="AC500" i="13"/>
  <c r="AC501" i="13"/>
  <c r="AC502" i="13"/>
  <c r="AC503" i="13"/>
  <c r="AC504" i="13"/>
  <c r="AC505" i="13"/>
  <c r="AC506" i="13"/>
  <c r="AC507" i="13"/>
  <c r="AC508" i="13"/>
  <c r="AC509" i="13"/>
  <c r="AC510" i="13"/>
  <c r="AC511" i="13"/>
  <c r="AC512" i="13"/>
  <c r="AC513" i="13"/>
  <c r="AC514" i="13"/>
  <c r="AC515" i="13"/>
  <c r="AC516" i="13"/>
  <c r="AC517" i="13"/>
  <c r="AC518" i="13"/>
  <c r="AC519" i="13"/>
  <c r="AC520" i="13"/>
  <c r="AC521" i="13"/>
  <c r="AC522" i="13"/>
  <c r="AC523" i="13"/>
  <c r="AC524" i="13"/>
  <c r="AC525" i="13"/>
  <c r="AC526" i="13"/>
  <c r="AC527" i="13"/>
  <c r="AC528" i="13"/>
  <c r="AC529" i="13"/>
  <c r="AC530" i="13"/>
  <c r="AC531" i="13"/>
  <c r="AC532" i="13"/>
  <c r="AC533" i="13"/>
  <c r="AC534" i="13"/>
  <c r="AC535" i="13"/>
  <c r="AC536" i="13"/>
  <c r="AC537" i="13"/>
  <c r="AC538" i="13"/>
  <c r="AC539" i="13"/>
  <c r="AC540" i="13"/>
  <c r="AC541" i="13"/>
  <c r="AC542" i="13"/>
  <c r="AC543" i="13"/>
  <c r="AC544" i="13"/>
  <c r="AC545" i="13"/>
  <c r="AC546" i="13"/>
  <c r="AC547" i="13"/>
  <c r="AC548" i="13"/>
  <c r="AC549" i="13"/>
  <c r="AC550" i="13"/>
  <c r="AC551" i="13"/>
  <c r="AC552" i="13"/>
  <c r="AC553" i="13"/>
  <c r="AC554" i="13"/>
  <c r="AC555" i="13"/>
  <c r="AC556" i="13"/>
  <c r="AC557" i="13"/>
  <c r="AC558" i="13"/>
  <c r="AC559" i="13"/>
  <c r="AC560" i="13"/>
  <c r="AC561" i="13"/>
  <c r="AC562" i="13"/>
  <c r="AC563" i="13"/>
  <c r="AC564" i="13"/>
  <c r="AC565" i="13"/>
  <c r="AC566" i="13"/>
  <c r="AC567" i="13"/>
  <c r="AC568" i="13"/>
  <c r="AC569" i="13"/>
  <c r="AC570" i="13"/>
  <c r="AC571" i="13"/>
  <c r="AC572" i="13"/>
  <c r="AC573" i="13"/>
  <c r="AC574" i="13"/>
  <c r="AC575" i="13"/>
  <c r="AC576" i="13"/>
  <c r="AC577" i="13"/>
  <c r="AC578" i="13"/>
  <c r="AC579" i="13"/>
  <c r="AC580" i="13"/>
  <c r="AC581" i="13"/>
  <c r="AC582" i="13"/>
  <c r="AC583" i="13"/>
  <c r="AC584" i="13"/>
  <c r="AC585" i="13"/>
  <c r="AC586" i="13"/>
  <c r="AC587" i="13"/>
  <c r="AC588" i="13"/>
  <c r="AC589" i="13"/>
  <c r="AC590" i="13"/>
  <c r="AC591" i="13"/>
  <c r="AC592" i="13"/>
  <c r="AC593" i="13"/>
  <c r="AC594" i="13"/>
  <c r="AC595" i="13"/>
  <c r="AC596" i="13"/>
  <c r="AC597" i="13"/>
  <c r="AC598" i="13"/>
  <c r="AC599" i="13"/>
  <c r="AC600" i="13"/>
  <c r="AC601" i="13"/>
  <c r="AC602" i="13"/>
  <c r="AC603" i="13"/>
  <c r="AC604" i="13"/>
  <c r="AC605" i="13"/>
  <c r="AC606" i="13"/>
  <c r="AC607" i="13"/>
  <c r="AC608" i="13"/>
  <c r="AC609" i="13"/>
  <c r="AC610" i="13"/>
  <c r="AC611" i="13"/>
  <c r="AC612" i="13"/>
  <c r="AC613" i="13"/>
  <c r="AC614" i="13"/>
  <c r="AC615" i="13"/>
  <c r="AC616" i="13"/>
  <c r="AC617" i="13"/>
  <c r="AC618" i="13"/>
  <c r="AC619" i="13"/>
  <c r="AC620" i="13"/>
  <c r="AC621" i="13"/>
  <c r="AC622" i="13"/>
  <c r="AC623" i="13"/>
  <c r="AC624" i="13"/>
  <c r="AC625" i="13"/>
  <c r="AC626" i="13"/>
  <c r="AC627" i="13"/>
  <c r="AC628" i="13"/>
  <c r="AC629" i="13"/>
  <c r="AC630" i="13"/>
  <c r="AC631" i="13"/>
  <c r="AC632" i="13"/>
  <c r="AC633" i="13"/>
  <c r="AC634" i="13"/>
  <c r="AC635" i="13"/>
  <c r="AC636" i="13"/>
  <c r="AC637" i="13"/>
  <c r="AC638" i="13"/>
  <c r="AC639" i="13"/>
  <c r="AC640" i="13"/>
  <c r="AC641" i="13"/>
  <c r="AC642" i="13"/>
  <c r="AC643" i="13"/>
  <c r="AC644" i="13"/>
  <c r="AC645" i="13"/>
  <c r="AC646" i="13"/>
  <c r="AC647" i="13"/>
  <c r="AC648" i="13"/>
  <c r="AC649" i="13"/>
  <c r="AC650" i="13"/>
  <c r="AC651" i="13"/>
  <c r="AC652" i="13"/>
  <c r="AC653" i="13"/>
  <c r="AC654" i="13"/>
  <c r="AC655" i="13"/>
  <c r="AC656" i="13"/>
  <c r="AC657" i="13"/>
  <c r="AC658" i="13"/>
  <c r="AC659" i="13"/>
  <c r="AC660" i="13"/>
  <c r="AC661" i="13"/>
  <c r="AC662" i="13"/>
  <c r="AC663" i="13"/>
  <c r="AC664" i="13"/>
  <c r="AC665" i="13"/>
  <c r="AC666" i="13"/>
  <c r="AC667" i="13"/>
  <c r="AC668" i="13"/>
  <c r="AC669" i="13"/>
  <c r="AC670" i="13"/>
  <c r="AC671" i="13"/>
  <c r="AC672" i="13"/>
  <c r="AC673" i="13"/>
  <c r="AC674" i="13"/>
  <c r="AC675" i="13"/>
  <c r="AC676" i="13"/>
  <c r="AC677" i="13"/>
  <c r="AC678" i="13"/>
  <c r="AC679" i="13"/>
  <c r="AC680" i="13"/>
  <c r="AC681" i="13"/>
  <c r="AC682" i="13"/>
  <c r="AC683" i="13"/>
  <c r="AC684" i="13"/>
  <c r="AC685" i="13"/>
  <c r="AC686" i="13"/>
  <c r="AC687" i="13"/>
  <c r="AC688" i="13"/>
  <c r="AC689" i="13"/>
  <c r="AC690" i="13"/>
  <c r="AC691" i="13"/>
  <c r="AC692" i="13"/>
  <c r="AC693" i="13"/>
  <c r="AC694" i="13"/>
  <c r="AC695" i="13"/>
  <c r="AC696" i="13"/>
  <c r="AC697" i="13"/>
  <c r="AC698" i="13"/>
  <c r="AC699" i="13"/>
  <c r="AC700" i="13"/>
  <c r="AC701" i="13"/>
  <c r="AC702" i="13"/>
  <c r="AC703" i="13"/>
  <c r="AC704" i="13"/>
  <c r="AC705" i="13"/>
  <c r="AC706" i="13"/>
  <c r="AC707" i="13"/>
  <c r="AC708" i="13"/>
  <c r="AC709" i="13"/>
  <c r="AC710" i="13"/>
  <c r="AC711" i="13"/>
  <c r="AC712" i="13"/>
  <c r="AC713" i="13"/>
  <c r="AC714" i="13"/>
  <c r="AC715" i="13"/>
  <c r="AC716" i="13"/>
  <c r="AC717" i="13"/>
  <c r="AC718" i="13"/>
  <c r="AC719" i="13"/>
  <c r="AC720" i="13"/>
  <c r="AC721" i="13"/>
  <c r="AC722" i="13"/>
  <c r="AC723" i="13"/>
  <c r="AC724" i="13"/>
  <c r="AC725" i="13"/>
  <c r="AC726" i="13"/>
  <c r="AC727" i="13"/>
  <c r="AC728" i="13"/>
  <c r="AC729" i="13"/>
  <c r="AC730" i="13"/>
  <c r="AC731" i="13"/>
  <c r="AC732" i="13"/>
  <c r="AC733" i="13"/>
  <c r="AC734" i="13"/>
  <c r="AC735" i="13"/>
  <c r="AC736" i="13"/>
  <c r="AC737" i="13"/>
  <c r="AC738" i="13"/>
  <c r="AC739" i="13"/>
  <c r="AC740" i="13"/>
  <c r="AC741" i="13"/>
  <c r="AC742" i="13"/>
  <c r="AC743" i="13"/>
  <c r="AC744" i="13"/>
  <c r="AC745" i="13"/>
  <c r="AC746" i="13"/>
  <c r="AC747" i="13"/>
  <c r="AC748" i="13"/>
  <c r="AC749" i="13"/>
  <c r="AC750" i="13"/>
  <c r="AC751" i="13"/>
  <c r="AC752" i="13"/>
  <c r="AC753" i="13"/>
  <c r="AC754" i="13"/>
  <c r="AC755" i="13"/>
  <c r="AC756" i="13"/>
  <c r="AC757" i="13"/>
  <c r="AC758" i="13"/>
  <c r="AC759" i="13"/>
  <c r="AC760" i="13"/>
  <c r="AC761" i="13"/>
  <c r="AC762" i="13"/>
  <c r="AC763" i="13"/>
  <c r="AC764" i="13"/>
  <c r="AC765" i="13"/>
  <c r="AC766" i="13"/>
  <c r="AC767" i="13"/>
  <c r="AC768" i="13"/>
  <c r="AC769" i="13"/>
  <c r="AC770" i="13"/>
  <c r="AC771" i="13"/>
  <c r="AC772" i="13"/>
  <c r="AC773" i="13"/>
  <c r="AC774" i="13"/>
  <c r="AC775" i="13"/>
  <c r="AC776" i="13"/>
  <c r="AC777" i="13"/>
  <c r="AC778" i="13"/>
  <c r="AC779" i="13"/>
  <c r="AC780" i="13"/>
  <c r="AC781" i="13"/>
  <c r="AC782" i="13"/>
  <c r="AC783" i="13"/>
  <c r="AC784" i="13"/>
  <c r="AC785" i="13"/>
  <c r="AC786" i="13"/>
  <c r="AC787" i="13"/>
  <c r="AC788" i="13"/>
  <c r="AC789" i="13"/>
  <c r="AC790" i="13"/>
  <c r="AC791" i="13"/>
  <c r="AC792" i="13"/>
  <c r="AC793" i="13"/>
  <c r="AC794" i="13"/>
  <c r="AC795" i="13"/>
  <c r="AC796" i="13"/>
  <c r="AC797" i="13"/>
  <c r="AC798" i="13"/>
  <c r="AC799" i="13"/>
  <c r="AC800" i="13"/>
  <c r="AC801" i="13"/>
  <c r="AC802" i="13"/>
  <c r="AC803" i="13"/>
  <c r="AC804" i="13"/>
  <c r="AC805" i="13"/>
  <c r="AC806" i="13"/>
  <c r="AC807" i="13"/>
  <c r="AC808" i="13"/>
  <c r="AC809" i="13"/>
  <c r="AC810" i="13"/>
  <c r="AC811" i="13"/>
  <c r="AC812" i="13"/>
  <c r="AC813" i="13"/>
  <c r="AC814" i="13"/>
  <c r="AC815" i="13"/>
  <c r="AC816" i="13"/>
  <c r="AC817" i="13"/>
  <c r="AC818" i="13"/>
  <c r="AC819" i="13"/>
  <c r="AC820" i="13"/>
  <c r="AC821" i="13"/>
  <c r="AC822" i="13"/>
  <c r="AC823" i="13"/>
  <c r="AC824" i="13"/>
  <c r="AC825" i="13"/>
  <c r="AC826" i="13"/>
  <c r="AC827" i="13"/>
  <c r="AC828" i="13"/>
  <c r="AC829" i="13"/>
  <c r="AC830" i="13"/>
  <c r="AC831" i="13"/>
  <c r="AC832" i="13"/>
  <c r="AC833" i="13"/>
  <c r="AC834" i="13"/>
  <c r="AC835" i="13"/>
  <c r="AC836" i="13"/>
  <c r="AC837" i="13"/>
  <c r="AC838" i="13"/>
  <c r="AC839" i="13"/>
  <c r="AC840" i="13"/>
  <c r="AC841" i="13"/>
  <c r="AC842" i="13"/>
  <c r="AC843" i="13"/>
  <c r="AC844" i="13"/>
  <c r="AC845" i="13"/>
  <c r="AC846" i="13"/>
  <c r="AC847" i="13"/>
  <c r="AC848" i="13"/>
  <c r="AC849" i="13"/>
  <c r="AC850" i="13"/>
  <c r="AC851" i="13"/>
  <c r="AC852" i="13"/>
  <c r="AC853" i="13"/>
  <c r="AC854" i="13"/>
  <c r="AC855" i="13"/>
  <c r="AC856" i="13"/>
  <c r="AC857" i="13"/>
  <c r="AC858" i="13"/>
  <c r="AC859" i="13"/>
  <c r="AC860" i="13"/>
  <c r="AC861" i="13"/>
  <c r="AC862" i="13"/>
  <c r="AC863" i="13"/>
  <c r="AC864" i="13"/>
  <c r="AC865" i="13"/>
  <c r="AC866" i="13"/>
  <c r="AC867" i="13"/>
  <c r="AC868" i="13"/>
  <c r="AC869" i="13"/>
  <c r="AC870" i="13"/>
  <c r="AC871" i="13"/>
  <c r="AC872" i="13"/>
  <c r="AC873" i="13"/>
  <c r="AC874" i="13"/>
  <c r="AC875" i="13"/>
  <c r="AC876" i="13"/>
  <c r="AC877" i="13"/>
  <c r="AC878" i="13"/>
  <c r="AC879" i="13"/>
  <c r="AC880" i="13"/>
  <c r="AC881" i="13"/>
  <c r="AC882" i="13"/>
  <c r="AC883" i="13"/>
  <c r="AC884" i="13"/>
  <c r="AC885" i="13"/>
  <c r="AC886" i="13"/>
  <c r="AC887" i="13"/>
  <c r="AC888" i="13"/>
  <c r="AC889" i="13"/>
  <c r="AC890" i="13"/>
  <c r="AC891" i="13"/>
  <c r="AC892" i="13"/>
  <c r="N299" i="13"/>
  <c r="T299" i="13" s="1"/>
  <c r="N836" i="13"/>
  <c r="T836" i="13" s="1"/>
  <c r="N698" i="13"/>
  <c r="T698" i="13" s="1"/>
  <c r="N136" i="13"/>
  <c r="T136" i="13" s="1"/>
  <c r="N509" i="13"/>
  <c r="T509" i="13" s="1"/>
  <c r="N852" i="13"/>
  <c r="T852" i="13" s="1"/>
  <c r="N431" i="13"/>
  <c r="T431" i="13" s="1"/>
  <c r="N313" i="13"/>
  <c r="T313" i="13" s="1"/>
  <c r="N192" i="13"/>
  <c r="T192" i="13" s="1"/>
  <c r="N592" i="13"/>
  <c r="T592" i="13" s="1"/>
  <c r="N364" i="13"/>
  <c r="T364" i="13" s="1"/>
  <c r="N30" i="13"/>
  <c r="T30" i="13" s="1"/>
  <c r="N704" i="13"/>
  <c r="T704" i="13" s="1"/>
  <c r="N388" i="13"/>
  <c r="T388" i="13" s="1"/>
  <c r="N739" i="13"/>
  <c r="T739" i="13" s="1"/>
  <c r="N620" i="13"/>
  <c r="T620" i="13" s="1"/>
  <c r="N459" i="13"/>
  <c r="T459" i="13" s="1"/>
  <c r="N898" i="13"/>
  <c r="T898" i="13" s="1"/>
  <c r="N890" i="13"/>
  <c r="T890" i="13" s="1"/>
  <c r="N171" i="13"/>
  <c r="T171" i="13" s="1"/>
  <c r="N789" i="13"/>
  <c r="T789" i="13" s="1"/>
  <c r="N461" i="13"/>
  <c r="T461" i="13" s="1"/>
  <c r="N218" i="13"/>
  <c r="T218" i="13" s="1"/>
  <c r="N421" i="13"/>
  <c r="T421" i="13" s="1"/>
  <c r="N806" i="13"/>
  <c r="T806" i="13" s="1"/>
  <c r="N453" i="13"/>
  <c r="T453" i="13" s="1"/>
  <c r="N395" i="13"/>
  <c r="T395" i="13" s="1"/>
  <c r="N482" i="13"/>
  <c r="T482" i="13" s="1"/>
  <c r="N820" i="13"/>
  <c r="T820" i="13" s="1"/>
  <c r="N701" i="13"/>
  <c r="T701" i="13" s="1"/>
  <c r="N533" i="13"/>
  <c r="T533" i="13" s="1"/>
  <c r="N37" i="13"/>
  <c r="T37" i="13" s="1"/>
  <c r="N319" i="13"/>
  <c r="T319" i="13" s="1"/>
  <c r="N161" i="13"/>
  <c r="T161" i="13" s="1"/>
  <c r="N237" i="13"/>
  <c r="T237" i="13" s="1"/>
  <c r="N656" i="13"/>
  <c r="T656" i="13" s="1"/>
  <c r="N242" i="13"/>
  <c r="T242" i="13" s="1"/>
  <c r="N223" i="13"/>
  <c r="T223" i="13" s="1"/>
  <c r="N778" i="13"/>
  <c r="T778" i="13" s="1"/>
  <c r="N222" i="13"/>
  <c r="T222" i="13" s="1"/>
  <c r="N350" i="13"/>
  <c r="T350" i="13" s="1"/>
  <c r="N786" i="13"/>
  <c r="T786" i="13" s="1"/>
  <c r="N370" i="13"/>
  <c r="T370" i="13" s="1"/>
  <c r="N352" i="13"/>
  <c r="T352" i="13" s="1"/>
  <c r="N537" i="13"/>
  <c r="T537" i="13" s="1"/>
  <c r="N301" i="13"/>
  <c r="T301" i="13" s="1"/>
  <c r="N393" i="13"/>
  <c r="T393" i="13" s="1"/>
  <c r="N773" i="13"/>
  <c r="T773" i="13" s="1"/>
  <c r="N780" i="13"/>
  <c r="T780" i="13" s="1"/>
  <c r="N576" i="13"/>
  <c r="T576" i="13" s="1"/>
  <c r="N795" i="13"/>
  <c r="T795" i="13" s="1"/>
  <c r="N92" i="13"/>
  <c r="T92" i="13" s="1"/>
  <c r="N610" i="13"/>
  <c r="T610" i="13" s="1"/>
  <c r="N26" i="13"/>
  <c r="T26" i="13" s="1"/>
  <c r="N441" i="13"/>
  <c r="T441" i="13" s="1"/>
  <c r="N783" i="13"/>
  <c r="T783" i="13" s="1"/>
  <c r="N837" i="13"/>
  <c r="T837" i="13" s="1"/>
  <c r="N616" i="13"/>
  <c r="T616" i="13" s="1"/>
  <c r="N896" i="13"/>
  <c r="T896" i="13" s="1"/>
  <c r="N219" i="13"/>
  <c r="T219" i="13" s="1"/>
  <c r="N585" i="13"/>
  <c r="T585" i="13" s="1"/>
  <c r="N718" i="13"/>
  <c r="T718" i="13" s="1"/>
  <c r="N884" i="13"/>
  <c r="T884" i="13" s="1"/>
  <c r="N700" i="13"/>
  <c r="T700" i="13" s="1"/>
  <c r="N466" i="13"/>
  <c r="T466" i="13" s="1"/>
  <c r="N850" i="13"/>
  <c r="T850" i="13" s="1"/>
  <c r="N439" i="13"/>
  <c r="T439" i="13" s="1"/>
  <c r="N403" i="13"/>
  <c r="T403" i="13" s="1"/>
  <c r="N666" i="13"/>
  <c r="T666" i="13" s="1"/>
  <c r="N410" i="13"/>
  <c r="T410" i="13" s="1"/>
  <c r="N752" i="13"/>
  <c r="T752" i="13" s="1"/>
  <c r="N185" i="13"/>
  <c r="T185" i="13" s="1"/>
  <c r="N695" i="13"/>
  <c r="T695" i="13" s="1"/>
  <c r="N854" i="13"/>
  <c r="T854" i="13" s="1"/>
  <c r="N905" i="13"/>
  <c r="T905" i="13" s="1"/>
  <c r="N848" i="13"/>
  <c r="T848" i="13" s="1"/>
  <c r="N310" i="13"/>
  <c r="T310" i="13" s="1"/>
  <c r="N351" i="13"/>
  <c r="T351" i="13" s="1"/>
  <c r="N879" i="13"/>
  <c r="T879" i="13" s="1"/>
  <c r="N563" i="13"/>
  <c r="T563" i="13" s="1"/>
  <c r="N322" i="13"/>
  <c r="T322" i="13" s="1"/>
  <c r="N19" i="13"/>
  <c r="T19" i="13" s="1"/>
  <c r="N574" i="13"/>
  <c r="T574" i="13" s="1"/>
  <c r="N605" i="13"/>
  <c r="T605" i="13" s="1"/>
  <c r="N677" i="13"/>
  <c r="T677" i="13" s="1"/>
  <c r="N530" i="13"/>
  <c r="T530" i="13" s="1"/>
  <c r="N809" i="13"/>
  <c r="T809" i="13" s="1"/>
  <c r="N255" i="13"/>
  <c r="T255" i="13" s="1"/>
  <c r="N823" i="13"/>
  <c r="T823" i="13" s="1"/>
  <c r="N122" i="13"/>
  <c r="T122" i="13" s="1"/>
  <c r="N325" i="13"/>
  <c r="T325" i="13" s="1"/>
  <c r="N749" i="13"/>
  <c r="T749" i="13" s="1"/>
  <c r="N735" i="13"/>
  <c r="T735" i="13" s="1"/>
  <c r="N517" i="13"/>
  <c r="T517" i="13" s="1"/>
  <c r="N188" i="13"/>
  <c r="T188" i="13" s="1"/>
  <c r="N246" i="13"/>
  <c r="T246" i="13" s="1"/>
  <c r="N495" i="13"/>
  <c r="T495" i="13" s="1"/>
  <c r="N557" i="13"/>
  <c r="T557" i="13" s="1"/>
  <c r="N846" i="13"/>
  <c r="T846" i="13" s="1"/>
  <c r="N765" i="13"/>
  <c r="T765" i="13" s="1"/>
  <c r="N324" i="13"/>
  <c r="T324" i="13" s="1"/>
  <c r="N305" i="13"/>
  <c r="T305" i="13" s="1"/>
  <c r="N252" i="13"/>
  <c r="T252" i="13" s="1"/>
  <c r="N399" i="13"/>
  <c r="T399" i="13" s="1"/>
  <c r="N22" i="13"/>
  <c r="T22" i="13" s="1"/>
  <c r="N723" i="13"/>
  <c r="T723" i="13" s="1"/>
  <c r="N891" i="13"/>
  <c r="T891" i="13" s="1"/>
  <c r="N800" i="13"/>
  <c r="T800" i="13" s="1"/>
  <c r="N647" i="13"/>
  <c r="T647" i="13" s="1"/>
  <c r="N142" i="13"/>
  <c r="T142" i="13" s="1"/>
  <c r="N420" i="13"/>
  <c r="T420" i="13" s="1"/>
  <c r="N828" i="13"/>
  <c r="T828" i="13" s="1"/>
  <c r="N669" i="13"/>
  <c r="T669" i="13" s="1"/>
  <c r="N545" i="13"/>
  <c r="T545" i="13" s="1"/>
  <c r="N726" i="13"/>
  <c r="T726" i="13" s="1"/>
  <c r="N286" i="13"/>
  <c r="T286" i="13" s="1"/>
  <c r="N876" i="13"/>
  <c r="T876" i="13" s="1"/>
  <c r="N225" i="13"/>
  <c r="T225" i="13" s="1"/>
  <c r="N682" i="13"/>
  <c r="T682" i="13" s="1"/>
  <c r="N216" i="13"/>
  <c r="T216" i="13" s="1"/>
  <c r="N234" i="13"/>
  <c r="T234" i="13" s="1"/>
  <c r="N86" i="13"/>
  <c r="T86" i="13" s="1"/>
  <c r="N810" i="13"/>
  <c r="T810" i="13" s="1"/>
  <c r="N29" i="13"/>
  <c r="T29" i="13" s="1"/>
  <c r="N368" i="13"/>
  <c r="T368" i="13" s="1"/>
  <c r="N183" i="13"/>
  <c r="T183" i="13" s="1"/>
  <c r="N363" i="13"/>
  <c r="T363" i="13" s="1"/>
  <c r="N711" i="13"/>
  <c r="T711" i="13" s="1"/>
  <c r="N417" i="13"/>
  <c r="T417" i="13" s="1"/>
  <c r="N556" i="13"/>
  <c r="T556" i="13" s="1"/>
  <c r="N139" i="13"/>
  <c r="T139" i="13" s="1"/>
  <c r="N525" i="13"/>
  <c r="T525" i="13" s="1"/>
  <c r="N472" i="13"/>
  <c r="T472" i="13" s="1"/>
  <c r="N880" i="13"/>
  <c r="T880" i="13" s="1"/>
  <c r="N552" i="13"/>
  <c r="T552" i="13" s="1"/>
  <c r="N476" i="13"/>
  <c r="T476" i="13" s="1"/>
  <c r="N754" i="13"/>
  <c r="T754" i="13" s="1"/>
  <c r="N10" i="13"/>
  <c r="T10" i="13" s="1"/>
  <c r="N147" i="13"/>
  <c r="T147" i="13" s="1"/>
  <c r="N781" i="13"/>
  <c r="T781" i="13" s="1"/>
  <c r="N93" i="13"/>
  <c r="T93" i="13" s="1"/>
  <c r="N232" i="13"/>
  <c r="T232" i="13" s="1"/>
  <c r="N637" i="13"/>
  <c r="T637" i="13" s="1"/>
  <c r="N746" i="13"/>
  <c r="T746" i="13" s="1"/>
  <c r="N90" i="13"/>
  <c r="T90" i="13" s="1"/>
  <c r="N196" i="13"/>
  <c r="T196" i="13" s="1"/>
  <c r="N42" i="13"/>
  <c r="T42" i="13" s="1"/>
  <c r="N586" i="13"/>
  <c r="T586" i="13" s="1"/>
  <c r="N43" i="13"/>
  <c r="T43" i="13" s="1"/>
  <c r="N829" i="13"/>
  <c r="T829" i="13" s="1"/>
  <c r="S17" i="13"/>
  <c r="S649" i="13"/>
  <c r="S763" i="13"/>
  <c r="S200" i="13"/>
  <c r="S549" i="13"/>
  <c r="S598" i="13"/>
  <c r="S699" i="13"/>
  <c r="S214" i="13"/>
  <c r="S413" i="13"/>
  <c r="S619" i="13"/>
  <c r="S845" i="13"/>
  <c r="S478" i="13"/>
  <c r="S461" i="13"/>
  <c r="S584" i="13"/>
  <c r="S844" i="13"/>
  <c r="S113" i="13"/>
  <c r="S155" i="13"/>
  <c r="S548" i="13"/>
  <c r="S442" i="13"/>
  <c r="S626" i="13"/>
  <c r="S186" i="13"/>
  <c r="S481" i="13"/>
  <c r="S360" i="13"/>
  <c r="S741" i="13"/>
  <c r="S209" i="13"/>
  <c r="S631" i="13"/>
  <c r="S555" i="13"/>
  <c r="S269" i="13"/>
  <c r="S901" i="13"/>
  <c r="S61" i="13"/>
  <c r="S414" i="13"/>
  <c r="S734" i="13"/>
  <c r="S195" i="13"/>
  <c r="S362" i="13"/>
  <c r="S835" i="13"/>
  <c r="S227" i="13"/>
  <c r="S842" i="13"/>
  <c r="S6" i="13"/>
  <c r="S58" i="13"/>
  <c r="S239" i="13"/>
  <c r="S465" i="13"/>
  <c r="S485" i="13"/>
  <c r="S547" i="13"/>
  <c r="S356" i="13"/>
  <c r="S238" i="13"/>
  <c r="S229" i="13"/>
  <c r="S332" i="13"/>
  <c r="S657" i="13"/>
  <c r="S838" i="13"/>
  <c r="S158" i="13"/>
  <c r="S499" i="13"/>
  <c r="S342" i="13"/>
  <c r="S224" i="13"/>
  <c r="S272" i="13"/>
  <c r="S596" i="13"/>
  <c r="S292" i="13"/>
  <c r="S529" i="13"/>
  <c r="S508" i="13"/>
  <c r="S903" i="13"/>
  <c r="S82" i="13"/>
  <c r="S611" i="13"/>
  <c r="S777" i="13"/>
  <c r="S806" i="13"/>
  <c r="S94" i="13"/>
  <c r="S279" i="13"/>
  <c r="S300" i="13"/>
  <c r="S469" i="13"/>
  <c r="S21" i="13"/>
  <c r="S170" i="13"/>
  <c r="S27" i="13"/>
  <c r="S151" i="13"/>
  <c r="S39" i="13"/>
  <c r="S217" i="13"/>
  <c r="S266" i="13"/>
  <c r="S712" i="13"/>
  <c r="S77" i="13"/>
  <c r="S353" i="13"/>
  <c r="S501" i="13"/>
  <c r="S173" i="13"/>
  <c r="S496" i="13"/>
  <c r="S11" i="13"/>
  <c r="S249" i="13"/>
  <c r="S775" i="13"/>
  <c r="S83" i="13"/>
  <c r="S500" i="13"/>
  <c r="S761" i="13"/>
  <c r="S374" i="13"/>
  <c r="S865" i="13"/>
  <c r="S877" i="13"/>
  <c r="S46" i="13"/>
  <c r="S590" i="13"/>
  <c r="S129" i="13"/>
  <c r="S451" i="13"/>
  <c r="S54" i="13"/>
  <c r="S283" i="13"/>
  <c r="S456" i="13"/>
  <c r="S662" i="13"/>
  <c r="S194" i="13"/>
  <c r="S543" i="13"/>
  <c r="S528" i="13"/>
  <c r="S856" i="13"/>
  <c r="S14" i="13"/>
  <c r="S440" i="13"/>
  <c r="S881" i="13"/>
  <c r="S268" i="13"/>
  <c r="S100" i="13"/>
  <c r="S280" i="13"/>
  <c r="S757" i="13"/>
  <c r="S24" i="13"/>
  <c r="S114" i="13"/>
  <c r="S731" i="13"/>
  <c r="S9" i="13"/>
  <c r="S813" i="13"/>
  <c r="S211" i="13"/>
  <c r="S392" i="13"/>
  <c r="S126" i="13"/>
  <c r="S571" i="13"/>
  <c r="S814" i="13"/>
  <c r="S507" i="13"/>
  <c r="S832" i="13"/>
  <c r="S382" i="13"/>
  <c r="S661" i="13"/>
  <c r="S184" i="13"/>
  <c r="S175" i="13"/>
  <c r="S398" i="13"/>
  <c r="S721" i="13"/>
  <c r="S107" i="13"/>
  <c r="S468" i="13"/>
  <c r="S319" i="13"/>
  <c r="S834" i="13"/>
  <c r="S161" i="13"/>
  <c r="S728" i="13"/>
  <c r="S248" i="13"/>
  <c r="S908" i="13"/>
  <c r="S237" i="13"/>
  <c r="S646" i="13"/>
  <c r="S111" i="13"/>
  <c r="S131" i="13"/>
  <c r="S123" i="13"/>
  <c r="S337" i="13"/>
  <c r="S52" i="13"/>
  <c r="S396" i="13"/>
  <c r="S785" i="13"/>
  <c r="S41" i="13"/>
  <c r="S315" i="13"/>
  <c r="S779" i="13"/>
  <c r="S858" i="13"/>
  <c r="S130" i="13"/>
  <c r="S96" i="13"/>
  <c r="S69" i="13"/>
  <c r="S447" i="13"/>
  <c r="S401" i="13"/>
  <c r="S621" i="13"/>
  <c r="S152" i="13"/>
  <c r="S604" i="13"/>
  <c r="S205" i="13"/>
  <c r="S747" i="13"/>
  <c r="S162" i="13"/>
  <c r="S191" i="13"/>
  <c r="S819" i="13"/>
  <c r="S228" i="13"/>
  <c r="S245" i="13"/>
  <c r="S653" i="13"/>
  <c r="S743" i="13"/>
  <c r="S387" i="13"/>
  <c r="S438" i="13"/>
  <c r="S803" i="13"/>
  <c r="S644" i="13"/>
  <c r="S668" i="13"/>
  <c r="S293" i="13"/>
  <c r="S492" i="13"/>
  <c r="S793" i="13"/>
  <c r="S633" i="13"/>
  <c r="S815" i="13"/>
  <c r="S577" i="13"/>
  <c r="S544" i="13"/>
  <c r="S204" i="13"/>
  <c r="S394" i="13"/>
  <c r="S470" i="13"/>
  <c r="S652" i="13"/>
  <c r="S67" i="13"/>
  <c r="S357" i="13"/>
  <c r="S297" i="13"/>
  <c r="S540" i="13"/>
  <c r="S784" i="13"/>
  <c r="S284" i="13"/>
  <c r="S384" i="13"/>
  <c r="S770" i="13"/>
  <c r="S381" i="13"/>
  <c r="S859" i="13"/>
  <c r="S165" i="13"/>
  <c r="S406" i="13"/>
  <c r="S830" i="13"/>
  <c r="S651" i="13"/>
  <c r="S526" i="13"/>
  <c r="S141" i="13"/>
  <c r="S804" i="13"/>
  <c r="S407" i="13"/>
  <c r="S446" i="13"/>
  <c r="S904" i="13"/>
  <c r="S57" i="13"/>
  <c r="S593" i="13"/>
  <c r="S516" i="13"/>
  <c r="S497" i="13"/>
  <c r="S328" i="13"/>
  <c r="S323" i="13"/>
  <c r="S625" i="13"/>
  <c r="S282" i="13"/>
  <c r="S347" i="13"/>
  <c r="S537" i="13"/>
  <c r="S885" i="13"/>
  <c r="S676" i="13"/>
  <c r="S78" i="13"/>
  <c r="S715" i="13"/>
  <c r="S125" i="13"/>
  <c r="S150" i="13"/>
  <c r="S230" i="13"/>
  <c r="S767" i="13"/>
  <c r="S862" i="13"/>
  <c r="S49" i="13"/>
  <c r="S87" i="13"/>
  <c r="S201" i="13"/>
  <c r="S344" i="13"/>
  <c r="S336" i="13"/>
  <c r="S641" i="13"/>
  <c r="S133" i="13"/>
  <c r="S303" i="13"/>
  <c r="S708" i="13"/>
  <c r="S117" i="13"/>
  <c r="S263" i="13"/>
  <c r="S391" i="13"/>
  <c r="S561" i="13"/>
  <c r="S895" i="13"/>
  <c r="S7" i="13"/>
  <c r="S287" i="13"/>
  <c r="S888" i="13"/>
  <c r="S2" i="13"/>
  <c r="S177" i="13"/>
  <c r="S72" i="13"/>
  <c r="S66" i="13"/>
  <c r="S376" i="13"/>
  <c r="S369" i="13"/>
  <c r="S488" i="13"/>
  <c r="S797" i="13"/>
  <c r="S167" i="13"/>
  <c r="S359" i="13"/>
  <c r="S489" i="13"/>
  <c r="S408" i="13"/>
  <c r="S99" i="13"/>
  <c r="S416" i="13"/>
  <c r="S50" i="13"/>
  <c r="S445" i="13"/>
  <c r="S55" i="13"/>
  <c r="S148" i="13"/>
  <c r="S355" i="13"/>
  <c r="S458" i="13"/>
  <c r="S660" i="13"/>
  <c r="S702" i="13"/>
  <c r="S780" i="13"/>
  <c r="S504" i="13"/>
  <c r="S771" i="13"/>
  <c r="S576" i="13"/>
  <c r="S894" i="13"/>
  <c r="S208" i="13"/>
  <c r="S725" i="13"/>
  <c r="S92" i="13"/>
  <c r="S722" i="13"/>
  <c r="S840" i="13"/>
  <c r="S166" i="13"/>
  <c r="S581" i="13"/>
  <c r="S134" i="13"/>
  <c r="S674" i="13"/>
  <c r="S684" i="13"/>
  <c r="S902" i="13"/>
  <c r="S79" i="13"/>
  <c r="S159" i="13"/>
  <c r="S824" i="13"/>
  <c r="S610" i="13"/>
  <c r="S688" i="13"/>
  <c r="S226" i="13"/>
  <c r="S643" i="13"/>
  <c r="S866" i="13"/>
  <c r="S655" i="13"/>
  <c r="S506" i="13"/>
  <c r="S63" i="13"/>
  <c r="S153" i="13"/>
  <c r="S210" i="13"/>
  <c r="S733" i="13"/>
  <c r="S454" i="13"/>
  <c r="S580" i="13"/>
  <c r="S608" i="13"/>
  <c r="S377" i="13"/>
  <c r="S426" i="13"/>
  <c r="S361" i="13"/>
  <c r="S597" i="13"/>
  <c r="S562" i="13"/>
  <c r="S429" i="13"/>
  <c r="S354" i="13"/>
  <c r="S730" i="13"/>
  <c r="S104" i="13"/>
  <c r="S112" i="13"/>
  <c r="S48" i="13"/>
  <c r="S817" i="13"/>
  <c r="S16" i="13"/>
  <c r="S291" i="13"/>
  <c r="S683" i="13"/>
  <c r="S121" i="13"/>
  <c r="S591" i="13"/>
  <c r="S685" i="13"/>
  <c r="S799" i="13"/>
  <c r="S744" i="13"/>
  <c r="S102" i="13"/>
  <c r="S639" i="13"/>
  <c r="S906" i="13"/>
  <c r="S101" i="13"/>
  <c r="S383" i="13"/>
  <c r="S867" i="13"/>
  <c r="S206" i="13"/>
  <c r="S415" i="13"/>
  <c r="S831" i="13"/>
  <c r="S872" i="13"/>
  <c r="S203" i="13"/>
  <c r="S811" i="13"/>
  <c r="S5" i="13"/>
  <c r="S659" i="13"/>
  <c r="S36" i="13"/>
  <c r="S371" i="13"/>
  <c r="S801" i="13"/>
  <c r="S138" i="13"/>
  <c r="S583" i="13"/>
  <c r="S265" i="13"/>
  <c r="S35" i="13"/>
  <c r="S606" i="13"/>
  <c r="S490" i="13"/>
  <c r="S664" i="13"/>
  <c r="S236" i="13"/>
  <c r="S409" i="13"/>
  <c r="S477" i="13"/>
  <c r="S751" i="13"/>
  <c r="S243" i="13"/>
  <c r="S636" i="13"/>
  <c r="S80" i="13"/>
  <c r="S851" i="13"/>
  <c r="S345" i="13"/>
  <c r="S513" i="13"/>
  <c r="S667" i="13"/>
  <c r="S281" i="13"/>
  <c r="S847" i="13"/>
  <c r="S15" i="13"/>
  <c r="S366" i="13"/>
  <c r="S60" i="13"/>
  <c r="S375" i="13"/>
  <c r="S373" i="13"/>
  <c r="S379" i="13"/>
  <c r="S546" i="13"/>
  <c r="S860" i="13"/>
  <c r="S13" i="13"/>
  <c r="S180" i="13"/>
  <c r="S256" i="13"/>
  <c r="S518" i="13"/>
  <c r="S163" i="13"/>
  <c r="S587" i="13"/>
  <c r="S428" i="13"/>
  <c r="S498" i="13"/>
  <c r="S174" i="13"/>
  <c r="S541" i="13"/>
  <c r="S717" i="13"/>
  <c r="S103" i="13"/>
  <c r="S339" i="13"/>
  <c r="R91" i="13"/>
  <c r="R419" i="13"/>
  <c r="R719" i="13"/>
  <c r="R397" i="13"/>
  <c r="R617" i="13"/>
  <c r="R20" i="13"/>
  <c r="R340" i="13"/>
  <c r="R95" i="13"/>
  <c r="R278" i="13"/>
  <c r="R452" i="13"/>
  <c r="R623" i="13"/>
  <c r="R144" i="13"/>
  <c r="R463" i="13"/>
  <c r="R697" i="13"/>
  <c r="R358" i="13"/>
  <c r="R558" i="13"/>
  <c r="R317" i="13"/>
  <c r="R296" i="13"/>
  <c r="R326" i="13"/>
  <c r="R235" i="13"/>
  <c r="R346" i="13"/>
  <c r="R486" i="13"/>
  <c r="R539" i="13"/>
  <c r="R318" i="13"/>
  <c r="R59" i="13"/>
  <c r="R437" i="13"/>
  <c r="R97" i="13"/>
  <c r="R231" i="13"/>
  <c r="R595" i="13"/>
  <c r="R275" i="13"/>
  <c r="R567" i="13"/>
  <c r="R321" i="13"/>
  <c r="R18" i="13"/>
  <c r="R473" i="13"/>
  <c r="R645" i="13"/>
  <c r="R289" i="13"/>
  <c r="R430" i="13"/>
  <c r="R462" i="13"/>
  <c r="R115" i="13"/>
  <c r="R609" i="13"/>
  <c r="R475" i="13"/>
  <c r="R675" i="13"/>
  <c r="R28" i="13"/>
  <c r="R290" i="13"/>
  <c r="R423" i="13"/>
  <c r="R154" i="13"/>
  <c r="R240" i="13"/>
  <c r="R207" i="13"/>
  <c r="R378" i="13"/>
  <c r="R560" i="13"/>
  <c r="R329" i="13"/>
  <c r="R98" i="13"/>
  <c r="R367" i="13"/>
  <c r="R172" i="13"/>
  <c r="R519" i="13"/>
  <c r="R74" i="13"/>
  <c r="R705" i="13"/>
  <c r="R713" i="13"/>
  <c r="R182" i="13"/>
  <c r="R665" i="13"/>
  <c r="R70" i="13"/>
  <c r="R193" i="13"/>
  <c r="R241" i="13"/>
  <c r="R457" i="13"/>
  <c r="R108" i="13"/>
  <c r="R146" i="13"/>
  <c r="R677" i="13"/>
  <c r="R578" i="13"/>
  <c r="R467" i="13"/>
  <c r="R535" i="13"/>
  <c r="R615" i="13"/>
  <c r="R68" i="13"/>
  <c r="R84" i="13"/>
  <c r="R491" i="13"/>
  <c r="R120" i="13"/>
  <c r="R127" i="13"/>
  <c r="R487" i="13"/>
  <c r="R380" i="13"/>
  <c r="R464" i="13"/>
  <c r="R187" i="13"/>
  <c r="R673" i="13"/>
  <c r="R689" i="13"/>
  <c r="R44" i="13"/>
  <c r="R295" i="13"/>
  <c r="R212" i="13"/>
  <c r="R221" i="13"/>
  <c r="R34" i="13"/>
  <c r="R511" i="13"/>
  <c r="R635" i="13"/>
  <c r="R254" i="13"/>
  <c r="R276" i="13"/>
  <c r="R691" i="13"/>
  <c r="R522" i="13"/>
  <c r="R258" i="13"/>
  <c r="R372" i="13"/>
  <c r="R333" i="13"/>
  <c r="R434" i="13"/>
  <c r="R179" i="13"/>
  <c r="R422" i="13"/>
  <c r="R169" i="13"/>
  <c r="R259" i="13"/>
  <c r="R106" i="13"/>
  <c r="R156" i="13"/>
  <c r="R550" i="13"/>
  <c r="R23" i="13"/>
  <c r="R338" i="13"/>
  <c r="R73" i="13"/>
  <c r="R116" i="13"/>
  <c r="R474" i="13"/>
  <c r="R264" i="13"/>
  <c r="R424" i="13"/>
  <c r="R515" i="13"/>
  <c r="R709" i="13"/>
  <c r="R607" i="13"/>
  <c r="R400" i="13"/>
  <c r="R566" i="13"/>
  <c r="R181" i="13"/>
  <c r="R433" i="13"/>
  <c r="R132" i="13"/>
  <c r="R559" i="13"/>
  <c r="R198" i="13"/>
  <c r="R484" i="13"/>
  <c r="R532" i="13"/>
  <c r="R503" i="13"/>
  <c r="R553" i="13"/>
  <c r="R556" i="13"/>
  <c r="R588" i="13"/>
  <c r="R527" i="13"/>
  <c r="R320" i="13"/>
  <c r="R521" i="13"/>
  <c r="R270" i="13"/>
  <c r="R273" i="13"/>
  <c r="R671" i="13"/>
  <c r="R427" i="13"/>
  <c r="R288" i="13"/>
  <c r="R693" i="13"/>
  <c r="R88" i="13"/>
  <c r="R308" i="13"/>
  <c r="R247" i="13"/>
  <c r="R298" i="13"/>
  <c r="R233" i="13"/>
  <c r="R681" i="13"/>
  <c r="R202" i="13"/>
  <c r="R197" i="13"/>
  <c r="R294" i="13"/>
  <c r="R75" i="13"/>
  <c r="R565" i="13"/>
  <c r="R404" i="13"/>
  <c r="R213" i="13"/>
  <c r="R244" i="13"/>
  <c r="R331" i="13"/>
  <c r="R164" i="13"/>
  <c r="R455" i="13"/>
  <c r="R176" i="13"/>
  <c r="R253" i="13"/>
  <c r="R330" i="13"/>
  <c r="R25" i="13"/>
  <c r="R531" i="13"/>
  <c r="R335" i="13"/>
  <c r="R703" i="13"/>
  <c r="R599" i="13"/>
  <c r="R679" i="13"/>
  <c r="R118" i="13"/>
  <c r="R10" i="13"/>
  <c r="R572" i="13"/>
  <c r="R51" i="13"/>
  <c r="R494" i="13"/>
  <c r="R579" i="13"/>
  <c r="R140" i="13"/>
  <c r="R312" i="13"/>
  <c r="R257" i="13"/>
  <c r="R343" i="13"/>
  <c r="R47" i="13"/>
  <c r="R260" i="13"/>
  <c r="R261" i="13"/>
  <c r="R493" i="13"/>
  <c r="R64" i="13"/>
  <c r="R510" i="13"/>
  <c r="R542" i="13"/>
  <c r="R523" i="13"/>
  <c r="R512" i="13"/>
  <c r="R420" i="13"/>
  <c r="R568" i="13"/>
  <c r="R149" i="13"/>
  <c r="R285" i="13"/>
  <c r="R316" i="13"/>
  <c r="R502" i="13"/>
  <c r="R137" i="13"/>
  <c r="R390" i="13"/>
  <c r="R314" i="13"/>
  <c r="R436" i="13"/>
  <c r="R349" i="13"/>
  <c r="R479" i="13"/>
  <c r="R575" i="13"/>
  <c r="R135" i="13"/>
  <c r="R629" i="13"/>
  <c r="R4" i="13"/>
  <c r="R386" i="13"/>
  <c r="R145" i="13"/>
  <c r="R573" i="13"/>
  <c r="R250" i="13"/>
  <c r="R189" i="13"/>
  <c r="R274" i="13"/>
  <c r="R119" i="13"/>
  <c r="R62" i="13"/>
  <c r="R554" i="13"/>
  <c r="R33" i="13"/>
  <c r="R220" i="13"/>
  <c r="R85" i="13"/>
  <c r="R143" i="13"/>
  <c r="R43" i="13"/>
  <c r="R582" i="13"/>
  <c r="R199" i="13"/>
  <c r="R168" i="13"/>
  <c r="R909" i="13"/>
  <c r="R907" i="13"/>
  <c r="R905" i="13"/>
  <c r="R899" i="13"/>
  <c r="R897" i="13"/>
  <c r="R893" i="13"/>
  <c r="R889" i="13"/>
  <c r="R887" i="13"/>
  <c r="R885" i="13"/>
  <c r="R883" i="13"/>
  <c r="R877" i="13"/>
  <c r="R875" i="13"/>
  <c r="R873" i="13"/>
  <c r="R869" i="13"/>
  <c r="R865" i="13"/>
  <c r="R863" i="13"/>
  <c r="R861" i="13"/>
  <c r="R859" i="13"/>
  <c r="R855" i="13"/>
  <c r="R853" i="13"/>
  <c r="R851" i="13"/>
  <c r="R849" i="13"/>
  <c r="R847" i="13"/>
  <c r="R843" i="13"/>
  <c r="R841" i="13"/>
  <c r="R839" i="13"/>
  <c r="R833" i="13"/>
  <c r="R829" i="13"/>
  <c r="R827" i="13"/>
  <c r="R825" i="13"/>
  <c r="R817" i="13"/>
  <c r="R815" i="13"/>
  <c r="R813" i="13"/>
  <c r="R811" i="13"/>
  <c r="R807" i="13"/>
  <c r="R805" i="13"/>
  <c r="R803" i="13"/>
  <c r="R791" i="13"/>
  <c r="R787" i="13"/>
  <c r="R781" i="13"/>
  <c r="R771" i="13"/>
  <c r="R769" i="13"/>
  <c r="R759" i="13"/>
  <c r="R757" i="13"/>
  <c r="R755" i="13"/>
  <c r="R753" i="13"/>
  <c r="R749" i="13"/>
  <c r="R747" i="13"/>
  <c r="R745" i="13"/>
  <c r="R737" i="13"/>
  <c r="R729" i="13"/>
  <c r="R727" i="13"/>
  <c r="R725" i="13"/>
  <c r="R722" i="13"/>
  <c r="R714" i="13"/>
  <c r="R710" i="13"/>
  <c r="R706" i="13"/>
  <c r="R702" i="13"/>
  <c r="R694" i="13"/>
  <c r="R690" i="13"/>
  <c r="R682" i="13"/>
  <c r="R678" i="13"/>
  <c r="R674" i="13"/>
  <c r="R666" i="13"/>
  <c r="R660" i="13"/>
  <c r="R652" i="13"/>
  <c r="R648" i="13"/>
  <c r="R640" i="13"/>
  <c r="R636" i="13"/>
  <c r="R632" i="13"/>
  <c r="R628" i="13"/>
  <c r="R624" i="13"/>
  <c r="R620" i="13"/>
  <c r="R604" i="13"/>
  <c r="S418" i="13"/>
  <c r="S812" i="13"/>
  <c r="S91" i="13"/>
  <c r="S419" i="13"/>
  <c r="S719" i="13"/>
  <c r="S397" i="13"/>
  <c r="S617" i="13"/>
  <c r="S716" i="13"/>
  <c r="S219" i="13"/>
  <c r="S907" i="13"/>
  <c r="S714" i="13"/>
  <c r="S444" i="13"/>
  <c r="S769" i="13"/>
  <c r="S20" i="13"/>
  <c r="S340" i="13"/>
  <c r="S95" i="13"/>
  <c r="S278" i="13"/>
  <c r="S452" i="13"/>
  <c r="S680" i="13"/>
  <c r="S334" i="13"/>
  <c r="S755" i="13"/>
  <c r="S310" i="13"/>
  <c r="S694" i="13"/>
  <c r="S759" i="13"/>
  <c r="S514" i="13"/>
  <c r="S144" i="13"/>
  <c r="S623" i="13"/>
  <c r="S884" i="13"/>
  <c r="S463" i="13"/>
  <c r="S358" i="13"/>
  <c r="S558" i="13"/>
  <c r="S614" i="13"/>
  <c r="S697" i="13"/>
  <c r="S883" i="13"/>
  <c r="S700" i="13"/>
  <c r="S762" i="13"/>
  <c r="S296" i="13"/>
  <c r="S317" i="13"/>
  <c r="S326" i="13"/>
  <c r="S570" i="13"/>
  <c r="S788" i="13"/>
  <c r="S792" i="13"/>
  <c r="S235" i="13"/>
  <c r="S346" i="13"/>
  <c r="S486" i="13"/>
  <c r="S726" i="13"/>
  <c r="S318" i="13"/>
  <c r="S539" i="13"/>
  <c r="S59" i="13"/>
  <c r="S437" i="13"/>
  <c r="S466" i="13"/>
  <c r="S818" i="13"/>
  <c r="S97" i="13"/>
  <c r="S231" i="13"/>
  <c r="S595" i="13"/>
  <c r="S275" i="13"/>
  <c r="S567" i="13"/>
  <c r="S822" i="13"/>
  <c r="S18" i="13"/>
  <c r="S321" i="13"/>
  <c r="S841" i="13"/>
  <c r="S850" i="13"/>
  <c r="S473" i="13"/>
  <c r="S645" i="13"/>
  <c r="S289" i="13"/>
  <c r="S430" i="13"/>
  <c r="S462" i="13"/>
  <c r="S849" i="13"/>
  <c r="S869" i="13"/>
  <c r="S115" i="13"/>
  <c r="S609" i="13"/>
  <c r="S475" i="13"/>
  <c r="S675" i="13"/>
  <c r="S666" i="13"/>
  <c r="S28" i="13"/>
  <c r="S290" i="13"/>
  <c r="S563" i="13"/>
  <c r="S794" i="13"/>
  <c r="S706" i="13"/>
  <c r="S752" i="13"/>
  <c r="S816" i="13"/>
  <c r="S154" i="13"/>
  <c r="S240" i="13"/>
  <c r="S423" i="13"/>
  <c r="S682" i="13"/>
  <c r="S791" i="13"/>
  <c r="S534" i="13"/>
  <c r="S836" i="13"/>
  <c r="S450" i="13"/>
  <c r="S825" i="13"/>
  <c r="S861" i="13"/>
  <c r="S207" i="13"/>
  <c r="S378" i="13"/>
  <c r="S560" i="13"/>
  <c r="S720" i="13"/>
  <c r="S98" i="13"/>
  <c r="S329" i="13"/>
  <c r="S385" i="13"/>
  <c r="S678" i="13"/>
  <c r="S172" i="13"/>
  <c r="S367" i="13"/>
  <c r="S729" i="13"/>
  <c r="S756" i="13"/>
  <c r="S74" i="13"/>
  <c r="S519" i="13"/>
  <c r="S878" i="13"/>
  <c r="S182" i="13"/>
  <c r="S705" i="13"/>
  <c r="S713" i="13"/>
  <c r="S695" i="13"/>
  <c r="S874" i="13"/>
  <c r="S70" i="13"/>
  <c r="S665" i="13"/>
  <c r="S574" i="13"/>
  <c r="S618" i="13"/>
  <c r="S193" i="13"/>
  <c r="S241" i="13"/>
  <c r="S146" i="13"/>
  <c r="S108" i="13"/>
  <c r="S457" i="13"/>
  <c r="S578" i="13"/>
  <c r="S677" i="13"/>
  <c r="S776" i="13"/>
  <c r="S467" i="13"/>
  <c r="S535" i="13"/>
  <c r="S615" i="13"/>
  <c r="S68" i="13"/>
  <c r="S84" i="13"/>
  <c r="S120" i="13"/>
  <c r="S491" i="13"/>
  <c r="S127" i="13"/>
  <c r="S487" i="13"/>
  <c r="S65" i="13"/>
  <c r="S827" i="13"/>
  <c r="S905" i="13"/>
  <c r="S670" i="13"/>
  <c r="S380" i="13"/>
  <c r="S464" i="13"/>
  <c r="S187" i="13"/>
  <c r="S673" i="13"/>
  <c r="S689" i="13"/>
  <c r="S44" i="13"/>
  <c r="S212" i="13"/>
  <c r="S295" i="13"/>
  <c r="S892" i="13"/>
  <c r="S30" i="13"/>
  <c r="S855" i="13"/>
  <c r="S34" i="13"/>
  <c r="S221" i="13"/>
  <c r="S696" i="13"/>
  <c r="S254" i="13"/>
  <c r="S276" i="13"/>
  <c r="S511" i="13"/>
  <c r="S635" i="13"/>
  <c r="S782" i="13"/>
  <c r="S691" i="13"/>
  <c r="S522" i="13"/>
  <c r="S258" i="13"/>
  <c r="S372" i="13"/>
  <c r="S38" i="13"/>
  <c r="S727" i="13"/>
  <c r="S255" i="13"/>
  <c r="S833" i="13"/>
  <c r="S843" i="13"/>
  <c r="S471" i="13"/>
  <c r="S798" i="13"/>
  <c r="S56" i="13"/>
  <c r="S760" i="13"/>
  <c r="S333" i="13"/>
  <c r="S434" i="13"/>
  <c r="S853" i="13"/>
  <c r="S179" i="13"/>
  <c r="S422" i="13"/>
  <c r="S753" i="13"/>
  <c r="S169" i="13"/>
  <c r="S106" i="13"/>
  <c r="S259" i="13"/>
  <c r="S742" i="13"/>
  <c r="S156" i="13"/>
  <c r="S550" i="13"/>
  <c r="S23" i="13"/>
  <c r="S338" i="13"/>
  <c r="S658" i="13"/>
  <c r="S73" i="13"/>
  <c r="S116" i="13"/>
  <c r="S474" i="13"/>
  <c r="S764" i="13"/>
  <c r="S749" i="13"/>
  <c r="S740" i="13"/>
  <c r="S234" i="13"/>
  <c r="S887" i="13"/>
  <c r="S710" i="13"/>
  <c r="S264" i="13"/>
  <c r="S424" i="13"/>
  <c r="S650" i="13"/>
  <c r="S810" i="13"/>
  <c r="S515" i="13"/>
  <c r="S709" i="13"/>
  <c r="S620" i="13"/>
  <c r="S607" i="13"/>
  <c r="S400" i="13"/>
  <c r="S566" i="13"/>
  <c r="S286" i="13"/>
  <c r="S648" i="13"/>
  <c r="S132" i="13"/>
  <c r="S181" i="13"/>
  <c r="S433" i="13"/>
  <c r="S893" i="13"/>
  <c r="S517" i="13"/>
  <c r="S638" i="13"/>
  <c r="S690" i="13"/>
  <c r="S29" i="13"/>
  <c r="S826" i="13"/>
  <c r="S864" i="13"/>
  <c r="S368" i="13"/>
  <c r="S882" i="13"/>
  <c r="S198" i="13"/>
  <c r="S559" i="13"/>
  <c r="S736" i="13"/>
  <c r="S183" i="13"/>
  <c r="S724" i="13"/>
  <c r="S246" i="13"/>
  <c r="S624" i="13"/>
  <c r="S484" i="13"/>
  <c r="S532" i="13"/>
  <c r="S846" i="13"/>
  <c r="S868" i="13"/>
  <c r="S503" i="13"/>
  <c r="S553" i="13"/>
  <c r="S556" i="13"/>
  <c r="S588" i="13"/>
  <c r="S527" i="13"/>
  <c r="S320" i="13"/>
  <c r="S270" i="13"/>
  <c r="S521" i="13"/>
  <c r="S431" i="13"/>
  <c r="S899" i="13"/>
  <c r="S632" i="13"/>
  <c r="S313" i="13"/>
  <c r="S897" i="13"/>
  <c r="S909" i="13"/>
  <c r="S748" i="13"/>
  <c r="S273" i="13"/>
  <c r="S671" i="13"/>
  <c r="S432" i="13"/>
  <c r="S630" i="13"/>
  <c r="S768" i="13"/>
  <c r="S288" i="13"/>
  <c r="S427" i="13"/>
  <c r="S88" i="13"/>
  <c r="S308" i="13"/>
  <c r="S693" i="13"/>
  <c r="S787" i="13"/>
  <c r="S298" i="13"/>
  <c r="S247" i="13"/>
  <c r="S890" i="13"/>
  <c r="S202" i="13"/>
  <c r="S233" i="13"/>
  <c r="S681" i="13"/>
  <c r="S294" i="13"/>
  <c r="S197" i="13"/>
  <c r="S880" i="13"/>
  <c r="S75" i="13"/>
  <c r="S565" i="13"/>
  <c r="S404" i="13"/>
  <c r="S244" i="13"/>
  <c r="S213" i="13"/>
  <c r="S476" i="13"/>
  <c r="S774" i="13"/>
  <c r="S164" i="13"/>
  <c r="S331" i="13"/>
  <c r="S876" i="13"/>
  <c r="S176" i="13"/>
  <c r="S455" i="13"/>
  <c r="S253" i="13"/>
  <c r="S330" i="13"/>
  <c r="S875" i="13"/>
  <c r="S25" i="13"/>
  <c r="S531" i="13"/>
  <c r="S335" i="13"/>
  <c r="S703" i="13"/>
  <c r="S118" i="13"/>
  <c r="S599" i="13"/>
  <c r="S679" i="13"/>
  <c r="S10" i="13"/>
  <c r="S572" i="13"/>
  <c r="S51" i="13"/>
  <c r="S494" i="13"/>
  <c r="S364" i="13"/>
  <c r="S766" i="13"/>
  <c r="S147" i="13"/>
  <c r="S640" i="13"/>
  <c r="S589" i="13"/>
  <c r="S805" i="13"/>
  <c r="S622" i="13"/>
  <c r="S781" i="13"/>
  <c r="S889" i="13"/>
  <c r="S312" i="13"/>
  <c r="S140" i="13"/>
  <c r="S579" i="13"/>
  <c r="S93" i="13"/>
  <c r="S863" i="13"/>
  <c r="S45" i="13"/>
  <c r="S745" i="13"/>
  <c r="S257" i="13"/>
  <c r="S343" i="13"/>
  <c r="S602" i="13"/>
  <c r="S687" i="13"/>
  <c r="S737" i="13"/>
  <c r="S47" i="13"/>
  <c r="S260" i="13"/>
  <c r="S746" i="13"/>
  <c r="S493" i="13"/>
  <c r="S261" i="13"/>
  <c r="S64" i="13"/>
  <c r="S510" i="13"/>
  <c r="S542" i="13"/>
  <c r="S523" i="13"/>
  <c r="S512" i="13"/>
  <c r="S672" i="13"/>
  <c r="S420" i="13"/>
  <c r="S568" i="13"/>
  <c r="S149" i="13"/>
  <c r="S285" i="13"/>
  <c r="S90" i="13"/>
  <c r="S628" i="13"/>
  <c r="S758" i="13"/>
  <c r="S316" i="13"/>
  <c r="S807" i="13"/>
  <c r="S502" i="13"/>
  <c r="S137" i="13"/>
  <c r="S390" i="13"/>
  <c r="S873" i="13"/>
  <c r="S314" i="13"/>
  <c r="S436" i="13"/>
  <c r="S796" i="13"/>
  <c r="S349" i="13"/>
  <c r="S479" i="13"/>
  <c r="S575" i="13"/>
  <c r="S135" i="13"/>
  <c r="S629" i="13"/>
  <c r="S4" i="13"/>
  <c r="S386" i="13"/>
  <c r="S839" i="13"/>
  <c r="S145" i="13"/>
  <c r="S250" i="13"/>
  <c r="S573" i="13"/>
  <c r="S274" i="13"/>
  <c r="S189" i="13"/>
  <c r="S119" i="13"/>
  <c r="S62" i="13"/>
  <c r="S554" i="13"/>
  <c r="S33" i="13"/>
  <c r="S220" i="13"/>
  <c r="S772" i="13"/>
  <c r="S85" i="13"/>
  <c r="S143" i="13"/>
  <c r="S586" i="13"/>
  <c r="S692" i="13"/>
  <c r="S43" i="13"/>
  <c r="S582" i="13"/>
  <c r="S829" i="13"/>
  <c r="S750" i="13"/>
  <c r="S168" i="13"/>
  <c r="S199" i="13"/>
  <c r="R17" i="13"/>
  <c r="R649" i="13"/>
  <c r="R549" i="13"/>
  <c r="R699" i="13"/>
  <c r="R200" i="13"/>
  <c r="R413" i="13"/>
  <c r="R619" i="13"/>
  <c r="R214" i="13"/>
  <c r="R478" i="13"/>
  <c r="R461" i="13"/>
  <c r="R584" i="13"/>
  <c r="R113" i="13"/>
  <c r="R155" i="13"/>
  <c r="R548" i="13"/>
  <c r="R481" i="13"/>
  <c r="R186" i="13"/>
  <c r="R360" i="13"/>
  <c r="R209" i="13"/>
  <c r="R631" i="13"/>
  <c r="R269" i="13"/>
  <c r="R555" i="13"/>
  <c r="R61" i="13"/>
  <c r="R414" i="13"/>
  <c r="R195" i="13"/>
  <c r="R362" i="13"/>
  <c r="R239" i="13"/>
  <c r="R6" i="13"/>
  <c r="R58" i="13"/>
  <c r="R465" i="13"/>
  <c r="R485" i="13"/>
  <c r="R547" i="13"/>
  <c r="R356" i="13"/>
  <c r="R229" i="13"/>
  <c r="R238" i="13"/>
  <c r="R657" i="13"/>
  <c r="R332" i="13"/>
  <c r="R499" i="13"/>
  <c r="R158" i="13"/>
  <c r="R342" i="13"/>
  <c r="R224" i="13"/>
  <c r="R272" i="13"/>
  <c r="R529" i="13"/>
  <c r="R292" i="13"/>
  <c r="R508" i="13"/>
  <c r="R611" i="13"/>
  <c r="R82" i="13"/>
  <c r="R279" i="13"/>
  <c r="R94" i="13"/>
  <c r="R469" i="13"/>
  <c r="R300" i="13"/>
  <c r="R21" i="13"/>
  <c r="R170" i="13"/>
  <c r="R27" i="13"/>
  <c r="R151" i="13"/>
  <c r="R39" i="13"/>
  <c r="R217" i="13"/>
  <c r="R77" i="13"/>
  <c r="R353" i="13"/>
  <c r="R501" i="13"/>
  <c r="R173" i="13"/>
  <c r="R496" i="13"/>
  <c r="R11" i="13"/>
  <c r="R249" i="13"/>
  <c r="R83" i="13"/>
  <c r="R500" i="13"/>
  <c r="R46" i="13"/>
  <c r="R590" i="13"/>
  <c r="R129" i="13"/>
  <c r="R451" i="13"/>
  <c r="R283" i="13"/>
  <c r="R54" i="13"/>
  <c r="R456" i="13"/>
  <c r="R543" i="13"/>
  <c r="R194" i="13"/>
  <c r="R14" i="13"/>
  <c r="R440" i="13"/>
  <c r="R100" i="13"/>
  <c r="R268" i="13"/>
  <c r="R24" i="13"/>
  <c r="R114" i="13"/>
  <c r="R211" i="13"/>
  <c r="R392" i="13"/>
  <c r="R571" i="13"/>
  <c r="R126" i="13"/>
  <c r="R661" i="13"/>
  <c r="R382" i="13"/>
  <c r="R175" i="13"/>
  <c r="R721" i="13"/>
  <c r="R184" i="13"/>
  <c r="R398" i="13"/>
  <c r="R107" i="13"/>
  <c r="R468" i="13"/>
  <c r="R111" i="13"/>
  <c r="R131" i="13"/>
  <c r="R123" i="13"/>
  <c r="R337" i="13"/>
  <c r="R52" i="13"/>
  <c r="R396" i="13"/>
  <c r="R41" i="13"/>
  <c r="R315" i="13"/>
  <c r="R96" i="13"/>
  <c r="R130" i="13"/>
  <c r="R69" i="13"/>
  <c r="R447" i="13"/>
  <c r="R401" i="13"/>
  <c r="R621" i="13"/>
  <c r="R191" i="13"/>
  <c r="R162" i="13"/>
  <c r="R245" i="13"/>
  <c r="R653" i="13"/>
  <c r="R228" i="13"/>
  <c r="R387" i="13"/>
  <c r="R438" i="13"/>
  <c r="R293" i="13"/>
  <c r="R492" i="13"/>
  <c r="R577" i="13"/>
  <c r="R544" i="13"/>
  <c r="R204" i="13"/>
  <c r="R394" i="13"/>
  <c r="R67" i="13"/>
  <c r="R357" i="13"/>
  <c r="R297" i="13"/>
  <c r="R540" i="13"/>
  <c r="R284" i="13"/>
  <c r="R384" i="13"/>
  <c r="R165" i="13"/>
  <c r="R406" i="13"/>
  <c r="R651" i="13"/>
  <c r="R526" i="13"/>
  <c r="R407" i="13"/>
  <c r="R446" i="13"/>
  <c r="R57" i="13"/>
  <c r="R593" i="13"/>
  <c r="R516" i="13"/>
  <c r="R497" i="13"/>
  <c r="R328" i="13"/>
  <c r="R323" i="13"/>
  <c r="R625" i="13"/>
  <c r="R347" i="13"/>
  <c r="R282" i="13"/>
  <c r="R715" i="13"/>
  <c r="R78" i="13"/>
  <c r="R125" i="13"/>
  <c r="R150" i="13"/>
  <c r="R230" i="13"/>
  <c r="R49" i="13"/>
  <c r="R87" i="13"/>
  <c r="R201" i="13"/>
  <c r="R344" i="13"/>
  <c r="R641" i="13"/>
  <c r="R336" i="13"/>
  <c r="R133" i="13"/>
  <c r="R303" i="13"/>
  <c r="R117" i="13"/>
  <c r="R263" i="13"/>
  <c r="R391" i="13"/>
  <c r="R561" i="13"/>
  <c r="R7" i="13"/>
  <c r="R287" i="13"/>
  <c r="R177" i="13"/>
  <c r="R2" i="13"/>
  <c r="R72" i="13"/>
  <c r="R66" i="13"/>
  <c r="R376" i="13"/>
  <c r="R369" i="13"/>
  <c r="R488" i="13"/>
  <c r="R167" i="13"/>
  <c r="R359" i="13"/>
  <c r="R489" i="13"/>
  <c r="R408" i="13"/>
  <c r="R99" i="13"/>
  <c r="R416" i="13"/>
  <c r="R445" i="13"/>
  <c r="R50" i="13"/>
  <c r="R55" i="13"/>
  <c r="R355" i="13"/>
  <c r="R148" i="13"/>
  <c r="R458" i="13"/>
  <c r="R581" i="13"/>
  <c r="R166" i="13"/>
  <c r="R79" i="13"/>
  <c r="R159" i="13"/>
  <c r="R643" i="13"/>
  <c r="R226" i="13"/>
  <c r="R655" i="13"/>
  <c r="R506" i="13"/>
  <c r="R63" i="13"/>
  <c r="R153" i="13"/>
  <c r="R210" i="13"/>
  <c r="R454" i="13"/>
  <c r="R580" i="13"/>
  <c r="R377" i="13"/>
  <c r="R426" i="13"/>
  <c r="R361" i="13"/>
  <c r="R597" i="13"/>
  <c r="R562" i="13"/>
  <c r="R429" i="13"/>
  <c r="R354" i="13"/>
  <c r="R104" i="13"/>
  <c r="R112" i="13"/>
  <c r="R16" i="13"/>
  <c r="R291" i="13"/>
  <c r="R683" i="13"/>
  <c r="R121" i="13"/>
  <c r="R591" i="13"/>
  <c r="R685" i="13"/>
  <c r="R639" i="13"/>
  <c r="R102" i="13"/>
  <c r="R101" i="13"/>
  <c r="R383" i="13"/>
  <c r="R415" i="13"/>
  <c r="R206" i="13"/>
  <c r="R5" i="13"/>
  <c r="R659" i="13"/>
  <c r="R36" i="13"/>
  <c r="R371" i="13"/>
  <c r="R265" i="13"/>
  <c r="R583" i="13"/>
  <c r="R138" i="13"/>
  <c r="R35" i="13"/>
  <c r="R490" i="13"/>
  <c r="R409" i="13"/>
  <c r="R477" i="13"/>
  <c r="R236" i="13"/>
  <c r="R345" i="13"/>
  <c r="R513" i="13"/>
  <c r="R667" i="13"/>
  <c r="R15" i="13"/>
  <c r="R366" i="13"/>
  <c r="R60" i="13"/>
  <c r="R375" i="13"/>
  <c r="R373" i="13"/>
  <c r="R379" i="13"/>
  <c r="R546" i="13"/>
  <c r="R13" i="13"/>
  <c r="R180" i="13"/>
  <c r="R256" i="13"/>
  <c r="R518" i="13"/>
  <c r="R163" i="13"/>
  <c r="R587" i="13"/>
  <c r="R428" i="13"/>
  <c r="R498" i="13"/>
  <c r="R541" i="13"/>
  <c r="R717" i="13"/>
  <c r="R174" i="13"/>
  <c r="R103" i="13"/>
  <c r="R339" i="13"/>
  <c r="R908" i="13"/>
  <c r="R906" i="13"/>
  <c r="R904" i="13"/>
  <c r="R902" i="13"/>
  <c r="R894" i="13"/>
  <c r="R892" i="13"/>
  <c r="R890" i="13"/>
  <c r="R888" i="13"/>
  <c r="R884" i="13"/>
  <c r="R882" i="13"/>
  <c r="R880" i="13"/>
  <c r="R878" i="13"/>
  <c r="R876" i="13"/>
  <c r="R874" i="13"/>
  <c r="R872" i="13"/>
  <c r="R868" i="13"/>
  <c r="R866" i="13"/>
  <c r="R864" i="13"/>
  <c r="R862" i="13"/>
  <c r="R860" i="13"/>
  <c r="R858" i="13"/>
  <c r="R856" i="13"/>
  <c r="R850" i="13"/>
  <c r="R846" i="13"/>
  <c r="R844" i="13"/>
  <c r="R842" i="13"/>
  <c r="R840" i="13"/>
  <c r="R838" i="13"/>
  <c r="R836" i="13"/>
  <c r="R834" i="13"/>
  <c r="R832" i="13"/>
  <c r="R830" i="13"/>
  <c r="R826" i="13"/>
  <c r="R824" i="13"/>
  <c r="R822" i="13"/>
  <c r="R818" i="13"/>
  <c r="R816" i="13"/>
  <c r="R814" i="13"/>
  <c r="R812" i="13"/>
  <c r="R810" i="13"/>
  <c r="R806" i="13"/>
  <c r="R804" i="13"/>
  <c r="R798" i="13"/>
  <c r="R796" i="13"/>
  <c r="R794" i="13"/>
  <c r="R792" i="13"/>
  <c r="R788" i="13"/>
  <c r="R784" i="13"/>
  <c r="R782" i="13"/>
  <c r="R776" i="13"/>
  <c r="R774" i="13"/>
  <c r="R772" i="13"/>
  <c r="R770" i="13"/>
  <c r="R768" i="13"/>
  <c r="R766" i="13"/>
  <c r="R764" i="13"/>
  <c r="R762" i="13"/>
  <c r="R760" i="13"/>
  <c r="R758" i="13"/>
  <c r="R748" i="13"/>
  <c r="R746" i="13"/>
  <c r="R744" i="13"/>
  <c r="R742" i="13"/>
  <c r="R736" i="13"/>
  <c r="R734" i="13"/>
  <c r="R730" i="13"/>
  <c r="R728" i="13"/>
  <c r="R726" i="13"/>
  <c r="R724" i="13"/>
  <c r="R720" i="13"/>
  <c r="R716" i="13"/>
  <c r="R712" i="13"/>
  <c r="R708" i="13"/>
  <c r="R696" i="13"/>
  <c r="R692" i="13"/>
  <c r="R688" i="13"/>
  <c r="R684" i="13"/>
  <c r="R680" i="13"/>
  <c r="R676" i="13"/>
  <c r="R672" i="13"/>
  <c r="R668" i="13"/>
  <c r="R664" i="13"/>
  <c r="R662" i="13"/>
  <c r="R658" i="13"/>
  <c r="R650" i="13"/>
  <c r="R646" i="13"/>
  <c r="R638" i="13"/>
  <c r="R630" i="13"/>
  <c r="R626" i="13"/>
  <c r="R618" i="13"/>
  <c r="R614" i="13"/>
  <c r="R606" i="13"/>
  <c r="R602" i="13"/>
  <c r="R598" i="13"/>
  <c r="N413" i="13"/>
  <c r="T413" i="13" s="1"/>
  <c r="N214" i="13"/>
  <c r="T214" i="13" s="1"/>
  <c r="N478" i="13"/>
  <c r="T478" i="13" s="1"/>
  <c r="N619" i="13"/>
  <c r="T619" i="13" s="1"/>
  <c r="N186" i="13"/>
  <c r="T186" i="13" s="1"/>
  <c r="N360" i="13"/>
  <c r="T360" i="13" s="1"/>
  <c r="N481" i="13"/>
  <c r="T481" i="13" s="1"/>
  <c r="N741" i="13"/>
  <c r="T741" i="13" s="1"/>
  <c r="N209" i="13"/>
  <c r="T209" i="13" s="1"/>
  <c r="N631" i="13"/>
  <c r="T631" i="13" s="1"/>
  <c r="N269" i="13"/>
  <c r="T269" i="13" s="1"/>
  <c r="N555" i="13"/>
  <c r="T555" i="13" s="1"/>
  <c r="N61" i="13"/>
  <c r="T61" i="13" s="1"/>
  <c r="N414" i="13"/>
  <c r="T414" i="13" s="1"/>
  <c r="N195" i="13"/>
  <c r="T195" i="13" s="1"/>
  <c r="N362" i="13"/>
  <c r="T362" i="13" s="1"/>
  <c r="N6" i="13"/>
  <c r="T6" i="13" s="1"/>
  <c r="N58" i="13"/>
  <c r="T58" i="13" s="1"/>
  <c r="N239" i="13"/>
  <c r="T239" i="13" s="1"/>
  <c r="N229" i="13"/>
  <c r="T229" i="13" s="1"/>
  <c r="N238" i="13"/>
  <c r="T238" i="13" s="1"/>
  <c r="N353" i="13"/>
  <c r="T353" i="13" s="1"/>
  <c r="N77" i="13"/>
  <c r="T77" i="13" s="1"/>
  <c r="N501" i="13"/>
  <c r="T501" i="13" s="1"/>
  <c r="N173" i="13"/>
  <c r="T173" i="13" s="1"/>
  <c r="N496" i="13"/>
  <c r="T496" i="13" s="1"/>
  <c r="N11" i="13"/>
  <c r="T11" i="13" s="1"/>
  <c r="N249" i="13"/>
  <c r="T249" i="13" s="1"/>
  <c r="N775" i="13"/>
  <c r="T775" i="13" s="1"/>
  <c r="N83" i="13"/>
  <c r="T83" i="13" s="1"/>
  <c r="N500" i="13"/>
  <c r="T500" i="13" s="1"/>
  <c r="N761" i="13"/>
  <c r="T761" i="13" s="1"/>
  <c r="N129" i="13"/>
  <c r="T129" i="13" s="1"/>
  <c r="N451" i="13"/>
  <c r="T451" i="13" s="1"/>
  <c r="N54" i="13"/>
  <c r="T54" i="13" s="1"/>
  <c r="N283" i="13"/>
  <c r="T283" i="13" s="1"/>
  <c r="N456" i="13"/>
  <c r="T456" i="13" s="1"/>
  <c r="N194" i="13"/>
  <c r="T194" i="13" s="1"/>
  <c r="N543" i="13"/>
  <c r="T543" i="13" s="1"/>
  <c r="N14" i="13"/>
  <c r="T14" i="13" s="1"/>
  <c r="N440" i="13"/>
  <c r="T440" i="13" s="1"/>
  <c r="N100" i="13"/>
  <c r="T100" i="13" s="1"/>
  <c r="N268" i="13"/>
  <c r="T268" i="13" s="1"/>
  <c r="N280" i="13"/>
  <c r="T280" i="13" s="1"/>
  <c r="N757" i="13"/>
  <c r="T757" i="13" s="1"/>
  <c r="N24" i="13"/>
  <c r="T24" i="13" s="1"/>
  <c r="N114" i="13"/>
  <c r="T114" i="13" s="1"/>
  <c r="N731" i="13"/>
  <c r="T731" i="13" s="1"/>
  <c r="N9" i="13"/>
  <c r="T9" i="13" s="1"/>
  <c r="N813" i="13"/>
  <c r="T813" i="13" s="1"/>
  <c r="N211" i="13"/>
  <c r="T211" i="13" s="1"/>
  <c r="N392" i="13"/>
  <c r="T392" i="13" s="1"/>
  <c r="N126" i="13"/>
  <c r="T126" i="13" s="1"/>
  <c r="N571" i="13"/>
  <c r="T571" i="13" s="1"/>
  <c r="N382" i="13"/>
  <c r="T382" i="13" s="1"/>
  <c r="N661" i="13"/>
  <c r="T661" i="13" s="1"/>
  <c r="N175" i="13"/>
  <c r="T175" i="13" s="1"/>
  <c r="N184" i="13"/>
  <c r="T184" i="13" s="1"/>
  <c r="N398" i="13"/>
  <c r="T398" i="13" s="1"/>
  <c r="N721" i="13"/>
  <c r="T721" i="13" s="1"/>
  <c r="N107" i="13"/>
  <c r="T107" i="13" s="1"/>
  <c r="N468" i="13"/>
  <c r="T468" i="13" s="1"/>
  <c r="N111" i="13"/>
  <c r="T111" i="13" s="1"/>
  <c r="N131" i="13"/>
  <c r="T131" i="13" s="1"/>
  <c r="N123" i="13"/>
  <c r="T123" i="13" s="1"/>
  <c r="N337" i="13"/>
  <c r="T337" i="13" s="1"/>
  <c r="N52" i="13"/>
  <c r="T52" i="13" s="1"/>
  <c r="N396" i="13"/>
  <c r="T396" i="13" s="1"/>
  <c r="N785" i="13"/>
  <c r="T785" i="13" s="1"/>
  <c r="N315" i="13"/>
  <c r="T315" i="13" s="1"/>
  <c r="N41" i="13"/>
  <c r="T41" i="13" s="1"/>
  <c r="N779" i="13"/>
  <c r="T779" i="13" s="1"/>
  <c r="N96" i="13"/>
  <c r="T96" i="13" s="1"/>
  <c r="N130" i="13"/>
  <c r="T130" i="13" s="1"/>
  <c r="N69" i="13"/>
  <c r="T69" i="13" s="1"/>
  <c r="N447" i="13"/>
  <c r="T447" i="13" s="1"/>
  <c r="N401" i="13"/>
  <c r="T401" i="13" s="1"/>
  <c r="N621" i="13"/>
  <c r="T621" i="13" s="1"/>
  <c r="N205" i="13"/>
  <c r="T205" i="13" s="1"/>
  <c r="N747" i="13"/>
  <c r="T747" i="13" s="1"/>
  <c r="N162" i="13"/>
  <c r="T162" i="13" s="1"/>
  <c r="N191" i="13"/>
  <c r="T191" i="13" s="1"/>
  <c r="N819" i="13"/>
  <c r="T819" i="13" s="1"/>
  <c r="N245" i="13"/>
  <c r="T245" i="13" s="1"/>
  <c r="N228" i="13"/>
  <c r="T228" i="13" s="1"/>
  <c r="N653" i="13"/>
  <c r="T653" i="13" s="1"/>
  <c r="N743" i="13"/>
  <c r="T743" i="13" s="1"/>
  <c r="N387" i="13"/>
  <c r="T387" i="13" s="1"/>
  <c r="N438" i="13"/>
  <c r="T438" i="13" s="1"/>
  <c r="N803" i="13"/>
  <c r="T803" i="13" s="1"/>
  <c r="N293" i="13"/>
  <c r="T293" i="13" s="1"/>
  <c r="N492" i="13"/>
  <c r="T492" i="13" s="1"/>
  <c r="N793" i="13"/>
  <c r="T793" i="13" s="1"/>
  <c r="N633" i="13"/>
  <c r="T633" i="13" s="1"/>
  <c r="N815" i="13"/>
  <c r="T815" i="13" s="1"/>
  <c r="N544" i="13"/>
  <c r="T544" i="13" s="1"/>
  <c r="N577" i="13"/>
  <c r="T577" i="13" s="1"/>
  <c r="N204" i="13"/>
  <c r="T204" i="13" s="1"/>
  <c r="N394" i="13"/>
  <c r="T394" i="13" s="1"/>
  <c r="N67" i="13"/>
  <c r="T67" i="13" s="1"/>
  <c r="N357" i="13"/>
  <c r="T357" i="13" s="1"/>
  <c r="N297" i="13"/>
  <c r="T297" i="13" s="1"/>
  <c r="N540" i="13"/>
  <c r="T540" i="13" s="1"/>
  <c r="N284" i="13"/>
  <c r="T284" i="13" s="1"/>
  <c r="N384" i="13"/>
  <c r="T384" i="13" s="1"/>
  <c r="N165" i="13"/>
  <c r="T165" i="13" s="1"/>
  <c r="N406" i="13"/>
  <c r="T406" i="13" s="1"/>
  <c r="N526" i="13"/>
  <c r="T526" i="13" s="1"/>
  <c r="N651" i="13"/>
  <c r="T651" i="13" s="1"/>
  <c r="N407" i="13"/>
  <c r="T407" i="13" s="1"/>
  <c r="N446" i="13"/>
  <c r="T446" i="13" s="1"/>
  <c r="N57" i="13"/>
  <c r="T57" i="13" s="1"/>
  <c r="N516" i="13"/>
  <c r="T516" i="13" s="1"/>
  <c r="N593" i="13"/>
  <c r="T593" i="13" s="1"/>
  <c r="N328" i="13"/>
  <c r="T328" i="13" s="1"/>
  <c r="N497" i="13"/>
  <c r="T497" i="13" s="1"/>
  <c r="N323" i="13"/>
  <c r="T323" i="13" s="1"/>
  <c r="N625" i="13"/>
  <c r="T625" i="13" s="1"/>
  <c r="N347" i="13"/>
  <c r="T347" i="13" s="1"/>
  <c r="N282" i="13"/>
  <c r="T282" i="13" s="1"/>
  <c r="N78" i="13"/>
  <c r="T78" i="13" s="1"/>
  <c r="N715" i="13"/>
  <c r="T715" i="13" s="1"/>
  <c r="N150" i="13"/>
  <c r="T150" i="13" s="1"/>
  <c r="N125" i="13"/>
  <c r="T125" i="13" s="1"/>
  <c r="N230" i="13"/>
  <c r="T230" i="13" s="1"/>
  <c r="N767" i="13"/>
  <c r="T767" i="13" s="1"/>
  <c r="N87" i="13"/>
  <c r="T87" i="13" s="1"/>
  <c r="N201" i="13"/>
  <c r="T201" i="13" s="1"/>
  <c r="N49" i="13"/>
  <c r="T49" i="13" s="1"/>
  <c r="N344" i="13"/>
  <c r="T344" i="13" s="1"/>
  <c r="N336" i="13"/>
  <c r="T336" i="13" s="1"/>
  <c r="N641" i="13"/>
  <c r="T641" i="13" s="1"/>
  <c r="N303" i="13"/>
  <c r="T303" i="13" s="1"/>
  <c r="N133" i="13"/>
  <c r="T133" i="13" s="1"/>
  <c r="N263" i="13"/>
  <c r="T263" i="13" s="1"/>
  <c r="N391" i="13"/>
  <c r="T391" i="13" s="1"/>
  <c r="N117" i="13"/>
  <c r="T117" i="13" s="1"/>
  <c r="N561" i="13"/>
  <c r="T561" i="13" s="1"/>
  <c r="N7" i="13"/>
  <c r="T7" i="13" s="1"/>
  <c r="N287" i="13"/>
  <c r="T287" i="13" s="1"/>
  <c r="N2" i="13"/>
  <c r="T2" i="13" s="1"/>
  <c r="N177" i="13"/>
  <c r="T177" i="13" s="1"/>
  <c r="N66" i="13"/>
  <c r="T66" i="13" s="1"/>
  <c r="N72" i="13"/>
  <c r="T72" i="13" s="1"/>
  <c r="N376" i="13"/>
  <c r="T376" i="13" s="1"/>
  <c r="N369" i="13"/>
  <c r="T369" i="13" s="1"/>
  <c r="N488" i="13"/>
  <c r="T488" i="13" s="1"/>
  <c r="N797" i="13"/>
  <c r="T797" i="13" s="1"/>
  <c r="N167" i="13"/>
  <c r="T167" i="13" s="1"/>
  <c r="N359" i="13"/>
  <c r="T359" i="13" s="1"/>
  <c r="N408" i="13"/>
  <c r="T408" i="13" s="1"/>
  <c r="N489" i="13"/>
  <c r="T489" i="13" s="1"/>
  <c r="N99" i="13"/>
  <c r="T99" i="13" s="1"/>
  <c r="N416" i="13"/>
  <c r="T416" i="13" s="1"/>
  <c r="N50" i="13"/>
  <c r="T50" i="13" s="1"/>
  <c r="N445" i="13"/>
  <c r="T445" i="13" s="1"/>
  <c r="N148" i="13"/>
  <c r="T148" i="13" s="1"/>
  <c r="N55" i="13"/>
  <c r="T55" i="13" s="1"/>
  <c r="N355" i="13"/>
  <c r="T355" i="13" s="1"/>
  <c r="N458" i="13"/>
  <c r="T458" i="13" s="1"/>
  <c r="N504" i="13"/>
  <c r="T504" i="13" s="1"/>
  <c r="N771" i="13"/>
  <c r="T771" i="13" s="1"/>
  <c r="N208" i="13"/>
  <c r="T208" i="13" s="1"/>
  <c r="N725" i="13"/>
  <c r="T725" i="13" s="1"/>
  <c r="N166" i="13"/>
  <c r="T166" i="13" s="1"/>
  <c r="N581" i="13"/>
  <c r="T581" i="13" s="1"/>
  <c r="N79" i="13"/>
  <c r="T79" i="13" s="1"/>
  <c r="N159" i="13"/>
  <c r="T159" i="13" s="1"/>
  <c r="N226" i="13"/>
  <c r="T226" i="13" s="1"/>
  <c r="N643" i="13"/>
  <c r="T643" i="13" s="1"/>
  <c r="N506" i="13"/>
  <c r="T506" i="13" s="1"/>
  <c r="N655" i="13"/>
  <c r="T655" i="13" s="1"/>
  <c r="N63" i="13"/>
  <c r="T63" i="13" s="1"/>
  <c r="N153" i="13"/>
  <c r="T153" i="13" s="1"/>
  <c r="N210" i="13"/>
  <c r="T210" i="13" s="1"/>
  <c r="N733" i="13"/>
  <c r="T733" i="13" s="1"/>
  <c r="N377" i="13"/>
  <c r="T377" i="13" s="1"/>
  <c r="N426" i="13"/>
  <c r="T426" i="13" s="1"/>
  <c r="N361" i="13"/>
  <c r="T361" i="13" s="1"/>
  <c r="N597" i="13"/>
  <c r="T597" i="13" s="1"/>
  <c r="N354" i="13"/>
  <c r="T354" i="13" s="1"/>
  <c r="N429" i="13"/>
  <c r="T429" i="13" s="1"/>
  <c r="N104" i="13"/>
  <c r="T104" i="13" s="1"/>
  <c r="N112" i="13"/>
  <c r="T112" i="13" s="1"/>
  <c r="N48" i="13"/>
  <c r="T48" i="13" s="1"/>
  <c r="N817" i="13"/>
  <c r="T817" i="13" s="1"/>
  <c r="N16" i="13"/>
  <c r="T16" i="13" s="1"/>
  <c r="N291" i="13"/>
  <c r="T291" i="13" s="1"/>
  <c r="N683" i="13"/>
  <c r="T683" i="13" s="1"/>
  <c r="N121" i="13"/>
  <c r="T121" i="13" s="1"/>
  <c r="N591" i="13"/>
  <c r="T591" i="13" s="1"/>
  <c r="N685" i="13"/>
  <c r="T685" i="13" s="1"/>
  <c r="N799" i="13"/>
  <c r="T799" i="13" s="1"/>
  <c r="N102" i="13"/>
  <c r="T102" i="13" s="1"/>
  <c r="N639" i="13"/>
  <c r="T639" i="13" s="1"/>
  <c r="N383" i="13"/>
  <c r="T383" i="13" s="1"/>
  <c r="N101" i="13"/>
  <c r="T101" i="13" s="1"/>
  <c r="N415" i="13"/>
  <c r="T415" i="13" s="1"/>
  <c r="N206" i="13"/>
  <c r="T206" i="13" s="1"/>
  <c r="N203" i="13"/>
  <c r="T203" i="13" s="1"/>
  <c r="N811" i="13"/>
  <c r="T811" i="13" s="1"/>
  <c r="N5" i="13"/>
  <c r="T5" i="13" s="1"/>
  <c r="N659" i="13"/>
  <c r="T659" i="13" s="1"/>
  <c r="N36" i="13"/>
  <c r="T36" i="13" s="1"/>
  <c r="N371" i="13"/>
  <c r="T371" i="13" s="1"/>
  <c r="N801" i="13"/>
  <c r="T801" i="13" s="1"/>
  <c r="N138" i="13"/>
  <c r="T138" i="13" s="1"/>
  <c r="N265" i="13"/>
  <c r="T265" i="13" s="1"/>
  <c r="N583" i="13"/>
  <c r="T583" i="13" s="1"/>
  <c r="N35" i="13"/>
  <c r="T35" i="13" s="1"/>
  <c r="N490" i="13"/>
  <c r="T490" i="13" s="1"/>
  <c r="N409" i="13"/>
  <c r="T409" i="13" s="1"/>
  <c r="N236" i="13"/>
  <c r="T236" i="13" s="1"/>
  <c r="N477" i="13"/>
  <c r="T477" i="13" s="1"/>
  <c r="N751" i="13"/>
  <c r="T751" i="13" s="1"/>
  <c r="N345" i="13"/>
  <c r="T345" i="13" s="1"/>
  <c r="N513" i="13"/>
  <c r="T513" i="13" s="1"/>
  <c r="N667" i="13"/>
  <c r="T667" i="13" s="1"/>
  <c r="N15" i="13"/>
  <c r="T15" i="13" s="1"/>
  <c r="N366" i="13"/>
  <c r="T366" i="13" s="1"/>
  <c r="N60" i="13"/>
  <c r="T60" i="13" s="1"/>
  <c r="N375" i="13"/>
  <c r="T375" i="13" s="1"/>
  <c r="N373" i="13"/>
  <c r="T373" i="13" s="1"/>
  <c r="N379" i="13"/>
  <c r="T379" i="13" s="1"/>
  <c r="N546" i="13"/>
  <c r="T546" i="13" s="1"/>
  <c r="N13" i="13"/>
  <c r="T13" i="13" s="1"/>
  <c r="N180" i="13"/>
  <c r="T180" i="13" s="1"/>
  <c r="N256" i="13"/>
  <c r="T256" i="13" s="1"/>
  <c r="N518" i="13"/>
  <c r="T518" i="13" s="1"/>
  <c r="N163" i="13"/>
  <c r="T163" i="13" s="1"/>
  <c r="N587" i="13"/>
  <c r="T587" i="13" s="1"/>
  <c r="N428" i="13"/>
  <c r="T428" i="13" s="1"/>
  <c r="N498" i="13"/>
  <c r="T498" i="13" s="1"/>
  <c r="N174" i="13"/>
  <c r="T174" i="13" s="1"/>
  <c r="N541" i="13"/>
  <c r="T541" i="13" s="1"/>
  <c r="N717" i="13"/>
  <c r="T717" i="13" s="1"/>
  <c r="N103" i="13"/>
  <c r="T103" i="13" s="1"/>
  <c r="N339" i="13"/>
  <c r="T339" i="13" s="1"/>
  <c r="N908" i="13"/>
  <c r="T908" i="13" s="1"/>
  <c r="N906" i="13"/>
  <c r="T906" i="13" s="1"/>
  <c r="N904" i="13"/>
  <c r="T904" i="13" s="1"/>
  <c r="N902" i="13"/>
  <c r="T902" i="13" s="1"/>
  <c r="N894" i="13"/>
  <c r="T894" i="13" s="1"/>
  <c r="N888" i="13"/>
  <c r="T888" i="13" s="1"/>
  <c r="N882" i="13"/>
  <c r="T882" i="13" s="1"/>
  <c r="N874" i="13"/>
  <c r="T874" i="13" s="1"/>
  <c r="N872" i="13"/>
  <c r="T872" i="13" s="1"/>
  <c r="N868" i="13"/>
  <c r="T868" i="13" s="1"/>
  <c r="N866" i="13"/>
  <c r="T866" i="13" s="1"/>
  <c r="N864" i="13"/>
  <c r="T864" i="13" s="1"/>
  <c r="N862" i="13"/>
  <c r="T862" i="13" s="1"/>
  <c r="N860" i="13"/>
  <c r="T860" i="13" s="1"/>
  <c r="N858" i="13"/>
  <c r="T858" i="13" s="1"/>
  <c r="N856" i="13"/>
  <c r="T856" i="13" s="1"/>
  <c r="N844" i="13"/>
  <c r="T844" i="13" s="1"/>
  <c r="N842" i="13"/>
  <c r="T842" i="13" s="1"/>
  <c r="N840" i="13"/>
  <c r="T840" i="13" s="1"/>
  <c r="N834" i="13"/>
  <c r="T834" i="13" s="1"/>
  <c r="N832" i="13"/>
  <c r="T832" i="13" s="1"/>
  <c r="N830" i="13"/>
  <c r="T830" i="13" s="1"/>
  <c r="N826" i="13"/>
  <c r="T826" i="13" s="1"/>
  <c r="N818" i="13"/>
  <c r="T818" i="13" s="1"/>
  <c r="N814" i="13"/>
  <c r="T814" i="13" s="1"/>
  <c r="N798" i="13"/>
  <c r="T798" i="13" s="1"/>
  <c r="N794" i="13"/>
  <c r="T794" i="13" s="1"/>
  <c r="N774" i="13"/>
  <c r="T774" i="13" s="1"/>
  <c r="N770" i="13"/>
  <c r="T770" i="13" s="1"/>
  <c r="N766" i="13"/>
  <c r="T766" i="13" s="1"/>
  <c r="N762" i="13"/>
  <c r="T762" i="13" s="1"/>
  <c r="N758" i="13"/>
  <c r="T758" i="13" s="1"/>
  <c r="N750" i="13"/>
  <c r="T750" i="13" s="1"/>
  <c r="N734" i="13"/>
  <c r="T734" i="13" s="1"/>
  <c r="N730" i="13"/>
  <c r="T730" i="13" s="1"/>
  <c r="N722" i="13"/>
  <c r="T722" i="13" s="1"/>
  <c r="N714" i="13"/>
  <c r="T714" i="13" s="1"/>
  <c r="N710" i="13"/>
  <c r="T710" i="13" s="1"/>
  <c r="N706" i="13"/>
  <c r="T706" i="13" s="1"/>
  <c r="N702" i="13"/>
  <c r="T702" i="13" s="1"/>
  <c r="N694" i="13"/>
  <c r="T694" i="13" s="1"/>
  <c r="N690" i="13"/>
  <c r="T690" i="13" s="1"/>
  <c r="N678" i="13"/>
  <c r="T678" i="13" s="1"/>
  <c r="N674" i="13"/>
  <c r="T674" i="13" s="1"/>
  <c r="N670" i="13"/>
  <c r="T670" i="13" s="1"/>
  <c r="N660" i="13"/>
  <c r="T660" i="13" s="1"/>
  <c r="N652" i="13"/>
  <c r="T652" i="13" s="1"/>
  <c r="N648" i="13"/>
  <c r="T648" i="13" s="1"/>
  <c r="N644" i="13"/>
  <c r="T644" i="13" s="1"/>
  <c r="N640" i="13"/>
  <c r="T640" i="13" s="1"/>
  <c r="N636" i="13"/>
  <c r="T636" i="13" s="1"/>
  <c r="N632" i="13"/>
  <c r="T632" i="13" s="1"/>
  <c r="N628" i="13"/>
  <c r="T628" i="13" s="1"/>
  <c r="N624" i="13"/>
  <c r="T624" i="13" s="1"/>
  <c r="N608" i="13"/>
  <c r="T608" i="13" s="1"/>
  <c r="N604" i="13"/>
  <c r="T604" i="13" s="1"/>
  <c r="N588" i="13"/>
  <c r="T588" i="13" s="1"/>
  <c r="N584" i="13"/>
  <c r="T584" i="13" s="1"/>
  <c r="N580" i="13"/>
  <c r="T580" i="13" s="1"/>
  <c r="N572" i="13"/>
  <c r="T572" i="13" s="1"/>
  <c r="N568" i="13"/>
  <c r="T568" i="13" s="1"/>
  <c r="N17" i="13"/>
  <c r="T17" i="13" s="1"/>
  <c r="N649" i="13"/>
  <c r="T649" i="13" s="1"/>
  <c r="N763" i="13"/>
  <c r="T763" i="13" s="1"/>
  <c r="N200" i="13"/>
  <c r="T200" i="13" s="1"/>
  <c r="N549" i="13"/>
  <c r="T549" i="13" s="1"/>
  <c r="N699" i="13"/>
  <c r="T699" i="13" s="1"/>
  <c r="N155" i="13"/>
  <c r="T155" i="13" s="1"/>
  <c r="N113" i="13"/>
  <c r="T113" i="13" s="1"/>
  <c r="N548" i="13"/>
  <c r="T548" i="13" s="1"/>
  <c r="N465" i="13"/>
  <c r="T465" i="13" s="1"/>
  <c r="N485" i="13"/>
  <c r="T485" i="13" s="1"/>
  <c r="N356" i="13"/>
  <c r="T356" i="13" s="1"/>
  <c r="N547" i="13"/>
  <c r="T547" i="13" s="1"/>
  <c r="N332" i="13"/>
  <c r="T332" i="13" s="1"/>
  <c r="N657" i="13"/>
  <c r="T657" i="13" s="1"/>
  <c r="N158" i="13"/>
  <c r="T158" i="13" s="1"/>
  <c r="N342" i="13"/>
  <c r="T342" i="13" s="1"/>
  <c r="N499" i="13"/>
  <c r="T499" i="13" s="1"/>
  <c r="N224" i="13"/>
  <c r="T224" i="13" s="1"/>
  <c r="N272" i="13"/>
  <c r="T272" i="13" s="1"/>
  <c r="N292" i="13"/>
  <c r="T292" i="13" s="1"/>
  <c r="N508" i="13"/>
  <c r="T508" i="13" s="1"/>
  <c r="N529" i="13"/>
  <c r="T529" i="13" s="1"/>
  <c r="N82" i="13"/>
  <c r="T82" i="13" s="1"/>
  <c r="N611" i="13"/>
  <c r="T611" i="13" s="1"/>
  <c r="N777" i="13"/>
  <c r="T777" i="13" s="1"/>
  <c r="N94" i="13"/>
  <c r="T94" i="13" s="1"/>
  <c r="N279" i="13"/>
  <c r="T279" i="13" s="1"/>
  <c r="N300" i="13"/>
  <c r="T300" i="13" s="1"/>
  <c r="N469" i="13"/>
  <c r="T469" i="13" s="1"/>
  <c r="N170" i="13"/>
  <c r="T170" i="13" s="1"/>
  <c r="N21" i="13"/>
  <c r="T21" i="13" s="1"/>
  <c r="N27" i="13"/>
  <c r="T27" i="13" s="1"/>
  <c r="N151" i="13"/>
  <c r="T151" i="13" s="1"/>
  <c r="N39" i="13"/>
  <c r="T39" i="13" s="1"/>
  <c r="N217" i="13"/>
  <c r="T217" i="13" s="1"/>
  <c r="N91" i="13"/>
  <c r="T91" i="13" s="1"/>
  <c r="N419" i="13"/>
  <c r="T419" i="13" s="1"/>
  <c r="N719" i="13"/>
  <c r="T719" i="13" s="1"/>
  <c r="N397" i="13"/>
  <c r="T397" i="13" s="1"/>
  <c r="N617" i="13"/>
  <c r="T617" i="13" s="1"/>
  <c r="N444" i="13"/>
  <c r="T444" i="13" s="1"/>
  <c r="N769" i="13"/>
  <c r="T769" i="13" s="1"/>
  <c r="N20" i="13"/>
  <c r="T20" i="13" s="1"/>
  <c r="N340" i="13"/>
  <c r="T340" i="13" s="1"/>
  <c r="N95" i="13"/>
  <c r="T95" i="13" s="1"/>
  <c r="N278" i="13"/>
  <c r="T278" i="13" s="1"/>
  <c r="N452" i="13"/>
  <c r="T452" i="13" s="1"/>
  <c r="N334" i="13"/>
  <c r="T334" i="13" s="1"/>
  <c r="N755" i="13"/>
  <c r="T755" i="13" s="1"/>
  <c r="N514" i="13"/>
  <c r="T514" i="13" s="1"/>
  <c r="N759" i="13"/>
  <c r="T759" i="13" s="1"/>
  <c r="N144" i="13"/>
  <c r="T144" i="13" s="1"/>
  <c r="N623" i="13"/>
  <c r="T623" i="13" s="1"/>
  <c r="N358" i="13"/>
  <c r="T358" i="13" s="1"/>
  <c r="N463" i="13"/>
  <c r="T463" i="13" s="1"/>
  <c r="N697" i="13"/>
  <c r="T697" i="13" s="1"/>
  <c r="N317" i="13"/>
  <c r="T317" i="13" s="1"/>
  <c r="N326" i="13"/>
  <c r="T326" i="13" s="1"/>
  <c r="N296" i="13"/>
  <c r="T296" i="13" s="1"/>
  <c r="N235" i="13"/>
  <c r="T235" i="13" s="1"/>
  <c r="N346" i="13"/>
  <c r="T346" i="13" s="1"/>
  <c r="N486" i="13"/>
  <c r="T486" i="13" s="1"/>
  <c r="N318" i="13"/>
  <c r="T318" i="13" s="1"/>
  <c r="N539" i="13"/>
  <c r="T539" i="13" s="1"/>
  <c r="N59" i="13"/>
  <c r="T59" i="13" s="1"/>
  <c r="N437" i="13"/>
  <c r="T437" i="13" s="1"/>
  <c r="N231" i="13"/>
  <c r="T231" i="13" s="1"/>
  <c r="N97" i="13"/>
  <c r="T97" i="13" s="1"/>
  <c r="N595" i="13"/>
  <c r="T595" i="13" s="1"/>
  <c r="N275" i="13"/>
  <c r="T275" i="13" s="1"/>
  <c r="N567" i="13"/>
  <c r="T567" i="13" s="1"/>
  <c r="N18" i="13"/>
  <c r="T18" i="13" s="1"/>
  <c r="N321" i="13"/>
  <c r="T321" i="13" s="1"/>
  <c r="N473" i="13"/>
  <c r="T473" i="13" s="1"/>
  <c r="N645" i="13"/>
  <c r="T645" i="13" s="1"/>
  <c r="N289" i="13"/>
  <c r="T289" i="13" s="1"/>
  <c r="N430" i="13"/>
  <c r="T430" i="13" s="1"/>
  <c r="N462" i="13"/>
  <c r="T462" i="13" s="1"/>
  <c r="N115" i="13"/>
  <c r="T115" i="13" s="1"/>
  <c r="N609" i="13"/>
  <c r="T609" i="13" s="1"/>
  <c r="N475" i="13"/>
  <c r="T475" i="13" s="1"/>
  <c r="N675" i="13"/>
  <c r="T675" i="13" s="1"/>
  <c r="N28" i="13"/>
  <c r="T28" i="13" s="1"/>
  <c r="N290" i="13"/>
  <c r="T290" i="13" s="1"/>
  <c r="N154" i="13"/>
  <c r="T154" i="13" s="1"/>
  <c r="N423" i="13"/>
  <c r="T423" i="13" s="1"/>
  <c r="N240" i="13"/>
  <c r="T240" i="13" s="1"/>
  <c r="N534" i="13"/>
  <c r="T534" i="13" s="1"/>
  <c r="N791" i="13"/>
  <c r="T791" i="13" s="1"/>
  <c r="N450" i="13"/>
  <c r="T450" i="13" s="1"/>
  <c r="N825" i="13"/>
  <c r="T825" i="13" s="1"/>
  <c r="N207" i="13"/>
  <c r="T207" i="13" s="1"/>
  <c r="N378" i="13"/>
  <c r="T378" i="13" s="1"/>
  <c r="N98" i="13"/>
  <c r="T98" i="13" s="1"/>
  <c r="N329" i="13"/>
  <c r="T329" i="13" s="1"/>
  <c r="N367" i="13"/>
  <c r="T367" i="13" s="1"/>
  <c r="N172" i="13"/>
  <c r="T172" i="13" s="1"/>
  <c r="N74" i="13"/>
  <c r="T74" i="13" s="1"/>
  <c r="N519" i="13"/>
  <c r="T519" i="13" s="1"/>
  <c r="N182" i="13"/>
  <c r="T182" i="13" s="1"/>
  <c r="N705" i="13"/>
  <c r="T705" i="13" s="1"/>
  <c r="N713" i="13"/>
  <c r="T713" i="13" s="1"/>
  <c r="N70" i="13"/>
  <c r="T70" i="13" s="1"/>
  <c r="N665" i="13"/>
  <c r="T665" i="13" s="1"/>
  <c r="N193" i="13"/>
  <c r="T193" i="13" s="1"/>
  <c r="N241" i="13"/>
  <c r="T241" i="13" s="1"/>
  <c r="N108" i="13"/>
  <c r="T108" i="13" s="1"/>
  <c r="N146" i="13"/>
  <c r="T146" i="13" s="1"/>
  <c r="N457" i="13"/>
  <c r="T457" i="13" s="1"/>
  <c r="N467" i="13"/>
  <c r="T467" i="13" s="1"/>
  <c r="N535" i="13"/>
  <c r="T535" i="13" s="1"/>
  <c r="N615" i="13"/>
  <c r="T615" i="13" s="1"/>
  <c r="N68" i="13"/>
  <c r="T68" i="13" s="1"/>
  <c r="N84" i="13"/>
  <c r="T84" i="13" s="1"/>
  <c r="N120" i="13"/>
  <c r="T120" i="13" s="1"/>
  <c r="N491" i="13"/>
  <c r="T491" i="13" s="1"/>
  <c r="N127" i="13"/>
  <c r="T127" i="13" s="1"/>
  <c r="N487" i="13"/>
  <c r="T487" i="13" s="1"/>
  <c r="N65" i="13"/>
  <c r="T65" i="13" s="1"/>
  <c r="N827" i="13"/>
  <c r="T827" i="13" s="1"/>
  <c r="N464" i="13"/>
  <c r="T464" i="13" s="1"/>
  <c r="N380" i="13"/>
  <c r="T380" i="13" s="1"/>
  <c r="N187" i="13"/>
  <c r="T187" i="13" s="1"/>
  <c r="N673" i="13"/>
  <c r="T673" i="13" s="1"/>
  <c r="N689" i="13"/>
  <c r="T689" i="13" s="1"/>
  <c r="N44" i="13"/>
  <c r="T44" i="13" s="1"/>
  <c r="N295" i="13"/>
  <c r="T295" i="13" s="1"/>
  <c r="N212" i="13"/>
  <c r="T212" i="13" s="1"/>
  <c r="N34" i="13"/>
  <c r="T34" i="13" s="1"/>
  <c r="N221" i="13"/>
  <c r="T221" i="13" s="1"/>
  <c r="N254" i="13"/>
  <c r="T254" i="13" s="1"/>
  <c r="N276" i="13"/>
  <c r="T276" i="13" s="1"/>
  <c r="N511" i="13"/>
  <c r="T511" i="13" s="1"/>
  <c r="N635" i="13"/>
  <c r="T635" i="13" s="1"/>
  <c r="N522" i="13"/>
  <c r="T522" i="13" s="1"/>
  <c r="N691" i="13"/>
  <c r="T691" i="13" s="1"/>
  <c r="N258" i="13"/>
  <c r="T258" i="13" s="1"/>
  <c r="N372" i="13"/>
  <c r="T372" i="13" s="1"/>
  <c r="N38" i="13"/>
  <c r="T38" i="13" s="1"/>
  <c r="N727" i="13"/>
  <c r="T727" i="13" s="1"/>
  <c r="N333" i="13"/>
  <c r="T333" i="13" s="1"/>
  <c r="N434" i="13"/>
  <c r="T434" i="13" s="1"/>
  <c r="N179" i="13"/>
  <c r="T179" i="13" s="1"/>
  <c r="N422" i="13"/>
  <c r="T422" i="13" s="1"/>
  <c r="N753" i="13"/>
  <c r="T753" i="13" s="1"/>
  <c r="N106" i="13"/>
  <c r="T106" i="13" s="1"/>
  <c r="N259" i="13"/>
  <c r="T259" i="13" s="1"/>
  <c r="N169" i="13"/>
  <c r="T169" i="13" s="1"/>
  <c r="N156" i="13"/>
  <c r="T156" i="13" s="1"/>
  <c r="N550" i="13"/>
  <c r="T550" i="13" s="1"/>
  <c r="N23" i="13"/>
  <c r="T23" i="13" s="1"/>
  <c r="N338" i="13"/>
  <c r="T338" i="13" s="1"/>
  <c r="N116" i="13"/>
  <c r="T116" i="13" s="1"/>
  <c r="N73" i="13"/>
  <c r="T73" i="13" s="1"/>
  <c r="N474" i="13"/>
  <c r="T474" i="13" s="1"/>
  <c r="N264" i="13"/>
  <c r="T264" i="13" s="1"/>
  <c r="N424" i="13"/>
  <c r="T424" i="13" s="1"/>
  <c r="N515" i="13"/>
  <c r="T515" i="13" s="1"/>
  <c r="N709" i="13"/>
  <c r="T709" i="13" s="1"/>
  <c r="N400" i="13"/>
  <c r="T400" i="13" s="1"/>
  <c r="N607" i="13"/>
  <c r="T607" i="13" s="1"/>
  <c r="N132" i="13"/>
  <c r="T132" i="13" s="1"/>
  <c r="N181" i="13"/>
  <c r="T181" i="13" s="1"/>
  <c r="N433" i="13"/>
  <c r="T433" i="13" s="1"/>
  <c r="N198" i="13"/>
  <c r="T198" i="13" s="1"/>
  <c r="N559" i="13"/>
  <c r="T559" i="13" s="1"/>
  <c r="N532" i="13"/>
  <c r="T532" i="13" s="1"/>
  <c r="N484" i="13"/>
  <c r="T484" i="13" s="1"/>
  <c r="N503" i="13"/>
  <c r="T503" i="13" s="1"/>
  <c r="N553" i="13"/>
  <c r="T553" i="13" s="1"/>
  <c r="N320" i="13"/>
  <c r="T320" i="13" s="1"/>
  <c r="N527" i="13"/>
  <c r="T527" i="13" s="1"/>
  <c r="N270" i="13"/>
  <c r="T270" i="13" s="1"/>
  <c r="N521" i="13"/>
  <c r="T521" i="13" s="1"/>
  <c r="N273" i="13"/>
  <c r="T273" i="13" s="1"/>
  <c r="N671" i="13"/>
  <c r="T671" i="13" s="1"/>
  <c r="N427" i="13"/>
  <c r="T427" i="13" s="1"/>
  <c r="N288" i="13"/>
  <c r="T288" i="13" s="1"/>
  <c r="N88" i="13"/>
  <c r="T88" i="13" s="1"/>
  <c r="N308" i="13"/>
  <c r="T308" i="13" s="1"/>
  <c r="N693" i="13"/>
  <c r="T693" i="13" s="1"/>
  <c r="N787" i="13"/>
  <c r="T787" i="13" s="1"/>
  <c r="N247" i="13"/>
  <c r="T247" i="13" s="1"/>
  <c r="N298" i="13"/>
  <c r="T298" i="13" s="1"/>
  <c r="N233" i="13"/>
  <c r="T233" i="13" s="1"/>
  <c r="N202" i="13"/>
  <c r="T202" i="13" s="1"/>
  <c r="N681" i="13"/>
  <c r="T681" i="13" s="1"/>
  <c r="N197" i="13"/>
  <c r="T197" i="13" s="1"/>
  <c r="N294" i="13"/>
  <c r="T294" i="13" s="1"/>
  <c r="N75" i="13"/>
  <c r="T75" i="13" s="1"/>
  <c r="N404" i="13"/>
  <c r="T404" i="13" s="1"/>
  <c r="N565" i="13"/>
  <c r="T565" i="13" s="1"/>
  <c r="N213" i="13"/>
  <c r="T213" i="13" s="1"/>
  <c r="N244" i="13"/>
  <c r="T244" i="13" s="1"/>
  <c r="N164" i="13"/>
  <c r="T164" i="13" s="1"/>
  <c r="N331" i="13"/>
  <c r="T331" i="13" s="1"/>
  <c r="N176" i="13"/>
  <c r="T176" i="13" s="1"/>
  <c r="N455" i="13"/>
  <c r="T455" i="13" s="1"/>
  <c r="N253" i="13"/>
  <c r="T253" i="13" s="1"/>
  <c r="N330" i="13"/>
  <c r="T330" i="13" s="1"/>
  <c r="N25" i="13"/>
  <c r="T25" i="13" s="1"/>
  <c r="N531" i="13"/>
  <c r="T531" i="13" s="1"/>
  <c r="N335" i="13"/>
  <c r="T335" i="13" s="1"/>
  <c r="N703" i="13"/>
  <c r="T703" i="13" s="1"/>
  <c r="N118" i="13"/>
  <c r="T118" i="13" s="1"/>
  <c r="N599" i="13"/>
  <c r="T599" i="13" s="1"/>
  <c r="N679" i="13"/>
  <c r="T679" i="13" s="1"/>
  <c r="N51" i="13"/>
  <c r="T51" i="13" s="1"/>
  <c r="N494" i="13"/>
  <c r="T494" i="13" s="1"/>
  <c r="N589" i="13"/>
  <c r="T589" i="13" s="1"/>
  <c r="N805" i="13"/>
  <c r="T805" i="13" s="1"/>
  <c r="N140" i="13"/>
  <c r="T140" i="13" s="1"/>
  <c r="N312" i="13"/>
  <c r="T312" i="13" s="1"/>
  <c r="N579" i="13"/>
  <c r="T579" i="13" s="1"/>
  <c r="N45" i="13"/>
  <c r="T45" i="13" s="1"/>
  <c r="N745" i="13"/>
  <c r="T745" i="13" s="1"/>
  <c r="N257" i="13"/>
  <c r="T257" i="13" s="1"/>
  <c r="N343" i="13"/>
  <c r="T343" i="13" s="1"/>
  <c r="N687" i="13"/>
  <c r="T687" i="13" s="1"/>
  <c r="N737" i="13"/>
  <c r="T737" i="13" s="1"/>
  <c r="N47" i="13"/>
  <c r="T47" i="13" s="1"/>
  <c r="N260" i="13"/>
  <c r="T260" i="13" s="1"/>
  <c r="N261" i="13"/>
  <c r="T261" i="13" s="1"/>
  <c r="N493" i="13"/>
  <c r="T493" i="13" s="1"/>
  <c r="N64" i="13"/>
  <c r="T64" i="13" s="1"/>
  <c r="N510" i="13"/>
  <c r="T510" i="13" s="1"/>
  <c r="N542" i="13"/>
  <c r="T542" i="13" s="1"/>
  <c r="N512" i="13"/>
  <c r="T512" i="13" s="1"/>
  <c r="N523" i="13"/>
  <c r="T523" i="13" s="1"/>
  <c r="N285" i="13"/>
  <c r="T285" i="13" s="1"/>
  <c r="N149" i="13"/>
  <c r="T149" i="13" s="1"/>
  <c r="N316" i="13"/>
  <c r="T316" i="13" s="1"/>
  <c r="N502" i="13"/>
  <c r="T502" i="13" s="1"/>
  <c r="N807" i="13"/>
  <c r="T807" i="13" s="1"/>
  <c r="N137" i="13"/>
  <c r="T137" i="13" s="1"/>
  <c r="N390" i="13"/>
  <c r="T390" i="13" s="1"/>
  <c r="N314" i="13"/>
  <c r="T314" i="13" s="1"/>
  <c r="N436" i="13"/>
  <c r="T436" i="13" s="1"/>
  <c r="N349" i="13"/>
  <c r="T349" i="13" s="1"/>
  <c r="N479" i="13"/>
  <c r="T479" i="13" s="1"/>
  <c r="N575" i="13"/>
  <c r="T575" i="13" s="1"/>
  <c r="N135" i="13"/>
  <c r="T135" i="13" s="1"/>
  <c r="N629" i="13"/>
  <c r="T629" i="13" s="1"/>
  <c r="N4" i="13"/>
  <c r="T4" i="13" s="1"/>
  <c r="N386" i="13"/>
  <c r="T386" i="13" s="1"/>
  <c r="N145" i="13"/>
  <c r="T145" i="13" s="1"/>
  <c r="N250" i="13"/>
  <c r="T250" i="13" s="1"/>
  <c r="N573" i="13"/>
  <c r="T573" i="13" s="1"/>
  <c r="N189" i="13"/>
  <c r="T189" i="13" s="1"/>
  <c r="N274" i="13"/>
  <c r="T274" i="13" s="1"/>
  <c r="N62" i="13"/>
  <c r="T62" i="13" s="1"/>
  <c r="N119" i="13"/>
  <c r="T119" i="13" s="1"/>
  <c r="N33" i="13"/>
  <c r="T33" i="13" s="1"/>
  <c r="N220" i="13"/>
  <c r="T220" i="13" s="1"/>
  <c r="N143" i="13"/>
  <c r="T143" i="13" s="1"/>
  <c r="N85" i="13"/>
  <c r="T85" i="13" s="1"/>
  <c r="N168" i="13"/>
  <c r="T168" i="13" s="1"/>
  <c r="N199" i="13"/>
  <c r="T199" i="13" s="1"/>
  <c r="N909" i="13"/>
  <c r="T909" i="13" s="1"/>
  <c r="N907" i="13"/>
  <c r="T907" i="13" s="1"/>
  <c r="N903" i="13"/>
  <c r="T903" i="13" s="1"/>
  <c r="N901" i="13"/>
  <c r="T901" i="13" s="1"/>
  <c r="N899" i="13"/>
  <c r="T899" i="13" s="1"/>
  <c r="N897" i="13"/>
  <c r="T897" i="13" s="1"/>
  <c r="N895" i="13"/>
  <c r="T895" i="13" s="1"/>
  <c r="N893" i="13"/>
  <c r="T893" i="13" s="1"/>
  <c r="N889" i="13"/>
  <c r="T889" i="13" s="1"/>
  <c r="N887" i="13"/>
  <c r="T887" i="13" s="1"/>
  <c r="N885" i="13"/>
  <c r="T885" i="13" s="1"/>
  <c r="N883" i="13"/>
  <c r="T883" i="13" s="1"/>
  <c r="N881" i="13"/>
  <c r="T881" i="13" s="1"/>
  <c r="N877" i="13"/>
  <c r="T877" i="13" s="1"/>
  <c r="N875" i="13"/>
  <c r="T875" i="13" s="1"/>
  <c r="N873" i="13"/>
  <c r="T873" i="13" s="1"/>
  <c r="N869" i="13"/>
  <c r="T869" i="13" s="1"/>
  <c r="N867" i="13"/>
  <c r="T867" i="13" s="1"/>
  <c r="N865" i="13"/>
  <c r="T865" i="13" s="1"/>
  <c r="N863" i="13"/>
  <c r="T863" i="13" s="1"/>
  <c r="N861" i="13"/>
  <c r="T861" i="13" s="1"/>
  <c r="N859" i="13"/>
  <c r="T859" i="13" s="1"/>
  <c r="N855" i="13"/>
  <c r="T855" i="13" s="1"/>
  <c r="N853" i="13"/>
  <c r="T853" i="13" s="1"/>
  <c r="N851" i="13"/>
  <c r="T851" i="13" s="1"/>
  <c r="N849" i="13"/>
  <c r="T849" i="13" s="1"/>
  <c r="N847" i="13"/>
  <c r="T847" i="13" s="1"/>
  <c r="N845" i="13"/>
  <c r="T845" i="13" s="1"/>
  <c r="N843" i="13"/>
  <c r="T843" i="13" s="1"/>
  <c r="N841" i="13"/>
  <c r="T841" i="13" s="1"/>
  <c r="N839" i="13"/>
  <c r="T839" i="13" s="1"/>
  <c r="N835" i="13"/>
  <c r="T835" i="13" s="1"/>
  <c r="N833" i="13"/>
  <c r="T833" i="13" s="1"/>
  <c r="N831" i="13"/>
  <c r="T831" i="13" s="1"/>
  <c r="N824" i="13"/>
  <c r="T824" i="13" s="1"/>
  <c r="N816" i="13"/>
  <c r="T816" i="13" s="1"/>
  <c r="N812" i="13"/>
  <c r="T812" i="13" s="1"/>
  <c r="N804" i="13"/>
  <c r="T804" i="13" s="1"/>
  <c r="N796" i="13"/>
  <c r="T796" i="13" s="1"/>
  <c r="N792" i="13"/>
  <c r="T792" i="13" s="1"/>
  <c r="N788" i="13"/>
  <c r="T788" i="13" s="1"/>
  <c r="N784" i="13"/>
  <c r="T784" i="13" s="1"/>
  <c r="N776" i="13"/>
  <c r="T776" i="13" s="1"/>
  <c r="N772" i="13"/>
  <c r="T772" i="13" s="1"/>
  <c r="N768" i="13"/>
  <c r="T768" i="13" s="1"/>
  <c r="N764" i="13"/>
  <c r="T764" i="13" s="1"/>
  <c r="N760" i="13"/>
  <c r="T760" i="13" s="1"/>
  <c r="N756" i="13"/>
  <c r="T756" i="13" s="1"/>
  <c r="N748" i="13"/>
  <c r="T748" i="13" s="1"/>
  <c r="N744" i="13"/>
  <c r="T744" i="13" s="1"/>
  <c r="N740" i="13"/>
  <c r="T740" i="13" s="1"/>
  <c r="N736" i="13"/>
  <c r="T736" i="13" s="1"/>
  <c r="N728" i="13"/>
  <c r="T728" i="13" s="1"/>
  <c r="N724" i="13"/>
  <c r="T724" i="13" s="1"/>
  <c r="N720" i="13"/>
  <c r="T720" i="13" s="1"/>
  <c r="N716" i="13"/>
  <c r="T716" i="13" s="1"/>
  <c r="N712" i="13"/>
  <c r="T712" i="13" s="1"/>
  <c r="N708" i="13"/>
  <c r="T708" i="13" s="1"/>
  <c r="N696" i="13"/>
  <c r="T696" i="13" s="1"/>
  <c r="N692" i="13"/>
  <c r="T692" i="13" s="1"/>
  <c r="N688" i="13"/>
  <c r="T688" i="13" s="1"/>
  <c r="N684" i="13"/>
  <c r="T684" i="13" s="1"/>
  <c r="N680" i="13"/>
  <c r="T680" i="13" s="1"/>
  <c r="N676" i="13"/>
  <c r="T676" i="13" s="1"/>
  <c r="N672" i="13"/>
  <c r="T672" i="13" s="1"/>
  <c r="N668" i="13"/>
  <c r="T668" i="13" s="1"/>
  <c r="N664" i="13"/>
  <c r="T664" i="13" s="1"/>
  <c r="N662" i="13"/>
  <c r="T662" i="13" s="1"/>
  <c r="N658" i="13"/>
  <c r="T658" i="13" s="1"/>
  <c r="N650" i="13"/>
  <c r="T650" i="13" s="1"/>
  <c r="N646" i="13"/>
  <c r="T646" i="13" s="1"/>
  <c r="N638" i="13"/>
  <c r="T638" i="13" s="1"/>
  <c r="N630" i="13"/>
  <c r="T630" i="13" s="1"/>
  <c r="N626" i="13"/>
  <c r="T626" i="13" s="1"/>
  <c r="N622" i="13"/>
  <c r="T622" i="13" s="1"/>
  <c r="N618" i="13"/>
  <c r="T618" i="13" s="1"/>
  <c r="N614" i="13"/>
  <c r="T614" i="13" s="1"/>
  <c r="N606" i="13"/>
  <c r="T606" i="13" s="1"/>
  <c r="N602" i="13"/>
  <c r="T602" i="13" s="1"/>
  <c r="N598" i="13"/>
  <c r="T598" i="13" s="1"/>
  <c r="N590" i="13"/>
  <c r="T590" i="13" s="1"/>
  <c r="N582" i="13"/>
  <c r="T582" i="13" s="1"/>
  <c r="N578" i="13"/>
  <c r="T578" i="13" s="1"/>
  <c r="N566" i="13"/>
  <c r="T566" i="13" s="1"/>
  <c r="N562" i="13"/>
  <c r="T562" i="13" s="1"/>
  <c r="N558" i="13"/>
  <c r="T558" i="13" s="1"/>
  <c r="N554" i="13"/>
  <c r="T554" i="13" s="1"/>
  <c r="J101" i="4"/>
  <c r="J57" i="4"/>
  <c r="J41" i="4"/>
  <c r="O613" i="13" s="1"/>
  <c r="P613" i="13" s="1"/>
  <c r="J29" i="4"/>
  <c r="J17" i="4"/>
  <c r="J356" i="4"/>
  <c r="O389" i="13" s="1"/>
  <c r="P389" i="13" s="1"/>
  <c r="J310" i="4"/>
  <c r="O242" i="13" s="1"/>
  <c r="P242" i="13" s="1"/>
  <c r="J246" i="4"/>
  <c r="J196" i="4"/>
  <c r="J192" i="4"/>
  <c r="O821" i="13" s="1"/>
  <c r="P821" i="13" s="1"/>
  <c r="J420" i="4"/>
  <c r="J336" i="4"/>
  <c r="J330" i="4"/>
  <c r="J140" i="4"/>
  <c r="J86" i="4"/>
  <c r="J162" i="4"/>
  <c r="J425" i="4"/>
  <c r="O410" i="13" s="1"/>
  <c r="P410" i="13" s="1"/>
  <c r="J413" i="4"/>
  <c r="O322" i="13" s="1"/>
  <c r="P322" i="13" s="1"/>
  <c r="J333" i="4"/>
  <c r="O110" i="13" s="1"/>
  <c r="P110" i="13" s="1"/>
  <c r="J311" i="4"/>
  <c r="J241" i="4"/>
  <c r="J219" i="4"/>
  <c r="J209" i="4"/>
  <c r="O557" i="13" s="1"/>
  <c r="P557" i="13" s="1"/>
  <c r="J187" i="4"/>
  <c r="J55" i="4"/>
  <c r="J507" i="4"/>
  <c r="J503" i="4"/>
  <c r="O896" i="13" s="1"/>
  <c r="P896" i="13" s="1"/>
  <c r="J499" i="4"/>
  <c r="J495" i="4"/>
  <c r="J491" i="4"/>
  <c r="O585" i="13" s="1"/>
  <c r="P585" i="13" s="1"/>
  <c r="J487" i="4"/>
  <c r="J483" i="4"/>
  <c r="J479" i="4"/>
  <c r="J475" i="4"/>
  <c r="J471" i="4"/>
  <c r="J467" i="4"/>
  <c r="J463" i="4"/>
  <c r="J459" i="4"/>
  <c r="J455" i="4"/>
  <c r="J508" i="4"/>
  <c r="J506" i="4"/>
  <c r="J504" i="4"/>
  <c r="J502" i="4"/>
  <c r="O435" i="13" s="1"/>
  <c r="P435" i="13" s="1"/>
  <c r="J500" i="4"/>
  <c r="J498" i="4"/>
  <c r="O76" i="13" s="1"/>
  <c r="P76" i="13" s="1"/>
  <c r="J496" i="4"/>
  <c r="J494" i="4"/>
  <c r="O262" i="13" s="1"/>
  <c r="P262" i="13" s="1"/>
  <c r="J492" i="4"/>
  <c r="J490" i="4"/>
  <c r="J488" i="4"/>
  <c r="J486" i="4"/>
  <c r="O870" i="13" s="1"/>
  <c r="P870" i="13" s="1"/>
  <c r="J484" i="4"/>
  <c r="J482" i="4"/>
  <c r="J480" i="4"/>
  <c r="O218" i="13" s="1"/>
  <c r="P218" i="13" s="1"/>
  <c r="J478" i="4"/>
  <c r="O402" i="13" s="1"/>
  <c r="P402" i="13" s="1"/>
  <c r="J476" i="4"/>
  <c r="O421" i="13" s="1"/>
  <c r="P421" i="13" s="1"/>
  <c r="J474" i="4"/>
  <c r="J472" i="4"/>
  <c r="O790" i="13" s="1"/>
  <c r="P790" i="13" s="1"/>
  <c r="J470" i="4"/>
  <c r="O105" i="13" s="1"/>
  <c r="P105" i="13" s="1"/>
  <c r="J468" i="4"/>
  <c r="J466" i="4"/>
  <c r="J464" i="4"/>
  <c r="J462" i="4"/>
  <c r="J460" i="4"/>
  <c r="J458" i="4"/>
  <c r="J456" i="4"/>
  <c r="J454" i="4"/>
  <c r="J452" i="4"/>
  <c r="J450" i="4"/>
  <c r="J448" i="4"/>
  <c r="J446" i="4"/>
  <c r="J444" i="4"/>
  <c r="J442" i="4"/>
  <c r="J440" i="4"/>
  <c r="J438" i="4"/>
  <c r="O32" i="13" s="1"/>
  <c r="P32" i="13" s="1"/>
  <c r="J436" i="4"/>
  <c r="O348" i="13" s="1"/>
  <c r="P348" i="13" s="1"/>
  <c r="J434" i="4"/>
  <c r="J432" i="4"/>
  <c r="J430" i="4"/>
  <c r="O327" i="13" s="1"/>
  <c r="P327" i="13" s="1"/>
  <c r="J428" i="4"/>
  <c r="O453" i="13" s="1"/>
  <c r="P453" i="13" s="1"/>
  <c r="J426" i="4"/>
  <c r="J424" i="4"/>
  <c r="J422" i="4"/>
  <c r="J418" i="4"/>
  <c r="O128" i="13" s="1"/>
  <c r="P128" i="13" s="1"/>
  <c r="J416" i="4"/>
  <c r="O271" i="13" s="1"/>
  <c r="P271" i="13" s="1"/>
  <c r="J414" i="4"/>
  <c r="J412" i="4"/>
  <c r="O395" i="13" s="1"/>
  <c r="P395" i="13" s="1"/>
  <c r="J410" i="4"/>
  <c r="J408" i="4"/>
  <c r="O412" i="13" s="1"/>
  <c r="P412" i="13" s="1"/>
  <c r="J406" i="4"/>
  <c r="O480" i="13" s="1"/>
  <c r="P480" i="13" s="1"/>
  <c r="J404" i="4"/>
  <c r="O482" i="13" s="1"/>
  <c r="P482" i="13" s="1"/>
  <c r="J402" i="4"/>
  <c r="J400" i="4"/>
  <c r="O820" i="13" s="1"/>
  <c r="P820" i="13" s="1"/>
  <c r="J398" i="4"/>
  <c r="J396" i="4"/>
  <c r="J394" i="4"/>
  <c r="J392" i="4"/>
  <c r="J390" i="4"/>
  <c r="O178" i="13" s="1"/>
  <c r="P178" i="13" s="1"/>
  <c r="J388" i="4"/>
  <c r="J386" i="4"/>
  <c r="J384" i="4"/>
  <c r="O701" i="13" s="1"/>
  <c r="P701" i="13" s="1"/>
  <c r="J382" i="4"/>
  <c r="J380" i="4"/>
  <c r="J378" i="4"/>
  <c r="J376" i="4"/>
  <c r="J374" i="4"/>
  <c r="J372" i="4"/>
  <c r="O124" i="13" s="1"/>
  <c r="P124" i="13" s="1"/>
  <c r="J370" i="4"/>
  <c r="O277" i="13" s="1"/>
  <c r="P277" i="13" s="1"/>
  <c r="J368" i="4"/>
  <c r="J366" i="4"/>
  <c r="O536" i="13" s="1"/>
  <c r="P536" i="13" s="1"/>
  <c r="J364" i="4"/>
  <c r="J362" i="4"/>
  <c r="O411" i="13" s="1"/>
  <c r="P411" i="13" s="1"/>
  <c r="J360" i="4"/>
  <c r="J358" i="4"/>
  <c r="J354" i="4"/>
  <c r="J352" i="4"/>
  <c r="O533" i="13" s="1"/>
  <c r="P533" i="13" s="1"/>
  <c r="J350" i="4"/>
  <c r="J348" i="4"/>
  <c r="O642" i="13" s="1"/>
  <c r="P642" i="13" s="1"/>
  <c r="J346" i="4"/>
  <c r="J344" i="4"/>
  <c r="J342" i="4"/>
  <c r="J340" i="4"/>
  <c r="J338" i="4"/>
  <c r="J334" i="4"/>
  <c r="J332" i="4"/>
  <c r="O37" i="13" s="1"/>
  <c r="P37" i="13" s="1"/>
  <c r="J328" i="4"/>
  <c r="J326" i="4"/>
  <c r="J324" i="4"/>
  <c r="J322" i="4"/>
  <c r="J320" i="4"/>
  <c r="O656" i="13" s="1"/>
  <c r="P656" i="13" s="1"/>
  <c r="J318" i="4"/>
  <c r="J316" i="4"/>
  <c r="J314" i="4"/>
  <c r="J312" i="4"/>
  <c r="J308" i="4"/>
  <c r="J306" i="4"/>
  <c r="O12" i="13" s="1"/>
  <c r="P12" i="13" s="1"/>
  <c r="J304" i="4"/>
  <c r="O223" i="13" s="1"/>
  <c r="P223" i="13" s="1"/>
  <c r="J302" i="4"/>
  <c r="J300" i="4"/>
  <c r="O778" i="13" s="1"/>
  <c r="P778" i="13" s="1"/>
  <c r="J298" i="4"/>
  <c r="O222" i="13" s="1"/>
  <c r="P222" i="13" s="1"/>
  <c r="J296" i="4"/>
  <c r="J294" i="4"/>
  <c r="J292" i="4"/>
  <c r="J290" i="4"/>
  <c r="O350" i="13" s="1"/>
  <c r="P350" i="13" s="1"/>
  <c r="J288" i="4"/>
  <c r="J286" i="4"/>
  <c r="J284" i="4"/>
  <c r="O786" i="13" s="1"/>
  <c r="P786" i="13" s="1"/>
  <c r="J282" i="4"/>
  <c r="J280" i="4"/>
  <c r="J278" i="4"/>
  <c r="O627" i="13" s="1"/>
  <c r="P627" i="13" s="1"/>
  <c r="J276" i="4"/>
  <c r="J274" i="4"/>
  <c r="J272" i="4"/>
  <c r="O370" i="13" s="1"/>
  <c r="P370" i="13" s="1"/>
  <c r="J509" i="4"/>
  <c r="O616" i="13" s="1"/>
  <c r="P616" i="13" s="1"/>
  <c r="J505" i="4"/>
  <c r="J501" i="4"/>
  <c r="J497" i="4"/>
  <c r="J493" i="4"/>
  <c r="J489" i="4"/>
  <c r="J485" i="4"/>
  <c r="J481" i="4"/>
  <c r="O718" i="13" s="1"/>
  <c r="P718" i="13" s="1"/>
  <c r="J477" i="4"/>
  <c r="J473" i="4"/>
  <c r="J469" i="4"/>
  <c r="O351" i="13" s="1"/>
  <c r="P351" i="13" s="1"/>
  <c r="J465" i="4"/>
  <c r="J461" i="4"/>
  <c r="J457" i="4"/>
  <c r="J453" i="4"/>
  <c r="J175" i="4"/>
  <c r="O139" i="13" s="1"/>
  <c r="P139" i="13" s="1"/>
  <c r="J171" i="4"/>
  <c r="O525" i="13" s="1"/>
  <c r="P525" i="13" s="1"/>
  <c r="J167" i="4"/>
  <c r="O305" i="13" s="1"/>
  <c r="P305" i="13" s="1"/>
  <c r="J163" i="4"/>
  <c r="J161" i="4"/>
  <c r="O472" i="13" s="1"/>
  <c r="P472" i="13" s="1"/>
  <c r="J157" i="4"/>
  <c r="J153" i="4"/>
  <c r="J149" i="4"/>
  <c r="J145" i="4"/>
  <c r="O552" i="13" s="1"/>
  <c r="P552" i="13" s="1"/>
  <c r="J141" i="4"/>
  <c r="J139" i="4"/>
  <c r="J135" i="4"/>
  <c r="O754" i="13" s="1"/>
  <c r="P754" i="13" s="1"/>
  <c r="J131" i="4"/>
  <c r="J127" i="4"/>
  <c r="J123" i="4"/>
  <c r="J119" i="4"/>
  <c r="J115" i="4"/>
  <c r="O399" i="13" s="1"/>
  <c r="P399" i="13" s="1"/>
  <c r="J111" i="4"/>
  <c r="J107" i="4"/>
  <c r="J103" i="4"/>
  <c r="J99" i="4"/>
  <c r="J95" i="4"/>
  <c r="J91" i="4"/>
  <c r="J87" i="4"/>
  <c r="O637" i="13" s="1"/>
  <c r="P637" i="13" s="1"/>
  <c r="J85" i="4"/>
  <c r="O723" i="13" s="1"/>
  <c r="P723" i="13" s="1"/>
  <c r="J81" i="4"/>
  <c r="O669" i="13" s="1"/>
  <c r="P669" i="13" s="1"/>
  <c r="J77" i="4"/>
  <c r="O891" i="13" s="1"/>
  <c r="P891" i="13" s="1"/>
  <c r="J73" i="4"/>
  <c r="O800" i="13" s="1"/>
  <c r="P800" i="13" s="1"/>
  <c r="J69" i="4"/>
  <c r="J65" i="4"/>
  <c r="J61" i="4"/>
  <c r="J53" i="4"/>
  <c r="O789" i="13" s="1"/>
  <c r="P789" i="13" s="1"/>
  <c r="J49" i="4"/>
  <c r="O196" i="13" s="1"/>
  <c r="P196" i="13" s="1"/>
  <c r="J45" i="4"/>
  <c r="O42" i="13" s="1"/>
  <c r="P42" i="13" s="1"/>
  <c r="J37" i="4"/>
  <c r="O448" i="13" s="1"/>
  <c r="P448" i="13" s="1"/>
  <c r="J33" i="4"/>
  <c r="J25" i="4"/>
  <c r="O738" i="13" s="1"/>
  <c r="P738" i="13" s="1"/>
  <c r="J21" i="4"/>
  <c r="J13" i="4"/>
  <c r="J9" i="4"/>
  <c r="J5" i="4"/>
  <c r="J270" i="4"/>
  <c r="J268" i="4"/>
  <c r="J266" i="4"/>
  <c r="O307" i="13" s="1"/>
  <c r="P307" i="13" s="1"/>
  <c r="J264" i="4"/>
  <c r="J262" i="4"/>
  <c r="J260" i="4"/>
  <c r="J258" i="4"/>
  <c r="J256" i="4"/>
  <c r="J254" i="4"/>
  <c r="O3" i="13" s="1"/>
  <c r="P3" i="13" s="1"/>
  <c r="J252" i="4"/>
  <c r="J250" i="4"/>
  <c r="J248" i="4"/>
  <c r="J244" i="4"/>
  <c r="J242" i="4"/>
  <c r="J240" i="4"/>
  <c r="O352" i="13" s="1"/>
  <c r="P352" i="13" s="1"/>
  <c r="J238" i="4"/>
  <c r="J236" i="4"/>
  <c r="J234" i="4"/>
  <c r="J232" i="4"/>
  <c r="J230" i="4"/>
  <c r="J228" i="4"/>
  <c r="J226" i="4"/>
  <c r="J224" i="4"/>
  <c r="O53" i="13" s="1"/>
  <c r="P53" i="13" s="1"/>
  <c r="J222" i="4"/>
  <c r="J220" i="4"/>
  <c r="J218" i="4"/>
  <c r="O443" i="13" s="1"/>
  <c r="P443" i="13" s="1"/>
  <c r="J216" i="4"/>
  <c r="J214" i="4"/>
  <c r="J212" i="4"/>
  <c r="J210" i="4"/>
  <c r="J208" i="4"/>
  <c r="O306" i="13" s="1"/>
  <c r="P306" i="13" s="1"/>
  <c r="J206" i="4"/>
  <c r="J204" i="4"/>
  <c r="J202" i="4"/>
  <c r="J200" i="4"/>
  <c r="O301" i="13" s="1"/>
  <c r="P301" i="13" s="1"/>
  <c r="J198" i="4"/>
  <c r="O311" i="13" s="1"/>
  <c r="P311" i="13" s="1"/>
  <c r="J194" i="4"/>
  <c r="J190" i="4"/>
  <c r="O564" i="13" s="1"/>
  <c r="P564" i="13" s="1"/>
  <c r="J188" i="4"/>
  <c r="O686" i="13" s="1"/>
  <c r="P686" i="13" s="1"/>
  <c r="J186" i="4"/>
  <c r="O157" i="13" s="1"/>
  <c r="P157" i="13" s="1"/>
  <c r="J184" i="4"/>
  <c r="J182" i="4"/>
  <c r="J180" i="4"/>
  <c r="J178" i="4"/>
  <c r="O460" i="13" s="1"/>
  <c r="P460" i="13" s="1"/>
  <c r="J176" i="4"/>
  <c r="O393" i="13" s="1"/>
  <c r="P393" i="13" s="1"/>
  <c r="J174" i="4"/>
  <c r="J172" i="4"/>
  <c r="J170" i="4"/>
  <c r="J168" i="4"/>
  <c r="O773" i="13" s="1"/>
  <c r="P773" i="13" s="1"/>
  <c r="J166" i="4"/>
  <c r="O8" i="13" s="1"/>
  <c r="P8" i="13" s="1"/>
  <c r="J164" i="4"/>
  <c r="J160" i="4"/>
  <c r="J158" i="4"/>
  <c r="O341" i="13" s="1"/>
  <c r="P341" i="13" s="1"/>
  <c r="J156" i="4"/>
  <c r="J154" i="4"/>
  <c r="O795" i="13" s="1"/>
  <c r="P795" i="13" s="1"/>
  <c r="J152" i="4"/>
  <c r="O900" i="13" s="1"/>
  <c r="P900" i="13" s="1"/>
  <c r="J150" i="4"/>
  <c r="J148" i="4"/>
  <c r="J146" i="4"/>
  <c r="J144" i="4"/>
  <c r="J142" i="4"/>
  <c r="J138" i="4"/>
  <c r="O302" i="13" s="1"/>
  <c r="P302" i="13" s="1"/>
  <c r="J136" i="4"/>
  <c r="J134" i="4"/>
  <c r="J132" i="4"/>
  <c r="J130" i="4"/>
  <c r="J128" i="4"/>
  <c r="O309" i="13" s="1"/>
  <c r="P309" i="13" s="1"/>
  <c r="J126" i="4"/>
  <c r="O26" i="13" s="1"/>
  <c r="P26" i="13" s="1"/>
  <c r="J124" i="4"/>
  <c r="J122" i="4"/>
  <c r="J120" i="4"/>
  <c r="J118" i="4"/>
  <c r="O441" i="13" s="1"/>
  <c r="P441" i="13" s="1"/>
  <c r="J116" i="4"/>
  <c r="J114" i="4"/>
  <c r="J112" i="4"/>
  <c r="J110" i="4"/>
  <c r="J108" i="4"/>
  <c r="J106" i="4"/>
  <c r="O783" i="13" s="1"/>
  <c r="P783" i="13" s="1"/>
  <c r="J104" i="4"/>
  <c r="J102" i="4"/>
  <c r="J100" i="4"/>
  <c r="O808" i="13" s="1"/>
  <c r="P808" i="13" s="1"/>
  <c r="J98" i="4"/>
  <c r="J96" i="4"/>
  <c r="J94" i="4"/>
  <c r="J92" i="4"/>
  <c r="J90" i="4"/>
  <c r="J88" i="4"/>
  <c r="O837" i="13" s="1"/>
  <c r="P837" i="13" s="1"/>
  <c r="J84" i="4"/>
  <c r="J82" i="4"/>
  <c r="O251" i="13" s="1"/>
  <c r="P251" i="13" s="1"/>
  <c r="J80" i="4"/>
  <c r="J78" i="4"/>
  <c r="J76" i="4"/>
  <c r="O871" i="13" s="1"/>
  <c r="P871" i="13" s="1"/>
  <c r="J74" i="4"/>
  <c r="J72" i="4"/>
  <c r="O601" i="13" s="1"/>
  <c r="P601" i="13" s="1"/>
  <c r="J70" i="4"/>
  <c r="J68" i="4"/>
  <c r="O449" i="13" s="1"/>
  <c r="P449" i="13" s="1"/>
  <c r="J66" i="4"/>
  <c r="O81" i="13" s="1"/>
  <c r="P81" i="13" s="1"/>
  <c r="J64" i="4"/>
  <c r="O612" i="13" s="1"/>
  <c r="P612" i="13" s="1"/>
  <c r="J62" i="4"/>
  <c r="J60" i="4"/>
  <c r="O160" i="13" s="1"/>
  <c r="P160" i="13" s="1"/>
  <c r="J58" i="4"/>
  <c r="O40" i="13" s="1"/>
  <c r="P40" i="13" s="1"/>
  <c r="J56" i="4"/>
  <c r="O71" i="13" s="1"/>
  <c r="P71" i="13" s="1"/>
  <c r="J54" i="4"/>
  <c r="J52" i="4"/>
  <c r="O886" i="13" s="1"/>
  <c r="P886" i="13" s="1"/>
  <c r="J50" i="4"/>
  <c r="O304" i="13" s="1"/>
  <c r="P304" i="13" s="1"/>
  <c r="J48" i="4"/>
  <c r="J46" i="4"/>
  <c r="O707" i="13" s="1"/>
  <c r="P707" i="13" s="1"/>
  <c r="J44" i="4"/>
  <c r="J42" i="4"/>
  <c r="J40" i="4"/>
  <c r="J38" i="4"/>
  <c r="O190" i="13" s="1"/>
  <c r="P190" i="13" s="1"/>
  <c r="J36" i="4"/>
  <c r="J34" i="4"/>
  <c r="J32" i="4"/>
  <c r="J30" i="4"/>
  <c r="J28" i="4"/>
  <c r="J26" i="4"/>
  <c r="O857" i="13" s="1"/>
  <c r="P857" i="13" s="1"/>
  <c r="J24" i="4"/>
  <c r="J22" i="4"/>
  <c r="J20" i="4"/>
  <c r="J18" i="4"/>
  <c r="O569" i="13" s="1"/>
  <c r="P569" i="13" s="1"/>
  <c r="J16" i="4"/>
  <c r="J14" i="4"/>
  <c r="J12" i="4"/>
  <c r="J10" i="4"/>
  <c r="J8" i="4"/>
  <c r="J6" i="4"/>
  <c r="J4" i="4"/>
  <c r="J2" i="4"/>
  <c r="O848" i="13" s="1"/>
  <c r="P848" i="13" s="1"/>
  <c r="J451" i="4"/>
  <c r="J449" i="4"/>
  <c r="J447" i="4"/>
  <c r="J445" i="4"/>
  <c r="O439" i="13" s="1"/>
  <c r="P439" i="13" s="1"/>
  <c r="J443" i="4"/>
  <c r="J441" i="4"/>
  <c r="J439" i="4"/>
  <c r="O403" i="13" s="1"/>
  <c r="P403" i="13" s="1"/>
  <c r="J437" i="4"/>
  <c r="J435" i="4"/>
  <c r="O879" i="13" s="1"/>
  <c r="P879" i="13" s="1"/>
  <c r="J433" i="4"/>
  <c r="J431" i="4"/>
  <c r="J429" i="4"/>
  <c r="J427" i="4"/>
  <c r="J423" i="4"/>
  <c r="J421" i="4"/>
  <c r="J419" i="4"/>
  <c r="O299" i="13" s="1"/>
  <c r="P299" i="13" s="1"/>
  <c r="J417" i="4"/>
  <c r="J415" i="4"/>
  <c r="J411" i="4"/>
  <c r="O19" i="13" s="1"/>
  <c r="P19" i="13" s="1"/>
  <c r="J409" i="4"/>
  <c r="O185" i="13" s="1"/>
  <c r="P185" i="13" s="1"/>
  <c r="J407" i="4"/>
  <c r="J405" i="4"/>
  <c r="O109" i="13" s="1"/>
  <c r="P109" i="13" s="1"/>
  <c r="J403" i="4"/>
  <c r="J401" i="4"/>
  <c r="J399" i="4"/>
  <c r="O31" i="13" s="1"/>
  <c r="P31" i="13" s="1"/>
  <c r="J397" i="4"/>
  <c r="J395" i="4"/>
  <c r="J393" i="4"/>
  <c r="J391" i="4"/>
  <c r="J389" i="4"/>
  <c r="J387" i="4"/>
  <c r="J385" i="4"/>
  <c r="J383" i="4"/>
  <c r="J381" i="4"/>
  <c r="J379" i="4"/>
  <c r="O698" i="13" s="1"/>
  <c r="P698" i="13" s="1"/>
  <c r="J377" i="4"/>
  <c r="J375" i="4"/>
  <c r="J373" i="4"/>
  <c r="J371" i="4"/>
  <c r="J369" i="4"/>
  <c r="O605" i="13" s="1"/>
  <c r="P605" i="13" s="1"/>
  <c r="J367" i="4"/>
  <c r="J365" i="4"/>
  <c r="J363" i="4"/>
  <c r="J361" i="4"/>
  <c r="J359" i="4"/>
  <c r="J357" i="4"/>
  <c r="J355" i="4"/>
  <c r="O854" i="13" s="1"/>
  <c r="P854" i="13" s="1"/>
  <c r="J353" i="4"/>
  <c r="J351" i="4"/>
  <c r="J349" i="4"/>
  <c r="J347" i="4"/>
  <c r="J345" i="4"/>
  <c r="J343" i="4"/>
  <c r="J341" i="4"/>
  <c r="J339" i="4"/>
  <c r="O530" i="13" s="1"/>
  <c r="P530" i="13" s="1"/>
  <c r="J337" i="4"/>
  <c r="J335" i="4"/>
  <c r="J331" i="4"/>
  <c r="J329" i="4"/>
  <c r="J327" i="4"/>
  <c r="J325" i="4"/>
  <c r="J323" i="4"/>
  <c r="J321" i="4"/>
  <c r="O215" i="13" s="1"/>
  <c r="P215" i="13" s="1"/>
  <c r="J319" i="4"/>
  <c r="O704" i="13" s="1"/>
  <c r="P704" i="13" s="1"/>
  <c r="J317" i="4"/>
  <c r="O600" i="13" s="1"/>
  <c r="P600" i="13" s="1"/>
  <c r="J315" i="4"/>
  <c r="J313" i="4"/>
  <c r="O809" i="13" s="1"/>
  <c r="P809" i="13" s="1"/>
  <c r="J309" i="4"/>
  <c r="J307" i="4"/>
  <c r="J305" i="4"/>
  <c r="O545" i="13" s="1"/>
  <c r="P545" i="13" s="1"/>
  <c r="J303" i="4"/>
  <c r="J301" i="4"/>
  <c r="O388" i="13" s="1"/>
  <c r="P388" i="13" s="1"/>
  <c r="J299" i="4"/>
  <c r="O136" i="13" s="1"/>
  <c r="P136" i="13" s="1"/>
  <c r="J297" i="4"/>
  <c r="J295" i="4"/>
  <c r="J293" i="4"/>
  <c r="J291" i="4"/>
  <c r="J289" i="4"/>
  <c r="O509" i="13" s="1"/>
  <c r="P509" i="13" s="1"/>
  <c r="J287" i="4"/>
  <c r="O505" i="13" s="1"/>
  <c r="P505" i="13" s="1"/>
  <c r="J285" i="4"/>
  <c r="O823" i="13" s="1"/>
  <c r="P823" i="13" s="1"/>
  <c r="J283" i="4"/>
  <c r="O122" i="13" s="1"/>
  <c r="P122" i="13" s="1"/>
  <c r="J281" i="4"/>
  <c r="J279" i="4"/>
  <c r="J277" i="4"/>
  <c r="O216" i="13" s="1"/>
  <c r="P216" i="13" s="1"/>
  <c r="J275" i="4"/>
  <c r="O325" i="13" s="1"/>
  <c r="P325" i="13" s="1"/>
  <c r="J273" i="4"/>
  <c r="J271" i="4"/>
  <c r="J269" i="4"/>
  <c r="J267" i="4"/>
  <c r="J265" i="4"/>
  <c r="J263" i="4"/>
  <c r="O86" i="13" s="1"/>
  <c r="P86" i="13" s="1"/>
  <c r="J261" i="4"/>
  <c r="O735" i="13" s="1"/>
  <c r="P735" i="13" s="1"/>
  <c r="J259" i="4"/>
  <c r="J257" i="4"/>
  <c r="O739" i="13" s="1"/>
  <c r="P739" i="13" s="1"/>
  <c r="J255" i="4"/>
  <c r="J253" i="4"/>
  <c r="J251" i="4"/>
  <c r="O459" i="13" s="1"/>
  <c r="P459" i="13" s="1"/>
  <c r="J249" i="4"/>
  <c r="J247" i="4"/>
  <c r="J245" i="4"/>
  <c r="J243" i="4"/>
  <c r="O188" i="13" s="1"/>
  <c r="P188" i="13" s="1"/>
  <c r="J239" i="4"/>
  <c r="J237" i="4"/>
  <c r="J235" i="4"/>
  <c r="J233" i="4"/>
  <c r="O483" i="13" s="1"/>
  <c r="P483" i="13" s="1"/>
  <c r="J231" i="4"/>
  <c r="J229" i="4"/>
  <c r="J227" i="4"/>
  <c r="J225" i="4"/>
  <c r="J223" i="4"/>
  <c r="J221" i="4"/>
  <c r="O363" i="13" s="1"/>
  <c r="P363" i="13" s="1"/>
  <c r="J217" i="4"/>
  <c r="O495" i="13" s="1"/>
  <c r="P495" i="13" s="1"/>
  <c r="J215" i="4"/>
  <c r="O711" i="13" s="1"/>
  <c r="P711" i="13" s="1"/>
  <c r="J213" i="4"/>
  <c r="O898" i="13" s="1"/>
  <c r="P898" i="13" s="1"/>
  <c r="J211" i="4"/>
  <c r="O417" i="13" s="1"/>
  <c r="P417" i="13" s="1"/>
  <c r="J207" i="4"/>
  <c r="J205" i="4"/>
  <c r="J203" i="4"/>
  <c r="J201" i="4"/>
  <c r="J199" i="4"/>
  <c r="J197" i="4"/>
  <c r="J195" i="4"/>
  <c r="J193" i="4"/>
  <c r="O852" i="13" s="1"/>
  <c r="P852" i="13" s="1"/>
  <c r="J191" i="4"/>
  <c r="J189" i="4"/>
  <c r="O405" i="13" s="1"/>
  <c r="P405" i="13" s="1"/>
  <c r="J185" i="4"/>
  <c r="O192" i="13" s="1"/>
  <c r="P192" i="13" s="1"/>
  <c r="J183" i="4"/>
  <c r="J181" i="4"/>
  <c r="J179" i="4"/>
  <c r="O765" i="13" s="1"/>
  <c r="P765" i="13" s="1"/>
  <c r="J177" i="4"/>
  <c r="J173" i="4"/>
  <c r="O592" i="13" s="1"/>
  <c r="P592" i="13" s="1"/>
  <c r="J169" i="4"/>
  <c r="O324" i="13" s="1"/>
  <c r="P324" i="13" s="1"/>
  <c r="J165" i="4"/>
  <c r="J159" i="4"/>
  <c r="J155" i="4"/>
  <c r="J151" i="4"/>
  <c r="J147" i="4"/>
  <c r="J143" i="4"/>
  <c r="J137" i="4"/>
  <c r="O252" i="13" s="1"/>
  <c r="P252" i="13" s="1"/>
  <c r="J133" i="4"/>
  <c r="O171" i="13" s="1"/>
  <c r="P171" i="13" s="1"/>
  <c r="J129" i="4"/>
  <c r="J125" i="4"/>
  <c r="J121" i="4"/>
  <c r="J117" i="4"/>
  <c r="J113" i="4"/>
  <c r="J109" i="4"/>
  <c r="J105" i="4"/>
  <c r="J97" i="4"/>
  <c r="O22" i="13" s="1"/>
  <c r="P22" i="13" s="1"/>
  <c r="J93" i="4"/>
  <c r="J89" i="4"/>
  <c r="O232" i="13" s="1"/>
  <c r="P232" i="13" s="1"/>
  <c r="J83" i="4"/>
  <c r="J79" i="4"/>
  <c r="J75" i="4"/>
  <c r="J71" i="4"/>
  <c r="O647" i="13" s="1"/>
  <c r="P647" i="13" s="1"/>
  <c r="J67" i="4"/>
  <c r="O142" i="13" s="1"/>
  <c r="P142" i="13" s="1"/>
  <c r="J63" i="4"/>
  <c r="J59" i="4"/>
  <c r="J51" i="4"/>
  <c r="J47" i="4"/>
  <c r="J43" i="4"/>
  <c r="O538" i="13" s="1"/>
  <c r="P538" i="13" s="1"/>
  <c r="J39" i="4"/>
  <c r="O267" i="13" s="1"/>
  <c r="P267" i="13" s="1"/>
  <c r="J35" i="4"/>
  <c r="J31" i="4"/>
  <c r="J27" i="4"/>
  <c r="O603" i="13" s="1"/>
  <c r="P603" i="13" s="1"/>
  <c r="J23" i="4"/>
  <c r="J19" i="4"/>
  <c r="O225" i="13" s="1"/>
  <c r="P225" i="13" s="1"/>
  <c r="J15" i="4"/>
  <c r="J11" i="4"/>
  <c r="O365" i="13" s="1"/>
  <c r="P365" i="13" s="1"/>
  <c r="J7" i="4"/>
  <c r="O828" i="13" s="1"/>
  <c r="P828" i="13" s="1"/>
  <c r="J3" i="4"/>
  <c r="O654" i="13" l="1"/>
  <c r="P654" i="13" s="1"/>
  <c r="AD2" i="4"/>
  <c r="O62" i="13"/>
  <c r="P62" i="13" s="1"/>
  <c r="O119" i="13"/>
  <c r="P119" i="13" s="1"/>
  <c r="O554" i="13"/>
  <c r="P554" i="13" s="1"/>
  <c r="O145" i="13"/>
  <c r="P145" i="13" s="1"/>
  <c r="O250" i="13"/>
  <c r="P250" i="13" s="1"/>
  <c r="O573" i="13"/>
  <c r="P573" i="13" s="1"/>
  <c r="O64" i="13"/>
  <c r="P64" i="13" s="1"/>
  <c r="O510" i="13"/>
  <c r="P510" i="13" s="1"/>
  <c r="O542" i="13"/>
  <c r="P542" i="13" s="1"/>
  <c r="O257" i="13"/>
  <c r="P257" i="13" s="1"/>
  <c r="O343" i="13"/>
  <c r="P343" i="13" s="1"/>
  <c r="O589" i="13"/>
  <c r="P589" i="13" s="1"/>
  <c r="O805" i="13"/>
  <c r="P805" i="13" s="1"/>
  <c r="O10" i="13"/>
  <c r="P10" i="13" s="1"/>
  <c r="O572" i="13"/>
  <c r="P572" i="13" s="1"/>
  <c r="O176" i="13"/>
  <c r="P176" i="13" s="1"/>
  <c r="O455" i="13"/>
  <c r="P455" i="13" s="1"/>
  <c r="O198" i="13"/>
  <c r="P198" i="13" s="1"/>
  <c r="O559" i="13"/>
  <c r="P559" i="13" s="1"/>
  <c r="O736" i="13"/>
  <c r="P736" i="13" s="1"/>
  <c r="O368" i="13"/>
  <c r="P368" i="13" s="1"/>
  <c r="O882" i="13"/>
  <c r="P882" i="13" s="1"/>
  <c r="O132" i="13"/>
  <c r="P132" i="13" s="1"/>
  <c r="O181" i="13"/>
  <c r="P181" i="13" s="1"/>
  <c r="O433" i="13"/>
  <c r="P433" i="13" s="1"/>
  <c r="O893" i="13"/>
  <c r="P893" i="13" s="1"/>
  <c r="O234" i="13"/>
  <c r="P234" i="13" s="1"/>
  <c r="O887" i="13"/>
  <c r="P887" i="13" s="1"/>
  <c r="O710" i="13"/>
  <c r="P710" i="13" s="1"/>
  <c r="O116" i="13"/>
  <c r="P116" i="13" s="1"/>
  <c r="O73" i="13"/>
  <c r="P73" i="13" s="1"/>
  <c r="O474" i="13"/>
  <c r="P474" i="13" s="1"/>
  <c r="O764" i="13"/>
  <c r="P764" i="13" s="1"/>
  <c r="O56" i="13"/>
  <c r="P56" i="13" s="1"/>
  <c r="O760" i="13"/>
  <c r="P760" i="13" s="1"/>
  <c r="O471" i="13"/>
  <c r="P471" i="13" s="1"/>
  <c r="O798" i="13"/>
  <c r="P798" i="13" s="1"/>
  <c r="O68" i="13"/>
  <c r="P68" i="13" s="1"/>
  <c r="O84" i="13"/>
  <c r="P84" i="13" s="1"/>
  <c r="O677" i="13"/>
  <c r="P677" i="13" s="1"/>
  <c r="O578" i="13"/>
  <c r="P578" i="13" s="1"/>
  <c r="O776" i="13"/>
  <c r="P776" i="13" s="1"/>
  <c r="O193" i="13"/>
  <c r="P193" i="13" s="1"/>
  <c r="O241" i="13"/>
  <c r="P241" i="13" s="1"/>
  <c r="O574" i="13"/>
  <c r="P574" i="13" s="1"/>
  <c r="O618" i="13"/>
  <c r="P618" i="13" s="1"/>
  <c r="O367" i="13"/>
  <c r="P367" i="13" s="1"/>
  <c r="O172" i="13"/>
  <c r="P172" i="13" s="1"/>
  <c r="O706" i="13"/>
  <c r="P706" i="13" s="1"/>
  <c r="O752" i="13"/>
  <c r="P752" i="13" s="1"/>
  <c r="O816" i="13"/>
  <c r="P816" i="13" s="1"/>
  <c r="O163" i="13"/>
  <c r="P163" i="13" s="1"/>
  <c r="O587" i="13"/>
  <c r="P587" i="13" s="1"/>
  <c r="O13" i="13"/>
  <c r="P13" i="13" s="1"/>
  <c r="O180" i="13"/>
  <c r="P180" i="13" s="1"/>
  <c r="O15" i="13"/>
  <c r="P15" i="13" s="1"/>
  <c r="O366" i="13"/>
  <c r="P366" i="13" s="1"/>
  <c r="O80" i="13"/>
  <c r="P80" i="13" s="1"/>
  <c r="O851" i="13"/>
  <c r="P851" i="13" s="1"/>
  <c r="O138" i="13"/>
  <c r="P138" i="13" s="1"/>
  <c r="O265" i="13"/>
  <c r="P265" i="13" s="1"/>
  <c r="O583" i="13"/>
  <c r="P583" i="13" s="1"/>
  <c r="O36" i="13"/>
  <c r="P36" i="13" s="1"/>
  <c r="O371" i="13"/>
  <c r="P371" i="13" s="1"/>
  <c r="O801" i="13"/>
  <c r="P801" i="13" s="1"/>
  <c r="O203" i="13"/>
  <c r="P203" i="13" s="1"/>
  <c r="O811" i="13"/>
  <c r="P811" i="13" s="1"/>
  <c r="O383" i="13"/>
  <c r="P383" i="13" s="1"/>
  <c r="O101" i="13"/>
  <c r="P101" i="13" s="1"/>
  <c r="O867" i="13"/>
  <c r="P867" i="13" s="1"/>
  <c r="O121" i="13"/>
  <c r="P121" i="13" s="1"/>
  <c r="O591" i="13"/>
  <c r="P591" i="13" s="1"/>
  <c r="O685" i="13"/>
  <c r="P685" i="13" s="1"/>
  <c r="O799" i="13"/>
  <c r="P799" i="13" s="1"/>
  <c r="O744" i="13"/>
  <c r="P744" i="13" s="1"/>
  <c r="O104" i="13"/>
  <c r="P104" i="13" s="1"/>
  <c r="O112" i="13"/>
  <c r="P112" i="13" s="1"/>
  <c r="O429" i="13"/>
  <c r="P429" i="13" s="1"/>
  <c r="O354" i="13"/>
  <c r="P354" i="13" s="1"/>
  <c r="O730" i="13"/>
  <c r="P730" i="13" s="1"/>
  <c r="O63" i="13"/>
  <c r="P63" i="13" s="1"/>
  <c r="O153" i="13"/>
  <c r="P153" i="13" s="1"/>
  <c r="O210" i="13"/>
  <c r="P210" i="13" s="1"/>
  <c r="O733" i="13"/>
  <c r="P733" i="13" s="1"/>
  <c r="O655" i="13"/>
  <c r="P655" i="13" s="1"/>
  <c r="O506" i="13"/>
  <c r="P506" i="13" s="1"/>
  <c r="O576" i="13"/>
  <c r="P576" i="13" s="1"/>
  <c r="O894" i="13"/>
  <c r="P894" i="13" s="1"/>
  <c r="O771" i="13"/>
  <c r="P771" i="13" s="1"/>
  <c r="O504" i="13"/>
  <c r="P504" i="13" s="1"/>
  <c r="O369" i="13"/>
  <c r="P369" i="13" s="1"/>
  <c r="O797" i="13"/>
  <c r="P797" i="13" s="1"/>
  <c r="O488" i="13"/>
  <c r="P488" i="13" s="1"/>
  <c r="O347" i="13"/>
  <c r="P347" i="13" s="1"/>
  <c r="O282" i="13"/>
  <c r="P282" i="13" s="1"/>
  <c r="O407" i="13"/>
  <c r="P407" i="13" s="1"/>
  <c r="O446" i="13"/>
  <c r="P446" i="13" s="1"/>
  <c r="O904" i="13"/>
  <c r="P904" i="13" s="1"/>
  <c r="O284" i="13"/>
  <c r="P284" i="13" s="1"/>
  <c r="O384" i="13"/>
  <c r="P384" i="13" s="1"/>
  <c r="O770" i="13"/>
  <c r="P770" i="13" s="1"/>
  <c r="O523" i="13"/>
  <c r="P523" i="13" s="1"/>
  <c r="O512" i="13"/>
  <c r="P512" i="13" s="1"/>
  <c r="O672" i="13"/>
  <c r="P672" i="13" s="1"/>
  <c r="O687" i="13"/>
  <c r="P687" i="13" s="1"/>
  <c r="O737" i="13"/>
  <c r="P737" i="13" s="1"/>
  <c r="O602" i="13"/>
  <c r="P602" i="13" s="1"/>
  <c r="O93" i="13"/>
  <c r="P93" i="13" s="1"/>
  <c r="O863" i="13"/>
  <c r="P863" i="13" s="1"/>
  <c r="O147" i="13"/>
  <c r="P147" i="13" s="1"/>
  <c r="O640" i="13"/>
  <c r="P640" i="13" s="1"/>
  <c r="O233" i="13"/>
  <c r="P233" i="13" s="1"/>
  <c r="O202" i="13"/>
  <c r="P202" i="13" s="1"/>
  <c r="O681" i="13"/>
  <c r="P681" i="13" s="1"/>
  <c r="O466" i="13"/>
  <c r="P466" i="13" s="1"/>
  <c r="O818" i="13"/>
  <c r="P818" i="13" s="1"/>
  <c r="O318" i="13"/>
  <c r="P318" i="13" s="1"/>
  <c r="O539" i="13"/>
  <c r="P539" i="13" s="1"/>
  <c r="O570" i="13"/>
  <c r="P570" i="13" s="1"/>
  <c r="O788" i="13"/>
  <c r="P788" i="13" s="1"/>
  <c r="O792" i="13"/>
  <c r="P792" i="13" s="1"/>
  <c r="O334" i="13"/>
  <c r="P334" i="13" s="1"/>
  <c r="O755" i="13"/>
  <c r="P755" i="13" s="1"/>
  <c r="O20" i="13"/>
  <c r="P20" i="13" s="1"/>
  <c r="O340" i="13"/>
  <c r="P340" i="13" s="1"/>
  <c r="O444" i="13"/>
  <c r="P444" i="13" s="1"/>
  <c r="O769" i="13"/>
  <c r="P769" i="13" s="1"/>
  <c r="O91" i="13"/>
  <c r="P91" i="13" s="1"/>
  <c r="O419" i="13"/>
  <c r="P419" i="13" s="1"/>
  <c r="O719" i="13"/>
  <c r="P719" i="13" s="1"/>
  <c r="O293" i="13"/>
  <c r="P293" i="13" s="1"/>
  <c r="O793" i="13"/>
  <c r="P793" i="13" s="1"/>
  <c r="O492" i="13"/>
  <c r="P492" i="13" s="1"/>
  <c r="O387" i="13"/>
  <c r="P387" i="13" s="1"/>
  <c r="O803" i="13"/>
  <c r="P803" i="13" s="1"/>
  <c r="O438" i="13"/>
  <c r="P438" i="13" s="1"/>
  <c r="O644" i="13"/>
  <c r="P644" i="13" s="1"/>
  <c r="O668" i="13"/>
  <c r="P668" i="13" s="1"/>
  <c r="O162" i="13"/>
  <c r="P162" i="13" s="1"/>
  <c r="O191" i="13"/>
  <c r="P191" i="13" s="1"/>
  <c r="O819" i="13"/>
  <c r="P819" i="13" s="1"/>
  <c r="O237" i="13"/>
  <c r="P237" i="13" s="1"/>
  <c r="O646" i="13"/>
  <c r="P646" i="13" s="1"/>
  <c r="O248" i="13"/>
  <c r="P248" i="13" s="1"/>
  <c r="O908" i="13"/>
  <c r="P908" i="13" s="1"/>
  <c r="O161" i="13"/>
  <c r="P161" i="13" s="1"/>
  <c r="O728" i="13"/>
  <c r="P728" i="13" s="1"/>
  <c r="O319" i="13"/>
  <c r="P319" i="13" s="1"/>
  <c r="O834" i="13"/>
  <c r="P834" i="13" s="1"/>
  <c r="O168" i="13"/>
  <c r="P168" i="13" s="1"/>
  <c r="O199" i="13"/>
  <c r="P199" i="13" s="1"/>
  <c r="O135" i="13"/>
  <c r="P135" i="13" s="1"/>
  <c r="O629" i="13"/>
  <c r="P629" i="13" s="1"/>
  <c r="O314" i="13"/>
  <c r="P314" i="13" s="1"/>
  <c r="O436" i="13"/>
  <c r="P436" i="13" s="1"/>
  <c r="O796" i="13"/>
  <c r="P796" i="13" s="1"/>
  <c r="O285" i="13"/>
  <c r="P285" i="13" s="1"/>
  <c r="O149" i="13"/>
  <c r="P149" i="13" s="1"/>
  <c r="O261" i="13"/>
  <c r="P261" i="13" s="1"/>
  <c r="O493" i="13"/>
  <c r="P493" i="13" s="1"/>
  <c r="O364" i="13"/>
  <c r="P364" i="13" s="1"/>
  <c r="O766" i="13"/>
  <c r="P766" i="13" s="1"/>
  <c r="O118" i="13"/>
  <c r="P118" i="13" s="1"/>
  <c r="O599" i="13"/>
  <c r="P599" i="13" s="1"/>
  <c r="O679" i="13"/>
  <c r="P679" i="13" s="1"/>
  <c r="O25" i="13"/>
  <c r="P25" i="13" s="1"/>
  <c r="O531" i="13"/>
  <c r="P531" i="13" s="1"/>
  <c r="O476" i="13"/>
  <c r="P476" i="13" s="1"/>
  <c r="O774" i="13"/>
  <c r="P774" i="13" s="1"/>
  <c r="O197" i="13"/>
  <c r="P197" i="13" s="1"/>
  <c r="O294" i="13"/>
  <c r="P294" i="13" s="1"/>
  <c r="O880" i="13"/>
  <c r="P880" i="13" s="1"/>
  <c r="O427" i="13"/>
  <c r="P427" i="13" s="1"/>
  <c r="O288" i="13"/>
  <c r="P288" i="13" s="1"/>
  <c r="O432" i="13"/>
  <c r="P432" i="13" s="1"/>
  <c r="O630" i="13"/>
  <c r="P630" i="13" s="1"/>
  <c r="O768" i="13"/>
  <c r="P768" i="13" s="1"/>
  <c r="O431" i="13"/>
  <c r="P431" i="13" s="1"/>
  <c r="O899" i="13"/>
  <c r="P899" i="13" s="1"/>
  <c r="O632" i="13"/>
  <c r="P632" i="13" s="1"/>
  <c r="O270" i="13"/>
  <c r="P270" i="13" s="1"/>
  <c r="O521" i="13"/>
  <c r="P521" i="13" s="1"/>
  <c r="O484" i="13"/>
  <c r="P484" i="13" s="1"/>
  <c r="O532" i="13"/>
  <c r="P532" i="13" s="1"/>
  <c r="O846" i="13"/>
  <c r="P846" i="13" s="1"/>
  <c r="O868" i="13"/>
  <c r="P868" i="13" s="1"/>
  <c r="O183" i="13"/>
  <c r="P183" i="13" s="1"/>
  <c r="O724" i="13"/>
  <c r="P724" i="13" s="1"/>
  <c r="O517" i="13"/>
  <c r="P517" i="13" s="1"/>
  <c r="O638" i="13"/>
  <c r="P638" i="13" s="1"/>
  <c r="O690" i="13"/>
  <c r="P690" i="13" s="1"/>
  <c r="O286" i="13"/>
  <c r="P286" i="13" s="1"/>
  <c r="O648" i="13"/>
  <c r="P648" i="13" s="1"/>
  <c r="O400" i="13"/>
  <c r="P400" i="13" s="1"/>
  <c r="O607" i="13"/>
  <c r="P607" i="13" s="1"/>
  <c r="O566" i="13"/>
  <c r="P566" i="13" s="1"/>
  <c r="O749" i="13"/>
  <c r="P749" i="13" s="1"/>
  <c r="O740" i="13"/>
  <c r="P740" i="13" s="1"/>
  <c r="O23" i="13"/>
  <c r="P23" i="13" s="1"/>
  <c r="O338" i="13"/>
  <c r="P338" i="13" s="1"/>
  <c r="O658" i="13"/>
  <c r="P658" i="13" s="1"/>
  <c r="O106" i="13"/>
  <c r="P106" i="13" s="1"/>
  <c r="O259" i="13"/>
  <c r="P259" i="13" s="1"/>
  <c r="O169" i="13"/>
  <c r="P169" i="13" s="1"/>
  <c r="O742" i="13"/>
  <c r="P742" i="13" s="1"/>
  <c r="O179" i="13"/>
  <c r="P179" i="13" s="1"/>
  <c r="O422" i="13"/>
  <c r="P422" i="13" s="1"/>
  <c r="O753" i="13"/>
  <c r="P753" i="13" s="1"/>
  <c r="O333" i="13"/>
  <c r="P333" i="13" s="1"/>
  <c r="O853" i="13"/>
  <c r="P853" i="13" s="1"/>
  <c r="O434" i="13"/>
  <c r="P434" i="13" s="1"/>
  <c r="O255" i="13"/>
  <c r="P255" i="13" s="1"/>
  <c r="O833" i="13"/>
  <c r="P833" i="13" s="1"/>
  <c r="O843" i="13"/>
  <c r="P843" i="13" s="1"/>
  <c r="O372" i="13"/>
  <c r="P372" i="13" s="1"/>
  <c r="O258" i="13"/>
  <c r="P258" i="13" s="1"/>
  <c r="O276" i="13"/>
  <c r="P276" i="13" s="1"/>
  <c r="O254" i="13"/>
  <c r="P254" i="13" s="1"/>
  <c r="O511" i="13"/>
  <c r="P511" i="13" s="1"/>
  <c r="O635" i="13"/>
  <c r="P635" i="13" s="1"/>
  <c r="O782" i="13"/>
  <c r="P782" i="13" s="1"/>
  <c r="O30" i="13"/>
  <c r="P30" i="13" s="1"/>
  <c r="O855" i="13"/>
  <c r="P855" i="13" s="1"/>
  <c r="O44" i="13"/>
  <c r="P44" i="13" s="1"/>
  <c r="O295" i="13"/>
  <c r="P295" i="13" s="1"/>
  <c r="O212" i="13"/>
  <c r="P212" i="13" s="1"/>
  <c r="O892" i="13"/>
  <c r="P892" i="13" s="1"/>
  <c r="O187" i="13"/>
  <c r="P187" i="13" s="1"/>
  <c r="O673" i="13"/>
  <c r="P673" i="13" s="1"/>
  <c r="O689" i="13"/>
  <c r="P689" i="13" s="1"/>
  <c r="O905" i="13"/>
  <c r="P905" i="13" s="1"/>
  <c r="O670" i="13"/>
  <c r="P670" i="13" s="1"/>
  <c r="O127" i="13"/>
  <c r="P127" i="13" s="1"/>
  <c r="O487" i="13"/>
  <c r="P487" i="13" s="1"/>
  <c r="O120" i="13"/>
  <c r="P120" i="13" s="1"/>
  <c r="O491" i="13"/>
  <c r="P491" i="13" s="1"/>
  <c r="O467" i="13"/>
  <c r="P467" i="13" s="1"/>
  <c r="O535" i="13"/>
  <c r="P535" i="13" s="1"/>
  <c r="O615" i="13"/>
  <c r="P615" i="13" s="1"/>
  <c r="O108" i="13"/>
  <c r="P108" i="13" s="1"/>
  <c r="O146" i="13"/>
  <c r="P146" i="13" s="1"/>
  <c r="O457" i="13"/>
  <c r="P457" i="13" s="1"/>
  <c r="O70" i="13"/>
  <c r="P70" i="13" s="1"/>
  <c r="O665" i="13"/>
  <c r="P665" i="13" s="1"/>
  <c r="O695" i="13"/>
  <c r="P695" i="13" s="1"/>
  <c r="O874" i="13"/>
  <c r="P874" i="13" s="1"/>
  <c r="O182" i="13"/>
  <c r="P182" i="13" s="1"/>
  <c r="O705" i="13"/>
  <c r="P705" i="13" s="1"/>
  <c r="O713" i="13"/>
  <c r="P713" i="13" s="1"/>
  <c r="O729" i="13"/>
  <c r="P729" i="13" s="1"/>
  <c r="O756" i="13"/>
  <c r="P756" i="13" s="1"/>
  <c r="O385" i="13"/>
  <c r="P385" i="13" s="1"/>
  <c r="O678" i="13"/>
  <c r="P678" i="13" s="1"/>
  <c r="O207" i="13"/>
  <c r="P207" i="13" s="1"/>
  <c r="O378" i="13"/>
  <c r="P378" i="13" s="1"/>
  <c r="O560" i="13"/>
  <c r="P560" i="13" s="1"/>
  <c r="O720" i="13"/>
  <c r="P720" i="13" s="1"/>
  <c r="O791" i="13"/>
  <c r="P791" i="13" s="1"/>
  <c r="O534" i="13"/>
  <c r="P534" i="13" s="1"/>
  <c r="O836" i="13"/>
  <c r="P836" i="13" s="1"/>
  <c r="O154" i="13"/>
  <c r="P154" i="13" s="1"/>
  <c r="O423" i="13"/>
  <c r="P423" i="13" s="1"/>
  <c r="O240" i="13"/>
  <c r="P240" i="13" s="1"/>
  <c r="O682" i="13"/>
  <c r="P682" i="13" s="1"/>
  <c r="O563" i="13"/>
  <c r="P563" i="13" s="1"/>
  <c r="O794" i="13"/>
  <c r="P794" i="13" s="1"/>
  <c r="O28" i="13"/>
  <c r="P28" i="13" s="1"/>
  <c r="O290" i="13"/>
  <c r="P290" i="13" s="1"/>
  <c r="O475" i="13"/>
  <c r="P475" i="13" s="1"/>
  <c r="O675" i="13"/>
  <c r="P675" i="13" s="1"/>
  <c r="O666" i="13"/>
  <c r="P666" i="13" s="1"/>
  <c r="O115" i="13"/>
  <c r="P115" i="13" s="1"/>
  <c r="O609" i="13"/>
  <c r="P609" i="13" s="1"/>
  <c r="O289" i="13"/>
  <c r="P289" i="13" s="1"/>
  <c r="O430" i="13"/>
  <c r="P430" i="13" s="1"/>
  <c r="O849" i="13"/>
  <c r="P849" i="13" s="1"/>
  <c r="O869" i="13"/>
  <c r="P869" i="13" s="1"/>
  <c r="O462" i="13"/>
  <c r="P462" i="13" s="1"/>
  <c r="O275" i="13"/>
  <c r="P275" i="13" s="1"/>
  <c r="O567" i="13"/>
  <c r="P567" i="13" s="1"/>
  <c r="O822" i="13"/>
  <c r="P822" i="13" s="1"/>
  <c r="O103" i="13"/>
  <c r="P103" i="13" s="1"/>
  <c r="O339" i="13"/>
  <c r="P339" i="13" s="1"/>
  <c r="O428" i="13"/>
  <c r="P428" i="13" s="1"/>
  <c r="O498" i="13"/>
  <c r="P498" i="13" s="1"/>
  <c r="O60" i="13"/>
  <c r="P60" i="13" s="1"/>
  <c r="O375" i="13"/>
  <c r="P375" i="13" s="1"/>
  <c r="O281" i="13"/>
  <c r="P281" i="13" s="1"/>
  <c r="O847" i="13"/>
  <c r="P847" i="13" s="1"/>
  <c r="O243" i="13"/>
  <c r="P243" i="13" s="1"/>
  <c r="O636" i="13"/>
  <c r="P636" i="13" s="1"/>
  <c r="O35" i="13"/>
  <c r="P35" i="13" s="1"/>
  <c r="O490" i="13"/>
  <c r="P490" i="13" s="1"/>
  <c r="O606" i="13"/>
  <c r="P606" i="13" s="1"/>
  <c r="O664" i="13"/>
  <c r="P664" i="13" s="1"/>
  <c r="O415" i="13"/>
  <c r="P415" i="13" s="1"/>
  <c r="O206" i="13"/>
  <c r="P206" i="13" s="1"/>
  <c r="O831" i="13"/>
  <c r="P831" i="13" s="1"/>
  <c r="O872" i="13"/>
  <c r="P872" i="13" s="1"/>
  <c r="O102" i="13"/>
  <c r="P102" i="13" s="1"/>
  <c r="O639" i="13"/>
  <c r="P639" i="13" s="1"/>
  <c r="O906" i="13"/>
  <c r="P906" i="13" s="1"/>
  <c r="O16" i="13"/>
  <c r="P16" i="13" s="1"/>
  <c r="O291" i="13"/>
  <c r="P291" i="13" s="1"/>
  <c r="O683" i="13"/>
  <c r="P683" i="13" s="1"/>
  <c r="O48" i="13"/>
  <c r="P48" i="13" s="1"/>
  <c r="O817" i="13"/>
  <c r="P817" i="13" s="1"/>
  <c r="O361" i="13"/>
  <c r="P361" i="13" s="1"/>
  <c r="O597" i="13"/>
  <c r="P597" i="13" s="1"/>
  <c r="O562" i="13"/>
  <c r="P562" i="13" s="1"/>
  <c r="O377" i="13"/>
  <c r="P377" i="13" s="1"/>
  <c r="O426" i="13"/>
  <c r="P426" i="13" s="1"/>
  <c r="O226" i="13"/>
  <c r="P226" i="13" s="1"/>
  <c r="O643" i="13"/>
  <c r="P643" i="13" s="1"/>
  <c r="O866" i="13"/>
  <c r="P866" i="13" s="1"/>
  <c r="O79" i="13"/>
  <c r="P79" i="13" s="1"/>
  <c r="O159" i="13"/>
  <c r="P159" i="13" s="1"/>
  <c r="O824" i="13"/>
  <c r="P824" i="13" s="1"/>
  <c r="O166" i="13"/>
  <c r="P166" i="13" s="1"/>
  <c r="O581" i="13"/>
  <c r="P581" i="13" s="1"/>
  <c r="O208" i="13"/>
  <c r="P208" i="13" s="1"/>
  <c r="O725" i="13"/>
  <c r="P725" i="13" s="1"/>
  <c r="O148" i="13"/>
  <c r="P148" i="13" s="1"/>
  <c r="O55" i="13"/>
  <c r="P55" i="13" s="1"/>
  <c r="O355" i="13"/>
  <c r="P355" i="13" s="1"/>
  <c r="O458" i="13"/>
  <c r="P458" i="13" s="1"/>
  <c r="O99" i="13"/>
  <c r="P99" i="13" s="1"/>
  <c r="O416" i="13"/>
  <c r="P416" i="13" s="1"/>
  <c r="O167" i="13"/>
  <c r="P167" i="13" s="1"/>
  <c r="O359" i="13"/>
  <c r="P359" i="13" s="1"/>
  <c r="O408" i="13"/>
  <c r="P408" i="13" s="1"/>
  <c r="O489" i="13"/>
  <c r="P489" i="13" s="1"/>
  <c r="O66" i="13"/>
  <c r="P66" i="13" s="1"/>
  <c r="O72" i="13"/>
  <c r="P72" i="13" s="1"/>
  <c r="O376" i="13"/>
  <c r="P376" i="13" s="1"/>
  <c r="O2" i="13"/>
  <c r="P2" i="13" s="1"/>
  <c r="O177" i="13"/>
  <c r="P177" i="13" s="1"/>
  <c r="O303" i="13"/>
  <c r="P303" i="13" s="1"/>
  <c r="O133" i="13"/>
  <c r="P133" i="13" s="1"/>
  <c r="O708" i="13"/>
  <c r="P708" i="13" s="1"/>
  <c r="O87" i="13"/>
  <c r="P87" i="13" s="1"/>
  <c r="O201" i="13"/>
  <c r="P201" i="13" s="1"/>
  <c r="O344" i="13"/>
  <c r="P344" i="13" s="1"/>
  <c r="O49" i="13"/>
  <c r="P49" i="13" s="1"/>
  <c r="O150" i="13"/>
  <c r="P150" i="13" s="1"/>
  <c r="O125" i="13"/>
  <c r="P125" i="13" s="1"/>
  <c r="O230" i="13"/>
  <c r="P230" i="13" s="1"/>
  <c r="O767" i="13"/>
  <c r="P767" i="13" s="1"/>
  <c r="O862" i="13"/>
  <c r="P862" i="13" s="1"/>
  <c r="O78" i="13"/>
  <c r="P78" i="13" s="1"/>
  <c r="O715" i="13"/>
  <c r="P715" i="13" s="1"/>
  <c r="O323" i="13"/>
  <c r="P323" i="13" s="1"/>
  <c r="O625" i="13"/>
  <c r="P625" i="13" s="1"/>
  <c r="O57" i="13"/>
  <c r="P57" i="13" s="1"/>
  <c r="O593" i="13"/>
  <c r="P593" i="13" s="1"/>
  <c r="O516" i="13"/>
  <c r="P516" i="13" s="1"/>
  <c r="O141" i="13"/>
  <c r="P141" i="13" s="1"/>
  <c r="O804" i="13"/>
  <c r="P804" i="13" s="1"/>
  <c r="O381" i="13"/>
  <c r="P381" i="13" s="1"/>
  <c r="O859" i="13"/>
  <c r="P859" i="13" s="1"/>
  <c r="O297" i="13"/>
  <c r="P297" i="13" s="1"/>
  <c r="O540" i="13"/>
  <c r="P540" i="13" s="1"/>
  <c r="O784" i="13"/>
  <c r="P784" i="13" s="1"/>
  <c r="O633" i="13"/>
  <c r="P633" i="13" s="1"/>
  <c r="O815" i="13"/>
  <c r="P815" i="13" s="1"/>
  <c r="O43" i="13"/>
  <c r="P43" i="13" s="1"/>
  <c r="O582" i="13"/>
  <c r="P582" i="13" s="1"/>
  <c r="O220" i="13"/>
  <c r="P220" i="13" s="1"/>
  <c r="O33" i="13"/>
  <c r="P33" i="13" s="1"/>
  <c r="O772" i="13"/>
  <c r="P772" i="13" s="1"/>
  <c r="O4" i="13"/>
  <c r="P4" i="13" s="1"/>
  <c r="O386" i="13"/>
  <c r="P386" i="13" s="1"/>
  <c r="O839" i="13"/>
  <c r="P839" i="13" s="1"/>
  <c r="O420" i="13"/>
  <c r="P420" i="13" s="1"/>
  <c r="O568" i="13"/>
  <c r="P568" i="13" s="1"/>
  <c r="O45" i="13"/>
  <c r="P45" i="13" s="1"/>
  <c r="O745" i="13"/>
  <c r="P745" i="13" s="1"/>
  <c r="O781" i="13"/>
  <c r="P781" i="13" s="1"/>
  <c r="O889" i="13"/>
  <c r="P889" i="13" s="1"/>
  <c r="O622" i="13"/>
  <c r="P622" i="13" s="1"/>
  <c r="O51" i="13"/>
  <c r="P51" i="13" s="1"/>
  <c r="O494" i="13"/>
  <c r="P494" i="13" s="1"/>
  <c r="O335" i="13"/>
  <c r="P335" i="13" s="1"/>
  <c r="O703" i="13"/>
  <c r="P703" i="13" s="1"/>
  <c r="O253" i="13"/>
  <c r="P253" i="13" s="1"/>
  <c r="O330" i="13"/>
  <c r="P330" i="13" s="1"/>
  <c r="O875" i="13"/>
  <c r="P875" i="13" s="1"/>
  <c r="O75" i="13"/>
  <c r="P75" i="13" s="1"/>
  <c r="O404" i="13"/>
  <c r="P404" i="13" s="1"/>
  <c r="O565" i="13"/>
  <c r="P565" i="13" s="1"/>
  <c r="O313" i="13"/>
  <c r="P313" i="13" s="1"/>
  <c r="O897" i="13"/>
  <c r="P897" i="13" s="1"/>
  <c r="O909" i="13"/>
  <c r="P909" i="13" s="1"/>
  <c r="O748" i="13"/>
  <c r="P748" i="13" s="1"/>
  <c r="O246" i="13"/>
  <c r="P246" i="13" s="1"/>
  <c r="O624" i="13"/>
  <c r="P624" i="13" s="1"/>
  <c r="O38" i="13"/>
  <c r="P38" i="13" s="1"/>
  <c r="O727" i="13"/>
  <c r="P727" i="13" s="1"/>
  <c r="O5" i="13"/>
  <c r="P5" i="13" s="1"/>
  <c r="O659" i="13"/>
  <c r="P659" i="13" s="1"/>
  <c r="O107" i="13"/>
  <c r="P107" i="13" s="1"/>
  <c r="O468" i="13"/>
  <c r="P468" i="13" s="1"/>
  <c r="O27" i="13"/>
  <c r="P27" i="13" s="1"/>
  <c r="O151" i="13"/>
  <c r="P151" i="13" s="1"/>
  <c r="O7" i="13"/>
  <c r="P7" i="13" s="1"/>
  <c r="O287" i="13"/>
  <c r="P287" i="13" s="1"/>
  <c r="O888" i="13"/>
  <c r="P888" i="13" s="1"/>
  <c r="O189" i="13"/>
  <c r="P189" i="13" s="1"/>
  <c r="O274" i="13"/>
  <c r="P274" i="13" s="1"/>
  <c r="O140" i="13"/>
  <c r="P140" i="13" s="1"/>
  <c r="O312" i="13"/>
  <c r="P312" i="13" s="1"/>
  <c r="O579" i="13"/>
  <c r="P579" i="13" s="1"/>
  <c r="O349" i="13"/>
  <c r="P349" i="13" s="1"/>
  <c r="O479" i="13"/>
  <c r="P479" i="13" s="1"/>
  <c r="O575" i="13"/>
  <c r="P575" i="13" s="1"/>
  <c r="O90" i="13"/>
  <c r="P90" i="13" s="1"/>
  <c r="O628" i="13"/>
  <c r="P628" i="13" s="1"/>
  <c r="O758" i="13"/>
  <c r="P758" i="13" s="1"/>
  <c r="O47" i="13"/>
  <c r="P47" i="13" s="1"/>
  <c r="O260" i="13"/>
  <c r="P260" i="13" s="1"/>
  <c r="O746" i="13"/>
  <c r="P746" i="13" s="1"/>
  <c r="O213" i="13"/>
  <c r="P213" i="13" s="1"/>
  <c r="O244" i="13"/>
  <c r="P244" i="13" s="1"/>
  <c r="O247" i="13"/>
  <c r="P247" i="13" s="1"/>
  <c r="O298" i="13"/>
  <c r="P298" i="13" s="1"/>
  <c r="O890" i="13"/>
  <c r="P890" i="13" s="1"/>
  <c r="O88" i="13"/>
  <c r="P88" i="13" s="1"/>
  <c r="O308" i="13"/>
  <c r="P308" i="13" s="1"/>
  <c r="O693" i="13"/>
  <c r="P693" i="13" s="1"/>
  <c r="O787" i="13"/>
  <c r="P787" i="13" s="1"/>
  <c r="O273" i="13"/>
  <c r="P273" i="13" s="1"/>
  <c r="O671" i="13"/>
  <c r="P671" i="13" s="1"/>
  <c r="O320" i="13"/>
  <c r="P320" i="13" s="1"/>
  <c r="O527" i="13"/>
  <c r="P527" i="13" s="1"/>
  <c r="O503" i="13"/>
  <c r="P503" i="13" s="1"/>
  <c r="O553" i="13"/>
  <c r="P553" i="13" s="1"/>
  <c r="O556" i="13"/>
  <c r="P556" i="13" s="1"/>
  <c r="O588" i="13"/>
  <c r="P588" i="13" s="1"/>
  <c r="O515" i="13"/>
  <c r="P515" i="13" s="1"/>
  <c r="O709" i="13"/>
  <c r="P709" i="13" s="1"/>
  <c r="O620" i="13"/>
  <c r="P620" i="13" s="1"/>
  <c r="O264" i="13"/>
  <c r="P264" i="13" s="1"/>
  <c r="O424" i="13"/>
  <c r="P424" i="13" s="1"/>
  <c r="O650" i="13"/>
  <c r="P650" i="13" s="1"/>
  <c r="O810" i="13"/>
  <c r="P810" i="13" s="1"/>
  <c r="O156" i="13"/>
  <c r="P156" i="13" s="1"/>
  <c r="O550" i="13"/>
  <c r="P550" i="13" s="1"/>
  <c r="O691" i="13"/>
  <c r="P691" i="13" s="1"/>
  <c r="O522" i="13"/>
  <c r="P522" i="13" s="1"/>
  <c r="O34" i="13"/>
  <c r="P34" i="13" s="1"/>
  <c r="O221" i="13"/>
  <c r="P221" i="13" s="1"/>
  <c r="O696" i="13"/>
  <c r="P696" i="13" s="1"/>
  <c r="O380" i="13"/>
  <c r="P380" i="13" s="1"/>
  <c r="O464" i="13"/>
  <c r="P464" i="13" s="1"/>
  <c r="O65" i="13"/>
  <c r="P65" i="13" s="1"/>
  <c r="O827" i="13"/>
  <c r="P827" i="13" s="1"/>
  <c r="O74" i="13"/>
  <c r="P74" i="13" s="1"/>
  <c r="O519" i="13"/>
  <c r="P519" i="13" s="1"/>
  <c r="O878" i="13"/>
  <c r="P878" i="13" s="1"/>
  <c r="O98" i="13"/>
  <c r="P98" i="13" s="1"/>
  <c r="O329" i="13"/>
  <c r="P329" i="13" s="1"/>
  <c r="O825" i="13"/>
  <c r="P825" i="13" s="1"/>
  <c r="O861" i="13"/>
  <c r="P861" i="13" s="1"/>
  <c r="O450" i="13"/>
  <c r="P450" i="13" s="1"/>
  <c r="O473" i="13"/>
  <c r="P473" i="13" s="1"/>
  <c r="O645" i="13"/>
  <c r="P645" i="13" s="1"/>
  <c r="O18" i="13"/>
  <c r="P18" i="13" s="1"/>
  <c r="O321" i="13"/>
  <c r="P321" i="13" s="1"/>
  <c r="O841" i="13"/>
  <c r="P841" i="13" s="1"/>
  <c r="O850" i="13"/>
  <c r="P850" i="13" s="1"/>
  <c r="O231" i="13"/>
  <c r="P231" i="13" s="1"/>
  <c r="O97" i="13"/>
  <c r="P97" i="13" s="1"/>
  <c r="O595" i="13"/>
  <c r="P595" i="13" s="1"/>
  <c r="O174" i="13"/>
  <c r="P174" i="13" s="1"/>
  <c r="O541" i="13"/>
  <c r="P541" i="13" s="1"/>
  <c r="O717" i="13"/>
  <c r="P717" i="13" s="1"/>
  <c r="O256" i="13"/>
  <c r="P256" i="13" s="1"/>
  <c r="O518" i="13"/>
  <c r="P518" i="13" s="1"/>
  <c r="O373" i="13"/>
  <c r="P373" i="13" s="1"/>
  <c r="O379" i="13"/>
  <c r="P379" i="13" s="1"/>
  <c r="O546" i="13"/>
  <c r="P546" i="13" s="1"/>
  <c r="O860" i="13"/>
  <c r="P860" i="13" s="1"/>
  <c r="O345" i="13"/>
  <c r="P345" i="13" s="1"/>
  <c r="O513" i="13"/>
  <c r="P513" i="13" s="1"/>
  <c r="O667" i="13"/>
  <c r="P667" i="13" s="1"/>
  <c r="O409" i="13"/>
  <c r="P409" i="13" s="1"/>
  <c r="O236" i="13"/>
  <c r="P236" i="13" s="1"/>
  <c r="O477" i="13"/>
  <c r="P477" i="13" s="1"/>
  <c r="O751" i="13"/>
  <c r="P751" i="13" s="1"/>
  <c r="O454" i="13"/>
  <c r="P454" i="13" s="1"/>
  <c r="O580" i="13"/>
  <c r="P580" i="13" s="1"/>
  <c r="O608" i="13"/>
  <c r="P608" i="13" s="1"/>
  <c r="O134" i="13"/>
  <c r="P134" i="13" s="1"/>
  <c r="O674" i="13"/>
  <c r="P674" i="13" s="1"/>
  <c r="O684" i="13"/>
  <c r="P684" i="13" s="1"/>
  <c r="O902" i="13"/>
  <c r="P902" i="13" s="1"/>
  <c r="O92" i="13"/>
  <c r="P92" i="13" s="1"/>
  <c r="O722" i="13"/>
  <c r="P722" i="13" s="1"/>
  <c r="O840" i="13"/>
  <c r="P840" i="13" s="1"/>
  <c r="O50" i="13"/>
  <c r="P50" i="13" s="1"/>
  <c r="O445" i="13"/>
  <c r="P445" i="13" s="1"/>
  <c r="O263" i="13"/>
  <c r="P263" i="13" s="1"/>
  <c r="O391" i="13"/>
  <c r="P391" i="13" s="1"/>
  <c r="O117" i="13"/>
  <c r="P117" i="13" s="1"/>
  <c r="O561" i="13"/>
  <c r="P561" i="13" s="1"/>
  <c r="O895" i="13"/>
  <c r="P895" i="13" s="1"/>
  <c r="O336" i="13"/>
  <c r="P336" i="13" s="1"/>
  <c r="O641" i="13"/>
  <c r="P641" i="13" s="1"/>
  <c r="O537" i="13"/>
  <c r="P537" i="13" s="1"/>
  <c r="O885" i="13"/>
  <c r="P885" i="13" s="1"/>
  <c r="O676" i="13"/>
  <c r="P676" i="13" s="1"/>
  <c r="O328" i="13"/>
  <c r="P328" i="13" s="1"/>
  <c r="O497" i="13"/>
  <c r="P497" i="13" s="1"/>
  <c r="O651" i="13"/>
  <c r="P651" i="13" s="1"/>
  <c r="O526" i="13"/>
  <c r="P526" i="13" s="1"/>
  <c r="O165" i="13"/>
  <c r="P165" i="13" s="1"/>
  <c r="O406" i="13"/>
  <c r="P406" i="13" s="1"/>
  <c r="O830" i="13"/>
  <c r="P830" i="13" s="1"/>
  <c r="O67" i="13"/>
  <c r="P67" i="13" s="1"/>
  <c r="O357" i="13"/>
  <c r="P357" i="13" s="1"/>
  <c r="O470" i="13"/>
  <c r="P470" i="13" s="1"/>
  <c r="O652" i="13"/>
  <c r="P652" i="13" s="1"/>
  <c r="O204" i="13"/>
  <c r="P204" i="13" s="1"/>
  <c r="O394" i="13"/>
  <c r="P394" i="13" s="1"/>
  <c r="O577" i="13"/>
  <c r="P577" i="13" s="1"/>
  <c r="O544" i="13"/>
  <c r="P544" i="13" s="1"/>
  <c r="O829" i="13"/>
  <c r="P829" i="13" s="1"/>
  <c r="O750" i="13"/>
  <c r="P750" i="13" s="1"/>
  <c r="O586" i="13"/>
  <c r="P586" i="13" s="1"/>
  <c r="O692" i="13"/>
  <c r="P692" i="13" s="1"/>
  <c r="O164" i="13"/>
  <c r="P164" i="13" s="1"/>
  <c r="O331" i="13"/>
  <c r="P331" i="13" s="1"/>
  <c r="O876" i="13"/>
  <c r="P876" i="13" s="1"/>
  <c r="O358" i="13"/>
  <c r="P358" i="13" s="1"/>
  <c r="O463" i="13"/>
  <c r="P463" i="13" s="1"/>
  <c r="O697" i="13"/>
  <c r="P697" i="13" s="1"/>
  <c r="O883" i="13"/>
  <c r="P883" i="13" s="1"/>
  <c r="O558" i="13"/>
  <c r="P558" i="13" s="1"/>
  <c r="O614" i="13"/>
  <c r="P614" i="13" s="1"/>
  <c r="O245" i="13"/>
  <c r="P245" i="13" s="1"/>
  <c r="O228" i="13"/>
  <c r="P228" i="13" s="1"/>
  <c r="O653" i="13"/>
  <c r="P653" i="13" s="1"/>
  <c r="O743" i="13"/>
  <c r="P743" i="13" s="1"/>
  <c r="O205" i="13"/>
  <c r="P205" i="13" s="1"/>
  <c r="O747" i="13"/>
  <c r="P747" i="13" s="1"/>
  <c r="O152" i="13"/>
  <c r="P152" i="13" s="1"/>
  <c r="O604" i="13"/>
  <c r="P604" i="13" s="1"/>
  <c r="O401" i="13"/>
  <c r="P401" i="13" s="1"/>
  <c r="O621" i="13"/>
  <c r="P621" i="13" s="1"/>
  <c r="O69" i="13"/>
  <c r="P69" i="13" s="1"/>
  <c r="O447" i="13"/>
  <c r="P447" i="13" s="1"/>
  <c r="O96" i="13"/>
  <c r="P96" i="13" s="1"/>
  <c r="O130" i="13"/>
  <c r="P130" i="13" s="1"/>
  <c r="O315" i="13"/>
  <c r="P315" i="13" s="1"/>
  <c r="O41" i="13"/>
  <c r="P41" i="13" s="1"/>
  <c r="O779" i="13"/>
  <c r="P779" i="13" s="1"/>
  <c r="O858" i="13"/>
  <c r="P858" i="13" s="1"/>
  <c r="O52" i="13"/>
  <c r="P52" i="13" s="1"/>
  <c r="O396" i="13"/>
  <c r="P396" i="13" s="1"/>
  <c r="O785" i="13"/>
  <c r="P785" i="13" s="1"/>
  <c r="O123" i="13"/>
  <c r="P123" i="13" s="1"/>
  <c r="O337" i="13"/>
  <c r="P337" i="13" s="1"/>
  <c r="O111" i="13"/>
  <c r="P111" i="13" s="1"/>
  <c r="O131" i="13"/>
  <c r="P131" i="13" s="1"/>
  <c r="O382" i="13"/>
  <c r="P382" i="13" s="1"/>
  <c r="O661" i="13"/>
  <c r="P661" i="13" s="1"/>
  <c r="O507" i="13"/>
  <c r="P507" i="13" s="1"/>
  <c r="O832" i="13"/>
  <c r="P832" i="13" s="1"/>
  <c r="O126" i="13"/>
  <c r="P126" i="13" s="1"/>
  <c r="O571" i="13"/>
  <c r="P571" i="13" s="1"/>
  <c r="O814" i="13"/>
  <c r="P814" i="13" s="1"/>
  <c r="O211" i="13"/>
  <c r="P211" i="13" s="1"/>
  <c r="O392" i="13"/>
  <c r="P392" i="13" s="1"/>
  <c r="O9" i="13"/>
  <c r="P9" i="13" s="1"/>
  <c r="O813" i="13"/>
  <c r="P813" i="13" s="1"/>
  <c r="O24" i="13"/>
  <c r="P24" i="13" s="1"/>
  <c r="O114" i="13"/>
  <c r="P114" i="13" s="1"/>
  <c r="O731" i="13"/>
  <c r="P731" i="13" s="1"/>
  <c r="O280" i="13"/>
  <c r="P280" i="13" s="1"/>
  <c r="O757" i="13"/>
  <c r="P757" i="13" s="1"/>
  <c r="O100" i="13"/>
  <c r="P100" i="13" s="1"/>
  <c r="O268" i="13"/>
  <c r="P268" i="13" s="1"/>
  <c r="O14" i="13"/>
  <c r="P14" i="13" s="1"/>
  <c r="O440" i="13"/>
  <c r="P440" i="13" s="1"/>
  <c r="O881" i="13"/>
  <c r="P881" i="13" s="1"/>
  <c r="O528" i="13"/>
  <c r="P528" i="13" s="1"/>
  <c r="O856" i="13"/>
  <c r="P856" i="13" s="1"/>
  <c r="O194" i="13"/>
  <c r="P194" i="13" s="1"/>
  <c r="O543" i="13"/>
  <c r="P543" i="13" s="1"/>
  <c r="O54" i="13"/>
  <c r="P54" i="13" s="1"/>
  <c r="O283" i="13"/>
  <c r="P283" i="13" s="1"/>
  <c r="O456" i="13"/>
  <c r="P456" i="13" s="1"/>
  <c r="O662" i="13"/>
  <c r="P662" i="13" s="1"/>
  <c r="O451" i="13"/>
  <c r="P451" i="13" s="1"/>
  <c r="O129" i="13"/>
  <c r="P129" i="13" s="1"/>
  <c r="O46" i="13"/>
  <c r="P46" i="13" s="1"/>
  <c r="O590" i="13"/>
  <c r="P590" i="13" s="1"/>
  <c r="O374" i="13"/>
  <c r="P374" i="13" s="1"/>
  <c r="O865" i="13"/>
  <c r="P865" i="13" s="1"/>
  <c r="O877" i="13"/>
  <c r="P877" i="13" s="1"/>
  <c r="O83" i="13"/>
  <c r="P83" i="13" s="1"/>
  <c r="O761" i="13"/>
  <c r="P761" i="13" s="1"/>
  <c r="O500" i="13"/>
  <c r="P500" i="13" s="1"/>
  <c r="O11" i="13"/>
  <c r="P11" i="13" s="1"/>
  <c r="O249" i="13"/>
  <c r="P249" i="13" s="1"/>
  <c r="O775" i="13"/>
  <c r="P775" i="13" s="1"/>
  <c r="O173" i="13"/>
  <c r="P173" i="13" s="1"/>
  <c r="O496" i="13"/>
  <c r="P496" i="13" s="1"/>
  <c r="O353" i="13"/>
  <c r="P353" i="13" s="1"/>
  <c r="O77" i="13"/>
  <c r="P77" i="13" s="1"/>
  <c r="O501" i="13"/>
  <c r="P501" i="13" s="1"/>
  <c r="O266" i="13"/>
  <c r="P266" i="13" s="1"/>
  <c r="O712" i="13"/>
  <c r="P712" i="13" s="1"/>
  <c r="O39" i="13"/>
  <c r="P39" i="13" s="1"/>
  <c r="O217" i="13"/>
  <c r="P217" i="13" s="1"/>
  <c r="O170" i="13"/>
  <c r="P170" i="13" s="1"/>
  <c r="O21" i="13"/>
  <c r="P21" i="13" s="1"/>
  <c r="O300" i="13"/>
  <c r="P300" i="13" s="1"/>
  <c r="O469" i="13"/>
  <c r="P469" i="13" s="1"/>
  <c r="O94" i="13"/>
  <c r="P94" i="13" s="1"/>
  <c r="O279" i="13"/>
  <c r="P279" i="13" s="1"/>
  <c r="O82" i="13"/>
  <c r="P82" i="13" s="1"/>
  <c r="O611" i="13"/>
  <c r="P611" i="13" s="1"/>
  <c r="O777" i="13"/>
  <c r="P777" i="13" s="1"/>
  <c r="O806" i="13"/>
  <c r="P806" i="13" s="1"/>
  <c r="O292" i="13"/>
  <c r="P292" i="13" s="1"/>
  <c r="O529" i="13"/>
  <c r="P529" i="13" s="1"/>
  <c r="O903" i="13"/>
  <c r="P903" i="13" s="1"/>
  <c r="O508" i="13"/>
  <c r="P508" i="13" s="1"/>
  <c r="O224" i="13"/>
  <c r="P224" i="13" s="1"/>
  <c r="O272" i="13"/>
  <c r="P272" i="13" s="1"/>
  <c r="O596" i="13"/>
  <c r="P596" i="13" s="1"/>
  <c r="O158" i="13"/>
  <c r="P158" i="13" s="1"/>
  <c r="O342" i="13"/>
  <c r="P342" i="13" s="1"/>
  <c r="O499" i="13"/>
  <c r="P499" i="13" s="1"/>
  <c r="O332" i="13"/>
  <c r="P332" i="13" s="1"/>
  <c r="O657" i="13"/>
  <c r="P657" i="13" s="1"/>
  <c r="O838" i="13"/>
  <c r="P838" i="13" s="1"/>
  <c r="O229" i="13"/>
  <c r="P229" i="13" s="1"/>
  <c r="O238" i="13"/>
  <c r="P238" i="13" s="1"/>
  <c r="O356" i="13"/>
  <c r="P356" i="13" s="1"/>
  <c r="O547" i="13"/>
  <c r="P547" i="13" s="1"/>
  <c r="O465" i="13"/>
  <c r="P465" i="13" s="1"/>
  <c r="O485" i="13"/>
  <c r="P485" i="13" s="1"/>
  <c r="O6" i="13"/>
  <c r="P6" i="13" s="1"/>
  <c r="O58" i="13"/>
  <c r="P58" i="13" s="1"/>
  <c r="O239" i="13"/>
  <c r="P239" i="13" s="1"/>
  <c r="O227" i="13"/>
  <c r="P227" i="13" s="1"/>
  <c r="O842" i="13"/>
  <c r="P842" i="13" s="1"/>
  <c r="O195" i="13"/>
  <c r="P195" i="13" s="1"/>
  <c r="O362" i="13"/>
  <c r="P362" i="13" s="1"/>
  <c r="O835" i="13"/>
  <c r="P835" i="13" s="1"/>
  <c r="O61" i="13"/>
  <c r="P61" i="13" s="1"/>
  <c r="O414" i="13"/>
  <c r="P414" i="13" s="1"/>
  <c r="O734" i="13"/>
  <c r="P734" i="13" s="1"/>
  <c r="O269" i="13"/>
  <c r="P269" i="13" s="1"/>
  <c r="O555" i="13"/>
  <c r="P555" i="13" s="1"/>
  <c r="O901" i="13"/>
  <c r="P901" i="13" s="1"/>
  <c r="O209" i="13"/>
  <c r="P209" i="13" s="1"/>
  <c r="O631" i="13"/>
  <c r="P631" i="13" s="1"/>
  <c r="O360" i="13"/>
  <c r="P360" i="13" s="1"/>
  <c r="O186" i="13"/>
  <c r="P186" i="13" s="1"/>
  <c r="O481" i="13"/>
  <c r="P481" i="13" s="1"/>
  <c r="O741" i="13"/>
  <c r="P741" i="13" s="1"/>
  <c r="O442" i="13"/>
  <c r="P442" i="13" s="1"/>
  <c r="O626" i="13"/>
  <c r="P626" i="13" s="1"/>
  <c r="O155" i="13"/>
  <c r="P155" i="13" s="1"/>
  <c r="O113" i="13"/>
  <c r="P113" i="13" s="1"/>
  <c r="O548" i="13"/>
  <c r="P548" i="13" s="1"/>
  <c r="O461" i="13"/>
  <c r="P461" i="13" s="1"/>
  <c r="O584" i="13"/>
  <c r="P584" i="13" s="1"/>
  <c r="O844" i="13"/>
  <c r="P844" i="13" s="1"/>
  <c r="O413" i="13"/>
  <c r="P413" i="13" s="1"/>
  <c r="O214" i="13"/>
  <c r="P214" i="13" s="1"/>
  <c r="O619" i="13"/>
  <c r="P619" i="13" s="1"/>
  <c r="O845" i="13"/>
  <c r="P845" i="13" s="1"/>
  <c r="O478" i="13"/>
  <c r="P478" i="13" s="1"/>
  <c r="O200" i="13"/>
  <c r="P200" i="13" s="1"/>
  <c r="O549" i="13"/>
  <c r="P549" i="13" s="1"/>
  <c r="O699" i="13"/>
  <c r="P699" i="13" s="1"/>
  <c r="O598" i="13"/>
  <c r="P598" i="13" s="1"/>
  <c r="O17" i="13"/>
  <c r="P17" i="13" s="1"/>
  <c r="O649" i="13"/>
  <c r="P649" i="13" s="1"/>
  <c r="O763" i="13"/>
  <c r="P763" i="13" s="1"/>
  <c r="O59" i="13"/>
  <c r="P59" i="13" s="1"/>
  <c r="O437" i="13"/>
  <c r="P437" i="13" s="1"/>
  <c r="O235" i="13"/>
  <c r="P235" i="13" s="1"/>
  <c r="O346" i="13"/>
  <c r="P346" i="13" s="1"/>
  <c r="O486" i="13"/>
  <c r="P486" i="13" s="1"/>
  <c r="O726" i="13"/>
  <c r="P726" i="13" s="1"/>
  <c r="O317" i="13"/>
  <c r="P317" i="13" s="1"/>
  <c r="O296" i="13"/>
  <c r="P296" i="13" s="1"/>
  <c r="O326" i="13"/>
  <c r="P326" i="13" s="1"/>
  <c r="O700" i="13"/>
  <c r="P700" i="13" s="1"/>
  <c r="O762" i="13"/>
  <c r="P762" i="13" s="1"/>
  <c r="O144" i="13"/>
  <c r="P144" i="13" s="1"/>
  <c r="O623" i="13"/>
  <c r="P623" i="13" s="1"/>
  <c r="O884" i="13"/>
  <c r="P884" i="13" s="1"/>
  <c r="O759" i="13"/>
  <c r="P759" i="13" s="1"/>
  <c r="O514" i="13"/>
  <c r="P514" i="13" s="1"/>
  <c r="O310" i="13"/>
  <c r="P310" i="13" s="1"/>
  <c r="O694" i="13"/>
  <c r="P694" i="13" s="1"/>
  <c r="O95" i="13"/>
  <c r="P95" i="13" s="1"/>
  <c r="O278" i="13"/>
  <c r="P278" i="13" s="1"/>
  <c r="O452" i="13"/>
  <c r="P452" i="13" s="1"/>
  <c r="O680" i="13"/>
  <c r="P680" i="13" s="1"/>
  <c r="O219" i="13"/>
  <c r="P219" i="13" s="1"/>
  <c r="O907" i="13"/>
  <c r="P907" i="13" s="1"/>
  <c r="O714" i="13"/>
  <c r="P714" i="13" s="1"/>
  <c r="O397" i="13"/>
  <c r="P397" i="13" s="1"/>
  <c r="O617" i="13"/>
  <c r="P617" i="13" s="1"/>
  <c r="O716" i="13"/>
  <c r="P716" i="13" s="1"/>
  <c r="O418" i="13"/>
  <c r="P418" i="13" s="1"/>
  <c r="O812" i="13"/>
  <c r="P812" i="13" s="1"/>
  <c r="O137" i="13"/>
  <c r="P137" i="13" s="1"/>
  <c r="O390" i="13"/>
  <c r="P390" i="13" s="1"/>
  <c r="O873" i="13"/>
  <c r="P873" i="13" s="1"/>
  <c r="O29" i="13"/>
  <c r="P29" i="13" s="1"/>
  <c r="O826" i="13"/>
  <c r="P826" i="13" s="1"/>
  <c r="O864" i="13"/>
  <c r="P864" i="13" s="1"/>
  <c r="O660" i="13"/>
  <c r="P660" i="13" s="1"/>
  <c r="O702" i="13"/>
  <c r="P702" i="13" s="1"/>
  <c r="O780" i="13"/>
  <c r="P780" i="13" s="1"/>
  <c r="O610" i="13"/>
  <c r="P610" i="13" s="1"/>
  <c r="O688" i="13"/>
  <c r="P688" i="13" s="1"/>
  <c r="O175" i="13"/>
  <c r="P175" i="13" s="1"/>
  <c r="O184" i="13"/>
  <c r="P184" i="13" s="1"/>
  <c r="O398" i="13"/>
  <c r="P398" i="13" s="1"/>
  <c r="O721" i="13"/>
  <c r="P721" i="13" s="1"/>
  <c r="O143" i="13"/>
  <c r="P143" i="13" s="1"/>
  <c r="O85" i="13"/>
  <c r="P85" i="13" s="1"/>
  <c r="O316" i="13"/>
  <c r="P316" i="13" s="1"/>
  <c r="O807" i="13"/>
  <c r="P807" i="13" s="1"/>
  <c r="O502" i="13"/>
  <c r="P502" i="13" s="1"/>
</calcChain>
</file>

<file path=xl/sharedStrings.xml><?xml version="1.0" encoding="utf-8"?>
<sst xmlns="http://schemas.openxmlformats.org/spreadsheetml/2006/main" count="39833" uniqueCount="4987">
  <si>
    <t>Supporter_ID</t>
  </si>
  <si>
    <t>Title</t>
  </si>
  <si>
    <t>First_Name</t>
  </si>
  <si>
    <t>Last_Name</t>
  </si>
  <si>
    <t>Email</t>
  </si>
  <si>
    <t>Phone</t>
  </si>
  <si>
    <t>Date_of_Birth</t>
  </si>
  <si>
    <t>Address_Line_1</t>
  </si>
  <si>
    <t>Address_Line_2</t>
  </si>
  <si>
    <t>Town</t>
  </si>
  <si>
    <t>County</t>
  </si>
  <si>
    <t>Postcode</t>
  </si>
  <si>
    <t>Gender</t>
  </si>
  <si>
    <t>Acquisition_Source</t>
  </si>
  <si>
    <t>Segment</t>
  </si>
  <si>
    <t>Date_Added</t>
  </si>
  <si>
    <t>Communication_Preference</t>
  </si>
  <si>
    <t>Email_Opt_In</t>
  </si>
  <si>
    <t>Mail_Opt_In</t>
  </si>
  <si>
    <t>Phone_Opt_In</t>
  </si>
  <si>
    <t>SMS_Opt_In</t>
  </si>
  <si>
    <t>SUP01001</t>
  </si>
  <si>
    <t>Mrs</t>
  </si>
  <si>
    <t>Sarah</t>
  </si>
  <si>
    <t>Kelly</t>
  </si>
  <si>
    <t>sarah.kelly@aol.com</t>
  </si>
  <si>
    <t>07130 195 323</t>
  </si>
  <si>
    <t>09/21/1977</t>
  </si>
  <si>
    <t>189 Mill Lane</t>
  </si>
  <si>
    <t>Nottingham</t>
  </si>
  <si>
    <t>Nottinghamshire</t>
  </si>
  <si>
    <t>M1 1AD</t>
  </si>
  <si>
    <t>F</t>
  </si>
  <si>
    <t>Telephone</t>
  </si>
  <si>
    <t>One-time Donor</t>
  </si>
  <si>
    <t>2024-02-11</t>
  </si>
  <si>
    <t>Yes</t>
  </si>
  <si>
    <t>No</t>
  </si>
  <si>
    <t>SUP01002</t>
  </si>
  <si>
    <t>DR</t>
  </si>
  <si>
    <t>Mary</t>
  </si>
  <si>
    <t>Murray</t>
  </si>
  <si>
    <t>mary-murray@outlook.com</t>
  </si>
  <si>
    <t>07204194489</t>
  </si>
  <si>
    <t>28/01/1951</t>
  </si>
  <si>
    <t>88 Manor Road</t>
  </si>
  <si>
    <t>Aberdeen</t>
  </si>
  <si>
    <t>Grampian</t>
  </si>
  <si>
    <t>BA1 5AW</t>
  </si>
  <si>
    <t>Referral</t>
  </si>
  <si>
    <t>Prospect</t>
  </si>
  <si>
    <t>2020-12-19</t>
  </si>
  <si>
    <t>No Preference</t>
  </si>
  <si>
    <t>SUP01003</t>
  </si>
  <si>
    <t>Mr</t>
  </si>
  <si>
    <t>Jonathan</t>
  </si>
  <si>
    <t>Reid</t>
  </si>
  <si>
    <t>jonathan.reid@gmail.com</t>
  </si>
  <si>
    <t>(0129) 5741 2307</t>
  </si>
  <si>
    <t>1958-07-17</t>
  </si>
  <si>
    <t>50 Bridge Road</t>
  </si>
  <si>
    <t>Swindon</t>
  </si>
  <si>
    <t>Wiltshire</t>
  </si>
  <si>
    <t>BT1 5GS</t>
  </si>
  <si>
    <t>Man</t>
  </si>
  <si>
    <t>Direct Mail</t>
  </si>
  <si>
    <t>Lapsed</t>
  </si>
  <si>
    <t>12.02.21</t>
  </si>
  <si>
    <t>SUP01004</t>
  </si>
  <si>
    <t>Rev</t>
  </si>
  <si>
    <t>Anthony</t>
  </si>
  <si>
    <t>Patel</t>
  </si>
  <si>
    <t>anthony-patel@outlook.com</t>
  </si>
  <si>
    <t>07573488376</t>
  </si>
  <si>
    <t>26.02.40</t>
  </si>
  <si>
    <t>156 South Street</t>
  </si>
  <si>
    <t>Liverpool</t>
  </si>
  <si>
    <t>Merseyside</t>
  </si>
  <si>
    <t>N1 9GU</t>
  </si>
  <si>
    <t>m</t>
  </si>
  <si>
    <t>21-Aug-2021</t>
  </si>
  <si>
    <t>SUP01005</t>
  </si>
  <si>
    <t>Stephen</t>
  </si>
  <si>
    <t>Hamilton</t>
  </si>
  <si>
    <t>stephenhamilton@icloud.com</t>
  </si>
  <si>
    <t>07371242352</t>
  </si>
  <si>
    <t>08/14/1940</t>
  </si>
  <si>
    <t>168 Main Street</t>
  </si>
  <si>
    <t>Cambridge</t>
  </si>
  <si>
    <t>Cambridgeshire</t>
  </si>
  <si>
    <t>LS2 9JT</t>
  </si>
  <si>
    <t>Social Media</t>
  </si>
  <si>
    <t>2024-07-22</t>
  </si>
  <si>
    <t>Post</t>
  </si>
  <si>
    <t>SUP01006</t>
  </si>
  <si>
    <t>Lucy</t>
  </si>
  <si>
    <t>Moore</t>
  </si>
  <si>
    <t>+44 7165 494 490</t>
  </si>
  <si>
    <t>23 December 1964</t>
  </si>
  <si>
    <t>40 South Street</t>
  </si>
  <si>
    <t>Newcastle</t>
  </si>
  <si>
    <t>Tyne and Wear</t>
  </si>
  <si>
    <t>---</t>
  </si>
  <si>
    <t>female</t>
  </si>
  <si>
    <t>2018-02-17</t>
  </si>
  <si>
    <t>Do Not Contact</t>
  </si>
  <si>
    <t>SUP01007</t>
  </si>
  <si>
    <t>Andrew</t>
  </si>
  <si>
    <t>Hughes</t>
  </si>
  <si>
    <t>andrew.hughes@btinternet.com</t>
  </si>
  <si>
    <t>(0164) 4258 3504</t>
  </si>
  <si>
    <t>25-Aug-2006</t>
  </si>
  <si>
    <t>196 Victoria Road</t>
  </si>
  <si>
    <t>Winchester</t>
  </si>
  <si>
    <t>Hampshire</t>
  </si>
  <si>
    <t>CV1 1FN</t>
  </si>
  <si>
    <t>M</t>
  </si>
  <si>
    <t>Event</t>
  </si>
  <si>
    <t>13/12/2023</t>
  </si>
  <si>
    <t>SUP01008</t>
  </si>
  <si>
    <t>Alexander</t>
  </si>
  <si>
    <t>Simpson</t>
  </si>
  <si>
    <t>alexander.simpson@yahoo.co.uk</t>
  </si>
  <si>
    <t>(0162) 2133 9727</t>
  </si>
  <si>
    <t>20/08/1932</t>
  </si>
  <si>
    <t>15 Green Lane</t>
  </si>
  <si>
    <t>Bath</t>
  </si>
  <si>
    <t>Somerset</t>
  </si>
  <si>
    <t>L3 9SJ</t>
  </si>
  <si>
    <t>01 May 2023</t>
  </si>
  <si>
    <t>SUP01009</t>
  </si>
  <si>
    <t>Mrs.</t>
  </si>
  <si>
    <t>Susan</t>
  </si>
  <si>
    <t>O'Brien</t>
  </si>
  <si>
    <t>susano'brien@sky.com</t>
  </si>
  <si>
    <t>01onal 562 2982</t>
  </si>
  <si>
    <t>01/29/1962</t>
  </si>
  <si>
    <t>183 Kings Road</t>
  </si>
  <si>
    <t>Oxford</t>
  </si>
  <si>
    <t>Oxfordshire</t>
  </si>
  <si>
    <t>LS1 1UR</t>
  </si>
  <si>
    <t>Mid-Value</t>
  </si>
  <si>
    <t>28 March 2018</t>
  </si>
  <si>
    <t>SUP01010</t>
  </si>
  <si>
    <t>Liam</t>
  </si>
  <si>
    <t>Taylor</t>
  </si>
  <si>
    <t>liam-taylor@btinternet.com</t>
  </si>
  <si>
    <t>(0162) 4510 9834</t>
  </si>
  <si>
    <t>12/27/1980</t>
  </si>
  <si>
    <t>19 Springfield Road</t>
  </si>
  <si>
    <t>Cardiff</t>
  </si>
  <si>
    <t>South Glamorgan</t>
  </si>
  <si>
    <t>LE1 5PH</t>
  </si>
  <si>
    <t>Corporate Partner</t>
  </si>
  <si>
    <t>Regular Giver</t>
  </si>
  <si>
    <t>22.04.23</t>
  </si>
  <si>
    <t>SUP01011</t>
  </si>
  <si>
    <t>Joseph</t>
  </si>
  <si>
    <t>Clarke</t>
  </si>
  <si>
    <t>joseph_clarke@yahoo.co.uk</t>
  </si>
  <si>
    <t>07296294649</t>
  </si>
  <si>
    <t>12/20/1966</t>
  </si>
  <si>
    <t>16 Queen Street</t>
  </si>
  <si>
    <t>Sheffield</t>
  </si>
  <si>
    <t>South Yorkshire</t>
  </si>
  <si>
    <t>NW1 2DB</t>
  </si>
  <si>
    <t>Male</t>
  </si>
  <si>
    <t>Door-to-door</t>
  </si>
  <si>
    <t>02/14/2021</t>
  </si>
  <si>
    <t>SUP01012</t>
  </si>
  <si>
    <t>Dame</t>
  </si>
  <si>
    <t>Megan</t>
  </si>
  <si>
    <t>Evans</t>
  </si>
  <si>
    <t>megan-evans@hotmail.com</t>
  </si>
  <si>
    <t>0191 592 4502</t>
  </si>
  <si>
    <t>07/04/1998</t>
  </si>
  <si>
    <t>24 Willow Road</t>
  </si>
  <si>
    <t>London</t>
  </si>
  <si>
    <t>Greater London</t>
  </si>
  <si>
    <t>SW1A 1AA</t>
  </si>
  <si>
    <t>Woman</t>
  </si>
  <si>
    <t>Website</t>
  </si>
  <si>
    <t>02/04/2022</t>
  </si>
  <si>
    <t>SUP01013</t>
  </si>
  <si>
    <t>Mr.</t>
  </si>
  <si>
    <t>Nathan</t>
  </si>
  <si>
    <t>Phillips</t>
  </si>
  <si>
    <t>nathan.phillips@gmail.com</t>
  </si>
  <si>
    <t>(0140) 1936 1821</t>
  </si>
  <si>
    <t>01-Nov-1954</t>
  </si>
  <si>
    <t>76 London Road</t>
  </si>
  <si>
    <t>male</t>
  </si>
  <si>
    <t>Major Donor</t>
  </si>
  <si>
    <t>12.09.23</t>
  </si>
  <si>
    <t>SUP01014</t>
  </si>
  <si>
    <t>Ms.</t>
  </si>
  <si>
    <t>Jennifer</t>
  </si>
  <si>
    <t>Martin</t>
  </si>
  <si>
    <t>jennifer.martin@yahoo.co.uk</t>
  </si>
  <si>
    <t>01onal 697 9565</t>
  </si>
  <si>
    <t>1990-03-25</t>
  </si>
  <si>
    <t>149 North Street</t>
  </si>
  <si>
    <t>2021-07-10</t>
  </si>
  <si>
    <t>SUP01015</t>
  </si>
  <si>
    <t>Julie</t>
  </si>
  <si>
    <t>Green</t>
  </si>
  <si>
    <t>julie.green@yahoo.co.uk</t>
  </si>
  <si>
    <t>+44 7318 618 371</t>
  </si>
  <si>
    <t>1941-12-16</t>
  </si>
  <si>
    <t>118 North Street</t>
  </si>
  <si>
    <t>XX99 9XX</t>
  </si>
  <si>
    <t>02/22/2022</t>
  </si>
  <si>
    <t>SUP01016</t>
  </si>
  <si>
    <t>Jake</t>
  </si>
  <si>
    <t>Clark</t>
  </si>
  <si>
    <t>jake-clark@btinternet.com</t>
  </si>
  <si>
    <t>07209 860 666</t>
  </si>
  <si>
    <t>11 April 2026</t>
  </si>
  <si>
    <t>170 Mill Lane</t>
  </si>
  <si>
    <t>Plymouth</t>
  </si>
  <si>
    <t>Devon</t>
  </si>
  <si>
    <t>NE1 7RU</t>
  </si>
  <si>
    <t>12 May 2020</t>
  </si>
  <si>
    <t>SUP01017</t>
  </si>
  <si>
    <t>Laura</t>
  </si>
  <si>
    <t>Davies</t>
  </si>
  <si>
    <t>07859552664</t>
  </si>
  <si>
    <t>30 August 1958</t>
  </si>
  <si>
    <t>1 The Crescent</t>
  </si>
  <si>
    <t>Birmingham</t>
  </si>
  <si>
    <t>West Midlands</t>
  </si>
  <si>
    <t>W1J 7NT</t>
  </si>
  <si>
    <t>f</t>
  </si>
  <si>
    <t>05 November 2018</t>
  </si>
  <si>
    <t>SUP01018</t>
  </si>
  <si>
    <t>Miss</t>
  </si>
  <si>
    <t>Donna</t>
  </si>
  <si>
    <t>Thomas</t>
  </si>
  <si>
    <t>donna-thomas@yahoo.co.uk</t>
  </si>
  <si>
    <t>07898673995</t>
  </si>
  <si>
    <t>06.07.99</t>
  </si>
  <si>
    <t>92 London Road</t>
  </si>
  <si>
    <t>Female</t>
  </si>
  <si>
    <t>Legacy Pledger</t>
  </si>
  <si>
    <t>10/28/2019</t>
  </si>
  <si>
    <t>SUP01019</t>
  </si>
  <si>
    <t>Samantha</t>
  </si>
  <si>
    <t>Collins</t>
  </si>
  <si>
    <t>samantha.collins@aol.com</t>
  </si>
  <si>
    <t>07979 581 327</t>
  </si>
  <si>
    <t>13.09.57</t>
  </si>
  <si>
    <t>41 Oak Drive</t>
  </si>
  <si>
    <t>Norwich</t>
  </si>
  <si>
    <t>Norfolk</t>
  </si>
  <si>
    <t>BS8 1TH</t>
  </si>
  <si>
    <t>21-Jul-2020</t>
  </si>
  <si>
    <t>SUP01020</t>
  </si>
  <si>
    <t>David</t>
  </si>
  <si>
    <t>Stewart</t>
  </si>
  <si>
    <t>david_stewart@gmail.com</t>
  </si>
  <si>
    <t>07998 367 282</t>
  </si>
  <si>
    <t>19.02.77</t>
  </si>
  <si>
    <t>103 West Street</t>
  </si>
  <si>
    <t>09.09.24</t>
  </si>
  <si>
    <t>SUP01021</t>
  </si>
  <si>
    <t>Olivia</t>
  </si>
  <si>
    <t>Wilson</t>
  </si>
  <si>
    <t>oliviawilson@gmail.com</t>
  </si>
  <si>
    <t>+44 7925 651 803</t>
  </si>
  <si>
    <t>26.03.71</t>
  </si>
  <si>
    <t>66 Church Road</t>
  </si>
  <si>
    <t>14.10.18</t>
  </si>
  <si>
    <t>SUP01022</t>
  </si>
  <si>
    <t>Wright</t>
  </si>
  <si>
    <t>olivia-wright@outlook.com</t>
  </si>
  <si>
    <t>01onal 488 3851</t>
  </si>
  <si>
    <t>1957-08-04</t>
  </si>
  <si>
    <t>179 Kings Road</t>
  </si>
  <si>
    <t>Swansea</t>
  </si>
  <si>
    <t>West Glamorgan</t>
  </si>
  <si>
    <t>CB2 1TN</t>
  </si>
  <si>
    <t>02-Jan-2018</t>
  </si>
  <si>
    <t>SUP01023</t>
  </si>
  <si>
    <t>Ava</t>
  </si>
  <si>
    <t>ava-green@yahoo.co.uk</t>
  </si>
  <si>
    <t>07627779748</t>
  </si>
  <si>
    <t>04 June 1966</t>
  </si>
  <si>
    <t>131 Main Street</t>
  </si>
  <si>
    <t>20/08/2020</t>
  </si>
  <si>
    <t>SUP01024</t>
  </si>
  <si>
    <t>Jack</t>
  </si>
  <si>
    <t>Ward</t>
  </si>
  <si>
    <t>jack-ward@aol.com</t>
  </si>
  <si>
    <t>0181 349 3417</t>
  </si>
  <si>
    <t>14-Dec-1948</t>
  </si>
  <si>
    <t>107 Cedar Lane</t>
  </si>
  <si>
    <t>Chester</t>
  </si>
  <si>
    <t>Cheshire</t>
  </si>
  <si>
    <t>NR1 3JU</t>
  </si>
  <si>
    <t>13 March 2019</t>
  </si>
  <si>
    <t>SUP01025</t>
  </si>
  <si>
    <t>Simon</t>
  </si>
  <si>
    <t>simon_hamilton@icloud.com</t>
  </si>
  <si>
    <t>+44 7934 836 616</t>
  </si>
  <si>
    <t>01.06.48</t>
  </si>
  <si>
    <t>119 West Street</t>
  </si>
  <si>
    <t>29.04.23</t>
  </si>
  <si>
    <t>SUP01026</t>
  </si>
  <si>
    <t>Jane</t>
  </si>
  <si>
    <t>Turner</t>
  </si>
  <si>
    <t>jane-turner@btinternet.com</t>
  </si>
  <si>
    <t>07427653182</t>
  </si>
  <si>
    <t>06/02/1979</t>
  </si>
  <si>
    <t>18.09.19</t>
  </si>
  <si>
    <t>SUP01027</t>
  </si>
  <si>
    <t>samantha.taylor@aol.com</t>
  </si>
  <si>
    <t>0121 460 5892</t>
  </si>
  <si>
    <t>11-Jun-1982</t>
  </si>
  <si>
    <t>198 School Lane</t>
  </si>
  <si>
    <t>Belfast</t>
  </si>
  <si>
    <t>Antrim</t>
  </si>
  <si>
    <t>OX1 1BX</t>
  </si>
  <si>
    <t>15/02/2024</t>
  </si>
  <si>
    <t>SUP01028</t>
  </si>
  <si>
    <t>John</t>
  </si>
  <si>
    <t>Lee</t>
  </si>
  <si>
    <t>johnlee@hotmail.com</t>
  </si>
  <si>
    <t>+44 7646 127 503</t>
  </si>
  <si>
    <t>186 Victoria Road</t>
  </si>
  <si>
    <t>10/22/2022</t>
  </si>
  <si>
    <t>SUP01029</t>
  </si>
  <si>
    <t>stephenhughes@btinternet.com</t>
  </si>
  <si>
    <t>07581 119 867</t>
  </si>
  <si>
    <t>07/04/1974</t>
  </si>
  <si>
    <t>193 Elm Close</t>
  </si>
  <si>
    <t>09/10/2018</t>
  </si>
  <si>
    <t>SUP01030</t>
  </si>
  <si>
    <t>Matthew</t>
  </si>
  <si>
    <t>Thompson</t>
  </si>
  <si>
    <t>matthewthompson@btinternet.com</t>
  </si>
  <si>
    <t>07271720721</t>
  </si>
  <si>
    <t>02-Feb-1989</t>
  </si>
  <si>
    <t>145 London Road</t>
  </si>
  <si>
    <t>WC2N 5DU</t>
  </si>
  <si>
    <t>02.11.19</t>
  </si>
  <si>
    <t>SUP01031</t>
  </si>
  <si>
    <t>Victoria</t>
  </si>
  <si>
    <t>(0198) 5941 2983</t>
  </si>
  <si>
    <t>13 October 1940</t>
  </si>
  <si>
    <t>152 Bridge Road</t>
  </si>
  <si>
    <t>21/10/2022</t>
  </si>
  <si>
    <t>SUP01032</t>
  </si>
  <si>
    <t>janeevans@hotmail.com</t>
  </si>
  <si>
    <t>(0166) 5425 9817</t>
  </si>
  <si>
    <t>14-Jul-1968</t>
  </si>
  <si>
    <t>182 Park Avenue</t>
  </si>
  <si>
    <t>23-Aug-2024</t>
  </si>
  <si>
    <t>SUP01033</t>
  </si>
  <si>
    <t>jennifermurray@sky.com</t>
  </si>
  <si>
    <t>07599317463</t>
  </si>
  <si>
    <t>10-Mar-1966</t>
  </si>
  <si>
    <t>87 High Street</t>
  </si>
  <si>
    <t>07.09.24</t>
  </si>
  <si>
    <t>SUP01034</t>
  </si>
  <si>
    <t>Siân</t>
  </si>
  <si>
    <t>Hill</t>
  </si>
  <si>
    <t>harryhill@icloud.com</t>
  </si>
  <si>
    <t>07195 401 326</t>
  </si>
  <si>
    <t>16.09.62</t>
  </si>
  <si>
    <t>166 Bridge Road</t>
  </si>
  <si>
    <t>Canterbury</t>
  </si>
  <si>
    <t>Kent</t>
  </si>
  <si>
    <t xml:space="preserve">EC1A  1BB </t>
  </si>
  <si>
    <t>2024-07-10</t>
  </si>
  <si>
    <t>SUP01035</t>
  </si>
  <si>
    <t>Harris</t>
  </si>
  <si>
    <t>nathan-harris@yahoo.co.uk</t>
  </si>
  <si>
    <t>(0124) 6169 2958</t>
  </si>
  <si>
    <t>05/27/1973</t>
  </si>
  <si>
    <t>79 Manor Road</t>
  </si>
  <si>
    <t>05.06.20</t>
  </si>
  <si>
    <t>SUP01036</t>
  </si>
  <si>
    <t>Rachel</t>
  </si>
  <si>
    <t>rachel_evans@gmail.com</t>
  </si>
  <si>
    <t>(0168) 3073 5494</t>
  </si>
  <si>
    <t>1949-08-22</t>
  </si>
  <si>
    <t>93 Victoria Road</t>
  </si>
  <si>
    <t>York</t>
  </si>
  <si>
    <t>North Yorkshire</t>
  </si>
  <si>
    <t>L1 8JQ</t>
  </si>
  <si>
    <t>02-Jun-2019</t>
  </si>
  <si>
    <t>SUP01037</t>
  </si>
  <si>
    <t>Tracey</t>
  </si>
  <si>
    <t>tracey.harris@aol.com</t>
  </si>
  <si>
    <t>0131 690 1878</t>
  </si>
  <si>
    <t>12/16/1984</t>
  </si>
  <si>
    <t>123 Mill Lane</t>
  </si>
  <si>
    <t>Exeter</t>
  </si>
  <si>
    <t>BS1 5TL</t>
  </si>
  <si>
    <t>10/13/2020</t>
  </si>
  <si>
    <t>Y</t>
  </si>
  <si>
    <t>SUP01038</t>
  </si>
  <si>
    <t>Ms</t>
  </si>
  <si>
    <t>Patricia</t>
  </si>
  <si>
    <t>patriciastewart@btinternet.com</t>
  </si>
  <si>
    <t>+44 7735 161 724</t>
  </si>
  <si>
    <t>01 June 1963</t>
  </si>
  <si>
    <t>77 Birch Avenue</t>
  </si>
  <si>
    <t>Ipswich</t>
  </si>
  <si>
    <t>Suffolk</t>
  </si>
  <si>
    <t>EX1 1HD</t>
  </si>
  <si>
    <t>14/05/2020</t>
  </si>
  <si>
    <t>SUP01039</t>
  </si>
  <si>
    <t>Elizabeth</t>
  </si>
  <si>
    <t>Smith</t>
  </si>
  <si>
    <t>elizabeth.smith@outlook.com</t>
  </si>
  <si>
    <t>07823389819</t>
  </si>
  <si>
    <t>1969-01-28</t>
  </si>
  <si>
    <t>121 Kings Road</t>
  </si>
  <si>
    <t>Watford</t>
  </si>
  <si>
    <t>Hertfordshire</t>
  </si>
  <si>
    <t>DD1 4QB</t>
  </si>
  <si>
    <t>14 August 2020</t>
  </si>
  <si>
    <t>SUP01040</t>
  </si>
  <si>
    <t>Paul</t>
  </si>
  <si>
    <t>Carter</t>
  </si>
  <si>
    <t>paul-carter@btinternet.com</t>
  </si>
  <si>
    <t>+44 7866 944 682</t>
  </si>
  <si>
    <t>19 Church Road</t>
  </si>
  <si>
    <t>Leicester</t>
  </si>
  <si>
    <t>Leicestershire</t>
  </si>
  <si>
    <t>M60 7RA</t>
  </si>
  <si>
    <t>30.05.21</t>
  </si>
  <si>
    <t>SUP01041</t>
  </si>
  <si>
    <t>Brian</t>
  </si>
  <si>
    <t>Williams</t>
  </si>
  <si>
    <t>brian.williams@outlook.com</t>
  </si>
  <si>
    <t>(0173) 1339 5415</t>
  </si>
  <si>
    <t>08/09/1944</t>
  </si>
  <si>
    <t>65 High Street</t>
  </si>
  <si>
    <t>27-Oct-2023</t>
  </si>
  <si>
    <t>SUP01042</t>
  </si>
  <si>
    <t>jane.davies@hotmail.com</t>
  </si>
  <si>
    <t>07521810607</t>
  </si>
  <si>
    <t>06/21/1966</t>
  </si>
  <si>
    <t>83 West Street</t>
  </si>
  <si>
    <t>27/12/2018</t>
  </si>
  <si>
    <t>SUP01043</t>
  </si>
  <si>
    <t>Adam</t>
  </si>
  <si>
    <t>Gray</t>
  </si>
  <si>
    <t>adam.gray@outlook.com</t>
  </si>
  <si>
    <t>+44 7470 737 874</t>
  </si>
  <si>
    <t>23.02.32</t>
  </si>
  <si>
    <t>119 George Street</t>
  </si>
  <si>
    <t>Bournemouth</t>
  </si>
  <si>
    <t>Dorset</t>
  </si>
  <si>
    <t>EH1 1RE</t>
  </si>
  <si>
    <t>2018-07-31</t>
  </si>
  <si>
    <t>SUP01044</t>
  </si>
  <si>
    <t>Connor</t>
  </si>
  <si>
    <t>connor-hill@btinternet.com</t>
  </si>
  <si>
    <t>+44 7114 665 517</t>
  </si>
  <si>
    <t>22/02/1990</t>
  </si>
  <si>
    <t>62 Bridge Road</t>
  </si>
  <si>
    <t>2019-04-27</t>
  </si>
  <si>
    <t>SUP01045</t>
  </si>
  <si>
    <t>samantha-reid@aol.com</t>
  </si>
  <si>
    <t>07713620864</t>
  </si>
  <si>
    <t>20-May-1965</t>
  </si>
  <si>
    <t>117 York Road</t>
  </si>
  <si>
    <t>2022-08-27</t>
  </si>
  <si>
    <t>SUP01046</t>
  </si>
  <si>
    <t>Grace</t>
  </si>
  <si>
    <t>Morris</t>
  </si>
  <si>
    <t>gracemorris@sky.com</t>
  </si>
  <si>
    <t>07665881656</t>
  </si>
  <si>
    <t>20-May-1930</t>
  </si>
  <si>
    <t>115 York Road</t>
  </si>
  <si>
    <t>12/02/2020</t>
  </si>
  <si>
    <t>TRUE</t>
  </si>
  <si>
    <t>SUP01047</t>
  </si>
  <si>
    <t>Emma</t>
  </si>
  <si>
    <t>emma-green@icloud.com</t>
  </si>
  <si>
    <t>07229 614 704</t>
  </si>
  <si>
    <t>23-Jan-1953</t>
  </si>
  <si>
    <t>99 West Street</t>
  </si>
  <si>
    <t>25/11/2023</t>
  </si>
  <si>
    <t>SUP01048</t>
  </si>
  <si>
    <t>Emily</t>
  </si>
  <si>
    <t>Brown</t>
  </si>
  <si>
    <t>emilybrown@yahoo.co.uk</t>
  </si>
  <si>
    <t>07972790979</t>
  </si>
  <si>
    <t>03/09/1966</t>
  </si>
  <si>
    <t>160 Bridge Road</t>
  </si>
  <si>
    <t>06/22/2023</t>
  </si>
  <si>
    <t>SUP01049</t>
  </si>
  <si>
    <t>Wood</t>
  </si>
  <si>
    <t>rachel.wood@icloud.com</t>
  </si>
  <si>
    <t>07810406129</t>
  </si>
  <si>
    <t>11.06.53</t>
  </si>
  <si>
    <t>195 South Street</t>
  </si>
  <si>
    <t>08.01.22</t>
  </si>
  <si>
    <t>SUP01050</t>
  </si>
  <si>
    <t>Ethan</t>
  </si>
  <si>
    <t>Baker</t>
  </si>
  <si>
    <t>ethanbaker@outlook.com</t>
  </si>
  <si>
    <t>020 246 4804</t>
  </si>
  <si>
    <t>14-Oct-1985</t>
  </si>
  <si>
    <t>157 Birch Avenue</t>
  </si>
  <si>
    <t>Bristol</t>
  </si>
  <si>
    <t>Avon</t>
  </si>
  <si>
    <t>E1 6AN</t>
  </si>
  <si>
    <t>11/11/2020</t>
  </si>
  <si>
    <t>SUP01051</t>
  </si>
  <si>
    <t>Charles</t>
  </si>
  <si>
    <t>charles_morris@outlook.com</t>
  </si>
  <si>
    <t>0191 209 4886</t>
  </si>
  <si>
    <t>10.06.76</t>
  </si>
  <si>
    <t>117 Birch Avenue</t>
  </si>
  <si>
    <t>26 April 2021</t>
  </si>
  <si>
    <t>SUP01052</t>
  </si>
  <si>
    <t>ethan_stewart@outlook.com</t>
  </si>
  <si>
    <t>+44 7921 460 324</t>
  </si>
  <si>
    <t>25 December 1953</t>
  </si>
  <si>
    <t>191 Main Street</t>
  </si>
  <si>
    <t>07/15/2019</t>
  </si>
  <si>
    <t>SUP01053</t>
  </si>
  <si>
    <t>lucy-davies@sky.com</t>
  </si>
  <si>
    <t>+44 7613 379 950</t>
  </si>
  <si>
    <t>08.08.42</t>
  </si>
  <si>
    <t>45 London Road</t>
  </si>
  <si>
    <t>Dundee</t>
  </si>
  <si>
    <t>Angus</t>
  </si>
  <si>
    <t>YO1 7HH</t>
  </si>
  <si>
    <t>23 April 2021</t>
  </si>
  <si>
    <t>SUP01054</t>
  </si>
  <si>
    <t>Henderson</t>
  </si>
  <si>
    <t>patricia.henderson@aol.com</t>
  </si>
  <si>
    <t>07370 649 226</t>
  </si>
  <si>
    <t>143 Albert Road</t>
  </si>
  <si>
    <t>10/04/2022</t>
  </si>
  <si>
    <t>SUP01055</t>
  </si>
  <si>
    <t>nathangreen@btinternet.com</t>
  </si>
  <si>
    <t>(0152) 2911 3290</t>
  </si>
  <si>
    <t>01-Oct-1942</t>
  </si>
  <si>
    <t>163 Elm Close</t>
  </si>
  <si>
    <t>21.04.19</t>
  </si>
  <si>
    <t>SUP01056</t>
  </si>
  <si>
    <t>Amelia</t>
  </si>
  <si>
    <t>amelia-kelly@aol.com</t>
  </si>
  <si>
    <t>(0112) 9017 7686</t>
  </si>
  <si>
    <t>151 Hill Road</t>
  </si>
  <si>
    <t>2022-12-22</t>
  </si>
  <si>
    <t>SUP01057</t>
  </si>
  <si>
    <t>Cooper</t>
  </si>
  <si>
    <t>(0127) 1349 1828</t>
  </si>
  <si>
    <t>20.08.96</t>
  </si>
  <si>
    <t>32 Birch Avenue</t>
  </si>
  <si>
    <t>01 May 2024</t>
  </si>
  <si>
    <t>SUP01058</t>
  </si>
  <si>
    <t>paul-harris@hotmail.com</t>
  </si>
  <si>
    <t>+44 7356 917 278</t>
  </si>
  <si>
    <t>20.03.52</t>
  </si>
  <si>
    <t>71 Birch Avenue</t>
  </si>
  <si>
    <t>03/02/2018</t>
  </si>
  <si>
    <t>SUP01059</t>
  </si>
  <si>
    <t>Michael</t>
  </si>
  <si>
    <t>michaelthomas@icloud.com</t>
  </si>
  <si>
    <t>07625707211</t>
  </si>
  <si>
    <t>25/04/1953</t>
  </si>
  <si>
    <t>191 Station Road</t>
  </si>
  <si>
    <t>2018-06-27</t>
  </si>
  <si>
    <t>SUP01060</t>
  </si>
  <si>
    <t>Amanda</t>
  </si>
  <si>
    <t>James</t>
  </si>
  <si>
    <t>amanda.james@sky.com</t>
  </si>
  <si>
    <t>+44 7251 167 229</t>
  </si>
  <si>
    <t>12-May-1956</t>
  </si>
  <si>
    <t>19 Cedar Lane</t>
  </si>
  <si>
    <t>14.12.23</t>
  </si>
  <si>
    <t>SUP01061</t>
  </si>
  <si>
    <t>connor-wilson@aol.com</t>
  </si>
  <si>
    <t>0151 523 6553</t>
  </si>
  <si>
    <t>22 February 1948</t>
  </si>
  <si>
    <t>185 Birch Avenue</t>
  </si>
  <si>
    <t>Milton Keynes</t>
  </si>
  <si>
    <t>Buckinghamshire</t>
  </si>
  <si>
    <t>G1 1DW</t>
  </si>
  <si>
    <t>01/25/2019</t>
  </si>
  <si>
    <t>SUP01062</t>
  </si>
  <si>
    <t>Freya</t>
  </si>
  <si>
    <t>freya.o'brien@sky.com</t>
  </si>
  <si>
    <t>07669161700</t>
  </si>
  <si>
    <t>1966-12-01</t>
  </si>
  <si>
    <t>24 George Street</t>
  </si>
  <si>
    <t>19.12.21</t>
  </si>
  <si>
    <t>SUP01063</t>
  </si>
  <si>
    <t>Kevin</t>
  </si>
  <si>
    <t>kevin.moore@sky.com</t>
  </si>
  <si>
    <t>+44 7476 217 880</t>
  </si>
  <si>
    <t>10 February 1982</t>
  </si>
  <si>
    <t>58 Birch Avenue</t>
  </si>
  <si>
    <t>RG1 2HE</t>
  </si>
  <si>
    <t>2022-10-24</t>
  </si>
  <si>
    <t>SUP01064</t>
  </si>
  <si>
    <t>amelia_reid@sky.com</t>
  </si>
  <si>
    <t>07106285990</t>
  </si>
  <si>
    <t>04/01/1957</t>
  </si>
  <si>
    <t>70 Bridge Road</t>
  </si>
  <si>
    <t>Brighton</t>
  </si>
  <si>
    <t>East Sussex</t>
  </si>
  <si>
    <t>B5 4UA</t>
  </si>
  <si>
    <t>06 May 2018</t>
  </si>
  <si>
    <t>SUP01065</t>
  </si>
  <si>
    <t>King</t>
  </si>
  <si>
    <t>elizabeth.king@hotmail.com</t>
  </si>
  <si>
    <t>07872732150</t>
  </si>
  <si>
    <t>01-Aug-1975</t>
  </si>
  <si>
    <t>153 Station Road</t>
  </si>
  <si>
    <t>03/10/2022</t>
  </si>
  <si>
    <t>SUP01066</t>
  </si>
  <si>
    <t>adamwilson@btinternet.com</t>
  </si>
  <si>
    <t>07325 504 713</t>
  </si>
  <si>
    <t>11/19/1973</t>
  </si>
  <si>
    <t>174 West Street</t>
  </si>
  <si>
    <t>Reading</t>
  </si>
  <si>
    <t>Berkshire</t>
  </si>
  <si>
    <t>S1 2GH</t>
  </si>
  <si>
    <t>15 May 2020</t>
  </si>
  <si>
    <t>SUP01067</t>
  </si>
  <si>
    <t>Lewis</t>
  </si>
  <si>
    <t>joseph_lewis@yahoo.co.uk</t>
  </si>
  <si>
    <t>0121 546 1307</t>
  </si>
  <si>
    <t>1989-04-13</t>
  </si>
  <si>
    <t>129 York Road</t>
  </si>
  <si>
    <t>25-Oct-2022</t>
  </si>
  <si>
    <t>0</t>
  </si>
  <si>
    <t>SUP01068</t>
  </si>
  <si>
    <t>green</t>
  </si>
  <si>
    <t>john_green@yahoo.co.uk</t>
  </si>
  <si>
    <t>0131 349 8138</t>
  </si>
  <si>
    <t>01/03/1985</t>
  </si>
  <si>
    <t>177 Willow Road</t>
  </si>
  <si>
    <t>24/06/2021</t>
  </si>
  <si>
    <t>SUP01069</t>
  </si>
  <si>
    <t>Jessica</t>
  </si>
  <si>
    <t>jessica-clark@outlook.com</t>
  </si>
  <si>
    <t>07249 362 302</t>
  </si>
  <si>
    <t>1964-07-22</t>
  </si>
  <si>
    <t>187 Elm Close</t>
  </si>
  <si>
    <t>Edinburgh</t>
  </si>
  <si>
    <t>Lothian</t>
  </si>
  <si>
    <t>SO14 7DW</t>
  </si>
  <si>
    <t>16 January 2025</t>
  </si>
  <si>
    <t>SUP01070</t>
  </si>
  <si>
    <t>Katie</t>
  </si>
  <si>
    <t>katie-carter@icloud.com</t>
  </si>
  <si>
    <t>07580 552 746</t>
  </si>
  <si>
    <t>05 March 1958</t>
  </si>
  <si>
    <t>161 The Crescent</t>
  </si>
  <si>
    <t>Coventry</t>
  </si>
  <si>
    <t>NG1 5FW</t>
  </si>
  <si>
    <t>09/10/2023</t>
  </si>
  <si>
    <t>SUP01071</t>
  </si>
  <si>
    <t>jonathanbrown@icloud.com</t>
  </si>
  <si>
    <t>+44 7667 910 856</t>
  </si>
  <si>
    <t>1958-12-03</t>
  </si>
  <si>
    <t>153 Springfield Road</t>
  </si>
  <si>
    <t>Guildford</t>
  </si>
  <si>
    <t>Surrey</t>
  </si>
  <si>
    <t>AB10 1JE</t>
  </si>
  <si>
    <t>14 October 2024</t>
  </si>
  <si>
    <t>SUP01072</t>
  </si>
  <si>
    <t>George</t>
  </si>
  <si>
    <t>Campbell</t>
  </si>
  <si>
    <t>georgecampbell@icloud.com</t>
  </si>
  <si>
    <t>+44 7635 724 262</t>
  </si>
  <si>
    <t>02/13/1993</t>
  </si>
  <si>
    <t>11 Green Lane</t>
  </si>
  <si>
    <t>02 August 2022</t>
  </si>
  <si>
    <t>SUP01073</t>
  </si>
  <si>
    <t>NATHAN</t>
  </si>
  <si>
    <t>MITCHELL</t>
  </si>
  <si>
    <t>nathan.mitchell@hotmail.com</t>
  </si>
  <si>
    <t>07417771815</t>
  </si>
  <si>
    <t>09/08/1971</t>
  </si>
  <si>
    <t>39 The Crescent</t>
  </si>
  <si>
    <t>14-Dec-2018</t>
  </si>
  <si>
    <t>SUP01074</t>
  </si>
  <si>
    <t>connorreid@sky.com</t>
  </si>
  <si>
    <t>07471 416 284</t>
  </si>
  <si>
    <t>1939-02-07</t>
  </si>
  <si>
    <t>24 South Street</t>
  </si>
  <si>
    <t>Cheltenham</t>
  </si>
  <si>
    <t>Gloucestershire</t>
  </si>
  <si>
    <t>CF10 1NS</t>
  </si>
  <si>
    <t>16-Jul-2020</t>
  </si>
  <si>
    <t>SUP01075</t>
  </si>
  <si>
    <t>olivia-stewart@aol.com</t>
  </si>
  <si>
    <t>07266285951</t>
  </si>
  <si>
    <t>1962-04-23</t>
  </si>
  <si>
    <t>170 The Crescent</t>
  </si>
  <si>
    <t>10 August 2022</t>
  </si>
  <si>
    <t>SUP01076</t>
  </si>
  <si>
    <t>traceywood@icloud.com</t>
  </si>
  <si>
    <t>07896491614</t>
  </si>
  <si>
    <t>1963-08-12</t>
  </si>
  <si>
    <t>50 Albert Road</t>
  </si>
  <si>
    <t>03/28/2020</t>
  </si>
  <si>
    <t>SUP01077</t>
  </si>
  <si>
    <t>Michelle</t>
  </si>
  <si>
    <t>Scott</t>
  </si>
  <si>
    <t>michelle.scott@hotmail.com</t>
  </si>
  <si>
    <t>07560625250</t>
  </si>
  <si>
    <t>24/01/1940</t>
  </si>
  <si>
    <t>32 Kings Road</t>
  </si>
  <si>
    <t>01/22/2023</t>
  </si>
  <si>
    <t>SUP01078</t>
  </si>
  <si>
    <t>jennifer.lee@sky.com</t>
  </si>
  <si>
    <t>07240139393</t>
  </si>
  <si>
    <t>07/18/1930</t>
  </si>
  <si>
    <t>8 The Crescent</t>
  </si>
  <si>
    <t>06.04.23</t>
  </si>
  <si>
    <t>SUP01079</t>
  </si>
  <si>
    <t>matthew_scott@outlook.com</t>
  </si>
  <si>
    <t>07224148344</t>
  </si>
  <si>
    <t>17 March 1940</t>
  </si>
  <si>
    <t>109 Mill Lane</t>
  </si>
  <si>
    <t>31.03.19</t>
  </si>
  <si>
    <t>SUP01080</t>
  </si>
  <si>
    <t>07780784187</t>
  </si>
  <si>
    <t>05 June 1988</t>
  </si>
  <si>
    <t>158 Albert Road</t>
  </si>
  <si>
    <t>07/02/2024</t>
  </si>
  <si>
    <t>SUP01081</t>
  </si>
  <si>
    <t>emma_turner@yahoo.co.uk</t>
  </si>
  <si>
    <t>07346850772</t>
  </si>
  <si>
    <t>08/07/1971</t>
  </si>
  <si>
    <t>192 High Street</t>
  </si>
  <si>
    <t>2018-07-01</t>
  </si>
  <si>
    <t>SUP01082</t>
  </si>
  <si>
    <t>juliepatel@gmail.com</t>
  </si>
  <si>
    <t>07306144910</t>
  </si>
  <si>
    <t>15/10/1965</t>
  </si>
  <si>
    <t>17 Bridge Road</t>
  </si>
  <si>
    <t>13/10/2023</t>
  </si>
  <si>
    <t>SUP01083</t>
  </si>
  <si>
    <t>MARGARET</t>
  </si>
  <si>
    <t>JACKSON</t>
  </si>
  <si>
    <t>0191 495 6554</t>
  </si>
  <si>
    <t>1972-12-21</t>
  </si>
  <si>
    <t>70 Mill Lane</t>
  </si>
  <si>
    <t>28/10/2023</t>
  </si>
  <si>
    <t>SUP01084</t>
  </si>
  <si>
    <t>Christopher</t>
  </si>
  <si>
    <t>Harrison</t>
  </si>
  <si>
    <t>christopher_harrison@btinternet.com</t>
  </si>
  <si>
    <t>020 834 7981</t>
  </si>
  <si>
    <t>11/22/1976</t>
  </si>
  <si>
    <t>84 West Street</t>
  </si>
  <si>
    <t>LON DON</t>
  </si>
  <si>
    <t>2023-01-06</t>
  </si>
  <si>
    <t>SUP01085</t>
  </si>
  <si>
    <t>laura-brown@gmail.com</t>
  </si>
  <si>
    <t>07969722794</t>
  </si>
  <si>
    <t>132 Oak Drive</t>
  </si>
  <si>
    <t>Glasgow</t>
  </si>
  <si>
    <t>Strathclyde</t>
  </si>
  <si>
    <t>BN1 1AE</t>
  </si>
  <si>
    <t>03/10/2018</t>
  </si>
  <si>
    <t>SUP01086</t>
  </si>
  <si>
    <t>Mitchell</t>
  </si>
  <si>
    <t>matthew.mitchell@hotmail.com</t>
  </si>
  <si>
    <t>+44 7475 507 421</t>
  </si>
  <si>
    <t>11-Jul-1967</t>
  </si>
  <si>
    <t>114 Meadow Way</t>
  </si>
  <si>
    <t>04/17/2018</t>
  </si>
  <si>
    <t>SUP01087</t>
  </si>
  <si>
    <t>Peter</t>
  </si>
  <si>
    <t>petercampbell@outlook.com</t>
  </si>
  <si>
    <t>07238 973 175</t>
  </si>
  <si>
    <t>09/03/1967</t>
  </si>
  <si>
    <t>178 Willow Road</t>
  </si>
  <si>
    <t>02.08.21</t>
  </si>
  <si>
    <t>SUP01088</t>
  </si>
  <si>
    <t>elizabeth-campbell@yahoo.co.uk</t>
  </si>
  <si>
    <t>07911242342</t>
  </si>
  <si>
    <t>26.01.55</t>
  </si>
  <si>
    <t>93 Springfield Road</t>
  </si>
  <si>
    <t>19-Mar-2024</t>
  </si>
  <si>
    <t>SUP01089</t>
  </si>
  <si>
    <t>Charlotte</t>
  </si>
  <si>
    <t>07424757175</t>
  </si>
  <si>
    <t>14.05.75</t>
  </si>
  <si>
    <t>106 Meadow Way</t>
  </si>
  <si>
    <t>08/03/2024</t>
  </si>
  <si>
    <t>SUP01090</t>
  </si>
  <si>
    <t>laura_reid@outlook.com</t>
  </si>
  <si>
    <t>07631390966</t>
  </si>
  <si>
    <t>24-Oct-1990</t>
  </si>
  <si>
    <t>43 Victoria Road</t>
  </si>
  <si>
    <t>06 March 2024</t>
  </si>
  <si>
    <t>SUP01091</t>
  </si>
  <si>
    <t>olivia_carter@gmail.com</t>
  </si>
  <si>
    <t>07183 146 756</t>
  </si>
  <si>
    <t>20.03.86</t>
  </si>
  <si>
    <t>44 West Street</t>
  </si>
  <si>
    <t>06/01/2024</t>
  </si>
  <si>
    <t>SUP01092</t>
  </si>
  <si>
    <t>Amy</t>
  </si>
  <si>
    <t>Jackson</t>
  </si>
  <si>
    <t>amyjackson@btinternet.com</t>
  </si>
  <si>
    <t>0131 805 1981</t>
  </si>
  <si>
    <t>17/08/1958</t>
  </si>
  <si>
    <t>63 Oak Drive</t>
  </si>
  <si>
    <t>03/18/2023</t>
  </si>
  <si>
    <t>yes</t>
  </si>
  <si>
    <t>SUP01093</t>
  </si>
  <si>
    <t>Rebecca</t>
  </si>
  <si>
    <t>Anderson</t>
  </si>
  <si>
    <t>rebecca_anderson@yahoo.co.uk</t>
  </si>
  <si>
    <t>07347577225</t>
  </si>
  <si>
    <t>01/08/1932</t>
  </si>
  <si>
    <t>34 Meadow Way</t>
  </si>
  <si>
    <t>02/01/2019</t>
  </si>
  <si>
    <t>SUP01094</t>
  </si>
  <si>
    <t>andrew-gray@icloud.com</t>
  </si>
  <si>
    <t>+44 7578 610 415</t>
  </si>
  <si>
    <t>1974-03-25</t>
  </si>
  <si>
    <t>49 Meadow Way</t>
  </si>
  <si>
    <t>02-Sep-2023</t>
  </si>
  <si>
    <t>SUP01095</t>
  </si>
  <si>
    <t>jonathan.hill@yahoo.co.uk</t>
  </si>
  <si>
    <t>0141 370 6992</t>
  </si>
  <si>
    <t>1960-02-18</t>
  </si>
  <si>
    <t>74 York Road</t>
  </si>
  <si>
    <t>29.06.22</t>
  </si>
  <si>
    <t>SUP01096</t>
  </si>
  <si>
    <t>Sophie</t>
  </si>
  <si>
    <t>sophie.lee@hotmail.com</t>
  </si>
  <si>
    <t>07503 482 913</t>
  </si>
  <si>
    <t>04/10/1964</t>
  </si>
  <si>
    <t>160 West Street</t>
  </si>
  <si>
    <t>03 October 2024</t>
  </si>
  <si>
    <t>SUP01097</t>
  </si>
  <si>
    <t>george-collins@sky.com</t>
  </si>
  <si>
    <t>+44 7426 266 502</t>
  </si>
  <si>
    <t>28/05/1966</t>
  </si>
  <si>
    <t>156 Cedar Lane</t>
  </si>
  <si>
    <t>09.10.21</t>
  </si>
  <si>
    <t>SUP01098</t>
  </si>
  <si>
    <t>Fiona</t>
  </si>
  <si>
    <t>fiona_gray@gmail.com</t>
  </si>
  <si>
    <t>+44 7585 371 771</t>
  </si>
  <si>
    <t>21/07/2004</t>
  </si>
  <si>
    <t>107 School Lane</t>
  </si>
  <si>
    <t>22/05/2023</t>
  </si>
  <si>
    <t>SUP01099</t>
  </si>
  <si>
    <t>emily-gray@gmail.com</t>
  </si>
  <si>
    <t>0171 528 3481</t>
  </si>
  <si>
    <t>1957-01-02</t>
  </si>
  <si>
    <t>180 Mill Lane</t>
  </si>
  <si>
    <t>2024-11-09</t>
  </si>
  <si>
    <t>SUP01100</t>
  </si>
  <si>
    <t>Edward</t>
  </si>
  <si>
    <t>edward_phillips@sky.com</t>
  </si>
  <si>
    <t>(0198) 5331 8932</t>
  </si>
  <si>
    <t>45 New Road</t>
  </si>
  <si>
    <t>05/07/2021</t>
  </si>
  <si>
    <t>SUP01101</t>
  </si>
  <si>
    <t>Edwards</t>
  </si>
  <si>
    <t>rebeccaedwards@aol.com</t>
  </si>
  <si>
    <t>07891923249</t>
  </si>
  <si>
    <t>1973-08-27</t>
  </si>
  <si>
    <t>32 School Lane</t>
  </si>
  <si>
    <t>20.11.18</t>
  </si>
  <si>
    <t>SUP01102</t>
  </si>
  <si>
    <t>Margaret</t>
  </si>
  <si>
    <t>margaret-gray@outlook.com</t>
  </si>
  <si>
    <t>07785 643 331</t>
  </si>
  <si>
    <t>05 April 1962</t>
  </si>
  <si>
    <t>36 Mill Lane</t>
  </si>
  <si>
    <t>20.08.22</t>
  </si>
  <si>
    <t>SUP01103</t>
  </si>
  <si>
    <t>elizabeth_clarke@sky.com</t>
  </si>
  <si>
    <t>07761160887</t>
  </si>
  <si>
    <t>1957-05-20</t>
  </si>
  <si>
    <t>167 London Road</t>
  </si>
  <si>
    <t>08-Sep-2022</t>
  </si>
  <si>
    <t>SUP01104</t>
  </si>
  <si>
    <t>rachel_simpson@btinternet.com</t>
  </si>
  <si>
    <t>01onal 656 9590</t>
  </si>
  <si>
    <t>08 August 2000</t>
  </si>
  <si>
    <t>155 Mill Lane</t>
  </si>
  <si>
    <t>02/29/2020</t>
  </si>
  <si>
    <t>SUP01105</t>
  </si>
  <si>
    <t>christopher-smith@hotmail.com</t>
  </si>
  <si>
    <t>+44 7976 754 515</t>
  </si>
  <si>
    <t>21/08/1954</t>
  </si>
  <si>
    <t>173 Meadow Way</t>
  </si>
  <si>
    <t>06/30/2022</t>
  </si>
  <si>
    <t>SUP01106</t>
  </si>
  <si>
    <t>White</t>
  </si>
  <si>
    <t>mary.white@btinternet.com</t>
  </si>
  <si>
    <t>(0146) 4871 2017</t>
  </si>
  <si>
    <t>01-Jun-1971</t>
  </si>
  <si>
    <t>85 Kings Road</t>
  </si>
  <si>
    <t>17-Oct-2019</t>
  </si>
  <si>
    <t>SUP01107</t>
  </si>
  <si>
    <t>jonathanking@sky.com</t>
  </si>
  <si>
    <t>01onal 582 9806</t>
  </si>
  <si>
    <t>28/09/1959</t>
  </si>
  <si>
    <t>123 Park Avenue</t>
  </si>
  <si>
    <t>10.10.20</t>
  </si>
  <si>
    <t>SUP01108</t>
  </si>
  <si>
    <t>sophie-hamilton@hotmail.com</t>
  </si>
  <si>
    <t>07974632552</t>
  </si>
  <si>
    <t>17-Dec-1961</t>
  </si>
  <si>
    <t>130 London Road</t>
  </si>
  <si>
    <t>2023-09-22</t>
  </si>
  <si>
    <t>SUP01109</t>
  </si>
  <si>
    <t>kevintaylor@btinternet.com</t>
  </si>
  <si>
    <t>07863 323 692</t>
  </si>
  <si>
    <t>1962-02-07</t>
  </si>
  <si>
    <t>186 High Street</t>
  </si>
  <si>
    <t>ABCD</t>
  </si>
  <si>
    <t>2018-09-19</t>
  </si>
  <si>
    <t>SUP01110</t>
  </si>
  <si>
    <t>christopherstewart@icloud.com</t>
  </si>
  <si>
    <t>0181 182 9835</t>
  </si>
  <si>
    <t>16.02.89</t>
  </si>
  <si>
    <t>96 Cedar Lane</t>
  </si>
  <si>
    <t>02 January 2020</t>
  </si>
  <si>
    <t>SUP01111</t>
  </si>
  <si>
    <t>marymurray@aol.com</t>
  </si>
  <si>
    <t>07353571454</t>
  </si>
  <si>
    <t>08-Aug-2002</t>
  </si>
  <si>
    <t>173 Hill Road</t>
  </si>
  <si>
    <t>08.04.19</t>
  </si>
  <si>
    <t>SUP01112</t>
  </si>
  <si>
    <t>Hall</t>
  </si>
  <si>
    <t>thomas.hall@aol.com</t>
  </si>
  <si>
    <t>0151 652 4559</t>
  </si>
  <si>
    <t>07 March 2001</t>
  </si>
  <si>
    <t>63 Hill Road</t>
  </si>
  <si>
    <t>Leeds</t>
  </si>
  <si>
    <t>West Yorkshire</t>
  </si>
  <si>
    <t>SE1 7PB</t>
  </si>
  <si>
    <t>26 August 2023</t>
  </si>
  <si>
    <t>SUP01113</t>
  </si>
  <si>
    <t>freya-gray@aol.com</t>
  </si>
  <si>
    <t>07381162670</t>
  </si>
  <si>
    <t>13/08/1975</t>
  </si>
  <si>
    <t>170 Springfield Road</t>
  </si>
  <si>
    <t>24 July 2023</t>
  </si>
  <si>
    <t>SUP01114</t>
  </si>
  <si>
    <t>samanthaclarke@outlook.com</t>
  </si>
  <si>
    <t>07407978824</t>
  </si>
  <si>
    <t>1987-07-03</t>
  </si>
  <si>
    <t>194 York Road</t>
  </si>
  <si>
    <t>18 August 2022</t>
  </si>
  <si>
    <t>SUP01115</t>
  </si>
  <si>
    <t>stephen-harris@gmail.com</t>
  </si>
  <si>
    <t>07486789719</t>
  </si>
  <si>
    <t>02-Jun-1958</t>
  </si>
  <si>
    <t>24 York Road</t>
  </si>
  <si>
    <t>03.08.24</t>
  </si>
  <si>
    <t>SUP01116</t>
  </si>
  <si>
    <t>Claire</t>
  </si>
  <si>
    <t>clairehamilton@outlook.com</t>
  </si>
  <si>
    <t>(0177) 4350 7498</t>
  </si>
  <si>
    <t>01-Oct-2004</t>
  </si>
  <si>
    <t>192 Meadow Way</t>
  </si>
  <si>
    <t>25-Mar-2023</t>
  </si>
  <si>
    <t>SUP01117</t>
  </si>
  <si>
    <t>07676 984 326</t>
  </si>
  <si>
    <t>05/14/1992</t>
  </si>
  <si>
    <t>53 Albert Road</t>
  </si>
  <si>
    <t>16 March 2024</t>
  </si>
  <si>
    <t>SUP01118</t>
  </si>
  <si>
    <t>george_wood@btinternet.com</t>
  </si>
  <si>
    <t>01onal 857 9037</t>
  </si>
  <si>
    <t>09/12/1971</t>
  </si>
  <si>
    <t>141 South Street</t>
  </si>
  <si>
    <t>Salisbury</t>
  </si>
  <si>
    <t>PL1 1EA</t>
  </si>
  <si>
    <t>2019-07-28</t>
  </si>
  <si>
    <t>SUP01119</t>
  </si>
  <si>
    <t>Chloe</t>
  </si>
  <si>
    <t>chloewilliams@hotmail.com</t>
  </si>
  <si>
    <t>(0129) 2113 3474</t>
  </si>
  <si>
    <t>13/12/1949</t>
  </si>
  <si>
    <t>196 High Street</t>
  </si>
  <si>
    <t>05/09/2018</t>
  </si>
  <si>
    <t>SUP01120</t>
  </si>
  <si>
    <t>nathan.clarke@aol.com</t>
  </si>
  <si>
    <t>07209198636</t>
  </si>
  <si>
    <t>10-Apr-2004</t>
  </si>
  <si>
    <t>138 Kings Road</t>
  </si>
  <si>
    <t>2023-11-27</t>
  </si>
  <si>
    <t>SUP01121</t>
  </si>
  <si>
    <t>Oliver</t>
  </si>
  <si>
    <t>oliver.hughes@gmail.com</t>
  </si>
  <si>
    <t>07515 488 486</t>
  </si>
  <si>
    <t>26/01/1961</t>
  </si>
  <si>
    <t>77 West Street</t>
  </si>
  <si>
    <t>08.02.18</t>
  </si>
  <si>
    <t>SUP01122</t>
  </si>
  <si>
    <t>Fraser</t>
  </si>
  <si>
    <t>katiefraser@btinternet.com</t>
  </si>
  <si>
    <t>07176 800 387</t>
  </si>
  <si>
    <t>04/29/1934</t>
  </si>
  <si>
    <t>59 London Road</t>
  </si>
  <si>
    <t>12/07/2021</t>
  </si>
  <si>
    <t>SUP01123</t>
  </si>
  <si>
    <t>amandao'brien@sky.com</t>
  </si>
  <si>
    <t>0141 909 2284</t>
  </si>
  <si>
    <t>18 October 1994</t>
  </si>
  <si>
    <t>62 School Lane</t>
  </si>
  <si>
    <t>11/26/2022</t>
  </si>
  <si>
    <t>SUP01124</t>
  </si>
  <si>
    <t>Lily</t>
  </si>
  <si>
    <t>lilymartin@icloud.com</t>
  </si>
  <si>
    <t>07464666484</t>
  </si>
  <si>
    <t>10 August 1935</t>
  </si>
  <si>
    <t>163 Manor Road</t>
  </si>
  <si>
    <t>Manchester</t>
  </si>
  <si>
    <t>Greater Manchester</t>
  </si>
  <si>
    <t>EC1A 1BB</t>
  </si>
  <si>
    <t>12/08/2024</t>
  </si>
  <si>
    <t>SUP01125</t>
  </si>
  <si>
    <t>Benjamin</t>
  </si>
  <si>
    <t>benjamin.campbell@yahoo.co.uk</t>
  </si>
  <si>
    <t>07415 555 468</t>
  </si>
  <si>
    <t>02-Nov-1952</t>
  </si>
  <si>
    <t>82 Albert Road</t>
  </si>
  <si>
    <t>24 December 2018</t>
  </si>
  <si>
    <t>SUP01126</t>
  </si>
  <si>
    <t>Hannah</t>
  </si>
  <si>
    <t>Jones</t>
  </si>
  <si>
    <t>hannah_jones@aol.com</t>
  </si>
  <si>
    <t>07398 523 497</t>
  </si>
  <si>
    <t>01/04/1993</t>
  </si>
  <si>
    <t>153 North Street</t>
  </si>
  <si>
    <t>11/05/2023</t>
  </si>
  <si>
    <t>SUP01127</t>
  </si>
  <si>
    <t>Luke</t>
  </si>
  <si>
    <t>Roberts</t>
  </si>
  <si>
    <t>lukeroberts@yahoo.co.uk</t>
  </si>
  <si>
    <t>07357352838</t>
  </si>
  <si>
    <t>01-Jun-1995</t>
  </si>
  <si>
    <t>108 Kings Road</t>
  </si>
  <si>
    <t>15/03/2019</t>
  </si>
  <si>
    <t>SUP01128</t>
  </si>
  <si>
    <t>victoria-collins@btinternet.com</t>
  </si>
  <si>
    <t>07717811305</t>
  </si>
  <si>
    <t>1947-06-10</t>
  </si>
  <si>
    <t>111 Elm Close</t>
  </si>
  <si>
    <t>31/07/2021</t>
  </si>
  <si>
    <t>SUP01129</t>
  </si>
  <si>
    <t>oliver-king@gmail.com</t>
  </si>
  <si>
    <t>(0159) 4434 8183</t>
  </si>
  <si>
    <t>28.03.90</t>
  </si>
  <si>
    <t>152 York Road</t>
  </si>
  <si>
    <t>03.08.22</t>
  </si>
  <si>
    <t>SUP01130</t>
  </si>
  <si>
    <t>matthewcampbell@aol.com</t>
  </si>
  <si>
    <t>+44 7618 990 808</t>
  </si>
  <si>
    <t>06.07.69</t>
  </si>
  <si>
    <t>115 North Street</t>
  </si>
  <si>
    <t>12/01/2022</t>
  </si>
  <si>
    <t>SUP01131</t>
  </si>
  <si>
    <t>ameliaphillips@sky.com</t>
  </si>
  <si>
    <t>0131 110 2615</t>
  </si>
  <si>
    <t>17.02.73</t>
  </si>
  <si>
    <t>12 School Lane</t>
  </si>
  <si>
    <t>2022-03-13</t>
  </si>
  <si>
    <t>SUP01132</t>
  </si>
  <si>
    <t>Lisa</t>
  </si>
  <si>
    <t>lisa-jones@sky.com</t>
  </si>
  <si>
    <t>07451566903</t>
  </si>
  <si>
    <t>18-Aug-1965</t>
  </si>
  <si>
    <t>22 Mill Lane</t>
  </si>
  <si>
    <t>04-Feb-2019</t>
  </si>
  <si>
    <t>SUP01133</t>
  </si>
  <si>
    <t>William</t>
  </si>
  <si>
    <t>+44 7278 665 263</t>
  </si>
  <si>
    <t>24.02.48</t>
  </si>
  <si>
    <t>174 Oak Drive</t>
  </si>
  <si>
    <t>07.08.20</t>
  </si>
  <si>
    <t>SUP01134</t>
  </si>
  <si>
    <t>Craig</t>
  </si>
  <si>
    <t>craig-simpson@outlook.com</t>
  </si>
  <si>
    <t>07870820928</t>
  </si>
  <si>
    <t>15 March 1983</t>
  </si>
  <si>
    <t>100 High Street</t>
  </si>
  <si>
    <t>01/09/2024</t>
  </si>
  <si>
    <t>SUP01135</t>
  </si>
  <si>
    <t>Owen</t>
  </si>
  <si>
    <t>owenhenderson@yahoo.co.uk</t>
  </si>
  <si>
    <t>07460965568</t>
  </si>
  <si>
    <t>23/02/1965</t>
  </si>
  <si>
    <t>153 Queen Street</t>
  </si>
  <si>
    <t>14.08.24</t>
  </si>
  <si>
    <t>SUP01136</t>
  </si>
  <si>
    <t>christopher-king@aol.com</t>
  </si>
  <si>
    <t>0141 598 9804</t>
  </si>
  <si>
    <t>02/05/1956</t>
  </si>
  <si>
    <t>108 North Street</t>
  </si>
  <si>
    <t>15 November 2019</t>
  </si>
  <si>
    <t>SUP01137</t>
  </si>
  <si>
    <t>Ella</t>
  </si>
  <si>
    <t>ellataylor@icloud.com</t>
  </si>
  <si>
    <t>01onal 603 7809</t>
  </si>
  <si>
    <t>01/17/1947</t>
  </si>
  <si>
    <t>35 London Road</t>
  </si>
  <si>
    <t>2018-12-05</t>
  </si>
  <si>
    <t>SUP01138</t>
  </si>
  <si>
    <t>Ryan</t>
  </si>
  <si>
    <t>ryanjackson@yahoo.co.uk</t>
  </si>
  <si>
    <t>+44 7216 374 893</t>
  </si>
  <si>
    <t>05/22/1986</t>
  </si>
  <si>
    <t>191 Meadow Way</t>
  </si>
  <si>
    <t>20.06.18</t>
  </si>
  <si>
    <t>SUP01139</t>
  </si>
  <si>
    <t>ava.murray@icloud.com</t>
  </si>
  <si>
    <t>07894 931 342</t>
  </si>
  <si>
    <t>68 Albert Road</t>
  </si>
  <si>
    <t>28-Nov-2024</t>
  </si>
  <si>
    <t>SUP01140</t>
  </si>
  <si>
    <t>anthony_hall@yahoo.co.uk</t>
  </si>
  <si>
    <t>07868904521</t>
  </si>
  <si>
    <t>08/05/1962</t>
  </si>
  <si>
    <t>75 School Lane</t>
  </si>
  <si>
    <t>28/06/2019</t>
  </si>
  <si>
    <t>SUP01141</t>
  </si>
  <si>
    <t>ethanmartin@icloud.com</t>
  </si>
  <si>
    <t>07748 913 887</t>
  </si>
  <si>
    <t>27/03/1965</t>
  </si>
  <si>
    <t>161 George Street</t>
  </si>
  <si>
    <t>20/02/2022</t>
  </si>
  <si>
    <t>SUP01142</t>
  </si>
  <si>
    <t>charlotteanderson@outlook.com</t>
  </si>
  <si>
    <t>0151 606 5399</t>
  </si>
  <si>
    <t>03/05/1934</t>
  </si>
  <si>
    <t>17 Oak Drive</t>
  </si>
  <si>
    <t>25 June 2024</t>
  </si>
  <si>
    <t>SUP01143</t>
  </si>
  <si>
    <t>emma-evans@icloud.com</t>
  </si>
  <si>
    <t>0121 538 4314</t>
  </si>
  <si>
    <t>1959-05-28</t>
  </si>
  <si>
    <t>32 Willow Road</t>
  </si>
  <si>
    <t>27 January 2021</t>
  </si>
  <si>
    <t>SUP01144</t>
  </si>
  <si>
    <t>Johnson</t>
  </si>
  <si>
    <t>ava-johnson@aol.com</t>
  </si>
  <si>
    <t>(0111) 2559 1017</t>
  </si>
  <si>
    <t>02/22/1997</t>
  </si>
  <si>
    <t>186 Bridge Road</t>
  </si>
  <si>
    <t>28-Aug-2024</t>
  </si>
  <si>
    <t>1</t>
  </si>
  <si>
    <t>SUP01145</t>
  </si>
  <si>
    <t>george-gray@aol.com</t>
  </si>
  <si>
    <t>07848 925 204</t>
  </si>
  <si>
    <t>1990-06-08</t>
  </si>
  <si>
    <t>123 Station Road</t>
  </si>
  <si>
    <t>07/16/2019</t>
  </si>
  <si>
    <t>SUP01146</t>
  </si>
  <si>
    <t>mary-ward@aol.com</t>
  </si>
  <si>
    <t>+44 7803 553 980</t>
  </si>
  <si>
    <t>06/07/1957</t>
  </si>
  <si>
    <t>185 London Road</t>
  </si>
  <si>
    <t>20-May-2019</t>
  </si>
  <si>
    <t>SUP01147</t>
  </si>
  <si>
    <t>Watson</t>
  </si>
  <si>
    <t>jennifer_watson@gmail.com</t>
  </si>
  <si>
    <t>(0138) 4366 9482</t>
  </si>
  <si>
    <t>13/09/1958</t>
  </si>
  <si>
    <t>154 North Street</t>
  </si>
  <si>
    <t>12.08.18</t>
  </si>
  <si>
    <t>SUP01148</t>
  </si>
  <si>
    <t>lilybrown@aol.com</t>
  </si>
  <si>
    <t>07659799276</t>
  </si>
  <si>
    <t>01/11/1964</t>
  </si>
  <si>
    <t>82 Park Avenue</t>
  </si>
  <si>
    <t>02/08/2024</t>
  </si>
  <si>
    <t>SUP01149</t>
  </si>
  <si>
    <t>amandamoore@aol.com</t>
  </si>
  <si>
    <t>07755 649 650</t>
  </si>
  <si>
    <t>14-Jan-1977</t>
  </si>
  <si>
    <t>197 George Street</t>
  </si>
  <si>
    <t>06/23/2021</t>
  </si>
  <si>
    <t>SUP01150</t>
  </si>
  <si>
    <t>Gary</t>
  </si>
  <si>
    <t>garyturner@outlook.com</t>
  </si>
  <si>
    <t>07350 188 544</t>
  </si>
  <si>
    <t>22 February 1952</t>
  </si>
  <si>
    <t>80 Bridge Road</t>
  </si>
  <si>
    <t>12/21/2019</t>
  </si>
  <si>
    <t>SUP01151</t>
  </si>
  <si>
    <t>luke_cooper@yahoo.co.uk</t>
  </si>
  <si>
    <t>07443 926 539</t>
  </si>
  <si>
    <t>07-Sep-1963</t>
  </si>
  <si>
    <t>96 Park Avenue</t>
  </si>
  <si>
    <t>Southampton</t>
  </si>
  <si>
    <t>B1 1BB</t>
  </si>
  <si>
    <t>19/06/2024</t>
  </si>
  <si>
    <t>SUP01152</t>
  </si>
  <si>
    <t>kevin.johnson@outlook.com</t>
  </si>
  <si>
    <t>(0165) 1042 1721</t>
  </si>
  <si>
    <t>06/09/1972</t>
  </si>
  <si>
    <t>147 West Street</t>
  </si>
  <si>
    <t>07/08/2018</t>
  </si>
  <si>
    <t>SUP01153</t>
  </si>
  <si>
    <t>emma-scott@aol.com</t>
  </si>
  <si>
    <t>(0140) 5444 2276</t>
  </si>
  <si>
    <t>02/19/1951</t>
  </si>
  <si>
    <t>58 The Crescent</t>
  </si>
  <si>
    <t>2018-08-04</t>
  </si>
  <si>
    <t>SUP01154</t>
  </si>
  <si>
    <t>Henry</t>
  </si>
  <si>
    <t>henryhenderson@gmail.com</t>
  </si>
  <si>
    <t>07305398677</t>
  </si>
  <si>
    <t>07 August 1977</t>
  </si>
  <si>
    <t>23 York Road</t>
  </si>
  <si>
    <t>17/02/2022</t>
  </si>
  <si>
    <t>SUP01155</t>
  </si>
  <si>
    <t>emily.smith@sky.com</t>
  </si>
  <si>
    <t>07877 773 485</t>
  </si>
  <si>
    <t>1941-01-10</t>
  </si>
  <si>
    <t>139 Albert Road</t>
  </si>
  <si>
    <t>11.12.23</t>
  </si>
  <si>
    <t>SUP01156</t>
  </si>
  <si>
    <t>José</t>
  </si>
  <si>
    <t>charlotte_williams@icloud.com</t>
  </si>
  <si>
    <t>(0110) 2565 9280</t>
  </si>
  <si>
    <t>01.05.41</t>
  </si>
  <si>
    <t>180 Cedar Lane</t>
  </si>
  <si>
    <t>14.05.24</t>
  </si>
  <si>
    <t>SUP01157</t>
  </si>
  <si>
    <t>07307 239 898</t>
  </si>
  <si>
    <t>27/01/1951</t>
  </si>
  <si>
    <t>82 New Road</t>
  </si>
  <si>
    <t>03/09/2019</t>
  </si>
  <si>
    <t>SUP01158</t>
  </si>
  <si>
    <t>charles.stewart@yahoo.co.uk</t>
  </si>
  <si>
    <t>07926802411</t>
  </si>
  <si>
    <t>08/08/1982</t>
  </si>
  <si>
    <t>68 Birch Avenue</t>
  </si>
  <si>
    <t>04/09/2021</t>
  </si>
  <si>
    <t>SUP01159</t>
  </si>
  <si>
    <t>michaelmitchell@outlook.com</t>
  </si>
  <si>
    <t>07573 204 923</t>
  </si>
  <si>
    <t>10/16/1976</t>
  </si>
  <si>
    <t>104 Birch Avenue</t>
  </si>
  <si>
    <t>SUP01160</t>
  </si>
  <si>
    <t>ava-davies@icloud.com</t>
  </si>
  <si>
    <t>07194967949</t>
  </si>
  <si>
    <t>09/07/1960</t>
  </si>
  <si>
    <t>6 Station Road</t>
  </si>
  <si>
    <t>04/03/2023</t>
  </si>
  <si>
    <t>SUP01161</t>
  </si>
  <si>
    <t>jane-jones@btinternet.com</t>
  </si>
  <si>
    <t>07556252135</t>
  </si>
  <si>
    <t>91 London Road</t>
  </si>
  <si>
    <t>2022-08-15</t>
  </si>
  <si>
    <t>SUP01162</t>
  </si>
  <si>
    <t>Harry</t>
  </si>
  <si>
    <t>Walker</t>
  </si>
  <si>
    <t>harry.walker@aol.com</t>
  </si>
  <si>
    <t>(0145) 8859 9921</t>
  </si>
  <si>
    <t>24.04.58</t>
  </si>
  <si>
    <t>162 Oak Drive</t>
  </si>
  <si>
    <t>2023-08-20</t>
  </si>
  <si>
    <t>SUP01163</t>
  </si>
  <si>
    <t>paul_jones@outlook.com</t>
  </si>
  <si>
    <t>07202353772</t>
  </si>
  <si>
    <t>31.08.44</t>
  </si>
  <si>
    <t>121 Springfield Road</t>
  </si>
  <si>
    <t>17/06/2020</t>
  </si>
  <si>
    <t>SUP01164</t>
  </si>
  <si>
    <t>edward_collins@hotmail.com</t>
  </si>
  <si>
    <t>+44 7292 956 929</t>
  </si>
  <si>
    <t>1954-07-20</t>
  </si>
  <si>
    <t>8 Bridge Road</t>
  </si>
  <si>
    <t>Luton</t>
  </si>
  <si>
    <t>Bedfordshire</t>
  </si>
  <si>
    <t>SA1 1DP</t>
  </si>
  <si>
    <t>02/07/2023</t>
  </si>
  <si>
    <t>SUP01165</t>
  </si>
  <si>
    <t>Ian</t>
  </si>
  <si>
    <t>ian-edwards@sky.com</t>
  </si>
  <si>
    <t>07122 251 700</t>
  </si>
  <si>
    <t>02/26/2006</t>
  </si>
  <si>
    <t>34 The Crescent</t>
  </si>
  <si>
    <t>11/26/2023</t>
  </si>
  <si>
    <t>SUP01166</t>
  </si>
  <si>
    <t>Patrick</t>
  </si>
  <si>
    <t>patrick_green@hotmail.com</t>
  </si>
  <si>
    <t>(0171) 6846 4657</t>
  </si>
  <si>
    <t>22.10.88</t>
  </si>
  <si>
    <t>164 Main Street</t>
  </si>
  <si>
    <t>10.06.21</t>
  </si>
  <si>
    <t>SUP01167</t>
  </si>
  <si>
    <t>amanda_fraser@outlook.com</t>
  </si>
  <si>
    <t>(0172) 2705 9129</t>
  </si>
  <si>
    <t>10/04/1931</t>
  </si>
  <si>
    <t>47 North Street</t>
  </si>
  <si>
    <t>21 November 2021</t>
  </si>
  <si>
    <t>SUP01168</t>
  </si>
  <si>
    <t>Isabella</t>
  </si>
  <si>
    <t>isabella-anderson@yahoo.co.uk</t>
  </si>
  <si>
    <t>07362905210</t>
  </si>
  <si>
    <t>07.06.45</t>
  </si>
  <si>
    <t>68 London Road</t>
  </si>
  <si>
    <t>30.11.22</t>
  </si>
  <si>
    <t>SUP01169</t>
  </si>
  <si>
    <t>benjamin.evans@gmail.com</t>
  </si>
  <si>
    <t>07120426367</t>
  </si>
  <si>
    <t>31 March 1950</t>
  </si>
  <si>
    <t>42 New Road</t>
  </si>
  <si>
    <t>18.03.22</t>
  </si>
  <si>
    <t>SUP01170</t>
  </si>
  <si>
    <t>Ross</t>
  </si>
  <si>
    <t>ellaross@hotmail.com</t>
  </si>
  <si>
    <t>07203 439 310</t>
  </si>
  <si>
    <t>01/01/1966</t>
  </si>
  <si>
    <t>168 Victoria Road</t>
  </si>
  <si>
    <t>27.02.21</t>
  </si>
  <si>
    <t>SUP01171</t>
  </si>
  <si>
    <t>janeroberts@outlook.com</t>
  </si>
  <si>
    <t>07126 311 274</t>
  </si>
  <si>
    <t>07 January 1998</t>
  </si>
  <si>
    <t>23 Kings Road</t>
  </si>
  <si>
    <t>04/19/2019</t>
  </si>
  <si>
    <t>SUP01172</t>
  </si>
  <si>
    <t>jakeharrison@gmail.com</t>
  </si>
  <si>
    <t>07550576369</t>
  </si>
  <si>
    <t>10/07/1971</t>
  </si>
  <si>
    <t>95 Victoria Road</t>
  </si>
  <si>
    <t>SW1A1AA</t>
  </si>
  <si>
    <t>10-Sep-2018</t>
  </si>
  <si>
    <t>SUP01173</t>
  </si>
  <si>
    <t>gracewood@outlook.com</t>
  </si>
  <si>
    <t>0161 180 7468</t>
  </si>
  <si>
    <t>03/07/1962</t>
  </si>
  <si>
    <t>108 York Road</t>
  </si>
  <si>
    <t>01/14/2023</t>
  </si>
  <si>
    <t>SUP01174</t>
  </si>
  <si>
    <t>richard</t>
  </si>
  <si>
    <t>richard_mitchell@yahoo.co.uk</t>
  </si>
  <si>
    <t>07497 669 506</t>
  </si>
  <si>
    <t>29-Feb-1968</t>
  </si>
  <si>
    <t>153 Manor Road</t>
  </si>
  <si>
    <t>20/02/2023</t>
  </si>
  <si>
    <t>SUP01175</t>
  </si>
  <si>
    <t>HARRY</t>
  </si>
  <si>
    <t>ROBERTS</t>
  </si>
  <si>
    <t>harry.roberts@yahoo.co.uk</t>
  </si>
  <si>
    <t>07988648452</t>
  </si>
  <si>
    <t>16 March 1987</t>
  </si>
  <si>
    <t>195 Mill Lane</t>
  </si>
  <si>
    <t>06/12/2023</t>
  </si>
  <si>
    <t>SUP01176</t>
  </si>
  <si>
    <t>matthew_ward@outlook.com</t>
  </si>
  <si>
    <t>07863 586 375</t>
  </si>
  <si>
    <t>01/28/1959</t>
  </si>
  <si>
    <t>10 Queen Street</t>
  </si>
  <si>
    <t>26 May 2021</t>
  </si>
  <si>
    <t>SUP01177</t>
  </si>
  <si>
    <t>patrick.kelly@outlook.com</t>
  </si>
  <si>
    <t>0151 943 7671</t>
  </si>
  <si>
    <t>05/08/1967</t>
  </si>
  <si>
    <t>187 George Street</t>
  </si>
  <si>
    <t>2018-08-19</t>
  </si>
  <si>
    <t>SUP01178</t>
  </si>
  <si>
    <t>lucy-stewart@gmail.com</t>
  </si>
  <si>
    <t>07133567151</t>
  </si>
  <si>
    <t>04/04/1948</t>
  </si>
  <si>
    <t>17/03/2023</t>
  </si>
  <si>
    <t>SUP01179</t>
  </si>
  <si>
    <t>alexander_hill@sky.com</t>
  </si>
  <si>
    <t>07957364866</t>
  </si>
  <si>
    <t>19.10.60</t>
  </si>
  <si>
    <t>151 York Road</t>
  </si>
  <si>
    <t>23/04/2018</t>
  </si>
  <si>
    <t>SUP01180</t>
  </si>
  <si>
    <t>patricia.carter@gmail.com</t>
  </si>
  <si>
    <t>0141 762 3837</t>
  </si>
  <si>
    <t>29/09/1981</t>
  </si>
  <si>
    <t>167 George Street</t>
  </si>
  <si>
    <t>27-Oct-2024</t>
  </si>
  <si>
    <t>SUP01181</t>
  </si>
  <si>
    <t>Robinson</t>
  </si>
  <si>
    <t>peter.robinson@gmail.com</t>
  </si>
  <si>
    <t>+44 7778 963 959</t>
  </si>
  <si>
    <t>04/02/1966</t>
  </si>
  <si>
    <t>160 Queen Street</t>
  </si>
  <si>
    <t>19-Mar-2019</t>
  </si>
  <si>
    <t>SUP01182</t>
  </si>
  <si>
    <t>anthony-white@gmail.com</t>
  </si>
  <si>
    <t>+44 7513 776 427</t>
  </si>
  <si>
    <t>02/19/1957</t>
  </si>
  <si>
    <t>49 Park Avenue</t>
  </si>
  <si>
    <t>31-Jul-2023</t>
  </si>
  <si>
    <t>SUP01183</t>
  </si>
  <si>
    <t>grace-campbell@icloud.com</t>
  </si>
  <si>
    <t>(0145) 9311 5918</t>
  </si>
  <si>
    <t>20.10.30</t>
  </si>
  <si>
    <t>04/02/2019</t>
  </si>
  <si>
    <t>SUP01184</t>
  </si>
  <si>
    <t>Karen</t>
  </si>
  <si>
    <t>karen-mitchell@btinternet.com</t>
  </si>
  <si>
    <t>0171 480 5269</t>
  </si>
  <si>
    <t>02/21/1943</t>
  </si>
  <si>
    <t>57 Albert Road</t>
  </si>
  <si>
    <t>2019-04-28</t>
  </si>
  <si>
    <t>SUP01185</t>
  </si>
  <si>
    <t>sophie_edwards@aol.com</t>
  </si>
  <si>
    <t>07991 974 254</t>
  </si>
  <si>
    <t>10.05.44</t>
  </si>
  <si>
    <t>175 Queen Street</t>
  </si>
  <si>
    <t>21.05.24</t>
  </si>
  <si>
    <t>SUP01186</t>
  </si>
  <si>
    <t>george_turner@outlook.com</t>
  </si>
  <si>
    <t>07690882262</t>
  </si>
  <si>
    <t>2 New Road</t>
  </si>
  <si>
    <t>2024-11-21</t>
  </si>
  <si>
    <t>SUP01187</t>
  </si>
  <si>
    <t>Robert</t>
  </si>
  <si>
    <t>robert-harrison@gmail.com</t>
  </si>
  <si>
    <t>(0100) 5076 4707</t>
  </si>
  <si>
    <t>05/07/1983</t>
  </si>
  <si>
    <t>83 Meadow Way</t>
  </si>
  <si>
    <t>02/25/2019</t>
  </si>
  <si>
    <t>SUP01188</t>
  </si>
  <si>
    <t>robert_wright@aol.com</t>
  </si>
  <si>
    <t>(0117) 6615 9031</t>
  </si>
  <si>
    <t>1939-06-04</t>
  </si>
  <si>
    <t>2022-07-11</t>
  </si>
  <si>
    <t>SUP01189</t>
  </si>
  <si>
    <t>grace_moore@gmail.com</t>
  </si>
  <si>
    <t>+44 7149 777 210</t>
  </si>
  <si>
    <t>08 July 1986</t>
  </si>
  <si>
    <t>97 Cedar Lane</t>
  </si>
  <si>
    <t>20.04.19</t>
  </si>
  <si>
    <t>SUP01190</t>
  </si>
  <si>
    <t>connor.roberts@btinternet.com</t>
  </si>
  <si>
    <t>+44 7720 817 240</t>
  </si>
  <si>
    <t>26 January 1982</t>
  </si>
  <si>
    <t>78 George Street</t>
  </si>
  <si>
    <t>05/12/2024</t>
  </si>
  <si>
    <t>SUP01191</t>
  </si>
  <si>
    <t>Mark</t>
  </si>
  <si>
    <t>markstewart@btinternet.com</t>
  </si>
  <si>
    <t>07140661608</t>
  </si>
  <si>
    <t>92 Bridge Road</t>
  </si>
  <si>
    <t>18 August 2020</t>
  </si>
  <si>
    <t>SUP01192</t>
  </si>
  <si>
    <t>amelia.hill@btinternet.com</t>
  </si>
  <si>
    <t>(0129) 8483 5850</t>
  </si>
  <si>
    <t>26/11/1987</t>
  </si>
  <si>
    <t>20 Hill Road</t>
  </si>
  <si>
    <t>17-Dec-2019</t>
  </si>
  <si>
    <t>SUP01193</t>
  </si>
  <si>
    <t>hannah-fraser@sky.com</t>
  </si>
  <si>
    <t>07548736374</t>
  </si>
  <si>
    <t>1953-12-27</t>
  </si>
  <si>
    <t>36 West Street</t>
  </si>
  <si>
    <t>04 November 2021</t>
  </si>
  <si>
    <t>SUP01194</t>
  </si>
  <si>
    <t>benjamin.patel@hotmail.com</t>
  </si>
  <si>
    <t>07526 704 594</t>
  </si>
  <si>
    <t>19 June 1948</t>
  </si>
  <si>
    <t>29 Park Avenue</t>
  </si>
  <si>
    <t>2024-11-08</t>
  </si>
  <si>
    <t>SUP01195</t>
  </si>
  <si>
    <t>lucy.edwards@btinternet.com</t>
  </si>
  <si>
    <t>(0140) 1202 9598</t>
  </si>
  <si>
    <t>113 Church Road</t>
  </si>
  <si>
    <t>2023-11-13</t>
  </si>
  <si>
    <t>SUP01196</t>
  </si>
  <si>
    <t>ethan-carter@icloud.com</t>
  </si>
  <si>
    <t>0141 176 9055</t>
  </si>
  <si>
    <t>05 April 1971</t>
  </si>
  <si>
    <t>14 High Street</t>
  </si>
  <si>
    <t>26 July 2018</t>
  </si>
  <si>
    <t>SUP01197</t>
  </si>
  <si>
    <t>charlottehughes@icloud.com</t>
  </si>
  <si>
    <t>07221609863</t>
  </si>
  <si>
    <t>29.03.67</t>
  </si>
  <si>
    <t>23 Birch Avenue</t>
  </si>
  <si>
    <t>2022-08-16</t>
  </si>
  <si>
    <t>SUP01198</t>
  </si>
  <si>
    <t>brianward@sky.com</t>
  </si>
  <si>
    <t>07945155936</t>
  </si>
  <si>
    <t>03-May-1958</t>
  </si>
  <si>
    <t>53 South Street</t>
  </si>
  <si>
    <t>13/04/2024</t>
  </si>
  <si>
    <t>SUP01199</t>
  </si>
  <si>
    <t>hannah_murray@sky.com</t>
  </si>
  <si>
    <t>(0113) 1750 3689</t>
  </si>
  <si>
    <t>17 January 1958</t>
  </si>
  <si>
    <t>91 Elm Close</t>
  </si>
  <si>
    <t>07.11.20</t>
  </si>
  <si>
    <t>SUP01200</t>
  </si>
  <si>
    <t>henry.gray@yahoo.co.uk</t>
  </si>
  <si>
    <t>0191 774 9260</t>
  </si>
  <si>
    <t>07/30/1952</t>
  </si>
  <si>
    <t>194 George Street</t>
  </si>
  <si>
    <t>18.07.18</t>
  </si>
  <si>
    <t>SUP01201</t>
  </si>
  <si>
    <t>karen_patel@aol.com</t>
  </si>
  <si>
    <t>020 809 5067</t>
  </si>
  <si>
    <t>13 November 1961</t>
  </si>
  <si>
    <t>100 West Street</t>
  </si>
  <si>
    <t>2023-01-29</t>
  </si>
  <si>
    <t>SUP01202</t>
  </si>
  <si>
    <t>07739831397</t>
  </si>
  <si>
    <t>15-Apr-1948</t>
  </si>
  <si>
    <t>183 Hill Road</t>
  </si>
  <si>
    <t>30.12.19</t>
  </si>
  <si>
    <t>SUP01203</t>
  </si>
  <si>
    <t>07635 209 125</t>
  </si>
  <si>
    <t>1965-03-30</t>
  </si>
  <si>
    <t>20/08/2018</t>
  </si>
  <si>
    <t>SUP01204</t>
  </si>
  <si>
    <t>michaelpatel@yahoo.co.uk</t>
  </si>
  <si>
    <t>+44 7988 791 857</t>
  </si>
  <si>
    <t>07-Oct-1952</t>
  </si>
  <si>
    <t>9 Albert Road</t>
  </si>
  <si>
    <t>2024-04-17</t>
  </si>
  <si>
    <t>SUP01205</t>
  </si>
  <si>
    <t>victoria.lee@btinternet.com</t>
  </si>
  <si>
    <t>07735989899</t>
  </si>
  <si>
    <t>30.01.69</t>
  </si>
  <si>
    <t>142 Church Road</t>
  </si>
  <si>
    <t>15 February 2022</t>
  </si>
  <si>
    <t>SUP01206</t>
  </si>
  <si>
    <t>margaret.jackson@aol.com</t>
  </si>
  <si>
    <t>07538 385 669</t>
  </si>
  <si>
    <t>01-Feb-1967</t>
  </si>
  <si>
    <t>48 Victoria Road</t>
  </si>
  <si>
    <t>2020-11-10</t>
  </si>
  <si>
    <t>SUP01207</t>
  </si>
  <si>
    <t>edwardhall@sky.com</t>
  </si>
  <si>
    <t>07902 824 425</t>
  </si>
  <si>
    <t>22.02.97</t>
  </si>
  <si>
    <t>170 Kings Road</t>
  </si>
  <si>
    <t>10/07/2018</t>
  </si>
  <si>
    <t>SUP01208</t>
  </si>
  <si>
    <t>charles_wood@outlook.com</t>
  </si>
  <si>
    <t>+44 7643 586 674</t>
  </si>
  <si>
    <t>85 Albert Road</t>
  </si>
  <si>
    <t>11/18/2021</t>
  </si>
  <si>
    <t>SUP01209</t>
  </si>
  <si>
    <t>robert_mitchell@gmail.com</t>
  </si>
  <si>
    <t>+44 7941 888 483</t>
  </si>
  <si>
    <t>1945-07-10</t>
  </si>
  <si>
    <t>99 Manor Road</t>
  </si>
  <si>
    <t>29-Jun-2018</t>
  </si>
  <si>
    <t>SUP01210</t>
  </si>
  <si>
    <t>elizabeth-stewart@aol.com</t>
  </si>
  <si>
    <t>07310 650 948</t>
  </si>
  <si>
    <t>14.01.63</t>
  </si>
  <si>
    <t>54 West Street</t>
  </si>
  <si>
    <t>22-Sep-2019</t>
  </si>
  <si>
    <t>SUP01211</t>
  </si>
  <si>
    <t>michael-lewis@btinternet.com</t>
  </si>
  <si>
    <t>0181 561 7626</t>
  </si>
  <si>
    <t>10.04.51</t>
  </si>
  <si>
    <t>148 Elm Close</t>
  </si>
  <si>
    <t>04/30/2019</t>
  </si>
  <si>
    <t>SUP01212</t>
  </si>
  <si>
    <t>grace_williams@btinternet.com</t>
  </si>
  <si>
    <t>+44 7188 388 883</t>
  </si>
  <si>
    <t>12/13/1955</t>
  </si>
  <si>
    <t>129 Mill Lane</t>
  </si>
  <si>
    <t>2018-05-07</t>
  </si>
  <si>
    <t>SUP01213</t>
  </si>
  <si>
    <t>amy_jackson@gmail.com</t>
  </si>
  <si>
    <t>+44 7995 668 244</t>
  </si>
  <si>
    <t>11.11.37</t>
  </si>
  <si>
    <t>174 Cedar Lane</t>
  </si>
  <si>
    <t>09/09/2024</t>
  </si>
  <si>
    <t>SUP01214</t>
  </si>
  <si>
    <t>charles-robinson@outlook.com</t>
  </si>
  <si>
    <t>+44 7954 358 298</t>
  </si>
  <si>
    <t>19 February 1969</t>
  </si>
  <si>
    <t>37 Victoria Road</t>
  </si>
  <si>
    <t>27-Feb-2024</t>
  </si>
  <si>
    <t>SUP01215</t>
  </si>
  <si>
    <t>thomas-walker@yahoo.co.uk</t>
  </si>
  <si>
    <t>07734171298</t>
  </si>
  <si>
    <t>05/15/1954</t>
  </si>
  <si>
    <t>92 Park Avenue</t>
  </si>
  <si>
    <t>29 November 2024</t>
  </si>
  <si>
    <t>SUP01216</t>
  </si>
  <si>
    <t>edwardjames@btinternet.com</t>
  </si>
  <si>
    <t>07237795850</t>
  </si>
  <si>
    <t>04.08.86</t>
  </si>
  <si>
    <t>57 Bridge Road</t>
  </si>
  <si>
    <t>09-Jan-2022</t>
  </si>
  <si>
    <t>SUP01217</t>
  </si>
  <si>
    <t>07969 619 746</t>
  </si>
  <si>
    <t>03/11/1977</t>
  </si>
  <si>
    <t>51 Manor Road</t>
  </si>
  <si>
    <t>09/03/2024</t>
  </si>
  <si>
    <t>SUP01218</t>
  </si>
  <si>
    <t>michelle.martin@aol.com</t>
  </si>
  <si>
    <t>07614110778</t>
  </si>
  <si>
    <t>35 New Road</t>
  </si>
  <si>
    <t>15-Oct-2019</t>
  </si>
  <si>
    <t>SUP01219</t>
  </si>
  <si>
    <t>lisa_williams@outlook.com</t>
  </si>
  <si>
    <t>07784 311 630</t>
  </si>
  <si>
    <t>08.05.81</t>
  </si>
  <si>
    <t>17 Manor Road</t>
  </si>
  <si>
    <t>2023-02-06</t>
  </si>
  <si>
    <t>SUP01220</t>
  </si>
  <si>
    <t>chloe-turner@aol.com</t>
  </si>
  <si>
    <t>(0148) 6985 2275</t>
  </si>
  <si>
    <t>08 September 1950</t>
  </si>
  <si>
    <t>140 School Lane</t>
  </si>
  <si>
    <t>10/17/2023</t>
  </si>
  <si>
    <t>SUP01221</t>
  </si>
  <si>
    <t>lily.smith@btinternet.com</t>
  </si>
  <si>
    <t>07253291261</t>
  </si>
  <si>
    <t>06 November 1964</t>
  </si>
  <si>
    <t>43 Green Lane</t>
  </si>
  <si>
    <t>2021-09-14</t>
  </si>
  <si>
    <t>SUP01222</t>
  </si>
  <si>
    <t>andrew-carter@hotmail.com</t>
  </si>
  <si>
    <t>(0165) 1642 3406</t>
  </si>
  <si>
    <t>09.01.50</t>
  </si>
  <si>
    <t>12 Park Avenue</t>
  </si>
  <si>
    <t>2023-10-18</t>
  </si>
  <si>
    <t>SUP01223</t>
  </si>
  <si>
    <t>rachel-davies@aol.com</t>
  </si>
  <si>
    <t>+44 7246 913 696</t>
  </si>
  <si>
    <t>08 March 1981</t>
  </si>
  <si>
    <t>124 Victoria Road</t>
  </si>
  <si>
    <t>04.11.21</t>
  </si>
  <si>
    <t>SUP01224</t>
  </si>
  <si>
    <t>Daniel</t>
  </si>
  <si>
    <t>daniel-evans@yahoo.co.uk</t>
  </si>
  <si>
    <t>07587729714</t>
  </si>
  <si>
    <t>14/04/2004</t>
  </si>
  <si>
    <t>176 George Street</t>
  </si>
  <si>
    <t>30 May 2023</t>
  </si>
  <si>
    <t>SUP01225</t>
  </si>
  <si>
    <t>donnaclark@aol.com</t>
  </si>
  <si>
    <t>07703923859</t>
  </si>
  <si>
    <t>1969-12-24</t>
  </si>
  <si>
    <t>110 Green Lane</t>
  </si>
  <si>
    <t>2020-11-08</t>
  </si>
  <si>
    <t>SUP01226</t>
  </si>
  <si>
    <t>samantha.white@gmail.com</t>
  </si>
  <si>
    <t>01onal 310 6175</t>
  </si>
  <si>
    <t>14 January 1984</t>
  </si>
  <si>
    <t>148 Springfield Road</t>
  </si>
  <si>
    <t>12/10/2022</t>
  </si>
  <si>
    <t>N</t>
  </si>
  <si>
    <t>SUP01227</t>
  </si>
  <si>
    <t>ellawatson@hotmail.com</t>
  </si>
  <si>
    <t>07672668595</t>
  </si>
  <si>
    <t>1931-07-06</t>
  </si>
  <si>
    <t>106 York Road</t>
  </si>
  <si>
    <t>2022-06-19</t>
  </si>
  <si>
    <t>SUP01228</t>
  </si>
  <si>
    <t>elizabeth.evans@hotmail.com</t>
  </si>
  <si>
    <t>01onal 105 2492</t>
  </si>
  <si>
    <t>21 June 1982</t>
  </si>
  <si>
    <t>141 North Street</t>
  </si>
  <si>
    <t>19/11/2022</t>
  </si>
  <si>
    <t>SUP01229</t>
  </si>
  <si>
    <t>robert_anderson@gmail.com</t>
  </si>
  <si>
    <t>07755606549</t>
  </si>
  <si>
    <t>24 June 1971</t>
  </si>
  <si>
    <t>168 Springfield Road</t>
  </si>
  <si>
    <t>18/05/2018</t>
  </si>
  <si>
    <t>SUP01230</t>
  </si>
  <si>
    <t>king</t>
  </si>
  <si>
    <t>robertking@sky.com</t>
  </si>
  <si>
    <t>(0150) 7642 4281</t>
  </si>
  <si>
    <t>13 January 1980</t>
  </si>
  <si>
    <t>23 Manor Road</t>
  </si>
  <si>
    <t>01-Mar-2024</t>
  </si>
  <si>
    <t>SUP01231</t>
  </si>
  <si>
    <t>Catherine</t>
  </si>
  <si>
    <t>catherine.wood@btinternet.com</t>
  </si>
  <si>
    <t>07516618209</t>
  </si>
  <si>
    <t>1959-10-11</t>
  </si>
  <si>
    <t>104 School Lane</t>
  </si>
  <si>
    <t>2019-04-25</t>
  </si>
  <si>
    <t>SUP01232</t>
  </si>
  <si>
    <t>Young</t>
  </si>
  <si>
    <t>victoriayoung@gmail.com</t>
  </si>
  <si>
    <t>0131 364 2106</t>
  </si>
  <si>
    <t>09/14/1965</t>
  </si>
  <si>
    <t>199 New Road</t>
  </si>
  <si>
    <t>17/07/2021</t>
  </si>
  <si>
    <t>SUP01233</t>
  </si>
  <si>
    <t>Helen</t>
  </si>
  <si>
    <t>07462323687</t>
  </si>
  <si>
    <t>23.06.77</t>
  </si>
  <si>
    <t>20 York Road</t>
  </si>
  <si>
    <t>28/03/2020</t>
  </si>
  <si>
    <t>SUP01234</t>
  </si>
  <si>
    <t>simon.reid@icloud.com</t>
  </si>
  <si>
    <t>+44 7106 882 977</t>
  </si>
  <si>
    <t>31 October 1959</t>
  </si>
  <si>
    <t>31 Willow Road</t>
  </si>
  <si>
    <t>2024-12-17</t>
  </si>
  <si>
    <t>SUP01235</t>
  </si>
  <si>
    <t>adamwatson@icloud.com</t>
  </si>
  <si>
    <t>+44 7133 614 455</t>
  </si>
  <si>
    <t>26 March 1970</t>
  </si>
  <si>
    <t>14 Springfield Road</t>
  </si>
  <si>
    <t>09/05/2019</t>
  </si>
  <si>
    <t>SUP01236</t>
  </si>
  <si>
    <t>victoria_morris@outlook.com</t>
  </si>
  <si>
    <t>07582727451</t>
  </si>
  <si>
    <t>08 July 1992</t>
  </si>
  <si>
    <t>67 Victoria Road</t>
  </si>
  <si>
    <t>12/05/2020</t>
  </si>
  <si>
    <t>SUP01237</t>
  </si>
  <si>
    <t>katie_thomas@outlook.com</t>
  </si>
  <si>
    <t>+44 7542 976 490</t>
  </si>
  <si>
    <t>07-Feb-1933</t>
  </si>
  <si>
    <t>26 Hill Road</t>
  </si>
  <si>
    <t>09/02/2018</t>
  </si>
  <si>
    <t>SUP01238</t>
  </si>
  <si>
    <t>amy.anderson@aol.com</t>
  </si>
  <si>
    <t>07807 267 161</t>
  </si>
  <si>
    <t>05/10/1975</t>
  </si>
  <si>
    <t>65 York Road</t>
  </si>
  <si>
    <t>2025-01-23</t>
  </si>
  <si>
    <t>SUP01239</t>
  </si>
  <si>
    <t>nathan.scott@sky.com</t>
  </si>
  <si>
    <t>(0177) 4259 9821</t>
  </si>
  <si>
    <t>13-Sep-1941</t>
  </si>
  <si>
    <t>6 George Street</t>
  </si>
  <si>
    <t>2021-08-24</t>
  </si>
  <si>
    <t>SUP01240</t>
  </si>
  <si>
    <t>jonathan_hughes@aol.com</t>
  </si>
  <si>
    <t>(0178) 7631 2168</t>
  </si>
  <si>
    <t>164 Oak Drive</t>
  </si>
  <si>
    <t>2021-07-08</t>
  </si>
  <si>
    <t>SUP01241</t>
  </si>
  <si>
    <t>catherinesimpson@hotmail.com</t>
  </si>
  <si>
    <t>07974123228</t>
  </si>
  <si>
    <t>15 July 1967</t>
  </si>
  <si>
    <t>134 New Road</t>
  </si>
  <si>
    <t>24 November 2018</t>
  </si>
  <si>
    <t>SUP01242</t>
  </si>
  <si>
    <t>jack.scott@btinternet.com</t>
  </si>
  <si>
    <t>+44 7259 186 770</t>
  </si>
  <si>
    <t>19/06/1997</t>
  </si>
  <si>
    <t>196 Station Road</t>
  </si>
  <si>
    <t>03/09/2021</t>
  </si>
  <si>
    <t>SUP01243</t>
  </si>
  <si>
    <t>robert_phillips@icloud.com</t>
  </si>
  <si>
    <t>07814652281</t>
  </si>
  <si>
    <t>08/01/1972</t>
  </si>
  <si>
    <t>120 Birch Avenue</t>
  </si>
  <si>
    <t>29-Apr-2024</t>
  </si>
  <si>
    <t>SUP01244</t>
  </si>
  <si>
    <t>fionaharrison@btinternet.com</t>
  </si>
  <si>
    <t>07410110100</t>
  </si>
  <si>
    <t>28-Nov-1980</t>
  </si>
  <si>
    <t>79 Albert Road</t>
  </si>
  <si>
    <t>06 April 2023</t>
  </si>
  <si>
    <t>SUP01245</t>
  </si>
  <si>
    <t>mary.stewart@sky.com</t>
  </si>
  <si>
    <t>07521674547</t>
  </si>
  <si>
    <t>60 Oak Drive</t>
  </si>
  <si>
    <t>16.05.22</t>
  </si>
  <si>
    <t>SUP01246</t>
  </si>
  <si>
    <t>chloe_murray@aol.com</t>
  </si>
  <si>
    <t>07973170286</t>
  </si>
  <si>
    <t>13 March 1951</t>
  </si>
  <si>
    <t>73 South Street</t>
  </si>
  <si>
    <t>02/09/2023</t>
  </si>
  <si>
    <t>SUP01247</t>
  </si>
  <si>
    <t>john_roberts@btinternet.com</t>
  </si>
  <si>
    <t>07832548844</t>
  </si>
  <si>
    <t>10-Apr-1998</t>
  </si>
  <si>
    <t>48 Mill Lane</t>
  </si>
  <si>
    <t>02 March 2018</t>
  </si>
  <si>
    <t>SUP01248</t>
  </si>
  <si>
    <t>jane-king@gmail.com</t>
  </si>
  <si>
    <t>07894501173</t>
  </si>
  <si>
    <t>1966-12-31</t>
  </si>
  <si>
    <t>21 Elm Close</t>
  </si>
  <si>
    <t>21 October 2020</t>
  </si>
  <si>
    <t>SUP01249</t>
  </si>
  <si>
    <t>tracey.thompson@outlook.com</t>
  </si>
  <si>
    <t>0181 797 6113</t>
  </si>
  <si>
    <t>1955-01-02</t>
  </si>
  <si>
    <t>118 Hill Road</t>
  </si>
  <si>
    <t>2024-03-01</t>
  </si>
  <si>
    <t>SUP01250</t>
  </si>
  <si>
    <t>alexandersimpson@sky.com</t>
  </si>
  <si>
    <t>07271 913 382</t>
  </si>
  <si>
    <t>01-Feb-1997</t>
  </si>
  <si>
    <t>29 Green Lane</t>
  </si>
  <si>
    <t>09/22/2020</t>
  </si>
  <si>
    <t>SUP01251</t>
  </si>
  <si>
    <t>michelle_stewart@gmail.com</t>
  </si>
  <si>
    <t>07464 760 257</t>
  </si>
  <si>
    <t>2026-02-10</t>
  </si>
  <si>
    <t>24 West Street</t>
  </si>
  <si>
    <t>11 August 2020</t>
  </si>
  <si>
    <t>SUP01252</t>
  </si>
  <si>
    <t>margaret.jones@icloud.com</t>
  </si>
  <si>
    <t>(0156) 5828 9892</t>
  </si>
  <si>
    <t>19 July 1956</t>
  </si>
  <si>
    <t>65 Cedar Lane</t>
  </si>
  <si>
    <t>2020-02-04</t>
  </si>
  <si>
    <t>SUP01253</t>
  </si>
  <si>
    <t>lilyhamilton@btinternet.com</t>
  </si>
  <si>
    <t>07654475564</t>
  </si>
  <si>
    <t>31-Oct-1947</t>
  </si>
  <si>
    <t>136 Park Avenue</t>
  </si>
  <si>
    <t>13-Dec-2024</t>
  </si>
  <si>
    <t>SUP01254</t>
  </si>
  <si>
    <t>ryan-gray@btinternet.com</t>
  </si>
  <si>
    <t>07519756429</t>
  </si>
  <si>
    <t>04/22/1971</t>
  </si>
  <si>
    <t>197 York Road</t>
  </si>
  <si>
    <t>16-Jun-2019</t>
  </si>
  <si>
    <t>SUP01255</t>
  </si>
  <si>
    <t>robert_young@gmail.com</t>
  </si>
  <si>
    <t>07326720835</t>
  </si>
  <si>
    <t>04/07/1958</t>
  </si>
  <si>
    <t>135 North Street</t>
  </si>
  <si>
    <t>07/06/2023</t>
  </si>
  <si>
    <t>SUP01256</t>
  </si>
  <si>
    <t>samantha.gray@yahoo.co.uk</t>
  </si>
  <si>
    <t>07179321631</t>
  </si>
  <si>
    <t>18/01/1972</t>
  </si>
  <si>
    <t>158 Manor Road</t>
  </si>
  <si>
    <t>28-Apr-2022</t>
  </si>
  <si>
    <t>SUP01257</t>
  </si>
  <si>
    <t>karen</t>
  </si>
  <si>
    <t>(0185) 7997 2705</t>
  </si>
  <si>
    <t>21-Jun-1953</t>
  </si>
  <si>
    <t>197 South Street</t>
  </si>
  <si>
    <t>2021-10-14</t>
  </si>
  <si>
    <t>SUP01258</t>
  </si>
  <si>
    <t>01onal 862 5162</t>
  </si>
  <si>
    <t>23/06/1948</t>
  </si>
  <si>
    <t>186 The Crescent</t>
  </si>
  <si>
    <t>01/01/2018</t>
  </si>
  <si>
    <t>SUP01259</t>
  </si>
  <si>
    <t>patrick_smith@hotmail.com</t>
  </si>
  <si>
    <t>07138 571 464</t>
  </si>
  <si>
    <t>22 September 1976</t>
  </si>
  <si>
    <t>81 High Street</t>
  </si>
  <si>
    <t>12-Jul-2024</t>
  </si>
  <si>
    <t>SUP01260</t>
  </si>
  <si>
    <t>katiehamilton@yahoo.co.uk</t>
  </si>
  <si>
    <t>+44 7757 407 138</t>
  </si>
  <si>
    <t>04.12.81</t>
  </si>
  <si>
    <t>08/18/2018</t>
  </si>
  <si>
    <t>SUP01261</t>
  </si>
  <si>
    <t>paulkelly@gmail.com</t>
  </si>
  <si>
    <t>07636142426</t>
  </si>
  <si>
    <t>1957-03-16</t>
  </si>
  <si>
    <t>163 Meadow Way</t>
  </si>
  <si>
    <t>20-Aug-2023</t>
  </si>
  <si>
    <t>SUP01262</t>
  </si>
  <si>
    <t>katie-moore@sky.com</t>
  </si>
  <si>
    <t>07587 685 863</t>
  </si>
  <si>
    <t>02/06/1993</t>
  </si>
  <si>
    <t>101 Park Avenue</t>
  </si>
  <si>
    <t>06/21/2022</t>
  </si>
  <si>
    <t>SUP01263</t>
  </si>
  <si>
    <t>nathan-walker@outlook.com</t>
  </si>
  <si>
    <t>07372 895 540</t>
  </si>
  <si>
    <t>1965-02-17</t>
  </si>
  <si>
    <t>51 York Road</t>
  </si>
  <si>
    <t>08/22/2022</t>
  </si>
  <si>
    <t>SUP01264</t>
  </si>
  <si>
    <t>jakejones@hotmail.com</t>
  </si>
  <si>
    <t>0121 937 4825</t>
  </si>
  <si>
    <t>10/25/1952</t>
  </si>
  <si>
    <t>158 Elm Close</t>
  </si>
  <si>
    <t>2018-12-18</t>
  </si>
  <si>
    <t>SUP01265</t>
  </si>
  <si>
    <t>smith</t>
  </si>
  <si>
    <t>rachel.smith@sky.com</t>
  </si>
  <si>
    <t>07857650316</t>
  </si>
  <si>
    <t>19-Nov-1973</t>
  </si>
  <si>
    <t>116 Main Street</t>
  </si>
  <si>
    <t>02/08/2019</t>
  </si>
  <si>
    <t>SUP01266</t>
  </si>
  <si>
    <t>michaeljackson@gmail.com</t>
  </si>
  <si>
    <t>07497 776 377</t>
  </si>
  <si>
    <t>21-Jan-1983</t>
  </si>
  <si>
    <t>70 Church Road</t>
  </si>
  <si>
    <t>18.03.19</t>
  </si>
  <si>
    <t>SUP01267</t>
  </si>
  <si>
    <t>olivia.campbell@hotmail.com</t>
  </si>
  <si>
    <t>07612568674</t>
  </si>
  <si>
    <t>01/08/1992</t>
  </si>
  <si>
    <t>153 York Road</t>
  </si>
  <si>
    <t>09.12.23</t>
  </si>
  <si>
    <t>SUP01268</t>
  </si>
  <si>
    <t>CHARLES</t>
  </si>
  <si>
    <t>charles_mitchell@gmail.com</t>
  </si>
  <si>
    <t>(0132) 7343 1482</t>
  </si>
  <si>
    <t>28-Feb-1973</t>
  </si>
  <si>
    <t>61 Springfield Road</t>
  </si>
  <si>
    <t>10/31/2021</t>
  </si>
  <si>
    <t>SUP01269</t>
  </si>
  <si>
    <t>ella-henderson@aol.com</t>
  </si>
  <si>
    <t>07719437559</t>
  </si>
  <si>
    <t>09/24/1959</t>
  </si>
  <si>
    <t>22 July 2019</t>
  </si>
  <si>
    <t>SUP01270</t>
  </si>
  <si>
    <t>connor-campbell@sky.com</t>
  </si>
  <si>
    <t>07670 645 836</t>
  </si>
  <si>
    <t>1943-11-14</t>
  </si>
  <si>
    <t>198 Park Avenue</t>
  </si>
  <si>
    <t>20-Aug-2019</t>
  </si>
  <si>
    <t>SUP01271</t>
  </si>
  <si>
    <t>liam-o'brien@gmail.com</t>
  </si>
  <si>
    <t>+44 7731 373 720</t>
  </si>
  <si>
    <t>1954-11-03</t>
  </si>
  <si>
    <t>28 Park Avenue</t>
  </si>
  <si>
    <t>09 August 2020</t>
  </si>
  <si>
    <t>SUP01272</t>
  </si>
  <si>
    <t>lucymoore@icloud.com</t>
  </si>
  <si>
    <t>0141 267 4166</t>
  </si>
  <si>
    <t>05/25/1948</t>
  </si>
  <si>
    <t>48 Birch Avenue</t>
  </si>
  <si>
    <t>03-Mar-2018</t>
  </si>
  <si>
    <t>SUP01273</t>
  </si>
  <si>
    <t>christopher_o'brien@icloud.com</t>
  </si>
  <si>
    <t>07537514894</t>
  </si>
  <si>
    <t>13-Jun-1938</t>
  </si>
  <si>
    <t>126 Bridge Road</t>
  </si>
  <si>
    <t>07/05/2021</t>
  </si>
  <si>
    <t>SUP01274</t>
  </si>
  <si>
    <t>avasimpson@gmail.com</t>
  </si>
  <si>
    <t>07631650505</t>
  </si>
  <si>
    <t>1955-12-31</t>
  </si>
  <si>
    <t>28 New Road</t>
  </si>
  <si>
    <t>27-Jan-2025</t>
  </si>
  <si>
    <t>SUP01275</t>
  </si>
  <si>
    <t>rachel-hughes@icloud.com</t>
  </si>
  <si>
    <t>(0157) 2481 9202</t>
  </si>
  <si>
    <t>1986-08-14</t>
  </si>
  <si>
    <t>14 Bridge Road</t>
  </si>
  <si>
    <t>21-Aug-2022</t>
  </si>
  <si>
    <t>SUP01276</t>
  </si>
  <si>
    <t>margaret-simpson@yahoo.co.uk</t>
  </si>
  <si>
    <t>07216 823 560</t>
  </si>
  <si>
    <t>1967-09-10</t>
  </si>
  <si>
    <t>178 South Street</t>
  </si>
  <si>
    <t>23/04/2022</t>
  </si>
  <si>
    <t>SUP01277</t>
  </si>
  <si>
    <t>andrew-hamilton@hotmail.com</t>
  </si>
  <si>
    <t>(0106) 7874 6047</t>
  </si>
  <si>
    <t>1974-02-11</t>
  </si>
  <si>
    <t>42 Birch Avenue</t>
  </si>
  <si>
    <t>09 January 2025</t>
  </si>
  <si>
    <t>SUP01278</t>
  </si>
  <si>
    <t>helensmith@outlook.com</t>
  </si>
  <si>
    <t>07702775587</t>
  </si>
  <si>
    <t>06-May-1966</t>
  </si>
  <si>
    <t>2 North Street</t>
  </si>
  <si>
    <t>12345</t>
  </si>
  <si>
    <t>28-Sep-2024</t>
  </si>
  <si>
    <t>SUP01279</t>
  </si>
  <si>
    <t>megan_gray@gmail.com</t>
  </si>
  <si>
    <t>07974133783</t>
  </si>
  <si>
    <t>1950-12-26</t>
  </si>
  <si>
    <t>38 Church Road</t>
  </si>
  <si>
    <t>20.07.18</t>
  </si>
  <si>
    <t>SUP01280</t>
  </si>
  <si>
    <t>owen_patel@gmail.com</t>
  </si>
  <si>
    <t>07886 406 430</t>
  </si>
  <si>
    <t>01.04.55</t>
  </si>
  <si>
    <t>46 New Road</t>
  </si>
  <si>
    <t>17 October 2022</t>
  </si>
  <si>
    <t>SUP01281</t>
  </si>
  <si>
    <t>anthony.harris@yahoo.co.uk</t>
  </si>
  <si>
    <t>+44 7847 744 641</t>
  </si>
  <si>
    <t>1963-04-24</t>
  </si>
  <si>
    <t>179 London Road</t>
  </si>
  <si>
    <t>29/10/2024</t>
  </si>
  <si>
    <t>SUP01282</t>
  </si>
  <si>
    <t>daniel-ward@outlook.com</t>
  </si>
  <si>
    <t>(0137) 4171 1025</t>
  </si>
  <si>
    <t>04/26/1961</t>
  </si>
  <si>
    <t>127 Oak Drive</t>
  </si>
  <si>
    <t>29 April 2019</t>
  </si>
  <si>
    <t>SUP01283</t>
  </si>
  <si>
    <t>nathan_collins@yahoo.co.uk</t>
  </si>
  <si>
    <t>07407618663</t>
  </si>
  <si>
    <t>01/13/1959</t>
  </si>
  <si>
    <t>177 Kings Road</t>
  </si>
  <si>
    <t>27.09.21</t>
  </si>
  <si>
    <t>SUP01284</t>
  </si>
  <si>
    <t>0141 742 8546</t>
  </si>
  <si>
    <t>07/25/1974</t>
  </si>
  <si>
    <t>122 Oak Drive</t>
  </si>
  <si>
    <t>23 August 2022</t>
  </si>
  <si>
    <t>SUP01285</t>
  </si>
  <si>
    <t>megan-harrison@btinternet.com</t>
  </si>
  <si>
    <t>07447 484 741</t>
  </si>
  <si>
    <t>18/03/2003</t>
  </si>
  <si>
    <t>91 Station Road</t>
  </si>
  <si>
    <t>SUP01286</t>
  </si>
  <si>
    <t>harry_davies@outlook.com</t>
  </si>
  <si>
    <t>+44 7409 279 214</t>
  </si>
  <si>
    <t>17 September 1964</t>
  </si>
  <si>
    <t>116 Elm Close</t>
  </si>
  <si>
    <t>07.04.20</t>
  </si>
  <si>
    <t>SUP01287</t>
  </si>
  <si>
    <t>olivia_roberts@hotmail.com</t>
  </si>
  <si>
    <t>07941 628 792</t>
  </si>
  <si>
    <t>05/09/1984</t>
  </si>
  <si>
    <t>80 Meadow Way</t>
  </si>
  <si>
    <t>07 May 2022</t>
  </si>
  <si>
    <t>SUP01288</t>
  </si>
  <si>
    <t>lily_henderson@gmail.com</t>
  </si>
  <si>
    <t>+44 7876 419 754</t>
  </si>
  <si>
    <t>15-May-1993</t>
  </si>
  <si>
    <t>27 Springfield Road</t>
  </si>
  <si>
    <t>19/03/2021</t>
  </si>
  <si>
    <t>SUP01289</t>
  </si>
  <si>
    <t>matthew.johnson@outlook.com</t>
  </si>
  <si>
    <t>+44 7458 662 426</t>
  </si>
  <si>
    <t>06/01/1978</t>
  </si>
  <si>
    <t>144 Springfield Road</t>
  </si>
  <si>
    <t>29.09.20</t>
  </si>
  <si>
    <t>SUP01290</t>
  </si>
  <si>
    <t>laura.thomas@yahoo.co.uk</t>
  </si>
  <si>
    <t>0181 283 8304</t>
  </si>
  <si>
    <t>27/01/2001</t>
  </si>
  <si>
    <t>28 Queen Street</t>
  </si>
  <si>
    <t>2020-03-22</t>
  </si>
  <si>
    <t>SUP01291</t>
  </si>
  <si>
    <t>Müller</t>
  </si>
  <si>
    <t>connor-hughes@hotmail.com</t>
  </si>
  <si>
    <t>+44 7364 472 501</t>
  </si>
  <si>
    <t>08/04/1992</t>
  </si>
  <si>
    <t>121 Green Lane</t>
  </si>
  <si>
    <t>08/23/2021</t>
  </si>
  <si>
    <t>SUP01292</t>
  </si>
  <si>
    <t>jack-hughes@yahoo.co.uk</t>
  </si>
  <si>
    <t>0131 433 2162</t>
  </si>
  <si>
    <t>1948-08-29</t>
  </si>
  <si>
    <t>155 School Lane</t>
  </si>
  <si>
    <t>15 August 2024</t>
  </si>
  <si>
    <t>SUP01293</t>
  </si>
  <si>
    <t>+44 7810 341 277</t>
  </si>
  <si>
    <t>25.09.95</t>
  </si>
  <si>
    <t>111 Oak Drive</t>
  </si>
  <si>
    <t>09.06.24</t>
  </si>
  <si>
    <t>SUP01294</t>
  </si>
  <si>
    <t>thomas.gray@aol.com</t>
  </si>
  <si>
    <t>07606760776</t>
  </si>
  <si>
    <t>12.08.67</t>
  </si>
  <si>
    <t>18 North Street</t>
  </si>
  <si>
    <t>24.07.19</t>
  </si>
  <si>
    <t>SUP01295</t>
  </si>
  <si>
    <t>victoria_ward@btinternet.com</t>
  </si>
  <si>
    <t>+44 7913 795 411</t>
  </si>
  <si>
    <t>1961-10-09</t>
  </si>
  <si>
    <t>175 Cedar Lane</t>
  </si>
  <si>
    <t>03 February 2018</t>
  </si>
  <si>
    <t>SUP01296</t>
  </si>
  <si>
    <t>alexander_ross@yahoo.co.uk</t>
  </si>
  <si>
    <t>07986131340</t>
  </si>
  <si>
    <t>21-Dec-1962</t>
  </si>
  <si>
    <t>181 York Road</t>
  </si>
  <si>
    <t>27.07.21</t>
  </si>
  <si>
    <t>SUP01297</t>
  </si>
  <si>
    <t>christopheredwards@hotmail.com</t>
  </si>
  <si>
    <t>07993786228</t>
  </si>
  <si>
    <t>01/04/1988</t>
  </si>
  <si>
    <t>93 Elm Close</t>
  </si>
  <si>
    <t>2018-03-06</t>
  </si>
  <si>
    <t>SUP01298</t>
  </si>
  <si>
    <t>jake-collins@icloud.com</t>
  </si>
  <si>
    <t>+44 7534 665 939</t>
  </si>
  <si>
    <t>27/05/1969</t>
  </si>
  <si>
    <t>109 North Street</t>
  </si>
  <si>
    <t>02/01/2020</t>
  </si>
  <si>
    <t>SUP01299</t>
  </si>
  <si>
    <t>jennifer.campbell@gmail.com</t>
  </si>
  <si>
    <t>+44 7594 821 477</t>
  </si>
  <si>
    <t>20 June 1964</t>
  </si>
  <si>
    <t>148 Albert Road</t>
  </si>
  <si>
    <t>27.11.23</t>
  </si>
  <si>
    <t>SUP01300</t>
  </si>
  <si>
    <t>charlotte_thompson@gmail.com</t>
  </si>
  <si>
    <t>07647897111</t>
  </si>
  <si>
    <t>11-Feb-1966</t>
  </si>
  <si>
    <t>176 South Street</t>
  </si>
  <si>
    <t>19.09.21</t>
  </si>
  <si>
    <t>SUP01301</t>
  </si>
  <si>
    <t>briankelly@hotmail.com</t>
  </si>
  <si>
    <t>+44 7152 772 398</t>
  </si>
  <si>
    <t>03/31/1976</t>
  </si>
  <si>
    <t>16 South Street</t>
  </si>
  <si>
    <t>09/06/2023</t>
  </si>
  <si>
    <t>SUP01302</t>
  </si>
  <si>
    <t>helen.thomas@hotmail.com</t>
  </si>
  <si>
    <t>+44 7856 254 774</t>
  </si>
  <si>
    <t>31-Aug-1959</t>
  </si>
  <si>
    <t>4 Hill Road</t>
  </si>
  <si>
    <t>2020-08-25</t>
  </si>
  <si>
    <t>SUP01303</t>
  </si>
  <si>
    <t>emilyhall@outlook.com</t>
  </si>
  <si>
    <t>(0156) 3740 4454</t>
  </si>
  <si>
    <t>1940-11-05</t>
  </si>
  <si>
    <t>193 George Street</t>
  </si>
  <si>
    <t>18/12/2020</t>
  </si>
  <si>
    <t>SUP01304</t>
  </si>
  <si>
    <t>fionakelly@icloud.com</t>
  </si>
  <si>
    <t>07248643991</t>
  </si>
  <si>
    <t>26 April 1939</t>
  </si>
  <si>
    <t>98 West Street</t>
  </si>
  <si>
    <t>01/13/2023</t>
  </si>
  <si>
    <t>SUP01305</t>
  </si>
  <si>
    <t>isabella_cooper@sky.com</t>
  </si>
  <si>
    <t>07373921200</t>
  </si>
  <si>
    <t>16 June 1937</t>
  </si>
  <si>
    <t>167 Birch Avenue</t>
  </si>
  <si>
    <t>17-Sep-2020</t>
  </si>
  <si>
    <t>SUP01306</t>
  </si>
  <si>
    <t>karengreen@yahoo.co.uk</t>
  </si>
  <si>
    <t>+44 7206 801 556</t>
  </si>
  <si>
    <t>02/07/1962</t>
  </si>
  <si>
    <t>18 High Street</t>
  </si>
  <si>
    <t>01 March 2020</t>
  </si>
  <si>
    <t>SUP01307</t>
  </si>
  <si>
    <t>amelia.ross@hotmail.com</t>
  </si>
  <si>
    <t>01onal 882 4027</t>
  </si>
  <si>
    <t>03/20/1949</t>
  </si>
  <si>
    <t>182 Mill Lane</t>
  </si>
  <si>
    <t>28.03.23</t>
  </si>
  <si>
    <t>SUP01308</t>
  </si>
  <si>
    <t>rebeccawhite@aol.com</t>
  </si>
  <si>
    <t>07161364932</t>
  </si>
  <si>
    <t>1986-12-05</t>
  </si>
  <si>
    <t>199 Church Road</t>
  </si>
  <si>
    <t>08 July 2023</t>
  </si>
  <si>
    <t>SUP01309</t>
  </si>
  <si>
    <t>emilyharrison@btinternet.com</t>
  </si>
  <si>
    <t>07135 174 172</t>
  </si>
  <si>
    <t>165 Mill Lane</t>
  </si>
  <si>
    <t>01-Aug-2023</t>
  </si>
  <si>
    <t>SUP01310</t>
  </si>
  <si>
    <t>0181 964 2148</t>
  </si>
  <si>
    <t>182 Meadow Way</t>
  </si>
  <si>
    <t>29 May 2023</t>
  </si>
  <si>
    <t>SUP01311</t>
  </si>
  <si>
    <t>amanda_taylor@yahoo.co.uk</t>
  </si>
  <si>
    <t>0161 763 4327</t>
  </si>
  <si>
    <t>21.02.58</t>
  </si>
  <si>
    <t>94 York Road</t>
  </si>
  <si>
    <t>22.02.20</t>
  </si>
  <si>
    <t>SUP01312</t>
  </si>
  <si>
    <t>morgan</t>
  </si>
  <si>
    <t>liam-morgan@icloud.com</t>
  </si>
  <si>
    <t>0131 911 9856</t>
  </si>
  <si>
    <t>09.11.54</t>
  </si>
  <si>
    <t>50 High Street</t>
  </si>
  <si>
    <t>01/15/2023</t>
  </si>
  <si>
    <t>SUP01313</t>
  </si>
  <si>
    <t>emma-martin@outlook.com</t>
  </si>
  <si>
    <t>07137 853 244</t>
  </si>
  <si>
    <t>10/02/1990</t>
  </si>
  <si>
    <t>118 West Street</t>
  </si>
  <si>
    <t>07-Jul-2018</t>
  </si>
  <si>
    <t>SUP01314</t>
  </si>
  <si>
    <t>patrick.gray@yahoo.co.uk</t>
  </si>
  <si>
    <t>07609 709 918</t>
  </si>
  <si>
    <t>01-Jun-1951</t>
  </si>
  <si>
    <t>44 Elm Close</t>
  </si>
  <si>
    <t>10.04.20</t>
  </si>
  <si>
    <t>SUP01315</t>
  </si>
  <si>
    <t>ethan-young@sky.com</t>
  </si>
  <si>
    <t>07223 380 244</t>
  </si>
  <si>
    <t>1962-08-06</t>
  </si>
  <si>
    <t>196 Church Road</t>
  </si>
  <si>
    <t>2022-02-24</t>
  </si>
  <si>
    <t>SUP01316</t>
  </si>
  <si>
    <t>thomas.baker@icloud.com</t>
  </si>
  <si>
    <t>07106 107 283</t>
  </si>
  <si>
    <t>03/13/1948</t>
  </si>
  <si>
    <t>200 Victoria Road</t>
  </si>
  <si>
    <t>04/05/2023</t>
  </si>
  <si>
    <t>SUP01317</t>
  </si>
  <si>
    <t>jenniferlewis@yahoo.co.uk</t>
  </si>
  <si>
    <t>(0138) 6699 7861</t>
  </si>
  <si>
    <t>12/30/1959</t>
  </si>
  <si>
    <t>47 Bridge Road</t>
  </si>
  <si>
    <t>12/12/2023</t>
  </si>
  <si>
    <t>SUP01318</t>
  </si>
  <si>
    <t>liam-phillips@icloud.com</t>
  </si>
  <si>
    <t>0141 263 1706</t>
  </si>
  <si>
    <t>16-Dec-1982</t>
  </si>
  <si>
    <t>29 Oak Drive</t>
  </si>
  <si>
    <t>2020-05-08</t>
  </si>
  <si>
    <t>SUP01319</t>
  </si>
  <si>
    <t>julie.williams@icloud.com</t>
  </si>
  <si>
    <t>+44 7218 172 340</t>
  </si>
  <si>
    <t>15.12.91</t>
  </si>
  <si>
    <t>46 Victoria Road</t>
  </si>
  <si>
    <t>03/25/2020</t>
  </si>
  <si>
    <t>SUP01320</t>
  </si>
  <si>
    <t>harryhenderson@gmail.com</t>
  </si>
  <si>
    <t>0141 321 8454</t>
  </si>
  <si>
    <t>22-Sep-1983</t>
  </si>
  <si>
    <t>121 School Lane</t>
  </si>
  <si>
    <t>2023-02-18</t>
  </si>
  <si>
    <t>SUP01321</t>
  </si>
  <si>
    <t>connoryoung@hotmail.com</t>
  </si>
  <si>
    <t>07325402718</t>
  </si>
  <si>
    <t>31-Oct-1996</t>
  </si>
  <si>
    <t>120 New Road</t>
  </si>
  <si>
    <t>14.03.24</t>
  </si>
  <si>
    <t>SUP01322</t>
  </si>
  <si>
    <t>susanmorris@outlook.com</t>
  </si>
  <si>
    <t>07435544693</t>
  </si>
  <si>
    <t>25/05/1966</t>
  </si>
  <si>
    <t>01 July 2018</t>
  </si>
  <si>
    <t>SUP01323</t>
  </si>
  <si>
    <t>oliver-edwards@yahoo.co.uk</t>
  </si>
  <si>
    <t>+44 7871 112 809</t>
  </si>
  <si>
    <t>29/01/1950</t>
  </si>
  <si>
    <t>08/01/2022</t>
  </si>
  <si>
    <t>SUP01324</t>
  </si>
  <si>
    <t>clairejohnson@hotmail.com</t>
  </si>
  <si>
    <t>(0151) 4030 7068</t>
  </si>
  <si>
    <t>02.04.55</t>
  </si>
  <si>
    <t>7 New Road</t>
  </si>
  <si>
    <t>2025-01-13</t>
  </si>
  <si>
    <t>SUP01325</t>
  </si>
  <si>
    <t>joseph-murray@yahoo.co.uk</t>
  </si>
  <si>
    <t>+44 7443 853 156</t>
  </si>
  <si>
    <t>1978-03-06</t>
  </si>
  <si>
    <t>148 Oak Drive</t>
  </si>
  <si>
    <t>31-Mar-2019</t>
  </si>
  <si>
    <t>SUP01326</t>
  </si>
  <si>
    <t>christopher-carter@hotmail.com</t>
  </si>
  <si>
    <t>07344652216</t>
  </si>
  <si>
    <t>14/12/1962</t>
  </si>
  <si>
    <t>2020-07-12</t>
  </si>
  <si>
    <t>SUP01327</t>
  </si>
  <si>
    <t>michael.brown@icloud.com</t>
  </si>
  <si>
    <t>(0168) 9730 5788</t>
  </si>
  <si>
    <t>28-May-1972</t>
  </si>
  <si>
    <t>129 Springfield Road</t>
  </si>
  <si>
    <t>26-Sep-2018</t>
  </si>
  <si>
    <t>SUP01328</t>
  </si>
  <si>
    <t>rachelbrown@hotmail.com</t>
  </si>
  <si>
    <t>07633742123</t>
  </si>
  <si>
    <t>22.08.91</t>
  </si>
  <si>
    <t>179 Park Avenue</t>
  </si>
  <si>
    <t>SUP01329</t>
  </si>
  <si>
    <t>020 781 9686</t>
  </si>
  <si>
    <t>106 School Lane</t>
  </si>
  <si>
    <t>30/05/2021</t>
  </si>
  <si>
    <t>SUP01330</t>
  </si>
  <si>
    <t>jackking@hotmail.com</t>
  </si>
  <si>
    <t>+44 7264 828 648</t>
  </si>
  <si>
    <t>31/12/1935</t>
  </si>
  <si>
    <t>91 Kings Road</t>
  </si>
  <si>
    <t>21 September 2019</t>
  </si>
  <si>
    <t>SUP01331</t>
  </si>
  <si>
    <t>tracey_white@sky.com</t>
  </si>
  <si>
    <t>07481559652</t>
  </si>
  <si>
    <t>01.10.72</t>
  </si>
  <si>
    <t>182 Church Road</t>
  </si>
  <si>
    <t>16-Jul-2022</t>
  </si>
  <si>
    <t>SUP01332</t>
  </si>
  <si>
    <t>ryan_moore@hotmail.com</t>
  </si>
  <si>
    <t>+44 7846 552 446</t>
  </si>
  <si>
    <t>122 Cedar Lane</t>
  </si>
  <si>
    <t>26 July 2019</t>
  </si>
  <si>
    <t>SUP01333</t>
  </si>
  <si>
    <t>Morgan</t>
  </si>
  <si>
    <t>patricia-morgan@outlook.com</t>
  </si>
  <si>
    <t>07300123185</t>
  </si>
  <si>
    <t>1972-07-31</t>
  </si>
  <si>
    <t>2022-06-04</t>
  </si>
  <si>
    <t>SUP01334</t>
  </si>
  <si>
    <t>LAURA</t>
  </si>
  <si>
    <t>HAMILTON</t>
  </si>
  <si>
    <t>laurahamilton@sky.com</t>
  </si>
  <si>
    <t>0171 112 5663</t>
  </si>
  <si>
    <t>29 June 1957</t>
  </si>
  <si>
    <t>184 Birch Avenue</t>
  </si>
  <si>
    <t>2024-04-16</t>
  </si>
  <si>
    <t>SUP01335</t>
  </si>
  <si>
    <t>jackson</t>
  </si>
  <si>
    <t>tracey.jackson@hotmail.com</t>
  </si>
  <si>
    <t>07410586988</t>
  </si>
  <si>
    <t>36 Elm Close</t>
  </si>
  <si>
    <t>2022-03-20</t>
  </si>
  <si>
    <t>SUP01336</t>
  </si>
  <si>
    <t>henrycampbell@btinternet.com</t>
  </si>
  <si>
    <t>+44 7602 143 942</t>
  </si>
  <si>
    <t>11/08/1961</t>
  </si>
  <si>
    <t>48 Elm Close</t>
  </si>
  <si>
    <t>09/04/2024</t>
  </si>
  <si>
    <t>SUP01337</t>
  </si>
  <si>
    <t>liamreid@outlook.com</t>
  </si>
  <si>
    <t>07222 883 383</t>
  </si>
  <si>
    <t>16/11/1958</t>
  </si>
  <si>
    <t>107 Victoria Road</t>
  </si>
  <si>
    <t>05/23/2023</t>
  </si>
  <si>
    <t>SUP01338</t>
  </si>
  <si>
    <t>michelle.moore@hotmail.com</t>
  </si>
  <si>
    <t>07572999809</t>
  </si>
  <si>
    <t>11/01/1955</t>
  </si>
  <si>
    <t>42 School Lane</t>
  </si>
  <si>
    <t>21.01.21</t>
  </si>
  <si>
    <t>SUP01339</t>
  </si>
  <si>
    <t>ian-turner@yahoo.co.uk</t>
  </si>
  <si>
    <t>+44 7870 271 656</t>
  </si>
  <si>
    <t>04-May-1940</t>
  </si>
  <si>
    <t>18/05/2021</t>
  </si>
  <si>
    <t>SUP01340</t>
  </si>
  <si>
    <t>matthewsmith@sky.com</t>
  </si>
  <si>
    <t>07204323258</t>
  </si>
  <si>
    <t>08/19/1988</t>
  </si>
  <si>
    <t>200 Main Street</t>
  </si>
  <si>
    <t>07 April 2024</t>
  </si>
  <si>
    <t>SUP01341</t>
  </si>
  <si>
    <t>jessica.clarke@icloud.com</t>
  </si>
  <si>
    <t>07419807471</t>
  </si>
  <si>
    <t>08.12.66</t>
  </si>
  <si>
    <t>34 Willow Road</t>
  </si>
  <si>
    <t>01-Jun-2021</t>
  </si>
  <si>
    <t>SUP01342</t>
  </si>
  <si>
    <t>patricia.wright@yahoo.co.uk</t>
  </si>
  <si>
    <t>07893 595 875</t>
  </si>
  <si>
    <t>1989-11-05</t>
  </si>
  <si>
    <t>109 Bridge Road</t>
  </si>
  <si>
    <t>15/05/2018</t>
  </si>
  <si>
    <t>SUP01343</t>
  </si>
  <si>
    <t>emma-brown@outlook.com</t>
  </si>
  <si>
    <t>07786459129</t>
  </si>
  <si>
    <t>01/08/1977</t>
  </si>
  <si>
    <t>2021-11-25</t>
  </si>
  <si>
    <t>SUP01344</t>
  </si>
  <si>
    <t>sophie-evans@btinternet.com</t>
  </si>
  <si>
    <t>07872650104</t>
  </si>
  <si>
    <t>13.01.51</t>
  </si>
  <si>
    <t>56 Bridge Road</t>
  </si>
  <si>
    <t>29/04/2023</t>
  </si>
  <si>
    <t>SUP01345</t>
  </si>
  <si>
    <t>karen-reid@aol.com</t>
  </si>
  <si>
    <t>07879 421 226</t>
  </si>
  <si>
    <t>04/07/1973</t>
  </si>
  <si>
    <t>55 Springfield Road</t>
  </si>
  <si>
    <t>01/19/2022</t>
  </si>
  <si>
    <t>SUP01346</t>
  </si>
  <si>
    <t>williamlee@outlook.com</t>
  </si>
  <si>
    <t>+44 7517 397 975</t>
  </si>
  <si>
    <t>12.03.77</t>
  </si>
  <si>
    <t>176 Elm Close</t>
  </si>
  <si>
    <t>03.05.23</t>
  </si>
  <si>
    <t>SUP01347</t>
  </si>
  <si>
    <t>Samuel</t>
  </si>
  <si>
    <t>samuelclark@yahoo.co.uk</t>
  </si>
  <si>
    <t>(0121) 2060 6959</t>
  </si>
  <si>
    <t>06 December 1957</t>
  </si>
  <si>
    <t>37 Queen Street</t>
  </si>
  <si>
    <t>14 July 2022</t>
  </si>
  <si>
    <t>SUP01348</t>
  </si>
  <si>
    <t>gracemorris@icloud.com</t>
  </si>
  <si>
    <t>+44 7385 250 886</t>
  </si>
  <si>
    <t>1977-02-18</t>
  </si>
  <si>
    <t>92 Main Street</t>
  </si>
  <si>
    <t>28/06/2023</t>
  </si>
  <si>
    <t>SUP01349</t>
  </si>
  <si>
    <t>michael</t>
  </si>
  <si>
    <t>07736738198</t>
  </si>
  <si>
    <t>27-Jan-1994</t>
  </si>
  <si>
    <t>46 Queen Street</t>
  </si>
  <si>
    <t>24 March 2023</t>
  </si>
  <si>
    <t>no</t>
  </si>
  <si>
    <t>SUP01350</t>
  </si>
  <si>
    <t>amy.harris@aol.com</t>
  </si>
  <si>
    <t>07492 560 422</t>
  </si>
  <si>
    <t>04/19/1950</t>
  </si>
  <si>
    <t>5 Meadow Way</t>
  </si>
  <si>
    <t>28.05.18</t>
  </si>
  <si>
    <t>SUP01351</t>
  </si>
  <si>
    <t>josephthomas@icloud.com</t>
  </si>
  <si>
    <t>01onal 974 3560</t>
  </si>
  <si>
    <t>1975-06-29</t>
  </si>
  <si>
    <t>196 Mill Lane</t>
  </si>
  <si>
    <t>20 July 2023</t>
  </si>
  <si>
    <t>SUP01352</t>
  </si>
  <si>
    <t>rebecca.taylor@sky.com</t>
  </si>
  <si>
    <t>0131 538 6654</t>
  </si>
  <si>
    <t>15 December 2002</t>
  </si>
  <si>
    <t>94 Albert Road</t>
  </si>
  <si>
    <t>27 September 2020</t>
  </si>
  <si>
    <t>SUP01353</t>
  </si>
  <si>
    <t>connor_brown@gmail.com</t>
  </si>
  <si>
    <t>01onal 984 7921</t>
  </si>
  <si>
    <t>24/11/1946</t>
  </si>
  <si>
    <t>44 High Street</t>
  </si>
  <si>
    <t>25-Mar-2018</t>
  </si>
  <si>
    <t>SUP01354</t>
  </si>
  <si>
    <t>rebecca-young@sky.com</t>
  </si>
  <si>
    <t>01onal 930 6563</t>
  </si>
  <si>
    <t>1992-05-04</t>
  </si>
  <si>
    <t>177 West Street</t>
  </si>
  <si>
    <t>06-Apr-2020</t>
  </si>
  <si>
    <t>SUP01355</t>
  </si>
  <si>
    <t>patrick.young@sky.com</t>
  </si>
  <si>
    <t>07168680920</t>
  </si>
  <si>
    <t>11/23/2021</t>
  </si>
  <si>
    <t>SUP01356</t>
  </si>
  <si>
    <t>rebecca-walker@gmail.com</t>
  </si>
  <si>
    <t>(0190) 9457 4056</t>
  </si>
  <si>
    <t>09/09/1969</t>
  </si>
  <si>
    <t>132 New Road</t>
  </si>
  <si>
    <t>30/03/2023</t>
  </si>
  <si>
    <t>SUP01357</t>
  </si>
  <si>
    <t>laura_clark@aol.com</t>
  </si>
  <si>
    <t>0171 980 2055</t>
  </si>
  <si>
    <t>21.05.83</t>
  </si>
  <si>
    <t>62 Park Avenue</t>
  </si>
  <si>
    <t>21.03.21</t>
  </si>
  <si>
    <t>SUP01358</t>
  </si>
  <si>
    <t>williamroberts@aol.com</t>
  </si>
  <si>
    <t>(0104) 4309 3610</t>
  </si>
  <si>
    <t>1984-09-08</t>
  </si>
  <si>
    <t>119 Main Street</t>
  </si>
  <si>
    <t>11.02.21</t>
  </si>
  <si>
    <t>SUP01359</t>
  </si>
  <si>
    <t>sarah.taylor@aol.com</t>
  </si>
  <si>
    <t>07787773192</t>
  </si>
  <si>
    <t>12/10/1947</t>
  </si>
  <si>
    <t>155 Kings Road</t>
  </si>
  <si>
    <t>27/05/2024</t>
  </si>
  <si>
    <t>SUP01360</t>
  </si>
  <si>
    <t>helen_hill@sky.com</t>
  </si>
  <si>
    <t>+44 7854 499 925</t>
  </si>
  <si>
    <t>22-Sep-1945</t>
  </si>
  <si>
    <t>32 Meadow Way</t>
  </si>
  <si>
    <t>14 August 2019</t>
  </si>
  <si>
    <t>SUP01361</t>
  </si>
  <si>
    <t>garytaylor@icloud.com</t>
  </si>
  <si>
    <t>(0131) 5550 3374</t>
  </si>
  <si>
    <t>07/09/1965</t>
  </si>
  <si>
    <t>82 York Road</t>
  </si>
  <si>
    <t>06/16/2021</t>
  </si>
  <si>
    <t>SUP01362</t>
  </si>
  <si>
    <t>amelia_thompson@yahoo.co.uk</t>
  </si>
  <si>
    <t>+44 7987 342 978</t>
  </si>
  <si>
    <t>01-Jul-1979</t>
  </si>
  <si>
    <t>164 Bridge Road</t>
  </si>
  <si>
    <t>12.11.20</t>
  </si>
  <si>
    <t>SUP01363</t>
  </si>
  <si>
    <t>elizabeth.hamilton@icloud.com</t>
  </si>
  <si>
    <t>0181 961 6451</t>
  </si>
  <si>
    <t>06 August 1968</t>
  </si>
  <si>
    <t>9 Manor Road</t>
  </si>
  <si>
    <t>2019-10-19</t>
  </si>
  <si>
    <t>SUP01364</t>
  </si>
  <si>
    <t>(0117) 1050 7564</t>
  </si>
  <si>
    <t>24/01/1974</t>
  </si>
  <si>
    <t>03 December 2018</t>
  </si>
  <si>
    <t>SUP01365</t>
  </si>
  <si>
    <t>07277803707</t>
  </si>
  <si>
    <t>12/03/1989</t>
  </si>
  <si>
    <t>12 December 2018</t>
  </si>
  <si>
    <t>SUP01366</t>
  </si>
  <si>
    <t>katie-wood@yahoo.co.uk</t>
  </si>
  <si>
    <t>0151 368 3764</t>
  </si>
  <si>
    <t>27.12.03</t>
  </si>
  <si>
    <t>166 North Street</t>
  </si>
  <si>
    <t>01/12/2020</t>
  </si>
  <si>
    <t>SUP01367</t>
  </si>
  <si>
    <t>ian-james@outlook.com</t>
  </si>
  <si>
    <t>07394864606</t>
  </si>
  <si>
    <t>01 June 1952</t>
  </si>
  <si>
    <t>31 Green Lane</t>
  </si>
  <si>
    <t>04/26/2020</t>
  </si>
  <si>
    <t>SUP01368</t>
  </si>
  <si>
    <t>jones</t>
  </si>
  <si>
    <t>matthew-jones@sky.com</t>
  </si>
  <si>
    <t>+44 7800 762 569</t>
  </si>
  <si>
    <t>1976-09-01</t>
  </si>
  <si>
    <t>159 New Road</t>
  </si>
  <si>
    <t>2021-08-17</t>
  </si>
  <si>
    <t>SUP01369</t>
  </si>
  <si>
    <t>brian-white@icloud.com</t>
  </si>
  <si>
    <t>07720786921</t>
  </si>
  <si>
    <t>1994-03-30</t>
  </si>
  <si>
    <t>14 The Crescent</t>
  </si>
  <si>
    <t>2020-11-04</t>
  </si>
  <si>
    <t>SUP01370</t>
  </si>
  <si>
    <t>lucyross@sky.com</t>
  </si>
  <si>
    <t>0141 191 6198</t>
  </si>
  <si>
    <t>26 March 1961</t>
  </si>
  <si>
    <t>24/04/2019</t>
  </si>
  <si>
    <t>SUP01371</t>
  </si>
  <si>
    <t>catherine_kelly@sky.com</t>
  </si>
  <si>
    <t>0141 423 9049</t>
  </si>
  <si>
    <t>08 June 1972</t>
  </si>
  <si>
    <t>68 North Street</t>
  </si>
  <si>
    <t>2020-02-13</t>
  </si>
  <si>
    <t>SUP01372</t>
  </si>
  <si>
    <t>elizabeth_campbell@icloud.com</t>
  </si>
  <si>
    <t>0191 215 3425</t>
  </si>
  <si>
    <t>1966-11-18</t>
  </si>
  <si>
    <t>11 New Road</t>
  </si>
  <si>
    <t>2021-03-09</t>
  </si>
  <si>
    <t>SUP01373</t>
  </si>
  <si>
    <t>owen-morris@aol.com</t>
  </si>
  <si>
    <t>07352 886 610</t>
  </si>
  <si>
    <t>1983-01-10</t>
  </si>
  <si>
    <t>197 School Lane</t>
  </si>
  <si>
    <t>2021-03-10</t>
  </si>
  <si>
    <t>SUP01374</t>
  </si>
  <si>
    <t>emily</t>
  </si>
  <si>
    <t>emily_jones@gmail.com</t>
  </si>
  <si>
    <t>07144771737</t>
  </si>
  <si>
    <t>01/12/1993</t>
  </si>
  <si>
    <t>117 South Street</t>
  </si>
  <si>
    <t>19-Jul-2018</t>
  </si>
  <si>
    <t>SUP01375</t>
  </si>
  <si>
    <t>victoriadavies@yahoo.co.uk</t>
  </si>
  <si>
    <t>07972 313 266</t>
  </si>
  <si>
    <t>16/10/1970</t>
  </si>
  <si>
    <t>198 Birch Avenue</t>
  </si>
  <si>
    <t>24 September 2019</t>
  </si>
  <si>
    <t>SUP01376</t>
  </si>
  <si>
    <t>claire_ross@outlook.com</t>
  </si>
  <si>
    <t>0191 497 8805</t>
  </si>
  <si>
    <t>12-Nov-1956</t>
  </si>
  <si>
    <t>171 Mill Lane</t>
  </si>
  <si>
    <t>2022-09-27</t>
  </si>
  <si>
    <t>SUP01377</t>
  </si>
  <si>
    <t>robert-moore@icloud.com</t>
  </si>
  <si>
    <t>+44 7744 762 637</t>
  </si>
  <si>
    <t>22.05.73</t>
  </si>
  <si>
    <t>166 West Street</t>
  </si>
  <si>
    <t>2018-11-21</t>
  </si>
  <si>
    <t>SUP01378</t>
  </si>
  <si>
    <t>jennifer.clark@yahoo.co.uk</t>
  </si>
  <si>
    <t>+44 7535 522 196</t>
  </si>
  <si>
    <t>30/03/1968</t>
  </si>
  <si>
    <t>142 Station Road</t>
  </si>
  <si>
    <t>26/07/2024</t>
  </si>
  <si>
    <t>SUP01379</t>
  </si>
  <si>
    <t>karen_baker@sky.com</t>
  </si>
  <si>
    <t>+44 7841 565 875</t>
  </si>
  <si>
    <t>24 June 1984</t>
  </si>
  <si>
    <t>22 George Street</t>
  </si>
  <si>
    <t>06 February 2020</t>
  </si>
  <si>
    <t>SUP01380</t>
  </si>
  <si>
    <t>hannah-james@icloud.com</t>
  </si>
  <si>
    <t>0181 989 8974</t>
  </si>
  <si>
    <t>1964-01-15</t>
  </si>
  <si>
    <t>30 High Street</t>
  </si>
  <si>
    <t>05/24/2021</t>
  </si>
  <si>
    <t>SUP01381</t>
  </si>
  <si>
    <t>john-patel@outlook.com</t>
  </si>
  <si>
    <t>01onal 978 9824</t>
  </si>
  <si>
    <t>11 January 1936</t>
  </si>
  <si>
    <t>124 South Street</t>
  </si>
  <si>
    <t>03/14/2023</t>
  </si>
  <si>
    <t>SUP01382</t>
  </si>
  <si>
    <t>matthewkelly@outlook.com</t>
  </si>
  <si>
    <t>07401683949</t>
  </si>
  <si>
    <t>16 May 1955</t>
  </si>
  <si>
    <t>6 Birch Avenue</t>
  </si>
  <si>
    <t>02-Feb-2018</t>
  </si>
  <si>
    <t>SUP01383</t>
  </si>
  <si>
    <t>meganjackson@outlook.com</t>
  </si>
  <si>
    <t>(0107) 9655 1311</t>
  </si>
  <si>
    <t>2000-06-17</t>
  </si>
  <si>
    <t>132 School Lane</t>
  </si>
  <si>
    <t>05 September 2022</t>
  </si>
  <si>
    <t>SUP01384</t>
  </si>
  <si>
    <t>connorjames@outlook.com</t>
  </si>
  <si>
    <t>+44 7324 701 801</t>
  </si>
  <si>
    <t>13/08/2003</t>
  </si>
  <si>
    <t>121 Albert Road</t>
  </si>
  <si>
    <t>2021-04-16</t>
  </si>
  <si>
    <t>SUP01385</t>
  </si>
  <si>
    <t>07260720603</t>
  </si>
  <si>
    <t>24-Jan-1982</t>
  </si>
  <si>
    <t>171 Main Street</t>
  </si>
  <si>
    <t>19-Aug-2020</t>
  </si>
  <si>
    <t>SUP01386</t>
  </si>
  <si>
    <t>lisamitchell@yahoo.co.uk</t>
  </si>
  <si>
    <t>+44 7332 223 675</t>
  </si>
  <si>
    <t>29/04/1986</t>
  </si>
  <si>
    <t>17 The Crescent</t>
  </si>
  <si>
    <t>2021-12-26</t>
  </si>
  <si>
    <t>SUP01387</t>
  </si>
  <si>
    <t>oliviahall@yahoo.co.uk</t>
  </si>
  <si>
    <t>07900 725 724</t>
  </si>
  <si>
    <t>01/22/1957</t>
  </si>
  <si>
    <t>113 Oak Drive</t>
  </si>
  <si>
    <t>08/03/2019</t>
  </si>
  <si>
    <t>SUP01388</t>
  </si>
  <si>
    <t>tracey_murray@hotmail.com</t>
  </si>
  <si>
    <t>07968 306 549</t>
  </si>
  <si>
    <t>27.11.64</t>
  </si>
  <si>
    <t>166 Albert Road</t>
  </si>
  <si>
    <t>2023-04-25</t>
  </si>
  <si>
    <t>SUP01389</t>
  </si>
  <si>
    <t>harryking@outlook.com</t>
  </si>
  <si>
    <t>07921539523</t>
  </si>
  <si>
    <t>15 September 1958</t>
  </si>
  <si>
    <t>193 Meadow Way</t>
  </si>
  <si>
    <t>18-Dec-2022</t>
  </si>
  <si>
    <t>SUP01390</t>
  </si>
  <si>
    <t>edward.martin@hotmail.com</t>
  </si>
  <si>
    <t>+44 7159 746 830</t>
  </si>
  <si>
    <t>01/11/1933</t>
  </si>
  <si>
    <t>05/07/2022</t>
  </si>
  <si>
    <t>SUP01391</t>
  </si>
  <si>
    <t>anthony-ross@icloud.com</t>
  </si>
  <si>
    <t>(0144) 7627 4232</t>
  </si>
  <si>
    <t>1963-11-03</t>
  </si>
  <si>
    <t>115 South Street</t>
  </si>
  <si>
    <t>2021-10-02</t>
  </si>
  <si>
    <t>SUP01392</t>
  </si>
  <si>
    <t>adam_scott@outlook.com</t>
  </si>
  <si>
    <t>07843532617</t>
  </si>
  <si>
    <t>24/07/1975</t>
  </si>
  <si>
    <t>6 High Street</t>
  </si>
  <si>
    <t>2022-03-08</t>
  </si>
  <si>
    <t>SUP01393</t>
  </si>
  <si>
    <t>jessica-morgan@sky.com</t>
  </si>
  <si>
    <t>07391782903</t>
  </si>
  <si>
    <t>11-Jan-1977</t>
  </si>
  <si>
    <t>87 Green Lane</t>
  </si>
  <si>
    <t>11/10/2020</t>
  </si>
  <si>
    <t>SUP01394</t>
  </si>
  <si>
    <t>hughes</t>
  </si>
  <si>
    <t>michelle.hughes@gmail.com</t>
  </si>
  <si>
    <t>0141 587 4519</t>
  </si>
  <si>
    <t>11-Jan-1992</t>
  </si>
  <si>
    <t>106 Station Road</t>
  </si>
  <si>
    <t>2023-11-26</t>
  </si>
  <si>
    <t>SUP01395</t>
  </si>
  <si>
    <t>petermorris@aol.com</t>
  </si>
  <si>
    <t>07247617230</t>
  </si>
  <si>
    <t>14 June 1964</t>
  </si>
  <si>
    <t>2023-10-04</t>
  </si>
  <si>
    <t>SUP01396</t>
  </si>
  <si>
    <t>elizabeth.scott@sky.com</t>
  </si>
  <si>
    <t>+44 7396 141 635</t>
  </si>
  <si>
    <t>11/15/1972</t>
  </si>
  <si>
    <t>105 Mill Lane</t>
  </si>
  <si>
    <t>14 March 2022</t>
  </si>
  <si>
    <t>SUP01397</t>
  </si>
  <si>
    <t>garyclarke@gmail.com</t>
  </si>
  <si>
    <t>07660 457 169</t>
  </si>
  <si>
    <t>05.08.98</t>
  </si>
  <si>
    <t>56 Victoria Road</t>
  </si>
  <si>
    <t>05 June 2024</t>
  </si>
  <si>
    <t>SUP01398</t>
  </si>
  <si>
    <t>brianthomas@hotmail.com</t>
  </si>
  <si>
    <t>(0141) 2463 7711</t>
  </si>
  <si>
    <t>06.05.53</t>
  </si>
  <si>
    <t>195 New Road</t>
  </si>
  <si>
    <t>25 January 2024</t>
  </si>
  <si>
    <t>SUP01399</t>
  </si>
  <si>
    <t>andrew.campbell@yahoo.co.uk</t>
  </si>
  <si>
    <t>07733654690</t>
  </si>
  <si>
    <t>19.02.02</t>
  </si>
  <si>
    <t>144 South Street</t>
  </si>
  <si>
    <t>04.05.23</t>
  </si>
  <si>
    <t>SUP01400</t>
  </si>
  <si>
    <t>catherine_baker@aol.com</t>
  </si>
  <si>
    <t>+44 7146 603 982</t>
  </si>
  <si>
    <t>16.01.82</t>
  </si>
  <si>
    <t>114 Station Road</t>
  </si>
  <si>
    <t>08/27/2022</t>
  </si>
  <si>
    <t>SUP01401</t>
  </si>
  <si>
    <t>thomas.harrison@hotmail.com</t>
  </si>
  <si>
    <t>07517794273</t>
  </si>
  <si>
    <t>30-Oct-1986</t>
  </si>
  <si>
    <t>66 Meadow Way</t>
  </si>
  <si>
    <t>2018-04-22</t>
  </si>
  <si>
    <t>SUP01402</t>
  </si>
  <si>
    <t>edward-white@icloud.com</t>
  </si>
  <si>
    <t>+44 7870 616 494</t>
  </si>
  <si>
    <t>15.11.71</t>
  </si>
  <si>
    <t>52 Green Lane</t>
  </si>
  <si>
    <t>19.03.23</t>
  </si>
  <si>
    <t>SUP01403</t>
  </si>
  <si>
    <t>hamilton</t>
  </si>
  <si>
    <t>paul.hamilton@outlook.com</t>
  </si>
  <si>
    <t>+44 7767 904 228</t>
  </si>
  <si>
    <t>06 September 1945</t>
  </si>
  <si>
    <t>151 West Street</t>
  </si>
  <si>
    <t>10.12.18</t>
  </si>
  <si>
    <t>SUP01404</t>
  </si>
  <si>
    <t>jenniferharrison@btinternet.com</t>
  </si>
  <si>
    <t>(0121) 1008 1985</t>
  </si>
  <si>
    <t>1938-04-14</t>
  </si>
  <si>
    <t>11 High Street</t>
  </si>
  <si>
    <t>07-Apr-2022</t>
  </si>
  <si>
    <t>SUP01405</t>
  </si>
  <si>
    <t>ryan-young@btinternet.com</t>
  </si>
  <si>
    <t>0151 725 9270</t>
  </si>
  <si>
    <t>25-Nov-1994</t>
  </si>
  <si>
    <t>179 Mill Lane</t>
  </si>
  <si>
    <t>2020-12-06</t>
  </si>
  <si>
    <t>SUP01406</t>
  </si>
  <si>
    <t>brian.harris@icloud.com</t>
  </si>
  <si>
    <t>07109 788 277</t>
  </si>
  <si>
    <t>18.01.04</t>
  </si>
  <si>
    <t>166 Willow Road</t>
  </si>
  <si>
    <t>28-May-2022</t>
  </si>
  <si>
    <t>SUP01407</t>
  </si>
  <si>
    <t>owenmorgan@hotmail.com</t>
  </si>
  <si>
    <t>(0101) 3044 8580</t>
  </si>
  <si>
    <t>07/22/1957</t>
  </si>
  <si>
    <t>154 Albert Road</t>
  </si>
  <si>
    <t>06/26/2020</t>
  </si>
  <si>
    <t>SUP01408</t>
  </si>
  <si>
    <t>craig.turner@btinternet.com</t>
  </si>
  <si>
    <t>020 314 1116</t>
  </si>
  <si>
    <t>09/22/1976</t>
  </si>
  <si>
    <t>127 Albert Road</t>
  </si>
  <si>
    <t>10.02.21</t>
  </si>
  <si>
    <t>SUP01409</t>
  </si>
  <si>
    <t>kevin-mitchell@yahoo.co.uk</t>
  </si>
  <si>
    <t>07365683976</t>
  </si>
  <si>
    <t>1956-04-04</t>
  </si>
  <si>
    <t>17 School Lane</t>
  </si>
  <si>
    <t>05 April 2018</t>
  </si>
  <si>
    <t>SUP01410</t>
  </si>
  <si>
    <t>josephcarter@btinternet.com</t>
  </si>
  <si>
    <t>07796 630 577</t>
  </si>
  <si>
    <t>21/02/1956</t>
  </si>
  <si>
    <t>83 George Street</t>
  </si>
  <si>
    <t>2020-07-08</t>
  </si>
  <si>
    <t>SUP01411</t>
  </si>
  <si>
    <t>oliverwalker@yahoo.co.uk</t>
  </si>
  <si>
    <t>07301268437</t>
  </si>
  <si>
    <t>28-Mar-1974</t>
  </si>
  <si>
    <t>189 Green Lane</t>
  </si>
  <si>
    <t>05/20/2023</t>
  </si>
  <si>
    <t>SUP01412</t>
  </si>
  <si>
    <t>thomas-edwards@yahoo.co.uk</t>
  </si>
  <si>
    <t>+44 7734 549 882</t>
  </si>
  <si>
    <t>86 Springfield Road</t>
  </si>
  <si>
    <t>27-May-2019</t>
  </si>
  <si>
    <t>SUP01413</t>
  </si>
  <si>
    <t>sophiebaker@yahoo.co.uk</t>
  </si>
  <si>
    <t>07793 157 672</t>
  </si>
  <si>
    <t>29.05.89</t>
  </si>
  <si>
    <t>78 North Street</t>
  </si>
  <si>
    <t>28-Jan-2019</t>
  </si>
  <si>
    <t>SUP01414</t>
  </si>
  <si>
    <t>MARY</t>
  </si>
  <si>
    <t>HUGHES</t>
  </si>
  <si>
    <t>mary_hughes@gmail.com</t>
  </si>
  <si>
    <t>01onal 436 4153</t>
  </si>
  <si>
    <t>10/06/1971</t>
  </si>
  <si>
    <t>159 Mill Lane</t>
  </si>
  <si>
    <t>04.10.18</t>
  </si>
  <si>
    <t>SUP01415</t>
  </si>
  <si>
    <t>lisa-clarke@gmail.com</t>
  </si>
  <si>
    <t>07230 419 698</t>
  </si>
  <si>
    <t>05/03/1965</t>
  </si>
  <si>
    <t>48 Green Lane</t>
  </si>
  <si>
    <t>26 January 2024</t>
  </si>
  <si>
    <t>SUP01416</t>
  </si>
  <si>
    <t>alexander.smith@aol.com</t>
  </si>
  <si>
    <t>07300305755</t>
  </si>
  <si>
    <t>1963-02-15</t>
  </si>
  <si>
    <t>15/02/2020</t>
  </si>
  <si>
    <t>SUP01417</t>
  </si>
  <si>
    <t>Nicola</t>
  </si>
  <si>
    <t>nicola.ward@icloud.com</t>
  </si>
  <si>
    <t>07103754328</t>
  </si>
  <si>
    <t>1976-07-29</t>
  </si>
  <si>
    <t>27 New Road</t>
  </si>
  <si>
    <t>23 May 2020</t>
  </si>
  <si>
    <t>SUP01418</t>
  </si>
  <si>
    <t>susan_martin@gmail.com</t>
  </si>
  <si>
    <t>+44 7217 245 397</t>
  </si>
  <si>
    <t>08 January 1985</t>
  </si>
  <si>
    <t>3 Station Road</t>
  </si>
  <si>
    <t>02.05.18</t>
  </si>
  <si>
    <t>SUP01419</t>
  </si>
  <si>
    <t>karen-harris@btinternet.com</t>
  </si>
  <si>
    <t>07121 951 793</t>
  </si>
  <si>
    <t>51 High Street</t>
  </si>
  <si>
    <t>11/05/2020</t>
  </si>
  <si>
    <t>SUP01420</t>
  </si>
  <si>
    <t>andrew.clark@hotmail.com</t>
  </si>
  <si>
    <t>07913294296</t>
  </si>
  <si>
    <t>11.03.34</t>
  </si>
  <si>
    <t>183 Station Road</t>
  </si>
  <si>
    <t>21-Sep-2024</t>
  </si>
  <si>
    <t>SUP01421</t>
  </si>
  <si>
    <t>ryan_jackson@hotmail.com</t>
  </si>
  <si>
    <t>+44 7698 600 314</t>
  </si>
  <si>
    <t>06-Aug-1951</t>
  </si>
  <si>
    <t>14 South Street</t>
  </si>
  <si>
    <t>23 November 2024</t>
  </si>
  <si>
    <t>SUP01422</t>
  </si>
  <si>
    <t>olivia_king@icloud.com</t>
  </si>
  <si>
    <t>(0163) 8762 5396</t>
  </si>
  <si>
    <t>24.05.64</t>
  </si>
  <si>
    <t>83 Bridge Road</t>
  </si>
  <si>
    <t>18 June 2020</t>
  </si>
  <si>
    <t>SUP01423</t>
  </si>
  <si>
    <t>benjamin-young@yahoo.co.uk</t>
  </si>
  <si>
    <t>07555631460</t>
  </si>
  <si>
    <t>04 July 1987</t>
  </si>
  <si>
    <t>141 Station Road</t>
  </si>
  <si>
    <t>2023-09-30</t>
  </si>
  <si>
    <t>SUP01424</t>
  </si>
  <si>
    <t>alexandercollins@outlook.com</t>
  </si>
  <si>
    <t>07760177467</t>
  </si>
  <si>
    <t>7 Victoria Road</t>
  </si>
  <si>
    <t>06/02/2021</t>
  </si>
  <si>
    <t>SUP01425</t>
  </si>
  <si>
    <t>(0177) 3258 9898</t>
  </si>
  <si>
    <t>28.07.83</t>
  </si>
  <si>
    <t>78 Hill Road</t>
  </si>
  <si>
    <t>2021-11-20</t>
  </si>
  <si>
    <t>SUP01426</t>
  </si>
  <si>
    <t>emilyhenderson@icloud.com</t>
  </si>
  <si>
    <t>07910187420</t>
  </si>
  <si>
    <t>21.09.70</t>
  </si>
  <si>
    <t>122 Green Lane</t>
  </si>
  <si>
    <t>2022-09-07</t>
  </si>
  <si>
    <t>SUP01427</t>
  </si>
  <si>
    <t>07529535802</t>
  </si>
  <si>
    <t>1990-01-06</t>
  </si>
  <si>
    <t>169 Elm Close</t>
  </si>
  <si>
    <t>2024-08-01</t>
  </si>
  <si>
    <t>SUP01428</t>
  </si>
  <si>
    <t>nicolayoung@aol.com</t>
  </si>
  <si>
    <t>07500165647</t>
  </si>
  <si>
    <t>16/03/1958</t>
  </si>
  <si>
    <t>147 Birch Avenue</t>
  </si>
  <si>
    <t>08.09.21</t>
  </si>
  <si>
    <t>SUP01429</t>
  </si>
  <si>
    <t>ethan-scott@outlook.com</t>
  </si>
  <si>
    <t>07495 390 310</t>
  </si>
  <si>
    <t>24.01.85</t>
  </si>
  <si>
    <t>126 High Street</t>
  </si>
  <si>
    <t>24.08.18</t>
  </si>
  <si>
    <t>SUP01430</t>
  </si>
  <si>
    <t>samanthamartin@yahoo.co.uk</t>
  </si>
  <si>
    <t>0151 233 4369</t>
  </si>
  <si>
    <t>16/11/1987</t>
  </si>
  <si>
    <t>138 George Street</t>
  </si>
  <si>
    <t>2024-10-08</t>
  </si>
  <si>
    <t>SUP01431</t>
  </si>
  <si>
    <t>juliewatson@outlook.com</t>
  </si>
  <si>
    <t>+44 7436 682 602</t>
  </si>
  <si>
    <t>03.02.26</t>
  </si>
  <si>
    <t>17 Elm Close</t>
  </si>
  <si>
    <t>09.01.19</t>
  </si>
  <si>
    <t>SUP01432</t>
  </si>
  <si>
    <t>karen-clarke@yahoo.co.uk</t>
  </si>
  <si>
    <t>0121 345 3587</t>
  </si>
  <si>
    <t>03/03/1979</t>
  </si>
  <si>
    <t>118 Queen Street</t>
  </si>
  <si>
    <t>06/08/2020</t>
  </si>
  <si>
    <t>SUP01433</t>
  </si>
  <si>
    <t>thomas_moore@outlook.com</t>
  </si>
  <si>
    <t>+44 7145 573 127</t>
  </si>
  <si>
    <t>06.08.52</t>
  </si>
  <si>
    <t>116 Victoria Road</t>
  </si>
  <si>
    <t>08.11.21</t>
  </si>
  <si>
    <t>SUP01434</t>
  </si>
  <si>
    <t>daniel.green@outlook.com</t>
  </si>
  <si>
    <t>(0156) 3297 8713</t>
  </si>
  <si>
    <t>26/05/1957</t>
  </si>
  <si>
    <t>119 Station Road</t>
  </si>
  <si>
    <t>03/15/2018</t>
  </si>
  <si>
    <t>SUP01435</t>
  </si>
  <si>
    <t>amanda_johnson@hotmail.com</t>
  </si>
  <si>
    <t>07831135791</t>
  </si>
  <si>
    <t>01/04/1995</t>
  </si>
  <si>
    <t>40 New Road</t>
  </si>
  <si>
    <t>07/15/2018</t>
  </si>
  <si>
    <t>SUP01436</t>
  </si>
  <si>
    <t>james-taylor@outlook.com</t>
  </si>
  <si>
    <t>07116 531 128</t>
  </si>
  <si>
    <t>08.10.52</t>
  </si>
  <si>
    <t>96 Willow Road</t>
  </si>
  <si>
    <t>2018-09-16</t>
  </si>
  <si>
    <t>SUP01437</t>
  </si>
  <si>
    <t>harry-moore@outlook.com</t>
  </si>
  <si>
    <t>+44 7504 538 223</t>
  </si>
  <si>
    <t>1991-07-27</t>
  </si>
  <si>
    <t>17/08/2021</t>
  </si>
  <si>
    <t>SUP01438</t>
  </si>
  <si>
    <t>henry.wood@outlook.com</t>
  </si>
  <si>
    <t>0161 885 9185</t>
  </si>
  <si>
    <t>20-Aug-1995</t>
  </si>
  <si>
    <t>95 Church Road</t>
  </si>
  <si>
    <t>24-Jan-2019</t>
  </si>
  <si>
    <t>SUP01439</t>
  </si>
  <si>
    <t>lucy.harris@sky.com</t>
  </si>
  <si>
    <t>07723 699 559</t>
  </si>
  <si>
    <t>1985-01-24</t>
  </si>
  <si>
    <t>2018-03-28</t>
  </si>
  <si>
    <t>SUP01440</t>
  </si>
  <si>
    <t>simon-ward@hotmail.com</t>
  </si>
  <si>
    <t>0151 757 1621</t>
  </si>
  <si>
    <t>1993-10-31</t>
  </si>
  <si>
    <t>128 Kings Road</t>
  </si>
  <si>
    <t>08 September 2021</t>
  </si>
  <si>
    <t>SUP01441</t>
  </si>
  <si>
    <t>samantha_carter@outlook.com</t>
  </si>
  <si>
    <t>07652155780</t>
  </si>
  <si>
    <t>08 January 1951</t>
  </si>
  <si>
    <t>188 The Crescent</t>
  </si>
  <si>
    <t>10/08/2021</t>
  </si>
  <si>
    <t>SUP01442</t>
  </si>
  <si>
    <t>sophie-walker@outlook.com</t>
  </si>
  <si>
    <t>07619180536</t>
  </si>
  <si>
    <t>28.10.97</t>
  </si>
  <si>
    <t>33 Station Road</t>
  </si>
  <si>
    <t>2020-03-20</t>
  </si>
  <si>
    <t>SUP01443</t>
  </si>
  <si>
    <t>kevin_morgan@aol.com</t>
  </si>
  <si>
    <t>0141 582 8231</t>
  </si>
  <si>
    <t>13.10.35</t>
  </si>
  <si>
    <t>124 Station Road</t>
  </si>
  <si>
    <t>01-Oct-2019</t>
  </si>
  <si>
    <t>SUP01444</t>
  </si>
  <si>
    <t>patrickhall@btinternet.com</t>
  </si>
  <si>
    <t>0161 484 8878</t>
  </si>
  <si>
    <t>09/04/1962</t>
  </si>
  <si>
    <t>66 Queen Street</t>
  </si>
  <si>
    <t>07-Apr-2023</t>
  </si>
  <si>
    <t>SUP01445</t>
  </si>
  <si>
    <t>michellehill@icloud.com</t>
  </si>
  <si>
    <t>07756702172</t>
  </si>
  <si>
    <t>17 June 1970</t>
  </si>
  <si>
    <t>191 Albert Road</t>
  </si>
  <si>
    <t>05 May 2024</t>
  </si>
  <si>
    <t>SUP01446</t>
  </si>
  <si>
    <t>lisamoore@aol.com</t>
  </si>
  <si>
    <t>(0131) 4970 8827</t>
  </si>
  <si>
    <t>28.02.55</t>
  </si>
  <si>
    <t>179 Church Road</t>
  </si>
  <si>
    <t>29/08/2019</t>
  </si>
  <si>
    <t>SUP01447</t>
  </si>
  <si>
    <t>garyphillips@aol.com</t>
  </si>
  <si>
    <t>(0175) 2316 9495</t>
  </si>
  <si>
    <t>14 January 1950</t>
  </si>
  <si>
    <t>198 Station Road</t>
  </si>
  <si>
    <t>10/15/2022</t>
  </si>
  <si>
    <t>SUP01448</t>
  </si>
  <si>
    <t>grace_wright@hotmail.com</t>
  </si>
  <si>
    <t>07866314866</t>
  </si>
  <si>
    <t>05-Dec-1954</t>
  </si>
  <si>
    <t>163 School Lane</t>
  </si>
  <si>
    <t>2023-07-08</t>
  </si>
  <si>
    <t>SUP01449</t>
  </si>
  <si>
    <t>0141 614 2806</t>
  </si>
  <si>
    <t>17 October 1968</t>
  </si>
  <si>
    <t>48 Bridge Road</t>
  </si>
  <si>
    <t>04/03/2020</t>
  </si>
  <si>
    <t>SUP01450</t>
  </si>
  <si>
    <t>liam.hamilton@aol.com</t>
  </si>
  <si>
    <t>07383 165 450</t>
  </si>
  <si>
    <t>02/27/1959</t>
  </si>
  <si>
    <t>21 Kings Road</t>
  </si>
  <si>
    <t>11/06/2023</t>
  </si>
  <si>
    <t>SUP01451</t>
  </si>
  <si>
    <t>amelia.morris@aol.com</t>
  </si>
  <si>
    <t>+44 7632 879 372</t>
  </si>
  <si>
    <t>30/12/1951</t>
  </si>
  <si>
    <t>26/10/2022</t>
  </si>
  <si>
    <t>SUP01452</t>
  </si>
  <si>
    <t>07567 991 815</t>
  </si>
  <si>
    <t>09/03/1970</t>
  </si>
  <si>
    <t>92 Birch Avenue</t>
  </si>
  <si>
    <t>19 May 2019</t>
  </si>
  <si>
    <t>SUP01453</t>
  </si>
  <si>
    <t>freya.phillips@sky.com</t>
  </si>
  <si>
    <t>07748 468 994</t>
  </si>
  <si>
    <t>03 May 1946</t>
  </si>
  <si>
    <t>170 London Road</t>
  </si>
  <si>
    <t>21/10/2024</t>
  </si>
  <si>
    <t>SUP01454</t>
  </si>
  <si>
    <t>joseph_o'brien@outlook.com</t>
  </si>
  <si>
    <t>(0118) 9520 9267</t>
  </si>
  <si>
    <t>24 May 1940</t>
  </si>
  <si>
    <t>188 Queen Street</t>
  </si>
  <si>
    <t>23/12/2018</t>
  </si>
  <si>
    <t>SUP01455</t>
  </si>
  <si>
    <t>fiona.phillips@yahoo.co.uk</t>
  </si>
  <si>
    <t>0121 264 6349</t>
  </si>
  <si>
    <t>15/09/1962</t>
  </si>
  <si>
    <t>44 Meadow Way</t>
  </si>
  <si>
    <t>11/21/2020</t>
  </si>
  <si>
    <t>SUP01456</t>
  </si>
  <si>
    <t>jane.davies@sky.com</t>
  </si>
  <si>
    <t>0181 769 8159</t>
  </si>
  <si>
    <t>1951-08-03</t>
  </si>
  <si>
    <t>148 Meadow Way</t>
  </si>
  <si>
    <t>19 April 2019</t>
  </si>
  <si>
    <t>SUP01457</t>
  </si>
  <si>
    <t>margaret_kelly@aol.com</t>
  </si>
  <si>
    <t>+44 7854 101 418</t>
  </si>
  <si>
    <t>04 April 1940</t>
  </si>
  <si>
    <t>33 Birch Avenue</t>
  </si>
  <si>
    <t>SUP01458</t>
  </si>
  <si>
    <t>oliver_smith@outlook.com</t>
  </si>
  <si>
    <t>01onal 566 3415</t>
  </si>
  <si>
    <t>27/05/1962</t>
  </si>
  <si>
    <t>38 Elm Close</t>
  </si>
  <si>
    <t>21/05/2018</t>
  </si>
  <si>
    <t>SUP01459</t>
  </si>
  <si>
    <t>kevinedwards@gmail.com</t>
  </si>
  <si>
    <t>07256947833</t>
  </si>
  <si>
    <t>30 September 1958</t>
  </si>
  <si>
    <t>75 Bridge Road</t>
  </si>
  <si>
    <t>SUP01460</t>
  </si>
  <si>
    <t>ameliahamilton@icloud.com</t>
  </si>
  <si>
    <t>07875500500</t>
  </si>
  <si>
    <t>09-Jan-1949</t>
  </si>
  <si>
    <t>101 The Crescent</t>
  </si>
  <si>
    <t>10/03/2020</t>
  </si>
  <si>
    <t>SUP01461</t>
  </si>
  <si>
    <t>grace-henderson@hotmail.com</t>
  </si>
  <si>
    <t>0191 398 3372</t>
  </si>
  <si>
    <t>22-Jan-1951</t>
  </si>
  <si>
    <t>118 South Street</t>
  </si>
  <si>
    <t>07.02.18</t>
  </si>
  <si>
    <t>SUP01462</t>
  </si>
  <si>
    <t>donna-mitchell@gmail.com</t>
  </si>
  <si>
    <t>07627 765 446</t>
  </si>
  <si>
    <t>23 December 1949</t>
  </si>
  <si>
    <t>07/13/2022</t>
  </si>
  <si>
    <t>SUP01463</t>
  </si>
  <si>
    <t>lilylewis@btinternet.com</t>
  </si>
  <si>
    <t>(0183) 8292 7018</t>
  </si>
  <si>
    <t>10/07/1957</t>
  </si>
  <si>
    <t>200 New Road</t>
  </si>
  <si>
    <t>15 May 2019</t>
  </si>
  <si>
    <t>SUP01464</t>
  </si>
  <si>
    <t>katieedwards@aol.com</t>
  </si>
  <si>
    <t>07685228201</t>
  </si>
  <si>
    <t>26 November 1977</t>
  </si>
  <si>
    <t>47 Queen Street</t>
  </si>
  <si>
    <t>22.03.18</t>
  </si>
  <si>
    <t>SUP01465</t>
  </si>
  <si>
    <t>gary-harrison@yahoo.co.uk</t>
  </si>
  <si>
    <t>07982713811</t>
  </si>
  <si>
    <t>20/02/1955</t>
  </si>
  <si>
    <t>11 July 2021</t>
  </si>
  <si>
    <t>SUP01466</t>
  </si>
  <si>
    <t>charlotte_scott@sky.com</t>
  </si>
  <si>
    <t>+44 7275 533 773</t>
  </si>
  <si>
    <t>1978-12-27</t>
  </si>
  <si>
    <t>32 Springfield Road</t>
  </si>
  <si>
    <t>10/29/2023</t>
  </si>
  <si>
    <t>SUP01467</t>
  </si>
  <si>
    <t>rebecca-clark@yahoo.co.uk</t>
  </si>
  <si>
    <t>(0105) 4884 1601</t>
  </si>
  <si>
    <t>07/26/1942</t>
  </si>
  <si>
    <t>138 Springfield Road</t>
  </si>
  <si>
    <t>31-May-2020</t>
  </si>
  <si>
    <t>SUP01468</t>
  </si>
  <si>
    <t>danielanderson@hotmail.com</t>
  </si>
  <si>
    <t>0191 185 5164</t>
  </si>
  <si>
    <t>11 December 1959</t>
  </si>
  <si>
    <t>66 Manor Road</t>
  </si>
  <si>
    <t>14/04/2020</t>
  </si>
  <si>
    <t>SUP01469</t>
  </si>
  <si>
    <t>owen-carter@sky.com</t>
  </si>
  <si>
    <t>0181 126 5055</t>
  </si>
  <si>
    <t>17.03.50</t>
  </si>
  <si>
    <t>108 Elm Close</t>
  </si>
  <si>
    <t>27 March 2019</t>
  </si>
  <si>
    <t>SUP01470</t>
  </si>
  <si>
    <t>georgestewart@outlook.com</t>
  </si>
  <si>
    <t>0131 901 3023</t>
  </si>
  <si>
    <t>09/20/1977</t>
  </si>
  <si>
    <t>3 Mill Lane</t>
  </si>
  <si>
    <t>06/29/2023</t>
  </si>
  <si>
    <t>SUP01471</t>
  </si>
  <si>
    <t>07925859794</t>
  </si>
  <si>
    <t>12/16/1992</t>
  </si>
  <si>
    <t>82 Meadow Way</t>
  </si>
  <si>
    <t>2024-08-23</t>
  </si>
  <si>
    <t>SUP01472</t>
  </si>
  <si>
    <t>daniel_roberts@outlook.com</t>
  </si>
  <si>
    <t>(0177) 7852 8500</t>
  </si>
  <si>
    <t>01/09/1971</t>
  </si>
  <si>
    <t>186 South Street</t>
  </si>
  <si>
    <t>04.04.23</t>
  </si>
  <si>
    <t>SUP01473</t>
  </si>
  <si>
    <t>patricia_wright@yahoo.co.uk</t>
  </si>
  <si>
    <t>(0110) 2256 4932</t>
  </si>
  <si>
    <t>1958-12-05</t>
  </si>
  <si>
    <t>105 Meadow Way</t>
  </si>
  <si>
    <t>16.03.21</t>
  </si>
  <si>
    <t>SUP01474</t>
  </si>
  <si>
    <t>lucyedwards@gmail.com</t>
  </si>
  <si>
    <t>+44 7294 951 863</t>
  </si>
  <si>
    <t>01 February 1964</t>
  </si>
  <si>
    <t>04.12.23</t>
  </si>
  <si>
    <t>SUP01475</t>
  </si>
  <si>
    <t>chloe_ross@gmail.com</t>
  </si>
  <si>
    <t>0191 488 3793</t>
  </si>
  <si>
    <t>05.12.81</t>
  </si>
  <si>
    <t>35 Springfield Road</t>
  </si>
  <si>
    <t>20-Oct-2020</t>
  </si>
  <si>
    <t>SUP01476</t>
  </si>
  <si>
    <t>stephen_smith@gmail.com</t>
  </si>
  <si>
    <t>020 968 8999</t>
  </si>
  <si>
    <t>04/03/1954</t>
  </si>
  <si>
    <t>56 Willow Road</t>
  </si>
  <si>
    <t>01-Mar-2023</t>
  </si>
  <si>
    <t>SUP01477</t>
  </si>
  <si>
    <t>martin</t>
  </si>
  <si>
    <t>0131 599 1113</t>
  </si>
  <si>
    <t>24.11.73</t>
  </si>
  <si>
    <t>126 London Road</t>
  </si>
  <si>
    <t>12/04/2023</t>
  </si>
  <si>
    <t>SUP01478</t>
  </si>
  <si>
    <t>amy_collins@aol.com</t>
  </si>
  <si>
    <t>07467 991 826</t>
  </si>
  <si>
    <t>1978-06-03</t>
  </si>
  <si>
    <t>42 Park Avenue</t>
  </si>
  <si>
    <t>2018-06-14</t>
  </si>
  <si>
    <t>SUP01479</t>
  </si>
  <si>
    <t>markedwards@hotmail.com</t>
  </si>
  <si>
    <t>07869882899</t>
  </si>
  <si>
    <t>09/09/1937</t>
  </si>
  <si>
    <t>108 Main Street</t>
  </si>
  <si>
    <t>26.03.19</t>
  </si>
  <si>
    <t>SUP01480</t>
  </si>
  <si>
    <t>freya.thompson@aol.com</t>
  </si>
  <si>
    <t>0161 388 8961</t>
  </si>
  <si>
    <t>17.07.97</t>
  </si>
  <si>
    <t>153 Hill Road</t>
  </si>
  <si>
    <t>17/09/2019</t>
  </si>
  <si>
    <t>SUP01481</t>
  </si>
  <si>
    <t>peter.patel@hotmail.com</t>
  </si>
  <si>
    <t>07975705744</t>
  </si>
  <si>
    <t>06/08/1979</t>
  </si>
  <si>
    <t>122 Bridge Road</t>
  </si>
  <si>
    <t>26-Jun-2019</t>
  </si>
  <si>
    <t>SUP01482</t>
  </si>
  <si>
    <t>craig_walker@outlook.com</t>
  </si>
  <si>
    <t>07444536590</t>
  </si>
  <si>
    <t>14-Dec-1992</t>
  </si>
  <si>
    <t>105 Springfield Road</t>
  </si>
  <si>
    <t>31/07/2018</t>
  </si>
  <si>
    <t>SUP01483</t>
  </si>
  <si>
    <t>samantha.thompson@sky.com</t>
  </si>
  <si>
    <t>07392583386</t>
  </si>
  <si>
    <t>21.12.75</t>
  </si>
  <si>
    <t>30-Oct-2020</t>
  </si>
  <si>
    <t>SUP01484</t>
  </si>
  <si>
    <t>james_mitchell@sky.com</t>
  </si>
  <si>
    <t>07765382315</t>
  </si>
  <si>
    <t>12-Nov-1962</t>
  </si>
  <si>
    <t>93 Hill Road</t>
  </si>
  <si>
    <t>19/06/2019</t>
  </si>
  <si>
    <t>SUP01485</t>
  </si>
  <si>
    <t>margaret_campbell@btinternet.com</t>
  </si>
  <si>
    <t>(0160) 4309 9741</t>
  </si>
  <si>
    <t>27/11/1967</t>
  </si>
  <si>
    <t>140 North Street</t>
  </si>
  <si>
    <t>25.02.20</t>
  </si>
  <si>
    <t>SUP01486</t>
  </si>
  <si>
    <t>+44 7615 909 122</t>
  </si>
  <si>
    <t>06/06/1944</t>
  </si>
  <si>
    <t>112 Station Road</t>
  </si>
  <si>
    <t>06/07/2018</t>
  </si>
  <si>
    <t>SUP01487</t>
  </si>
  <si>
    <t>janemitchell@aol.com</t>
  </si>
  <si>
    <t>020 378 4390</t>
  </si>
  <si>
    <t>30 April 1963</t>
  </si>
  <si>
    <t>43 New Road</t>
  </si>
  <si>
    <t>06/11/2020</t>
  </si>
  <si>
    <t>SUP01488</t>
  </si>
  <si>
    <t>chloe.white@hotmail.com</t>
  </si>
  <si>
    <t>07146646343</t>
  </si>
  <si>
    <t>1976-09-23</t>
  </si>
  <si>
    <t>182 Manor Road</t>
  </si>
  <si>
    <t>29-Jun-2019</t>
  </si>
  <si>
    <t>SUP01489</t>
  </si>
  <si>
    <t>william.smith@btinternet.com</t>
  </si>
  <si>
    <t>(0117) 7690 5831</t>
  </si>
  <si>
    <t>03/01/1958</t>
  </si>
  <si>
    <t>95 The Crescent</t>
  </si>
  <si>
    <t>27 December 2021</t>
  </si>
  <si>
    <t>SUP01490</t>
  </si>
  <si>
    <t>grace-evans@icloud.com</t>
  </si>
  <si>
    <t>07432375308</t>
  </si>
  <si>
    <t>02/01/1954</t>
  </si>
  <si>
    <t>168 Manor Road</t>
  </si>
  <si>
    <t>07/08/2020</t>
  </si>
  <si>
    <t>SUP01491</t>
  </si>
  <si>
    <t>julie-lewis@btinternet.com</t>
  </si>
  <si>
    <t>07417 266 281</t>
  </si>
  <si>
    <t>10/22/1950</t>
  </si>
  <si>
    <t>146 Main Street</t>
  </si>
  <si>
    <t>11 August 2019</t>
  </si>
  <si>
    <t>SUP01492</t>
  </si>
  <si>
    <t>hannahanderson@gmail.com</t>
  </si>
  <si>
    <t>07946 113 881</t>
  </si>
  <si>
    <t>11.01.64</t>
  </si>
  <si>
    <t>26 Queen Street</t>
  </si>
  <si>
    <t>12/09/2018</t>
  </si>
  <si>
    <t>SUP01493</t>
  </si>
  <si>
    <t>marybaker@icloud.com</t>
  </si>
  <si>
    <t>07414439590</t>
  </si>
  <si>
    <t>21.07.91</t>
  </si>
  <si>
    <t>52 Park Avenue</t>
  </si>
  <si>
    <t>2020-12-31</t>
  </si>
  <si>
    <t>SUP01494</t>
  </si>
  <si>
    <t>moore</t>
  </si>
  <si>
    <t>hannah-moore@gmail.com</t>
  </si>
  <si>
    <t>07537494250</t>
  </si>
  <si>
    <t>23-Jun-1945</t>
  </si>
  <si>
    <t>1 Willow Road</t>
  </si>
  <si>
    <t>25-Apr-2022</t>
  </si>
  <si>
    <t>SUP01495</t>
  </si>
  <si>
    <t>jonathan.cooper@gmail.com</t>
  </si>
  <si>
    <t>+44 7254 282 538</t>
  </si>
  <si>
    <t>23.07.94</t>
  </si>
  <si>
    <t>93 Willow Road</t>
  </si>
  <si>
    <t>08/10/2022</t>
  </si>
  <si>
    <t>SUP01496</t>
  </si>
  <si>
    <t>catherine.hamilton@gmail.com</t>
  </si>
  <si>
    <t>07896771250</t>
  </si>
  <si>
    <t>1964-07-12</t>
  </si>
  <si>
    <t>183 Oak Drive</t>
  </si>
  <si>
    <t>14-May-2023</t>
  </si>
  <si>
    <t>SUP01497</t>
  </si>
  <si>
    <t>Richard</t>
  </si>
  <si>
    <t>richardgreen@aol.com</t>
  </si>
  <si>
    <t>0181 716 6463</t>
  </si>
  <si>
    <t>1930-10-24</t>
  </si>
  <si>
    <t>91 The Crescent</t>
  </si>
  <si>
    <t>09/11/2022</t>
  </si>
  <si>
    <t>SUP01498</t>
  </si>
  <si>
    <t>patricia-lee@yahoo.co.uk</t>
  </si>
  <si>
    <t>07470102308</t>
  </si>
  <si>
    <t>08.06.93</t>
  </si>
  <si>
    <t>2023-04-26</t>
  </si>
  <si>
    <t>SUP01499</t>
  </si>
  <si>
    <t>lucy-jackson@gmail.com</t>
  </si>
  <si>
    <t>(0117) 2920 3344</t>
  </si>
  <si>
    <t>04/09/1966</t>
  </si>
  <si>
    <t>63 London Road</t>
  </si>
  <si>
    <t>08/10/2018</t>
  </si>
  <si>
    <t>SUP01500</t>
  </si>
  <si>
    <t>elizabeth.jones@aol.com</t>
  </si>
  <si>
    <t>07883286581</t>
  </si>
  <si>
    <t>30 October 1988</t>
  </si>
  <si>
    <t>63 Station Road</t>
  </si>
  <si>
    <t>13/08/2022</t>
  </si>
  <si>
    <t>SUP00610</t>
  </si>
  <si>
    <t>Jos</t>
  </si>
  <si>
    <t>12/31/2021</t>
  </si>
  <si>
    <t>SUP00645</t>
  </si>
  <si>
    <t>1930-05-20</t>
  </si>
  <si>
    <t>06.10.21</t>
  </si>
  <si>
    <t>SUP00678</t>
  </si>
  <si>
    <t>17-Mar-1940</t>
  </si>
  <si>
    <t>10 December 2023</t>
  </si>
  <si>
    <t>SUP00720</t>
  </si>
  <si>
    <t>oliver.hughes+dup@gmail.com</t>
  </si>
  <si>
    <t>28.10.22</t>
  </si>
  <si>
    <t>SUP00800</t>
  </si>
  <si>
    <t>Kar</t>
  </si>
  <si>
    <t>17/04/2023</t>
  </si>
  <si>
    <t>SUP00850</t>
  </si>
  <si>
    <t>michelle_stewart+dup@gmail.com</t>
  </si>
  <si>
    <t>21 October 1993</t>
  </si>
  <si>
    <t>17-Mar-2020</t>
  </si>
  <si>
    <t>SUP00910</t>
  </si>
  <si>
    <t>Ama</t>
  </si>
  <si>
    <t>amanda_taylor+dup@yahoo.co.uk</t>
  </si>
  <si>
    <t>21/02/1958</t>
  </si>
  <si>
    <t>17-Dec-2024</t>
  </si>
  <si>
    <t>SUP01000</t>
  </si>
  <si>
    <t>1986-10-30</t>
  </si>
  <si>
    <t>2021-03-17</t>
  </si>
  <si>
    <t>Response_ID</t>
  </si>
  <si>
    <t>Campaign_Name</t>
  </si>
  <si>
    <t>Campaign_Code</t>
  </si>
  <si>
    <t>Channel</t>
  </si>
  <si>
    <t>Response_Date</t>
  </si>
  <si>
    <t>Gift_Amount</t>
  </si>
  <si>
    <t>Gift_Aid_Eligible</t>
  </si>
  <si>
    <t>Payment_Method</t>
  </si>
  <si>
    <t>RSP003456</t>
  </si>
  <si>
    <t>Monthly Giving Drive Q1</t>
  </si>
  <si>
    <t>MGD-Q1</t>
  </si>
  <si>
    <t>Digital</t>
  </si>
  <si>
    <t>06-Feb-2025</t>
  </si>
  <si>
    <t>PayPal</t>
  </si>
  <si>
    <t>RSP003846</t>
  </si>
  <si>
    <t>Annual Report Mailing</t>
  </si>
  <si>
    <t>ARM2024</t>
  </si>
  <si>
    <t>15.06.24</t>
  </si>
  <si>
    <t>Standing Order</t>
  </si>
  <si>
    <t>RSP003071</t>
  </si>
  <si>
    <t>Winter Appeal 2024</t>
  </si>
  <si>
    <t>WA2024</t>
  </si>
  <si>
    <t>09.11.24</t>
  </si>
  <si>
    <t>Online</t>
  </si>
  <si>
    <t>RSP003109</t>
  </si>
  <si>
    <t>11.12.24</t>
  </si>
  <si>
    <t>Cash</t>
  </si>
  <si>
    <t>RSP003114</t>
  </si>
  <si>
    <t>27-Dec-2024</t>
  </si>
  <si>
    <t>Credit Card</t>
  </si>
  <si>
    <t>RSP003319</t>
  </si>
  <si>
    <t>Emergency Appeal - Flood Relief</t>
  </si>
  <si>
    <t>EA2024</t>
  </si>
  <si>
    <t>SMS</t>
  </si>
  <si>
    <t>06.10.24</t>
  </si>
  <si>
    <t>RSP003658</t>
  </si>
  <si>
    <t>Digital Acquisition Spring</t>
  </si>
  <si>
    <t>DAS2025</t>
  </si>
  <si>
    <t>03/16/2025</t>
  </si>
  <si>
    <t>RSP003116</t>
  </si>
  <si>
    <t>online</t>
  </si>
  <si>
    <t>26/12/2024</t>
  </si>
  <si>
    <t>RSP003467</t>
  </si>
  <si>
    <t>17.02.25</t>
  </si>
  <si>
    <t>RSP003497</t>
  </si>
  <si>
    <t>23 March 2025</t>
  </si>
  <si>
    <t>RSP003672</t>
  </si>
  <si>
    <t>25.02.25</t>
  </si>
  <si>
    <t>RSP003721</t>
  </si>
  <si>
    <t>Volunteer Thank You Dinner</t>
  </si>
  <si>
    <t>VTD2024</t>
  </si>
  <si>
    <t>2024-11-22</t>
  </si>
  <si>
    <t>RSP003857</t>
  </si>
  <si>
    <t>2024-06-18</t>
  </si>
  <si>
    <t>RSP003674</t>
  </si>
  <si>
    <t>09/04/2025</t>
  </si>
  <si>
    <t>RSP003577</t>
  </si>
  <si>
    <t>Legacy Awareness Week</t>
  </si>
  <si>
    <t>LAW2024</t>
  </si>
  <si>
    <t>12/10/2024</t>
  </si>
  <si>
    <t>Direct Debit</t>
  </si>
  <si>
    <t>RSP003120</t>
  </si>
  <si>
    <t>Spring Raffle 2025</t>
  </si>
  <si>
    <t>SR2025</t>
  </si>
  <si>
    <t>04/06/2025</t>
  </si>
  <si>
    <t>Cheque</t>
  </si>
  <si>
    <t>RSP003698</t>
  </si>
  <si>
    <t>29/04/2025</t>
  </si>
  <si>
    <t>RSP003622</t>
  </si>
  <si>
    <t>12/03/2025</t>
  </si>
  <si>
    <t>RSP003483</t>
  </si>
  <si>
    <t>04-Feb-2025</t>
  </si>
  <si>
    <t>RSP003579</t>
  </si>
  <si>
    <t>10/07/2024</t>
  </si>
  <si>
    <t>RSP003784</t>
  </si>
  <si>
    <t>16.06.24</t>
  </si>
  <si>
    <t>RSP003326</t>
  </si>
  <si>
    <t>13/10/2024</t>
  </si>
  <si>
    <t>RSP003118</t>
  </si>
  <si>
    <t>19.12.24</t>
  </si>
  <si>
    <t>Debit Card</t>
  </si>
  <si>
    <t>RSP003834</t>
  </si>
  <si>
    <t>24.06.24</t>
  </si>
  <si>
    <t>RSP003683</t>
  </si>
  <si>
    <t>25 February 2025</t>
  </si>
  <si>
    <t>RSP003033</t>
  </si>
  <si>
    <t>18/12/2024</t>
  </si>
  <si>
    <t>RSP003861</t>
  </si>
  <si>
    <t>06/14/2024</t>
  </si>
  <si>
    <t>RSP003904</t>
  </si>
  <si>
    <t>06 March 2025</t>
  </si>
  <si>
    <t>RSP003002</t>
  </si>
  <si>
    <t>10 December 2024</t>
  </si>
  <si>
    <t>RSP003607</t>
  </si>
  <si>
    <t>03/17/2025</t>
  </si>
  <si>
    <t>RSP003012</t>
  </si>
  <si>
    <t>30 November 2024</t>
  </si>
  <si>
    <t>RSP003409</t>
  </si>
  <si>
    <t>Christmas Gift Catalogue</t>
  </si>
  <si>
    <t>CGC2024</t>
  </si>
  <si>
    <t>2024-12-20</t>
  </si>
  <si>
    <t>RSP003147</t>
  </si>
  <si>
    <t>20.03.25</t>
  </si>
  <si>
    <t>RSP003089</t>
  </si>
  <si>
    <t>Winter Appael 2024</t>
  </si>
  <si>
    <t>04-Nov-2024</t>
  </si>
  <si>
    <t>RSP003680</t>
  </si>
  <si>
    <t>12-Feb-2025</t>
  </si>
  <si>
    <t>RSP003687</t>
  </si>
  <si>
    <t>2025-04-15</t>
  </si>
  <si>
    <t>RSP003049</t>
  </si>
  <si>
    <t>06.11.24</t>
  </si>
  <si>
    <t>RSP003733</t>
  </si>
  <si>
    <t>RSP003469</t>
  </si>
  <si>
    <t>09-Jan-2025</t>
  </si>
  <si>
    <t>RSP003375</t>
  </si>
  <si>
    <t>11 December 2024</t>
  </si>
  <si>
    <t>RSP003036</t>
  </si>
  <si>
    <t>2024-11-18</t>
  </si>
  <si>
    <t>RSP003756</t>
  </si>
  <si>
    <t>22.11.24</t>
  </si>
  <si>
    <t>RSP003229</t>
  </si>
  <si>
    <t>Summer Gala 2024</t>
  </si>
  <si>
    <t>SG2024</t>
  </si>
  <si>
    <t>15 July 2024</t>
  </si>
  <si>
    <t>RSP003540</t>
  </si>
  <si>
    <t>07/10/2024</t>
  </si>
  <si>
    <t>RSP003878</t>
  </si>
  <si>
    <t>01-Jun-2024</t>
  </si>
  <si>
    <t>RSP003016</t>
  </si>
  <si>
    <t>12/30/2024</t>
  </si>
  <si>
    <t>RSP003669</t>
  </si>
  <si>
    <t>2025-02-20</t>
  </si>
  <si>
    <t>RSP003532</t>
  </si>
  <si>
    <t>2025-03-09</t>
  </si>
  <si>
    <t>RSP003045</t>
  </si>
  <si>
    <t>01 December 2024</t>
  </si>
  <si>
    <t>RSP003304</t>
  </si>
  <si>
    <t>01/10/2024</t>
  </si>
  <si>
    <t>RSP003539</t>
  </si>
  <si>
    <t>2025-03-30</t>
  </si>
  <si>
    <t>RSP003306</t>
  </si>
  <si>
    <t>14 September 2024</t>
  </si>
  <si>
    <t>RSP003416</t>
  </si>
  <si>
    <t>17-Nov-2024</t>
  </si>
  <si>
    <t>RSP003047</t>
  </si>
  <si>
    <t>02.11.24</t>
  </si>
  <si>
    <t>RSP003864</t>
  </si>
  <si>
    <t>20 June 2024</t>
  </si>
  <si>
    <t>RSP003876</t>
  </si>
  <si>
    <t>06/23/2024</t>
  </si>
  <si>
    <t>RSP003206</t>
  </si>
  <si>
    <t>RSP003600</t>
  </si>
  <si>
    <t>email</t>
  </si>
  <si>
    <t>2025-04-27</t>
  </si>
  <si>
    <t>RSP003768</t>
  </si>
  <si>
    <t>RSP003889</t>
  </si>
  <si>
    <t>02.06.24</t>
  </si>
  <si>
    <t>RSP003199</t>
  </si>
  <si>
    <t>25 March 2025</t>
  </si>
  <si>
    <t>RSP003242</t>
  </si>
  <si>
    <t>RSP003801</t>
  </si>
  <si>
    <t>16 June 2024</t>
  </si>
  <si>
    <t>RSP003525</t>
  </si>
  <si>
    <t>18 March 2025</t>
  </si>
  <si>
    <t>RSP003249</t>
  </si>
  <si>
    <t>07/15/2024</t>
  </si>
  <si>
    <t>RSP003337</t>
  </si>
  <si>
    <t>19-Sep-2024</t>
  </si>
  <si>
    <t>RSP003266</t>
  </si>
  <si>
    <t>RSP003890</t>
  </si>
  <si>
    <t>2024-06-07</t>
  </si>
  <si>
    <t>RSP003289</t>
  </si>
  <si>
    <t>15/07/2024</t>
  </si>
  <si>
    <t>RSP003492</t>
  </si>
  <si>
    <t>DM</t>
  </si>
  <si>
    <t>2025-02-15</t>
  </si>
  <si>
    <t>RSP003342</t>
  </si>
  <si>
    <t>09-Oct-2024</t>
  </si>
  <si>
    <t>RSP003185</t>
  </si>
  <si>
    <t>08 April 2025</t>
  </si>
  <si>
    <t>RSP003166</t>
  </si>
  <si>
    <t xml:space="preserve">Spring Raffle 2025 </t>
  </si>
  <si>
    <t>2025-03-25</t>
  </si>
  <si>
    <t>RSP003516</t>
  </si>
  <si>
    <t>02/16/2025</t>
  </si>
  <si>
    <t>RSP003355</t>
  </si>
  <si>
    <t>30 September 2024</t>
  </si>
  <si>
    <t>RSP003578</t>
  </si>
  <si>
    <t>08 October 2024</t>
  </si>
  <si>
    <t>RSP003829</t>
  </si>
  <si>
    <t>17.06.24</t>
  </si>
  <si>
    <t>RSP003091</t>
  </si>
  <si>
    <t>14-Nov-2024</t>
  </si>
  <si>
    <t>RSP003663</t>
  </si>
  <si>
    <t>2025-04-23</t>
  </si>
  <si>
    <t>RSP003221</t>
  </si>
  <si>
    <t>RSP003280</t>
  </si>
  <si>
    <t>RSP003352</t>
  </si>
  <si>
    <t>09/18/2024</t>
  </si>
  <si>
    <t>RSP003867</t>
  </si>
  <si>
    <t>20/06/2024</t>
  </si>
  <si>
    <t>RSP003157</t>
  </si>
  <si>
    <t>25-Mar-2025</t>
  </si>
  <si>
    <t>RSP003601</t>
  </si>
  <si>
    <t>04/04/2025</t>
  </si>
  <si>
    <t>RSP003676</t>
  </si>
  <si>
    <t>22-Apr-2025</t>
  </si>
  <si>
    <t>RSP003863</t>
  </si>
  <si>
    <t>06/22/2024</t>
  </si>
  <si>
    <t>RSP003378</t>
  </si>
  <si>
    <t>18 November 2024</t>
  </si>
  <si>
    <t>RSP003348</t>
  </si>
  <si>
    <t>18-Sep-2024</t>
  </si>
  <si>
    <t>RSP003589</t>
  </si>
  <si>
    <t>2025-04-28</t>
  </si>
  <si>
    <t>RSP003700</t>
  </si>
  <si>
    <t>11/22/2024</t>
  </si>
  <si>
    <t>RSP003888</t>
  </si>
  <si>
    <t>06/15/2024</t>
  </si>
  <si>
    <t>RSP003558</t>
  </si>
  <si>
    <t>10/13/2024</t>
  </si>
  <si>
    <t>RSP003462</t>
  </si>
  <si>
    <t>24/01/2025</t>
  </si>
  <si>
    <t>RSP003341</t>
  </si>
  <si>
    <t>2024-09-29</t>
  </si>
  <si>
    <t>RSP003802</t>
  </si>
  <si>
    <t>30-Jun-2024</t>
  </si>
  <si>
    <t>RSP003809</t>
  </si>
  <si>
    <t>2024-06-15</t>
  </si>
  <si>
    <t>RSP003133</t>
  </si>
  <si>
    <t>13 March 2025</t>
  </si>
  <si>
    <t>RSP003665</t>
  </si>
  <si>
    <t>29 March 2025</t>
  </si>
  <si>
    <t>RSP003037</t>
  </si>
  <si>
    <t>12/26/2024</t>
  </si>
  <si>
    <t>RSP003729</t>
  </si>
  <si>
    <t>RSP003010</t>
  </si>
  <si>
    <t>15.12.24</t>
  </si>
  <si>
    <t>RSP003468</t>
  </si>
  <si>
    <t>RSP003370</t>
  </si>
  <si>
    <t>2024-10-31</t>
  </si>
  <si>
    <t>RSP003886</t>
  </si>
  <si>
    <t>06/02/2024</t>
  </si>
  <si>
    <t>RSP003380</t>
  </si>
  <si>
    <t>RSP003132</t>
  </si>
  <si>
    <t>13 April 2025</t>
  </si>
  <si>
    <t>RSP003291</t>
  </si>
  <si>
    <t>RSP003541</t>
  </si>
  <si>
    <t>09 October 2024</t>
  </si>
  <si>
    <t>RSP003536</t>
  </si>
  <si>
    <t>18/03/2025</t>
  </si>
  <si>
    <t>RSP003051</t>
  </si>
  <si>
    <t>15-Jan-2024</t>
  </si>
  <si>
    <t>RSP003404</t>
  </si>
  <si>
    <t>04-Dec-2024</t>
  </si>
  <si>
    <t>RSP003161</t>
  </si>
  <si>
    <t>04/26/2025</t>
  </si>
  <si>
    <t>RSP003463</t>
  </si>
  <si>
    <t>RSP003361</t>
  </si>
  <si>
    <t>12/07/2024</t>
  </si>
  <si>
    <t>RSP003769</t>
  </si>
  <si>
    <t>RSP003639</t>
  </si>
  <si>
    <t>02.03.25</t>
  </si>
  <si>
    <t>RSP003745</t>
  </si>
  <si>
    <t>RSP003627</t>
  </si>
  <si>
    <t>14.03.25</t>
  </si>
  <si>
    <t>RSP003805</t>
  </si>
  <si>
    <t>10.06.24</t>
  </si>
  <si>
    <t>RSP003479</t>
  </si>
  <si>
    <t>23/02/2025</t>
  </si>
  <si>
    <t>RSP003318</t>
  </si>
  <si>
    <t>2024-10-10</t>
  </si>
  <si>
    <t>RSP003302</t>
  </si>
  <si>
    <t>29 September 2024</t>
  </si>
  <si>
    <t>RSP003315</t>
  </si>
  <si>
    <t>19/09/2024</t>
  </si>
  <si>
    <t>RSP003667</t>
  </si>
  <si>
    <t>03/12/2025</t>
  </si>
  <si>
    <t>RSP003145</t>
  </si>
  <si>
    <t>2025-04-17</t>
  </si>
  <si>
    <t>RSP003217</t>
  </si>
  <si>
    <t>15.07.24</t>
  </si>
  <si>
    <t>RSP003740</t>
  </si>
  <si>
    <t>22 November 2024</t>
  </si>
  <si>
    <t>RSP003486</t>
  </si>
  <si>
    <t>06.02.25</t>
  </si>
  <si>
    <t>RSP003638</t>
  </si>
  <si>
    <t>06.04.25</t>
  </si>
  <si>
    <t>RSP003381</t>
  </si>
  <si>
    <t>2024-11-25</t>
  </si>
  <si>
    <t>RSP003708</t>
  </si>
  <si>
    <t>RSP003487</t>
  </si>
  <si>
    <t>03/30/2025</t>
  </si>
  <si>
    <t>RSP003046</t>
  </si>
  <si>
    <t>30 December 2024</t>
  </si>
  <si>
    <t>RSP003528</t>
  </si>
  <si>
    <t>2025-02-21</t>
  </si>
  <si>
    <t>RSP003408</t>
  </si>
  <si>
    <t>19-Oct-2024</t>
  </si>
  <si>
    <t>RSP003587</t>
  </si>
  <si>
    <t>07.10.24</t>
  </si>
  <si>
    <t>RSP003543</t>
  </si>
  <si>
    <t>RSP003602</t>
  </si>
  <si>
    <t>28/03/2025</t>
  </si>
  <si>
    <t>RSP003127</t>
  </si>
  <si>
    <t>10 March 2025</t>
  </si>
  <si>
    <t>RSP003719</t>
  </si>
  <si>
    <t>RSP003392</t>
  </si>
  <si>
    <t>10/26/2024</t>
  </si>
  <si>
    <t>RSP003039</t>
  </si>
  <si>
    <t>06/11/2024</t>
  </si>
  <si>
    <t>RSP003003</t>
  </si>
  <si>
    <t>11/01/2024</t>
  </si>
  <si>
    <t>RSP003429</t>
  </si>
  <si>
    <t>16 November 2024</t>
  </si>
  <si>
    <t>RSP003244</t>
  </si>
  <si>
    <t>RSP003754</t>
  </si>
  <si>
    <t>22/11/2024</t>
  </si>
  <si>
    <t>RSP003425</t>
  </si>
  <si>
    <t>12/12/2024</t>
  </si>
  <si>
    <t>RSP003097</t>
  </si>
  <si>
    <t>2024-11-12</t>
  </si>
  <si>
    <t>RSP003778</t>
  </si>
  <si>
    <t>2024-06-28</t>
  </si>
  <si>
    <t>RSP003470</t>
  </si>
  <si>
    <t>2025-02-14</t>
  </si>
  <si>
    <t>RSP003830</t>
  </si>
  <si>
    <t>2024-06-09</t>
  </si>
  <si>
    <t>RSP003682</t>
  </si>
  <si>
    <t>04/10/2025</t>
  </si>
  <si>
    <t>RSP003183</t>
  </si>
  <si>
    <t>2025-04-25</t>
  </si>
  <si>
    <t>RSP003803</t>
  </si>
  <si>
    <t>RSP003164</t>
  </si>
  <si>
    <t>04/11/2025</t>
  </si>
  <si>
    <t>RSP003790</t>
  </si>
  <si>
    <t>03.06.24</t>
  </si>
  <si>
    <t>RSP003174</t>
  </si>
  <si>
    <t>RSP003055</t>
  </si>
  <si>
    <t>23 December 2024</t>
  </si>
  <si>
    <t>RSP003636</t>
  </si>
  <si>
    <t>13/03/2025</t>
  </si>
  <si>
    <t>RSP003715</t>
  </si>
  <si>
    <t>22-Nov-2024</t>
  </si>
  <si>
    <t>RSP003553</t>
  </si>
  <si>
    <t>13 October 2024</t>
  </si>
  <si>
    <t>RSP003125</t>
  </si>
  <si>
    <t>2025-03-28</t>
  </si>
  <si>
    <t>RSP003061</t>
  </si>
  <si>
    <t>2024-12-13</t>
  </si>
  <si>
    <t>RSP003840</t>
  </si>
  <si>
    <t>10/06/2024</t>
  </si>
  <si>
    <t>RSP003324</t>
  </si>
  <si>
    <t>16/09/2024</t>
  </si>
  <si>
    <t>RSP003517</t>
  </si>
  <si>
    <t>31/01/2025</t>
  </si>
  <si>
    <t>RSP003406</t>
  </si>
  <si>
    <t>27 November 2024</t>
  </si>
  <si>
    <t>RSP003008</t>
  </si>
  <si>
    <t>31.12.24</t>
  </si>
  <si>
    <t>RSP003122</t>
  </si>
  <si>
    <t>19-Mar-2025</t>
  </si>
  <si>
    <t>RSP003107</t>
  </si>
  <si>
    <t>26.11.24</t>
  </si>
  <si>
    <t>RSP003475</t>
  </si>
  <si>
    <t>26-Feb-2025</t>
  </si>
  <si>
    <t>RSP003859</t>
  </si>
  <si>
    <t>27 June 2024</t>
  </si>
  <si>
    <t>RSP003575</t>
  </si>
  <si>
    <t>RSP003216</t>
  </si>
  <si>
    <t>RSP003015</t>
  </si>
  <si>
    <t>RSP003081</t>
  </si>
  <si>
    <t>05.11.24</t>
  </si>
  <si>
    <t>RSP003017</t>
  </si>
  <si>
    <t>RSP003293</t>
  </si>
  <si>
    <t>2024-07-15</t>
  </si>
  <si>
    <t>RSP003723</t>
  </si>
  <si>
    <t>RSP003160</t>
  </si>
  <si>
    <t>29/03/2025</t>
  </si>
  <si>
    <t>RSP003042</t>
  </si>
  <si>
    <t>25 November 2024</t>
  </si>
  <si>
    <t>RSP003906</t>
  </si>
  <si>
    <t>16 February 2025</t>
  </si>
  <si>
    <t>RSP003338</t>
  </si>
  <si>
    <t>2024-10-13</t>
  </si>
  <si>
    <t>RSP003836</t>
  </si>
  <si>
    <t>19-Jun-2024</t>
  </si>
  <si>
    <t>RSP003359</t>
  </si>
  <si>
    <t>2024-09-22</t>
  </si>
  <si>
    <t>RSP003395</t>
  </si>
  <si>
    <t>2024-11-14</t>
  </si>
  <si>
    <t>RSP003270</t>
  </si>
  <si>
    <t>15-Jul-2024</t>
  </si>
  <si>
    <t>RSP003694</t>
  </si>
  <si>
    <t>04 April 2025</t>
  </si>
  <si>
    <t>RSP003452</t>
  </si>
  <si>
    <t>01/22/2025</t>
  </si>
  <si>
    <t>RSP003877</t>
  </si>
  <si>
    <t>2024-06-27</t>
  </si>
  <si>
    <t>RSP003413</t>
  </si>
  <si>
    <t>RSP003787</t>
  </si>
  <si>
    <t>21-Jun-2024</t>
  </si>
  <si>
    <t>RSP003179</t>
  </si>
  <si>
    <t>19/04/2025</t>
  </si>
  <si>
    <t>£135.06</t>
  </si>
  <si>
    <t>RSP003026</t>
  </si>
  <si>
    <t>24 December 2024</t>
  </si>
  <si>
    <t>RSP003232</t>
  </si>
  <si>
    <t>RSP003119</t>
  </si>
  <si>
    <t>05/07/2026</t>
  </si>
  <si>
    <t>RSP003305</t>
  </si>
  <si>
    <t>04.10.24</t>
  </si>
  <si>
    <t>RSP003445</t>
  </si>
  <si>
    <t>18.10.24</t>
  </si>
  <si>
    <t>RSP003272</t>
  </si>
  <si>
    <t>RSP003652</t>
  </si>
  <si>
    <t>02/23/2025</t>
  </si>
  <si>
    <t>RSP003400</t>
  </si>
  <si>
    <t>05-Dec-2024</t>
  </si>
  <si>
    <t>RSP003595</t>
  </si>
  <si>
    <t>15/02/2025</t>
  </si>
  <si>
    <t>RSP003066</t>
  </si>
  <si>
    <t>07-Dec-2024</t>
  </si>
  <si>
    <t>RSP003798</t>
  </si>
  <si>
    <t>26.06.24</t>
  </si>
  <si>
    <t>RSP003353</t>
  </si>
  <si>
    <t>29-Sep-2024</t>
  </si>
  <si>
    <t>RSP003014</t>
  </si>
  <si>
    <t>RSP003104</t>
  </si>
  <si>
    <t>12 December 2024</t>
  </si>
  <si>
    <t>RSP003761</t>
  </si>
  <si>
    <t>RSP003868</t>
  </si>
  <si>
    <t>05/06/2024</t>
  </si>
  <si>
    <t>RSP003837</t>
  </si>
  <si>
    <t>01/06/2024</t>
  </si>
  <si>
    <t>RSP003701</t>
  </si>
  <si>
    <t>RSP003450</t>
  </si>
  <si>
    <t>2025-01-26</t>
  </si>
  <si>
    <t>RSP003557</t>
  </si>
  <si>
    <t>RSP003458</t>
  </si>
  <si>
    <t>15/01/2025</t>
  </si>
  <si>
    <t>RSP003689</t>
  </si>
  <si>
    <t>26.04.25</t>
  </si>
  <si>
    <t>RSP003747</t>
  </si>
  <si>
    <t>RSP003349</t>
  </si>
  <si>
    <t>09/27/2024</t>
  </si>
  <si>
    <t>RSP003058</t>
  </si>
  <si>
    <t>08-Dec-2024</t>
  </si>
  <si>
    <t>£4794.68</t>
  </si>
  <si>
    <t>RSP003063</t>
  </si>
  <si>
    <t>14/11/2024</t>
  </si>
  <si>
    <t>RSP003200</t>
  </si>
  <si>
    <t>05.04.25</t>
  </si>
  <si>
    <t>RSP003690</t>
  </si>
  <si>
    <t>2025-03-20</t>
  </si>
  <si>
    <t>RSP003618</t>
  </si>
  <si>
    <t>12.02.25</t>
  </si>
  <si>
    <t>RSP003377</t>
  </si>
  <si>
    <t>28.11.24</t>
  </si>
  <si>
    <t>RSP003317</t>
  </si>
  <si>
    <t>29/09/2024</t>
  </si>
  <si>
    <t>RSP003134</t>
  </si>
  <si>
    <t>2025-04-29</t>
  </si>
  <si>
    <t>RSP003343</t>
  </si>
  <si>
    <t>20 September 2024</t>
  </si>
  <si>
    <t>RSP003184</t>
  </si>
  <si>
    <t>20-Mar-2025</t>
  </si>
  <si>
    <t>RSP003484</t>
  </si>
  <si>
    <t>03/27/2025</t>
  </si>
  <si>
    <t>RSP003175</t>
  </si>
  <si>
    <t>RSP003891</t>
  </si>
  <si>
    <t>19 June 2024</t>
  </si>
  <si>
    <t>RSP003345</t>
  </si>
  <si>
    <t>RSP003135</t>
  </si>
  <si>
    <t>07-Mar-2025</t>
  </si>
  <si>
    <t>RSP003521</t>
  </si>
  <si>
    <t>RSP003591</t>
  </si>
  <si>
    <t>09 April 2025</t>
  </si>
  <si>
    <t>RSP003388</t>
  </si>
  <si>
    <t>10/20/2024</t>
  </si>
  <si>
    <t>RSP003297</t>
  </si>
  <si>
    <t>11.10.24</t>
  </si>
  <si>
    <t>RSP003190</t>
  </si>
  <si>
    <t>11/04/2025</t>
  </si>
  <si>
    <t>RSP003407</t>
  </si>
  <si>
    <t>20 November 2024</t>
  </si>
  <si>
    <t>RSP003254</t>
  </si>
  <si>
    <t>RSP003228</t>
  </si>
  <si>
    <t>RSP003797</t>
  </si>
  <si>
    <t>RSP003451</t>
  </si>
  <si>
    <t>28 January 2025</t>
  </si>
  <si>
    <t>RSP003433</t>
  </si>
  <si>
    <t>2024-12-05</t>
  </si>
  <si>
    <t>RSP003360</t>
  </si>
  <si>
    <t>22-Sep-2024</t>
  </si>
  <si>
    <t>RSP003661</t>
  </si>
  <si>
    <t>02/02/2025</t>
  </si>
  <si>
    <t>RSP003339</t>
  </si>
  <si>
    <t>18.09.24</t>
  </si>
  <si>
    <t>RSP003731</t>
  </si>
  <si>
    <t>RSP003218</t>
  </si>
  <si>
    <t>RSP003513</t>
  </si>
  <si>
    <t>13/01/2025</t>
  </si>
  <si>
    <t>RSP003187</t>
  </si>
  <si>
    <t>25/04/2025</t>
  </si>
  <si>
    <t>RSP003158</t>
  </si>
  <si>
    <t>03/10/2025</t>
  </si>
  <si>
    <t>RSP003819</t>
  </si>
  <si>
    <t>23.06.24</t>
  </si>
  <si>
    <t>RSP003823</t>
  </si>
  <si>
    <t>RSP003411</t>
  </si>
  <si>
    <t>RSP003313</t>
  </si>
  <si>
    <t>05.10.24</t>
  </si>
  <si>
    <t>RSP003671</t>
  </si>
  <si>
    <t>16 March 2025</t>
  </si>
  <si>
    <t>RSP003059</t>
  </si>
  <si>
    <t>23.11.24</t>
  </si>
  <si>
    <t>RSP003631</t>
  </si>
  <si>
    <t>RSP003616</t>
  </si>
  <si>
    <t>RSP003240</t>
  </si>
  <si>
    <t>RSP003340</t>
  </si>
  <si>
    <t>09/21/2024</t>
  </si>
  <si>
    <t>RSP003268</t>
  </si>
  <si>
    <t>RSP003758</t>
  </si>
  <si>
    <t>RSP003136</t>
  </si>
  <si>
    <t>29-Apr-2025</t>
  </si>
  <si>
    <t>RSP003020</t>
  </si>
  <si>
    <t>27.11.24</t>
  </si>
  <si>
    <t>RSP003780</t>
  </si>
  <si>
    <t>07-Jun-2024</t>
  </si>
  <si>
    <t>RSP003034</t>
  </si>
  <si>
    <t>11/12/2024</t>
  </si>
  <si>
    <t>RSP003460</t>
  </si>
  <si>
    <t>12/02/2025</t>
  </si>
  <si>
    <t>RSP003108</t>
  </si>
  <si>
    <t>02.12.24</t>
  </si>
  <si>
    <t>RSP003760</t>
  </si>
  <si>
    <t>RSP003612</t>
  </si>
  <si>
    <t>18-Mar-2025</t>
  </si>
  <si>
    <t>RSP003078</t>
  </si>
  <si>
    <t>2024-12-26</t>
  </si>
  <si>
    <t>RSP003214</t>
  </si>
  <si>
    <t>RSP003635</t>
  </si>
  <si>
    <t>RSP003215</t>
  </si>
  <si>
    <t>RSP003550</t>
  </si>
  <si>
    <t>2024-10-07</t>
  </si>
  <si>
    <t>RSP003519</t>
  </si>
  <si>
    <t>22.03.25</t>
  </si>
  <si>
    <t>RSP003007</t>
  </si>
  <si>
    <t>RSP003845</t>
  </si>
  <si>
    <t>RSP003739</t>
  </si>
  <si>
    <t>RSP003477</t>
  </si>
  <si>
    <t>RSP003113</t>
  </si>
  <si>
    <t>2024-11-28</t>
  </si>
  <si>
    <t>RSP003707</t>
  </si>
  <si>
    <t>RSP003142</t>
  </si>
  <si>
    <t>RSP003770</t>
  </si>
  <si>
    <t>RSP003048</t>
  </si>
  <si>
    <t>12/28/2024</t>
  </si>
  <si>
    <t>RSP003505</t>
  </si>
  <si>
    <t>14-Feb-2025</t>
  </si>
  <si>
    <t>RSP003423</t>
  </si>
  <si>
    <t>15/11/2024</t>
  </si>
  <si>
    <t>RSP003718</t>
  </si>
  <si>
    <t>RSP003137</t>
  </si>
  <si>
    <t>RSP003623</t>
  </si>
  <si>
    <t>21/04/2025</t>
  </si>
  <si>
    <t>RSP003334</t>
  </si>
  <si>
    <t>11 October 2024</t>
  </si>
  <si>
    <t>RSP003436</t>
  </si>
  <si>
    <t>27 October 2024</t>
  </si>
  <si>
    <t>RSP003485</t>
  </si>
  <si>
    <t>17 March 2025</t>
  </si>
  <si>
    <t>RSP003336</t>
  </si>
  <si>
    <t>RSP003331</t>
  </si>
  <si>
    <t>2024-09-16</t>
  </si>
  <si>
    <t>RSP003290</t>
  </si>
  <si>
    <t>RSP003831</t>
  </si>
  <si>
    <t>13.06.24</t>
  </si>
  <si>
    <t>RSP003728</t>
  </si>
  <si>
    <t>RSP003264</t>
  </si>
  <si>
    <t>RSP003818</t>
  </si>
  <si>
    <t>16/06/2024</t>
  </si>
  <si>
    <t>RSP003367</t>
  </si>
  <si>
    <t>RSP003563</t>
  </si>
  <si>
    <t>RSP003506</t>
  </si>
  <si>
    <t>19/01/2025</t>
  </si>
  <si>
    <t>RSP003300</t>
  </si>
  <si>
    <t>RSP003265</t>
  </si>
  <si>
    <t>RSP003358</t>
  </si>
  <si>
    <t>RSP003590</t>
  </si>
  <si>
    <t>14-Mar-2025</t>
  </si>
  <si>
    <t>RSP003527</t>
  </si>
  <si>
    <t>08-Jan-2025</t>
  </si>
  <si>
    <t>RSP003168</t>
  </si>
  <si>
    <t>07-Apr-2025</t>
  </si>
  <si>
    <t>RSP003624</t>
  </si>
  <si>
    <t>26 April 2025</t>
  </si>
  <si>
    <t>RSP003432</t>
  </si>
  <si>
    <t>19/11/2024</t>
  </si>
  <si>
    <t>RSP003869</t>
  </si>
  <si>
    <t>29.06.24</t>
  </si>
  <si>
    <t>RSP003172</t>
  </si>
  <si>
    <t>29 April 2025</t>
  </si>
  <si>
    <t>RSP003766</t>
  </si>
  <si>
    <t>RSP003230</t>
  </si>
  <si>
    <t>RSP003323</t>
  </si>
  <si>
    <t>16 September 2024</t>
  </si>
  <si>
    <t>RSP003653</t>
  </si>
  <si>
    <t>2025-02-16</t>
  </si>
  <si>
    <t>RSP003418</t>
  </si>
  <si>
    <t>16-Dec-2024</t>
  </si>
  <si>
    <t>RSP003112</t>
  </si>
  <si>
    <t>28/12/2024</t>
  </si>
  <si>
    <t>RSP003793</t>
  </si>
  <si>
    <t>26/06/2024</t>
  </si>
  <si>
    <t>RSP003572</t>
  </si>
  <si>
    <t>RSP003031</t>
  </si>
  <si>
    <t>02/11/2024</t>
  </si>
  <si>
    <t>RSP003139</t>
  </si>
  <si>
    <t>28.04.25</t>
  </si>
  <si>
    <t>RSP003820</t>
  </si>
  <si>
    <t>2024-06-06</t>
  </si>
  <si>
    <t>RSP003356</t>
  </si>
  <si>
    <t>09/19/2024</t>
  </si>
  <si>
    <t>RSP003706</t>
  </si>
  <si>
    <t>RSP003006</t>
  </si>
  <si>
    <t>11-Dec-2024</t>
  </si>
  <si>
    <t>RSP003085</t>
  </si>
  <si>
    <t>07.12.24</t>
  </si>
  <si>
    <t>RSP003260</t>
  </si>
  <si>
    <t>RSP003159</t>
  </si>
  <si>
    <t>25/03/2025</t>
  </si>
  <si>
    <t>RSP003100</t>
  </si>
  <si>
    <t>03-Dec-2024</t>
  </si>
  <si>
    <t>RSP003626</t>
  </si>
  <si>
    <t>RSP003515</t>
  </si>
  <si>
    <t>01 February 2025</t>
  </si>
  <si>
    <t>RSP003437</t>
  </si>
  <si>
    <t>12-Nov-2024</t>
  </si>
  <si>
    <t>RSP003775</t>
  </si>
  <si>
    <t>11/06/2024</t>
  </si>
  <si>
    <t>RSP003561</t>
  </si>
  <si>
    <t>RSP003825</t>
  </si>
  <si>
    <t>18 June 2024</t>
  </si>
  <si>
    <t>RSP003283</t>
  </si>
  <si>
    <t>RSP003473</t>
  </si>
  <si>
    <t>09/01/2025</t>
  </si>
  <si>
    <t>RSP003472</t>
  </si>
  <si>
    <t>2025-01-24</t>
  </si>
  <si>
    <t>RSP003151</t>
  </si>
  <si>
    <t>2024-01-15</t>
  </si>
  <si>
    <t>RSP003307</t>
  </si>
  <si>
    <t>09/20/2024</t>
  </si>
  <si>
    <t>RSP003695</t>
  </si>
  <si>
    <t>02/06/2025</t>
  </si>
  <si>
    <t>RSP003222</t>
  </si>
  <si>
    <t>RSP003813</t>
  </si>
  <si>
    <t>06/06/2024</t>
  </si>
  <si>
    <t>RSP003862</t>
  </si>
  <si>
    <t>25-Jun-2024</t>
  </si>
  <si>
    <t>RSP003617</t>
  </si>
  <si>
    <t>10.04.25</t>
  </si>
  <si>
    <t>RSP003180</t>
  </si>
  <si>
    <t>01.04.25</t>
  </si>
  <si>
    <t>RSP003028</t>
  </si>
  <si>
    <t>2024-11-11</t>
  </si>
  <si>
    <t>RSP003489</t>
  </si>
  <si>
    <t>17-Jan-2025</t>
  </si>
  <si>
    <t>RSP003152</t>
  </si>
  <si>
    <t>23.04.25</t>
  </si>
  <si>
    <t>RSP003499</t>
  </si>
  <si>
    <t>08/02/2025</t>
  </si>
  <si>
    <t>RSP003847</t>
  </si>
  <si>
    <t>29-Jun-2024</t>
  </si>
  <si>
    <t>RSP003884</t>
  </si>
  <si>
    <t>28 June 2024</t>
  </si>
  <si>
    <t>RSP003373</t>
  </si>
  <si>
    <t>21-Nov-2024</t>
  </si>
  <si>
    <t>RSP003027</t>
  </si>
  <si>
    <t>RSP003670</t>
  </si>
  <si>
    <t>RSP003568</t>
  </si>
  <si>
    <t>10 October 2024</t>
  </si>
  <si>
    <t>RSP003518</t>
  </si>
  <si>
    <t>2025-01-19</t>
  </si>
  <si>
    <t>RSP003105</t>
  </si>
  <si>
    <t>28.12.24</t>
  </si>
  <si>
    <t>RSP003752</t>
  </si>
  <si>
    <t>RSP003560</t>
  </si>
  <si>
    <t>12.10.24</t>
  </si>
  <si>
    <t>RSP003849</t>
  </si>
  <si>
    <t>RSP003205</t>
  </si>
  <si>
    <t>RSP003427</t>
  </si>
  <si>
    <t>02 November 2024</t>
  </si>
  <si>
    <t>RSP003130</t>
  </si>
  <si>
    <t>27/04/2025</t>
  </si>
  <si>
    <t>RSP003545</t>
  </si>
  <si>
    <t>RSP003117</t>
  </si>
  <si>
    <t>2024-12-07</t>
  </si>
  <si>
    <t>RSP003412</t>
  </si>
  <si>
    <t>12/05/2024</t>
  </si>
  <si>
    <t>RSP003896</t>
  </si>
  <si>
    <t>14.06.24</t>
  </si>
  <si>
    <t>RSP003449</t>
  </si>
  <si>
    <t>08/01/2025</t>
  </si>
  <si>
    <t>RSP003426</t>
  </si>
  <si>
    <t>12.12.24</t>
  </si>
  <si>
    <t>RSP003155</t>
  </si>
  <si>
    <t>13-Mar-2025</t>
  </si>
  <si>
    <t>RSP003333</t>
  </si>
  <si>
    <t>2024-09-12</t>
  </si>
  <si>
    <t>RSP003681</t>
  </si>
  <si>
    <t>RSP003755</t>
  </si>
  <si>
    <t>RSP003855</t>
  </si>
  <si>
    <t>2024-06-01</t>
  </si>
  <si>
    <t>RSP003076</t>
  </si>
  <si>
    <t>24-Dec-2024</t>
  </si>
  <si>
    <t>RSP003327</t>
  </si>
  <si>
    <t>06 October 2024</t>
  </si>
  <si>
    <t>RSP003223</t>
  </si>
  <si>
    <t>RSP003679</t>
  </si>
  <si>
    <t>RSP003508</t>
  </si>
  <si>
    <t>26.01.25</t>
  </si>
  <si>
    <t>RSP003430</t>
  </si>
  <si>
    <t>2024-11-17</t>
  </si>
  <si>
    <t>RSP003905</t>
  </si>
  <si>
    <t>RSP003569</t>
  </si>
  <si>
    <t>09/10/2024</t>
  </si>
  <si>
    <t>RSP003547</t>
  </si>
  <si>
    <t>2024-10-11</t>
  </si>
  <si>
    <t>RSP003013</t>
  </si>
  <si>
    <t>RSP003192</t>
  </si>
  <si>
    <t>22 April 2025</t>
  </si>
  <si>
    <t>RSP003605</t>
  </si>
  <si>
    <t>04/15/2025</t>
  </si>
  <si>
    <t>RSP003759</t>
  </si>
  <si>
    <t>RSP003773</t>
  </si>
  <si>
    <t>RSP003212</t>
  </si>
  <si>
    <t>RSP003310</t>
  </si>
  <si>
    <t>RSP003060</t>
  </si>
  <si>
    <t>28/11/2024</t>
  </si>
  <si>
    <t>RSP003529</t>
  </si>
  <si>
    <t>RSP003606</t>
  </si>
  <si>
    <t>03/19/2025</t>
  </si>
  <si>
    <t>RSP003308</t>
  </si>
  <si>
    <t>03-Oct-2024</t>
  </si>
  <si>
    <t>RSP003542</t>
  </si>
  <si>
    <t>12 October 2024</t>
  </si>
  <si>
    <t>RSP003106</t>
  </si>
  <si>
    <t>07 November 2024</t>
  </si>
  <si>
    <t>RSP003019</t>
  </si>
  <si>
    <t>31/12/2024</t>
  </si>
  <si>
    <t>RSP003786</t>
  </si>
  <si>
    <t>RSP003256</t>
  </si>
  <si>
    <t>RSP003785</t>
  </si>
  <si>
    <t>11.06.24</t>
  </si>
  <si>
    <t>RSP003544</t>
  </si>
  <si>
    <t>10/08/2024</t>
  </si>
  <si>
    <t>RSP003900</t>
  </si>
  <si>
    <t>RSP003421</t>
  </si>
  <si>
    <t>17.10.24</t>
  </si>
  <si>
    <t>RSP003129</t>
  </si>
  <si>
    <t>RSP003385</t>
  </si>
  <si>
    <t>07/11/2024</t>
  </si>
  <si>
    <t>RSP003208</t>
  </si>
  <si>
    <t>RSP003750</t>
  </si>
  <si>
    <t>RSP003368</t>
  </si>
  <si>
    <t>RSP003514</t>
  </si>
  <si>
    <t>2025-03-05</t>
  </si>
  <si>
    <t>RSP003440</t>
  </si>
  <si>
    <t>24/11/2024</t>
  </si>
  <si>
    <t>RSP003480</t>
  </si>
  <si>
    <t>03 February 2025</t>
  </si>
  <si>
    <t>RSP003182</t>
  </si>
  <si>
    <t>24-Apr-2025</t>
  </si>
  <si>
    <t>RSP003799</t>
  </si>
  <si>
    <t>06/16/2024</t>
  </si>
  <si>
    <t>RSP003807</t>
  </si>
  <si>
    <t>RSP003239</t>
  </si>
  <si>
    <t>RSP003872</t>
  </si>
  <si>
    <t>18-Jun-2024</t>
  </si>
  <si>
    <t>RSP003207</t>
  </si>
  <si>
    <t>RSP003372</t>
  </si>
  <si>
    <t>12 November 2024</t>
  </si>
  <si>
    <t>RSP003726</t>
  </si>
  <si>
    <t>RSP003282</t>
  </si>
  <si>
    <t>RSP003203</t>
  </si>
  <si>
    <t>01 March 2025</t>
  </si>
  <si>
    <t>RSP003439</t>
  </si>
  <si>
    <t>RSP003347</t>
  </si>
  <si>
    <t>23.09.24</t>
  </si>
  <si>
    <t>RSP003251</t>
  </si>
  <si>
    <t>RSP003410</t>
  </si>
  <si>
    <t>RSP003764</t>
  </si>
  <si>
    <t>RSP003236</t>
  </si>
  <si>
    <t>RSP003586</t>
  </si>
  <si>
    <t>08.10.24</t>
  </si>
  <si>
    <t>RSP003001</t>
  </si>
  <si>
    <t>RSP003465</t>
  </si>
  <si>
    <t>29.03.25</t>
  </si>
  <si>
    <t>RSP003710</t>
  </si>
  <si>
    <t>RSP003501</t>
  </si>
  <si>
    <t>09 March 2025</t>
  </si>
  <si>
    <t>RSP003593</t>
  </si>
  <si>
    <t>20 April 2025</t>
  </si>
  <si>
    <t>RSP003584</t>
  </si>
  <si>
    <t>RSP003816</t>
  </si>
  <si>
    <t>17 June 2024</t>
  </si>
  <si>
    <t>RSP003328</t>
  </si>
  <si>
    <t>30-Sep-2024</t>
  </si>
  <si>
    <t>RSP003083</t>
  </si>
  <si>
    <t>09/11/2024</t>
  </si>
  <si>
    <t>RSP003633</t>
  </si>
  <si>
    <t>RSP003366</t>
  </si>
  <si>
    <t>12/13/2024</t>
  </si>
  <si>
    <t>RSP003057</t>
  </si>
  <si>
    <t>2024-11-29</t>
  </si>
  <si>
    <t>RSP003364</t>
  </si>
  <si>
    <t>15.10.24</t>
  </si>
  <si>
    <t>RSP003090</t>
  </si>
  <si>
    <t>12/23/2024</t>
  </si>
  <si>
    <t>RSP003233</t>
  </si>
  <si>
    <t>RSP003571</t>
  </si>
  <si>
    <t>08-Oct-2024</t>
  </si>
  <si>
    <t>RSP003548</t>
  </si>
  <si>
    <t>RSP003757</t>
  </si>
  <si>
    <t>RSP003727</t>
  </si>
  <si>
    <t>RSP003294</t>
  </si>
  <si>
    <t>RSP003692</t>
  </si>
  <si>
    <t>02/27/2025</t>
  </si>
  <si>
    <t>RSP003833</t>
  </si>
  <si>
    <t>RSP003312</t>
  </si>
  <si>
    <t>12/09/2024</t>
  </si>
  <si>
    <t>RSP003442</t>
  </si>
  <si>
    <t>10/19/2024</t>
  </si>
  <si>
    <t>RSP003124</t>
  </si>
  <si>
    <t>spring raffle 2025</t>
  </si>
  <si>
    <t>19/03/2025</t>
  </si>
  <si>
    <t>RSP003832</t>
  </si>
  <si>
    <t>20.06.24</t>
  </si>
  <si>
    <t>RSP003592</t>
  </si>
  <si>
    <t>RSP003637</t>
  </si>
  <si>
    <t>RSP003241</t>
  </si>
  <si>
    <t>RSP003570</t>
  </si>
  <si>
    <t>RSP003839</t>
  </si>
  <si>
    <t>2024-06-20</t>
  </si>
  <si>
    <t>RSP003887</t>
  </si>
  <si>
    <t>2024-06-03</t>
  </si>
  <si>
    <t>RSP003202</t>
  </si>
  <si>
    <t>28/04/2025</t>
  </si>
  <si>
    <t>RSP003030</t>
  </si>
  <si>
    <t>2024-12-24</t>
  </si>
  <si>
    <t>RSP003511</t>
  </si>
  <si>
    <t>RSP003717</t>
  </si>
  <si>
    <t>RSP003743</t>
  </si>
  <si>
    <t>RSP003668</t>
  </si>
  <si>
    <t>17-Apr-2025</t>
  </si>
  <si>
    <t>RSP003851</t>
  </si>
  <si>
    <t>22-Jun-2024</t>
  </si>
  <si>
    <t>RSP003263</t>
  </si>
  <si>
    <t>RSP003140</t>
  </si>
  <si>
    <t>09.03.25</t>
  </si>
  <si>
    <t>RSP003696</t>
  </si>
  <si>
    <t>10/02/2025</t>
  </si>
  <si>
    <t>RSP003088</t>
  </si>
  <si>
    <t>RSP003697</t>
  </si>
  <si>
    <t>09.02.25</t>
  </si>
  <si>
    <t>RSP003167</t>
  </si>
  <si>
    <t>19 April 2025</t>
  </si>
  <si>
    <t>RSP003005</t>
  </si>
  <si>
    <t>17/11/2024</t>
  </si>
  <si>
    <t>RSP003713</t>
  </si>
  <si>
    <t>RSP003685</t>
  </si>
  <si>
    <t>28-Feb-2025</t>
  </si>
  <si>
    <t>RSP003096</t>
  </si>
  <si>
    <t>2024-12-18</t>
  </si>
  <si>
    <t>RSP003478</t>
  </si>
  <si>
    <t>29-Mar-2025</t>
  </si>
  <si>
    <t>RSP003494</t>
  </si>
  <si>
    <t>02 February 2025</t>
  </si>
  <si>
    <t>RSP003079</t>
  </si>
  <si>
    <t>17/12/2024</t>
  </si>
  <si>
    <t>RSP003495</t>
  </si>
  <si>
    <t>02-Mar-2025</t>
  </si>
  <si>
    <t>RSP003894</t>
  </si>
  <si>
    <t>16-Jun-2024</t>
  </si>
  <si>
    <t>£156.77</t>
  </si>
  <si>
    <t>RSP003189</t>
  </si>
  <si>
    <t>14/04/2025</t>
  </si>
  <si>
    <t>RSP003603</t>
  </si>
  <si>
    <t>RSP003732</t>
  </si>
  <si>
    <t>RSP003573</t>
  </si>
  <si>
    <t>RSP003565</t>
  </si>
  <si>
    <t>RSP003064</t>
  </si>
  <si>
    <t>2024-11-05</t>
  </si>
  <si>
    <t>RSP003655</t>
  </si>
  <si>
    <t>02/18/2025</t>
  </si>
  <si>
    <t>RSP003749</t>
  </si>
  <si>
    <t>RSP003858</t>
  </si>
  <si>
    <t>10 June 2024</t>
  </si>
  <si>
    <t>RSP003608</t>
  </si>
  <si>
    <t>2025-02-05</t>
  </si>
  <si>
    <t>RSP003138</t>
  </si>
  <si>
    <t>RSP003841</t>
  </si>
  <si>
    <t>28.06.24</t>
  </si>
  <si>
    <t>RSP003865</t>
  </si>
  <si>
    <t>2024-06-21</t>
  </si>
  <si>
    <t>RSP003035</t>
  </si>
  <si>
    <t>12/24/2024</t>
  </si>
  <si>
    <t>RSP003040</t>
  </si>
  <si>
    <t>26 November 2024</t>
  </si>
  <si>
    <t>RSP003365</t>
  </si>
  <si>
    <t>RSP003309</t>
  </si>
  <si>
    <t>10.09.24</t>
  </si>
  <si>
    <t>RSP003101</t>
  </si>
  <si>
    <t>11/24/2024</t>
  </si>
  <si>
    <t>RSP003493</t>
  </si>
  <si>
    <t>RSP003702</t>
  </si>
  <si>
    <t>RSP003009</t>
  </si>
  <si>
    <t>RSP003741</t>
  </si>
  <si>
    <t>RSP003086</t>
  </si>
  <si>
    <t>20 December 2024</t>
  </si>
  <si>
    <t>RSP003459</t>
  </si>
  <si>
    <t>21.01.25</t>
  </si>
  <si>
    <t>RSP003673</t>
  </si>
  <si>
    <t>26/04/2025</t>
  </si>
  <si>
    <t>RSP003811</t>
  </si>
  <si>
    <t>RSP003781</t>
  </si>
  <si>
    <t>09/06/2024</t>
  </si>
  <si>
    <t>RSP003181</t>
  </si>
  <si>
    <t>04/02/2025</t>
  </si>
  <si>
    <t>RSP003054</t>
  </si>
  <si>
    <t>RSP003535</t>
  </si>
  <si>
    <t>17 February 2025</t>
  </si>
  <si>
    <t>RSP003611</t>
  </si>
  <si>
    <t>RSP003711</t>
  </si>
  <si>
    <t>RSP003171</t>
  </si>
  <si>
    <t>07 March 2025</t>
  </si>
  <si>
    <t>RSP003320</t>
  </si>
  <si>
    <t>RSP003420</t>
  </si>
  <si>
    <t>RSP003538</t>
  </si>
  <si>
    <t>15-Jan-2025</t>
  </si>
  <si>
    <t>RSP003191</t>
  </si>
  <si>
    <t>03/13/2025</t>
  </si>
  <si>
    <t>RSP003765</t>
  </si>
  <si>
    <t>RSP003559</t>
  </si>
  <si>
    <t>10.10.24</t>
  </si>
  <si>
    <t>RSP003146</t>
  </si>
  <si>
    <t>RSP003301</t>
  </si>
  <si>
    <t>RSP003153</t>
  </si>
  <si>
    <t>08.03.25</t>
  </si>
  <si>
    <t>RSP003735</t>
  </si>
  <si>
    <t>RSP003554</t>
  </si>
  <si>
    <t>RSP003082</t>
  </si>
  <si>
    <t>RSP003257</t>
  </si>
  <si>
    <t>RSP003052</t>
  </si>
  <si>
    <t>14-Dec-2024</t>
  </si>
  <si>
    <t>RSP003095</t>
  </si>
  <si>
    <t>31 December 2024</t>
  </si>
  <si>
    <t>RSP003163</t>
  </si>
  <si>
    <t>03/25/2025</t>
  </si>
  <si>
    <t>RSP003093</t>
  </si>
  <si>
    <t>25/11/2024</t>
  </si>
  <si>
    <t>RSP003552</t>
  </si>
  <si>
    <t>RSP003050</t>
  </si>
  <si>
    <t>06-Nov-2024</t>
  </si>
  <si>
    <t>RSP003374</t>
  </si>
  <si>
    <t>16.12.24</t>
  </si>
  <si>
    <t>RSP003678</t>
  </si>
  <si>
    <t>03-Apr-2025</t>
  </si>
  <si>
    <t>RSP003038</t>
  </si>
  <si>
    <t>11/08/2024</t>
  </si>
  <si>
    <t>RSP003201</t>
  </si>
  <si>
    <t>27-Apr-2025</t>
  </si>
  <si>
    <t>RSP003789</t>
  </si>
  <si>
    <t>24 June 2024</t>
  </si>
  <si>
    <t>RSP003225</t>
  </si>
  <si>
    <t>RSP003583</t>
  </si>
  <si>
    <t>2024-10-09</t>
  </si>
  <si>
    <t>RSP003844</t>
  </si>
  <si>
    <t>14/06/2024</t>
  </si>
  <si>
    <t>RSP003852</t>
  </si>
  <si>
    <t>27.06.24</t>
  </si>
  <si>
    <t>RSP003267</t>
  </si>
  <si>
    <t>RSP003376</t>
  </si>
  <si>
    <t>RSP003276</t>
  </si>
  <si>
    <t>RSP003235</t>
  </si>
  <si>
    <t>RSP003892</t>
  </si>
  <si>
    <t>15 June 2024</t>
  </si>
  <si>
    <t>RSP003262</t>
  </si>
  <si>
    <t>RSP003597</t>
  </si>
  <si>
    <t>2025-04-18</t>
  </si>
  <si>
    <t>RSP003092</t>
  </si>
  <si>
    <t>25.12.24</t>
  </si>
  <si>
    <t>RSP003762</t>
  </si>
  <si>
    <t>RSP003736</t>
  </si>
  <si>
    <t>RSP003447</t>
  </si>
  <si>
    <t>03/23/2025</t>
  </si>
  <si>
    <t>RSP003503</t>
  </si>
  <si>
    <t>13/02/2025</t>
  </si>
  <si>
    <t>RSP003021</t>
  </si>
  <si>
    <t>12/03/2024</t>
  </si>
  <si>
    <t>RSP003391</t>
  </si>
  <si>
    <t>RSP003369</t>
  </si>
  <si>
    <t>10/25/2024</t>
  </si>
  <si>
    <t>RSP003354</t>
  </si>
  <si>
    <t>04-Oct-2024</t>
  </si>
  <si>
    <t>RSP003399</t>
  </si>
  <si>
    <t>03.12.24</t>
  </si>
  <si>
    <t>RSP003023</t>
  </si>
  <si>
    <t>2024-11-03</t>
  </si>
  <si>
    <t>RSP003464</t>
  </si>
  <si>
    <t>2025-02-06</t>
  </si>
  <si>
    <t>RSP003067</t>
  </si>
  <si>
    <t>13.11.24</t>
  </si>
  <si>
    <t>RSP003250</t>
  </si>
  <si>
    <t>RSP003025</t>
  </si>
  <si>
    <t>winter appeal 2024</t>
  </si>
  <si>
    <t>RSP003828</t>
  </si>
  <si>
    <t>06/18/2024</t>
  </si>
  <si>
    <t>RSP003389</t>
  </si>
  <si>
    <t>RSP003660</t>
  </si>
  <si>
    <t>RSP003298</t>
  </si>
  <si>
    <t>RSP003255</t>
  </si>
  <si>
    <t>RSP003281</t>
  </si>
  <si>
    <t>RSP003415</t>
  </si>
  <si>
    <t>2024-12-03</t>
  </si>
  <si>
    <t>RSP003362</t>
  </si>
  <si>
    <t>RSP003322</t>
  </si>
  <si>
    <t>11/09/2024</t>
  </si>
  <si>
    <t>RSP003224</t>
  </si>
  <si>
    <t>RSP003213</t>
  </si>
  <si>
    <t>RSP003414</t>
  </si>
  <si>
    <t>26-Nov-2024</t>
  </si>
  <si>
    <t>RSP003173</t>
  </si>
  <si>
    <t>03.03.25</t>
  </si>
  <si>
    <t>RSP003387</t>
  </si>
  <si>
    <t>01-Dec-2024</t>
  </si>
  <si>
    <t>RSP003080</t>
  </si>
  <si>
    <t>RSP003148</t>
  </si>
  <si>
    <t>RSP003382</t>
  </si>
  <si>
    <t>19/10/2024</t>
  </si>
  <si>
    <t>RSP003648</t>
  </si>
  <si>
    <t>RSP003453</t>
  </si>
  <si>
    <t>RSP003903</t>
  </si>
  <si>
    <t>RSP003520</t>
  </si>
  <si>
    <t>RSP003512</t>
  </si>
  <si>
    <t>25/02/2025</t>
  </si>
  <si>
    <t>RSP003022</t>
  </si>
  <si>
    <t>20/11/2024</t>
  </si>
  <si>
    <t>RSP003330</t>
  </si>
  <si>
    <t>RSP003791</t>
  </si>
  <si>
    <t>RSP003537</t>
  </si>
  <si>
    <t>17.01.25</t>
  </si>
  <si>
    <t>RSP003691</t>
  </si>
  <si>
    <t>03/04/2025</t>
  </si>
  <si>
    <t>RSP003504</t>
  </si>
  <si>
    <t>29/01/2025</t>
  </si>
  <si>
    <t>RSP003737</t>
  </si>
  <si>
    <t>RSP003279</t>
  </si>
  <si>
    <t>RSP003898</t>
  </si>
  <si>
    <t>01-Feb-2025</t>
  </si>
  <si>
    <t>RSP003650</t>
  </si>
  <si>
    <t>17.04.25</t>
  </si>
  <si>
    <t>RSP003390</t>
  </si>
  <si>
    <t>05/11/2024</t>
  </si>
  <si>
    <t>RSP003394</t>
  </si>
  <si>
    <t>RSP003154</t>
  </si>
  <si>
    <t>RSP003454</t>
  </si>
  <si>
    <t>03/03/2025</t>
  </si>
  <si>
    <t>RSP003455</t>
  </si>
  <si>
    <t>RSP003419</t>
  </si>
  <si>
    <t>12/01/2024</t>
  </si>
  <si>
    <t>RSP003084</t>
  </si>
  <si>
    <t>RSP003103</t>
  </si>
  <si>
    <t>18.11.24</t>
  </si>
  <si>
    <t>RSP003238</t>
  </si>
  <si>
    <t>01/09/2026</t>
  </si>
  <si>
    <t>RSP003219</t>
  </si>
  <si>
    <t>RSP003457</t>
  </si>
  <si>
    <t>01/10/2025</t>
  </si>
  <si>
    <t>RSP003808</t>
  </si>
  <si>
    <t>04/06/2024</t>
  </si>
  <si>
    <t>RSP003835</t>
  </si>
  <si>
    <t>12-Jun-2024</t>
  </si>
  <si>
    <t>RSP003594</t>
  </si>
  <si>
    <t>RSP003446</t>
  </si>
  <si>
    <t>RSP003812</t>
  </si>
  <si>
    <t>RSP003245</t>
  </si>
  <si>
    <t>RSP003804</t>
  </si>
  <si>
    <t>2024-06-23</t>
  </si>
  <si>
    <t>RSP003110</t>
  </si>
  <si>
    <t>12.11.24</t>
  </si>
  <si>
    <t>RSP003287</t>
  </si>
  <si>
    <t>RSP003646</t>
  </si>
  <si>
    <t>RSP003742</t>
  </si>
  <si>
    <t>RSP003170</t>
  </si>
  <si>
    <t>01 April 2025</t>
  </si>
  <si>
    <t>RSP003625</t>
  </si>
  <si>
    <t>2025-04-10</t>
  </si>
  <si>
    <t>RSP003724</t>
  </si>
  <si>
    <t>RSP003843</t>
  </si>
  <si>
    <t>06 June 2024</t>
  </si>
  <si>
    <t>RSP003227</t>
  </si>
  <si>
    <t>RSP003873</t>
  </si>
  <si>
    <t>2024-06-24</t>
  </si>
  <si>
    <t>RSP003738</t>
  </si>
  <si>
    <t>RSP003098</t>
  </si>
  <si>
    <t>11/29/2024</t>
  </si>
  <si>
    <t>RSP003716</t>
  </si>
  <si>
    <t>RSP003498</t>
  </si>
  <si>
    <t>11/03/2025</t>
  </si>
  <si>
    <t>RSP003277</t>
  </si>
  <si>
    <t>RSP003629</t>
  </si>
  <si>
    <t>05-Apr-2025</t>
  </si>
  <si>
    <t>RSP003656</t>
  </si>
  <si>
    <t>23-Feb-2025</t>
  </si>
  <si>
    <t>RSP003794</t>
  </si>
  <si>
    <t>RSP003165</t>
  </si>
  <si>
    <t>03/18/2025</t>
  </si>
  <si>
    <t>RSP003018</t>
  </si>
  <si>
    <t>06-Dec-2024</t>
  </si>
  <si>
    <t>RSP003788</t>
  </si>
  <si>
    <t>2024-06-14</t>
  </si>
  <si>
    <t>RSP003899</t>
  </si>
  <si>
    <t>RSP003209</t>
  </si>
  <si>
    <t>RSP003393</t>
  </si>
  <si>
    <t>RSP003176</t>
  </si>
  <si>
    <t>2025-03-29</t>
  </si>
  <si>
    <t>RSP003659</t>
  </si>
  <si>
    <t>RSP003325</t>
  </si>
  <si>
    <t>25-Sep-2024</t>
  </si>
  <si>
    <t>RSP003599</t>
  </si>
  <si>
    <t>08-Mar-2025</t>
  </si>
  <si>
    <t>RSP003748</t>
  </si>
  <si>
    <t>RSP003024</t>
  </si>
  <si>
    <t>RSP003156</t>
  </si>
  <si>
    <t>07.04.25</t>
  </si>
  <si>
    <t>RSP003243</t>
  </si>
  <si>
    <t>RSP003363</t>
  </si>
  <si>
    <t>11/19/2024</t>
  </si>
  <si>
    <t>RSP003566</t>
  </si>
  <si>
    <t>08/10/2024</t>
  </si>
  <si>
    <t>RSP003274</t>
  </si>
  <si>
    <t>RSP003585</t>
  </si>
  <si>
    <t>RSP003619</t>
  </si>
  <si>
    <t>21 March 2025</t>
  </si>
  <si>
    <t>RSP003634</t>
  </si>
  <si>
    <t>24-Mar-2025</t>
  </si>
  <si>
    <t>RSP003226</t>
  </si>
  <si>
    <t>RSP003237</t>
  </si>
  <si>
    <t>RSP003247</t>
  </si>
  <si>
    <t>RSP003441</t>
  </si>
  <si>
    <t>10-Nov-2024</t>
  </si>
  <si>
    <t>RSP003292</t>
  </si>
  <si>
    <t>RSP003753</t>
  </si>
  <si>
    <t>RSP003640</t>
  </si>
  <si>
    <t>01.03.25</t>
  </si>
  <si>
    <t>RSP003734</t>
  </si>
  <si>
    <t>RSP003115</t>
  </si>
  <si>
    <t>09.12.24</t>
  </si>
  <si>
    <t>RSP003011</t>
  </si>
  <si>
    <t>23/11/2024</t>
  </si>
  <si>
    <t>RSP003870</t>
  </si>
  <si>
    <t>RSP003581</t>
  </si>
  <si>
    <t>11/10/2024</t>
  </si>
  <si>
    <t>RSP003897</t>
  </si>
  <si>
    <t>RSP003746</t>
  </si>
  <si>
    <t>RSP003434</t>
  </si>
  <si>
    <t>06 December 2024</t>
  </si>
  <si>
    <t>RSP003099</t>
  </si>
  <si>
    <t>RSP003853</t>
  </si>
  <si>
    <t>06/19/2024</t>
  </si>
  <si>
    <t>RSP003783</t>
  </si>
  <si>
    <t>RSP003815</t>
  </si>
  <si>
    <t>2024-06-16</t>
  </si>
  <si>
    <t>RSP003562</t>
  </si>
  <si>
    <t>RSP003854</t>
  </si>
  <si>
    <t>RSP003822</t>
  </si>
  <si>
    <t>£33.93</t>
  </si>
  <si>
    <t>RSP003072</t>
  </si>
  <si>
    <t>RSP003043</t>
  </si>
  <si>
    <t>RSP003056</t>
  </si>
  <si>
    <t>2024-11-13</t>
  </si>
  <si>
    <t>RSP003751</t>
  </si>
  <si>
    <t>RSP003126</t>
  </si>
  <si>
    <t>RSP003186</t>
  </si>
  <si>
    <t>RSP003144</t>
  </si>
  <si>
    <t>RSP003123</t>
  </si>
  <si>
    <t>2025-04-21</t>
  </si>
  <si>
    <t>RSP003777</t>
  </si>
  <si>
    <t>RSP003397</t>
  </si>
  <si>
    <t>RSP003448</t>
  </si>
  <si>
    <t>27/01/2025</t>
  </si>
  <si>
    <t>RSP003488</t>
  </si>
  <si>
    <t>28-Jan-2025</t>
  </si>
  <si>
    <t>RSP003111</t>
  </si>
  <si>
    <t>11.11.24</t>
  </si>
  <si>
    <t>RSP003610</t>
  </si>
  <si>
    <t>22/04/2025</t>
  </si>
  <si>
    <t>RSP003826</t>
  </si>
  <si>
    <t>RSP003644</t>
  </si>
  <si>
    <t>09/02/2025</t>
  </si>
  <si>
    <t>RSP003438</t>
  </si>
  <si>
    <t>2024-12-12</t>
  </si>
  <si>
    <t>RSP003053</t>
  </si>
  <si>
    <t>2024-11-20</t>
  </si>
  <si>
    <t>RSP003273</t>
  </si>
  <si>
    <t>RSP003204</t>
  </si>
  <si>
    <t>RSP003431</t>
  </si>
  <si>
    <t>RSP003725</t>
  </si>
  <si>
    <t>RSP003850</t>
  </si>
  <si>
    <t>RSP003284</t>
  </si>
  <si>
    <t>RSP003598</t>
  </si>
  <si>
    <t>28-Mar-2025</t>
  </si>
  <si>
    <t>RSP003714</t>
  </si>
  <si>
    <t>RSP003466</t>
  </si>
  <si>
    <t>RSP003507</t>
  </si>
  <si>
    <t>16-Feb-2025</t>
  </si>
  <si>
    <t>RSP003720</t>
  </si>
  <si>
    <t>RSP003194</t>
  </si>
  <si>
    <t>08.04.25</t>
  </si>
  <si>
    <t>RSP003069</t>
  </si>
  <si>
    <t>11 November 2024</t>
  </si>
  <si>
    <t>RSP003004</t>
  </si>
  <si>
    <t>RSP003821</t>
  </si>
  <si>
    <t>RSP003564</t>
  </si>
  <si>
    <t>07-Oct-2024</t>
  </si>
  <si>
    <t>RSP003386</t>
  </si>
  <si>
    <t>09-Dec-2024</t>
  </si>
  <si>
    <t>RSP003128</t>
  </si>
  <si>
    <t>19.03.25</t>
  </si>
  <si>
    <t>RSP003259</t>
  </si>
  <si>
    <t>RSP003074</t>
  </si>
  <si>
    <t>11/26/2024</t>
  </si>
  <si>
    <t>RSP003856</t>
  </si>
  <si>
    <t>26-Jun-2024</t>
  </si>
  <si>
    <t>RSP003261</t>
  </si>
  <si>
    <t>RSP003827</t>
  </si>
  <si>
    <t>2024-06-19</t>
  </si>
  <si>
    <t>RSP003817</t>
  </si>
  <si>
    <t>2024-06-12</t>
  </si>
  <si>
    <t>RSP003551</t>
  </si>
  <si>
    <t>10-Oct-2024</t>
  </si>
  <si>
    <t>RSP003471</t>
  </si>
  <si>
    <t>RSP003582</t>
  </si>
  <si>
    <t>RSP003782</t>
  </si>
  <si>
    <t>06.06.24</t>
  </si>
  <si>
    <t>RSP003496</t>
  </si>
  <si>
    <t>03/22/2025</t>
  </si>
  <si>
    <t>RSP003402</t>
  </si>
  <si>
    <t>10/18/2024</t>
  </si>
  <si>
    <t>RSP003252</t>
  </si>
  <si>
    <t>RSP003384</t>
  </si>
  <si>
    <t>27.10.24</t>
  </si>
  <si>
    <t>RSP003509</t>
  </si>
  <si>
    <t>30/03/2025</t>
  </si>
  <si>
    <t>RSP003664</t>
  </si>
  <si>
    <t>13 February 2025</t>
  </si>
  <si>
    <t>RSP003188</t>
  </si>
  <si>
    <t>2025-03-16</t>
  </si>
  <si>
    <t>RSP003795</t>
  </si>
  <si>
    <t>RSP003901</t>
  </si>
  <si>
    <t>06/08/2024</t>
  </si>
  <si>
    <t>RSP003763</t>
  </si>
  <si>
    <t>RSP003211</t>
  </si>
  <si>
    <t>RSP003881</t>
  </si>
  <si>
    <t>10-Jun-2024</t>
  </si>
  <si>
    <t>RSP003654</t>
  </si>
  <si>
    <t>RSP003299</t>
  </si>
  <si>
    <t>26.09.24</t>
  </si>
  <si>
    <t>RSP003121</t>
  </si>
  <si>
    <t>01/04/2025</t>
  </si>
  <si>
    <t>RSP003178</t>
  </si>
  <si>
    <t>14/03/2025</t>
  </si>
  <si>
    <t>RSP003533</t>
  </si>
  <si>
    <t>22-Feb-2025</t>
  </si>
  <si>
    <t>RSP003596</t>
  </si>
  <si>
    <t>RSP003474</t>
  </si>
  <si>
    <t>01/07/2025</t>
  </si>
  <si>
    <t>RSP003210</t>
  </si>
  <si>
    <t>RSP003866</t>
  </si>
  <si>
    <t>2024-06-29</t>
  </si>
  <si>
    <t>RSP003902</t>
  </si>
  <si>
    <t>11-Mar-2025</t>
  </si>
  <si>
    <t>RSP003556</t>
  </si>
  <si>
    <t>RSP003730</t>
  </si>
  <si>
    <t>RSP003875</t>
  </si>
  <si>
    <t>06/26/2024</t>
  </si>
  <si>
    <t>RSP003703</t>
  </si>
  <si>
    <t>RSP003704</t>
  </si>
  <si>
    <t>RSP003195</t>
  </si>
  <si>
    <t>16-Apr-2025</t>
  </si>
  <si>
    <t>RSP003303</t>
  </si>
  <si>
    <t>14.10.24</t>
  </si>
  <si>
    <t>RSP003806</t>
  </si>
  <si>
    <t>03/06/2024</t>
  </si>
  <si>
    <t>RSP003143</t>
  </si>
  <si>
    <t>2025-03-22</t>
  </si>
  <si>
    <t>RSP003628</t>
  </si>
  <si>
    <t>12-Apr-2025</t>
  </si>
  <si>
    <t>RSP003193</t>
  </si>
  <si>
    <t>21 April 2025</t>
  </si>
  <si>
    <t>RSP003675</t>
  </si>
  <si>
    <t>RSP003686</t>
  </si>
  <si>
    <t>RSP003435</t>
  </si>
  <si>
    <t>19.11.24</t>
  </si>
  <si>
    <t>RSP003613</t>
  </si>
  <si>
    <t>2025-03-14</t>
  </si>
  <si>
    <t>RSP003271</t>
  </si>
  <si>
    <t>RSP003286</t>
  </si>
  <si>
    <t>RSP003422</t>
  </si>
  <si>
    <t>RSP003693</t>
  </si>
  <si>
    <t>RSP003531</t>
  </si>
  <si>
    <t>23 January 2025</t>
  </si>
  <si>
    <t>RSP003344</t>
  </si>
  <si>
    <t>02/10/2024</t>
  </si>
  <si>
    <t>RSP003197</t>
  </si>
  <si>
    <t>RSP003314</t>
  </si>
  <si>
    <t>14.09.24</t>
  </si>
  <si>
    <t>RSP003357</t>
  </si>
  <si>
    <t>17.09.24</t>
  </si>
  <si>
    <t>RSP003196</t>
  </si>
  <si>
    <t>2025-03-15</t>
  </si>
  <si>
    <t>RSP003883</t>
  </si>
  <si>
    <t>RSP003246</t>
  </si>
  <si>
    <t>RSP003332</t>
  </si>
  <si>
    <t>2024-09-20</t>
  </si>
  <si>
    <t>RSP003321</t>
  </si>
  <si>
    <t>10/05/2024</t>
  </si>
  <si>
    <t>RSP003234</t>
  </si>
  <si>
    <t>RSP003885</t>
  </si>
  <si>
    <t>20-Jun-2024</t>
  </si>
  <si>
    <t>RSP003609</t>
  </si>
  <si>
    <t>RSP003296</t>
  </si>
  <si>
    <t>RSP003278</t>
  </si>
  <si>
    <t>RSP003275</t>
  </si>
  <si>
    <t>RSP003645</t>
  </si>
  <si>
    <t>18 April 2025</t>
  </si>
  <si>
    <t>RSP003258</t>
  </si>
  <si>
    <t>RSP003065</t>
  </si>
  <si>
    <t>14 November 2024</t>
  </si>
  <si>
    <t>RSP003647</t>
  </si>
  <si>
    <t>28 April 2025</t>
  </si>
  <si>
    <t>RSP003632</t>
  </si>
  <si>
    <t>03.04.25</t>
  </si>
  <si>
    <t>RSP003530</t>
  </si>
  <si>
    <t>31-Jan-2025</t>
  </si>
  <si>
    <t>RSP003546</t>
  </si>
  <si>
    <t>RSP003351</t>
  </si>
  <si>
    <t>10-Sep-2024</t>
  </si>
  <si>
    <t>RSP003502</t>
  </si>
  <si>
    <t>2025-03-07</t>
  </si>
  <si>
    <t>RSP003709</t>
  </si>
  <si>
    <t>RSP003094</t>
  </si>
  <si>
    <t>RSP003346</t>
  </si>
  <si>
    <t>14/10/2024</t>
  </si>
  <si>
    <t>RSP003481</t>
  </si>
  <si>
    <t>24.03.25</t>
  </si>
  <si>
    <t>RSP003141</t>
  </si>
  <si>
    <t>RSP003588</t>
  </si>
  <si>
    <t>RSP003677</t>
  </si>
  <si>
    <t>RSP003842</t>
  </si>
  <si>
    <t>06/30/2024</t>
  </si>
  <si>
    <t>RSP003814</t>
  </si>
  <si>
    <t>RSP003699</t>
  </si>
  <si>
    <t>RSP003574</t>
  </si>
  <si>
    <t>08/05/2026</t>
  </si>
  <si>
    <t>RSP003712</t>
  </si>
  <si>
    <t>RSP003604</t>
  </si>
  <si>
    <t>RSP003705</t>
  </si>
  <si>
    <t>RSP003776</t>
  </si>
  <si>
    <t>RSP003396</t>
  </si>
  <si>
    <t>03/11/2024</t>
  </si>
  <si>
    <t>RSP003500</t>
  </si>
  <si>
    <t>RSP003524</t>
  </si>
  <si>
    <t>25 January 2025</t>
  </si>
  <si>
    <t>RSP003482</t>
  </si>
  <si>
    <t>05.03.25</t>
  </si>
  <si>
    <t>RSP003316</t>
  </si>
  <si>
    <t>29.09.24</t>
  </si>
  <si>
    <t>RSP003335</t>
  </si>
  <si>
    <t>17 September 2024</t>
  </si>
  <si>
    <t>RSP003620</t>
  </si>
  <si>
    <t>RSP003549</t>
  </si>
  <si>
    <t>RSP003311</t>
  </si>
  <si>
    <t>RSP003350</t>
  </si>
  <si>
    <t>23 September 2024</t>
  </si>
  <si>
    <t>RSP003666</t>
  </si>
  <si>
    <t>RSP003476</t>
  </si>
  <si>
    <t>RSP003288</t>
  </si>
  <si>
    <t>RSP003403</t>
  </si>
  <si>
    <t>£13.02</t>
  </si>
  <si>
    <t>RSP003285</t>
  </si>
  <si>
    <t>RSP003379</t>
  </si>
  <si>
    <t>11-Nov-2024</t>
  </si>
  <si>
    <t>RSP003041</t>
  </si>
  <si>
    <t>23-Nov-2026</t>
  </si>
  <si>
    <t>RSP003657</t>
  </si>
  <si>
    <t>2025-03-06</t>
  </si>
  <si>
    <t>RSP003838</t>
  </si>
  <si>
    <t>RSP003895</t>
  </si>
  <si>
    <t>21.02.25</t>
  </si>
  <si>
    <t>RSP003796</t>
  </si>
  <si>
    <t>2024-06-13</t>
  </si>
  <si>
    <t>RSP003722</t>
  </si>
  <si>
    <t>RSP003087</t>
  </si>
  <si>
    <t>12/16/2024</t>
  </si>
  <si>
    <t>RSP003576</t>
  </si>
  <si>
    <t>RSP003068</t>
  </si>
  <si>
    <t>03-Nov-2024</t>
  </si>
  <si>
    <t>RSP003428</t>
  </si>
  <si>
    <t>RSP003032</t>
  </si>
  <si>
    <t>2024-11-10</t>
  </si>
  <si>
    <t>RSP003615</t>
  </si>
  <si>
    <t>24/04/2025</t>
  </si>
  <si>
    <t>RSP003444</t>
  </si>
  <si>
    <t>RSP003077</t>
  </si>
  <si>
    <t>2024-12-23</t>
  </si>
  <si>
    <t>RSP003792</t>
  </si>
  <si>
    <t>RSP003510</t>
  </si>
  <si>
    <t>RSP003295</t>
  </si>
  <si>
    <t>RSP003534</t>
  </si>
  <si>
    <t>03/11/2025</t>
  </si>
  <si>
    <t>RSP003614</t>
  </si>
  <si>
    <t>02/21/2025</t>
  </si>
  <si>
    <t>RSP003248</t>
  </si>
  <si>
    <t>RSP003162</t>
  </si>
  <si>
    <t>2025-03-23</t>
  </si>
  <si>
    <t>RSP003651</t>
  </si>
  <si>
    <t>RSP003774</t>
  </si>
  <si>
    <t>RSP003662</t>
  </si>
  <si>
    <t>14 April 2025</t>
  </si>
  <si>
    <t>RSP003871</t>
  </si>
  <si>
    <t>RSP003522</t>
  </si>
  <si>
    <t>02/10/2025</t>
  </si>
  <si>
    <t>RSP003810</t>
  </si>
  <si>
    <t>RSP003630</t>
  </si>
  <si>
    <t>03/01/2025</t>
  </si>
  <si>
    <t>RSP003907</t>
  </si>
  <si>
    <t>RSP003893</t>
  </si>
  <si>
    <t>RSP003767</t>
  </si>
  <si>
    <t>RSP003874</t>
  </si>
  <si>
    <t>RSP003621</t>
  </si>
  <si>
    <t>02/22/2025</t>
  </si>
  <si>
    <t>RSP003461</t>
  </si>
  <si>
    <t>RSP003401</t>
  </si>
  <si>
    <t>04.12.24</t>
  </si>
  <si>
    <t>RSP003383</t>
  </si>
  <si>
    <t>2024-10-16</t>
  </si>
  <si>
    <t>RSP003744</t>
  </si>
  <si>
    <t>RSP003688</t>
  </si>
  <si>
    <t>30/04/2025</t>
  </si>
  <si>
    <t>RSP003198</t>
  </si>
  <si>
    <t>04.04.25</t>
  </si>
  <si>
    <t>RSP003029</t>
  </si>
  <si>
    <t>03 December 2024</t>
  </si>
  <si>
    <t>RSP003405</t>
  </si>
  <si>
    <t>RSP003800</t>
  </si>
  <si>
    <t>12/06/2024</t>
  </si>
  <si>
    <t>RSP003329</t>
  </si>
  <si>
    <t>RSP003044</t>
  </si>
  <si>
    <t>2024-12-25</t>
  </si>
  <si>
    <t>RSP003443</t>
  </si>
  <si>
    <t>RSP003771</t>
  </si>
  <si>
    <t>RSP003062</t>
  </si>
  <si>
    <t>08-Nov-2024</t>
  </si>
  <si>
    <t>RSP003417</t>
  </si>
  <si>
    <t>RSP003269</t>
  </si>
  <si>
    <t>RSP003848</t>
  </si>
  <si>
    <t>24/06/2024</t>
  </si>
  <si>
    <t>RSP003231</t>
  </si>
  <si>
    <t>RSP003371</t>
  </si>
  <si>
    <t>RSP003641</t>
  </si>
  <si>
    <t>31.03.25</t>
  </si>
  <si>
    <t>RSP003860</t>
  </si>
  <si>
    <t>RSP003424</t>
  </si>
  <si>
    <t>11/02/2024</t>
  </si>
  <si>
    <t>RSP003772</t>
  </si>
  <si>
    <t>RSP003642</t>
  </si>
  <si>
    <t>RSP003253</t>
  </si>
  <si>
    <t>RSP003169</t>
  </si>
  <si>
    <t>24.04.25</t>
  </si>
  <si>
    <t>RSP003580</t>
  </si>
  <si>
    <t>RSP003075</t>
  </si>
  <si>
    <t>RSP003526</t>
  </si>
  <si>
    <t>16.03.25</t>
  </si>
  <si>
    <t>RSP003908</t>
  </si>
  <si>
    <t>07/03/2025</t>
  </si>
  <si>
    <t>RSP003070</t>
  </si>
  <si>
    <t>2024-11-19</t>
  </si>
  <si>
    <t>RSP003779</t>
  </si>
  <si>
    <t>2024-06-26</t>
  </si>
  <si>
    <t>RSP003882</t>
  </si>
  <si>
    <t>RSP003149</t>
  </si>
  <si>
    <t>04/08/2025</t>
  </si>
  <si>
    <t>RSP003523</t>
  </si>
  <si>
    <t>RSP003879</t>
  </si>
  <si>
    <t>RSP003131</t>
  </si>
  <si>
    <t>06 April 2025</t>
  </si>
  <si>
    <t>RSP003684</t>
  </si>
  <si>
    <t>07 April 2025</t>
  </si>
  <si>
    <t>RSP003150</t>
  </si>
  <si>
    <t>2025-03-31</t>
  </si>
  <si>
    <t>RSP003073</t>
  </si>
  <si>
    <t>RSP003824</t>
  </si>
  <si>
    <t>01.06.24</t>
  </si>
  <si>
    <t>RSP003880</t>
  </si>
  <si>
    <t>14-Jun-2024</t>
  </si>
  <si>
    <t>RSP003555</t>
  </si>
  <si>
    <t>RSP003643</t>
  </si>
  <si>
    <t>17.03.25</t>
  </si>
  <si>
    <t>RSP003649</t>
  </si>
  <si>
    <t>RSP003567</t>
  </si>
  <si>
    <t>RSP003398</t>
  </si>
  <si>
    <t>12/14/2024</t>
  </si>
  <si>
    <t>RSP003177</t>
  </si>
  <si>
    <t>28.03.25</t>
  </si>
  <si>
    <t>RSP003102</t>
  </si>
  <si>
    <t>11/13/2024</t>
  </si>
  <si>
    <t>RSP003220</t>
  </si>
  <si>
    <t>RSP003491</t>
  </si>
  <si>
    <t>2025-03-21</t>
  </si>
  <si>
    <t>RSP003490</t>
  </si>
  <si>
    <t>Campaign_Type</t>
  </si>
  <si>
    <t>Target_Audience</t>
  </si>
  <si>
    <t>Start_Date</t>
  </si>
  <si>
    <t>End_Date</t>
  </si>
  <si>
    <t>Budget_GBP</t>
  </si>
  <si>
    <t>Primary_Channel</t>
  </si>
  <si>
    <t>Appeal</t>
  </si>
  <si>
    <t>All Active</t>
  </si>
  <si>
    <t>2024-11-01</t>
  </si>
  <si>
    <t>2024-12-31</t>
  </si>
  <si>
    <t>Multi-channel</t>
  </si>
  <si>
    <t>Raffle</t>
  </si>
  <si>
    <t>Regular Givers</t>
  </si>
  <si>
    <t>2025-03-01</t>
  </si>
  <si>
    <t>2025-04-30</t>
  </si>
  <si>
    <t>Major Donors</t>
  </si>
  <si>
    <t>All Supporters</t>
  </si>
  <si>
    <t>2024-09-10</t>
  </si>
  <si>
    <t>2024-10-15</t>
  </si>
  <si>
    <t>Trading</t>
  </si>
  <si>
    <t>Regular Giving</t>
  </si>
  <si>
    <t>One-time Donors</t>
  </si>
  <si>
    <t>2025-01-06</t>
  </si>
  <si>
    <t>Legacy</t>
  </si>
  <si>
    <t>Over 55s</t>
  </si>
  <si>
    <t>Acquisition</t>
  </si>
  <si>
    <t>Prospects</t>
  </si>
  <si>
    <t>2025-02-01</t>
  </si>
  <si>
    <t>Volunteers</t>
  </si>
  <si>
    <t>Stewardship</t>
  </si>
  <si>
    <t>2024-06-30</t>
  </si>
  <si>
    <t xml:space="preserve"> </t>
  </si>
  <si>
    <t>Table</t>
  </si>
  <si>
    <t>Column</t>
  </si>
  <si>
    <t xml:space="preserve">Supporter_ID </t>
  </si>
  <si>
    <t>Column1</t>
  </si>
  <si>
    <t>Dr</t>
  </si>
  <si>
    <t>Row Labels</t>
  </si>
  <si>
    <t>Grand Total</t>
  </si>
  <si>
    <t/>
  </si>
  <si>
    <t>01onal4883851</t>
  </si>
  <si>
    <t>0208095067</t>
  </si>
  <si>
    <t>Phone_Clean</t>
  </si>
  <si>
    <t>Phone_Flags</t>
  </si>
  <si>
    <t>Phone_Raw</t>
  </si>
  <si>
    <t>Issues Identified</t>
  </si>
  <si>
    <t>Resolution</t>
  </si>
  <si>
    <t>Supporters</t>
  </si>
  <si>
    <t>Category</t>
  </si>
  <si>
    <r>
      <t xml:space="preserve">Standardised using Find &amp; Replace (Mr. </t>
    </r>
    <r>
      <rPr>
        <sz val="11"/>
        <color theme="1"/>
        <rFont val="Aptos Narrow"/>
        <family val="2"/>
      </rPr>
      <t>→</t>
    </r>
    <r>
      <rPr>
        <sz val="11"/>
        <color theme="1"/>
        <rFont val="Calibri"/>
        <family val="2"/>
      </rPr>
      <t xml:space="preserve"> Mr, DR </t>
    </r>
    <r>
      <rPr>
        <sz val="11"/>
        <color theme="1"/>
        <rFont val="Aptos Narrow"/>
        <family val="2"/>
      </rPr>
      <t>→</t>
    </r>
    <r>
      <rPr>
        <sz val="11"/>
        <color theme="1"/>
        <rFont val="Calibri"/>
        <family val="2"/>
      </rPr>
      <t xml:space="preserve"> Dr)</t>
    </r>
  </si>
  <si>
    <t>Consistency</t>
  </si>
  <si>
    <t>First_Name &amp; Last Name</t>
  </si>
  <si>
    <t>Multiple formats (0129) 5741 2307, +44</t>
  </si>
  <si>
    <t>Accuracy</t>
  </si>
  <si>
    <t>Inconsistent formatting (Mr., DR, Mrs.)</t>
  </si>
  <si>
    <t>Completeness</t>
  </si>
  <si>
    <t>Address_Line</t>
  </si>
  <si>
    <t>Door-To-Door</t>
  </si>
  <si>
    <t>One-Time Donor</t>
  </si>
  <si>
    <t>Age</t>
  </si>
  <si>
    <t>Age_Band`</t>
  </si>
  <si>
    <t>Communication_Preference_Flag</t>
  </si>
  <si>
    <t>Mixed casing and extra whitespaces (john, SARAH)</t>
  </si>
  <si>
    <t>Cleaned using TRIM, PROPER, and CLEAN functions</t>
  </si>
  <si>
    <t>Mixed casing and missing email addresses (30 records)</t>
  </si>
  <si>
    <t>Consistency/Completeness</t>
  </si>
  <si>
    <t>Standardised format using Substitute and IF Function</t>
  </si>
  <si>
    <t>Multiple date formats (DD/MM/YYYY, MM/DD/YYYY, YYYY-MM-DD, DD.MM.YY, text dates)</t>
  </si>
  <si>
    <t>Missing values retained as blank, future dates flagged for review</t>
  </si>
  <si>
    <t>Completeness/Accuracy</t>
  </si>
  <si>
    <t>Potential extra spaces and hidden characters</t>
  </si>
  <si>
    <t>Missing postcode values (21 records). Extra whitespaces and characters (EC1A  1BB, ---)</t>
  </si>
  <si>
    <t>Retained missing postcodes as blank, cleaned the characters, whitespaces and casing using Find &amp; Replace, TRIM and UPPER</t>
  </si>
  <si>
    <t>Address_Line_1, Town, County, Acquisition_Source, Segment</t>
  </si>
  <si>
    <t>Communication_Preference &amp; Opt_Ins</t>
  </si>
  <si>
    <t>Compliance</t>
  </si>
  <si>
    <t>Email_Opt_In, Mail_Opt_In, Phone_Opt_In, SMS_Opt_In</t>
  </si>
  <si>
    <t xml:space="preserve">Payment_Method </t>
  </si>
  <si>
    <t>Gift_Flag</t>
  </si>
  <si>
    <t>Support_ID_Flag</t>
  </si>
  <si>
    <t>DOB_Flag</t>
  </si>
  <si>
    <t>Age_Band</t>
  </si>
  <si>
    <t>Response_Date_Flag</t>
  </si>
  <si>
    <t>Campaign_Responses</t>
  </si>
  <si>
    <t>Campaign Name</t>
  </si>
  <si>
    <t>Spelling inconsistencies and casing variations (Winter Appael, winter appeal)</t>
  </si>
  <si>
    <t>Corrected using Find &amp; Replace</t>
  </si>
  <si>
    <t>Inconsistent channel labels (Email, email, DM, online)</t>
  </si>
  <si>
    <t>Standardised values using Find &amp; Replace</t>
  </si>
  <si>
    <t>Converted to Excel date using Text to Columns (DMY) and standardised display to ISO format yyyy-mm-dd</t>
  </si>
  <si>
    <t>Some response dates are in the future</t>
  </si>
  <si>
    <t xml:space="preserve">Flagged using Response_Date_Flag column </t>
  </si>
  <si>
    <t>5 rows stored as text with "£" prefix instead of numeric</t>
  </si>
  <si>
    <t>Stripped the currency symbol and ensured column stored as numeric</t>
  </si>
  <si>
    <t>Negative gift amounts (likely refunds/cancellations)</t>
  </si>
  <si>
    <t xml:space="preserve">Retained as-is but flagged in Gift_Amount_Flag. </t>
  </si>
  <si>
    <t>1 unusually large gift of £50,000 was detected</t>
  </si>
  <si>
    <t>Retained but flagged in Gift_Flag.</t>
  </si>
  <si>
    <t>Some response records are missing the supporter ID</t>
  </si>
  <si>
    <t>Flagged using Supporter_ID_Flag column</t>
  </si>
  <si>
    <t>Integrity</t>
  </si>
  <si>
    <t>Campaign_Master</t>
  </si>
  <si>
    <t>All Columns</t>
  </si>
  <si>
    <t>Table generally clean. Date fields required format standardisation</t>
  </si>
  <si>
    <t>Converted Start_Date and End_Date to Excel date format using Text to Columns (YMD) and standardised to ISO format yyyy-mm-dd</t>
  </si>
  <si>
    <t>50-64</t>
  </si>
  <si>
    <t>65+</t>
  </si>
  <si>
    <t>Review - corrupt phone number</t>
  </si>
  <si>
    <t>Review - prefers post but not opted in</t>
  </si>
  <si>
    <t>Review - prefers email but not opted in</t>
  </si>
  <si>
    <t>35-49</t>
  </si>
  <si>
    <t>Review - prefers phone but not opted in</t>
  </si>
  <si>
    <t>Records flagged in Duplicate_Profile_Flag and investigated in the Supporter_Duplicate sheet. All the records were retained to avoid breaking joins with campaign responses</t>
  </si>
  <si>
    <t>Duplicate_Profile_Flag</t>
  </si>
  <si>
    <t>Review - duplicate record, see Supporter_Duplicates tab</t>
  </si>
  <si>
    <t>DNC_Flag</t>
  </si>
  <si>
    <t>Preference_Compliance_Flag</t>
  </si>
  <si>
    <t>Gift_Value_With_GiftAid</t>
  </si>
  <si>
    <t>Supporter_Link_Flag</t>
  </si>
  <si>
    <t>Campaign_Link_Flag</t>
  </si>
  <si>
    <t>Date_Range_Flag</t>
  </si>
  <si>
    <t>Standardised using TRIM and LOWER fnctions, missing emails were retained as blank</t>
  </si>
  <si>
    <t>Potential duplicate supporter records identified using repeated email addresses</t>
  </si>
  <si>
    <t>Corrupted entries ("onal") and numbers exceeding expected digit length</t>
  </si>
  <si>
    <t>Flagged in Phone_Flag column for review, original values retained</t>
  </si>
  <si>
    <t>Mixed values (Y, N, TRUE, 1, 0, yes, no)</t>
  </si>
  <si>
    <t>Standardised to Yes/No using Find &amp; Replace</t>
  </si>
  <si>
    <t>Some preferred channels do not match the relevant opt-in-status</t>
  </si>
  <si>
    <t>Flagged in Preference_Compliance_Flag columnfor review</t>
  </si>
  <si>
    <t>Converted values to Excel date format using Text to Columns (DMY) and standardised display to yyyy-mm-dd</t>
  </si>
  <si>
    <t>Missing DOB values (24 records) and some future DOB</t>
  </si>
  <si>
    <t>Email/Supporter profile</t>
  </si>
  <si>
    <t>Merged_Analysis</t>
  </si>
  <si>
    <t>Join Structure</t>
  </si>
  <si>
    <t>Combined the 3 sheets after data preparation</t>
  </si>
  <si>
    <t>Used Supported_ID and Campaign_Code as join keys using XLOOKUP</t>
  </si>
  <si>
    <t>Response_Date vs campaingn dates</t>
  </si>
  <si>
    <t>Some responses fall outside campaign start/end dates</t>
  </si>
  <si>
    <t>Flagged in Date_Range_Flag for review rather than overwritten</t>
  </si>
  <si>
    <t>Accuracy/Integrity</t>
  </si>
  <si>
    <t>Gift_Aid_Eligible/Gift_Amount</t>
  </si>
  <si>
    <t>Raw donation value understated where Gift Aid applies</t>
  </si>
  <si>
    <t>Added Gift_Value_With_GiftAid calculated field to reflect estimated total income value</t>
  </si>
  <si>
    <t>Total Income</t>
  </si>
  <si>
    <t>Responses</t>
  </si>
  <si>
    <t>Avg Gift</t>
  </si>
  <si>
    <t>Campaign Budget</t>
  </si>
  <si>
    <t>ROI</t>
  </si>
  <si>
    <t>Total Icome</t>
  </si>
  <si>
    <t>Total Income (incl GiftAid)</t>
  </si>
  <si>
    <t>18-34</t>
  </si>
  <si>
    <t>Segments</t>
  </si>
  <si>
    <t>Age_Band_Clean</t>
  </si>
  <si>
    <t>Average of Total Income (incl GiftAid)</t>
  </si>
  <si>
    <t>u</t>
  </si>
  <si>
    <t>Analysis Preparation</t>
  </si>
  <si>
    <t>Once the outlier is sorted, WA24 will have 1.36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</si>
</sst>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-[$£-809]* #,##0.00_-;\-[$£-809]* #,##0.00_-;_-[$£-809]* &quot;-&quot;??_-;_-@_-"/>
    <numFmt numFmtId="166" formatCode="_(&quot;$&quot;* #,##0.0_);_(&quot;$&quot;* \(#,##0.0\);_(&quot;$&quot;* &quot;-&quot;??_);_(@_)"/>
    <numFmt numFmtId="167" formatCode="0.0&quot;x&quot;"/>
    <numFmt numFmtId="168" formatCode="_-[$£-809]* #,##0_-;\-[$£-809]* #,##0_-;_-[$£-809]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2E75B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1" fillId="2" borderId="5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164" fontId="2" fillId="0" borderId="8" xfId="0" applyNumberFormat="1" applyFont="1" applyBorder="1"/>
    <xf numFmtId="164" fontId="0" fillId="0" borderId="0" xfId="0" applyNumberFormat="1"/>
    <xf numFmtId="1" fontId="0" fillId="0" borderId="0" xfId="0" applyNumberFormat="1"/>
    <xf numFmtId="0" fontId="2" fillId="0" borderId="5" xfId="0" applyFont="1" applyBorder="1"/>
    <xf numFmtId="0" fontId="1" fillId="3" borderId="5" xfId="0" applyFont="1" applyFill="1" applyBorder="1" applyAlignment="1">
      <alignment horizontal="center" vertical="center" wrapText="1"/>
    </xf>
    <xf numFmtId="0" fontId="2" fillId="0" borderId="0" xfId="0" applyFont="1"/>
    <xf numFmtId="43" fontId="1" fillId="2" borderId="5" xfId="1" applyFont="1" applyFill="1" applyBorder="1" applyAlignment="1">
      <alignment horizontal="center" vertical="center" wrapText="1"/>
    </xf>
    <xf numFmtId="43" fontId="0" fillId="0" borderId="0" xfId="1" applyFont="1"/>
    <xf numFmtId="43" fontId="0" fillId="0" borderId="0" xfId="0" applyNumberFormat="1"/>
    <xf numFmtId="2" fontId="2" fillId="0" borderId="1" xfId="1" applyNumberFormat="1" applyFont="1" applyBorder="1"/>
    <xf numFmtId="2" fontId="2" fillId="0" borderId="8" xfId="1" applyNumberFormat="1" applyFont="1" applyBorder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" fontId="2" fillId="0" borderId="1" xfId="0" applyNumberFormat="1" applyFont="1" applyBorder="1"/>
    <xf numFmtId="1" fontId="2" fillId="0" borderId="8" xfId="0" applyNumberFormat="1" applyFont="1" applyBorder="1"/>
    <xf numFmtId="165" fontId="0" fillId="0" borderId="0" xfId="0" applyNumberFormat="1"/>
    <xf numFmtId="166" fontId="0" fillId="0" borderId="0" xfId="2" applyNumberFormat="1" applyFont="1"/>
    <xf numFmtId="167" fontId="4" fillId="0" borderId="0" xfId="3" applyNumberFormat="1" applyFont="1" applyAlignment="1">
      <alignment horizontal="center" vertical="center"/>
    </xf>
    <xf numFmtId="167" fontId="0" fillId="0" borderId="0" xfId="3" applyNumberFormat="1" applyFont="1"/>
    <xf numFmtId="0" fontId="0" fillId="0" borderId="0" xfId="3" applyNumberFormat="1" applyFont="1"/>
    <xf numFmtId="168" fontId="0" fillId="0" borderId="0" xfId="0" applyNumberFormat="1"/>
    <xf numFmtId="0" fontId="4" fillId="4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horizontal="left"/>
    </xf>
    <xf numFmtId="165" fontId="0" fillId="5" borderId="0" xfId="0" applyNumberForma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27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numFmt numFmtId="168" formatCode="_-[$£-809]* #,##0_-;\-[$£-809]* #,##0_-;_-[$£-809]* &quot;-&quot;??_-;_-@_-"/>
    </dxf>
    <dxf>
      <numFmt numFmtId="168" formatCode="_-[$£-809]* #,##0_-;\-[$£-809]* #,##0_-;_-[$£-809]* &quot;-&quot;??_-;_-@_-"/>
    </dxf>
    <dxf>
      <numFmt numFmtId="168" formatCode="_-[$£-809]* #,##0_-;\-[$£-809]* #,##0_-;_-[$£-809]* &quot;-&quot;??_-;_-@_-"/>
    </dxf>
    <dxf>
      <numFmt numFmtId="168" formatCode="_-[$£-809]* #,##0_-;\-[$£-809]* #,##0_-;_-[$£-809]* &quot;-&quot;??_-;_-@_-"/>
    </dxf>
    <dxf>
      <numFmt numFmtId="168" formatCode="_-[$£-809]* #,##0_-;\-[$£-809]* #,##0_-;_-[$£-809]* &quot;-&quot;??_-;_-@_-"/>
    </dxf>
    <dxf>
      <numFmt numFmtId="168" formatCode="_-[$£-809]* #,##0_-;\-[$£-809]* #,##0_-;_-[$£-809]* &quot;-&quot;??_-;_-@_-"/>
    </dxf>
    <dxf>
      <numFmt numFmtId="168" formatCode="_-[$£-809]* #,##0_-;\-[$£-809]* #,##0_-;_-[$£-809]* &quot;-&quot;??_-;_-@_-"/>
    </dxf>
    <dxf>
      <numFmt numFmtId="168" formatCode="_-[$£-809]* #,##0_-;\-[$£-809]* #,##0_-;_-[$£-809]* &quot;-&quot;??_-;_-@_-"/>
    </dxf>
    <dxf>
      <numFmt numFmtId="165" formatCode="_-[$£-809]* #,##0.00_-;\-[$£-809]* #,##0.00_-;_-[$£-809]* &quot;-&quot;??_-;_-@_-"/>
    </dxf>
    <dxf>
      <numFmt numFmtId="168" formatCode="_-[$£-809]* #,##0_-;\-[$£-809]* #,##0_-;_-[$£-809]* &quot;-&quot;??_-;_-@_-"/>
    </dxf>
    <dxf>
      <numFmt numFmtId="168" formatCode="_-[$£-809]* #,##0_-;\-[$£-809]* #,##0_-;_-[$£-809]* &quot;-&quot;??_-;_-@_-"/>
    </dxf>
    <dxf>
      <numFmt numFmtId="167" formatCode="0.0&quot;x&quot;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4" formatCode="yyyy\-mm\-dd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alignment horizontal="general" vertical="center" textRotation="0" wrapText="0" indent="0" justifyLastLine="0" shrinkToFit="0" readingOrder="0"/>
    </dxf>
    <dxf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Fundraising Income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Campaign_Performance!$I$3</c:f>
              <c:strCache>
                <c:ptCount val="1"/>
                <c:pt idx="0">
                  <c:v> Total Income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£0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Campaign_Performance!$H$4:$H$13</c:f>
              <c:strCache>
                <c:ptCount val="10"/>
                <c:pt idx="0">
                  <c:v>Winter Appeal 2024</c:v>
                </c:pt>
                <c:pt idx="1">
                  <c:v>Summer Gala 2024</c:v>
                </c:pt>
                <c:pt idx="2">
                  <c:v>Digital Acquisition Spring</c:v>
                </c:pt>
                <c:pt idx="3">
                  <c:v>Annual Report Mailing</c:v>
                </c:pt>
                <c:pt idx="4">
                  <c:v>Spring Raffle 2025</c:v>
                </c:pt>
                <c:pt idx="5">
                  <c:v>Christmas Gift Catalogue</c:v>
                </c:pt>
                <c:pt idx="6">
                  <c:v>Monthly Giving Drive Q1</c:v>
                </c:pt>
                <c:pt idx="7">
                  <c:v>Emergency Appeal - Flood Relief</c:v>
                </c:pt>
                <c:pt idx="8">
                  <c:v>Volunteer Thank You Dinner</c:v>
                </c:pt>
                <c:pt idx="9">
                  <c:v>Legacy Awareness Week</c:v>
                </c:pt>
              </c:strCache>
            </c:strRef>
          </c:cat>
          <c:val>
            <c:numRef>
              <c:f>Campaign_Performance!$I$4:$I$13</c:f>
              <c:numCache>
                <c:formatCode>_-[$£-809]* #,##0.00_-;\-[$£-809]* #,##0.00_-;_-[$£-809]* "-"??_-;_-@_-</c:formatCode>
                <c:ptCount val="10"/>
                <c:pt idx="0">
                  <c:v>109036.06250000009</c:v>
                </c:pt>
                <c:pt idx="1">
                  <c:v>66208.055000000037</c:v>
                </c:pt>
                <c:pt idx="2">
                  <c:v>58237.210000000006</c:v>
                </c:pt>
                <c:pt idx="3">
                  <c:v>45578.637500000019</c:v>
                </c:pt>
                <c:pt idx="4">
                  <c:v>33612.587500000001</c:v>
                </c:pt>
                <c:pt idx="5">
                  <c:v>29262.817499999997</c:v>
                </c:pt>
                <c:pt idx="6">
                  <c:v>29077.237499999992</c:v>
                </c:pt>
                <c:pt idx="7">
                  <c:v>27002.600000000002</c:v>
                </c:pt>
                <c:pt idx="8">
                  <c:v>24850.99</c:v>
                </c:pt>
                <c:pt idx="9">
                  <c:v>14098.385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4-4272-8D5D-53392AA4D4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6889168"/>
        <c:axId val="196909808"/>
      </c:barChart>
      <c:catAx>
        <c:axId val="196889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09808"/>
        <c:crosses val="autoZero"/>
        <c:auto val="1"/>
        <c:lblAlgn val="ctr"/>
        <c:lblOffset val="100"/>
        <c:noMultiLvlLbl val="0"/>
      </c:catAx>
      <c:valAx>
        <c:axId val="196909808"/>
        <c:scaling>
          <c:orientation val="minMax"/>
        </c:scaling>
        <c:delete val="1"/>
        <c:axPos val="t"/>
        <c:numFmt formatCode="\£0,\ &quot;K&quot;" sourceLinked="0"/>
        <c:majorTickMark val="none"/>
        <c:minorTickMark val="none"/>
        <c:tickLblPos val="nextTo"/>
        <c:crossAx val="19688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Campaign Return on Investment (ROI)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Campaign_ROI!$J$3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Campaign_ROI!$I$4:$I$13</c:f>
              <c:strCache>
                <c:ptCount val="10"/>
                <c:pt idx="0">
                  <c:v>Volunteer Thank You Dinner</c:v>
                </c:pt>
                <c:pt idx="1">
                  <c:v>Annual Report Mailing</c:v>
                </c:pt>
                <c:pt idx="2">
                  <c:v>Winter Appeal 2024</c:v>
                </c:pt>
                <c:pt idx="3">
                  <c:v>Spring Raffle 2025</c:v>
                </c:pt>
                <c:pt idx="4">
                  <c:v>Digital Acquisition Spring</c:v>
                </c:pt>
                <c:pt idx="5">
                  <c:v>Monthly Giving Drive Q1</c:v>
                </c:pt>
                <c:pt idx="6">
                  <c:v>Legacy Awareness Week</c:v>
                </c:pt>
                <c:pt idx="7">
                  <c:v>Christmas Gift Catalogue</c:v>
                </c:pt>
                <c:pt idx="8">
                  <c:v>Emergency Appeal - Flood Relief</c:v>
                </c:pt>
                <c:pt idx="9">
                  <c:v>Summer Gala 2024</c:v>
                </c:pt>
              </c:strCache>
            </c:strRef>
          </c:cat>
          <c:val>
            <c:numRef>
              <c:f>Campaign_ROI!$J$4:$J$13</c:f>
              <c:numCache>
                <c:formatCode>0.0"x"</c:formatCode>
                <c:ptCount val="10"/>
                <c:pt idx="0">
                  <c:v>6.100282857142858</c:v>
                </c:pt>
                <c:pt idx="1">
                  <c:v>5.5112339285714302</c:v>
                </c:pt>
                <c:pt idx="2">
                  <c:v>3.3614425000000034</c:v>
                </c:pt>
                <c:pt idx="3">
                  <c:v>3.2015734375</c:v>
                </c:pt>
                <c:pt idx="4">
                  <c:v>1.9118605</c:v>
                </c:pt>
                <c:pt idx="5">
                  <c:v>1.9077237499999993</c:v>
                </c:pt>
                <c:pt idx="6">
                  <c:v>1.819677</c:v>
                </c:pt>
                <c:pt idx="7">
                  <c:v>1.4385681249999998</c:v>
                </c:pt>
                <c:pt idx="8">
                  <c:v>0.80017333333333351</c:v>
                </c:pt>
                <c:pt idx="9">
                  <c:v>0.47129011111111191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A-454C-A590-3CFE0D106E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126666767"/>
        <c:axId val="2126665807"/>
      </c:barChart>
      <c:catAx>
        <c:axId val="21266667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65807"/>
        <c:crosses val="autoZero"/>
        <c:auto val="1"/>
        <c:lblAlgn val="ctr"/>
        <c:lblOffset val="100"/>
        <c:noMultiLvlLbl val="0"/>
      </c:catAx>
      <c:valAx>
        <c:axId val="2126665807"/>
        <c:scaling>
          <c:orientation val="minMax"/>
        </c:scaling>
        <c:delete val="1"/>
        <c:axPos val="t"/>
        <c:numFmt formatCode="0.0&quot;x&quot;" sourceLinked="1"/>
        <c:majorTickMark val="none"/>
        <c:minorTickMark val="none"/>
        <c:tickLblPos val="nextTo"/>
        <c:crossAx val="212666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Fundraising Income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£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Channel_Performance!$I$4:$I$9</c:f>
              <c:strCache>
                <c:ptCount val="6"/>
                <c:pt idx="0">
                  <c:v>Email</c:v>
                </c:pt>
                <c:pt idx="1">
                  <c:v>Direct Mail</c:v>
                </c:pt>
                <c:pt idx="2">
                  <c:v>Digital</c:v>
                </c:pt>
                <c:pt idx="3">
                  <c:v>SMS</c:v>
                </c:pt>
                <c:pt idx="4">
                  <c:v>Social Media</c:v>
                </c:pt>
                <c:pt idx="5">
                  <c:v>Telephone</c:v>
                </c:pt>
              </c:strCache>
            </c:strRef>
          </c:cat>
          <c:val>
            <c:numRef>
              <c:f>Channel_Performance!$J$4:$J$9</c:f>
              <c:numCache>
                <c:formatCode>_-[$£-809]* #,##0_-;\-[$£-809]* #,##0_-;_-[$£-809]* "-"??_-;_-@_-</c:formatCode>
                <c:ptCount val="6"/>
                <c:pt idx="0">
                  <c:v>148770.54249999998</c:v>
                </c:pt>
                <c:pt idx="1">
                  <c:v>138412.22750000004</c:v>
                </c:pt>
                <c:pt idx="2">
                  <c:v>95968.059999999954</c:v>
                </c:pt>
                <c:pt idx="3">
                  <c:v>33698.287500000013</c:v>
                </c:pt>
                <c:pt idx="4">
                  <c:v>17777.630000000005</c:v>
                </c:pt>
                <c:pt idx="5">
                  <c:v>2337.835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4-438A-A500-21FAEFEECF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6683087"/>
        <c:axId val="2126669647"/>
      </c:barChart>
      <c:catAx>
        <c:axId val="212668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69647"/>
        <c:crosses val="autoZero"/>
        <c:auto val="1"/>
        <c:lblAlgn val="ctr"/>
        <c:lblOffset val="100"/>
        <c:noMultiLvlLbl val="0"/>
      </c:catAx>
      <c:valAx>
        <c:axId val="2126669647"/>
        <c:scaling>
          <c:orientation val="minMax"/>
        </c:scaling>
        <c:delete val="1"/>
        <c:axPos val="l"/>
        <c:numFmt formatCode="_-[$£-809]* #,##0_-;\-[$£-809]* #,##0_-;_-[$£-809]* &quot;-&quot;??_-;_-@_-" sourceLinked="1"/>
        <c:majorTickMark val="none"/>
        <c:minorTickMark val="none"/>
        <c:tickLblPos val="nextTo"/>
        <c:crossAx val="212668308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[Ismail_Olatunji_WVS_Analyst_Test_Dataset.xlsx]Segment_Performance!PivotTable13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Fundraising Income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£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Segment_Performance!$B$3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£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Segment_Performance!$A$4:$A$11</c:f>
              <c:strCache>
                <c:ptCount val="7"/>
                <c:pt idx="0">
                  <c:v>Major Donor</c:v>
                </c:pt>
                <c:pt idx="1">
                  <c:v>One-Time Donor</c:v>
                </c:pt>
                <c:pt idx="2">
                  <c:v>Legacy Pledger</c:v>
                </c:pt>
                <c:pt idx="3">
                  <c:v>Mid-Value</c:v>
                </c:pt>
                <c:pt idx="4">
                  <c:v>Lapsed</c:v>
                </c:pt>
                <c:pt idx="5">
                  <c:v>Regular Giver</c:v>
                </c:pt>
                <c:pt idx="6">
                  <c:v>Prospect</c:v>
                </c:pt>
              </c:strCache>
            </c:strRef>
          </c:cat>
          <c:val>
            <c:numRef>
              <c:f>Segment_Performance!$B$4:$B$11</c:f>
              <c:numCache>
                <c:formatCode>_-[$£-809]* #,##0_-;\-[$£-809]* #,##0_-;_-[$£-809]* "-"??_-;_-@_-</c:formatCode>
                <c:ptCount val="7"/>
                <c:pt idx="0">
                  <c:v>288703.38499999978</c:v>
                </c:pt>
                <c:pt idx="1">
                  <c:v>61706.267500000009</c:v>
                </c:pt>
                <c:pt idx="2">
                  <c:v>42279.602500000008</c:v>
                </c:pt>
                <c:pt idx="3">
                  <c:v>19012.185000000005</c:v>
                </c:pt>
                <c:pt idx="4">
                  <c:v>7626.1224999999949</c:v>
                </c:pt>
                <c:pt idx="5">
                  <c:v>4894.9474999999984</c:v>
                </c:pt>
                <c:pt idx="6">
                  <c:v>2776.6150000000016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E-49DD-9AB1-E824969723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579296"/>
        <c:axId val="190596096"/>
      </c:barChart>
      <c:catAx>
        <c:axId val="19057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96096"/>
        <c:crosses val="autoZero"/>
        <c:auto val="1"/>
        <c:lblAlgn val="ctr"/>
        <c:lblOffset val="100"/>
        <c:noMultiLvlLbl val="0"/>
      </c:catAx>
      <c:valAx>
        <c:axId val="190596096"/>
        <c:scaling>
          <c:orientation val="minMax"/>
        </c:scaling>
        <c:delete val="1"/>
        <c:axPos val="l"/>
        <c:numFmt formatCode="_-[$£-809]* #,##0_-;\-[$£-809]* #,##0_-;_-[$£-809]* &quot;-&quot;??_-;_-@_-" sourceLinked="1"/>
        <c:majorTickMark val="out"/>
        <c:minorTickMark val="none"/>
        <c:tickLblPos val="nextTo"/>
        <c:crossAx val="19057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[Ismail_Olatunji_WVS_Analyst_Test_Dataset.xlsx]Geography_Analysis!PivotTable14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5 Counties by Fundraising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£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Geography_Analysis!$B$3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£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Geography_Analysis!$A$4:$A$9</c:f>
              <c:strCache>
                <c:ptCount val="5"/>
                <c:pt idx="0">
                  <c:v>South Glamorgan</c:v>
                </c:pt>
                <c:pt idx="1">
                  <c:v>Hampshire</c:v>
                </c:pt>
                <c:pt idx="2">
                  <c:v>Oxfordshire</c:v>
                </c:pt>
                <c:pt idx="3">
                  <c:v>Norfolk</c:v>
                </c:pt>
                <c:pt idx="4">
                  <c:v>Strathclyde</c:v>
                </c:pt>
              </c:strCache>
            </c:strRef>
          </c:cat>
          <c:val>
            <c:numRef>
              <c:f>Geography_Analysis!$B$4:$B$9</c:f>
              <c:numCache>
                <c:formatCode>_-[$£-809]* #,##0_-;\-[$£-809]* #,##0_-;_-[$£-809]* "-"??_-;_-@_-</c:formatCode>
                <c:ptCount val="5"/>
                <c:pt idx="0">
                  <c:v>64927.262499999983</c:v>
                </c:pt>
                <c:pt idx="1">
                  <c:v>32750.224999999995</c:v>
                </c:pt>
                <c:pt idx="2">
                  <c:v>27808.1325</c:v>
                </c:pt>
                <c:pt idx="3">
                  <c:v>24859.749999999996</c:v>
                </c:pt>
                <c:pt idx="4">
                  <c:v>24157.062500000007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1-48CD-BC5A-D6FF1F1E15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7542944"/>
        <c:axId val="337543424"/>
      </c:barChart>
      <c:catAx>
        <c:axId val="33754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43424"/>
        <c:crosses val="autoZero"/>
        <c:auto val="1"/>
        <c:lblAlgn val="ctr"/>
        <c:lblOffset val="100"/>
        <c:noMultiLvlLbl val="0"/>
      </c:catAx>
      <c:valAx>
        <c:axId val="337543424"/>
        <c:scaling>
          <c:orientation val="minMax"/>
        </c:scaling>
        <c:delete val="1"/>
        <c:axPos val="l"/>
        <c:numFmt formatCode="_-[$£-809]* #,##0_-;\-[$£-809]* #,##0_-;_-[$£-809]* &quot;-&quot;??_-;_-@_-" sourceLinked="1"/>
        <c:majorTickMark val="none"/>
        <c:minorTickMark val="none"/>
        <c:tickLblPos val="nextTo"/>
        <c:crossAx val="33754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[Ismail_Olatunji_WVS_Analyst_Test_Dataset.xlsx]Geography_Analysis!PivotTable15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Bottom 5 Counties by Fundraising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£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Geography_Analysis!$L$4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£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Geography_Analysis!$K$5:$K$10</c:f>
              <c:strCache>
                <c:ptCount val="5"/>
                <c:pt idx="0">
                  <c:v>Bedfordshire</c:v>
                </c:pt>
                <c:pt idx="1">
                  <c:v>Lothian</c:v>
                </c:pt>
                <c:pt idx="2">
                  <c:v>Somerset</c:v>
                </c:pt>
                <c:pt idx="3">
                  <c:v>Antrim</c:v>
                </c:pt>
                <c:pt idx="4">
                  <c:v>Cheshire</c:v>
                </c:pt>
              </c:strCache>
            </c:strRef>
          </c:cat>
          <c:val>
            <c:numRef>
              <c:f>Geography_Analysis!$L$5:$L$10</c:f>
              <c:numCache>
                <c:formatCode>_-[$£-809]* #,##0_-;\-[$£-809]* #,##0_-;_-[$£-809]* "-"??_-;_-@_-</c:formatCode>
                <c:ptCount val="5"/>
                <c:pt idx="0">
                  <c:v>1135.095</c:v>
                </c:pt>
                <c:pt idx="1">
                  <c:v>1231.1899999999998</c:v>
                </c:pt>
                <c:pt idx="2">
                  <c:v>1421.85</c:v>
                </c:pt>
                <c:pt idx="3">
                  <c:v>1467.5549999999998</c:v>
                </c:pt>
                <c:pt idx="4">
                  <c:v>2003.8675000000001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A-4905-A80F-28A86089C7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1299248"/>
        <c:axId val="1931301648"/>
      </c:barChart>
      <c:catAx>
        <c:axId val="193129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01648"/>
        <c:crosses val="autoZero"/>
        <c:auto val="1"/>
        <c:lblAlgn val="ctr"/>
        <c:lblOffset val="100"/>
        <c:noMultiLvlLbl val="0"/>
      </c:catAx>
      <c:valAx>
        <c:axId val="1931301648"/>
        <c:scaling>
          <c:orientation val="minMax"/>
        </c:scaling>
        <c:delete val="1"/>
        <c:axPos val="l"/>
        <c:numFmt formatCode="_-[$£-809]* #,##0_-;\-[$£-809]* #,##0_-;_-[$£-809]* &quot;-&quot;??_-;_-@_-" sourceLinked="1"/>
        <c:majorTickMark val="none"/>
        <c:minorTickMark val="none"/>
        <c:tickLblPos val="nextTo"/>
        <c:crossAx val="193129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[Ismail_Olatunji_WVS_Analyst_Test_Dataset.xlsx]Age_Demographics!PivotTable16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Fundraising Income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£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Age_Demographics!$B$3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£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Age_Demographics!$A$4:$A$8</c:f>
              <c:strCache>
                <c:ptCount val="4"/>
                <c:pt idx="0">
                  <c:v>18-34</c:v>
                </c:pt>
                <c:pt idx="1">
                  <c:v>35-49</c:v>
                </c:pt>
                <c:pt idx="2">
                  <c:v>50-64</c:v>
                </c:pt>
                <c:pt idx="3">
                  <c:v>65+</c:v>
                </c:pt>
              </c:strCache>
            </c:strRef>
          </c:cat>
          <c:val>
            <c:numRef>
              <c:f>Age_Demographics!$B$4:$B$8</c:f>
              <c:numCache>
                <c:formatCode>_-[$£-809]* #,##0_-;\-[$£-809]* #,##0_-;_-[$£-809]* "-"??_-;_-@_-</c:formatCode>
                <c:ptCount val="4"/>
                <c:pt idx="0">
                  <c:v>27482.904999999995</c:v>
                </c:pt>
                <c:pt idx="1">
                  <c:v>118078.85499999998</c:v>
                </c:pt>
                <c:pt idx="2">
                  <c:v>149208.47000000006</c:v>
                </c:pt>
                <c:pt idx="3">
                  <c:v>109077.04250000004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D-49F0-A984-7AF6E8311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80768"/>
        <c:axId val="193289888"/>
      </c:barChart>
      <c:catAx>
        <c:axId val="19328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9888"/>
        <c:crosses val="autoZero"/>
        <c:auto val="1"/>
        <c:lblAlgn val="ctr"/>
        <c:lblOffset val="100"/>
        <c:noMultiLvlLbl val="0"/>
      </c:catAx>
      <c:valAx>
        <c:axId val="193289888"/>
        <c:scaling>
          <c:orientation val="minMax"/>
        </c:scaling>
        <c:delete val="1"/>
        <c:axPos val="l"/>
        <c:numFmt formatCode="_-[$£-809]* #,##0_-;\-[$£-809]* #,##0_-;_-[$£-809]* &quot;-&quot;??_-;_-@_-" sourceLinked="1"/>
        <c:majorTickMark val="none"/>
        <c:minorTickMark val="none"/>
        <c:tickLblPos val="nextTo"/>
        <c:crossAx val="19328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15</xdr:row>
      <xdr:rowOff>157161</xdr:rowOff>
    </xdr:from>
    <xdr:to>
      <xdr:col>13</xdr:col>
      <xdr:colOff>561976</xdr:colOff>
      <xdr:row>37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0CF631-E208-0214-6268-4795C6FA6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</xdr:colOff>
      <xdr:row>16</xdr:row>
      <xdr:rowOff>23811</xdr:rowOff>
    </xdr:from>
    <xdr:to>
      <xdr:col>12</xdr:col>
      <xdr:colOff>9525</xdr:colOff>
      <xdr:row>34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9DACC-3545-505C-837F-51D5E1C2F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10</xdr:row>
      <xdr:rowOff>185736</xdr:rowOff>
    </xdr:from>
    <xdr:to>
      <xdr:col>14</xdr:col>
      <xdr:colOff>571500</xdr:colOff>
      <xdr:row>30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90070C-F21E-5272-2291-CFD680CDC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2</xdr:row>
      <xdr:rowOff>4762</xdr:rowOff>
    </xdr:from>
    <xdr:to>
      <xdr:col>13</xdr:col>
      <xdr:colOff>561975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33D3F3-BA43-D61A-1187-2B11177D2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185737</xdr:rowOff>
    </xdr:from>
    <xdr:to>
      <xdr:col>6</xdr:col>
      <xdr:colOff>114300</xdr:colOff>
      <xdr:row>25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B43A2-5E86-E695-486A-E82BE91FA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10</xdr:row>
      <xdr:rowOff>23812</xdr:rowOff>
    </xdr:from>
    <xdr:to>
      <xdr:col>20</xdr:col>
      <xdr:colOff>304800</xdr:colOff>
      <xdr:row>24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3FC259-DFB9-AADB-DBAE-E071AE69C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5</xdr:row>
      <xdr:rowOff>23812</xdr:rowOff>
    </xdr:from>
    <xdr:to>
      <xdr:col>11</xdr:col>
      <xdr:colOff>333375</xdr:colOff>
      <xdr:row>19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9366C-8496-28B4-CD4D-439E4582E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con Hope" refreshedDate="46096.966778935188" createdVersion="8" refreshedVersion="8" minRefreshableVersion="3" recordCount="908" xr:uid="{D3AAA3E6-187C-4B35-8FE5-ADBB6EFFB7BA}">
  <cacheSource type="worksheet">
    <worksheetSource name="Table8"/>
  </cacheSource>
  <cacheFields count="30">
    <cacheField name="Response_ID" numFmtId="0">
      <sharedItems count="908">
        <s v="RSP003456"/>
        <s v="RSP003846"/>
        <s v="RSP003071"/>
        <s v="RSP003109"/>
        <s v="RSP003114"/>
        <s v="RSP003319"/>
        <s v="RSP003658"/>
        <s v="RSP003116"/>
        <s v="RSP003467"/>
        <s v="RSP003497"/>
        <s v="RSP003672"/>
        <s v="RSP003721"/>
        <s v="RSP003857"/>
        <s v="RSP003674"/>
        <s v="RSP003577"/>
        <s v="RSP003120"/>
        <s v="RSP003698"/>
        <s v="RSP003622"/>
        <s v="RSP003483"/>
        <s v="RSP003579"/>
        <s v="RSP003784"/>
        <s v="RSP003326"/>
        <s v="RSP003118"/>
        <s v="RSP003834"/>
        <s v="RSP003683"/>
        <s v="RSP003033"/>
        <s v="RSP003861"/>
        <s v="RSP003904"/>
        <s v="RSP003002"/>
        <s v="RSP003607"/>
        <s v="RSP003012"/>
        <s v="RSP003409"/>
        <s v="RSP003147"/>
        <s v="RSP003089"/>
        <s v="RSP003680"/>
        <s v="RSP003687"/>
        <s v="RSP003049"/>
        <s v="RSP003733"/>
        <s v="RSP003469"/>
        <s v="RSP003375"/>
        <s v="RSP003036"/>
        <s v="RSP003756"/>
        <s v="RSP003229"/>
        <s v="RSP003540"/>
        <s v="RSP003878"/>
        <s v="RSP003016"/>
        <s v="RSP003669"/>
        <s v="RSP003532"/>
        <s v="RSP003045"/>
        <s v="RSP003304"/>
        <s v="RSP003539"/>
        <s v="RSP003306"/>
        <s v="RSP003416"/>
        <s v="RSP003047"/>
        <s v="RSP003864"/>
        <s v="RSP003876"/>
        <s v="RSP003206"/>
        <s v="RSP003600"/>
        <s v="RSP003768"/>
        <s v="RSP003889"/>
        <s v="RSP003199"/>
        <s v="RSP003242"/>
        <s v="RSP003801"/>
        <s v="RSP003525"/>
        <s v="RSP003249"/>
        <s v="RSP003337"/>
        <s v="RSP003266"/>
        <s v="RSP003890"/>
        <s v="RSP003289"/>
        <s v="RSP003492"/>
        <s v="RSP003342"/>
        <s v="RSP003185"/>
        <s v="RSP003166"/>
        <s v="RSP003516"/>
        <s v="RSP003355"/>
        <s v="RSP003578"/>
        <s v="RSP003829"/>
        <s v="RSP003091"/>
        <s v="RSP003663"/>
        <s v="RSP003221"/>
        <s v="RSP003280"/>
        <s v="RSP003352"/>
        <s v="RSP003867"/>
        <s v="RSP003157"/>
        <s v="RSP003601"/>
        <s v="RSP003676"/>
        <s v="RSP003863"/>
        <s v="RSP003378"/>
        <s v="RSP003348"/>
        <s v="RSP003589"/>
        <s v="RSP003700"/>
        <s v="RSP003888"/>
        <s v="RSP003558"/>
        <s v="RSP003462"/>
        <s v="RSP003341"/>
        <s v="RSP003802"/>
        <s v="RSP003809"/>
        <s v="RSP003133"/>
        <s v="RSP003665"/>
        <s v="RSP003037"/>
        <s v="RSP003729"/>
        <s v="RSP003010"/>
        <s v="RSP003468"/>
        <s v="RSP003370"/>
        <s v="RSP003886"/>
        <s v="RSP003380"/>
        <s v="RSP003132"/>
        <s v="RSP003291"/>
        <s v="RSP003541"/>
        <s v="RSP003536"/>
        <s v="RSP003051"/>
        <s v="RSP003404"/>
        <s v="RSP003161"/>
        <s v="RSP003463"/>
        <s v="RSP003361"/>
        <s v="RSP003769"/>
        <s v="RSP003639"/>
        <s v="RSP003745"/>
        <s v="RSP003627"/>
        <s v="RSP003805"/>
        <s v="RSP003479"/>
        <s v="RSP003318"/>
        <s v="RSP003302"/>
        <s v="RSP003315"/>
        <s v="RSP003667"/>
        <s v="RSP003145"/>
        <s v="RSP003217"/>
        <s v="RSP003740"/>
        <s v="RSP003486"/>
        <s v="RSP003638"/>
        <s v="RSP003381"/>
        <s v="RSP003708"/>
        <s v="RSP003487"/>
        <s v="RSP003046"/>
        <s v="RSP003528"/>
        <s v="RSP003408"/>
        <s v="RSP003587"/>
        <s v="RSP003543"/>
        <s v="RSP003602"/>
        <s v="RSP003127"/>
        <s v="RSP003719"/>
        <s v="RSP003392"/>
        <s v="RSP003039"/>
        <s v="RSP003003"/>
        <s v="RSP003429"/>
        <s v="RSP003244"/>
        <s v="RSP003754"/>
        <s v="RSP003425"/>
        <s v="RSP003097"/>
        <s v="RSP003778"/>
        <s v="RSP003470"/>
        <s v="RSP003830"/>
        <s v="RSP003682"/>
        <s v="RSP003183"/>
        <s v="RSP003803"/>
        <s v="RSP003164"/>
        <s v="RSP003790"/>
        <s v="RSP003174"/>
        <s v="RSP003055"/>
        <s v="RSP003636"/>
        <s v="RSP003715"/>
        <s v="RSP003553"/>
        <s v="RSP003125"/>
        <s v="RSP003061"/>
        <s v="RSP003840"/>
        <s v="RSP003324"/>
        <s v="RSP003517"/>
        <s v="RSP003406"/>
        <s v="RSP003008"/>
        <s v="RSP003122"/>
        <s v="RSP003107"/>
        <s v="RSP003475"/>
        <s v="RSP003859"/>
        <s v="RSP003575"/>
        <s v="RSP003216"/>
        <s v="RSP003015"/>
        <s v="RSP003081"/>
        <s v="RSP003017"/>
        <s v="RSP003293"/>
        <s v="RSP003723"/>
        <s v="RSP003160"/>
        <s v="RSP003042"/>
        <s v="RSP003906"/>
        <s v="RSP003338"/>
        <s v="RSP003836"/>
        <s v="RSP003359"/>
        <s v="RSP003395"/>
        <s v="RSP003270"/>
        <s v="RSP003694"/>
        <s v="RSP003452"/>
        <s v="RSP003877"/>
        <s v="RSP003413"/>
        <s v="RSP003787"/>
        <s v="RSP003179"/>
        <s v="RSP003026"/>
        <s v="RSP003232"/>
        <s v="RSP003119"/>
        <s v="RSP003305"/>
        <s v="RSP003445"/>
        <s v="RSP003272"/>
        <s v="RSP003652"/>
        <s v="RSP003400"/>
        <s v="RSP003595"/>
        <s v="RSP003066"/>
        <s v="RSP003798"/>
        <s v="RSP003353"/>
        <s v="RSP003014"/>
        <s v="RSP003104"/>
        <s v="RSP003761"/>
        <s v="RSP003868"/>
        <s v="RSP003837"/>
        <s v="RSP003701"/>
        <s v="RSP003450"/>
        <s v="RSP003557"/>
        <s v="RSP003458"/>
        <s v="RSP003689"/>
        <s v="RSP003747"/>
        <s v="RSP003349"/>
        <s v="RSP003058"/>
        <s v="RSP003063"/>
        <s v="RSP003200"/>
        <s v="RSP003690"/>
        <s v="RSP003618"/>
        <s v="RSP003377"/>
        <s v="RSP003317"/>
        <s v="RSP003134"/>
        <s v="RSP003343"/>
        <s v="RSP003184"/>
        <s v="RSP003484"/>
        <s v="RSP003175"/>
        <s v="RSP003891"/>
        <s v="RSP003345"/>
        <s v="RSP003135"/>
        <s v="RSP003521"/>
        <s v="RSP003591"/>
        <s v="RSP003388"/>
        <s v="RSP003297"/>
        <s v="RSP003190"/>
        <s v="RSP003407"/>
        <s v="RSP003254"/>
        <s v="RSP003228"/>
        <s v="RSP003797"/>
        <s v="RSP003451"/>
        <s v="RSP003433"/>
        <s v="RSP003360"/>
        <s v="RSP003661"/>
        <s v="RSP003339"/>
        <s v="RSP003731"/>
        <s v="RSP003218"/>
        <s v="RSP003513"/>
        <s v="RSP003187"/>
        <s v="RSP003158"/>
        <s v="RSP003819"/>
        <s v="RSP003823"/>
        <s v="RSP003411"/>
        <s v="RSP003313"/>
        <s v="RSP003671"/>
        <s v="RSP003059"/>
        <s v="RSP003631"/>
        <s v="RSP003616"/>
        <s v="RSP003240"/>
        <s v="RSP003340"/>
        <s v="RSP003268"/>
        <s v="RSP003758"/>
        <s v="RSP003136"/>
        <s v="RSP003020"/>
        <s v="RSP003780"/>
        <s v="RSP003034"/>
        <s v="RSP003460"/>
        <s v="RSP003108"/>
        <s v="RSP003760"/>
        <s v="RSP003612"/>
        <s v="RSP003078"/>
        <s v="RSP003214"/>
        <s v="RSP003635"/>
        <s v="RSP003215"/>
        <s v="RSP003550"/>
        <s v="RSP003519"/>
        <s v="RSP003007"/>
        <s v="RSP003845"/>
        <s v="RSP003739"/>
        <s v="RSP003477"/>
        <s v="RSP003113"/>
        <s v="RSP003707"/>
        <s v="RSP003142"/>
        <s v="RSP003770"/>
        <s v="RSP003048"/>
        <s v="RSP003505"/>
        <s v="RSP003423"/>
        <s v="RSP003718"/>
        <s v="RSP003137"/>
        <s v="RSP003623"/>
        <s v="RSP003334"/>
        <s v="RSP003436"/>
        <s v="RSP003485"/>
        <s v="RSP003336"/>
        <s v="RSP003331"/>
        <s v="RSP003290"/>
        <s v="RSP003831"/>
        <s v="RSP003728"/>
        <s v="RSP003264"/>
        <s v="RSP003818"/>
        <s v="RSP003367"/>
        <s v="RSP003563"/>
        <s v="RSP003506"/>
        <s v="RSP003300"/>
        <s v="RSP003265"/>
        <s v="RSP003358"/>
        <s v="RSP003590"/>
        <s v="RSP003527"/>
        <s v="RSP003168"/>
        <s v="RSP003624"/>
        <s v="RSP003432"/>
        <s v="RSP003869"/>
        <s v="RSP003172"/>
        <s v="RSP003766"/>
        <s v="RSP003230"/>
        <s v="RSP003323"/>
        <s v="RSP003653"/>
        <s v="RSP003418"/>
        <s v="RSP003112"/>
        <s v="RSP003793"/>
        <s v="RSP003572"/>
        <s v="RSP003031"/>
        <s v="RSP003139"/>
        <s v="RSP003820"/>
        <s v="RSP003356"/>
        <s v="RSP003706"/>
        <s v="RSP003006"/>
        <s v="RSP003085"/>
        <s v="RSP003260"/>
        <s v="RSP003159"/>
        <s v="RSP003100"/>
        <s v="RSP003626"/>
        <s v="RSP003515"/>
        <s v="RSP003437"/>
        <s v="RSP003775"/>
        <s v="RSP003561"/>
        <s v="RSP003825"/>
        <s v="RSP003283"/>
        <s v="RSP003473"/>
        <s v="RSP003472"/>
        <s v="RSP003151"/>
        <s v="RSP003307"/>
        <s v="RSP003695"/>
        <s v="RSP003222"/>
        <s v="RSP003813"/>
        <s v="RSP003862"/>
        <s v="RSP003617"/>
        <s v="RSP003180"/>
        <s v="RSP003028"/>
        <s v="RSP003489"/>
        <s v="RSP003152"/>
        <s v="RSP003499"/>
        <s v="RSP003847"/>
        <s v="RSP003884"/>
        <s v="RSP003373"/>
        <s v="RSP003027"/>
        <s v="RSP003670"/>
        <s v="RSP003568"/>
        <s v="RSP003518"/>
        <s v="RSP003105"/>
        <s v="RSP003752"/>
        <s v="RSP003560"/>
        <s v="RSP003849"/>
        <s v="RSP003205"/>
        <s v="RSP003427"/>
        <s v="RSP003130"/>
        <s v="RSP003545"/>
        <s v="RSP003117"/>
        <s v="RSP003412"/>
        <s v="RSP003896"/>
        <s v="RSP003449"/>
        <s v="RSP003426"/>
        <s v="RSP003155"/>
        <s v="RSP003333"/>
        <s v="RSP003681"/>
        <s v="RSP003755"/>
        <s v="RSP003855"/>
        <s v="RSP003076"/>
        <s v="RSP003327"/>
        <s v="RSP003223"/>
        <s v="RSP003679"/>
        <s v="RSP003508"/>
        <s v="RSP003430"/>
        <s v="RSP003905"/>
        <s v="RSP003569"/>
        <s v="RSP003547"/>
        <s v="RSP003013"/>
        <s v="RSP003192"/>
        <s v="RSP003605"/>
        <s v="RSP003759"/>
        <s v="RSP003773"/>
        <s v="RSP003212"/>
        <s v="RSP003310"/>
        <s v="RSP003060"/>
        <s v="RSP003529"/>
        <s v="RSP003606"/>
        <s v="RSP003308"/>
        <s v="RSP003542"/>
        <s v="RSP003106"/>
        <s v="RSP003019"/>
        <s v="RSP003786"/>
        <s v="RSP003256"/>
        <s v="RSP003785"/>
        <s v="RSP003544"/>
        <s v="RSP003900"/>
        <s v="RSP003421"/>
        <s v="RSP003129"/>
        <s v="RSP003385"/>
        <s v="RSP003208"/>
        <s v="RSP003750"/>
        <s v="RSP003368"/>
        <s v="RSP003514"/>
        <s v="RSP003440"/>
        <s v="RSP003480"/>
        <s v="RSP003182"/>
        <s v="RSP003799"/>
        <s v="RSP003807"/>
        <s v="RSP003239"/>
        <s v="RSP003872"/>
        <s v="RSP003207"/>
        <s v="RSP003372"/>
        <s v="RSP003726"/>
        <s v="RSP003282"/>
        <s v="RSP003203"/>
        <s v="RSP003439"/>
        <s v="RSP003347"/>
        <s v="RSP003251"/>
        <s v="RSP003410"/>
        <s v="RSP003764"/>
        <s v="RSP003236"/>
        <s v="RSP003586"/>
        <s v="RSP003001"/>
        <s v="RSP003465"/>
        <s v="RSP003710"/>
        <s v="RSP003501"/>
        <s v="RSP003593"/>
        <s v="RSP003584"/>
        <s v="RSP003816"/>
        <s v="RSP003328"/>
        <s v="RSP003083"/>
        <s v="RSP003633"/>
        <s v="RSP003366"/>
        <s v="RSP003057"/>
        <s v="RSP003364"/>
        <s v="RSP003090"/>
        <s v="RSP003233"/>
        <s v="RSP003571"/>
        <s v="RSP003548"/>
        <s v="RSP003757"/>
        <s v="RSP003727"/>
        <s v="RSP003294"/>
        <s v="RSP003692"/>
        <s v="RSP003833"/>
        <s v="RSP003312"/>
        <s v="RSP003442"/>
        <s v="RSP003124"/>
        <s v="RSP003832"/>
        <s v="RSP003592"/>
        <s v="RSP003637"/>
        <s v="RSP003241"/>
        <s v="RSP003570"/>
        <s v="RSP003839"/>
        <s v="RSP003887"/>
        <s v="RSP003202"/>
        <s v="RSP003030"/>
        <s v="RSP003511"/>
        <s v="RSP003717"/>
        <s v="RSP003743"/>
        <s v="RSP003668"/>
        <s v="RSP003851"/>
        <s v="RSP003263"/>
        <s v="RSP003140"/>
        <s v="RSP003696"/>
        <s v="RSP003088"/>
        <s v="RSP003697"/>
        <s v="RSP003167"/>
        <s v="RSP003005"/>
        <s v="RSP003713"/>
        <s v="RSP003685"/>
        <s v="RSP003096"/>
        <s v="RSP003478"/>
        <s v="RSP003494"/>
        <s v="RSP003079"/>
        <s v="RSP003495"/>
        <s v="RSP003894"/>
        <s v="RSP003189"/>
        <s v="RSP003603"/>
        <s v="RSP003732"/>
        <s v="RSP003573"/>
        <s v="RSP003565"/>
        <s v="RSP003064"/>
        <s v="RSP003655"/>
        <s v="RSP003749"/>
        <s v="RSP003858"/>
        <s v="RSP003608"/>
        <s v="RSP003138"/>
        <s v="RSP003841"/>
        <s v="RSP003865"/>
        <s v="RSP003035"/>
        <s v="RSP003040"/>
        <s v="RSP003365"/>
        <s v="RSP003309"/>
        <s v="RSP003101"/>
        <s v="RSP003493"/>
        <s v="RSP003702"/>
        <s v="RSP003009"/>
        <s v="RSP003741"/>
        <s v="RSP003086"/>
        <s v="RSP003459"/>
        <s v="RSP003673"/>
        <s v="RSP003811"/>
        <s v="RSP003781"/>
        <s v="RSP003181"/>
        <s v="RSP003054"/>
        <s v="RSP003535"/>
        <s v="RSP003611"/>
        <s v="RSP003711"/>
        <s v="RSP003171"/>
        <s v="RSP003320"/>
        <s v="RSP003420"/>
        <s v="RSP003538"/>
        <s v="RSP003191"/>
        <s v="RSP003765"/>
        <s v="RSP003559"/>
        <s v="RSP003146"/>
        <s v="RSP003301"/>
        <s v="RSP003153"/>
        <s v="RSP003735"/>
        <s v="RSP003554"/>
        <s v="RSP003082"/>
        <s v="RSP003257"/>
        <s v="RSP003052"/>
        <s v="RSP003095"/>
        <s v="RSP003163"/>
        <s v="RSP003093"/>
        <s v="RSP003552"/>
        <s v="RSP003050"/>
        <s v="RSP003374"/>
        <s v="RSP003678"/>
        <s v="RSP003038"/>
        <s v="RSP003201"/>
        <s v="RSP003789"/>
        <s v="RSP003225"/>
        <s v="RSP003583"/>
        <s v="RSP003844"/>
        <s v="RSP003852"/>
        <s v="RSP003267"/>
        <s v="RSP003376"/>
        <s v="RSP003276"/>
        <s v="RSP003235"/>
        <s v="RSP003892"/>
        <s v="RSP003262"/>
        <s v="RSP003597"/>
        <s v="RSP003092"/>
        <s v="RSP003762"/>
        <s v="RSP003736"/>
        <s v="RSP003447"/>
        <s v="RSP003503"/>
        <s v="RSP003021"/>
        <s v="RSP003391"/>
        <s v="RSP003369"/>
        <s v="RSP003354"/>
        <s v="RSP003399"/>
        <s v="RSP003023"/>
        <s v="RSP003464"/>
        <s v="RSP003067"/>
        <s v="RSP003250"/>
        <s v="RSP003025"/>
        <s v="RSP003828"/>
        <s v="RSP003389"/>
        <s v="RSP003660"/>
        <s v="RSP003298"/>
        <s v="RSP003255"/>
        <s v="RSP003281"/>
        <s v="RSP003415"/>
        <s v="RSP003362"/>
        <s v="RSP003322"/>
        <s v="RSP003224"/>
        <s v="RSP003213"/>
        <s v="RSP003414"/>
        <s v="RSP003173"/>
        <s v="RSP003387"/>
        <s v="RSP003080"/>
        <s v="RSP003148"/>
        <s v="RSP003382"/>
        <s v="RSP003648"/>
        <s v="RSP003453"/>
        <s v="RSP003903"/>
        <s v="RSP003520"/>
        <s v="RSP003512"/>
        <s v="RSP003022"/>
        <s v="RSP003330"/>
        <s v="RSP003791"/>
        <s v="RSP003537"/>
        <s v="RSP003691"/>
        <s v="RSP003504"/>
        <s v="RSP003737"/>
        <s v="RSP003279"/>
        <s v="RSP003898"/>
        <s v="RSP003650"/>
        <s v="RSP003390"/>
        <s v="RSP003394"/>
        <s v="RSP003154"/>
        <s v="RSP003454"/>
        <s v="RSP003455"/>
        <s v="RSP003419"/>
        <s v="RSP003084"/>
        <s v="RSP003103"/>
        <s v="RSP003238"/>
        <s v="RSP003219"/>
        <s v="RSP003457"/>
        <s v="RSP003808"/>
        <s v="RSP003835"/>
        <s v="RSP003594"/>
        <s v="RSP003446"/>
        <s v="RSP003812"/>
        <s v="RSP003245"/>
        <s v="RSP003804"/>
        <s v="RSP003110"/>
        <s v="RSP003287"/>
        <s v="RSP003646"/>
        <s v="RSP003742"/>
        <s v="RSP003170"/>
        <s v="RSP003625"/>
        <s v="RSP003724"/>
        <s v="RSP003843"/>
        <s v="RSP003227"/>
        <s v="RSP003873"/>
        <s v="RSP003738"/>
        <s v="RSP003098"/>
        <s v="RSP003716"/>
        <s v="RSP003498"/>
        <s v="RSP003277"/>
        <s v="RSP003629"/>
        <s v="RSP003656"/>
        <s v="RSP003794"/>
        <s v="RSP003165"/>
        <s v="RSP003018"/>
        <s v="RSP003788"/>
        <s v="RSP003899"/>
        <s v="RSP003209"/>
        <s v="RSP003393"/>
        <s v="RSP003176"/>
        <s v="RSP003659"/>
        <s v="RSP003325"/>
        <s v="RSP003599"/>
        <s v="RSP003748"/>
        <s v="RSP003024"/>
        <s v="RSP003156"/>
        <s v="RSP003243"/>
        <s v="RSP003363"/>
        <s v="RSP003566"/>
        <s v="RSP003274"/>
        <s v="RSP003585"/>
        <s v="RSP003619"/>
        <s v="RSP003634"/>
        <s v="RSP003226"/>
        <s v="RSP003237"/>
        <s v="RSP003247"/>
        <s v="RSP003441"/>
        <s v="RSP003292"/>
        <s v="RSP003753"/>
        <s v="RSP003640"/>
        <s v="RSP003734"/>
        <s v="RSP003115"/>
        <s v="RSP003011"/>
        <s v="RSP003870"/>
        <s v="RSP003581"/>
        <s v="RSP003897"/>
        <s v="RSP003746"/>
        <s v="RSP003434"/>
        <s v="RSP003099"/>
        <s v="RSP003853"/>
        <s v="RSP003783"/>
        <s v="RSP003815"/>
        <s v="RSP003562"/>
        <s v="RSP003854"/>
        <s v="RSP003822"/>
        <s v="RSP003072"/>
        <s v="RSP003043"/>
        <s v="RSP003056"/>
        <s v="RSP003751"/>
        <s v="RSP003126"/>
        <s v="RSP003186"/>
        <s v="RSP003144"/>
        <s v="RSP003123"/>
        <s v="RSP003777"/>
        <s v="RSP003397"/>
        <s v="RSP003448"/>
        <s v="RSP003488"/>
        <s v="RSP003111"/>
        <s v="RSP003610"/>
        <s v="RSP003826"/>
        <s v="RSP003644"/>
        <s v="RSP003438"/>
        <s v="RSP003053"/>
        <s v="RSP003273"/>
        <s v="RSP003204"/>
        <s v="RSP003431"/>
        <s v="RSP003725"/>
        <s v="RSP003850"/>
        <s v="RSP003284"/>
        <s v="RSP003598"/>
        <s v="RSP003714"/>
        <s v="RSP003466"/>
        <s v="RSP003507"/>
        <s v="RSP003720"/>
        <s v="RSP003194"/>
        <s v="RSP003069"/>
        <s v="RSP003004"/>
        <s v="RSP003821"/>
        <s v="RSP003564"/>
        <s v="RSP003386"/>
        <s v="RSP003128"/>
        <s v="RSP003259"/>
        <s v="RSP003074"/>
        <s v="RSP003856"/>
        <s v="RSP003261"/>
        <s v="RSP003827"/>
        <s v="RSP003817"/>
        <s v="RSP003551"/>
        <s v="RSP003471"/>
        <s v="RSP003582"/>
        <s v="RSP003782"/>
        <s v="RSP003496"/>
        <s v="RSP003402"/>
        <s v="RSP003252"/>
        <s v="RSP003384"/>
        <s v="RSP003509"/>
        <s v="RSP003664"/>
        <s v="RSP003188"/>
        <s v="RSP003795"/>
        <s v="RSP003901"/>
        <s v="RSP003763"/>
        <s v="RSP003211"/>
        <s v="RSP003881"/>
        <s v="RSP003654"/>
        <s v="RSP003299"/>
        <s v="RSP003121"/>
        <s v="RSP003178"/>
        <s v="RSP003533"/>
        <s v="RSP003596"/>
        <s v="RSP003474"/>
        <s v="RSP003210"/>
        <s v="RSP003866"/>
        <s v="RSP003902"/>
        <s v="RSP003556"/>
        <s v="RSP003730"/>
        <s v="RSP003875"/>
        <s v="RSP003703"/>
        <s v="RSP003704"/>
        <s v="RSP003195"/>
        <s v="RSP003303"/>
        <s v="RSP003806"/>
        <s v="RSP003143"/>
        <s v="RSP003628"/>
        <s v="RSP003193"/>
        <s v="RSP003675"/>
        <s v="RSP003686"/>
        <s v="RSP003435"/>
        <s v="RSP003613"/>
        <s v="RSP003271"/>
        <s v="RSP003286"/>
        <s v="RSP003422"/>
        <s v="RSP003693"/>
        <s v="RSP003531"/>
        <s v="RSP003344"/>
        <s v="RSP003197"/>
        <s v="RSP003314"/>
        <s v="RSP003357"/>
        <s v="RSP003196"/>
        <s v="RSP003883"/>
        <s v="RSP003246"/>
        <s v="RSP003332"/>
        <s v="RSP003321"/>
        <s v="RSP003234"/>
        <s v="RSP003885"/>
        <s v="RSP003609"/>
        <s v="RSP003296"/>
        <s v="RSP003278"/>
        <s v="RSP003275"/>
        <s v="RSP003645"/>
        <s v="RSP003258"/>
        <s v="RSP003065"/>
        <s v="RSP003647"/>
        <s v="RSP003632"/>
        <s v="RSP003530"/>
        <s v="RSP003546"/>
        <s v="RSP003351"/>
        <s v="RSP003502"/>
        <s v="RSP003709"/>
        <s v="RSP003094"/>
        <s v="RSP003346"/>
        <s v="RSP003481"/>
        <s v="RSP003141"/>
        <s v="RSP003588"/>
        <s v="RSP003677"/>
        <s v="RSP003842"/>
        <s v="RSP003814"/>
        <s v="RSP003699"/>
        <s v="RSP003574"/>
        <s v="RSP003712"/>
        <s v="RSP003604"/>
        <s v="RSP003705"/>
        <s v="RSP003776"/>
        <s v="RSP003396"/>
        <s v="RSP003500"/>
        <s v="RSP003524"/>
        <s v="RSP003482"/>
        <s v="RSP003316"/>
        <s v="RSP003335"/>
        <s v="RSP003620"/>
        <s v="RSP003549"/>
        <s v="RSP003311"/>
        <s v="RSP003350"/>
        <s v="RSP003666"/>
        <s v="RSP003476"/>
        <s v="RSP003288"/>
        <s v="RSP003403"/>
        <s v="RSP003285"/>
        <s v="RSP003379"/>
        <s v="RSP003041"/>
        <s v="RSP003657"/>
        <s v="RSP003838"/>
        <s v="RSP003895"/>
        <s v="RSP003796"/>
        <s v="RSP003722"/>
        <s v="RSP003087"/>
        <s v="RSP003576"/>
        <s v="RSP003068"/>
        <s v="RSP003428"/>
        <s v="RSP003032"/>
        <s v="RSP003615"/>
        <s v="RSP003444"/>
        <s v="RSP003077"/>
        <s v="RSP003792"/>
        <s v="RSP003510"/>
        <s v="RSP003295"/>
        <s v="RSP003534"/>
        <s v="RSP003614"/>
        <s v="RSP003248"/>
        <s v="RSP003162"/>
        <s v="RSP003651"/>
        <s v="RSP003774"/>
        <s v="RSP003662"/>
        <s v="RSP003871"/>
        <s v="RSP003522"/>
        <s v="RSP003810"/>
        <s v="RSP003630"/>
        <s v="RSP003907"/>
        <s v="RSP003893"/>
        <s v="RSP003767"/>
        <s v="RSP003874"/>
        <s v="RSP003621"/>
        <s v="RSP003461"/>
        <s v="RSP003401"/>
        <s v="RSP003383"/>
        <s v="RSP003744"/>
        <s v="RSP003688"/>
        <s v="RSP003198"/>
        <s v="RSP003029"/>
        <s v="RSP003405"/>
        <s v="RSP003800"/>
        <s v="RSP003329"/>
        <s v="RSP003044"/>
        <s v="RSP003443"/>
        <s v="RSP003771"/>
        <s v="RSP003062"/>
        <s v="RSP003417"/>
        <s v="RSP003269"/>
        <s v="RSP003848"/>
        <s v="RSP003231"/>
        <s v="RSP003371"/>
        <s v="RSP003641"/>
        <s v="RSP003860"/>
        <s v="RSP003424"/>
        <s v="RSP003772"/>
        <s v="RSP003642"/>
        <s v="RSP003253"/>
        <s v="RSP003169"/>
        <s v="RSP003580"/>
        <s v="RSP003075"/>
        <s v="RSP003526"/>
        <s v="RSP003908"/>
        <s v="RSP003070"/>
        <s v="RSP003779"/>
        <s v="RSP003882"/>
        <s v="RSP003149"/>
        <s v="RSP003523"/>
        <s v="RSP003879"/>
        <s v="RSP003131"/>
        <s v="RSP003684"/>
        <s v="RSP003150"/>
        <s v="RSP003073"/>
        <s v="RSP003824"/>
        <s v="RSP003880"/>
        <s v="RSP003555"/>
        <s v="RSP003643"/>
        <s v="RSP003649"/>
        <s v="RSP003567"/>
        <s v="RSP003398"/>
        <s v="RSP003177"/>
        <s v="RSP003102"/>
        <s v="RSP003220"/>
        <s v="RSP003491"/>
        <s v="RSP003490"/>
      </sharedItems>
    </cacheField>
    <cacheField name="Supporter_ID" numFmtId="0">
      <sharedItems containsBlank="1"/>
    </cacheField>
    <cacheField name="Campaign_Name" numFmtId="0">
      <sharedItems count="10">
        <s v="Monthly Giving Drive Q1"/>
        <s v="Annual Report Mailing"/>
        <s v="Winter Appeal 2024"/>
        <s v="Emergency Appeal - Flood Relief"/>
        <s v="Digital Acquisition Spring"/>
        <s v="Volunteer Thank You Dinner"/>
        <s v="Legacy Awareness Week"/>
        <s v="Spring Raffle 2025"/>
        <s v="Christmas Gift Catalogue"/>
        <s v="Summer Gala 2024"/>
      </sharedItems>
    </cacheField>
    <cacheField name="Campaign_Code" numFmtId="0">
      <sharedItems count="10">
        <s v="MGD-Q1"/>
        <s v="ARM2024"/>
        <s v="WA2024"/>
        <s v="EA2024"/>
        <s v="DAS2025"/>
        <s v="VTD2024"/>
        <s v="LAW2024"/>
        <s v="SR2025"/>
        <s v="CGC2024"/>
        <s v="SG2024"/>
      </sharedItems>
    </cacheField>
    <cacheField name="Channel" numFmtId="0">
      <sharedItems count="6">
        <s v="Digital"/>
        <s v="Direct Mail"/>
        <s v="Email"/>
        <s v="SMS"/>
        <s v="Telephone"/>
        <s v="Social Media"/>
      </sharedItems>
    </cacheField>
    <cacheField name="Response_Date" numFmtId="164">
      <sharedItems containsSemiMixedTypes="0" containsNonDate="0" containsDate="1" containsString="0" minDate="2024-01-06T00:00:00" maxDate="2026-11-24T00:00:00"/>
    </cacheField>
    <cacheField name="Gift_Amount" numFmtId="0">
      <sharedItems containsSemiMixedTypes="0" containsString="0" containsNumber="1" minValue="-129.84" maxValue="50000"/>
    </cacheField>
    <cacheField name="Gift_Aid_Eligible" numFmtId="0">
      <sharedItems/>
    </cacheField>
    <cacheField name="Payment_Method " numFmtId="0">
      <sharedItems/>
    </cacheField>
    <cacheField name="Segment" numFmtId="0">
      <sharedItems count="8">
        <s v="Legacy Pledger"/>
        <s v="Major Donor"/>
        <s v="Lapsed"/>
        <s v="Regular Giver"/>
        <s v="One-Time Donor"/>
        <s v="Prospect"/>
        <s v="Mid-Value"/>
        <s v=""/>
      </sharedItems>
    </cacheField>
    <cacheField name="Acquisition_Source" numFmtId="0">
      <sharedItems/>
    </cacheField>
    <cacheField name="County" numFmtId="0">
      <sharedItems count="37">
        <s v="Greater London"/>
        <s v="Merseyside"/>
        <s v="Cheshire"/>
        <s v="Strathclyde"/>
        <s v="Cambridgeshire"/>
        <s v="Angus"/>
        <s v="Oxfordshire"/>
        <s v="South Glamorgan"/>
        <s v="West Yorkshire"/>
        <s v="West Glamorgan"/>
        <s v="Surrey"/>
        <s v="Norfolk"/>
        <s v="Wiltshire"/>
        <s v="Kent"/>
        <s v="Avon"/>
        <s v="Berkshire"/>
        <s v="Somerset"/>
        <s v="Leicestershire"/>
        <s v="Greater Manchester"/>
        <s v="Antrim"/>
        <s v="East Sussex"/>
        <s v="Hertfordshire"/>
        <s v="Hampshire"/>
        <s v="West Midlands"/>
        <s v="Tyne and Wear"/>
        <s v="Buckinghamshire"/>
        <s v="Nottinghamshire"/>
        <s v="North Yorkshire"/>
        <s v="Gloucestershire"/>
        <s v="Devon"/>
        <s v="South Yorkshire"/>
        <s v="Dorset"/>
        <s v="Grampian"/>
        <s v="Suffolk"/>
        <s v="Bedfordshire"/>
        <s v=""/>
        <s v="Lothian"/>
      </sharedItems>
    </cacheField>
    <cacheField name="Gender" numFmtId="0">
      <sharedItems/>
    </cacheField>
    <cacheField name="Age" numFmtId="0">
      <sharedItems containsMixedTypes="1" containsNumber="1" containsInteger="1" minValue="0" maxValue="95"/>
    </cacheField>
    <cacheField name="Age_Band" numFmtId="0">
      <sharedItems count="6">
        <s v="65+"/>
        <s v="50-64"/>
        <s v=""/>
        <s v="18-34"/>
        <s v="35-49"/>
        <s v="Under 18"/>
      </sharedItems>
    </cacheField>
    <cacheField name="Age_Band_Clean" numFmtId="0">
      <sharedItems count="6">
        <s v="65+"/>
        <s v="50-64"/>
        <s v="Unknown"/>
        <s v="18-34"/>
        <s v="35-49"/>
        <s v="Under 18"/>
      </sharedItems>
    </cacheField>
    <cacheField name="Communication_Preference" numFmtId="0">
      <sharedItems/>
    </cacheField>
    <cacheField name="Duplicate_Profile_Flag" numFmtId="0">
      <sharedItems/>
    </cacheField>
    <cacheField name="Preference_Compliance_Flag" numFmtId="0">
      <sharedItems/>
    </cacheField>
    <cacheField name="Column1" numFmtId="0">
      <sharedItems/>
    </cacheField>
    <cacheField name="Campaign_Type" numFmtId="0">
      <sharedItems count="8">
        <s v="Regular Giving"/>
        <s v="Stewardship"/>
        <s v="Appeal"/>
        <s v="Acquisition"/>
        <s v="Event"/>
        <s v="Legacy"/>
        <s v="Raffle"/>
        <s v="Trading"/>
      </sharedItems>
    </cacheField>
    <cacheField name="Target_Audience" numFmtId="0">
      <sharedItems/>
    </cacheField>
    <cacheField name="Start_Date" numFmtId="164">
      <sharedItems containsSemiMixedTypes="0" containsNonDate="0" containsDate="1" containsString="0" minDate="2024-06-01T00:00:00" maxDate="2025-03-02T00:00:00"/>
    </cacheField>
    <cacheField name="End_Date" numFmtId="164">
      <sharedItems containsSemiMixedTypes="0" containsNonDate="0" containsDate="1" containsString="0" minDate="2024-06-30T00:00:00" maxDate="2025-05-01T00:00:00"/>
    </cacheField>
    <cacheField name="Budget_GBP" numFmtId="0">
      <sharedItems containsSemiMixedTypes="0" containsString="0" containsNumber="1" containsInteger="1" minValue="3500" maxValue="45000"/>
    </cacheField>
    <cacheField name="Primary_Channel" numFmtId="0">
      <sharedItems count="5">
        <s v="Telephone"/>
        <s v="Direct Mail"/>
        <s v="Multi-channel"/>
        <s v="Email"/>
        <s v="Digital"/>
      </sharedItems>
    </cacheField>
    <cacheField name="Gift_Value_With_GiftAid" numFmtId="2">
      <sharedItems containsSemiMixedTypes="0" containsString="0" containsNumber="1" minValue="-129.84" maxValue="50000"/>
    </cacheField>
    <cacheField name="Supporter_Link_Flag" numFmtId="0">
      <sharedItems/>
    </cacheField>
    <cacheField name="Date_Range_Flag" numFmtId="0">
      <sharedItems/>
    </cacheField>
    <cacheField name="Campaign_Link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8">
  <r>
    <x v="0"/>
    <s v="SUP01193"/>
    <x v="0"/>
    <x v="0"/>
    <x v="0"/>
    <d v="2025-02-06T00:00:00"/>
    <n v="427.04"/>
    <s v="Yes"/>
    <s v="PayPal"/>
    <x v="0"/>
    <s v="Referral"/>
    <x v="0"/>
    <s v="Female"/>
    <n v="72"/>
    <x v="0"/>
    <x v="0"/>
    <s v="No Preference"/>
    <s v=""/>
    <s v=""/>
    <s v=""/>
    <x v="0"/>
    <s v="One-time Donors"/>
    <d v="2025-01-06T00:00:00"/>
    <d v="2025-03-31T00:00:00"/>
    <n v="10000"/>
    <x v="0"/>
    <n v="533.80000000000007"/>
    <s v=""/>
    <s v=""/>
    <s v=""/>
  </r>
  <r>
    <x v="1"/>
    <s v="SUP01253"/>
    <x v="1"/>
    <x v="1"/>
    <x v="1"/>
    <d v="2024-06-15T00:00:00"/>
    <n v="1580.05"/>
    <s v="Yes"/>
    <s v="Standing Order"/>
    <x v="1"/>
    <s v="Event"/>
    <x v="1"/>
    <s v="Female"/>
    <n v="78"/>
    <x v="0"/>
    <x v="0"/>
    <s v="Email"/>
    <s v=""/>
    <s v=""/>
    <s v=""/>
    <x v="1"/>
    <s v="Major Donors"/>
    <d v="2024-06-01T00:00:00"/>
    <d v="2024-06-30T00:00:00"/>
    <n v="7000"/>
    <x v="1"/>
    <n v="1975.0625"/>
    <s v=""/>
    <s v=""/>
    <s v=""/>
  </r>
  <r>
    <x v="2"/>
    <s v="SUP01032"/>
    <x v="2"/>
    <x v="2"/>
    <x v="1"/>
    <d v="2024-11-09T00:00:00"/>
    <n v="92.05"/>
    <s v="Yes"/>
    <s v="Online"/>
    <x v="2"/>
    <s v="Corporate Partner"/>
    <x v="2"/>
    <s v="Female"/>
    <n v="57"/>
    <x v="1"/>
    <x v="1"/>
    <s v="Phone"/>
    <s v=""/>
    <s v=""/>
    <s v=""/>
    <x v="2"/>
    <s v="All Active"/>
    <d v="2024-11-01T00:00:00"/>
    <d v="2024-12-31T00:00:00"/>
    <n v="25000"/>
    <x v="2"/>
    <n v="115.0625"/>
    <s v=""/>
    <s v=""/>
    <s v=""/>
  </r>
  <r>
    <x v="3"/>
    <s v="SUP01085"/>
    <x v="2"/>
    <x v="2"/>
    <x v="2"/>
    <d v="2024-12-11T00:00:00"/>
    <n v="40.36"/>
    <s v="Yes"/>
    <s v="Cash"/>
    <x v="3"/>
    <s v="Website"/>
    <x v="3"/>
    <s v="Female"/>
    <s v=""/>
    <x v="2"/>
    <x v="2"/>
    <s v="Email"/>
    <s v=""/>
    <s v=""/>
    <s v="Review - missing DOB"/>
    <x v="2"/>
    <s v="All Active"/>
    <d v="2024-11-01T00:00:00"/>
    <d v="2024-12-31T00:00:00"/>
    <n v="25000"/>
    <x v="2"/>
    <n v="50.45"/>
    <s v=""/>
    <s v=""/>
    <s v=""/>
  </r>
  <r>
    <x v="4"/>
    <s v="SUP01455"/>
    <x v="2"/>
    <x v="2"/>
    <x v="1"/>
    <d v="2024-12-27T00:00:00"/>
    <n v="34.85"/>
    <s v="Yes"/>
    <s v="Credit Card"/>
    <x v="4"/>
    <s v="Telephone"/>
    <x v="4"/>
    <s v="Female"/>
    <n v="63"/>
    <x v="1"/>
    <x v="1"/>
    <s v="Email"/>
    <s v=""/>
    <s v=""/>
    <s v=""/>
    <x v="2"/>
    <s v="All Active"/>
    <d v="2024-11-01T00:00:00"/>
    <d v="2024-12-31T00:00:00"/>
    <n v="25000"/>
    <x v="2"/>
    <n v="43.5625"/>
    <s v=""/>
    <s v=""/>
    <s v=""/>
  </r>
  <r>
    <x v="5"/>
    <s v="SUP01195"/>
    <x v="3"/>
    <x v="3"/>
    <x v="3"/>
    <d v="2024-10-06T00:00:00"/>
    <n v="15.74"/>
    <s v="Yes"/>
    <s v="Cash"/>
    <x v="5"/>
    <s v="Referral"/>
    <x v="5"/>
    <s v="Female"/>
    <s v=""/>
    <x v="2"/>
    <x v="2"/>
    <s v="No Preference"/>
    <s v=""/>
    <s v=""/>
    <s v="Review - missing DOB"/>
    <x v="2"/>
    <s v="All Supporters"/>
    <d v="2024-09-10T00:00:00"/>
    <d v="2024-10-15T00:00:00"/>
    <n v="15000"/>
    <x v="3"/>
    <n v="19.675000000000001"/>
    <s v=""/>
    <s v=""/>
    <s v=""/>
  </r>
  <r>
    <x v="6"/>
    <s v="SUP01165"/>
    <x v="4"/>
    <x v="4"/>
    <x v="0"/>
    <d v="2025-03-16T00:00:00"/>
    <n v="151.99"/>
    <s v="Yes"/>
    <s v="PayPal"/>
    <x v="0"/>
    <s v="Direct Mail"/>
    <x v="6"/>
    <s v="Male"/>
    <n v="20"/>
    <x v="3"/>
    <x v="3"/>
    <s v="Email"/>
    <s v=""/>
    <s v=""/>
    <s v=""/>
    <x v="3"/>
    <s v="Prospects"/>
    <d v="2025-02-01T00:00:00"/>
    <d v="2025-04-30T00:00:00"/>
    <n v="20000"/>
    <x v="4"/>
    <n v="189.98750000000001"/>
    <s v=""/>
    <s v=""/>
    <s v=""/>
  </r>
  <r>
    <x v="7"/>
    <s v="SUP01353"/>
    <x v="2"/>
    <x v="2"/>
    <x v="0"/>
    <d v="2024-12-26T00:00:00"/>
    <n v="156.21"/>
    <s v="No"/>
    <s v="Standing Order"/>
    <x v="6"/>
    <s v="Door-To-Door"/>
    <x v="7"/>
    <s v="Male"/>
    <n v="79"/>
    <x v="0"/>
    <x v="0"/>
    <s v="No Preference"/>
    <s v=""/>
    <s v=""/>
    <s v=""/>
    <x v="2"/>
    <s v="All Active"/>
    <d v="2024-11-01T00:00:00"/>
    <d v="2024-12-31T00:00:00"/>
    <n v="25000"/>
    <x v="2"/>
    <n v="156.21"/>
    <s v=""/>
    <s v=""/>
    <s v=""/>
  </r>
  <r>
    <x v="8"/>
    <s v="SUP01112"/>
    <x v="0"/>
    <x v="0"/>
    <x v="1"/>
    <d v="2025-02-17T00:00:00"/>
    <n v="18.29"/>
    <s v="No"/>
    <s v="PayPal"/>
    <x v="3"/>
    <s v="Website"/>
    <x v="8"/>
    <s v="Male"/>
    <n v="25"/>
    <x v="3"/>
    <x v="3"/>
    <s v="Phone"/>
    <s v=""/>
    <s v="Review - prefers phone but not opted in"/>
    <s v=""/>
    <x v="0"/>
    <s v="One-time Donors"/>
    <d v="2025-01-06T00:00:00"/>
    <d v="2025-03-31T00:00:00"/>
    <n v="10000"/>
    <x v="0"/>
    <n v="18.29"/>
    <s v=""/>
    <s v=""/>
    <s v=""/>
  </r>
  <r>
    <x v="9"/>
    <s v="SUP01391"/>
    <x v="0"/>
    <x v="0"/>
    <x v="4"/>
    <d v="2025-03-23T00:00:00"/>
    <n v="11.29"/>
    <s v="No"/>
    <s v="Cash"/>
    <x v="5"/>
    <s v="Website"/>
    <x v="9"/>
    <s v="Male"/>
    <n v="62"/>
    <x v="1"/>
    <x v="1"/>
    <s v="Phone"/>
    <s v=""/>
    <s v="Review - prefers phone but not opted in"/>
    <s v=""/>
    <x v="0"/>
    <s v="One-time Donors"/>
    <d v="2025-01-06T00:00:00"/>
    <d v="2025-03-31T00:00:00"/>
    <n v="10000"/>
    <x v="0"/>
    <n v="11.29"/>
    <s v=""/>
    <s v=""/>
    <s v=""/>
  </r>
  <r>
    <x v="10"/>
    <s v="SUP01305"/>
    <x v="4"/>
    <x v="4"/>
    <x v="5"/>
    <d v="2025-02-25T00:00:00"/>
    <n v="113.62"/>
    <s v="No"/>
    <s v="Online"/>
    <x v="0"/>
    <s v="Corporate Partner"/>
    <x v="10"/>
    <s v="Female"/>
    <n v="88"/>
    <x v="0"/>
    <x v="0"/>
    <s v="Email"/>
    <s v=""/>
    <s v="Review - prefers email but not opted in"/>
    <s v=""/>
    <x v="3"/>
    <s v="Prospects"/>
    <d v="2025-02-01T00:00:00"/>
    <d v="2025-04-30T00:00:00"/>
    <n v="20000"/>
    <x v="4"/>
    <n v="113.62"/>
    <s v=""/>
    <s v=""/>
    <s v=""/>
  </r>
  <r>
    <x v="11"/>
    <s v="SUP01019"/>
    <x v="5"/>
    <x v="5"/>
    <x v="1"/>
    <d v="2024-11-22T00:00:00"/>
    <n v="80.349999999999994"/>
    <s v="Yes"/>
    <s v="Standing Order"/>
    <x v="6"/>
    <s v="Referral"/>
    <x v="11"/>
    <s v="Female"/>
    <n v="68"/>
    <x v="0"/>
    <x v="0"/>
    <s v="No Preference"/>
    <s v=""/>
    <s v=""/>
    <s v=""/>
    <x v="4"/>
    <s v="Volunteers"/>
    <d v="2024-11-22T00:00:00"/>
    <d v="2024-11-22T00:00:00"/>
    <n v="3500"/>
    <x v="3"/>
    <n v="100.4375"/>
    <s v=""/>
    <s v=""/>
    <s v=""/>
  </r>
  <r>
    <x v="12"/>
    <s v="SUP01367"/>
    <x v="1"/>
    <x v="1"/>
    <x v="1"/>
    <d v="2024-06-18T00:00:00"/>
    <n v="443.08"/>
    <s v="No"/>
    <s v="PayPal"/>
    <x v="0"/>
    <s v="Door-To-Door"/>
    <x v="12"/>
    <s v="Male"/>
    <n v="73"/>
    <x v="0"/>
    <x v="0"/>
    <s v="No Preference"/>
    <s v=""/>
    <s v=""/>
    <s v=""/>
    <x v="1"/>
    <s v="Major Donors"/>
    <d v="2024-06-01T00:00:00"/>
    <d v="2024-06-30T00:00:00"/>
    <n v="7000"/>
    <x v="1"/>
    <n v="443.08"/>
    <s v=""/>
    <s v=""/>
    <s v=""/>
  </r>
  <r>
    <x v="13"/>
    <s v="SUP01031"/>
    <x v="4"/>
    <x v="4"/>
    <x v="2"/>
    <d v="2025-04-09T00:00:00"/>
    <n v="7.27"/>
    <s v="Yes"/>
    <s v="Online"/>
    <x v="5"/>
    <s v="Referral"/>
    <x v="1"/>
    <s v="Female"/>
    <n v="85"/>
    <x v="0"/>
    <x v="0"/>
    <s v="Email"/>
    <s v=""/>
    <s v=""/>
    <s v=""/>
    <x v="3"/>
    <s v="Prospects"/>
    <d v="2025-02-01T00:00:00"/>
    <d v="2025-04-30T00:00:00"/>
    <n v="20000"/>
    <x v="4"/>
    <n v="9.0874999999999986"/>
    <s v=""/>
    <s v=""/>
    <s v=""/>
  </r>
  <r>
    <x v="14"/>
    <s v="SUP01103"/>
    <x v="6"/>
    <x v="6"/>
    <x v="1"/>
    <d v="2024-10-12T00:00:00"/>
    <n v="-38.659999999999997"/>
    <s v="No"/>
    <s v="Direct Debit"/>
    <x v="3"/>
    <s v="Website"/>
    <x v="13"/>
    <s v="Female"/>
    <n v="68"/>
    <x v="0"/>
    <x v="0"/>
    <s v="Post"/>
    <s v=""/>
    <s v=""/>
    <s v=""/>
    <x v="5"/>
    <s v="Over 55s"/>
    <d v="2024-10-07T00:00:00"/>
    <d v="2024-10-13T00:00:00"/>
    <n v="5000"/>
    <x v="1"/>
    <n v="-38.659999999999997"/>
    <s v=""/>
    <s v=""/>
    <s v=""/>
  </r>
  <r>
    <x v="15"/>
    <s v="SUP00910"/>
    <x v="7"/>
    <x v="7"/>
    <x v="1"/>
    <d v="2025-06-04T00:00:00"/>
    <n v="70.680000000000007"/>
    <s v="No"/>
    <s v="Cheque"/>
    <x v="4"/>
    <s v="Door-To-Door"/>
    <x v="14"/>
    <s v="Female"/>
    <n v="68"/>
    <x v="0"/>
    <x v="0"/>
    <s v="No Preference"/>
    <s v=""/>
    <s v=""/>
    <s v=""/>
    <x v="6"/>
    <s v="Regular Givers"/>
    <d v="2025-03-01T00:00:00"/>
    <d v="2025-04-30T00:00:00"/>
    <n v="8000"/>
    <x v="1"/>
    <n v="70.680000000000007"/>
    <s v=""/>
    <s v="Review - response outside campaign dates"/>
    <s v=""/>
  </r>
  <r>
    <x v="16"/>
    <s v="SUP01446"/>
    <x v="4"/>
    <x v="4"/>
    <x v="2"/>
    <d v="2025-04-29T00:00:00"/>
    <n v="55.83"/>
    <s v="Yes"/>
    <s v="Online"/>
    <x v="4"/>
    <s v="Website"/>
    <x v="3"/>
    <s v="Female"/>
    <n v="71"/>
    <x v="0"/>
    <x v="0"/>
    <s v="Do Not Contact"/>
    <s v=""/>
    <s v=""/>
    <s v=""/>
    <x v="3"/>
    <s v="Prospects"/>
    <d v="2025-02-01T00:00:00"/>
    <d v="2025-04-30T00:00:00"/>
    <n v="20000"/>
    <x v="4"/>
    <n v="69.787499999999994"/>
    <s v=""/>
    <s v=""/>
    <s v=""/>
  </r>
  <r>
    <x v="17"/>
    <s v="SUP01410"/>
    <x v="4"/>
    <x v="4"/>
    <x v="0"/>
    <d v="2025-03-12T00:00:00"/>
    <n v="25.61"/>
    <s v="No"/>
    <s v="Cash"/>
    <x v="4"/>
    <s v="Website"/>
    <x v="8"/>
    <s v="Male"/>
    <n v="70"/>
    <x v="0"/>
    <x v="0"/>
    <s v="No Preference"/>
    <s v=""/>
    <s v=""/>
    <s v=""/>
    <x v="3"/>
    <s v="Prospects"/>
    <d v="2025-02-01T00:00:00"/>
    <d v="2025-04-30T00:00:00"/>
    <n v="20000"/>
    <x v="4"/>
    <n v="25.61"/>
    <s v=""/>
    <s v=""/>
    <s v=""/>
  </r>
  <r>
    <x v="18"/>
    <s v="SUP01488"/>
    <x v="0"/>
    <x v="0"/>
    <x v="0"/>
    <d v="2025-02-04T00:00:00"/>
    <n v="215.29"/>
    <s v="No"/>
    <s v="Standing Order"/>
    <x v="6"/>
    <s v="Event"/>
    <x v="15"/>
    <s v="Female"/>
    <n v="49"/>
    <x v="4"/>
    <x v="4"/>
    <s v="Post"/>
    <s v=""/>
    <s v=""/>
    <s v=""/>
    <x v="0"/>
    <s v="One-time Donors"/>
    <d v="2025-01-06T00:00:00"/>
    <d v="2025-03-31T00:00:00"/>
    <n v="10000"/>
    <x v="0"/>
    <n v="215.29"/>
    <s v=""/>
    <s v=""/>
    <s v=""/>
  </r>
  <r>
    <x v="19"/>
    <s v="SUP01421"/>
    <x v="6"/>
    <x v="6"/>
    <x v="1"/>
    <d v="2024-07-10T00:00:00"/>
    <n v="122.85"/>
    <s v="Yes"/>
    <s v="PayPal"/>
    <x v="0"/>
    <s v="Corporate Partner"/>
    <x v="16"/>
    <s v="Male"/>
    <n v="74"/>
    <x v="0"/>
    <x v="0"/>
    <s v="Post"/>
    <s v=""/>
    <s v=""/>
    <s v=""/>
    <x v="5"/>
    <s v="Over 55s"/>
    <d v="2024-10-07T00:00:00"/>
    <d v="2024-10-13T00:00:00"/>
    <n v="5000"/>
    <x v="1"/>
    <n v="153.5625"/>
    <s v=""/>
    <s v="Review - response outside campaign dates"/>
    <s v=""/>
  </r>
  <r>
    <x v="20"/>
    <s v="SUP01096"/>
    <x v="1"/>
    <x v="1"/>
    <x v="2"/>
    <d v="2024-06-16T00:00:00"/>
    <n v="24.58"/>
    <s v="Yes"/>
    <s v="Direct Debit"/>
    <x v="3"/>
    <s v="Event"/>
    <x v="11"/>
    <s v="Female"/>
    <n v="61"/>
    <x v="1"/>
    <x v="1"/>
    <s v="Email"/>
    <s v=""/>
    <s v="Review - prefers email but not opted in"/>
    <s v=""/>
    <x v="1"/>
    <s v="Major Donors"/>
    <d v="2024-06-01T00:00:00"/>
    <d v="2024-06-30T00:00:00"/>
    <n v="7000"/>
    <x v="1"/>
    <n v="30.724999999999998"/>
    <s v=""/>
    <s v=""/>
    <s v=""/>
  </r>
  <r>
    <x v="21"/>
    <s v="SUP01272"/>
    <x v="3"/>
    <x v="3"/>
    <x v="2"/>
    <d v="2024-10-13T00:00:00"/>
    <n v="231.44"/>
    <s v="No"/>
    <s v="Standing Order"/>
    <x v="0"/>
    <s v="Door-To-Door"/>
    <x v="3"/>
    <s v="Female"/>
    <n v="77"/>
    <x v="0"/>
    <x v="0"/>
    <s v="Post"/>
    <s v=""/>
    <s v=""/>
    <s v=""/>
    <x v="2"/>
    <s v="All Supporters"/>
    <d v="2024-09-10T00:00:00"/>
    <d v="2024-10-15T00:00:00"/>
    <n v="15000"/>
    <x v="3"/>
    <n v="231.44"/>
    <s v=""/>
    <s v=""/>
    <s v=""/>
  </r>
  <r>
    <x v="22"/>
    <s v="SUP01357"/>
    <x v="2"/>
    <x v="2"/>
    <x v="2"/>
    <d v="2024-12-19T00:00:00"/>
    <n v="143.19"/>
    <s v="Yes"/>
    <s v="Debit Card"/>
    <x v="6"/>
    <s v="Door-To-Door"/>
    <x v="17"/>
    <s v="Female"/>
    <n v="42"/>
    <x v="4"/>
    <x v="4"/>
    <s v="Do Not Contact"/>
    <s v=""/>
    <s v=""/>
    <s v=""/>
    <x v="2"/>
    <s v="All Active"/>
    <d v="2024-11-01T00:00:00"/>
    <d v="2024-12-31T00:00:00"/>
    <n v="25000"/>
    <x v="2"/>
    <n v="178.98750000000001"/>
    <s v=""/>
    <s v=""/>
    <s v=""/>
  </r>
  <r>
    <x v="23"/>
    <s v="SUP01124"/>
    <x v="1"/>
    <x v="1"/>
    <x v="1"/>
    <d v="2024-06-24T00:00:00"/>
    <n v="1080.7"/>
    <s v="No"/>
    <s v="Cash"/>
    <x v="1"/>
    <s v="Door-To-Door"/>
    <x v="18"/>
    <s v="Female"/>
    <n v="90"/>
    <x v="0"/>
    <x v="0"/>
    <s v="Email"/>
    <s v=""/>
    <s v=""/>
    <s v=""/>
    <x v="1"/>
    <s v="Major Donors"/>
    <d v="2024-06-01T00:00:00"/>
    <d v="2024-06-30T00:00:00"/>
    <n v="7000"/>
    <x v="1"/>
    <n v="1080.7"/>
    <s v=""/>
    <s v=""/>
    <s v=""/>
  </r>
  <r>
    <x v="24"/>
    <s v="SUP01125"/>
    <x v="4"/>
    <x v="4"/>
    <x v="0"/>
    <d v="2025-02-25T00:00:00"/>
    <n v="48.5"/>
    <s v="No"/>
    <s v="Cheque"/>
    <x v="3"/>
    <s v="Direct Mail"/>
    <x v="19"/>
    <s v="Male"/>
    <n v="73"/>
    <x v="0"/>
    <x v="0"/>
    <s v="Email"/>
    <s v=""/>
    <s v=""/>
    <s v=""/>
    <x v="3"/>
    <s v="Prospects"/>
    <d v="2025-02-01T00:00:00"/>
    <d v="2025-04-30T00:00:00"/>
    <n v="20000"/>
    <x v="4"/>
    <n v="48.5"/>
    <s v=""/>
    <s v=""/>
    <s v=""/>
  </r>
  <r>
    <x v="25"/>
    <s v="SUP01419"/>
    <x v="2"/>
    <x v="2"/>
    <x v="1"/>
    <d v="2024-12-18T00:00:00"/>
    <n v="153.65"/>
    <s v="Yes"/>
    <s v="Debit Card"/>
    <x v="6"/>
    <s v="Direct Mail"/>
    <x v="20"/>
    <s v="Female"/>
    <s v=""/>
    <x v="2"/>
    <x v="2"/>
    <s v="Post"/>
    <s v=""/>
    <s v=""/>
    <s v="Review - missing DOB"/>
    <x v="2"/>
    <s v="All Active"/>
    <d v="2024-11-01T00:00:00"/>
    <d v="2024-12-31T00:00:00"/>
    <n v="25000"/>
    <x v="2"/>
    <n v="192.0625"/>
    <s v=""/>
    <s v=""/>
    <s v=""/>
  </r>
  <r>
    <x v="26"/>
    <s v="SUP01428"/>
    <x v="1"/>
    <x v="1"/>
    <x v="2"/>
    <d v="2024-06-14T00:00:00"/>
    <n v="3702.46"/>
    <s v="Yes"/>
    <s v="Debit Card"/>
    <x v="1"/>
    <s v="Corporate Partner"/>
    <x v="21"/>
    <s v="Female"/>
    <n v="67"/>
    <x v="0"/>
    <x v="0"/>
    <s v="Email"/>
    <s v=""/>
    <s v="Review - prefers email but not opted in"/>
    <s v=""/>
    <x v="1"/>
    <s v="Major Donors"/>
    <d v="2024-06-01T00:00:00"/>
    <d v="2024-06-30T00:00:00"/>
    <n v="7000"/>
    <x v="1"/>
    <n v="4628.0749999999998"/>
    <s v=""/>
    <s v=""/>
    <s v=""/>
  </r>
  <r>
    <x v="27"/>
    <s v="SUP01240"/>
    <x v="4"/>
    <x v="4"/>
    <x v="5"/>
    <d v="2025-03-06T00:00:00"/>
    <n v="27.49"/>
    <s v="Yes"/>
    <s v="Online"/>
    <x v="3"/>
    <s v="Referral"/>
    <x v="22"/>
    <s v="Male"/>
    <s v=""/>
    <x v="2"/>
    <x v="2"/>
    <s v="Email"/>
    <s v=""/>
    <s v=""/>
    <s v="Review - missing DOB"/>
    <x v="3"/>
    <s v="Prospects"/>
    <d v="2025-02-01T00:00:00"/>
    <d v="2025-04-30T00:00:00"/>
    <n v="20000"/>
    <x v="4"/>
    <n v="34.362499999999997"/>
    <s v=""/>
    <s v=""/>
    <s v=""/>
  </r>
  <r>
    <x v="28"/>
    <s v="SUP01330"/>
    <x v="2"/>
    <x v="2"/>
    <x v="2"/>
    <d v="2024-12-10T00:00:00"/>
    <n v="85.01"/>
    <s v="No"/>
    <s v="Debit Card"/>
    <x v="0"/>
    <s v="Event"/>
    <x v="17"/>
    <s v="Male"/>
    <n v="90"/>
    <x v="0"/>
    <x v="0"/>
    <s v="Phone"/>
    <s v=""/>
    <s v=""/>
    <s v=""/>
    <x v="2"/>
    <s v="All Active"/>
    <d v="2024-11-01T00:00:00"/>
    <d v="2024-12-31T00:00:00"/>
    <n v="25000"/>
    <x v="2"/>
    <n v="85.01"/>
    <s v=""/>
    <s v=""/>
    <s v=""/>
  </r>
  <r>
    <x v="29"/>
    <s v="SUP01398"/>
    <x v="4"/>
    <x v="4"/>
    <x v="5"/>
    <d v="2025-03-17T00:00:00"/>
    <n v="186.62"/>
    <s v="Yes"/>
    <s v="PayPal"/>
    <x v="6"/>
    <s v="Door-To-Door"/>
    <x v="2"/>
    <s v="Male"/>
    <n v="72"/>
    <x v="0"/>
    <x v="0"/>
    <s v="Email"/>
    <s v=""/>
    <s v=""/>
    <s v=""/>
    <x v="3"/>
    <s v="Prospects"/>
    <d v="2025-02-01T00:00:00"/>
    <d v="2025-04-30T00:00:00"/>
    <n v="20000"/>
    <x v="4"/>
    <n v="233.27500000000001"/>
    <s v=""/>
    <s v=""/>
    <s v=""/>
  </r>
  <r>
    <x v="30"/>
    <s v="SUP01437"/>
    <x v="2"/>
    <x v="2"/>
    <x v="3"/>
    <d v="2024-11-30T00:00:00"/>
    <n v="50.51"/>
    <s v="Yes"/>
    <s v="Online"/>
    <x v="6"/>
    <s v="Direct Mail"/>
    <x v="23"/>
    <s v="Male"/>
    <n v="34"/>
    <x v="3"/>
    <x v="3"/>
    <s v="Email"/>
    <s v=""/>
    <s v=""/>
    <s v=""/>
    <x v="2"/>
    <s v="All Active"/>
    <d v="2024-11-01T00:00:00"/>
    <d v="2024-12-31T00:00:00"/>
    <n v="25000"/>
    <x v="2"/>
    <n v="63.137499999999996"/>
    <s v=""/>
    <s v=""/>
    <s v=""/>
  </r>
  <r>
    <x v="31"/>
    <s v="SUP01020"/>
    <x v="8"/>
    <x v="8"/>
    <x v="2"/>
    <d v="2024-12-20T00:00:00"/>
    <n v="979.64"/>
    <s v="No"/>
    <s v="Credit Card"/>
    <x v="1"/>
    <s v="Website"/>
    <x v="22"/>
    <s v="Male"/>
    <n v="49"/>
    <x v="4"/>
    <x v="4"/>
    <s v="No Preference"/>
    <s v=""/>
    <s v=""/>
    <s v=""/>
    <x v="7"/>
    <s v="All Active"/>
    <d v="2024-10-15T00:00:00"/>
    <d v="2024-12-20T00:00:00"/>
    <n v="12000"/>
    <x v="2"/>
    <n v="979.64"/>
    <s v=""/>
    <s v=""/>
    <s v=""/>
  </r>
  <r>
    <x v="32"/>
    <s v="SUP01328"/>
    <x v="7"/>
    <x v="7"/>
    <x v="1"/>
    <d v="2025-03-20T00:00:00"/>
    <n v="30.12"/>
    <s v="Yes"/>
    <s v="Cash"/>
    <x v="2"/>
    <s v="Event"/>
    <x v="24"/>
    <s v="Female"/>
    <n v="34"/>
    <x v="3"/>
    <x v="3"/>
    <s v="Phone"/>
    <s v=""/>
    <s v="Review - prefers phone but not opted in"/>
    <s v=""/>
    <x v="6"/>
    <s v="Regular Givers"/>
    <d v="2025-03-01T00:00:00"/>
    <d v="2025-04-30T00:00:00"/>
    <n v="8000"/>
    <x v="1"/>
    <n v="37.65"/>
    <s v=""/>
    <s v=""/>
    <s v=""/>
  </r>
  <r>
    <x v="33"/>
    <s v="SUP01073"/>
    <x v="2"/>
    <x v="2"/>
    <x v="1"/>
    <d v="2024-11-04T00:00:00"/>
    <n v="6.88"/>
    <s v="No"/>
    <s v="Standing Order"/>
    <x v="5"/>
    <s v="Event"/>
    <x v="21"/>
    <s v="Male"/>
    <n v="54"/>
    <x v="1"/>
    <x v="1"/>
    <s v="Post"/>
    <s v=""/>
    <s v="Review - prefers post but not opted in"/>
    <s v=""/>
    <x v="2"/>
    <s v="All Active"/>
    <d v="2024-11-01T00:00:00"/>
    <d v="2024-12-31T00:00:00"/>
    <n v="25000"/>
    <x v="2"/>
    <n v="6.88"/>
    <s v=""/>
    <s v=""/>
    <s v=""/>
  </r>
  <r>
    <x v="34"/>
    <s v="SUP01083"/>
    <x v="4"/>
    <x v="4"/>
    <x v="2"/>
    <d v="2025-02-12T00:00:00"/>
    <n v="212.03"/>
    <s v="Yes"/>
    <s v="Cash"/>
    <x v="6"/>
    <s v="Corporate Partner"/>
    <x v="7"/>
    <s v="Female"/>
    <n v="53"/>
    <x v="1"/>
    <x v="1"/>
    <s v="Email"/>
    <s v=""/>
    <s v=""/>
    <s v=""/>
    <x v="3"/>
    <s v="Prospects"/>
    <d v="2025-02-01T00:00:00"/>
    <d v="2025-04-30T00:00:00"/>
    <n v="20000"/>
    <x v="4"/>
    <n v="265.03750000000002"/>
    <s v=""/>
    <s v=""/>
    <s v=""/>
  </r>
  <r>
    <x v="35"/>
    <s v="SUP01331"/>
    <x v="4"/>
    <x v="4"/>
    <x v="2"/>
    <d v="2025-04-15T00:00:00"/>
    <n v="1097.68"/>
    <s v="Yes"/>
    <s v="Direct Debit"/>
    <x v="1"/>
    <s v="Direct Mail"/>
    <x v="25"/>
    <s v="Female"/>
    <n v="53"/>
    <x v="1"/>
    <x v="1"/>
    <s v="Post"/>
    <s v=""/>
    <s v=""/>
    <s v=""/>
    <x v="3"/>
    <s v="Prospects"/>
    <d v="2025-02-01T00:00:00"/>
    <d v="2025-04-30T00:00:00"/>
    <n v="20000"/>
    <x v="4"/>
    <n v="1372.1000000000001"/>
    <s v=""/>
    <s v=""/>
    <s v=""/>
  </r>
  <r>
    <x v="36"/>
    <s v="SUP01310"/>
    <x v="2"/>
    <x v="2"/>
    <x v="1"/>
    <d v="2024-11-06T00:00:00"/>
    <n v="39.479999999999997"/>
    <s v="Yes"/>
    <s v="Debit Card"/>
    <x v="2"/>
    <s v="Website"/>
    <x v="22"/>
    <s v="Male"/>
    <s v=""/>
    <x v="2"/>
    <x v="2"/>
    <s v="Phone"/>
    <s v=""/>
    <s v="Review - prefers phone but not opted in"/>
    <s v="Review - missing DOB"/>
    <x v="2"/>
    <s v="All Active"/>
    <d v="2024-11-01T00:00:00"/>
    <d v="2024-12-31T00:00:00"/>
    <n v="25000"/>
    <x v="2"/>
    <n v="49.349999999999994"/>
    <s v=""/>
    <s v=""/>
    <s v=""/>
  </r>
  <r>
    <x v="37"/>
    <s v="SUP01413"/>
    <x v="5"/>
    <x v="5"/>
    <x v="1"/>
    <d v="2024-11-22T00:00:00"/>
    <n v="80.83"/>
    <s v="Yes"/>
    <s v="Direct Debit"/>
    <x v="2"/>
    <s v="Door-To-Door"/>
    <x v="8"/>
    <s v="Female"/>
    <n v="36"/>
    <x v="4"/>
    <x v="4"/>
    <s v="Post"/>
    <s v=""/>
    <s v=""/>
    <s v=""/>
    <x v="4"/>
    <s v="Volunteers"/>
    <d v="2024-11-22T00:00:00"/>
    <d v="2024-11-22T00:00:00"/>
    <n v="3500"/>
    <x v="3"/>
    <n v="101.03749999999999"/>
    <s v=""/>
    <s v=""/>
    <s v=""/>
  </r>
  <r>
    <x v="38"/>
    <s v="SUP01057"/>
    <x v="0"/>
    <x v="0"/>
    <x v="4"/>
    <d v="2025-01-09T00:00:00"/>
    <n v="11.66"/>
    <s v="Yes"/>
    <s v="Standing Order"/>
    <x v="3"/>
    <s v="Telephone"/>
    <x v="6"/>
    <s v="Male"/>
    <n v="29"/>
    <x v="3"/>
    <x v="3"/>
    <s v="Email"/>
    <s v=""/>
    <s v=""/>
    <s v=""/>
    <x v="0"/>
    <s v="One-time Donors"/>
    <d v="2025-01-06T00:00:00"/>
    <d v="2025-03-31T00:00:00"/>
    <n v="10000"/>
    <x v="0"/>
    <n v="14.574999999999999"/>
    <s v=""/>
    <s v=""/>
    <s v=""/>
  </r>
  <r>
    <x v="39"/>
    <s v="SUP01311"/>
    <x v="8"/>
    <x v="8"/>
    <x v="0"/>
    <d v="2024-12-11T00:00:00"/>
    <n v="60.91"/>
    <s v="No"/>
    <s v="Debit Card"/>
    <x v="4"/>
    <s v="Door-To-Door"/>
    <x v="14"/>
    <s v="Female"/>
    <n v="68"/>
    <x v="0"/>
    <x v="0"/>
    <s v="No Preference"/>
    <s v=""/>
    <s v=""/>
    <s v=""/>
    <x v="7"/>
    <s v="All Active"/>
    <d v="2024-10-15T00:00:00"/>
    <d v="2024-12-20T00:00:00"/>
    <n v="12000"/>
    <x v="2"/>
    <n v="60.91"/>
    <s v=""/>
    <s v=""/>
    <s v=""/>
  </r>
  <r>
    <x v="40"/>
    <s v="SUP01044"/>
    <x v="2"/>
    <x v="2"/>
    <x v="0"/>
    <d v="2024-11-18T00:00:00"/>
    <n v="79.34"/>
    <s v="Yes"/>
    <s v="Credit Card"/>
    <x v="2"/>
    <s v="Direct Mail"/>
    <x v="21"/>
    <s v="Male"/>
    <n v="36"/>
    <x v="4"/>
    <x v="4"/>
    <s v="Email"/>
    <s v=""/>
    <s v=""/>
    <s v=""/>
    <x v="2"/>
    <s v="All Active"/>
    <d v="2024-11-01T00:00:00"/>
    <d v="2024-12-31T00:00:00"/>
    <n v="25000"/>
    <x v="2"/>
    <n v="99.175000000000011"/>
    <s v=""/>
    <s v=""/>
    <s v=""/>
  </r>
  <r>
    <x v="41"/>
    <s v="SUP01008"/>
    <x v="5"/>
    <x v="5"/>
    <x v="1"/>
    <d v="2024-11-22T00:00:00"/>
    <n v="48.2"/>
    <s v="No"/>
    <s v="Credit Card"/>
    <x v="4"/>
    <s v="Event"/>
    <x v="16"/>
    <s v="Male"/>
    <n v="93"/>
    <x v="0"/>
    <x v="0"/>
    <s v="Post"/>
    <s v=""/>
    <s v=""/>
    <s v=""/>
    <x v="4"/>
    <s v="Volunteers"/>
    <d v="2024-11-22T00:00:00"/>
    <d v="2024-11-22T00:00:00"/>
    <n v="3500"/>
    <x v="3"/>
    <n v="48.2"/>
    <s v=""/>
    <s v=""/>
    <s v=""/>
  </r>
  <r>
    <x v="42"/>
    <s v="SUP01336"/>
    <x v="9"/>
    <x v="9"/>
    <x v="1"/>
    <d v="2024-07-15T00:00:00"/>
    <n v="23.22"/>
    <s v="No"/>
    <s v="Direct Debit"/>
    <x v="2"/>
    <s v="Social Media"/>
    <x v="6"/>
    <s v="Male"/>
    <n v="64"/>
    <x v="1"/>
    <x v="1"/>
    <s v="Post"/>
    <s v=""/>
    <s v=""/>
    <s v=""/>
    <x v="4"/>
    <s v="Major Donors"/>
    <d v="2024-07-15T00:00:00"/>
    <d v="2024-07-15T00:00:00"/>
    <n v="45000"/>
    <x v="1"/>
    <n v="23.22"/>
    <s v=""/>
    <s v=""/>
    <s v=""/>
  </r>
  <r>
    <x v="43"/>
    <s v="SUP01094"/>
    <x v="6"/>
    <x v="6"/>
    <x v="1"/>
    <d v="2024-10-07T00:00:00"/>
    <n v="28.55"/>
    <s v="Yes"/>
    <s v="Direct Debit"/>
    <x v="2"/>
    <s v="Direct Mail"/>
    <x v="23"/>
    <s v="Male"/>
    <n v="51"/>
    <x v="1"/>
    <x v="1"/>
    <s v="Phone"/>
    <s v=""/>
    <s v=""/>
    <s v=""/>
    <x v="5"/>
    <s v="Over 55s"/>
    <d v="2024-10-07T00:00:00"/>
    <d v="2024-10-13T00:00:00"/>
    <n v="5000"/>
    <x v="1"/>
    <n v="35.6875"/>
    <s v=""/>
    <s v=""/>
    <s v=""/>
  </r>
  <r>
    <x v="44"/>
    <s v="SUP01381"/>
    <x v="1"/>
    <x v="1"/>
    <x v="1"/>
    <d v="2024-06-01T00:00:00"/>
    <n v="478.2"/>
    <s v="Yes"/>
    <s v="Direct Debit"/>
    <x v="0"/>
    <s v="Social Media"/>
    <x v="4"/>
    <s v="Male"/>
    <n v="90"/>
    <x v="0"/>
    <x v="0"/>
    <s v="Email"/>
    <s v=""/>
    <s v=""/>
    <s v=""/>
    <x v="1"/>
    <s v="Major Donors"/>
    <d v="2024-06-01T00:00:00"/>
    <d v="2024-06-30T00:00:00"/>
    <n v="7000"/>
    <x v="1"/>
    <n v="597.75"/>
    <s v=""/>
    <s v=""/>
    <s v=""/>
  </r>
  <r>
    <x v="45"/>
    <s v="SUP01082"/>
    <x v="2"/>
    <x v="2"/>
    <x v="0"/>
    <d v="2024-12-30T00:00:00"/>
    <n v="48.33"/>
    <s v="No"/>
    <s v="Credit Card"/>
    <x v="6"/>
    <s v="Referral"/>
    <x v="26"/>
    <s v="Female"/>
    <n v="60"/>
    <x v="1"/>
    <x v="1"/>
    <s v="Email"/>
    <s v=""/>
    <s v=""/>
    <s v=""/>
    <x v="2"/>
    <s v="All Active"/>
    <d v="2024-11-01T00:00:00"/>
    <d v="2024-12-31T00:00:00"/>
    <n v="25000"/>
    <x v="2"/>
    <n v="48.33"/>
    <s v=""/>
    <s v=""/>
    <s v=""/>
  </r>
  <r>
    <x v="46"/>
    <s v="SUP01107"/>
    <x v="4"/>
    <x v="4"/>
    <x v="0"/>
    <d v="2025-02-20T00:00:00"/>
    <n v="273.94"/>
    <s v="No"/>
    <s v="Cheque"/>
    <x v="0"/>
    <s v="Telephone"/>
    <x v="26"/>
    <s v="Male"/>
    <n v="66"/>
    <x v="0"/>
    <x v="0"/>
    <s v="Email"/>
    <s v=""/>
    <s v="Review - prefers email but not opted in"/>
    <s v=""/>
    <x v="3"/>
    <s v="Prospects"/>
    <d v="2025-02-01T00:00:00"/>
    <d v="2025-04-30T00:00:00"/>
    <n v="20000"/>
    <x v="4"/>
    <n v="273.94"/>
    <s v=""/>
    <s v=""/>
    <s v=""/>
  </r>
  <r>
    <x v="47"/>
    <s v="SUP01211"/>
    <x v="0"/>
    <x v="0"/>
    <x v="0"/>
    <d v="2025-03-09T00:00:00"/>
    <n v="46.97"/>
    <s v="No"/>
    <s v="Direct Debit"/>
    <x v="2"/>
    <s v="Website"/>
    <x v="1"/>
    <s v="Male"/>
    <n v="74"/>
    <x v="0"/>
    <x v="0"/>
    <s v="Email"/>
    <s v=""/>
    <s v="Review - prefers email but not opted in"/>
    <s v=""/>
    <x v="0"/>
    <s v="One-time Donors"/>
    <d v="2025-01-06T00:00:00"/>
    <d v="2025-03-31T00:00:00"/>
    <n v="10000"/>
    <x v="0"/>
    <n v="46.97"/>
    <s v=""/>
    <s v=""/>
    <s v=""/>
  </r>
  <r>
    <x v="48"/>
    <s v="SUP01169"/>
    <x v="2"/>
    <x v="2"/>
    <x v="1"/>
    <d v="2024-12-01T00:00:00"/>
    <n v="48.92"/>
    <s v="Yes"/>
    <s v="Direct Debit"/>
    <x v="3"/>
    <s v="Referral"/>
    <x v="27"/>
    <s v="Male"/>
    <n v="75"/>
    <x v="0"/>
    <x v="0"/>
    <s v="Phone"/>
    <s v=""/>
    <s v="Review - prefers phone but not opted in"/>
    <s v=""/>
    <x v="2"/>
    <s v="All Active"/>
    <d v="2024-11-01T00:00:00"/>
    <d v="2024-12-31T00:00:00"/>
    <n v="25000"/>
    <x v="2"/>
    <n v="61.150000000000006"/>
    <s v=""/>
    <s v=""/>
    <s v=""/>
  </r>
  <r>
    <x v="49"/>
    <s v="SUP01110"/>
    <x v="3"/>
    <x v="3"/>
    <x v="1"/>
    <d v="2024-10-01T00:00:00"/>
    <n v="4744.6000000000004"/>
    <s v="No"/>
    <s v="Debit Card"/>
    <x v="1"/>
    <s v="Referral"/>
    <x v="5"/>
    <s v="Male"/>
    <n v="37"/>
    <x v="4"/>
    <x v="4"/>
    <s v="Email"/>
    <s v=""/>
    <s v="Review - prefers email but not opted in"/>
    <s v=""/>
    <x v="2"/>
    <s v="All Supporters"/>
    <d v="2024-09-10T00:00:00"/>
    <d v="2024-10-15T00:00:00"/>
    <n v="15000"/>
    <x v="3"/>
    <n v="4744.6000000000004"/>
    <s v=""/>
    <s v=""/>
    <s v=""/>
  </r>
  <r>
    <x v="50"/>
    <s v="SUP01313"/>
    <x v="0"/>
    <x v="0"/>
    <x v="1"/>
    <d v="2025-03-30T00:00:00"/>
    <n v="16.64"/>
    <s v="Yes"/>
    <s v="Cheque"/>
    <x v="5"/>
    <s v="Corporate Partner"/>
    <x v="28"/>
    <s v="Female"/>
    <n v="36"/>
    <x v="4"/>
    <x v="4"/>
    <s v="Do Not Contact"/>
    <s v=""/>
    <s v=""/>
    <s v=""/>
    <x v="0"/>
    <s v="One-time Donors"/>
    <d v="2025-01-06T00:00:00"/>
    <d v="2025-03-31T00:00:00"/>
    <n v="10000"/>
    <x v="0"/>
    <n v="20.8"/>
    <s v=""/>
    <s v=""/>
    <s v=""/>
  </r>
  <r>
    <x v="51"/>
    <s v="SUP01223"/>
    <x v="3"/>
    <x v="3"/>
    <x v="3"/>
    <d v="2024-09-14T00:00:00"/>
    <n v="46.05"/>
    <s v="No"/>
    <s v="Direct Debit"/>
    <x v="3"/>
    <s v="Social Media"/>
    <x v="13"/>
    <s v="Female"/>
    <n v="45"/>
    <x v="4"/>
    <x v="4"/>
    <s v="Post"/>
    <s v=""/>
    <s v="Review - prefers post but not opted in"/>
    <s v=""/>
    <x v="2"/>
    <s v="All Supporters"/>
    <d v="2024-09-10T00:00:00"/>
    <d v="2024-10-15T00:00:00"/>
    <n v="15000"/>
    <x v="3"/>
    <n v="46.05"/>
    <s v=""/>
    <s v=""/>
    <s v=""/>
  </r>
  <r>
    <x v="52"/>
    <s v="SUP01377"/>
    <x v="8"/>
    <x v="8"/>
    <x v="1"/>
    <d v="2024-11-17T00:00:00"/>
    <n v="10.63"/>
    <s v="No"/>
    <s v="Standing Order"/>
    <x v="2"/>
    <s v="Corporate Partner"/>
    <x v="27"/>
    <s v="Male"/>
    <n v="52"/>
    <x v="1"/>
    <x v="1"/>
    <s v="Email"/>
    <s v=""/>
    <s v=""/>
    <s v=""/>
    <x v="7"/>
    <s v="All Active"/>
    <d v="2024-10-15T00:00:00"/>
    <d v="2024-12-20T00:00:00"/>
    <n v="12000"/>
    <x v="2"/>
    <n v="10.63"/>
    <s v=""/>
    <s v=""/>
    <s v=""/>
  </r>
  <r>
    <x v="53"/>
    <s v="SUP01163"/>
    <x v="2"/>
    <x v="2"/>
    <x v="2"/>
    <d v="2024-11-02T00:00:00"/>
    <n v="322.75"/>
    <s v="No"/>
    <s v="Debit Card"/>
    <x v="0"/>
    <s v="Website"/>
    <x v="8"/>
    <s v="Male"/>
    <n v="81"/>
    <x v="0"/>
    <x v="0"/>
    <s v="Post"/>
    <s v=""/>
    <s v=""/>
    <s v=""/>
    <x v="2"/>
    <s v="All Active"/>
    <d v="2024-11-01T00:00:00"/>
    <d v="2024-12-31T00:00:00"/>
    <n v="25000"/>
    <x v="2"/>
    <n v="322.75"/>
    <s v=""/>
    <s v=""/>
    <s v=""/>
  </r>
  <r>
    <x v="54"/>
    <s v="SUP01302"/>
    <x v="1"/>
    <x v="1"/>
    <x v="2"/>
    <d v="2024-06-20T00:00:00"/>
    <n v="241.31"/>
    <s v="Yes"/>
    <s v="Cash"/>
    <x v="6"/>
    <s v="Event"/>
    <x v="29"/>
    <s v="Female"/>
    <n v="66"/>
    <x v="0"/>
    <x v="0"/>
    <s v="Phone"/>
    <s v=""/>
    <s v="Review - prefers phone but not opted in"/>
    <s v=""/>
    <x v="1"/>
    <s v="Major Donors"/>
    <d v="2024-06-01T00:00:00"/>
    <d v="2024-06-30T00:00:00"/>
    <n v="7000"/>
    <x v="1"/>
    <n v="301.63749999999999"/>
    <s v=""/>
    <s v=""/>
    <s v=""/>
  </r>
  <r>
    <x v="55"/>
    <s v="SUP01231"/>
    <x v="1"/>
    <x v="1"/>
    <x v="2"/>
    <d v="2024-06-23T00:00:00"/>
    <n v="57.48"/>
    <s v="Yes"/>
    <s v="Cash"/>
    <x v="6"/>
    <s v="Social Media"/>
    <x v="2"/>
    <s v="Female"/>
    <n v="66"/>
    <x v="0"/>
    <x v="0"/>
    <s v="Phone"/>
    <s v=""/>
    <s v="Review - prefers phone but not opted in"/>
    <s v=""/>
    <x v="1"/>
    <s v="Major Donors"/>
    <d v="2024-06-01T00:00:00"/>
    <d v="2024-06-30T00:00:00"/>
    <n v="7000"/>
    <x v="1"/>
    <n v="71.849999999999994"/>
    <s v=""/>
    <s v=""/>
    <s v=""/>
  </r>
  <r>
    <x v="56"/>
    <s v="SUP01455"/>
    <x v="9"/>
    <x v="9"/>
    <x v="2"/>
    <d v="2024-07-15T00:00:00"/>
    <n v="92.35"/>
    <s v="Yes"/>
    <s v="Credit Card"/>
    <x v="4"/>
    <s v="Telephone"/>
    <x v="4"/>
    <s v="Female"/>
    <n v="63"/>
    <x v="1"/>
    <x v="1"/>
    <s v="Email"/>
    <s v=""/>
    <s v=""/>
    <s v=""/>
    <x v="4"/>
    <s v="Major Donors"/>
    <d v="2024-07-15T00:00:00"/>
    <d v="2024-07-15T00:00:00"/>
    <n v="45000"/>
    <x v="1"/>
    <n v="115.4375"/>
    <s v=""/>
    <s v=""/>
    <s v=""/>
  </r>
  <r>
    <x v="57"/>
    <s v="SUP01454"/>
    <x v="4"/>
    <x v="4"/>
    <x v="2"/>
    <d v="2025-04-27T00:00:00"/>
    <n v="278.52"/>
    <s v="No"/>
    <s v="Cash"/>
    <x v="0"/>
    <s v="Corporate Partner"/>
    <x v="30"/>
    <s v="Male"/>
    <n v="85"/>
    <x v="0"/>
    <x v="0"/>
    <s v="No Preference"/>
    <s v=""/>
    <s v=""/>
    <s v=""/>
    <x v="3"/>
    <s v="Prospects"/>
    <d v="2025-02-01T00:00:00"/>
    <d v="2025-04-30T00:00:00"/>
    <n v="20000"/>
    <x v="4"/>
    <n v="278.52"/>
    <s v=""/>
    <s v=""/>
    <s v=""/>
  </r>
  <r>
    <x v="58"/>
    <s v="SUP01029"/>
    <x v="5"/>
    <x v="5"/>
    <x v="1"/>
    <d v="2024-11-22T00:00:00"/>
    <n v="38.14"/>
    <s v="Yes"/>
    <s v="Credit Card"/>
    <x v="3"/>
    <s v="Referral"/>
    <x v="11"/>
    <s v="Male"/>
    <n v="51"/>
    <x v="1"/>
    <x v="1"/>
    <s v="Post"/>
    <s v=""/>
    <s v=""/>
    <s v=""/>
    <x v="4"/>
    <s v="Volunteers"/>
    <d v="2024-11-22T00:00:00"/>
    <d v="2024-11-22T00:00:00"/>
    <n v="3500"/>
    <x v="3"/>
    <n v="47.674999999999997"/>
    <s v=""/>
    <s v=""/>
    <s v=""/>
  </r>
  <r>
    <x v="59"/>
    <s v="SUP01467"/>
    <x v="1"/>
    <x v="1"/>
    <x v="2"/>
    <d v="2024-06-02T00:00:00"/>
    <n v="158.62"/>
    <s v="No"/>
    <s v="Cheque"/>
    <x v="0"/>
    <s v="Social Media"/>
    <x v="21"/>
    <s v="Female"/>
    <n v="83"/>
    <x v="0"/>
    <x v="0"/>
    <s v="Email"/>
    <s v=""/>
    <s v=""/>
    <s v=""/>
    <x v="1"/>
    <s v="Major Donors"/>
    <d v="2024-06-01T00:00:00"/>
    <d v="2024-06-30T00:00:00"/>
    <n v="7000"/>
    <x v="1"/>
    <n v="158.62"/>
    <s v=""/>
    <s v=""/>
    <s v=""/>
  </r>
  <r>
    <x v="60"/>
    <s v="SUP01022"/>
    <x v="7"/>
    <x v="7"/>
    <x v="1"/>
    <d v="2025-03-25T00:00:00"/>
    <n v="18.809999999999999"/>
    <s v="Yes"/>
    <s v="Online"/>
    <x v="5"/>
    <s v="Door-To-Door"/>
    <x v="9"/>
    <s v="Female"/>
    <n v="68"/>
    <x v="0"/>
    <x v="0"/>
    <s v="Post"/>
    <s v="Review - duplicate record, see Supporter_Duplicates tab"/>
    <s v=""/>
    <s v=""/>
    <x v="6"/>
    <s v="Regular Givers"/>
    <d v="2025-03-01T00:00:00"/>
    <d v="2025-04-30T00:00:00"/>
    <n v="8000"/>
    <x v="1"/>
    <n v="23.512499999999999"/>
    <s v=""/>
    <s v=""/>
    <s v=""/>
  </r>
  <r>
    <x v="61"/>
    <s v="SUP01129"/>
    <x v="9"/>
    <x v="9"/>
    <x v="1"/>
    <d v="2024-07-15T00:00:00"/>
    <n v="324.07"/>
    <s v="Yes"/>
    <s v="Cheque"/>
    <x v="0"/>
    <s v="Direct Mail"/>
    <x v="6"/>
    <s v="Male"/>
    <n v="35"/>
    <x v="4"/>
    <x v="4"/>
    <s v="Post"/>
    <s v=""/>
    <s v=""/>
    <s v=""/>
    <x v="4"/>
    <s v="Major Donors"/>
    <d v="2024-07-15T00:00:00"/>
    <d v="2024-07-15T00:00:00"/>
    <n v="45000"/>
    <x v="1"/>
    <n v="405.08749999999998"/>
    <s v=""/>
    <s v=""/>
    <s v=""/>
  </r>
  <r>
    <x v="62"/>
    <s v="SUP01074"/>
    <x v="1"/>
    <x v="1"/>
    <x v="1"/>
    <d v="2024-06-16T00:00:00"/>
    <n v="40.270000000000003"/>
    <s v="Yes"/>
    <s v="Cheque"/>
    <x v="3"/>
    <s v="Corporate Partner"/>
    <x v="28"/>
    <s v="Male"/>
    <n v="87"/>
    <x v="0"/>
    <x v="0"/>
    <s v="Post"/>
    <s v=""/>
    <s v=""/>
    <s v=""/>
    <x v="1"/>
    <s v="Major Donors"/>
    <d v="2024-06-01T00:00:00"/>
    <d v="2024-06-30T00:00:00"/>
    <n v="7000"/>
    <x v="1"/>
    <n v="50.337500000000006"/>
    <s v=""/>
    <s v=""/>
    <s v=""/>
  </r>
  <r>
    <x v="63"/>
    <s v="SUP01350"/>
    <x v="0"/>
    <x v="0"/>
    <x v="0"/>
    <d v="2025-03-18T00:00:00"/>
    <n v="36.9"/>
    <s v="Yes"/>
    <s v="Credit Card"/>
    <x v="2"/>
    <s v="Corporate Partner"/>
    <x v="31"/>
    <s v="Female"/>
    <n v="75"/>
    <x v="0"/>
    <x v="0"/>
    <s v="Email"/>
    <s v=""/>
    <s v=""/>
    <s v=""/>
    <x v="0"/>
    <s v="One-time Donors"/>
    <d v="2025-01-06T00:00:00"/>
    <d v="2025-03-31T00:00:00"/>
    <n v="10000"/>
    <x v="0"/>
    <n v="46.125"/>
    <s v=""/>
    <s v=""/>
    <s v=""/>
  </r>
  <r>
    <x v="64"/>
    <s v="SUP01183"/>
    <x v="9"/>
    <x v="9"/>
    <x v="1"/>
    <d v="2024-07-15T00:00:00"/>
    <n v="98.95"/>
    <s v="Yes"/>
    <s v="Standing Order"/>
    <x v="6"/>
    <s v="Event"/>
    <x v="7"/>
    <s v="Female"/>
    <n v="95"/>
    <x v="0"/>
    <x v="0"/>
    <s v="Email"/>
    <s v=""/>
    <s v=""/>
    <s v=""/>
    <x v="4"/>
    <s v="Major Donors"/>
    <d v="2024-07-15T00:00:00"/>
    <d v="2024-07-15T00:00:00"/>
    <n v="45000"/>
    <x v="1"/>
    <n v="123.6875"/>
    <s v=""/>
    <s v=""/>
    <s v=""/>
  </r>
  <r>
    <x v="65"/>
    <s v="SUP01251"/>
    <x v="3"/>
    <x v="3"/>
    <x v="3"/>
    <d v="2024-09-19T00:00:00"/>
    <n v="60.74"/>
    <s v="Yes"/>
    <s v="Cash"/>
    <x v="2"/>
    <s v="Event"/>
    <x v="12"/>
    <s v="Female"/>
    <n v="0"/>
    <x v="5"/>
    <x v="5"/>
    <s v="Post"/>
    <s v=""/>
    <s v="Review - prefers post but not opted in"/>
    <s v="Review -  potential entry error (age 0)"/>
    <x v="2"/>
    <s v="All Supporters"/>
    <d v="2024-09-10T00:00:00"/>
    <d v="2024-10-15T00:00:00"/>
    <n v="15000"/>
    <x v="3"/>
    <n v="75.924999999999997"/>
    <s v=""/>
    <s v=""/>
    <s v=""/>
  </r>
  <r>
    <x v="66"/>
    <s v="SUP01358"/>
    <x v="9"/>
    <x v="9"/>
    <x v="2"/>
    <d v="2024-07-15T00:00:00"/>
    <n v="166.94"/>
    <s v="No"/>
    <s v="Cash"/>
    <x v="6"/>
    <s v="Website"/>
    <x v="29"/>
    <s v="Male"/>
    <n v="41"/>
    <x v="4"/>
    <x v="4"/>
    <s v="Email"/>
    <s v=""/>
    <s v="Review - prefers email but not opted in"/>
    <s v=""/>
    <x v="4"/>
    <s v="Major Donors"/>
    <d v="2024-07-15T00:00:00"/>
    <d v="2024-07-15T00:00:00"/>
    <n v="45000"/>
    <x v="1"/>
    <n v="166.94"/>
    <s v=""/>
    <s v=""/>
    <s v=""/>
  </r>
  <r>
    <x v="67"/>
    <s v="SUP01301"/>
    <x v="1"/>
    <x v="1"/>
    <x v="2"/>
    <d v="2024-06-07T00:00:00"/>
    <n v="149.34"/>
    <s v="No"/>
    <s v="Online"/>
    <x v="6"/>
    <s v="Website"/>
    <x v="29"/>
    <s v="Male"/>
    <n v="49"/>
    <x v="4"/>
    <x v="4"/>
    <s v="Post"/>
    <s v=""/>
    <s v=""/>
    <s v=""/>
    <x v="1"/>
    <s v="Major Donors"/>
    <d v="2024-06-01T00:00:00"/>
    <d v="2024-06-30T00:00:00"/>
    <n v="7000"/>
    <x v="1"/>
    <n v="149.34"/>
    <s v=""/>
    <s v=""/>
    <s v=""/>
  </r>
  <r>
    <x v="68"/>
    <s v="SUP01372"/>
    <x v="9"/>
    <x v="9"/>
    <x v="2"/>
    <d v="2024-07-15T00:00:00"/>
    <n v="33.380000000000003"/>
    <s v="No"/>
    <s v="Credit Card"/>
    <x v="3"/>
    <s v="Direct Mail"/>
    <x v="12"/>
    <s v="Female"/>
    <n v="59"/>
    <x v="1"/>
    <x v="1"/>
    <s v="Post"/>
    <s v=""/>
    <s v=""/>
    <s v=""/>
    <x v="4"/>
    <s v="Major Donors"/>
    <d v="2024-07-15T00:00:00"/>
    <d v="2024-07-15T00:00:00"/>
    <n v="45000"/>
    <x v="1"/>
    <n v="33.380000000000003"/>
    <s v=""/>
    <s v=""/>
    <s v=""/>
  </r>
  <r>
    <x v="69"/>
    <s v="SUP01055"/>
    <x v="0"/>
    <x v="0"/>
    <x v="1"/>
    <d v="2025-02-15T00:00:00"/>
    <n v="18.84"/>
    <s v="Yes"/>
    <s v="Credit Card"/>
    <x v="2"/>
    <s v="Social Media"/>
    <x v="1"/>
    <s v="Male"/>
    <n v="83"/>
    <x v="0"/>
    <x v="0"/>
    <s v="No Preference"/>
    <s v=""/>
    <s v=""/>
    <s v=""/>
    <x v="0"/>
    <s v="One-time Donors"/>
    <d v="2025-01-06T00:00:00"/>
    <d v="2025-03-31T00:00:00"/>
    <n v="10000"/>
    <x v="0"/>
    <n v="23.55"/>
    <s v=""/>
    <s v=""/>
    <s v=""/>
  </r>
  <r>
    <x v="70"/>
    <s v="SUP01183"/>
    <x v="3"/>
    <x v="3"/>
    <x v="2"/>
    <d v="2024-10-09T00:00:00"/>
    <n v="181.16"/>
    <s v="No"/>
    <s v="Cheque"/>
    <x v="6"/>
    <s v="Event"/>
    <x v="7"/>
    <s v="Female"/>
    <n v="95"/>
    <x v="0"/>
    <x v="0"/>
    <s v="Email"/>
    <s v=""/>
    <s v=""/>
    <s v=""/>
    <x v="2"/>
    <s v="All Supporters"/>
    <d v="2024-09-10T00:00:00"/>
    <d v="2024-10-15T00:00:00"/>
    <n v="15000"/>
    <x v="3"/>
    <n v="181.16"/>
    <s v=""/>
    <s v=""/>
    <s v=""/>
  </r>
  <r>
    <x v="71"/>
    <s v="SUP01270"/>
    <x v="7"/>
    <x v="7"/>
    <x v="1"/>
    <d v="2025-04-08T00:00:00"/>
    <n v="274.42"/>
    <s v="Yes"/>
    <s v="Cheque"/>
    <x v="0"/>
    <s v="Referral"/>
    <x v="32"/>
    <s v="Male"/>
    <n v="82"/>
    <x v="0"/>
    <x v="0"/>
    <s v="Phone"/>
    <s v=""/>
    <s v="Review - prefers phone but not opted in"/>
    <s v=""/>
    <x v="6"/>
    <s v="Regular Givers"/>
    <d v="2025-03-01T00:00:00"/>
    <d v="2025-04-30T00:00:00"/>
    <n v="8000"/>
    <x v="1"/>
    <n v="343.02500000000003"/>
    <s v=""/>
    <s v=""/>
    <s v=""/>
  </r>
  <r>
    <x v="72"/>
    <s v="SUP01382"/>
    <x v="7"/>
    <x v="7"/>
    <x v="2"/>
    <d v="2025-03-25T00:00:00"/>
    <n v="40.35"/>
    <s v="No"/>
    <s v="PayPal"/>
    <x v="6"/>
    <s v="Website"/>
    <x v="13"/>
    <s v="Male"/>
    <n v="70"/>
    <x v="0"/>
    <x v="0"/>
    <s v="Email"/>
    <s v=""/>
    <s v=""/>
    <s v=""/>
    <x v="6"/>
    <s v="Regular Givers"/>
    <d v="2025-03-01T00:00:00"/>
    <d v="2025-04-30T00:00:00"/>
    <n v="8000"/>
    <x v="1"/>
    <n v="40.35"/>
    <s v=""/>
    <s v=""/>
    <s v=""/>
  </r>
  <r>
    <x v="73"/>
    <s v="SUP01148"/>
    <x v="0"/>
    <x v="0"/>
    <x v="1"/>
    <d v="2025-02-16T00:00:00"/>
    <n v="4179.5"/>
    <s v="Yes"/>
    <s v="Online"/>
    <x v="1"/>
    <s v="Direct Mail"/>
    <x v="3"/>
    <s v="Female"/>
    <n v="61"/>
    <x v="1"/>
    <x v="1"/>
    <s v="Email"/>
    <s v=""/>
    <s v=""/>
    <s v=""/>
    <x v="0"/>
    <s v="One-time Donors"/>
    <d v="2025-01-06T00:00:00"/>
    <d v="2025-03-31T00:00:00"/>
    <n v="10000"/>
    <x v="0"/>
    <n v="5224.375"/>
    <s v=""/>
    <s v=""/>
    <s v=""/>
  </r>
  <r>
    <x v="74"/>
    <s v="SUP01497"/>
    <x v="3"/>
    <x v="3"/>
    <x v="3"/>
    <d v="2024-09-30T00:00:00"/>
    <n v="38.06"/>
    <s v="No"/>
    <s v="Credit Card"/>
    <x v="2"/>
    <s v="Telephone"/>
    <x v="19"/>
    <s v="Male"/>
    <n v="95"/>
    <x v="0"/>
    <x v="0"/>
    <s v="No Preference"/>
    <s v=""/>
    <s v=""/>
    <s v=""/>
    <x v="2"/>
    <s v="All Supporters"/>
    <d v="2024-09-10T00:00:00"/>
    <d v="2024-10-15T00:00:00"/>
    <n v="15000"/>
    <x v="3"/>
    <n v="38.06"/>
    <s v=""/>
    <s v=""/>
    <s v=""/>
  </r>
  <r>
    <x v="75"/>
    <s v="SUP01395"/>
    <x v="6"/>
    <x v="6"/>
    <x v="1"/>
    <d v="2024-10-08T00:00:00"/>
    <n v="49.08"/>
    <s v="Yes"/>
    <s v="Direct Debit"/>
    <x v="3"/>
    <s v="Corporate Partner"/>
    <x v="33"/>
    <s v="Male"/>
    <n v="61"/>
    <x v="1"/>
    <x v="1"/>
    <s v="No Preference"/>
    <s v=""/>
    <s v=""/>
    <s v=""/>
    <x v="5"/>
    <s v="Over 55s"/>
    <d v="2024-10-07T00:00:00"/>
    <d v="2024-10-13T00:00:00"/>
    <n v="5000"/>
    <x v="1"/>
    <n v="61.349999999999994"/>
    <s v=""/>
    <s v=""/>
    <s v=""/>
  </r>
  <r>
    <x v="76"/>
    <s v="SUP01219"/>
    <x v="1"/>
    <x v="1"/>
    <x v="2"/>
    <d v="2024-06-17T00:00:00"/>
    <n v="33.909999999999997"/>
    <s v="Yes"/>
    <s v="Online"/>
    <x v="2"/>
    <s v="Door-To-Door"/>
    <x v="27"/>
    <s v="Female"/>
    <n v="44"/>
    <x v="4"/>
    <x v="4"/>
    <s v="Email"/>
    <s v=""/>
    <s v=""/>
    <s v=""/>
    <x v="1"/>
    <s v="Major Donors"/>
    <d v="2024-06-01T00:00:00"/>
    <d v="2024-06-30T00:00:00"/>
    <n v="7000"/>
    <x v="1"/>
    <n v="42.387499999999996"/>
    <s v=""/>
    <s v=""/>
    <s v=""/>
  </r>
  <r>
    <x v="77"/>
    <s v="SUP01141"/>
    <x v="2"/>
    <x v="2"/>
    <x v="2"/>
    <d v="2024-11-14T00:00:00"/>
    <n v="78.27"/>
    <s v="Yes"/>
    <s v="Cheque"/>
    <x v="4"/>
    <s v="Social Media"/>
    <x v="11"/>
    <s v="Male"/>
    <n v="60"/>
    <x v="1"/>
    <x v="1"/>
    <s v="Email"/>
    <s v=""/>
    <s v=""/>
    <s v=""/>
    <x v="2"/>
    <s v="All Active"/>
    <d v="2024-11-01T00:00:00"/>
    <d v="2024-12-31T00:00:00"/>
    <n v="25000"/>
    <x v="2"/>
    <n v="97.837499999999991"/>
    <s v=""/>
    <s v=""/>
    <s v=""/>
  </r>
  <r>
    <x v="78"/>
    <s v="SUP01039"/>
    <x v="4"/>
    <x v="4"/>
    <x v="0"/>
    <d v="2025-04-23T00:00:00"/>
    <n v="143.80000000000001"/>
    <s v="Yes"/>
    <s v="PayPal"/>
    <x v="4"/>
    <s v="Direct Mail"/>
    <x v="21"/>
    <s v="Female"/>
    <n v="57"/>
    <x v="1"/>
    <x v="1"/>
    <s v="No Preference"/>
    <s v=""/>
    <s v=""/>
    <s v=""/>
    <x v="3"/>
    <s v="Prospects"/>
    <d v="2025-02-01T00:00:00"/>
    <d v="2025-04-30T00:00:00"/>
    <n v="20000"/>
    <x v="4"/>
    <n v="179.75"/>
    <s v=""/>
    <s v=""/>
    <s v=""/>
  </r>
  <r>
    <x v="79"/>
    <s v="SUP01065"/>
    <x v="9"/>
    <x v="9"/>
    <x v="2"/>
    <d v="2024-07-15T00:00:00"/>
    <n v="34.19"/>
    <s v="Yes"/>
    <s v="Direct Debit"/>
    <x v="2"/>
    <s v="Social Media"/>
    <x v="12"/>
    <s v="Female"/>
    <n v="50"/>
    <x v="1"/>
    <x v="1"/>
    <s v="Phone"/>
    <s v=""/>
    <s v="Review - prefers phone but not opted in"/>
    <s v=""/>
    <x v="4"/>
    <s v="Major Donors"/>
    <d v="2024-07-15T00:00:00"/>
    <d v="2024-07-15T00:00:00"/>
    <n v="45000"/>
    <x v="1"/>
    <n v="42.737499999999997"/>
    <s v=""/>
    <s v=""/>
    <s v=""/>
  </r>
  <r>
    <x v="80"/>
    <s v="SUP01431"/>
    <x v="9"/>
    <x v="9"/>
    <x v="1"/>
    <d v="2024-07-15T00:00:00"/>
    <n v="93.77"/>
    <s v="Yes"/>
    <s v="Standing Order"/>
    <x v="4"/>
    <s v="Website"/>
    <x v="33"/>
    <s v="Female"/>
    <n v="0"/>
    <x v="5"/>
    <x v="5"/>
    <s v="No Preference"/>
    <s v=""/>
    <s v=""/>
    <s v="Review -  potential entry error (age 0)"/>
    <x v="4"/>
    <s v="Major Donors"/>
    <d v="2024-07-15T00:00:00"/>
    <d v="2024-07-15T00:00:00"/>
    <n v="45000"/>
    <x v="1"/>
    <n v="117.21249999999999"/>
    <s v=""/>
    <s v=""/>
    <s v=""/>
  </r>
  <r>
    <x v="81"/>
    <s v="SUP01387"/>
    <x v="3"/>
    <x v="3"/>
    <x v="1"/>
    <d v="2024-09-18T00:00:00"/>
    <n v="27.4"/>
    <s v="Yes"/>
    <s v="PayPal"/>
    <x v="5"/>
    <s v="Website"/>
    <x v="8"/>
    <s v="Female"/>
    <n v="69"/>
    <x v="0"/>
    <x v="0"/>
    <s v="Post"/>
    <s v=""/>
    <s v=""/>
    <s v=""/>
    <x v="2"/>
    <s v="All Supporters"/>
    <d v="2024-09-10T00:00:00"/>
    <d v="2024-10-15T00:00:00"/>
    <n v="15000"/>
    <x v="3"/>
    <n v="34.25"/>
    <s v=""/>
    <s v=""/>
    <s v=""/>
  </r>
  <r>
    <x v="82"/>
    <s v="SUP01358"/>
    <x v="1"/>
    <x v="1"/>
    <x v="2"/>
    <d v="2024-06-20T00:00:00"/>
    <n v="138.93"/>
    <s v="Yes"/>
    <s v="Cheque"/>
    <x v="6"/>
    <s v="Website"/>
    <x v="29"/>
    <s v="Male"/>
    <n v="41"/>
    <x v="4"/>
    <x v="4"/>
    <s v="Email"/>
    <s v=""/>
    <s v="Review - prefers email but not opted in"/>
    <s v=""/>
    <x v="1"/>
    <s v="Major Donors"/>
    <d v="2024-06-01T00:00:00"/>
    <d v="2024-06-30T00:00:00"/>
    <n v="7000"/>
    <x v="1"/>
    <n v="173.66250000000002"/>
    <s v=""/>
    <s v=""/>
    <s v=""/>
  </r>
  <r>
    <x v="83"/>
    <s v="SUP01016"/>
    <x v="7"/>
    <x v="7"/>
    <x v="2"/>
    <d v="2025-03-25T00:00:00"/>
    <n v="21.69"/>
    <s v="No"/>
    <s v="Credit Card"/>
    <x v="5"/>
    <s v="Social Media"/>
    <x v="29"/>
    <s v="Male"/>
    <s v=""/>
    <x v="2"/>
    <x v="2"/>
    <s v="Email"/>
    <s v=""/>
    <s v=""/>
    <s v="Review - missing DOB"/>
    <x v="6"/>
    <s v="Regular Givers"/>
    <d v="2025-03-01T00:00:00"/>
    <d v="2025-04-30T00:00:00"/>
    <n v="8000"/>
    <x v="1"/>
    <n v="21.69"/>
    <s v=""/>
    <s v=""/>
    <s v=""/>
  </r>
  <r>
    <x v="84"/>
    <s v="SUP01262"/>
    <x v="4"/>
    <x v="4"/>
    <x v="5"/>
    <d v="2025-04-04T00:00:00"/>
    <n v="507.16"/>
    <s v="Yes"/>
    <s v="Standing Order"/>
    <x v="1"/>
    <s v="Social Media"/>
    <x v="15"/>
    <s v="Female"/>
    <n v="32"/>
    <x v="3"/>
    <x v="3"/>
    <s v="Post"/>
    <s v=""/>
    <s v=""/>
    <s v=""/>
    <x v="3"/>
    <s v="Prospects"/>
    <d v="2025-02-01T00:00:00"/>
    <d v="2025-04-30T00:00:00"/>
    <n v="20000"/>
    <x v="4"/>
    <n v="633.95000000000005"/>
    <s v=""/>
    <s v=""/>
    <s v=""/>
  </r>
  <r>
    <x v="85"/>
    <s v="SUP01211"/>
    <x v="4"/>
    <x v="4"/>
    <x v="5"/>
    <d v="2025-04-22T00:00:00"/>
    <n v="78.72"/>
    <s v="Yes"/>
    <s v="Online"/>
    <x v="2"/>
    <s v="Website"/>
    <x v="1"/>
    <s v="Male"/>
    <n v="74"/>
    <x v="0"/>
    <x v="0"/>
    <s v="Email"/>
    <s v=""/>
    <s v="Review - prefers email but not opted in"/>
    <s v=""/>
    <x v="3"/>
    <s v="Prospects"/>
    <d v="2025-02-01T00:00:00"/>
    <d v="2025-04-30T00:00:00"/>
    <n v="20000"/>
    <x v="4"/>
    <n v="98.4"/>
    <s v=""/>
    <s v=""/>
    <s v=""/>
  </r>
  <r>
    <x v="86"/>
    <s v="SUP01164"/>
    <x v="1"/>
    <x v="1"/>
    <x v="1"/>
    <d v="2024-06-22T00:00:00"/>
    <n v="41.64"/>
    <s v="No"/>
    <s v="Online"/>
    <x v="3"/>
    <s v="Social Media"/>
    <x v="34"/>
    <s v="Male"/>
    <n v="71"/>
    <x v="0"/>
    <x v="0"/>
    <s v="Email"/>
    <s v=""/>
    <s v=""/>
    <s v=""/>
    <x v="1"/>
    <s v="Major Donors"/>
    <d v="2024-06-01T00:00:00"/>
    <d v="2024-06-30T00:00:00"/>
    <n v="7000"/>
    <x v="1"/>
    <n v="41.64"/>
    <s v=""/>
    <s v=""/>
    <s v=""/>
  </r>
  <r>
    <x v="87"/>
    <m/>
    <x v="8"/>
    <x v="8"/>
    <x v="1"/>
    <d v="2024-11-18T00:00:00"/>
    <n v="1776.69"/>
    <s v="No"/>
    <s v="Credit Card"/>
    <x v="7"/>
    <s v=""/>
    <x v="35"/>
    <s v=""/>
    <s v=""/>
    <x v="2"/>
    <x v="2"/>
    <s v=""/>
    <s v=""/>
    <s v=""/>
    <s v="Review - missing DOB"/>
    <x v="7"/>
    <s v="All Active"/>
    <d v="2024-10-15T00:00:00"/>
    <d v="2024-12-20T00:00:00"/>
    <n v="12000"/>
    <x v="2"/>
    <n v="1776.69"/>
    <s v="Review - missing supporter ID"/>
    <s v=""/>
    <s v=""/>
  </r>
  <r>
    <x v="88"/>
    <s v="SUP01058"/>
    <x v="3"/>
    <x v="3"/>
    <x v="2"/>
    <d v="2024-09-18T00:00:00"/>
    <n v="16.829999999999998"/>
    <s v="Yes"/>
    <s v="Online"/>
    <x v="3"/>
    <s v="Website"/>
    <x v="0"/>
    <s v="Male"/>
    <n v="73"/>
    <x v="0"/>
    <x v="0"/>
    <s v="Email"/>
    <s v=""/>
    <s v=""/>
    <s v=""/>
    <x v="2"/>
    <s v="All Supporters"/>
    <d v="2024-09-10T00:00:00"/>
    <d v="2024-10-15T00:00:00"/>
    <n v="15000"/>
    <x v="3"/>
    <n v="21.037499999999998"/>
    <s v=""/>
    <s v=""/>
    <s v=""/>
  </r>
  <r>
    <x v="89"/>
    <s v="SUP00720"/>
    <x v="4"/>
    <x v="4"/>
    <x v="0"/>
    <d v="2025-04-28T00:00:00"/>
    <n v="111.64"/>
    <s v="No"/>
    <s v="Debit Card"/>
    <x v="4"/>
    <s v="Website"/>
    <x v="27"/>
    <s v="Male"/>
    <n v="65"/>
    <x v="0"/>
    <x v="0"/>
    <s v="Email"/>
    <s v=""/>
    <s v=""/>
    <s v=""/>
    <x v="3"/>
    <s v="Prospects"/>
    <d v="2025-02-01T00:00:00"/>
    <d v="2025-04-30T00:00:00"/>
    <n v="20000"/>
    <x v="4"/>
    <n v="111.64"/>
    <s v=""/>
    <s v=""/>
    <s v=""/>
  </r>
  <r>
    <x v="90"/>
    <s v="SUP01147"/>
    <x v="5"/>
    <x v="5"/>
    <x v="2"/>
    <d v="2024-11-22T00:00:00"/>
    <n v="30.69"/>
    <s v="No"/>
    <s v="Credit Card"/>
    <x v="6"/>
    <s v="Door-To-Door"/>
    <x v="25"/>
    <s v="Female"/>
    <n v="67"/>
    <x v="0"/>
    <x v="0"/>
    <s v="Post"/>
    <s v=""/>
    <s v=""/>
    <s v=""/>
    <x v="4"/>
    <s v="Volunteers"/>
    <d v="2024-11-22T00:00:00"/>
    <d v="2024-11-22T00:00:00"/>
    <n v="3500"/>
    <x v="3"/>
    <n v="30.69"/>
    <s v=""/>
    <s v=""/>
    <s v=""/>
  </r>
  <r>
    <x v="91"/>
    <s v="SUP01098"/>
    <x v="1"/>
    <x v="1"/>
    <x v="1"/>
    <d v="2024-06-15T00:00:00"/>
    <n v="23.11"/>
    <s v="Yes"/>
    <s v="Online"/>
    <x v="5"/>
    <s v="Website"/>
    <x v="24"/>
    <s v="Female"/>
    <n v="21"/>
    <x v="3"/>
    <x v="3"/>
    <s v="Post"/>
    <s v=""/>
    <s v="Review - prefers post but not opted in"/>
    <s v=""/>
    <x v="1"/>
    <s v="Major Donors"/>
    <d v="2024-06-01T00:00:00"/>
    <d v="2024-06-30T00:00:00"/>
    <n v="7000"/>
    <x v="1"/>
    <n v="28.887499999999999"/>
    <s v=""/>
    <s v=""/>
    <s v=""/>
  </r>
  <r>
    <x v="92"/>
    <s v="SUP01425"/>
    <x v="6"/>
    <x v="6"/>
    <x v="1"/>
    <d v="2024-10-13T00:00:00"/>
    <n v="38.770000000000003"/>
    <s v="Yes"/>
    <s v="Cash"/>
    <x v="6"/>
    <s v="Social Media"/>
    <x v="29"/>
    <s v="Male"/>
    <n v="42"/>
    <x v="4"/>
    <x v="4"/>
    <s v="No Preference"/>
    <s v=""/>
    <s v=""/>
    <s v=""/>
    <x v="5"/>
    <s v="Over 55s"/>
    <d v="2024-10-07T00:00:00"/>
    <d v="2024-10-13T00:00:00"/>
    <n v="5000"/>
    <x v="1"/>
    <n v="48.462500000000006"/>
    <s v=""/>
    <s v=""/>
    <s v=""/>
  </r>
  <r>
    <x v="93"/>
    <s v="SUP01486"/>
    <x v="0"/>
    <x v="0"/>
    <x v="1"/>
    <d v="2025-01-24T00:00:00"/>
    <n v="202.17"/>
    <s v="Yes"/>
    <s v="Cash"/>
    <x v="6"/>
    <s v="Event"/>
    <x v="24"/>
    <s v="Female"/>
    <n v="81"/>
    <x v="0"/>
    <x v="0"/>
    <s v="Email"/>
    <s v=""/>
    <s v="Review - prefers email but not opted in"/>
    <s v=""/>
    <x v="0"/>
    <s v="One-time Donors"/>
    <d v="2025-01-06T00:00:00"/>
    <d v="2025-03-31T00:00:00"/>
    <n v="10000"/>
    <x v="0"/>
    <n v="252.71249999999998"/>
    <s v=""/>
    <s v=""/>
    <s v=""/>
  </r>
  <r>
    <x v="94"/>
    <s v="SUP01307"/>
    <x v="3"/>
    <x v="3"/>
    <x v="0"/>
    <d v="2024-09-29T00:00:00"/>
    <n v="40.090000000000003"/>
    <s v="Yes"/>
    <s v="Standing Order"/>
    <x v="6"/>
    <s v="Social Media"/>
    <x v="24"/>
    <s v="Female"/>
    <n v="76"/>
    <x v="0"/>
    <x v="0"/>
    <s v="Email"/>
    <s v=""/>
    <s v=""/>
    <s v=""/>
    <x v="2"/>
    <s v="All Supporters"/>
    <d v="2024-09-10T00:00:00"/>
    <d v="2024-10-15T00:00:00"/>
    <n v="15000"/>
    <x v="3"/>
    <n v="50.112500000000004"/>
    <s v=""/>
    <s v=""/>
    <s v=""/>
  </r>
  <r>
    <x v="95"/>
    <s v="SUP01450"/>
    <x v="1"/>
    <x v="1"/>
    <x v="1"/>
    <d v="2024-06-30T00:00:00"/>
    <n v="84.17"/>
    <s v="Yes"/>
    <s v="Credit Card"/>
    <x v="2"/>
    <s v="Telephone"/>
    <x v="22"/>
    <s v="Male"/>
    <n v="67"/>
    <x v="0"/>
    <x v="0"/>
    <s v="Post"/>
    <s v=""/>
    <s v=""/>
    <s v=""/>
    <x v="1"/>
    <s v="Major Donors"/>
    <d v="2024-06-01T00:00:00"/>
    <d v="2024-06-30T00:00:00"/>
    <n v="7000"/>
    <x v="1"/>
    <n v="105.21250000000001"/>
    <s v=""/>
    <s v=""/>
    <s v=""/>
  </r>
  <r>
    <x v="96"/>
    <s v="SUP01390"/>
    <x v="1"/>
    <x v="1"/>
    <x v="2"/>
    <d v="2024-06-15T00:00:00"/>
    <n v="34.840000000000003"/>
    <s v="No"/>
    <s v="Cash"/>
    <x v="2"/>
    <s v="Social Media"/>
    <x v="32"/>
    <s v="Male"/>
    <n v="92"/>
    <x v="0"/>
    <x v="0"/>
    <s v="Phone"/>
    <s v=""/>
    <s v="Review - prefers phone but not opted in"/>
    <s v=""/>
    <x v="1"/>
    <s v="Major Donors"/>
    <d v="2024-06-01T00:00:00"/>
    <d v="2024-06-30T00:00:00"/>
    <n v="7000"/>
    <x v="1"/>
    <n v="34.840000000000003"/>
    <s v=""/>
    <s v=""/>
    <s v=""/>
  </r>
  <r>
    <x v="97"/>
    <s v="SUP01171"/>
    <x v="7"/>
    <x v="7"/>
    <x v="2"/>
    <d v="2025-03-13T00:00:00"/>
    <n v="22.21"/>
    <s v="No"/>
    <s v="Cash"/>
    <x v="2"/>
    <s v="Direct Mail"/>
    <x v="32"/>
    <s v="Female"/>
    <n v="28"/>
    <x v="3"/>
    <x v="3"/>
    <s v="Email"/>
    <s v=""/>
    <s v=""/>
    <s v=""/>
    <x v="6"/>
    <s v="Regular Givers"/>
    <d v="2025-03-01T00:00:00"/>
    <d v="2025-04-30T00:00:00"/>
    <n v="8000"/>
    <x v="1"/>
    <n v="22.21"/>
    <s v=""/>
    <s v=""/>
    <s v=""/>
  </r>
  <r>
    <x v="98"/>
    <s v="SUP01363"/>
    <x v="4"/>
    <x v="4"/>
    <x v="2"/>
    <d v="2025-03-29T00:00:00"/>
    <n v="218.38"/>
    <s v="Yes"/>
    <s v="Debit Card"/>
    <x v="0"/>
    <s v="Direct Mail"/>
    <x v="5"/>
    <s v="Female"/>
    <n v="57"/>
    <x v="1"/>
    <x v="1"/>
    <s v="No Preference"/>
    <s v=""/>
    <s v=""/>
    <s v=""/>
    <x v="3"/>
    <s v="Prospects"/>
    <d v="2025-02-01T00:00:00"/>
    <d v="2025-04-30T00:00:00"/>
    <n v="20000"/>
    <x v="4"/>
    <n v="272.97500000000002"/>
    <s v=""/>
    <s v=""/>
    <s v=""/>
  </r>
  <r>
    <x v="99"/>
    <s v="SUP01093"/>
    <x v="2"/>
    <x v="2"/>
    <x v="2"/>
    <d v="2024-12-26T00:00:00"/>
    <n v="33.229999999999997"/>
    <s v="No"/>
    <s v="Credit Card"/>
    <x v="3"/>
    <s v="Telephone"/>
    <x v="9"/>
    <s v="Female"/>
    <n v="93"/>
    <x v="0"/>
    <x v="0"/>
    <s v="No Preference"/>
    <s v=""/>
    <s v=""/>
    <s v=""/>
    <x v="2"/>
    <s v="All Active"/>
    <d v="2024-11-01T00:00:00"/>
    <d v="2024-12-31T00:00:00"/>
    <n v="25000"/>
    <x v="2"/>
    <n v="33.229999999999997"/>
    <s v=""/>
    <s v=""/>
    <s v=""/>
  </r>
  <r>
    <x v="100"/>
    <s v="SUP01095"/>
    <x v="5"/>
    <x v="5"/>
    <x v="1"/>
    <d v="2024-11-22T00:00:00"/>
    <n v="1439.27"/>
    <s v="No"/>
    <s v="Debit Card"/>
    <x v="1"/>
    <s v="Referral"/>
    <x v="13"/>
    <s v="Male"/>
    <n v="66"/>
    <x v="0"/>
    <x v="0"/>
    <s v="Phone"/>
    <s v=""/>
    <s v="Review - prefers phone but not opted in"/>
    <s v=""/>
    <x v="4"/>
    <s v="Volunteers"/>
    <d v="2024-11-22T00:00:00"/>
    <d v="2024-11-22T00:00:00"/>
    <n v="3500"/>
    <x v="3"/>
    <n v="1439.27"/>
    <s v=""/>
    <s v=""/>
    <s v=""/>
  </r>
  <r>
    <x v="101"/>
    <s v="SUP01005"/>
    <x v="2"/>
    <x v="2"/>
    <x v="3"/>
    <d v="2024-12-15T00:00:00"/>
    <n v="80.290000000000006"/>
    <s v="Yes"/>
    <s v="PayPal"/>
    <x v="4"/>
    <s v="Social Media"/>
    <x v="4"/>
    <s v="Male"/>
    <n v="85"/>
    <x v="0"/>
    <x v="0"/>
    <s v="Post"/>
    <s v=""/>
    <s v="Review - prefers post but not opted in"/>
    <s v=""/>
    <x v="2"/>
    <s v="All Active"/>
    <d v="2024-11-01T00:00:00"/>
    <d v="2024-12-31T00:00:00"/>
    <n v="25000"/>
    <x v="2"/>
    <n v="100.36250000000001"/>
    <s v=""/>
    <s v=""/>
    <s v=""/>
  </r>
  <r>
    <x v="102"/>
    <s v="SUP01109"/>
    <x v="0"/>
    <x v="0"/>
    <x v="0"/>
    <d v="2025-03-23T00:00:00"/>
    <n v="83.03"/>
    <s v="Yes"/>
    <s v="Direct Debit"/>
    <x v="6"/>
    <s v="Door-To-Door"/>
    <x v="29"/>
    <s v="Male"/>
    <n v="64"/>
    <x v="1"/>
    <x v="1"/>
    <s v="Email"/>
    <s v=""/>
    <s v="Review - prefers email but not opted in"/>
    <s v=""/>
    <x v="0"/>
    <s v="One-time Donors"/>
    <d v="2025-01-06T00:00:00"/>
    <d v="2025-03-31T00:00:00"/>
    <n v="10000"/>
    <x v="0"/>
    <n v="103.78749999999999"/>
    <s v=""/>
    <s v=""/>
    <s v=""/>
  </r>
  <r>
    <x v="103"/>
    <s v="SUP01469"/>
    <x v="8"/>
    <x v="8"/>
    <x v="2"/>
    <d v="2024-10-31T00:00:00"/>
    <n v="25.93"/>
    <s v="Yes"/>
    <s v="Cash"/>
    <x v="5"/>
    <s v="Direct Mail"/>
    <x v="22"/>
    <s v="Male"/>
    <n v="75"/>
    <x v="0"/>
    <x v="0"/>
    <s v="Email"/>
    <s v=""/>
    <s v="Review - prefers email but not opted in"/>
    <s v=""/>
    <x v="7"/>
    <s v="All Active"/>
    <d v="2024-10-15T00:00:00"/>
    <d v="2024-12-20T00:00:00"/>
    <n v="12000"/>
    <x v="2"/>
    <n v="32.412500000000001"/>
    <s v=""/>
    <s v=""/>
    <s v=""/>
  </r>
  <r>
    <x v="104"/>
    <s v="SUP01280"/>
    <x v="1"/>
    <x v="1"/>
    <x v="2"/>
    <d v="2024-02-06T00:00:00"/>
    <n v="497.59"/>
    <s v="No"/>
    <s v="PayPal"/>
    <x v="0"/>
    <s v="Direct Mail"/>
    <x v="25"/>
    <s v="Male"/>
    <n v="70"/>
    <x v="0"/>
    <x v="0"/>
    <s v="Post"/>
    <s v=""/>
    <s v=""/>
    <s v=""/>
    <x v="1"/>
    <s v="Major Donors"/>
    <d v="2024-06-01T00:00:00"/>
    <d v="2024-06-30T00:00:00"/>
    <n v="7000"/>
    <x v="1"/>
    <n v="497.59"/>
    <s v=""/>
    <s v="Review - response outside campaign dates"/>
    <s v=""/>
  </r>
  <r>
    <x v="105"/>
    <s v="SUP01329"/>
    <x v="8"/>
    <x v="8"/>
    <x v="2"/>
    <d v="2024-12-20T00:00:00"/>
    <n v="12.83"/>
    <s v="Yes"/>
    <s v="Debit Card"/>
    <x v="2"/>
    <s v="Corporate Partner"/>
    <x v="7"/>
    <s v="Male"/>
    <s v=""/>
    <x v="2"/>
    <x v="2"/>
    <s v="Post"/>
    <s v=""/>
    <s v=""/>
    <s v="Review - missing DOB"/>
    <x v="7"/>
    <s v="All Active"/>
    <d v="2024-10-15T00:00:00"/>
    <d v="2024-12-20T00:00:00"/>
    <n v="12000"/>
    <x v="2"/>
    <n v="16.037500000000001"/>
    <s v=""/>
    <s v=""/>
    <s v=""/>
  </r>
  <r>
    <x v="106"/>
    <s v="SUP01364"/>
    <x v="7"/>
    <x v="7"/>
    <x v="2"/>
    <d v="2025-04-13T00:00:00"/>
    <n v="25.11"/>
    <s v="Yes"/>
    <s v="Standing Order"/>
    <x v="5"/>
    <s v="Referral"/>
    <x v="18"/>
    <s v="Female"/>
    <n v="52"/>
    <x v="1"/>
    <x v="1"/>
    <s v="Email"/>
    <s v=""/>
    <s v=""/>
    <s v=""/>
    <x v="6"/>
    <s v="Regular Givers"/>
    <d v="2025-03-01T00:00:00"/>
    <d v="2025-04-30T00:00:00"/>
    <n v="8000"/>
    <x v="1"/>
    <n v="31.387499999999999"/>
    <s v=""/>
    <s v=""/>
    <s v=""/>
  </r>
  <r>
    <x v="107"/>
    <s v="SUP01404"/>
    <x v="9"/>
    <x v="9"/>
    <x v="1"/>
    <d v="2024-07-15T00:00:00"/>
    <n v="469.57"/>
    <s v="No"/>
    <s v="Cheque"/>
    <x v="0"/>
    <s v="Social Media"/>
    <x v="33"/>
    <s v="Female"/>
    <n v="87"/>
    <x v="0"/>
    <x v="0"/>
    <s v="Phone"/>
    <s v=""/>
    <s v="Review - prefers phone but not opted in"/>
    <s v=""/>
    <x v="4"/>
    <s v="Major Donors"/>
    <d v="2024-07-15T00:00:00"/>
    <d v="2024-07-15T00:00:00"/>
    <n v="45000"/>
    <x v="1"/>
    <n v="469.57"/>
    <s v=""/>
    <s v=""/>
    <s v=""/>
  </r>
  <r>
    <x v="108"/>
    <s v="SUP01332"/>
    <x v="6"/>
    <x v="6"/>
    <x v="1"/>
    <d v="2024-10-09T00:00:00"/>
    <n v="3919.37"/>
    <s v="No"/>
    <s v="Credit Card"/>
    <x v="1"/>
    <s v="Corporate Partner"/>
    <x v="15"/>
    <s v="Male"/>
    <s v=""/>
    <x v="2"/>
    <x v="2"/>
    <s v="No Preference"/>
    <s v=""/>
    <s v=""/>
    <s v="Review - missing DOB"/>
    <x v="5"/>
    <s v="Over 55s"/>
    <d v="2024-10-07T00:00:00"/>
    <d v="2024-10-13T00:00:00"/>
    <n v="5000"/>
    <x v="1"/>
    <n v="3919.37"/>
    <s v=""/>
    <s v=""/>
    <s v=""/>
  </r>
  <r>
    <x v="109"/>
    <s v="SUP01317"/>
    <x v="0"/>
    <x v="0"/>
    <x v="0"/>
    <d v="2025-03-18T00:00:00"/>
    <n v="470.21"/>
    <s v="Yes"/>
    <s v="Credit Card"/>
    <x v="1"/>
    <s v="Telephone"/>
    <x v="21"/>
    <s v="Female"/>
    <n v="66"/>
    <x v="0"/>
    <x v="0"/>
    <s v="Email"/>
    <s v=""/>
    <s v=""/>
    <s v=""/>
    <x v="0"/>
    <s v="One-time Donors"/>
    <d v="2025-01-06T00:00:00"/>
    <d v="2025-03-31T00:00:00"/>
    <n v="10000"/>
    <x v="0"/>
    <n v="587.76249999999993"/>
    <s v=""/>
    <s v=""/>
    <s v=""/>
  </r>
  <r>
    <x v="110"/>
    <s v="SUP01109"/>
    <x v="2"/>
    <x v="2"/>
    <x v="3"/>
    <d v="2024-01-15T00:00:00"/>
    <n v="130.08000000000001"/>
    <s v="No"/>
    <s v="Online"/>
    <x v="6"/>
    <s v="Door-To-Door"/>
    <x v="29"/>
    <s v="Male"/>
    <n v="64"/>
    <x v="1"/>
    <x v="1"/>
    <s v="Email"/>
    <s v=""/>
    <s v="Review - prefers email but not opted in"/>
    <s v=""/>
    <x v="2"/>
    <s v="All Active"/>
    <d v="2024-11-01T00:00:00"/>
    <d v="2024-12-31T00:00:00"/>
    <n v="25000"/>
    <x v="2"/>
    <n v="130.08000000000001"/>
    <s v=""/>
    <s v="Review - response outside campaign dates"/>
    <s v=""/>
  </r>
  <r>
    <x v="111"/>
    <s v="SUP01491"/>
    <x v="8"/>
    <x v="8"/>
    <x v="2"/>
    <d v="2024-12-04T00:00:00"/>
    <n v="2557.13"/>
    <s v="Yes"/>
    <s v="Credit Card"/>
    <x v="1"/>
    <s v="Telephone"/>
    <x v="6"/>
    <s v="Female"/>
    <n v="75"/>
    <x v="0"/>
    <x v="0"/>
    <s v="Email"/>
    <s v=""/>
    <s v=""/>
    <s v=""/>
    <x v="7"/>
    <s v="All Active"/>
    <d v="2024-10-15T00:00:00"/>
    <d v="2024-12-20T00:00:00"/>
    <n v="12000"/>
    <x v="2"/>
    <n v="3196.4125000000004"/>
    <s v=""/>
    <s v=""/>
    <s v=""/>
  </r>
  <r>
    <x v="112"/>
    <s v="SUP01357"/>
    <x v="7"/>
    <x v="7"/>
    <x v="2"/>
    <d v="2025-04-26T00:00:00"/>
    <n v="241.63"/>
    <s v="No"/>
    <s v="PayPal"/>
    <x v="6"/>
    <s v="Door-To-Door"/>
    <x v="17"/>
    <s v="Female"/>
    <n v="42"/>
    <x v="4"/>
    <x v="4"/>
    <s v="Do Not Contact"/>
    <s v=""/>
    <s v=""/>
    <s v=""/>
    <x v="6"/>
    <s v="Regular Givers"/>
    <d v="2025-03-01T00:00:00"/>
    <d v="2025-04-30T00:00:00"/>
    <n v="8000"/>
    <x v="1"/>
    <n v="241.63"/>
    <s v=""/>
    <s v=""/>
    <s v=""/>
  </r>
  <r>
    <x v="113"/>
    <s v="SUP01436"/>
    <x v="0"/>
    <x v="0"/>
    <x v="0"/>
    <d v="2025-01-27T00:00:00"/>
    <n v="115.5"/>
    <s v="Yes"/>
    <s v="Cheque"/>
    <x v="4"/>
    <s v="Telephone"/>
    <x v="16"/>
    <s v="Male"/>
    <n v="73"/>
    <x v="0"/>
    <x v="0"/>
    <s v="Email"/>
    <s v=""/>
    <s v=""/>
    <s v=""/>
    <x v="0"/>
    <s v="One-time Donors"/>
    <d v="2025-01-06T00:00:00"/>
    <d v="2025-03-31T00:00:00"/>
    <n v="10000"/>
    <x v="0"/>
    <n v="144.375"/>
    <s v=""/>
    <s v=""/>
    <s v=""/>
  </r>
  <r>
    <x v="114"/>
    <s v="SUP01270"/>
    <x v="8"/>
    <x v="8"/>
    <x v="2"/>
    <d v="2024-07-12T00:00:00"/>
    <n v="282.35000000000002"/>
    <s v="No"/>
    <s v="Direct Debit"/>
    <x v="0"/>
    <s v="Referral"/>
    <x v="32"/>
    <s v="Male"/>
    <n v="82"/>
    <x v="0"/>
    <x v="0"/>
    <s v="Phone"/>
    <s v=""/>
    <s v="Review - prefers phone but not opted in"/>
    <s v=""/>
    <x v="7"/>
    <s v="All Active"/>
    <d v="2024-10-15T00:00:00"/>
    <d v="2024-12-20T00:00:00"/>
    <n v="12000"/>
    <x v="2"/>
    <n v="282.35000000000002"/>
    <s v=""/>
    <s v="Review - response outside campaign dates"/>
    <s v=""/>
  </r>
  <r>
    <x v="115"/>
    <s v="SUP01201"/>
    <x v="5"/>
    <x v="5"/>
    <x v="1"/>
    <d v="2024-11-22T00:00:00"/>
    <n v="156.12"/>
    <s v="No"/>
    <s v="Cheque"/>
    <x v="6"/>
    <s v="Referral"/>
    <x v="30"/>
    <s v="Female"/>
    <n v="64"/>
    <x v="1"/>
    <x v="1"/>
    <s v="Email"/>
    <s v="Review - duplicate record, see Supporter_Duplicates tab"/>
    <s v=""/>
    <s v=""/>
    <x v="4"/>
    <s v="Volunteers"/>
    <d v="2024-11-22T00:00:00"/>
    <d v="2024-11-22T00:00:00"/>
    <n v="3500"/>
    <x v="3"/>
    <n v="156.12"/>
    <s v=""/>
    <s v=""/>
    <s v=""/>
  </r>
  <r>
    <x v="116"/>
    <s v="SUP01116"/>
    <x v="4"/>
    <x v="4"/>
    <x v="2"/>
    <d v="2025-03-02T00:00:00"/>
    <n v="38.21"/>
    <s v="No"/>
    <s v="Cheque"/>
    <x v="2"/>
    <s v="Social Media"/>
    <x v="24"/>
    <s v="Female"/>
    <n v="21"/>
    <x v="3"/>
    <x v="3"/>
    <s v="Phone"/>
    <s v=""/>
    <s v=""/>
    <s v=""/>
    <x v="3"/>
    <s v="Prospects"/>
    <d v="2025-02-01T00:00:00"/>
    <d v="2025-04-30T00:00:00"/>
    <n v="20000"/>
    <x v="4"/>
    <n v="38.21"/>
    <s v=""/>
    <s v=""/>
    <s v=""/>
  </r>
  <r>
    <x v="117"/>
    <s v="SUP01022"/>
    <x v="5"/>
    <x v="5"/>
    <x v="2"/>
    <d v="2024-11-22T00:00:00"/>
    <n v="28.27"/>
    <s v="No"/>
    <s v="Debit Card"/>
    <x v="5"/>
    <s v="Door-To-Door"/>
    <x v="9"/>
    <s v="Female"/>
    <n v="68"/>
    <x v="0"/>
    <x v="0"/>
    <s v="Post"/>
    <s v="Review - duplicate record, see Supporter_Duplicates tab"/>
    <s v=""/>
    <s v=""/>
    <x v="4"/>
    <s v="Volunteers"/>
    <d v="2024-11-22T00:00:00"/>
    <d v="2024-11-22T00:00:00"/>
    <n v="3500"/>
    <x v="3"/>
    <n v="28.27"/>
    <s v=""/>
    <s v=""/>
    <s v=""/>
  </r>
  <r>
    <x v="118"/>
    <s v="SUP01356"/>
    <x v="4"/>
    <x v="4"/>
    <x v="2"/>
    <d v="2025-03-14T00:00:00"/>
    <n v="89.81"/>
    <s v="Yes"/>
    <s v="Standing Order"/>
    <x v="4"/>
    <s v="Telephone"/>
    <x v="10"/>
    <s v="Female"/>
    <n v="56"/>
    <x v="1"/>
    <x v="1"/>
    <s v="Email"/>
    <s v=""/>
    <s v=""/>
    <s v=""/>
    <x v="3"/>
    <s v="Prospects"/>
    <d v="2025-02-01T00:00:00"/>
    <d v="2025-04-30T00:00:00"/>
    <n v="20000"/>
    <x v="4"/>
    <n v="112.2625"/>
    <s v=""/>
    <s v=""/>
    <s v=""/>
  </r>
  <r>
    <x v="119"/>
    <s v="SUP01097"/>
    <x v="1"/>
    <x v="1"/>
    <x v="2"/>
    <d v="2024-06-10T00:00:00"/>
    <n v="11.52"/>
    <s v="Yes"/>
    <s v="Direct Debit"/>
    <x v="5"/>
    <s v="Social Media"/>
    <x v="17"/>
    <s v="Male"/>
    <n v="59"/>
    <x v="1"/>
    <x v="1"/>
    <s v="Email"/>
    <s v=""/>
    <s v="Review - prefers email but not opted in"/>
    <s v=""/>
    <x v="1"/>
    <s v="Major Donors"/>
    <d v="2024-06-01T00:00:00"/>
    <d v="2024-06-30T00:00:00"/>
    <n v="7000"/>
    <x v="1"/>
    <n v="14.399999999999999"/>
    <s v=""/>
    <s v=""/>
    <s v=""/>
  </r>
  <r>
    <x v="120"/>
    <s v="SUP01282"/>
    <x v="0"/>
    <x v="0"/>
    <x v="0"/>
    <d v="2025-02-23T00:00:00"/>
    <n v="77.489999999999995"/>
    <s v="No"/>
    <s v="Direct Debit"/>
    <x v="4"/>
    <s v="Corporate Partner"/>
    <x v="12"/>
    <s v="Male"/>
    <n v="64"/>
    <x v="1"/>
    <x v="1"/>
    <s v="Email"/>
    <s v=""/>
    <s v=""/>
    <s v=""/>
    <x v="0"/>
    <s v="One-time Donors"/>
    <d v="2025-01-06T00:00:00"/>
    <d v="2025-03-31T00:00:00"/>
    <n v="10000"/>
    <x v="0"/>
    <n v="77.489999999999995"/>
    <s v=""/>
    <s v=""/>
    <s v=""/>
  </r>
  <r>
    <x v="121"/>
    <s v="SUP01315"/>
    <x v="3"/>
    <x v="3"/>
    <x v="0"/>
    <d v="2024-10-10T00:00:00"/>
    <n v="38.369999999999997"/>
    <s v="Yes"/>
    <s v="Online"/>
    <x v="4"/>
    <s v="Event"/>
    <x v="4"/>
    <s v="Male"/>
    <n v="63"/>
    <x v="1"/>
    <x v="1"/>
    <s v="Email"/>
    <s v=""/>
    <s v="Review - prefers email but not opted in"/>
    <s v=""/>
    <x v="2"/>
    <s v="All Supporters"/>
    <d v="2024-09-10T00:00:00"/>
    <d v="2024-10-15T00:00:00"/>
    <n v="15000"/>
    <x v="3"/>
    <n v="47.962499999999999"/>
    <s v=""/>
    <s v=""/>
    <s v=""/>
  </r>
  <r>
    <x v="122"/>
    <s v="SUP01371"/>
    <x v="3"/>
    <x v="3"/>
    <x v="3"/>
    <d v="2024-09-29T00:00:00"/>
    <n v="3217.7"/>
    <s v="Yes"/>
    <s v="PayPal"/>
    <x v="1"/>
    <s v="Corporate Partner"/>
    <x v="15"/>
    <s v="Female"/>
    <n v="53"/>
    <x v="1"/>
    <x v="1"/>
    <s v="Email"/>
    <s v=""/>
    <s v=""/>
    <s v=""/>
    <x v="2"/>
    <s v="All Supporters"/>
    <d v="2024-09-10T00:00:00"/>
    <d v="2024-10-15T00:00:00"/>
    <n v="15000"/>
    <x v="3"/>
    <n v="4022.125"/>
    <s v=""/>
    <s v=""/>
    <s v=""/>
  </r>
  <r>
    <x v="123"/>
    <s v="SUP01215"/>
    <x v="3"/>
    <x v="3"/>
    <x v="1"/>
    <d v="2024-09-19T00:00:00"/>
    <n v="28.32"/>
    <s v="No"/>
    <s v="Credit Card"/>
    <x v="6"/>
    <s v="Corporate Partner"/>
    <x v="7"/>
    <s v="Male"/>
    <n v="71"/>
    <x v="0"/>
    <x v="0"/>
    <s v="Email"/>
    <s v=""/>
    <s v=""/>
    <s v=""/>
    <x v="2"/>
    <s v="All Supporters"/>
    <d v="2024-09-10T00:00:00"/>
    <d v="2024-10-15T00:00:00"/>
    <n v="15000"/>
    <x v="3"/>
    <n v="28.32"/>
    <s v=""/>
    <s v=""/>
    <s v=""/>
  </r>
  <r>
    <x v="124"/>
    <s v="SUP01343"/>
    <x v="4"/>
    <x v="4"/>
    <x v="2"/>
    <d v="2025-12-03T00:00:00"/>
    <n v="27.21"/>
    <s v="Yes"/>
    <s v="Cash"/>
    <x v="5"/>
    <s v="Social Media"/>
    <x v="30"/>
    <s v="Female"/>
    <n v="48"/>
    <x v="4"/>
    <x v="4"/>
    <s v="Post"/>
    <s v=""/>
    <s v=""/>
    <s v=""/>
    <x v="3"/>
    <s v="Prospects"/>
    <d v="2025-02-01T00:00:00"/>
    <d v="2025-04-30T00:00:00"/>
    <n v="20000"/>
    <x v="4"/>
    <n v="34.012500000000003"/>
    <s v=""/>
    <s v="Review - response outside campaign dates"/>
    <s v=""/>
  </r>
  <r>
    <x v="125"/>
    <s v="SUP01352"/>
    <x v="7"/>
    <x v="7"/>
    <x v="1"/>
    <d v="2025-04-17T00:00:00"/>
    <n v="3728.32"/>
    <s v="No"/>
    <s v="Direct Debit"/>
    <x v="1"/>
    <s v="Referral"/>
    <x v="26"/>
    <s v="Female"/>
    <n v="23"/>
    <x v="3"/>
    <x v="3"/>
    <s v="Email"/>
    <s v=""/>
    <s v=""/>
    <s v=""/>
    <x v="6"/>
    <s v="Regular Givers"/>
    <d v="2025-03-01T00:00:00"/>
    <d v="2025-04-30T00:00:00"/>
    <n v="8000"/>
    <x v="1"/>
    <n v="3728.32"/>
    <s v=""/>
    <s v=""/>
    <s v=""/>
  </r>
  <r>
    <x v="126"/>
    <s v="SUP01417"/>
    <x v="9"/>
    <x v="9"/>
    <x v="1"/>
    <d v="2024-07-15T00:00:00"/>
    <n v="29.01"/>
    <s v="No"/>
    <s v="Standing Order"/>
    <x v="5"/>
    <s v="Corporate Partner"/>
    <x v="22"/>
    <s v="Female"/>
    <n v="49"/>
    <x v="4"/>
    <x v="4"/>
    <s v="Post"/>
    <s v=""/>
    <s v=""/>
    <s v=""/>
    <x v="4"/>
    <s v="Major Donors"/>
    <d v="2024-07-15T00:00:00"/>
    <d v="2024-07-15T00:00:00"/>
    <n v="45000"/>
    <x v="1"/>
    <n v="29.01"/>
    <s v=""/>
    <s v=""/>
    <s v=""/>
  </r>
  <r>
    <x v="127"/>
    <s v="SUP01379"/>
    <x v="5"/>
    <x v="5"/>
    <x v="1"/>
    <d v="2024-11-22T00:00:00"/>
    <n v="61.73"/>
    <s v="Yes"/>
    <s v="Online"/>
    <x v="6"/>
    <s v="Social Media"/>
    <x v="23"/>
    <s v="Female"/>
    <n v="41"/>
    <x v="4"/>
    <x v="4"/>
    <s v="Phone"/>
    <s v=""/>
    <s v=""/>
    <s v=""/>
    <x v="4"/>
    <s v="Volunteers"/>
    <d v="2024-11-22T00:00:00"/>
    <d v="2024-11-22T00:00:00"/>
    <n v="3500"/>
    <x v="3"/>
    <n v="77.162499999999994"/>
    <s v=""/>
    <s v=""/>
    <s v=""/>
  </r>
  <r>
    <x v="128"/>
    <s v="SUP01307"/>
    <x v="0"/>
    <x v="0"/>
    <x v="4"/>
    <d v="2025-02-06T00:00:00"/>
    <n v="125.49"/>
    <s v="No"/>
    <s v="Standing Order"/>
    <x v="6"/>
    <s v="Social Media"/>
    <x v="24"/>
    <s v="Female"/>
    <n v="76"/>
    <x v="0"/>
    <x v="0"/>
    <s v="Email"/>
    <s v=""/>
    <s v=""/>
    <s v=""/>
    <x v="0"/>
    <s v="One-time Donors"/>
    <d v="2025-01-06T00:00:00"/>
    <d v="2025-03-31T00:00:00"/>
    <n v="10000"/>
    <x v="0"/>
    <n v="125.49"/>
    <s v=""/>
    <s v=""/>
    <s v=""/>
  </r>
  <r>
    <x v="129"/>
    <s v="SUP01317"/>
    <x v="4"/>
    <x v="4"/>
    <x v="2"/>
    <d v="2025-04-06T00:00:00"/>
    <n v="2936.9"/>
    <s v="Yes"/>
    <s v="PayPal"/>
    <x v="1"/>
    <s v="Telephone"/>
    <x v="21"/>
    <s v="Female"/>
    <n v="66"/>
    <x v="0"/>
    <x v="0"/>
    <s v="Email"/>
    <s v=""/>
    <s v=""/>
    <s v=""/>
    <x v="3"/>
    <s v="Prospects"/>
    <d v="2025-02-01T00:00:00"/>
    <d v="2025-04-30T00:00:00"/>
    <n v="20000"/>
    <x v="4"/>
    <n v="3671.125"/>
    <s v=""/>
    <s v=""/>
    <s v=""/>
  </r>
  <r>
    <x v="130"/>
    <s v="SUP01246"/>
    <x v="8"/>
    <x v="8"/>
    <x v="2"/>
    <d v="2024-11-25T00:00:00"/>
    <n v="29.57"/>
    <s v="No"/>
    <s v="Cheque"/>
    <x v="4"/>
    <s v="Direct Mail"/>
    <x v="11"/>
    <s v="Female"/>
    <n v="75"/>
    <x v="0"/>
    <x v="0"/>
    <s v="No Preference"/>
    <s v=""/>
    <s v=""/>
    <s v=""/>
    <x v="7"/>
    <s v="All Active"/>
    <d v="2024-10-15T00:00:00"/>
    <d v="2024-12-20T00:00:00"/>
    <n v="12000"/>
    <x v="2"/>
    <n v="29.57"/>
    <s v=""/>
    <s v=""/>
    <s v=""/>
  </r>
  <r>
    <x v="131"/>
    <s v="SUP01203"/>
    <x v="5"/>
    <x v="5"/>
    <x v="1"/>
    <d v="2024-11-22T00:00:00"/>
    <n v="88.91"/>
    <s v="Yes"/>
    <s v="Direct Debit"/>
    <x v="4"/>
    <s v="Website"/>
    <x v="5"/>
    <s v="Male"/>
    <n v="60"/>
    <x v="1"/>
    <x v="1"/>
    <s v="Email"/>
    <s v=""/>
    <s v=""/>
    <s v=""/>
    <x v="4"/>
    <s v="Volunteers"/>
    <d v="2024-11-22T00:00:00"/>
    <d v="2024-11-22T00:00:00"/>
    <n v="3500"/>
    <x v="3"/>
    <n v="111.13749999999999"/>
    <s v=""/>
    <s v=""/>
    <s v=""/>
  </r>
  <r>
    <x v="132"/>
    <s v="SUP01143"/>
    <x v="0"/>
    <x v="0"/>
    <x v="1"/>
    <d v="2025-03-30T00:00:00"/>
    <n v="40.880000000000003"/>
    <s v="Yes"/>
    <s v="Standing Order"/>
    <x v="3"/>
    <s v="Social Media"/>
    <x v="18"/>
    <s v="Female"/>
    <n v="66"/>
    <x v="0"/>
    <x v="0"/>
    <s v="Phone"/>
    <s v=""/>
    <s v=""/>
    <s v=""/>
    <x v="0"/>
    <s v="One-time Donors"/>
    <d v="2025-01-06T00:00:00"/>
    <d v="2025-03-31T00:00:00"/>
    <n v="10000"/>
    <x v="0"/>
    <n v="51.1"/>
    <s v=""/>
    <s v=""/>
    <s v=""/>
  </r>
  <r>
    <x v="133"/>
    <s v="SUP01034"/>
    <x v="2"/>
    <x v="2"/>
    <x v="2"/>
    <d v="2024-12-30T00:00:00"/>
    <n v="142.38999999999999"/>
    <s v="Yes"/>
    <s v="Credit Card"/>
    <x v="6"/>
    <s v="Telephone"/>
    <x v="13"/>
    <s v="Male"/>
    <n v="63"/>
    <x v="1"/>
    <x v="1"/>
    <s v="Phone"/>
    <s v=""/>
    <s v="Review - prefers phone but not opted in"/>
    <s v=""/>
    <x v="2"/>
    <s v="All Active"/>
    <d v="2024-11-01T00:00:00"/>
    <d v="2024-12-31T00:00:00"/>
    <n v="25000"/>
    <x v="2"/>
    <n v="177.98749999999998"/>
    <s v=""/>
    <s v=""/>
    <s v=""/>
  </r>
  <r>
    <x v="134"/>
    <s v="SUP01298"/>
    <x v="0"/>
    <x v="0"/>
    <x v="4"/>
    <d v="2025-02-21T00:00:00"/>
    <n v="44.18"/>
    <s v="Yes"/>
    <s v="PayPal"/>
    <x v="3"/>
    <s v="Referral"/>
    <x v="21"/>
    <s v="Male"/>
    <n v="56"/>
    <x v="1"/>
    <x v="1"/>
    <s v="No Preference"/>
    <s v=""/>
    <s v=""/>
    <s v=""/>
    <x v="0"/>
    <s v="One-time Donors"/>
    <d v="2025-01-06T00:00:00"/>
    <d v="2025-03-31T00:00:00"/>
    <n v="10000"/>
    <x v="0"/>
    <n v="55.225000000000001"/>
    <s v=""/>
    <s v=""/>
    <s v=""/>
  </r>
  <r>
    <x v="135"/>
    <s v="SUP01054"/>
    <x v="8"/>
    <x v="8"/>
    <x v="2"/>
    <d v="2024-10-19T00:00:00"/>
    <n v="21.88"/>
    <s v="No"/>
    <s v="Cash"/>
    <x v="5"/>
    <s v="Social Media"/>
    <x v="9"/>
    <s v="Female"/>
    <s v=""/>
    <x v="2"/>
    <x v="2"/>
    <s v="No Preference"/>
    <s v=""/>
    <s v=""/>
    <s v="Review - missing DOB"/>
    <x v="7"/>
    <s v="All Active"/>
    <d v="2024-10-15T00:00:00"/>
    <d v="2024-12-20T00:00:00"/>
    <n v="12000"/>
    <x v="2"/>
    <n v="21.88"/>
    <s v=""/>
    <s v=""/>
    <s v=""/>
  </r>
  <r>
    <x v="136"/>
    <s v="SUP01079"/>
    <x v="6"/>
    <x v="6"/>
    <x v="1"/>
    <d v="2024-10-07T00:00:00"/>
    <n v="4877.93"/>
    <s v="Yes"/>
    <s v="Cash"/>
    <x v="1"/>
    <s v="Corporate Partner"/>
    <x v="28"/>
    <s v="Male"/>
    <n v="85"/>
    <x v="0"/>
    <x v="0"/>
    <s v="Email"/>
    <s v="Review - duplicate record, see Supporter_Duplicates tab"/>
    <s v=""/>
    <s v=""/>
    <x v="5"/>
    <s v="Over 55s"/>
    <d v="2024-10-07T00:00:00"/>
    <d v="2024-10-13T00:00:00"/>
    <n v="5000"/>
    <x v="1"/>
    <n v="6097.4125000000004"/>
    <s v=""/>
    <s v=""/>
    <s v=""/>
  </r>
  <r>
    <x v="137"/>
    <s v="SUP01174"/>
    <x v="6"/>
    <x v="6"/>
    <x v="1"/>
    <d v="2024-10-09T00:00:00"/>
    <n v="12.57"/>
    <s v="No"/>
    <s v="Standing Order"/>
    <x v="5"/>
    <s v="Social Media"/>
    <x v="17"/>
    <s v="Male"/>
    <n v="58"/>
    <x v="1"/>
    <x v="1"/>
    <s v="Post"/>
    <s v=""/>
    <s v="Review - prefers post but not opted in"/>
    <s v=""/>
    <x v="5"/>
    <s v="Over 55s"/>
    <d v="2024-10-07T00:00:00"/>
    <d v="2024-10-13T00:00:00"/>
    <n v="5000"/>
    <x v="1"/>
    <n v="12.57"/>
    <s v=""/>
    <s v=""/>
    <s v=""/>
  </r>
  <r>
    <x v="138"/>
    <s v="SUP01100"/>
    <x v="4"/>
    <x v="4"/>
    <x v="2"/>
    <d v="2025-03-28T00:00:00"/>
    <n v="17.37"/>
    <s v="No"/>
    <s v="Cash"/>
    <x v="5"/>
    <s v="Social Media"/>
    <x v="23"/>
    <s v="Male"/>
    <s v=""/>
    <x v="2"/>
    <x v="2"/>
    <s v="Email"/>
    <s v=""/>
    <s v=""/>
    <s v="Review - missing DOB"/>
    <x v="3"/>
    <s v="Prospects"/>
    <d v="2025-02-01T00:00:00"/>
    <d v="2025-04-30T00:00:00"/>
    <n v="20000"/>
    <x v="4"/>
    <n v="17.37"/>
    <s v=""/>
    <s v=""/>
    <s v=""/>
  </r>
  <r>
    <x v="139"/>
    <s v="SUP01235"/>
    <x v="7"/>
    <x v="7"/>
    <x v="1"/>
    <d v="2025-03-10T00:00:00"/>
    <n v="95.83"/>
    <s v="Yes"/>
    <s v="Standing Order"/>
    <x v="2"/>
    <s v="Event"/>
    <x v="26"/>
    <s v="Male"/>
    <n v="55"/>
    <x v="1"/>
    <x v="1"/>
    <s v="Email"/>
    <s v=""/>
    <s v="Review - prefers email but not opted in"/>
    <s v=""/>
    <x v="6"/>
    <s v="Regular Givers"/>
    <d v="2025-03-01T00:00:00"/>
    <d v="2025-04-30T00:00:00"/>
    <n v="8000"/>
    <x v="1"/>
    <n v="119.78749999999999"/>
    <s v=""/>
    <s v=""/>
    <s v=""/>
  </r>
  <r>
    <x v="140"/>
    <s v="SUP01066"/>
    <x v="5"/>
    <x v="5"/>
    <x v="2"/>
    <d v="2024-11-22T00:00:00"/>
    <n v="124.88"/>
    <s v="No"/>
    <s v="PayPal"/>
    <x v="6"/>
    <s v="Telephone"/>
    <x v="15"/>
    <s v="Male"/>
    <n v="52"/>
    <x v="1"/>
    <x v="1"/>
    <s v="Email"/>
    <s v=""/>
    <s v=""/>
    <s v=""/>
    <x v="4"/>
    <s v="Volunteers"/>
    <d v="2024-11-22T00:00:00"/>
    <d v="2024-11-22T00:00:00"/>
    <n v="3500"/>
    <x v="3"/>
    <n v="124.88"/>
    <s v=""/>
    <s v=""/>
    <s v=""/>
  </r>
  <r>
    <x v="141"/>
    <s v="SUP01016"/>
    <x v="8"/>
    <x v="8"/>
    <x v="1"/>
    <d v="2024-10-26T00:00:00"/>
    <n v="21.59"/>
    <s v="Yes"/>
    <s v="Cash"/>
    <x v="5"/>
    <s v="Social Media"/>
    <x v="29"/>
    <s v="Male"/>
    <s v=""/>
    <x v="2"/>
    <x v="2"/>
    <s v="Email"/>
    <s v=""/>
    <s v=""/>
    <s v="Review - missing DOB"/>
    <x v="7"/>
    <s v="All Active"/>
    <d v="2024-10-15T00:00:00"/>
    <d v="2024-12-20T00:00:00"/>
    <n v="12000"/>
    <x v="2"/>
    <n v="26.987500000000001"/>
    <s v=""/>
    <s v=""/>
    <s v=""/>
  </r>
  <r>
    <x v="142"/>
    <s v="SUP01474"/>
    <x v="2"/>
    <x v="2"/>
    <x v="2"/>
    <d v="2024-11-06T00:00:00"/>
    <n v="17.71"/>
    <s v="Yes"/>
    <s v="Credit Card"/>
    <x v="3"/>
    <s v="Referral"/>
    <x v="31"/>
    <s v="Female"/>
    <n v="62"/>
    <x v="1"/>
    <x v="1"/>
    <s v="Post"/>
    <s v=""/>
    <s v=""/>
    <s v=""/>
    <x v="2"/>
    <s v="All Active"/>
    <d v="2024-11-01T00:00:00"/>
    <d v="2024-12-31T00:00:00"/>
    <n v="25000"/>
    <x v="2"/>
    <n v="22.137500000000003"/>
    <s v=""/>
    <s v=""/>
    <s v=""/>
  </r>
  <r>
    <x v="143"/>
    <s v="SUP01030"/>
    <x v="2"/>
    <x v="2"/>
    <x v="3"/>
    <d v="2024-01-11T00:00:00"/>
    <n v="348.83"/>
    <s v="Yes"/>
    <s v="Debit Card"/>
    <x v="0"/>
    <s v="Direct Mail"/>
    <x v="24"/>
    <s v="Male"/>
    <n v="37"/>
    <x v="4"/>
    <x v="4"/>
    <s v="Phone"/>
    <s v=""/>
    <s v="Review - prefers phone but not opted in"/>
    <s v=""/>
    <x v="2"/>
    <s v="All Active"/>
    <d v="2024-11-01T00:00:00"/>
    <d v="2024-12-31T00:00:00"/>
    <n v="25000"/>
    <x v="2"/>
    <n v="436.03749999999997"/>
    <s v=""/>
    <s v="Review - response outside campaign dates"/>
    <s v=""/>
  </r>
  <r>
    <x v="144"/>
    <s v="SUP01364"/>
    <x v="8"/>
    <x v="8"/>
    <x v="2"/>
    <d v="2024-11-16T00:00:00"/>
    <n v="15.02"/>
    <s v="Yes"/>
    <s v="Credit Card"/>
    <x v="5"/>
    <s v="Referral"/>
    <x v="18"/>
    <s v="Female"/>
    <n v="52"/>
    <x v="1"/>
    <x v="1"/>
    <s v="Email"/>
    <s v=""/>
    <s v=""/>
    <s v=""/>
    <x v="7"/>
    <s v="All Active"/>
    <d v="2024-10-15T00:00:00"/>
    <d v="2024-12-20T00:00:00"/>
    <n v="12000"/>
    <x v="2"/>
    <n v="18.774999999999999"/>
    <s v=""/>
    <s v=""/>
    <s v=""/>
  </r>
  <r>
    <x v="145"/>
    <s v="SUP01106"/>
    <x v="9"/>
    <x v="9"/>
    <x v="1"/>
    <d v="2024-07-15T00:00:00"/>
    <n v="110.75"/>
    <s v="Yes"/>
    <s v="Credit Card"/>
    <x v="6"/>
    <s v="Corporate Partner"/>
    <x v="11"/>
    <s v="Female"/>
    <n v="54"/>
    <x v="1"/>
    <x v="1"/>
    <s v="Email"/>
    <s v=""/>
    <s v=""/>
    <s v=""/>
    <x v="4"/>
    <s v="Major Donors"/>
    <d v="2024-07-15T00:00:00"/>
    <d v="2024-07-15T00:00:00"/>
    <n v="45000"/>
    <x v="1"/>
    <n v="138.4375"/>
    <s v=""/>
    <s v=""/>
    <s v=""/>
  </r>
  <r>
    <x v="146"/>
    <s v="SUP01163"/>
    <x v="5"/>
    <x v="5"/>
    <x v="2"/>
    <d v="2024-11-22T00:00:00"/>
    <n v="457.62"/>
    <s v="Yes"/>
    <s v="Standing Order"/>
    <x v="0"/>
    <s v="Website"/>
    <x v="8"/>
    <s v="Male"/>
    <n v="81"/>
    <x v="0"/>
    <x v="0"/>
    <s v="Post"/>
    <s v=""/>
    <s v=""/>
    <s v=""/>
    <x v="4"/>
    <s v="Volunteers"/>
    <d v="2024-11-22T00:00:00"/>
    <d v="2024-11-22T00:00:00"/>
    <n v="3500"/>
    <x v="3"/>
    <n v="572.02499999999998"/>
    <s v=""/>
    <s v=""/>
    <s v=""/>
  </r>
  <r>
    <x v="147"/>
    <s v="SUP01062"/>
    <x v="8"/>
    <x v="8"/>
    <x v="2"/>
    <d v="2024-12-12T00:00:00"/>
    <n v="90.34"/>
    <s v="Yes"/>
    <s v="Standing Order"/>
    <x v="2"/>
    <s v="Direct Mail"/>
    <x v="14"/>
    <s v="Female"/>
    <n v="59"/>
    <x v="1"/>
    <x v="1"/>
    <s v="Phone"/>
    <s v=""/>
    <s v=""/>
    <s v=""/>
    <x v="7"/>
    <s v="All Active"/>
    <d v="2024-10-15T00:00:00"/>
    <d v="2024-12-20T00:00:00"/>
    <n v="12000"/>
    <x v="2"/>
    <n v="112.92500000000001"/>
    <s v=""/>
    <s v=""/>
    <s v=""/>
  </r>
  <r>
    <x v="148"/>
    <s v="SUP01215"/>
    <x v="2"/>
    <x v="2"/>
    <x v="2"/>
    <d v="2024-11-12T00:00:00"/>
    <n v="28.73"/>
    <s v="No"/>
    <s v="Cash"/>
    <x v="6"/>
    <s v="Corporate Partner"/>
    <x v="7"/>
    <s v="Male"/>
    <n v="71"/>
    <x v="0"/>
    <x v="0"/>
    <s v="Email"/>
    <s v=""/>
    <s v=""/>
    <s v=""/>
    <x v="2"/>
    <s v="All Active"/>
    <d v="2024-11-01T00:00:00"/>
    <d v="2024-12-31T00:00:00"/>
    <n v="25000"/>
    <x v="2"/>
    <n v="28.73"/>
    <s v=""/>
    <s v=""/>
    <s v=""/>
  </r>
  <r>
    <x v="149"/>
    <s v="SUP01419"/>
    <x v="1"/>
    <x v="1"/>
    <x v="1"/>
    <d v="2024-06-28T00:00:00"/>
    <n v="202.36"/>
    <s v="No"/>
    <s v="Debit Card"/>
    <x v="6"/>
    <s v="Direct Mail"/>
    <x v="20"/>
    <s v="Female"/>
    <s v=""/>
    <x v="2"/>
    <x v="2"/>
    <s v="Post"/>
    <s v=""/>
    <s v=""/>
    <s v="Review - missing DOB"/>
    <x v="1"/>
    <s v="Major Donors"/>
    <d v="2024-06-01T00:00:00"/>
    <d v="2024-06-30T00:00:00"/>
    <n v="7000"/>
    <x v="1"/>
    <n v="202.36"/>
    <s v=""/>
    <s v=""/>
    <s v=""/>
  </r>
  <r>
    <x v="150"/>
    <s v="SUP01293"/>
    <x v="0"/>
    <x v="0"/>
    <x v="1"/>
    <d v="2025-02-14T00:00:00"/>
    <n v="88.9"/>
    <s v="Yes"/>
    <s v="Debit Card"/>
    <x v="4"/>
    <s v="Direct Mail"/>
    <x v="34"/>
    <s v="Male"/>
    <n v="30"/>
    <x v="3"/>
    <x v="3"/>
    <s v="No Preference"/>
    <s v=""/>
    <s v=""/>
    <s v=""/>
    <x v="0"/>
    <s v="One-time Donors"/>
    <d v="2025-01-06T00:00:00"/>
    <d v="2025-03-31T00:00:00"/>
    <n v="10000"/>
    <x v="0"/>
    <n v="111.125"/>
    <s v=""/>
    <s v=""/>
    <s v=""/>
  </r>
  <r>
    <x v="151"/>
    <s v="SUP01129"/>
    <x v="1"/>
    <x v="1"/>
    <x v="1"/>
    <d v="2024-06-09T00:00:00"/>
    <n v="425.67"/>
    <s v="No"/>
    <s v="Cheque"/>
    <x v="0"/>
    <s v="Direct Mail"/>
    <x v="6"/>
    <s v="Male"/>
    <n v="35"/>
    <x v="4"/>
    <x v="4"/>
    <s v="Post"/>
    <s v=""/>
    <s v=""/>
    <s v=""/>
    <x v="1"/>
    <s v="Major Donors"/>
    <d v="2024-06-01T00:00:00"/>
    <d v="2024-06-30T00:00:00"/>
    <n v="7000"/>
    <x v="1"/>
    <n v="425.67"/>
    <s v=""/>
    <s v=""/>
    <s v=""/>
  </r>
  <r>
    <x v="152"/>
    <s v="SUP01414"/>
    <x v="4"/>
    <x v="4"/>
    <x v="2"/>
    <d v="2025-10-04T00:00:00"/>
    <n v="12.84"/>
    <s v="Yes"/>
    <s v="Direct Debit"/>
    <x v="5"/>
    <s v="Website"/>
    <x v="10"/>
    <s v="Female"/>
    <n v="54"/>
    <x v="1"/>
    <x v="1"/>
    <s v="Email"/>
    <s v=""/>
    <s v="Review - prefers email but not opted in"/>
    <s v=""/>
    <x v="3"/>
    <s v="Prospects"/>
    <d v="2025-02-01T00:00:00"/>
    <d v="2025-04-30T00:00:00"/>
    <n v="20000"/>
    <x v="4"/>
    <n v="16.05"/>
    <s v=""/>
    <s v="Review - response outside campaign dates"/>
    <s v=""/>
  </r>
  <r>
    <x v="153"/>
    <s v="SUP01491"/>
    <x v="7"/>
    <x v="7"/>
    <x v="1"/>
    <d v="2025-04-25T00:00:00"/>
    <n v="2250.5"/>
    <s v="No"/>
    <s v="Credit Card"/>
    <x v="1"/>
    <s v="Telephone"/>
    <x v="6"/>
    <s v="Female"/>
    <n v="75"/>
    <x v="0"/>
    <x v="0"/>
    <s v="Email"/>
    <s v=""/>
    <s v=""/>
    <s v=""/>
    <x v="6"/>
    <s v="Regular Givers"/>
    <d v="2025-03-01T00:00:00"/>
    <d v="2025-04-30T00:00:00"/>
    <n v="8000"/>
    <x v="1"/>
    <n v="2250.5"/>
    <s v=""/>
    <s v=""/>
    <s v=""/>
  </r>
  <r>
    <x v="154"/>
    <s v="SUP01278"/>
    <x v="1"/>
    <x v="1"/>
    <x v="2"/>
    <d v="2024-06-17T00:00:00"/>
    <n v="3693.76"/>
    <s v="Yes"/>
    <s v="Cash"/>
    <x v="1"/>
    <s v="Corporate Partner"/>
    <x v="31"/>
    <s v="Female"/>
    <n v="59"/>
    <x v="1"/>
    <x v="1"/>
    <s v="Phone"/>
    <s v=""/>
    <s v=""/>
    <s v=""/>
    <x v="1"/>
    <s v="Major Donors"/>
    <d v="2024-06-01T00:00:00"/>
    <d v="2024-06-30T00:00:00"/>
    <n v="7000"/>
    <x v="1"/>
    <n v="4617.2000000000007"/>
    <s v=""/>
    <s v=""/>
    <s v=""/>
  </r>
  <r>
    <x v="155"/>
    <s v="SUP01185"/>
    <x v="7"/>
    <x v="7"/>
    <x v="1"/>
    <d v="2025-11-04T00:00:00"/>
    <n v="69.03"/>
    <s v="Yes"/>
    <s v="Cheque"/>
    <x v="2"/>
    <s v="Referral"/>
    <x v="24"/>
    <s v="Female"/>
    <n v="81"/>
    <x v="0"/>
    <x v="0"/>
    <s v="Post"/>
    <s v=""/>
    <s v=""/>
    <s v=""/>
    <x v="6"/>
    <s v="Regular Givers"/>
    <d v="2025-03-01T00:00:00"/>
    <d v="2025-04-30T00:00:00"/>
    <n v="8000"/>
    <x v="1"/>
    <n v="86.287499999999994"/>
    <s v=""/>
    <s v="Review - response outside campaign dates"/>
    <s v=""/>
  </r>
  <r>
    <x v="156"/>
    <s v="SUP01443"/>
    <x v="1"/>
    <x v="1"/>
    <x v="1"/>
    <d v="2024-06-03T00:00:00"/>
    <n v="216.31"/>
    <s v="No"/>
    <s v="Direct Debit"/>
    <x v="0"/>
    <s v="Door-To-Door"/>
    <x v="11"/>
    <s v="Male"/>
    <n v="90"/>
    <x v="0"/>
    <x v="0"/>
    <s v="Post"/>
    <s v=""/>
    <s v=""/>
    <s v=""/>
    <x v="1"/>
    <s v="Major Donors"/>
    <d v="2024-06-01T00:00:00"/>
    <d v="2024-06-30T00:00:00"/>
    <n v="7000"/>
    <x v="1"/>
    <n v="216.31"/>
    <s v=""/>
    <s v=""/>
    <s v=""/>
  </r>
  <r>
    <x v="157"/>
    <s v="SUP01141"/>
    <x v="7"/>
    <x v="7"/>
    <x v="2"/>
    <d v="2025-10-04T00:00:00"/>
    <n v="116.87"/>
    <s v="No"/>
    <s v="Direct Debit"/>
    <x v="4"/>
    <s v="Social Media"/>
    <x v="11"/>
    <s v="Male"/>
    <n v="60"/>
    <x v="1"/>
    <x v="1"/>
    <s v="Email"/>
    <s v=""/>
    <s v=""/>
    <s v=""/>
    <x v="6"/>
    <s v="Regular Givers"/>
    <d v="2025-03-01T00:00:00"/>
    <d v="2025-04-30T00:00:00"/>
    <n v="8000"/>
    <x v="1"/>
    <n v="116.87"/>
    <s v=""/>
    <s v="Review - response outside campaign dates"/>
    <s v=""/>
  </r>
  <r>
    <x v="158"/>
    <s v="SUP01059"/>
    <x v="2"/>
    <x v="2"/>
    <x v="0"/>
    <d v="2024-12-23T00:00:00"/>
    <n v="19.91"/>
    <s v="Yes"/>
    <s v="Cheque"/>
    <x v="5"/>
    <s v="Telephone"/>
    <x v="24"/>
    <s v="Male"/>
    <n v="72"/>
    <x v="0"/>
    <x v="0"/>
    <s v="Email"/>
    <s v=""/>
    <s v="Review - prefers email but not opted in"/>
    <s v=""/>
    <x v="2"/>
    <s v="All Active"/>
    <d v="2024-11-01T00:00:00"/>
    <d v="2024-12-31T00:00:00"/>
    <n v="25000"/>
    <x v="2"/>
    <n v="24.887499999999999"/>
    <s v=""/>
    <s v=""/>
    <s v=""/>
  </r>
  <r>
    <x v="159"/>
    <s v="SUP01325"/>
    <x v="4"/>
    <x v="4"/>
    <x v="5"/>
    <d v="2025-03-13T00:00:00"/>
    <n v="1886.12"/>
    <s v="Yes"/>
    <s v="Cheque"/>
    <x v="1"/>
    <s v="Referral"/>
    <x v="31"/>
    <s v="Male"/>
    <n v="48"/>
    <x v="4"/>
    <x v="4"/>
    <s v="Email"/>
    <s v=""/>
    <s v=""/>
    <s v=""/>
    <x v="3"/>
    <s v="Prospects"/>
    <d v="2025-02-01T00:00:00"/>
    <d v="2025-04-30T00:00:00"/>
    <n v="20000"/>
    <x v="4"/>
    <n v="2357.6499999999996"/>
    <s v=""/>
    <s v=""/>
    <s v=""/>
  </r>
  <r>
    <x v="160"/>
    <s v="SUP01285"/>
    <x v="5"/>
    <x v="5"/>
    <x v="2"/>
    <d v="2024-11-22T00:00:00"/>
    <n v="41.25"/>
    <s v="Yes"/>
    <s v="Direct Debit"/>
    <x v="3"/>
    <s v="Door-To-Door"/>
    <x v="7"/>
    <s v="Female"/>
    <n v="22"/>
    <x v="3"/>
    <x v="3"/>
    <s v="Email"/>
    <s v=""/>
    <s v=""/>
    <s v=""/>
    <x v="4"/>
    <s v="Volunteers"/>
    <d v="2024-11-22T00:00:00"/>
    <d v="2024-11-22T00:00:00"/>
    <n v="3500"/>
    <x v="3"/>
    <n v="51.5625"/>
    <s v=""/>
    <s v=""/>
    <s v=""/>
  </r>
  <r>
    <x v="161"/>
    <s v="SUP01011"/>
    <x v="6"/>
    <x v="6"/>
    <x v="1"/>
    <d v="2024-10-13T00:00:00"/>
    <n v="21.22"/>
    <s v="Yes"/>
    <s v="Credit Card"/>
    <x v="3"/>
    <s v="Door-To-Door"/>
    <x v="30"/>
    <s v="Male"/>
    <n v="59"/>
    <x v="1"/>
    <x v="1"/>
    <s v="Post"/>
    <s v="Review - duplicate record, see Supporter_Duplicates tab"/>
    <s v=""/>
    <s v=""/>
    <x v="5"/>
    <s v="Over 55s"/>
    <d v="2024-10-07T00:00:00"/>
    <d v="2024-10-13T00:00:00"/>
    <n v="5000"/>
    <x v="1"/>
    <n v="26.524999999999999"/>
    <s v=""/>
    <s v=""/>
    <s v=""/>
  </r>
  <r>
    <x v="162"/>
    <s v="SUP01130"/>
    <x v="7"/>
    <x v="7"/>
    <x v="1"/>
    <d v="2025-03-28T00:00:00"/>
    <n v="269.76"/>
    <s v="Yes"/>
    <s v="Cheque"/>
    <x v="0"/>
    <s v="Website"/>
    <x v="1"/>
    <s v="Male"/>
    <n v="56"/>
    <x v="1"/>
    <x v="1"/>
    <s v="Email"/>
    <s v=""/>
    <s v="Review - prefers email but not opted in"/>
    <s v=""/>
    <x v="6"/>
    <s v="Regular Givers"/>
    <d v="2025-03-01T00:00:00"/>
    <d v="2025-04-30T00:00:00"/>
    <n v="8000"/>
    <x v="1"/>
    <n v="337.2"/>
    <s v=""/>
    <s v=""/>
    <s v=""/>
  </r>
  <r>
    <x v="163"/>
    <s v="SUP01241"/>
    <x v="2"/>
    <x v="2"/>
    <x v="3"/>
    <d v="2024-12-13T00:00:00"/>
    <n v="44.34"/>
    <s v="Yes"/>
    <s v="Cheque"/>
    <x v="4"/>
    <s v="Social Media"/>
    <x v="34"/>
    <s v="Female"/>
    <n v="58"/>
    <x v="1"/>
    <x v="1"/>
    <s v="Email"/>
    <s v=""/>
    <s v=""/>
    <s v=""/>
    <x v="2"/>
    <s v="All Active"/>
    <d v="2024-11-01T00:00:00"/>
    <d v="2024-12-31T00:00:00"/>
    <n v="25000"/>
    <x v="2"/>
    <n v="55.425000000000004"/>
    <s v=""/>
    <s v=""/>
    <s v=""/>
  </r>
  <r>
    <x v="164"/>
    <s v="SUP01145"/>
    <x v="1"/>
    <x v="1"/>
    <x v="2"/>
    <d v="2024-06-10T00:00:00"/>
    <n v="133.04"/>
    <s v="No"/>
    <s v="Standing Order"/>
    <x v="6"/>
    <s v="Referral"/>
    <x v="26"/>
    <s v="Male"/>
    <n v="35"/>
    <x v="4"/>
    <x v="4"/>
    <s v="Email"/>
    <s v=""/>
    <s v=""/>
    <s v=""/>
    <x v="1"/>
    <s v="Major Donors"/>
    <d v="2024-06-01T00:00:00"/>
    <d v="2024-06-30T00:00:00"/>
    <n v="7000"/>
    <x v="1"/>
    <n v="133.04"/>
    <s v=""/>
    <s v=""/>
    <s v=""/>
  </r>
  <r>
    <x v="165"/>
    <s v="SUP01179"/>
    <x v="3"/>
    <x v="3"/>
    <x v="3"/>
    <d v="2024-09-16T00:00:00"/>
    <n v="57.35"/>
    <s v="Yes"/>
    <s v="Debit Card"/>
    <x v="6"/>
    <s v="Direct Mail"/>
    <x v="13"/>
    <s v="Male"/>
    <n v="65"/>
    <x v="0"/>
    <x v="0"/>
    <s v="Do Not Contact"/>
    <s v=""/>
    <s v=""/>
    <s v=""/>
    <x v="2"/>
    <s v="All Supporters"/>
    <d v="2024-09-10T00:00:00"/>
    <d v="2024-10-15T00:00:00"/>
    <n v="15000"/>
    <x v="3"/>
    <n v="71.6875"/>
    <s v=""/>
    <s v=""/>
    <s v=""/>
  </r>
  <r>
    <x v="166"/>
    <s v="SUP01002"/>
    <x v="0"/>
    <x v="0"/>
    <x v="1"/>
    <d v="2025-01-31T00:00:00"/>
    <n v="13.14"/>
    <s v="No"/>
    <s v="Standing Order"/>
    <x v="5"/>
    <s v="Referral"/>
    <x v="32"/>
    <s v="Female"/>
    <n v="75"/>
    <x v="0"/>
    <x v="0"/>
    <s v="No Preference"/>
    <s v=""/>
    <s v=""/>
    <s v=""/>
    <x v="0"/>
    <s v="One-time Donors"/>
    <d v="2025-01-06T00:00:00"/>
    <d v="2025-03-31T00:00:00"/>
    <n v="10000"/>
    <x v="0"/>
    <n v="13.14"/>
    <s v=""/>
    <s v=""/>
    <s v=""/>
  </r>
  <r>
    <x v="167"/>
    <s v="SUP01280"/>
    <x v="8"/>
    <x v="8"/>
    <x v="1"/>
    <d v="2024-11-27T00:00:00"/>
    <n v="185.87"/>
    <s v="Yes"/>
    <s v="Online"/>
    <x v="0"/>
    <s v="Direct Mail"/>
    <x v="25"/>
    <s v="Male"/>
    <n v="70"/>
    <x v="0"/>
    <x v="0"/>
    <s v="Post"/>
    <s v=""/>
    <s v=""/>
    <s v=""/>
    <x v="7"/>
    <s v="All Active"/>
    <d v="2024-10-15T00:00:00"/>
    <d v="2024-12-20T00:00:00"/>
    <n v="12000"/>
    <x v="2"/>
    <n v="232.33750000000001"/>
    <s v=""/>
    <s v=""/>
    <s v=""/>
  </r>
  <r>
    <x v="168"/>
    <s v="SUP01421"/>
    <x v="2"/>
    <x v="2"/>
    <x v="0"/>
    <d v="2024-12-31T00:00:00"/>
    <n v="147.26"/>
    <s v="Yes"/>
    <s v="Standing Order"/>
    <x v="0"/>
    <s v="Corporate Partner"/>
    <x v="16"/>
    <s v="Male"/>
    <n v="74"/>
    <x v="0"/>
    <x v="0"/>
    <s v="Post"/>
    <s v=""/>
    <s v=""/>
    <s v=""/>
    <x v="2"/>
    <s v="All Active"/>
    <d v="2024-11-01T00:00:00"/>
    <d v="2024-12-31T00:00:00"/>
    <n v="25000"/>
    <x v="2"/>
    <n v="184.07499999999999"/>
    <s v=""/>
    <s v=""/>
    <s v=""/>
  </r>
  <r>
    <x v="169"/>
    <s v="SUP01132"/>
    <x v="7"/>
    <x v="7"/>
    <x v="2"/>
    <d v="2025-03-19T00:00:00"/>
    <n v="71.28"/>
    <s v="No"/>
    <s v="Debit Card"/>
    <x v="2"/>
    <s v="Referral"/>
    <x v="5"/>
    <s v="Female"/>
    <n v="60"/>
    <x v="1"/>
    <x v="1"/>
    <s v="Phone"/>
    <s v=""/>
    <s v=""/>
    <s v=""/>
    <x v="6"/>
    <s v="Regular Givers"/>
    <d v="2025-03-01T00:00:00"/>
    <d v="2025-04-30T00:00:00"/>
    <n v="8000"/>
    <x v="1"/>
    <n v="71.28"/>
    <s v=""/>
    <s v=""/>
    <s v=""/>
  </r>
  <r>
    <x v="170"/>
    <s v="SUP01386"/>
    <x v="2"/>
    <x v="2"/>
    <x v="2"/>
    <d v="2024-11-26T00:00:00"/>
    <n v="223.59"/>
    <s v="No"/>
    <s v="Online"/>
    <x v="6"/>
    <s v="Social Media"/>
    <x v="23"/>
    <s v="Female"/>
    <n v="39"/>
    <x v="4"/>
    <x v="4"/>
    <s v="Post"/>
    <s v=""/>
    <s v="Review - prefers post but not opted in"/>
    <s v=""/>
    <x v="2"/>
    <s v="All Active"/>
    <d v="2024-11-01T00:00:00"/>
    <d v="2024-12-31T00:00:00"/>
    <n v="25000"/>
    <x v="2"/>
    <n v="223.59"/>
    <s v=""/>
    <s v=""/>
    <s v=""/>
  </r>
  <r>
    <x v="171"/>
    <s v="SUP01393"/>
    <x v="0"/>
    <x v="0"/>
    <x v="1"/>
    <d v="2025-02-26T00:00:00"/>
    <n v="23.03"/>
    <s v="No"/>
    <s v="PayPal"/>
    <x v="5"/>
    <s v="Door-To-Door"/>
    <x v="2"/>
    <s v="Female"/>
    <n v="49"/>
    <x v="4"/>
    <x v="4"/>
    <s v="Post"/>
    <s v=""/>
    <s v=""/>
    <s v=""/>
    <x v="0"/>
    <s v="One-time Donors"/>
    <d v="2025-01-06T00:00:00"/>
    <d v="2025-03-31T00:00:00"/>
    <n v="10000"/>
    <x v="0"/>
    <n v="23.03"/>
    <s v=""/>
    <s v=""/>
    <s v=""/>
  </r>
  <r>
    <x v="172"/>
    <s v="SUP01007"/>
    <x v="1"/>
    <x v="1"/>
    <x v="1"/>
    <d v="2024-06-27T00:00:00"/>
    <n v="19.95"/>
    <s v="No"/>
    <s v="PayPal"/>
    <x v="5"/>
    <s v="Event"/>
    <x v="22"/>
    <s v="Male"/>
    <n v="19"/>
    <x v="3"/>
    <x v="3"/>
    <s v="Email"/>
    <s v=""/>
    <s v=""/>
    <s v=""/>
    <x v="1"/>
    <s v="Major Donors"/>
    <d v="2024-06-01T00:00:00"/>
    <d v="2024-06-30T00:00:00"/>
    <n v="7000"/>
    <x v="1"/>
    <n v="19.95"/>
    <s v=""/>
    <s v=""/>
    <s v=""/>
  </r>
  <r>
    <x v="173"/>
    <s v="SUP01335"/>
    <x v="6"/>
    <x v="6"/>
    <x v="1"/>
    <d v="2024-10-12T00:00:00"/>
    <n v="22.76"/>
    <s v="No"/>
    <s v="Cash"/>
    <x v="5"/>
    <s v="Direct Mail"/>
    <x v="5"/>
    <s v="Female"/>
    <s v=""/>
    <x v="2"/>
    <x v="2"/>
    <s v="No Preference"/>
    <s v=""/>
    <s v=""/>
    <s v="Review - missing DOB"/>
    <x v="5"/>
    <s v="Over 55s"/>
    <d v="2024-10-07T00:00:00"/>
    <d v="2024-10-13T00:00:00"/>
    <n v="5000"/>
    <x v="1"/>
    <n v="22.76"/>
    <s v=""/>
    <s v=""/>
    <s v=""/>
  </r>
  <r>
    <x v="174"/>
    <s v="SUP01128"/>
    <x v="9"/>
    <x v="9"/>
    <x v="2"/>
    <d v="2024-07-15T00:00:00"/>
    <n v="61.53"/>
    <s v="No"/>
    <s v="Cash"/>
    <x v="2"/>
    <s v="Event"/>
    <x v="7"/>
    <s v="Female"/>
    <n v="78"/>
    <x v="0"/>
    <x v="0"/>
    <s v="Phone"/>
    <s v=""/>
    <s v="Review - prefers phone but not opted in"/>
    <s v=""/>
    <x v="4"/>
    <s v="Major Donors"/>
    <d v="2024-07-15T00:00:00"/>
    <d v="2024-07-15T00:00:00"/>
    <n v="45000"/>
    <x v="1"/>
    <n v="61.53"/>
    <s v=""/>
    <s v=""/>
    <s v=""/>
  </r>
  <r>
    <x v="175"/>
    <s v="SUP01193"/>
    <x v="2"/>
    <x v="2"/>
    <x v="1"/>
    <d v="2024-11-06T00:00:00"/>
    <n v="497.91"/>
    <s v="Yes"/>
    <s v="Direct Debit"/>
    <x v="0"/>
    <s v="Referral"/>
    <x v="0"/>
    <s v="Female"/>
    <n v="72"/>
    <x v="0"/>
    <x v="0"/>
    <s v="No Preference"/>
    <s v=""/>
    <s v=""/>
    <s v=""/>
    <x v="2"/>
    <s v="All Active"/>
    <d v="2024-11-01T00:00:00"/>
    <d v="2024-12-31T00:00:00"/>
    <n v="25000"/>
    <x v="2"/>
    <n v="622.38750000000005"/>
    <s v=""/>
    <s v=""/>
    <s v=""/>
  </r>
  <r>
    <x v="176"/>
    <s v="SUP01389"/>
    <x v="2"/>
    <x v="2"/>
    <x v="1"/>
    <d v="2024-11-05T00:00:00"/>
    <n v="335.22"/>
    <s v="Yes"/>
    <s v="Cash"/>
    <x v="1"/>
    <s v="Referral"/>
    <x v="17"/>
    <s v="Male"/>
    <n v="67"/>
    <x v="0"/>
    <x v="0"/>
    <s v="Email"/>
    <s v=""/>
    <s v=""/>
    <s v=""/>
    <x v="2"/>
    <s v="All Active"/>
    <d v="2024-11-01T00:00:00"/>
    <d v="2024-12-31T00:00:00"/>
    <n v="25000"/>
    <x v="2"/>
    <n v="419.02500000000003"/>
    <s v=""/>
    <s v=""/>
    <s v=""/>
  </r>
  <r>
    <x v="177"/>
    <s v="SUP01292"/>
    <x v="2"/>
    <x v="2"/>
    <x v="0"/>
    <d v="2024-12-13T00:00:00"/>
    <n v="55.3"/>
    <s v="Yes"/>
    <s v="Cash"/>
    <x v="2"/>
    <s v="Corporate Partner"/>
    <x v="36"/>
    <s v="Male"/>
    <n v="77"/>
    <x v="0"/>
    <x v="0"/>
    <s v="Email"/>
    <s v=""/>
    <s v=""/>
    <s v=""/>
    <x v="2"/>
    <s v="All Active"/>
    <d v="2024-11-01T00:00:00"/>
    <d v="2024-12-31T00:00:00"/>
    <n v="25000"/>
    <x v="2"/>
    <n v="69.125"/>
    <s v=""/>
    <s v=""/>
    <s v=""/>
  </r>
  <r>
    <x v="178"/>
    <s v="SUP01019"/>
    <x v="9"/>
    <x v="9"/>
    <x v="1"/>
    <d v="2024-07-15T00:00:00"/>
    <n v="55.8"/>
    <s v="No"/>
    <s v="Standing Order"/>
    <x v="6"/>
    <s v="Referral"/>
    <x v="11"/>
    <s v="Female"/>
    <n v="68"/>
    <x v="0"/>
    <x v="0"/>
    <s v="No Preference"/>
    <s v=""/>
    <s v=""/>
    <s v=""/>
    <x v="4"/>
    <s v="Major Donors"/>
    <d v="2024-07-15T00:00:00"/>
    <d v="2024-07-15T00:00:00"/>
    <n v="45000"/>
    <x v="1"/>
    <n v="55.8"/>
    <s v=""/>
    <s v=""/>
    <s v=""/>
  </r>
  <r>
    <x v="179"/>
    <s v="SUP01246"/>
    <x v="5"/>
    <x v="5"/>
    <x v="2"/>
    <d v="2024-11-22T00:00:00"/>
    <n v="100.16"/>
    <s v="Yes"/>
    <s v="Online"/>
    <x v="4"/>
    <s v="Direct Mail"/>
    <x v="11"/>
    <s v="Female"/>
    <n v="75"/>
    <x v="0"/>
    <x v="0"/>
    <s v="No Preference"/>
    <s v=""/>
    <s v=""/>
    <s v=""/>
    <x v="4"/>
    <s v="Volunteers"/>
    <d v="2024-11-22T00:00:00"/>
    <d v="2024-11-22T00:00:00"/>
    <n v="3500"/>
    <x v="3"/>
    <n v="125.19999999999999"/>
    <s v=""/>
    <s v=""/>
    <s v=""/>
  </r>
  <r>
    <x v="180"/>
    <s v="SUP01380"/>
    <x v="7"/>
    <x v="7"/>
    <x v="2"/>
    <d v="2025-03-29T00:00:00"/>
    <n v="65.34"/>
    <s v="No"/>
    <s v="Direct Debit"/>
    <x v="0"/>
    <s v="Door-To-Door"/>
    <x v="9"/>
    <s v="Female"/>
    <n v="62"/>
    <x v="1"/>
    <x v="1"/>
    <s v="Post"/>
    <s v=""/>
    <s v=""/>
    <s v=""/>
    <x v="6"/>
    <s v="Regular Givers"/>
    <d v="2025-03-01T00:00:00"/>
    <d v="2025-04-30T00:00:00"/>
    <n v="8000"/>
    <x v="1"/>
    <n v="65.34"/>
    <s v=""/>
    <s v=""/>
    <s v=""/>
  </r>
  <r>
    <x v="181"/>
    <s v="SUP01222"/>
    <x v="2"/>
    <x v="2"/>
    <x v="1"/>
    <d v="2024-11-25T00:00:00"/>
    <n v="14.46"/>
    <s v="No"/>
    <s v="Cheque"/>
    <x v="3"/>
    <s v="Social Media"/>
    <x v="16"/>
    <s v="Male"/>
    <n v="76"/>
    <x v="0"/>
    <x v="0"/>
    <s v="Email"/>
    <s v=""/>
    <s v=""/>
    <s v=""/>
    <x v="2"/>
    <s v="All Active"/>
    <d v="2024-11-01T00:00:00"/>
    <d v="2024-12-31T00:00:00"/>
    <n v="25000"/>
    <x v="2"/>
    <n v="14.46"/>
    <s v=""/>
    <s v=""/>
    <s v=""/>
  </r>
  <r>
    <x v="182"/>
    <s v="SUP01335"/>
    <x v="0"/>
    <x v="0"/>
    <x v="0"/>
    <d v="2025-02-16T00:00:00"/>
    <n v="27.11"/>
    <s v="Yes"/>
    <s v="PayPal"/>
    <x v="5"/>
    <s v="Direct Mail"/>
    <x v="5"/>
    <s v="Female"/>
    <s v=""/>
    <x v="2"/>
    <x v="2"/>
    <s v="No Preference"/>
    <s v=""/>
    <s v=""/>
    <s v="Review - missing DOB"/>
    <x v="0"/>
    <s v="One-time Donors"/>
    <d v="2025-01-06T00:00:00"/>
    <d v="2025-03-31T00:00:00"/>
    <n v="10000"/>
    <x v="0"/>
    <n v="33.887500000000003"/>
    <s v=""/>
    <s v=""/>
    <s v=""/>
  </r>
  <r>
    <x v="183"/>
    <s v="SUP01408"/>
    <x v="3"/>
    <x v="3"/>
    <x v="2"/>
    <d v="2024-10-13T00:00:00"/>
    <n v="4033.79"/>
    <s v="Yes"/>
    <s v="Cash"/>
    <x v="1"/>
    <s v="Door-To-Door"/>
    <x v="27"/>
    <s v="Male"/>
    <n v="49"/>
    <x v="4"/>
    <x v="4"/>
    <s v="Email"/>
    <s v=""/>
    <s v="Review - prefers email but not opted in"/>
    <s v=""/>
    <x v="2"/>
    <s v="All Supporters"/>
    <d v="2024-09-10T00:00:00"/>
    <d v="2024-10-15T00:00:00"/>
    <n v="15000"/>
    <x v="3"/>
    <n v="5042.2375000000002"/>
    <s v=""/>
    <s v=""/>
    <s v=""/>
  </r>
  <r>
    <x v="184"/>
    <s v="SUP01487"/>
    <x v="1"/>
    <x v="1"/>
    <x v="1"/>
    <d v="2024-06-19T00:00:00"/>
    <n v="21.2"/>
    <s v="Yes"/>
    <s v="Cash"/>
    <x v="5"/>
    <s v="Event"/>
    <x v="1"/>
    <s v="Female"/>
    <n v="62"/>
    <x v="1"/>
    <x v="1"/>
    <s v="Email"/>
    <s v=""/>
    <s v="Review - prefers email but not opted in"/>
    <s v=""/>
    <x v="1"/>
    <s v="Major Donors"/>
    <d v="2024-06-01T00:00:00"/>
    <d v="2024-06-30T00:00:00"/>
    <n v="7000"/>
    <x v="1"/>
    <n v="26.5"/>
    <s v=""/>
    <s v=""/>
    <s v=""/>
  </r>
  <r>
    <x v="185"/>
    <s v="SUP01340"/>
    <x v="3"/>
    <x v="3"/>
    <x v="0"/>
    <d v="2024-09-22T00:00:00"/>
    <n v="146.19999999999999"/>
    <s v="No"/>
    <s v="Online"/>
    <x v="0"/>
    <s v="Telephone"/>
    <x v="3"/>
    <s v="Male"/>
    <n v="37"/>
    <x v="4"/>
    <x v="4"/>
    <s v="Email"/>
    <s v=""/>
    <s v="Review - prefers email but not opted in"/>
    <s v=""/>
    <x v="2"/>
    <s v="All Supporters"/>
    <d v="2024-09-10T00:00:00"/>
    <d v="2024-10-15T00:00:00"/>
    <n v="15000"/>
    <x v="3"/>
    <n v="146.19999999999999"/>
    <s v=""/>
    <s v=""/>
    <s v=""/>
  </r>
  <r>
    <x v="186"/>
    <s v="SUP01242"/>
    <x v="8"/>
    <x v="8"/>
    <x v="2"/>
    <d v="2024-11-14T00:00:00"/>
    <n v="18.84"/>
    <s v="Yes"/>
    <s v="Standing Order"/>
    <x v="3"/>
    <s v="Telephone"/>
    <x v="28"/>
    <s v="Male"/>
    <n v="28"/>
    <x v="3"/>
    <x v="3"/>
    <s v="Post"/>
    <s v=""/>
    <s v=""/>
    <s v=""/>
    <x v="7"/>
    <s v="All Active"/>
    <d v="2024-10-15T00:00:00"/>
    <d v="2024-12-20T00:00:00"/>
    <n v="12000"/>
    <x v="2"/>
    <n v="23.55"/>
    <s v=""/>
    <s v=""/>
    <s v=""/>
  </r>
  <r>
    <x v="187"/>
    <s v="SUP01028"/>
    <x v="9"/>
    <x v="9"/>
    <x v="2"/>
    <d v="2024-07-15T00:00:00"/>
    <n v="4729.3599999999997"/>
    <s v="Yes"/>
    <s v="Standing Order"/>
    <x v="1"/>
    <s v="Website"/>
    <x v="9"/>
    <s v="Male"/>
    <s v=""/>
    <x v="2"/>
    <x v="2"/>
    <s v="Phone"/>
    <s v=""/>
    <s v=""/>
    <s v="Review - missing DOB"/>
    <x v="4"/>
    <s v="Major Donors"/>
    <d v="2024-07-15T00:00:00"/>
    <d v="2024-07-15T00:00:00"/>
    <n v="45000"/>
    <x v="1"/>
    <n v="5911.7"/>
    <s v=""/>
    <s v=""/>
    <s v=""/>
  </r>
  <r>
    <x v="188"/>
    <s v="SUP01037"/>
    <x v="4"/>
    <x v="4"/>
    <x v="5"/>
    <d v="2025-04-04T00:00:00"/>
    <n v="4228.91"/>
    <s v="Yes"/>
    <s v="Cash"/>
    <x v="1"/>
    <s v="Social Media"/>
    <x v="29"/>
    <s v="Female"/>
    <n v="41"/>
    <x v="4"/>
    <x v="4"/>
    <s v="Email"/>
    <s v=""/>
    <s v=""/>
    <s v=""/>
    <x v="3"/>
    <s v="Prospects"/>
    <d v="2025-02-01T00:00:00"/>
    <d v="2025-04-30T00:00:00"/>
    <n v="20000"/>
    <x v="4"/>
    <n v="5286.1374999999998"/>
    <s v=""/>
    <s v=""/>
    <s v=""/>
  </r>
  <r>
    <x v="189"/>
    <s v="SUP01285"/>
    <x v="0"/>
    <x v="0"/>
    <x v="0"/>
    <d v="2025-01-22T00:00:00"/>
    <n v="46.46"/>
    <s v="Yes"/>
    <s v="Cash"/>
    <x v="3"/>
    <s v="Door-To-Door"/>
    <x v="7"/>
    <s v="Female"/>
    <n v="22"/>
    <x v="3"/>
    <x v="3"/>
    <s v="Email"/>
    <s v=""/>
    <s v=""/>
    <s v=""/>
    <x v="0"/>
    <s v="One-time Donors"/>
    <d v="2025-01-06T00:00:00"/>
    <d v="2025-03-31T00:00:00"/>
    <n v="10000"/>
    <x v="0"/>
    <n v="58.075000000000003"/>
    <s v=""/>
    <s v=""/>
    <s v=""/>
  </r>
  <r>
    <x v="190"/>
    <s v="SUP01184"/>
    <x v="1"/>
    <x v="1"/>
    <x v="1"/>
    <d v="2024-06-27T00:00:00"/>
    <n v="390.11"/>
    <s v="Yes"/>
    <s v="Standing Order"/>
    <x v="0"/>
    <s v="Corporate Partner"/>
    <x v="14"/>
    <s v="Female"/>
    <n v="83"/>
    <x v="0"/>
    <x v="0"/>
    <s v="Email"/>
    <s v=""/>
    <s v=""/>
    <s v=""/>
    <x v="1"/>
    <s v="Major Donors"/>
    <d v="2024-06-01T00:00:00"/>
    <d v="2024-06-30T00:00:00"/>
    <n v="7000"/>
    <x v="1"/>
    <n v="487.63750000000005"/>
    <s v=""/>
    <s v=""/>
    <s v=""/>
  </r>
  <r>
    <x v="191"/>
    <s v="SUP01366"/>
    <x v="8"/>
    <x v="8"/>
    <x v="1"/>
    <d v="2024-10-29T00:00:00"/>
    <n v="12.57"/>
    <s v="Yes"/>
    <s v="PayPal"/>
    <x v="5"/>
    <s v="Door-To-Door"/>
    <x v="25"/>
    <s v="Female"/>
    <n v="22"/>
    <x v="3"/>
    <x v="3"/>
    <s v="Email"/>
    <s v=""/>
    <s v=""/>
    <s v=""/>
    <x v="7"/>
    <s v="All Active"/>
    <d v="2024-10-15T00:00:00"/>
    <d v="2024-12-20T00:00:00"/>
    <n v="12000"/>
    <x v="2"/>
    <n v="15.7125"/>
    <s v=""/>
    <s v=""/>
    <s v=""/>
  </r>
  <r>
    <x v="192"/>
    <s v="SUP01375"/>
    <x v="1"/>
    <x v="1"/>
    <x v="2"/>
    <d v="2024-06-21T00:00:00"/>
    <n v="78.67"/>
    <s v="Yes"/>
    <s v="Debit Card"/>
    <x v="4"/>
    <s v="Social Media"/>
    <x v="16"/>
    <s v="Female"/>
    <n v="55"/>
    <x v="1"/>
    <x v="1"/>
    <s v="Email"/>
    <s v=""/>
    <s v=""/>
    <s v=""/>
    <x v="1"/>
    <s v="Major Donors"/>
    <d v="2024-06-01T00:00:00"/>
    <d v="2024-06-30T00:00:00"/>
    <n v="7000"/>
    <x v="1"/>
    <n v="98.337500000000006"/>
    <s v=""/>
    <s v=""/>
    <s v=""/>
  </r>
  <r>
    <x v="193"/>
    <s v="SUP01461"/>
    <x v="7"/>
    <x v="7"/>
    <x v="1"/>
    <d v="2025-04-19T00:00:00"/>
    <n v="135.06"/>
    <s v="Yes"/>
    <s v="Online"/>
    <x v="4"/>
    <s v="Telephone"/>
    <x v="29"/>
    <s v="Female"/>
    <n v="75"/>
    <x v="0"/>
    <x v="0"/>
    <s v="No Preference"/>
    <s v=""/>
    <s v=""/>
    <s v=""/>
    <x v="6"/>
    <s v="Regular Givers"/>
    <d v="2025-03-01T00:00:00"/>
    <d v="2025-04-30T00:00:00"/>
    <n v="8000"/>
    <x v="1"/>
    <n v="168.82499999999999"/>
    <s v=""/>
    <s v=""/>
    <s v=""/>
  </r>
  <r>
    <x v="194"/>
    <s v="SUP01048"/>
    <x v="2"/>
    <x v="2"/>
    <x v="0"/>
    <d v="2024-12-24T00:00:00"/>
    <n v="50000"/>
    <s v="No"/>
    <s v="Direct Debit"/>
    <x v="4"/>
    <s v="Referral"/>
    <x v="7"/>
    <s v="Female"/>
    <n v="59"/>
    <x v="1"/>
    <x v="1"/>
    <s v="Post"/>
    <s v=""/>
    <s v=""/>
    <s v=""/>
    <x v="2"/>
    <s v="All Active"/>
    <d v="2024-11-01T00:00:00"/>
    <d v="2024-12-31T00:00:00"/>
    <n v="25000"/>
    <x v="2"/>
    <n v="50000"/>
    <s v=""/>
    <s v=""/>
    <s v=""/>
  </r>
  <r>
    <x v="195"/>
    <s v="SUP01150"/>
    <x v="9"/>
    <x v="9"/>
    <x v="1"/>
    <d v="2024-07-15T00:00:00"/>
    <n v="239.13"/>
    <s v="Yes"/>
    <s v="Cash"/>
    <x v="6"/>
    <s v="Website"/>
    <x v="1"/>
    <s v="Male"/>
    <n v="74"/>
    <x v="0"/>
    <x v="0"/>
    <s v="Email"/>
    <s v=""/>
    <s v=""/>
    <s v=""/>
    <x v="4"/>
    <s v="Major Donors"/>
    <d v="2024-07-15T00:00:00"/>
    <d v="2024-07-15T00:00:00"/>
    <n v="45000"/>
    <x v="1"/>
    <n v="298.91250000000002"/>
    <s v=""/>
    <s v=""/>
    <s v=""/>
  </r>
  <r>
    <x v="196"/>
    <s v="SUP01224"/>
    <x v="2"/>
    <x v="2"/>
    <x v="1"/>
    <d v="2026-07-05T00:00:00"/>
    <n v="589.96"/>
    <s v="Yes"/>
    <s v="PayPal"/>
    <x v="1"/>
    <s v="Direct Mail"/>
    <x v="22"/>
    <s v="Male"/>
    <n v="21"/>
    <x v="3"/>
    <x v="3"/>
    <s v="Do Not Contact"/>
    <s v=""/>
    <s v=""/>
    <s v=""/>
    <x v="2"/>
    <s v="All Active"/>
    <d v="2024-11-01T00:00:00"/>
    <d v="2024-12-31T00:00:00"/>
    <n v="25000"/>
    <x v="2"/>
    <n v="737.45"/>
    <s v=""/>
    <s v="Review - response outside campaign dates"/>
    <s v=""/>
  </r>
  <r>
    <x v="197"/>
    <s v="SUP01002"/>
    <x v="3"/>
    <x v="3"/>
    <x v="1"/>
    <d v="2024-10-04T00:00:00"/>
    <n v="28.76"/>
    <s v="Yes"/>
    <s v="Credit Card"/>
    <x v="5"/>
    <s v="Referral"/>
    <x v="32"/>
    <s v="Female"/>
    <n v="75"/>
    <x v="0"/>
    <x v="0"/>
    <s v="No Preference"/>
    <s v=""/>
    <s v=""/>
    <s v=""/>
    <x v="2"/>
    <s v="All Supporters"/>
    <d v="2024-09-10T00:00:00"/>
    <d v="2024-10-15T00:00:00"/>
    <n v="15000"/>
    <x v="3"/>
    <n v="35.950000000000003"/>
    <s v=""/>
    <s v=""/>
    <s v=""/>
  </r>
  <r>
    <x v="198"/>
    <s v="SUP00800"/>
    <x v="8"/>
    <x v="8"/>
    <x v="2"/>
    <d v="2024-10-18T00:00:00"/>
    <n v="126.59"/>
    <s v="No"/>
    <s v="Debit Card"/>
    <x v="6"/>
    <s v="Referral"/>
    <x v="30"/>
    <s v="Female"/>
    <n v="64"/>
    <x v="1"/>
    <x v="1"/>
    <s v="Email"/>
    <s v="Review - duplicate record, see Supporter_Duplicates tab"/>
    <s v=""/>
    <s v=""/>
    <x v="7"/>
    <s v="All Active"/>
    <d v="2024-10-15T00:00:00"/>
    <d v="2024-12-20T00:00:00"/>
    <n v="12000"/>
    <x v="2"/>
    <n v="126.59"/>
    <s v=""/>
    <s v=""/>
    <s v=""/>
  </r>
  <r>
    <x v="199"/>
    <s v="SUP01211"/>
    <x v="9"/>
    <x v="9"/>
    <x v="2"/>
    <d v="2024-07-15T00:00:00"/>
    <n v="39.049999999999997"/>
    <s v="Yes"/>
    <s v="Debit Card"/>
    <x v="2"/>
    <s v="Website"/>
    <x v="1"/>
    <s v="Male"/>
    <n v="74"/>
    <x v="0"/>
    <x v="0"/>
    <s v="Email"/>
    <s v=""/>
    <s v="Review - prefers email but not opted in"/>
    <s v=""/>
    <x v="4"/>
    <s v="Major Donors"/>
    <d v="2024-07-15T00:00:00"/>
    <d v="2024-07-15T00:00:00"/>
    <n v="45000"/>
    <x v="1"/>
    <n v="48.8125"/>
    <s v=""/>
    <s v=""/>
    <s v=""/>
  </r>
  <r>
    <x v="200"/>
    <s v="SUP01152"/>
    <x v="4"/>
    <x v="4"/>
    <x v="2"/>
    <d v="2025-02-23T00:00:00"/>
    <n v="13.76"/>
    <s v="No"/>
    <s v="Debit Card"/>
    <x v="3"/>
    <s v="Website"/>
    <x v="30"/>
    <s v="Male"/>
    <n v="53"/>
    <x v="1"/>
    <x v="1"/>
    <s v="Post"/>
    <s v=""/>
    <s v=""/>
    <s v=""/>
    <x v="3"/>
    <s v="Prospects"/>
    <d v="2025-02-01T00:00:00"/>
    <d v="2025-04-30T00:00:00"/>
    <n v="20000"/>
    <x v="4"/>
    <n v="13.76"/>
    <s v=""/>
    <s v=""/>
    <s v=""/>
  </r>
  <r>
    <x v="201"/>
    <s v="SUP01089"/>
    <x v="8"/>
    <x v="8"/>
    <x v="2"/>
    <d v="2024-12-05T00:00:00"/>
    <n v="39.340000000000003"/>
    <s v="Yes"/>
    <s v="Cheque"/>
    <x v="3"/>
    <s v="Referral"/>
    <x v="28"/>
    <s v="Female"/>
    <n v="50"/>
    <x v="1"/>
    <x v="1"/>
    <s v="Email"/>
    <s v=""/>
    <s v="Review - prefers email but not opted in"/>
    <s v=""/>
    <x v="7"/>
    <s v="All Active"/>
    <d v="2024-10-15T00:00:00"/>
    <d v="2024-12-20T00:00:00"/>
    <n v="12000"/>
    <x v="2"/>
    <n v="49.175000000000004"/>
    <s v=""/>
    <s v=""/>
    <s v=""/>
  </r>
  <r>
    <x v="202"/>
    <s v="SUP01259"/>
    <x v="4"/>
    <x v="4"/>
    <x v="5"/>
    <d v="2025-02-15T00:00:00"/>
    <n v="213.54"/>
    <s v="Yes"/>
    <s v="PayPal"/>
    <x v="6"/>
    <s v="Social Media"/>
    <x v="4"/>
    <s v="Male"/>
    <n v="49"/>
    <x v="4"/>
    <x v="4"/>
    <s v="Email"/>
    <s v=""/>
    <s v=""/>
    <s v=""/>
    <x v="3"/>
    <s v="Prospects"/>
    <d v="2025-02-01T00:00:00"/>
    <d v="2025-04-30T00:00:00"/>
    <n v="20000"/>
    <x v="4"/>
    <n v="266.92500000000001"/>
    <s v=""/>
    <s v=""/>
    <s v=""/>
  </r>
  <r>
    <x v="203"/>
    <s v="SUP01291"/>
    <x v="2"/>
    <x v="2"/>
    <x v="3"/>
    <d v="2024-12-07T00:00:00"/>
    <n v="372.32"/>
    <s v="Yes"/>
    <s v="Online"/>
    <x v="0"/>
    <s v="Referral"/>
    <x v="2"/>
    <s v="Male"/>
    <n v="33"/>
    <x v="3"/>
    <x v="3"/>
    <s v="No Preference"/>
    <s v=""/>
    <s v=""/>
    <s v=""/>
    <x v="2"/>
    <s v="All Active"/>
    <d v="2024-11-01T00:00:00"/>
    <d v="2024-12-31T00:00:00"/>
    <n v="25000"/>
    <x v="2"/>
    <n v="465.4"/>
    <s v=""/>
    <s v=""/>
    <s v=""/>
  </r>
  <r>
    <x v="204"/>
    <s v="SUP01091"/>
    <x v="1"/>
    <x v="1"/>
    <x v="1"/>
    <d v="2024-06-26T00:00:00"/>
    <n v="252.27"/>
    <s v="Yes"/>
    <s v="Cash"/>
    <x v="0"/>
    <s v="Telephone"/>
    <x v="17"/>
    <s v="Female"/>
    <n v="39"/>
    <x v="4"/>
    <x v="4"/>
    <s v="No Preference"/>
    <s v=""/>
    <s v=""/>
    <s v=""/>
    <x v="1"/>
    <s v="Major Donors"/>
    <d v="2024-06-01T00:00:00"/>
    <d v="2024-06-30T00:00:00"/>
    <n v="7000"/>
    <x v="1"/>
    <n v="315.33750000000003"/>
    <s v=""/>
    <s v=""/>
    <s v=""/>
  </r>
  <r>
    <x v="205"/>
    <s v="SUP01392"/>
    <x v="3"/>
    <x v="3"/>
    <x v="0"/>
    <d v="2024-09-29T00:00:00"/>
    <n v="349.18"/>
    <s v="Yes"/>
    <s v="Credit Card"/>
    <x v="0"/>
    <s v="Website"/>
    <x v="22"/>
    <s v="Male"/>
    <n v="50"/>
    <x v="1"/>
    <x v="1"/>
    <s v="Email"/>
    <s v=""/>
    <s v=""/>
    <s v=""/>
    <x v="2"/>
    <s v="All Supporters"/>
    <d v="2024-09-10T00:00:00"/>
    <d v="2024-10-15T00:00:00"/>
    <n v="15000"/>
    <x v="3"/>
    <n v="436.47500000000002"/>
    <s v=""/>
    <s v=""/>
    <s v=""/>
  </r>
  <r>
    <x v="206"/>
    <s v="SUP01149"/>
    <x v="2"/>
    <x v="2"/>
    <x v="0"/>
    <d v="2024-12-11T00:00:00"/>
    <n v="1496.64"/>
    <s v="No"/>
    <s v="Cash"/>
    <x v="1"/>
    <s v="Social Media"/>
    <x v="22"/>
    <s v="Female"/>
    <n v="49"/>
    <x v="4"/>
    <x v="4"/>
    <s v="Email"/>
    <s v=""/>
    <s v=""/>
    <s v=""/>
    <x v="2"/>
    <s v="All Active"/>
    <d v="2024-11-01T00:00:00"/>
    <d v="2024-12-31T00:00:00"/>
    <n v="25000"/>
    <x v="2"/>
    <n v="1496.64"/>
    <s v=""/>
    <s v=""/>
    <s v=""/>
  </r>
  <r>
    <x v="207"/>
    <s v="SUP01483"/>
    <x v="2"/>
    <x v="2"/>
    <x v="0"/>
    <d v="2024-12-12T00:00:00"/>
    <n v="9.91"/>
    <s v="Yes"/>
    <s v="Standing Order"/>
    <x v="3"/>
    <s v="Door-To-Door"/>
    <x v="20"/>
    <s v="Female"/>
    <n v="50"/>
    <x v="1"/>
    <x v="1"/>
    <s v="Email"/>
    <s v=""/>
    <s v=""/>
    <s v=""/>
    <x v="2"/>
    <s v="All Active"/>
    <d v="2024-11-01T00:00:00"/>
    <d v="2024-12-31T00:00:00"/>
    <n v="25000"/>
    <x v="2"/>
    <n v="12.387499999999999"/>
    <s v=""/>
    <s v=""/>
    <s v=""/>
  </r>
  <r>
    <x v="208"/>
    <s v="SUP01129"/>
    <x v="5"/>
    <x v="5"/>
    <x v="2"/>
    <d v="2024-11-22T00:00:00"/>
    <n v="368.28"/>
    <s v="Yes"/>
    <s v="Cheque"/>
    <x v="0"/>
    <s v="Direct Mail"/>
    <x v="6"/>
    <s v="Male"/>
    <n v="35"/>
    <x v="4"/>
    <x v="4"/>
    <s v="Post"/>
    <s v=""/>
    <s v=""/>
    <s v=""/>
    <x v="4"/>
    <s v="Volunteers"/>
    <d v="2024-11-22T00:00:00"/>
    <d v="2024-11-22T00:00:00"/>
    <n v="3500"/>
    <x v="3"/>
    <n v="460.34999999999997"/>
    <s v=""/>
    <s v=""/>
    <s v=""/>
  </r>
  <r>
    <x v="209"/>
    <s v="SUP01349"/>
    <x v="1"/>
    <x v="1"/>
    <x v="1"/>
    <d v="2024-06-05T00:00:00"/>
    <n v="432.99"/>
    <s v="No"/>
    <s v="Standing Order"/>
    <x v="0"/>
    <s v="Corporate Partner"/>
    <x v="18"/>
    <s v="Male"/>
    <n v="32"/>
    <x v="3"/>
    <x v="3"/>
    <s v="No Preference"/>
    <s v=""/>
    <s v=""/>
    <s v=""/>
    <x v="1"/>
    <s v="Major Donors"/>
    <d v="2024-06-01T00:00:00"/>
    <d v="2024-06-30T00:00:00"/>
    <n v="7000"/>
    <x v="1"/>
    <n v="432.99"/>
    <s v=""/>
    <s v=""/>
    <s v=""/>
  </r>
  <r>
    <x v="210"/>
    <s v="SUP01336"/>
    <x v="1"/>
    <x v="1"/>
    <x v="1"/>
    <d v="2024-06-01T00:00:00"/>
    <n v="56"/>
    <s v="Yes"/>
    <s v="Standing Order"/>
    <x v="2"/>
    <s v="Social Media"/>
    <x v="6"/>
    <s v="Male"/>
    <n v="64"/>
    <x v="1"/>
    <x v="1"/>
    <s v="Post"/>
    <s v=""/>
    <s v=""/>
    <s v=""/>
    <x v="1"/>
    <s v="Major Donors"/>
    <d v="2024-06-01T00:00:00"/>
    <d v="2024-06-30T00:00:00"/>
    <n v="7000"/>
    <x v="1"/>
    <n v="70"/>
    <s v=""/>
    <s v=""/>
    <s v=""/>
  </r>
  <r>
    <x v="211"/>
    <s v="SUP01146"/>
    <x v="5"/>
    <x v="5"/>
    <x v="1"/>
    <d v="2024-11-22T00:00:00"/>
    <n v="32.07"/>
    <s v="Yes"/>
    <s v="Debit Card"/>
    <x v="3"/>
    <s v="Direct Mail"/>
    <x v="36"/>
    <s v="Female"/>
    <n v="68"/>
    <x v="0"/>
    <x v="0"/>
    <s v="Phone"/>
    <s v=""/>
    <s v=""/>
    <s v=""/>
    <x v="4"/>
    <s v="Volunteers"/>
    <d v="2024-11-22T00:00:00"/>
    <d v="2024-11-22T00:00:00"/>
    <n v="3500"/>
    <x v="3"/>
    <n v="40.087499999999999"/>
    <s v=""/>
    <s v=""/>
    <s v=""/>
  </r>
  <r>
    <x v="212"/>
    <s v="SUP01499"/>
    <x v="0"/>
    <x v="0"/>
    <x v="0"/>
    <d v="2025-01-26T00:00:00"/>
    <n v="140.05000000000001"/>
    <s v="Yes"/>
    <s v="PayPal"/>
    <x v="6"/>
    <s v="Door-To-Door"/>
    <x v="5"/>
    <s v="Female"/>
    <n v="59"/>
    <x v="1"/>
    <x v="1"/>
    <s v="Post"/>
    <s v=""/>
    <s v="Review - prefers post but not opted in"/>
    <s v=""/>
    <x v="0"/>
    <s v="One-time Donors"/>
    <d v="2025-01-06T00:00:00"/>
    <d v="2025-03-31T00:00:00"/>
    <n v="10000"/>
    <x v="0"/>
    <n v="175.0625"/>
    <s v=""/>
    <s v=""/>
    <s v=""/>
  </r>
  <r>
    <x v="213"/>
    <s v="SUP01320"/>
    <x v="6"/>
    <x v="6"/>
    <x v="1"/>
    <d v="2024-10-12T00:00:00"/>
    <n v="28.34"/>
    <s v="Yes"/>
    <s v="PayPal"/>
    <x v="3"/>
    <s v="Referral"/>
    <x v="1"/>
    <s v="Male"/>
    <n v="42"/>
    <x v="4"/>
    <x v="4"/>
    <s v="Phone"/>
    <s v=""/>
    <s v=""/>
    <s v=""/>
    <x v="5"/>
    <s v="Over 55s"/>
    <d v="2024-10-07T00:00:00"/>
    <d v="2024-10-13T00:00:00"/>
    <n v="5000"/>
    <x v="1"/>
    <n v="35.424999999999997"/>
    <s v=""/>
    <s v=""/>
    <s v=""/>
  </r>
  <r>
    <x v="214"/>
    <s v="SUP01276"/>
    <x v="0"/>
    <x v="0"/>
    <x v="0"/>
    <d v="2025-01-15T00:00:00"/>
    <n v="29.89"/>
    <s v="No"/>
    <s v="Online"/>
    <x v="5"/>
    <s v="Direct Mail"/>
    <x v="23"/>
    <s v="Female"/>
    <n v="58"/>
    <x v="1"/>
    <x v="1"/>
    <s v="Email"/>
    <s v=""/>
    <s v="Review - prefers email but not opted in"/>
    <s v=""/>
    <x v="0"/>
    <s v="One-time Donors"/>
    <d v="2025-01-06T00:00:00"/>
    <d v="2025-03-31T00:00:00"/>
    <n v="10000"/>
    <x v="0"/>
    <n v="29.89"/>
    <s v=""/>
    <s v=""/>
    <s v=""/>
  </r>
  <r>
    <x v="215"/>
    <s v="SUP01413"/>
    <x v="4"/>
    <x v="4"/>
    <x v="5"/>
    <d v="2025-04-26T00:00:00"/>
    <n v="10.43"/>
    <s v="Yes"/>
    <s v="Cheque"/>
    <x v="2"/>
    <s v="Door-To-Door"/>
    <x v="8"/>
    <s v="Female"/>
    <n v="36"/>
    <x v="4"/>
    <x v="4"/>
    <s v="Post"/>
    <s v=""/>
    <s v=""/>
    <s v=""/>
    <x v="3"/>
    <s v="Prospects"/>
    <d v="2025-02-01T00:00:00"/>
    <d v="2025-04-30T00:00:00"/>
    <n v="20000"/>
    <x v="4"/>
    <n v="13.0375"/>
    <s v=""/>
    <s v=""/>
    <s v=""/>
  </r>
  <r>
    <x v="216"/>
    <s v="SUP01479"/>
    <x v="5"/>
    <x v="5"/>
    <x v="2"/>
    <d v="2024-11-22T00:00:00"/>
    <n v="49.45"/>
    <s v="Yes"/>
    <s v="Credit Card"/>
    <x v="3"/>
    <s v="Door-To-Door"/>
    <x v="24"/>
    <s v="Male"/>
    <n v="88"/>
    <x v="0"/>
    <x v="0"/>
    <s v="Phone"/>
    <s v=""/>
    <s v=""/>
    <s v=""/>
    <x v="4"/>
    <s v="Volunteers"/>
    <d v="2024-11-22T00:00:00"/>
    <d v="2024-11-22T00:00:00"/>
    <n v="3500"/>
    <x v="3"/>
    <n v="61.8125"/>
    <s v=""/>
    <s v=""/>
    <s v=""/>
  </r>
  <r>
    <x v="217"/>
    <s v="SUP01494"/>
    <x v="3"/>
    <x v="3"/>
    <x v="3"/>
    <d v="2024-09-27T00:00:00"/>
    <n v="90.59"/>
    <s v="No"/>
    <s v="PayPal"/>
    <x v="4"/>
    <s v="Telephone"/>
    <x v="17"/>
    <s v="Female"/>
    <n v="80"/>
    <x v="0"/>
    <x v="0"/>
    <s v="Post"/>
    <s v=""/>
    <s v=""/>
    <s v=""/>
    <x v="2"/>
    <s v="All Supporters"/>
    <d v="2024-09-10T00:00:00"/>
    <d v="2024-10-15T00:00:00"/>
    <n v="15000"/>
    <x v="3"/>
    <n v="90.59"/>
    <s v=""/>
    <s v=""/>
    <s v=""/>
  </r>
  <r>
    <x v="218"/>
    <s v="SUP01020"/>
    <x v="2"/>
    <x v="2"/>
    <x v="1"/>
    <d v="2024-12-08T00:00:00"/>
    <n v="4794.68"/>
    <s v="Yes"/>
    <s v="Online"/>
    <x v="1"/>
    <s v="Website"/>
    <x v="22"/>
    <s v="Male"/>
    <n v="49"/>
    <x v="4"/>
    <x v="4"/>
    <s v="No Preference"/>
    <s v=""/>
    <s v=""/>
    <s v=""/>
    <x v="2"/>
    <s v="All Active"/>
    <d v="2024-11-01T00:00:00"/>
    <d v="2024-12-31T00:00:00"/>
    <n v="25000"/>
    <x v="2"/>
    <n v="5993.35"/>
    <s v=""/>
    <s v=""/>
    <s v=""/>
  </r>
  <r>
    <x v="219"/>
    <s v="SUP01328"/>
    <x v="2"/>
    <x v="2"/>
    <x v="3"/>
    <d v="2024-11-14T00:00:00"/>
    <n v="71.95"/>
    <s v="Yes"/>
    <s v="PayPal"/>
    <x v="2"/>
    <s v="Event"/>
    <x v="24"/>
    <s v="Female"/>
    <n v="34"/>
    <x v="3"/>
    <x v="3"/>
    <s v="Phone"/>
    <s v=""/>
    <s v="Review - prefers phone but not opted in"/>
    <s v=""/>
    <x v="2"/>
    <s v="All Active"/>
    <d v="2024-11-01T00:00:00"/>
    <d v="2024-12-31T00:00:00"/>
    <n v="25000"/>
    <x v="2"/>
    <n v="89.9375"/>
    <s v=""/>
    <s v=""/>
    <s v=""/>
  </r>
  <r>
    <x v="220"/>
    <s v="SUP01297"/>
    <x v="7"/>
    <x v="7"/>
    <x v="1"/>
    <d v="2025-04-05T00:00:00"/>
    <n v="70.16"/>
    <s v="No"/>
    <s v="Debit Card"/>
    <x v="4"/>
    <s v="Direct Mail"/>
    <x v="19"/>
    <s v="Male"/>
    <n v="37"/>
    <x v="4"/>
    <x v="4"/>
    <s v="Post"/>
    <s v=""/>
    <s v=""/>
    <s v=""/>
    <x v="6"/>
    <s v="Regular Givers"/>
    <d v="2025-03-01T00:00:00"/>
    <d v="2025-04-30T00:00:00"/>
    <n v="8000"/>
    <x v="1"/>
    <n v="70.16"/>
    <s v=""/>
    <s v=""/>
    <s v=""/>
  </r>
  <r>
    <x v="221"/>
    <s v="SUP01303"/>
    <x v="4"/>
    <x v="4"/>
    <x v="0"/>
    <d v="2025-03-20T00:00:00"/>
    <n v="148.19"/>
    <s v="Yes"/>
    <s v="Online"/>
    <x v="4"/>
    <s v="Website"/>
    <x v="12"/>
    <s v="Female"/>
    <n v="85"/>
    <x v="0"/>
    <x v="0"/>
    <s v="No Preference"/>
    <s v=""/>
    <s v=""/>
    <s v=""/>
    <x v="3"/>
    <s v="Prospects"/>
    <d v="2025-02-01T00:00:00"/>
    <d v="2025-04-30T00:00:00"/>
    <n v="20000"/>
    <x v="4"/>
    <n v="185.23750000000001"/>
    <s v=""/>
    <s v=""/>
    <s v=""/>
  </r>
  <r>
    <x v="222"/>
    <s v="SUP01441"/>
    <x v="4"/>
    <x v="4"/>
    <x v="5"/>
    <d v="2025-02-12T00:00:00"/>
    <n v="25.72"/>
    <s v="Yes"/>
    <s v="Online"/>
    <x v="5"/>
    <s v="Door-To-Door"/>
    <x v="27"/>
    <s v="Female"/>
    <n v="75"/>
    <x v="0"/>
    <x v="0"/>
    <s v="Email"/>
    <s v=""/>
    <s v=""/>
    <s v=""/>
    <x v="3"/>
    <s v="Prospects"/>
    <d v="2025-02-01T00:00:00"/>
    <d v="2025-04-30T00:00:00"/>
    <n v="20000"/>
    <x v="4"/>
    <n v="32.15"/>
    <s v=""/>
    <s v=""/>
    <s v=""/>
  </r>
  <r>
    <x v="223"/>
    <s v="SUP01018"/>
    <x v="8"/>
    <x v="8"/>
    <x v="0"/>
    <d v="2024-11-28T00:00:00"/>
    <n v="305.92"/>
    <s v="No"/>
    <s v="Cash"/>
    <x v="0"/>
    <s v="Telephone"/>
    <x v="23"/>
    <s v="Female"/>
    <n v="26"/>
    <x v="3"/>
    <x v="3"/>
    <s v="Email"/>
    <s v=""/>
    <s v=""/>
    <s v=""/>
    <x v="7"/>
    <s v="All Active"/>
    <d v="2024-10-15T00:00:00"/>
    <d v="2024-12-20T00:00:00"/>
    <n v="12000"/>
    <x v="2"/>
    <n v="305.92"/>
    <s v=""/>
    <s v=""/>
    <s v=""/>
  </r>
  <r>
    <x v="224"/>
    <s v="SUP01135"/>
    <x v="3"/>
    <x v="3"/>
    <x v="0"/>
    <d v="2024-09-29T00:00:00"/>
    <n v="17.809999999999999"/>
    <s v="Yes"/>
    <s v="Cash"/>
    <x v="5"/>
    <s v="Social Media"/>
    <x v="23"/>
    <s v="Male"/>
    <n v="61"/>
    <x v="1"/>
    <x v="1"/>
    <s v="Do Not Contact"/>
    <s v=""/>
    <s v=""/>
    <s v=""/>
    <x v="2"/>
    <s v="All Supporters"/>
    <d v="2024-09-10T00:00:00"/>
    <d v="2024-10-15T00:00:00"/>
    <n v="15000"/>
    <x v="3"/>
    <n v="22.262499999999999"/>
    <s v=""/>
    <s v=""/>
    <s v=""/>
  </r>
  <r>
    <x v="225"/>
    <s v="SUP01457"/>
    <x v="7"/>
    <x v="7"/>
    <x v="2"/>
    <d v="2025-04-29T00:00:00"/>
    <n v="17.7"/>
    <s v="No"/>
    <s v="PayPal"/>
    <x v="2"/>
    <s v="Door-To-Door"/>
    <x v="3"/>
    <s v="Female"/>
    <n v="85"/>
    <x v="0"/>
    <x v="0"/>
    <s v="Email"/>
    <s v=""/>
    <s v=""/>
    <s v=""/>
    <x v="6"/>
    <s v="Regular Givers"/>
    <d v="2025-03-01T00:00:00"/>
    <d v="2025-04-30T00:00:00"/>
    <n v="8000"/>
    <x v="1"/>
    <n v="17.7"/>
    <s v=""/>
    <s v=""/>
    <s v=""/>
  </r>
  <r>
    <x v="226"/>
    <s v="SUP01279"/>
    <x v="3"/>
    <x v="3"/>
    <x v="1"/>
    <d v="2024-09-20T00:00:00"/>
    <n v="399.43"/>
    <s v="No"/>
    <s v="Credit Card"/>
    <x v="1"/>
    <s v="Referral"/>
    <x v="20"/>
    <s v="Female"/>
    <n v="75"/>
    <x v="0"/>
    <x v="0"/>
    <s v="Email"/>
    <s v=""/>
    <s v=""/>
    <s v=""/>
    <x v="2"/>
    <s v="All Supporters"/>
    <d v="2024-09-10T00:00:00"/>
    <d v="2024-10-15T00:00:00"/>
    <n v="15000"/>
    <x v="3"/>
    <n v="399.43"/>
    <s v=""/>
    <s v=""/>
    <s v=""/>
  </r>
  <r>
    <x v="227"/>
    <s v="SUP01449"/>
    <x v="7"/>
    <x v="7"/>
    <x v="1"/>
    <d v="2025-03-20T00:00:00"/>
    <n v="10.72"/>
    <s v="No"/>
    <s v="Credit Card"/>
    <x v="3"/>
    <s v="Telephone"/>
    <x v="3"/>
    <s v="Male"/>
    <n v="57"/>
    <x v="1"/>
    <x v="1"/>
    <s v="Post"/>
    <s v=""/>
    <s v=""/>
    <s v=""/>
    <x v="6"/>
    <s v="Regular Givers"/>
    <d v="2025-03-01T00:00:00"/>
    <d v="2025-04-30T00:00:00"/>
    <n v="8000"/>
    <x v="1"/>
    <n v="10.72"/>
    <s v=""/>
    <s v=""/>
    <s v=""/>
  </r>
  <r>
    <x v="228"/>
    <s v="SUP01215"/>
    <x v="0"/>
    <x v="0"/>
    <x v="1"/>
    <d v="2025-03-27T00:00:00"/>
    <n v="174.45"/>
    <s v="No"/>
    <s v="Credit Card"/>
    <x v="6"/>
    <s v="Corporate Partner"/>
    <x v="7"/>
    <s v="Male"/>
    <n v="71"/>
    <x v="0"/>
    <x v="0"/>
    <s v="Email"/>
    <s v=""/>
    <s v=""/>
    <s v=""/>
    <x v="0"/>
    <s v="One-time Donors"/>
    <d v="2025-01-06T00:00:00"/>
    <d v="2025-03-31T00:00:00"/>
    <n v="10000"/>
    <x v="0"/>
    <n v="174.45"/>
    <s v=""/>
    <s v=""/>
    <s v=""/>
  </r>
  <r>
    <x v="229"/>
    <s v="SUP01450"/>
    <x v="7"/>
    <x v="7"/>
    <x v="1"/>
    <d v="2025-03-25T00:00:00"/>
    <n v="38.9"/>
    <s v="No"/>
    <s v="Debit Card"/>
    <x v="2"/>
    <s v="Telephone"/>
    <x v="22"/>
    <s v="Male"/>
    <n v="67"/>
    <x v="0"/>
    <x v="0"/>
    <s v="Post"/>
    <s v=""/>
    <s v=""/>
    <s v=""/>
    <x v="6"/>
    <s v="Regular Givers"/>
    <d v="2025-03-01T00:00:00"/>
    <d v="2025-04-30T00:00:00"/>
    <n v="8000"/>
    <x v="1"/>
    <n v="38.9"/>
    <s v=""/>
    <s v=""/>
    <s v=""/>
  </r>
  <r>
    <x v="230"/>
    <s v="SUP01088"/>
    <x v="1"/>
    <x v="1"/>
    <x v="1"/>
    <d v="2024-06-19T00:00:00"/>
    <n v="27.32"/>
    <s v="Yes"/>
    <s v="Direct Debit"/>
    <x v="6"/>
    <s v="Website"/>
    <x v="20"/>
    <s v="Female"/>
    <n v="71"/>
    <x v="0"/>
    <x v="0"/>
    <s v="Post"/>
    <s v=""/>
    <s v=""/>
    <s v=""/>
    <x v="1"/>
    <s v="Major Donors"/>
    <d v="2024-06-01T00:00:00"/>
    <d v="2024-06-30T00:00:00"/>
    <n v="7000"/>
    <x v="1"/>
    <n v="34.15"/>
    <s v=""/>
    <s v=""/>
    <s v=""/>
  </r>
  <r>
    <x v="231"/>
    <s v="SUP01152"/>
    <x v="3"/>
    <x v="3"/>
    <x v="2"/>
    <d v="2024-09-29T00:00:00"/>
    <n v="17.36"/>
    <s v="No"/>
    <s v="Cheque"/>
    <x v="3"/>
    <s v="Website"/>
    <x v="30"/>
    <s v="Male"/>
    <n v="53"/>
    <x v="1"/>
    <x v="1"/>
    <s v="Post"/>
    <s v=""/>
    <s v=""/>
    <s v=""/>
    <x v="2"/>
    <s v="All Supporters"/>
    <d v="2024-09-10T00:00:00"/>
    <d v="2024-10-15T00:00:00"/>
    <n v="15000"/>
    <x v="3"/>
    <n v="17.36"/>
    <s v=""/>
    <s v=""/>
    <s v=""/>
  </r>
  <r>
    <x v="232"/>
    <s v="SUP01266"/>
    <x v="7"/>
    <x v="7"/>
    <x v="1"/>
    <d v="2025-03-07T00:00:00"/>
    <n v="219.18"/>
    <s v="No"/>
    <s v="Debit Card"/>
    <x v="0"/>
    <s v="Referral"/>
    <x v="10"/>
    <s v="Male"/>
    <n v="43"/>
    <x v="4"/>
    <x v="4"/>
    <s v="Post"/>
    <s v=""/>
    <s v=""/>
    <s v=""/>
    <x v="6"/>
    <s v="Regular Givers"/>
    <d v="2025-03-01T00:00:00"/>
    <d v="2025-04-30T00:00:00"/>
    <n v="8000"/>
    <x v="1"/>
    <n v="219.18"/>
    <s v=""/>
    <s v=""/>
    <s v=""/>
  </r>
  <r>
    <x v="233"/>
    <s v="SUP01458"/>
    <x v="0"/>
    <x v="0"/>
    <x v="1"/>
    <d v="2025-02-23T00:00:00"/>
    <n v="148.16999999999999"/>
    <s v="No"/>
    <s v="Direct Debit"/>
    <x v="4"/>
    <s v="Event"/>
    <x v="23"/>
    <s v="Male"/>
    <n v="63"/>
    <x v="1"/>
    <x v="1"/>
    <s v="Email"/>
    <s v=""/>
    <s v="Review - prefers email but not opted in"/>
    <s v=""/>
    <x v="0"/>
    <s v="One-time Donors"/>
    <d v="2025-01-06T00:00:00"/>
    <d v="2025-03-31T00:00:00"/>
    <n v="10000"/>
    <x v="0"/>
    <n v="148.16999999999999"/>
    <s v=""/>
    <s v=""/>
    <s v=""/>
  </r>
  <r>
    <x v="234"/>
    <s v="SUP01043"/>
    <x v="4"/>
    <x v="4"/>
    <x v="2"/>
    <d v="2025-04-09T00:00:00"/>
    <n v="102.78"/>
    <s v="Yes"/>
    <s v="Credit Card"/>
    <x v="0"/>
    <s v="Corporate Partner"/>
    <x v="31"/>
    <s v="Male"/>
    <n v="94"/>
    <x v="0"/>
    <x v="0"/>
    <s v="Phone"/>
    <s v=""/>
    <s v="Review - prefers phone but not opted in"/>
    <s v=""/>
    <x v="3"/>
    <s v="Prospects"/>
    <d v="2025-02-01T00:00:00"/>
    <d v="2025-04-30T00:00:00"/>
    <n v="20000"/>
    <x v="4"/>
    <n v="128.47499999999999"/>
    <s v=""/>
    <s v=""/>
    <s v=""/>
  </r>
  <r>
    <x v="235"/>
    <s v="SUP01321"/>
    <x v="8"/>
    <x v="8"/>
    <x v="2"/>
    <d v="2024-10-20T00:00:00"/>
    <n v="21.96"/>
    <s v="Yes"/>
    <s v="Standing Order"/>
    <x v="5"/>
    <s v="Event"/>
    <x v="24"/>
    <s v="Male"/>
    <n v="29"/>
    <x v="3"/>
    <x v="3"/>
    <s v="No Preference"/>
    <s v=""/>
    <s v=""/>
    <s v=""/>
    <x v="7"/>
    <s v="All Active"/>
    <d v="2024-10-15T00:00:00"/>
    <d v="2024-12-20T00:00:00"/>
    <n v="12000"/>
    <x v="2"/>
    <n v="27.450000000000003"/>
    <s v=""/>
    <s v=""/>
    <s v=""/>
  </r>
  <r>
    <x v="236"/>
    <s v="SUP01449"/>
    <x v="3"/>
    <x v="3"/>
    <x v="0"/>
    <d v="2024-10-11T00:00:00"/>
    <n v="36.72"/>
    <s v="No"/>
    <s v="Online"/>
    <x v="3"/>
    <s v="Telephone"/>
    <x v="3"/>
    <s v="Male"/>
    <n v="57"/>
    <x v="1"/>
    <x v="1"/>
    <s v="Post"/>
    <s v=""/>
    <s v=""/>
    <s v=""/>
    <x v="2"/>
    <s v="All Supporters"/>
    <d v="2024-09-10T00:00:00"/>
    <d v="2024-10-15T00:00:00"/>
    <n v="15000"/>
    <x v="3"/>
    <n v="36.72"/>
    <s v=""/>
    <s v=""/>
    <s v=""/>
  </r>
  <r>
    <x v="237"/>
    <s v="SUP01455"/>
    <x v="7"/>
    <x v="7"/>
    <x v="2"/>
    <d v="2025-04-11T00:00:00"/>
    <n v="141.16999999999999"/>
    <s v="Yes"/>
    <s v="Direct Debit"/>
    <x v="4"/>
    <s v="Telephone"/>
    <x v="4"/>
    <s v="Female"/>
    <n v="63"/>
    <x v="1"/>
    <x v="1"/>
    <s v="Email"/>
    <s v=""/>
    <s v=""/>
    <s v=""/>
    <x v="6"/>
    <s v="Regular Givers"/>
    <d v="2025-03-01T00:00:00"/>
    <d v="2025-04-30T00:00:00"/>
    <n v="8000"/>
    <x v="1"/>
    <n v="176.46249999999998"/>
    <s v=""/>
    <s v=""/>
    <s v=""/>
  </r>
  <r>
    <x v="238"/>
    <s v="SUP01414"/>
    <x v="8"/>
    <x v="8"/>
    <x v="0"/>
    <d v="2024-11-20T00:00:00"/>
    <n v="9.5"/>
    <s v="Yes"/>
    <s v="Cash"/>
    <x v="5"/>
    <s v="Website"/>
    <x v="10"/>
    <s v="Female"/>
    <n v="54"/>
    <x v="1"/>
    <x v="1"/>
    <s v="Email"/>
    <s v=""/>
    <s v="Review - prefers email but not opted in"/>
    <s v=""/>
    <x v="7"/>
    <s v="All Active"/>
    <d v="2024-10-15T00:00:00"/>
    <d v="2024-12-20T00:00:00"/>
    <n v="12000"/>
    <x v="2"/>
    <n v="11.875"/>
    <s v=""/>
    <s v=""/>
    <s v=""/>
  </r>
  <r>
    <x v="239"/>
    <s v="SUP01366"/>
    <x v="9"/>
    <x v="9"/>
    <x v="2"/>
    <d v="2024-07-15T00:00:00"/>
    <n v="24.66"/>
    <s v="Yes"/>
    <s v="Debit Card"/>
    <x v="5"/>
    <s v="Door-To-Door"/>
    <x v="25"/>
    <s v="Female"/>
    <n v="22"/>
    <x v="3"/>
    <x v="3"/>
    <s v="Email"/>
    <s v=""/>
    <s v=""/>
    <s v=""/>
    <x v="4"/>
    <s v="Major Donors"/>
    <d v="2024-07-15T00:00:00"/>
    <d v="2024-07-15T00:00:00"/>
    <n v="45000"/>
    <x v="1"/>
    <n v="30.824999999999999"/>
    <s v=""/>
    <s v=""/>
    <s v=""/>
  </r>
  <r>
    <x v="240"/>
    <s v="SUP01309"/>
    <x v="9"/>
    <x v="9"/>
    <x v="2"/>
    <d v="2024-07-15T00:00:00"/>
    <n v="4358.37"/>
    <s v="Yes"/>
    <s v="Standing Order"/>
    <x v="1"/>
    <s v="Corporate Partner"/>
    <x v="10"/>
    <s v="Female"/>
    <s v=""/>
    <x v="2"/>
    <x v="2"/>
    <s v="Phone"/>
    <s v=""/>
    <s v=""/>
    <s v="Review - missing DOB"/>
    <x v="4"/>
    <s v="Major Donors"/>
    <d v="2024-07-15T00:00:00"/>
    <d v="2024-07-15T00:00:00"/>
    <n v="45000"/>
    <x v="1"/>
    <n v="5447.9624999999996"/>
    <s v=""/>
    <s v=""/>
    <s v=""/>
  </r>
  <r>
    <x v="241"/>
    <s v="SUP01041"/>
    <x v="1"/>
    <x v="1"/>
    <x v="2"/>
    <d v="2024-06-15T00:00:00"/>
    <n v="17.32"/>
    <s v="No"/>
    <s v="Cash"/>
    <x v="2"/>
    <s v="Event"/>
    <x v="21"/>
    <s v="Male"/>
    <n v="81"/>
    <x v="0"/>
    <x v="0"/>
    <s v="No Preference"/>
    <s v=""/>
    <s v=""/>
    <s v=""/>
    <x v="1"/>
    <s v="Major Donors"/>
    <d v="2024-06-01T00:00:00"/>
    <d v="2024-06-30T00:00:00"/>
    <n v="7000"/>
    <x v="1"/>
    <n v="17.32"/>
    <s v=""/>
    <s v=""/>
    <s v=""/>
  </r>
  <r>
    <x v="242"/>
    <s v="SUP01146"/>
    <x v="0"/>
    <x v="0"/>
    <x v="1"/>
    <d v="2025-01-28T00:00:00"/>
    <n v="37.54"/>
    <s v="Yes"/>
    <s v="PayPal"/>
    <x v="3"/>
    <s v="Direct Mail"/>
    <x v="36"/>
    <s v="Female"/>
    <n v="68"/>
    <x v="0"/>
    <x v="0"/>
    <s v="Phone"/>
    <s v=""/>
    <s v=""/>
    <s v=""/>
    <x v="0"/>
    <s v="One-time Donors"/>
    <d v="2025-01-06T00:00:00"/>
    <d v="2025-03-31T00:00:00"/>
    <n v="10000"/>
    <x v="0"/>
    <n v="46.924999999999997"/>
    <s v=""/>
    <s v=""/>
    <s v=""/>
  </r>
  <r>
    <x v="243"/>
    <s v="SUP01279"/>
    <x v="8"/>
    <x v="8"/>
    <x v="2"/>
    <d v="2024-12-05T00:00:00"/>
    <n v="2557.66"/>
    <s v="Yes"/>
    <s v="Debit Card"/>
    <x v="1"/>
    <s v="Referral"/>
    <x v="20"/>
    <s v="Female"/>
    <n v="75"/>
    <x v="0"/>
    <x v="0"/>
    <s v="Email"/>
    <s v=""/>
    <s v=""/>
    <s v=""/>
    <x v="7"/>
    <s v="All Active"/>
    <d v="2024-10-15T00:00:00"/>
    <d v="2024-12-20T00:00:00"/>
    <n v="12000"/>
    <x v="2"/>
    <n v="3197.0749999999998"/>
    <s v=""/>
    <s v=""/>
    <s v=""/>
  </r>
  <r>
    <x v="244"/>
    <s v="SUP01218"/>
    <x v="3"/>
    <x v="3"/>
    <x v="3"/>
    <d v="2024-09-22T00:00:00"/>
    <n v="26.11"/>
    <s v="Yes"/>
    <s v="PayPal"/>
    <x v="2"/>
    <s v="Event"/>
    <x v="15"/>
    <s v="Female"/>
    <s v=""/>
    <x v="2"/>
    <x v="2"/>
    <s v="Email"/>
    <s v=""/>
    <s v=""/>
    <s v="Review - missing DOB"/>
    <x v="2"/>
    <s v="All Supporters"/>
    <d v="2024-09-10T00:00:00"/>
    <d v="2024-10-15T00:00:00"/>
    <n v="15000"/>
    <x v="3"/>
    <n v="32.637500000000003"/>
    <s v=""/>
    <s v=""/>
    <s v=""/>
  </r>
  <r>
    <x v="245"/>
    <s v="SUP01154"/>
    <x v="4"/>
    <x v="4"/>
    <x v="0"/>
    <d v="2025-02-02T00:00:00"/>
    <n v="96.72"/>
    <s v="No"/>
    <s v="Direct Debit"/>
    <x v="2"/>
    <s v="Telephone"/>
    <x v="23"/>
    <s v="Male"/>
    <n v="48"/>
    <x v="4"/>
    <x v="4"/>
    <s v="Post"/>
    <s v=""/>
    <s v=""/>
    <s v=""/>
    <x v="3"/>
    <s v="Prospects"/>
    <d v="2025-02-01T00:00:00"/>
    <d v="2025-04-30T00:00:00"/>
    <n v="20000"/>
    <x v="4"/>
    <n v="96.72"/>
    <s v=""/>
    <s v=""/>
    <s v=""/>
  </r>
  <r>
    <x v="246"/>
    <s v="SUP01323"/>
    <x v="3"/>
    <x v="3"/>
    <x v="0"/>
    <d v="2024-09-18T00:00:00"/>
    <n v="25.83"/>
    <s v="Yes"/>
    <s v="Debit Card"/>
    <x v="3"/>
    <s v="Telephone"/>
    <x v="30"/>
    <s v="Male"/>
    <n v="76"/>
    <x v="0"/>
    <x v="0"/>
    <s v="Email"/>
    <s v=""/>
    <s v=""/>
    <s v=""/>
    <x v="2"/>
    <s v="All Supporters"/>
    <d v="2024-09-10T00:00:00"/>
    <d v="2024-10-15T00:00:00"/>
    <n v="15000"/>
    <x v="3"/>
    <n v="32.287499999999994"/>
    <s v=""/>
    <s v=""/>
    <s v=""/>
  </r>
  <r>
    <x v="247"/>
    <s v="SUP01391"/>
    <x v="5"/>
    <x v="5"/>
    <x v="2"/>
    <d v="2024-11-22T00:00:00"/>
    <n v="12.91"/>
    <s v="Yes"/>
    <s v="Debit Card"/>
    <x v="5"/>
    <s v="Website"/>
    <x v="9"/>
    <s v="Male"/>
    <n v="62"/>
    <x v="1"/>
    <x v="1"/>
    <s v="Phone"/>
    <s v=""/>
    <s v="Review - prefers phone but not opted in"/>
    <s v=""/>
    <x v="4"/>
    <s v="Volunteers"/>
    <d v="2024-11-22T00:00:00"/>
    <d v="2024-11-22T00:00:00"/>
    <n v="3500"/>
    <x v="3"/>
    <n v="16.137499999999999"/>
    <s v=""/>
    <s v=""/>
    <s v=""/>
  </r>
  <r>
    <x v="248"/>
    <s v="SUP01030"/>
    <x v="9"/>
    <x v="9"/>
    <x v="1"/>
    <d v="2024-07-15T00:00:00"/>
    <n v="458.47"/>
    <s v="Yes"/>
    <s v="Cash"/>
    <x v="0"/>
    <s v="Direct Mail"/>
    <x v="24"/>
    <s v="Male"/>
    <n v="37"/>
    <x v="4"/>
    <x v="4"/>
    <s v="Phone"/>
    <s v=""/>
    <s v="Review - prefers phone but not opted in"/>
    <s v=""/>
    <x v="4"/>
    <s v="Major Donors"/>
    <d v="2024-07-15T00:00:00"/>
    <d v="2024-07-15T00:00:00"/>
    <n v="45000"/>
    <x v="1"/>
    <n v="573.08750000000009"/>
    <s v=""/>
    <s v=""/>
    <s v=""/>
  </r>
  <r>
    <x v="249"/>
    <s v="SUP01081"/>
    <x v="0"/>
    <x v="0"/>
    <x v="4"/>
    <d v="2025-01-13T00:00:00"/>
    <n v="39.299999999999997"/>
    <s v="No"/>
    <s v="Online"/>
    <x v="3"/>
    <s v="Referral"/>
    <x v="29"/>
    <s v="Female"/>
    <n v="54"/>
    <x v="1"/>
    <x v="1"/>
    <s v="Post"/>
    <s v=""/>
    <s v="Review - prefers post but not opted in"/>
    <s v=""/>
    <x v="0"/>
    <s v="One-time Donors"/>
    <d v="2025-01-06T00:00:00"/>
    <d v="2025-03-31T00:00:00"/>
    <n v="10000"/>
    <x v="0"/>
    <n v="39.299999999999997"/>
    <s v=""/>
    <s v=""/>
    <s v=""/>
  </r>
  <r>
    <x v="250"/>
    <s v="SUP01136"/>
    <x v="7"/>
    <x v="7"/>
    <x v="2"/>
    <d v="2025-04-25T00:00:00"/>
    <n v="22.58"/>
    <s v="Yes"/>
    <s v="Debit Card"/>
    <x v="5"/>
    <s v="Event"/>
    <x v="19"/>
    <s v="Male"/>
    <n v="69"/>
    <x v="0"/>
    <x v="0"/>
    <s v="Phone"/>
    <s v=""/>
    <s v=""/>
    <s v=""/>
    <x v="6"/>
    <s v="Regular Givers"/>
    <d v="2025-03-01T00:00:00"/>
    <d v="2025-04-30T00:00:00"/>
    <n v="8000"/>
    <x v="1"/>
    <n v="28.224999999999998"/>
    <s v=""/>
    <s v=""/>
    <s v=""/>
  </r>
  <r>
    <x v="251"/>
    <s v="SUP01126"/>
    <x v="7"/>
    <x v="7"/>
    <x v="2"/>
    <d v="2025-10-03T00:00:00"/>
    <n v="15.42"/>
    <s v="No"/>
    <s v="Direct Debit"/>
    <x v="5"/>
    <s v="Telephone"/>
    <x v="14"/>
    <s v="Female"/>
    <n v="32"/>
    <x v="3"/>
    <x v="3"/>
    <s v="Phone"/>
    <s v=""/>
    <s v=""/>
    <s v=""/>
    <x v="6"/>
    <s v="Regular Givers"/>
    <d v="2025-03-01T00:00:00"/>
    <d v="2025-04-30T00:00:00"/>
    <n v="8000"/>
    <x v="1"/>
    <n v="15.42"/>
    <s v=""/>
    <s v="Review - response outside campaign dates"/>
    <s v=""/>
  </r>
  <r>
    <x v="252"/>
    <s v="SUP01326"/>
    <x v="1"/>
    <x v="1"/>
    <x v="1"/>
    <d v="2024-06-23T00:00:00"/>
    <n v="286.11"/>
    <s v="No"/>
    <s v="Debit Card"/>
    <x v="0"/>
    <s v="Telephone"/>
    <x v="25"/>
    <s v="Male"/>
    <n v="63"/>
    <x v="1"/>
    <x v="1"/>
    <s v="Email"/>
    <s v=""/>
    <s v=""/>
    <s v=""/>
    <x v="1"/>
    <s v="Major Donors"/>
    <d v="2024-06-01T00:00:00"/>
    <d v="2024-06-30T00:00:00"/>
    <n v="7000"/>
    <x v="1"/>
    <n v="286.11"/>
    <s v=""/>
    <s v=""/>
    <s v=""/>
  </r>
  <r>
    <x v="253"/>
    <s v="SUP01308"/>
    <x v="1"/>
    <x v="1"/>
    <x v="1"/>
    <d v="2024-06-05T00:00:00"/>
    <n v="1173.0999999999999"/>
    <s v="Yes"/>
    <s v="Debit Card"/>
    <x v="1"/>
    <s v="Corporate Partner"/>
    <x v="11"/>
    <s v="Female"/>
    <n v="39"/>
    <x v="4"/>
    <x v="4"/>
    <s v="Email"/>
    <s v=""/>
    <s v=""/>
    <s v=""/>
    <x v="1"/>
    <s v="Major Donors"/>
    <d v="2024-06-01T00:00:00"/>
    <d v="2024-06-30T00:00:00"/>
    <n v="7000"/>
    <x v="1"/>
    <n v="1466.375"/>
    <s v=""/>
    <s v=""/>
    <s v=""/>
  </r>
  <r>
    <x v="254"/>
    <s v="SUP01015"/>
    <x v="8"/>
    <x v="8"/>
    <x v="1"/>
    <d v="2024-12-18T00:00:00"/>
    <n v="12.24"/>
    <s v="Yes"/>
    <s v="Online"/>
    <x v="3"/>
    <s v="Direct Mail"/>
    <x v="0"/>
    <s v="Female"/>
    <n v="84"/>
    <x v="0"/>
    <x v="0"/>
    <s v="Email"/>
    <s v=""/>
    <s v=""/>
    <s v=""/>
    <x v="7"/>
    <s v="All Active"/>
    <d v="2024-10-15T00:00:00"/>
    <d v="2024-12-20T00:00:00"/>
    <n v="12000"/>
    <x v="2"/>
    <n v="15.3"/>
    <s v=""/>
    <s v=""/>
    <s v=""/>
  </r>
  <r>
    <x v="255"/>
    <s v="SUP01092"/>
    <x v="3"/>
    <x v="3"/>
    <x v="1"/>
    <d v="2024-10-05T00:00:00"/>
    <n v="83.17"/>
    <s v="No"/>
    <s v="Debit Card"/>
    <x v="2"/>
    <s v="Door-To-Door"/>
    <x v="13"/>
    <s v="Female"/>
    <n v="67"/>
    <x v="0"/>
    <x v="0"/>
    <s v="Phone"/>
    <s v=""/>
    <s v="Review - prefers phone but not opted in"/>
    <s v=""/>
    <x v="2"/>
    <s v="All Supporters"/>
    <d v="2024-09-10T00:00:00"/>
    <d v="2024-10-15T00:00:00"/>
    <n v="15000"/>
    <x v="3"/>
    <n v="83.17"/>
    <s v=""/>
    <s v=""/>
    <s v=""/>
  </r>
  <r>
    <x v="256"/>
    <s v="SUP01314"/>
    <x v="4"/>
    <x v="4"/>
    <x v="0"/>
    <d v="2025-03-16T00:00:00"/>
    <n v="350.92"/>
    <s v="Yes"/>
    <s v="Standing Order"/>
    <x v="0"/>
    <s v="Direct Mail"/>
    <x v="10"/>
    <s v="Male"/>
    <n v="74"/>
    <x v="0"/>
    <x v="0"/>
    <s v="Phone"/>
    <s v=""/>
    <s v="Review - prefers phone but not opted in"/>
    <s v=""/>
    <x v="3"/>
    <s v="Prospects"/>
    <d v="2025-02-01T00:00:00"/>
    <d v="2025-04-30T00:00:00"/>
    <n v="20000"/>
    <x v="4"/>
    <n v="438.65000000000003"/>
    <s v=""/>
    <s v=""/>
    <s v=""/>
  </r>
  <r>
    <x v="257"/>
    <s v="SUP01280"/>
    <x v="2"/>
    <x v="2"/>
    <x v="3"/>
    <d v="2024-11-23T00:00:00"/>
    <n v="321.75"/>
    <s v="No"/>
    <s v="Online"/>
    <x v="0"/>
    <s v="Direct Mail"/>
    <x v="25"/>
    <s v="Male"/>
    <n v="70"/>
    <x v="0"/>
    <x v="0"/>
    <s v="Post"/>
    <s v=""/>
    <s v=""/>
    <s v=""/>
    <x v="2"/>
    <s v="All Active"/>
    <d v="2024-11-01T00:00:00"/>
    <d v="2024-12-31T00:00:00"/>
    <n v="25000"/>
    <x v="2"/>
    <n v="321.75"/>
    <s v=""/>
    <s v=""/>
    <s v=""/>
  </r>
  <r>
    <x v="258"/>
    <s v="SUP01082"/>
    <x v="4"/>
    <x v="4"/>
    <x v="2"/>
    <d v="2025-02-02T00:00:00"/>
    <n v="207.59"/>
    <s v="Yes"/>
    <s v="Cash"/>
    <x v="6"/>
    <s v="Referral"/>
    <x v="26"/>
    <s v="Female"/>
    <n v="60"/>
    <x v="1"/>
    <x v="1"/>
    <s v="Email"/>
    <s v=""/>
    <s v=""/>
    <s v=""/>
    <x v="3"/>
    <s v="Prospects"/>
    <d v="2025-02-01T00:00:00"/>
    <d v="2025-04-30T00:00:00"/>
    <n v="20000"/>
    <x v="4"/>
    <n v="259.48750000000001"/>
    <s v=""/>
    <s v=""/>
    <s v=""/>
  </r>
  <r>
    <x v="259"/>
    <s v="SUP01078"/>
    <x v="4"/>
    <x v="4"/>
    <x v="2"/>
    <d v="2025-02-23T00:00:00"/>
    <n v="230.59"/>
    <s v="Yes"/>
    <s v="PayPal"/>
    <x v="0"/>
    <s v="Event"/>
    <x v="27"/>
    <s v="Female"/>
    <n v="95"/>
    <x v="0"/>
    <x v="0"/>
    <s v="Email"/>
    <s v=""/>
    <s v=""/>
    <s v=""/>
    <x v="3"/>
    <s v="Prospects"/>
    <d v="2025-02-01T00:00:00"/>
    <d v="2025-04-30T00:00:00"/>
    <n v="20000"/>
    <x v="4"/>
    <n v="288.23750000000001"/>
    <s v=""/>
    <s v=""/>
    <s v=""/>
  </r>
  <r>
    <x v="260"/>
    <s v="SUP01493"/>
    <x v="9"/>
    <x v="9"/>
    <x v="2"/>
    <d v="2024-07-15T00:00:00"/>
    <n v="20.55"/>
    <s v="Yes"/>
    <s v="Cheque"/>
    <x v="5"/>
    <s v="Website"/>
    <x v="14"/>
    <s v="Female"/>
    <n v="34"/>
    <x v="3"/>
    <x v="3"/>
    <s v="Email"/>
    <s v=""/>
    <s v="Review - prefers email but not opted in"/>
    <s v=""/>
    <x v="4"/>
    <s v="Major Donors"/>
    <d v="2024-07-15T00:00:00"/>
    <d v="2024-07-15T00:00:00"/>
    <n v="45000"/>
    <x v="1"/>
    <n v="25.6875"/>
    <s v=""/>
    <s v=""/>
    <s v=""/>
  </r>
  <r>
    <x v="261"/>
    <s v="SUP01201"/>
    <x v="3"/>
    <x v="3"/>
    <x v="0"/>
    <d v="2024-09-21T00:00:00"/>
    <n v="27.21"/>
    <s v="No"/>
    <s v="Debit Card"/>
    <x v="6"/>
    <s v="Referral"/>
    <x v="30"/>
    <s v="Female"/>
    <n v="64"/>
    <x v="1"/>
    <x v="1"/>
    <s v="Email"/>
    <s v="Review - duplicate record, see Supporter_Duplicates tab"/>
    <s v=""/>
    <s v=""/>
    <x v="2"/>
    <s v="All Supporters"/>
    <d v="2024-09-10T00:00:00"/>
    <d v="2024-10-15T00:00:00"/>
    <n v="15000"/>
    <x v="3"/>
    <n v="27.21"/>
    <s v=""/>
    <s v=""/>
    <s v=""/>
  </r>
  <r>
    <x v="262"/>
    <s v="SUP01258"/>
    <x v="9"/>
    <x v="9"/>
    <x v="1"/>
    <d v="2024-07-15T00:00:00"/>
    <n v="90.6"/>
    <s v="No"/>
    <s v="Cheque"/>
    <x v="2"/>
    <s v="Corporate Partner"/>
    <x v="32"/>
    <s v="Female"/>
    <n v="77"/>
    <x v="0"/>
    <x v="0"/>
    <s v="Email"/>
    <s v=""/>
    <s v=""/>
    <s v=""/>
    <x v="4"/>
    <s v="Major Donors"/>
    <d v="2024-07-15T00:00:00"/>
    <d v="2024-07-15T00:00:00"/>
    <n v="45000"/>
    <x v="1"/>
    <n v="90.6"/>
    <s v=""/>
    <s v=""/>
    <s v=""/>
  </r>
  <r>
    <x v="263"/>
    <s v="SUP01079"/>
    <x v="5"/>
    <x v="5"/>
    <x v="1"/>
    <d v="2024-11-22T00:00:00"/>
    <n v="1583.28"/>
    <s v="Yes"/>
    <s v="PayPal"/>
    <x v="1"/>
    <s v="Corporate Partner"/>
    <x v="28"/>
    <s v="Male"/>
    <n v="85"/>
    <x v="0"/>
    <x v="0"/>
    <s v="Email"/>
    <s v="Review - duplicate record, see Supporter_Duplicates tab"/>
    <s v=""/>
    <s v=""/>
    <x v="4"/>
    <s v="Volunteers"/>
    <d v="2024-11-22T00:00:00"/>
    <d v="2024-11-22T00:00:00"/>
    <n v="3500"/>
    <x v="3"/>
    <n v="1979.1"/>
    <s v=""/>
    <s v=""/>
    <s v=""/>
  </r>
  <r>
    <x v="264"/>
    <s v="SUP01397"/>
    <x v="7"/>
    <x v="7"/>
    <x v="2"/>
    <d v="2025-04-29T00:00:00"/>
    <n v="72.47"/>
    <s v="No"/>
    <s v="Cheque"/>
    <x v="2"/>
    <s v="Door-To-Door"/>
    <x v="15"/>
    <s v="Male"/>
    <n v="27"/>
    <x v="3"/>
    <x v="3"/>
    <s v="Post"/>
    <s v=""/>
    <s v="Review - prefers post but not opted in"/>
    <s v=""/>
    <x v="6"/>
    <s v="Regular Givers"/>
    <d v="2025-03-01T00:00:00"/>
    <d v="2025-04-30T00:00:00"/>
    <n v="8000"/>
    <x v="1"/>
    <n v="72.47"/>
    <s v=""/>
    <s v=""/>
    <s v=""/>
  </r>
  <r>
    <x v="265"/>
    <s v="SUP01038"/>
    <x v="2"/>
    <x v="2"/>
    <x v="3"/>
    <d v="2024-11-27T00:00:00"/>
    <n v="145.47"/>
    <s v="No"/>
    <s v="Online"/>
    <x v="4"/>
    <s v="Telephone"/>
    <x v="33"/>
    <s v="Female"/>
    <n v="62"/>
    <x v="1"/>
    <x v="1"/>
    <s v="Post"/>
    <s v=""/>
    <s v=""/>
    <s v=""/>
    <x v="2"/>
    <s v="All Active"/>
    <d v="2024-11-01T00:00:00"/>
    <d v="2024-12-31T00:00:00"/>
    <n v="25000"/>
    <x v="2"/>
    <n v="145.47"/>
    <s v=""/>
    <s v=""/>
    <s v=""/>
  </r>
  <r>
    <x v="266"/>
    <s v="SUP01363"/>
    <x v="1"/>
    <x v="1"/>
    <x v="1"/>
    <d v="2024-06-07T00:00:00"/>
    <n v="316.82"/>
    <s v="Yes"/>
    <s v="Credit Card"/>
    <x v="0"/>
    <s v="Direct Mail"/>
    <x v="5"/>
    <s v="Female"/>
    <n v="57"/>
    <x v="1"/>
    <x v="1"/>
    <s v="No Preference"/>
    <s v=""/>
    <s v=""/>
    <s v=""/>
    <x v="1"/>
    <s v="Major Donors"/>
    <d v="2024-06-01T00:00:00"/>
    <d v="2024-06-30T00:00:00"/>
    <n v="7000"/>
    <x v="1"/>
    <n v="396.02499999999998"/>
    <s v=""/>
    <s v=""/>
    <s v=""/>
  </r>
  <r>
    <x v="267"/>
    <s v="SUP01481"/>
    <x v="2"/>
    <x v="2"/>
    <x v="0"/>
    <d v="2024-12-11T00:00:00"/>
    <n v="3208.87"/>
    <s v="Yes"/>
    <s v="Standing Order"/>
    <x v="1"/>
    <s v="Telephone"/>
    <x v="6"/>
    <s v="Male"/>
    <n v="46"/>
    <x v="4"/>
    <x v="4"/>
    <s v="Post"/>
    <s v=""/>
    <s v=""/>
    <s v=""/>
    <x v="2"/>
    <s v="All Active"/>
    <d v="2024-11-01T00:00:00"/>
    <d v="2024-12-31T00:00:00"/>
    <n v="25000"/>
    <x v="2"/>
    <n v="4011.0874999999996"/>
    <s v=""/>
    <s v=""/>
    <s v=""/>
  </r>
  <r>
    <x v="268"/>
    <s v="SUP01194"/>
    <x v="0"/>
    <x v="0"/>
    <x v="1"/>
    <d v="2025-02-12T00:00:00"/>
    <n v="26.64"/>
    <s v="Yes"/>
    <s v="Online"/>
    <x v="3"/>
    <s v="Corporate Partner"/>
    <x v="22"/>
    <s v="Male"/>
    <n v="77"/>
    <x v="0"/>
    <x v="0"/>
    <s v="Post"/>
    <s v=""/>
    <s v=""/>
    <s v=""/>
    <x v="0"/>
    <s v="One-time Donors"/>
    <d v="2025-01-06T00:00:00"/>
    <d v="2025-03-31T00:00:00"/>
    <n v="10000"/>
    <x v="0"/>
    <n v="33.299999999999997"/>
    <s v=""/>
    <s v=""/>
    <s v=""/>
  </r>
  <r>
    <x v="269"/>
    <s v="SUP01415"/>
    <x v="2"/>
    <x v="2"/>
    <x v="1"/>
    <d v="2024-12-02T00:00:00"/>
    <n v="10.5"/>
    <s v="Yes"/>
    <s v="Standing Order"/>
    <x v="5"/>
    <s v="Social Media"/>
    <x v="33"/>
    <s v="Female"/>
    <n v="61"/>
    <x v="1"/>
    <x v="1"/>
    <s v="Email"/>
    <s v=""/>
    <s v=""/>
    <s v=""/>
    <x v="2"/>
    <s v="All Active"/>
    <d v="2024-11-01T00:00:00"/>
    <d v="2024-12-31T00:00:00"/>
    <n v="25000"/>
    <x v="2"/>
    <n v="13.125"/>
    <s v=""/>
    <s v=""/>
    <s v=""/>
  </r>
  <r>
    <x v="270"/>
    <s v="SUP01441"/>
    <x v="5"/>
    <x v="5"/>
    <x v="2"/>
    <d v="2024-11-22T00:00:00"/>
    <n v="14.17"/>
    <s v="No"/>
    <s v="Online"/>
    <x v="5"/>
    <s v="Door-To-Door"/>
    <x v="27"/>
    <s v="Female"/>
    <n v="75"/>
    <x v="0"/>
    <x v="0"/>
    <s v="Email"/>
    <s v=""/>
    <s v=""/>
    <s v=""/>
    <x v="4"/>
    <s v="Volunteers"/>
    <d v="2024-11-22T00:00:00"/>
    <d v="2024-11-22T00:00:00"/>
    <n v="3500"/>
    <x v="3"/>
    <n v="14.17"/>
    <s v=""/>
    <s v=""/>
    <s v=""/>
  </r>
  <r>
    <x v="271"/>
    <s v="SUP01182"/>
    <x v="4"/>
    <x v="4"/>
    <x v="5"/>
    <d v="2025-03-18T00:00:00"/>
    <n v="60.2"/>
    <s v="Yes"/>
    <s v="Standing Order"/>
    <x v="4"/>
    <s v="Website"/>
    <x v="29"/>
    <s v="Male"/>
    <n v="69"/>
    <x v="0"/>
    <x v="0"/>
    <s v="No Preference"/>
    <s v=""/>
    <s v=""/>
    <s v=""/>
    <x v="3"/>
    <s v="Prospects"/>
    <d v="2025-02-01T00:00:00"/>
    <d v="2025-04-30T00:00:00"/>
    <n v="20000"/>
    <x v="4"/>
    <n v="75.25"/>
    <s v=""/>
    <s v=""/>
    <s v=""/>
  </r>
  <r>
    <x v="272"/>
    <s v="SUP01028"/>
    <x v="2"/>
    <x v="2"/>
    <x v="2"/>
    <d v="2024-12-26T00:00:00"/>
    <n v="615.16"/>
    <s v="Yes"/>
    <s v="Online"/>
    <x v="1"/>
    <s v="Website"/>
    <x v="9"/>
    <s v="Male"/>
    <s v=""/>
    <x v="2"/>
    <x v="2"/>
    <s v="Phone"/>
    <s v=""/>
    <s v=""/>
    <s v="Review - missing DOB"/>
    <x v="2"/>
    <s v="All Active"/>
    <d v="2024-11-01T00:00:00"/>
    <d v="2024-12-31T00:00:00"/>
    <n v="25000"/>
    <x v="2"/>
    <n v="768.94999999999993"/>
    <s v=""/>
    <s v=""/>
    <s v=""/>
  </r>
  <r>
    <x v="273"/>
    <s v="SUP01448"/>
    <x v="9"/>
    <x v="9"/>
    <x v="2"/>
    <d v="2024-07-15T00:00:00"/>
    <n v="40.22"/>
    <s v="Yes"/>
    <s v="Credit Card"/>
    <x v="3"/>
    <s v="Website"/>
    <x v="30"/>
    <s v="Female"/>
    <n v="71"/>
    <x v="0"/>
    <x v="0"/>
    <s v="Email"/>
    <s v=""/>
    <s v=""/>
    <s v=""/>
    <x v="4"/>
    <s v="Major Donors"/>
    <d v="2024-07-15T00:00:00"/>
    <d v="2024-07-15T00:00:00"/>
    <n v="45000"/>
    <x v="1"/>
    <n v="50.274999999999999"/>
    <s v=""/>
    <s v=""/>
    <s v=""/>
  </r>
  <r>
    <x v="274"/>
    <s v="SUP01326"/>
    <x v="4"/>
    <x v="4"/>
    <x v="2"/>
    <d v="2025-03-06T00:00:00"/>
    <n v="167.67"/>
    <s v="Yes"/>
    <s v="Online"/>
    <x v="0"/>
    <s v="Telephone"/>
    <x v="25"/>
    <s v="Male"/>
    <n v="63"/>
    <x v="1"/>
    <x v="1"/>
    <s v="Email"/>
    <s v=""/>
    <s v=""/>
    <s v=""/>
    <x v="3"/>
    <s v="Prospects"/>
    <d v="2025-02-01T00:00:00"/>
    <d v="2025-04-30T00:00:00"/>
    <n v="20000"/>
    <x v="4"/>
    <n v="209.58749999999998"/>
    <s v=""/>
    <s v=""/>
    <s v=""/>
  </r>
  <r>
    <x v="275"/>
    <s v="SUP01369"/>
    <x v="9"/>
    <x v="9"/>
    <x v="2"/>
    <d v="2024-07-15T00:00:00"/>
    <n v="4767.12"/>
    <s v="Yes"/>
    <s v="PayPal"/>
    <x v="1"/>
    <s v="Website"/>
    <x v="8"/>
    <s v="Male"/>
    <n v="31"/>
    <x v="3"/>
    <x v="3"/>
    <s v="No Preference"/>
    <s v=""/>
    <s v=""/>
    <s v=""/>
    <x v="4"/>
    <s v="Major Donors"/>
    <d v="2024-07-15T00:00:00"/>
    <d v="2024-07-15T00:00:00"/>
    <n v="45000"/>
    <x v="1"/>
    <n v="5958.9"/>
    <s v=""/>
    <s v=""/>
    <s v=""/>
  </r>
  <r>
    <x v="276"/>
    <s v="SUP01486"/>
    <x v="6"/>
    <x v="6"/>
    <x v="1"/>
    <d v="2024-10-07T00:00:00"/>
    <n v="118.4"/>
    <s v="Yes"/>
    <s v="Cheque"/>
    <x v="6"/>
    <s v="Event"/>
    <x v="24"/>
    <s v="Female"/>
    <n v="81"/>
    <x v="0"/>
    <x v="0"/>
    <s v="Email"/>
    <s v=""/>
    <s v="Review - prefers email but not opted in"/>
    <s v=""/>
    <x v="5"/>
    <s v="Over 55s"/>
    <d v="2024-10-07T00:00:00"/>
    <d v="2024-10-13T00:00:00"/>
    <n v="5000"/>
    <x v="1"/>
    <n v="148"/>
    <s v=""/>
    <s v=""/>
    <s v=""/>
  </r>
  <r>
    <x v="277"/>
    <s v="SUP01425"/>
    <x v="0"/>
    <x v="0"/>
    <x v="4"/>
    <d v="2025-03-22T00:00:00"/>
    <n v="61.09"/>
    <s v="No"/>
    <s v="PayPal"/>
    <x v="6"/>
    <s v="Social Media"/>
    <x v="29"/>
    <s v="Male"/>
    <n v="42"/>
    <x v="4"/>
    <x v="4"/>
    <s v="No Preference"/>
    <s v=""/>
    <s v=""/>
    <s v=""/>
    <x v="0"/>
    <s v="One-time Donors"/>
    <d v="2025-01-06T00:00:00"/>
    <d v="2025-03-31T00:00:00"/>
    <n v="10000"/>
    <x v="0"/>
    <n v="61.09"/>
    <s v=""/>
    <s v=""/>
    <s v=""/>
  </r>
  <r>
    <x v="278"/>
    <s v="SUP01359"/>
    <x v="2"/>
    <x v="2"/>
    <x v="1"/>
    <d v="2024-11-27T00:00:00"/>
    <n v="278.77999999999997"/>
    <s v="Yes"/>
    <s v="Debit Card"/>
    <x v="1"/>
    <s v="Telephone"/>
    <x v="23"/>
    <s v="Female"/>
    <n v="78"/>
    <x v="0"/>
    <x v="0"/>
    <s v="Post"/>
    <s v=""/>
    <s v=""/>
    <s v=""/>
    <x v="2"/>
    <s v="All Active"/>
    <d v="2024-11-01T00:00:00"/>
    <d v="2024-12-31T00:00:00"/>
    <n v="25000"/>
    <x v="2"/>
    <n v="348.47499999999997"/>
    <s v=""/>
    <s v=""/>
    <s v=""/>
  </r>
  <r>
    <x v="279"/>
    <s v="SUP01033"/>
    <x v="1"/>
    <x v="1"/>
    <x v="1"/>
    <d v="2024-06-10T00:00:00"/>
    <n v="88"/>
    <s v="Yes"/>
    <s v="Direct Debit"/>
    <x v="6"/>
    <s v="Referral"/>
    <x v="19"/>
    <s v="Female"/>
    <n v="60"/>
    <x v="1"/>
    <x v="1"/>
    <s v="Post"/>
    <s v=""/>
    <s v="Review - prefers post but not opted in"/>
    <s v=""/>
    <x v="1"/>
    <s v="Major Donors"/>
    <d v="2024-06-01T00:00:00"/>
    <d v="2024-06-30T00:00:00"/>
    <n v="7000"/>
    <x v="1"/>
    <n v="110"/>
    <s v=""/>
    <s v=""/>
    <s v=""/>
  </r>
  <r>
    <x v="280"/>
    <s v="SUP01225"/>
    <x v="5"/>
    <x v="5"/>
    <x v="2"/>
    <d v="2024-11-22T00:00:00"/>
    <n v="9.57"/>
    <s v="No"/>
    <s v="Debit Card"/>
    <x v="3"/>
    <s v="Door-To-Door"/>
    <x v="28"/>
    <s v="Female"/>
    <n v="56"/>
    <x v="1"/>
    <x v="1"/>
    <s v="Email"/>
    <s v=""/>
    <s v=""/>
    <s v=""/>
    <x v="4"/>
    <s v="Volunteers"/>
    <d v="2024-11-22T00:00:00"/>
    <d v="2024-11-22T00:00:00"/>
    <n v="3500"/>
    <x v="3"/>
    <n v="9.57"/>
    <s v=""/>
    <s v=""/>
    <s v=""/>
  </r>
  <r>
    <x v="281"/>
    <s v="SUP01377"/>
    <x v="0"/>
    <x v="0"/>
    <x v="0"/>
    <d v="2025-03-13T00:00:00"/>
    <n v="86.73"/>
    <s v="Yes"/>
    <s v="Cheque"/>
    <x v="2"/>
    <s v="Corporate Partner"/>
    <x v="27"/>
    <s v="Male"/>
    <n v="52"/>
    <x v="1"/>
    <x v="1"/>
    <s v="Email"/>
    <s v=""/>
    <s v=""/>
    <s v=""/>
    <x v="0"/>
    <s v="One-time Donors"/>
    <d v="2025-01-06T00:00:00"/>
    <d v="2025-03-31T00:00:00"/>
    <n v="10000"/>
    <x v="0"/>
    <n v="108.41250000000001"/>
    <s v=""/>
    <s v=""/>
    <s v=""/>
  </r>
  <r>
    <x v="282"/>
    <s v="SUP01247"/>
    <x v="2"/>
    <x v="2"/>
    <x v="2"/>
    <d v="2024-11-28T00:00:00"/>
    <n v="48.3"/>
    <s v="No"/>
    <s v="Cheque"/>
    <x v="3"/>
    <s v="Direct Mail"/>
    <x v="18"/>
    <s v="Male"/>
    <n v="27"/>
    <x v="3"/>
    <x v="3"/>
    <s v="Phone"/>
    <s v=""/>
    <s v=""/>
    <s v=""/>
    <x v="2"/>
    <s v="All Active"/>
    <d v="2024-11-01T00:00:00"/>
    <d v="2024-12-31T00:00:00"/>
    <n v="25000"/>
    <x v="2"/>
    <n v="48.3"/>
    <s v=""/>
    <s v=""/>
    <s v=""/>
  </r>
  <r>
    <x v="283"/>
    <s v="SUP01062"/>
    <x v="5"/>
    <x v="5"/>
    <x v="2"/>
    <d v="2024-11-22T00:00:00"/>
    <n v="79.180000000000007"/>
    <s v="Yes"/>
    <s v="Standing Order"/>
    <x v="2"/>
    <s v="Direct Mail"/>
    <x v="14"/>
    <s v="Female"/>
    <n v="59"/>
    <x v="1"/>
    <x v="1"/>
    <s v="Phone"/>
    <s v=""/>
    <s v=""/>
    <s v=""/>
    <x v="4"/>
    <s v="Volunteers"/>
    <d v="2024-11-22T00:00:00"/>
    <d v="2024-11-22T00:00:00"/>
    <n v="3500"/>
    <x v="3"/>
    <n v="98.975000000000009"/>
    <s v=""/>
    <s v=""/>
    <s v=""/>
  </r>
  <r>
    <x v="284"/>
    <s v="SUP01248"/>
    <x v="7"/>
    <x v="7"/>
    <x v="1"/>
    <d v="2025-03-30T00:00:00"/>
    <n v="25.83"/>
    <s v="No"/>
    <s v="Direct Debit"/>
    <x v="3"/>
    <s v="Event"/>
    <x v="7"/>
    <s v="Female"/>
    <n v="59"/>
    <x v="1"/>
    <x v="1"/>
    <s v="No Preference"/>
    <s v=""/>
    <s v=""/>
    <s v=""/>
    <x v="6"/>
    <s v="Regular Givers"/>
    <d v="2025-03-01T00:00:00"/>
    <d v="2025-04-30T00:00:00"/>
    <n v="8000"/>
    <x v="1"/>
    <n v="25.83"/>
    <s v=""/>
    <s v=""/>
    <s v=""/>
  </r>
  <r>
    <x v="285"/>
    <s v="SUP01195"/>
    <x v="5"/>
    <x v="5"/>
    <x v="1"/>
    <d v="2024-11-22T00:00:00"/>
    <n v="20.309999999999999"/>
    <s v="Yes"/>
    <s v="Debit Card"/>
    <x v="5"/>
    <s v="Referral"/>
    <x v="5"/>
    <s v="Female"/>
    <s v=""/>
    <x v="2"/>
    <x v="2"/>
    <s v="No Preference"/>
    <s v=""/>
    <s v=""/>
    <s v="Review - missing DOB"/>
    <x v="4"/>
    <s v="Volunteers"/>
    <d v="2024-11-22T00:00:00"/>
    <d v="2024-11-22T00:00:00"/>
    <n v="3500"/>
    <x v="3"/>
    <n v="25.387499999999999"/>
    <s v=""/>
    <s v=""/>
    <s v=""/>
  </r>
  <r>
    <x v="286"/>
    <s v="SUP01176"/>
    <x v="2"/>
    <x v="2"/>
    <x v="2"/>
    <d v="2024-12-28T00:00:00"/>
    <n v="440.09"/>
    <s v="Yes"/>
    <s v="Standing Order"/>
    <x v="0"/>
    <s v="Referral"/>
    <x v="9"/>
    <s v="Male"/>
    <n v="67"/>
    <x v="0"/>
    <x v="0"/>
    <s v="Post"/>
    <s v=""/>
    <s v=""/>
    <s v=""/>
    <x v="2"/>
    <s v="All Active"/>
    <d v="2024-11-01T00:00:00"/>
    <d v="2024-12-31T00:00:00"/>
    <n v="25000"/>
    <x v="2"/>
    <n v="550.11249999999995"/>
    <s v=""/>
    <s v=""/>
    <s v=""/>
  </r>
  <r>
    <x v="287"/>
    <s v="SUP01440"/>
    <x v="0"/>
    <x v="0"/>
    <x v="4"/>
    <d v="2025-02-14T00:00:00"/>
    <n v="116.8"/>
    <s v="Yes"/>
    <s v="Cash"/>
    <x v="4"/>
    <s v="Corporate Partner"/>
    <x v="3"/>
    <s v="Male"/>
    <n v="32"/>
    <x v="3"/>
    <x v="3"/>
    <s v="Email"/>
    <s v=""/>
    <s v=""/>
    <s v=""/>
    <x v="0"/>
    <s v="One-time Donors"/>
    <d v="2025-01-06T00:00:00"/>
    <d v="2025-03-31T00:00:00"/>
    <n v="10000"/>
    <x v="0"/>
    <n v="146"/>
    <s v=""/>
    <s v=""/>
    <s v=""/>
  </r>
  <r>
    <x v="288"/>
    <s v="SUP01428"/>
    <x v="8"/>
    <x v="8"/>
    <x v="0"/>
    <d v="2024-11-15T00:00:00"/>
    <n v="279.39999999999998"/>
    <s v="No"/>
    <s v="Debit Card"/>
    <x v="1"/>
    <s v="Corporate Partner"/>
    <x v="21"/>
    <s v="Female"/>
    <n v="67"/>
    <x v="0"/>
    <x v="0"/>
    <s v="Email"/>
    <s v=""/>
    <s v="Review - prefers email but not opted in"/>
    <s v=""/>
    <x v="7"/>
    <s v="All Active"/>
    <d v="2024-10-15T00:00:00"/>
    <d v="2024-12-20T00:00:00"/>
    <n v="12000"/>
    <x v="2"/>
    <n v="279.39999999999998"/>
    <s v=""/>
    <s v=""/>
    <s v=""/>
  </r>
  <r>
    <x v="289"/>
    <s v="SUP01103"/>
    <x v="5"/>
    <x v="5"/>
    <x v="2"/>
    <d v="2024-11-22T00:00:00"/>
    <n v="23.95"/>
    <s v="No"/>
    <s v="PayPal"/>
    <x v="3"/>
    <s v="Website"/>
    <x v="13"/>
    <s v="Female"/>
    <n v="68"/>
    <x v="0"/>
    <x v="0"/>
    <s v="Post"/>
    <s v=""/>
    <s v=""/>
    <s v=""/>
    <x v="4"/>
    <s v="Volunteers"/>
    <d v="2024-11-22T00:00:00"/>
    <d v="2024-11-22T00:00:00"/>
    <n v="3500"/>
    <x v="3"/>
    <n v="23.95"/>
    <s v=""/>
    <s v=""/>
    <s v=""/>
  </r>
  <r>
    <x v="290"/>
    <s v="SUP01439"/>
    <x v="7"/>
    <x v="7"/>
    <x v="2"/>
    <d v="2025-03-27T00:00:00"/>
    <n v="20.94"/>
    <s v="No"/>
    <s v="Online"/>
    <x v="3"/>
    <s v="Website"/>
    <x v="23"/>
    <s v="Female"/>
    <n v="41"/>
    <x v="4"/>
    <x v="4"/>
    <s v="Email"/>
    <s v=""/>
    <s v="Review - prefers email but not opted in"/>
    <s v=""/>
    <x v="6"/>
    <s v="Regular Givers"/>
    <d v="2025-03-01T00:00:00"/>
    <d v="2025-04-30T00:00:00"/>
    <n v="8000"/>
    <x v="1"/>
    <n v="20.94"/>
    <s v=""/>
    <s v=""/>
    <s v=""/>
  </r>
  <r>
    <x v="291"/>
    <s v="SUP01273"/>
    <x v="4"/>
    <x v="4"/>
    <x v="2"/>
    <d v="2025-04-21T00:00:00"/>
    <n v="85.36"/>
    <s v="No"/>
    <s v="Credit Card"/>
    <x v="4"/>
    <s v="Door-To-Door"/>
    <x v="10"/>
    <s v="Male"/>
    <n v="87"/>
    <x v="0"/>
    <x v="0"/>
    <s v="Email"/>
    <s v=""/>
    <s v=""/>
    <s v=""/>
    <x v="3"/>
    <s v="Prospects"/>
    <d v="2025-02-01T00:00:00"/>
    <d v="2025-04-30T00:00:00"/>
    <n v="20000"/>
    <x v="4"/>
    <n v="85.36"/>
    <s v=""/>
    <s v=""/>
    <s v=""/>
  </r>
  <r>
    <x v="292"/>
    <s v="SUP01150"/>
    <x v="3"/>
    <x v="3"/>
    <x v="0"/>
    <d v="2024-10-11T00:00:00"/>
    <n v="63.41"/>
    <s v="No"/>
    <s v="Debit Card"/>
    <x v="6"/>
    <s v="Website"/>
    <x v="1"/>
    <s v="Male"/>
    <n v="74"/>
    <x v="0"/>
    <x v="0"/>
    <s v="Email"/>
    <s v=""/>
    <s v=""/>
    <s v=""/>
    <x v="2"/>
    <s v="All Supporters"/>
    <d v="2024-09-10T00:00:00"/>
    <d v="2024-10-15T00:00:00"/>
    <n v="15000"/>
    <x v="3"/>
    <n v="63.41"/>
    <s v=""/>
    <s v=""/>
    <s v=""/>
  </r>
  <r>
    <x v="293"/>
    <s v="SUP01336"/>
    <x v="8"/>
    <x v="8"/>
    <x v="2"/>
    <d v="2024-10-27T00:00:00"/>
    <n v="63.92"/>
    <s v="Yes"/>
    <s v="Standing Order"/>
    <x v="2"/>
    <s v="Social Media"/>
    <x v="6"/>
    <s v="Male"/>
    <n v="64"/>
    <x v="1"/>
    <x v="1"/>
    <s v="Post"/>
    <s v=""/>
    <s v=""/>
    <s v=""/>
    <x v="7"/>
    <s v="All Active"/>
    <d v="2024-10-15T00:00:00"/>
    <d v="2024-12-20T00:00:00"/>
    <n v="12000"/>
    <x v="2"/>
    <n v="79.900000000000006"/>
    <s v=""/>
    <s v=""/>
    <s v=""/>
  </r>
  <r>
    <x v="294"/>
    <s v="SUP01462"/>
    <x v="0"/>
    <x v="0"/>
    <x v="1"/>
    <d v="2025-03-17T00:00:00"/>
    <n v="81.040000000000006"/>
    <s v="Yes"/>
    <s v="Credit Card"/>
    <x v="4"/>
    <s v="Event"/>
    <x v="30"/>
    <s v="Female"/>
    <n v="76"/>
    <x v="0"/>
    <x v="0"/>
    <s v="No Preference"/>
    <s v=""/>
    <s v=""/>
    <s v=""/>
    <x v="0"/>
    <s v="One-time Donors"/>
    <d v="2025-01-06T00:00:00"/>
    <d v="2025-03-31T00:00:00"/>
    <n v="10000"/>
    <x v="0"/>
    <n v="101.30000000000001"/>
    <s v=""/>
    <s v=""/>
    <s v=""/>
  </r>
  <r>
    <x v="295"/>
    <s v="SUP01249"/>
    <x v="3"/>
    <x v="3"/>
    <x v="3"/>
    <d v="2024-10-13T00:00:00"/>
    <n v="110.79"/>
    <s v="Yes"/>
    <s v="Cheque"/>
    <x v="4"/>
    <s v="Website"/>
    <x v="6"/>
    <s v="Female"/>
    <n v="71"/>
    <x v="0"/>
    <x v="0"/>
    <s v="Email"/>
    <s v=""/>
    <s v="Review - prefers email but not opted in"/>
    <s v=""/>
    <x v="2"/>
    <s v="All Supporters"/>
    <d v="2024-09-10T00:00:00"/>
    <d v="2024-10-15T00:00:00"/>
    <n v="15000"/>
    <x v="3"/>
    <n v="138.48750000000001"/>
    <s v=""/>
    <s v=""/>
    <s v=""/>
  </r>
  <r>
    <x v="296"/>
    <s v="SUP01154"/>
    <x v="3"/>
    <x v="3"/>
    <x v="0"/>
    <d v="2024-09-16T00:00:00"/>
    <n v="56.3"/>
    <s v="Yes"/>
    <s v="Online"/>
    <x v="2"/>
    <s v="Telephone"/>
    <x v="23"/>
    <s v="Male"/>
    <n v="48"/>
    <x v="4"/>
    <x v="4"/>
    <s v="Post"/>
    <s v=""/>
    <s v=""/>
    <s v=""/>
    <x v="2"/>
    <s v="All Supporters"/>
    <d v="2024-09-10T00:00:00"/>
    <d v="2024-10-15T00:00:00"/>
    <n v="15000"/>
    <x v="3"/>
    <n v="70.375"/>
    <s v=""/>
    <s v=""/>
    <s v=""/>
  </r>
  <r>
    <x v="297"/>
    <s v="SUP01418"/>
    <x v="9"/>
    <x v="9"/>
    <x v="2"/>
    <d v="2024-07-15T00:00:00"/>
    <n v="4472.1400000000003"/>
    <s v="Yes"/>
    <s v="Online"/>
    <x v="1"/>
    <s v="Referral"/>
    <x v="3"/>
    <s v="Female"/>
    <n v="41"/>
    <x v="4"/>
    <x v="4"/>
    <s v="Post"/>
    <s v=""/>
    <s v=""/>
    <s v=""/>
    <x v="4"/>
    <s v="Major Donors"/>
    <d v="2024-07-15T00:00:00"/>
    <d v="2024-07-15T00:00:00"/>
    <n v="45000"/>
    <x v="1"/>
    <n v="5590.1750000000002"/>
    <s v=""/>
    <s v=""/>
    <s v=""/>
  </r>
  <r>
    <x v="298"/>
    <s v="SUP01423"/>
    <x v="1"/>
    <x v="1"/>
    <x v="1"/>
    <d v="2024-06-13T00:00:00"/>
    <n v="39.44"/>
    <s v="Yes"/>
    <s v="Credit Card"/>
    <x v="2"/>
    <s v="Website"/>
    <x v="29"/>
    <s v="Male"/>
    <n v="38"/>
    <x v="4"/>
    <x v="4"/>
    <s v="No Preference"/>
    <s v=""/>
    <s v=""/>
    <s v=""/>
    <x v="1"/>
    <s v="Major Donors"/>
    <d v="2024-06-01T00:00:00"/>
    <d v="2024-06-30T00:00:00"/>
    <n v="7000"/>
    <x v="1"/>
    <n v="49.3"/>
    <s v=""/>
    <s v=""/>
    <s v=""/>
  </r>
  <r>
    <x v="299"/>
    <s v="SUP01199"/>
    <x v="5"/>
    <x v="5"/>
    <x v="2"/>
    <d v="2024-11-22T00:00:00"/>
    <n v="216.79"/>
    <s v="Yes"/>
    <s v="Online"/>
    <x v="1"/>
    <s v="Door-To-Door"/>
    <x v="7"/>
    <s v="Female"/>
    <n v="68"/>
    <x v="0"/>
    <x v="0"/>
    <s v="Post"/>
    <s v=""/>
    <s v=""/>
    <s v=""/>
    <x v="4"/>
    <s v="Volunteers"/>
    <d v="2024-11-22T00:00:00"/>
    <d v="2024-11-22T00:00:00"/>
    <n v="3500"/>
    <x v="3"/>
    <n v="270.98750000000001"/>
    <s v=""/>
    <s v=""/>
    <s v=""/>
  </r>
  <r>
    <x v="300"/>
    <s v="SUP01137"/>
    <x v="9"/>
    <x v="9"/>
    <x v="2"/>
    <d v="2024-07-15T00:00:00"/>
    <n v="10.36"/>
    <s v="Yes"/>
    <s v="Credit Card"/>
    <x v="3"/>
    <s v="Corporate Partner"/>
    <x v="12"/>
    <s v="Female"/>
    <n v="79"/>
    <x v="0"/>
    <x v="0"/>
    <s v="Email"/>
    <s v=""/>
    <s v="Review - prefers email but not opted in"/>
    <s v=""/>
    <x v="4"/>
    <s v="Major Donors"/>
    <d v="2024-07-15T00:00:00"/>
    <d v="2024-07-15T00:00:00"/>
    <n v="45000"/>
    <x v="1"/>
    <n v="12.95"/>
    <s v=""/>
    <s v=""/>
    <s v=""/>
  </r>
  <r>
    <x v="301"/>
    <s v="SUP01203"/>
    <x v="1"/>
    <x v="1"/>
    <x v="1"/>
    <d v="2024-06-16T00:00:00"/>
    <n v="67.77"/>
    <s v="Yes"/>
    <s v="Online"/>
    <x v="4"/>
    <s v="Website"/>
    <x v="5"/>
    <s v="Male"/>
    <n v="60"/>
    <x v="1"/>
    <x v="1"/>
    <s v="Email"/>
    <s v=""/>
    <s v=""/>
    <s v=""/>
    <x v="1"/>
    <s v="Major Donors"/>
    <d v="2024-06-01T00:00:00"/>
    <d v="2024-06-30T00:00:00"/>
    <n v="7000"/>
    <x v="1"/>
    <n v="84.712499999999991"/>
    <s v=""/>
    <s v=""/>
    <s v=""/>
  </r>
  <r>
    <x v="302"/>
    <s v="SUP01049"/>
    <x v="8"/>
    <x v="8"/>
    <x v="1"/>
    <d v="2024-10-26T00:00:00"/>
    <n v="231.55"/>
    <s v="Yes"/>
    <s v="Debit Card"/>
    <x v="6"/>
    <s v="Website"/>
    <x v="30"/>
    <s v="Female"/>
    <n v="72"/>
    <x v="0"/>
    <x v="0"/>
    <s v="Email"/>
    <s v=""/>
    <s v=""/>
    <s v=""/>
    <x v="7"/>
    <s v="All Active"/>
    <d v="2024-10-15T00:00:00"/>
    <d v="2024-12-20T00:00:00"/>
    <n v="12000"/>
    <x v="2"/>
    <n v="289.4375"/>
    <s v=""/>
    <s v=""/>
    <s v=""/>
  </r>
  <r>
    <x v="303"/>
    <s v="SUP01166"/>
    <x v="6"/>
    <x v="6"/>
    <x v="1"/>
    <d v="2024-10-13T00:00:00"/>
    <n v="65.97"/>
    <s v="Yes"/>
    <s v="Direct Debit"/>
    <x v="2"/>
    <s v="Event"/>
    <x v="32"/>
    <s v="Male"/>
    <n v="37"/>
    <x v="4"/>
    <x v="4"/>
    <s v="Email"/>
    <s v=""/>
    <s v=""/>
    <s v=""/>
    <x v="5"/>
    <s v="Over 55s"/>
    <d v="2024-10-07T00:00:00"/>
    <d v="2024-10-13T00:00:00"/>
    <n v="5000"/>
    <x v="1"/>
    <n v="82.462500000000006"/>
    <s v=""/>
    <s v=""/>
    <s v=""/>
  </r>
  <r>
    <x v="304"/>
    <s v="SUP01207"/>
    <x v="0"/>
    <x v="0"/>
    <x v="1"/>
    <d v="2025-01-19T00:00:00"/>
    <n v="24.16"/>
    <s v="No"/>
    <s v="Cash"/>
    <x v="5"/>
    <s v="Event"/>
    <x v="10"/>
    <s v="Male"/>
    <n v="29"/>
    <x v="3"/>
    <x v="3"/>
    <s v="Email"/>
    <s v=""/>
    <s v="Review - prefers email but not opted in"/>
    <s v=""/>
    <x v="0"/>
    <s v="One-time Donors"/>
    <d v="2025-01-06T00:00:00"/>
    <d v="2025-03-31T00:00:00"/>
    <n v="10000"/>
    <x v="0"/>
    <n v="24.16"/>
    <s v=""/>
    <s v=""/>
    <s v=""/>
  </r>
  <r>
    <x v="305"/>
    <s v="SUP01265"/>
    <x v="3"/>
    <x v="3"/>
    <x v="0"/>
    <d v="2024-07-10T00:00:00"/>
    <n v="14.78"/>
    <s v="No"/>
    <s v="Online"/>
    <x v="5"/>
    <s v="Corporate Partner"/>
    <x v="29"/>
    <s v="Female"/>
    <n v="52"/>
    <x v="1"/>
    <x v="1"/>
    <s v="Email"/>
    <s v=""/>
    <s v=""/>
    <s v=""/>
    <x v="2"/>
    <s v="All Supporters"/>
    <d v="2024-09-10T00:00:00"/>
    <d v="2024-10-15T00:00:00"/>
    <n v="15000"/>
    <x v="3"/>
    <n v="14.78"/>
    <s v=""/>
    <s v="Review - response outside campaign dates"/>
    <s v=""/>
  </r>
  <r>
    <x v="306"/>
    <s v="SUP01164"/>
    <x v="9"/>
    <x v="9"/>
    <x v="1"/>
    <d v="2024-07-15T00:00:00"/>
    <n v="8.32"/>
    <s v="Yes"/>
    <s v="PayPal"/>
    <x v="3"/>
    <s v="Social Media"/>
    <x v="34"/>
    <s v="Male"/>
    <n v="71"/>
    <x v="0"/>
    <x v="0"/>
    <s v="Email"/>
    <s v=""/>
    <s v=""/>
    <s v=""/>
    <x v="4"/>
    <s v="Major Donors"/>
    <d v="2024-07-15T00:00:00"/>
    <d v="2024-07-15T00:00:00"/>
    <n v="45000"/>
    <x v="1"/>
    <n v="10.4"/>
    <s v=""/>
    <s v=""/>
    <s v=""/>
  </r>
  <r>
    <x v="307"/>
    <s v="SUP01127"/>
    <x v="3"/>
    <x v="3"/>
    <x v="3"/>
    <d v="2024-10-09T00:00:00"/>
    <n v="26.02"/>
    <s v="Yes"/>
    <s v="Cheque"/>
    <x v="2"/>
    <s v="Telephone"/>
    <x v="11"/>
    <s v="Male"/>
    <n v="30"/>
    <x v="3"/>
    <x v="3"/>
    <s v="Phone"/>
    <s v=""/>
    <s v=""/>
    <s v=""/>
    <x v="2"/>
    <s v="All Supporters"/>
    <d v="2024-09-10T00:00:00"/>
    <d v="2024-10-15T00:00:00"/>
    <n v="15000"/>
    <x v="3"/>
    <n v="32.524999999999999"/>
    <s v=""/>
    <s v=""/>
    <s v=""/>
  </r>
  <r>
    <x v="308"/>
    <s v="SUP01482"/>
    <x v="4"/>
    <x v="4"/>
    <x v="0"/>
    <d v="2025-03-14T00:00:00"/>
    <n v="72.069999999999993"/>
    <s v="Yes"/>
    <s v="Direct Debit"/>
    <x v="4"/>
    <s v="Door-To-Door"/>
    <x v="19"/>
    <s v="Male"/>
    <n v="33"/>
    <x v="3"/>
    <x v="3"/>
    <s v="Phone"/>
    <s v=""/>
    <s v=""/>
    <s v=""/>
    <x v="3"/>
    <s v="Prospects"/>
    <d v="2025-02-01T00:00:00"/>
    <d v="2025-04-30T00:00:00"/>
    <n v="20000"/>
    <x v="4"/>
    <n v="90.087499999999991"/>
    <s v=""/>
    <s v=""/>
    <s v=""/>
  </r>
  <r>
    <x v="309"/>
    <s v="SUP01197"/>
    <x v="0"/>
    <x v="0"/>
    <x v="0"/>
    <d v="2025-01-08T00:00:00"/>
    <n v="57.79"/>
    <s v="Yes"/>
    <s v="Debit Card"/>
    <x v="2"/>
    <s v="Direct Mail"/>
    <x v="33"/>
    <s v="Female"/>
    <n v="58"/>
    <x v="1"/>
    <x v="1"/>
    <s v="Post"/>
    <s v=""/>
    <s v="Review - prefers post but not opted in"/>
    <s v=""/>
    <x v="0"/>
    <s v="One-time Donors"/>
    <d v="2025-01-06T00:00:00"/>
    <d v="2025-03-31T00:00:00"/>
    <n v="10000"/>
    <x v="0"/>
    <n v="72.237499999999997"/>
    <s v=""/>
    <s v=""/>
    <s v=""/>
  </r>
  <r>
    <x v="310"/>
    <s v="SUP01100"/>
    <x v="7"/>
    <x v="7"/>
    <x v="1"/>
    <d v="2025-04-07T00:00:00"/>
    <n v="22.44"/>
    <s v="No"/>
    <s v="Cheque"/>
    <x v="5"/>
    <s v="Social Media"/>
    <x v="23"/>
    <s v="Male"/>
    <s v=""/>
    <x v="2"/>
    <x v="2"/>
    <s v="Email"/>
    <s v=""/>
    <s v=""/>
    <s v="Review - missing DOB"/>
    <x v="6"/>
    <s v="Regular Givers"/>
    <d v="2025-03-01T00:00:00"/>
    <d v="2025-04-30T00:00:00"/>
    <n v="8000"/>
    <x v="1"/>
    <n v="22.44"/>
    <s v=""/>
    <s v=""/>
    <s v=""/>
  </r>
  <r>
    <x v="311"/>
    <s v="SUP01186"/>
    <x v="4"/>
    <x v="4"/>
    <x v="0"/>
    <d v="2025-04-26T00:00:00"/>
    <n v="9.1999999999999993"/>
    <s v="No"/>
    <s v="Online"/>
    <x v="3"/>
    <s v="Direct Mail"/>
    <x v="8"/>
    <s v="Male"/>
    <s v=""/>
    <x v="2"/>
    <x v="2"/>
    <s v="No Preference"/>
    <s v=""/>
    <s v=""/>
    <s v="Review - missing DOB"/>
    <x v="3"/>
    <s v="Prospects"/>
    <d v="2025-02-01T00:00:00"/>
    <d v="2025-04-30T00:00:00"/>
    <n v="20000"/>
    <x v="4"/>
    <n v="9.1999999999999993"/>
    <s v=""/>
    <s v=""/>
    <s v=""/>
  </r>
  <r>
    <x v="312"/>
    <s v="SUP01050"/>
    <x v="8"/>
    <x v="8"/>
    <x v="0"/>
    <d v="2024-11-19T00:00:00"/>
    <n v="52.56"/>
    <s v="No"/>
    <s v="Debit Card"/>
    <x v="2"/>
    <s v="Social Media"/>
    <x v="14"/>
    <s v="Male"/>
    <n v="40"/>
    <x v="4"/>
    <x v="4"/>
    <s v="Post"/>
    <s v=""/>
    <s v=""/>
    <s v=""/>
    <x v="7"/>
    <s v="All Active"/>
    <d v="2024-10-15T00:00:00"/>
    <d v="2024-12-20T00:00:00"/>
    <n v="12000"/>
    <x v="2"/>
    <n v="52.56"/>
    <s v=""/>
    <s v=""/>
    <s v=""/>
  </r>
  <r>
    <x v="313"/>
    <s v="SUP01311"/>
    <x v="1"/>
    <x v="1"/>
    <x v="2"/>
    <d v="2024-06-29T00:00:00"/>
    <n v="21.44"/>
    <s v="No"/>
    <s v="Credit Card"/>
    <x v="4"/>
    <s v="Door-To-Door"/>
    <x v="14"/>
    <s v="Female"/>
    <n v="68"/>
    <x v="0"/>
    <x v="0"/>
    <s v="No Preference"/>
    <s v=""/>
    <s v=""/>
    <s v=""/>
    <x v="1"/>
    <s v="Major Donors"/>
    <d v="2024-06-01T00:00:00"/>
    <d v="2024-06-30T00:00:00"/>
    <n v="7000"/>
    <x v="1"/>
    <n v="21.44"/>
    <s v=""/>
    <s v=""/>
    <s v=""/>
  </r>
  <r>
    <x v="314"/>
    <s v="SUP01056"/>
    <x v="7"/>
    <x v="7"/>
    <x v="2"/>
    <d v="2025-04-29T00:00:00"/>
    <n v="39.01"/>
    <s v="No"/>
    <s v="Credit Card"/>
    <x v="3"/>
    <s v="Referral"/>
    <x v="5"/>
    <s v="Female"/>
    <s v=""/>
    <x v="2"/>
    <x v="2"/>
    <s v="Email"/>
    <s v=""/>
    <s v=""/>
    <s v="Review - missing DOB"/>
    <x v="6"/>
    <s v="Regular Givers"/>
    <d v="2025-03-01T00:00:00"/>
    <d v="2025-04-30T00:00:00"/>
    <n v="8000"/>
    <x v="1"/>
    <n v="39.01"/>
    <s v=""/>
    <s v=""/>
    <s v=""/>
  </r>
  <r>
    <x v="315"/>
    <s v="SUP01462"/>
    <x v="5"/>
    <x v="5"/>
    <x v="1"/>
    <d v="2024-11-22T00:00:00"/>
    <n v="34.799999999999997"/>
    <s v="Yes"/>
    <s v="Debit Card"/>
    <x v="4"/>
    <s v="Event"/>
    <x v="30"/>
    <s v="Female"/>
    <n v="76"/>
    <x v="0"/>
    <x v="0"/>
    <s v="No Preference"/>
    <s v=""/>
    <s v=""/>
    <s v=""/>
    <x v="4"/>
    <s v="Volunteers"/>
    <d v="2024-11-22T00:00:00"/>
    <d v="2024-11-22T00:00:00"/>
    <n v="3500"/>
    <x v="3"/>
    <n v="43.5"/>
    <s v=""/>
    <s v=""/>
    <s v=""/>
  </r>
  <r>
    <x v="316"/>
    <s v="SUP01456"/>
    <x v="9"/>
    <x v="9"/>
    <x v="1"/>
    <d v="2024-07-15T00:00:00"/>
    <n v="50.75"/>
    <s v="Yes"/>
    <s v="Debit Card"/>
    <x v="6"/>
    <s v="Telephone"/>
    <x v="27"/>
    <s v="Female"/>
    <n v="74"/>
    <x v="0"/>
    <x v="0"/>
    <s v="Phone"/>
    <s v=""/>
    <s v=""/>
    <s v=""/>
    <x v="4"/>
    <s v="Major Donors"/>
    <d v="2024-07-15T00:00:00"/>
    <d v="2024-07-15T00:00:00"/>
    <n v="45000"/>
    <x v="1"/>
    <n v="63.4375"/>
    <s v=""/>
    <s v=""/>
    <s v=""/>
  </r>
  <r>
    <x v="317"/>
    <s v="SUP01327"/>
    <x v="3"/>
    <x v="3"/>
    <x v="2"/>
    <d v="2024-09-16T00:00:00"/>
    <n v="251.19"/>
    <s v="No"/>
    <s v="Cash"/>
    <x v="0"/>
    <s v="Referral"/>
    <x v="12"/>
    <s v="Male"/>
    <n v="53"/>
    <x v="1"/>
    <x v="1"/>
    <s v="No Preference"/>
    <s v=""/>
    <s v=""/>
    <s v=""/>
    <x v="2"/>
    <s v="All Supporters"/>
    <d v="2024-09-10T00:00:00"/>
    <d v="2024-10-15T00:00:00"/>
    <n v="15000"/>
    <x v="3"/>
    <n v="251.19"/>
    <s v=""/>
    <s v=""/>
    <s v=""/>
  </r>
  <r>
    <x v="318"/>
    <s v="SUP01200"/>
    <x v="4"/>
    <x v="4"/>
    <x v="0"/>
    <d v="2025-02-16T00:00:00"/>
    <n v="21.24"/>
    <s v="No"/>
    <s v="Cheque"/>
    <x v="5"/>
    <s v="Website"/>
    <x v="30"/>
    <s v="Male"/>
    <n v="73"/>
    <x v="0"/>
    <x v="0"/>
    <s v="Email"/>
    <s v=""/>
    <s v="Review - prefers email but not opted in"/>
    <s v=""/>
    <x v="3"/>
    <s v="Prospects"/>
    <d v="2025-02-01T00:00:00"/>
    <d v="2025-04-30T00:00:00"/>
    <n v="20000"/>
    <x v="4"/>
    <n v="21.24"/>
    <s v=""/>
    <s v=""/>
    <s v=""/>
  </r>
  <r>
    <x v="319"/>
    <s v="SUP01446"/>
    <x v="8"/>
    <x v="8"/>
    <x v="2"/>
    <d v="2024-12-16T00:00:00"/>
    <n v="49.44"/>
    <s v="Yes"/>
    <s v="PayPal"/>
    <x v="4"/>
    <s v="Website"/>
    <x v="3"/>
    <s v="Female"/>
    <n v="71"/>
    <x v="0"/>
    <x v="0"/>
    <s v="Do Not Contact"/>
    <s v=""/>
    <s v=""/>
    <s v=""/>
    <x v="7"/>
    <s v="All Active"/>
    <d v="2024-10-15T00:00:00"/>
    <d v="2024-12-20T00:00:00"/>
    <n v="12000"/>
    <x v="2"/>
    <n v="61.8"/>
    <s v=""/>
    <s v=""/>
    <s v=""/>
  </r>
  <r>
    <x v="320"/>
    <s v="SUP01412"/>
    <x v="2"/>
    <x v="2"/>
    <x v="1"/>
    <d v="2024-12-28T00:00:00"/>
    <n v="9.17"/>
    <s v="Yes"/>
    <s v="PayPal"/>
    <x v="5"/>
    <s v="Corporate Partner"/>
    <x v="8"/>
    <s v="Male"/>
    <s v=""/>
    <x v="2"/>
    <x v="2"/>
    <s v="Phone"/>
    <s v=""/>
    <s v=""/>
    <s v="Review - missing DOB"/>
    <x v="2"/>
    <s v="All Active"/>
    <d v="2024-11-01T00:00:00"/>
    <d v="2024-12-31T00:00:00"/>
    <n v="25000"/>
    <x v="2"/>
    <n v="11.4625"/>
    <s v=""/>
    <s v=""/>
    <s v=""/>
  </r>
  <r>
    <x v="321"/>
    <s v="SUP01227"/>
    <x v="1"/>
    <x v="1"/>
    <x v="2"/>
    <d v="2024-06-26T00:00:00"/>
    <n v="299.75"/>
    <s v="No"/>
    <s v="Cheque"/>
    <x v="0"/>
    <s v="Referral"/>
    <x v="4"/>
    <s v="Female"/>
    <n v="94"/>
    <x v="0"/>
    <x v="0"/>
    <s v="No Preference"/>
    <s v=""/>
    <s v=""/>
    <s v=""/>
    <x v="1"/>
    <s v="Major Donors"/>
    <d v="2024-06-01T00:00:00"/>
    <d v="2024-06-30T00:00:00"/>
    <n v="7000"/>
    <x v="1"/>
    <n v="299.75"/>
    <s v=""/>
    <s v=""/>
    <s v=""/>
  </r>
  <r>
    <x v="322"/>
    <s v="SUP01168"/>
    <x v="6"/>
    <x v="6"/>
    <x v="1"/>
    <d v="2024-10-08T00:00:00"/>
    <n v="56.33"/>
    <s v="Yes"/>
    <s v="Credit Card"/>
    <x v="2"/>
    <s v="Website"/>
    <x v="0"/>
    <s v="Female"/>
    <n v="80"/>
    <x v="0"/>
    <x v="0"/>
    <s v="No Preference"/>
    <s v=""/>
    <s v=""/>
    <s v=""/>
    <x v="5"/>
    <s v="Over 55s"/>
    <d v="2024-10-07T00:00:00"/>
    <d v="2024-10-13T00:00:00"/>
    <n v="5000"/>
    <x v="1"/>
    <n v="70.412499999999994"/>
    <s v=""/>
    <s v=""/>
    <s v=""/>
  </r>
  <r>
    <x v="323"/>
    <s v="SUP01274"/>
    <x v="2"/>
    <x v="2"/>
    <x v="3"/>
    <d v="2024-11-02T00:00:00"/>
    <n v="10.09"/>
    <s v="Yes"/>
    <s v="Online"/>
    <x v="5"/>
    <s v="Door-To-Door"/>
    <x v="28"/>
    <s v="Female"/>
    <n v="70"/>
    <x v="0"/>
    <x v="0"/>
    <s v="No Preference"/>
    <s v=""/>
    <s v=""/>
    <s v=""/>
    <x v="2"/>
    <s v="All Active"/>
    <d v="2024-11-01T00:00:00"/>
    <d v="2024-12-31T00:00:00"/>
    <n v="25000"/>
    <x v="2"/>
    <n v="12.612500000000001"/>
    <s v=""/>
    <s v=""/>
    <s v=""/>
  </r>
  <r>
    <x v="324"/>
    <s v="SUP01462"/>
    <x v="7"/>
    <x v="7"/>
    <x v="1"/>
    <d v="2025-04-28T00:00:00"/>
    <n v="115.82"/>
    <s v="No"/>
    <s v="Cash"/>
    <x v="4"/>
    <s v="Event"/>
    <x v="30"/>
    <s v="Female"/>
    <n v="76"/>
    <x v="0"/>
    <x v="0"/>
    <s v="No Preference"/>
    <s v=""/>
    <s v=""/>
    <s v=""/>
    <x v="6"/>
    <s v="Regular Givers"/>
    <d v="2025-03-01T00:00:00"/>
    <d v="2025-04-30T00:00:00"/>
    <n v="8000"/>
    <x v="1"/>
    <n v="115.82"/>
    <s v=""/>
    <s v=""/>
    <s v=""/>
  </r>
  <r>
    <x v="325"/>
    <s v="SUP01429"/>
    <x v="1"/>
    <x v="1"/>
    <x v="1"/>
    <d v="2024-06-06T00:00:00"/>
    <n v="83.29"/>
    <s v="No"/>
    <s v="Credit Card"/>
    <x v="2"/>
    <s v="Direct Mail"/>
    <x v="21"/>
    <s v="Male"/>
    <n v="41"/>
    <x v="4"/>
    <x v="4"/>
    <s v="Phone"/>
    <s v=""/>
    <s v=""/>
    <s v=""/>
    <x v="1"/>
    <s v="Major Donors"/>
    <d v="2024-06-01T00:00:00"/>
    <d v="2024-06-30T00:00:00"/>
    <n v="7000"/>
    <x v="1"/>
    <n v="83.29"/>
    <s v=""/>
    <s v=""/>
    <s v=""/>
  </r>
  <r>
    <x v="326"/>
    <s v="SUP01229"/>
    <x v="3"/>
    <x v="3"/>
    <x v="2"/>
    <d v="2024-09-19T00:00:00"/>
    <n v="47.99"/>
    <s v="Yes"/>
    <s v="Online"/>
    <x v="3"/>
    <s v="Social Media"/>
    <x v="10"/>
    <s v="Male"/>
    <n v="54"/>
    <x v="1"/>
    <x v="1"/>
    <s v="Email"/>
    <s v=""/>
    <s v="Review - prefers email but not opted in"/>
    <s v=""/>
    <x v="2"/>
    <s v="All Supporters"/>
    <d v="2024-09-10T00:00:00"/>
    <d v="2024-10-15T00:00:00"/>
    <n v="15000"/>
    <x v="3"/>
    <n v="59.987500000000004"/>
    <s v=""/>
    <s v=""/>
    <s v=""/>
  </r>
  <r>
    <x v="327"/>
    <s v="SUP01390"/>
    <x v="5"/>
    <x v="5"/>
    <x v="1"/>
    <d v="2024-11-22T00:00:00"/>
    <n v="44.31"/>
    <s v="No"/>
    <s v="Direct Debit"/>
    <x v="2"/>
    <s v="Social Media"/>
    <x v="32"/>
    <s v="Male"/>
    <n v="92"/>
    <x v="0"/>
    <x v="0"/>
    <s v="Phone"/>
    <s v=""/>
    <s v="Review - prefers phone but not opted in"/>
    <s v=""/>
    <x v="4"/>
    <s v="Volunteers"/>
    <d v="2024-11-22T00:00:00"/>
    <d v="2024-11-22T00:00:00"/>
    <n v="3500"/>
    <x v="3"/>
    <n v="44.31"/>
    <s v=""/>
    <s v=""/>
    <s v=""/>
  </r>
  <r>
    <x v="328"/>
    <s v="SUP01126"/>
    <x v="2"/>
    <x v="2"/>
    <x v="0"/>
    <d v="2024-12-11T00:00:00"/>
    <n v="28.58"/>
    <s v="Yes"/>
    <s v="PayPal"/>
    <x v="5"/>
    <s v="Telephone"/>
    <x v="14"/>
    <s v="Female"/>
    <n v="32"/>
    <x v="3"/>
    <x v="3"/>
    <s v="Phone"/>
    <s v=""/>
    <s v=""/>
    <s v=""/>
    <x v="2"/>
    <s v="All Active"/>
    <d v="2024-11-01T00:00:00"/>
    <d v="2024-12-31T00:00:00"/>
    <n v="25000"/>
    <x v="2"/>
    <n v="35.724999999999994"/>
    <s v=""/>
    <s v=""/>
    <s v=""/>
  </r>
  <r>
    <x v="329"/>
    <s v="SUP01130"/>
    <x v="2"/>
    <x v="2"/>
    <x v="1"/>
    <d v="2024-12-07T00:00:00"/>
    <n v="284.79000000000002"/>
    <s v="Yes"/>
    <s v="PayPal"/>
    <x v="0"/>
    <s v="Website"/>
    <x v="1"/>
    <s v="Male"/>
    <n v="56"/>
    <x v="1"/>
    <x v="1"/>
    <s v="Email"/>
    <s v=""/>
    <s v="Review - prefers email but not opted in"/>
    <s v=""/>
    <x v="2"/>
    <s v="All Active"/>
    <d v="2024-11-01T00:00:00"/>
    <d v="2024-12-31T00:00:00"/>
    <n v="25000"/>
    <x v="2"/>
    <n v="355.98750000000001"/>
    <s v=""/>
    <s v=""/>
    <s v=""/>
  </r>
  <r>
    <x v="330"/>
    <s v="SUP01445"/>
    <x v="9"/>
    <x v="9"/>
    <x v="2"/>
    <d v="2024-07-15T00:00:00"/>
    <n v="78.900000000000006"/>
    <s v="No"/>
    <s v="Credit Card"/>
    <x v="2"/>
    <s v="Direct Mail"/>
    <x v="9"/>
    <s v="Female"/>
    <n v="55"/>
    <x v="1"/>
    <x v="1"/>
    <s v="Post"/>
    <s v=""/>
    <s v=""/>
    <s v=""/>
    <x v="4"/>
    <s v="Major Donors"/>
    <d v="2024-07-15T00:00:00"/>
    <d v="2024-07-15T00:00:00"/>
    <n v="45000"/>
    <x v="1"/>
    <n v="78.900000000000006"/>
    <s v=""/>
    <s v=""/>
    <s v=""/>
  </r>
  <r>
    <x v="331"/>
    <s v="SUP01296"/>
    <x v="7"/>
    <x v="7"/>
    <x v="2"/>
    <d v="2025-03-25T00:00:00"/>
    <n v="73.989999999999995"/>
    <s v="No"/>
    <s v="Direct Debit"/>
    <x v="4"/>
    <s v="Door-To-Door"/>
    <x v="0"/>
    <s v="Male"/>
    <n v="63"/>
    <x v="1"/>
    <x v="1"/>
    <s v="Email"/>
    <s v=""/>
    <s v=""/>
    <s v=""/>
    <x v="6"/>
    <s v="Regular Givers"/>
    <d v="2025-03-01T00:00:00"/>
    <d v="2025-04-30T00:00:00"/>
    <n v="8000"/>
    <x v="1"/>
    <n v="73.989999999999995"/>
    <s v=""/>
    <s v=""/>
    <s v=""/>
  </r>
  <r>
    <x v="332"/>
    <s v="SUP01484"/>
    <x v="2"/>
    <x v="2"/>
    <x v="0"/>
    <d v="2024-12-03T00:00:00"/>
    <n v="1139.1199999999999"/>
    <s v="No"/>
    <s v="Online"/>
    <x v="1"/>
    <s v="Direct Mail"/>
    <x v="7"/>
    <s v="Male"/>
    <n v="63"/>
    <x v="1"/>
    <x v="1"/>
    <s v="Email"/>
    <s v=""/>
    <s v="Review - prefers email but not opted in"/>
    <s v=""/>
    <x v="2"/>
    <s v="All Active"/>
    <d v="2024-11-01T00:00:00"/>
    <d v="2024-12-31T00:00:00"/>
    <n v="25000"/>
    <x v="2"/>
    <n v="1139.1199999999999"/>
    <s v=""/>
    <s v=""/>
    <s v=""/>
  </r>
  <r>
    <x v="333"/>
    <s v="SUP01118"/>
    <x v="4"/>
    <x v="4"/>
    <x v="5"/>
    <d v="2025-02-14T00:00:00"/>
    <n v="10.99"/>
    <s v="No"/>
    <s v="Cash"/>
    <x v="3"/>
    <s v="Referral"/>
    <x v="12"/>
    <s v="Male"/>
    <n v="54"/>
    <x v="1"/>
    <x v="1"/>
    <s v="Email"/>
    <s v=""/>
    <s v="Review - prefers email but not opted in"/>
    <s v=""/>
    <x v="3"/>
    <s v="Prospects"/>
    <d v="2025-02-01T00:00:00"/>
    <d v="2025-04-30T00:00:00"/>
    <n v="20000"/>
    <x v="4"/>
    <n v="10.99"/>
    <s v=""/>
    <s v=""/>
    <s v=""/>
  </r>
  <r>
    <x v="334"/>
    <s v="SUP01205"/>
    <x v="0"/>
    <x v="0"/>
    <x v="4"/>
    <d v="2025-02-01T00:00:00"/>
    <n v="124.59"/>
    <s v="Yes"/>
    <s v="Cash"/>
    <x v="4"/>
    <s v="Telephone"/>
    <x v="23"/>
    <s v="Female"/>
    <n v="57"/>
    <x v="1"/>
    <x v="1"/>
    <s v="Post"/>
    <s v=""/>
    <s v="Review - prefers post but not opted in"/>
    <s v=""/>
    <x v="0"/>
    <s v="One-time Donors"/>
    <d v="2025-01-06T00:00:00"/>
    <d v="2025-03-31T00:00:00"/>
    <n v="10000"/>
    <x v="0"/>
    <n v="155.73750000000001"/>
    <s v=""/>
    <s v=""/>
    <s v=""/>
  </r>
  <r>
    <x v="335"/>
    <s v="SUP01315"/>
    <x v="8"/>
    <x v="8"/>
    <x v="1"/>
    <d v="2024-11-12T00:00:00"/>
    <n v="12.53"/>
    <s v="Yes"/>
    <s v="Credit Card"/>
    <x v="4"/>
    <s v="Event"/>
    <x v="4"/>
    <s v="Male"/>
    <n v="63"/>
    <x v="1"/>
    <x v="1"/>
    <s v="Email"/>
    <s v=""/>
    <s v="Review - prefers email but not opted in"/>
    <s v=""/>
    <x v="7"/>
    <s v="All Active"/>
    <d v="2024-10-15T00:00:00"/>
    <d v="2024-12-20T00:00:00"/>
    <n v="12000"/>
    <x v="2"/>
    <n v="15.6625"/>
    <s v=""/>
    <s v=""/>
    <s v=""/>
  </r>
  <r>
    <x v="336"/>
    <s v="SUP01272"/>
    <x v="1"/>
    <x v="1"/>
    <x v="2"/>
    <d v="2024-06-11T00:00:00"/>
    <n v="259.23"/>
    <s v="No"/>
    <s v="Online"/>
    <x v="0"/>
    <s v="Door-To-Door"/>
    <x v="3"/>
    <s v="Female"/>
    <n v="77"/>
    <x v="0"/>
    <x v="0"/>
    <s v="Post"/>
    <s v=""/>
    <s v=""/>
    <s v=""/>
    <x v="1"/>
    <s v="Major Donors"/>
    <d v="2024-06-01T00:00:00"/>
    <d v="2024-06-30T00:00:00"/>
    <n v="7000"/>
    <x v="1"/>
    <n v="259.23"/>
    <s v=""/>
    <s v=""/>
    <s v=""/>
  </r>
  <r>
    <x v="337"/>
    <s v="SUP01005"/>
    <x v="6"/>
    <x v="6"/>
    <x v="1"/>
    <d v="2024-10-13T00:00:00"/>
    <n v="133.07"/>
    <s v="Yes"/>
    <s v="Debit Card"/>
    <x v="4"/>
    <s v="Social Media"/>
    <x v="4"/>
    <s v="Male"/>
    <n v="85"/>
    <x v="0"/>
    <x v="0"/>
    <s v="Post"/>
    <s v=""/>
    <s v="Review - prefers post but not opted in"/>
    <s v=""/>
    <x v="5"/>
    <s v="Over 55s"/>
    <d v="2024-10-07T00:00:00"/>
    <d v="2024-10-13T00:00:00"/>
    <n v="5000"/>
    <x v="1"/>
    <n v="166.33749999999998"/>
    <s v=""/>
    <s v=""/>
    <s v=""/>
  </r>
  <r>
    <x v="338"/>
    <s v="SUP01488"/>
    <x v="1"/>
    <x v="1"/>
    <x v="2"/>
    <d v="2024-06-18T00:00:00"/>
    <n v="30.29"/>
    <s v="No"/>
    <s v="Credit Card"/>
    <x v="6"/>
    <s v="Event"/>
    <x v="15"/>
    <s v="Female"/>
    <n v="49"/>
    <x v="4"/>
    <x v="4"/>
    <s v="Post"/>
    <s v=""/>
    <s v=""/>
    <s v=""/>
    <x v="1"/>
    <s v="Major Donors"/>
    <d v="2024-06-01T00:00:00"/>
    <d v="2024-06-30T00:00:00"/>
    <n v="7000"/>
    <x v="1"/>
    <n v="30.29"/>
    <s v=""/>
    <s v=""/>
    <s v=""/>
  </r>
  <r>
    <x v="339"/>
    <s v="SUP01157"/>
    <x v="9"/>
    <x v="9"/>
    <x v="2"/>
    <d v="2024-07-15T00:00:00"/>
    <n v="28.44"/>
    <s v="No"/>
    <s v="Cash"/>
    <x v="3"/>
    <s v="Direct Mail"/>
    <x v="23"/>
    <s v="Male"/>
    <n v="75"/>
    <x v="0"/>
    <x v="0"/>
    <s v="No Preference"/>
    <s v=""/>
    <s v=""/>
    <s v=""/>
    <x v="4"/>
    <s v="Major Donors"/>
    <d v="2024-07-15T00:00:00"/>
    <d v="2024-07-15T00:00:00"/>
    <n v="45000"/>
    <x v="1"/>
    <n v="28.44"/>
    <s v=""/>
    <s v=""/>
    <s v=""/>
  </r>
  <r>
    <x v="340"/>
    <s v="SUP01443"/>
    <x v="0"/>
    <x v="0"/>
    <x v="1"/>
    <d v="2025-01-09T00:00:00"/>
    <n v="165.79"/>
    <s v="Yes"/>
    <s v="Standing Order"/>
    <x v="0"/>
    <s v="Door-To-Door"/>
    <x v="11"/>
    <s v="Male"/>
    <n v="90"/>
    <x v="0"/>
    <x v="0"/>
    <s v="Post"/>
    <s v=""/>
    <s v=""/>
    <s v=""/>
    <x v="0"/>
    <s v="One-time Donors"/>
    <d v="2025-01-06T00:00:00"/>
    <d v="2025-03-31T00:00:00"/>
    <n v="10000"/>
    <x v="0"/>
    <n v="207.23749999999998"/>
    <s v=""/>
    <s v=""/>
    <s v=""/>
  </r>
  <r>
    <x v="341"/>
    <s v="SUP01092"/>
    <x v="0"/>
    <x v="0"/>
    <x v="4"/>
    <d v="2025-01-24T00:00:00"/>
    <n v="76.94"/>
    <s v="Yes"/>
    <s v="Cash"/>
    <x v="2"/>
    <s v="Door-To-Door"/>
    <x v="13"/>
    <s v="Female"/>
    <n v="67"/>
    <x v="0"/>
    <x v="0"/>
    <s v="Phone"/>
    <s v=""/>
    <s v="Review - prefers phone but not opted in"/>
    <s v=""/>
    <x v="0"/>
    <s v="One-time Donors"/>
    <d v="2025-01-06T00:00:00"/>
    <d v="2025-03-31T00:00:00"/>
    <n v="10000"/>
    <x v="0"/>
    <n v="96.174999999999997"/>
    <s v=""/>
    <s v=""/>
    <s v=""/>
  </r>
  <r>
    <x v="342"/>
    <s v="SUP01211"/>
    <x v="7"/>
    <x v="7"/>
    <x v="2"/>
    <d v="2024-01-15T00:00:00"/>
    <n v="45.16"/>
    <s v="Yes"/>
    <s v="Online"/>
    <x v="2"/>
    <s v="Website"/>
    <x v="1"/>
    <s v="Male"/>
    <n v="74"/>
    <x v="0"/>
    <x v="0"/>
    <s v="Email"/>
    <s v=""/>
    <s v="Review - prefers email but not opted in"/>
    <s v=""/>
    <x v="6"/>
    <s v="Regular Givers"/>
    <d v="2025-03-01T00:00:00"/>
    <d v="2025-04-30T00:00:00"/>
    <n v="8000"/>
    <x v="1"/>
    <n v="56.449999999999996"/>
    <s v=""/>
    <s v="Review - response outside campaign dates"/>
    <s v=""/>
  </r>
  <r>
    <x v="343"/>
    <s v="SUP01035"/>
    <x v="3"/>
    <x v="3"/>
    <x v="2"/>
    <d v="2024-09-20T00:00:00"/>
    <n v="21.29"/>
    <s v="Yes"/>
    <s v="Online"/>
    <x v="3"/>
    <s v="Event"/>
    <x v="11"/>
    <s v="Male"/>
    <n v="52"/>
    <x v="1"/>
    <x v="1"/>
    <s v="Post"/>
    <s v=""/>
    <s v=""/>
    <s v=""/>
    <x v="2"/>
    <s v="All Supporters"/>
    <d v="2024-09-10T00:00:00"/>
    <d v="2024-10-15T00:00:00"/>
    <n v="15000"/>
    <x v="3"/>
    <n v="26.612499999999997"/>
    <s v=""/>
    <s v=""/>
    <s v=""/>
  </r>
  <r>
    <x v="344"/>
    <s v="SUP01458"/>
    <x v="4"/>
    <x v="4"/>
    <x v="2"/>
    <d v="2025-06-02T00:00:00"/>
    <n v="11.46"/>
    <s v="No"/>
    <s v="PayPal"/>
    <x v="4"/>
    <s v="Event"/>
    <x v="23"/>
    <s v="Male"/>
    <n v="63"/>
    <x v="1"/>
    <x v="1"/>
    <s v="Email"/>
    <s v=""/>
    <s v="Review - prefers email but not opted in"/>
    <s v=""/>
    <x v="3"/>
    <s v="Prospects"/>
    <d v="2025-02-01T00:00:00"/>
    <d v="2025-04-30T00:00:00"/>
    <n v="20000"/>
    <x v="4"/>
    <n v="11.46"/>
    <s v=""/>
    <s v="Review - response outside campaign dates"/>
    <s v=""/>
  </r>
  <r>
    <x v="345"/>
    <s v="SUP01225"/>
    <x v="9"/>
    <x v="9"/>
    <x v="1"/>
    <d v="2024-07-15T00:00:00"/>
    <n v="18.809999999999999"/>
    <s v="Yes"/>
    <s v="Cash"/>
    <x v="3"/>
    <s v="Door-To-Door"/>
    <x v="28"/>
    <s v="Female"/>
    <n v="56"/>
    <x v="1"/>
    <x v="1"/>
    <s v="Email"/>
    <s v=""/>
    <s v=""/>
    <s v=""/>
    <x v="4"/>
    <s v="Major Donors"/>
    <d v="2024-07-15T00:00:00"/>
    <d v="2024-07-15T00:00:00"/>
    <n v="45000"/>
    <x v="1"/>
    <n v="23.512499999999999"/>
    <s v=""/>
    <s v=""/>
    <s v=""/>
  </r>
  <r>
    <x v="346"/>
    <s v="SUP01435"/>
    <x v="1"/>
    <x v="1"/>
    <x v="2"/>
    <d v="2024-06-06T00:00:00"/>
    <n v="100.49"/>
    <s v="No"/>
    <s v="Cheque"/>
    <x v="4"/>
    <s v="Corporate Partner"/>
    <x v="11"/>
    <s v="Female"/>
    <n v="30"/>
    <x v="3"/>
    <x v="3"/>
    <s v="No Preference"/>
    <s v=""/>
    <s v=""/>
    <s v=""/>
    <x v="1"/>
    <s v="Major Donors"/>
    <d v="2024-06-01T00:00:00"/>
    <d v="2024-06-30T00:00:00"/>
    <n v="7000"/>
    <x v="1"/>
    <n v="100.49"/>
    <s v=""/>
    <s v=""/>
    <s v=""/>
  </r>
  <r>
    <x v="347"/>
    <s v="SUP01046"/>
    <x v="1"/>
    <x v="1"/>
    <x v="2"/>
    <d v="2024-06-25T00:00:00"/>
    <n v="217.45"/>
    <s v="Yes"/>
    <s v="Cash"/>
    <x v="0"/>
    <s v="Referral"/>
    <x v="17"/>
    <s v="Female"/>
    <n v="95"/>
    <x v="0"/>
    <x v="0"/>
    <s v="Post"/>
    <s v="Review - duplicate record, see Supporter_Duplicates tab"/>
    <s v="Review - prefers post but not opted in"/>
    <s v=""/>
    <x v="1"/>
    <s v="Major Donors"/>
    <d v="2024-06-01T00:00:00"/>
    <d v="2024-06-30T00:00:00"/>
    <n v="7000"/>
    <x v="1"/>
    <n v="271.8125"/>
    <s v=""/>
    <s v=""/>
    <s v=""/>
  </r>
  <r>
    <x v="348"/>
    <s v="SUP01289"/>
    <x v="4"/>
    <x v="4"/>
    <x v="0"/>
    <d v="2025-04-10T00:00:00"/>
    <n v="13.34"/>
    <s v="No"/>
    <s v="Standing Order"/>
    <x v="5"/>
    <s v="Social Media"/>
    <x v="10"/>
    <s v="Male"/>
    <n v="48"/>
    <x v="4"/>
    <x v="4"/>
    <s v="Phone"/>
    <s v=""/>
    <s v=""/>
    <s v=""/>
    <x v="3"/>
    <s v="Prospects"/>
    <d v="2025-02-01T00:00:00"/>
    <d v="2025-04-30T00:00:00"/>
    <n v="20000"/>
    <x v="4"/>
    <n v="13.34"/>
    <s v=""/>
    <s v=""/>
    <s v=""/>
  </r>
  <r>
    <x v="349"/>
    <s v="SUP01468"/>
    <x v="7"/>
    <x v="7"/>
    <x v="1"/>
    <d v="2025-04-01T00:00:00"/>
    <n v="13.52"/>
    <s v="No"/>
    <s v="Standing Order"/>
    <x v="5"/>
    <s v="Event"/>
    <x v="25"/>
    <s v="Male"/>
    <n v="66"/>
    <x v="0"/>
    <x v="0"/>
    <s v="Email"/>
    <s v=""/>
    <s v=""/>
    <s v=""/>
    <x v="6"/>
    <s v="Regular Givers"/>
    <d v="2025-03-01T00:00:00"/>
    <d v="2025-04-30T00:00:00"/>
    <n v="8000"/>
    <x v="1"/>
    <n v="13.52"/>
    <s v=""/>
    <s v=""/>
    <s v=""/>
  </r>
  <r>
    <x v="350"/>
    <s v="SUP01239"/>
    <x v="2"/>
    <x v="2"/>
    <x v="0"/>
    <d v="2024-11-11T00:00:00"/>
    <n v="228.44"/>
    <s v="No"/>
    <s v="Online"/>
    <x v="6"/>
    <s v="Social Media"/>
    <x v="36"/>
    <s v="Male"/>
    <n v="84"/>
    <x v="0"/>
    <x v="0"/>
    <s v="Email"/>
    <s v=""/>
    <s v="Review - prefers email but not opted in"/>
    <s v=""/>
    <x v="2"/>
    <s v="All Active"/>
    <d v="2024-11-01T00:00:00"/>
    <d v="2024-12-31T00:00:00"/>
    <n v="25000"/>
    <x v="2"/>
    <n v="228.44"/>
    <s v=""/>
    <s v=""/>
    <s v=""/>
  </r>
  <r>
    <x v="351"/>
    <s v="SUP01395"/>
    <x v="0"/>
    <x v="0"/>
    <x v="0"/>
    <d v="2025-01-17T00:00:00"/>
    <n v="16.96"/>
    <s v="Yes"/>
    <s v="Standing Order"/>
    <x v="3"/>
    <s v="Corporate Partner"/>
    <x v="33"/>
    <s v="Male"/>
    <n v="61"/>
    <x v="1"/>
    <x v="1"/>
    <s v="No Preference"/>
    <s v=""/>
    <s v=""/>
    <s v=""/>
    <x v="0"/>
    <s v="One-time Donors"/>
    <d v="2025-01-06T00:00:00"/>
    <d v="2025-03-31T00:00:00"/>
    <n v="10000"/>
    <x v="0"/>
    <n v="21.200000000000003"/>
    <s v=""/>
    <s v=""/>
    <s v=""/>
  </r>
  <r>
    <x v="352"/>
    <s v="SUP01113"/>
    <x v="7"/>
    <x v="7"/>
    <x v="2"/>
    <d v="2025-04-23T00:00:00"/>
    <n v="29.57"/>
    <s v="Yes"/>
    <s v="Cash"/>
    <x v="5"/>
    <s v="Door-To-Door"/>
    <x v="17"/>
    <s v="Female"/>
    <n v="50"/>
    <x v="1"/>
    <x v="1"/>
    <s v="Post"/>
    <s v=""/>
    <s v=""/>
    <s v=""/>
    <x v="6"/>
    <s v="Regular Givers"/>
    <d v="2025-03-01T00:00:00"/>
    <d v="2025-04-30T00:00:00"/>
    <n v="8000"/>
    <x v="1"/>
    <n v="36.962499999999999"/>
    <s v=""/>
    <s v=""/>
    <s v=""/>
  </r>
  <r>
    <x v="353"/>
    <s v="SUP01163"/>
    <x v="0"/>
    <x v="0"/>
    <x v="0"/>
    <d v="2025-02-08T00:00:00"/>
    <n v="177.69"/>
    <s v="Yes"/>
    <s v="Standing Order"/>
    <x v="0"/>
    <s v="Website"/>
    <x v="8"/>
    <s v="Male"/>
    <n v="81"/>
    <x v="0"/>
    <x v="0"/>
    <s v="Post"/>
    <s v=""/>
    <s v=""/>
    <s v=""/>
    <x v="0"/>
    <s v="One-time Donors"/>
    <d v="2025-01-06T00:00:00"/>
    <d v="2025-03-31T00:00:00"/>
    <n v="10000"/>
    <x v="0"/>
    <n v="222.11250000000001"/>
    <s v=""/>
    <s v=""/>
    <s v=""/>
  </r>
  <r>
    <x v="354"/>
    <s v="SUP01451"/>
    <x v="1"/>
    <x v="1"/>
    <x v="1"/>
    <d v="2024-06-29T00:00:00"/>
    <n v="27.99"/>
    <s v="Yes"/>
    <s v="PayPal"/>
    <x v="5"/>
    <s v="Referral"/>
    <x v="30"/>
    <s v="Female"/>
    <n v="74"/>
    <x v="0"/>
    <x v="0"/>
    <s v="Phone"/>
    <s v=""/>
    <s v="Review - prefers phone but not opted in"/>
    <s v=""/>
    <x v="1"/>
    <s v="Major Donors"/>
    <d v="2024-06-01T00:00:00"/>
    <d v="2024-06-30T00:00:00"/>
    <n v="7000"/>
    <x v="1"/>
    <n v="34.987499999999997"/>
    <s v=""/>
    <s v=""/>
    <s v=""/>
  </r>
  <r>
    <x v="355"/>
    <s v="SUP01251"/>
    <x v="1"/>
    <x v="1"/>
    <x v="2"/>
    <d v="2024-06-28T00:00:00"/>
    <n v="12.79"/>
    <s v="No"/>
    <s v="Online"/>
    <x v="2"/>
    <s v="Event"/>
    <x v="12"/>
    <s v="Female"/>
    <n v="0"/>
    <x v="5"/>
    <x v="5"/>
    <s v="Post"/>
    <s v=""/>
    <s v="Review - prefers post but not opted in"/>
    <s v="Review -  potential entry error (age 0)"/>
    <x v="1"/>
    <s v="Major Donors"/>
    <d v="2024-06-01T00:00:00"/>
    <d v="2024-06-30T00:00:00"/>
    <n v="7000"/>
    <x v="1"/>
    <n v="12.79"/>
    <s v=""/>
    <s v=""/>
    <s v=""/>
  </r>
  <r>
    <x v="356"/>
    <s v="SUP01472"/>
    <x v="8"/>
    <x v="8"/>
    <x v="2"/>
    <d v="2024-11-21T00:00:00"/>
    <n v="447.61"/>
    <s v="Yes"/>
    <s v="Cash"/>
    <x v="0"/>
    <s v="Referral"/>
    <x v="8"/>
    <s v="Male"/>
    <n v="54"/>
    <x v="1"/>
    <x v="1"/>
    <s v="Email"/>
    <s v=""/>
    <s v="Review - prefers email but not opted in"/>
    <s v=""/>
    <x v="7"/>
    <s v="All Active"/>
    <d v="2024-10-15T00:00:00"/>
    <d v="2024-12-20T00:00:00"/>
    <n v="12000"/>
    <x v="2"/>
    <n v="559.51250000000005"/>
    <s v=""/>
    <s v=""/>
    <s v=""/>
  </r>
  <r>
    <x v="357"/>
    <s v="SUP01179"/>
    <x v="2"/>
    <x v="2"/>
    <x v="0"/>
    <d v="2024-12-17T00:00:00"/>
    <n v="54"/>
    <s v="No"/>
    <s v="Debit Card"/>
    <x v="6"/>
    <s v="Direct Mail"/>
    <x v="13"/>
    <s v="Male"/>
    <n v="65"/>
    <x v="0"/>
    <x v="0"/>
    <s v="Do Not Contact"/>
    <s v=""/>
    <s v=""/>
    <s v=""/>
    <x v="2"/>
    <s v="All Active"/>
    <d v="2024-11-01T00:00:00"/>
    <d v="2024-12-31T00:00:00"/>
    <n v="25000"/>
    <x v="2"/>
    <n v="54"/>
    <s v=""/>
    <s v=""/>
    <s v=""/>
  </r>
  <r>
    <x v="358"/>
    <s v="SUP01487"/>
    <x v="4"/>
    <x v="4"/>
    <x v="5"/>
    <d v="2025-03-22T00:00:00"/>
    <n v="28.22"/>
    <s v="No"/>
    <s v="PayPal"/>
    <x v="5"/>
    <s v="Event"/>
    <x v="1"/>
    <s v="Female"/>
    <n v="62"/>
    <x v="1"/>
    <x v="1"/>
    <s v="Email"/>
    <s v=""/>
    <s v="Review - prefers email but not opted in"/>
    <s v=""/>
    <x v="3"/>
    <s v="Prospects"/>
    <d v="2025-02-01T00:00:00"/>
    <d v="2025-04-30T00:00:00"/>
    <n v="20000"/>
    <x v="4"/>
    <n v="28.22"/>
    <s v=""/>
    <s v=""/>
    <s v=""/>
  </r>
  <r>
    <x v="359"/>
    <s v="SUP01115"/>
    <x v="6"/>
    <x v="6"/>
    <x v="1"/>
    <d v="2024-10-10T00:00:00"/>
    <n v="43.53"/>
    <s v="No"/>
    <s v="Debit Card"/>
    <x v="3"/>
    <s v="Direct Mail"/>
    <x v="3"/>
    <s v="Male"/>
    <n v="67"/>
    <x v="0"/>
    <x v="0"/>
    <s v="Post"/>
    <s v=""/>
    <s v=""/>
    <s v=""/>
    <x v="5"/>
    <s v="Over 55s"/>
    <d v="2024-10-07T00:00:00"/>
    <d v="2024-10-13T00:00:00"/>
    <n v="5000"/>
    <x v="1"/>
    <n v="43.53"/>
    <s v=""/>
    <s v=""/>
    <s v=""/>
  </r>
  <r>
    <x v="360"/>
    <s v="SUP01461"/>
    <x v="0"/>
    <x v="0"/>
    <x v="0"/>
    <d v="2025-01-19T00:00:00"/>
    <n v="80.41"/>
    <s v="Yes"/>
    <s v="Credit Card"/>
    <x v="4"/>
    <s v="Telephone"/>
    <x v="29"/>
    <s v="Female"/>
    <n v="75"/>
    <x v="0"/>
    <x v="0"/>
    <s v="No Preference"/>
    <s v=""/>
    <s v=""/>
    <s v=""/>
    <x v="0"/>
    <s v="One-time Donors"/>
    <d v="2025-01-06T00:00:00"/>
    <d v="2025-03-31T00:00:00"/>
    <n v="10000"/>
    <x v="0"/>
    <n v="100.51249999999999"/>
    <s v=""/>
    <s v=""/>
    <s v=""/>
  </r>
  <r>
    <x v="361"/>
    <s v="SUP01220"/>
    <x v="2"/>
    <x v="2"/>
    <x v="1"/>
    <d v="2024-12-28T00:00:00"/>
    <n v="14.88"/>
    <s v="Yes"/>
    <s v="Direct Debit"/>
    <x v="3"/>
    <s v="Door-To-Door"/>
    <x v="34"/>
    <s v="Female"/>
    <n v="75"/>
    <x v="0"/>
    <x v="0"/>
    <s v="Post"/>
    <s v=""/>
    <s v=""/>
    <s v=""/>
    <x v="2"/>
    <s v="All Active"/>
    <d v="2024-11-01T00:00:00"/>
    <d v="2024-12-31T00:00:00"/>
    <n v="25000"/>
    <x v="2"/>
    <n v="18.600000000000001"/>
    <s v=""/>
    <s v=""/>
    <s v=""/>
  </r>
  <r>
    <x v="362"/>
    <s v="SUP01108"/>
    <x v="5"/>
    <x v="5"/>
    <x v="1"/>
    <d v="2024-11-22T00:00:00"/>
    <n v="1889.56"/>
    <s v="Yes"/>
    <s v="Standing Order"/>
    <x v="1"/>
    <s v="Corporate Partner"/>
    <x v="25"/>
    <s v="Female"/>
    <n v="64"/>
    <x v="1"/>
    <x v="1"/>
    <s v="Email"/>
    <s v=""/>
    <s v=""/>
    <s v=""/>
    <x v="4"/>
    <s v="Volunteers"/>
    <d v="2024-11-22T00:00:00"/>
    <d v="2024-11-22T00:00:00"/>
    <n v="3500"/>
    <x v="3"/>
    <n v="2361.9499999999998"/>
    <s v=""/>
    <s v=""/>
    <s v=""/>
  </r>
  <r>
    <x v="363"/>
    <s v="SUP01010"/>
    <x v="6"/>
    <x v="6"/>
    <x v="1"/>
    <d v="2024-10-12T00:00:00"/>
    <n v="47.13"/>
    <s v="Yes"/>
    <s v="Debit Card"/>
    <x v="3"/>
    <s v="Corporate Partner"/>
    <x v="7"/>
    <s v="Male"/>
    <n v="45"/>
    <x v="4"/>
    <x v="4"/>
    <s v="Email"/>
    <s v=""/>
    <s v=""/>
    <s v=""/>
    <x v="5"/>
    <s v="Over 55s"/>
    <d v="2024-10-07T00:00:00"/>
    <d v="2024-10-13T00:00:00"/>
    <n v="5000"/>
    <x v="1"/>
    <n v="58.912500000000001"/>
    <s v=""/>
    <s v=""/>
    <s v=""/>
  </r>
  <r>
    <x v="364"/>
    <s v="SUP01031"/>
    <x v="1"/>
    <x v="1"/>
    <x v="2"/>
    <d v="2024-06-23T00:00:00"/>
    <n v="26.74"/>
    <s v="No"/>
    <s v="Cash"/>
    <x v="5"/>
    <s v="Referral"/>
    <x v="1"/>
    <s v="Female"/>
    <n v="85"/>
    <x v="0"/>
    <x v="0"/>
    <s v="Email"/>
    <s v=""/>
    <s v=""/>
    <s v=""/>
    <x v="1"/>
    <s v="Major Donors"/>
    <d v="2024-06-01T00:00:00"/>
    <d v="2024-06-30T00:00:00"/>
    <n v="7000"/>
    <x v="1"/>
    <n v="26.74"/>
    <s v=""/>
    <s v=""/>
    <s v=""/>
  </r>
  <r>
    <x v="365"/>
    <s v="SUP01386"/>
    <x v="9"/>
    <x v="9"/>
    <x v="1"/>
    <d v="2024-07-15T00:00:00"/>
    <n v="137.25"/>
    <s v="Yes"/>
    <s v="Cash"/>
    <x v="6"/>
    <s v="Social Media"/>
    <x v="23"/>
    <s v="Female"/>
    <n v="39"/>
    <x v="4"/>
    <x v="4"/>
    <s v="Post"/>
    <s v=""/>
    <s v="Review - prefers post but not opted in"/>
    <s v=""/>
    <x v="4"/>
    <s v="Major Donors"/>
    <d v="2024-07-15T00:00:00"/>
    <d v="2024-07-15T00:00:00"/>
    <n v="45000"/>
    <x v="1"/>
    <n v="171.5625"/>
    <s v=""/>
    <s v=""/>
    <s v=""/>
  </r>
  <r>
    <x v="366"/>
    <s v="SUP01228"/>
    <x v="8"/>
    <x v="8"/>
    <x v="1"/>
    <d v="2024-11-02T00:00:00"/>
    <n v="13.16"/>
    <s v="Yes"/>
    <s v="Credit Card"/>
    <x v="5"/>
    <s v="Corporate Partner"/>
    <x v="7"/>
    <s v="Female"/>
    <n v="43"/>
    <x v="4"/>
    <x v="4"/>
    <s v="Phone"/>
    <s v=""/>
    <s v=""/>
    <s v=""/>
    <x v="7"/>
    <s v="All Active"/>
    <d v="2024-10-15T00:00:00"/>
    <d v="2024-12-20T00:00:00"/>
    <n v="12000"/>
    <x v="2"/>
    <n v="16.45"/>
    <s v=""/>
    <s v=""/>
    <s v=""/>
  </r>
  <r>
    <x v="367"/>
    <s v="SUP01181"/>
    <x v="7"/>
    <x v="7"/>
    <x v="2"/>
    <d v="2025-04-27T00:00:00"/>
    <n v="114.8"/>
    <s v="Yes"/>
    <s v="Cash"/>
    <x v="6"/>
    <s v="Social Media"/>
    <x v="28"/>
    <s v="Male"/>
    <n v="60"/>
    <x v="1"/>
    <x v="1"/>
    <s v="Email"/>
    <s v=""/>
    <s v=""/>
    <s v=""/>
    <x v="6"/>
    <s v="Regular Givers"/>
    <d v="2025-03-01T00:00:00"/>
    <d v="2025-04-30T00:00:00"/>
    <n v="8000"/>
    <x v="1"/>
    <n v="143.5"/>
    <s v=""/>
    <s v=""/>
    <s v=""/>
  </r>
  <r>
    <x v="368"/>
    <s v="SUP01271"/>
    <x v="6"/>
    <x v="6"/>
    <x v="1"/>
    <d v="2024-10-07T00:00:00"/>
    <n v="25.85"/>
    <s v="No"/>
    <s v="PayPal"/>
    <x v="5"/>
    <s v="Telephone"/>
    <x v="6"/>
    <s v="Male"/>
    <n v="71"/>
    <x v="0"/>
    <x v="0"/>
    <s v="Email"/>
    <s v=""/>
    <s v=""/>
    <s v=""/>
    <x v="5"/>
    <s v="Over 55s"/>
    <d v="2024-10-07T00:00:00"/>
    <d v="2024-10-13T00:00:00"/>
    <n v="5000"/>
    <x v="1"/>
    <n v="25.85"/>
    <s v=""/>
    <s v=""/>
    <s v=""/>
  </r>
  <r>
    <x v="369"/>
    <s v="SUP01083"/>
    <x v="2"/>
    <x v="2"/>
    <x v="0"/>
    <d v="2024-12-07T00:00:00"/>
    <n v="49.61"/>
    <s v="Yes"/>
    <s v="Cash"/>
    <x v="6"/>
    <s v="Corporate Partner"/>
    <x v="7"/>
    <s v="Female"/>
    <n v="53"/>
    <x v="1"/>
    <x v="1"/>
    <s v="Email"/>
    <s v=""/>
    <s v=""/>
    <s v=""/>
    <x v="2"/>
    <s v="All Active"/>
    <d v="2024-11-01T00:00:00"/>
    <d v="2024-12-31T00:00:00"/>
    <n v="25000"/>
    <x v="2"/>
    <n v="62.012500000000003"/>
    <s v=""/>
    <s v=""/>
    <s v=""/>
  </r>
  <r>
    <x v="370"/>
    <s v="SUP01314"/>
    <x v="8"/>
    <x v="8"/>
    <x v="0"/>
    <d v="2024-05-12T00:00:00"/>
    <n v="254.61"/>
    <s v="No"/>
    <s v="Online"/>
    <x v="0"/>
    <s v="Direct Mail"/>
    <x v="10"/>
    <s v="Male"/>
    <n v="74"/>
    <x v="0"/>
    <x v="0"/>
    <s v="Phone"/>
    <s v=""/>
    <s v="Review - prefers phone but not opted in"/>
    <s v=""/>
    <x v="7"/>
    <s v="All Active"/>
    <d v="2024-10-15T00:00:00"/>
    <d v="2024-12-20T00:00:00"/>
    <n v="12000"/>
    <x v="2"/>
    <n v="254.61"/>
    <s v=""/>
    <s v="Review - response outside campaign dates"/>
    <s v=""/>
  </r>
  <r>
    <x v="371"/>
    <s v="SUP01023"/>
    <x v="1"/>
    <x v="1"/>
    <x v="2"/>
    <d v="2024-06-14T00:00:00"/>
    <n v="19.87"/>
    <s v="Yes"/>
    <s v="Online"/>
    <x v="0"/>
    <s v="Direct Mail"/>
    <x v="4"/>
    <s v="Female"/>
    <n v="59"/>
    <x v="1"/>
    <x v="1"/>
    <s v="Do Not Contact"/>
    <s v=""/>
    <s v=""/>
    <s v=""/>
    <x v="1"/>
    <s v="Major Donors"/>
    <d v="2024-06-01T00:00:00"/>
    <d v="2024-06-30T00:00:00"/>
    <n v="7000"/>
    <x v="1"/>
    <n v="24.837500000000002"/>
    <s v=""/>
    <s v=""/>
    <s v=""/>
  </r>
  <r>
    <x v="372"/>
    <s v="SUP01385"/>
    <x v="0"/>
    <x v="0"/>
    <x v="0"/>
    <d v="2025-01-08T00:00:00"/>
    <n v="-45.47"/>
    <s v="Yes"/>
    <s v="Online"/>
    <x v="6"/>
    <s v="Corporate Partner"/>
    <x v="14"/>
    <s v="Female"/>
    <n v="44"/>
    <x v="4"/>
    <x v="4"/>
    <s v="Phone"/>
    <s v=""/>
    <s v=""/>
    <s v=""/>
    <x v="0"/>
    <s v="One-time Donors"/>
    <d v="2025-01-06T00:00:00"/>
    <d v="2025-03-31T00:00:00"/>
    <n v="10000"/>
    <x v="0"/>
    <n v="-56.837499999999999"/>
    <s v=""/>
    <s v=""/>
    <s v=""/>
  </r>
  <r>
    <x v="373"/>
    <s v="SUP01029"/>
    <x v="8"/>
    <x v="8"/>
    <x v="0"/>
    <d v="2024-12-12T00:00:00"/>
    <n v="41.92"/>
    <s v="No"/>
    <s v="Direct Debit"/>
    <x v="3"/>
    <s v="Referral"/>
    <x v="11"/>
    <s v="Male"/>
    <n v="51"/>
    <x v="1"/>
    <x v="1"/>
    <s v="Post"/>
    <s v=""/>
    <s v=""/>
    <s v=""/>
    <x v="7"/>
    <s v="All Active"/>
    <d v="2024-10-15T00:00:00"/>
    <d v="2024-12-20T00:00:00"/>
    <n v="12000"/>
    <x v="2"/>
    <n v="41.92"/>
    <s v=""/>
    <s v=""/>
    <s v=""/>
  </r>
  <r>
    <x v="374"/>
    <s v="SUP01183"/>
    <x v="7"/>
    <x v="7"/>
    <x v="1"/>
    <d v="2025-03-13T00:00:00"/>
    <n v="140.09"/>
    <s v="No"/>
    <s v="PayPal"/>
    <x v="6"/>
    <s v="Event"/>
    <x v="7"/>
    <s v="Female"/>
    <n v="95"/>
    <x v="0"/>
    <x v="0"/>
    <s v="Email"/>
    <s v=""/>
    <s v=""/>
    <s v=""/>
    <x v="6"/>
    <s v="Regular Givers"/>
    <d v="2025-03-01T00:00:00"/>
    <d v="2025-04-30T00:00:00"/>
    <n v="8000"/>
    <x v="1"/>
    <n v="140.09"/>
    <s v=""/>
    <s v=""/>
    <s v=""/>
  </r>
  <r>
    <x v="375"/>
    <s v="SUP01119"/>
    <x v="3"/>
    <x v="3"/>
    <x v="2"/>
    <d v="2024-09-12T00:00:00"/>
    <n v="69.41"/>
    <s v="Yes"/>
    <s v="Online"/>
    <x v="6"/>
    <s v="Corporate Partner"/>
    <x v="8"/>
    <s v="Female"/>
    <n v="76"/>
    <x v="0"/>
    <x v="0"/>
    <s v="Email"/>
    <s v=""/>
    <s v="Review - prefers email but not opted in"/>
    <s v=""/>
    <x v="2"/>
    <s v="All Supporters"/>
    <d v="2024-09-10T00:00:00"/>
    <d v="2024-10-15T00:00:00"/>
    <n v="15000"/>
    <x v="3"/>
    <n v="86.762499999999989"/>
    <s v=""/>
    <s v=""/>
    <s v=""/>
  </r>
  <r>
    <x v="376"/>
    <s v="SUP01392"/>
    <x v="4"/>
    <x v="4"/>
    <x v="2"/>
    <d v="2025-11-04T00:00:00"/>
    <n v="386.53"/>
    <s v="No"/>
    <s v="Debit Card"/>
    <x v="0"/>
    <s v="Website"/>
    <x v="22"/>
    <s v="Male"/>
    <n v="50"/>
    <x v="1"/>
    <x v="1"/>
    <s v="Email"/>
    <s v=""/>
    <s v=""/>
    <s v=""/>
    <x v="3"/>
    <s v="Prospects"/>
    <d v="2025-02-01T00:00:00"/>
    <d v="2025-04-30T00:00:00"/>
    <n v="20000"/>
    <x v="4"/>
    <n v="386.53"/>
    <s v=""/>
    <s v="Review - response outside campaign dates"/>
    <s v=""/>
  </r>
  <r>
    <x v="377"/>
    <s v="SUP01023"/>
    <x v="5"/>
    <x v="5"/>
    <x v="2"/>
    <d v="2024-11-22T00:00:00"/>
    <n v="168.4"/>
    <s v="No"/>
    <s v="Cheque"/>
    <x v="0"/>
    <s v="Direct Mail"/>
    <x v="4"/>
    <s v="Female"/>
    <n v="59"/>
    <x v="1"/>
    <x v="1"/>
    <s v="Do Not Contact"/>
    <s v=""/>
    <s v=""/>
    <s v=""/>
    <x v="4"/>
    <s v="Volunteers"/>
    <d v="2024-11-22T00:00:00"/>
    <d v="2024-11-22T00:00:00"/>
    <n v="3500"/>
    <x v="3"/>
    <n v="168.4"/>
    <s v=""/>
    <s v=""/>
    <s v=""/>
  </r>
  <r>
    <x v="378"/>
    <s v="SUP01346"/>
    <x v="1"/>
    <x v="1"/>
    <x v="2"/>
    <d v="2024-06-01T00:00:00"/>
    <n v="141.21"/>
    <s v="Yes"/>
    <s v="Cash"/>
    <x v="0"/>
    <s v="Direct Mail"/>
    <x v="29"/>
    <s v="Male"/>
    <n v="49"/>
    <x v="4"/>
    <x v="4"/>
    <s v="Email"/>
    <s v=""/>
    <s v=""/>
    <s v=""/>
    <x v="1"/>
    <s v="Major Donors"/>
    <d v="2024-06-01T00:00:00"/>
    <d v="2024-06-30T00:00:00"/>
    <n v="7000"/>
    <x v="1"/>
    <n v="176.51250000000002"/>
    <s v=""/>
    <s v=""/>
    <s v=""/>
  </r>
  <r>
    <x v="379"/>
    <s v="SUP01243"/>
    <x v="2"/>
    <x v="2"/>
    <x v="0"/>
    <d v="2024-12-24T00:00:00"/>
    <n v="79.069999999999993"/>
    <s v="Yes"/>
    <s v="Cheque"/>
    <x v="4"/>
    <s v="Corporate Partner"/>
    <x v="13"/>
    <s v="Male"/>
    <n v="54"/>
    <x v="1"/>
    <x v="1"/>
    <s v="Phone"/>
    <s v=""/>
    <s v="Review - prefers phone but not opted in"/>
    <s v=""/>
    <x v="2"/>
    <s v="All Active"/>
    <d v="2024-11-01T00:00:00"/>
    <d v="2024-12-31T00:00:00"/>
    <n v="25000"/>
    <x v="2"/>
    <n v="98.837499999999991"/>
    <s v=""/>
    <s v=""/>
    <s v=""/>
  </r>
  <r>
    <x v="380"/>
    <s v="SUP01337"/>
    <x v="3"/>
    <x v="3"/>
    <x v="1"/>
    <d v="2024-10-06T00:00:00"/>
    <n v="24.19"/>
    <s v="Yes"/>
    <s v="Cash"/>
    <x v="5"/>
    <s v="Referral"/>
    <x v="15"/>
    <s v="Male"/>
    <n v="67"/>
    <x v="0"/>
    <x v="0"/>
    <s v="Email"/>
    <s v=""/>
    <s v="Review - prefers email but not opted in"/>
    <s v=""/>
    <x v="2"/>
    <s v="All Supporters"/>
    <d v="2024-09-10T00:00:00"/>
    <d v="2024-10-15T00:00:00"/>
    <n v="15000"/>
    <x v="3"/>
    <n v="30.237500000000001"/>
    <s v=""/>
    <s v=""/>
    <s v=""/>
  </r>
  <r>
    <x v="381"/>
    <s v="SUP01093"/>
    <x v="9"/>
    <x v="9"/>
    <x v="1"/>
    <d v="2024-07-15T00:00:00"/>
    <n v="24.97"/>
    <s v="Yes"/>
    <s v="PayPal"/>
    <x v="3"/>
    <s v="Telephone"/>
    <x v="9"/>
    <s v="Female"/>
    <n v="93"/>
    <x v="0"/>
    <x v="0"/>
    <s v="No Preference"/>
    <s v=""/>
    <s v=""/>
    <s v=""/>
    <x v="4"/>
    <s v="Major Donors"/>
    <d v="2024-07-15T00:00:00"/>
    <d v="2024-07-15T00:00:00"/>
    <n v="45000"/>
    <x v="1"/>
    <n v="31.212499999999999"/>
    <s v=""/>
    <s v=""/>
    <s v=""/>
  </r>
  <r>
    <x v="382"/>
    <s v="SUP01247"/>
    <x v="4"/>
    <x v="4"/>
    <x v="5"/>
    <d v="2025-04-29T00:00:00"/>
    <n v="27.39"/>
    <s v="Yes"/>
    <s v="Direct Debit"/>
    <x v="3"/>
    <s v="Direct Mail"/>
    <x v="18"/>
    <s v="Male"/>
    <n v="27"/>
    <x v="3"/>
    <x v="3"/>
    <s v="Phone"/>
    <s v=""/>
    <s v=""/>
    <s v=""/>
    <x v="3"/>
    <s v="Prospects"/>
    <d v="2025-02-01T00:00:00"/>
    <d v="2025-04-30T00:00:00"/>
    <n v="20000"/>
    <x v="4"/>
    <n v="34.237499999999997"/>
    <s v=""/>
    <s v=""/>
    <s v=""/>
  </r>
  <r>
    <x v="383"/>
    <s v="SUP01388"/>
    <x v="0"/>
    <x v="0"/>
    <x v="4"/>
    <d v="2025-01-26T00:00:00"/>
    <n v="394.88"/>
    <s v="Yes"/>
    <s v="Debit Card"/>
    <x v="0"/>
    <s v="Telephone"/>
    <x v="17"/>
    <s v="Female"/>
    <n v="61"/>
    <x v="1"/>
    <x v="1"/>
    <s v="Email"/>
    <s v=""/>
    <s v=""/>
    <s v=""/>
    <x v="0"/>
    <s v="One-time Donors"/>
    <d v="2025-01-06T00:00:00"/>
    <d v="2025-03-31T00:00:00"/>
    <n v="10000"/>
    <x v="0"/>
    <n v="493.6"/>
    <s v=""/>
    <s v=""/>
    <s v=""/>
  </r>
  <r>
    <x v="384"/>
    <s v="SUP01032"/>
    <x v="8"/>
    <x v="8"/>
    <x v="2"/>
    <d v="2024-11-17T00:00:00"/>
    <n v="96.86"/>
    <s v="Yes"/>
    <s v="Cash"/>
    <x v="2"/>
    <s v="Corporate Partner"/>
    <x v="2"/>
    <s v="Female"/>
    <n v="57"/>
    <x v="1"/>
    <x v="1"/>
    <s v="Phone"/>
    <s v=""/>
    <s v=""/>
    <s v=""/>
    <x v="7"/>
    <s v="All Active"/>
    <d v="2024-10-15T00:00:00"/>
    <d v="2024-12-20T00:00:00"/>
    <n v="12000"/>
    <x v="2"/>
    <n v="121.075"/>
    <s v=""/>
    <s v=""/>
    <s v=""/>
  </r>
  <r>
    <x v="385"/>
    <s v="SUP01275"/>
    <x v="9"/>
    <x v="9"/>
    <x v="2"/>
    <d v="2024-07-15T00:00:00"/>
    <n v="14"/>
    <s v="Yes"/>
    <s v="Online"/>
    <x v="2"/>
    <s v="Event"/>
    <x v="10"/>
    <s v="Female"/>
    <n v="39"/>
    <x v="4"/>
    <x v="4"/>
    <s v="No Preference"/>
    <s v=""/>
    <s v=""/>
    <s v=""/>
    <x v="4"/>
    <s v="Major Donors"/>
    <d v="2024-07-15T00:00:00"/>
    <d v="2024-07-15T00:00:00"/>
    <n v="45000"/>
    <x v="1"/>
    <n v="17.5"/>
    <s v=""/>
    <s v=""/>
    <s v=""/>
  </r>
  <r>
    <x v="386"/>
    <s v="SUP01300"/>
    <x v="6"/>
    <x v="6"/>
    <x v="1"/>
    <d v="2024-10-09T00:00:00"/>
    <n v="12.79"/>
    <s v="No"/>
    <s v="Debit Card"/>
    <x v="5"/>
    <s v="Corporate Partner"/>
    <x v="1"/>
    <s v="Female"/>
    <n v="60"/>
    <x v="1"/>
    <x v="1"/>
    <s v="Post"/>
    <s v=""/>
    <s v=""/>
    <s v=""/>
    <x v="5"/>
    <s v="Over 55s"/>
    <d v="2024-10-07T00:00:00"/>
    <d v="2024-10-13T00:00:00"/>
    <n v="5000"/>
    <x v="1"/>
    <n v="12.79"/>
    <s v=""/>
    <s v=""/>
    <s v=""/>
  </r>
  <r>
    <x v="387"/>
    <s v="SUP01355"/>
    <x v="6"/>
    <x v="6"/>
    <x v="1"/>
    <d v="2024-10-11T00:00:00"/>
    <n v="14.25"/>
    <s v="No"/>
    <s v="Credit Card"/>
    <x v="3"/>
    <s v="Door-To-Door"/>
    <x v="10"/>
    <s v="Male"/>
    <s v=""/>
    <x v="2"/>
    <x v="2"/>
    <s v="No Preference"/>
    <s v=""/>
    <s v=""/>
    <s v="Review - missing DOB"/>
    <x v="5"/>
    <s v="Over 55s"/>
    <d v="2024-10-07T00:00:00"/>
    <d v="2024-10-13T00:00:00"/>
    <n v="5000"/>
    <x v="1"/>
    <n v="14.25"/>
    <s v=""/>
    <s v=""/>
    <s v=""/>
  </r>
  <r>
    <x v="388"/>
    <s v="SUP01054"/>
    <x v="2"/>
    <x v="2"/>
    <x v="3"/>
    <d v="2024-11-11T00:00:00"/>
    <n v="9.42"/>
    <s v="No"/>
    <s v="Online"/>
    <x v="5"/>
    <s v="Social Media"/>
    <x v="9"/>
    <s v="Female"/>
    <s v=""/>
    <x v="2"/>
    <x v="2"/>
    <s v="No Preference"/>
    <s v=""/>
    <s v=""/>
    <s v="Review - missing DOB"/>
    <x v="2"/>
    <s v="All Active"/>
    <d v="2024-11-01T00:00:00"/>
    <d v="2024-12-31T00:00:00"/>
    <n v="25000"/>
    <x v="2"/>
    <n v="9.42"/>
    <s v=""/>
    <s v=""/>
    <s v=""/>
  </r>
  <r>
    <x v="389"/>
    <s v="SUP01201"/>
    <x v="7"/>
    <x v="7"/>
    <x v="1"/>
    <d v="2025-04-22T00:00:00"/>
    <n v="56.34"/>
    <s v="No"/>
    <s v="Cheque"/>
    <x v="6"/>
    <s v="Referral"/>
    <x v="30"/>
    <s v="Female"/>
    <n v="64"/>
    <x v="1"/>
    <x v="1"/>
    <s v="Email"/>
    <s v="Review - duplicate record, see Supporter_Duplicates tab"/>
    <s v=""/>
    <s v=""/>
    <x v="6"/>
    <s v="Regular Givers"/>
    <d v="2025-03-01T00:00:00"/>
    <d v="2025-04-30T00:00:00"/>
    <n v="8000"/>
    <x v="1"/>
    <n v="56.34"/>
    <s v=""/>
    <s v=""/>
    <s v=""/>
  </r>
  <r>
    <x v="390"/>
    <s v="SUP01349"/>
    <x v="4"/>
    <x v="4"/>
    <x v="2"/>
    <d v="2025-04-15T00:00:00"/>
    <n v="427.19"/>
    <s v="Yes"/>
    <s v="Credit Card"/>
    <x v="0"/>
    <s v="Corporate Partner"/>
    <x v="18"/>
    <s v="Male"/>
    <n v="32"/>
    <x v="3"/>
    <x v="3"/>
    <s v="No Preference"/>
    <s v=""/>
    <s v=""/>
    <s v=""/>
    <x v="3"/>
    <s v="Prospects"/>
    <d v="2025-02-01T00:00:00"/>
    <d v="2025-04-30T00:00:00"/>
    <n v="20000"/>
    <x v="4"/>
    <n v="533.98749999999995"/>
    <s v=""/>
    <s v=""/>
    <s v=""/>
  </r>
  <r>
    <x v="391"/>
    <s v="SUP01175"/>
    <x v="5"/>
    <x v="5"/>
    <x v="2"/>
    <d v="2024-11-22T00:00:00"/>
    <n v="-64.38"/>
    <s v="Yes"/>
    <s v="Online"/>
    <x v="4"/>
    <s v="Door-To-Door"/>
    <x v="34"/>
    <s v="Male"/>
    <n v="38"/>
    <x v="4"/>
    <x v="4"/>
    <s v="Post"/>
    <s v=""/>
    <s v="Review - prefers post but not opted in"/>
    <s v=""/>
    <x v="4"/>
    <s v="Volunteers"/>
    <d v="2024-11-22T00:00:00"/>
    <d v="2024-11-22T00:00:00"/>
    <n v="3500"/>
    <x v="3"/>
    <n v="-80.474999999999994"/>
    <s v=""/>
    <s v=""/>
    <s v=""/>
  </r>
  <r>
    <x v="392"/>
    <s v="SUP01259"/>
    <x v="5"/>
    <x v="5"/>
    <x v="2"/>
    <d v="2024-11-22T00:00:00"/>
    <n v="203.11"/>
    <s v="Yes"/>
    <s v="Standing Order"/>
    <x v="6"/>
    <s v="Social Media"/>
    <x v="4"/>
    <s v="Male"/>
    <n v="49"/>
    <x v="4"/>
    <x v="4"/>
    <s v="Email"/>
    <s v=""/>
    <s v=""/>
    <s v=""/>
    <x v="4"/>
    <s v="Volunteers"/>
    <d v="2024-11-22T00:00:00"/>
    <d v="2024-11-22T00:00:00"/>
    <n v="3500"/>
    <x v="3"/>
    <n v="253.88750000000002"/>
    <s v=""/>
    <s v=""/>
    <s v=""/>
  </r>
  <r>
    <x v="393"/>
    <s v="SUP01411"/>
    <x v="9"/>
    <x v="9"/>
    <x v="2"/>
    <d v="2024-07-15T00:00:00"/>
    <n v="4621.22"/>
    <s v="Yes"/>
    <s v="Standing Order"/>
    <x v="1"/>
    <s v="Direct Mail"/>
    <x v="18"/>
    <s v="Male"/>
    <n v="51"/>
    <x v="1"/>
    <x v="1"/>
    <s v="Post"/>
    <s v=""/>
    <s v=""/>
    <s v=""/>
    <x v="4"/>
    <s v="Major Donors"/>
    <d v="2024-07-15T00:00:00"/>
    <d v="2024-07-15T00:00:00"/>
    <n v="45000"/>
    <x v="1"/>
    <n v="5776.5250000000005"/>
    <s v=""/>
    <s v=""/>
    <s v=""/>
  </r>
  <r>
    <x v="394"/>
    <s v="SUP01313"/>
    <x v="3"/>
    <x v="3"/>
    <x v="1"/>
    <d v="2024-09-16T00:00:00"/>
    <n v="23.88"/>
    <s v="No"/>
    <s v="Online"/>
    <x v="5"/>
    <s v="Corporate Partner"/>
    <x v="28"/>
    <s v="Female"/>
    <n v="36"/>
    <x v="4"/>
    <x v="4"/>
    <s v="Do Not Contact"/>
    <s v=""/>
    <s v=""/>
    <s v=""/>
    <x v="2"/>
    <s v="All Supporters"/>
    <d v="2024-09-10T00:00:00"/>
    <d v="2024-10-15T00:00:00"/>
    <n v="15000"/>
    <x v="3"/>
    <n v="23.88"/>
    <s v=""/>
    <s v=""/>
    <s v=""/>
  </r>
  <r>
    <x v="395"/>
    <s v="SUP01498"/>
    <x v="2"/>
    <x v="2"/>
    <x v="1"/>
    <d v="2024-11-28T00:00:00"/>
    <n v="7.87"/>
    <s v="Yes"/>
    <s v="Debit Card"/>
    <x v="5"/>
    <s v="Referral"/>
    <x v="28"/>
    <s v="Female"/>
    <n v="32"/>
    <x v="3"/>
    <x v="3"/>
    <s v="Phone"/>
    <s v=""/>
    <s v=""/>
    <s v=""/>
    <x v="2"/>
    <s v="All Active"/>
    <d v="2024-11-01T00:00:00"/>
    <d v="2024-12-31T00:00:00"/>
    <n v="25000"/>
    <x v="2"/>
    <n v="9.8375000000000004"/>
    <s v=""/>
    <s v=""/>
    <s v=""/>
  </r>
  <r>
    <x v="396"/>
    <s v="SUP01335"/>
    <x v="0"/>
    <x v="0"/>
    <x v="0"/>
    <d v="2025-02-16T00:00:00"/>
    <n v="27.11"/>
    <s v="Yes"/>
    <s v="PayPal"/>
    <x v="5"/>
    <s v="Direct Mail"/>
    <x v="5"/>
    <s v="Female"/>
    <s v=""/>
    <x v="2"/>
    <x v="2"/>
    <s v="No Preference"/>
    <s v=""/>
    <s v=""/>
    <s v="Review - missing DOB"/>
    <x v="0"/>
    <s v="One-time Donors"/>
    <d v="2025-01-06T00:00:00"/>
    <d v="2025-03-31T00:00:00"/>
    <n v="10000"/>
    <x v="0"/>
    <n v="33.887500000000003"/>
    <s v=""/>
    <s v=""/>
    <s v=""/>
  </r>
  <r>
    <x v="397"/>
    <s v="SUP01114"/>
    <x v="4"/>
    <x v="4"/>
    <x v="0"/>
    <d v="2025-03-19T00:00:00"/>
    <n v="29.17"/>
    <s v="Yes"/>
    <s v="Online"/>
    <x v="5"/>
    <s v="Website"/>
    <x v="20"/>
    <s v="Female"/>
    <n v="38"/>
    <x v="4"/>
    <x v="4"/>
    <s v="No Preference"/>
    <s v=""/>
    <s v=""/>
    <s v=""/>
    <x v="3"/>
    <s v="Prospects"/>
    <d v="2025-02-01T00:00:00"/>
    <d v="2025-04-30T00:00:00"/>
    <n v="20000"/>
    <x v="4"/>
    <n v="36.462500000000006"/>
    <s v=""/>
    <s v=""/>
    <s v=""/>
  </r>
  <r>
    <x v="398"/>
    <s v="SUP01252"/>
    <x v="3"/>
    <x v="3"/>
    <x v="2"/>
    <d v="2024-10-03T00:00:00"/>
    <n v="12.25"/>
    <s v="Yes"/>
    <s v="Cheque"/>
    <x v="5"/>
    <s v="Telephone"/>
    <x v="26"/>
    <s v="Female"/>
    <n v="69"/>
    <x v="0"/>
    <x v="0"/>
    <s v="Phone"/>
    <s v=""/>
    <s v=""/>
    <s v=""/>
    <x v="2"/>
    <s v="All Supporters"/>
    <d v="2024-09-10T00:00:00"/>
    <d v="2024-10-15T00:00:00"/>
    <n v="15000"/>
    <x v="3"/>
    <n v="15.3125"/>
    <s v=""/>
    <s v=""/>
    <s v=""/>
  </r>
  <r>
    <x v="399"/>
    <s v="SUP01295"/>
    <x v="6"/>
    <x v="6"/>
    <x v="1"/>
    <d v="2024-10-12T00:00:00"/>
    <n v="26.76"/>
    <s v="Yes"/>
    <s v="Standing Order"/>
    <x v="5"/>
    <s v="Direct Mail"/>
    <x v="4"/>
    <s v="Female"/>
    <n v="64"/>
    <x v="1"/>
    <x v="1"/>
    <s v="Post"/>
    <s v=""/>
    <s v="Review - prefers post but not opted in"/>
    <s v=""/>
    <x v="5"/>
    <s v="Over 55s"/>
    <d v="2024-10-07T00:00:00"/>
    <d v="2024-10-13T00:00:00"/>
    <n v="5000"/>
    <x v="1"/>
    <n v="33.450000000000003"/>
    <s v=""/>
    <s v=""/>
    <s v=""/>
  </r>
  <r>
    <x v="400"/>
    <s v="SUP01477"/>
    <x v="2"/>
    <x v="2"/>
    <x v="3"/>
    <d v="2024-11-07T00:00:00"/>
    <n v="15.74"/>
    <s v="No"/>
    <s v="Cash"/>
    <x v="3"/>
    <s v="Social Media"/>
    <x v="32"/>
    <s v="Male"/>
    <n v="52"/>
    <x v="1"/>
    <x v="1"/>
    <s v="No Preference"/>
    <s v=""/>
    <s v=""/>
    <s v=""/>
    <x v="2"/>
    <s v="All Active"/>
    <d v="2024-11-01T00:00:00"/>
    <d v="2024-12-31T00:00:00"/>
    <n v="25000"/>
    <x v="2"/>
    <n v="15.74"/>
    <s v=""/>
    <s v=""/>
    <s v=""/>
  </r>
  <r>
    <x v="401"/>
    <s v="SUP01438"/>
    <x v="2"/>
    <x v="2"/>
    <x v="1"/>
    <d v="2024-12-31T00:00:00"/>
    <n v="69"/>
    <s v="No"/>
    <s v="Credit Card"/>
    <x v="6"/>
    <s v="Event"/>
    <x v="10"/>
    <s v="Male"/>
    <n v="30"/>
    <x v="3"/>
    <x v="3"/>
    <s v="Email"/>
    <s v=""/>
    <s v="Review - prefers email but not opted in"/>
    <s v=""/>
    <x v="2"/>
    <s v="All Active"/>
    <d v="2024-11-01T00:00:00"/>
    <d v="2024-12-31T00:00:00"/>
    <n v="25000"/>
    <x v="2"/>
    <n v="69"/>
    <s v=""/>
    <s v=""/>
    <s v=""/>
  </r>
  <r>
    <x v="402"/>
    <s v="SUP01148"/>
    <x v="1"/>
    <x v="1"/>
    <x v="2"/>
    <d v="2024-06-16T00:00:00"/>
    <n v="793.24"/>
    <s v="No"/>
    <s v="Standing Order"/>
    <x v="1"/>
    <s v="Direct Mail"/>
    <x v="3"/>
    <s v="Female"/>
    <n v="61"/>
    <x v="1"/>
    <x v="1"/>
    <s v="Email"/>
    <s v=""/>
    <s v=""/>
    <s v=""/>
    <x v="1"/>
    <s v="Major Donors"/>
    <d v="2024-06-01T00:00:00"/>
    <d v="2024-06-30T00:00:00"/>
    <n v="7000"/>
    <x v="1"/>
    <n v="793.24"/>
    <s v=""/>
    <s v=""/>
    <s v=""/>
  </r>
  <r>
    <x v="403"/>
    <s v="SUP01188"/>
    <x v="9"/>
    <x v="9"/>
    <x v="2"/>
    <d v="2024-07-15T00:00:00"/>
    <n v="40.81"/>
    <s v="Yes"/>
    <s v="Cheque"/>
    <x v="3"/>
    <s v="Telephone"/>
    <x v="28"/>
    <s v="Male"/>
    <n v="86"/>
    <x v="0"/>
    <x v="0"/>
    <s v="Post"/>
    <s v=""/>
    <s v=""/>
    <s v=""/>
    <x v="4"/>
    <s v="Major Donors"/>
    <d v="2024-07-15T00:00:00"/>
    <d v="2024-07-15T00:00:00"/>
    <n v="45000"/>
    <x v="1"/>
    <n v="51.012500000000003"/>
    <s v=""/>
    <s v=""/>
    <s v=""/>
  </r>
  <r>
    <x v="404"/>
    <s v="SUP01241"/>
    <x v="1"/>
    <x v="1"/>
    <x v="2"/>
    <d v="2024-06-11T00:00:00"/>
    <n v="144.6"/>
    <s v="Yes"/>
    <s v="PayPal"/>
    <x v="4"/>
    <s v="Social Media"/>
    <x v="34"/>
    <s v="Female"/>
    <n v="58"/>
    <x v="1"/>
    <x v="1"/>
    <s v="Email"/>
    <s v=""/>
    <s v=""/>
    <s v=""/>
    <x v="1"/>
    <s v="Major Donors"/>
    <d v="2024-06-01T00:00:00"/>
    <d v="2024-06-30T00:00:00"/>
    <n v="7000"/>
    <x v="1"/>
    <n v="180.75"/>
    <s v=""/>
    <s v=""/>
    <s v=""/>
  </r>
  <r>
    <x v="405"/>
    <s v="SUP01233"/>
    <x v="6"/>
    <x v="6"/>
    <x v="1"/>
    <d v="2024-08-10T00:00:00"/>
    <n v="79.510000000000005"/>
    <s v="Yes"/>
    <s v="PayPal"/>
    <x v="2"/>
    <s v="Telephone"/>
    <x v="7"/>
    <s v="Female"/>
    <n v="48"/>
    <x v="4"/>
    <x v="4"/>
    <s v="Post"/>
    <s v=""/>
    <s v=""/>
    <s v=""/>
    <x v="5"/>
    <s v="Over 55s"/>
    <d v="2024-10-07T00:00:00"/>
    <d v="2024-10-13T00:00:00"/>
    <n v="5000"/>
    <x v="1"/>
    <n v="99.387500000000003"/>
    <s v=""/>
    <s v="Review - response outside campaign dates"/>
    <s v=""/>
  </r>
  <r>
    <x v="406"/>
    <s v="SUP01179"/>
    <x v="9"/>
    <x v="9"/>
    <x v="1"/>
    <d v="2024-07-15T00:00:00"/>
    <n v="40.61"/>
    <s v="Yes"/>
    <s v="Online"/>
    <x v="6"/>
    <s v="Direct Mail"/>
    <x v="13"/>
    <s v="Male"/>
    <n v="65"/>
    <x v="0"/>
    <x v="0"/>
    <s v="Do Not Contact"/>
    <s v=""/>
    <s v=""/>
    <s v=""/>
    <x v="4"/>
    <s v="Major Donors"/>
    <d v="2024-07-15T00:00:00"/>
    <d v="2024-07-15T00:00:00"/>
    <n v="45000"/>
    <x v="1"/>
    <n v="50.762500000000003"/>
    <s v=""/>
    <s v=""/>
    <s v=""/>
  </r>
  <r>
    <x v="407"/>
    <s v="SUP01043"/>
    <x v="8"/>
    <x v="8"/>
    <x v="1"/>
    <d v="2024-10-17T00:00:00"/>
    <n v="181.96"/>
    <s v="No"/>
    <s v="PayPal"/>
    <x v="0"/>
    <s v="Corporate Partner"/>
    <x v="31"/>
    <s v="Male"/>
    <n v="94"/>
    <x v="0"/>
    <x v="0"/>
    <s v="Phone"/>
    <s v=""/>
    <s v="Review - prefers phone but not opted in"/>
    <s v=""/>
    <x v="7"/>
    <s v="All Active"/>
    <d v="2024-10-15T00:00:00"/>
    <d v="2024-12-20T00:00:00"/>
    <n v="12000"/>
    <x v="2"/>
    <n v="181.96"/>
    <s v=""/>
    <s v=""/>
    <s v=""/>
  </r>
  <r>
    <x v="408"/>
    <s v="SUP01424"/>
    <x v="7"/>
    <x v="7"/>
    <x v="1"/>
    <d v="2025-03-16T00:00:00"/>
    <n v="262.93"/>
    <s v="Yes"/>
    <s v="Online"/>
    <x v="0"/>
    <s v="Direct Mail"/>
    <x v="19"/>
    <s v="Male"/>
    <s v=""/>
    <x v="2"/>
    <x v="2"/>
    <s v="Phone"/>
    <s v=""/>
    <s v=""/>
    <s v="Review - missing DOB"/>
    <x v="6"/>
    <s v="Regular Givers"/>
    <d v="2025-03-01T00:00:00"/>
    <d v="2025-04-30T00:00:00"/>
    <n v="8000"/>
    <x v="1"/>
    <n v="328.66250000000002"/>
    <s v=""/>
    <s v=""/>
    <s v=""/>
  </r>
  <r>
    <x v="409"/>
    <s v="SUP01361"/>
    <x v="8"/>
    <x v="8"/>
    <x v="2"/>
    <d v="2024-11-07T00:00:00"/>
    <n v="187.82"/>
    <s v="No"/>
    <s v="Direct Debit"/>
    <x v="0"/>
    <s v="Referral"/>
    <x v="24"/>
    <s v="Male"/>
    <n v="60"/>
    <x v="1"/>
    <x v="1"/>
    <s v="Email"/>
    <s v=""/>
    <s v=""/>
    <s v=""/>
    <x v="7"/>
    <s v="All Active"/>
    <d v="2024-10-15T00:00:00"/>
    <d v="2024-12-20T00:00:00"/>
    <n v="12000"/>
    <x v="2"/>
    <n v="187.82"/>
    <s v=""/>
    <s v=""/>
    <s v=""/>
  </r>
  <r>
    <x v="410"/>
    <s v="SUP01407"/>
    <x v="9"/>
    <x v="9"/>
    <x v="2"/>
    <d v="2024-07-15T00:00:00"/>
    <n v="192.36"/>
    <s v="No"/>
    <s v="Online"/>
    <x v="1"/>
    <s v="Corporate Partner"/>
    <x v="19"/>
    <s v="Male"/>
    <n v="68"/>
    <x v="0"/>
    <x v="0"/>
    <s v="Post"/>
    <s v=""/>
    <s v=""/>
    <s v=""/>
    <x v="4"/>
    <s v="Major Donors"/>
    <d v="2024-07-15T00:00:00"/>
    <d v="2024-07-15T00:00:00"/>
    <n v="45000"/>
    <x v="1"/>
    <n v="192.36"/>
    <s v=""/>
    <s v=""/>
    <s v=""/>
  </r>
  <r>
    <x v="411"/>
    <s v="SUP01499"/>
    <x v="5"/>
    <x v="5"/>
    <x v="2"/>
    <d v="2024-11-22T00:00:00"/>
    <n v="185.07"/>
    <s v="Yes"/>
    <s v="Cheque"/>
    <x v="6"/>
    <s v="Door-To-Door"/>
    <x v="5"/>
    <s v="Female"/>
    <n v="59"/>
    <x v="1"/>
    <x v="1"/>
    <s v="Post"/>
    <s v=""/>
    <s v="Review - prefers post but not opted in"/>
    <s v=""/>
    <x v="4"/>
    <s v="Volunteers"/>
    <d v="2024-11-22T00:00:00"/>
    <d v="2024-11-22T00:00:00"/>
    <n v="3500"/>
    <x v="3"/>
    <n v="231.33749999999998"/>
    <s v=""/>
    <s v=""/>
    <s v=""/>
  </r>
  <r>
    <x v="412"/>
    <s v="SUP01467"/>
    <x v="8"/>
    <x v="8"/>
    <x v="2"/>
    <d v="2024-11-05T00:00:00"/>
    <n v="316.02"/>
    <s v="Yes"/>
    <s v="Direct Debit"/>
    <x v="0"/>
    <s v="Social Media"/>
    <x v="21"/>
    <s v="Female"/>
    <n v="83"/>
    <x v="0"/>
    <x v="0"/>
    <s v="Email"/>
    <s v=""/>
    <s v=""/>
    <s v=""/>
    <x v="7"/>
    <s v="All Active"/>
    <d v="2024-10-15T00:00:00"/>
    <d v="2024-12-20T00:00:00"/>
    <n v="12000"/>
    <x v="2"/>
    <n v="395.02499999999998"/>
    <s v=""/>
    <s v=""/>
    <s v=""/>
  </r>
  <r>
    <x v="413"/>
    <s v="SUP01091"/>
    <x v="0"/>
    <x v="0"/>
    <x v="1"/>
    <d v="2025-03-05T00:00:00"/>
    <n v="340.61"/>
    <s v="Yes"/>
    <s v="Cash"/>
    <x v="0"/>
    <s v="Telephone"/>
    <x v="17"/>
    <s v="Female"/>
    <n v="39"/>
    <x v="4"/>
    <x v="4"/>
    <s v="No Preference"/>
    <s v=""/>
    <s v=""/>
    <s v=""/>
    <x v="0"/>
    <s v="One-time Donors"/>
    <d v="2025-01-06T00:00:00"/>
    <d v="2025-03-31T00:00:00"/>
    <n v="10000"/>
    <x v="0"/>
    <n v="425.76250000000005"/>
    <s v=""/>
    <s v=""/>
    <s v=""/>
  </r>
  <r>
    <x v="414"/>
    <s v="SUP01171"/>
    <x v="8"/>
    <x v="8"/>
    <x v="0"/>
    <d v="2024-11-24T00:00:00"/>
    <n v="11.13"/>
    <s v="Yes"/>
    <s v="Cheque"/>
    <x v="2"/>
    <s v="Direct Mail"/>
    <x v="32"/>
    <s v="Female"/>
    <n v="28"/>
    <x v="3"/>
    <x v="3"/>
    <s v="Email"/>
    <s v=""/>
    <s v=""/>
    <s v=""/>
    <x v="7"/>
    <s v="All Active"/>
    <d v="2024-10-15T00:00:00"/>
    <d v="2024-12-20T00:00:00"/>
    <n v="12000"/>
    <x v="2"/>
    <n v="13.912500000000001"/>
    <s v=""/>
    <s v=""/>
    <s v=""/>
  </r>
  <r>
    <x v="415"/>
    <s v="SUP01210"/>
    <x v="0"/>
    <x v="0"/>
    <x v="0"/>
    <d v="2025-02-03T00:00:00"/>
    <n v="142.57"/>
    <s v="Yes"/>
    <s v="Cash"/>
    <x v="4"/>
    <s v="Direct Mail"/>
    <x v="1"/>
    <s v="Female"/>
    <n v="63"/>
    <x v="1"/>
    <x v="1"/>
    <s v="Email"/>
    <s v=""/>
    <s v=""/>
    <s v=""/>
    <x v="0"/>
    <s v="One-time Donors"/>
    <d v="2025-01-06T00:00:00"/>
    <d v="2025-03-31T00:00:00"/>
    <n v="10000"/>
    <x v="0"/>
    <n v="178.21249999999998"/>
    <s v=""/>
    <s v=""/>
    <s v=""/>
  </r>
  <r>
    <x v="416"/>
    <s v="SUP00850"/>
    <x v="7"/>
    <x v="7"/>
    <x v="2"/>
    <d v="2025-04-24T00:00:00"/>
    <n v="65.66"/>
    <s v="No"/>
    <s v="Debit Card"/>
    <x v="2"/>
    <s v="Event"/>
    <x v="12"/>
    <s v="Female"/>
    <n v="32"/>
    <x v="3"/>
    <x v="3"/>
    <s v="Post"/>
    <s v=""/>
    <s v="Review - prefers post but not opted in"/>
    <s v=""/>
    <x v="6"/>
    <s v="Regular Givers"/>
    <d v="2025-03-01T00:00:00"/>
    <d v="2025-04-30T00:00:00"/>
    <n v="8000"/>
    <x v="1"/>
    <n v="65.66"/>
    <s v=""/>
    <s v=""/>
    <s v=""/>
  </r>
  <r>
    <x v="417"/>
    <s v="SUP00720"/>
    <x v="1"/>
    <x v="1"/>
    <x v="1"/>
    <d v="2024-06-16T00:00:00"/>
    <n v="60.93"/>
    <s v="Yes"/>
    <s v="Standing Order"/>
    <x v="4"/>
    <s v="Website"/>
    <x v="27"/>
    <s v="Male"/>
    <n v="65"/>
    <x v="0"/>
    <x v="0"/>
    <s v="Email"/>
    <s v=""/>
    <s v=""/>
    <s v=""/>
    <x v="1"/>
    <s v="Major Donors"/>
    <d v="2024-06-01T00:00:00"/>
    <d v="2024-06-30T00:00:00"/>
    <n v="7000"/>
    <x v="1"/>
    <n v="76.162499999999994"/>
    <s v=""/>
    <s v=""/>
    <s v=""/>
  </r>
  <r>
    <x v="418"/>
    <s v="SUP01064"/>
    <x v="1"/>
    <x v="1"/>
    <x v="2"/>
    <d v="2024-06-15T00:00:00"/>
    <n v="39.909999999999997"/>
    <s v="Yes"/>
    <s v="Online"/>
    <x v="3"/>
    <s v="Direct Mail"/>
    <x v="20"/>
    <s v="Female"/>
    <n v="69"/>
    <x v="0"/>
    <x v="0"/>
    <s v="No Preference"/>
    <s v=""/>
    <s v=""/>
    <s v=""/>
    <x v="1"/>
    <s v="Major Donors"/>
    <d v="2024-06-01T00:00:00"/>
    <d v="2024-06-30T00:00:00"/>
    <n v="7000"/>
    <x v="1"/>
    <n v="49.887499999999996"/>
    <s v=""/>
    <s v=""/>
    <s v=""/>
  </r>
  <r>
    <x v="419"/>
    <s v="SUP01475"/>
    <x v="9"/>
    <x v="9"/>
    <x v="2"/>
    <d v="2024-07-15T00:00:00"/>
    <n v="135.63"/>
    <s v="Yes"/>
    <s v="PayPal"/>
    <x v="4"/>
    <s v="Referral"/>
    <x v="3"/>
    <s v="Female"/>
    <n v="44"/>
    <x v="4"/>
    <x v="4"/>
    <s v="No Preference"/>
    <s v=""/>
    <s v=""/>
    <s v=""/>
    <x v="4"/>
    <s v="Major Donors"/>
    <d v="2024-07-15T00:00:00"/>
    <d v="2024-07-15T00:00:00"/>
    <n v="45000"/>
    <x v="1"/>
    <n v="169.53749999999999"/>
    <s v=""/>
    <s v=""/>
    <s v=""/>
  </r>
  <r>
    <x v="420"/>
    <s v="SUP01292"/>
    <x v="1"/>
    <x v="1"/>
    <x v="2"/>
    <d v="2024-06-18T00:00:00"/>
    <n v="75.87"/>
    <s v="Yes"/>
    <s v="Online"/>
    <x v="2"/>
    <s v="Corporate Partner"/>
    <x v="36"/>
    <s v="Male"/>
    <n v="77"/>
    <x v="0"/>
    <x v="0"/>
    <s v="Email"/>
    <s v=""/>
    <s v=""/>
    <s v=""/>
    <x v="1"/>
    <s v="Major Donors"/>
    <d v="2024-06-01T00:00:00"/>
    <d v="2024-06-30T00:00:00"/>
    <n v="7000"/>
    <x v="1"/>
    <n v="94.837500000000006"/>
    <s v=""/>
    <s v=""/>
    <s v=""/>
  </r>
  <r>
    <x v="421"/>
    <s v="SUP01414"/>
    <x v="9"/>
    <x v="9"/>
    <x v="1"/>
    <d v="2024-07-15T00:00:00"/>
    <n v="11.98"/>
    <s v="No"/>
    <s v="Online"/>
    <x v="5"/>
    <s v="Website"/>
    <x v="10"/>
    <s v="Female"/>
    <n v="54"/>
    <x v="1"/>
    <x v="1"/>
    <s v="Email"/>
    <s v=""/>
    <s v="Review - prefers email but not opted in"/>
    <s v=""/>
    <x v="4"/>
    <s v="Major Donors"/>
    <d v="2024-07-15T00:00:00"/>
    <d v="2024-07-15T00:00:00"/>
    <n v="45000"/>
    <x v="1"/>
    <n v="11.98"/>
    <s v=""/>
    <s v=""/>
    <s v=""/>
  </r>
  <r>
    <x v="422"/>
    <s v="SUP01258"/>
    <x v="8"/>
    <x v="8"/>
    <x v="1"/>
    <d v="2024-11-12T00:00:00"/>
    <n v="60.85"/>
    <s v="No"/>
    <s v="Standing Order"/>
    <x v="2"/>
    <s v="Corporate Partner"/>
    <x v="32"/>
    <s v="Female"/>
    <n v="77"/>
    <x v="0"/>
    <x v="0"/>
    <s v="Email"/>
    <s v=""/>
    <s v=""/>
    <s v=""/>
    <x v="7"/>
    <s v="All Active"/>
    <d v="2024-10-15T00:00:00"/>
    <d v="2024-12-20T00:00:00"/>
    <n v="12000"/>
    <x v="2"/>
    <n v="60.85"/>
    <s v=""/>
    <s v=""/>
    <s v=""/>
  </r>
  <r>
    <x v="423"/>
    <m/>
    <x v="5"/>
    <x v="5"/>
    <x v="1"/>
    <d v="2024-11-22T00:00:00"/>
    <n v="1077.1099999999999"/>
    <s v="Yes"/>
    <s v="Debit Card"/>
    <x v="7"/>
    <s v=""/>
    <x v="35"/>
    <s v=""/>
    <s v=""/>
    <x v="2"/>
    <x v="2"/>
    <s v=""/>
    <s v=""/>
    <s v=""/>
    <s v="Review - missing DOB"/>
    <x v="4"/>
    <s v="Volunteers"/>
    <d v="2024-11-22T00:00:00"/>
    <d v="2024-11-22T00:00:00"/>
    <n v="3500"/>
    <x v="3"/>
    <n v="1346.3874999999998"/>
    <s v="Review - missing supporter ID"/>
    <s v=""/>
    <s v=""/>
  </r>
  <r>
    <x v="424"/>
    <s v="SUP01119"/>
    <x v="9"/>
    <x v="9"/>
    <x v="1"/>
    <d v="2024-07-15T00:00:00"/>
    <n v="88.41"/>
    <s v="No"/>
    <s v="Online"/>
    <x v="6"/>
    <s v="Corporate Partner"/>
    <x v="8"/>
    <s v="Female"/>
    <n v="76"/>
    <x v="0"/>
    <x v="0"/>
    <s v="Email"/>
    <s v=""/>
    <s v="Review - prefers email but not opted in"/>
    <s v=""/>
    <x v="4"/>
    <s v="Major Donors"/>
    <d v="2024-07-15T00:00:00"/>
    <d v="2024-07-15T00:00:00"/>
    <n v="45000"/>
    <x v="1"/>
    <n v="88.41"/>
    <s v=""/>
    <s v=""/>
    <s v=""/>
  </r>
  <r>
    <x v="425"/>
    <s v="SUP01176"/>
    <x v="7"/>
    <x v="7"/>
    <x v="1"/>
    <d v="2025-03-01T00:00:00"/>
    <n v="154.41999999999999"/>
    <s v="No"/>
    <s v="Standing Order"/>
    <x v="0"/>
    <s v="Referral"/>
    <x v="9"/>
    <s v="Male"/>
    <n v="67"/>
    <x v="0"/>
    <x v="0"/>
    <s v="Post"/>
    <s v=""/>
    <s v=""/>
    <s v=""/>
    <x v="6"/>
    <s v="Regular Givers"/>
    <d v="2025-03-01T00:00:00"/>
    <d v="2025-04-30T00:00:00"/>
    <n v="8000"/>
    <x v="1"/>
    <n v="154.41999999999999"/>
    <s v=""/>
    <s v=""/>
    <s v=""/>
  </r>
  <r>
    <x v="426"/>
    <s v="SUP01009"/>
    <x v="8"/>
    <x v="8"/>
    <x v="0"/>
    <d v="2024-12-03T00:00:00"/>
    <n v="158.93"/>
    <s v="No"/>
    <s v="PayPal"/>
    <x v="6"/>
    <s v="Direct Mail"/>
    <x v="6"/>
    <s v="Female"/>
    <n v="64"/>
    <x v="1"/>
    <x v="1"/>
    <s v="Post"/>
    <s v=""/>
    <s v="Review - prefers post but not opted in"/>
    <s v=""/>
    <x v="7"/>
    <s v="All Active"/>
    <d v="2024-10-15T00:00:00"/>
    <d v="2024-12-20T00:00:00"/>
    <n v="12000"/>
    <x v="2"/>
    <n v="158.93"/>
    <s v=""/>
    <s v=""/>
    <s v=""/>
  </r>
  <r>
    <x v="427"/>
    <s v="SUP01113"/>
    <x v="3"/>
    <x v="3"/>
    <x v="1"/>
    <d v="2024-09-23T00:00:00"/>
    <n v="19.82"/>
    <s v="Yes"/>
    <s v="Cash"/>
    <x v="5"/>
    <s v="Door-To-Door"/>
    <x v="17"/>
    <s v="Female"/>
    <n v="50"/>
    <x v="1"/>
    <x v="1"/>
    <s v="Post"/>
    <s v=""/>
    <s v=""/>
    <s v=""/>
    <x v="2"/>
    <s v="All Supporters"/>
    <d v="2024-09-10T00:00:00"/>
    <d v="2024-10-15T00:00:00"/>
    <n v="15000"/>
    <x v="3"/>
    <n v="24.774999999999999"/>
    <s v=""/>
    <s v=""/>
    <s v=""/>
  </r>
  <r>
    <x v="428"/>
    <s v="SUP01440"/>
    <x v="9"/>
    <x v="9"/>
    <x v="2"/>
    <d v="2024-07-15T00:00:00"/>
    <n v="112.59"/>
    <s v="No"/>
    <s v="Cheque"/>
    <x v="4"/>
    <s v="Corporate Partner"/>
    <x v="3"/>
    <s v="Male"/>
    <n v="32"/>
    <x v="3"/>
    <x v="3"/>
    <s v="Email"/>
    <s v=""/>
    <s v=""/>
    <s v=""/>
    <x v="4"/>
    <s v="Major Donors"/>
    <d v="2024-07-15T00:00:00"/>
    <d v="2024-07-15T00:00:00"/>
    <n v="45000"/>
    <x v="1"/>
    <n v="112.59"/>
    <s v=""/>
    <s v=""/>
    <s v=""/>
  </r>
  <r>
    <x v="429"/>
    <s v="SUP01190"/>
    <x v="8"/>
    <x v="8"/>
    <x v="2"/>
    <d v="2024-10-27T00:00:00"/>
    <n v="25.16"/>
    <s v="Yes"/>
    <s v="Online"/>
    <x v="5"/>
    <s v="Direct Mail"/>
    <x v="0"/>
    <s v="Male"/>
    <n v="44"/>
    <x v="4"/>
    <x v="4"/>
    <s v="No Preference"/>
    <s v=""/>
    <s v=""/>
    <s v=""/>
    <x v="7"/>
    <s v="All Active"/>
    <d v="2024-10-15T00:00:00"/>
    <d v="2024-12-20T00:00:00"/>
    <n v="12000"/>
    <x v="2"/>
    <n v="31.45"/>
    <s v=""/>
    <s v=""/>
    <s v=""/>
  </r>
  <r>
    <x v="430"/>
    <s v="SUP01180"/>
    <x v="5"/>
    <x v="5"/>
    <x v="2"/>
    <d v="2024-11-22T00:00:00"/>
    <n v="218.83"/>
    <s v="Yes"/>
    <s v="Direct Debit"/>
    <x v="6"/>
    <s v="Telephone"/>
    <x v="11"/>
    <s v="Female"/>
    <n v="44"/>
    <x v="4"/>
    <x v="4"/>
    <s v="Post"/>
    <s v=""/>
    <s v=""/>
    <s v=""/>
    <x v="4"/>
    <s v="Volunteers"/>
    <d v="2024-11-22T00:00:00"/>
    <d v="2024-11-22T00:00:00"/>
    <n v="3500"/>
    <x v="3"/>
    <n v="273.53750000000002"/>
    <s v=""/>
    <s v=""/>
    <s v=""/>
  </r>
  <r>
    <x v="431"/>
    <s v="SUP01246"/>
    <x v="9"/>
    <x v="9"/>
    <x v="2"/>
    <d v="2024-07-15T00:00:00"/>
    <n v="89.85"/>
    <s v="No"/>
    <s v="Credit Card"/>
    <x v="4"/>
    <s v="Direct Mail"/>
    <x v="11"/>
    <s v="Female"/>
    <n v="75"/>
    <x v="0"/>
    <x v="0"/>
    <s v="No Preference"/>
    <s v=""/>
    <s v=""/>
    <s v=""/>
    <x v="4"/>
    <s v="Major Donors"/>
    <d v="2024-07-15T00:00:00"/>
    <d v="2024-07-15T00:00:00"/>
    <n v="45000"/>
    <x v="1"/>
    <n v="89.85"/>
    <s v=""/>
    <s v=""/>
    <s v=""/>
  </r>
  <r>
    <x v="432"/>
    <s v="SUP01296"/>
    <x v="6"/>
    <x v="6"/>
    <x v="1"/>
    <d v="2024-10-08T00:00:00"/>
    <n v="99.92"/>
    <s v="No"/>
    <s v="Credit Card"/>
    <x v="4"/>
    <s v="Door-To-Door"/>
    <x v="0"/>
    <s v="Male"/>
    <n v="63"/>
    <x v="1"/>
    <x v="1"/>
    <s v="Email"/>
    <s v=""/>
    <s v=""/>
    <s v=""/>
    <x v="5"/>
    <s v="Over 55s"/>
    <d v="2024-10-07T00:00:00"/>
    <d v="2024-10-13T00:00:00"/>
    <n v="5000"/>
    <x v="1"/>
    <n v="99.92"/>
    <s v=""/>
    <s v=""/>
    <s v=""/>
  </r>
  <r>
    <x v="433"/>
    <s v="SUP00610"/>
    <x v="2"/>
    <x v="2"/>
    <x v="3"/>
    <d v="2024-11-25T00:00:00"/>
    <n v="46.07"/>
    <s v="No"/>
    <s v="Direct Debit"/>
    <x v="3"/>
    <s v="Door-To-Door"/>
    <x v="30"/>
    <s v="Male"/>
    <n v="59"/>
    <x v="1"/>
    <x v="1"/>
    <s v="Post"/>
    <s v="Review - duplicate record, see Supporter_Duplicates tab"/>
    <s v=""/>
    <s v=""/>
    <x v="2"/>
    <s v="All Active"/>
    <d v="2024-11-01T00:00:00"/>
    <d v="2024-12-31T00:00:00"/>
    <n v="25000"/>
    <x v="2"/>
    <n v="46.07"/>
    <s v=""/>
    <s v=""/>
    <s v=""/>
  </r>
  <r>
    <x v="434"/>
    <s v="SUP01050"/>
    <x v="0"/>
    <x v="0"/>
    <x v="4"/>
    <d v="2025-03-29T00:00:00"/>
    <n v="33.81"/>
    <s v="Yes"/>
    <s v="Credit Card"/>
    <x v="2"/>
    <s v="Social Media"/>
    <x v="14"/>
    <s v="Male"/>
    <n v="40"/>
    <x v="4"/>
    <x v="4"/>
    <s v="Post"/>
    <s v=""/>
    <s v=""/>
    <s v=""/>
    <x v="0"/>
    <s v="One-time Donors"/>
    <d v="2025-01-06T00:00:00"/>
    <d v="2025-03-31T00:00:00"/>
    <n v="10000"/>
    <x v="0"/>
    <n v="42.262500000000003"/>
    <s v=""/>
    <s v=""/>
    <s v=""/>
  </r>
  <r>
    <x v="435"/>
    <s v="SUP01454"/>
    <x v="5"/>
    <x v="5"/>
    <x v="2"/>
    <d v="2024-11-22T00:00:00"/>
    <n v="252.35"/>
    <s v="Yes"/>
    <s v="PayPal"/>
    <x v="0"/>
    <s v="Corporate Partner"/>
    <x v="30"/>
    <s v="Male"/>
    <n v="85"/>
    <x v="0"/>
    <x v="0"/>
    <s v="No Preference"/>
    <s v=""/>
    <s v=""/>
    <s v=""/>
    <x v="4"/>
    <s v="Volunteers"/>
    <d v="2024-11-22T00:00:00"/>
    <d v="2024-11-22T00:00:00"/>
    <n v="3500"/>
    <x v="3"/>
    <n v="315.4375"/>
    <s v=""/>
    <s v=""/>
    <s v=""/>
  </r>
  <r>
    <x v="436"/>
    <s v="SUP01275"/>
    <x v="0"/>
    <x v="0"/>
    <x v="0"/>
    <d v="2025-03-09T00:00:00"/>
    <n v="49.6"/>
    <s v="Yes"/>
    <s v="Direct Debit"/>
    <x v="2"/>
    <s v="Event"/>
    <x v="10"/>
    <s v="Female"/>
    <n v="39"/>
    <x v="4"/>
    <x v="4"/>
    <s v="No Preference"/>
    <s v=""/>
    <s v=""/>
    <s v=""/>
    <x v="0"/>
    <s v="One-time Donors"/>
    <d v="2025-01-06T00:00:00"/>
    <d v="2025-03-31T00:00:00"/>
    <n v="10000"/>
    <x v="0"/>
    <n v="62"/>
    <s v=""/>
    <s v=""/>
    <s v=""/>
  </r>
  <r>
    <x v="437"/>
    <s v="SUP01444"/>
    <x v="4"/>
    <x v="4"/>
    <x v="5"/>
    <d v="2025-04-20T00:00:00"/>
    <n v="125.11"/>
    <s v="No"/>
    <s v="PayPal"/>
    <x v="4"/>
    <s v="Event"/>
    <x v="20"/>
    <s v="Male"/>
    <n v="63"/>
    <x v="1"/>
    <x v="1"/>
    <s v="Email"/>
    <s v=""/>
    <s v=""/>
    <s v=""/>
    <x v="3"/>
    <s v="Prospects"/>
    <d v="2025-02-01T00:00:00"/>
    <d v="2025-04-30T00:00:00"/>
    <n v="20000"/>
    <x v="4"/>
    <n v="125.11"/>
    <s v=""/>
    <s v=""/>
    <s v=""/>
  </r>
  <r>
    <x v="438"/>
    <s v="SUP01367"/>
    <x v="6"/>
    <x v="6"/>
    <x v="1"/>
    <d v="2024-10-12T00:00:00"/>
    <n v="397.4"/>
    <s v="No"/>
    <s v="Credit Card"/>
    <x v="0"/>
    <s v="Door-To-Door"/>
    <x v="12"/>
    <s v="Male"/>
    <n v="73"/>
    <x v="0"/>
    <x v="0"/>
    <s v="No Preference"/>
    <s v=""/>
    <s v=""/>
    <s v=""/>
    <x v="5"/>
    <s v="Over 55s"/>
    <d v="2024-10-07T00:00:00"/>
    <d v="2024-10-13T00:00:00"/>
    <n v="5000"/>
    <x v="1"/>
    <n v="397.4"/>
    <s v=""/>
    <s v=""/>
    <s v=""/>
  </r>
  <r>
    <x v="439"/>
    <s v="SUP01117"/>
    <x v="1"/>
    <x v="1"/>
    <x v="1"/>
    <d v="2024-06-17T00:00:00"/>
    <n v="56.48"/>
    <s v="Yes"/>
    <s v="Debit Card"/>
    <x v="6"/>
    <s v="Website"/>
    <x v="23"/>
    <s v="Female"/>
    <n v="33"/>
    <x v="3"/>
    <x v="3"/>
    <s v="Phone"/>
    <s v=""/>
    <s v="Review - prefers phone but not opted in"/>
    <s v=""/>
    <x v="1"/>
    <s v="Major Donors"/>
    <d v="2024-06-01T00:00:00"/>
    <d v="2024-06-30T00:00:00"/>
    <n v="7000"/>
    <x v="1"/>
    <n v="70.599999999999994"/>
    <s v=""/>
    <s v=""/>
    <s v=""/>
  </r>
  <r>
    <x v="440"/>
    <s v="SUP01489"/>
    <x v="3"/>
    <x v="3"/>
    <x v="3"/>
    <d v="2024-09-30T00:00:00"/>
    <n v="425.45"/>
    <s v="Yes"/>
    <s v="Online"/>
    <x v="0"/>
    <s v="Website"/>
    <x v="21"/>
    <s v="Male"/>
    <n v="68"/>
    <x v="0"/>
    <x v="0"/>
    <s v="Do Not Contact"/>
    <s v=""/>
    <s v=""/>
    <s v=""/>
    <x v="2"/>
    <s v="All Supporters"/>
    <d v="2024-09-10T00:00:00"/>
    <d v="2024-10-15T00:00:00"/>
    <n v="15000"/>
    <x v="3"/>
    <n v="531.8125"/>
    <s v=""/>
    <s v=""/>
    <s v=""/>
  </r>
  <r>
    <x v="441"/>
    <s v="SUP01217"/>
    <x v="2"/>
    <x v="2"/>
    <x v="2"/>
    <d v="2024-11-09T00:00:00"/>
    <n v="2958.92"/>
    <s v="Yes"/>
    <s v="Cheque"/>
    <x v="1"/>
    <s v="Telephone"/>
    <x v="31"/>
    <s v="Female"/>
    <n v="48"/>
    <x v="4"/>
    <x v="4"/>
    <s v="Email"/>
    <s v=""/>
    <s v=""/>
    <s v=""/>
    <x v="2"/>
    <s v="All Active"/>
    <d v="2024-11-01T00:00:00"/>
    <d v="2024-12-31T00:00:00"/>
    <n v="25000"/>
    <x v="2"/>
    <n v="3698.65"/>
    <s v=""/>
    <s v=""/>
    <s v=""/>
  </r>
  <r>
    <x v="442"/>
    <s v="SUP01492"/>
    <x v="4"/>
    <x v="4"/>
    <x v="5"/>
    <d v="2025-02-25T00:00:00"/>
    <n v="30.03"/>
    <s v="No"/>
    <s v="Online"/>
    <x v="3"/>
    <s v="Event"/>
    <x v="21"/>
    <s v="Female"/>
    <n v="62"/>
    <x v="1"/>
    <x v="1"/>
    <s v="Email"/>
    <s v=""/>
    <s v=""/>
    <s v=""/>
    <x v="3"/>
    <s v="Prospects"/>
    <d v="2025-02-01T00:00:00"/>
    <d v="2025-04-30T00:00:00"/>
    <n v="20000"/>
    <x v="4"/>
    <n v="30.03"/>
    <s v=""/>
    <s v=""/>
    <s v=""/>
  </r>
  <r>
    <x v="443"/>
    <s v="SUP01169"/>
    <x v="8"/>
    <x v="8"/>
    <x v="0"/>
    <d v="2024-12-13T00:00:00"/>
    <n v="42.62"/>
    <s v="Yes"/>
    <s v="Credit Card"/>
    <x v="3"/>
    <s v="Referral"/>
    <x v="27"/>
    <s v="Male"/>
    <n v="75"/>
    <x v="0"/>
    <x v="0"/>
    <s v="Phone"/>
    <s v=""/>
    <s v="Review - prefers phone but not opted in"/>
    <s v=""/>
    <x v="7"/>
    <s v="All Active"/>
    <d v="2024-10-15T00:00:00"/>
    <d v="2024-12-20T00:00:00"/>
    <n v="12000"/>
    <x v="2"/>
    <n v="53.274999999999999"/>
    <s v=""/>
    <s v=""/>
    <s v=""/>
  </r>
  <r>
    <x v="444"/>
    <s v="SUP01233"/>
    <x v="2"/>
    <x v="2"/>
    <x v="3"/>
    <d v="2024-11-29T00:00:00"/>
    <n v="90.81"/>
    <s v="Yes"/>
    <s v="Debit Card"/>
    <x v="2"/>
    <s v="Telephone"/>
    <x v="7"/>
    <s v="Female"/>
    <n v="48"/>
    <x v="4"/>
    <x v="4"/>
    <s v="Post"/>
    <s v=""/>
    <s v=""/>
    <s v=""/>
    <x v="2"/>
    <s v="All Active"/>
    <d v="2024-11-01T00:00:00"/>
    <d v="2024-12-31T00:00:00"/>
    <n v="25000"/>
    <x v="2"/>
    <n v="113.5125"/>
    <s v=""/>
    <s v=""/>
    <s v=""/>
  </r>
  <r>
    <x v="445"/>
    <s v="SUP01301"/>
    <x v="8"/>
    <x v="8"/>
    <x v="0"/>
    <d v="2024-10-15T00:00:00"/>
    <n v="138.72999999999999"/>
    <s v="Yes"/>
    <s v="Cash"/>
    <x v="6"/>
    <s v="Website"/>
    <x v="29"/>
    <s v="Male"/>
    <n v="49"/>
    <x v="4"/>
    <x v="4"/>
    <s v="Post"/>
    <s v=""/>
    <s v=""/>
    <s v=""/>
    <x v="7"/>
    <s v="All Active"/>
    <d v="2024-10-15T00:00:00"/>
    <d v="2024-12-20T00:00:00"/>
    <n v="12000"/>
    <x v="2"/>
    <n v="173.41249999999999"/>
    <s v=""/>
    <s v=""/>
    <s v=""/>
  </r>
  <r>
    <x v="446"/>
    <s v="SUP01036"/>
    <x v="2"/>
    <x v="2"/>
    <x v="1"/>
    <d v="2024-12-23T00:00:00"/>
    <n v="103.87"/>
    <s v="No"/>
    <s v="Online"/>
    <x v="4"/>
    <s v="Social Media"/>
    <x v="27"/>
    <s v="Female"/>
    <n v="76"/>
    <x v="0"/>
    <x v="0"/>
    <s v="Phone"/>
    <s v=""/>
    <s v=""/>
    <s v=""/>
    <x v="2"/>
    <s v="All Active"/>
    <d v="2024-11-01T00:00:00"/>
    <d v="2024-12-31T00:00:00"/>
    <n v="25000"/>
    <x v="2"/>
    <n v="103.87"/>
    <s v=""/>
    <s v=""/>
    <s v=""/>
  </r>
  <r>
    <x v="447"/>
    <s v="SUP01067"/>
    <x v="9"/>
    <x v="9"/>
    <x v="1"/>
    <d v="2024-07-15T00:00:00"/>
    <n v="21.96"/>
    <s v="Yes"/>
    <s v="Direct Debit"/>
    <x v="5"/>
    <s v="Referral"/>
    <x v="27"/>
    <s v="Male"/>
    <n v="36"/>
    <x v="4"/>
    <x v="4"/>
    <s v="Phone"/>
    <s v=""/>
    <s v="Review - prefers phone but not opted in"/>
    <s v=""/>
    <x v="4"/>
    <s v="Major Donors"/>
    <d v="2024-07-15T00:00:00"/>
    <d v="2024-07-15T00:00:00"/>
    <n v="45000"/>
    <x v="1"/>
    <n v="27.450000000000003"/>
    <s v=""/>
    <s v=""/>
    <s v=""/>
  </r>
  <r>
    <x v="448"/>
    <s v="SUP01394"/>
    <x v="6"/>
    <x v="6"/>
    <x v="1"/>
    <d v="2024-10-08T00:00:00"/>
    <n v="78.989999999999995"/>
    <s v="No"/>
    <s v="Debit Card"/>
    <x v="4"/>
    <s v="Referral"/>
    <x v="32"/>
    <s v="Female"/>
    <n v="34"/>
    <x v="3"/>
    <x v="3"/>
    <s v="Post"/>
    <s v=""/>
    <s v="Review - prefers post but not opted in"/>
    <s v=""/>
    <x v="5"/>
    <s v="Over 55s"/>
    <d v="2024-10-07T00:00:00"/>
    <d v="2024-10-13T00:00:00"/>
    <n v="5000"/>
    <x v="1"/>
    <n v="78.989999999999995"/>
    <s v=""/>
    <s v=""/>
    <s v=""/>
  </r>
  <r>
    <x v="449"/>
    <s v="SUP01379"/>
    <x v="6"/>
    <x v="6"/>
    <x v="1"/>
    <d v="2024-10-11T00:00:00"/>
    <n v="243.08"/>
    <s v="No"/>
    <s v="Credit Card"/>
    <x v="6"/>
    <s v="Social Media"/>
    <x v="23"/>
    <s v="Female"/>
    <n v="41"/>
    <x v="4"/>
    <x v="4"/>
    <s v="Phone"/>
    <s v=""/>
    <s v=""/>
    <s v=""/>
    <x v="5"/>
    <s v="Over 55s"/>
    <d v="2024-10-07T00:00:00"/>
    <d v="2024-10-13T00:00:00"/>
    <n v="5000"/>
    <x v="1"/>
    <n v="243.08"/>
    <s v=""/>
    <s v=""/>
    <s v=""/>
  </r>
  <r>
    <x v="450"/>
    <s v="SUP01486"/>
    <x v="5"/>
    <x v="5"/>
    <x v="2"/>
    <d v="2024-11-22T00:00:00"/>
    <n v="149.04"/>
    <s v="Yes"/>
    <s v="Direct Debit"/>
    <x v="6"/>
    <s v="Event"/>
    <x v="24"/>
    <s v="Female"/>
    <n v="81"/>
    <x v="0"/>
    <x v="0"/>
    <s v="Email"/>
    <s v=""/>
    <s v="Review - prefers email but not opted in"/>
    <s v=""/>
    <x v="4"/>
    <s v="Volunteers"/>
    <d v="2024-11-22T00:00:00"/>
    <d v="2024-11-22T00:00:00"/>
    <n v="3500"/>
    <x v="3"/>
    <n v="186.29999999999998"/>
    <s v=""/>
    <s v=""/>
    <s v=""/>
  </r>
  <r>
    <x v="451"/>
    <s v="SUP01427"/>
    <x v="5"/>
    <x v="5"/>
    <x v="2"/>
    <d v="2024-11-22T00:00:00"/>
    <n v="235.85"/>
    <s v="No"/>
    <s v="Debit Card"/>
    <x v="6"/>
    <s v="Social Media"/>
    <x v="12"/>
    <s v="Male"/>
    <n v="36"/>
    <x v="4"/>
    <x v="4"/>
    <s v="Post"/>
    <s v=""/>
    <s v="Review - prefers post but not opted in"/>
    <s v=""/>
    <x v="4"/>
    <s v="Volunteers"/>
    <d v="2024-11-22T00:00:00"/>
    <d v="2024-11-22T00:00:00"/>
    <n v="3500"/>
    <x v="3"/>
    <n v="235.85"/>
    <s v=""/>
    <s v=""/>
    <s v=""/>
  </r>
  <r>
    <x v="452"/>
    <s v="SUP01121"/>
    <x v="9"/>
    <x v="9"/>
    <x v="1"/>
    <d v="2024-07-15T00:00:00"/>
    <n v="47.14"/>
    <s v="Yes"/>
    <s v="PayPal"/>
    <x v="4"/>
    <s v="Website"/>
    <x v="27"/>
    <s v="Male"/>
    <n v="65"/>
    <x v="0"/>
    <x v="0"/>
    <s v="Email"/>
    <s v=""/>
    <s v=""/>
    <s v=""/>
    <x v="4"/>
    <s v="Major Donors"/>
    <d v="2024-07-15T00:00:00"/>
    <d v="2024-07-15T00:00:00"/>
    <n v="45000"/>
    <x v="1"/>
    <n v="58.924999999999997"/>
    <s v=""/>
    <s v=""/>
    <s v=""/>
  </r>
  <r>
    <x v="453"/>
    <s v="SUP01128"/>
    <x v="4"/>
    <x v="4"/>
    <x v="5"/>
    <d v="2025-02-27T00:00:00"/>
    <n v="71.239999999999995"/>
    <s v="Yes"/>
    <s v="Cash"/>
    <x v="2"/>
    <s v="Event"/>
    <x v="7"/>
    <s v="Female"/>
    <n v="78"/>
    <x v="0"/>
    <x v="0"/>
    <s v="Phone"/>
    <s v=""/>
    <s v="Review - prefers phone but not opted in"/>
    <s v=""/>
    <x v="3"/>
    <s v="Prospects"/>
    <d v="2025-02-01T00:00:00"/>
    <d v="2025-04-30T00:00:00"/>
    <n v="20000"/>
    <x v="4"/>
    <n v="89.05"/>
    <s v=""/>
    <s v=""/>
    <s v=""/>
  </r>
  <r>
    <x v="454"/>
    <s v="SUP01377"/>
    <x v="1"/>
    <x v="1"/>
    <x v="1"/>
    <d v="2024-06-13T00:00:00"/>
    <n v="26.63"/>
    <s v="Yes"/>
    <s v="Credit Card"/>
    <x v="2"/>
    <s v="Corporate Partner"/>
    <x v="27"/>
    <s v="Male"/>
    <n v="52"/>
    <x v="1"/>
    <x v="1"/>
    <s v="Email"/>
    <s v=""/>
    <s v=""/>
    <s v=""/>
    <x v="1"/>
    <s v="Major Donors"/>
    <d v="2024-06-01T00:00:00"/>
    <d v="2024-06-30T00:00:00"/>
    <n v="7000"/>
    <x v="1"/>
    <n v="33.287500000000001"/>
    <s v=""/>
    <s v=""/>
    <s v=""/>
  </r>
  <r>
    <x v="455"/>
    <s v="SUP01364"/>
    <x v="3"/>
    <x v="3"/>
    <x v="2"/>
    <d v="2024-09-12T00:00:00"/>
    <n v="20.79"/>
    <s v="Yes"/>
    <s v="Cash"/>
    <x v="5"/>
    <s v="Referral"/>
    <x v="18"/>
    <s v="Female"/>
    <n v="52"/>
    <x v="1"/>
    <x v="1"/>
    <s v="Email"/>
    <s v=""/>
    <s v=""/>
    <s v=""/>
    <x v="2"/>
    <s v="All Supporters"/>
    <d v="2024-09-10T00:00:00"/>
    <d v="2024-10-15T00:00:00"/>
    <n v="15000"/>
    <x v="3"/>
    <n v="25.987499999999997"/>
    <s v=""/>
    <s v=""/>
    <s v=""/>
  </r>
  <r>
    <x v="456"/>
    <s v="SUP01163"/>
    <x v="8"/>
    <x v="8"/>
    <x v="0"/>
    <d v="2024-10-19T00:00:00"/>
    <n v="225.53"/>
    <s v="No"/>
    <s v="Credit Card"/>
    <x v="0"/>
    <s v="Website"/>
    <x v="8"/>
    <s v="Male"/>
    <n v="81"/>
    <x v="0"/>
    <x v="0"/>
    <s v="Post"/>
    <s v=""/>
    <s v=""/>
    <s v=""/>
    <x v="7"/>
    <s v="All Active"/>
    <d v="2024-10-15T00:00:00"/>
    <d v="2024-12-20T00:00:00"/>
    <n v="12000"/>
    <x v="2"/>
    <n v="225.53"/>
    <s v=""/>
    <s v=""/>
    <s v=""/>
  </r>
  <r>
    <x v="457"/>
    <s v="SUP01250"/>
    <x v="7"/>
    <x v="7"/>
    <x v="1"/>
    <d v="2025-03-19T00:00:00"/>
    <n v="254.24"/>
    <s v="Yes"/>
    <s v="Credit Card"/>
    <x v="0"/>
    <s v="Door-To-Door"/>
    <x v="4"/>
    <s v="Male"/>
    <n v="29"/>
    <x v="3"/>
    <x v="3"/>
    <s v="Email"/>
    <s v=""/>
    <s v=""/>
    <s v=""/>
    <x v="6"/>
    <s v="Regular Givers"/>
    <d v="2025-03-01T00:00:00"/>
    <d v="2025-04-30T00:00:00"/>
    <n v="8000"/>
    <x v="1"/>
    <n v="317.8"/>
    <s v=""/>
    <s v=""/>
    <s v=""/>
  </r>
  <r>
    <x v="458"/>
    <s v="SUP01177"/>
    <x v="1"/>
    <x v="1"/>
    <x v="2"/>
    <d v="2024-06-20T00:00:00"/>
    <n v="253.24"/>
    <s v="No"/>
    <s v="Online"/>
    <x v="0"/>
    <s v="Referral"/>
    <x v="11"/>
    <s v="Male"/>
    <n v="58"/>
    <x v="1"/>
    <x v="1"/>
    <s v="Email"/>
    <s v=""/>
    <s v="Review - prefers email but not opted in"/>
    <s v=""/>
    <x v="1"/>
    <s v="Major Donors"/>
    <d v="2024-06-01T00:00:00"/>
    <d v="2024-06-30T00:00:00"/>
    <n v="7000"/>
    <x v="1"/>
    <n v="253.24"/>
    <s v=""/>
    <s v=""/>
    <s v=""/>
  </r>
  <r>
    <x v="459"/>
    <s v="SUP01495"/>
    <x v="4"/>
    <x v="4"/>
    <x v="2"/>
    <d v="2025-04-26T00:00:00"/>
    <n v="93.78"/>
    <s v="Yes"/>
    <s v="PayPal"/>
    <x v="4"/>
    <s v="Event"/>
    <x v="24"/>
    <s v="Male"/>
    <n v="31"/>
    <x v="3"/>
    <x v="3"/>
    <s v="Phone"/>
    <s v=""/>
    <s v="Review - prefers phone but not opted in"/>
    <s v=""/>
    <x v="3"/>
    <s v="Prospects"/>
    <d v="2025-02-01T00:00:00"/>
    <d v="2025-04-30T00:00:00"/>
    <n v="20000"/>
    <x v="4"/>
    <n v="117.22499999999999"/>
    <s v=""/>
    <s v=""/>
    <s v=""/>
  </r>
  <r>
    <x v="460"/>
    <s v="SUP01440"/>
    <x v="4"/>
    <x v="4"/>
    <x v="0"/>
    <d v="2025-03-14T00:00:00"/>
    <n v="144.13"/>
    <s v="Yes"/>
    <s v="Standing Order"/>
    <x v="4"/>
    <s v="Corporate Partner"/>
    <x v="3"/>
    <s v="Male"/>
    <n v="32"/>
    <x v="3"/>
    <x v="3"/>
    <s v="Email"/>
    <s v=""/>
    <s v=""/>
    <s v=""/>
    <x v="3"/>
    <s v="Prospects"/>
    <d v="2025-02-01T00:00:00"/>
    <d v="2025-04-30T00:00:00"/>
    <n v="20000"/>
    <x v="4"/>
    <n v="180.16249999999999"/>
    <s v=""/>
    <s v=""/>
    <s v=""/>
  </r>
  <r>
    <x v="461"/>
    <s v="SUP01472"/>
    <x v="9"/>
    <x v="9"/>
    <x v="1"/>
    <d v="2024-07-15T00:00:00"/>
    <n v="180.89"/>
    <s v="Yes"/>
    <s v="Direct Debit"/>
    <x v="0"/>
    <s v="Referral"/>
    <x v="8"/>
    <s v="Male"/>
    <n v="54"/>
    <x v="1"/>
    <x v="1"/>
    <s v="Email"/>
    <s v=""/>
    <s v="Review - prefers email but not opted in"/>
    <s v=""/>
    <x v="4"/>
    <s v="Major Donors"/>
    <d v="2024-07-15T00:00:00"/>
    <d v="2024-07-15T00:00:00"/>
    <n v="45000"/>
    <x v="1"/>
    <n v="226.11249999999998"/>
    <s v=""/>
    <s v=""/>
    <s v=""/>
  </r>
  <r>
    <x v="462"/>
    <s v="SUP01346"/>
    <x v="6"/>
    <x v="6"/>
    <x v="1"/>
    <d v="2024-10-11T00:00:00"/>
    <n v="345.37"/>
    <s v="Yes"/>
    <s v="Credit Card"/>
    <x v="0"/>
    <s v="Direct Mail"/>
    <x v="29"/>
    <s v="Male"/>
    <n v="49"/>
    <x v="4"/>
    <x v="4"/>
    <s v="Email"/>
    <s v=""/>
    <s v=""/>
    <s v=""/>
    <x v="5"/>
    <s v="Over 55s"/>
    <d v="2024-10-07T00:00:00"/>
    <d v="2024-10-13T00:00:00"/>
    <n v="5000"/>
    <x v="1"/>
    <n v="431.71249999999998"/>
    <s v=""/>
    <s v=""/>
    <s v=""/>
  </r>
  <r>
    <x v="463"/>
    <s v="SUP01453"/>
    <x v="1"/>
    <x v="1"/>
    <x v="2"/>
    <d v="2024-06-20T00:00:00"/>
    <n v="25.6"/>
    <s v="No"/>
    <s v="Debit Card"/>
    <x v="3"/>
    <s v="Corporate Partner"/>
    <x v="5"/>
    <s v="Female"/>
    <n v="79"/>
    <x v="0"/>
    <x v="0"/>
    <s v="Post"/>
    <s v=""/>
    <s v=""/>
    <s v=""/>
    <x v="1"/>
    <s v="Major Donors"/>
    <d v="2024-06-01T00:00:00"/>
    <d v="2024-06-30T00:00:00"/>
    <n v="7000"/>
    <x v="1"/>
    <n v="25.6"/>
    <s v=""/>
    <s v=""/>
    <s v=""/>
  </r>
  <r>
    <x v="464"/>
    <s v="SUP01452"/>
    <x v="1"/>
    <x v="1"/>
    <x v="1"/>
    <d v="2024-06-03T00:00:00"/>
    <n v="16.87"/>
    <s v="No"/>
    <s v="Credit Card"/>
    <x v="5"/>
    <s v="Website"/>
    <x v="8"/>
    <s v="Female"/>
    <n v="56"/>
    <x v="1"/>
    <x v="1"/>
    <s v="Phone"/>
    <s v=""/>
    <s v="Review - prefers phone but not opted in"/>
    <s v=""/>
    <x v="1"/>
    <s v="Major Donors"/>
    <d v="2024-06-01T00:00:00"/>
    <d v="2024-06-30T00:00:00"/>
    <n v="7000"/>
    <x v="1"/>
    <n v="16.87"/>
    <s v=""/>
    <s v=""/>
    <s v=""/>
  </r>
  <r>
    <x v="465"/>
    <s v="SUP01360"/>
    <x v="7"/>
    <x v="7"/>
    <x v="2"/>
    <d v="2025-04-28T00:00:00"/>
    <n v="13.71"/>
    <s v="No"/>
    <s v="Direct Debit"/>
    <x v="3"/>
    <s v="Door-To-Door"/>
    <x v="21"/>
    <s v="Female"/>
    <n v="80"/>
    <x v="0"/>
    <x v="0"/>
    <s v="No Preference"/>
    <s v=""/>
    <s v=""/>
    <s v=""/>
    <x v="6"/>
    <s v="Regular Givers"/>
    <d v="2025-03-01T00:00:00"/>
    <d v="2025-04-30T00:00:00"/>
    <n v="8000"/>
    <x v="1"/>
    <n v="13.71"/>
    <s v=""/>
    <s v=""/>
    <s v=""/>
  </r>
  <r>
    <x v="466"/>
    <s v="SUP01329"/>
    <x v="2"/>
    <x v="2"/>
    <x v="0"/>
    <d v="2024-12-24T00:00:00"/>
    <n v="85.87"/>
    <s v="Yes"/>
    <s v="Debit Card"/>
    <x v="2"/>
    <s v="Corporate Partner"/>
    <x v="7"/>
    <s v="Male"/>
    <s v=""/>
    <x v="2"/>
    <x v="2"/>
    <s v="Post"/>
    <s v=""/>
    <s v=""/>
    <s v="Review - missing DOB"/>
    <x v="2"/>
    <s v="All Active"/>
    <d v="2024-11-01T00:00:00"/>
    <d v="2024-12-31T00:00:00"/>
    <n v="25000"/>
    <x v="2"/>
    <n v="107.33750000000001"/>
    <s v=""/>
    <s v=""/>
    <s v=""/>
  </r>
  <r>
    <x v="467"/>
    <s v="SUP01423"/>
    <x v="0"/>
    <x v="0"/>
    <x v="1"/>
    <d v="2025-02-20T00:00:00"/>
    <n v="23.05"/>
    <s v="Yes"/>
    <s v="Cheque"/>
    <x v="2"/>
    <s v="Website"/>
    <x v="29"/>
    <s v="Male"/>
    <n v="38"/>
    <x v="4"/>
    <x v="4"/>
    <s v="No Preference"/>
    <s v=""/>
    <s v=""/>
    <s v=""/>
    <x v="0"/>
    <s v="One-time Donors"/>
    <d v="2025-01-06T00:00:00"/>
    <d v="2025-03-31T00:00:00"/>
    <n v="10000"/>
    <x v="0"/>
    <n v="28.8125"/>
    <s v=""/>
    <s v=""/>
    <s v=""/>
  </r>
  <r>
    <x v="468"/>
    <s v="SUP01255"/>
    <x v="5"/>
    <x v="5"/>
    <x v="2"/>
    <d v="2024-11-22T00:00:00"/>
    <n v="27.5"/>
    <s v="Yes"/>
    <s v="Standing Order"/>
    <x v="4"/>
    <s v="Telephone"/>
    <x v="12"/>
    <s v="Male"/>
    <n v="67"/>
    <x v="0"/>
    <x v="0"/>
    <s v="Phone"/>
    <s v=""/>
    <s v="Review - prefers phone but not opted in"/>
    <s v=""/>
    <x v="4"/>
    <s v="Volunteers"/>
    <d v="2024-11-22T00:00:00"/>
    <d v="2024-11-22T00:00:00"/>
    <n v="3500"/>
    <x v="3"/>
    <n v="34.375"/>
    <s v=""/>
    <s v=""/>
    <s v=""/>
  </r>
  <r>
    <x v="469"/>
    <s v="SUP01306"/>
    <x v="5"/>
    <x v="5"/>
    <x v="1"/>
    <d v="2024-11-22T00:00:00"/>
    <n v="195.03"/>
    <s v="Yes"/>
    <s v="Online"/>
    <x v="6"/>
    <s v="Social Media"/>
    <x v="0"/>
    <s v="Female"/>
    <n v="63"/>
    <x v="1"/>
    <x v="1"/>
    <s v="Email"/>
    <s v=""/>
    <s v=""/>
    <s v=""/>
    <x v="4"/>
    <s v="Volunteers"/>
    <d v="2024-11-22T00:00:00"/>
    <d v="2024-11-22T00:00:00"/>
    <n v="3500"/>
    <x v="3"/>
    <n v="243.78749999999999"/>
    <s v=""/>
    <s v=""/>
    <s v=""/>
  </r>
  <r>
    <x v="470"/>
    <s v="SUP01160"/>
    <x v="4"/>
    <x v="4"/>
    <x v="0"/>
    <d v="2025-04-17T00:00:00"/>
    <n v="1810.36"/>
    <s v="Yes"/>
    <s v="Debit Card"/>
    <x v="1"/>
    <s v="Direct Mail"/>
    <x v="1"/>
    <s v="Female"/>
    <n v="65"/>
    <x v="0"/>
    <x v="0"/>
    <s v="Post"/>
    <s v=""/>
    <s v=""/>
    <s v=""/>
    <x v="3"/>
    <s v="Prospects"/>
    <d v="2025-02-01T00:00:00"/>
    <d v="2025-04-30T00:00:00"/>
    <n v="20000"/>
    <x v="4"/>
    <n v="2262.9499999999998"/>
    <s v=""/>
    <s v=""/>
    <s v=""/>
  </r>
  <r>
    <x v="471"/>
    <s v="SUP01442"/>
    <x v="1"/>
    <x v="1"/>
    <x v="1"/>
    <d v="2024-06-22T00:00:00"/>
    <n v="14.7"/>
    <s v="No"/>
    <s v="Online"/>
    <x v="3"/>
    <s v="Social Media"/>
    <x v="4"/>
    <s v="Female"/>
    <n v="28"/>
    <x v="3"/>
    <x v="3"/>
    <s v="Post"/>
    <s v=""/>
    <s v=""/>
    <s v=""/>
    <x v="1"/>
    <s v="Major Donors"/>
    <d v="2024-06-01T00:00:00"/>
    <d v="2024-06-30T00:00:00"/>
    <n v="7000"/>
    <x v="1"/>
    <n v="14.7"/>
    <s v=""/>
    <s v=""/>
    <s v=""/>
  </r>
  <r>
    <x v="472"/>
    <s v="SUP01270"/>
    <x v="9"/>
    <x v="9"/>
    <x v="2"/>
    <d v="2024-07-15T00:00:00"/>
    <n v="209.47"/>
    <s v="No"/>
    <s v="Standing Order"/>
    <x v="0"/>
    <s v="Referral"/>
    <x v="32"/>
    <s v="Male"/>
    <n v="82"/>
    <x v="0"/>
    <x v="0"/>
    <s v="Phone"/>
    <s v=""/>
    <s v="Review - prefers phone but not opted in"/>
    <s v=""/>
    <x v="4"/>
    <s v="Major Donors"/>
    <d v="2024-07-15T00:00:00"/>
    <d v="2024-07-15T00:00:00"/>
    <n v="45000"/>
    <x v="1"/>
    <n v="209.47"/>
    <s v=""/>
    <s v=""/>
    <s v=""/>
  </r>
  <r>
    <x v="473"/>
    <s v="SUP01432"/>
    <x v="7"/>
    <x v="7"/>
    <x v="1"/>
    <d v="2025-03-09T00:00:00"/>
    <n v="91.25"/>
    <s v="Yes"/>
    <s v="Cash"/>
    <x v="4"/>
    <s v="Direct Mail"/>
    <x v="32"/>
    <s v="Female"/>
    <n v="47"/>
    <x v="4"/>
    <x v="4"/>
    <s v="Phone"/>
    <s v=""/>
    <s v="Review - prefers phone but not opted in"/>
    <s v=""/>
    <x v="6"/>
    <s v="Regular Givers"/>
    <d v="2025-03-01T00:00:00"/>
    <d v="2025-04-30T00:00:00"/>
    <n v="8000"/>
    <x v="1"/>
    <n v="114.0625"/>
    <s v=""/>
    <s v=""/>
    <s v=""/>
  </r>
  <r>
    <x v="474"/>
    <s v="SUP01142"/>
    <x v="4"/>
    <x v="4"/>
    <x v="0"/>
    <d v="2025-02-10T00:00:00"/>
    <n v="21.57"/>
    <s v="Yes"/>
    <s v="Credit Card"/>
    <x v="5"/>
    <s v="Referral"/>
    <x v="36"/>
    <s v="Female"/>
    <n v="91"/>
    <x v="0"/>
    <x v="0"/>
    <s v="Email"/>
    <s v=""/>
    <s v=""/>
    <s v=""/>
    <x v="3"/>
    <s v="Prospects"/>
    <d v="2025-02-01T00:00:00"/>
    <d v="2025-04-30T00:00:00"/>
    <n v="20000"/>
    <x v="4"/>
    <n v="26.962499999999999"/>
    <s v=""/>
    <s v=""/>
    <s v=""/>
  </r>
  <r>
    <x v="475"/>
    <s v="SUP01043"/>
    <x v="2"/>
    <x v="2"/>
    <x v="3"/>
    <d v="2024-12-13T00:00:00"/>
    <n v="301.33"/>
    <s v="Yes"/>
    <s v="Standing Order"/>
    <x v="0"/>
    <s v="Corporate Partner"/>
    <x v="31"/>
    <s v="Male"/>
    <n v="94"/>
    <x v="0"/>
    <x v="0"/>
    <s v="Phone"/>
    <s v=""/>
    <s v="Review - prefers phone but not opted in"/>
    <s v=""/>
    <x v="2"/>
    <s v="All Active"/>
    <d v="2024-11-01T00:00:00"/>
    <d v="2024-12-31T00:00:00"/>
    <n v="25000"/>
    <x v="2"/>
    <n v="376.66249999999997"/>
    <s v=""/>
    <s v=""/>
    <s v=""/>
  </r>
  <r>
    <x v="476"/>
    <s v="SUP01499"/>
    <x v="4"/>
    <x v="4"/>
    <x v="0"/>
    <d v="2025-02-09T00:00:00"/>
    <n v="60.76"/>
    <s v="No"/>
    <s v="Debit Card"/>
    <x v="6"/>
    <s v="Door-To-Door"/>
    <x v="5"/>
    <s v="Female"/>
    <n v="59"/>
    <x v="1"/>
    <x v="1"/>
    <s v="Post"/>
    <s v=""/>
    <s v="Review - prefers post but not opted in"/>
    <s v=""/>
    <x v="3"/>
    <s v="Prospects"/>
    <d v="2025-02-01T00:00:00"/>
    <d v="2025-04-30T00:00:00"/>
    <n v="20000"/>
    <x v="4"/>
    <n v="60.76"/>
    <s v=""/>
    <s v=""/>
    <s v=""/>
  </r>
  <r>
    <x v="477"/>
    <s v="SUP01046"/>
    <x v="7"/>
    <x v="7"/>
    <x v="1"/>
    <d v="2025-04-19T00:00:00"/>
    <n v="309.22000000000003"/>
    <s v="No"/>
    <s v="Cash"/>
    <x v="0"/>
    <s v="Referral"/>
    <x v="17"/>
    <s v="Female"/>
    <n v="95"/>
    <x v="0"/>
    <x v="0"/>
    <s v="Post"/>
    <s v="Review - duplicate record, see Supporter_Duplicates tab"/>
    <s v="Review - prefers post but not opted in"/>
    <s v=""/>
    <x v="6"/>
    <s v="Regular Givers"/>
    <d v="2025-03-01T00:00:00"/>
    <d v="2025-04-30T00:00:00"/>
    <n v="8000"/>
    <x v="1"/>
    <n v="309.22000000000003"/>
    <s v=""/>
    <s v=""/>
    <s v=""/>
  </r>
  <r>
    <x v="478"/>
    <s v="SUP01405"/>
    <x v="2"/>
    <x v="2"/>
    <x v="1"/>
    <d v="2024-11-17T00:00:00"/>
    <n v="120.88"/>
    <s v="No"/>
    <s v="Direct Debit"/>
    <x v="4"/>
    <s v="Referral"/>
    <x v="9"/>
    <s v="Male"/>
    <n v="31"/>
    <x v="3"/>
    <x v="3"/>
    <s v="Phone"/>
    <s v=""/>
    <s v=""/>
    <s v=""/>
    <x v="2"/>
    <s v="All Active"/>
    <d v="2024-11-01T00:00:00"/>
    <d v="2024-12-31T00:00:00"/>
    <n v="25000"/>
    <x v="2"/>
    <n v="120.88"/>
    <s v=""/>
    <s v=""/>
    <s v=""/>
  </r>
  <r>
    <x v="479"/>
    <s v="SUP01487"/>
    <x v="5"/>
    <x v="5"/>
    <x v="1"/>
    <d v="2024-11-22T00:00:00"/>
    <n v="12.17"/>
    <s v="Yes"/>
    <s v="Online"/>
    <x v="5"/>
    <s v="Event"/>
    <x v="1"/>
    <s v="Female"/>
    <n v="62"/>
    <x v="1"/>
    <x v="1"/>
    <s v="Email"/>
    <s v=""/>
    <s v="Review - prefers email but not opted in"/>
    <s v=""/>
    <x v="4"/>
    <s v="Volunteers"/>
    <d v="2024-11-22T00:00:00"/>
    <d v="2024-11-22T00:00:00"/>
    <n v="3500"/>
    <x v="3"/>
    <n v="15.2125"/>
    <s v=""/>
    <s v=""/>
    <s v=""/>
  </r>
  <r>
    <x v="480"/>
    <s v="SUP01403"/>
    <x v="4"/>
    <x v="4"/>
    <x v="2"/>
    <d v="2025-02-28T00:00:00"/>
    <n v="43.37"/>
    <s v="Yes"/>
    <s v="Credit Card"/>
    <x v="2"/>
    <s v="Door-To-Door"/>
    <x v="25"/>
    <s v="Male"/>
    <n v="80"/>
    <x v="0"/>
    <x v="0"/>
    <s v="Email"/>
    <s v=""/>
    <s v="Review - prefers email but not opted in"/>
    <s v=""/>
    <x v="3"/>
    <s v="Prospects"/>
    <d v="2025-02-01T00:00:00"/>
    <d v="2025-04-30T00:00:00"/>
    <n v="20000"/>
    <x v="4"/>
    <n v="54.212499999999999"/>
    <s v=""/>
    <s v=""/>
    <s v=""/>
  </r>
  <r>
    <x v="481"/>
    <s v="SUP01232"/>
    <x v="2"/>
    <x v="2"/>
    <x v="2"/>
    <d v="2024-12-18T00:00:00"/>
    <n v="257.43"/>
    <s v="Yes"/>
    <s v="Credit Card"/>
    <x v="0"/>
    <s v="Telephone"/>
    <x v="7"/>
    <s v="Female"/>
    <n v="60"/>
    <x v="1"/>
    <x v="1"/>
    <s v="Email"/>
    <s v=""/>
    <s v=""/>
    <s v=""/>
    <x v="2"/>
    <s v="All Active"/>
    <d v="2024-11-01T00:00:00"/>
    <d v="2024-12-31T00:00:00"/>
    <n v="25000"/>
    <x v="2"/>
    <n v="321.78750000000002"/>
    <s v=""/>
    <s v=""/>
    <s v=""/>
  </r>
  <r>
    <x v="482"/>
    <s v="SUP01206"/>
    <x v="0"/>
    <x v="0"/>
    <x v="1"/>
    <d v="2025-03-29T00:00:00"/>
    <n v="26.64"/>
    <s v="No"/>
    <s v="Debit Card"/>
    <x v="5"/>
    <s v="Event"/>
    <x v="1"/>
    <s v="Female"/>
    <n v="59"/>
    <x v="1"/>
    <x v="1"/>
    <s v="Email"/>
    <s v=""/>
    <s v=""/>
    <s v=""/>
    <x v="0"/>
    <s v="One-time Donors"/>
    <d v="2025-01-06T00:00:00"/>
    <d v="2025-03-31T00:00:00"/>
    <n v="10000"/>
    <x v="0"/>
    <n v="26.64"/>
    <s v=""/>
    <s v=""/>
    <s v=""/>
  </r>
  <r>
    <x v="483"/>
    <s v="SUP01453"/>
    <x v="0"/>
    <x v="0"/>
    <x v="4"/>
    <d v="2025-02-02T00:00:00"/>
    <n v="9.49"/>
    <s v="No"/>
    <s v="PayPal"/>
    <x v="3"/>
    <s v="Corporate Partner"/>
    <x v="5"/>
    <s v="Female"/>
    <n v="79"/>
    <x v="0"/>
    <x v="0"/>
    <s v="Post"/>
    <s v=""/>
    <s v=""/>
    <s v=""/>
    <x v="0"/>
    <s v="One-time Donors"/>
    <d v="2025-01-06T00:00:00"/>
    <d v="2025-03-31T00:00:00"/>
    <n v="10000"/>
    <x v="0"/>
    <n v="9.49"/>
    <s v=""/>
    <s v=""/>
    <s v=""/>
  </r>
  <r>
    <x v="484"/>
    <s v="SUP01458"/>
    <x v="2"/>
    <x v="2"/>
    <x v="2"/>
    <d v="2024-12-17T00:00:00"/>
    <n v="33.83"/>
    <s v="Yes"/>
    <s v="Cheque"/>
    <x v="4"/>
    <s v="Event"/>
    <x v="23"/>
    <s v="Male"/>
    <n v="63"/>
    <x v="1"/>
    <x v="1"/>
    <s v="Email"/>
    <s v=""/>
    <s v="Review - prefers email but not opted in"/>
    <s v=""/>
    <x v="2"/>
    <s v="All Active"/>
    <d v="2024-11-01T00:00:00"/>
    <d v="2024-12-31T00:00:00"/>
    <n v="25000"/>
    <x v="2"/>
    <n v="42.287499999999994"/>
    <s v=""/>
    <s v=""/>
    <s v=""/>
  </r>
  <r>
    <x v="485"/>
    <s v="SUP01352"/>
    <x v="0"/>
    <x v="0"/>
    <x v="1"/>
    <d v="2025-03-02T00:00:00"/>
    <n v="2889.71"/>
    <s v="No"/>
    <s v="Credit Card"/>
    <x v="1"/>
    <s v="Referral"/>
    <x v="26"/>
    <s v="Female"/>
    <n v="23"/>
    <x v="3"/>
    <x v="3"/>
    <s v="Email"/>
    <s v=""/>
    <s v=""/>
    <s v=""/>
    <x v="0"/>
    <s v="One-time Donors"/>
    <d v="2025-01-06T00:00:00"/>
    <d v="2025-03-31T00:00:00"/>
    <n v="10000"/>
    <x v="0"/>
    <n v="2889.71"/>
    <s v=""/>
    <s v=""/>
    <s v=""/>
  </r>
  <r>
    <x v="486"/>
    <s v="SUP01181"/>
    <x v="1"/>
    <x v="1"/>
    <x v="2"/>
    <d v="2024-06-16T00:00:00"/>
    <n v="156.77000000000001"/>
    <s v="No"/>
    <s v="Debit Card"/>
    <x v="6"/>
    <s v="Social Media"/>
    <x v="28"/>
    <s v="Male"/>
    <n v="60"/>
    <x v="1"/>
    <x v="1"/>
    <s v="Email"/>
    <s v=""/>
    <s v=""/>
    <s v=""/>
    <x v="1"/>
    <s v="Major Donors"/>
    <d v="2024-06-01T00:00:00"/>
    <d v="2024-06-30T00:00:00"/>
    <n v="7000"/>
    <x v="1"/>
    <n v="156.77000000000001"/>
    <s v=""/>
    <s v=""/>
    <s v=""/>
  </r>
  <r>
    <x v="487"/>
    <s v="SUP01179"/>
    <x v="7"/>
    <x v="7"/>
    <x v="2"/>
    <d v="2025-04-14T00:00:00"/>
    <n v="164.2"/>
    <s v="No"/>
    <s v="Credit Card"/>
    <x v="6"/>
    <s v="Direct Mail"/>
    <x v="13"/>
    <s v="Male"/>
    <n v="65"/>
    <x v="0"/>
    <x v="0"/>
    <s v="Do Not Contact"/>
    <s v=""/>
    <s v=""/>
    <s v=""/>
    <x v="6"/>
    <s v="Regular Givers"/>
    <d v="2025-03-01T00:00:00"/>
    <d v="2025-04-30T00:00:00"/>
    <n v="8000"/>
    <x v="1"/>
    <n v="164.2"/>
    <s v=""/>
    <s v=""/>
    <s v=""/>
  </r>
  <r>
    <x v="488"/>
    <s v="SUP01073"/>
    <x v="4"/>
    <x v="4"/>
    <x v="0"/>
    <d v="2025-04-13T00:00:00"/>
    <n v="29.93"/>
    <s v="No"/>
    <s v="Online"/>
    <x v="5"/>
    <s v="Event"/>
    <x v="21"/>
    <s v="Male"/>
    <n v="54"/>
    <x v="1"/>
    <x v="1"/>
    <s v="Post"/>
    <s v=""/>
    <s v="Review - prefers post but not opted in"/>
    <s v=""/>
    <x v="3"/>
    <s v="Prospects"/>
    <d v="2025-02-01T00:00:00"/>
    <d v="2025-04-30T00:00:00"/>
    <n v="20000"/>
    <x v="4"/>
    <n v="29.93"/>
    <s v=""/>
    <s v=""/>
    <s v=""/>
  </r>
  <r>
    <x v="489"/>
    <s v="SUP01356"/>
    <x v="5"/>
    <x v="5"/>
    <x v="2"/>
    <d v="2024-11-22T00:00:00"/>
    <n v="54.27"/>
    <s v="No"/>
    <s v="Direct Debit"/>
    <x v="4"/>
    <s v="Telephone"/>
    <x v="10"/>
    <s v="Female"/>
    <n v="56"/>
    <x v="1"/>
    <x v="1"/>
    <s v="Email"/>
    <s v=""/>
    <s v=""/>
    <s v=""/>
    <x v="4"/>
    <s v="Volunteers"/>
    <d v="2024-11-22T00:00:00"/>
    <d v="2024-11-22T00:00:00"/>
    <n v="3500"/>
    <x v="3"/>
    <n v="54.27"/>
    <s v=""/>
    <s v=""/>
    <s v=""/>
  </r>
  <r>
    <x v="490"/>
    <s v="SUP01273"/>
    <x v="6"/>
    <x v="6"/>
    <x v="1"/>
    <d v="2024-10-11T00:00:00"/>
    <n v="110.42"/>
    <s v="Yes"/>
    <s v="Credit Card"/>
    <x v="4"/>
    <s v="Door-To-Door"/>
    <x v="10"/>
    <s v="Male"/>
    <n v="87"/>
    <x v="0"/>
    <x v="0"/>
    <s v="Email"/>
    <s v=""/>
    <s v=""/>
    <s v=""/>
    <x v="5"/>
    <s v="Over 55s"/>
    <d v="2024-10-07T00:00:00"/>
    <d v="2024-10-13T00:00:00"/>
    <n v="5000"/>
    <x v="1"/>
    <n v="138.02500000000001"/>
    <s v=""/>
    <s v=""/>
    <s v=""/>
  </r>
  <r>
    <x v="491"/>
    <s v="SUP01078"/>
    <x v="6"/>
    <x v="6"/>
    <x v="1"/>
    <d v="2024-10-13T00:00:00"/>
    <n v="70.92"/>
    <s v="No"/>
    <s v="Debit Card"/>
    <x v="0"/>
    <s v="Event"/>
    <x v="27"/>
    <s v="Female"/>
    <n v="95"/>
    <x v="0"/>
    <x v="0"/>
    <s v="Email"/>
    <s v=""/>
    <s v=""/>
    <s v=""/>
    <x v="5"/>
    <s v="Over 55s"/>
    <d v="2024-10-07T00:00:00"/>
    <d v="2024-10-13T00:00:00"/>
    <n v="5000"/>
    <x v="1"/>
    <n v="70.92"/>
    <s v=""/>
    <s v=""/>
    <s v=""/>
  </r>
  <r>
    <x v="492"/>
    <s v="SUP01110"/>
    <x v="2"/>
    <x v="2"/>
    <x v="3"/>
    <d v="2024-11-05T00:00:00"/>
    <n v="4503.8500000000004"/>
    <s v="No"/>
    <s v="Online"/>
    <x v="1"/>
    <s v="Referral"/>
    <x v="5"/>
    <s v="Male"/>
    <n v="37"/>
    <x v="4"/>
    <x v="4"/>
    <s v="Email"/>
    <s v=""/>
    <s v="Review - prefers email but not opted in"/>
    <s v=""/>
    <x v="2"/>
    <s v="All Active"/>
    <d v="2024-11-01T00:00:00"/>
    <d v="2024-12-31T00:00:00"/>
    <n v="25000"/>
    <x v="2"/>
    <n v="4503.8500000000004"/>
    <s v=""/>
    <s v=""/>
    <s v=""/>
  </r>
  <r>
    <x v="493"/>
    <s v="SUP01216"/>
    <x v="4"/>
    <x v="4"/>
    <x v="5"/>
    <d v="2025-02-18T00:00:00"/>
    <n v="44.32"/>
    <s v="No"/>
    <s v="Cheque"/>
    <x v="2"/>
    <s v="Corporate Partner"/>
    <x v="16"/>
    <s v="Male"/>
    <n v="39"/>
    <x v="4"/>
    <x v="4"/>
    <s v="Post"/>
    <s v=""/>
    <s v=""/>
    <s v=""/>
    <x v="3"/>
    <s v="Prospects"/>
    <d v="2025-02-01T00:00:00"/>
    <d v="2025-04-30T00:00:00"/>
    <n v="20000"/>
    <x v="4"/>
    <n v="44.32"/>
    <s v=""/>
    <s v=""/>
    <s v=""/>
  </r>
  <r>
    <x v="494"/>
    <s v="SUP01393"/>
    <x v="5"/>
    <x v="5"/>
    <x v="1"/>
    <d v="2024-11-22T00:00:00"/>
    <n v="7.77"/>
    <s v="Yes"/>
    <s v="Cheque"/>
    <x v="5"/>
    <s v="Door-To-Door"/>
    <x v="2"/>
    <s v="Female"/>
    <n v="49"/>
    <x v="4"/>
    <x v="4"/>
    <s v="Post"/>
    <s v=""/>
    <s v=""/>
    <s v=""/>
    <x v="4"/>
    <s v="Volunteers"/>
    <d v="2024-11-22T00:00:00"/>
    <d v="2024-11-22T00:00:00"/>
    <n v="3500"/>
    <x v="3"/>
    <n v="9.7124999999999986"/>
    <s v=""/>
    <s v=""/>
    <s v=""/>
  </r>
  <r>
    <x v="495"/>
    <s v="SUP01229"/>
    <x v="1"/>
    <x v="1"/>
    <x v="1"/>
    <d v="2024-06-10T00:00:00"/>
    <n v="37.200000000000003"/>
    <s v="Yes"/>
    <s v="Cheque"/>
    <x v="3"/>
    <s v="Social Media"/>
    <x v="10"/>
    <s v="Male"/>
    <n v="54"/>
    <x v="1"/>
    <x v="1"/>
    <s v="Email"/>
    <s v=""/>
    <s v="Review - prefers email but not opted in"/>
    <s v=""/>
    <x v="1"/>
    <s v="Major Donors"/>
    <d v="2024-06-01T00:00:00"/>
    <d v="2024-06-30T00:00:00"/>
    <n v="7000"/>
    <x v="1"/>
    <n v="46.5"/>
    <s v=""/>
    <s v=""/>
    <s v=""/>
  </r>
  <r>
    <x v="496"/>
    <s v="SUP01009"/>
    <x v="4"/>
    <x v="4"/>
    <x v="5"/>
    <d v="2025-02-05T00:00:00"/>
    <n v="154"/>
    <s v="No"/>
    <s v="Online"/>
    <x v="6"/>
    <s v="Direct Mail"/>
    <x v="6"/>
    <s v="Female"/>
    <n v="64"/>
    <x v="1"/>
    <x v="1"/>
    <s v="Post"/>
    <s v=""/>
    <s v="Review - prefers post but not opted in"/>
    <s v=""/>
    <x v="3"/>
    <s v="Prospects"/>
    <d v="2025-02-01T00:00:00"/>
    <d v="2025-04-30T00:00:00"/>
    <n v="20000"/>
    <x v="4"/>
    <n v="154"/>
    <s v=""/>
    <s v=""/>
    <s v=""/>
  </r>
  <r>
    <x v="497"/>
    <s v="SUP01443"/>
    <x v="7"/>
    <x v="7"/>
    <x v="2"/>
    <d v="2025-03-02T00:00:00"/>
    <n v="62.45"/>
    <s v="No"/>
    <s v="Online"/>
    <x v="0"/>
    <s v="Door-To-Door"/>
    <x v="11"/>
    <s v="Male"/>
    <n v="90"/>
    <x v="0"/>
    <x v="0"/>
    <s v="Post"/>
    <s v=""/>
    <s v=""/>
    <s v=""/>
    <x v="6"/>
    <s v="Regular Givers"/>
    <d v="2025-03-01T00:00:00"/>
    <d v="2025-04-30T00:00:00"/>
    <n v="8000"/>
    <x v="1"/>
    <n v="62.45"/>
    <s v=""/>
    <s v=""/>
    <s v=""/>
  </r>
  <r>
    <x v="498"/>
    <s v="SUP01387"/>
    <x v="1"/>
    <x v="1"/>
    <x v="1"/>
    <d v="2024-06-28T00:00:00"/>
    <n v="20.41"/>
    <s v="Yes"/>
    <s v="Direct Debit"/>
    <x v="5"/>
    <s v="Website"/>
    <x v="8"/>
    <s v="Female"/>
    <n v="69"/>
    <x v="0"/>
    <x v="0"/>
    <s v="Post"/>
    <s v=""/>
    <s v=""/>
    <s v=""/>
    <x v="1"/>
    <s v="Major Donors"/>
    <d v="2024-06-01T00:00:00"/>
    <d v="2024-06-30T00:00:00"/>
    <n v="7000"/>
    <x v="1"/>
    <n v="25.512499999999999"/>
    <s v=""/>
    <s v=""/>
    <s v=""/>
  </r>
  <r>
    <x v="499"/>
    <s v="SUP01395"/>
    <x v="1"/>
    <x v="1"/>
    <x v="1"/>
    <d v="2024-06-21T00:00:00"/>
    <n v="19.98"/>
    <s v="Yes"/>
    <s v="PayPal"/>
    <x v="3"/>
    <s v="Corporate Partner"/>
    <x v="33"/>
    <s v="Male"/>
    <n v="61"/>
    <x v="1"/>
    <x v="1"/>
    <s v="No Preference"/>
    <s v=""/>
    <s v=""/>
    <s v=""/>
    <x v="1"/>
    <s v="Major Donors"/>
    <d v="2024-06-01T00:00:00"/>
    <d v="2024-06-30T00:00:00"/>
    <n v="7000"/>
    <x v="1"/>
    <n v="24.975000000000001"/>
    <s v=""/>
    <s v=""/>
    <s v=""/>
  </r>
  <r>
    <x v="500"/>
    <s v="SUP01056"/>
    <x v="2"/>
    <x v="2"/>
    <x v="2"/>
    <d v="2024-12-24T00:00:00"/>
    <n v="18.36"/>
    <s v="No"/>
    <s v="Standing Order"/>
    <x v="3"/>
    <s v="Referral"/>
    <x v="5"/>
    <s v="Female"/>
    <s v=""/>
    <x v="2"/>
    <x v="2"/>
    <s v="Email"/>
    <s v=""/>
    <s v=""/>
    <s v="Review - missing DOB"/>
    <x v="2"/>
    <s v="All Active"/>
    <d v="2024-11-01T00:00:00"/>
    <d v="2024-12-31T00:00:00"/>
    <n v="25000"/>
    <x v="2"/>
    <n v="18.36"/>
    <s v=""/>
    <s v=""/>
    <s v=""/>
  </r>
  <r>
    <x v="501"/>
    <s v="SUP01204"/>
    <x v="2"/>
    <x v="2"/>
    <x v="0"/>
    <d v="2024-11-26T00:00:00"/>
    <n v="128.25"/>
    <s v="Yes"/>
    <s v="Credit Card"/>
    <x v="4"/>
    <s v="Telephone"/>
    <x v="31"/>
    <s v="Male"/>
    <n v="73"/>
    <x v="0"/>
    <x v="0"/>
    <s v="Email"/>
    <s v=""/>
    <s v=""/>
    <s v=""/>
    <x v="2"/>
    <s v="All Active"/>
    <d v="2024-11-01T00:00:00"/>
    <d v="2024-12-31T00:00:00"/>
    <n v="25000"/>
    <x v="2"/>
    <n v="160.3125"/>
    <s v=""/>
    <s v=""/>
    <s v=""/>
  </r>
  <r>
    <x v="502"/>
    <s v="SUP01159"/>
    <x v="8"/>
    <x v="8"/>
    <x v="2"/>
    <d v="2024-11-27T00:00:00"/>
    <n v="2846.74"/>
    <s v="Yes"/>
    <s v="PayPal"/>
    <x v="1"/>
    <s v="Direct Mail"/>
    <x v="18"/>
    <s v="Male"/>
    <n v="49"/>
    <x v="4"/>
    <x v="4"/>
    <s v="Phone"/>
    <s v=""/>
    <s v=""/>
    <s v=""/>
    <x v="7"/>
    <s v="All Active"/>
    <d v="2024-10-15T00:00:00"/>
    <d v="2024-12-20T00:00:00"/>
    <n v="12000"/>
    <x v="2"/>
    <n v="3558.4249999999997"/>
    <s v=""/>
    <s v=""/>
    <s v=""/>
  </r>
  <r>
    <x v="503"/>
    <s v="SUP01286"/>
    <x v="3"/>
    <x v="3"/>
    <x v="0"/>
    <d v="2024-09-10T00:00:00"/>
    <n v="147.03"/>
    <s v="Yes"/>
    <s v="Direct Debit"/>
    <x v="0"/>
    <s v="Website"/>
    <x v="3"/>
    <s v="Male"/>
    <n v="61"/>
    <x v="1"/>
    <x v="1"/>
    <s v="Post"/>
    <s v=""/>
    <s v=""/>
    <s v=""/>
    <x v="2"/>
    <s v="All Supporters"/>
    <d v="2024-09-10T00:00:00"/>
    <d v="2024-10-15T00:00:00"/>
    <n v="15000"/>
    <x v="3"/>
    <n v="183.78749999999999"/>
    <s v=""/>
    <s v=""/>
    <s v=""/>
  </r>
  <r>
    <x v="504"/>
    <s v="SUP01133"/>
    <x v="2"/>
    <x v="2"/>
    <x v="3"/>
    <d v="2024-11-24T00:00:00"/>
    <n v="14.78"/>
    <s v="Yes"/>
    <s v="Credit Card"/>
    <x v="2"/>
    <s v="Door-To-Door"/>
    <x v="30"/>
    <s v="Male"/>
    <n v="78"/>
    <x v="0"/>
    <x v="0"/>
    <s v="No Preference"/>
    <s v=""/>
    <s v=""/>
    <s v=""/>
    <x v="2"/>
    <s v="All Active"/>
    <d v="2024-11-01T00:00:00"/>
    <d v="2024-12-31T00:00:00"/>
    <n v="25000"/>
    <x v="2"/>
    <n v="18.474999999999998"/>
    <s v=""/>
    <s v=""/>
    <s v=""/>
  </r>
  <r>
    <x v="505"/>
    <s v="SUP01341"/>
    <x v="0"/>
    <x v="0"/>
    <x v="4"/>
    <d v="2025-01-16T00:00:00"/>
    <n v="26.52"/>
    <s v="No"/>
    <s v="PayPal"/>
    <x v="3"/>
    <s v="Referral"/>
    <x v="24"/>
    <s v="Female"/>
    <n v="59"/>
    <x v="1"/>
    <x v="1"/>
    <s v="Post"/>
    <s v=""/>
    <s v=""/>
    <s v=""/>
    <x v="0"/>
    <s v="One-time Donors"/>
    <d v="2025-01-06T00:00:00"/>
    <d v="2025-03-31T00:00:00"/>
    <n v="10000"/>
    <x v="0"/>
    <n v="26.52"/>
    <s v=""/>
    <s v=""/>
    <s v=""/>
  </r>
  <r>
    <x v="506"/>
    <s v="SUP01439"/>
    <x v="5"/>
    <x v="5"/>
    <x v="1"/>
    <d v="2024-11-22T00:00:00"/>
    <n v="29.62"/>
    <s v="Yes"/>
    <s v="Direct Debit"/>
    <x v="3"/>
    <s v="Website"/>
    <x v="23"/>
    <s v="Female"/>
    <n v="41"/>
    <x v="4"/>
    <x v="4"/>
    <s v="Email"/>
    <s v=""/>
    <s v="Review - prefers email but not opted in"/>
    <s v=""/>
    <x v="4"/>
    <s v="Volunteers"/>
    <d v="2024-11-22T00:00:00"/>
    <d v="2024-11-22T00:00:00"/>
    <n v="3500"/>
    <x v="3"/>
    <n v="37.024999999999999"/>
    <s v=""/>
    <s v=""/>
    <s v=""/>
  </r>
  <r>
    <x v="507"/>
    <s v="SUP01288"/>
    <x v="2"/>
    <x v="2"/>
    <x v="1"/>
    <d v="2024-11-02T00:00:00"/>
    <n v="21.66"/>
    <s v="Yes"/>
    <s v="Cash"/>
    <x v="3"/>
    <s v="Telephone"/>
    <x v="23"/>
    <s v="Female"/>
    <n v="32"/>
    <x v="3"/>
    <x v="3"/>
    <s v="Email"/>
    <s v=""/>
    <s v=""/>
    <s v=""/>
    <x v="2"/>
    <s v="All Active"/>
    <d v="2024-11-01T00:00:00"/>
    <d v="2024-12-31T00:00:00"/>
    <n v="25000"/>
    <x v="2"/>
    <n v="27.074999999999999"/>
    <s v=""/>
    <s v=""/>
    <s v=""/>
  </r>
  <r>
    <x v="508"/>
    <s v="SUP01074"/>
    <x v="5"/>
    <x v="5"/>
    <x v="1"/>
    <d v="2024-11-22T00:00:00"/>
    <n v="30.27"/>
    <s v="No"/>
    <s v="Cash"/>
    <x v="3"/>
    <s v="Corporate Partner"/>
    <x v="28"/>
    <s v="Male"/>
    <n v="87"/>
    <x v="0"/>
    <x v="0"/>
    <s v="Post"/>
    <s v=""/>
    <s v=""/>
    <s v=""/>
    <x v="4"/>
    <s v="Volunteers"/>
    <d v="2024-11-22T00:00:00"/>
    <d v="2024-11-22T00:00:00"/>
    <n v="3500"/>
    <x v="3"/>
    <n v="30.27"/>
    <s v=""/>
    <s v=""/>
    <s v=""/>
  </r>
  <r>
    <x v="509"/>
    <s v="SUP01326"/>
    <x v="2"/>
    <x v="2"/>
    <x v="0"/>
    <d v="2024-12-20T00:00:00"/>
    <n v="489.36"/>
    <s v="Yes"/>
    <s v="PayPal"/>
    <x v="0"/>
    <s v="Telephone"/>
    <x v="25"/>
    <s v="Male"/>
    <n v="63"/>
    <x v="1"/>
    <x v="1"/>
    <s v="Email"/>
    <s v=""/>
    <s v=""/>
    <s v=""/>
    <x v="2"/>
    <s v="All Active"/>
    <d v="2024-11-01T00:00:00"/>
    <d v="2024-12-31T00:00:00"/>
    <n v="25000"/>
    <x v="2"/>
    <n v="611.70000000000005"/>
    <s v=""/>
    <s v=""/>
    <s v=""/>
  </r>
  <r>
    <x v="510"/>
    <s v="SUP01068"/>
    <x v="0"/>
    <x v="0"/>
    <x v="1"/>
    <d v="2025-01-21T00:00:00"/>
    <n v="89.5"/>
    <s v="No"/>
    <s v="Direct Debit"/>
    <x v="2"/>
    <s v="Direct Mail"/>
    <x v="2"/>
    <s v="Male"/>
    <n v="41"/>
    <x v="4"/>
    <x v="4"/>
    <s v="Do Not Contact"/>
    <s v=""/>
    <s v=""/>
    <s v=""/>
    <x v="0"/>
    <s v="One-time Donors"/>
    <d v="2025-01-06T00:00:00"/>
    <d v="2025-03-31T00:00:00"/>
    <n v="10000"/>
    <x v="0"/>
    <n v="89.5"/>
    <s v=""/>
    <s v=""/>
    <s v=""/>
  </r>
  <r>
    <x v="511"/>
    <s v="SUP01035"/>
    <x v="4"/>
    <x v="4"/>
    <x v="0"/>
    <d v="2025-04-26T00:00:00"/>
    <n v="21.12"/>
    <s v="No"/>
    <s v="Credit Card"/>
    <x v="3"/>
    <s v="Event"/>
    <x v="11"/>
    <s v="Male"/>
    <n v="52"/>
    <x v="1"/>
    <x v="1"/>
    <s v="Post"/>
    <s v=""/>
    <s v=""/>
    <s v=""/>
    <x v="3"/>
    <s v="Prospects"/>
    <d v="2025-02-01T00:00:00"/>
    <d v="2025-04-30T00:00:00"/>
    <n v="20000"/>
    <x v="4"/>
    <n v="21.12"/>
    <s v=""/>
    <s v=""/>
    <s v=""/>
  </r>
  <r>
    <x v="512"/>
    <s v="SUP01478"/>
    <x v="1"/>
    <x v="1"/>
    <x v="1"/>
    <d v="2024-06-16T00:00:00"/>
    <n v="220.24"/>
    <s v="No"/>
    <s v="Cheque"/>
    <x v="6"/>
    <s v="Telephone"/>
    <x v="33"/>
    <s v="Female"/>
    <n v="47"/>
    <x v="4"/>
    <x v="4"/>
    <s v="Email"/>
    <s v=""/>
    <s v=""/>
    <s v=""/>
    <x v="1"/>
    <s v="Major Donors"/>
    <d v="2024-06-01T00:00:00"/>
    <d v="2024-06-30T00:00:00"/>
    <n v="7000"/>
    <x v="1"/>
    <n v="220.24"/>
    <s v=""/>
    <s v=""/>
    <s v=""/>
  </r>
  <r>
    <x v="513"/>
    <s v="SUP01254"/>
    <x v="1"/>
    <x v="1"/>
    <x v="1"/>
    <d v="2024-06-09T00:00:00"/>
    <n v="2017.33"/>
    <s v="Yes"/>
    <s v="Cheque"/>
    <x v="1"/>
    <s v="Direct Mail"/>
    <x v="12"/>
    <s v="Male"/>
    <n v="54"/>
    <x v="1"/>
    <x v="1"/>
    <s v="No Preference"/>
    <s v=""/>
    <s v=""/>
    <s v=""/>
    <x v="1"/>
    <s v="Major Donors"/>
    <d v="2024-06-01T00:00:00"/>
    <d v="2024-06-30T00:00:00"/>
    <n v="7000"/>
    <x v="1"/>
    <n v="2521.6624999999999"/>
    <s v=""/>
    <s v=""/>
    <s v=""/>
  </r>
  <r>
    <x v="514"/>
    <s v="SUP01231"/>
    <x v="7"/>
    <x v="7"/>
    <x v="1"/>
    <d v="2025-02-04T00:00:00"/>
    <n v="153.33000000000001"/>
    <s v="No"/>
    <s v="Cheque"/>
    <x v="6"/>
    <s v="Social Media"/>
    <x v="2"/>
    <s v="Female"/>
    <n v="66"/>
    <x v="0"/>
    <x v="0"/>
    <s v="Phone"/>
    <s v=""/>
    <s v="Review - prefers phone but not opted in"/>
    <s v=""/>
    <x v="6"/>
    <s v="Regular Givers"/>
    <d v="2025-03-01T00:00:00"/>
    <d v="2025-04-30T00:00:00"/>
    <n v="8000"/>
    <x v="1"/>
    <n v="153.33000000000001"/>
    <s v=""/>
    <s v="Review - response outside campaign dates"/>
    <s v=""/>
  </r>
  <r>
    <x v="515"/>
    <s v="SUP01244"/>
    <x v="2"/>
    <x v="2"/>
    <x v="2"/>
    <d v="2024-11-28T00:00:00"/>
    <n v="239.6"/>
    <s v="No"/>
    <s v="PayPal"/>
    <x v="6"/>
    <s v="Referral"/>
    <x v="33"/>
    <s v="Female"/>
    <n v="45"/>
    <x v="4"/>
    <x v="4"/>
    <s v="Post"/>
    <s v=""/>
    <s v=""/>
    <s v=""/>
    <x v="2"/>
    <s v="All Active"/>
    <d v="2024-11-01T00:00:00"/>
    <d v="2024-12-31T00:00:00"/>
    <n v="25000"/>
    <x v="2"/>
    <n v="239.6"/>
    <s v=""/>
    <s v=""/>
    <s v=""/>
  </r>
  <r>
    <x v="516"/>
    <s v="SUP01015"/>
    <x v="0"/>
    <x v="0"/>
    <x v="0"/>
    <d v="2025-02-17T00:00:00"/>
    <n v="27.14"/>
    <s v="No"/>
    <s v="Credit Card"/>
    <x v="3"/>
    <s v="Direct Mail"/>
    <x v="0"/>
    <s v="Female"/>
    <n v="84"/>
    <x v="0"/>
    <x v="0"/>
    <s v="Email"/>
    <s v=""/>
    <s v=""/>
    <s v=""/>
    <x v="0"/>
    <s v="One-time Donors"/>
    <d v="2025-01-06T00:00:00"/>
    <d v="2025-03-31T00:00:00"/>
    <n v="10000"/>
    <x v="0"/>
    <n v="27.14"/>
    <s v=""/>
    <s v=""/>
    <s v=""/>
  </r>
  <r>
    <x v="517"/>
    <s v="SUP01382"/>
    <x v="4"/>
    <x v="4"/>
    <x v="0"/>
    <d v="2025-02-04T00:00:00"/>
    <n v="90.76"/>
    <s v="No"/>
    <s v="PayPal"/>
    <x v="6"/>
    <s v="Website"/>
    <x v="13"/>
    <s v="Male"/>
    <n v="70"/>
    <x v="0"/>
    <x v="0"/>
    <s v="Email"/>
    <s v=""/>
    <s v=""/>
    <s v=""/>
    <x v="3"/>
    <s v="Prospects"/>
    <d v="2025-02-01T00:00:00"/>
    <d v="2025-04-30T00:00:00"/>
    <n v="20000"/>
    <x v="4"/>
    <n v="90.76"/>
    <s v=""/>
    <s v=""/>
    <s v=""/>
  </r>
  <r>
    <x v="518"/>
    <m/>
    <x v="5"/>
    <x v="5"/>
    <x v="2"/>
    <d v="2024-11-22T00:00:00"/>
    <n v="20.53"/>
    <s v="No"/>
    <s v="PayPal"/>
    <x v="7"/>
    <s v=""/>
    <x v="35"/>
    <s v=""/>
    <s v=""/>
    <x v="2"/>
    <x v="2"/>
    <s v=""/>
    <s v=""/>
    <s v=""/>
    <s v="Review - missing DOB"/>
    <x v="4"/>
    <s v="Volunteers"/>
    <d v="2024-11-22T00:00:00"/>
    <d v="2024-11-22T00:00:00"/>
    <n v="3500"/>
    <x v="3"/>
    <n v="20.53"/>
    <s v="Review - missing supporter ID"/>
    <s v=""/>
    <s v=""/>
  </r>
  <r>
    <x v="519"/>
    <s v="SUP01194"/>
    <x v="7"/>
    <x v="7"/>
    <x v="2"/>
    <d v="2025-03-07T00:00:00"/>
    <n v="39.200000000000003"/>
    <s v="Yes"/>
    <s v="Debit Card"/>
    <x v="3"/>
    <s v="Corporate Partner"/>
    <x v="22"/>
    <s v="Male"/>
    <n v="77"/>
    <x v="0"/>
    <x v="0"/>
    <s v="Post"/>
    <s v=""/>
    <s v=""/>
    <s v=""/>
    <x v="6"/>
    <s v="Regular Givers"/>
    <d v="2025-03-01T00:00:00"/>
    <d v="2025-04-30T00:00:00"/>
    <n v="8000"/>
    <x v="1"/>
    <n v="49"/>
    <s v=""/>
    <s v=""/>
    <s v=""/>
  </r>
  <r>
    <x v="520"/>
    <s v="SUP01324"/>
    <x v="3"/>
    <x v="3"/>
    <x v="0"/>
    <d v="2024-10-12T00:00:00"/>
    <n v="177.99"/>
    <s v="No"/>
    <s v="Standing Order"/>
    <x v="0"/>
    <s v="Website"/>
    <x v="34"/>
    <s v="Female"/>
    <n v="70"/>
    <x v="0"/>
    <x v="0"/>
    <s v="Email"/>
    <s v=""/>
    <s v=""/>
    <s v=""/>
    <x v="2"/>
    <s v="All Supporters"/>
    <d v="2024-09-10T00:00:00"/>
    <d v="2024-10-15T00:00:00"/>
    <n v="15000"/>
    <x v="3"/>
    <n v="177.99"/>
    <s v=""/>
    <s v=""/>
    <s v=""/>
  </r>
  <r>
    <x v="521"/>
    <s v="SUP01068"/>
    <x v="8"/>
    <x v="8"/>
    <x v="2"/>
    <d v="2024-10-18T00:00:00"/>
    <n v="40.369999999999997"/>
    <s v="Yes"/>
    <s v="Cash"/>
    <x v="2"/>
    <s v="Direct Mail"/>
    <x v="2"/>
    <s v="Male"/>
    <n v="41"/>
    <x v="4"/>
    <x v="4"/>
    <s v="Do Not Contact"/>
    <s v=""/>
    <s v=""/>
    <s v=""/>
    <x v="7"/>
    <s v="All Active"/>
    <d v="2024-10-15T00:00:00"/>
    <d v="2024-12-20T00:00:00"/>
    <n v="12000"/>
    <x v="2"/>
    <n v="50.462499999999999"/>
    <s v=""/>
    <s v=""/>
    <s v=""/>
  </r>
  <r>
    <x v="522"/>
    <m/>
    <x v="0"/>
    <x v="0"/>
    <x v="0"/>
    <d v="2025-01-15T00:00:00"/>
    <n v="171.29"/>
    <s v="Yes"/>
    <s v="Online"/>
    <x v="7"/>
    <s v=""/>
    <x v="35"/>
    <s v=""/>
    <s v=""/>
    <x v="2"/>
    <x v="2"/>
    <s v=""/>
    <s v=""/>
    <s v=""/>
    <s v="Review - missing DOB"/>
    <x v="0"/>
    <s v="One-time Donors"/>
    <d v="2025-01-06T00:00:00"/>
    <d v="2025-03-31T00:00:00"/>
    <n v="10000"/>
    <x v="0"/>
    <n v="214.11249999999998"/>
    <s v="Review - missing supporter ID"/>
    <s v=""/>
    <s v=""/>
  </r>
  <r>
    <x v="523"/>
    <s v="SUP01170"/>
    <x v="7"/>
    <x v="7"/>
    <x v="1"/>
    <d v="2025-03-13T00:00:00"/>
    <n v="57.33"/>
    <s v="Yes"/>
    <s v="Cheque"/>
    <x v="4"/>
    <s v="Social Media"/>
    <x v="32"/>
    <s v="Female"/>
    <n v="60"/>
    <x v="1"/>
    <x v="1"/>
    <s v="No Preference"/>
    <s v=""/>
    <s v=""/>
    <s v=""/>
    <x v="6"/>
    <s v="Regular Givers"/>
    <d v="2025-03-01T00:00:00"/>
    <d v="2025-04-30T00:00:00"/>
    <n v="8000"/>
    <x v="1"/>
    <n v="71.662499999999994"/>
    <s v=""/>
    <s v=""/>
    <s v=""/>
  </r>
  <r>
    <x v="524"/>
    <s v="SUP01237"/>
    <x v="5"/>
    <x v="5"/>
    <x v="1"/>
    <d v="2024-11-22T00:00:00"/>
    <n v="82.56"/>
    <s v="Yes"/>
    <s v="Standing Order"/>
    <x v="2"/>
    <s v="Event"/>
    <x v="27"/>
    <s v="Female"/>
    <n v="93"/>
    <x v="0"/>
    <x v="0"/>
    <s v="Post"/>
    <s v=""/>
    <s v=""/>
    <s v=""/>
    <x v="4"/>
    <s v="Volunteers"/>
    <d v="2024-11-22T00:00:00"/>
    <d v="2024-11-22T00:00:00"/>
    <n v="3500"/>
    <x v="3"/>
    <n v="103.2"/>
    <s v=""/>
    <s v=""/>
    <s v=""/>
  </r>
  <r>
    <x v="525"/>
    <s v="SUP01200"/>
    <x v="6"/>
    <x v="6"/>
    <x v="1"/>
    <d v="2024-10-10T00:00:00"/>
    <n v="20.440000000000001"/>
    <s v="Yes"/>
    <s v="Debit Card"/>
    <x v="5"/>
    <s v="Website"/>
    <x v="30"/>
    <s v="Male"/>
    <n v="73"/>
    <x v="0"/>
    <x v="0"/>
    <s v="Email"/>
    <s v=""/>
    <s v="Review - prefers email but not opted in"/>
    <s v=""/>
    <x v="5"/>
    <s v="Over 55s"/>
    <d v="2024-10-07T00:00:00"/>
    <d v="2024-10-13T00:00:00"/>
    <n v="5000"/>
    <x v="1"/>
    <n v="25.55"/>
    <s v=""/>
    <s v=""/>
    <s v=""/>
  </r>
  <r>
    <x v="526"/>
    <s v="SUP01373"/>
    <x v="7"/>
    <x v="7"/>
    <x v="1"/>
    <d v="2025-04-17T00:00:00"/>
    <n v="2629.69"/>
    <s v="No"/>
    <s v="PayPal"/>
    <x v="1"/>
    <s v="Referral"/>
    <x v="28"/>
    <s v="Male"/>
    <n v="43"/>
    <x v="4"/>
    <x v="4"/>
    <s v="Email"/>
    <s v=""/>
    <s v=""/>
    <s v=""/>
    <x v="6"/>
    <s v="Regular Givers"/>
    <d v="2025-03-01T00:00:00"/>
    <d v="2025-04-30T00:00:00"/>
    <n v="8000"/>
    <x v="1"/>
    <n v="2629.69"/>
    <s v=""/>
    <s v=""/>
    <s v=""/>
  </r>
  <r>
    <x v="527"/>
    <s v="SUP01439"/>
    <x v="3"/>
    <x v="3"/>
    <x v="3"/>
    <d v="2024-01-15T00:00:00"/>
    <n v="46.06"/>
    <s v="Yes"/>
    <s v="Standing Order"/>
    <x v="3"/>
    <s v="Website"/>
    <x v="23"/>
    <s v="Female"/>
    <n v="41"/>
    <x v="4"/>
    <x v="4"/>
    <s v="Email"/>
    <s v=""/>
    <s v="Review - prefers email but not opted in"/>
    <s v=""/>
    <x v="2"/>
    <s v="All Supporters"/>
    <d v="2024-09-10T00:00:00"/>
    <d v="2024-10-15T00:00:00"/>
    <n v="15000"/>
    <x v="3"/>
    <n v="57.575000000000003"/>
    <s v=""/>
    <s v="Review - response outside campaign dates"/>
    <s v=""/>
  </r>
  <r>
    <x v="528"/>
    <s v="SUP01338"/>
    <x v="7"/>
    <x v="7"/>
    <x v="2"/>
    <d v="2025-03-08T00:00:00"/>
    <n v="4310.6400000000003"/>
    <s v="No"/>
    <s v="Online"/>
    <x v="1"/>
    <s v="Event"/>
    <x v="29"/>
    <s v="Female"/>
    <n v="71"/>
    <x v="0"/>
    <x v="0"/>
    <s v="Email"/>
    <s v=""/>
    <s v=""/>
    <s v=""/>
    <x v="6"/>
    <s v="Regular Givers"/>
    <d v="2025-03-01T00:00:00"/>
    <d v="2025-04-30T00:00:00"/>
    <n v="8000"/>
    <x v="1"/>
    <n v="4310.6400000000003"/>
    <s v=""/>
    <s v=""/>
    <s v=""/>
  </r>
  <r>
    <x v="529"/>
    <s v="SUP01124"/>
    <x v="5"/>
    <x v="5"/>
    <x v="1"/>
    <d v="2024-11-22T00:00:00"/>
    <n v="1635.14"/>
    <s v="Yes"/>
    <s v="Standing Order"/>
    <x v="1"/>
    <s v="Door-To-Door"/>
    <x v="18"/>
    <s v="Female"/>
    <n v="90"/>
    <x v="0"/>
    <x v="0"/>
    <s v="Email"/>
    <s v=""/>
    <s v=""/>
    <s v=""/>
    <x v="4"/>
    <s v="Volunteers"/>
    <d v="2024-11-22T00:00:00"/>
    <d v="2024-11-22T00:00:00"/>
    <n v="3500"/>
    <x v="3"/>
    <n v="2043.9250000000002"/>
    <s v=""/>
    <s v=""/>
    <s v=""/>
  </r>
  <r>
    <x v="530"/>
    <s v="SUP01206"/>
    <x v="6"/>
    <x v="6"/>
    <x v="1"/>
    <d v="2024-10-08T00:00:00"/>
    <n v="28.65"/>
    <s v="Yes"/>
    <s v="Credit Card"/>
    <x v="5"/>
    <s v="Event"/>
    <x v="1"/>
    <s v="Female"/>
    <n v="59"/>
    <x v="1"/>
    <x v="1"/>
    <s v="Email"/>
    <s v=""/>
    <s v=""/>
    <s v=""/>
    <x v="5"/>
    <s v="Over 55s"/>
    <d v="2024-10-07T00:00:00"/>
    <d v="2024-10-13T00:00:00"/>
    <n v="5000"/>
    <x v="1"/>
    <n v="35.8125"/>
    <s v=""/>
    <s v=""/>
    <s v=""/>
  </r>
  <r>
    <x v="531"/>
    <s v="SUP01351"/>
    <x v="2"/>
    <x v="2"/>
    <x v="3"/>
    <d v="2024-11-18T00:00:00"/>
    <n v="179.78"/>
    <s v="No"/>
    <s v="Debit Card"/>
    <x v="6"/>
    <s v="Door-To-Door"/>
    <x v="12"/>
    <s v="Male"/>
    <n v="50"/>
    <x v="1"/>
    <x v="1"/>
    <s v="Post"/>
    <s v=""/>
    <s v=""/>
    <s v=""/>
    <x v="2"/>
    <s v="All Active"/>
    <d v="2024-11-01T00:00:00"/>
    <d v="2024-12-31T00:00:00"/>
    <n v="25000"/>
    <x v="2"/>
    <n v="179.78"/>
    <s v=""/>
    <s v=""/>
    <s v=""/>
  </r>
  <r>
    <x v="532"/>
    <s v="SUP01400"/>
    <x v="9"/>
    <x v="9"/>
    <x v="1"/>
    <d v="2024-07-15T00:00:00"/>
    <n v="8.67"/>
    <s v="No"/>
    <s v="Debit Card"/>
    <x v="3"/>
    <s v="Door-To-Door"/>
    <x v="34"/>
    <s v="Female"/>
    <n v="44"/>
    <x v="4"/>
    <x v="4"/>
    <s v="Phone"/>
    <s v=""/>
    <s v=""/>
    <s v=""/>
    <x v="4"/>
    <s v="Major Donors"/>
    <d v="2024-07-15T00:00:00"/>
    <d v="2024-07-15T00:00:00"/>
    <n v="45000"/>
    <x v="1"/>
    <n v="8.67"/>
    <s v=""/>
    <s v=""/>
    <s v=""/>
  </r>
  <r>
    <x v="533"/>
    <s v="SUP01360"/>
    <x v="2"/>
    <x v="2"/>
    <x v="2"/>
    <d v="2024-12-14T00:00:00"/>
    <n v="16.25"/>
    <s v="Yes"/>
    <s v="Cash"/>
    <x v="3"/>
    <s v="Door-To-Door"/>
    <x v="21"/>
    <s v="Female"/>
    <n v="80"/>
    <x v="0"/>
    <x v="0"/>
    <s v="No Preference"/>
    <s v=""/>
    <s v=""/>
    <s v=""/>
    <x v="2"/>
    <s v="All Active"/>
    <d v="2024-11-01T00:00:00"/>
    <d v="2024-12-31T00:00:00"/>
    <n v="25000"/>
    <x v="2"/>
    <n v="20.3125"/>
    <s v=""/>
    <s v=""/>
    <s v=""/>
  </r>
  <r>
    <x v="534"/>
    <s v="SUP01365"/>
    <x v="2"/>
    <x v="2"/>
    <x v="0"/>
    <d v="2024-12-31T00:00:00"/>
    <n v="12.39"/>
    <s v="Yes"/>
    <s v="Credit Card"/>
    <x v="3"/>
    <s v="Social Media"/>
    <x v="5"/>
    <s v="Female"/>
    <n v="37"/>
    <x v="4"/>
    <x v="4"/>
    <s v="No Preference"/>
    <s v=""/>
    <s v=""/>
    <s v=""/>
    <x v="2"/>
    <s v="All Active"/>
    <d v="2024-11-01T00:00:00"/>
    <d v="2024-12-31T00:00:00"/>
    <n v="25000"/>
    <x v="2"/>
    <n v="15.487500000000001"/>
    <s v=""/>
    <s v=""/>
    <s v=""/>
  </r>
  <r>
    <x v="535"/>
    <s v="SUP01221"/>
    <x v="7"/>
    <x v="7"/>
    <x v="2"/>
    <d v="2025-03-25T00:00:00"/>
    <n v="91.23"/>
    <s v="No"/>
    <s v="Credit Card"/>
    <x v="2"/>
    <s v="Telephone"/>
    <x v="33"/>
    <s v="Female"/>
    <n v="61"/>
    <x v="1"/>
    <x v="1"/>
    <s v="No Preference"/>
    <s v=""/>
    <s v=""/>
    <s v=""/>
    <x v="6"/>
    <s v="Regular Givers"/>
    <d v="2025-03-01T00:00:00"/>
    <d v="2025-04-30T00:00:00"/>
    <n v="8000"/>
    <x v="1"/>
    <n v="91.23"/>
    <s v=""/>
    <s v=""/>
    <s v=""/>
  </r>
  <r>
    <x v="536"/>
    <s v="SUP01042"/>
    <x v="2"/>
    <x v="2"/>
    <x v="2"/>
    <d v="2024-11-25T00:00:00"/>
    <n v="29.69"/>
    <s v="Yes"/>
    <s v="PayPal"/>
    <x v="2"/>
    <s v="Website"/>
    <x v="7"/>
    <s v="Female"/>
    <n v="59"/>
    <x v="1"/>
    <x v="1"/>
    <s v="Post"/>
    <s v=""/>
    <s v=""/>
    <s v=""/>
    <x v="2"/>
    <s v="All Active"/>
    <d v="2024-11-01T00:00:00"/>
    <d v="2024-12-31T00:00:00"/>
    <n v="25000"/>
    <x v="2"/>
    <n v="37.112500000000004"/>
    <s v=""/>
    <s v=""/>
    <s v=""/>
  </r>
  <r>
    <x v="537"/>
    <s v="SUP01456"/>
    <x v="6"/>
    <x v="6"/>
    <x v="1"/>
    <d v="2024-10-10T00:00:00"/>
    <n v="110.51"/>
    <s v="No"/>
    <s v="Credit Card"/>
    <x v="6"/>
    <s v="Telephone"/>
    <x v="27"/>
    <s v="Female"/>
    <n v="74"/>
    <x v="0"/>
    <x v="0"/>
    <s v="Phone"/>
    <s v=""/>
    <s v=""/>
    <s v=""/>
    <x v="5"/>
    <s v="Over 55s"/>
    <d v="2024-10-07T00:00:00"/>
    <d v="2024-10-13T00:00:00"/>
    <n v="5000"/>
    <x v="1"/>
    <n v="110.51"/>
    <s v=""/>
    <s v=""/>
    <s v=""/>
  </r>
  <r>
    <x v="538"/>
    <s v="SUP01249"/>
    <x v="2"/>
    <x v="2"/>
    <x v="3"/>
    <d v="2024-11-06T00:00:00"/>
    <n v="48.31"/>
    <s v="Yes"/>
    <s v="Cheque"/>
    <x v="4"/>
    <s v="Website"/>
    <x v="6"/>
    <s v="Female"/>
    <n v="71"/>
    <x v="0"/>
    <x v="0"/>
    <s v="Email"/>
    <s v=""/>
    <s v="Review - prefers email but not opted in"/>
    <s v=""/>
    <x v="2"/>
    <s v="All Active"/>
    <d v="2024-11-01T00:00:00"/>
    <d v="2024-12-31T00:00:00"/>
    <n v="25000"/>
    <x v="2"/>
    <n v="60.387500000000003"/>
    <s v=""/>
    <s v=""/>
    <s v=""/>
  </r>
  <r>
    <x v="539"/>
    <s v="SUP01007"/>
    <x v="8"/>
    <x v="8"/>
    <x v="0"/>
    <d v="2024-12-16T00:00:00"/>
    <n v="15.99"/>
    <s v="Yes"/>
    <s v="Cheque"/>
    <x v="5"/>
    <s v="Event"/>
    <x v="22"/>
    <s v="Male"/>
    <n v="19"/>
    <x v="3"/>
    <x v="3"/>
    <s v="Email"/>
    <s v=""/>
    <s v=""/>
    <s v=""/>
    <x v="7"/>
    <s v="All Active"/>
    <d v="2024-10-15T00:00:00"/>
    <d v="2024-12-20T00:00:00"/>
    <n v="12000"/>
    <x v="2"/>
    <n v="19.987500000000001"/>
    <s v=""/>
    <s v=""/>
    <s v=""/>
  </r>
  <r>
    <x v="540"/>
    <s v="SUP01074"/>
    <x v="4"/>
    <x v="4"/>
    <x v="5"/>
    <d v="2025-04-03T00:00:00"/>
    <n v="9.69"/>
    <s v="No"/>
    <s v="Online"/>
    <x v="3"/>
    <s v="Corporate Partner"/>
    <x v="28"/>
    <s v="Male"/>
    <n v="87"/>
    <x v="0"/>
    <x v="0"/>
    <s v="Post"/>
    <s v=""/>
    <s v=""/>
    <s v=""/>
    <x v="3"/>
    <s v="Prospects"/>
    <d v="2025-02-01T00:00:00"/>
    <d v="2025-04-30T00:00:00"/>
    <n v="20000"/>
    <x v="4"/>
    <n v="9.69"/>
    <s v=""/>
    <s v=""/>
    <s v=""/>
  </r>
  <r>
    <x v="541"/>
    <s v="SUP01375"/>
    <x v="2"/>
    <x v="2"/>
    <x v="1"/>
    <d v="2024-08-11T00:00:00"/>
    <n v="74.28"/>
    <s v="No"/>
    <s v="Credit Card"/>
    <x v="4"/>
    <s v="Social Media"/>
    <x v="16"/>
    <s v="Female"/>
    <n v="55"/>
    <x v="1"/>
    <x v="1"/>
    <s v="Email"/>
    <s v=""/>
    <s v=""/>
    <s v=""/>
    <x v="2"/>
    <s v="All Active"/>
    <d v="2024-11-01T00:00:00"/>
    <d v="2024-12-31T00:00:00"/>
    <n v="25000"/>
    <x v="2"/>
    <n v="74.28"/>
    <s v=""/>
    <s v="Review - response outside campaign dates"/>
    <s v=""/>
  </r>
  <r>
    <x v="542"/>
    <s v="SUP01267"/>
    <x v="7"/>
    <x v="7"/>
    <x v="1"/>
    <d v="2025-04-27T00:00:00"/>
    <n v="24.71"/>
    <s v="No"/>
    <s v="Cheque"/>
    <x v="3"/>
    <s v="Website"/>
    <x v="12"/>
    <s v="Female"/>
    <n v="33"/>
    <x v="3"/>
    <x v="3"/>
    <s v="Email"/>
    <s v=""/>
    <s v=""/>
    <s v=""/>
    <x v="6"/>
    <s v="Regular Givers"/>
    <d v="2025-03-01T00:00:00"/>
    <d v="2025-04-30T00:00:00"/>
    <n v="8000"/>
    <x v="1"/>
    <n v="24.71"/>
    <s v=""/>
    <s v=""/>
    <s v=""/>
  </r>
  <r>
    <x v="543"/>
    <s v="SUP01304"/>
    <x v="1"/>
    <x v="1"/>
    <x v="1"/>
    <d v="2024-06-24T00:00:00"/>
    <n v="288.33999999999997"/>
    <s v="Yes"/>
    <s v="Cheque"/>
    <x v="0"/>
    <s v="Social Media"/>
    <x v="27"/>
    <s v="Female"/>
    <n v="86"/>
    <x v="0"/>
    <x v="0"/>
    <s v="Email"/>
    <s v=""/>
    <s v=""/>
    <s v=""/>
    <x v="1"/>
    <s v="Major Donors"/>
    <d v="2024-06-01T00:00:00"/>
    <d v="2024-06-30T00:00:00"/>
    <n v="7000"/>
    <x v="1"/>
    <n v="360.42499999999995"/>
    <s v=""/>
    <s v=""/>
    <s v=""/>
  </r>
  <r>
    <x v="544"/>
    <s v="SUP01023"/>
    <x v="9"/>
    <x v="9"/>
    <x v="1"/>
    <d v="2024-07-15T00:00:00"/>
    <n v="233.87"/>
    <s v="No"/>
    <s v="Credit Card"/>
    <x v="0"/>
    <s v="Direct Mail"/>
    <x v="4"/>
    <s v="Female"/>
    <n v="59"/>
    <x v="1"/>
    <x v="1"/>
    <s v="Do Not Contact"/>
    <s v=""/>
    <s v=""/>
    <s v=""/>
    <x v="4"/>
    <s v="Major Donors"/>
    <d v="2024-07-15T00:00:00"/>
    <d v="2024-07-15T00:00:00"/>
    <n v="45000"/>
    <x v="1"/>
    <n v="233.87"/>
    <s v=""/>
    <s v=""/>
    <s v=""/>
  </r>
  <r>
    <x v="545"/>
    <s v="SUP01451"/>
    <x v="6"/>
    <x v="6"/>
    <x v="1"/>
    <d v="2024-10-09T00:00:00"/>
    <n v="29.92"/>
    <s v="Yes"/>
    <s v="Cheque"/>
    <x v="5"/>
    <s v="Referral"/>
    <x v="30"/>
    <s v="Female"/>
    <n v="74"/>
    <x v="0"/>
    <x v="0"/>
    <s v="Phone"/>
    <s v=""/>
    <s v="Review - prefers phone but not opted in"/>
    <s v=""/>
    <x v="5"/>
    <s v="Over 55s"/>
    <d v="2024-10-07T00:00:00"/>
    <d v="2024-10-13T00:00:00"/>
    <n v="5000"/>
    <x v="1"/>
    <n v="37.400000000000006"/>
    <s v=""/>
    <s v=""/>
    <s v=""/>
  </r>
  <r>
    <x v="546"/>
    <s v="SUP01491"/>
    <x v="1"/>
    <x v="1"/>
    <x v="1"/>
    <d v="2024-06-14T00:00:00"/>
    <n v="1903.44"/>
    <s v="Yes"/>
    <s v="Cheque"/>
    <x v="1"/>
    <s v="Telephone"/>
    <x v="6"/>
    <s v="Female"/>
    <n v="75"/>
    <x v="0"/>
    <x v="0"/>
    <s v="Email"/>
    <s v=""/>
    <s v=""/>
    <s v=""/>
    <x v="1"/>
    <s v="Major Donors"/>
    <d v="2024-06-01T00:00:00"/>
    <d v="2024-06-30T00:00:00"/>
    <n v="7000"/>
    <x v="1"/>
    <n v="2379.3000000000002"/>
    <s v=""/>
    <s v=""/>
    <s v=""/>
  </r>
  <r>
    <x v="547"/>
    <s v="SUP00800"/>
    <x v="1"/>
    <x v="1"/>
    <x v="1"/>
    <d v="2024-06-27T00:00:00"/>
    <n v="33.36"/>
    <s v="No"/>
    <s v="PayPal"/>
    <x v="6"/>
    <s v="Referral"/>
    <x v="30"/>
    <s v="Female"/>
    <n v="64"/>
    <x v="1"/>
    <x v="1"/>
    <s v="Email"/>
    <s v="Review - duplicate record, see Supporter_Duplicates tab"/>
    <s v=""/>
    <s v=""/>
    <x v="1"/>
    <s v="Major Donors"/>
    <d v="2024-06-01T00:00:00"/>
    <d v="2024-06-30T00:00:00"/>
    <n v="7000"/>
    <x v="1"/>
    <n v="33.36"/>
    <s v=""/>
    <s v=""/>
    <s v=""/>
  </r>
  <r>
    <x v="548"/>
    <s v="SUP01278"/>
    <x v="9"/>
    <x v="9"/>
    <x v="2"/>
    <d v="2024-07-15T00:00:00"/>
    <n v="3530.56"/>
    <s v="Yes"/>
    <s v="Credit Card"/>
    <x v="1"/>
    <s v="Corporate Partner"/>
    <x v="31"/>
    <s v="Female"/>
    <n v="59"/>
    <x v="1"/>
    <x v="1"/>
    <s v="Phone"/>
    <s v=""/>
    <s v=""/>
    <s v=""/>
    <x v="4"/>
    <s v="Major Donors"/>
    <d v="2024-07-15T00:00:00"/>
    <d v="2024-07-15T00:00:00"/>
    <n v="45000"/>
    <x v="1"/>
    <n v="4413.2"/>
    <s v=""/>
    <s v=""/>
    <s v=""/>
  </r>
  <r>
    <x v="549"/>
    <m/>
    <x v="8"/>
    <x v="8"/>
    <x v="1"/>
    <d v="2024-12-03T00:00:00"/>
    <n v="142.94999999999999"/>
    <s v="No"/>
    <s v="Debit Card"/>
    <x v="7"/>
    <s v=""/>
    <x v="35"/>
    <s v=""/>
    <s v=""/>
    <x v="2"/>
    <x v="2"/>
    <s v=""/>
    <s v=""/>
    <s v=""/>
    <s v="Review - missing DOB"/>
    <x v="7"/>
    <s v="All Active"/>
    <d v="2024-10-15T00:00:00"/>
    <d v="2024-12-20T00:00:00"/>
    <n v="12000"/>
    <x v="2"/>
    <n v="142.94999999999999"/>
    <s v="Review - missing supporter ID"/>
    <s v=""/>
    <s v=""/>
  </r>
  <r>
    <x v="550"/>
    <s v="SUP01144"/>
    <x v="9"/>
    <x v="9"/>
    <x v="2"/>
    <d v="2024-07-15T00:00:00"/>
    <n v="17.32"/>
    <s v="No"/>
    <s v="Standing Order"/>
    <x v="3"/>
    <s v="Direct Mail"/>
    <x v="29"/>
    <s v="Female"/>
    <n v="29"/>
    <x v="3"/>
    <x v="3"/>
    <s v="Email"/>
    <s v=""/>
    <s v=""/>
    <s v=""/>
    <x v="4"/>
    <s v="Major Donors"/>
    <d v="2024-07-15T00:00:00"/>
    <d v="2024-07-15T00:00:00"/>
    <n v="45000"/>
    <x v="1"/>
    <n v="17.32"/>
    <s v=""/>
    <s v=""/>
    <s v=""/>
  </r>
  <r>
    <x v="551"/>
    <s v="SUP01204"/>
    <x v="9"/>
    <x v="9"/>
    <x v="1"/>
    <d v="2024-07-15T00:00:00"/>
    <n v="81.540000000000006"/>
    <s v="Yes"/>
    <s v="Standing Order"/>
    <x v="4"/>
    <s v="Telephone"/>
    <x v="31"/>
    <s v="Male"/>
    <n v="73"/>
    <x v="0"/>
    <x v="0"/>
    <s v="Email"/>
    <s v=""/>
    <s v=""/>
    <s v=""/>
    <x v="4"/>
    <s v="Major Donors"/>
    <d v="2024-07-15T00:00:00"/>
    <d v="2024-07-15T00:00:00"/>
    <n v="45000"/>
    <x v="1"/>
    <n v="101.92500000000001"/>
    <s v=""/>
    <s v=""/>
    <s v=""/>
  </r>
  <r>
    <x v="552"/>
    <s v="SUP01022"/>
    <x v="1"/>
    <x v="1"/>
    <x v="2"/>
    <d v="2024-06-15T00:00:00"/>
    <n v="6.73"/>
    <s v="Yes"/>
    <s v="Cash"/>
    <x v="5"/>
    <s v="Door-To-Door"/>
    <x v="9"/>
    <s v="Female"/>
    <n v="68"/>
    <x v="0"/>
    <x v="0"/>
    <s v="Post"/>
    <s v="Review - duplicate record, see Supporter_Duplicates tab"/>
    <s v=""/>
    <s v=""/>
    <x v="1"/>
    <s v="Major Donors"/>
    <d v="2024-06-01T00:00:00"/>
    <d v="2024-06-30T00:00:00"/>
    <n v="7000"/>
    <x v="1"/>
    <n v="8.4125000000000014"/>
    <s v=""/>
    <s v=""/>
    <s v=""/>
  </r>
  <r>
    <x v="553"/>
    <s v="SUP01481"/>
    <x v="9"/>
    <x v="9"/>
    <x v="1"/>
    <d v="2024-07-15T00:00:00"/>
    <n v="4950.67"/>
    <s v="Yes"/>
    <s v="Online"/>
    <x v="1"/>
    <s v="Telephone"/>
    <x v="6"/>
    <s v="Male"/>
    <n v="46"/>
    <x v="4"/>
    <x v="4"/>
    <s v="Post"/>
    <s v=""/>
    <s v=""/>
    <s v=""/>
    <x v="4"/>
    <s v="Major Donors"/>
    <d v="2024-07-15T00:00:00"/>
    <d v="2024-07-15T00:00:00"/>
    <n v="45000"/>
    <x v="1"/>
    <n v="6188.3374999999996"/>
    <s v=""/>
    <s v=""/>
    <s v=""/>
  </r>
  <r>
    <x v="554"/>
    <s v="SUP01204"/>
    <x v="4"/>
    <x v="4"/>
    <x v="2"/>
    <d v="2025-04-18T00:00:00"/>
    <n v="24.43"/>
    <s v="No"/>
    <s v="Cheque"/>
    <x v="4"/>
    <s v="Telephone"/>
    <x v="31"/>
    <s v="Male"/>
    <n v="73"/>
    <x v="0"/>
    <x v="0"/>
    <s v="Email"/>
    <s v=""/>
    <s v=""/>
    <s v=""/>
    <x v="3"/>
    <s v="Prospects"/>
    <d v="2025-02-01T00:00:00"/>
    <d v="2025-04-30T00:00:00"/>
    <n v="20000"/>
    <x v="4"/>
    <n v="24.43"/>
    <s v=""/>
    <s v=""/>
    <s v=""/>
  </r>
  <r>
    <x v="555"/>
    <s v="SUP01208"/>
    <x v="2"/>
    <x v="2"/>
    <x v="3"/>
    <d v="2024-12-25T00:00:00"/>
    <n v="3571.71"/>
    <s v="Yes"/>
    <s v="Credit Card"/>
    <x v="1"/>
    <s v="Website"/>
    <x v="7"/>
    <s v="Male"/>
    <s v=""/>
    <x v="2"/>
    <x v="2"/>
    <s v="Email"/>
    <s v=""/>
    <s v=""/>
    <s v="Review - missing DOB"/>
    <x v="2"/>
    <s v="All Active"/>
    <d v="2024-11-01T00:00:00"/>
    <d v="2024-12-31T00:00:00"/>
    <n v="25000"/>
    <x v="2"/>
    <n v="4464.6374999999998"/>
    <s v=""/>
    <s v=""/>
    <s v=""/>
  </r>
  <r>
    <x v="556"/>
    <s v="SUP01472"/>
    <x v="5"/>
    <x v="5"/>
    <x v="2"/>
    <d v="2024-11-22T00:00:00"/>
    <n v="298.57"/>
    <s v="No"/>
    <s v="Cash"/>
    <x v="0"/>
    <s v="Referral"/>
    <x v="8"/>
    <s v="Male"/>
    <n v="54"/>
    <x v="1"/>
    <x v="1"/>
    <s v="Email"/>
    <s v=""/>
    <s v="Review - prefers email but not opted in"/>
    <s v=""/>
    <x v="4"/>
    <s v="Volunteers"/>
    <d v="2024-11-22T00:00:00"/>
    <d v="2024-11-22T00:00:00"/>
    <n v="3500"/>
    <x v="3"/>
    <n v="298.57"/>
    <s v=""/>
    <s v=""/>
    <s v=""/>
  </r>
  <r>
    <x v="557"/>
    <s v="SUP01224"/>
    <x v="5"/>
    <x v="5"/>
    <x v="1"/>
    <d v="2024-11-22T00:00:00"/>
    <n v="4793.99"/>
    <s v="Yes"/>
    <s v="Credit Card"/>
    <x v="1"/>
    <s v="Direct Mail"/>
    <x v="22"/>
    <s v="Male"/>
    <n v="21"/>
    <x v="3"/>
    <x v="3"/>
    <s v="Do Not Contact"/>
    <s v=""/>
    <s v=""/>
    <s v=""/>
    <x v="4"/>
    <s v="Volunteers"/>
    <d v="2024-11-22T00:00:00"/>
    <d v="2024-11-22T00:00:00"/>
    <n v="3500"/>
    <x v="3"/>
    <n v="5992.4874999999993"/>
    <s v=""/>
    <s v=""/>
    <s v=""/>
  </r>
  <r>
    <x v="558"/>
    <s v="SUP01392"/>
    <x v="0"/>
    <x v="0"/>
    <x v="0"/>
    <d v="2025-03-23T00:00:00"/>
    <n v="276.51"/>
    <s v="Yes"/>
    <s v="Online"/>
    <x v="0"/>
    <s v="Website"/>
    <x v="22"/>
    <s v="Male"/>
    <n v="50"/>
    <x v="1"/>
    <x v="1"/>
    <s v="Email"/>
    <s v=""/>
    <s v=""/>
    <s v=""/>
    <x v="0"/>
    <s v="One-time Donors"/>
    <d v="2025-01-06T00:00:00"/>
    <d v="2025-03-31T00:00:00"/>
    <n v="10000"/>
    <x v="0"/>
    <n v="345.63749999999999"/>
    <s v=""/>
    <s v=""/>
    <s v=""/>
  </r>
  <r>
    <x v="559"/>
    <s v="SUP01201"/>
    <x v="0"/>
    <x v="0"/>
    <x v="4"/>
    <d v="2025-02-13T00:00:00"/>
    <n v="65.23"/>
    <s v="No"/>
    <s v="Credit Card"/>
    <x v="6"/>
    <s v="Referral"/>
    <x v="30"/>
    <s v="Female"/>
    <n v="64"/>
    <x v="1"/>
    <x v="1"/>
    <s v="Email"/>
    <s v="Review - duplicate record, see Supporter_Duplicates tab"/>
    <s v=""/>
    <s v=""/>
    <x v="0"/>
    <s v="One-time Donors"/>
    <d v="2025-01-06T00:00:00"/>
    <d v="2025-03-31T00:00:00"/>
    <n v="10000"/>
    <x v="0"/>
    <n v="65.23"/>
    <s v=""/>
    <s v=""/>
    <s v=""/>
  </r>
  <r>
    <x v="560"/>
    <s v="SUP01115"/>
    <x v="2"/>
    <x v="2"/>
    <x v="1"/>
    <d v="2024-03-12T00:00:00"/>
    <n v="47.28"/>
    <s v="Yes"/>
    <s v="Cash"/>
    <x v="3"/>
    <s v="Direct Mail"/>
    <x v="3"/>
    <s v="Male"/>
    <n v="67"/>
    <x v="0"/>
    <x v="0"/>
    <s v="Post"/>
    <s v=""/>
    <s v=""/>
    <s v=""/>
    <x v="2"/>
    <s v="All Active"/>
    <d v="2024-11-01T00:00:00"/>
    <d v="2024-12-31T00:00:00"/>
    <n v="25000"/>
    <x v="2"/>
    <n v="59.1"/>
    <s v=""/>
    <s v="Review - response outside campaign dates"/>
    <s v=""/>
  </r>
  <r>
    <x v="561"/>
    <s v="SUP01422"/>
    <x v="8"/>
    <x v="8"/>
    <x v="0"/>
    <d v="2024-11-09T00:00:00"/>
    <n v="48.44"/>
    <s v="No"/>
    <s v="Debit Card"/>
    <x v="3"/>
    <s v="Website"/>
    <x v="20"/>
    <s v="Female"/>
    <n v="61"/>
    <x v="1"/>
    <x v="1"/>
    <s v="Post"/>
    <s v=""/>
    <s v=""/>
    <s v=""/>
    <x v="7"/>
    <s v="All Active"/>
    <d v="2024-10-15T00:00:00"/>
    <d v="2024-12-20T00:00:00"/>
    <n v="12000"/>
    <x v="2"/>
    <n v="48.44"/>
    <s v=""/>
    <s v=""/>
    <s v=""/>
  </r>
  <r>
    <x v="562"/>
    <s v="SUP01189"/>
    <x v="8"/>
    <x v="8"/>
    <x v="1"/>
    <d v="2024-10-25T00:00:00"/>
    <n v="99.31"/>
    <s v="No"/>
    <s v="Standing Order"/>
    <x v="4"/>
    <s v="Website"/>
    <x v="23"/>
    <s v="Female"/>
    <n v="39"/>
    <x v="4"/>
    <x v="4"/>
    <s v="Email"/>
    <s v=""/>
    <s v=""/>
    <s v=""/>
    <x v="7"/>
    <s v="All Active"/>
    <d v="2024-10-15T00:00:00"/>
    <d v="2024-12-20T00:00:00"/>
    <n v="12000"/>
    <x v="2"/>
    <n v="99.31"/>
    <s v=""/>
    <s v=""/>
    <s v=""/>
  </r>
  <r>
    <x v="563"/>
    <s v="SUP01148"/>
    <x v="3"/>
    <x v="3"/>
    <x v="2"/>
    <d v="2024-10-04T00:00:00"/>
    <n v="2844.71"/>
    <s v="No"/>
    <s v="PayPal"/>
    <x v="1"/>
    <s v="Direct Mail"/>
    <x v="3"/>
    <s v="Female"/>
    <n v="61"/>
    <x v="1"/>
    <x v="1"/>
    <s v="Email"/>
    <s v=""/>
    <s v=""/>
    <s v=""/>
    <x v="2"/>
    <s v="All Supporters"/>
    <d v="2024-09-10T00:00:00"/>
    <d v="2024-10-15T00:00:00"/>
    <n v="15000"/>
    <x v="3"/>
    <n v="2844.71"/>
    <s v=""/>
    <s v=""/>
    <s v=""/>
  </r>
  <r>
    <x v="564"/>
    <s v="SUP01252"/>
    <x v="8"/>
    <x v="8"/>
    <x v="2"/>
    <d v="2024-12-03T00:00:00"/>
    <n v="22.66"/>
    <s v="Yes"/>
    <s v="Debit Card"/>
    <x v="5"/>
    <s v="Telephone"/>
    <x v="26"/>
    <s v="Female"/>
    <n v="69"/>
    <x v="0"/>
    <x v="0"/>
    <s v="Phone"/>
    <s v=""/>
    <s v=""/>
    <s v=""/>
    <x v="7"/>
    <s v="All Active"/>
    <d v="2024-10-15T00:00:00"/>
    <d v="2024-12-20T00:00:00"/>
    <n v="12000"/>
    <x v="2"/>
    <n v="28.324999999999999"/>
    <s v=""/>
    <s v=""/>
    <s v=""/>
  </r>
  <r>
    <x v="565"/>
    <s v="SUP01448"/>
    <x v="2"/>
    <x v="2"/>
    <x v="2"/>
    <d v="2024-11-03T00:00:00"/>
    <n v="5.19"/>
    <s v="No"/>
    <s v="Direct Debit"/>
    <x v="3"/>
    <s v="Website"/>
    <x v="30"/>
    <s v="Female"/>
    <n v="71"/>
    <x v="0"/>
    <x v="0"/>
    <s v="Email"/>
    <s v=""/>
    <s v=""/>
    <s v=""/>
    <x v="2"/>
    <s v="All Active"/>
    <d v="2024-11-01T00:00:00"/>
    <d v="2024-12-31T00:00:00"/>
    <n v="25000"/>
    <x v="2"/>
    <n v="5.19"/>
    <s v=""/>
    <s v=""/>
    <s v=""/>
  </r>
  <r>
    <x v="566"/>
    <s v="SUP01064"/>
    <x v="0"/>
    <x v="0"/>
    <x v="1"/>
    <d v="2025-02-06T00:00:00"/>
    <n v="34.54"/>
    <s v="Yes"/>
    <s v="PayPal"/>
    <x v="3"/>
    <s v="Direct Mail"/>
    <x v="20"/>
    <s v="Female"/>
    <n v="69"/>
    <x v="0"/>
    <x v="0"/>
    <s v="No Preference"/>
    <s v=""/>
    <s v=""/>
    <s v=""/>
    <x v="0"/>
    <s v="One-time Donors"/>
    <d v="2025-01-06T00:00:00"/>
    <d v="2025-03-31T00:00:00"/>
    <n v="10000"/>
    <x v="0"/>
    <n v="43.174999999999997"/>
    <s v=""/>
    <s v=""/>
    <s v=""/>
  </r>
  <r>
    <x v="567"/>
    <s v="SUP01017"/>
    <x v="2"/>
    <x v="2"/>
    <x v="0"/>
    <d v="2024-11-13T00:00:00"/>
    <n v="1657.14"/>
    <s v="Yes"/>
    <s v="Standing Order"/>
    <x v="1"/>
    <s v="Website"/>
    <x v="23"/>
    <s v="Female"/>
    <n v="67"/>
    <x v="0"/>
    <x v="0"/>
    <s v="Email"/>
    <s v=""/>
    <s v=""/>
    <s v=""/>
    <x v="2"/>
    <s v="All Active"/>
    <d v="2024-11-01T00:00:00"/>
    <d v="2024-12-31T00:00:00"/>
    <n v="25000"/>
    <x v="2"/>
    <n v="2071.4250000000002"/>
    <s v=""/>
    <s v=""/>
    <s v=""/>
  </r>
  <r>
    <x v="568"/>
    <s v="SUP01460"/>
    <x v="9"/>
    <x v="9"/>
    <x v="2"/>
    <d v="2024-07-15T00:00:00"/>
    <n v="54.07"/>
    <s v="Yes"/>
    <s v="Standing Order"/>
    <x v="4"/>
    <s v="Social Media"/>
    <x v="25"/>
    <s v="Female"/>
    <n v="77"/>
    <x v="0"/>
    <x v="0"/>
    <s v="Phone"/>
    <s v=""/>
    <s v=""/>
    <s v=""/>
    <x v="4"/>
    <s v="Major Donors"/>
    <d v="2024-07-15T00:00:00"/>
    <d v="2024-07-15T00:00:00"/>
    <n v="45000"/>
    <x v="1"/>
    <n v="67.587500000000006"/>
    <s v=""/>
    <s v=""/>
    <s v=""/>
  </r>
  <r>
    <x v="569"/>
    <s v="SUP01343"/>
    <x v="2"/>
    <x v="2"/>
    <x v="3"/>
    <d v="2024-11-28T00:00:00"/>
    <n v="-9.26"/>
    <s v="No"/>
    <s v="Standing Order"/>
    <x v="5"/>
    <s v="Social Media"/>
    <x v="30"/>
    <s v="Female"/>
    <n v="48"/>
    <x v="4"/>
    <x v="4"/>
    <s v="Post"/>
    <s v=""/>
    <s v=""/>
    <s v=""/>
    <x v="2"/>
    <s v="All Active"/>
    <d v="2024-11-01T00:00:00"/>
    <d v="2024-12-31T00:00:00"/>
    <n v="25000"/>
    <x v="2"/>
    <n v="-9.26"/>
    <s v=""/>
    <s v=""/>
    <s v=""/>
  </r>
  <r>
    <x v="570"/>
    <s v="SUP01112"/>
    <x v="1"/>
    <x v="1"/>
    <x v="1"/>
    <d v="2024-06-18T00:00:00"/>
    <n v="22.87"/>
    <s v="Yes"/>
    <s v="Direct Debit"/>
    <x v="3"/>
    <s v="Website"/>
    <x v="8"/>
    <s v="Male"/>
    <n v="25"/>
    <x v="3"/>
    <x v="3"/>
    <s v="Phone"/>
    <s v=""/>
    <s v="Review - prefers phone but not opted in"/>
    <s v=""/>
    <x v="1"/>
    <s v="Major Donors"/>
    <d v="2024-06-01T00:00:00"/>
    <d v="2024-06-30T00:00:00"/>
    <n v="7000"/>
    <x v="1"/>
    <n v="28.587500000000002"/>
    <s v=""/>
    <s v=""/>
    <s v=""/>
  </r>
  <r>
    <x v="571"/>
    <s v="SUP01030"/>
    <x v="8"/>
    <x v="8"/>
    <x v="0"/>
    <d v="2024-11-18T00:00:00"/>
    <n v="98.53"/>
    <s v="No"/>
    <s v="Online"/>
    <x v="0"/>
    <s v="Direct Mail"/>
    <x v="24"/>
    <s v="Male"/>
    <n v="37"/>
    <x v="4"/>
    <x v="4"/>
    <s v="Phone"/>
    <s v=""/>
    <s v="Review - prefers phone but not opted in"/>
    <s v=""/>
    <x v="7"/>
    <s v="All Active"/>
    <d v="2024-10-15T00:00:00"/>
    <d v="2024-12-20T00:00:00"/>
    <n v="12000"/>
    <x v="2"/>
    <n v="98.53"/>
    <s v=""/>
    <s v=""/>
    <s v=""/>
  </r>
  <r>
    <x v="572"/>
    <s v="SUP01370"/>
    <x v="4"/>
    <x v="4"/>
    <x v="2"/>
    <d v="2025-02-13T00:00:00"/>
    <n v="38.31"/>
    <s v="Yes"/>
    <s v="Debit Card"/>
    <x v="6"/>
    <s v="Event"/>
    <x v="20"/>
    <s v="Female"/>
    <n v="64"/>
    <x v="1"/>
    <x v="1"/>
    <s v="Post"/>
    <s v=""/>
    <s v=""/>
    <s v=""/>
    <x v="3"/>
    <s v="Prospects"/>
    <d v="2025-02-01T00:00:00"/>
    <d v="2025-04-30T00:00:00"/>
    <n v="20000"/>
    <x v="4"/>
    <n v="47.887500000000003"/>
    <s v=""/>
    <s v=""/>
    <s v=""/>
  </r>
  <r>
    <x v="573"/>
    <s v="SUP01046"/>
    <x v="3"/>
    <x v="3"/>
    <x v="2"/>
    <d v="2024-10-12T00:00:00"/>
    <n v="63.03"/>
    <s v="Yes"/>
    <s v="Standing Order"/>
    <x v="0"/>
    <s v="Referral"/>
    <x v="17"/>
    <s v="Female"/>
    <n v="95"/>
    <x v="0"/>
    <x v="0"/>
    <s v="Post"/>
    <s v="Review - duplicate record, see Supporter_Duplicates tab"/>
    <s v="Review - prefers post but not opted in"/>
    <s v=""/>
    <x v="2"/>
    <s v="All Supporters"/>
    <d v="2024-09-10T00:00:00"/>
    <d v="2024-10-15T00:00:00"/>
    <n v="15000"/>
    <x v="3"/>
    <n v="78.787499999999994"/>
    <s v=""/>
    <s v=""/>
    <s v=""/>
  </r>
  <r>
    <x v="574"/>
    <s v="SUP01155"/>
    <x v="9"/>
    <x v="9"/>
    <x v="1"/>
    <d v="2024-07-15T00:00:00"/>
    <n v="39.94"/>
    <s v="No"/>
    <s v="Debit Card"/>
    <x v="3"/>
    <s v="Direct Mail"/>
    <x v="27"/>
    <s v="Female"/>
    <n v="85"/>
    <x v="0"/>
    <x v="0"/>
    <s v="Post"/>
    <s v=""/>
    <s v=""/>
    <s v=""/>
    <x v="4"/>
    <s v="Major Donors"/>
    <d v="2024-07-15T00:00:00"/>
    <d v="2024-07-15T00:00:00"/>
    <n v="45000"/>
    <x v="1"/>
    <n v="39.94"/>
    <s v=""/>
    <s v=""/>
    <s v=""/>
  </r>
  <r>
    <x v="575"/>
    <s v="SUP01267"/>
    <x v="9"/>
    <x v="9"/>
    <x v="1"/>
    <d v="2024-07-15T00:00:00"/>
    <n v="26.98"/>
    <s v="Yes"/>
    <s v="Cheque"/>
    <x v="3"/>
    <s v="Website"/>
    <x v="12"/>
    <s v="Female"/>
    <n v="33"/>
    <x v="3"/>
    <x v="3"/>
    <s v="Email"/>
    <s v=""/>
    <s v=""/>
    <s v=""/>
    <x v="4"/>
    <s v="Major Donors"/>
    <d v="2024-07-15T00:00:00"/>
    <d v="2024-07-15T00:00:00"/>
    <n v="45000"/>
    <x v="1"/>
    <n v="33.725000000000001"/>
    <s v=""/>
    <s v=""/>
    <s v=""/>
  </r>
  <r>
    <x v="576"/>
    <s v="SUP01362"/>
    <x v="8"/>
    <x v="8"/>
    <x v="1"/>
    <d v="2024-12-03T00:00:00"/>
    <n v="80.69"/>
    <s v="No"/>
    <s v="Credit Card"/>
    <x v="2"/>
    <s v="Website"/>
    <x v="29"/>
    <s v="Female"/>
    <n v="46"/>
    <x v="4"/>
    <x v="4"/>
    <s v="Post"/>
    <s v=""/>
    <s v=""/>
    <s v=""/>
    <x v="7"/>
    <s v="All Active"/>
    <d v="2024-10-15T00:00:00"/>
    <d v="2024-12-20T00:00:00"/>
    <n v="12000"/>
    <x v="2"/>
    <n v="80.69"/>
    <s v=""/>
    <s v=""/>
    <s v=""/>
  </r>
  <r>
    <x v="577"/>
    <s v="SUP01100"/>
    <x v="8"/>
    <x v="8"/>
    <x v="1"/>
    <d v="2024-11-02T00:00:00"/>
    <n v="9.82"/>
    <s v="No"/>
    <s v="Cash"/>
    <x v="5"/>
    <s v="Social Media"/>
    <x v="23"/>
    <s v="Male"/>
    <s v=""/>
    <x v="2"/>
    <x v="2"/>
    <s v="Email"/>
    <s v=""/>
    <s v=""/>
    <s v="Review - missing DOB"/>
    <x v="7"/>
    <s v="All Active"/>
    <d v="2024-10-15T00:00:00"/>
    <d v="2024-12-20T00:00:00"/>
    <n v="12000"/>
    <x v="2"/>
    <n v="9.82"/>
    <s v=""/>
    <s v=""/>
    <s v=""/>
  </r>
  <r>
    <x v="578"/>
    <s v="SUP01121"/>
    <x v="3"/>
    <x v="3"/>
    <x v="1"/>
    <d v="2024-09-11T00:00:00"/>
    <n v="73.319999999999993"/>
    <s v="No"/>
    <s v="Online"/>
    <x v="4"/>
    <s v="Website"/>
    <x v="27"/>
    <s v="Male"/>
    <n v="65"/>
    <x v="0"/>
    <x v="0"/>
    <s v="Email"/>
    <s v=""/>
    <s v=""/>
    <s v=""/>
    <x v="2"/>
    <s v="All Supporters"/>
    <d v="2024-09-10T00:00:00"/>
    <d v="2024-10-15T00:00:00"/>
    <n v="15000"/>
    <x v="3"/>
    <n v="73.319999999999993"/>
    <s v=""/>
    <s v=""/>
    <s v=""/>
  </r>
  <r>
    <x v="579"/>
    <s v="SUP01145"/>
    <x v="9"/>
    <x v="9"/>
    <x v="1"/>
    <d v="2024-07-15T00:00:00"/>
    <n v="129.94999999999999"/>
    <s v="Yes"/>
    <s v="PayPal"/>
    <x v="6"/>
    <s v="Referral"/>
    <x v="26"/>
    <s v="Male"/>
    <n v="35"/>
    <x v="4"/>
    <x v="4"/>
    <s v="Email"/>
    <s v=""/>
    <s v=""/>
    <s v=""/>
    <x v="4"/>
    <s v="Major Donors"/>
    <d v="2024-07-15T00:00:00"/>
    <d v="2024-07-15T00:00:00"/>
    <n v="45000"/>
    <x v="1"/>
    <n v="162.4375"/>
    <s v=""/>
    <s v=""/>
    <s v=""/>
  </r>
  <r>
    <x v="580"/>
    <s v="SUP01008"/>
    <x v="9"/>
    <x v="9"/>
    <x v="1"/>
    <d v="2024-07-15T00:00:00"/>
    <n v="57.73"/>
    <s v="No"/>
    <s v="Online"/>
    <x v="4"/>
    <s v="Event"/>
    <x v="16"/>
    <s v="Male"/>
    <n v="93"/>
    <x v="0"/>
    <x v="0"/>
    <s v="Post"/>
    <s v=""/>
    <s v=""/>
    <s v=""/>
    <x v="4"/>
    <s v="Major Donors"/>
    <d v="2024-07-15T00:00:00"/>
    <d v="2024-07-15T00:00:00"/>
    <n v="45000"/>
    <x v="1"/>
    <n v="57.73"/>
    <s v=""/>
    <s v=""/>
    <s v=""/>
  </r>
  <r>
    <x v="581"/>
    <s v="SUP01079"/>
    <x v="8"/>
    <x v="8"/>
    <x v="0"/>
    <d v="2024-11-26T00:00:00"/>
    <n v="1926.84"/>
    <s v="No"/>
    <s v="Cheque"/>
    <x v="1"/>
    <s v="Corporate Partner"/>
    <x v="28"/>
    <s v="Male"/>
    <n v="85"/>
    <x v="0"/>
    <x v="0"/>
    <s v="Email"/>
    <s v="Review - duplicate record, see Supporter_Duplicates tab"/>
    <s v=""/>
    <s v=""/>
    <x v="7"/>
    <s v="All Active"/>
    <d v="2024-10-15T00:00:00"/>
    <d v="2024-12-20T00:00:00"/>
    <n v="12000"/>
    <x v="2"/>
    <n v="1926.84"/>
    <s v=""/>
    <s v=""/>
    <s v=""/>
  </r>
  <r>
    <x v="582"/>
    <s v="SUP01495"/>
    <x v="7"/>
    <x v="7"/>
    <x v="1"/>
    <d v="2025-03-03T00:00:00"/>
    <n v="95.67"/>
    <s v="Yes"/>
    <s v="Credit Card"/>
    <x v="4"/>
    <s v="Event"/>
    <x v="24"/>
    <s v="Male"/>
    <n v="31"/>
    <x v="3"/>
    <x v="3"/>
    <s v="Phone"/>
    <s v=""/>
    <s v="Review - prefers phone but not opted in"/>
    <s v=""/>
    <x v="6"/>
    <s v="Regular Givers"/>
    <d v="2025-03-01T00:00:00"/>
    <d v="2025-04-30T00:00:00"/>
    <n v="8000"/>
    <x v="1"/>
    <n v="119.58750000000001"/>
    <s v=""/>
    <s v=""/>
    <s v=""/>
  </r>
  <r>
    <x v="583"/>
    <s v="SUP01490"/>
    <x v="8"/>
    <x v="8"/>
    <x v="2"/>
    <d v="2024-12-01T00:00:00"/>
    <n v="85.07"/>
    <s v="Yes"/>
    <s v="Cheque"/>
    <x v="2"/>
    <s v="Event"/>
    <x v="19"/>
    <s v="Female"/>
    <n v="72"/>
    <x v="0"/>
    <x v="0"/>
    <s v="Email"/>
    <s v=""/>
    <s v=""/>
    <s v=""/>
    <x v="7"/>
    <s v="All Active"/>
    <d v="2024-10-15T00:00:00"/>
    <d v="2024-12-20T00:00:00"/>
    <n v="12000"/>
    <x v="2"/>
    <n v="106.33749999999999"/>
    <s v=""/>
    <s v=""/>
    <s v=""/>
  </r>
  <r>
    <x v="584"/>
    <s v="SUP01012"/>
    <x v="2"/>
    <x v="2"/>
    <x v="1"/>
    <d v="2024-11-17T00:00:00"/>
    <n v="47.03"/>
    <s v="Yes"/>
    <s v="Direct Debit"/>
    <x v="3"/>
    <s v="Website"/>
    <x v="0"/>
    <s v="Female"/>
    <n v="27"/>
    <x v="3"/>
    <x v="3"/>
    <s v="Phone"/>
    <s v=""/>
    <s v=""/>
    <s v=""/>
    <x v="2"/>
    <s v="All Active"/>
    <d v="2024-11-01T00:00:00"/>
    <d v="2024-12-31T00:00:00"/>
    <n v="25000"/>
    <x v="2"/>
    <n v="58.787500000000001"/>
    <s v=""/>
    <s v=""/>
    <s v=""/>
  </r>
  <r>
    <x v="585"/>
    <s v="SUP01011"/>
    <x v="7"/>
    <x v="7"/>
    <x v="1"/>
    <d v="2025-04-14T00:00:00"/>
    <n v="41.25"/>
    <s v="No"/>
    <s v="Standing Order"/>
    <x v="3"/>
    <s v="Door-To-Door"/>
    <x v="30"/>
    <s v="Male"/>
    <n v="59"/>
    <x v="1"/>
    <x v="1"/>
    <s v="Post"/>
    <s v="Review - duplicate record, see Supporter_Duplicates tab"/>
    <s v=""/>
    <s v=""/>
    <x v="6"/>
    <s v="Regular Givers"/>
    <d v="2025-03-01T00:00:00"/>
    <d v="2025-04-30T00:00:00"/>
    <n v="8000"/>
    <x v="1"/>
    <n v="41.25"/>
    <s v=""/>
    <s v=""/>
    <s v=""/>
  </r>
  <r>
    <x v="586"/>
    <s v="SUP01204"/>
    <x v="8"/>
    <x v="8"/>
    <x v="0"/>
    <d v="2024-10-19T00:00:00"/>
    <n v="62.91"/>
    <s v="No"/>
    <s v="Cheque"/>
    <x v="4"/>
    <s v="Telephone"/>
    <x v="31"/>
    <s v="Male"/>
    <n v="73"/>
    <x v="0"/>
    <x v="0"/>
    <s v="Email"/>
    <s v=""/>
    <s v=""/>
    <s v=""/>
    <x v="7"/>
    <s v="All Active"/>
    <d v="2024-10-15T00:00:00"/>
    <d v="2024-12-20T00:00:00"/>
    <n v="12000"/>
    <x v="2"/>
    <n v="62.91"/>
    <s v=""/>
    <s v=""/>
    <s v=""/>
  </r>
  <r>
    <x v="587"/>
    <s v="SUP01104"/>
    <x v="4"/>
    <x v="4"/>
    <x v="5"/>
    <d v="2025-03-25T00:00:00"/>
    <n v="77.33"/>
    <s v="No"/>
    <s v="Debit Card"/>
    <x v="6"/>
    <s v="Corporate Partner"/>
    <x v="12"/>
    <s v="Female"/>
    <n v="25"/>
    <x v="3"/>
    <x v="3"/>
    <s v="Email"/>
    <s v=""/>
    <s v=""/>
    <s v=""/>
    <x v="3"/>
    <s v="Prospects"/>
    <d v="2025-02-01T00:00:00"/>
    <d v="2025-04-30T00:00:00"/>
    <n v="20000"/>
    <x v="4"/>
    <n v="77.33"/>
    <s v=""/>
    <s v=""/>
    <s v=""/>
  </r>
  <r>
    <x v="588"/>
    <s v="SUP01381"/>
    <x v="0"/>
    <x v="0"/>
    <x v="4"/>
    <d v="2025-03-20T00:00:00"/>
    <n v="452.5"/>
    <s v="Yes"/>
    <s v="PayPal"/>
    <x v="0"/>
    <s v="Social Media"/>
    <x v="4"/>
    <s v="Male"/>
    <n v="90"/>
    <x v="0"/>
    <x v="0"/>
    <s v="Email"/>
    <s v=""/>
    <s v=""/>
    <s v=""/>
    <x v="0"/>
    <s v="One-time Donors"/>
    <d v="2025-01-06T00:00:00"/>
    <d v="2025-03-31T00:00:00"/>
    <n v="10000"/>
    <x v="0"/>
    <n v="565.625"/>
    <s v=""/>
    <s v=""/>
    <s v=""/>
  </r>
  <r>
    <x v="589"/>
    <s v="SUP01097"/>
    <x v="5"/>
    <x v="5"/>
    <x v="2"/>
    <d v="2024-11-22T00:00:00"/>
    <n v="5.4"/>
    <s v="No"/>
    <s v="Online"/>
    <x v="5"/>
    <s v="Social Media"/>
    <x v="17"/>
    <s v="Male"/>
    <n v="59"/>
    <x v="1"/>
    <x v="1"/>
    <s v="Email"/>
    <s v=""/>
    <s v="Review - prefers email but not opted in"/>
    <s v=""/>
    <x v="4"/>
    <s v="Volunteers"/>
    <d v="2024-11-22T00:00:00"/>
    <d v="2024-11-22T00:00:00"/>
    <n v="3500"/>
    <x v="3"/>
    <n v="5.4"/>
    <s v=""/>
    <s v=""/>
    <s v=""/>
  </r>
  <r>
    <x v="590"/>
    <s v="SUP01172"/>
    <x v="0"/>
    <x v="0"/>
    <x v="4"/>
    <d v="2025-03-09T00:00:00"/>
    <n v="24.53"/>
    <s v="No"/>
    <s v="Standing Order"/>
    <x v="5"/>
    <s v="Social Media"/>
    <x v="19"/>
    <s v="Male"/>
    <n v="54"/>
    <x v="1"/>
    <x v="1"/>
    <s v="Post"/>
    <s v=""/>
    <s v=""/>
    <s v=""/>
    <x v="0"/>
    <s v="One-time Donors"/>
    <d v="2025-01-06T00:00:00"/>
    <d v="2025-03-31T00:00:00"/>
    <n v="10000"/>
    <x v="0"/>
    <n v="24.53"/>
    <s v=""/>
    <s v=""/>
    <s v=""/>
  </r>
  <r>
    <x v="591"/>
    <s v="SUP01231"/>
    <x v="0"/>
    <x v="0"/>
    <x v="1"/>
    <d v="2025-02-25T00:00:00"/>
    <n v="94.3"/>
    <s v="No"/>
    <s v="Online"/>
    <x v="6"/>
    <s v="Social Media"/>
    <x v="2"/>
    <s v="Female"/>
    <n v="66"/>
    <x v="0"/>
    <x v="0"/>
    <s v="Phone"/>
    <s v=""/>
    <s v="Review - prefers phone but not opted in"/>
    <s v=""/>
    <x v="0"/>
    <s v="One-time Donors"/>
    <d v="2025-01-06T00:00:00"/>
    <d v="2025-03-31T00:00:00"/>
    <n v="10000"/>
    <x v="0"/>
    <n v="94.3"/>
    <s v=""/>
    <s v=""/>
    <s v=""/>
  </r>
  <r>
    <x v="592"/>
    <m/>
    <x v="2"/>
    <x v="2"/>
    <x v="3"/>
    <d v="2024-11-20T00:00:00"/>
    <n v="4410.08"/>
    <s v="Yes"/>
    <s v="Online"/>
    <x v="7"/>
    <s v=""/>
    <x v="35"/>
    <s v=""/>
    <s v=""/>
    <x v="2"/>
    <x v="2"/>
    <s v=""/>
    <s v=""/>
    <s v=""/>
    <s v="Review - missing DOB"/>
    <x v="2"/>
    <s v="All Active"/>
    <d v="2024-11-01T00:00:00"/>
    <d v="2024-12-31T00:00:00"/>
    <n v="25000"/>
    <x v="2"/>
    <n v="5512.6"/>
    <s v="Review - missing supporter ID"/>
    <s v=""/>
    <s v=""/>
  </r>
  <r>
    <x v="593"/>
    <s v="SUP01450"/>
    <x v="3"/>
    <x v="3"/>
    <x v="0"/>
    <d v="2024-09-30T00:00:00"/>
    <n v="38.17"/>
    <s v="Yes"/>
    <s v="PayPal"/>
    <x v="2"/>
    <s v="Telephone"/>
    <x v="22"/>
    <s v="Male"/>
    <n v="67"/>
    <x v="0"/>
    <x v="0"/>
    <s v="Post"/>
    <s v=""/>
    <s v=""/>
    <s v=""/>
    <x v="2"/>
    <s v="All Supporters"/>
    <d v="2024-09-10T00:00:00"/>
    <d v="2024-10-15T00:00:00"/>
    <n v="15000"/>
    <x v="3"/>
    <n v="47.712500000000006"/>
    <s v=""/>
    <s v=""/>
    <s v=""/>
  </r>
  <r>
    <x v="594"/>
    <s v="SUP01441"/>
    <x v="1"/>
    <x v="1"/>
    <x v="2"/>
    <d v="2024-06-07T00:00:00"/>
    <n v="14.25"/>
    <s v="Yes"/>
    <s v="Cheque"/>
    <x v="5"/>
    <s v="Door-To-Door"/>
    <x v="27"/>
    <s v="Female"/>
    <n v="75"/>
    <x v="0"/>
    <x v="0"/>
    <s v="Email"/>
    <s v=""/>
    <s v=""/>
    <s v=""/>
    <x v="1"/>
    <s v="Major Donors"/>
    <d v="2024-06-01T00:00:00"/>
    <d v="2024-06-30T00:00:00"/>
    <n v="7000"/>
    <x v="1"/>
    <n v="17.8125"/>
    <s v=""/>
    <s v=""/>
    <s v=""/>
  </r>
  <r>
    <x v="595"/>
    <s v="SUP01115"/>
    <x v="0"/>
    <x v="0"/>
    <x v="0"/>
    <d v="2025-01-17T00:00:00"/>
    <n v="12.12"/>
    <s v="No"/>
    <s v="PayPal"/>
    <x v="3"/>
    <s v="Direct Mail"/>
    <x v="3"/>
    <s v="Male"/>
    <n v="67"/>
    <x v="0"/>
    <x v="0"/>
    <s v="Post"/>
    <s v=""/>
    <s v=""/>
    <s v=""/>
    <x v="0"/>
    <s v="One-time Donors"/>
    <d v="2025-01-06T00:00:00"/>
    <d v="2025-03-31T00:00:00"/>
    <n v="10000"/>
    <x v="0"/>
    <n v="12.12"/>
    <s v=""/>
    <s v=""/>
    <s v=""/>
  </r>
  <r>
    <x v="596"/>
    <s v="SUP00800"/>
    <x v="4"/>
    <x v="4"/>
    <x v="0"/>
    <d v="2025-04-03T00:00:00"/>
    <n v="60.08"/>
    <s v="No"/>
    <s v="Cash"/>
    <x v="6"/>
    <s v="Referral"/>
    <x v="30"/>
    <s v="Female"/>
    <n v="64"/>
    <x v="1"/>
    <x v="1"/>
    <s v="Email"/>
    <s v="Review - duplicate record, see Supporter_Duplicates tab"/>
    <s v=""/>
    <s v=""/>
    <x v="3"/>
    <s v="Prospects"/>
    <d v="2025-02-01T00:00:00"/>
    <d v="2025-04-30T00:00:00"/>
    <n v="20000"/>
    <x v="4"/>
    <n v="60.08"/>
    <s v=""/>
    <s v=""/>
    <s v=""/>
  </r>
  <r>
    <x v="597"/>
    <s v="SUP01116"/>
    <x v="0"/>
    <x v="0"/>
    <x v="1"/>
    <d v="2025-01-29T00:00:00"/>
    <n v="40.82"/>
    <s v="No"/>
    <s v="Standing Order"/>
    <x v="2"/>
    <s v="Social Media"/>
    <x v="24"/>
    <s v="Female"/>
    <n v="21"/>
    <x v="3"/>
    <x v="3"/>
    <s v="Phone"/>
    <s v=""/>
    <s v=""/>
    <s v=""/>
    <x v="0"/>
    <s v="One-time Donors"/>
    <d v="2025-01-06T00:00:00"/>
    <d v="2025-03-31T00:00:00"/>
    <n v="10000"/>
    <x v="0"/>
    <n v="40.82"/>
    <s v=""/>
    <s v=""/>
    <s v=""/>
  </r>
  <r>
    <x v="598"/>
    <s v="SUP01316"/>
    <x v="5"/>
    <x v="5"/>
    <x v="2"/>
    <d v="2024-11-22T00:00:00"/>
    <n v="66.09"/>
    <s v="Yes"/>
    <s v="PayPal"/>
    <x v="2"/>
    <s v="Social Media"/>
    <x v="19"/>
    <s v="Male"/>
    <n v="78"/>
    <x v="0"/>
    <x v="0"/>
    <s v="Email"/>
    <s v=""/>
    <s v=""/>
    <s v=""/>
    <x v="4"/>
    <s v="Volunteers"/>
    <d v="2024-11-22T00:00:00"/>
    <d v="2024-11-22T00:00:00"/>
    <n v="3500"/>
    <x v="3"/>
    <n v="82.612500000000011"/>
    <s v=""/>
    <s v=""/>
    <s v=""/>
  </r>
  <r>
    <x v="599"/>
    <s v="SUP01071"/>
    <x v="9"/>
    <x v="9"/>
    <x v="1"/>
    <d v="2024-07-15T00:00:00"/>
    <n v="149.24"/>
    <s v="No"/>
    <s v="Debit Card"/>
    <x v="6"/>
    <s v="Telephone"/>
    <x v="10"/>
    <s v="Male"/>
    <n v="67"/>
    <x v="0"/>
    <x v="0"/>
    <s v="No Preference"/>
    <s v=""/>
    <s v=""/>
    <s v=""/>
    <x v="4"/>
    <s v="Major Donors"/>
    <d v="2024-07-15T00:00:00"/>
    <d v="2024-07-15T00:00:00"/>
    <n v="45000"/>
    <x v="1"/>
    <n v="149.24"/>
    <s v=""/>
    <s v=""/>
    <s v=""/>
  </r>
  <r>
    <x v="600"/>
    <s v="SUP01090"/>
    <x v="4"/>
    <x v="4"/>
    <x v="1"/>
    <d v="2025-02-01T00:00:00"/>
    <n v="44.86"/>
    <s v="Yes"/>
    <s v="Online"/>
    <x v="4"/>
    <s v="Telephone"/>
    <x v="29"/>
    <s v="Female"/>
    <n v="35"/>
    <x v="4"/>
    <x v="4"/>
    <s v="Do Not Contact"/>
    <s v=""/>
    <s v=""/>
    <s v=""/>
    <x v="3"/>
    <s v="Prospects"/>
    <d v="2025-02-01T00:00:00"/>
    <d v="2025-04-30T00:00:00"/>
    <n v="20000"/>
    <x v="4"/>
    <n v="56.075000000000003"/>
    <s v=""/>
    <s v=""/>
    <s v=""/>
  </r>
  <r>
    <x v="601"/>
    <s v="SUP01026"/>
    <x v="4"/>
    <x v="4"/>
    <x v="2"/>
    <d v="2025-04-17T00:00:00"/>
    <n v="14.77"/>
    <s v="Yes"/>
    <s v="Credit Card"/>
    <x v="2"/>
    <s v="Telephone"/>
    <x v="1"/>
    <s v="Female"/>
    <n v="47"/>
    <x v="4"/>
    <x v="4"/>
    <s v="Phone"/>
    <s v=""/>
    <s v="Review - prefers phone but not opted in"/>
    <s v=""/>
    <x v="3"/>
    <s v="Prospects"/>
    <d v="2025-02-01T00:00:00"/>
    <d v="2025-04-30T00:00:00"/>
    <n v="20000"/>
    <x v="4"/>
    <n v="18.462499999999999"/>
    <s v=""/>
    <s v=""/>
    <s v=""/>
  </r>
  <r>
    <x v="602"/>
    <s v="SUP01293"/>
    <x v="8"/>
    <x v="8"/>
    <x v="0"/>
    <d v="2024-11-05T00:00:00"/>
    <n v="14"/>
    <s v="No"/>
    <s v="Cash"/>
    <x v="4"/>
    <s v="Direct Mail"/>
    <x v="34"/>
    <s v="Male"/>
    <n v="30"/>
    <x v="3"/>
    <x v="3"/>
    <s v="No Preference"/>
    <s v=""/>
    <s v=""/>
    <s v=""/>
    <x v="7"/>
    <s v="All Active"/>
    <d v="2024-10-15T00:00:00"/>
    <d v="2024-12-20T00:00:00"/>
    <n v="12000"/>
    <x v="2"/>
    <n v="14"/>
    <s v=""/>
    <s v=""/>
    <s v=""/>
  </r>
  <r>
    <x v="603"/>
    <s v="SUP01368"/>
    <x v="8"/>
    <x v="8"/>
    <x v="2"/>
    <d v="2024-11-09T00:00:00"/>
    <n v="5.04"/>
    <s v="Yes"/>
    <s v="Debit Card"/>
    <x v="3"/>
    <s v="Corporate Partner"/>
    <x v="16"/>
    <s v="Male"/>
    <n v="49"/>
    <x v="4"/>
    <x v="4"/>
    <s v="Email"/>
    <s v=""/>
    <s v=""/>
    <s v=""/>
    <x v="7"/>
    <s v="All Active"/>
    <d v="2024-10-15T00:00:00"/>
    <d v="2024-12-20T00:00:00"/>
    <n v="12000"/>
    <x v="2"/>
    <n v="6.3"/>
    <s v=""/>
    <s v=""/>
    <s v=""/>
  </r>
  <r>
    <x v="604"/>
    <s v="SUP01073"/>
    <x v="7"/>
    <x v="7"/>
    <x v="1"/>
    <d v="2025-03-10T00:00:00"/>
    <n v="20.9"/>
    <s v="Yes"/>
    <s v="Standing Order"/>
    <x v="5"/>
    <s v="Event"/>
    <x v="21"/>
    <s v="Male"/>
    <n v="54"/>
    <x v="1"/>
    <x v="1"/>
    <s v="Post"/>
    <s v=""/>
    <s v="Review - prefers post but not opted in"/>
    <s v=""/>
    <x v="6"/>
    <s v="Regular Givers"/>
    <d v="2025-03-01T00:00:00"/>
    <d v="2025-04-30T00:00:00"/>
    <n v="8000"/>
    <x v="1"/>
    <n v="26.125"/>
    <s v=""/>
    <s v=""/>
    <s v=""/>
  </r>
  <r>
    <x v="605"/>
    <s v="SUP01252"/>
    <x v="0"/>
    <x v="0"/>
    <x v="1"/>
    <d v="2025-03-03T00:00:00"/>
    <n v="11.13"/>
    <s v="No"/>
    <s v="Standing Order"/>
    <x v="5"/>
    <s v="Telephone"/>
    <x v="26"/>
    <s v="Female"/>
    <n v="69"/>
    <x v="0"/>
    <x v="0"/>
    <s v="Phone"/>
    <s v=""/>
    <s v=""/>
    <s v=""/>
    <x v="0"/>
    <s v="One-time Donors"/>
    <d v="2025-01-06T00:00:00"/>
    <d v="2025-03-31T00:00:00"/>
    <n v="10000"/>
    <x v="0"/>
    <n v="11.13"/>
    <s v=""/>
    <s v=""/>
    <s v=""/>
  </r>
  <r>
    <x v="606"/>
    <s v="SUP01121"/>
    <x v="0"/>
    <x v="0"/>
    <x v="4"/>
    <d v="2025-03-29T00:00:00"/>
    <n v="146.19"/>
    <s v="No"/>
    <s v="Credit Card"/>
    <x v="4"/>
    <s v="Website"/>
    <x v="27"/>
    <s v="Male"/>
    <n v="65"/>
    <x v="0"/>
    <x v="0"/>
    <s v="Email"/>
    <s v=""/>
    <s v=""/>
    <s v=""/>
    <x v="0"/>
    <s v="One-time Donors"/>
    <d v="2025-01-06T00:00:00"/>
    <d v="2025-03-31T00:00:00"/>
    <n v="10000"/>
    <x v="0"/>
    <n v="146.19"/>
    <s v=""/>
    <s v=""/>
    <s v=""/>
  </r>
  <r>
    <x v="607"/>
    <s v="SUP01436"/>
    <x v="8"/>
    <x v="8"/>
    <x v="2"/>
    <d v="2024-01-12T00:00:00"/>
    <n v="17.010000000000002"/>
    <s v="No"/>
    <s v="Cash"/>
    <x v="4"/>
    <s v="Telephone"/>
    <x v="16"/>
    <s v="Male"/>
    <n v="73"/>
    <x v="0"/>
    <x v="0"/>
    <s v="Email"/>
    <s v=""/>
    <s v=""/>
    <s v=""/>
    <x v="7"/>
    <s v="All Active"/>
    <d v="2024-10-15T00:00:00"/>
    <d v="2024-12-20T00:00:00"/>
    <n v="12000"/>
    <x v="2"/>
    <n v="17.010000000000002"/>
    <s v=""/>
    <s v="Review - response outside campaign dates"/>
    <s v=""/>
  </r>
  <r>
    <x v="608"/>
    <s v="SUP01139"/>
    <x v="2"/>
    <x v="2"/>
    <x v="2"/>
    <d v="2024-12-11T00:00:00"/>
    <n v="38.89"/>
    <s v="No"/>
    <s v="PayPal"/>
    <x v="3"/>
    <s v="Door-To-Door"/>
    <x v="33"/>
    <s v="Female"/>
    <s v=""/>
    <x v="2"/>
    <x v="2"/>
    <s v="Email"/>
    <s v=""/>
    <s v=""/>
    <s v="Review - missing DOB"/>
    <x v="2"/>
    <s v="All Active"/>
    <d v="2024-11-01T00:00:00"/>
    <d v="2024-12-31T00:00:00"/>
    <n v="25000"/>
    <x v="2"/>
    <n v="38.89"/>
    <s v=""/>
    <s v=""/>
    <s v=""/>
  </r>
  <r>
    <x v="609"/>
    <s v="SUP01431"/>
    <x v="2"/>
    <x v="2"/>
    <x v="2"/>
    <d v="2024-11-18T00:00:00"/>
    <n v="66.38"/>
    <s v="No"/>
    <s v="PayPal"/>
    <x v="4"/>
    <s v="Website"/>
    <x v="33"/>
    <s v="Female"/>
    <n v="0"/>
    <x v="5"/>
    <x v="5"/>
    <s v="No Preference"/>
    <s v=""/>
    <s v=""/>
    <s v="Review -  potential entry error (age 0)"/>
    <x v="2"/>
    <s v="All Active"/>
    <d v="2024-11-01T00:00:00"/>
    <d v="2024-12-31T00:00:00"/>
    <n v="25000"/>
    <x v="2"/>
    <n v="66.38"/>
    <s v=""/>
    <s v=""/>
    <s v=""/>
  </r>
  <r>
    <x v="610"/>
    <s v="SUP01063"/>
    <x v="9"/>
    <x v="9"/>
    <x v="2"/>
    <d v="2026-09-01T00:00:00"/>
    <n v="323.14"/>
    <s v="Yes"/>
    <s v="Cheque"/>
    <x v="0"/>
    <s v="Telephone"/>
    <x v="13"/>
    <s v="Male"/>
    <n v="44"/>
    <x v="4"/>
    <x v="4"/>
    <s v="Email"/>
    <s v=""/>
    <s v="Review - prefers email but not opted in"/>
    <s v=""/>
    <x v="4"/>
    <s v="Major Donors"/>
    <d v="2024-07-15T00:00:00"/>
    <d v="2024-07-15T00:00:00"/>
    <n v="45000"/>
    <x v="1"/>
    <n v="403.92499999999995"/>
    <s v=""/>
    <s v="Review - response outside campaign dates"/>
    <s v=""/>
  </r>
  <r>
    <x v="611"/>
    <s v="SUP01040"/>
    <x v="9"/>
    <x v="9"/>
    <x v="1"/>
    <d v="2024-07-15T00:00:00"/>
    <n v="99.89"/>
    <s v="No"/>
    <s v="Cash"/>
    <x v="2"/>
    <s v="Direct Mail"/>
    <x v="17"/>
    <s v="Male"/>
    <s v=""/>
    <x v="2"/>
    <x v="2"/>
    <s v="No Preference"/>
    <s v=""/>
    <s v=""/>
    <s v="Review - missing DOB"/>
    <x v="4"/>
    <s v="Major Donors"/>
    <d v="2024-07-15T00:00:00"/>
    <d v="2024-07-15T00:00:00"/>
    <n v="45000"/>
    <x v="1"/>
    <n v="99.89"/>
    <s v=""/>
    <s v=""/>
    <s v=""/>
  </r>
  <r>
    <x v="612"/>
    <s v="SUP01472"/>
    <x v="0"/>
    <x v="0"/>
    <x v="0"/>
    <d v="2025-10-01T00:00:00"/>
    <n v="483.11"/>
    <s v="Yes"/>
    <s v="Online"/>
    <x v="0"/>
    <s v="Referral"/>
    <x v="8"/>
    <s v="Male"/>
    <n v="54"/>
    <x v="1"/>
    <x v="1"/>
    <s v="Email"/>
    <s v=""/>
    <s v="Review - prefers email but not opted in"/>
    <s v=""/>
    <x v="0"/>
    <s v="One-time Donors"/>
    <d v="2025-01-06T00:00:00"/>
    <d v="2025-03-31T00:00:00"/>
    <n v="10000"/>
    <x v="0"/>
    <n v="603.88750000000005"/>
    <s v=""/>
    <s v="Review - response outside campaign dates"/>
    <s v=""/>
  </r>
  <r>
    <x v="613"/>
    <s v="SUP01360"/>
    <x v="1"/>
    <x v="1"/>
    <x v="1"/>
    <d v="2024-06-04T00:00:00"/>
    <n v="31.72"/>
    <s v="Yes"/>
    <s v="Cash"/>
    <x v="3"/>
    <s v="Door-To-Door"/>
    <x v="21"/>
    <s v="Female"/>
    <n v="80"/>
    <x v="0"/>
    <x v="0"/>
    <s v="No Preference"/>
    <s v=""/>
    <s v=""/>
    <s v=""/>
    <x v="1"/>
    <s v="Major Donors"/>
    <d v="2024-06-01T00:00:00"/>
    <d v="2024-06-30T00:00:00"/>
    <n v="7000"/>
    <x v="1"/>
    <n v="39.65"/>
    <s v=""/>
    <s v=""/>
    <s v=""/>
  </r>
  <r>
    <x v="614"/>
    <s v="SUP01000"/>
    <x v="1"/>
    <x v="1"/>
    <x v="1"/>
    <d v="2024-06-12T00:00:00"/>
    <n v="44.9"/>
    <s v="Yes"/>
    <s v="PayPal"/>
    <x v="3"/>
    <s v="Referral"/>
    <x v="20"/>
    <s v="Male"/>
    <n v="39"/>
    <x v="4"/>
    <x v="4"/>
    <s v="Phone"/>
    <s v="Review - duplicate record, see Supporter_Duplicates tab"/>
    <s v="Review - prefers phone but not opted in"/>
    <s v=""/>
    <x v="1"/>
    <s v="Major Donors"/>
    <d v="2024-06-01T00:00:00"/>
    <d v="2024-06-30T00:00:00"/>
    <n v="7000"/>
    <x v="1"/>
    <n v="56.125"/>
    <s v=""/>
    <s v=""/>
    <s v=""/>
  </r>
  <r>
    <x v="615"/>
    <s v="SUP01498"/>
    <x v="4"/>
    <x v="4"/>
    <x v="0"/>
    <d v="2025-03-07T00:00:00"/>
    <n v="6.76"/>
    <s v="Yes"/>
    <s v="Direct Debit"/>
    <x v="5"/>
    <s v="Referral"/>
    <x v="28"/>
    <s v="Female"/>
    <n v="32"/>
    <x v="3"/>
    <x v="3"/>
    <s v="Phone"/>
    <s v=""/>
    <s v=""/>
    <s v=""/>
    <x v="3"/>
    <s v="Prospects"/>
    <d v="2025-02-01T00:00:00"/>
    <d v="2025-04-30T00:00:00"/>
    <n v="20000"/>
    <x v="4"/>
    <n v="8.4499999999999993"/>
    <s v=""/>
    <s v=""/>
    <s v=""/>
  </r>
  <r>
    <x v="616"/>
    <s v="SUP01370"/>
    <x v="8"/>
    <x v="8"/>
    <x v="0"/>
    <d v="2024-11-29T00:00:00"/>
    <n v="156.61000000000001"/>
    <s v="No"/>
    <s v="Online"/>
    <x v="6"/>
    <s v="Event"/>
    <x v="20"/>
    <s v="Female"/>
    <n v="64"/>
    <x v="1"/>
    <x v="1"/>
    <s v="Post"/>
    <s v=""/>
    <s v=""/>
    <s v=""/>
    <x v="7"/>
    <s v="All Active"/>
    <d v="2024-10-15T00:00:00"/>
    <d v="2024-12-20T00:00:00"/>
    <n v="12000"/>
    <x v="2"/>
    <n v="156.61000000000001"/>
    <s v=""/>
    <s v=""/>
    <s v=""/>
  </r>
  <r>
    <x v="617"/>
    <s v="SUP01499"/>
    <x v="1"/>
    <x v="1"/>
    <x v="1"/>
    <d v="2024-06-18T00:00:00"/>
    <n v="95.94"/>
    <s v="No"/>
    <s v="Direct Debit"/>
    <x v="6"/>
    <s v="Door-To-Door"/>
    <x v="5"/>
    <s v="Female"/>
    <n v="59"/>
    <x v="1"/>
    <x v="1"/>
    <s v="Post"/>
    <s v=""/>
    <s v="Review - prefers post but not opted in"/>
    <s v=""/>
    <x v="1"/>
    <s v="Major Donors"/>
    <d v="2024-06-01T00:00:00"/>
    <d v="2024-06-30T00:00:00"/>
    <n v="7000"/>
    <x v="1"/>
    <n v="95.94"/>
    <s v=""/>
    <s v=""/>
    <s v=""/>
  </r>
  <r>
    <x v="618"/>
    <s v="SUP01254"/>
    <x v="9"/>
    <x v="9"/>
    <x v="1"/>
    <d v="2024-07-15T00:00:00"/>
    <n v="2870.47"/>
    <s v="No"/>
    <s v="Online"/>
    <x v="1"/>
    <s v="Direct Mail"/>
    <x v="12"/>
    <s v="Male"/>
    <n v="54"/>
    <x v="1"/>
    <x v="1"/>
    <s v="No Preference"/>
    <s v=""/>
    <s v=""/>
    <s v=""/>
    <x v="4"/>
    <s v="Major Donors"/>
    <d v="2024-07-15T00:00:00"/>
    <d v="2024-07-15T00:00:00"/>
    <n v="45000"/>
    <x v="1"/>
    <n v="2870.47"/>
    <s v=""/>
    <s v=""/>
    <s v=""/>
  </r>
  <r>
    <x v="619"/>
    <s v="SUP01295"/>
    <x v="1"/>
    <x v="1"/>
    <x v="1"/>
    <d v="2024-06-23T00:00:00"/>
    <n v="24.77"/>
    <s v="No"/>
    <s v="Direct Debit"/>
    <x v="5"/>
    <s v="Direct Mail"/>
    <x v="4"/>
    <s v="Female"/>
    <n v="64"/>
    <x v="1"/>
    <x v="1"/>
    <s v="Post"/>
    <s v=""/>
    <s v="Review - prefers post but not opted in"/>
    <s v=""/>
    <x v="1"/>
    <s v="Major Donors"/>
    <d v="2024-06-01T00:00:00"/>
    <d v="2024-06-30T00:00:00"/>
    <n v="7000"/>
    <x v="1"/>
    <n v="24.77"/>
    <s v=""/>
    <s v=""/>
    <s v=""/>
  </r>
  <r>
    <x v="620"/>
    <s v="SUP01102"/>
    <x v="2"/>
    <x v="2"/>
    <x v="3"/>
    <d v="2024-11-12T00:00:00"/>
    <n v="3696.02"/>
    <s v="Yes"/>
    <s v="PayPal"/>
    <x v="1"/>
    <s v="Website"/>
    <x v="11"/>
    <s v="Female"/>
    <n v="63"/>
    <x v="1"/>
    <x v="1"/>
    <s v="Email"/>
    <s v=""/>
    <s v=""/>
    <s v=""/>
    <x v="2"/>
    <s v="All Active"/>
    <d v="2024-11-01T00:00:00"/>
    <d v="2024-12-31T00:00:00"/>
    <n v="25000"/>
    <x v="2"/>
    <n v="4620.0249999999996"/>
    <s v=""/>
    <s v=""/>
    <s v=""/>
  </r>
  <r>
    <x v="621"/>
    <s v="SUP01474"/>
    <x v="9"/>
    <x v="9"/>
    <x v="1"/>
    <d v="2024-07-15T00:00:00"/>
    <n v="38.49"/>
    <s v="Yes"/>
    <s v="Credit Card"/>
    <x v="3"/>
    <s v="Referral"/>
    <x v="31"/>
    <s v="Female"/>
    <n v="62"/>
    <x v="1"/>
    <x v="1"/>
    <s v="Post"/>
    <s v=""/>
    <s v=""/>
    <s v=""/>
    <x v="4"/>
    <s v="Major Donors"/>
    <d v="2024-07-15T00:00:00"/>
    <d v="2024-07-15T00:00:00"/>
    <n v="45000"/>
    <x v="1"/>
    <n v="48.112500000000004"/>
    <s v=""/>
    <s v=""/>
    <s v=""/>
  </r>
  <r>
    <x v="622"/>
    <s v="SUP01218"/>
    <x v="4"/>
    <x v="4"/>
    <x v="5"/>
    <d v="2025-03-23T00:00:00"/>
    <n v="73.38"/>
    <s v="Yes"/>
    <s v="Standing Order"/>
    <x v="2"/>
    <s v="Event"/>
    <x v="15"/>
    <s v="Female"/>
    <s v=""/>
    <x v="2"/>
    <x v="2"/>
    <s v="Email"/>
    <s v=""/>
    <s v=""/>
    <s v="Review - missing DOB"/>
    <x v="3"/>
    <s v="Prospects"/>
    <d v="2025-02-01T00:00:00"/>
    <d v="2025-04-30T00:00:00"/>
    <n v="20000"/>
    <x v="4"/>
    <n v="91.724999999999994"/>
    <s v=""/>
    <s v=""/>
    <s v=""/>
  </r>
  <r>
    <x v="623"/>
    <s v="SUP01227"/>
    <x v="5"/>
    <x v="5"/>
    <x v="1"/>
    <d v="2024-11-22T00:00:00"/>
    <n v="489.26"/>
    <s v="Yes"/>
    <s v="PayPal"/>
    <x v="0"/>
    <s v="Referral"/>
    <x v="4"/>
    <s v="Female"/>
    <n v="94"/>
    <x v="0"/>
    <x v="0"/>
    <s v="No Preference"/>
    <s v=""/>
    <s v=""/>
    <s v=""/>
    <x v="4"/>
    <s v="Volunteers"/>
    <d v="2024-11-22T00:00:00"/>
    <d v="2024-11-22T00:00:00"/>
    <n v="3500"/>
    <x v="3"/>
    <n v="611.57500000000005"/>
    <s v=""/>
    <s v=""/>
    <s v=""/>
  </r>
  <r>
    <x v="624"/>
    <s v="SUP01489"/>
    <x v="7"/>
    <x v="7"/>
    <x v="1"/>
    <d v="2025-04-01T00:00:00"/>
    <n v="93.44"/>
    <s v="Yes"/>
    <s v="PayPal"/>
    <x v="0"/>
    <s v="Website"/>
    <x v="21"/>
    <s v="Male"/>
    <n v="68"/>
    <x v="0"/>
    <x v="0"/>
    <s v="Do Not Contact"/>
    <s v=""/>
    <s v=""/>
    <s v=""/>
    <x v="6"/>
    <s v="Regular Givers"/>
    <d v="2025-03-01T00:00:00"/>
    <d v="2025-04-30T00:00:00"/>
    <n v="8000"/>
    <x v="1"/>
    <n v="116.8"/>
    <s v=""/>
    <s v=""/>
    <s v=""/>
  </r>
  <r>
    <x v="625"/>
    <s v="SUP01277"/>
    <x v="4"/>
    <x v="4"/>
    <x v="5"/>
    <d v="2025-04-10T00:00:00"/>
    <n v="57.8"/>
    <s v="Yes"/>
    <s v="Cheque"/>
    <x v="6"/>
    <s v="Corporate Partner"/>
    <x v="17"/>
    <s v="Male"/>
    <n v="52"/>
    <x v="1"/>
    <x v="1"/>
    <s v="Email"/>
    <s v=""/>
    <s v=""/>
    <s v=""/>
    <x v="3"/>
    <s v="Prospects"/>
    <d v="2025-02-01T00:00:00"/>
    <d v="2025-04-30T00:00:00"/>
    <n v="20000"/>
    <x v="4"/>
    <n v="72.25"/>
    <s v=""/>
    <s v=""/>
    <s v=""/>
  </r>
  <r>
    <x v="626"/>
    <s v="SUP01058"/>
    <x v="5"/>
    <x v="5"/>
    <x v="1"/>
    <d v="2024-11-22T00:00:00"/>
    <n v="26.16"/>
    <s v="No"/>
    <s v="PayPal"/>
    <x v="3"/>
    <s v="Website"/>
    <x v="0"/>
    <s v="Male"/>
    <n v="73"/>
    <x v="0"/>
    <x v="0"/>
    <s v="Email"/>
    <s v=""/>
    <s v=""/>
    <s v=""/>
    <x v="4"/>
    <s v="Volunteers"/>
    <d v="2024-11-22T00:00:00"/>
    <d v="2024-11-22T00:00:00"/>
    <n v="3500"/>
    <x v="3"/>
    <n v="26.16"/>
    <s v=""/>
    <s v=""/>
    <s v=""/>
  </r>
  <r>
    <x v="627"/>
    <s v="SUP01034"/>
    <x v="1"/>
    <x v="1"/>
    <x v="2"/>
    <d v="2024-06-06T00:00:00"/>
    <n v="125.14"/>
    <s v="No"/>
    <s v="Credit Card"/>
    <x v="6"/>
    <s v="Telephone"/>
    <x v="13"/>
    <s v="Male"/>
    <n v="63"/>
    <x v="1"/>
    <x v="1"/>
    <s v="Phone"/>
    <s v=""/>
    <s v="Review - prefers phone but not opted in"/>
    <s v=""/>
    <x v="1"/>
    <s v="Major Donors"/>
    <d v="2024-06-01T00:00:00"/>
    <d v="2024-06-30T00:00:00"/>
    <n v="7000"/>
    <x v="1"/>
    <n v="125.14"/>
    <s v=""/>
    <s v=""/>
    <s v=""/>
  </r>
  <r>
    <x v="628"/>
    <s v="SUP01180"/>
    <x v="9"/>
    <x v="9"/>
    <x v="1"/>
    <d v="2024-07-15T00:00:00"/>
    <n v="124.1"/>
    <s v="Yes"/>
    <s v="Cash"/>
    <x v="6"/>
    <s v="Telephone"/>
    <x v="11"/>
    <s v="Female"/>
    <n v="44"/>
    <x v="4"/>
    <x v="4"/>
    <s v="Post"/>
    <s v=""/>
    <s v=""/>
    <s v=""/>
    <x v="4"/>
    <s v="Major Donors"/>
    <d v="2024-07-15T00:00:00"/>
    <d v="2024-07-15T00:00:00"/>
    <n v="45000"/>
    <x v="1"/>
    <n v="155.125"/>
    <s v=""/>
    <s v=""/>
    <s v=""/>
  </r>
  <r>
    <x v="629"/>
    <s v="SUP01483"/>
    <x v="1"/>
    <x v="1"/>
    <x v="2"/>
    <d v="2024-06-24T00:00:00"/>
    <n v="14.86"/>
    <s v="Yes"/>
    <s v="Online"/>
    <x v="3"/>
    <s v="Door-To-Door"/>
    <x v="20"/>
    <s v="Female"/>
    <n v="50"/>
    <x v="1"/>
    <x v="1"/>
    <s v="Email"/>
    <s v=""/>
    <s v=""/>
    <s v=""/>
    <x v="1"/>
    <s v="Major Donors"/>
    <d v="2024-06-01T00:00:00"/>
    <d v="2024-06-30T00:00:00"/>
    <n v="7000"/>
    <x v="1"/>
    <n v="18.574999999999999"/>
    <s v=""/>
    <s v=""/>
    <s v=""/>
  </r>
  <r>
    <x v="630"/>
    <s v="SUP01190"/>
    <x v="5"/>
    <x v="5"/>
    <x v="2"/>
    <d v="2024-11-22T00:00:00"/>
    <n v="13.47"/>
    <s v="Yes"/>
    <s v="Cash"/>
    <x v="5"/>
    <s v="Direct Mail"/>
    <x v="0"/>
    <s v="Male"/>
    <n v="44"/>
    <x v="4"/>
    <x v="4"/>
    <s v="No Preference"/>
    <s v=""/>
    <s v=""/>
    <s v=""/>
    <x v="4"/>
    <s v="Volunteers"/>
    <d v="2024-11-22T00:00:00"/>
    <d v="2024-11-22T00:00:00"/>
    <n v="3500"/>
    <x v="3"/>
    <n v="16.837500000000002"/>
    <s v=""/>
    <s v=""/>
    <s v=""/>
  </r>
  <r>
    <x v="631"/>
    <s v="SUP01269"/>
    <x v="2"/>
    <x v="2"/>
    <x v="1"/>
    <d v="2024-11-29T00:00:00"/>
    <n v="76.67"/>
    <s v="No"/>
    <s v="Cheque"/>
    <x v="4"/>
    <s v="Telephone"/>
    <x v="5"/>
    <s v="Female"/>
    <n v="66"/>
    <x v="0"/>
    <x v="0"/>
    <s v="Post"/>
    <s v=""/>
    <s v="Review - prefers post but not opted in"/>
    <s v=""/>
    <x v="2"/>
    <s v="All Active"/>
    <d v="2024-11-01T00:00:00"/>
    <d v="2024-12-31T00:00:00"/>
    <n v="25000"/>
    <x v="2"/>
    <n v="76.67"/>
    <s v=""/>
    <s v=""/>
    <s v=""/>
  </r>
  <r>
    <x v="632"/>
    <m/>
    <x v="5"/>
    <x v="5"/>
    <x v="2"/>
    <d v="2024-11-22T00:00:00"/>
    <n v="23.47"/>
    <s v="No"/>
    <s v="Standing Order"/>
    <x v="7"/>
    <s v=""/>
    <x v="35"/>
    <s v=""/>
    <s v=""/>
    <x v="2"/>
    <x v="2"/>
    <s v=""/>
    <s v=""/>
    <s v=""/>
    <s v="Review - missing DOB"/>
    <x v="4"/>
    <s v="Volunteers"/>
    <d v="2024-11-22T00:00:00"/>
    <d v="2024-11-22T00:00:00"/>
    <n v="3500"/>
    <x v="3"/>
    <n v="23.47"/>
    <s v="Review - missing supporter ID"/>
    <s v=""/>
    <s v=""/>
  </r>
  <r>
    <x v="633"/>
    <s v="SUP01326"/>
    <x v="0"/>
    <x v="0"/>
    <x v="1"/>
    <d v="2025-03-11T00:00:00"/>
    <n v="334.01"/>
    <s v="Yes"/>
    <s v="PayPal"/>
    <x v="0"/>
    <s v="Telephone"/>
    <x v="25"/>
    <s v="Male"/>
    <n v="63"/>
    <x v="1"/>
    <x v="1"/>
    <s v="Email"/>
    <s v=""/>
    <s v=""/>
    <s v=""/>
    <x v="0"/>
    <s v="One-time Donors"/>
    <d v="2025-01-06T00:00:00"/>
    <d v="2025-03-31T00:00:00"/>
    <n v="10000"/>
    <x v="0"/>
    <n v="417.51249999999999"/>
    <s v=""/>
    <s v=""/>
    <s v=""/>
  </r>
  <r>
    <x v="634"/>
    <s v="SUP01041"/>
    <x v="9"/>
    <x v="9"/>
    <x v="1"/>
    <d v="2024-07-15T00:00:00"/>
    <n v="35.96"/>
    <s v="Yes"/>
    <s v="Credit Card"/>
    <x v="2"/>
    <s v="Event"/>
    <x v="21"/>
    <s v="Male"/>
    <n v="81"/>
    <x v="0"/>
    <x v="0"/>
    <s v="No Preference"/>
    <s v=""/>
    <s v=""/>
    <s v=""/>
    <x v="4"/>
    <s v="Major Donors"/>
    <d v="2024-07-15T00:00:00"/>
    <d v="2024-07-15T00:00:00"/>
    <n v="45000"/>
    <x v="1"/>
    <n v="44.95"/>
    <s v=""/>
    <s v=""/>
    <s v=""/>
  </r>
  <r>
    <x v="635"/>
    <s v="SUP01086"/>
    <x v="4"/>
    <x v="4"/>
    <x v="2"/>
    <d v="2025-04-05T00:00:00"/>
    <n v="4964.12"/>
    <s v="Yes"/>
    <s v="Standing Order"/>
    <x v="1"/>
    <s v="Telephone"/>
    <x v="3"/>
    <s v="Male"/>
    <n v="58"/>
    <x v="1"/>
    <x v="1"/>
    <s v="Email"/>
    <s v=""/>
    <s v=""/>
    <s v=""/>
    <x v="3"/>
    <s v="Prospects"/>
    <d v="2025-02-01T00:00:00"/>
    <d v="2025-04-30T00:00:00"/>
    <n v="20000"/>
    <x v="4"/>
    <n v="6205.15"/>
    <s v=""/>
    <s v=""/>
    <s v=""/>
  </r>
  <r>
    <x v="636"/>
    <s v="SUP01244"/>
    <x v="4"/>
    <x v="4"/>
    <x v="0"/>
    <d v="2025-02-23T00:00:00"/>
    <n v="46.57"/>
    <s v="Yes"/>
    <s v="Online"/>
    <x v="6"/>
    <s v="Referral"/>
    <x v="33"/>
    <s v="Female"/>
    <n v="45"/>
    <x v="4"/>
    <x v="4"/>
    <s v="Post"/>
    <s v=""/>
    <s v=""/>
    <s v=""/>
    <x v="3"/>
    <s v="Prospects"/>
    <d v="2025-02-01T00:00:00"/>
    <d v="2025-04-30T00:00:00"/>
    <n v="20000"/>
    <x v="4"/>
    <n v="58.212499999999999"/>
    <s v=""/>
    <s v=""/>
    <s v=""/>
  </r>
  <r>
    <x v="637"/>
    <s v="SUP01095"/>
    <x v="1"/>
    <x v="1"/>
    <x v="1"/>
    <d v="2024-06-26T00:00:00"/>
    <n v="4519.09"/>
    <s v="Yes"/>
    <s v="Standing Order"/>
    <x v="1"/>
    <s v="Referral"/>
    <x v="13"/>
    <s v="Male"/>
    <n v="66"/>
    <x v="0"/>
    <x v="0"/>
    <s v="Phone"/>
    <s v=""/>
    <s v="Review - prefers phone but not opted in"/>
    <s v=""/>
    <x v="1"/>
    <s v="Major Donors"/>
    <d v="2024-06-01T00:00:00"/>
    <d v="2024-06-30T00:00:00"/>
    <n v="7000"/>
    <x v="1"/>
    <n v="5648.8625000000002"/>
    <s v=""/>
    <s v=""/>
    <s v=""/>
  </r>
  <r>
    <x v="638"/>
    <s v="SUP01106"/>
    <x v="7"/>
    <x v="7"/>
    <x v="2"/>
    <d v="2025-03-18T00:00:00"/>
    <n v="185.92"/>
    <s v="Yes"/>
    <s v="Cash"/>
    <x v="6"/>
    <s v="Corporate Partner"/>
    <x v="11"/>
    <s v="Female"/>
    <n v="54"/>
    <x v="1"/>
    <x v="1"/>
    <s v="Email"/>
    <s v=""/>
    <s v=""/>
    <s v=""/>
    <x v="6"/>
    <s v="Regular Givers"/>
    <d v="2025-03-01T00:00:00"/>
    <d v="2025-04-30T00:00:00"/>
    <n v="8000"/>
    <x v="1"/>
    <n v="232.39999999999998"/>
    <s v=""/>
    <s v=""/>
    <s v=""/>
  </r>
  <r>
    <x v="639"/>
    <s v="SUP01205"/>
    <x v="2"/>
    <x v="2"/>
    <x v="0"/>
    <d v="2024-12-06T00:00:00"/>
    <n v="39.659999999999997"/>
    <s v="No"/>
    <s v="Online"/>
    <x v="4"/>
    <s v="Telephone"/>
    <x v="23"/>
    <s v="Female"/>
    <n v="57"/>
    <x v="1"/>
    <x v="1"/>
    <s v="Post"/>
    <s v=""/>
    <s v="Review - prefers post but not opted in"/>
    <s v=""/>
    <x v="2"/>
    <s v="All Active"/>
    <d v="2024-11-01T00:00:00"/>
    <d v="2024-12-31T00:00:00"/>
    <n v="25000"/>
    <x v="2"/>
    <n v="39.659999999999997"/>
    <s v=""/>
    <s v=""/>
    <s v=""/>
  </r>
  <r>
    <x v="640"/>
    <s v="SUP01347"/>
    <x v="1"/>
    <x v="1"/>
    <x v="2"/>
    <d v="2024-06-14T00:00:00"/>
    <n v="20.76"/>
    <s v="No"/>
    <s v="Credit Card"/>
    <x v="5"/>
    <s v="Telephone"/>
    <x v="24"/>
    <s v="Male"/>
    <n v="68"/>
    <x v="0"/>
    <x v="0"/>
    <s v="Phone"/>
    <s v=""/>
    <s v="Review - prefers phone but not opted in"/>
    <s v=""/>
    <x v="1"/>
    <s v="Major Donors"/>
    <d v="2024-06-01T00:00:00"/>
    <d v="2024-06-30T00:00:00"/>
    <n v="7000"/>
    <x v="1"/>
    <n v="20.76"/>
    <s v=""/>
    <s v=""/>
    <s v=""/>
  </r>
  <r>
    <x v="641"/>
    <s v="SUP01135"/>
    <x v="9"/>
    <x v="9"/>
    <x v="2"/>
    <d v="2024-07-15T00:00:00"/>
    <n v="13.95"/>
    <s v="Yes"/>
    <s v="Online"/>
    <x v="5"/>
    <s v="Social Media"/>
    <x v="23"/>
    <s v="Male"/>
    <n v="61"/>
    <x v="1"/>
    <x v="1"/>
    <s v="Do Not Contact"/>
    <s v=""/>
    <s v=""/>
    <s v=""/>
    <x v="4"/>
    <s v="Major Donors"/>
    <d v="2024-07-15T00:00:00"/>
    <d v="2024-07-15T00:00:00"/>
    <n v="45000"/>
    <x v="1"/>
    <n v="17.4375"/>
    <s v=""/>
    <s v=""/>
    <s v=""/>
  </r>
  <r>
    <x v="642"/>
    <s v="SUP01275"/>
    <x v="9"/>
    <x v="9"/>
    <x v="2"/>
    <d v="2024-07-15T00:00:00"/>
    <n v="14"/>
    <s v="Yes"/>
    <s v="Online"/>
    <x v="2"/>
    <s v="Event"/>
    <x v="10"/>
    <s v="Female"/>
    <n v="39"/>
    <x v="4"/>
    <x v="4"/>
    <s v="No Preference"/>
    <s v=""/>
    <s v=""/>
    <s v=""/>
    <x v="4"/>
    <s v="Major Donors"/>
    <d v="2024-07-15T00:00:00"/>
    <d v="2024-07-15T00:00:00"/>
    <n v="45000"/>
    <x v="1"/>
    <n v="17.5"/>
    <s v=""/>
    <s v=""/>
    <s v=""/>
  </r>
  <r>
    <x v="643"/>
    <s v="SUP01442"/>
    <x v="8"/>
    <x v="8"/>
    <x v="1"/>
    <d v="2024-12-04T00:00:00"/>
    <n v="41.07"/>
    <s v="No"/>
    <s v="Debit Card"/>
    <x v="3"/>
    <s v="Social Media"/>
    <x v="4"/>
    <s v="Female"/>
    <n v="28"/>
    <x v="3"/>
    <x v="3"/>
    <s v="Post"/>
    <s v=""/>
    <s v=""/>
    <s v=""/>
    <x v="7"/>
    <s v="All Active"/>
    <d v="2024-10-15T00:00:00"/>
    <d v="2024-12-20T00:00:00"/>
    <n v="12000"/>
    <x v="2"/>
    <n v="41.07"/>
    <s v=""/>
    <s v=""/>
    <s v=""/>
  </r>
  <r>
    <x v="644"/>
    <s v="SUP01321"/>
    <x v="7"/>
    <x v="7"/>
    <x v="1"/>
    <d v="2025-03-29T00:00:00"/>
    <n v="9.89"/>
    <s v="No"/>
    <s v="Cash"/>
    <x v="5"/>
    <s v="Event"/>
    <x v="24"/>
    <s v="Male"/>
    <n v="29"/>
    <x v="3"/>
    <x v="3"/>
    <s v="No Preference"/>
    <s v=""/>
    <s v=""/>
    <s v=""/>
    <x v="6"/>
    <s v="Regular Givers"/>
    <d v="2025-03-01T00:00:00"/>
    <d v="2025-04-30T00:00:00"/>
    <n v="8000"/>
    <x v="1"/>
    <n v="9.89"/>
    <s v=""/>
    <s v=""/>
    <s v=""/>
  </r>
  <r>
    <x v="645"/>
    <s v="SUP01070"/>
    <x v="4"/>
    <x v="4"/>
    <x v="0"/>
    <d v="2025-04-19T00:00:00"/>
    <n v="142.87"/>
    <s v="Yes"/>
    <s v="Direct Debit"/>
    <x v="6"/>
    <s v="Website"/>
    <x v="23"/>
    <s v="Female"/>
    <n v="68"/>
    <x v="0"/>
    <x v="0"/>
    <s v="Email"/>
    <s v=""/>
    <s v=""/>
    <s v=""/>
    <x v="3"/>
    <s v="Prospects"/>
    <d v="2025-02-01T00:00:00"/>
    <d v="2025-04-30T00:00:00"/>
    <n v="20000"/>
    <x v="4"/>
    <n v="178.58750000000001"/>
    <s v=""/>
    <s v=""/>
    <s v=""/>
  </r>
  <r>
    <x v="646"/>
    <s v="SUP01248"/>
    <x v="3"/>
    <x v="3"/>
    <x v="2"/>
    <d v="2024-09-25T00:00:00"/>
    <n v="43.92"/>
    <s v="No"/>
    <s v="Credit Card"/>
    <x v="3"/>
    <s v="Event"/>
    <x v="7"/>
    <s v="Female"/>
    <n v="59"/>
    <x v="1"/>
    <x v="1"/>
    <s v="No Preference"/>
    <s v=""/>
    <s v=""/>
    <s v=""/>
    <x v="2"/>
    <s v="All Supporters"/>
    <d v="2024-09-10T00:00:00"/>
    <d v="2024-10-15T00:00:00"/>
    <n v="15000"/>
    <x v="3"/>
    <n v="43.92"/>
    <s v=""/>
    <s v=""/>
    <s v=""/>
  </r>
  <r>
    <x v="647"/>
    <s v="SUP00910"/>
    <x v="4"/>
    <x v="4"/>
    <x v="0"/>
    <d v="2025-03-08T00:00:00"/>
    <n v="99.33"/>
    <s v="Yes"/>
    <s v="Cash"/>
    <x v="4"/>
    <s v="Door-To-Door"/>
    <x v="14"/>
    <s v="Female"/>
    <n v="68"/>
    <x v="0"/>
    <x v="0"/>
    <s v="No Preference"/>
    <s v=""/>
    <s v=""/>
    <s v=""/>
    <x v="3"/>
    <s v="Prospects"/>
    <d v="2025-02-01T00:00:00"/>
    <d v="2025-04-30T00:00:00"/>
    <n v="20000"/>
    <x v="4"/>
    <n v="124.16249999999999"/>
    <s v=""/>
    <s v=""/>
    <s v=""/>
  </r>
  <r>
    <x v="648"/>
    <s v="SUP01258"/>
    <x v="5"/>
    <x v="5"/>
    <x v="1"/>
    <d v="2024-11-22T00:00:00"/>
    <n v="22.14"/>
    <s v="Yes"/>
    <s v="Online"/>
    <x v="2"/>
    <s v="Corporate Partner"/>
    <x v="32"/>
    <s v="Female"/>
    <n v="77"/>
    <x v="0"/>
    <x v="0"/>
    <s v="Email"/>
    <s v=""/>
    <s v=""/>
    <s v=""/>
    <x v="4"/>
    <s v="Volunteers"/>
    <d v="2024-11-22T00:00:00"/>
    <d v="2024-11-22T00:00:00"/>
    <n v="3500"/>
    <x v="3"/>
    <n v="27.675000000000001"/>
    <s v=""/>
    <s v=""/>
    <s v=""/>
  </r>
  <r>
    <x v="649"/>
    <s v="SUP01237"/>
    <x v="2"/>
    <x v="2"/>
    <x v="1"/>
    <d v="2024-12-24T00:00:00"/>
    <n v="23.8"/>
    <s v="Yes"/>
    <s v="Cheque"/>
    <x v="2"/>
    <s v="Event"/>
    <x v="27"/>
    <s v="Female"/>
    <n v="93"/>
    <x v="0"/>
    <x v="0"/>
    <s v="Post"/>
    <s v=""/>
    <s v=""/>
    <s v=""/>
    <x v="2"/>
    <s v="All Active"/>
    <d v="2024-11-01T00:00:00"/>
    <d v="2024-12-31T00:00:00"/>
    <n v="25000"/>
    <x v="2"/>
    <n v="29.75"/>
    <s v=""/>
    <s v=""/>
    <s v=""/>
  </r>
  <r>
    <x v="650"/>
    <s v="SUP01255"/>
    <x v="7"/>
    <x v="7"/>
    <x v="2"/>
    <d v="2025-04-07T00:00:00"/>
    <n v="50.61"/>
    <s v="Yes"/>
    <s v="PayPal"/>
    <x v="4"/>
    <s v="Telephone"/>
    <x v="12"/>
    <s v="Male"/>
    <n v="67"/>
    <x v="0"/>
    <x v="0"/>
    <s v="Phone"/>
    <s v=""/>
    <s v="Review - prefers phone but not opted in"/>
    <s v=""/>
    <x v="6"/>
    <s v="Regular Givers"/>
    <d v="2025-03-01T00:00:00"/>
    <d v="2025-04-30T00:00:00"/>
    <n v="8000"/>
    <x v="1"/>
    <n v="63.262500000000003"/>
    <s v=""/>
    <s v=""/>
    <s v=""/>
  </r>
  <r>
    <x v="651"/>
    <s v="SUP01279"/>
    <x v="9"/>
    <x v="9"/>
    <x v="1"/>
    <d v="2024-07-15T00:00:00"/>
    <n v="1956.31"/>
    <s v="No"/>
    <s v="Direct Debit"/>
    <x v="1"/>
    <s v="Referral"/>
    <x v="20"/>
    <s v="Female"/>
    <n v="75"/>
    <x v="0"/>
    <x v="0"/>
    <s v="Email"/>
    <s v=""/>
    <s v=""/>
    <s v=""/>
    <x v="4"/>
    <s v="Major Donors"/>
    <d v="2024-07-15T00:00:00"/>
    <d v="2024-07-15T00:00:00"/>
    <n v="45000"/>
    <x v="1"/>
    <n v="1956.31"/>
    <s v=""/>
    <s v=""/>
    <s v=""/>
  </r>
  <r>
    <x v="652"/>
    <s v="SUP01003"/>
    <x v="8"/>
    <x v="8"/>
    <x v="1"/>
    <d v="2024-11-19T00:00:00"/>
    <n v="25.53"/>
    <s v="Yes"/>
    <s v="Standing Order"/>
    <x v="2"/>
    <s v="Direct Mail"/>
    <x v="12"/>
    <s v="Male"/>
    <n v="67"/>
    <x v="0"/>
    <x v="0"/>
    <s v="Phone"/>
    <s v=""/>
    <s v=""/>
    <s v=""/>
    <x v="7"/>
    <s v="All Active"/>
    <d v="2024-10-15T00:00:00"/>
    <d v="2024-12-20T00:00:00"/>
    <n v="12000"/>
    <x v="2"/>
    <n v="31.912500000000001"/>
    <s v=""/>
    <s v=""/>
    <s v=""/>
  </r>
  <r>
    <x v="653"/>
    <s v="SUP01133"/>
    <x v="6"/>
    <x v="6"/>
    <x v="1"/>
    <d v="2024-10-08T00:00:00"/>
    <n v="19.010000000000002"/>
    <s v="Yes"/>
    <s v="Credit Card"/>
    <x v="2"/>
    <s v="Door-To-Door"/>
    <x v="30"/>
    <s v="Male"/>
    <n v="78"/>
    <x v="0"/>
    <x v="0"/>
    <s v="No Preference"/>
    <s v=""/>
    <s v=""/>
    <s v=""/>
    <x v="5"/>
    <s v="Over 55s"/>
    <d v="2024-10-07T00:00:00"/>
    <d v="2024-10-13T00:00:00"/>
    <n v="5000"/>
    <x v="1"/>
    <n v="23.762500000000003"/>
    <s v=""/>
    <s v=""/>
    <s v=""/>
  </r>
  <r>
    <x v="654"/>
    <s v="SUP01319"/>
    <x v="9"/>
    <x v="9"/>
    <x v="2"/>
    <d v="2024-07-15T00:00:00"/>
    <n v="61.76"/>
    <s v="No"/>
    <s v="Cheque"/>
    <x v="2"/>
    <s v="Referral"/>
    <x v="31"/>
    <s v="Female"/>
    <n v="34"/>
    <x v="3"/>
    <x v="3"/>
    <s v="Post"/>
    <s v=""/>
    <s v=""/>
    <s v=""/>
    <x v="4"/>
    <s v="Major Donors"/>
    <d v="2024-07-15T00:00:00"/>
    <d v="2024-07-15T00:00:00"/>
    <n v="45000"/>
    <x v="1"/>
    <n v="61.76"/>
    <s v=""/>
    <s v=""/>
    <s v=""/>
  </r>
  <r>
    <x v="655"/>
    <s v="SUP01445"/>
    <x v="6"/>
    <x v="6"/>
    <x v="1"/>
    <d v="2024-10-07T00:00:00"/>
    <n v="78.69"/>
    <s v="Yes"/>
    <s v="Cheque"/>
    <x v="2"/>
    <s v="Direct Mail"/>
    <x v="9"/>
    <s v="Female"/>
    <n v="55"/>
    <x v="1"/>
    <x v="1"/>
    <s v="Post"/>
    <s v=""/>
    <s v=""/>
    <s v=""/>
    <x v="5"/>
    <s v="Over 55s"/>
    <d v="2024-10-07T00:00:00"/>
    <d v="2024-10-13T00:00:00"/>
    <n v="5000"/>
    <x v="1"/>
    <n v="98.362499999999997"/>
    <s v=""/>
    <s v=""/>
    <s v=""/>
  </r>
  <r>
    <x v="656"/>
    <s v="SUP01272"/>
    <x v="4"/>
    <x v="4"/>
    <x v="5"/>
    <d v="2025-03-21T00:00:00"/>
    <n v="329.81"/>
    <s v="Yes"/>
    <s v="Standing Order"/>
    <x v="0"/>
    <s v="Door-To-Door"/>
    <x v="3"/>
    <s v="Female"/>
    <n v="77"/>
    <x v="0"/>
    <x v="0"/>
    <s v="Post"/>
    <s v=""/>
    <s v=""/>
    <s v=""/>
    <x v="3"/>
    <s v="Prospects"/>
    <d v="2025-02-01T00:00:00"/>
    <d v="2025-04-30T00:00:00"/>
    <n v="20000"/>
    <x v="4"/>
    <n v="412.26249999999999"/>
    <s v=""/>
    <s v=""/>
    <s v=""/>
  </r>
  <r>
    <x v="657"/>
    <s v="SUP01085"/>
    <x v="4"/>
    <x v="4"/>
    <x v="0"/>
    <d v="2025-03-24T00:00:00"/>
    <n v="43.16"/>
    <s v="No"/>
    <s v="Online"/>
    <x v="3"/>
    <s v="Website"/>
    <x v="3"/>
    <s v="Female"/>
    <s v=""/>
    <x v="2"/>
    <x v="2"/>
    <s v="Email"/>
    <s v=""/>
    <s v=""/>
    <s v="Review - missing DOB"/>
    <x v="3"/>
    <s v="Prospects"/>
    <d v="2025-02-01T00:00:00"/>
    <d v="2025-04-30T00:00:00"/>
    <n v="20000"/>
    <x v="4"/>
    <n v="43.16"/>
    <s v=""/>
    <s v=""/>
    <s v=""/>
  </r>
  <r>
    <x v="658"/>
    <s v="SUP01161"/>
    <x v="9"/>
    <x v="9"/>
    <x v="2"/>
    <d v="2024-07-15T00:00:00"/>
    <n v="90.73"/>
    <s v="No"/>
    <s v="Cheque"/>
    <x v="2"/>
    <s v="Social Media"/>
    <x v="20"/>
    <s v="Female"/>
    <s v=""/>
    <x v="2"/>
    <x v="2"/>
    <s v="Phone"/>
    <s v=""/>
    <s v=""/>
    <s v="Review - missing DOB"/>
    <x v="4"/>
    <s v="Major Donors"/>
    <d v="2024-07-15T00:00:00"/>
    <d v="2024-07-15T00:00:00"/>
    <n v="45000"/>
    <x v="1"/>
    <n v="90.73"/>
    <s v=""/>
    <s v=""/>
    <s v=""/>
  </r>
  <r>
    <x v="659"/>
    <s v="SUP01337"/>
    <x v="9"/>
    <x v="9"/>
    <x v="2"/>
    <d v="2024-07-15T00:00:00"/>
    <n v="26.9"/>
    <s v="Yes"/>
    <s v="Direct Debit"/>
    <x v="5"/>
    <s v="Referral"/>
    <x v="15"/>
    <s v="Male"/>
    <n v="67"/>
    <x v="0"/>
    <x v="0"/>
    <s v="Email"/>
    <s v=""/>
    <s v="Review - prefers email but not opted in"/>
    <s v=""/>
    <x v="4"/>
    <s v="Major Donors"/>
    <d v="2024-07-15T00:00:00"/>
    <d v="2024-07-15T00:00:00"/>
    <n v="45000"/>
    <x v="1"/>
    <n v="33.625"/>
    <s v=""/>
    <s v=""/>
    <s v=""/>
  </r>
  <r>
    <x v="660"/>
    <s v="SUP01377"/>
    <x v="9"/>
    <x v="9"/>
    <x v="2"/>
    <d v="2024-07-15T00:00:00"/>
    <n v="69.33"/>
    <s v="No"/>
    <s v="PayPal"/>
    <x v="2"/>
    <s v="Corporate Partner"/>
    <x v="27"/>
    <s v="Male"/>
    <n v="52"/>
    <x v="1"/>
    <x v="1"/>
    <s v="Email"/>
    <s v=""/>
    <s v=""/>
    <s v=""/>
    <x v="4"/>
    <s v="Major Donors"/>
    <d v="2024-07-15T00:00:00"/>
    <d v="2024-07-15T00:00:00"/>
    <n v="45000"/>
    <x v="1"/>
    <n v="69.33"/>
    <s v=""/>
    <s v=""/>
    <s v=""/>
  </r>
  <r>
    <x v="661"/>
    <m/>
    <x v="8"/>
    <x v="8"/>
    <x v="2"/>
    <d v="2024-11-10T00:00:00"/>
    <n v="23.66"/>
    <s v="No"/>
    <s v="Debit Card"/>
    <x v="7"/>
    <s v=""/>
    <x v="35"/>
    <s v=""/>
    <s v=""/>
    <x v="2"/>
    <x v="2"/>
    <s v=""/>
    <s v=""/>
    <s v=""/>
    <s v="Review - missing DOB"/>
    <x v="7"/>
    <s v="All Active"/>
    <d v="2024-10-15T00:00:00"/>
    <d v="2024-12-20T00:00:00"/>
    <n v="12000"/>
    <x v="2"/>
    <n v="23.66"/>
    <s v="Review - missing supporter ID"/>
    <s v=""/>
    <s v=""/>
  </r>
  <r>
    <x v="662"/>
    <s v="SUP01073"/>
    <x v="9"/>
    <x v="9"/>
    <x v="1"/>
    <d v="2024-07-15T00:00:00"/>
    <n v="26.04"/>
    <s v="Yes"/>
    <s v="Direct Debit"/>
    <x v="5"/>
    <s v="Event"/>
    <x v="21"/>
    <s v="Male"/>
    <n v="54"/>
    <x v="1"/>
    <x v="1"/>
    <s v="Post"/>
    <s v=""/>
    <s v="Review - prefers post but not opted in"/>
    <s v=""/>
    <x v="4"/>
    <s v="Major Donors"/>
    <d v="2024-07-15T00:00:00"/>
    <d v="2024-07-15T00:00:00"/>
    <n v="45000"/>
    <x v="1"/>
    <n v="32.549999999999997"/>
    <s v=""/>
    <s v=""/>
    <s v=""/>
  </r>
  <r>
    <x v="663"/>
    <s v="SUP01372"/>
    <x v="5"/>
    <x v="5"/>
    <x v="2"/>
    <d v="2024-11-22T00:00:00"/>
    <n v="49.19"/>
    <s v="Yes"/>
    <s v="PayPal"/>
    <x v="3"/>
    <s v="Direct Mail"/>
    <x v="12"/>
    <s v="Female"/>
    <n v="59"/>
    <x v="1"/>
    <x v="1"/>
    <s v="Post"/>
    <s v=""/>
    <s v=""/>
    <s v=""/>
    <x v="4"/>
    <s v="Volunteers"/>
    <d v="2024-11-22T00:00:00"/>
    <d v="2024-11-22T00:00:00"/>
    <n v="3500"/>
    <x v="3"/>
    <n v="61.487499999999997"/>
    <s v=""/>
    <s v=""/>
    <s v=""/>
  </r>
  <r>
    <x v="664"/>
    <s v="SUP01432"/>
    <x v="4"/>
    <x v="4"/>
    <x v="2"/>
    <d v="2025-03-01T00:00:00"/>
    <n v="108.3"/>
    <s v="No"/>
    <s v="PayPal"/>
    <x v="4"/>
    <s v="Direct Mail"/>
    <x v="32"/>
    <s v="Female"/>
    <n v="47"/>
    <x v="4"/>
    <x v="4"/>
    <s v="Phone"/>
    <s v=""/>
    <s v="Review - prefers phone but not opted in"/>
    <s v=""/>
    <x v="3"/>
    <s v="Prospects"/>
    <d v="2025-02-01T00:00:00"/>
    <d v="2025-04-30T00:00:00"/>
    <n v="20000"/>
    <x v="4"/>
    <n v="108.3"/>
    <s v=""/>
    <s v=""/>
    <s v=""/>
  </r>
  <r>
    <x v="665"/>
    <s v="SUP01035"/>
    <x v="5"/>
    <x v="5"/>
    <x v="1"/>
    <d v="2024-11-22T00:00:00"/>
    <n v="46.41"/>
    <s v="Yes"/>
    <s v="Cheque"/>
    <x v="3"/>
    <s v="Event"/>
    <x v="11"/>
    <s v="Male"/>
    <n v="52"/>
    <x v="1"/>
    <x v="1"/>
    <s v="Post"/>
    <s v=""/>
    <s v=""/>
    <s v=""/>
    <x v="4"/>
    <s v="Volunteers"/>
    <d v="2024-11-22T00:00:00"/>
    <d v="2024-11-22T00:00:00"/>
    <n v="3500"/>
    <x v="3"/>
    <n v="58.012499999999996"/>
    <s v=""/>
    <s v=""/>
    <s v=""/>
  </r>
  <r>
    <x v="666"/>
    <s v="SUP01275"/>
    <x v="2"/>
    <x v="2"/>
    <x v="2"/>
    <d v="2024-12-09T00:00:00"/>
    <n v="71.13"/>
    <s v="Yes"/>
    <s v="Cheque"/>
    <x v="2"/>
    <s v="Event"/>
    <x v="10"/>
    <s v="Female"/>
    <n v="39"/>
    <x v="4"/>
    <x v="4"/>
    <s v="No Preference"/>
    <s v=""/>
    <s v=""/>
    <s v=""/>
    <x v="2"/>
    <s v="All Active"/>
    <d v="2024-11-01T00:00:00"/>
    <d v="2024-12-31T00:00:00"/>
    <n v="25000"/>
    <x v="2"/>
    <n v="88.912499999999994"/>
    <s v=""/>
    <s v=""/>
    <s v=""/>
  </r>
  <r>
    <x v="667"/>
    <s v="SUP01080"/>
    <x v="2"/>
    <x v="2"/>
    <x v="0"/>
    <d v="2024-11-23T00:00:00"/>
    <n v="15.35"/>
    <s v="Yes"/>
    <s v="Online"/>
    <x v="5"/>
    <s v="Direct Mail"/>
    <x v="0"/>
    <s v="Female"/>
    <n v="37"/>
    <x v="4"/>
    <x v="4"/>
    <s v="No Preference"/>
    <s v=""/>
    <s v=""/>
    <s v=""/>
    <x v="2"/>
    <s v="All Active"/>
    <d v="2024-11-01T00:00:00"/>
    <d v="2024-12-31T00:00:00"/>
    <n v="25000"/>
    <x v="2"/>
    <n v="19.1875"/>
    <s v=""/>
    <s v=""/>
    <s v=""/>
  </r>
  <r>
    <x v="668"/>
    <s v="SUP01348"/>
    <x v="1"/>
    <x v="1"/>
    <x v="1"/>
    <d v="2024-01-06T00:00:00"/>
    <n v="141.9"/>
    <s v="No"/>
    <s v="Cash"/>
    <x v="6"/>
    <s v="Direct Mail"/>
    <x v="9"/>
    <s v="Female"/>
    <n v="49"/>
    <x v="4"/>
    <x v="4"/>
    <s v="Email"/>
    <s v=""/>
    <s v=""/>
    <s v=""/>
    <x v="1"/>
    <s v="Major Donors"/>
    <d v="2024-06-01T00:00:00"/>
    <d v="2024-06-30T00:00:00"/>
    <n v="7000"/>
    <x v="1"/>
    <n v="141.9"/>
    <s v=""/>
    <s v="Review - response outside campaign dates"/>
    <s v=""/>
  </r>
  <r>
    <x v="669"/>
    <s v="SUP01182"/>
    <x v="6"/>
    <x v="6"/>
    <x v="1"/>
    <d v="2024-10-11T00:00:00"/>
    <n v="148.97999999999999"/>
    <s v="No"/>
    <s v="Cash"/>
    <x v="4"/>
    <s v="Website"/>
    <x v="29"/>
    <s v="Male"/>
    <n v="69"/>
    <x v="0"/>
    <x v="0"/>
    <s v="No Preference"/>
    <s v=""/>
    <s v=""/>
    <s v=""/>
    <x v="5"/>
    <s v="Over 55s"/>
    <d v="2024-10-07T00:00:00"/>
    <d v="2024-10-13T00:00:00"/>
    <n v="5000"/>
    <x v="1"/>
    <n v="148.97999999999999"/>
    <s v=""/>
    <s v=""/>
    <s v=""/>
  </r>
  <r>
    <x v="670"/>
    <s v="SUP01068"/>
    <x v="9"/>
    <x v="9"/>
    <x v="1"/>
    <d v="2024-07-15T00:00:00"/>
    <n v="27.92"/>
    <s v="Yes"/>
    <s v="Online"/>
    <x v="2"/>
    <s v="Direct Mail"/>
    <x v="2"/>
    <s v="Male"/>
    <n v="41"/>
    <x v="4"/>
    <x v="4"/>
    <s v="Do Not Contact"/>
    <s v=""/>
    <s v=""/>
    <s v=""/>
    <x v="4"/>
    <s v="Major Donors"/>
    <d v="2024-07-15T00:00:00"/>
    <d v="2024-07-15T00:00:00"/>
    <n v="45000"/>
    <x v="1"/>
    <n v="34.900000000000006"/>
    <s v=""/>
    <s v=""/>
    <s v=""/>
  </r>
  <r>
    <x v="671"/>
    <s v="SUP01340"/>
    <x v="5"/>
    <x v="5"/>
    <x v="2"/>
    <d v="2024-11-22T00:00:00"/>
    <n v="452.29"/>
    <s v="No"/>
    <s v="Cheque"/>
    <x v="0"/>
    <s v="Telephone"/>
    <x v="3"/>
    <s v="Male"/>
    <n v="37"/>
    <x v="4"/>
    <x v="4"/>
    <s v="Email"/>
    <s v=""/>
    <s v="Review - prefers email but not opted in"/>
    <s v=""/>
    <x v="4"/>
    <s v="Volunteers"/>
    <d v="2024-11-22T00:00:00"/>
    <d v="2024-11-22T00:00:00"/>
    <n v="3500"/>
    <x v="3"/>
    <n v="452.29"/>
    <s v=""/>
    <s v=""/>
    <s v=""/>
  </r>
  <r>
    <x v="672"/>
    <s v="SUP01143"/>
    <x v="8"/>
    <x v="8"/>
    <x v="0"/>
    <d v="2024-12-06T00:00:00"/>
    <n v="17.82"/>
    <s v="Yes"/>
    <s v="Standing Order"/>
    <x v="3"/>
    <s v="Social Media"/>
    <x v="18"/>
    <s v="Female"/>
    <n v="66"/>
    <x v="0"/>
    <x v="0"/>
    <s v="Phone"/>
    <s v=""/>
    <s v=""/>
    <s v=""/>
    <x v="7"/>
    <s v="All Active"/>
    <d v="2024-10-15T00:00:00"/>
    <d v="2024-12-20T00:00:00"/>
    <n v="12000"/>
    <x v="2"/>
    <n v="22.274999999999999"/>
    <s v=""/>
    <s v=""/>
    <s v=""/>
  </r>
  <r>
    <x v="673"/>
    <s v="SUP01432"/>
    <x v="2"/>
    <x v="2"/>
    <x v="3"/>
    <d v="2024-11-06T00:00:00"/>
    <n v="26.57"/>
    <s v="No"/>
    <s v="Cheque"/>
    <x v="4"/>
    <s v="Direct Mail"/>
    <x v="32"/>
    <s v="Female"/>
    <n v="47"/>
    <x v="4"/>
    <x v="4"/>
    <s v="Phone"/>
    <s v=""/>
    <s v="Review - prefers phone but not opted in"/>
    <s v=""/>
    <x v="2"/>
    <s v="All Active"/>
    <d v="2024-11-01T00:00:00"/>
    <d v="2024-12-31T00:00:00"/>
    <n v="25000"/>
    <x v="2"/>
    <n v="26.57"/>
    <s v=""/>
    <s v=""/>
    <s v=""/>
  </r>
  <r>
    <x v="674"/>
    <s v="SUP01221"/>
    <x v="1"/>
    <x v="1"/>
    <x v="2"/>
    <d v="2024-06-19T00:00:00"/>
    <n v="25.75"/>
    <s v="Yes"/>
    <s v="Direct Debit"/>
    <x v="2"/>
    <s v="Telephone"/>
    <x v="33"/>
    <s v="Female"/>
    <n v="61"/>
    <x v="1"/>
    <x v="1"/>
    <s v="No Preference"/>
    <s v=""/>
    <s v=""/>
    <s v=""/>
    <x v="1"/>
    <s v="Major Donors"/>
    <d v="2024-06-01T00:00:00"/>
    <d v="2024-06-30T00:00:00"/>
    <n v="7000"/>
    <x v="1"/>
    <n v="32.1875"/>
    <s v=""/>
    <s v=""/>
    <s v=""/>
  </r>
  <r>
    <x v="675"/>
    <s v="SUP01362"/>
    <x v="1"/>
    <x v="1"/>
    <x v="2"/>
    <d v="2024-06-20T00:00:00"/>
    <n v="30.5"/>
    <s v="No"/>
    <s v="PayPal"/>
    <x v="2"/>
    <s v="Website"/>
    <x v="29"/>
    <s v="Female"/>
    <n v="46"/>
    <x v="4"/>
    <x v="4"/>
    <s v="Post"/>
    <s v=""/>
    <s v=""/>
    <s v=""/>
    <x v="1"/>
    <s v="Major Donors"/>
    <d v="2024-06-01T00:00:00"/>
    <d v="2024-06-30T00:00:00"/>
    <n v="7000"/>
    <x v="1"/>
    <n v="30.5"/>
    <s v=""/>
    <s v=""/>
    <s v=""/>
  </r>
  <r>
    <x v="676"/>
    <s v="SUP01388"/>
    <x v="1"/>
    <x v="1"/>
    <x v="1"/>
    <d v="2024-06-16T00:00:00"/>
    <n v="375.25"/>
    <s v="Yes"/>
    <s v="Credit Card"/>
    <x v="0"/>
    <s v="Telephone"/>
    <x v="17"/>
    <s v="Female"/>
    <n v="61"/>
    <x v="1"/>
    <x v="1"/>
    <s v="Email"/>
    <s v=""/>
    <s v=""/>
    <s v=""/>
    <x v="1"/>
    <s v="Major Donors"/>
    <d v="2024-06-01T00:00:00"/>
    <d v="2024-06-30T00:00:00"/>
    <n v="7000"/>
    <x v="1"/>
    <n v="469.0625"/>
    <s v=""/>
    <s v=""/>
    <s v=""/>
  </r>
  <r>
    <x v="677"/>
    <s v="SUP01116"/>
    <x v="6"/>
    <x v="6"/>
    <x v="1"/>
    <d v="2024-10-10T00:00:00"/>
    <n v="54.78"/>
    <s v="Yes"/>
    <s v="Cheque"/>
    <x v="2"/>
    <s v="Social Media"/>
    <x v="24"/>
    <s v="Female"/>
    <n v="21"/>
    <x v="3"/>
    <x v="3"/>
    <s v="Phone"/>
    <s v=""/>
    <s v=""/>
    <s v=""/>
    <x v="5"/>
    <s v="Over 55s"/>
    <d v="2024-10-07T00:00:00"/>
    <d v="2024-10-13T00:00:00"/>
    <n v="5000"/>
    <x v="1"/>
    <n v="68.474999999999994"/>
    <s v=""/>
    <s v=""/>
    <s v=""/>
  </r>
  <r>
    <x v="678"/>
    <s v="SUP01486"/>
    <x v="1"/>
    <x v="1"/>
    <x v="1"/>
    <d v="2024-06-23T00:00:00"/>
    <n v="240.87"/>
    <s v="Yes"/>
    <s v="Cash"/>
    <x v="6"/>
    <s v="Event"/>
    <x v="24"/>
    <s v="Female"/>
    <n v="81"/>
    <x v="0"/>
    <x v="0"/>
    <s v="Email"/>
    <s v=""/>
    <s v="Review - prefers email but not opted in"/>
    <s v=""/>
    <x v="1"/>
    <s v="Major Donors"/>
    <d v="2024-06-01T00:00:00"/>
    <d v="2024-06-30T00:00:00"/>
    <n v="7000"/>
    <x v="1"/>
    <n v="301.08749999999998"/>
    <s v=""/>
    <s v=""/>
    <s v=""/>
  </r>
  <r>
    <x v="679"/>
    <s v="SUP01152"/>
    <x v="1"/>
    <x v="1"/>
    <x v="1"/>
    <d v="2024-06-16T00:00:00"/>
    <n v="33.93"/>
    <s v="Yes"/>
    <s v="Direct Debit"/>
    <x v="3"/>
    <s v="Website"/>
    <x v="30"/>
    <s v="Male"/>
    <n v="53"/>
    <x v="1"/>
    <x v="1"/>
    <s v="Post"/>
    <s v=""/>
    <s v=""/>
    <s v=""/>
    <x v="1"/>
    <s v="Major Donors"/>
    <d v="2024-06-01T00:00:00"/>
    <d v="2024-06-30T00:00:00"/>
    <n v="7000"/>
    <x v="1"/>
    <n v="42.412500000000001"/>
    <s v=""/>
    <s v=""/>
    <s v=""/>
  </r>
  <r>
    <x v="680"/>
    <s v="SUP01414"/>
    <x v="2"/>
    <x v="2"/>
    <x v="1"/>
    <d v="2024-11-03T00:00:00"/>
    <n v="27.4"/>
    <s v="No"/>
    <s v="Cheque"/>
    <x v="5"/>
    <s v="Website"/>
    <x v="10"/>
    <s v="Female"/>
    <n v="54"/>
    <x v="1"/>
    <x v="1"/>
    <s v="Email"/>
    <s v=""/>
    <s v="Review - prefers email but not opted in"/>
    <s v=""/>
    <x v="2"/>
    <s v="All Active"/>
    <d v="2024-11-01T00:00:00"/>
    <d v="2024-12-31T00:00:00"/>
    <n v="25000"/>
    <x v="2"/>
    <n v="27.4"/>
    <s v=""/>
    <s v=""/>
    <s v=""/>
  </r>
  <r>
    <x v="681"/>
    <s v="SUP01103"/>
    <x v="2"/>
    <x v="2"/>
    <x v="0"/>
    <d v="2024-11-20T00:00:00"/>
    <n v="41.38"/>
    <s v="Yes"/>
    <s v="Direct Debit"/>
    <x v="3"/>
    <s v="Website"/>
    <x v="13"/>
    <s v="Female"/>
    <n v="68"/>
    <x v="0"/>
    <x v="0"/>
    <s v="Post"/>
    <s v=""/>
    <s v=""/>
    <s v=""/>
    <x v="2"/>
    <s v="All Active"/>
    <d v="2024-11-01T00:00:00"/>
    <d v="2024-12-31T00:00:00"/>
    <n v="25000"/>
    <x v="2"/>
    <n v="51.725000000000001"/>
    <s v=""/>
    <s v=""/>
    <s v=""/>
  </r>
  <r>
    <x v="682"/>
    <s v="SUP01143"/>
    <x v="2"/>
    <x v="2"/>
    <x v="1"/>
    <d v="2024-11-13T00:00:00"/>
    <n v="32.33"/>
    <s v="No"/>
    <s v="Cheque"/>
    <x v="3"/>
    <s v="Social Media"/>
    <x v="18"/>
    <s v="Female"/>
    <n v="66"/>
    <x v="0"/>
    <x v="0"/>
    <s v="Phone"/>
    <s v=""/>
    <s v=""/>
    <s v=""/>
    <x v="2"/>
    <s v="All Active"/>
    <d v="2024-11-01T00:00:00"/>
    <d v="2024-12-31T00:00:00"/>
    <n v="25000"/>
    <x v="2"/>
    <n v="32.33"/>
    <s v=""/>
    <s v=""/>
    <s v=""/>
  </r>
  <r>
    <x v="683"/>
    <s v="SUP01097"/>
    <x v="5"/>
    <x v="5"/>
    <x v="2"/>
    <d v="2024-11-22T00:00:00"/>
    <n v="5.4"/>
    <s v="No"/>
    <s v="Online"/>
    <x v="5"/>
    <s v="Social Media"/>
    <x v="17"/>
    <s v="Male"/>
    <n v="59"/>
    <x v="1"/>
    <x v="1"/>
    <s v="Email"/>
    <s v=""/>
    <s v="Review - prefers email but not opted in"/>
    <s v=""/>
    <x v="4"/>
    <s v="Volunteers"/>
    <d v="2024-11-22T00:00:00"/>
    <d v="2024-11-22T00:00:00"/>
    <n v="3500"/>
    <x v="3"/>
    <n v="5.4"/>
    <s v=""/>
    <s v=""/>
    <s v=""/>
  </r>
  <r>
    <x v="684"/>
    <s v="SUP01187"/>
    <x v="7"/>
    <x v="7"/>
    <x v="1"/>
    <d v="2025-03-23T00:00:00"/>
    <n v="7.25"/>
    <s v="Yes"/>
    <s v="Cash"/>
    <x v="3"/>
    <s v="Social Media"/>
    <x v="0"/>
    <s v="Male"/>
    <n v="42"/>
    <x v="4"/>
    <x v="4"/>
    <s v="Post"/>
    <s v=""/>
    <s v="Review - prefers post but not opted in"/>
    <s v=""/>
    <x v="6"/>
    <s v="Regular Givers"/>
    <d v="2025-03-01T00:00:00"/>
    <d v="2025-04-30T00:00:00"/>
    <n v="8000"/>
    <x v="1"/>
    <n v="9.0625"/>
    <s v=""/>
    <s v=""/>
    <s v=""/>
  </r>
  <r>
    <x v="685"/>
    <s v="SUP01090"/>
    <x v="7"/>
    <x v="7"/>
    <x v="1"/>
    <d v="2025-04-29T00:00:00"/>
    <n v="41.36"/>
    <s v="Yes"/>
    <s v="Cash"/>
    <x v="4"/>
    <s v="Telephone"/>
    <x v="29"/>
    <s v="Female"/>
    <n v="35"/>
    <x v="4"/>
    <x v="4"/>
    <s v="Do Not Contact"/>
    <s v=""/>
    <s v=""/>
    <s v=""/>
    <x v="6"/>
    <s v="Regular Givers"/>
    <d v="2025-03-01T00:00:00"/>
    <d v="2025-04-30T00:00:00"/>
    <n v="8000"/>
    <x v="1"/>
    <n v="51.7"/>
    <s v=""/>
    <s v=""/>
    <s v=""/>
  </r>
  <r>
    <x v="686"/>
    <s v="SUP01139"/>
    <x v="7"/>
    <x v="7"/>
    <x v="2"/>
    <d v="2025-04-25T00:00:00"/>
    <n v="30.44"/>
    <s v="Yes"/>
    <s v="Direct Debit"/>
    <x v="3"/>
    <s v="Door-To-Door"/>
    <x v="33"/>
    <s v="Female"/>
    <s v=""/>
    <x v="2"/>
    <x v="2"/>
    <s v="Email"/>
    <s v=""/>
    <s v=""/>
    <s v="Review - missing DOB"/>
    <x v="6"/>
    <s v="Regular Givers"/>
    <d v="2025-03-01T00:00:00"/>
    <d v="2025-04-30T00:00:00"/>
    <n v="8000"/>
    <x v="1"/>
    <n v="38.050000000000004"/>
    <s v=""/>
    <s v=""/>
    <s v=""/>
  </r>
  <r>
    <x v="687"/>
    <s v="SUP01340"/>
    <x v="7"/>
    <x v="7"/>
    <x v="2"/>
    <d v="2025-04-21T00:00:00"/>
    <n v="269.07"/>
    <s v="Yes"/>
    <s v="Cash"/>
    <x v="0"/>
    <s v="Telephone"/>
    <x v="3"/>
    <s v="Male"/>
    <n v="37"/>
    <x v="4"/>
    <x v="4"/>
    <s v="Email"/>
    <s v=""/>
    <s v="Review - prefers email but not opted in"/>
    <s v=""/>
    <x v="6"/>
    <s v="Regular Givers"/>
    <d v="2025-03-01T00:00:00"/>
    <d v="2025-04-30T00:00:00"/>
    <n v="8000"/>
    <x v="1"/>
    <n v="336.33749999999998"/>
    <s v=""/>
    <s v=""/>
    <s v=""/>
  </r>
  <r>
    <x v="688"/>
    <s v="SUP01244"/>
    <x v="1"/>
    <x v="1"/>
    <x v="1"/>
    <d v="2024-06-14T00:00:00"/>
    <n v="191.02"/>
    <s v="No"/>
    <s v="Direct Debit"/>
    <x v="6"/>
    <s v="Referral"/>
    <x v="33"/>
    <s v="Female"/>
    <n v="45"/>
    <x v="4"/>
    <x v="4"/>
    <s v="Post"/>
    <s v=""/>
    <s v=""/>
    <s v=""/>
    <x v="1"/>
    <s v="Major Donors"/>
    <d v="2024-06-01T00:00:00"/>
    <d v="2024-06-30T00:00:00"/>
    <n v="7000"/>
    <x v="1"/>
    <n v="191.02"/>
    <s v=""/>
    <s v=""/>
    <s v=""/>
  </r>
  <r>
    <x v="689"/>
    <s v="SUP01324"/>
    <x v="8"/>
    <x v="8"/>
    <x v="1"/>
    <d v="2024-10-27T00:00:00"/>
    <n v="264.8"/>
    <s v="Yes"/>
    <s v="PayPal"/>
    <x v="0"/>
    <s v="Website"/>
    <x v="34"/>
    <s v="Female"/>
    <n v="70"/>
    <x v="0"/>
    <x v="0"/>
    <s v="Email"/>
    <s v=""/>
    <s v=""/>
    <s v=""/>
    <x v="7"/>
    <s v="All Active"/>
    <d v="2024-10-15T00:00:00"/>
    <d v="2024-12-20T00:00:00"/>
    <n v="12000"/>
    <x v="2"/>
    <n v="331"/>
    <s v=""/>
    <s v=""/>
    <s v=""/>
  </r>
  <r>
    <x v="690"/>
    <s v="SUP01012"/>
    <x v="0"/>
    <x v="0"/>
    <x v="4"/>
    <d v="2025-01-27T00:00:00"/>
    <n v="19.63"/>
    <s v="Yes"/>
    <s v="PayPal"/>
    <x v="3"/>
    <s v="Website"/>
    <x v="0"/>
    <s v="Female"/>
    <n v="27"/>
    <x v="3"/>
    <x v="3"/>
    <s v="Phone"/>
    <s v=""/>
    <s v=""/>
    <s v=""/>
    <x v="0"/>
    <s v="One-time Donors"/>
    <d v="2025-01-06T00:00:00"/>
    <d v="2025-03-31T00:00:00"/>
    <n v="10000"/>
    <x v="0"/>
    <n v="24.537499999999998"/>
    <s v=""/>
    <s v=""/>
    <s v=""/>
  </r>
  <r>
    <x v="691"/>
    <s v="SUP01164"/>
    <x v="0"/>
    <x v="0"/>
    <x v="4"/>
    <d v="2025-01-28T00:00:00"/>
    <n v="36.03"/>
    <s v="No"/>
    <s v="Direct Debit"/>
    <x v="3"/>
    <s v="Social Media"/>
    <x v="34"/>
    <s v="Male"/>
    <n v="71"/>
    <x v="0"/>
    <x v="0"/>
    <s v="Email"/>
    <s v=""/>
    <s v=""/>
    <s v=""/>
    <x v="0"/>
    <s v="One-time Donors"/>
    <d v="2025-01-06T00:00:00"/>
    <d v="2025-03-31T00:00:00"/>
    <n v="10000"/>
    <x v="0"/>
    <n v="36.03"/>
    <s v=""/>
    <s v=""/>
    <s v=""/>
  </r>
  <r>
    <x v="692"/>
    <s v="SUP01482"/>
    <x v="2"/>
    <x v="2"/>
    <x v="3"/>
    <d v="2024-11-11T00:00:00"/>
    <n v="129.36000000000001"/>
    <s v="Yes"/>
    <s v="Cheque"/>
    <x v="4"/>
    <s v="Door-To-Door"/>
    <x v="19"/>
    <s v="Male"/>
    <n v="33"/>
    <x v="3"/>
    <x v="3"/>
    <s v="Phone"/>
    <s v=""/>
    <s v=""/>
    <s v=""/>
    <x v="2"/>
    <s v="All Active"/>
    <d v="2024-11-01T00:00:00"/>
    <d v="2024-12-31T00:00:00"/>
    <n v="25000"/>
    <x v="2"/>
    <n v="161.70000000000002"/>
    <s v=""/>
    <s v=""/>
    <s v=""/>
  </r>
  <r>
    <x v="693"/>
    <s v="SUP01376"/>
    <x v="4"/>
    <x v="4"/>
    <x v="0"/>
    <d v="2025-04-22T00:00:00"/>
    <n v="305.12"/>
    <s v="Yes"/>
    <s v="Cheque"/>
    <x v="0"/>
    <s v="Direct Mail"/>
    <x v="36"/>
    <s v="Female"/>
    <n v="69"/>
    <x v="0"/>
    <x v="0"/>
    <s v="Email"/>
    <s v=""/>
    <s v=""/>
    <s v=""/>
    <x v="3"/>
    <s v="Prospects"/>
    <d v="2025-02-01T00:00:00"/>
    <d v="2025-04-30T00:00:00"/>
    <n v="20000"/>
    <x v="4"/>
    <n v="381.4"/>
    <s v=""/>
    <s v=""/>
    <s v=""/>
  </r>
  <r>
    <x v="694"/>
    <s v="SUP01328"/>
    <x v="1"/>
    <x v="1"/>
    <x v="1"/>
    <d v="2024-06-07T00:00:00"/>
    <n v="28.01"/>
    <s v="Yes"/>
    <s v="Standing Order"/>
    <x v="2"/>
    <s v="Event"/>
    <x v="24"/>
    <s v="Female"/>
    <n v="34"/>
    <x v="3"/>
    <x v="3"/>
    <s v="Phone"/>
    <s v=""/>
    <s v="Review - prefers phone but not opted in"/>
    <s v=""/>
    <x v="1"/>
    <s v="Major Donors"/>
    <d v="2024-06-01T00:00:00"/>
    <d v="2024-06-30T00:00:00"/>
    <n v="7000"/>
    <x v="1"/>
    <n v="35.012500000000003"/>
    <s v=""/>
    <s v=""/>
    <s v=""/>
  </r>
  <r>
    <x v="695"/>
    <s v="SUP01472"/>
    <x v="4"/>
    <x v="4"/>
    <x v="2"/>
    <d v="2025-02-09T00:00:00"/>
    <n v="116.55"/>
    <s v="Yes"/>
    <s v="Cash"/>
    <x v="0"/>
    <s v="Referral"/>
    <x v="8"/>
    <s v="Male"/>
    <n v="54"/>
    <x v="1"/>
    <x v="1"/>
    <s v="Email"/>
    <s v=""/>
    <s v="Review - prefers email but not opted in"/>
    <s v=""/>
    <x v="3"/>
    <s v="Prospects"/>
    <d v="2025-02-01T00:00:00"/>
    <d v="2025-04-30T00:00:00"/>
    <n v="20000"/>
    <x v="4"/>
    <n v="145.6875"/>
    <s v=""/>
    <s v=""/>
    <s v=""/>
  </r>
  <r>
    <x v="696"/>
    <s v="SUP01378"/>
    <x v="8"/>
    <x v="8"/>
    <x v="0"/>
    <d v="2024-12-12T00:00:00"/>
    <n v="89.76"/>
    <s v="No"/>
    <s v="Online"/>
    <x v="6"/>
    <s v="Referral"/>
    <x v="8"/>
    <s v="Female"/>
    <n v="57"/>
    <x v="1"/>
    <x v="1"/>
    <s v="Email"/>
    <s v=""/>
    <s v=""/>
    <s v=""/>
    <x v="7"/>
    <s v="All Active"/>
    <d v="2024-10-15T00:00:00"/>
    <d v="2024-12-20T00:00:00"/>
    <n v="12000"/>
    <x v="2"/>
    <n v="89.76"/>
    <s v=""/>
    <s v=""/>
    <s v=""/>
  </r>
  <r>
    <x v="697"/>
    <s v="SUP00800"/>
    <x v="2"/>
    <x v="2"/>
    <x v="0"/>
    <d v="2024-11-20T00:00:00"/>
    <n v="48.15"/>
    <s v="No"/>
    <s v="Debit Card"/>
    <x v="6"/>
    <s v="Referral"/>
    <x v="30"/>
    <s v="Female"/>
    <n v="64"/>
    <x v="1"/>
    <x v="1"/>
    <s v="Email"/>
    <s v="Review - duplicate record, see Supporter_Duplicates tab"/>
    <s v=""/>
    <s v=""/>
    <x v="2"/>
    <s v="All Active"/>
    <d v="2024-11-01T00:00:00"/>
    <d v="2024-12-31T00:00:00"/>
    <n v="25000"/>
    <x v="2"/>
    <n v="48.15"/>
    <s v=""/>
    <s v=""/>
    <s v=""/>
  </r>
  <r>
    <x v="698"/>
    <s v="SUP01466"/>
    <x v="9"/>
    <x v="9"/>
    <x v="1"/>
    <d v="2024-07-15T00:00:00"/>
    <n v="305.48"/>
    <s v="Yes"/>
    <s v="Online"/>
    <x v="1"/>
    <s v="Social Media"/>
    <x v="14"/>
    <s v="Female"/>
    <n v="47"/>
    <x v="4"/>
    <x v="4"/>
    <s v="Email"/>
    <s v=""/>
    <s v=""/>
    <s v=""/>
    <x v="4"/>
    <s v="Major Donors"/>
    <d v="2024-07-15T00:00:00"/>
    <d v="2024-07-15T00:00:00"/>
    <n v="45000"/>
    <x v="1"/>
    <n v="381.85"/>
    <s v=""/>
    <s v=""/>
    <s v=""/>
  </r>
  <r>
    <x v="699"/>
    <s v="SUP01383"/>
    <x v="9"/>
    <x v="9"/>
    <x v="2"/>
    <d v="2024-07-15T00:00:00"/>
    <n v="171.23"/>
    <s v="No"/>
    <s v="Credit Card"/>
    <x v="6"/>
    <s v="Direct Mail"/>
    <x v="12"/>
    <s v="Female"/>
    <n v="25"/>
    <x v="3"/>
    <x v="3"/>
    <s v="Email"/>
    <s v=""/>
    <s v=""/>
    <s v=""/>
    <x v="4"/>
    <s v="Major Donors"/>
    <d v="2024-07-15T00:00:00"/>
    <d v="2024-07-15T00:00:00"/>
    <n v="45000"/>
    <x v="1"/>
    <n v="171.23"/>
    <s v=""/>
    <s v=""/>
    <s v=""/>
  </r>
  <r>
    <x v="700"/>
    <s v="SUP01161"/>
    <x v="8"/>
    <x v="8"/>
    <x v="0"/>
    <d v="2024-10-21T00:00:00"/>
    <n v="56.26"/>
    <s v="Yes"/>
    <s v="Cheque"/>
    <x v="2"/>
    <s v="Social Media"/>
    <x v="20"/>
    <s v="Female"/>
    <s v=""/>
    <x v="2"/>
    <x v="2"/>
    <s v="Phone"/>
    <s v=""/>
    <s v=""/>
    <s v="Review - missing DOB"/>
    <x v="7"/>
    <s v="All Active"/>
    <d v="2024-10-15T00:00:00"/>
    <d v="2024-12-20T00:00:00"/>
    <n v="12000"/>
    <x v="2"/>
    <n v="70.325000000000003"/>
    <s v=""/>
    <s v=""/>
    <s v=""/>
  </r>
  <r>
    <x v="701"/>
    <s v="SUP01118"/>
    <x v="5"/>
    <x v="5"/>
    <x v="2"/>
    <d v="2024-11-22T00:00:00"/>
    <n v="45.71"/>
    <s v="No"/>
    <s v="Online"/>
    <x v="3"/>
    <s v="Referral"/>
    <x v="12"/>
    <s v="Male"/>
    <n v="54"/>
    <x v="1"/>
    <x v="1"/>
    <s v="Email"/>
    <s v=""/>
    <s v="Review - prefers email but not opted in"/>
    <s v=""/>
    <x v="4"/>
    <s v="Volunteers"/>
    <d v="2024-11-22T00:00:00"/>
    <d v="2024-11-22T00:00:00"/>
    <n v="3500"/>
    <x v="3"/>
    <n v="45.71"/>
    <s v=""/>
    <s v=""/>
    <s v=""/>
  </r>
  <r>
    <x v="702"/>
    <s v="SUP01318"/>
    <x v="1"/>
    <x v="1"/>
    <x v="2"/>
    <d v="2024-06-16T00:00:00"/>
    <n v="30.08"/>
    <s v="No"/>
    <s v="Credit Card"/>
    <x v="6"/>
    <s v="Referral"/>
    <x v="6"/>
    <s v="Male"/>
    <n v="43"/>
    <x v="4"/>
    <x v="4"/>
    <s v="Post"/>
    <s v=""/>
    <s v="Review - prefers post but not opted in"/>
    <s v=""/>
    <x v="1"/>
    <s v="Major Donors"/>
    <d v="2024-06-01T00:00:00"/>
    <d v="2024-06-30T00:00:00"/>
    <n v="7000"/>
    <x v="1"/>
    <n v="30.08"/>
    <s v=""/>
    <s v=""/>
    <s v=""/>
  </r>
  <r>
    <x v="703"/>
    <s v="SUP01380"/>
    <x v="9"/>
    <x v="9"/>
    <x v="1"/>
    <d v="2024-07-15T00:00:00"/>
    <n v="372.31"/>
    <s v="Yes"/>
    <s v="PayPal"/>
    <x v="0"/>
    <s v="Door-To-Door"/>
    <x v="9"/>
    <s v="Female"/>
    <n v="62"/>
    <x v="1"/>
    <x v="1"/>
    <s v="Post"/>
    <s v=""/>
    <s v=""/>
    <s v=""/>
    <x v="4"/>
    <s v="Major Donors"/>
    <d v="2024-07-15T00:00:00"/>
    <d v="2024-07-15T00:00:00"/>
    <n v="45000"/>
    <x v="1"/>
    <n v="465.38749999999999"/>
    <s v=""/>
    <s v=""/>
    <s v=""/>
  </r>
  <r>
    <x v="704"/>
    <s v="SUP01420"/>
    <x v="4"/>
    <x v="4"/>
    <x v="0"/>
    <d v="2025-03-28T00:00:00"/>
    <n v="220.61"/>
    <s v="No"/>
    <s v="Online"/>
    <x v="6"/>
    <s v="Referral"/>
    <x v="32"/>
    <s v="Male"/>
    <n v="92"/>
    <x v="0"/>
    <x v="0"/>
    <s v="Email"/>
    <s v=""/>
    <s v=""/>
    <s v=""/>
    <x v="3"/>
    <s v="Prospects"/>
    <d v="2025-02-01T00:00:00"/>
    <d v="2025-04-30T00:00:00"/>
    <n v="20000"/>
    <x v="4"/>
    <n v="220.61"/>
    <s v=""/>
    <s v=""/>
    <s v=""/>
  </r>
  <r>
    <x v="705"/>
    <s v="SUP01045"/>
    <x v="5"/>
    <x v="5"/>
    <x v="2"/>
    <d v="2024-11-22T00:00:00"/>
    <n v="446.87"/>
    <s v="Yes"/>
    <s v="Direct Debit"/>
    <x v="0"/>
    <s v="Social Media"/>
    <x v="16"/>
    <s v="Female"/>
    <n v="60"/>
    <x v="1"/>
    <x v="1"/>
    <s v="Phone"/>
    <s v=""/>
    <s v=""/>
    <s v=""/>
    <x v="4"/>
    <s v="Volunteers"/>
    <d v="2024-11-22T00:00:00"/>
    <d v="2024-11-22T00:00:00"/>
    <n v="3500"/>
    <x v="3"/>
    <n v="558.58749999999998"/>
    <s v=""/>
    <s v=""/>
    <s v=""/>
  </r>
  <r>
    <x v="706"/>
    <s v="SUP01203"/>
    <x v="0"/>
    <x v="0"/>
    <x v="1"/>
    <d v="2025-02-06T00:00:00"/>
    <n v="135.88999999999999"/>
    <s v="No"/>
    <s v="Cash"/>
    <x v="4"/>
    <s v="Website"/>
    <x v="5"/>
    <s v="Male"/>
    <n v="60"/>
    <x v="1"/>
    <x v="1"/>
    <s v="Email"/>
    <s v=""/>
    <s v=""/>
    <s v=""/>
    <x v="0"/>
    <s v="One-time Donors"/>
    <d v="2025-01-06T00:00:00"/>
    <d v="2025-03-31T00:00:00"/>
    <n v="10000"/>
    <x v="0"/>
    <n v="135.88999999999999"/>
    <s v=""/>
    <s v=""/>
    <s v=""/>
  </r>
  <r>
    <x v="707"/>
    <s v="SUP01254"/>
    <x v="0"/>
    <x v="0"/>
    <x v="0"/>
    <d v="2025-02-16T00:00:00"/>
    <n v="1130.43"/>
    <s v="Yes"/>
    <s v="Debit Card"/>
    <x v="1"/>
    <s v="Direct Mail"/>
    <x v="12"/>
    <s v="Male"/>
    <n v="54"/>
    <x v="1"/>
    <x v="1"/>
    <s v="No Preference"/>
    <s v=""/>
    <s v=""/>
    <s v=""/>
    <x v="0"/>
    <s v="One-time Donors"/>
    <d v="2025-01-06T00:00:00"/>
    <d v="2025-03-31T00:00:00"/>
    <n v="10000"/>
    <x v="0"/>
    <n v="1413.0375000000001"/>
    <s v=""/>
    <s v=""/>
    <s v=""/>
  </r>
  <r>
    <x v="708"/>
    <s v="SUP01266"/>
    <x v="5"/>
    <x v="5"/>
    <x v="2"/>
    <d v="2024-11-22T00:00:00"/>
    <n v="202.01"/>
    <s v="No"/>
    <s v="Debit Card"/>
    <x v="0"/>
    <s v="Referral"/>
    <x v="10"/>
    <s v="Male"/>
    <n v="43"/>
    <x v="4"/>
    <x v="4"/>
    <s v="Post"/>
    <s v=""/>
    <s v=""/>
    <s v=""/>
    <x v="4"/>
    <s v="Volunteers"/>
    <d v="2024-11-22T00:00:00"/>
    <d v="2024-11-22T00:00:00"/>
    <n v="3500"/>
    <x v="3"/>
    <n v="202.01"/>
    <s v=""/>
    <s v=""/>
    <s v=""/>
  </r>
  <r>
    <x v="709"/>
    <s v="SUP01214"/>
    <x v="7"/>
    <x v="7"/>
    <x v="2"/>
    <d v="2025-04-08T00:00:00"/>
    <n v="491.48"/>
    <s v="No"/>
    <s v="Credit Card"/>
    <x v="0"/>
    <s v="Website"/>
    <x v="22"/>
    <s v="Male"/>
    <n v="57"/>
    <x v="1"/>
    <x v="1"/>
    <s v="Email"/>
    <s v=""/>
    <s v=""/>
    <s v=""/>
    <x v="6"/>
    <s v="Regular Givers"/>
    <d v="2025-03-01T00:00:00"/>
    <d v="2025-04-30T00:00:00"/>
    <n v="8000"/>
    <x v="1"/>
    <n v="491.48"/>
    <s v=""/>
    <s v=""/>
    <s v=""/>
  </r>
  <r>
    <x v="710"/>
    <s v="SUP01397"/>
    <x v="2"/>
    <x v="2"/>
    <x v="0"/>
    <d v="2024-11-11T00:00:00"/>
    <n v="20.73"/>
    <s v="No"/>
    <s v="Cheque"/>
    <x v="2"/>
    <s v="Door-To-Door"/>
    <x v="15"/>
    <s v="Male"/>
    <n v="27"/>
    <x v="3"/>
    <x v="3"/>
    <s v="Post"/>
    <s v=""/>
    <s v="Review - prefers post but not opted in"/>
    <s v=""/>
    <x v="2"/>
    <s v="All Active"/>
    <d v="2024-11-01T00:00:00"/>
    <d v="2024-12-31T00:00:00"/>
    <n v="25000"/>
    <x v="2"/>
    <n v="20.73"/>
    <s v=""/>
    <s v=""/>
    <s v=""/>
  </r>
  <r>
    <x v="711"/>
    <s v="SUP01380"/>
    <x v="2"/>
    <x v="2"/>
    <x v="0"/>
    <d v="2024-12-26T00:00:00"/>
    <n v="470.22"/>
    <s v="No"/>
    <s v="Cheque"/>
    <x v="0"/>
    <s v="Door-To-Door"/>
    <x v="9"/>
    <s v="Female"/>
    <n v="62"/>
    <x v="1"/>
    <x v="1"/>
    <s v="Post"/>
    <s v=""/>
    <s v=""/>
    <s v=""/>
    <x v="2"/>
    <s v="All Active"/>
    <d v="2024-11-01T00:00:00"/>
    <d v="2024-12-31T00:00:00"/>
    <n v="25000"/>
    <x v="2"/>
    <n v="470.22"/>
    <s v=""/>
    <s v=""/>
    <s v=""/>
  </r>
  <r>
    <x v="712"/>
    <s v="SUP01494"/>
    <x v="1"/>
    <x v="1"/>
    <x v="2"/>
    <d v="2024-06-21T00:00:00"/>
    <n v="41.84"/>
    <s v="Yes"/>
    <s v="Direct Debit"/>
    <x v="4"/>
    <s v="Telephone"/>
    <x v="17"/>
    <s v="Female"/>
    <n v="80"/>
    <x v="0"/>
    <x v="0"/>
    <s v="Post"/>
    <s v=""/>
    <s v=""/>
    <s v=""/>
    <x v="1"/>
    <s v="Major Donors"/>
    <d v="2024-06-01T00:00:00"/>
    <d v="2024-06-30T00:00:00"/>
    <n v="7000"/>
    <x v="1"/>
    <n v="52.300000000000004"/>
    <s v=""/>
    <s v=""/>
    <s v=""/>
  </r>
  <r>
    <x v="713"/>
    <s v="SUP01219"/>
    <x v="6"/>
    <x v="6"/>
    <x v="1"/>
    <d v="2024-10-07T00:00:00"/>
    <n v="12.56"/>
    <s v="No"/>
    <s v="Debit Card"/>
    <x v="2"/>
    <s v="Door-To-Door"/>
    <x v="27"/>
    <s v="Female"/>
    <n v="44"/>
    <x v="4"/>
    <x v="4"/>
    <s v="Email"/>
    <s v=""/>
    <s v=""/>
    <s v=""/>
    <x v="5"/>
    <s v="Over 55s"/>
    <d v="2024-10-07T00:00:00"/>
    <d v="2024-10-13T00:00:00"/>
    <n v="5000"/>
    <x v="1"/>
    <n v="12.56"/>
    <s v=""/>
    <s v=""/>
    <s v=""/>
  </r>
  <r>
    <x v="714"/>
    <s v="SUP01498"/>
    <x v="8"/>
    <x v="8"/>
    <x v="2"/>
    <d v="2024-12-09T00:00:00"/>
    <n v="25.23"/>
    <s v="No"/>
    <s v="Online"/>
    <x v="5"/>
    <s v="Referral"/>
    <x v="28"/>
    <s v="Female"/>
    <n v="32"/>
    <x v="3"/>
    <x v="3"/>
    <s v="Phone"/>
    <s v=""/>
    <s v=""/>
    <s v=""/>
    <x v="7"/>
    <s v="All Active"/>
    <d v="2024-10-15T00:00:00"/>
    <d v="2024-12-20T00:00:00"/>
    <n v="12000"/>
    <x v="2"/>
    <n v="25.23"/>
    <s v=""/>
    <s v=""/>
    <s v=""/>
  </r>
  <r>
    <x v="715"/>
    <s v="SUP01007"/>
    <x v="7"/>
    <x v="7"/>
    <x v="2"/>
    <d v="2025-03-19T00:00:00"/>
    <n v="19.63"/>
    <s v="Yes"/>
    <s v="Standing Order"/>
    <x v="5"/>
    <s v="Event"/>
    <x v="22"/>
    <s v="Male"/>
    <n v="19"/>
    <x v="3"/>
    <x v="3"/>
    <s v="Email"/>
    <s v=""/>
    <s v=""/>
    <s v=""/>
    <x v="6"/>
    <s v="Regular Givers"/>
    <d v="2025-03-01T00:00:00"/>
    <d v="2025-04-30T00:00:00"/>
    <n v="8000"/>
    <x v="1"/>
    <n v="24.537499999999998"/>
    <s v=""/>
    <s v=""/>
    <s v=""/>
  </r>
  <r>
    <x v="716"/>
    <s v="SUP01480"/>
    <x v="9"/>
    <x v="9"/>
    <x v="2"/>
    <d v="2024-07-15T00:00:00"/>
    <n v="5.39"/>
    <s v="Yes"/>
    <s v="Online"/>
    <x v="5"/>
    <s v="Telephone"/>
    <x v="32"/>
    <s v="Female"/>
    <n v="28"/>
    <x v="3"/>
    <x v="3"/>
    <s v="Post"/>
    <s v=""/>
    <s v=""/>
    <s v=""/>
    <x v="4"/>
    <s v="Major Donors"/>
    <d v="2024-07-15T00:00:00"/>
    <d v="2024-07-15T00:00:00"/>
    <n v="45000"/>
    <x v="1"/>
    <n v="6.7374999999999998"/>
    <s v=""/>
    <s v=""/>
    <s v=""/>
  </r>
  <r>
    <x v="717"/>
    <s v="SUP00720"/>
    <x v="2"/>
    <x v="2"/>
    <x v="3"/>
    <d v="2024-11-26T00:00:00"/>
    <n v="48.45"/>
    <s v="Yes"/>
    <s v="Credit Card"/>
    <x v="4"/>
    <s v="Website"/>
    <x v="27"/>
    <s v="Male"/>
    <n v="65"/>
    <x v="0"/>
    <x v="0"/>
    <s v="Email"/>
    <s v=""/>
    <s v=""/>
    <s v=""/>
    <x v="2"/>
    <s v="All Active"/>
    <d v="2024-11-01T00:00:00"/>
    <d v="2024-12-31T00:00:00"/>
    <n v="25000"/>
    <x v="2"/>
    <n v="60.5625"/>
    <s v=""/>
    <s v=""/>
    <s v=""/>
  </r>
  <r>
    <x v="718"/>
    <s v="SUP01392"/>
    <x v="1"/>
    <x v="1"/>
    <x v="1"/>
    <d v="2024-06-26T00:00:00"/>
    <n v="155.66999999999999"/>
    <s v="No"/>
    <s v="Direct Debit"/>
    <x v="0"/>
    <s v="Website"/>
    <x v="22"/>
    <s v="Male"/>
    <n v="50"/>
    <x v="1"/>
    <x v="1"/>
    <s v="Email"/>
    <s v=""/>
    <s v=""/>
    <s v=""/>
    <x v="1"/>
    <s v="Major Donors"/>
    <d v="2024-06-01T00:00:00"/>
    <d v="2024-06-30T00:00:00"/>
    <n v="7000"/>
    <x v="1"/>
    <n v="155.66999999999999"/>
    <s v=""/>
    <s v=""/>
    <s v=""/>
  </r>
  <r>
    <x v="719"/>
    <s v="SUP01335"/>
    <x v="9"/>
    <x v="9"/>
    <x v="1"/>
    <d v="2024-07-15T00:00:00"/>
    <n v="26.74"/>
    <s v="No"/>
    <s v="Direct Debit"/>
    <x v="5"/>
    <s v="Direct Mail"/>
    <x v="5"/>
    <s v="Female"/>
    <s v=""/>
    <x v="2"/>
    <x v="2"/>
    <s v="No Preference"/>
    <s v=""/>
    <s v=""/>
    <s v="Review - missing DOB"/>
    <x v="4"/>
    <s v="Major Donors"/>
    <d v="2024-07-15T00:00:00"/>
    <d v="2024-07-15T00:00:00"/>
    <n v="45000"/>
    <x v="1"/>
    <n v="26.74"/>
    <s v=""/>
    <s v=""/>
    <s v=""/>
  </r>
  <r>
    <x v="720"/>
    <s v="SUP01147"/>
    <x v="1"/>
    <x v="1"/>
    <x v="2"/>
    <d v="2024-06-19T00:00:00"/>
    <n v="26.61"/>
    <s v="Yes"/>
    <s v="Cheque"/>
    <x v="6"/>
    <s v="Door-To-Door"/>
    <x v="25"/>
    <s v="Female"/>
    <n v="67"/>
    <x v="0"/>
    <x v="0"/>
    <s v="Post"/>
    <s v=""/>
    <s v=""/>
    <s v=""/>
    <x v="1"/>
    <s v="Major Donors"/>
    <d v="2024-06-01T00:00:00"/>
    <d v="2024-06-30T00:00:00"/>
    <n v="7000"/>
    <x v="1"/>
    <n v="33.262500000000003"/>
    <s v=""/>
    <s v=""/>
    <s v=""/>
  </r>
  <r>
    <x v="721"/>
    <s v="SUP01084"/>
    <x v="1"/>
    <x v="1"/>
    <x v="1"/>
    <d v="2024-06-12T00:00:00"/>
    <n v="45.67"/>
    <s v="Yes"/>
    <s v="Cheque"/>
    <x v="6"/>
    <s v="Corporate Partner"/>
    <x v="14"/>
    <s v="Male"/>
    <n v="49"/>
    <x v="4"/>
    <x v="4"/>
    <s v="Phone"/>
    <s v=""/>
    <s v="Review - prefers phone but not opted in"/>
    <s v=""/>
    <x v="1"/>
    <s v="Major Donors"/>
    <d v="2024-06-01T00:00:00"/>
    <d v="2024-06-30T00:00:00"/>
    <n v="7000"/>
    <x v="1"/>
    <n v="57.087500000000006"/>
    <s v=""/>
    <s v=""/>
    <s v=""/>
  </r>
  <r>
    <x v="722"/>
    <s v="SUP01222"/>
    <x v="6"/>
    <x v="6"/>
    <x v="1"/>
    <d v="2024-10-10T00:00:00"/>
    <n v="16.489999999999998"/>
    <s v="Yes"/>
    <s v="Direct Debit"/>
    <x v="3"/>
    <s v="Social Media"/>
    <x v="16"/>
    <s v="Male"/>
    <n v="76"/>
    <x v="0"/>
    <x v="0"/>
    <s v="Email"/>
    <s v=""/>
    <s v=""/>
    <s v=""/>
    <x v="5"/>
    <s v="Over 55s"/>
    <d v="2024-10-07T00:00:00"/>
    <d v="2024-10-13T00:00:00"/>
    <n v="5000"/>
    <x v="1"/>
    <n v="20.612499999999997"/>
    <s v=""/>
    <s v=""/>
    <s v=""/>
  </r>
  <r>
    <x v="723"/>
    <s v="SUP01149"/>
    <x v="0"/>
    <x v="0"/>
    <x v="0"/>
    <d v="2025-03-03T00:00:00"/>
    <n v="3206.08"/>
    <s v="No"/>
    <s v="Cash"/>
    <x v="1"/>
    <s v="Social Media"/>
    <x v="22"/>
    <s v="Female"/>
    <n v="49"/>
    <x v="4"/>
    <x v="4"/>
    <s v="Email"/>
    <s v=""/>
    <s v=""/>
    <s v=""/>
    <x v="0"/>
    <s v="One-time Donors"/>
    <d v="2025-01-06T00:00:00"/>
    <d v="2025-03-31T00:00:00"/>
    <n v="10000"/>
    <x v="0"/>
    <n v="3206.08"/>
    <s v=""/>
    <s v=""/>
    <s v=""/>
  </r>
  <r>
    <x v="724"/>
    <s v="SUP01458"/>
    <x v="6"/>
    <x v="6"/>
    <x v="1"/>
    <d v="2024-10-12T00:00:00"/>
    <n v="26.49"/>
    <s v="Yes"/>
    <s v="Cheque"/>
    <x v="4"/>
    <s v="Event"/>
    <x v="23"/>
    <s v="Male"/>
    <n v="63"/>
    <x v="1"/>
    <x v="1"/>
    <s v="Email"/>
    <s v=""/>
    <s v="Review - prefers email but not opted in"/>
    <s v=""/>
    <x v="5"/>
    <s v="Over 55s"/>
    <d v="2024-10-07T00:00:00"/>
    <d v="2024-10-13T00:00:00"/>
    <n v="5000"/>
    <x v="1"/>
    <n v="33.112499999999997"/>
    <s v=""/>
    <s v=""/>
    <s v=""/>
  </r>
  <r>
    <x v="725"/>
    <s v="SUP01310"/>
    <x v="1"/>
    <x v="1"/>
    <x v="1"/>
    <d v="2024-06-06T00:00:00"/>
    <n v="11.95"/>
    <s v="No"/>
    <s v="Cash"/>
    <x v="2"/>
    <s v="Website"/>
    <x v="22"/>
    <s v="Male"/>
    <s v=""/>
    <x v="2"/>
    <x v="2"/>
    <s v="Phone"/>
    <s v=""/>
    <s v="Review - prefers phone but not opted in"/>
    <s v="Review - missing DOB"/>
    <x v="1"/>
    <s v="Major Donors"/>
    <d v="2024-06-01T00:00:00"/>
    <d v="2024-06-30T00:00:00"/>
    <n v="7000"/>
    <x v="1"/>
    <n v="11.95"/>
    <s v=""/>
    <s v=""/>
    <s v=""/>
  </r>
  <r>
    <x v="726"/>
    <s v="SUP01325"/>
    <x v="0"/>
    <x v="0"/>
    <x v="0"/>
    <d v="2025-03-22T00:00:00"/>
    <n v="4443.9399999999996"/>
    <s v="Yes"/>
    <s v="PayPal"/>
    <x v="1"/>
    <s v="Referral"/>
    <x v="31"/>
    <s v="Male"/>
    <n v="48"/>
    <x v="4"/>
    <x v="4"/>
    <s v="Email"/>
    <s v=""/>
    <s v=""/>
    <s v=""/>
    <x v="0"/>
    <s v="One-time Donors"/>
    <d v="2025-01-06T00:00:00"/>
    <d v="2025-03-31T00:00:00"/>
    <n v="10000"/>
    <x v="0"/>
    <n v="5554.9249999999993"/>
    <s v=""/>
    <s v=""/>
    <s v=""/>
  </r>
  <r>
    <x v="727"/>
    <s v="SUP01384"/>
    <x v="8"/>
    <x v="8"/>
    <x v="2"/>
    <d v="2024-10-18T00:00:00"/>
    <n v="26.97"/>
    <s v="No"/>
    <s v="Standing Order"/>
    <x v="3"/>
    <s v="Corporate Partner"/>
    <x v="6"/>
    <s v="Male"/>
    <n v="22"/>
    <x v="3"/>
    <x v="3"/>
    <s v="Post"/>
    <s v=""/>
    <s v=""/>
    <s v=""/>
    <x v="7"/>
    <s v="All Active"/>
    <d v="2024-10-15T00:00:00"/>
    <d v="2024-12-20T00:00:00"/>
    <n v="12000"/>
    <x v="2"/>
    <n v="26.97"/>
    <s v=""/>
    <s v=""/>
    <s v=""/>
  </r>
  <r>
    <x v="728"/>
    <s v="SUP01113"/>
    <x v="9"/>
    <x v="9"/>
    <x v="1"/>
    <d v="2024-07-15T00:00:00"/>
    <n v="13.8"/>
    <s v="No"/>
    <s v="Credit Card"/>
    <x v="5"/>
    <s v="Door-To-Door"/>
    <x v="17"/>
    <s v="Female"/>
    <n v="50"/>
    <x v="1"/>
    <x v="1"/>
    <s v="Post"/>
    <s v=""/>
    <s v=""/>
    <s v=""/>
    <x v="4"/>
    <s v="Major Donors"/>
    <d v="2024-07-15T00:00:00"/>
    <d v="2024-07-15T00:00:00"/>
    <n v="45000"/>
    <x v="1"/>
    <n v="13.8"/>
    <s v=""/>
    <s v=""/>
    <s v=""/>
  </r>
  <r>
    <x v="729"/>
    <s v="SUP01357"/>
    <x v="8"/>
    <x v="8"/>
    <x v="2"/>
    <d v="2024-10-27T00:00:00"/>
    <n v="131.99"/>
    <s v="Yes"/>
    <s v="Debit Card"/>
    <x v="6"/>
    <s v="Door-To-Door"/>
    <x v="17"/>
    <s v="Female"/>
    <n v="42"/>
    <x v="4"/>
    <x v="4"/>
    <s v="Do Not Contact"/>
    <s v=""/>
    <s v=""/>
    <s v=""/>
    <x v="7"/>
    <s v="All Active"/>
    <d v="2024-10-15T00:00:00"/>
    <d v="2024-12-20T00:00:00"/>
    <n v="12000"/>
    <x v="2"/>
    <n v="164.98750000000001"/>
    <s v=""/>
    <s v=""/>
    <s v=""/>
  </r>
  <r>
    <x v="730"/>
    <m/>
    <x v="0"/>
    <x v="0"/>
    <x v="1"/>
    <d v="2025-03-30T00:00:00"/>
    <n v="480.52"/>
    <s v="No"/>
    <s v="Online"/>
    <x v="7"/>
    <s v=""/>
    <x v="35"/>
    <s v=""/>
    <s v=""/>
    <x v="2"/>
    <x v="2"/>
    <s v=""/>
    <s v=""/>
    <s v=""/>
    <s v="Review - missing DOB"/>
    <x v="0"/>
    <s v="One-time Donors"/>
    <d v="2025-01-06T00:00:00"/>
    <d v="2025-03-31T00:00:00"/>
    <n v="10000"/>
    <x v="0"/>
    <n v="480.52"/>
    <s v="Review - missing supporter ID"/>
    <s v=""/>
    <s v=""/>
  </r>
  <r>
    <x v="731"/>
    <s v="SUP01129"/>
    <x v="4"/>
    <x v="4"/>
    <x v="0"/>
    <d v="2025-02-13T00:00:00"/>
    <n v="290.85000000000002"/>
    <s v="Yes"/>
    <s v="Debit Card"/>
    <x v="0"/>
    <s v="Direct Mail"/>
    <x v="6"/>
    <s v="Male"/>
    <n v="35"/>
    <x v="4"/>
    <x v="4"/>
    <s v="Post"/>
    <s v=""/>
    <s v=""/>
    <s v=""/>
    <x v="3"/>
    <s v="Prospects"/>
    <d v="2025-02-01T00:00:00"/>
    <d v="2025-04-30T00:00:00"/>
    <n v="20000"/>
    <x v="4"/>
    <n v="363.5625"/>
    <s v=""/>
    <s v=""/>
    <s v=""/>
  </r>
  <r>
    <x v="732"/>
    <s v="SUP01467"/>
    <x v="7"/>
    <x v="7"/>
    <x v="2"/>
    <d v="2025-03-16T00:00:00"/>
    <n v="83.65"/>
    <s v="No"/>
    <s v="Cash"/>
    <x v="0"/>
    <s v="Social Media"/>
    <x v="21"/>
    <s v="Female"/>
    <n v="83"/>
    <x v="0"/>
    <x v="0"/>
    <s v="Email"/>
    <s v=""/>
    <s v=""/>
    <s v=""/>
    <x v="6"/>
    <s v="Regular Givers"/>
    <d v="2025-03-01T00:00:00"/>
    <d v="2025-04-30T00:00:00"/>
    <n v="8000"/>
    <x v="1"/>
    <n v="83.65"/>
    <s v=""/>
    <s v=""/>
    <s v=""/>
  </r>
  <r>
    <x v="733"/>
    <s v="SUP01260"/>
    <x v="1"/>
    <x v="1"/>
    <x v="1"/>
    <d v="2024-06-16T00:00:00"/>
    <n v="415.99"/>
    <s v="Yes"/>
    <s v="PayPal"/>
    <x v="0"/>
    <s v="Direct Mail"/>
    <x v="23"/>
    <s v="Female"/>
    <n v="44"/>
    <x v="4"/>
    <x v="4"/>
    <s v="Post"/>
    <s v=""/>
    <s v=""/>
    <s v=""/>
    <x v="1"/>
    <s v="Major Donors"/>
    <d v="2024-06-01T00:00:00"/>
    <d v="2024-06-30T00:00:00"/>
    <n v="7000"/>
    <x v="1"/>
    <n v="519.98749999999995"/>
    <s v=""/>
    <s v=""/>
    <s v=""/>
  </r>
  <r>
    <x v="734"/>
    <s v="SUP01224"/>
    <x v="1"/>
    <x v="1"/>
    <x v="2"/>
    <d v="2024-08-06T00:00:00"/>
    <n v="74.239999999999995"/>
    <s v="Yes"/>
    <s v="Online"/>
    <x v="1"/>
    <s v="Direct Mail"/>
    <x v="22"/>
    <s v="Male"/>
    <n v="21"/>
    <x v="3"/>
    <x v="3"/>
    <s v="Do Not Contact"/>
    <s v=""/>
    <s v=""/>
    <s v=""/>
    <x v="1"/>
    <s v="Major Donors"/>
    <d v="2024-06-01T00:00:00"/>
    <d v="2024-06-30T00:00:00"/>
    <n v="7000"/>
    <x v="1"/>
    <n v="92.8"/>
    <s v=""/>
    <s v="Review - response outside campaign dates"/>
    <s v=""/>
  </r>
  <r>
    <x v="735"/>
    <s v="SUP01090"/>
    <x v="5"/>
    <x v="5"/>
    <x v="2"/>
    <d v="2024-11-22T00:00:00"/>
    <n v="21.66"/>
    <s v="No"/>
    <s v="Credit Card"/>
    <x v="4"/>
    <s v="Telephone"/>
    <x v="29"/>
    <s v="Female"/>
    <n v="35"/>
    <x v="4"/>
    <x v="4"/>
    <s v="Do Not Contact"/>
    <s v=""/>
    <s v=""/>
    <s v=""/>
    <x v="4"/>
    <s v="Volunteers"/>
    <d v="2024-11-22T00:00:00"/>
    <d v="2024-11-22T00:00:00"/>
    <n v="3500"/>
    <x v="3"/>
    <n v="21.66"/>
    <s v=""/>
    <s v=""/>
    <s v=""/>
  </r>
  <r>
    <x v="736"/>
    <s v="SUP01024"/>
    <x v="9"/>
    <x v="9"/>
    <x v="2"/>
    <d v="2024-07-15T00:00:00"/>
    <n v="64.09"/>
    <s v="Yes"/>
    <s v="Direct Debit"/>
    <x v="0"/>
    <s v="Website"/>
    <x v="2"/>
    <s v="Male"/>
    <n v="77"/>
    <x v="0"/>
    <x v="0"/>
    <s v="No Preference"/>
    <s v=""/>
    <s v=""/>
    <s v=""/>
    <x v="4"/>
    <s v="Major Donors"/>
    <d v="2024-07-15T00:00:00"/>
    <d v="2024-07-15T00:00:00"/>
    <n v="45000"/>
    <x v="1"/>
    <n v="80.112500000000011"/>
    <s v=""/>
    <s v=""/>
    <s v=""/>
  </r>
  <r>
    <x v="737"/>
    <s v="SUP01256"/>
    <x v="1"/>
    <x v="1"/>
    <x v="2"/>
    <d v="2024-06-10T00:00:00"/>
    <n v="5.26"/>
    <s v="No"/>
    <s v="Cheque"/>
    <x v="5"/>
    <s v="Telephone"/>
    <x v="8"/>
    <s v="Female"/>
    <n v="54"/>
    <x v="1"/>
    <x v="1"/>
    <s v="Email"/>
    <s v=""/>
    <s v=""/>
    <s v=""/>
    <x v="1"/>
    <s v="Major Donors"/>
    <d v="2024-06-01T00:00:00"/>
    <d v="2024-06-30T00:00:00"/>
    <n v="7000"/>
    <x v="1"/>
    <n v="5.26"/>
    <s v=""/>
    <s v=""/>
    <s v=""/>
  </r>
  <r>
    <x v="738"/>
    <s v="SUP01268"/>
    <x v="4"/>
    <x v="4"/>
    <x v="0"/>
    <d v="2025-04-15T00:00:00"/>
    <n v="9.24"/>
    <s v="No"/>
    <s v="Online"/>
    <x v="3"/>
    <s v="Telephone"/>
    <x v="29"/>
    <s v="Male"/>
    <n v="53"/>
    <x v="1"/>
    <x v="1"/>
    <s v="Do Not Contact"/>
    <s v=""/>
    <s v=""/>
    <s v=""/>
    <x v="3"/>
    <s v="Prospects"/>
    <d v="2025-02-01T00:00:00"/>
    <d v="2025-04-30T00:00:00"/>
    <n v="20000"/>
    <x v="4"/>
    <n v="9.24"/>
    <s v=""/>
    <s v=""/>
    <s v=""/>
  </r>
  <r>
    <x v="739"/>
    <s v="SUP01487"/>
    <x v="3"/>
    <x v="3"/>
    <x v="0"/>
    <d v="2024-09-26T00:00:00"/>
    <n v="6.52"/>
    <s v="Yes"/>
    <s v="Cheque"/>
    <x v="5"/>
    <s v="Event"/>
    <x v="1"/>
    <s v="Female"/>
    <n v="62"/>
    <x v="1"/>
    <x v="1"/>
    <s v="Email"/>
    <s v=""/>
    <s v="Review - prefers email but not opted in"/>
    <s v=""/>
    <x v="2"/>
    <s v="All Supporters"/>
    <d v="2024-09-10T00:00:00"/>
    <d v="2024-10-15T00:00:00"/>
    <n v="15000"/>
    <x v="3"/>
    <n v="8.1499999999999986"/>
    <s v=""/>
    <s v=""/>
    <s v=""/>
  </r>
  <r>
    <x v="740"/>
    <s v="SUP01280"/>
    <x v="7"/>
    <x v="7"/>
    <x v="2"/>
    <d v="2025-04-01T00:00:00"/>
    <n v="99.59"/>
    <s v="Yes"/>
    <s v="Debit Card"/>
    <x v="0"/>
    <s v="Direct Mail"/>
    <x v="25"/>
    <s v="Male"/>
    <n v="70"/>
    <x v="0"/>
    <x v="0"/>
    <s v="Post"/>
    <s v=""/>
    <s v=""/>
    <s v=""/>
    <x v="6"/>
    <s v="Regular Givers"/>
    <d v="2025-03-01T00:00:00"/>
    <d v="2025-04-30T00:00:00"/>
    <n v="8000"/>
    <x v="1"/>
    <n v="124.48750000000001"/>
    <s v=""/>
    <s v=""/>
    <s v=""/>
  </r>
  <r>
    <x v="741"/>
    <s v="SUP01279"/>
    <x v="7"/>
    <x v="7"/>
    <x v="1"/>
    <d v="2025-03-14T00:00:00"/>
    <n v="2952.33"/>
    <s v="Yes"/>
    <s v="Direct Debit"/>
    <x v="1"/>
    <s v="Referral"/>
    <x v="20"/>
    <s v="Female"/>
    <n v="75"/>
    <x v="0"/>
    <x v="0"/>
    <s v="Email"/>
    <s v=""/>
    <s v=""/>
    <s v=""/>
    <x v="6"/>
    <s v="Regular Givers"/>
    <d v="2025-03-01T00:00:00"/>
    <d v="2025-04-30T00:00:00"/>
    <n v="8000"/>
    <x v="1"/>
    <n v="3690.4124999999999"/>
    <s v=""/>
    <s v=""/>
    <s v=""/>
  </r>
  <r>
    <x v="742"/>
    <s v="SUP01097"/>
    <x v="0"/>
    <x v="0"/>
    <x v="0"/>
    <d v="2025-02-22T00:00:00"/>
    <n v="6.51"/>
    <s v="No"/>
    <s v="Direct Debit"/>
    <x v="5"/>
    <s v="Social Media"/>
    <x v="17"/>
    <s v="Male"/>
    <n v="59"/>
    <x v="1"/>
    <x v="1"/>
    <s v="Email"/>
    <s v=""/>
    <s v="Review - prefers email but not opted in"/>
    <s v=""/>
    <x v="0"/>
    <s v="One-time Donors"/>
    <d v="2025-01-06T00:00:00"/>
    <d v="2025-03-31T00:00:00"/>
    <n v="10000"/>
    <x v="0"/>
    <n v="6.51"/>
    <s v=""/>
    <s v=""/>
    <s v=""/>
  </r>
  <r>
    <x v="743"/>
    <s v="SUP01094"/>
    <x v="4"/>
    <x v="4"/>
    <x v="5"/>
    <d v="2025-10-03T00:00:00"/>
    <n v="62.65"/>
    <s v="No"/>
    <s v="Standing Order"/>
    <x v="2"/>
    <s v="Direct Mail"/>
    <x v="23"/>
    <s v="Male"/>
    <n v="51"/>
    <x v="1"/>
    <x v="1"/>
    <s v="Phone"/>
    <s v=""/>
    <s v=""/>
    <s v=""/>
    <x v="3"/>
    <s v="Prospects"/>
    <d v="2025-02-01T00:00:00"/>
    <d v="2025-04-30T00:00:00"/>
    <n v="20000"/>
    <x v="4"/>
    <n v="62.65"/>
    <s v=""/>
    <s v="Review - response outside campaign dates"/>
    <s v=""/>
  </r>
  <r>
    <x v="744"/>
    <s v="SUP01082"/>
    <x v="0"/>
    <x v="0"/>
    <x v="0"/>
    <d v="2025-07-01T00:00:00"/>
    <n v="93.17"/>
    <s v="No"/>
    <s v="Cash"/>
    <x v="6"/>
    <s v="Referral"/>
    <x v="26"/>
    <s v="Female"/>
    <n v="60"/>
    <x v="1"/>
    <x v="1"/>
    <s v="Email"/>
    <s v=""/>
    <s v=""/>
    <s v=""/>
    <x v="0"/>
    <s v="One-time Donors"/>
    <d v="2025-01-06T00:00:00"/>
    <d v="2025-03-31T00:00:00"/>
    <n v="10000"/>
    <x v="0"/>
    <n v="93.17"/>
    <s v=""/>
    <s v="Review - response outside campaign dates"/>
    <s v=""/>
  </r>
  <r>
    <x v="745"/>
    <s v="SUP01291"/>
    <x v="9"/>
    <x v="9"/>
    <x v="1"/>
    <d v="2024-07-15T00:00:00"/>
    <n v="346.97"/>
    <s v="No"/>
    <s v="Direct Debit"/>
    <x v="0"/>
    <s v="Referral"/>
    <x v="2"/>
    <s v="Male"/>
    <n v="33"/>
    <x v="3"/>
    <x v="3"/>
    <s v="No Preference"/>
    <s v=""/>
    <s v=""/>
    <s v=""/>
    <x v="4"/>
    <s v="Major Donors"/>
    <d v="2024-07-15T00:00:00"/>
    <d v="2024-07-15T00:00:00"/>
    <n v="45000"/>
    <x v="1"/>
    <n v="346.97"/>
    <s v=""/>
    <s v=""/>
    <s v=""/>
  </r>
  <r>
    <x v="746"/>
    <s v="SUP01186"/>
    <x v="1"/>
    <x v="1"/>
    <x v="2"/>
    <d v="2024-06-29T00:00:00"/>
    <n v="38.92"/>
    <s v="Yes"/>
    <s v="Direct Debit"/>
    <x v="3"/>
    <s v="Direct Mail"/>
    <x v="8"/>
    <s v="Male"/>
    <s v=""/>
    <x v="2"/>
    <x v="2"/>
    <s v="No Preference"/>
    <s v=""/>
    <s v=""/>
    <s v="Review - missing DOB"/>
    <x v="1"/>
    <s v="Major Donors"/>
    <d v="2024-06-01T00:00:00"/>
    <d v="2024-06-30T00:00:00"/>
    <n v="7000"/>
    <x v="1"/>
    <n v="48.650000000000006"/>
    <s v=""/>
    <s v=""/>
    <s v=""/>
  </r>
  <r>
    <x v="747"/>
    <s v="SUP01268"/>
    <x v="7"/>
    <x v="7"/>
    <x v="1"/>
    <d v="2025-03-11T00:00:00"/>
    <n v="22.53"/>
    <s v="Yes"/>
    <s v="Online"/>
    <x v="3"/>
    <s v="Telephone"/>
    <x v="29"/>
    <s v="Male"/>
    <n v="53"/>
    <x v="1"/>
    <x v="1"/>
    <s v="Do Not Contact"/>
    <s v=""/>
    <s v=""/>
    <s v=""/>
    <x v="6"/>
    <s v="Regular Givers"/>
    <d v="2025-03-01T00:00:00"/>
    <d v="2025-04-30T00:00:00"/>
    <n v="8000"/>
    <x v="1"/>
    <n v="28.162500000000001"/>
    <s v=""/>
    <s v=""/>
    <s v=""/>
  </r>
  <r>
    <x v="748"/>
    <s v="SUP01004"/>
    <x v="6"/>
    <x v="6"/>
    <x v="1"/>
    <d v="2024-10-08T00:00:00"/>
    <n v="29.7"/>
    <s v="Yes"/>
    <s v="Direct Debit"/>
    <x v="4"/>
    <s v="Telephone"/>
    <x v="1"/>
    <s v="Male"/>
    <n v="86"/>
    <x v="0"/>
    <x v="0"/>
    <s v="No Preference"/>
    <s v=""/>
    <s v=""/>
    <s v=""/>
    <x v="5"/>
    <s v="Over 55s"/>
    <d v="2024-10-07T00:00:00"/>
    <d v="2024-10-13T00:00:00"/>
    <n v="5000"/>
    <x v="1"/>
    <n v="37.125"/>
    <s v=""/>
    <s v=""/>
    <s v=""/>
  </r>
  <r>
    <x v="749"/>
    <s v="SUP01043"/>
    <x v="5"/>
    <x v="5"/>
    <x v="2"/>
    <d v="2024-11-22T00:00:00"/>
    <n v="308.77999999999997"/>
    <s v="Yes"/>
    <s v="Debit Card"/>
    <x v="0"/>
    <s v="Corporate Partner"/>
    <x v="31"/>
    <s v="Male"/>
    <n v="94"/>
    <x v="0"/>
    <x v="0"/>
    <s v="Phone"/>
    <s v=""/>
    <s v="Review - prefers phone but not opted in"/>
    <s v=""/>
    <x v="4"/>
    <s v="Volunteers"/>
    <d v="2024-11-22T00:00:00"/>
    <d v="2024-11-22T00:00:00"/>
    <n v="3500"/>
    <x v="3"/>
    <n v="385.97499999999997"/>
    <s v=""/>
    <s v=""/>
    <s v=""/>
  </r>
  <r>
    <x v="750"/>
    <s v="SUP01420"/>
    <x v="1"/>
    <x v="1"/>
    <x v="1"/>
    <d v="2024-06-26T00:00:00"/>
    <n v="225.97"/>
    <s v="No"/>
    <s v="Credit Card"/>
    <x v="6"/>
    <s v="Referral"/>
    <x v="32"/>
    <s v="Male"/>
    <n v="92"/>
    <x v="0"/>
    <x v="0"/>
    <s v="Email"/>
    <s v=""/>
    <s v=""/>
    <s v=""/>
    <x v="1"/>
    <s v="Major Donors"/>
    <d v="2024-06-01T00:00:00"/>
    <d v="2024-06-30T00:00:00"/>
    <n v="7000"/>
    <x v="1"/>
    <n v="225.97"/>
    <s v=""/>
    <s v=""/>
    <s v=""/>
  </r>
  <r>
    <x v="751"/>
    <s v="SUP01292"/>
    <x v="5"/>
    <x v="5"/>
    <x v="1"/>
    <d v="2024-11-22T00:00:00"/>
    <n v="71.63"/>
    <s v="No"/>
    <s v="Direct Debit"/>
    <x v="2"/>
    <s v="Corporate Partner"/>
    <x v="36"/>
    <s v="Male"/>
    <n v="77"/>
    <x v="0"/>
    <x v="0"/>
    <s v="Email"/>
    <s v=""/>
    <s v=""/>
    <s v=""/>
    <x v="4"/>
    <s v="Volunteers"/>
    <d v="2024-11-22T00:00:00"/>
    <d v="2024-11-22T00:00:00"/>
    <n v="3500"/>
    <x v="3"/>
    <n v="71.63"/>
    <s v=""/>
    <s v=""/>
    <s v=""/>
  </r>
  <r>
    <x v="752"/>
    <s v="SUP01134"/>
    <x v="5"/>
    <x v="5"/>
    <x v="1"/>
    <d v="2024-11-22T00:00:00"/>
    <n v="375.84"/>
    <s v="Yes"/>
    <s v="Cheque"/>
    <x v="0"/>
    <s v="Direct Mail"/>
    <x v="32"/>
    <s v="Male"/>
    <n v="43"/>
    <x v="4"/>
    <x v="4"/>
    <s v="No Preference"/>
    <s v=""/>
    <s v=""/>
    <s v=""/>
    <x v="4"/>
    <s v="Volunteers"/>
    <d v="2024-11-22T00:00:00"/>
    <d v="2024-11-22T00:00:00"/>
    <n v="3500"/>
    <x v="3"/>
    <n v="469.79999999999995"/>
    <s v=""/>
    <s v=""/>
    <s v=""/>
  </r>
  <r>
    <x v="753"/>
    <s v="SUP01484"/>
    <x v="7"/>
    <x v="7"/>
    <x v="2"/>
    <d v="2025-04-16T00:00:00"/>
    <n v="4738.34"/>
    <s v="Yes"/>
    <s v="Direct Debit"/>
    <x v="1"/>
    <s v="Direct Mail"/>
    <x v="7"/>
    <s v="Male"/>
    <n v="63"/>
    <x v="1"/>
    <x v="1"/>
    <s v="Email"/>
    <s v=""/>
    <s v="Review - prefers email but not opted in"/>
    <s v=""/>
    <x v="6"/>
    <s v="Regular Givers"/>
    <d v="2025-03-01T00:00:00"/>
    <d v="2025-04-30T00:00:00"/>
    <n v="8000"/>
    <x v="1"/>
    <n v="5922.9250000000002"/>
    <s v=""/>
    <s v=""/>
    <s v=""/>
  </r>
  <r>
    <x v="754"/>
    <s v="SUP01384"/>
    <x v="3"/>
    <x v="3"/>
    <x v="0"/>
    <d v="2024-10-14T00:00:00"/>
    <n v="14.96"/>
    <s v="Yes"/>
    <s v="Standing Order"/>
    <x v="3"/>
    <s v="Corporate Partner"/>
    <x v="6"/>
    <s v="Male"/>
    <n v="22"/>
    <x v="3"/>
    <x v="3"/>
    <s v="Post"/>
    <s v=""/>
    <s v=""/>
    <s v=""/>
    <x v="2"/>
    <s v="All Supporters"/>
    <d v="2024-09-10T00:00:00"/>
    <d v="2024-10-15T00:00:00"/>
    <n v="15000"/>
    <x v="3"/>
    <n v="18.700000000000003"/>
    <s v=""/>
    <s v=""/>
    <s v=""/>
  </r>
  <r>
    <x v="755"/>
    <s v="SUP01359"/>
    <x v="1"/>
    <x v="1"/>
    <x v="1"/>
    <d v="2024-06-03T00:00:00"/>
    <n v="3293.01"/>
    <s v="No"/>
    <s v="Cheque"/>
    <x v="1"/>
    <s v="Telephone"/>
    <x v="23"/>
    <s v="Female"/>
    <n v="78"/>
    <x v="0"/>
    <x v="0"/>
    <s v="Post"/>
    <s v=""/>
    <s v=""/>
    <s v=""/>
    <x v="1"/>
    <s v="Major Donors"/>
    <d v="2024-06-01T00:00:00"/>
    <d v="2024-06-30T00:00:00"/>
    <n v="7000"/>
    <x v="1"/>
    <n v="3293.01"/>
    <s v=""/>
    <s v=""/>
    <s v=""/>
  </r>
  <r>
    <x v="756"/>
    <s v="SUP01058"/>
    <x v="7"/>
    <x v="7"/>
    <x v="1"/>
    <d v="2025-03-22T00:00:00"/>
    <n v="7.46"/>
    <s v="Yes"/>
    <s v="Credit Card"/>
    <x v="3"/>
    <s v="Website"/>
    <x v="0"/>
    <s v="Male"/>
    <n v="73"/>
    <x v="0"/>
    <x v="0"/>
    <s v="Email"/>
    <s v=""/>
    <s v=""/>
    <s v=""/>
    <x v="6"/>
    <s v="Regular Givers"/>
    <d v="2025-03-01T00:00:00"/>
    <d v="2025-04-30T00:00:00"/>
    <n v="8000"/>
    <x v="1"/>
    <n v="9.3249999999999993"/>
    <s v=""/>
    <s v=""/>
    <s v=""/>
  </r>
  <r>
    <x v="757"/>
    <s v="SUP01478"/>
    <x v="4"/>
    <x v="4"/>
    <x v="5"/>
    <d v="2025-04-12T00:00:00"/>
    <n v="210.88"/>
    <s v="Yes"/>
    <s v="Debit Card"/>
    <x v="6"/>
    <s v="Telephone"/>
    <x v="33"/>
    <s v="Female"/>
    <n v="47"/>
    <x v="4"/>
    <x v="4"/>
    <s v="Email"/>
    <s v=""/>
    <s v=""/>
    <s v=""/>
    <x v="3"/>
    <s v="Prospects"/>
    <d v="2025-02-01T00:00:00"/>
    <d v="2025-04-30T00:00:00"/>
    <n v="20000"/>
    <x v="4"/>
    <n v="263.60000000000002"/>
    <s v=""/>
    <s v=""/>
    <s v=""/>
  </r>
  <r>
    <x v="758"/>
    <s v="SUP01302"/>
    <x v="7"/>
    <x v="7"/>
    <x v="1"/>
    <d v="2025-04-21T00:00:00"/>
    <n v="78.010000000000005"/>
    <s v="Yes"/>
    <s v="Direct Debit"/>
    <x v="6"/>
    <s v="Event"/>
    <x v="29"/>
    <s v="Female"/>
    <n v="66"/>
    <x v="0"/>
    <x v="0"/>
    <s v="Phone"/>
    <s v=""/>
    <s v="Review - prefers phone but not opted in"/>
    <s v=""/>
    <x v="6"/>
    <s v="Regular Givers"/>
    <d v="2025-03-01T00:00:00"/>
    <d v="2025-04-30T00:00:00"/>
    <n v="8000"/>
    <x v="1"/>
    <n v="97.512500000000003"/>
    <s v=""/>
    <s v=""/>
    <s v=""/>
  </r>
  <r>
    <x v="759"/>
    <s v="SUP01387"/>
    <x v="4"/>
    <x v="4"/>
    <x v="2"/>
    <d v="2025-03-14T00:00:00"/>
    <n v="21.08"/>
    <s v="Yes"/>
    <s v="Debit Card"/>
    <x v="5"/>
    <s v="Website"/>
    <x v="8"/>
    <s v="Female"/>
    <n v="69"/>
    <x v="0"/>
    <x v="0"/>
    <s v="Post"/>
    <s v=""/>
    <s v=""/>
    <s v=""/>
    <x v="3"/>
    <s v="Prospects"/>
    <d v="2025-02-01T00:00:00"/>
    <d v="2025-04-30T00:00:00"/>
    <n v="20000"/>
    <x v="4"/>
    <n v="26.349999999999998"/>
    <s v=""/>
    <s v=""/>
    <s v=""/>
  </r>
  <r>
    <x v="760"/>
    <s v="SUP01466"/>
    <x v="4"/>
    <x v="4"/>
    <x v="5"/>
    <d v="2025-03-13T00:00:00"/>
    <n v="4754.83"/>
    <s v="Yes"/>
    <s v="Credit Card"/>
    <x v="1"/>
    <s v="Social Media"/>
    <x v="14"/>
    <s v="Female"/>
    <n v="47"/>
    <x v="4"/>
    <x v="4"/>
    <s v="Email"/>
    <s v=""/>
    <s v=""/>
    <s v=""/>
    <x v="3"/>
    <s v="Prospects"/>
    <d v="2025-02-01T00:00:00"/>
    <d v="2025-04-30T00:00:00"/>
    <n v="20000"/>
    <x v="4"/>
    <n v="5943.5375000000004"/>
    <s v=""/>
    <s v=""/>
    <s v=""/>
  </r>
  <r>
    <x v="761"/>
    <s v="SUP00910"/>
    <x v="8"/>
    <x v="8"/>
    <x v="1"/>
    <d v="2024-11-19T00:00:00"/>
    <n v="119.49"/>
    <s v="Yes"/>
    <s v="Cash"/>
    <x v="4"/>
    <s v="Door-To-Door"/>
    <x v="14"/>
    <s v="Female"/>
    <n v="68"/>
    <x v="0"/>
    <x v="0"/>
    <s v="No Preference"/>
    <s v=""/>
    <s v=""/>
    <s v=""/>
    <x v="7"/>
    <s v="All Active"/>
    <d v="2024-10-15T00:00:00"/>
    <d v="2024-12-20T00:00:00"/>
    <n v="12000"/>
    <x v="2"/>
    <n v="149.36249999999998"/>
    <s v=""/>
    <s v=""/>
    <s v=""/>
  </r>
  <r>
    <x v="762"/>
    <s v="SUP01270"/>
    <x v="4"/>
    <x v="4"/>
    <x v="5"/>
    <d v="2025-03-14T00:00:00"/>
    <n v="250.7"/>
    <s v="Yes"/>
    <s v="PayPal"/>
    <x v="0"/>
    <s v="Referral"/>
    <x v="32"/>
    <s v="Male"/>
    <n v="82"/>
    <x v="0"/>
    <x v="0"/>
    <s v="Phone"/>
    <s v=""/>
    <s v="Review - prefers phone but not opted in"/>
    <s v=""/>
    <x v="3"/>
    <s v="Prospects"/>
    <d v="2025-02-01T00:00:00"/>
    <d v="2025-04-30T00:00:00"/>
    <n v="20000"/>
    <x v="4"/>
    <n v="313.375"/>
    <s v=""/>
    <s v=""/>
    <s v=""/>
  </r>
  <r>
    <x v="763"/>
    <s v="SUP01178"/>
    <x v="9"/>
    <x v="9"/>
    <x v="2"/>
    <d v="2024-07-15T00:00:00"/>
    <n v="135.99"/>
    <s v="Yes"/>
    <s v="Online"/>
    <x v="6"/>
    <s v="Social Media"/>
    <x v="18"/>
    <s v="Female"/>
    <n v="77"/>
    <x v="0"/>
    <x v="0"/>
    <s v="Email"/>
    <s v=""/>
    <s v="Review - prefers email but not opted in"/>
    <s v=""/>
    <x v="4"/>
    <s v="Major Donors"/>
    <d v="2024-07-15T00:00:00"/>
    <d v="2024-07-15T00:00:00"/>
    <n v="45000"/>
    <x v="1"/>
    <n v="169.98750000000001"/>
    <s v=""/>
    <s v=""/>
    <s v=""/>
  </r>
  <r>
    <x v="764"/>
    <s v="SUP01108"/>
    <x v="9"/>
    <x v="9"/>
    <x v="2"/>
    <d v="2024-07-15T00:00:00"/>
    <n v="3685.01"/>
    <s v="Yes"/>
    <s v="Cheque"/>
    <x v="1"/>
    <s v="Corporate Partner"/>
    <x v="25"/>
    <s v="Female"/>
    <n v="64"/>
    <x v="1"/>
    <x v="1"/>
    <s v="Email"/>
    <s v=""/>
    <s v=""/>
    <s v=""/>
    <x v="4"/>
    <s v="Major Donors"/>
    <d v="2024-07-15T00:00:00"/>
    <d v="2024-07-15T00:00:00"/>
    <n v="45000"/>
    <x v="1"/>
    <n v="4606.2625000000007"/>
    <s v=""/>
    <s v=""/>
    <s v=""/>
  </r>
  <r>
    <x v="765"/>
    <s v="SUP01215"/>
    <x v="8"/>
    <x v="8"/>
    <x v="2"/>
    <d v="2024-10-29T00:00:00"/>
    <n v="91.98"/>
    <s v="Yes"/>
    <s v="Cheque"/>
    <x v="6"/>
    <s v="Corporate Partner"/>
    <x v="7"/>
    <s v="Male"/>
    <n v="71"/>
    <x v="0"/>
    <x v="0"/>
    <s v="Email"/>
    <s v=""/>
    <s v=""/>
    <s v=""/>
    <x v="7"/>
    <s v="All Active"/>
    <d v="2024-10-15T00:00:00"/>
    <d v="2024-12-20T00:00:00"/>
    <n v="12000"/>
    <x v="2"/>
    <n v="114.97500000000001"/>
    <s v=""/>
    <s v=""/>
    <s v=""/>
  </r>
  <r>
    <x v="766"/>
    <s v="SUP01180"/>
    <x v="4"/>
    <x v="4"/>
    <x v="5"/>
    <d v="2025-03-25T00:00:00"/>
    <n v="180.31"/>
    <s v="No"/>
    <s v="Online"/>
    <x v="6"/>
    <s v="Telephone"/>
    <x v="11"/>
    <s v="Female"/>
    <n v="44"/>
    <x v="4"/>
    <x v="4"/>
    <s v="Post"/>
    <s v=""/>
    <s v=""/>
    <s v=""/>
    <x v="3"/>
    <s v="Prospects"/>
    <d v="2025-02-01T00:00:00"/>
    <d v="2025-04-30T00:00:00"/>
    <n v="20000"/>
    <x v="4"/>
    <n v="180.31"/>
    <s v=""/>
    <s v=""/>
    <s v=""/>
  </r>
  <r>
    <x v="767"/>
    <s v="SUP01492"/>
    <x v="0"/>
    <x v="0"/>
    <x v="1"/>
    <d v="2025-01-23T00:00:00"/>
    <n v="32.159999999999997"/>
    <s v="Yes"/>
    <s v="Credit Card"/>
    <x v="3"/>
    <s v="Event"/>
    <x v="21"/>
    <s v="Female"/>
    <n v="62"/>
    <x v="1"/>
    <x v="1"/>
    <s v="Email"/>
    <s v=""/>
    <s v=""/>
    <s v=""/>
    <x v="0"/>
    <s v="One-time Donors"/>
    <d v="2025-01-06T00:00:00"/>
    <d v="2025-03-31T00:00:00"/>
    <n v="10000"/>
    <x v="0"/>
    <n v="40.199999999999996"/>
    <s v=""/>
    <s v=""/>
    <s v=""/>
  </r>
  <r>
    <x v="768"/>
    <s v="SUP01247"/>
    <x v="3"/>
    <x v="3"/>
    <x v="3"/>
    <d v="2024-10-02T00:00:00"/>
    <n v="33.64"/>
    <s v="Yes"/>
    <s v="Direct Debit"/>
    <x v="3"/>
    <s v="Direct Mail"/>
    <x v="18"/>
    <s v="Male"/>
    <n v="27"/>
    <x v="3"/>
    <x v="3"/>
    <s v="Phone"/>
    <s v=""/>
    <s v=""/>
    <s v=""/>
    <x v="2"/>
    <s v="All Supporters"/>
    <d v="2024-09-10T00:00:00"/>
    <d v="2024-10-15T00:00:00"/>
    <n v="15000"/>
    <x v="3"/>
    <n v="42.05"/>
    <s v=""/>
    <s v=""/>
    <s v=""/>
  </r>
  <r>
    <x v="769"/>
    <s v="SUP01159"/>
    <x v="7"/>
    <x v="7"/>
    <x v="2"/>
    <d v="2025-03-02T00:00:00"/>
    <n v="2440.1999999999998"/>
    <s v="Yes"/>
    <s v="Direct Debit"/>
    <x v="1"/>
    <s v="Direct Mail"/>
    <x v="18"/>
    <s v="Male"/>
    <n v="49"/>
    <x v="4"/>
    <x v="4"/>
    <s v="Phone"/>
    <s v=""/>
    <s v=""/>
    <s v=""/>
    <x v="6"/>
    <s v="Regular Givers"/>
    <d v="2025-03-01T00:00:00"/>
    <d v="2025-04-30T00:00:00"/>
    <n v="8000"/>
    <x v="1"/>
    <n v="3050.25"/>
    <s v=""/>
    <s v=""/>
    <s v=""/>
  </r>
  <r>
    <x v="770"/>
    <s v="SUP01020"/>
    <x v="3"/>
    <x v="3"/>
    <x v="3"/>
    <d v="2024-09-14T00:00:00"/>
    <n v="4323.72"/>
    <s v="Yes"/>
    <s v="Online"/>
    <x v="1"/>
    <s v="Website"/>
    <x v="22"/>
    <s v="Male"/>
    <n v="49"/>
    <x v="4"/>
    <x v="4"/>
    <s v="No Preference"/>
    <s v=""/>
    <s v=""/>
    <s v=""/>
    <x v="2"/>
    <s v="All Supporters"/>
    <d v="2024-09-10T00:00:00"/>
    <d v="2024-10-15T00:00:00"/>
    <n v="15000"/>
    <x v="3"/>
    <n v="5404.6500000000005"/>
    <s v=""/>
    <s v=""/>
    <s v=""/>
  </r>
  <r>
    <x v="771"/>
    <s v="SUP01167"/>
    <x v="3"/>
    <x v="3"/>
    <x v="0"/>
    <d v="2024-09-17T00:00:00"/>
    <n v="27.05"/>
    <s v="Yes"/>
    <s v="Online"/>
    <x v="3"/>
    <s v="Direct Mail"/>
    <x v="23"/>
    <s v="Female"/>
    <n v="94"/>
    <x v="0"/>
    <x v="0"/>
    <s v="Post"/>
    <s v=""/>
    <s v=""/>
    <s v=""/>
    <x v="2"/>
    <s v="All Supporters"/>
    <d v="2024-09-10T00:00:00"/>
    <d v="2024-10-15T00:00:00"/>
    <n v="15000"/>
    <x v="3"/>
    <n v="33.8125"/>
    <s v=""/>
    <s v=""/>
    <s v=""/>
  </r>
  <r>
    <x v="772"/>
    <s v="SUP01142"/>
    <x v="7"/>
    <x v="7"/>
    <x v="1"/>
    <d v="2025-03-15T00:00:00"/>
    <n v="5.89"/>
    <s v="No"/>
    <s v="Cheque"/>
    <x v="5"/>
    <s v="Referral"/>
    <x v="36"/>
    <s v="Female"/>
    <n v="91"/>
    <x v="0"/>
    <x v="0"/>
    <s v="Email"/>
    <s v=""/>
    <s v=""/>
    <s v=""/>
    <x v="6"/>
    <s v="Regular Givers"/>
    <d v="2025-03-01T00:00:00"/>
    <d v="2025-04-30T00:00:00"/>
    <n v="8000"/>
    <x v="1"/>
    <n v="5.89"/>
    <s v=""/>
    <s v=""/>
    <s v=""/>
  </r>
  <r>
    <x v="773"/>
    <s v="SUP01391"/>
    <x v="1"/>
    <x v="1"/>
    <x v="1"/>
    <d v="2024-06-16T00:00:00"/>
    <n v="21.98"/>
    <s v="Yes"/>
    <s v="Cheque"/>
    <x v="5"/>
    <s v="Website"/>
    <x v="9"/>
    <s v="Male"/>
    <n v="62"/>
    <x v="1"/>
    <x v="1"/>
    <s v="Phone"/>
    <s v=""/>
    <s v="Review - prefers phone but not opted in"/>
    <s v=""/>
    <x v="1"/>
    <s v="Major Donors"/>
    <d v="2024-06-01T00:00:00"/>
    <d v="2024-06-30T00:00:00"/>
    <n v="7000"/>
    <x v="1"/>
    <n v="27.475000000000001"/>
    <s v=""/>
    <s v=""/>
    <s v=""/>
  </r>
  <r>
    <x v="774"/>
    <s v="SUP01362"/>
    <x v="9"/>
    <x v="9"/>
    <x v="1"/>
    <d v="2024-07-15T00:00:00"/>
    <n v="86.28"/>
    <s v="No"/>
    <s v="Direct Debit"/>
    <x v="2"/>
    <s v="Website"/>
    <x v="29"/>
    <s v="Female"/>
    <n v="46"/>
    <x v="4"/>
    <x v="4"/>
    <s v="Post"/>
    <s v=""/>
    <s v=""/>
    <s v=""/>
    <x v="4"/>
    <s v="Major Donors"/>
    <d v="2024-07-15T00:00:00"/>
    <d v="2024-07-15T00:00:00"/>
    <n v="45000"/>
    <x v="1"/>
    <n v="86.28"/>
    <s v=""/>
    <s v=""/>
    <s v=""/>
  </r>
  <r>
    <x v="775"/>
    <s v="SUP01431"/>
    <x v="3"/>
    <x v="3"/>
    <x v="1"/>
    <d v="2024-09-20T00:00:00"/>
    <n v="62.6"/>
    <s v="Yes"/>
    <s v="Credit Card"/>
    <x v="4"/>
    <s v="Website"/>
    <x v="33"/>
    <s v="Female"/>
    <n v="0"/>
    <x v="5"/>
    <x v="5"/>
    <s v="No Preference"/>
    <s v=""/>
    <s v=""/>
    <s v="Review -  potential entry error (age 0)"/>
    <x v="2"/>
    <s v="All Supporters"/>
    <d v="2024-09-10T00:00:00"/>
    <d v="2024-10-15T00:00:00"/>
    <n v="15000"/>
    <x v="3"/>
    <n v="78.25"/>
    <s v=""/>
    <s v=""/>
    <s v=""/>
  </r>
  <r>
    <x v="776"/>
    <s v="SUP01299"/>
    <x v="3"/>
    <x v="3"/>
    <x v="0"/>
    <d v="2024-05-10T00:00:00"/>
    <n v="5.77"/>
    <s v="No"/>
    <s v="Cheque"/>
    <x v="3"/>
    <s v="Direct Mail"/>
    <x v="31"/>
    <s v="Female"/>
    <n v="61"/>
    <x v="1"/>
    <x v="1"/>
    <s v="Email"/>
    <s v=""/>
    <s v=""/>
    <s v=""/>
    <x v="2"/>
    <s v="All Supporters"/>
    <d v="2024-09-10T00:00:00"/>
    <d v="2024-10-15T00:00:00"/>
    <n v="15000"/>
    <x v="3"/>
    <n v="5.77"/>
    <s v=""/>
    <s v="Review - response outside campaign dates"/>
    <s v=""/>
  </r>
  <r>
    <x v="777"/>
    <s v="SUP01311"/>
    <x v="9"/>
    <x v="9"/>
    <x v="1"/>
    <d v="2024-07-15T00:00:00"/>
    <n v="58.96"/>
    <s v="Yes"/>
    <s v="PayPal"/>
    <x v="4"/>
    <s v="Door-To-Door"/>
    <x v="14"/>
    <s v="Female"/>
    <n v="68"/>
    <x v="0"/>
    <x v="0"/>
    <s v="No Preference"/>
    <s v=""/>
    <s v=""/>
    <s v=""/>
    <x v="4"/>
    <s v="Major Donors"/>
    <d v="2024-07-15T00:00:00"/>
    <d v="2024-07-15T00:00:00"/>
    <n v="45000"/>
    <x v="1"/>
    <n v="73.7"/>
    <s v=""/>
    <s v=""/>
    <s v=""/>
  </r>
  <r>
    <x v="778"/>
    <s v="SUP01161"/>
    <x v="1"/>
    <x v="1"/>
    <x v="1"/>
    <d v="2024-06-20T00:00:00"/>
    <n v="48.04"/>
    <s v="No"/>
    <s v="Cheque"/>
    <x v="2"/>
    <s v="Social Media"/>
    <x v="20"/>
    <s v="Female"/>
    <s v=""/>
    <x v="2"/>
    <x v="2"/>
    <s v="Phone"/>
    <s v=""/>
    <s v=""/>
    <s v="Review - missing DOB"/>
    <x v="1"/>
    <s v="Major Donors"/>
    <d v="2024-06-01T00:00:00"/>
    <d v="2024-06-30T00:00:00"/>
    <n v="7000"/>
    <x v="1"/>
    <n v="48.04"/>
    <s v=""/>
    <s v=""/>
    <s v=""/>
  </r>
  <r>
    <x v="779"/>
    <s v="SUP01102"/>
    <x v="4"/>
    <x v="4"/>
    <x v="2"/>
    <d v="2025-04-27T00:00:00"/>
    <n v="3747.49"/>
    <s v="No"/>
    <s v="Direct Debit"/>
    <x v="1"/>
    <s v="Website"/>
    <x v="11"/>
    <s v="Female"/>
    <n v="63"/>
    <x v="1"/>
    <x v="1"/>
    <s v="Email"/>
    <s v=""/>
    <s v=""/>
    <s v=""/>
    <x v="3"/>
    <s v="Prospects"/>
    <d v="2025-02-01T00:00:00"/>
    <d v="2025-04-30T00:00:00"/>
    <n v="20000"/>
    <x v="4"/>
    <n v="3747.49"/>
    <s v=""/>
    <s v=""/>
    <s v=""/>
  </r>
  <r>
    <x v="780"/>
    <s v="SUP01326"/>
    <x v="3"/>
    <x v="3"/>
    <x v="1"/>
    <d v="2024-09-17T00:00:00"/>
    <n v="129.29"/>
    <s v="Yes"/>
    <s v="Cheque"/>
    <x v="0"/>
    <s v="Telephone"/>
    <x v="25"/>
    <s v="Male"/>
    <n v="63"/>
    <x v="1"/>
    <x v="1"/>
    <s v="Email"/>
    <s v=""/>
    <s v=""/>
    <s v=""/>
    <x v="2"/>
    <s v="All Supporters"/>
    <d v="2024-09-10T00:00:00"/>
    <d v="2024-10-15T00:00:00"/>
    <n v="15000"/>
    <x v="3"/>
    <n v="161.61249999999998"/>
    <s v=""/>
    <s v=""/>
    <s v=""/>
  </r>
  <r>
    <x v="781"/>
    <s v="SUP01105"/>
    <x v="9"/>
    <x v="9"/>
    <x v="1"/>
    <d v="2024-07-15T00:00:00"/>
    <n v="3365.52"/>
    <s v="Yes"/>
    <s v="Credit Card"/>
    <x v="1"/>
    <s v="Referral"/>
    <x v="12"/>
    <s v="Male"/>
    <n v="71"/>
    <x v="0"/>
    <x v="0"/>
    <s v="Phone"/>
    <s v=""/>
    <s v=""/>
    <s v=""/>
    <x v="4"/>
    <s v="Major Donors"/>
    <d v="2024-07-15T00:00:00"/>
    <d v="2024-07-15T00:00:00"/>
    <n v="45000"/>
    <x v="1"/>
    <n v="4206.8999999999996"/>
    <s v=""/>
    <s v=""/>
    <s v=""/>
  </r>
  <r>
    <x v="782"/>
    <s v="SUP01249"/>
    <x v="9"/>
    <x v="9"/>
    <x v="1"/>
    <d v="2024-07-15T00:00:00"/>
    <n v="58.63"/>
    <s v="Yes"/>
    <s v="Credit Card"/>
    <x v="4"/>
    <s v="Website"/>
    <x v="6"/>
    <s v="Female"/>
    <n v="71"/>
    <x v="0"/>
    <x v="0"/>
    <s v="Email"/>
    <s v=""/>
    <s v="Review - prefers email but not opted in"/>
    <s v=""/>
    <x v="4"/>
    <s v="Major Donors"/>
    <d v="2024-07-15T00:00:00"/>
    <d v="2024-07-15T00:00:00"/>
    <n v="45000"/>
    <x v="1"/>
    <n v="73.287500000000009"/>
    <s v=""/>
    <s v=""/>
    <s v=""/>
  </r>
  <r>
    <x v="783"/>
    <s v="SUP01313"/>
    <x v="4"/>
    <x v="4"/>
    <x v="2"/>
    <d v="2025-04-18T00:00:00"/>
    <n v="11.3"/>
    <s v="Yes"/>
    <s v="PayPal"/>
    <x v="5"/>
    <s v="Corporate Partner"/>
    <x v="28"/>
    <s v="Female"/>
    <n v="36"/>
    <x v="4"/>
    <x v="4"/>
    <s v="Do Not Contact"/>
    <s v=""/>
    <s v=""/>
    <s v=""/>
    <x v="3"/>
    <s v="Prospects"/>
    <d v="2025-02-01T00:00:00"/>
    <d v="2025-04-30T00:00:00"/>
    <n v="20000"/>
    <x v="4"/>
    <n v="14.125"/>
    <s v=""/>
    <s v=""/>
    <s v=""/>
  </r>
  <r>
    <x v="784"/>
    <s v="SUP01283"/>
    <x v="9"/>
    <x v="9"/>
    <x v="2"/>
    <d v="2024-07-15T00:00:00"/>
    <n v="3199.89"/>
    <s v="Yes"/>
    <s v="Debit Card"/>
    <x v="1"/>
    <s v="Website"/>
    <x v="6"/>
    <s v="Male"/>
    <n v="67"/>
    <x v="0"/>
    <x v="0"/>
    <s v="Email"/>
    <s v=""/>
    <s v=""/>
    <s v=""/>
    <x v="4"/>
    <s v="Major Donors"/>
    <d v="2024-07-15T00:00:00"/>
    <d v="2024-07-15T00:00:00"/>
    <n v="45000"/>
    <x v="1"/>
    <n v="3999.8624999999997"/>
    <s v=""/>
    <s v=""/>
    <s v=""/>
  </r>
  <r>
    <x v="785"/>
    <s v="SUP01164"/>
    <x v="2"/>
    <x v="2"/>
    <x v="3"/>
    <d v="2024-11-14T00:00:00"/>
    <n v="32.08"/>
    <s v="No"/>
    <s v="Credit Card"/>
    <x v="3"/>
    <s v="Social Media"/>
    <x v="34"/>
    <s v="Male"/>
    <n v="71"/>
    <x v="0"/>
    <x v="0"/>
    <s v="Email"/>
    <s v=""/>
    <s v=""/>
    <s v=""/>
    <x v="2"/>
    <s v="All Active"/>
    <d v="2024-11-01T00:00:00"/>
    <d v="2024-12-31T00:00:00"/>
    <n v="25000"/>
    <x v="2"/>
    <n v="32.08"/>
    <s v=""/>
    <s v=""/>
    <s v=""/>
  </r>
  <r>
    <x v="786"/>
    <s v="SUP01460"/>
    <x v="4"/>
    <x v="4"/>
    <x v="2"/>
    <d v="2025-04-28T00:00:00"/>
    <n v="73.3"/>
    <s v="No"/>
    <s v="Cash"/>
    <x v="4"/>
    <s v="Social Media"/>
    <x v="25"/>
    <s v="Female"/>
    <n v="77"/>
    <x v="0"/>
    <x v="0"/>
    <s v="Phone"/>
    <s v=""/>
    <s v=""/>
    <s v=""/>
    <x v="3"/>
    <s v="Prospects"/>
    <d v="2025-02-01T00:00:00"/>
    <d v="2025-04-30T00:00:00"/>
    <n v="20000"/>
    <x v="4"/>
    <n v="73.3"/>
    <s v=""/>
    <s v=""/>
    <s v=""/>
  </r>
  <r>
    <x v="787"/>
    <s v="SUP01052"/>
    <x v="4"/>
    <x v="4"/>
    <x v="0"/>
    <d v="2025-04-03T00:00:00"/>
    <n v="145.04"/>
    <s v="No"/>
    <s v="PayPal"/>
    <x v="4"/>
    <s v="Social Media"/>
    <x v="21"/>
    <s v="Male"/>
    <n v="72"/>
    <x v="0"/>
    <x v="0"/>
    <s v="Email"/>
    <s v=""/>
    <s v=""/>
    <s v=""/>
    <x v="3"/>
    <s v="Prospects"/>
    <d v="2025-02-01T00:00:00"/>
    <d v="2025-04-30T00:00:00"/>
    <n v="20000"/>
    <x v="4"/>
    <n v="145.04"/>
    <s v=""/>
    <s v=""/>
    <s v=""/>
  </r>
  <r>
    <x v="788"/>
    <s v="SUP01471"/>
    <x v="0"/>
    <x v="0"/>
    <x v="4"/>
    <d v="2025-01-31T00:00:00"/>
    <n v="51.47"/>
    <s v="Yes"/>
    <s v="Cash"/>
    <x v="2"/>
    <s v="Door-To-Door"/>
    <x v="22"/>
    <s v="Male"/>
    <n v="33"/>
    <x v="3"/>
    <x v="3"/>
    <s v="Email"/>
    <s v=""/>
    <s v=""/>
    <s v=""/>
    <x v="0"/>
    <s v="One-time Donors"/>
    <d v="2025-01-06T00:00:00"/>
    <d v="2025-03-31T00:00:00"/>
    <n v="10000"/>
    <x v="0"/>
    <n v="64.337500000000006"/>
    <s v=""/>
    <s v=""/>
    <s v=""/>
  </r>
  <r>
    <x v="789"/>
    <s v="SUP01400"/>
    <x v="6"/>
    <x v="6"/>
    <x v="1"/>
    <d v="2024-10-10T00:00:00"/>
    <n v="22.12"/>
    <s v="No"/>
    <s v="Online"/>
    <x v="3"/>
    <s v="Door-To-Door"/>
    <x v="34"/>
    <s v="Female"/>
    <n v="44"/>
    <x v="4"/>
    <x v="4"/>
    <s v="Phone"/>
    <s v=""/>
    <s v=""/>
    <s v=""/>
    <x v="5"/>
    <s v="Over 55s"/>
    <d v="2024-10-07T00:00:00"/>
    <d v="2024-10-13T00:00:00"/>
    <n v="5000"/>
    <x v="1"/>
    <n v="22.12"/>
    <s v=""/>
    <s v=""/>
    <s v=""/>
  </r>
  <r>
    <x v="790"/>
    <s v="SUP01460"/>
    <x v="3"/>
    <x v="3"/>
    <x v="2"/>
    <d v="2024-09-10T00:00:00"/>
    <n v="30.07"/>
    <s v="No"/>
    <s v="Cheque"/>
    <x v="4"/>
    <s v="Social Media"/>
    <x v="25"/>
    <s v="Female"/>
    <n v="77"/>
    <x v="0"/>
    <x v="0"/>
    <s v="Phone"/>
    <s v=""/>
    <s v=""/>
    <s v=""/>
    <x v="2"/>
    <s v="All Supporters"/>
    <d v="2024-09-10T00:00:00"/>
    <d v="2024-10-15T00:00:00"/>
    <n v="15000"/>
    <x v="3"/>
    <n v="30.07"/>
    <s v=""/>
    <s v=""/>
    <s v=""/>
  </r>
  <r>
    <x v="791"/>
    <s v="SUP01273"/>
    <x v="0"/>
    <x v="0"/>
    <x v="1"/>
    <d v="2025-03-07T00:00:00"/>
    <n v="135.07"/>
    <s v="No"/>
    <s v="PayPal"/>
    <x v="4"/>
    <s v="Door-To-Door"/>
    <x v="10"/>
    <s v="Male"/>
    <n v="87"/>
    <x v="0"/>
    <x v="0"/>
    <s v="Email"/>
    <s v=""/>
    <s v=""/>
    <s v=""/>
    <x v="0"/>
    <s v="One-time Donors"/>
    <d v="2025-01-06T00:00:00"/>
    <d v="2025-03-31T00:00:00"/>
    <n v="10000"/>
    <x v="0"/>
    <n v="135.07"/>
    <s v=""/>
    <s v=""/>
    <s v=""/>
  </r>
  <r>
    <x v="792"/>
    <s v="SUP01422"/>
    <x v="5"/>
    <x v="5"/>
    <x v="2"/>
    <d v="2024-11-22T00:00:00"/>
    <n v="47.17"/>
    <s v="No"/>
    <s v="Cash"/>
    <x v="3"/>
    <s v="Website"/>
    <x v="20"/>
    <s v="Female"/>
    <n v="61"/>
    <x v="1"/>
    <x v="1"/>
    <s v="Post"/>
    <s v=""/>
    <s v=""/>
    <s v=""/>
    <x v="4"/>
    <s v="Volunteers"/>
    <d v="2024-11-22T00:00:00"/>
    <d v="2024-11-22T00:00:00"/>
    <n v="3500"/>
    <x v="3"/>
    <n v="47.17"/>
    <s v=""/>
    <s v=""/>
    <s v=""/>
  </r>
  <r>
    <x v="793"/>
    <s v="SUP01153"/>
    <x v="2"/>
    <x v="2"/>
    <x v="2"/>
    <d v="2024-11-05T00:00:00"/>
    <n v="24.5"/>
    <s v="Yes"/>
    <s v="Cash"/>
    <x v="5"/>
    <s v="Direct Mail"/>
    <x v="5"/>
    <s v="Female"/>
    <n v="75"/>
    <x v="0"/>
    <x v="0"/>
    <s v="No Preference"/>
    <s v=""/>
    <s v=""/>
    <s v=""/>
    <x v="2"/>
    <s v="All Active"/>
    <d v="2024-11-01T00:00:00"/>
    <d v="2024-12-31T00:00:00"/>
    <n v="25000"/>
    <x v="2"/>
    <n v="30.625"/>
    <s v=""/>
    <s v=""/>
    <s v=""/>
  </r>
  <r>
    <x v="794"/>
    <s v="SUP01050"/>
    <x v="3"/>
    <x v="3"/>
    <x v="0"/>
    <d v="2024-10-14T00:00:00"/>
    <n v="94.09"/>
    <s v="No"/>
    <s v="Standing Order"/>
    <x v="2"/>
    <s v="Social Media"/>
    <x v="14"/>
    <s v="Male"/>
    <n v="40"/>
    <x v="4"/>
    <x v="4"/>
    <s v="Post"/>
    <s v=""/>
    <s v=""/>
    <s v=""/>
    <x v="2"/>
    <s v="All Supporters"/>
    <d v="2024-09-10T00:00:00"/>
    <d v="2024-10-15T00:00:00"/>
    <n v="15000"/>
    <x v="3"/>
    <n v="94.09"/>
    <s v=""/>
    <s v=""/>
    <s v=""/>
  </r>
  <r>
    <x v="795"/>
    <s v="SUP01181"/>
    <x v="0"/>
    <x v="0"/>
    <x v="4"/>
    <d v="2025-03-24T00:00:00"/>
    <n v="75.47"/>
    <s v="Yes"/>
    <s v="Credit Card"/>
    <x v="6"/>
    <s v="Social Media"/>
    <x v="28"/>
    <s v="Male"/>
    <n v="60"/>
    <x v="1"/>
    <x v="1"/>
    <s v="Email"/>
    <s v=""/>
    <s v=""/>
    <s v=""/>
    <x v="0"/>
    <s v="One-time Donors"/>
    <d v="2025-01-06T00:00:00"/>
    <d v="2025-03-31T00:00:00"/>
    <n v="10000"/>
    <x v="0"/>
    <n v="94.337500000000006"/>
    <s v=""/>
    <s v=""/>
    <s v=""/>
  </r>
  <r>
    <x v="796"/>
    <s v="SUP01306"/>
    <x v="7"/>
    <x v="7"/>
    <x v="1"/>
    <d v="2025-03-09T00:00:00"/>
    <n v="194.95"/>
    <s v="No"/>
    <s v="Online"/>
    <x v="6"/>
    <s v="Social Media"/>
    <x v="0"/>
    <s v="Female"/>
    <n v="63"/>
    <x v="1"/>
    <x v="1"/>
    <s v="Email"/>
    <s v=""/>
    <s v=""/>
    <s v=""/>
    <x v="6"/>
    <s v="Regular Givers"/>
    <d v="2025-03-01T00:00:00"/>
    <d v="2025-04-30T00:00:00"/>
    <n v="8000"/>
    <x v="1"/>
    <n v="194.95"/>
    <s v=""/>
    <s v=""/>
    <s v=""/>
  </r>
  <r>
    <x v="797"/>
    <s v="SUP01097"/>
    <x v="6"/>
    <x v="6"/>
    <x v="1"/>
    <d v="2024-10-10T00:00:00"/>
    <n v="26.83"/>
    <s v="Yes"/>
    <s v="Online"/>
    <x v="5"/>
    <s v="Social Media"/>
    <x v="17"/>
    <s v="Male"/>
    <n v="59"/>
    <x v="1"/>
    <x v="1"/>
    <s v="Email"/>
    <s v=""/>
    <s v="Review - prefers email but not opted in"/>
    <s v=""/>
    <x v="5"/>
    <s v="Over 55s"/>
    <d v="2024-10-07T00:00:00"/>
    <d v="2024-10-13T00:00:00"/>
    <n v="5000"/>
    <x v="1"/>
    <n v="33.537499999999994"/>
    <s v=""/>
    <s v=""/>
    <s v=""/>
  </r>
  <r>
    <x v="798"/>
    <s v="SUP01072"/>
    <x v="4"/>
    <x v="4"/>
    <x v="5"/>
    <d v="2025-04-04T00:00:00"/>
    <n v="49.16"/>
    <s v="Yes"/>
    <s v="Direct Debit"/>
    <x v="2"/>
    <s v="Social Media"/>
    <x v="20"/>
    <s v="Male"/>
    <n v="33"/>
    <x v="3"/>
    <x v="3"/>
    <s v="Email"/>
    <s v=""/>
    <s v=""/>
    <s v=""/>
    <x v="3"/>
    <s v="Prospects"/>
    <d v="2025-02-01T00:00:00"/>
    <d v="2025-04-30T00:00:00"/>
    <n v="20000"/>
    <x v="4"/>
    <n v="61.449999999999996"/>
    <s v=""/>
    <s v=""/>
    <s v=""/>
  </r>
  <r>
    <x v="799"/>
    <s v="SUP01083"/>
    <x v="1"/>
    <x v="1"/>
    <x v="1"/>
    <d v="2024-06-30T00:00:00"/>
    <n v="217.86"/>
    <s v="Yes"/>
    <s v="Direct Debit"/>
    <x v="6"/>
    <s v="Corporate Partner"/>
    <x v="7"/>
    <s v="Female"/>
    <n v="53"/>
    <x v="1"/>
    <x v="1"/>
    <s v="Email"/>
    <s v=""/>
    <s v=""/>
    <s v=""/>
    <x v="1"/>
    <s v="Major Donors"/>
    <d v="2024-06-01T00:00:00"/>
    <d v="2024-06-30T00:00:00"/>
    <n v="7000"/>
    <x v="1"/>
    <n v="272.32500000000005"/>
    <s v=""/>
    <s v=""/>
    <s v=""/>
  </r>
  <r>
    <x v="800"/>
    <m/>
    <x v="1"/>
    <x v="1"/>
    <x v="1"/>
    <d v="2024-06-19T00:00:00"/>
    <n v="339.63"/>
    <s v="Yes"/>
    <s v="Direct Debit"/>
    <x v="7"/>
    <s v=""/>
    <x v="35"/>
    <s v=""/>
    <s v=""/>
    <x v="2"/>
    <x v="2"/>
    <s v=""/>
    <s v=""/>
    <s v=""/>
    <s v="Review - missing DOB"/>
    <x v="1"/>
    <s v="Major Donors"/>
    <d v="2024-06-01T00:00:00"/>
    <d v="2024-06-30T00:00:00"/>
    <n v="7000"/>
    <x v="1"/>
    <n v="424.53750000000002"/>
    <s v="Review - missing supporter ID"/>
    <s v=""/>
    <s v=""/>
  </r>
  <r>
    <x v="801"/>
    <s v="SUP01275"/>
    <x v="5"/>
    <x v="5"/>
    <x v="1"/>
    <d v="2024-11-22T00:00:00"/>
    <n v="26.56"/>
    <s v="Yes"/>
    <s v="Cheque"/>
    <x v="2"/>
    <s v="Event"/>
    <x v="10"/>
    <s v="Female"/>
    <n v="39"/>
    <x v="4"/>
    <x v="4"/>
    <s v="No Preference"/>
    <s v=""/>
    <s v=""/>
    <s v=""/>
    <x v="4"/>
    <s v="Volunteers"/>
    <d v="2024-11-22T00:00:00"/>
    <d v="2024-11-22T00:00:00"/>
    <n v="3500"/>
    <x v="3"/>
    <n v="33.199999999999996"/>
    <s v=""/>
    <s v=""/>
    <s v=""/>
  </r>
  <r>
    <x v="802"/>
    <s v="SUP01235"/>
    <x v="6"/>
    <x v="6"/>
    <x v="1"/>
    <d v="2026-05-08T00:00:00"/>
    <n v="30.36"/>
    <s v="Yes"/>
    <s v="Cash"/>
    <x v="2"/>
    <s v="Event"/>
    <x v="26"/>
    <s v="Male"/>
    <n v="55"/>
    <x v="1"/>
    <x v="1"/>
    <s v="Email"/>
    <s v=""/>
    <s v="Review - prefers email but not opted in"/>
    <s v=""/>
    <x v="5"/>
    <s v="Over 55s"/>
    <d v="2024-10-07T00:00:00"/>
    <d v="2024-10-13T00:00:00"/>
    <n v="5000"/>
    <x v="1"/>
    <n v="37.950000000000003"/>
    <s v=""/>
    <s v="Review - response outside campaign dates"/>
    <s v=""/>
  </r>
  <r>
    <x v="803"/>
    <s v="SUP01104"/>
    <x v="5"/>
    <x v="5"/>
    <x v="1"/>
    <d v="2024-11-22T00:00:00"/>
    <n v="127.2"/>
    <s v="Yes"/>
    <s v="Standing Order"/>
    <x v="6"/>
    <s v="Corporate Partner"/>
    <x v="12"/>
    <s v="Female"/>
    <n v="25"/>
    <x v="3"/>
    <x v="3"/>
    <s v="Email"/>
    <s v=""/>
    <s v=""/>
    <s v=""/>
    <x v="4"/>
    <s v="Volunteers"/>
    <d v="2024-11-22T00:00:00"/>
    <d v="2024-11-22T00:00:00"/>
    <n v="3500"/>
    <x v="3"/>
    <n v="159"/>
    <s v=""/>
    <s v=""/>
    <s v=""/>
  </r>
  <r>
    <x v="804"/>
    <s v="SUP01431"/>
    <x v="4"/>
    <x v="4"/>
    <x v="2"/>
    <d v="2025-02-06T00:00:00"/>
    <n v="82.66"/>
    <s v="No"/>
    <s v="Credit Card"/>
    <x v="4"/>
    <s v="Website"/>
    <x v="33"/>
    <s v="Female"/>
    <n v="0"/>
    <x v="5"/>
    <x v="5"/>
    <s v="No Preference"/>
    <s v=""/>
    <s v=""/>
    <s v="Review -  potential entry error (age 0)"/>
    <x v="3"/>
    <s v="Prospects"/>
    <d v="2025-02-01T00:00:00"/>
    <d v="2025-04-30T00:00:00"/>
    <n v="20000"/>
    <x v="4"/>
    <n v="82.66"/>
    <s v=""/>
    <s v=""/>
    <s v=""/>
  </r>
  <r>
    <x v="805"/>
    <s v="SUP01056"/>
    <x v="5"/>
    <x v="5"/>
    <x v="1"/>
    <d v="2024-11-22T00:00:00"/>
    <n v="11.46"/>
    <s v="Yes"/>
    <s v="Standing Order"/>
    <x v="3"/>
    <s v="Referral"/>
    <x v="5"/>
    <s v="Female"/>
    <s v=""/>
    <x v="2"/>
    <x v="2"/>
    <s v="Email"/>
    <s v=""/>
    <s v=""/>
    <s v="Review - missing DOB"/>
    <x v="4"/>
    <s v="Volunteers"/>
    <d v="2024-11-22T00:00:00"/>
    <d v="2024-11-22T00:00:00"/>
    <n v="3500"/>
    <x v="3"/>
    <n v="14.325000000000001"/>
    <s v=""/>
    <s v=""/>
    <s v=""/>
  </r>
  <r>
    <x v="806"/>
    <s v="SUP01099"/>
    <x v="1"/>
    <x v="1"/>
    <x v="2"/>
    <d v="2024-06-15T00:00:00"/>
    <n v="26.72"/>
    <s v="No"/>
    <s v="Debit Card"/>
    <x v="5"/>
    <s v="Door-To-Door"/>
    <x v="12"/>
    <s v="Female"/>
    <n v="69"/>
    <x v="0"/>
    <x v="0"/>
    <s v="Email"/>
    <s v=""/>
    <s v=""/>
    <s v=""/>
    <x v="1"/>
    <s v="Major Donors"/>
    <d v="2024-06-01T00:00:00"/>
    <d v="2024-06-30T00:00:00"/>
    <n v="7000"/>
    <x v="1"/>
    <n v="26.72"/>
    <s v=""/>
    <s v=""/>
    <s v=""/>
  </r>
  <r>
    <x v="807"/>
    <s v="SUP01312"/>
    <x v="8"/>
    <x v="8"/>
    <x v="2"/>
    <d v="2024-11-03T00:00:00"/>
    <n v="7.25"/>
    <s v="Yes"/>
    <s v="Cheque"/>
    <x v="5"/>
    <s v="Corporate Partner"/>
    <x v="23"/>
    <s v="Male"/>
    <n v="71"/>
    <x v="0"/>
    <x v="0"/>
    <s v="Phone"/>
    <s v=""/>
    <s v=""/>
    <s v=""/>
    <x v="7"/>
    <s v="All Active"/>
    <d v="2024-10-15T00:00:00"/>
    <d v="2024-12-20T00:00:00"/>
    <n v="12000"/>
    <x v="2"/>
    <n v="9.0625"/>
    <s v=""/>
    <s v=""/>
    <s v=""/>
  </r>
  <r>
    <x v="808"/>
    <s v="SUP01258"/>
    <x v="0"/>
    <x v="0"/>
    <x v="1"/>
    <d v="2025-03-11T00:00:00"/>
    <n v="34.78"/>
    <s v="No"/>
    <s v="Cash"/>
    <x v="2"/>
    <s v="Corporate Partner"/>
    <x v="32"/>
    <s v="Female"/>
    <n v="77"/>
    <x v="0"/>
    <x v="0"/>
    <s v="Email"/>
    <s v=""/>
    <s v=""/>
    <s v=""/>
    <x v="0"/>
    <s v="One-time Donors"/>
    <d v="2025-01-06T00:00:00"/>
    <d v="2025-03-31T00:00:00"/>
    <n v="10000"/>
    <x v="0"/>
    <n v="34.78"/>
    <s v=""/>
    <s v=""/>
    <s v=""/>
  </r>
  <r>
    <x v="809"/>
    <s v="SUP01089"/>
    <x v="0"/>
    <x v="0"/>
    <x v="0"/>
    <d v="2025-01-25T00:00:00"/>
    <n v="8.33"/>
    <s v="No"/>
    <s v="Debit Card"/>
    <x v="3"/>
    <s v="Referral"/>
    <x v="28"/>
    <s v="Female"/>
    <n v="50"/>
    <x v="1"/>
    <x v="1"/>
    <s v="Email"/>
    <s v=""/>
    <s v="Review - prefers email but not opted in"/>
    <s v=""/>
    <x v="0"/>
    <s v="One-time Donors"/>
    <d v="2025-01-06T00:00:00"/>
    <d v="2025-03-31T00:00:00"/>
    <n v="10000"/>
    <x v="0"/>
    <n v="8.33"/>
    <s v=""/>
    <s v=""/>
    <s v=""/>
  </r>
  <r>
    <x v="810"/>
    <s v="SUP00850"/>
    <x v="0"/>
    <x v="0"/>
    <x v="0"/>
    <d v="2025-03-05T00:00:00"/>
    <n v="27.72"/>
    <s v="No"/>
    <s v="Direct Debit"/>
    <x v="2"/>
    <s v="Event"/>
    <x v="12"/>
    <s v="Female"/>
    <n v="32"/>
    <x v="3"/>
    <x v="3"/>
    <s v="Post"/>
    <s v=""/>
    <s v="Review - prefers post but not opted in"/>
    <s v=""/>
    <x v="0"/>
    <s v="One-time Donors"/>
    <d v="2025-01-06T00:00:00"/>
    <d v="2025-03-31T00:00:00"/>
    <n v="10000"/>
    <x v="0"/>
    <n v="27.72"/>
    <s v=""/>
    <s v=""/>
    <s v=""/>
  </r>
  <r>
    <x v="811"/>
    <s v="SUP01353"/>
    <x v="3"/>
    <x v="3"/>
    <x v="0"/>
    <d v="2024-09-29T00:00:00"/>
    <n v="68.709999999999994"/>
    <s v="No"/>
    <s v="Cheque"/>
    <x v="6"/>
    <s v="Door-To-Door"/>
    <x v="7"/>
    <s v="Male"/>
    <n v="79"/>
    <x v="0"/>
    <x v="0"/>
    <s v="No Preference"/>
    <s v=""/>
    <s v=""/>
    <s v=""/>
    <x v="2"/>
    <s v="All Supporters"/>
    <d v="2024-09-10T00:00:00"/>
    <d v="2024-10-15T00:00:00"/>
    <n v="15000"/>
    <x v="3"/>
    <n v="68.709999999999994"/>
    <s v=""/>
    <s v=""/>
    <s v=""/>
  </r>
  <r>
    <x v="812"/>
    <s v="SUP01343"/>
    <x v="3"/>
    <x v="3"/>
    <x v="0"/>
    <d v="2024-09-17T00:00:00"/>
    <n v="14.99"/>
    <s v="Yes"/>
    <s v="Online"/>
    <x v="5"/>
    <s v="Social Media"/>
    <x v="30"/>
    <s v="Female"/>
    <n v="48"/>
    <x v="4"/>
    <x v="4"/>
    <s v="Post"/>
    <s v=""/>
    <s v=""/>
    <s v=""/>
    <x v="2"/>
    <s v="All Supporters"/>
    <d v="2024-09-10T00:00:00"/>
    <d v="2024-10-15T00:00:00"/>
    <n v="15000"/>
    <x v="3"/>
    <n v="18.737500000000001"/>
    <s v=""/>
    <s v=""/>
    <s v=""/>
  </r>
  <r>
    <x v="813"/>
    <s v="SUP01269"/>
    <x v="4"/>
    <x v="4"/>
    <x v="5"/>
    <d v="2025-03-17T00:00:00"/>
    <n v="-129.84"/>
    <s v="No"/>
    <s v="Cheque"/>
    <x v="4"/>
    <s v="Telephone"/>
    <x v="5"/>
    <s v="Female"/>
    <n v="66"/>
    <x v="0"/>
    <x v="0"/>
    <s v="Post"/>
    <s v=""/>
    <s v="Review - prefers post but not opted in"/>
    <s v=""/>
    <x v="3"/>
    <s v="Prospects"/>
    <d v="2025-02-01T00:00:00"/>
    <d v="2025-04-30T00:00:00"/>
    <n v="20000"/>
    <x v="4"/>
    <n v="-129.84"/>
    <s v=""/>
    <s v=""/>
    <s v=""/>
  </r>
  <r>
    <x v="814"/>
    <s v="SUP01420"/>
    <x v="6"/>
    <x v="6"/>
    <x v="1"/>
    <d v="2024-10-10T00:00:00"/>
    <n v="195.24"/>
    <s v="Yes"/>
    <s v="Cheque"/>
    <x v="6"/>
    <s v="Referral"/>
    <x v="32"/>
    <s v="Male"/>
    <n v="92"/>
    <x v="0"/>
    <x v="0"/>
    <s v="Email"/>
    <s v=""/>
    <s v=""/>
    <s v=""/>
    <x v="5"/>
    <s v="Over 55s"/>
    <d v="2024-10-07T00:00:00"/>
    <d v="2024-10-13T00:00:00"/>
    <n v="5000"/>
    <x v="1"/>
    <n v="244.05"/>
    <s v=""/>
    <s v=""/>
    <s v=""/>
  </r>
  <r>
    <x v="815"/>
    <s v="SUP01107"/>
    <x v="3"/>
    <x v="3"/>
    <x v="0"/>
    <d v="2024-09-29T00:00:00"/>
    <n v="69.03"/>
    <s v="Yes"/>
    <s v="Direct Debit"/>
    <x v="0"/>
    <s v="Telephone"/>
    <x v="26"/>
    <s v="Male"/>
    <n v="66"/>
    <x v="0"/>
    <x v="0"/>
    <s v="Email"/>
    <s v=""/>
    <s v="Review - prefers email but not opted in"/>
    <s v=""/>
    <x v="2"/>
    <s v="All Supporters"/>
    <d v="2024-09-10T00:00:00"/>
    <d v="2024-10-15T00:00:00"/>
    <n v="15000"/>
    <x v="3"/>
    <n v="86.287499999999994"/>
    <s v=""/>
    <s v=""/>
    <s v=""/>
  </r>
  <r>
    <x v="816"/>
    <s v="SUP01452"/>
    <x v="3"/>
    <x v="3"/>
    <x v="2"/>
    <d v="2024-09-23T00:00:00"/>
    <n v="9.1999999999999993"/>
    <s v="Yes"/>
    <s v="Credit Card"/>
    <x v="5"/>
    <s v="Website"/>
    <x v="8"/>
    <s v="Female"/>
    <n v="56"/>
    <x v="1"/>
    <x v="1"/>
    <s v="Phone"/>
    <s v=""/>
    <s v="Review - prefers phone but not opted in"/>
    <s v=""/>
    <x v="2"/>
    <s v="All Supporters"/>
    <d v="2024-09-10T00:00:00"/>
    <d v="2024-10-15T00:00:00"/>
    <n v="15000"/>
    <x v="3"/>
    <n v="11.5"/>
    <s v=""/>
    <s v=""/>
    <s v=""/>
  </r>
  <r>
    <x v="817"/>
    <s v="SUP01285"/>
    <x v="4"/>
    <x v="4"/>
    <x v="2"/>
    <d v="2025-02-04T00:00:00"/>
    <n v="11.7"/>
    <s v="No"/>
    <s v="Direct Debit"/>
    <x v="3"/>
    <s v="Door-To-Door"/>
    <x v="7"/>
    <s v="Female"/>
    <n v="22"/>
    <x v="3"/>
    <x v="3"/>
    <s v="Email"/>
    <s v=""/>
    <s v=""/>
    <s v=""/>
    <x v="3"/>
    <s v="Prospects"/>
    <d v="2025-02-01T00:00:00"/>
    <d v="2025-04-30T00:00:00"/>
    <n v="20000"/>
    <x v="4"/>
    <n v="11.7"/>
    <s v=""/>
    <s v=""/>
    <s v=""/>
  </r>
  <r>
    <x v="818"/>
    <s v="SUP01399"/>
    <x v="0"/>
    <x v="0"/>
    <x v="0"/>
    <d v="2025-03-29T00:00:00"/>
    <n v="455"/>
    <s v="Yes"/>
    <s v="Debit Card"/>
    <x v="0"/>
    <s v="Telephone"/>
    <x v="29"/>
    <s v="Male"/>
    <n v="24"/>
    <x v="3"/>
    <x v="3"/>
    <s v="Post"/>
    <s v=""/>
    <s v=""/>
    <s v=""/>
    <x v="0"/>
    <s v="One-time Donors"/>
    <d v="2025-01-06T00:00:00"/>
    <d v="2025-03-31T00:00:00"/>
    <n v="10000"/>
    <x v="0"/>
    <n v="568.75"/>
    <s v=""/>
    <s v=""/>
    <s v=""/>
  </r>
  <r>
    <x v="819"/>
    <s v="SUP01191"/>
    <x v="9"/>
    <x v="9"/>
    <x v="2"/>
    <d v="2024-07-15T00:00:00"/>
    <n v="60.26"/>
    <s v="Yes"/>
    <s v="Cash"/>
    <x v="6"/>
    <s v="Corporate Partner"/>
    <x v="6"/>
    <s v="Male"/>
    <s v=""/>
    <x v="2"/>
    <x v="2"/>
    <s v="Email"/>
    <s v=""/>
    <s v=""/>
    <s v="Review - missing DOB"/>
    <x v="4"/>
    <s v="Major Donors"/>
    <d v="2024-07-15T00:00:00"/>
    <d v="2024-07-15T00:00:00"/>
    <n v="45000"/>
    <x v="1"/>
    <n v="75.325000000000003"/>
    <s v=""/>
    <s v=""/>
    <s v=""/>
  </r>
  <r>
    <x v="820"/>
    <s v="SUP01448"/>
    <x v="8"/>
    <x v="8"/>
    <x v="0"/>
    <d v="2024-12-01T00:00:00"/>
    <n v="13.02"/>
    <s v="Yes"/>
    <s v="Cheque"/>
    <x v="3"/>
    <s v="Website"/>
    <x v="30"/>
    <s v="Female"/>
    <n v="71"/>
    <x v="0"/>
    <x v="0"/>
    <s v="Email"/>
    <s v=""/>
    <s v=""/>
    <s v=""/>
    <x v="7"/>
    <s v="All Active"/>
    <d v="2024-10-15T00:00:00"/>
    <d v="2024-12-20T00:00:00"/>
    <n v="12000"/>
    <x v="2"/>
    <n v="16.274999999999999"/>
    <s v=""/>
    <s v=""/>
    <s v=""/>
  </r>
  <r>
    <x v="821"/>
    <s v="SUP01284"/>
    <x v="9"/>
    <x v="9"/>
    <x v="2"/>
    <d v="2024-07-15T00:00:00"/>
    <n v="271.95999999999998"/>
    <s v="Yes"/>
    <s v="Debit Card"/>
    <x v="0"/>
    <s v="Corporate Partner"/>
    <x v="13"/>
    <s v="Female"/>
    <n v="51"/>
    <x v="1"/>
    <x v="1"/>
    <s v="Email"/>
    <s v=""/>
    <s v=""/>
    <s v=""/>
    <x v="4"/>
    <s v="Major Donors"/>
    <d v="2024-07-15T00:00:00"/>
    <d v="2024-07-15T00:00:00"/>
    <n v="45000"/>
    <x v="1"/>
    <n v="339.95"/>
    <s v=""/>
    <s v=""/>
    <s v=""/>
  </r>
  <r>
    <x v="822"/>
    <s v="SUP01141"/>
    <x v="8"/>
    <x v="8"/>
    <x v="0"/>
    <d v="2024-11-11T00:00:00"/>
    <n v="118.28"/>
    <s v="Yes"/>
    <s v="PayPal"/>
    <x v="4"/>
    <s v="Social Media"/>
    <x v="11"/>
    <s v="Male"/>
    <n v="60"/>
    <x v="1"/>
    <x v="1"/>
    <s v="Email"/>
    <s v=""/>
    <s v=""/>
    <s v=""/>
    <x v="7"/>
    <s v="All Active"/>
    <d v="2024-10-15T00:00:00"/>
    <d v="2024-12-20T00:00:00"/>
    <n v="12000"/>
    <x v="2"/>
    <n v="147.85"/>
    <s v=""/>
    <s v=""/>
    <s v=""/>
  </r>
  <r>
    <x v="823"/>
    <s v="SUP01394"/>
    <x v="2"/>
    <x v="2"/>
    <x v="0"/>
    <d v="2026-11-23T00:00:00"/>
    <n v="121.36"/>
    <s v="No"/>
    <s v="PayPal"/>
    <x v="4"/>
    <s v="Referral"/>
    <x v="32"/>
    <s v="Female"/>
    <n v="34"/>
    <x v="3"/>
    <x v="3"/>
    <s v="Post"/>
    <s v=""/>
    <s v="Review - prefers post but not opted in"/>
    <s v=""/>
    <x v="2"/>
    <s v="All Active"/>
    <d v="2024-11-01T00:00:00"/>
    <d v="2024-12-31T00:00:00"/>
    <n v="25000"/>
    <x v="2"/>
    <n v="121.36"/>
    <s v=""/>
    <s v="Review - response outside campaign dates"/>
    <s v=""/>
  </r>
  <r>
    <x v="824"/>
    <s v="SUP01240"/>
    <x v="4"/>
    <x v="4"/>
    <x v="5"/>
    <d v="2025-03-06T00:00:00"/>
    <n v="27.49"/>
    <s v="Yes"/>
    <s v="Online"/>
    <x v="3"/>
    <s v="Referral"/>
    <x v="22"/>
    <s v="Male"/>
    <s v=""/>
    <x v="2"/>
    <x v="2"/>
    <s v="Email"/>
    <s v=""/>
    <s v=""/>
    <s v="Review - missing DOB"/>
    <x v="3"/>
    <s v="Prospects"/>
    <d v="2025-02-01T00:00:00"/>
    <d v="2025-04-30T00:00:00"/>
    <n v="20000"/>
    <x v="4"/>
    <n v="34.362499999999997"/>
    <s v=""/>
    <s v=""/>
    <s v=""/>
  </r>
  <r>
    <x v="825"/>
    <s v="SUP01350"/>
    <x v="1"/>
    <x v="1"/>
    <x v="1"/>
    <d v="2024-06-16T00:00:00"/>
    <n v="87.43"/>
    <s v="Yes"/>
    <s v="Online"/>
    <x v="2"/>
    <s v="Corporate Partner"/>
    <x v="31"/>
    <s v="Female"/>
    <n v="75"/>
    <x v="0"/>
    <x v="0"/>
    <s v="Email"/>
    <s v=""/>
    <s v=""/>
    <s v=""/>
    <x v="1"/>
    <s v="Major Donors"/>
    <d v="2024-06-01T00:00:00"/>
    <d v="2024-06-30T00:00:00"/>
    <n v="7000"/>
    <x v="1"/>
    <n v="109.28750000000001"/>
    <s v=""/>
    <s v=""/>
    <s v=""/>
  </r>
  <r>
    <x v="826"/>
    <s v="SUP01006"/>
    <x v="4"/>
    <x v="4"/>
    <x v="2"/>
    <d v="2025-02-21T00:00:00"/>
    <n v="13.58"/>
    <s v="Yes"/>
    <s v="Online"/>
    <x v="5"/>
    <s v="Social Media"/>
    <x v="24"/>
    <s v="Female"/>
    <n v="61"/>
    <x v="1"/>
    <x v="1"/>
    <s v="Do Not Contact"/>
    <s v=""/>
    <s v=""/>
    <s v=""/>
    <x v="3"/>
    <s v="Prospects"/>
    <d v="2025-02-01T00:00:00"/>
    <d v="2025-04-30T00:00:00"/>
    <n v="20000"/>
    <x v="4"/>
    <n v="16.975000000000001"/>
    <s v=""/>
    <s v=""/>
    <s v=""/>
  </r>
  <r>
    <x v="827"/>
    <s v="SUP01004"/>
    <x v="1"/>
    <x v="1"/>
    <x v="1"/>
    <d v="2024-06-13T00:00:00"/>
    <n v="53.88"/>
    <s v="Yes"/>
    <s v="Debit Card"/>
    <x v="4"/>
    <s v="Telephone"/>
    <x v="1"/>
    <s v="Male"/>
    <n v="86"/>
    <x v="0"/>
    <x v="0"/>
    <s v="No Preference"/>
    <s v=""/>
    <s v=""/>
    <s v=""/>
    <x v="1"/>
    <s v="Major Donors"/>
    <d v="2024-06-01T00:00:00"/>
    <d v="2024-06-30T00:00:00"/>
    <n v="7000"/>
    <x v="1"/>
    <n v="67.350000000000009"/>
    <s v=""/>
    <s v=""/>
    <s v=""/>
  </r>
  <r>
    <x v="828"/>
    <s v="SUP01241"/>
    <x v="5"/>
    <x v="5"/>
    <x v="2"/>
    <d v="2024-11-22T00:00:00"/>
    <n v="136.05000000000001"/>
    <s v="No"/>
    <s v="Online"/>
    <x v="4"/>
    <s v="Social Media"/>
    <x v="34"/>
    <s v="Female"/>
    <n v="58"/>
    <x v="1"/>
    <x v="1"/>
    <s v="Email"/>
    <s v=""/>
    <s v=""/>
    <s v=""/>
    <x v="4"/>
    <s v="Volunteers"/>
    <d v="2024-11-22T00:00:00"/>
    <d v="2024-11-22T00:00:00"/>
    <n v="3500"/>
    <x v="3"/>
    <n v="136.05000000000001"/>
    <s v=""/>
    <s v=""/>
    <s v=""/>
  </r>
  <r>
    <x v="829"/>
    <s v="SUP01091"/>
    <x v="2"/>
    <x v="2"/>
    <x v="2"/>
    <d v="2024-12-16T00:00:00"/>
    <n v="91.31"/>
    <s v="Yes"/>
    <s v="Credit Card"/>
    <x v="0"/>
    <s v="Telephone"/>
    <x v="17"/>
    <s v="Female"/>
    <n v="39"/>
    <x v="4"/>
    <x v="4"/>
    <s v="No Preference"/>
    <s v=""/>
    <s v=""/>
    <s v=""/>
    <x v="2"/>
    <s v="All Active"/>
    <d v="2024-11-01T00:00:00"/>
    <d v="2024-12-31T00:00:00"/>
    <n v="25000"/>
    <x v="2"/>
    <n v="114.1375"/>
    <s v=""/>
    <s v=""/>
    <s v=""/>
  </r>
  <r>
    <x v="830"/>
    <s v="SUP01341"/>
    <x v="6"/>
    <x v="6"/>
    <x v="1"/>
    <d v="2024-10-12T00:00:00"/>
    <n v="19.760000000000002"/>
    <s v="Yes"/>
    <s v="Debit Card"/>
    <x v="3"/>
    <s v="Referral"/>
    <x v="24"/>
    <s v="Female"/>
    <n v="59"/>
    <x v="1"/>
    <x v="1"/>
    <s v="Post"/>
    <s v=""/>
    <s v=""/>
    <s v=""/>
    <x v="5"/>
    <s v="Over 55s"/>
    <d v="2024-10-07T00:00:00"/>
    <d v="2024-10-13T00:00:00"/>
    <n v="5000"/>
    <x v="1"/>
    <n v="24.700000000000003"/>
    <s v=""/>
    <s v=""/>
    <s v=""/>
  </r>
  <r>
    <x v="831"/>
    <s v="SUP01308"/>
    <x v="2"/>
    <x v="2"/>
    <x v="1"/>
    <d v="2024-11-03T00:00:00"/>
    <n v="4033.35"/>
    <s v="No"/>
    <s v="Cash"/>
    <x v="1"/>
    <s v="Corporate Partner"/>
    <x v="11"/>
    <s v="Female"/>
    <n v="39"/>
    <x v="4"/>
    <x v="4"/>
    <s v="Email"/>
    <s v=""/>
    <s v=""/>
    <s v=""/>
    <x v="2"/>
    <s v="All Active"/>
    <d v="2024-11-01T00:00:00"/>
    <d v="2024-12-31T00:00:00"/>
    <n v="25000"/>
    <x v="2"/>
    <n v="4033.35"/>
    <s v=""/>
    <s v=""/>
    <s v=""/>
  </r>
  <r>
    <x v="832"/>
    <s v="SUP01327"/>
    <x v="8"/>
    <x v="8"/>
    <x v="2"/>
    <d v="2024-11-27T00:00:00"/>
    <n v="280.68"/>
    <s v="Yes"/>
    <s v="Cash"/>
    <x v="0"/>
    <s v="Referral"/>
    <x v="12"/>
    <s v="Male"/>
    <n v="53"/>
    <x v="1"/>
    <x v="1"/>
    <s v="No Preference"/>
    <s v=""/>
    <s v=""/>
    <s v=""/>
    <x v="7"/>
    <s v="All Active"/>
    <d v="2024-10-15T00:00:00"/>
    <d v="2024-12-20T00:00:00"/>
    <n v="12000"/>
    <x v="2"/>
    <n v="350.85"/>
    <s v=""/>
    <s v=""/>
    <s v=""/>
  </r>
  <r>
    <x v="833"/>
    <s v="SUP01461"/>
    <x v="2"/>
    <x v="2"/>
    <x v="1"/>
    <d v="2024-11-10T00:00:00"/>
    <n v="98.05"/>
    <s v="No"/>
    <s v="Direct Debit"/>
    <x v="4"/>
    <s v="Telephone"/>
    <x v="29"/>
    <s v="Female"/>
    <n v="75"/>
    <x v="0"/>
    <x v="0"/>
    <s v="No Preference"/>
    <s v=""/>
    <s v=""/>
    <s v=""/>
    <x v="2"/>
    <s v="All Active"/>
    <d v="2024-11-01T00:00:00"/>
    <d v="2024-12-31T00:00:00"/>
    <n v="25000"/>
    <x v="2"/>
    <n v="98.05"/>
    <s v=""/>
    <s v=""/>
    <s v=""/>
  </r>
  <r>
    <x v="834"/>
    <s v="SUP01400"/>
    <x v="4"/>
    <x v="4"/>
    <x v="2"/>
    <d v="2025-04-24T00:00:00"/>
    <n v="39.69"/>
    <s v="No"/>
    <s v="Cheque"/>
    <x v="3"/>
    <s v="Door-To-Door"/>
    <x v="34"/>
    <s v="Female"/>
    <n v="44"/>
    <x v="4"/>
    <x v="4"/>
    <s v="Phone"/>
    <s v=""/>
    <s v=""/>
    <s v=""/>
    <x v="3"/>
    <s v="Prospects"/>
    <d v="2025-02-01T00:00:00"/>
    <d v="2025-04-30T00:00:00"/>
    <n v="20000"/>
    <x v="4"/>
    <n v="39.69"/>
    <s v=""/>
    <s v=""/>
    <s v=""/>
  </r>
  <r>
    <x v="835"/>
    <s v="SUP01087"/>
    <x v="8"/>
    <x v="8"/>
    <x v="0"/>
    <d v="2024-11-22T00:00:00"/>
    <n v="4925.8599999999997"/>
    <s v="Yes"/>
    <s v="Cash"/>
    <x v="1"/>
    <s v="Corporate Partner"/>
    <x v="15"/>
    <s v="Male"/>
    <n v="59"/>
    <x v="1"/>
    <x v="1"/>
    <s v="Phone"/>
    <s v=""/>
    <s v="Review - prefers phone but not opted in"/>
    <s v=""/>
    <x v="7"/>
    <s v="All Active"/>
    <d v="2024-10-15T00:00:00"/>
    <d v="2024-12-20T00:00:00"/>
    <n v="12000"/>
    <x v="2"/>
    <n v="6157.3249999999998"/>
    <s v=""/>
    <s v=""/>
    <s v=""/>
  </r>
  <r>
    <x v="836"/>
    <s v="SUP01445"/>
    <x v="2"/>
    <x v="2"/>
    <x v="1"/>
    <d v="2024-12-23T00:00:00"/>
    <n v="12.64"/>
    <s v="Yes"/>
    <s v="Direct Debit"/>
    <x v="2"/>
    <s v="Direct Mail"/>
    <x v="9"/>
    <s v="Female"/>
    <n v="55"/>
    <x v="1"/>
    <x v="1"/>
    <s v="Post"/>
    <s v=""/>
    <s v=""/>
    <s v=""/>
    <x v="2"/>
    <s v="All Active"/>
    <d v="2024-11-01T00:00:00"/>
    <d v="2024-12-31T00:00:00"/>
    <n v="25000"/>
    <x v="2"/>
    <n v="15.8"/>
    <s v=""/>
    <s v=""/>
    <s v=""/>
  </r>
  <r>
    <x v="837"/>
    <s v="SUP01032"/>
    <x v="1"/>
    <x v="1"/>
    <x v="1"/>
    <d v="2024-06-21T00:00:00"/>
    <n v="91.91"/>
    <s v="Yes"/>
    <s v="PayPal"/>
    <x v="2"/>
    <s v="Corporate Partner"/>
    <x v="2"/>
    <s v="Female"/>
    <n v="57"/>
    <x v="1"/>
    <x v="1"/>
    <s v="Phone"/>
    <s v=""/>
    <s v=""/>
    <s v=""/>
    <x v="1"/>
    <s v="Major Donors"/>
    <d v="2024-06-01T00:00:00"/>
    <d v="2024-06-30T00:00:00"/>
    <n v="7000"/>
    <x v="1"/>
    <n v="114.88749999999999"/>
    <s v=""/>
    <s v=""/>
    <s v=""/>
  </r>
  <r>
    <x v="838"/>
    <s v="SUP01147"/>
    <x v="0"/>
    <x v="0"/>
    <x v="0"/>
    <d v="2025-03-07T00:00:00"/>
    <n v="85.61"/>
    <s v="Yes"/>
    <s v="Cash"/>
    <x v="6"/>
    <s v="Door-To-Door"/>
    <x v="25"/>
    <s v="Female"/>
    <n v="67"/>
    <x v="0"/>
    <x v="0"/>
    <s v="Post"/>
    <s v=""/>
    <s v=""/>
    <s v=""/>
    <x v="0"/>
    <s v="One-time Donors"/>
    <d v="2025-01-06T00:00:00"/>
    <d v="2025-03-31T00:00:00"/>
    <n v="10000"/>
    <x v="0"/>
    <n v="107.0125"/>
    <s v=""/>
    <s v=""/>
    <s v=""/>
  </r>
  <r>
    <x v="839"/>
    <s v="SUP01446"/>
    <x v="9"/>
    <x v="9"/>
    <x v="1"/>
    <d v="2024-07-15T00:00:00"/>
    <n v="112.7"/>
    <s v="Yes"/>
    <s v="Debit Card"/>
    <x v="4"/>
    <s v="Website"/>
    <x v="3"/>
    <s v="Female"/>
    <n v="71"/>
    <x v="0"/>
    <x v="0"/>
    <s v="Do Not Contact"/>
    <s v=""/>
    <s v=""/>
    <s v=""/>
    <x v="4"/>
    <s v="Major Donors"/>
    <d v="2024-07-15T00:00:00"/>
    <d v="2024-07-15T00:00:00"/>
    <n v="45000"/>
    <x v="1"/>
    <n v="140.875"/>
    <s v=""/>
    <s v=""/>
    <s v=""/>
  </r>
  <r>
    <x v="840"/>
    <s v="SUP01457"/>
    <x v="0"/>
    <x v="0"/>
    <x v="0"/>
    <d v="2025-11-03T00:00:00"/>
    <n v="49.35"/>
    <s v="Yes"/>
    <s v="Cheque"/>
    <x v="2"/>
    <s v="Door-To-Door"/>
    <x v="3"/>
    <s v="Female"/>
    <n v="85"/>
    <x v="0"/>
    <x v="0"/>
    <s v="Email"/>
    <s v=""/>
    <s v=""/>
    <s v=""/>
    <x v="0"/>
    <s v="One-time Donors"/>
    <d v="2025-01-06T00:00:00"/>
    <d v="2025-03-31T00:00:00"/>
    <n v="10000"/>
    <x v="0"/>
    <n v="61.6875"/>
    <s v=""/>
    <s v="Review - response outside campaign dates"/>
    <s v=""/>
  </r>
  <r>
    <x v="841"/>
    <s v="SUP01308"/>
    <x v="4"/>
    <x v="4"/>
    <x v="2"/>
    <d v="2025-02-21T00:00:00"/>
    <n v="4955.78"/>
    <s v="Yes"/>
    <s v="Standing Order"/>
    <x v="1"/>
    <s v="Corporate Partner"/>
    <x v="11"/>
    <s v="Female"/>
    <n v="39"/>
    <x v="4"/>
    <x v="4"/>
    <s v="Email"/>
    <s v=""/>
    <s v=""/>
    <s v=""/>
    <x v="3"/>
    <s v="Prospects"/>
    <d v="2025-02-01T00:00:00"/>
    <d v="2025-04-30T00:00:00"/>
    <n v="20000"/>
    <x v="4"/>
    <n v="6194.7249999999995"/>
    <s v=""/>
    <s v=""/>
    <s v=""/>
  </r>
  <r>
    <x v="842"/>
    <s v="SUP01495"/>
    <x v="9"/>
    <x v="9"/>
    <x v="2"/>
    <d v="2024-07-15T00:00:00"/>
    <n v="47.69"/>
    <s v="No"/>
    <s v="Cash"/>
    <x v="4"/>
    <s v="Event"/>
    <x v="24"/>
    <s v="Male"/>
    <n v="31"/>
    <x v="3"/>
    <x v="3"/>
    <s v="Phone"/>
    <s v=""/>
    <s v="Review - prefers phone but not opted in"/>
    <s v=""/>
    <x v="4"/>
    <s v="Major Donors"/>
    <d v="2024-07-15T00:00:00"/>
    <d v="2024-07-15T00:00:00"/>
    <n v="45000"/>
    <x v="1"/>
    <n v="47.69"/>
    <s v=""/>
    <s v=""/>
    <s v=""/>
  </r>
  <r>
    <x v="843"/>
    <s v="SUP01499"/>
    <x v="7"/>
    <x v="7"/>
    <x v="2"/>
    <d v="2025-03-23T00:00:00"/>
    <n v="27.05"/>
    <s v="Yes"/>
    <s v="Standing Order"/>
    <x v="6"/>
    <s v="Door-To-Door"/>
    <x v="5"/>
    <s v="Female"/>
    <n v="59"/>
    <x v="1"/>
    <x v="1"/>
    <s v="Post"/>
    <s v=""/>
    <s v="Review - prefers post but not opted in"/>
    <s v=""/>
    <x v="6"/>
    <s v="Regular Givers"/>
    <d v="2025-03-01T00:00:00"/>
    <d v="2025-04-30T00:00:00"/>
    <n v="8000"/>
    <x v="1"/>
    <n v="33.8125"/>
    <s v=""/>
    <s v=""/>
    <s v=""/>
  </r>
  <r>
    <x v="844"/>
    <s v="SUP01206"/>
    <x v="4"/>
    <x v="4"/>
    <x v="0"/>
    <d v="2025-03-25T00:00:00"/>
    <n v="20.350000000000001"/>
    <s v="No"/>
    <s v="Debit Card"/>
    <x v="5"/>
    <s v="Event"/>
    <x v="1"/>
    <s v="Female"/>
    <n v="59"/>
    <x v="1"/>
    <x v="1"/>
    <s v="Email"/>
    <s v=""/>
    <s v=""/>
    <s v=""/>
    <x v="3"/>
    <s v="Prospects"/>
    <d v="2025-02-01T00:00:00"/>
    <d v="2025-04-30T00:00:00"/>
    <n v="20000"/>
    <x v="4"/>
    <n v="20.350000000000001"/>
    <s v=""/>
    <s v=""/>
    <s v=""/>
  </r>
  <r>
    <x v="845"/>
    <s v="SUP01033"/>
    <x v="5"/>
    <x v="5"/>
    <x v="1"/>
    <d v="2024-11-22T00:00:00"/>
    <n v="186.32"/>
    <s v="No"/>
    <s v="Cheque"/>
    <x v="6"/>
    <s v="Referral"/>
    <x v="19"/>
    <s v="Female"/>
    <n v="60"/>
    <x v="1"/>
    <x v="1"/>
    <s v="Post"/>
    <s v=""/>
    <s v="Review - prefers post but not opted in"/>
    <s v=""/>
    <x v="4"/>
    <s v="Volunteers"/>
    <d v="2024-11-22T00:00:00"/>
    <d v="2024-11-22T00:00:00"/>
    <n v="3500"/>
    <x v="3"/>
    <n v="186.32"/>
    <s v=""/>
    <s v=""/>
    <s v=""/>
  </r>
  <r>
    <x v="846"/>
    <s v="SUP01001"/>
    <x v="4"/>
    <x v="4"/>
    <x v="5"/>
    <d v="2025-04-14T00:00:00"/>
    <n v="63.87"/>
    <s v="Yes"/>
    <s v="Cheque"/>
    <x v="4"/>
    <s v="Telephone"/>
    <x v="26"/>
    <s v="Female"/>
    <n v="48"/>
    <x v="4"/>
    <x v="4"/>
    <s v="Phone"/>
    <s v=""/>
    <s v="Review - prefers phone but not opted in"/>
    <s v=""/>
    <x v="3"/>
    <s v="Prospects"/>
    <d v="2025-02-01T00:00:00"/>
    <d v="2025-04-30T00:00:00"/>
    <n v="20000"/>
    <x v="4"/>
    <n v="79.837499999999991"/>
    <s v=""/>
    <s v=""/>
    <s v=""/>
  </r>
  <r>
    <x v="847"/>
    <s v="SUP01440"/>
    <x v="1"/>
    <x v="1"/>
    <x v="1"/>
    <d v="2024-06-16T00:00:00"/>
    <n v="113.56"/>
    <s v="Yes"/>
    <s v="Credit Card"/>
    <x v="4"/>
    <s v="Corporate Partner"/>
    <x v="3"/>
    <s v="Male"/>
    <n v="32"/>
    <x v="3"/>
    <x v="3"/>
    <s v="Email"/>
    <s v=""/>
    <s v=""/>
    <s v=""/>
    <x v="1"/>
    <s v="Major Donors"/>
    <d v="2024-06-01T00:00:00"/>
    <d v="2024-06-30T00:00:00"/>
    <n v="7000"/>
    <x v="1"/>
    <n v="141.94999999999999"/>
    <s v=""/>
    <s v=""/>
    <s v=""/>
  </r>
  <r>
    <x v="848"/>
    <s v="SUP01446"/>
    <x v="0"/>
    <x v="0"/>
    <x v="4"/>
    <d v="2025-10-02T00:00:00"/>
    <n v="17.86"/>
    <s v="Yes"/>
    <s v="Cheque"/>
    <x v="4"/>
    <s v="Website"/>
    <x v="3"/>
    <s v="Female"/>
    <n v="71"/>
    <x v="0"/>
    <x v="0"/>
    <s v="Do Not Contact"/>
    <s v=""/>
    <s v=""/>
    <s v=""/>
    <x v="0"/>
    <s v="One-time Donors"/>
    <d v="2025-01-06T00:00:00"/>
    <d v="2025-03-31T00:00:00"/>
    <n v="10000"/>
    <x v="0"/>
    <n v="22.324999999999999"/>
    <s v=""/>
    <s v="Review - response outside campaign dates"/>
    <s v=""/>
  </r>
  <r>
    <x v="849"/>
    <s v="SUP01039"/>
    <x v="1"/>
    <x v="1"/>
    <x v="1"/>
    <d v="2024-06-01T00:00:00"/>
    <n v="92.11"/>
    <s v="Yes"/>
    <s v="Credit Card"/>
    <x v="4"/>
    <s v="Direct Mail"/>
    <x v="21"/>
    <s v="Female"/>
    <n v="57"/>
    <x v="1"/>
    <x v="1"/>
    <s v="No Preference"/>
    <s v=""/>
    <s v=""/>
    <s v=""/>
    <x v="1"/>
    <s v="Major Donors"/>
    <d v="2024-06-01T00:00:00"/>
    <d v="2024-06-30T00:00:00"/>
    <n v="7000"/>
    <x v="1"/>
    <n v="115.1375"/>
    <s v=""/>
    <s v=""/>
    <s v=""/>
  </r>
  <r>
    <x v="850"/>
    <s v="SUP01192"/>
    <x v="4"/>
    <x v="4"/>
    <x v="2"/>
    <d v="2025-01-03T00:00:00"/>
    <n v="4917.99"/>
    <s v="Yes"/>
    <s v="PayPal"/>
    <x v="1"/>
    <s v="Website"/>
    <x v="22"/>
    <s v="Female"/>
    <n v="38"/>
    <x v="4"/>
    <x v="4"/>
    <s v="No Preference"/>
    <s v=""/>
    <s v=""/>
    <s v=""/>
    <x v="3"/>
    <s v="Prospects"/>
    <d v="2025-02-01T00:00:00"/>
    <d v="2025-04-30T00:00:00"/>
    <n v="20000"/>
    <x v="4"/>
    <n v="6147.4874999999993"/>
    <s v=""/>
    <s v="Review - response outside campaign dates"/>
    <s v=""/>
  </r>
  <r>
    <x v="851"/>
    <s v="SUP01296"/>
    <x v="6"/>
    <x v="6"/>
    <x v="1"/>
    <d v="2024-10-08T00:00:00"/>
    <n v="99.92"/>
    <s v="No"/>
    <s v="Credit Card"/>
    <x v="4"/>
    <s v="Door-To-Door"/>
    <x v="0"/>
    <s v="Male"/>
    <n v="63"/>
    <x v="1"/>
    <x v="1"/>
    <s v="Email"/>
    <s v=""/>
    <s v=""/>
    <s v=""/>
    <x v="5"/>
    <s v="Over 55s"/>
    <d v="2024-10-07T00:00:00"/>
    <d v="2024-10-13T00:00:00"/>
    <n v="5000"/>
    <x v="1"/>
    <n v="99.92"/>
    <s v=""/>
    <s v=""/>
    <s v=""/>
  </r>
  <r>
    <x v="852"/>
    <s v="SUP01354"/>
    <x v="1"/>
    <x v="1"/>
    <x v="2"/>
    <d v="2024-06-21T00:00:00"/>
    <n v="82.12"/>
    <s v="No"/>
    <s v="Direct Debit"/>
    <x v="2"/>
    <s v="Referral"/>
    <x v="30"/>
    <s v="Female"/>
    <n v="33"/>
    <x v="3"/>
    <x v="3"/>
    <s v="Phone"/>
    <s v=""/>
    <s v="Review - prefers phone but not opted in"/>
    <s v=""/>
    <x v="1"/>
    <s v="Major Donors"/>
    <d v="2024-06-01T00:00:00"/>
    <d v="2024-06-30T00:00:00"/>
    <n v="7000"/>
    <x v="1"/>
    <n v="82.12"/>
    <s v=""/>
    <s v=""/>
    <s v=""/>
  </r>
  <r>
    <x v="853"/>
    <s v="SUP01330"/>
    <x v="5"/>
    <x v="5"/>
    <x v="1"/>
    <d v="2024-11-22T00:00:00"/>
    <n v="400.49"/>
    <s v="Yes"/>
    <s v="Direct Debit"/>
    <x v="0"/>
    <s v="Event"/>
    <x v="17"/>
    <s v="Male"/>
    <n v="90"/>
    <x v="0"/>
    <x v="0"/>
    <s v="Phone"/>
    <s v=""/>
    <s v=""/>
    <s v=""/>
    <x v="4"/>
    <s v="Volunteers"/>
    <d v="2024-11-22T00:00:00"/>
    <d v="2024-11-22T00:00:00"/>
    <n v="3500"/>
    <x v="3"/>
    <n v="500.61250000000001"/>
    <s v=""/>
    <s v=""/>
    <s v=""/>
  </r>
  <r>
    <x v="854"/>
    <s v="SUP01373"/>
    <x v="1"/>
    <x v="1"/>
    <x v="1"/>
    <d v="2024-06-05T00:00:00"/>
    <n v="1206.49"/>
    <s v="No"/>
    <s v="Standing Order"/>
    <x v="1"/>
    <s v="Referral"/>
    <x v="28"/>
    <s v="Male"/>
    <n v="43"/>
    <x v="4"/>
    <x v="4"/>
    <s v="Email"/>
    <s v=""/>
    <s v=""/>
    <s v=""/>
    <x v="1"/>
    <s v="Major Donors"/>
    <d v="2024-06-01T00:00:00"/>
    <d v="2024-06-30T00:00:00"/>
    <n v="7000"/>
    <x v="1"/>
    <n v="1206.49"/>
    <s v=""/>
    <s v=""/>
    <s v=""/>
  </r>
  <r>
    <x v="855"/>
    <s v="SUP01025"/>
    <x v="4"/>
    <x v="4"/>
    <x v="5"/>
    <d v="2025-02-22T00:00:00"/>
    <n v="45.31"/>
    <s v="Yes"/>
    <s v="Cheque"/>
    <x v="3"/>
    <s v="Corporate Partner"/>
    <x v="26"/>
    <s v="Male"/>
    <n v="77"/>
    <x v="0"/>
    <x v="0"/>
    <s v="Post"/>
    <s v=""/>
    <s v=""/>
    <s v=""/>
    <x v="3"/>
    <s v="Prospects"/>
    <d v="2025-02-01T00:00:00"/>
    <d v="2025-04-30T00:00:00"/>
    <n v="20000"/>
    <x v="4"/>
    <n v="56.637500000000003"/>
    <s v=""/>
    <s v=""/>
    <s v=""/>
  </r>
  <r>
    <x v="856"/>
    <s v="SUP01311"/>
    <x v="0"/>
    <x v="0"/>
    <x v="0"/>
    <d v="2025-02-26T00:00:00"/>
    <n v="117.63"/>
    <s v="Yes"/>
    <s v="PayPal"/>
    <x v="4"/>
    <s v="Door-To-Door"/>
    <x v="14"/>
    <s v="Female"/>
    <n v="68"/>
    <x v="0"/>
    <x v="0"/>
    <s v="No Preference"/>
    <s v=""/>
    <s v=""/>
    <s v=""/>
    <x v="0"/>
    <s v="One-time Donors"/>
    <d v="2025-01-06T00:00:00"/>
    <d v="2025-03-31T00:00:00"/>
    <n v="10000"/>
    <x v="0"/>
    <n v="147.03749999999999"/>
    <s v=""/>
    <s v=""/>
    <s v=""/>
  </r>
  <r>
    <x v="857"/>
    <s v="SUP01243"/>
    <x v="8"/>
    <x v="8"/>
    <x v="2"/>
    <d v="2024-12-04T00:00:00"/>
    <n v="124.77"/>
    <s v="No"/>
    <s v="Credit Card"/>
    <x v="4"/>
    <s v="Corporate Partner"/>
    <x v="13"/>
    <s v="Male"/>
    <n v="54"/>
    <x v="1"/>
    <x v="1"/>
    <s v="Phone"/>
    <s v=""/>
    <s v="Review - prefers phone but not opted in"/>
    <s v=""/>
    <x v="7"/>
    <s v="All Active"/>
    <d v="2024-10-15T00:00:00"/>
    <d v="2024-12-20T00:00:00"/>
    <n v="12000"/>
    <x v="2"/>
    <n v="124.77"/>
    <s v=""/>
    <s v=""/>
    <s v=""/>
  </r>
  <r>
    <x v="858"/>
    <s v="SUP01023"/>
    <x v="8"/>
    <x v="8"/>
    <x v="0"/>
    <d v="2024-10-16T00:00:00"/>
    <n v="97.08"/>
    <s v="Yes"/>
    <s v="Debit Card"/>
    <x v="0"/>
    <s v="Direct Mail"/>
    <x v="4"/>
    <s v="Female"/>
    <n v="59"/>
    <x v="1"/>
    <x v="1"/>
    <s v="Do Not Contact"/>
    <s v=""/>
    <s v=""/>
    <s v=""/>
    <x v="7"/>
    <s v="All Active"/>
    <d v="2024-10-15T00:00:00"/>
    <d v="2024-12-20T00:00:00"/>
    <n v="12000"/>
    <x v="2"/>
    <n v="121.35"/>
    <s v=""/>
    <s v=""/>
    <s v=""/>
  </r>
  <r>
    <x v="859"/>
    <s v="SUP01394"/>
    <x v="5"/>
    <x v="5"/>
    <x v="2"/>
    <d v="2024-11-22T00:00:00"/>
    <n v="63.11"/>
    <s v="Yes"/>
    <s v="Direct Debit"/>
    <x v="4"/>
    <s v="Referral"/>
    <x v="32"/>
    <s v="Female"/>
    <n v="34"/>
    <x v="3"/>
    <x v="3"/>
    <s v="Post"/>
    <s v=""/>
    <s v="Review - prefers post but not opted in"/>
    <s v=""/>
    <x v="4"/>
    <s v="Volunteers"/>
    <d v="2024-11-22T00:00:00"/>
    <d v="2024-11-22T00:00:00"/>
    <n v="3500"/>
    <x v="3"/>
    <n v="78.887500000000003"/>
    <s v=""/>
    <s v=""/>
    <s v=""/>
  </r>
  <r>
    <x v="860"/>
    <s v="SUP01215"/>
    <x v="4"/>
    <x v="4"/>
    <x v="0"/>
    <d v="2025-04-30T00:00:00"/>
    <n v="232.47"/>
    <s v="Yes"/>
    <s v="Credit Card"/>
    <x v="6"/>
    <s v="Corporate Partner"/>
    <x v="7"/>
    <s v="Male"/>
    <n v="71"/>
    <x v="0"/>
    <x v="0"/>
    <s v="Email"/>
    <s v=""/>
    <s v=""/>
    <s v=""/>
    <x v="3"/>
    <s v="Prospects"/>
    <d v="2025-02-01T00:00:00"/>
    <d v="2025-04-30T00:00:00"/>
    <n v="20000"/>
    <x v="4"/>
    <n v="290.58749999999998"/>
    <s v=""/>
    <s v=""/>
    <s v=""/>
  </r>
  <r>
    <x v="861"/>
    <s v="SUP01098"/>
    <x v="7"/>
    <x v="7"/>
    <x v="1"/>
    <d v="2025-04-04T00:00:00"/>
    <n v="24.34"/>
    <s v="Yes"/>
    <s v="Online"/>
    <x v="5"/>
    <s v="Website"/>
    <x v="24"/>
    <s v="Female"/>
    <n v="21"/>
    <x v="3"/>
    <x v="3"/>
    <s v="Post"/>
    <s v=""/>
    <s v="Review - prefers post but not opted in"/>
    <s v=""/>
    <x v="6"/>
    <s v="Regular Givers"/>
    <d v="2025-03-01T00:00:00"/>
    <d v="2025-04-30T00:00:00"/>
    <n v="8000"/>
    <x v="1"/>
    <n v="30.425000000000001"/>
    <s v=""/>
    <s v=""/>
    <s v=""/>
  </r>
  <r>
    <x v="862"/>
    <s v="SUP01240"/>
    <x v="2"/>
    <x v="2"/>
    <x v="2"/>
    <d v="2024-12-03T00:00:00"/>
    <n v="9.48"/>
    <s v="Yes"/>
    <s v="Credit Card"/>
    <x v="3"/>
    <s v="Referral"/>
    <x v="22"/>
    <s v="Male"/>
    <s v=""/>
    <x v="2"/>
    <x v="2"/>
    <s v="Email"/>
    <s v=""/>
    <s v=""/>
    <s v="Review - missing DOB"/>
    <x v="2"/>
    <s v="All Active"/>
    <d v="2024-11-01T00:00:00"/>
    <d v="2024-12-31T00:00:00"/>
    <n v="25000"/>
    <x v="2"/>
    <n v="11.850000000000001"/>
    <s v=""/>
    <s v=""/>
    <s v=""/>
  </r>
  <r>
    <x v="863"/>
    <s v="SUP01385"/>
    <x v="8"/>
    <x v="8"/>
    <x v="0"/>
    <d v="2024-11-08T00:00:00"/>
    <n v="76.77"/>
    <s v="No"/>
    <s v="Direct Debit"/>
    <x v="6"/>
    <s v="Corporate Partner"/>
    <x v="14"/>
    <s v="Female"/>
    <n v="44"/>
    <x v="4"/>
    <x v="4"/>
    <s v="Phone"/>
    <s v=""/>
    <s v=""/>
    <s v=""/>
    <x v="7"/>
    <s v="All Active"/>
    <d v="2024-10-15T00:00:00"/>
    <d v="2024-12-20T00:00:00"/>
    <n v="12000"/>
    <x v="2"/>
    <n v="76.77"/>
    <s v=""/>
    <s v=""/>
    <s v=""/>
  </r>
  <r>
    <x v="864"/>
    <s v="SUP01135"/>
    <x v="1"/>
    <x v="1"/>
    <x v="1"/>
    <d v="2024-06-12T00:00:00"/>
    <n v="20.83"/>
    <s v="Yes"/>
    <s v="PayPal"/>
    <x v="5"/>
    <s v="Social Media"/>
    <x v="23"/>
    <s v="Male"/>
    <n v="61"/>
    <x v="1"/>
    <x v="1"/>
    <s v="Do Not Contact"/>
    <s v=""/>
    <s v=""/>
    <s v=""/>
    <x v="1"/>
    <s v="Major Donors"/>
    <d v="2024-06-01T00:00:00"/>
    <d v="2024-06-30T00:00:00"/>
    <n v="7000"/>
    <x v="1"/>
    <n v="26.037499999999998"/>
    <s v=""/>
    <s v=""/>
    <s v=""/>
  </r>
  <r>
    <x v="865"/>
    <s v="SUP01093"/>
    <x v="3"/>
    <x v="3"/>
    <x v="1"/>
    <d v="2024-10-15T00:00:00"/>
    <n v="17.07"/>
    <s v="Yes"/>
    <s v="PayPal"/>
    <x v="3"/>
    <s v="Telephone"/>
    <x v="9"/>
    <s v="Female"/>
    <n v="93"/>
    <x v="0"/>
    <x v="0"/>
    <s v="No Preference"/>
    <s v=""/>
    <s v=""/>
    <s v=""/>
    <x v="2"/>
    <s v="All Supporters"/>
    <d v="2024-09-10T00:00:00"/>
    <d v="2024-10-15T00:00:00"/>
    <n v="15000"/>
    <x v="3"/>
    <n v="21.337499999999999"/>
    <s v=""/>
    <s v=""/>
    <s v=""/>
  </r>
  <r>
    <x v="866"/>
    <s v="SUP01206"/>
    <x v="2"/>
    <x v="2"/>
    <x v="2"/>
    <d v="2024-12-25T00:00:00"/>
    <n v="21.49"/>
    <s v="No"/>
    <s v="Direct Debit"/>
    <x v="5"/>
    <s v="Event"/>
    <x v="1"/>
    <s v="Female"/>
    <n v="59"/>
    <x v="1"/>
    <x v="1"/>
    <s v="Email"/>
    <s v=""/>
    <s v=""/>
    <s v=""/>
    <x v="2"/>
    <s v="All Active"/>
    <d v="2024-11-01T00:00:00"/>
    <d v="2024-12-31T00:00:00"/>
    <n v="25000"/>
    <x v="2"/>
    <n v="21.49"/>
    <s v=""/>
    <s v=""/>
    <s v=""/>
  </r>
  <r>
    <x v="867"/>
    <s v="SUP01440"/>
    <x v="8"/>
    <x v="8"/>
    <x v="0"/>
    <d v="2024-10-25T00:00:00"/>
    <n v="78.12"/>
    <s v="Yes"/>
    <s v="Standing Order"/>
    <x v="4"/>
    <s v="Corporate Partner"/>
    <x v="3"/>
    <s v="Male"/>
    <n v="32"/>
    <x v="3"/>
    <x v="3"/>
    <s v="Email"/>
    <s v=""/>
    <s v=""/>
    <s v=""/>
    <x v="7"/>
    <s v="All Active"/>
    <d v="2024-10-15T00:00:00"/>
    <d v="2024-12-20T00:00:00"/>
    <n v="12000"/>
    <x v="2"/>
    <n v="97.65"/>
    <s v=""/>
    <s v=""/>
    <s v=""/>
  </r>
  <r>
    <x v="868"/>
    <s v="SUP01485"/>
    <x v="5"/>
    <x v="5"/>
    <x v="1"/>
    <d v="2024-11-22T00:00:00"/>
    <n v="46.31"/>
    <s v="Yes"/>
    <s v="Debit Card"/>
    <x v="3"/>
    <s v="Website"/>
    <x v="1"/>
    <s v="Female"/>
    <n v="58"/>
    <x v="1"/>
    <x v="1"/>
    <s v="Post"/>
    <s v=""/>
    <s v="Review - prefers post but not opted in"/>
    <s v=""/>
    <x v="4"/>
    <s v="Volunteers"/>
    <d v="2024-11-22T00:00:00"/>
    <d v="2024-11-22T00:00:00"/>
    <n v="3500"/>
    <x v="3"/>
    <n v="57.887500000000003"/>
    <s v=""/>
    <s v=""/>
    <s v=""/>
  </r>
  <r>
    <x v="869"/>
    <s v="SUP01075"/>
    <x v="2"/>
    <x v="2"/>
    <x v="3"/>
    <d v="2024-11-08T00:00:00"/>
    <n v="810.69"/>
    <s v="Yes"/>
    <s v="Direct Debit"/>
    <x v="1"/>
    <s v="Corporate Partner"/>
    <x v="23"/>
    <s v="Female"/>
    <n v="63"/>
    <x v="1"/>
    <x v="1"/>
    <s v="Phone"/>
    <s v=""/>
    <s v="Review - prefers phone but not opted in"/>
    <s v=""/>
    <x v="2"/>
    <s v="All Active"/>
    <d v="2024-11-01T00:00:00"/>
    <d v="2024-12-31T00:00:00"/>
    <n v="25000"/>
    <x v="2"/>
    <n v="1013.3625000000001"/>
    <s v=""/>
    <s v=""/>
    <s v=""/>
  </r>
  <r>
    <x v="870"/>
    <s v="SUP01091"/>
    <x v="8"/>
    <x v="8"/>
    <x v="0"/>
    <d v="2024-12-09T00:00:00"/>
    <n v="415.78"/>
    <s v="No"/>
    <s v="Direct Debit"/>
    <x v="0"/>
    <s v="Telephone"/>
    <x v="17"/>
    <s v="Female"/>
    <n v="39"/>
    <x v="4"/>
    <x v="4"/>
    <s v="No Preference"/>
    <s v=""/>
    <s v=""/>
    <s v=""/>
    <x v="7"/>
    <s v="All Active"/>
    <d v="2024-10-15T00:00:00"/>
    <d v="2024-12-20T00:00:00"/>
    <n v="12000"/>
    <x v="2"/>
    <n v="415.78"/>
    <s v=""/>
    <s v=""/>
    <s v=""/>
  </r>
  <r>
    <x v="871"/>
    <s v="SUP01054"/>
    <x v="9"/>
    <x v="9"/>
    <x v="2"/>
    <d v="2024-07-15T00:00:00"/>
    <n v="14.48"/>
    <s v="No"/>
    <s v="Debit Card"/>
    <x v="5"/>
    <s v="Social Media"/>
    <x v="9"/>
    <s v="Female"/>
    <s v=""/>
    <x v="2"/>
    <x v="2"/>
    <s v="No Preference"/>
    <s v=""/>
    <s v=""/>
    <s v="Review - missing DOB"/>
    <x v="4"/>
    <s v="Major Donors"/>
    <d v="2024-07-15T00:00:00"/>
    <d v="2024-07-15T00:00:00"/>
    <n v="45000"/>
    <x v="1"/>
    <n v="14.48"/>
    <s v=""/>
    <s v=""/>
    <s v=""/>
  </r>
  <r>
    <x v="872"/>
    <s v="SUP01376"/>
    <x v="1"/>
    <x v="1"/>
    <x v="1"/>
    <d v="2024-06-24T00:00:00"/>
    <n v="56.45"/>
    <s v="Yes"/>
    <s v="Standing Order"/>
    <x v="0"/>
    <s v="Direct Mail"/>
    <x v="36"/>
    <s v="Female"/>
    <n v="69"/>
    <x v="0"/>
    <x v="0"/>
    <s v="Email"/>
    <s v=""/>
    <s v=""/>
    <s v=""/>
    <x v="1"/>
    <s v="Major Donors"/>
    <d v="2024-06-01T00:00:00"/>
    <d v="2024-06-30T00:00:00"/>
    <n v="7000"/>
    <x v="1"/>
    <n v="70.5625"/>
    <s v=""/>
    <s v=""/>
    <s v=""/>
  </r>
  <r>
    <x v="873"/>
    <s v="SUP01126"/>
    <x v="9"/>
    <x v="9"/>
    <x v="2"/>
    <d v="2024-07-15T00:00:00"/>
    <n v="19.5"/>
    <s v="Yes"/>
    <s v="Standing Order"/>
    <x v="5"/>
    <s v="Telephone"/>
    <x v="14"/>
    <s v="Female"/>
    <n v="32"/>
    <x v="3"/>
    <x v="3"/>
    <s v="Phone"/>
    <s v=""/>
    <s v=""/>
    <s v=""/>
    <x v="4"/>
    <s v="Major Donors"/>
    <d v="2024-07-15T00:00:00"/>
    <d v="2024-07-15T00:00:00"/>
    <n v="45000"/>
    <x v="1"/>
    <n v="24.375"/>
    <s v=""/>
    <s v=""/>
    <s v=""/>
  </r>
  <r>
    <x v="874"/>
    <s v="SUP01130"/>
    <x v="8"/>
    <x v="8"/>
    <x v="1"/>
    <d v="2024-11-06T00:00:00"/>
    <n v="220.69"/>
    <s v="Yes"/>
    <s v="Cash"/>
    <x v="0"/>
    <s v="Website"/>
    <x v="1"/>
    <s v="Male"/>
    <n v="56"/>
    <x v="1"/>
    <x v="1"/>
    <s v="Email"/>
    <s v=""/>
    <s v="Review - prefers email but not opted in"/>
    <s v=""/>
    <x v="7"/>
    <s v="All Active"/>
    <d v="2024-10-15T00:00:00"/>
    <d v="2024-12-20T00:00:00"/>
    <n v="12000"/>
    <x v="2"/>
    <n v="275.86250000000001"/>
    <s v=""/>
    <s v=""/>
    <s v=""/>
  </r>
  <r>
    <x v="875"/>
    <s v="SUP01385"/>
    <x v="4"/>
    <x v="4"/>
    <x v="5"/>
    <d v="2025-03-31T00:00:00"/>
    <n v="154.21"/>
    <s v="Yes"/>
    <s v="PayPal"/>
    <x v="6"/>
    <s v="Corporate Partner"/>
    <x v="14"/>
    <s v="Female"/>
    <n v="44"/>
    <x v="4"/>
    <x v="4"/>
    <s v="Phone"/>
    <s v=""/>
    <s v=""/>
    <s v=""/>
    <x v="3"/>
    <s v="Prospects"/>
    <d v="2025-02-01T00:00:00"/>
    <d v="2025-04-30T00:00:00"/>
    <n v="20000"/>
    <x v="4"/>
    <n v="192.76250000000002"/>
    <s v=""/>
    <s v=""/>
    <s v=""/>
  </r>
  <r>
    <x v="876"/>
    <s v="SUP01382"/>
    <x v="1"/>
    <x v="1"/>
    <x v="1"/>
    <d v="2024-06-24T00:00:00"/>
    <n v="108.99"/>
    <s v="Yes"/>
    <s v="Debit Card"/>
    <x v="6"/>
    <s v="Website"/>
    <x v="13"/>
    <s v="Male"/>
    <n v="70"/>
    <x v="0"/>
    <x v="0"/>
    <s v="Email"/>
    <s v=""/>
    <s v=""/>
    <s v=""/>
    <x v="1"/>
    <s v="Major Donors"/>
    <d v="2024-06-01T00:00:00"/>
    <d v="2024-06-30T00:00:00"/>
    <n v="7000"/>
    <x v="1"/>
    <n v="136.23749999999998"/>
    <s v=""/>
    <s v=""/>
    <s v=""/>
  </r>
  <r>
    <x v="877"/>
    <s v="SUP01434"/>
    <x v="8"/>
    <x v="8"/>
    <x v="1"/>
    <d v="2024-02-11T00:00:00"/>
    <n v="29.07"/>
    <s v="Yes"/>
    <s v="PayPal"/>
    <x v="3"/>
    <s v="Event"/>
    <x v="12"/>
    <s v="Male"/>
    <n v="68"/>
    <x v="0"/>
    <x v="0"/>
    <s v="Email"/>
    <s v=""/>
    <s v="Review - prefers email but not opted in"/>
    <s v=""/>
    <x v="7"/>
    <s v="All Active"/>
    <d v="2024-10-15T00:00:00"/>
    <d v="2024-12-20T00:00:00"/>
    <n v="12000"/>
    <x v="2"/>
    <n v="36.337499999999999"/>
    <s v=""/>
    <s v="Review - response outside campaign dates"/>
    <s v=""/>
  </r>
  <r>
    <x v="878"/>
    <s v="SUP01150"/>
    <x v="5"/>
    <x v="5"/>
    <x v="1"/>
    <d v="2024-11-22T00:00:00"/>
    <n v="186.61"/>
    <s v="Yes"/>
    <s v="Direct Debit"/>
    <x v="6"/>
    <s v="Website"/>
    <x v="1"/>
    <s v="Male"/>
    <n v="74"/>
    <x v="0"/>
    <x v="0"/>
    <s v="Email"/>
    <s v=""/>
    <s v=""/>
    <s v=""/>
    <x v="4"/>
    <s v="Volunteers"/>
    <d v="2024-11-22T00:00:00"/>
    <d v="2024-11-22T00:00:00"/>
    <n v="3500"/>
    <x v="3"/>
    <n v="233.26250000000002"/>
    <s v=""/>
    <s v=""/>
    <s v=""/>
  </r>
  <r>
    <x v="879"/>
    <s v="SUP01367"/>
    <x v="4"/>
    <x v="4"/>
    <x v="5"/>
    <d v="2025-02-22T00:00:00"/>
    <n v="315.98"/>
    <s v="Yes"/>
    <s v="Direct Debit"/>
    <x v="0"/>
    <s v="Door-To-Door"/>
    <x v="12"/>
    <s v="Male"/>
    <n v="73"/>
    <x v="0"/>
    <x v="0"/>
    <s v="No Preference"/>
    <s v=""/>
    <s v=""/>
    <s v=""/>
    <x v="3"/>
    <s v="Prospects"/>
    <d v="2025-02-01T00:00:00"/>
    <d v="2025-04-30T00:00:00"/>
    <n v="20000"/>
    <x v="4"/>
    <n v="394.97500000000002"/>
    <s v=""/>
    <s v=""/>
    <s v=""/>
  </r>
  <r>
    <x v="880"/>
    <s v="SUP01228"/>
    <x v="9"/>
    <x v="9"/>
    <x v="2"/>
    <d v="2024-07-15T00:00:00"/>
    <n v="21.33"/>
    <s v="No"/>
    <s v="Standing Order"/>
    <x v="5"/>
    <s v="Corporate Partner"/>
    <x v="7"/>
    <s v="Female"/>
    <n v="43"/>
    <x v="4"/>
    <x v="4"/>
    <s v="Phone"/>
    <s v=""/>
    <s v=""/>
    <s v=""/>
    <x v="4"/>
    <s v="Major Donors"/>
    <d v="2024-07-15T00:00:00"/>
    <d v="2024-07-15T00:00:00"/>
    <n v="45000"/>
    <x v="1"/>
    <n v="21.33"/>
    <s v=""/>
    <s v=""/>
    <s v=""/>
  </r>
  <r>
    <x v="881"/>
    <s v="SUP01472"/>
    <x v="7"/>
    <x v="7"/>
    <x v="2"/>
    <d v="2025-04-24T00:00:00"/>
    <n v="80.41"/>
    <s v="Yes"/>
    <s v="Debit Card"/>
    <x v="0"/>
    <s v="Referral"/>
    <x v="8"/>
    <s v="Male"/>
    <n v="54"/>
    <x v="1"/>
    <x v="1"/>
    <s v="Email"/>
    <s v=""/>
    <s v="Review - prefers email but not opted in"/>
    <s v=""/>
    <x v="6"/>
    <s v="Regular Givers"/>
    <d v="2025-03-01T00:00:00"/>
    <d v="2025-04-30T00:00:00"/>
    <n v="8000"/>
    <x v="1"/>
    <n v="100.51249999999999"/>
    <s v=""/>
    <s v=""/>
    <s v=""/>
  </r>
  <r>
    <x v="882"/>
    <s v="SUP01474"/>
    <x v="6"/>
    <x v="6"/>
    <x v="1"/>
    <d v="2024-10-12T00:00:00"/>
    <n v="43.6"/>
    <s v="Yes"/>
    <s v="Online"/>
    <x v="3"/>
    <s v="Referral"/>
    <x v="31"/>
    <s v="Female"/>
    <n v="62"/>
    <x v="1"/>
    <x v="1"/>
    <s v="Post"/>
    <s v=""/>
    <s v=""/>
    <s v=""/>
    <x v="5"/>
    <s v="Over 55s"/>
    <d v="2024-10-07T00:00:00"/>
    <d v="2024-10-13T00:00:00"/>
    <n v="5000"/>
    <x v="1"/>
    <n v="54.5"/>
    <s v=""/>
    <s v=""/>
    <s v=""/>
  </r>
  <r>
    <x v="883"/>
    <s v="SUP01221"/>
    <x v="2"/>
    <x v="2"/>
    <x v="3"/>
    <d v="2024-11-26T00:00:00"/>
    <n v="54.44"/>
    <s v="Yes"/>
    <s v="Cash"/>
    <x v="2"/>
    <s v="Telephone"/>
    <x v="33"/>
    <s v="Female"/>
    <n v="61"/>
    <x v="1"/>
    <x v="1"/>
    <s v="No Preference"/>
    <s v=""/>
    <s v=""/>
    <s v=""/>
    <x v="2"/>
    <s v="All Active"/>
    <d v="2024-11-01T00:00:00"/>
    <d v="2024-12-31T00:00:00"/>
    <n v="25000"/>
    <x v="2"/>
    <n v="68.05"/>
    <s v=""/>
    <s v=""/>
    <s v=""/>
  </r>
  <r>
    <x v="884"/>
    <s v="SUP01051"/>
    <x v="0"/>
    <x v="0"/>
    <x v="1"/>
    <d v="2025-03-16T00:00:00"/>
    <n v="11.13"/>
    <s v="No"/>
    <s v="Cash"/>
    <x v="5"/>
    <s v="Referral"/>
    <x v="29"/>
    <s v="Male"/>
    <n v="49"/>
    <x v="4"/>
    <x v="4"/>
    <s v="Phone"/>
    <s v=""/>
    <s v="Review - prefers phone but not opted in"/>
    <s v=""/>
    <x v="0"/>
    <s v="One-time Donors"/>
    <d v="2025-01-06T00:00:00"/>
    <d v="2025-03-31T00:00:00"/>
    <n v="10000"/>
    <x v="0"/>
    <n v="11.13"/>
    <s v=""/>
    <s v=""/>
    <s v=""/>
  </r>
  <r>
    <x v="885"/>
    <s v="SUP01266"/>
    <x v="7"/>
    <x v="7"/>
    <x v="1"/>
    <d v="2025-03-07T00:00:00"/>
    <n v="219.18"/>
    <s v="No"/>
    <s v="Debit Card"/>
    <x v="0"/>
    <s v="Referral"/>
    <x v="10"/>
    <s v="Male"/>
    <n v="43"/>
    <x v="4"/>
    <x v="4"/>
    <s v="Post"/>
    <s v=""/>
    <s v=""/>
    <s v=""/>
    <x v="6"/>
    <s v="Regular Givers"/>
    <d v="2025-03-01T00:00:00"/>
    <d v="2025-04-30T00:00:00"/>
    <n v="8000"/>
    <x v="1"/>
    <n v="219.18"/>
    <s v=""/>
    <s v=""/>
    <s v=""/>
  </r>
  <r>
    <x v="886"/>
    <s v="SUP01195"/>
    <x v="2"/>
    <x v="2"/>
    <x v="0"/>
    <d v="2024-11-19T00:00:00"/>
    <n v="10.91"/>
    <s v="Yes"/>
    <s v="Direct Debit"/>
    <x v="5"/>
    <s v="Referral"/>
    <x v="5"/>
    <s v="Female"/>
    <s v=""/>
    <x v="2"/>
    <x v="2"/>
    <s v="No Preference"/>
    <s v=""/>
    <s v=""/>
    <s v="Review - missing DOB"/>
    <x v="2"/>
    <s v="All Active"/>
    <d v="2024-11-01T00:00:00"/>
    <d v="2024-12-31T00:00:00"/>
    <n v="25000"/>
    <x v="2"/>
    <n v="13.637499999999999"/>
    <s v=""/>
    <s v=""/>
    <s v=""/>
  </r>
  <r>
    <x v="887"/>
    <s v="SUP01102"/>
    <x v="1"/>
    <x v="1"/>
    <x v="2"/>
    <d v="2024-06-26T00:00:00"/>
    <n v="1891.98"/>
    <s v="No"/>
    <s v="Debit Card"/>
    <x v="1"/>
    <s v="Website"/>
    <x v="11"/>
    <s v="Female"/>
    <n v="63"/>
    <x v="1"/>
    <x v="1"/>
    <s v="Email"/>
    <s v=""/>
    <s v=""/>
    <s v=""/>
    <x v="1"/>
    <s v="Major Donors"/>
    <d v="2024-06-01T00:00:00"/>
    <d v="2024-06-30T00:00:00"/>
    <n v="7000"/>
    <x v="1"/>
    <n v="1891.98"/>
    <s v=""/>
    <s v=""/>
    <s v=""/>
  </r>
  <r>
    <x v="888"/>
    <s v="SUP01154"/>
    <x v="1"/>
    <x v="1"/>
    <x v="2"/>
    <d v="2024-06-14T00:00:00"/>
    <n v="43.74"/>
    <s v="Yes"/>
    <s v="PayPal"/>
    <x v="2"/>
    <s v="Telephone"/>
    <x v="23"/>
    <s v="Male"/>
    <n v="48"/>
    <x v="4"/>
    <x v="4"/>
    <s v="Post"/>
    <s v=""/>
    <s v=""/>
    <s v=""/>
    <x v="1"/>
    <s v="Major Donors"/>
    <d v="2024-06-01T00:00:00"/>
    <d v="2024-06-30T00:00:00"/>
    <n v="7000"/>
    <x v="1"/>
    <n v="54.675000000000004"/>
    <s v=""/>
    <s v=""/>
    <s v=""/>
  </r>
  <r>
    <x v="889"/>
    <s v="SUP01076"/>
    <x v="7"/>
    <x v="7"/>
    <x v="1"/>
    <d v="2025-08-04T00:00:00"/>
    <n v="80.209999999999994"/>
    <s v="Yes"/>
    <s v="Credit Card"/>
    <x v="0"/>
    <s v="Event"/>
    <x v="13"/>
    <s v="Female"/>
    <n v="62"/>
    <x v="1"/>
    <x v="1"/>
    <s v="Email"/>
    <s v=""/>
    <s v="Review - prefers email but not opted in"/>
    <s v=""/>
    <x v="6"/>
    <s v="Regular Givers"/>
    <d v="2025-03-01T00:00:00"/>
    <d v="2025-04-30T00:00:00"/>
    <n v="8000"/>
    <x v="1"/>
    <n v="100.26249999999999"/>
    <s v=""/>
    <s v="Review - response outside campaign dates"/>
    <s v=""/>
  </r>
  <r>
    <x v="890"/>
    <s v="SUP01336"/>
    <x v="0"/>
    <x v="0"/>
    <x v="1"/>
    <d v="2025-03-07T00:00:00"/>
    <n v="93.12"/>
    <s v="Yes"/>
    <s v="Debit Card"/>
    <x v="2"/>
    <s v="Social Media"/>
    <x v="6"/>
    <s v="Male"/>
    <n v="64"/>
    <x v="1"/>
    <x v="1"/>
    <s v="Post"/>
    <s v=""/>
    <s v=""/>
    <s v=""/>
    <x v="0"/>
    <s v="One-time Donors"/>
    <d v="2025-01-06T00:00:00"/>
    <d v="2025-03-31T00:00:00"/>
    <n v="10000"/>
    <x v="0"/>
    <n v="116.4"/>
    <s v=""/>
    <s v=""/>
    <s v=""/>
  </r>
  <r>
    <x v="891"/>
    <s v="SUP01246"/>
    <x v="1"/>
    <x v="1"/>
    <x v="1"/>
    <d v="2024-06-06T00:00:00"/>
    <n v="51.41"/>
    <s v="Yes"/>
    <s v="Credit Card"/>
    <x v="4"/>
    <s v="Direct Mail"/>
    <x v="11"/>
    <s v="Female"/>
    <n v="75"/>
    <x v="0"/>
    <x v="0"/>
    <s v="No Preference"/>
    <s v=""/>
    <s v=""/>
    <s v=""/>
    <x v="1"/>
    <s v="Major Donors"/>
    <d v="2024-06-01T00:00:00"/>
    <d v="2024-06-30T00:00:00"/>
    <n v="7000"/>
    <x v="1"/>
    <n v="64.262499999999989"/>
    <s v=""/>
    <s v=""/>
    <s v=""/>
  </r>
  <r>
    <x v="892"/>
    <s v="SUP01155"/>
    <x v="7"/>
    <x v="7"/>
    <x v="2"/>
    <d v="2025-04-06T00:00:00"/>
    <n v="31.87"/>
    <s v="Yes"/>
    <s v="Online"/>
    <x v="3"/>
    <s v="Direct Mail"/>
    <x v="27"/>
    <s v="Female"/>
    <n v="85"/>
    <x v="0"/>
    <x v="0"/>
    <s v="Post"/>
    <s v=""/>
    <s v=""/>
    <s v=""/>
    <x v="6"/>
    <s v="Regular Givers"/>
    <d v="2025-03-01T00:00:00"/>
    <d v="2025-04-30T00:00:00"/>
    <n v="8000"/>
    <x v="1"/>
    <n v="39.837499999999999"/>
    <s v=""/>
    <s v=""/>
    <s v=""/>
  </r>
  <r>
    <x v="893"/>
    <s v="SUP01201"/>
    <x v="4"/>
    <x v="4"/>
    <x v="2"/>
    <d v="2025-04-07T00:00:00"/>
    <n v="36.799999999999997"/>
    <s v="No"/>
    <s v="Debit Card"/>
    <x v="6"/>
    <s v="Referral"/>
    <x v="30"/>
    <s v="Female"/>
    <n v="64"/>
    <x v="1"/>
    <x v="1"/>
    <s v="Email"/>
    <s v="Review - duplicate record, see Supporter_Duplicates tab"/>
    <s v=""/>
    <s v=""/>
    <x v="3"/>
    <s v="Prospects"/>
    <d v="2025-02-01T00:00:00"/>
    <d v="2025-04-30T00:00:00"/>
    <n v="20000"/>
    <x v="4"/>
    <n v="36.799999999999997"/>
    <s v=""/>
    <s v=""/>
    <s v=""/>
  </r>
  <r>
    <x v="894"/>
    <s v="SUP00645"/>
    <x v="7"/>
    <x v="7"/>
    <x v="1"/>
    <d v="2025-03-31T00:00:00"/>
    <n v="161.24"/>
    <s v="Yes"/>
    <s v="Direct Debit"/>
    <x v="0"/>
    <s v="Referral"/>
    <x v="17"/>
    <s v="Female"/>
    <n v="95"/>
    <x v="0"/>
    <x v="0"/>
    <s v="Post"/>
    <s v="Review - duplicate record, see Supporter_Duplicates tab"/>
    <s v="Review - prefers post but not opted in"/>
    <s v=""/>
    <x v="6"/>
    <s v="Regular Givers"/>
    <d v="2025-03-01T00:00:00"/>
    <d v="2025-04-30T00:00:00"/>
    <n v="8000"/>
    <x v="1"/>
    <n v="201.55"/>
    <s v=""/>
    <s v=""/>
    <s v=""/>
  </r>
  <r>
    <x v="895"/>
    <s v="SUP01186"/>
    <x v="2"/>
    <x v="2"/>
    <x v="1"/>
    <d v="2024-12-24T00:00:00"/>
    <n v="8.1300000000000008"/>
    <s v="Yes"/>
    <s v="Online"/>
    <x v="3"/>
    <s v="Direct Mail"/>
    <x v="8"/>
    <s v="Male"/>
    <s v=""/>
    <x v="2"/>
    <x v="2"/>
    <s v="No Preference"/>
    <s v=""/>
    <s v=""/>
    <s v="Review - missing DOB"/>
    <x v="2"/>
    <s v="All Active"/>
    <d v="2024-11-01T00:00:00"/>
    <d v="2024-12-31T00:00:00"/>
    <n v="25000"/>
    <x v="2"/>
    <n v="10.162500000000001"/>
    <s v=""/>
    <s v=""/>
    <s v=""/>
  </r>
  <r>
    <x v="896"/>
    <s v="SUP01212"/>
    <x v="1"/>
    <x v="1"/>
    <x v="2"/>
    <d v="2024-06-01T00:00:00"/>
    <n v="195.33"/>
    <s v="No"/>
    <s v="Cash"/>
    <x v="0"/>
    <s v="Door-To-Door"/>
    <x v="36"/>
    <s v="Female"/>
    <n v="70"/>
    <x v="0"/>
    <x v="0"/>
    <s v="Post"/>
    <s v=""/>
    <s v=""/>
    <s v=""/>
    <x v="1"/>
    <s v="Major Donors"/>
    <d v="2024-06-01T00:00:00"/>
    <d v="2024-06-30T00:00:00"/>
    <n v="7000"/>
    <x v="1"/>
    <n v="195.33"/>
    <s v=""/>
    <s v=""/>
    <s v=""/>
  </r>
  <r>
    <x v="897"/>
    <s v="SUP01190"/>
    <x v="1"/>
    <x v="1"/>
    <x v="1"/>
    <d v="2024-06-14T00:00:00"/>
    <n v="11.34"/>
    <s v="Yes"/>
    <s v="Cheque"/>
    <x v="5"/>
    <s v="Direct Mail"/>
    <x v="0"/>
    <s v="Male"/>
    <n v="44"/>
    <x v="4"/>
    <x v="4"/>
    <s v="No Preference"/>
    <s v=""/>
    <s v=""/>
    <s v=""/>
    <x v="1"/>
    <s v="Major Donors"/>
    <d v="2024-06-01T00:00:00"/>
    <d v="2024-06-30T00:00:00"/>
    <n v="7000"/>
    <x v="1"/>
    <n v="14.175000000000001"/>
    <s v=""/>
    <s v=""/>
    <s v=""/>
  </r>
  <r>
    <x v="898"/>
    <s v="SUP01151"/>
    <x v="6"/>
    <x v="6"/>
    <x v="1"/>
    <d v="2024-10-09T00:00:00"/>
    <n v="222.09"/>
    <s v="Yes"/>
    <s v="Cheque"/>
    <x v="6"/>
    <s v="Direct Mail"/>
    <x v="22"/>
    <s v="Male"/>
    <n v="62"/>
    <x v="1"/>
    <x v="1"/>
    <s v="Phone"/>
    <s v=""/>
    <s v="Review - prefers phone but not opted in"/>
    <s v=""/>
    <x v="5"/>
    <s v="Over 55s"/>
    <d v="2024-10-07T00:00:00"/>
    <d v="2024-10-13T00:00:00"/>
    <n v="5000"/>
    <x v="1"/>
    <n v="277.61250000000001"/>
    <s v=""/>
    <s v=""/>
    <s v=""/>
  </r>
  <r>
    <x v="899"/>
    <s v="SUP01481"/>
    <x v="4"/>
    <x v="4"/>
    <x v="2"/>
    <d v="2025-03-17T00:00:00"/>
    <n v="2297.4899999999998"/>
    <s v="Yes"/>
    <s v="PayPal"/>
    <x v="1"/>
    <s v="Telephone"/>
    <x v="6"/>
    <s v="Male"/>
    <n v="46"/>
    <x v="4"/>
    <x v="4"/>
    <s v="Post"/>
    <s v=""/>
    <s v=""/>
    <s v=""/>
    <x v="3"/>
    <s v="Prospects"/>
    <d v="2025-02-01T00:00:00"/>
    <d v="2025-04-30T00:00:00"/>
    <n v="20000"/>
    <x v="4"/>
    <n v="2871.8624999999997"/>
    <s v=""/>
    <s v=""/>
    <s v=""/>
  </r>
  <r>
    <x v="900"/>
    <s v="SUP01143"/>
    <x v="4"/>
    <x v="4"/>
    <x v="2"/>
    <d v="2025-03-13T00:00:00"/>
    <n v="49.11"/>
    <s v="No"/>
    <s v="Direct Debit"/>
    <x v="3"/>
    <s v="Social Media"/>
    <x v="18"/>
    <s v="Female"/>
    <n v="66"/>
    <x v="0"/>
    <x v="0"/>
    <s v="Phone"/>
    <s v=""/>
    <s v=""/>
    <s v=""/>
    <x v="3"/>
    <s v="Prospects"/>
    <d v="2025-02-01T00:00:00"/>
    <d v="2025-04-30T00:00:00"/>
    <n v="20000"/>
    <x v="4"/>
    <n v="49.11"/>
    <s v=""/>
    <s v=""/>
    <s v=""/>
  </r>
  <r>
    <x v="901"/>
    <s v="SUP01439"/>
    <x v="6"/>
    <x v="6"/>
    <x v="1"/>
    <d v="2024-10-10T00:00:00"/>
    <n v="49.47"/>
    <s v="Yes"/>
    <s v="PayPal"/>
    <x v="3"/>
    <s v="Website"/>
    <x v="23"/>
    <s v="Female"/>
    <n v="41"/>
    <x v="4"/>
    <x v="4"/>
    <s v="Email"/>
    <s v=""/>
    <s v="Review - prefers email but not opted in"/>
    <s v=""/>
    <x v="5"/>
    <s v="Over 55s"/>
    <d v="2024-10-07T00:00:00"/>
    <d v="2024-10-13T00:00:00"/>
    <n v="5000"/>
    <x v="1"/>
    <n v="61.837499999999999"/>
    <s v=""/>
    <s v=""/>
    <s v=""/>
  </r>
  <r>
    <x v="902"/>
    <s v="SUP01233"/>
    <x v="8"/>
    <x v="8"/>
    <x v="0"/>
    <d v="2024-12-14T00:00:00"/>
    <n v="71.81"/>
    <s v="Yes"/>
    <s v="Online"/>
    <x v="2"/>
    <s v="Telephone"/>
    <x v="7"/>
    <s v="Female"/>
    <n v="48"/>
    <x v="4"/>
    <x v="4"/>
    <s v="Post"/>
    <s v=""/>
    <s v=""/>
    <s v=""/>
    <x v="7"/>
    <s v="All Active"/>
    <d v="2024-10-15T00:00:00"/>
    <d v="2024-12-20T00:00:00"/>
    <n v="12000"/>
    <x v="2"/>
    <n v="89.762500000000003"/>
    <s v=""/>
    <s v=""/>
    <s v=""/>
  </r>
  <r>
    <x v="903"/>
    <s v="SUP01348"/>
    <x v="7"/>
    <x v="7"/>
    <x v="1"/>
    <d v="2025-03-28T00:00:00"/>
    <n v="70.27"/>
    <s v="Yes"/>
    <s v="Standing Order"/>
    <x v="6"/>
    <s v="Direct Mail"/>
    <x v="9"/>
    <s v="Female"/>
    <n v="49"/>
    <x v="4"/>
    <x v="4"/>
    <s v="Email"/>
    <s v=""/>
    <s v=""/>
    <s v=""/>
    <x v="6"/>
    <s v="Regular Givers"/>
    <d v="2025-03-01T00:00:00"/>
    <d v="2025-04-30T00:00:00"/>
    <n v="8000"/>
    <x v="1"/>
    <n v="87.837499999999991"/>
    <s v=""/>
    <s v=""/>
    <s v=""/>
  </r>
  <r>
    <x v="904"/>
    <s v="SUP01095"/>
    <x v="2"/>
    <x v="2"/>
    <x v="1"/>
    <d v="2024-11-13T00:00:00"/>
    <n v="3278.25"/>
    <s v="No"/>
    <s v="Cash"/>
    <x v="1"/>
    <s v="Referral"/>
    <x v="13"/>
    <s v="Male"/>
    <n v="66"/>
    <x v="0"/>
    <x v="0"/>
    <s v="Phone"/>
    <s v=""/>
    <s v="Review - prefers phone but not opted in"/>
    <s v=""/>
    <x v="2"/>
    <s v="All Active"/>
    <d v="2024-11-01T00:00:00"/>
    <d v="2024-12-31T00:00:00"/>
    <n v="25000"/>
    <x v="2"/>
    <n v="3278.25"/>
    <s v=""/>
    <s v=""/>
    <s v=""/>
  </r>
  <r>
    <x v="905"/>
    <s v="SUP01494"/>
    <x v="9"/>
    <x v="9"/>
    <x v="2"/>
    <d v="2024-07-15T00:00:00"/>
    <n v="89.95"/>
    <s v="Yes"/>
    <s v="Cash"/>
    <x v="4"/>
    <s v="Telephone"/>
    <x v="17"/>
    <s v="Female"/>
    <n v="80"/>
    <x v="0"/>
    <x v="0"/>
    <s v="Post"/>
    <s v=""/>
    <s v=""/>
    <s v=""/>
    <x v="4"/>
    <s v="Major Donors"/>
    <d v="2024-07-15T00:00:00"/>
    <d v="2024-07-15T00:00:00"/>
    <n v="45000"/>
    <x v="1"/>
    <n v="112.4375"/>
    <s v=""/>
    <s v=""/>
    <s v=""/>
  </r>
  <r>
    <x v="906"/>
    <s v="SUP01323"/>
    <x v="0"/>
    <x v="0"/>
    <x v="4"/>
    <d v="2025-03-21T00:00:00"/>
    <n v="14.35"/>
    <s v="Yes"/>
    <s v="PayPal"/>
    <x v="3"/>
    <s v="Telephone"/>
    <x v="30"/>
    <s v="Male"/>
    <n v="76"/>
    <x v="0"/>
    <x v="0"/>
    <s v="Email"/>
    <s v=""/>
    <s v=""/>
    <s v=""/>
    <x v="0"/>
    <s v="One-time Donors"/>
    <d v="2025-01-06T00:00:00"/>
    <d v="2025-03-31T00:00:00"/>
    <n v="10000"/>
    <x v="0"/>
    <n v="17.9375"/>
    <s v=""/>
    <s v=""/>
    <s v=""/>
  </r>
  <r>
    <x v="907"/>
    <s v="SUP01186"/>
    <x v="0"/>
    <x v="0"/>
    <x v="0"/>
    <d v="2025-01-22T00:00:00"/>
    <n v="42.38"/>
    <s v="Yes"/>
    <s v="Cash"/>
    <x v="3"/>
    <s v="Direct Mail"/>
    <x v="8"/>
    <s v="Male"/>
    <s v=""/>
    <x v="2"/>
    <x v="2"/>
    <s v="No Preference"/>
    <s v=""/>
    <s v=""/>
    <s v="Review - missing DOB"/>
    <x v="0"/>
    <s v="One-time Donors"/>
    <d v="2025-01-06T00:00:00"/>
    <d v="2025-03-31T00:00:00"/>
    <n v="10000"/>
    <x v="0"/>
    <n v="52.975000000000001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DB415-0DDB-4E2A-9342-47BDC11DD3A2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 rowHeaderCaption="Campaign Name">
  <location ref="A3:D13" firstHeaderRow="0" firstDataRow="1" firstDataCol="1"/>
  <pivotFields count="30">
    <pivotField dataField="1" showAll="0"/>
    <pivotField showAll="0"/>
    <pivotField axis="axisRow" showAll="0" sortType="descending">
      <items count="11">
        <item x="1"/>
        <item x="8"/>
        <item x="4"/>
        <item x="3"/>
        <item x="6"/>
        <item x="0"/>
        <item x="7"/>
        <item x="9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dataField="1" numFmtId="2" showAll="0"/>
    <pivotField showAll="0"/>
    <pivotField showAll="0"/>
    <pivotField showAll="0"/>
  </pivotFields>
  <rowFields count="1">
    <field x="2"/>
  </rowFields>
  <rowItems count="10">
    <i>
      <x v="9"/>
    </i>
    <i>
      <x v="7"/>
    </i>
    <i>
      <x v="2"/>
    </i>
    <i>
      <x/>
    </i>
    <i>
      <x v="6"/>
    </i>
    <i>
      <x v="1"/>
    </i>
    <i>
      <x v="5"/>
    </i>
    <i>
      <x v="3"/>
    </i>
    <i>
      <x v="8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Income" fld="26" baseField="0" baseItem="0" numFmtId="165"/>
    <dataField name="Responses" fld="0" subtotal="count" baseField="0" baseItem="0"/>
    <dataField name="Avg Gift" fld="26" subtotal="average" baseField="2" baseItem="0" numFmtId="165"/>
  </dataFields>
  <formats count="4"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1F1B3-3014-4BFF-9C02-9B52C21CF602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Campaign_Name">
  <location ref="A3:C13" firstHeaderRow="0" firstDataRow="1" firstDataCol="1"/>
  <pivotFields count="30">
    <pivotField showAll="0"/>
    <pivotField showAll="0"/>
    <pivotField axis="axisRow" showAll="0">
      <items count="11">
        <item x="1"/>
        <item x="8"/>
        <item x="4"/>
        <item x="3"/>
        <item x="6"/>
        <item x="0"/>
        <item x="7"/>
        <item x="9"/>
        <item x="5"/>
        <item x="2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showAll="0"/>
    <pivotField dataField="1" numFmtId="2"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Total Income" fld="26" baseField="2" baseItem="0" numFmtId="165"/>
    <dataField name="Campaign Budget" fld="24" subtotal="max" baseField="2" baseItem="0" numFmtId="165"/>
  </dataFields>
  <formats count="4"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942F2-568C-4A16-851C-35F0D128EE7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E10" firstHeaderRow="0" firstDataRow="1" firstDataCol="1"/>
  <pivotFields count="30">
    <pivotField dataField="1" showAll="0"/>
    <pivotField showAll="0"/>
    <pivotField showAll="0"/>
    <pivotField showAll="0"/>
    <pivotField axis="axisRow" showAll="0" sortType="descending">
      <items count="7">
        <item x="0"/>
        <item x="1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dataField="1" numFmtId="2" showAll="0"/>
    <pivotField showAll="0"/>
    <pivotField showAll="0"/>
    <pivotField showAll="0"/>
  </pivotFields>
  <rowFields count="1">
    <field x="4"/>
  </rowFields>
  <rowItems count="7">
    <i>
      <x v="2"/>
    </i>
    <i>
      <x v="1"/>
    </i>
    <i>
      <x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Responses" fld="0" subtotal="count" baseField="4" baseItem="0"/>
    <dataField name="Total Icome" fld="6" baseField="4" baseItem="0" numFmtId="168"/>
    <dataField name="Total Income (incl GiftAid)" fld="26" baseField="4" baseItem="0" numFmtId="168"/>
    <dataField name="Average of Total Income (incl GiftAid)" fld="26" subtotal="average" baseField="4" baseItem="1" numFmtId="165"/>
  </dataFields>
  <formats count="3">
    <format dxfId="2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D3B81-022F-4358-85D4-EF104EB3D8C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egments">
  <location ref="A3:B11" firstHeaderRow="1" firstDataRow="1" firstDataCol="1"/>
  <pivotFields count="30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 sortType="descending">
      <items count="9">
        <item h="1" x="7"/>
        <item x="2"/>
        <item x="0"/>
        <item x="1"/>
        <item x="6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dataField="1" numFmtId="2" showAll="0"/>
    <pivotField showAll="0"/>
    <pivotField showAll="0"/>
    <pivotField showAll="0"/>
  </pivotFields>
  <rowFields count="1">
    <field x="9"/>
  </rowFields>
  <rowItems count="8">
    <i>
      <x v="3"/>
    </i>
    <i>
      <x v="5"/>
    </i>
    <i>
      <x v="2"/>
    </i>
    <i>
      <x v="4"/>
    </i>
    <i>
      <x v="1"/>
    </i>
    <i>
      <x v="7"/>
    </i>
    <i>
      <x v="6"/>
    </i>
    <i t="grand">
      <x/>
    </i>
  </rowItems>
  <colItems count="1">
    <i/>
  </colItems>
  <dataFields count="1">
    <dataField name="Total Income" fld="26" baseField="9" baseItem="3" numFmtId="168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1D378-B52D-4DFB-B25D-F778F4B64B66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30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 measureFilter="1" sortType="descending">
      <items count="38">
        <item x="35"/>
        <item x="5"/>
        <item x="19"/>
        <item x="14"/>
        <item x="34"/>
        <item x="15"/>
        <item x="25"/>
        <item x="4"/>
        <item x="2"/>
        <item x="29"/>
        <item x="31"/>
        <item x="20"/>
        <item x="28"/>
        <item x="32"/>
        <item x="0"/>
        <item x="18"/>
        <item x="22"/>
        <item x="21"/>
        <item x="13"/>
        <item x="17"/>
        <item x="36"/>
        <item x="1"/>
        <item x="11"/>
        <item x="27"/>
        <item x="26"/>
        <item x="6"/>
        <item x="16"/>
        <item x="7"/>
        <item x="30"/>
        <item x="3"/>
        <item x="33"/>
        <item x="10"/>
        <item x="24"/>
        <item x="9"/>
        <item x="23"/>
        <item x="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dataField="1" numFmtId="2" showAll="0"/>
    <pivotField showAll="0"/>
    <pivotField showAll="0"/>
    <pivotField showAll="0"/>
  </pivotFields>
  <rowFields count="1">
    <field x="11"/>
  </rowFields>
  <rowItems count="6">
    <i>
      <x v="27"/>
    </i>
    <i>
      <x v="16"/>
    </i>
    <i>
      <x v="25"/>
    </i>
    <i>
      <x v="22"/>
    </i>
    <i>
      <x v="29"/>
    </i>
    <i t="grand">
      <x/>
    </i>
  </rowItems>
  <colItems count="1">
    <i/>
  </colItems>
  <dataFields count="1">
    <dataField name="Total Income" fld="26" baseField="11" baseItem="0" numFmtId="168"/>
  </dataFields>
  <formats count="2">
    <format dxfId="14">
      <pivotArea outline="0" collapsedLevelsAreSubtotals="1" fieldPosition="0"/>
    </format>
    <format dxfId="13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7FF6B-5F82-45FA-B3A1-B3FA16FD390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4:L10" firstHeaderRow="1" firstDataRow="1" firstDataCol="1"/>
  <pivotFields count="30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 measureFilter="1" sortType="ascending">
      <items count="38">
        <item x="35"/>
        <item x="5"/>
        <item x="19"/>
        <item x="14"/>
        <item x="34"/>
        <item x="15"/>
        <item x="25"/>
        <item x="4"/>
        <item x="2"/>
        <item x="29"/>
        <item x="31"/>
        <item x="20"/>
        <item x="28"/>
        <item x="32"/>
        <item x="0"/>
        <item x="18"/>
        <item x="22"/>
        <item x="21"/>
        <item x="13"/>
        <item x="17"/>
        <item x="36"/>
        <item x="1"/>
        <item x="11"/>
        <item x="27"/>
        <item x="26"/>
        <item x="6"/>
        <item x="16"/>
        <item x="7"/>
        <item x="30"/>
        <item x="3"/>
        <item x="33"/>
        <item x="10"/>
        <item x="24"/>
        <item x="9"/>
        <item x="23"/>
        <item x="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dataField="1" numFmtId="2" showAll="0"/>
    <pivotField showAll="0"/>
    <pivotField showAll="0"/>
    <pivotField showAll="0"/>
  </pivotFields>
  <rowFields count="1">
    <field x="11"/>
  </rowFields>
  <rowItems count="6">
    <i>
      <x v="4"/>
    </i>
    <i>
      <x v="20"/>
    </i>
    <i>
      <x v="26"/>
    </i>
    <i>
      <x v="2"/>
    </i>
    <i>
      <x v="8"/>
    </i>
    <i t="grand">
      <x/>
    </i>
  </rowItems>
  <colItems count="1">
    <i/>
  </colItems>
  <dataFields count="1">
    <dataField name="Total Income" fld="26" baseField="11" baseItem="4" numFmtId="168"/>
  </dataFields>
  <formats count="1">
    <format dxfId="15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54C42-CE73-4FB6-9D43-730489419649}" name="PivotTable16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30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7">
        <item x="2"/>
        <item x="3"/>
        <item x="4"/>
        <item x="1"/>
        <item x="0"/>
        <item x="5"/>
        <item t="default"/>
      </items>
    </pivotField>
    <pivotField axis="axisRow" showAll="0">
      <items count="7">
        <item x="3"/>
        <item x="4"/>
        <item x="1"/>
        <item x="0"/>
        <item h="1" x="5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dataField="1" numFmtId="2"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Income" fld="26" baseField="14" baseItem="0" numFmtId="168"/>
  </dataFields>
  <formats count="2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18B41-2866-4AE2-A4F8-B62101072BA6}" name="tb1_supporters" displayName="tb1_supporters" ref="A1:AB509" totalsRowShown="0" headerRowDxfId="119" dataDxfId="117" headerRowBorderDxfId="118" tableBorderDxfId="116" totalsRowBorderDxfId="115">
  <autoFilter ref="A1:AB509" xr:uid="{00000000-0009-0000-0000-000000000000}"/>
  <tableColumns count="28">
    <tableColumn id="1" xr3:uid="{DAAA8DFD-0D6E-4929-85E5-2BF084B2503F}" name="Supporter_ID " dataDxfId="114"/>
    <tableColumn id="2" xr3:uid="{95187737-8FC7-42DB-A25F-A5C961C7D181}" name="Title" dataDxfId="113"/>
    <tableColumn id="24" xr3:uid="{7AA84A05-82EA-4A9A-B2E1-E0A815FE968E}" name="First_Name" dataDxfId="112"/>
    <tableColumn id="25" xr3:uid="{CE6887BA-A07E-46B2-B2F2-448C170D9F2B}" name="Last_Name" dataDxfId="111"/>
    <tableColumn id="27" xr3:uid="{A545A904-D6E9-49A9-BFF9-3A18BC88D80B}" name="Email" dataDxfId="110"/>
    <tableColumn id="6" xr3:uid="{0A803A32-2A25-4FE7-A3E9-8D6B2BEB5B35}" name="Phone_Raw" dataDxfId="109"/>
    <tableColumn id="28" xr3:uid="{6E61F6AD-ABD9-46C6-88EC-8E3C5944FA33}" name="Phone_Clean" dataDxfId="108">
      <calculatedColumnFormula>TRIM(SUBSTITUTE(SUBSTITUTE(SUBSTITUTE(SUBSTITUTE(tb1_supporters[[#This Row],[Phone_Raw]],"(",""),")","")," ",""),"+44",))</calculatedColumnFormula>
    </tableColumn>
    <tableColumn id="7" xr3:uid="{3EAC8162-31FA-420E-A28C-C2CF70FAD533}" name="Date_of_Birth" dataDxfId="107"/>
    <tableColumn id="47" xr3:uid="{0BE131D0-3920-4D6B-92D0-44AA0C3D7352}" name="Age" dataDxfId="106">
      <calculatedColumnFormula>IF(OR(tb1_supporters[[#This Row],[Date_of_Birth]]="",tb1_supporters[[#This Row],[Date_of_Birth]]&gt;TODAY()),"",DATEDIF(tb1_supporters[[#This Row],[Date_of_Birth]],TODAY(),"Y"))</calculatedColumnFormula>
    </tableColumn>
    <tableColumn id="48" xr3:uid="{EC685D9D-F868-4893-8895-EEC44421EE52}" name="Age_Band" dataDxfId="105">
      <calculatedColumnFormula>IF(tb1_supporters[[#This Row],[Age]]="","",IF(tb1_supporters[[#This Row],[Age]]&lt;18,"Under 18",IF(tb1_supporters[[#This Row],[Age]]&lt;35,"18-34",IF(tb1_supporters[[#This Row],[Age]]&lt;50,"35-49",IF(tb1_supporters[[#This Row],[Age]]&lt;65,"50-64","65+")))))</calculatedColumnFormula>
    </tableColumn>
    <tableColumn id="36" xr3:uid="{1A9E64BC-F642-4C21-B679-B0F70F6B1A97}" name="Address_Line" dataDxfId="104"/>
    <tableColumn id="37" xr3:uid="{74667AA3-9259-41AD-97A5-7661C0B447AA}" name="Town" dataDxfId="103"/>
    <tableColumn id="11" xr3:uid="{41109D8E-FA78-45FA-9BB2-A61EB9BD1E1F}" name="County" dataDxfId="102"/>
    <tableColumn id="39" xr3:uid="{0B46A7BF-BD28-4022-9D6B-9C4FF59ADCC7}" name="Postcode" dataDxfId="101"/>
    <tableColumn id="41" xr3:uid="{17396EB3-F2E2-4D8D-81D9-8DB573CFD4FC}" name="Gender" dataDxfId="100"/>
    <tableColumn id="14" xr3:uid="{CCE329D6-0187-4169-81B1-C1C4F9E3D1AE}" name="Acquisition_Source" dataDxfId="99"/>
    <tableColumn id="15" xr3:uid="{29BF199C-FE82-4F56-AED3-1F8CE93E7725}" name="Segment" dataDxfId="98"/>
    <tableColumn id="16" xr3:uid="{E107FF42-6341-46F0-8F9D-87B9305BE030}" name="Date_Added" dataDxfId="97"/>
    <tableColumn id="17" xr3:uid="{C1C2D455-BE86-4B66-8AE1-F35DD793C641}" name="Communication_Preference" dataDxfId="96"/>
    <tableColumn id="18" xr3:uid="{92A51DC3-7593-4FFA-BA29-9E68A04D763A}" name="Email_Opt_In" dataDxfId="95"/>
    <tableColumn id="19" xr3:uid="{E5A51DD1-CF95-44C2-8DA7-A1C361649209}" name="Mail_Opt_In" dataDxfId="94"/>
    <tableColumn id="20" xr3:uid="{D7131418-779E-4872-9602-A9AA556B2A72}" name="Phone_Opt_In" dataDxfId="93"/>
    <tableColumn id="21" xr3:uid="{83109CFA-89B2-419C-A356-13148627BA9B}" name="SMS_Opt_In" dataDxfId="92"/>
    <tableColumn id="50" xr3:uid="{3565B58A-EC30-45AF-A23C-61D9760D1CB0}" name="Preference_Compliance_Flag" dataDxfId="91">
      <calculatedColumnFormula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calculatedColumnFormula>
    </tableColumn>
    <tableColumn id="32" xr3:uid="{A19B82E3-D6C6-40ED-A495-7F4CBA444910}" name="Phone_Flags" dataDxfId="90">
      <calculatedColumnFormula>IF(ISNUMBER(SEARCH("onal",tb1_supporters[[#This Row],[Phone_Clean]])),"Review - corrupt phone number", IF(LEN(tb1_supporters[[#This Row],[Phone_Clean]])&gt;11,"Review - too many digits",""))</calculatedColumnFormula>
    </tableColumn>
    <tableColumn id="49" xr3:uid="{9F746084-AF27-4878-94BF-147ED585F02E}" name="DOB_Flag" dataDxfId="89">
      <calculatedColumnFormula>IF(tb1_supporters[[#This Row],[Date_of_Birth]]="","Review - missing DOB", IF(tb1_supporters[[#This Row],[Date_of_Birth]]&gt;TODAY(),"Review - future DOB", IF(tb1_supporters[[#This Row],[Age]]=0, "Review - Z9potential entry error (age 0)", "")))</calculatedColumnFormula>
    </tableColumn>
    <tableColumn id="52" xr3:uid="{6E5CD895-D725-4D87-B333-CF6EE9FDBFDA}" name="Duplicate_Profile_Flag" dataDxfId="88">
      <calculatedColumnFormula>IF(tb1_supporters[[#This Row],[Email]]="","",IF(COUNTIF(tb1_supporters[Email],tb1_supporters[[#This Row],[Email]])&gt;1,"Review - duplicate record, see Supporter_Duplicates tab",""))</calculatedColumnFormula>
    </tableColumn>
    <tableColumn id="53" xr3:uid="{54A13B7E-2994-43E0-A63D-3740C70D9A29}" name="DNC_Flag" dataDxfId="87">
      <calculatedColumnFormula>IF(tb1_supporters[[#This Row],[Communication_Preference]]="Do Not Contact","DO NOT CONTACT","")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284C3A-3EDD-4915-8EC3-B9703A09CAA0}" name="tb2_CampaignResponses" displayName="tb2_CampaignResponses" ref="A1:L909" totalsRowShown="0" headerRowDxfId="86" dataDxfId="84" headerRowBorderDxfId="85" tableBorderDxfId="83" totalsRowBorderDxfId="82">
  <autoFilter ref="A1:L909" xr:uid="{00000000-0009-0000-0000-000001000000}"/>
  <tableColumns count="12">
    <tableColumn id="1" xr3:uid="{5B29C756-EDA6-45A6-A93D-6C9AFACB3F1D}" name="Response_ID" dataDxfId="81"/>
    <tableColumn id="2" xr3:uid="{DBD7125D-A751-407F-94B9-A0DB318C4556}" name="Supporter_ID" dataDxfId="80"/>
    <tableColumn id="3" xr3:uid="{0784EFD1-917A-462D-B758-9D00EAC0F4B0}" name="Campaign_Name" dataDxfId="79"/>
    <tableColumn id="4" xr3:uid="{4D5E455F-B26C-4FB3-89D3-3B4359C27151}" name="Campaign_Code" dataDxfId="78"/>
    <tableColumn id="5" xr3:uid="{4C987988-B32D-416B-A2A2-D52C145BF5A7}" name="Channel" dataDxfId="77"/>
    <tableColumn id="6" xr3:uid="{49423BBD-B4CB-4FE7-B798-6BB70ED16E7E}" name="Response_Date" dataDxfId="76"/>
    <tableColumn id="7" xr3:uid="{8A2E51EB-45DB-4BD6-B34B-43A1C68E3DDE}" name="Gift_Amount" dataDxfId="75" dataCellStyle="Comma"/>
    <tableColumn id="8" xr3:uid="{4D5D5223-8D85-41D5-9FF4-DBA078ADBFF7}" name="Gift_Aid_Eligible" dataDxfId="74"/>
    <tableColumn id="9" xr3:uid="{13739C52-6E49-4388-A981-25A16D2CD9AD}" name="Payment_Method " dataDxfId="73"/>
    <tableColumn id="15" xr3:uid="{2392ECFF-570C-4614-B8D5-E8F0BF53B406}" name="Gift_Flag" dataDxfId="72">
      <calculatedColumnFormula>IF(tb2_CampaignResponses[[#This Row],[Gift_Amount]]&lt;0,"Review - negative amount",IF(tb2_CampaignResponses[[#This Row],[Gift_Amount]]&gt;10000,"Review - unusually large donation",""))</calculatedColumnFormula>
    </tableColumn>
    <tableColumn id="16" xr3:uid="{E38431F1-B94B-4E2B-A408-F5A9FBF7EB22}" name="Support_ID_Flag" dataDxfId="71">
      <calculatedColumnFormula>IF(tb2_CampaignResponses[[#This Row],[Supporter_ID]]="","Review - no supporter ID","")</calculatedColumnFormula>
    </tableColumn>
    <tableColumn id="18" xr3:uid="{EB2D71C7-7799-44BD-BE33-6465DC95FDED}" name="Response_Date_Flag" dataDxfId="70">
      <calculatedColumnFormula>IF(tb2_CampaignResponses[[#This Row],[Response_Date]]&gt;TODAY(),"Review - future response date","")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6789E0-2DD0-4BA5-8EB2-7EB869D57AA2}" name="tb3_CampaignMaster" displayName="tb3_CampaignMaster" ref="A1:H11" totalsRowShown="0" headerRowDxfId="69" dataDxfId="67" headerRowBorderDxfId="68" tableBorderDxfId="66" totalsRowBorderDxfId="65">
  <autoFilter ref="A1:H11" xr:uid="{D56789E0-2DD0-4BA5-8EB2-7EB869D57AA2}"/>
  <tableColumns count="8">
    <tableColumn id="1" xr3:uid="{1B35DED5-719A-47EE-8CAC-C832C031A3B2}" name="Campaign_Name" dataDxfId="64"/>
    <tableColumn id="2" xr3:uid="{B25876FE-E78E-41A4-8E92-80CC12E7D3CE}" name="Campaign_Code" dataDxfId="63"/>
    <tableColumn id="3" xr3:uid="{5D27675F-F7A8-4A76-936C-ACF1CC6AD7BF}" name="Campaign_Type" dataDxfId="62"/>
    <tableColumn id="4" xr3:uid="{DB4AD9E7-68E7-467F-ADF8-29174E4569A8}" name="Target_Audience" dataDxfId="61"/>
    <tableColumn id="5" xr3:uid="{8EDA7476-6819-4C41-80E1-52A3C8427C9B}" name="Start_Date" dataDxfId="60"/>
    <tableColumn id="6" xr3:uid="{38A0B71A-E331-440C-9CCC-C9DA000E5DE3}" name="End_Date" dataDxfId="59"/>
    <tableColumn id="7" xr3:uid="{CEDBA5A6-F5CD-4659-BD3E-56EF4CB80965}" name="Budget_GBP" dataDxfId="58"/>
    <tableColumn id="8" xr3:uid="{9CBE6494-4BE1-4BE3-B0FF-E7A57C5643E5}" name="Primary_Channel" dataDxfId="5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3CFF0E-5991-41BB-91FB-28B87C76DBEA}" name="Table7" displayName="Table7" ref="A1:E25" totalsRowShown="0" headerRowDxfId="126" dataDxfId="125">
  <autoFilter ref="A1:E25" xr:uid="{0E3CFF0E-5991-41BB-91FB-28B87C76DBEA}"/>
  <tableColumns count="5">
    <tableColumn id="1" xr3:uid="{4F40B665-957E-417C-A0A0-8668F67120E3}" name="Table" dataDxfId="124"/>
    <tableColumn id="2" xr3:uid="{1E3C4D71-5DF8-45F8-A034-CB2B991E379D}" name="Column" dataDxfId="123"/>
    <tableColumn id="3" xr3:uid="{ADD06ECE-5AD6-4586-9C95-F93B08569796}" name="Issues Identified" dataDxfId="122"/>
    <tableColumn id="4" xr3:uid="{1D303EAB-98AC-4C54-896E-6E99F78AE566}" name="Resolution" dataDxfId="121"/>
    <tableColumn id="5" xr3:uid="{82EFBE36-B9D7-4707-BABB-563B13DD45A7}" name="Category" dataDxfId="12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358029-BE1D-4793-A18D-21A23DE7C879}" name="Table4" displayName="Table4" ref="A1:AA13" totalsRowShown="0">
  <autoFilter ref="A1:AA13" xr:uid="{49358029-BE1D-4793-A18D-21A23DE7C879}"/>
  <tableColumns count="27">
    <tableColumn id="1" xr3:uid="{899D2A38-4651-4D38-A1E3-D46F9EA52ABA}" name="Supporter_ID "/>
    <tableColumn id="2" xr3:uid="{1C8A9021-AC7C-4A97-8E71-E306B0CC55C7}" name="Title"/>
    <tableColumn id="3" xr3:uid="{6DFFA4D6-496C-4620-A581-94CAC434599E}" name="First_Name"/>
    <tableColumn id="4" xr3:uid="{BAD50806-48A2-4C74-A805-8D6338CB0B55}" name="Last_Name"/>
    <tableColumn id="5" xr3:uid="{DFAE62BC-C9D8-459F-B6AD-E5A6099C6083}" name="Email"/>
    <tableColumn id="6" xr3:uid="{FABD5357-1616-4D2F-90A1-3491962C598C}" name="Phone_Raw"/>
    <tableColumn id="7" xr3:uid="{C844F866-8291-446E-A3AE-A05C4A48A7D3}" name="Phone_Clean"/>
    <tableColumn id="8" xr3:uid="{A71B44D6-9FBF-44D6-BC8B-777024A460C6}" name="Date_of_Birth" dataDxfId="56"/>
    <tableColumn id="9" xr3:uid="{30A852F0-0FC3-4DEF-99EB-A110610E5ACC}" name="Age"/>
    <tableColumn id="10" xr3:uid="{40D1E8EF-A7A4-40F9-9522-97063849B049}" name="Age_Band`"/>
    <tableColumn id="11" xr3:uid="{C58F5E9C-20A2-4212-AE48-F18F69968257}" name="Address_Line"/>
    <tableColumn id="12" xr3:uid="{BBFCFE53-A6D0-45DD-92D6-798CCC233DFD}" name="Town"/>
    <tableColumn id="13" xr3:uid="{2E107EAE-D3A5-45EC-B684-45E6DC8A66E5}" name="County"/>
    <tableColumn id="14" xr3:uid="{DC5E90FE-87C8-42B3-8BE2-E79377EE7617}" name="Postcode"/>
    <tableColumn id="15" xr3:uid="{DD4D9E8A-E86E-4155-933C-47271006AE75}" name="Gender"/>
    <tableColumn id="16" xr3:uid="{53D08FF9-F61E-45C5-B5C1-85EBEE447805}" name="Acquisition_Source"/>
    <tableColumn id="17" xr3:uid="{B16B2BBB-A40D-4798-BA41-40C3BE1E3521}" name="Segment"/>
    <tableColumn id="18" xr3:uid="{A2FF0FB6-6A5E-4F9F-81BB-51A4464443E7}" name="Date_Added"/>
    <tableColumn id="19" xr3:uid="{1BD92CB5-1195-4795-AFDC-2A7D18B10068}" name="Communication_Preference"/>
    <tableColumn id="20" xr3:uid="{C203F3E2-51E9-4D20-B229-17F4A67E8808}" name="Email_Opt_In"/>
    <tableColumn id="21" xr3:uid="{B8300B34-E2A3-402A-9EE8-58AAAECC62A7}" name="Mail_Opt_In"/>
    <tableColumn id="22" xr3:uid="{BD668786-CA5D-4176-8380-A7036A827B02}" name="Phone_Opt_In"/>
    <tableColumn id="23" xr3:uid="{DE540BD2-BAE2-4473-AB17-6A32C38C648A}" name="SMS_Opt_In"/>
    <tableColumn id="24" xr3:uid="{580F2177-5BD2-494A-AD49-74B93D972424}" name="Communication_Preference_Flag"/>
    <tableColumn id="25" xr3:uid="{454595B9-8702-441B-8D64-D71B394B5577}" name="Phone_Flags"/>
    <tableColumn id="26" xr3:uid="{63FE876D-350A-4B3D-A74D-4699B66E4B3A}" name="DOB_Flag"/>
    <tableColumn id="27" xr3:uid="{ECAA91F5-597C-46EC-89E4-F60A4788A818}" name="Duplicate_Profile_Flag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716716-5000-46C9-9453-A140DC334A77}" name="Table8" displayName="Table8" ref="A1:AD909" totalsRowShown="0" headerRowDxfId="55">
  <autoFilter ref="A1:AD909" xr:uid="{00716716-5000-46C9-9453-A140DC334A77}"/>
  <tableColumns count="30">
    <tableColumn id="1" xr3:uid="{226A7EED-51BC-4C6F-86CE-4651709BC263}" name="Response_ID"/>
    <tableColumn id="2" xr3:uid="{5F0C36A1-E9DC-4991-BF46-8F2FC97B9033}" name="Supporter_ID" dataDxfId="54"/>
    <tableColumn id="3" xr3:uid="{68813C9B-10CC-44A4-8F13-7C17A79591F6}" name="Campaign_Name"/>
    <tableColumn id="4" xr3:uid="{94CB8EE9-098A-42B8-9B09-FA3735F99224}" name="Campaign_Code"/>
    <tableColumn id="5" xr3:uid="{7B3A7F9C-8371-4C2C-9F4E-EB630E20342D}" name="Channel"/>
    <tableColumn id="6" xr3:uid="{628401B8-7138-4168-AFE7-F5CC5F31D06F}" name="Response_Date" dataDxfId="53"/>
    <tableColumn id="7" xr3:uid="{6C68F3C1-CC40-41D5-BA6B-60C9FEC7F56D}" name="Gift_Amount"/>
    <tableColumn id="8" xr3:uid="{2CE13329-C32B-4FD8-AF7D-49B35A3CB6F9}" name="Gift_Aid_Eligible"/>
    <tableColumn id="9" xr3:uid="{1CAC5223-1637-4E5C-B797-08F43E62E4AD}" name="Payment_Method "/>
    <tableColumn id="10" xr3:uid="{5E6DE769-13F2-40C6-B0AC-C59DF6033F08}" name="Segment" dataDxfId="52">
      <calculatedColumnFormula>_xlfn.XLOOKUP(Table8[[#This Row],[Supporter_ID]],tb1_supporters[Supporter_ID ],tb1_supporters[Segment],"")</calculatedColumnFormula>
    </tableColumn>
    <tableColumn id="11" xr3:uid="{4E329791-BA38-40E0-8A40-A2D1524CB4BF}" name="Acquisition_Source" dataDxfId="51">
      <calculatedColumnFormula>_xlfn.XLOOKUP(Table8[[#This Row],[Supporter_ID]],tb1_supporters[Supporter_ID ],tb1_supporters[Acquisition_Source],"")</calculatedColumnFormula>
    </tableColumn>
    <tableColumn id="12" xr3:uid="{117B26EC-D59A-4A3F-8D9F-2040E27F8646}" name="County" dataDxfId="50">
      <calculatedColumnFormula>_xlfn.XLOOKUP(Table8[[#This Row],[Supporter_ID]],tb1_supporters[Supporter_ID ],tb1_supporters[County],"")</calculatedColumnFormula>
    </tableColumn>
    <tableColumn id="13" xr3:uid="{4F149C70-09A6-4BA7-9759-24B49530598E}" name="Gender" dataDxfId="49">
      <calculatedColumnFormula>_xlfn.XLOOKUP(Table8[[#This Row],[Supporter_ID]],tb1_supporters[Supporter_ID ],tb1_supporters[Gender],"")</calculatedColumnFormula>
    </tableColumn>
    <tableColumn id="14" xr3:uid="{A33BD970-19ED-422A-BBF0-AB2553A81EBB}" name="Age" dataDxfId="48">
      <calculatedColumnFormula>_xlfn.XLOOKUP(Table8[[#This Row],[Supporter_ID]],tb1_supporters[Supporter_ID ],tb1_supporters[Age],"")</calculatedColumnFormula>
    </tableColumn>
    <tableColumn id="15" xr3:uid="{0B5338C0-BDFF-4430-8913-D503C6A881A6}" name="Age_Band" dataDxfId="47">
      <calculatedColumnFormula>_xlfn.XLOOKUP(Table8[[#This Row],[Supporter_ID]],tb1_supporters[Supporter_ID ],tb1_supporters[Age_Band],"")</calculatedColumnFormula>
    </tableColumn>
    <tableColumn id="30" xr3:uid="{F27150DB-550F-417C-A693-A241ECCC482F}" name="Age_Band_Clean" dataDxfId="46">
      <calculatedColumnFormula>IF(Table8[[#This Row],[Age_Band]]="","Unknown",Table8[[#This Row],[Age_Band]])</calculatedColumnFormula>
    </tableColumn>
    <tableColumn id="16" xr3:uid="{123DB0FE-191E-4AE0-BDFC-D668EBB16EED}" name="Communication_Preference" dataDxfId="45">
      <calculatedColumnFormula>_xlfn.XLOOKUP(Table8[[#This Row],[Supporter_ID]],tb1_supporters[Supporter_ID ],tb1_supporters[Communication_Preference],"")</calculatedColumnFormula>
    </tableColumn>
    <tableColumn id="17" xr3:uid="{C7CA248C-5FEE-4F5D-9EF9-9BE84FBC174B}" name="Duplicate_Profile_Flag" dataDxfId="44">
      <calculatedColumnFormula>_xlfn.XLOOKUP(Table8[[#This Row],[Supporter_ID]],tb1_supporters[Supporter_ID ],tb1_supporters[Duplicate_Profile_Flag],"")</calculatedColumnFormula>
    </tableColumn>
    <tableColumn id="18" xr3:uid="{27859553-5A2D-47D8-9FA4-0356AAB8BA0B}" name="Preference_Compliance_Flag" dataDxfId="43">
      <calculatedColumnFormula>_xlfn.XLOOKUP(Table8[[#This Row],[Supporter_ID]],tb1_supporters[Supporter_ID ],tb1_supporters[Preference_Compliance_Flag],"")</calculatedColumnFormula>
    </tableColumn>
    <tableColumn id="28" xr3:uid="{E83DD1DF-878F-43C5-9056-EA29B83DFCE8}" name="Column1" dataDxfId="42">
      <calculatedColumnFormula>IF(Table8[[#This Row],[Age]]="","Review - missing DOB",IF(Table8[[#This Row],[Age]]&gt;TODAY(),"Review - future DOB",IF(Table8[[#This Row],[Age]]=0,"Review -  potential entry error (age 0)","")))</calculatedColumnFormula>
    </tableColumn>
    <tableColumn id="19" xr3:uid="{A34E6A56-3052-41F3-BFA9-B3A6420DAF48}" name="Campaign_Type" dataDxfId="41">
      <calculatedColumnFormula>_xlfn.XLOOKUP(Table8[[#This Row],[Campaign_Code]],tb3_CampaignMaster[Campaign_Code],tb3_CampaignMaster[Campaign_Type],"")</calculatedColumnFormula>
    </tableColumn>
    <tableColumn id="20" xr3:uid="{1476C053-4E82-4F32-BF1F-402CA7336688}" name="Target_Audience" dataDxfId="40">
      <calculatedColumnFormula>_xlfn.XLOOKUP(Table8[[#This Row],[Campaign_Code]],tb3_CampaignMaster[Campaign_Code],tb3_CampaignMaster[Target_Audience],"")</calculatedColumnFormula>
    </tableColumn>
    <tableColumn id="21" xr3:uid="{600330C5-0AE4-469C-8F79-34E7E74FE584}" name="Start_Date" dataDxfId="39">
      <calculatedColumnFormula>_xlfn.XLOOKUP(Table8[[#This Row],[Campaign_Code]],tb3_CampaignMaster[Campaign_Code],tb3_CampaignMaster[Start_Date],"")</calculatedColumnFormula>
    </tableColumn>
    <tableColumn id="22" xr3:uid="{5B5A63D3-45DD-4271-8A49-660712109882}" name="End_Date" dataDxfId="38">
      <calculatedColumnFormula>_xlfn.XLOOKUP(Table8[[#This Row],[Campaign_Code]],tb3_CampaignMaster[Campaign_Code],tb3_CampaignMaster[End_Date],"")</calculatedColumnFormula>
    </tableColumn>
    <tableColumn id="23" xr3:uid="{CE581649-84FE-499F-B398-2561AA4A218C}" name="Budget_GBP" dataDxfId="37">
      <calculatedColumnFormula>_xlfn.XLOOKUP(Table8[[#This Row],[Campaign_Code]],tb3_CampaignMaster[Campaign_Code],tb3_CampaignMaster[Budget_GBP],"")</calculatedColumnFormula>
    </tableColumn>
    <tableColumn id="24" xr3:uid="{037EE770-921F-4A5D-AE7D-51E449D88824}" name="Primary_Channel" dataDxfId="36">
      <calculatedColumnFormula>_xlfn.XLOOKUP(Table8[[#This Row],[Campaign_Code]],tb3_CampaignMaster[Campaign_Code],tb3_CampaignMaster[Primary_Channel],"")</calculatedColumnFormula>
    </tableColumn>
    <tableColumn id="25" xr3:uid="{495E7728-F198-4443-84DE-D6828EA0B26D}" name="Gift_Value_With_GiftAid" dataDxfId="35">
      <calculatedColumnFormula>IF(Table8[[#This Row],[Gift_Aid_Eligible]]="Yes",Table8[[#This Row],[Gift_Amount]]*1.25,Table8[[#This Row],[Gift_Amount]])</calculatedColumnFormula>
    </tableColumn>
    <tableColumn id="26" xr3:uid="{4DA92288-48E4-4FF7-AB29-3504D98F3454}" name="Supporter_Link_Flag" dataDxfId="34">
      <calculatedColumnFormula>IF(Table8[[#This Row],[Supporter_ID]]="","Review - missing supporter ID","")</calculatedColumnFormula>
    </tableColumn>
    <tableColumn id="27" xr3:uid="{D4FA7685-19C9-46E2-B438-1D9792CDFF13}" name="Date_Range_Flag" dataDxfId="33">
      <calculatedColumnFormula>IF(OR(Table8[[#This Row],[Response_Date]]&lt;Table8[[#This Row],[Start_Date]],Table8[[#This Row],[Response_Date]]&gt;Table8[[#This Row],[End_Date]]),"Review - response outside campaign dates","")</calculatedColumnFormula>
    </tableColumn>
    <tableColumn id="29" xr3:uid="{A841CEA1-92DC-4E25-A40A-A839257FE89B}" name="Campaign_Link_Flag" dataDxfId="32">
      <calculatedColumnFormula>IF(Table8[[#This Row],[Campaign_Type]]="","Review - campaign code not found","")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E7B0378-AEB0-4082-8DD4-FF4B2846B1B9}" name="Table9" displayName="Table9" ref="H3:I13" totalsRowShown="0">
  <autoFilter ref="H3:I13" xr:uid="{CE7B0378-AEB0-4082-8DD4-FF4B2846B1B9}"/>
  <sortState xmlns:xlrd2="http://schemas.microsoft.com/office/spreadsheetml/2017/richdata2" ref="H4:I13">
    <sortCondition descending="1" ref="I4:I13"/>
  </sortState>
  <tableColumns count="2">
    <tableColumn id="1" xr3:uid="{533E1D82-2B2B-466D-ABEB-0088A56158CD}" name="Campaign Name"/>
    <tableColumn id="2" xr3:uid="{145B7496-0BCC-4806-9CB2-D7AE7053F551}" name="Total Income" dataDxfId="2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3FA711-C940-43FD-A950-E7B8A906C10A}" name="Table11" displayName="Table11" ref="I3:J13" totalsRowShown="0">
  <autoFilter ref="I3:J13" xr:uid="{763FA711-C940-43FD-A950-E7B8A906C10A}"/>
  <sortState xmlns:xlrd2="http://schemas.microsoft.com/office/spreadsheetml/2017/richdata2" ref="I4:J13">
    <sortCondition descending="1" ref="J4:J13"/>
  </sortState>
  <tableColumns count="2">
    <tableColumn id="1" xr3:uid="{31D4D4C2-68CB-462F-94F0-1AFE362887AD}" name="Campaign_Name"/>
    <tableColumn id="2" xr3:uid="{B654867A-AC85-4C80-8AE8-F4E226379048}" name="ROI" dataDxfId="2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10990C1-C798-4CEF-A7D0-285E2CC6CB12}" name="Table12" displayName="Table12" ref="I3:J9" totalsRowShown="0">
  <autoFilter ref="I3:J9" xr:uid="{C10990C1-C798-4CEF-A7D0-285E2CC6CB12}"/>
  <tableColumns count="2">
    <tableColumn id="1" xr3:uid="{CCCFE762-38F4-4F35-9A1E-AABABD8F7E4F}" name="Channel"/>
    <tableColumn id="2" xr3:uid="{67F87F2F-C221-4951-8F76-BBC88940F65D}" name="Total Income (incl GiftAid)" dataDxf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9"/>
  <sheetViews>
    <sheetView workbookViewId="0">
      <selection activeCell="H17" sqref="H17"/>
    </sheetView>
  </sheetViews>
  <sheetFormatPr defaultColWidth="8.85546875" defaultRowHeight="15" x14ac:dyDescent="0.25"/>
  <cols>
    <col min="1" max="1" width="14" customWidth="1"/>
    <col min="2" max="2" width="6" customWidth="1"/>
    <col min="3" max="3" width="12" customWidth="1"/>
    <col min="4" max="4" width="14" customWidth="1"/>
    <col min="5" max="5" width="28" customWidth="1"/>
    <col min="6" max="6" width="18" customWidth="1"/>
    <col min="7" max="7" width="14" customWidth="1"/>
    <col min="8" max="8" width="22" customWidth="1"/>
    <col min="9" max="10" width="14" customWidth="1"/>
    <col min="11" max="11" width="16" customWidth="1"/>
    <col min="12" max="12" width="12" customWidth="1"/>
    <col min="13" max="13" width="8" customWidth="1"/>
    <col min="14" max="14" width="16" customWidth="1"/>
    <col min="15" max="16" width="14" customWidth="1"/>
    <col min="17" max="17" width="20" customWidth="1"/>
    <col min="18" max="20" width="12" customWidth="1"/>
    <col min="21" max="21" width="10" customWidth="1"/>
  </cols>
  <sheetData>
    <row r="1" spans="1:2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/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5</v>
      </c>
      <c r="R2" s="2" t="s">
        <v>36</v>
      </c>
      <c r="S2" s="2" t="s">
        <v>36</v>
      </c>
      <c r="T2" s="2" t="s">
        <v>37</v>
      </c>
      <c r="U2" s="2" t="s">
        <v>37</v>
      </c>
    </row>
    <row r="3" spans="1:21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/>
      <c r="J3" s="2" t="s">
        <v>46</v>
      </c>
      <c r="K3" s="2" t="s">
        <v>47</v>
      </c>
      <c r="L3" s="2" t="s">
        <v>48</v>
      </c>
      <c r="M3" s="2" t="s">
        <v>32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36</v>
      </c>
      <c r="S3" s="2" t="s">
        <v>36</v>
      </c>
      <c r="T3" s="2" t="s">
        <v>37</v>
      </c>
      <c r="U3" s="2" t="s">
        <v>36</v>
      </c>
    </row>
    <row r="4" spans="1:21" x14ac:dyDescent="0.25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/>
      <c r="J4" s="2" t="s">
        <v>61</v>
      </c>
      <c r="K4" s="2" t="s">
        <v>62</v>
      </c>
      <c r="L4" s="2" t="s">
        <v>63</v>
      </c>
      <c r="M4" s="2" t="s">
        <v>64</v>
      </c>
      <c r="N4" s="2" t="s">
        <v>65</v>
      </c>
      <c r="O4" s="2" t="s">
        <v>66</v>
      </c>
      <c r="P4" s="2" t="s">
        <v>67</v>
      </c>
      <c r="Q4" s="2" t="s">
        <v>5</v>
      </c>
      <c r="R4" s="2" t="s">
        <v>36</v>
      </c>
      <c r="S4" s="2" t="s">
        <v>36</v>
      </c>
      <c r="T4" s="2" t="s">
        <v>36</v>
      </c>
      <c r="U4" s="2" t="s">
        <v>37</v>
      </c>
    </row>
    <row r="5" spans="1:21" x14ac:dyDescent="0.25">
      <c r="A5" s="2" t="s">
        <v>68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/>
      <c r="J5" s="2" t="s">
        <v>76</v>
      </c>
      <c r="K5" s="2" t="s">
        <v>77</v>
      </c>
      <c r="L5" s="2" t="s">
        <v>78</v>
      </c>
      <c r="M5" s="2" t="s">
        <v>79</v>
      </c>
      <c r="N5" s="2" t="s">
        <v>33</v>
      </c>
      <c r="O5" s="2" t="s">
        <v>34</v>
      </c>
      <c r="P5" s="2" t="s">
        <v>80</v>
      </c>
      <c r="Q5" s="2" t="s">
        <v>52</v>
      </c>
      <c r="R5" s="2" t="s">
        <v>36</v>
      </c>
      <c r="S5" s="2" t="s">
        <v>36</v>
      </c>
      <c r="T5" s="2" t="s">
        <v>36</v>
      </c>
      <c r="U5" s="2" t="s">
        <v>37</v>
      </c>
    </row>
    <row r="6" spans="1:21" x14ac:dyDescent="0.25">
      <c r="A6" s="2" t="s">
        <v>81</v>
      </c>
      <c r="B6" s="2" t="s">
        <v>39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/>
      <c r="J6" s="2" t="s">
        <v>88</v>
      </c>
      <c r="K6" s="2" t="s">
        <v>89</v>
      </c>
      <c r="L6" s="2" t="s">
        <v>90</v>
      </c>
      <c r="M6" s="2" t="s">
        <v>79</v>
      </c>
      <c r="N6" s="2" t="s">
        <v>91</v>
      </c>
      <c r="O6" s="2" t="s">
        <v>34</v>
      </c>
      <c r="P6" s="2" t="s">
        <v>92</v>
      </c>
      <c r="Q6" s="2" t="s">
        <v>93</v>
      </c>
      <c r="R6" s="2" t="s">
        <v>36</v>
      </c>
      <c r="S6" s="2" t="s">
        <v>37</v>
      </c>
      <c r="T6" s="2" t="s">
        <v>37</v>
      </c>
      <c r="U6" s="2" t="s">
        <v>37</v>
      </c>
    </row>
    <row r="7" spans="1:21" x14ac:dyDescent="0.25">
      <c r="A7" s="2" t="s">
        <v>94</v>
      </c>
      <c r="B7" s="2"/>
      <c r="C7" s="2" t="s">
        <v>95</v>
      </c>
      <c r="D7" s="2" t="s">
        <v>96</v>
      </c>
      <c r="E7" s="2"/>
      <c r="F7" s="2" t="s">
        <v>97</v>
      </c>
      <c r="G7" s="2" t="s">
        <v>98</v>
      </c>
      <c r="H7" s="2" t="s">
        <v>99</v>
      </c>
      <c r="I7" s="2"/>
      <c r="J7" s="2" t="s">
        <v>100</v>
      </c>
      <c r="K7" s="2" t="s">
        <v>101</v>
      </c>
      <c r="L7" s="2" t="s">
        <v>102</v>
      </c>
      <c r="M7" s="2" t="s">
        <v>103</v>
      </c>
      <c r="N7" s="2" t="s">
        <v>91</v>
      </c>
      <c r="O7" s="2" t="s">
        <v>50</v>
      </c>
      <c r="P7" s="2" t="s">
        <v>104</v>
      </c>
      <c r="Q7" s="2" t="s">
        <v>105</v>
      </c>
      <c r="R7" s="2" t="s">
        <v>37</v>
      </c>
      <c r="S7" s="2" t="s">
        <v>37</v>
      </c>
      <c r="T7" s="2" t="s">
        <v>37</v>
      </c>
      <c r="U7" s="2" t="s">
        <v>37</v>
      </c>
    </row>
    <row r="8" spans="1:21" x14ac:dyDescent="0.25">
      <c r="A8" s="2" t="s">
        <v>106</v>
      </c>
      <c r="B8" s="2"/>
      <c r="C8" s="2" t="s">
        <v>107</v>
      </c>
      <c r="D8" s="2" t="s">
        <v>108</v>
      </c>
      <c r="E8" s="2" t="s">
        <v>109</v>
      </c>
      <c r="F8" s="2" t="s">
        <v>110</v>
      </c>
      <c r="G8" s="2" t="s">
        <v>111</v>
      </c>
      <c r="H8" s="2" t="s">
        <v>112</v>
      </c>
      <c r="I8" s="2"/>
      <c r="J8" s="2" t="s">
        <v>113</v>
      </c>
      <c r="K8" s="2" t="s">
        <v>114</v>
      </c>
      <c r="L8" s="2" t="s">
        <v>115</v>
      </c>
      <c r="M8" s="2" t="s">
        <v>116</v>
      </c>
      <c r="N8" s="2" t="s">
        <v>117</v>
      </c>
      <c r="O8" s="2" t="s">
        <v>50</v>
      </c>
      <c r="P8" s="2" t="s">
        <v>118</v>
      </c>
      <c r="Q8" s="2" t="s">
        <v>4</v>
      </c>
      <c r="R8" s="2" t="s">
        <v>36</v>
      </c>
      <c r="S8" s="2" t="s">
        <v>37</v>
      </c>
      <c r="T8" s="2" t="s">
        <v>36</v>
      </c>
      <c r="U8" s="2" t="s">
        <v>37</v>
      </c>
    </row>
    <row r="9" spans="1:21" x14ac:dyDescent="0.25">
      <c r="A9" s="2" t="s">
        <v>119</v>
      </c>
      <c r="B9" s="2" t="s">
        <v>54</v>
      </c>
      <c r="C9" s="2" t="s">
        <v>120</v>
      </c>
      <c r="D9" s="2" t="s">
        <v>121</v>
      </c>
      <c r="E9" s="2" t="s">
        <v>122</v>
      </c>
      <c r="F9" s="2" t="s">
        <v>123</v>
      </c>
      <c r="G9" s="2" t="s">
        <v>124</v>
      </c>
      <c r="H9" s="2" t="s">
        <v>125</v>
      </c>
      <c r="I9" s="2"/>
      <c r="J9" s="2" t="s">
        <v>126</v>
      </c>
      <c r="K9" s="2" t="s">
        <v>127</v>
      </c>
      <c r="L9" s="2" t="s">
        <v>128</v>
      </c>
      <c r="M9" s="2" t="s">
        <v>64</v>
      </c>
      <c r="N9" s="2" t="s">
        <v>117</v>
      </c>
      <c r="O9" s="2" t="s">
        <v>34</v>
      </c>
      <c r="P9" s="2" t="s">
        <v>129</v>
      </c>
      <c r="Q9" s="2" t="s">
        <v>93</v>
      </c>
      <c r="R9" s="2" t="s">
        <v>37</v>
      </c>
      <c r="S9" s="2" t="s">
        <v>36</v>
      </c>
      <c r="T9" s="2" t="s">
        <v>36</v>
      </c>
      <c r="U9" s="2" t="s">
        <v>37</v>
      </c>
    </row>
    <row r="10" spans="1:21" x14ac:dyDescent="0.25">
      <c r="A10" s="2" t="s">
        <v>130</v>
      </c>
      <c r="B10" s="2" t="s">
        <v>131</v>
      </c>
      <c r="C10" s="2" t="s">
        <v>132</v>
      </c>
      <c r="D10" s="2" t="s">
        <v>133</v>
      </c>
      <c r="E10" s="2" t="s">
        <v>134</v>
      </c>
      <c r="F10" s="2" t="s">
        <v>135</v>
      </c>
      <c r="G10" s="2" t="s">
        <v>136</v>
      </c>
      <c r="H10" s="2" t="s">
        <v>137</v>
      </c>
      <c r="I10" s="2"/>
      <c r="J10" s="2" t="s">
        <v>138</v>
      </c>
      <c r="K10" s="2" t="s">
        <v>139</v>
      </c>
      <c r="L10" s="2" t="s">
        <v>140</v>
      </c>
      <c r="M10" s="2" t="s">
        <v>32</v>
      </c>
      <c r="N10" s="2" t="s">
        <v>65</v>
      </c>
      <c r="O10" s="2" t="s">
        <v>141</v>
      </c>
      <c r="P10" s="2" t="s">
        <v>142</v>
      </c>
      <c r="Q10" s="2" t="s">
        <v>93</v>
      </c>
      <c r="R10" s="2" t="s">
        <v>37</v>
      </c>
      <c r="S10" s="2" t="s">
        <v>37</v>
      </c>
      <c r="T10" s="2" t="s">
        <v>36</v>
      </c>
      <c r="U10" s="2" t="s">
        <v>37</v>
      </c>
    </row>
    <row r="11" spans="1:21" x14ac:dyDescent="0.25">
      <c r="A11" s="2" t="s">
        <v>143</v>
      </c>
      <c r="B11" s="2" t="s">
        <v>69</v>
      </c>
      <c r="C11" s="2" t="s">
        <v>144</v>
      </c>
      <c r="D11" s="2" t="s">
        <v>145</v>
      </c>
      <c r="E11" s="2" t="s">
        <v>146</v>
      </c>
      <c r="F11" s="2" t="s">
        <v>147</v>
      </c>
      <c r="G11" s="2" t="s">
        <v>148</v>
      </c>
      <c r="H11" s="2" t="s">
        <v>149</v>
      </c>
      <c r="I11" s="2"/>
      <c r="J11" s="2" t="s">
        <v>150</v>
      </c>
      <c r="K11" s="2" t="s">
        <v>151</v>
      </c>
      <c r="L11" s="2" t="s">
        <v>152</v>
      </c>
      <c r="M11" s="2" t="s">
        <v>116</v>
      </c>
      <c r="N11" s="2" t="s">
        <v>153</v>
      </c>
      <c r="O11" s="2" t="s">
        <v>154</v>
      </c>
      <c r="P11" s="2" t="s">
        <v>155</v>
      </c>
      <c r="Q11" s="2" t="s">
        <v>4</v>
      </c>
      <c r="R11" s="2" t="s">
        <v>36</v>
      </c>
      <c r="S11" s="2" t="s">
        <v>36</v>
      </c>
      <c r="T11" s="2" t="s">
        <v>36</v>
      </c>
      <c r="U11" s="2" t="s">
        <v>36</v>
      </c>
    </row>
    <row r="12" spans="1:21" x14ac:dyDescent="0.25">
      <c r="A12" s="2" t="s">
        <v>156</v>
      </c>
      <c r="B12" s="2" t="s">
        <v>54</v>
      </c>
      <c r="C12" s="2" t="s">
        <v>157</v>
      </c>
      <c r="D12" s="2" t="s">
        <v>158</v>
      </c>
      <c r="E12" s="2" t="s">
        <v>159</v>
      </c>
      <c r="F12" s="2" t="s">
        <v>160</v>
      </c>
      <c r="G12" s="2" t="s">
        <v>161</v>
      </c>
      <c r="H12" s="2" t="s">
        <v>162</v>
      </c>
      <c r="I12" s="2"/>
      <c r="J12" s="2" t="s">
        <v>163</v>
      </c>
      <c r="K12" s="2" t="s">
        <v>164</v>
      </c>
      <c r="L12" s="2" t="s">
        <v>165</v>
      </c>
      <c r="M12" s="2" t="s">
        <v>166</v>
      </c>
      <c r="N12" s="2" t="s">
        <v>167</v>
      </c>
      <c r="O12" s="2" t="s">
        <v>154</v>
      </c>
      <c r="P12" s="2" t="s">
        <v>168</v>
      </c>
      <c r="Q12" s="2" t="s">
        <v>93</v>
      </c>
      <c r="R12" s="2" t="s">
        <v>36</v>
      </c>
      <c r="S12" s="2" t="s">
        <v>36</v>
      </c>
      <c r="T12" s="2" t="s">
        <v>36</v>
      </c>
      <c r="U12" s="2" t="s">
        <v>37</v>
      </c>
    </row>
    <row r="13" spans="1:21" x14ac:dyDescent="0.25">
      <c r="A13" s="2" t="s">
        <v>169</v>
      </c>
      <c r="B13" s="2" t="s">
        <v>170</v>
      </c>
      <c r="C13" s="2" t="s">
        <v>171</v>
      </c>
      <c r="D13" s="2" t="s">
        <v>172</v>
      </c>
      <c r="E13" s="2" t="s">
        <v>173</v>
      </c>
      <c r="F13" s="2" t="s">
        <v>174</v>
      </c>
      <c r="G13" s="2" t="s">
        <v>175</v>
      </c>
      <c r="H13" s="2" t="s">
        <v>176</v>
      </c>
      <c r="I13" s="2"/>
      <c r="J13" s="2" t="s">
        <v>177</v>
      </c>
      <c r="K13" s="2" t="s">
        <v>178</v>
      </c>
      <c r="L13" s="2" t="s">
        <v>179</v>
      </c>
      <c r="M13" s="2" t="s">
        <v>180</v>
      </c>
      <c r="N13" s="2" t="s">
        <v>181</v>
      </c>
      <c r="O13" s="2" t="s">
        <v>154</v>
      </c>
      <c r="P13" s="2" t="s">
        <v>182</v>
      </c>
      <c r="Q13" s="2" t="s">
        <v>5</v>
      </c>
      <c r="R13" s="2" t="s">
        <v>36</v>
      </c>
      <c r="S13" s="2" t="s">
        <v>36</v>
      </c>
      <c r="T13" s="2" t="s">
        <v>36</v>
      </c>
      <c r="U13" s="2" t="s">
        <v>37</v>
      </c>
    </row>
    <row r="14" spans="1:21" x14ac:dyDescent="0.25">
      <c r="A14" s="2" t="s">
        <v>183</v>
      </c>
      <c r="B14" s="2" t="s">
        <v>184</v>
      </c>
      <c r="C14" s="2" t="s">
        <v>185</v>
      </c>
      <c r="D14" s="2" t="s">
        <v>186</v>
      </c>
      <c r="E14" s="2" t="s">
        <v>187</v>
      </c>
      <c r="F14" s="2" t="s">
        <v>188</v>
      </c>
      <c r="G14" s="2" t="s">
        <v>189</v>
      </c>
      <c r="H14" s="2" t="s">
        <v>190</v>
      </c>
      <c r="I14" s="2"/>
      <c r="J14" s="2" t="s">
        <v>138</v>
      </c>
      <c r="K14" s="2" t="s">
        <v>139</v>
      </c>
      <c r="L14" s="2" t="s">
        <v>140</v>
      </c>
      <c r="M14" s="2" t="s">
        <v>191</v>
      </c>
      <c r="N14" s="2" t="s">
        <v>117</v>
      </c>
      <c r="O14" s="2" t="s">
        <v>192</v>
      </c>
      <c r="P14" s="2" t="s">
        <v>193</v>
      </c>
      <c r="Q14" s="2" t="s">
        <v>4</v>
      </c>
      <c r="R14" s="2" t="s">
        <v>36</v>
      </c>
      <c r="S14" s="2" t="s">
        <v>36</v>
      </c>
      <c r="T14" s="2" t="s">
        <v>36</v>
      </c>
      <c r="U14" s="2" t="s">
        <v>37</v>
      </c>
    </row>
    <row r="15" spans="1:21" x14ac:dyDescent="0.25">
      <c r="A15" s="2" t="s">
        <v>194</v>
      </c>
      <c r="B15" s="2" t="s">
        <v>195</v>
      </c>
      <c r="C15" s="2" t="s">
        <v>196</v>
      </c>
      <c r="D15" s="2" t="s">
        <v>197</v>
      </c>
      <c r="E15" s="2" t="s">
        <v>198</v>
      </c>
      <c r="F15" s="2" t="s">
        <v>199</v>
      </c>
      <c r="G15" s="2" t="s">
        <v>200</v>
      </c>
      <c r="H15" s="2" t="s">
        <v>201</v>
      </c>
      <c r="I15" s="2"/>
      <c r="J15" s="2" t="s">
        <v>126</v>
      </c>
      <c r="K15" s="2" t="s">
        <v>127</v>
      </c>
      <c r="L15" s="2" t="s">
        <v>128</v>
      </c>
      <c r="M15" s="2" t="s">
        <v>32</v>
      </c>
      <c r="N15" s="2" t="s">
        <v>33</v>
      </c>
      <c r="O15" s="2" t="s">
        <v>34</v>
      </c>
      <c r="P15" s="2" t="s">
        <v>202</v>
      </c>
      <c r="Q15" s="2" t="s">
        <v>4</v>
      </c>
      <c r="R15" s="2" t="s">
        <v>36</v>
      </c>
      <c r="S15" s="2" t="s">
        <v>36</v>
      </c>
      <c r="T15" s="2" t="s">
        <v>37</v>
      </c>
      <c r="U15" s="2" t="s">
        <v>36</v>
      </c>
    </row>
    <row r="16" spans="1:21" x14ac:dyDescent="0.25">
      <c r="A16" s="2" t="s">
        <v>203</v>
      </c>
      <c r="B16" s="2" t="s">
        <v>39</v>
      </c>
      <c r="C16" s="2" t="s">
        <v>204</v>
      </c>
      <c r="D16" s="2" t="s">
        <v>205</v>
      </c>
      <c r="E16" s="2" t="s">
        <v>206</v>
      </c>
      <c r="F16" s="2" t="s">
        <v>207</v>
      </c>
      <c r="G16" s="2" t="s">
        <v>208</v>
      </c>
      <c r="H16" s="2" t="s">
        <v>209</v>
      </c>
      <c r="I16" s="2"/>
      <c r="J16" s="2" t="s">
        <v>177</v>
      </c>
      <c r="K16" s="2" t="s">
        <v>178</v>
      </c>
      <c r="L16" s="2" t="s">
        <v>210</v>
      </c>
      <c r="M16" s="2" t="s">
        <v>32</v>
      </c>
      <c r="N16" s="2" t="s">
        <v>65</v>
      </c>
      <c r="O16" s="2" t="s">
        <v>154</v>
      </c>
      <c r="P16" s="2" t="s">
        <v>211</v>
      </c>
      <c r="Q16" s="2" t="s">
        <v>4</v>
      </c>
      <c r="R16" s="2" t="s">
        <v>36</v>
      </c>
      <c r="S16" s="2" t="s">
        <v>36</v>
      </c>
      <c r="T16" s="2" t="s">
        <v>37</v>
      </c>
      <c r="U16" s="2" t="s">
        <v>37</v>
      </c>
    </row>
    <row r="17" spans="1:21" x14ac:dyDescent="0.25">
      <c r="A17" s="2" t="s">
        <v>212</v>
      </c>
      <c r="B17" s="2" t="s">
        <v>54</v>
      </c>
      <c r="C17" s="2" t="s">
        <v>213</v>
      </c>
      <c r="D17" s="2" t="s">
        <v>214</v>
      </c>
      <c r="E17" s="2" t="s">
        <v>215</v>
      </c>
      <c r="F17" s="2" t="s">
        <v>216</v>
      </c>
      <c r="G17" s="2" t="s">
        <v>217</v>
      </c>
      <c r="H17" s="2" t="s">
        <v>218</v>
      </c>
      <c r="I17" s="2"/>
      <c r="J17" s="2" t="s">
        <v>219</v>
      </c>
      <c r="K17" s="2" t="s">
        <v>220</v>
      </c>
      <c r="L17" s="2" t="s">
        <v>221</v>
      </c>
      <c r="M17" s="2" t="s">
        <v>116</v>
      </c>
      <c r="N17" s="2" t="s">
        <v>91</v>
      </c>
      <c r="O17" s="2" t="s">
        <v>50</v>
      </c>
      <c r="P17" s="2" t="s">
        <v>222</v>
      </c>
      <c r="Q17" s="2" t="s">
        <v>4</v>
      </c>
      <c r="R17" s="2" t="s">
        <v>36</v>
      </c>
      <c r="S17" s="2" t="s">
        <v>36</v>
      </c>
      <c r="T17" s="2" t="s">
        <v>37</v>
      </c>
      <c r="U17" s="2" t="s">
        <v>37</v>
      </c>
    </row>
    <row r="18" spans="1:21" x14ac:dyDescent="0.25">
      <c r="A18" s="2" t="s">
        <v>223</v>
      </c>
      <c r="B18" s="2" t="s">
        <v>170</v>
      </c>
      <c r="C18" s="2" t="s">
        <v>224</v>
      </c>
      <c r="D18" s="2" t="s">
        <v>225</v>
      </c>
      <c r="E18" s="2"/>
      <c r="F18" s="2" t="s">
        <v>226</v>
      </c>
      <c r="G18" s="2" t="s">
        <v>227</v>
      </c>
      <c r="H18" s="2" t="s">
        <v>228</v>
      </c>
      <c r="I18" s="2"/>
      <c r="J18" s="2" t="s">
        <v>229</v>
      </c>
      <c r="K18" s="2" t="s">
        <v>230</v>
      </c>
      <c r="L18" s="2" t="s">
        <v>231</v>
      </c>
      <c r="M18" s="2" t="s">
        <v>232</v>
      </c>
      <c r="N18" s="2" t="s">
        <v>181</v>
      </c>
      <c r="O18" s="2" t="s">
        <v>192</v>
      </c>
      <c r="P18" s="2" t="s">
        <v>233</v>
      </c>
      <c r="Q18" s="2" t="s">
        <v>4</v>
      </c>
      <c r="R18" s="2" t="s">
        <v>36</v>
      </c>
      <c r="S18" s="2" t="s">
        <v>37</v>
      </c>
      <c r="T18" s="2" t="s">
        <v>36</v>
      </c>
      <c r="U18" s="2" t="s">
        <v>37</v>
      </c>
    </row>
    <row r="19" spans="1:21" x14ac:dyDescent="0.25">
      <c r="A19" s="2" t="s">
        <v>234</v>
      </c>
      <c r="B19" s="2" t="s">
        <v>235</v>
      </c>
      <c r="C19" s="2" t="s">
        <v>236</v>
      </c>
      <c r="D19" s="2" t="s">
        <v>237</v>
      </c>
      <c r="E19" s="2" t="s">
        <v>238</v>
      </c>
      <c r="F19" s="2" t="s">
        <v>239</v>
      </c>
      <c r="G19" s="2" t="s">
        <v>240</v>
      </c>
      <c r="H19" s="2" t="s">
        <v>241</v>
      </c>
      <c r="I19" s="2"/>
      <c r="J19" s="2" t="s">
        <v>229</v>
      </c>
      <c r="K19" s="2" t="s">
        <v>230</v>
      </c>
      <c r="L19" s="2" t="s">
        <v>231</v>
      </c>
      <c r="M19" s="2" t="s">
        <v>242</v>
      </c>
      <c r="N19" s="2" t="s">
        <v>33</v>
      </c>
      <c r="O19" s="2" t="s">
        <v>243</v>
      </c>
      <c r="P19" s="2" t="s">
        <v>244</v>
      </c>
      <c r="Q19" s="2" t="s">
        <v>4</v>
      </c>
      <c r="R19" s="2" t="s">
        <v>36</v>
      </c>
      <c r="S19" s="2" t="s">
        <v>36</v>
      </c>
      <c r="T19" s="2" t="s">
        <v>36</v>
      </c>
      <c r="U19" s="2" t="s">
        <v>36</v>
      </c>
    </row>
    <row r="20" spans="1:21" x14ac:dyDescent="0.25">
      <c r="A20" s="2" t="s">
        <v>245</v>
      </c>
      <c r="B20" s="2"/>
      <c r="C20" s="2" t="s">
        <v>246</v>
      </c>
      <c r="D20" s="2" t="s">
        <v>247</v>
      </c>
      <c r="E20" s="2" t="s">
        <v>248</v>
      </c>
      <c r="F20" s="2" t="s">
        <v>249</v>
      </c>
      <c r="G20" s="2" t="s">
        <v>250</v>
      </c>
      <c r="H20" s="2" t="s">
        <v>251</v>
      </c>
      <c r="I20" s="2"/>
      <c r="J20" s="2" t="s">
        <v>252</v>
      </c>
      <c r="K20" s="2" t="s">
        <v>253</v>
      </c>
      <c r="L20" s="2" t="s">
        <v>254</v>
      </c>
      <c r="M20" s="2" t="s">
        <v>32</v>
      </c>
      <c r="N20" s="2" t="s">
        <v>49</v>
      </c>
      <c r="O20" s="2" t="s">
        <v>141</v>
      </c>
      <c r="P20" s="2" t="s">
        <v>255</v>
      </c>
      <c r="Q20" s="2" t="s">
        <v>52</v>
      </c>
      <c r="R20" s="2" t="s">
        <v>36</v>
      </c>
      <c r="S20" s="2" t="s">
        <v>36</v>
      </c>
      <c r="T20" s="2" t="s">
        <v>37</v>
      </c>
      <c r="U20" s="2" t="s">
        <v>36</v>
      </c>
    </row>
    <row r="21" spans="1:21" x14ac:dyDescent="0.25">
      <c r="A21" s="2" t="s">
        <v>256</v>
      </c>
      <c r="B21" s="2" t="s">
        <v>54</v>
      </c>
      <c r="C21" s="2" t="s">
        <v>257</v>
      </c>
      <c r="D21" s="2" t="s">
        <v>258</v>
      </c>
      <c r="E21" s="2" t="s">
        <v>259</v>
      </c>
      <c r="F21" s="2" t="s">
        <v>260</v>
      </c>
      <c r="G21" s="2" t="s">
        <v>261</v>
      </c>
      <c r="H21" s="2" t="s">
        <v>262</v>
      </c>
      <c r="I21" s="2"/>
      <c r="J21" s="2" t="s">
        <v>113</v>
      </c>
      <c r="K21" s="2" t="s">
        <v>114</v>
      </c>
      <c r="L21" s="2" t="s">
        <v>115</v>
      </c>
      <c r="M21" s="2" t="s">
        <v>191</v>
      </c>
      <c r="N21" s="2" t="s">
        <v>181</v>
      </c>
      <c r="O21" s="2" t="s">
        <v>192</v>
      </c>
      <c r="P21" s="2" t="s">
        <v>263</v>
      </c>
      <c r="Q21" s="2" t="s">
        <v>52</v>
      </c>
      <c r="R21" s="2" t="s">
        <v>36</v>
      </c>
      <c r="S21" s="2" t="s">
        <v>36</v>
      </c>
      <c r="T21" s="2" t="s">
        <v>37</v>
      </c>
      <c r="U21" s="2" t="s">
        <v>37</v>
      </c>
    </row>
    <row r="22" spans="1:21" x14ac:dyDescent="0.25">
      <c r="A22" s="2" t="s">
        <v>264</v>
      </c>
      <c r="B22" s="2" t="s">
        <v>131</v>
      </c>
      <c r="C22" s="2" t="s">
        <v>265</v>
      </c>
      <c r="D22" s="2" t="s">
        <v>266</v>
      </c>
      <c r="E22" s="2" t="s">
        <v>267</v>
      </c>
      <c r="F22" s="2" t="s">
        <v>268</v>
      </c>
      <c r="G22" s="2" t="s">
        <v>269</v>
      </c>
      <c r="H22" s="2" t="s">
        <v>270</v>
      </c>
      <c r="I22" s="2"/>
      <c r="J22" s="2" t="s">
        <v>138</v>
      </c>
      <c r="K22" s="2" t="s">
        <v>139</v>
      </c>
      <c r="L22" s="2" t="s">
        <v>140</v>
      </c>
      <c r="M22" s="2" t="s">
        <v>232</v>
      </c>
      <c r="N22" s="2" t="s">
        <v>49</v>
      </c>
      <c r="O22" s="2" t="s">
        <v>66</v>
      </c>
      <c r="P22" s="2" t="s">
        <v>271</v>
      </c>
      <c r="Q22" s="2" t="s">
        <v>4</v>
      </c>
      <c r="R22" s="2" t="s">
        <v>36</v>
      </c>
      <c r="S22" s="2" t="s">
        <v>37</v>
      </c>
      <c r="T22" s="2" t="s">
        <v>36</v>
      </c>
      <c r="U22" s="2" t="s">
        <v>36</v>
      </c>
    </row>
    <row r="23" spans="1:21" x14ac:dyDescent="0.25">
      <c r="A23" s="2" t="s">
        <v>272</v>
      </c>
      <c r="B23" s="2" t="s">
        <v>195</v>
      </c>
      <c r="C23" s="2" t="s">
        <v>265</v>
      </c>
      <c r="D23" s="2" t="s">
        <v>273</v>
      </c>
      <c r="E23" s="2" t="s">
        <v>274</v>
      </c>
      <c r="F23" s="2" t="s">
        <v>275</v>
      </c>
      <c r="G23" s="2" t="s">
        <v>276</v>
      </c>
      <c r="H23" s="2" t="s">
        <v>277</v>
      </c>
      <c r="I23" s="2"/>
      <c r="J23" s="2" t="s">
        <v>278</v>
      </c>
      <c r="K23" s="2" t="s">
        <v>279</v>
      </c>
      <c r="L23" s="2" t="s">
        <v>280</v>
      </c>
      <c r="M23" s="2" t="s">
        <v>103</v>
      </c>
      <c r="N23" s="2" t="s">
        <v>167</v>
      </c>
      <c r="O23" s="2" t="s">
        <v>50</v>
      </c>
      <c r="P23" s="2" t="s">
        <v>281</v>
      </c>
      <c r="Q23" s="2" t="s">
        <v>93</v>
      </c>
      <c r="R23" s="2" t="s">
        <v>36</v>
      </c>
      <c r="S23" s="2" t="s">
        <v>36</v>
      </c>
      <c r="T23" s="2" t="s">
        <v>36</v>
      </c>
      <c r="U23" s="2" t="s">
        <v>37</v>
      </c>
    </row>
    <row r="24" spans="1:21" x14ac:dyDescent="0.25">
      <c r="A24" s="2" t="s">
        <v>282</v>
      </c>
      <c r="B24" s="2" t="s">
        <v>39</v>
      </c>
      <c r="C24" s="2" t="s">
        <v>283</v>
      </c>
      <c r="D24" s="2" t="s">
        <v>205</v>
      </c>
      <c r="E24" s="2" t="s">
        <v>284</v>
      </c>
      <c r="F24" s="2" t="s">
        <v>285</v>
      </c>
      <c r="G24" s="2" t="s">
        <v>286</v>
      </c>
      <c r="H24" s="2" t="s">
        <v>287</v>
      </c>
      <c r="I24" s="2"/>
      <c r="J24" s="2" t="s">
        <v>88</v>
      </c>
      <c r="K24" s="2" t="s">
        <v>89</v>
      </c>
      <c r="L24" s="2" t="s">
        <v>90</v>
      </c>
      <c r="M24" s="2" t="s">
        <v>103</v>
      </c>
      <c r="N24" s="2" t="s">
        <v>65</v>
      </c>
      <c r="O24" s="2" t="s">
        <v>243</v>
      </c>
      <c r="P24" s="2" t="s">
        <v>288</v>
      </c>
      <c r="Q24" s="2" t="s">
        <v>105</v>
      </c>
      <c r="R24" s="2" t="s">
        <v>37</v>
      </c>
      <c r="S24" s="2" t="s">
        <v>37</v>
      </c>
      <c r="T24" s="2" t="s">
        <v>37</v>
      </c>
      <c r="U24" s="2" t="s">
        <v>37</v>
      </c>
    </row>
    <row r="25" spans="1:21" x14ac:dyDescent="0.25">
      <c r="A25" s="2" t="s">
        <v>289</v>
      </c>
      <c r="B25" s="2" t="s">
        <v>69</v>
      </c>
      <c r="C25" s="2" t="s">
        <v>290</v>
      </c>
      <c r="D25" s="2" t="s">
        <v>291</v>
      </c>
      <c r="E25" s="2" t="s">
        <v>292</v>
      </c>
      <c r="F25" s="2" t="s">
        <v>293</v>
      </c>
      <c r="G25" s="2" t="s">
        <v>294</v>
      </c>
      <c r="H25" s="2" t="s">
        <v>295</v>
      </c>
      <c r="I25" s="2"/>
      <c r="J25" s="2" t="s">
        <v>296</v>
      </c>
      <c r="K25" s="2" t="s">
        <v>297</v>
      </c>
      <c r="L25" s="2" t="s">
        <v>298</v>
      </c>
      <c r="M25" s="2" t="s">
        <v>79</v>
      </c>
      <c r="N25" s="2" t="s">
        <v>181</v>
      </c>
      <c r="O25" s="2" t="s">
        <v>243</v>
      </c>
      <c r="P25" s="2" t="s">
        <v>299</v>
      </c>
      <c r="Q25" s="2" t="s">
        <v>52</v>
      </c>
      <c r="R25" s="2" t="s">
        <v>36</v>
      </c>
      <c r="S25" s="2" t="s">
        <v>36</v>
      </c>
      <c r="T25" s="2" t="s">
        <v>36</v>
      </c>
      <c r="U25" s="2" t="s">
        <v>37</v>
      </c>
    </row>
    <row r="26" spans="1:21" x14ac:dyDescent="0.25">
      <c r="A26" s="2" t="s">
        <v>300</v>
      </c>
      <c r="B26" s="2"/>
      <c r="C26" s="2" t="s">
        <v>301</v>
      </c>
      <c r="D26" s="2" t="s">
        <v>83</v>
      </c>
      <c r="E26" s="2" t="s">
        <v>302</v>
      </c>
      <c r="F26" s="2" t="s">
        <v>303</v>
      </c>
      <c r="G26" s="2" t="s">
        <v>304</v>
      </c>
      <c r="H26" s="2" t="s">
        <v>305</v>
      </c>
      <c r="I26" s="2"/>
      <c r="J26" s="2" t="s">
        <v>29</v>
      </c>
      <c r="K26" s="2" t="s">
        <v>30</v>
      </c>
      <c r="L26" s="2" t="s">
        <v>31</v>
      </c>
      <c r="M26" s="2" t="s">
        <v>166</v>
      </c>
      <c r="N26" s="2" t="s">
        <v>153</v>
      </c>
      <c r="O26" s="2" t="s">
        <v>154</v>
      </c>
      <c r="P26" s="2" t="s">
        <v>306</v>
      </c>
      <c r="Q26" s="2" t="s">
        <v>93</v>
      </c>
      <c r="R26" s="2" t="s">
        <v>36</v>
      </c>
      <c r="S26" s="2" t="s">
        <v>36</v>
      </c>
      <c r="T26" s="2" t="s">
        <v>36</v>
      </c>
      <c r="U26" s="2" t="s">
        <v>37</v>
      </c>
    </row>
    <row r="27" spans="1:21" x14ac:dyDescent="0.25">
      <c r="A27" s="2" t="s">
        <v>307</v>
      </c>
      <c r="B27" s="2" t="s">
        <v>235</v>
      </c>
      <c r="C27" s="2" t="s">
        <v>308</v>
      </c>
      <c r="D27" s="2" t="s">
        <v>309</v>
      </c>
      <c r="E27" s="2" t="s">
        <v>310</v>
      </c>
      <c r="F27" s="2" t="s">
        <v>311</v>
      </c>
      <c r="G27" s="2" t="s">
        <v>312</v>
      </c>
      <c r="H27" s="2" t="s">
        <v>137</v>
      </c>
      <c r="I27" s="2"/>
      <c r="J27" s="2" t="s">
        <v>76</v>
      </c>
      <c r="K27" s="2" t="s">
        <v>77</v>
      </c>
      <c r="L27" s="2" t="s">
        <v>78</v>
      </c>
      <c r="M27" s="2" t="s">
        <v>32</v>
      </c>
      <c r="N27" s="2" t="s">
        <v>33</v>
      </c>
      <c r="O27" s="2" t="s">
        <v>66</v>
      </c>
      <c r="P27" s="2" t="s">
        <v>313</v>
      </c>
      <c r="Q27" s="2" t="s">
        <v>5</v>
      </c>
      <c r="R27" s="2" t="s">
        <v>36</v>
      </c>
      <c r="S27" s="2" t="s">
        <v>36</v>
      </c>
      <c r="T27" s="2" t="s">
        <v>37</v>
      </c>
      <c r="U27" s="2" t="s">
        <v>37</v>
      </c>
    </row>
    <row r="28" spans="1:21" x14ac:dyDescent="0.25">
      <c r="A28" s="2" t="s">
        <v>314</v>
      </c>
      <c r="B28" s="2" t="s">
        <v>170</v>
      </c>
      <c r="C28" s="2" t="s">
        <v>246</v>
      </c>
      <c r="D28" s="2" t="s">
        <v>145</v>
      </c>
      <c r="E28" s="2" t="s">
        <v>315</v>
      </c>
      <c r="F28" s="2" t="s">
        <v>316</v>
      </c>
      <c r="G28" s="2" t="s">
        <v>317</v>
      </c>
      <c r="H28" s="2" t="s">
        <v>318</v>
      </c>
      <c r="I28" s="2"/>
      <c r="J28" s="2" t="s">
        <v>319</v>
      </c>
      <c r="K28" s="2" t="s">
        <v>320</v>
      </c>
      <c r="L28" s="2" t="s">
        <v>321</v>
      </c>
      <c r="M28" s="2" t="s">
        <v>180</v>
      </c>
      <c r="N28" s="2" t="s">
        <v>167</v>
      </c>
      <c r="O28" s="2" t="s">
        <v>50</v>
      </c>
      <c r="P28" s="2" t="s">
        <v>322</v>
      </c>
      <c r="Q28" s="2" t="s">
        <v>5</v>
      </c>
      <c r="R28" s="2" t="s">
        <v>37</v>
      </c>
      <c r="S28" s="2" t="s">
        <v>36</v>
      </c>
      <c r="T28" s="2" t="s">
        <v>37</v>
      </c>
      <c r="U28" s="2" t="s">
        <v>36</v>
      </c>
    </row>
    <row r="29" spans="1:21" x14ac:dyDescent="0.25">
      <c r="A29" s="2" t="s">
        <v>323</v>
      </c>
      <c r="B29" s="2" t="s">
        <v>39</v>
      </c>
      <c r="C29" s="2" t="s">
        <v>324</v>
      </c>
      <c r="D29" s="2" t="s">
        <v>325</v>
      </c>
      <c r="E29" s="2" t="s">
        <v>326</v>
      </c>
      <c r="F29" s="2" t="s">
        <v>327</v>
      </c>
      <c r="G29" s="2"/>
      <c r="H29" s="2" t="s">
        <v>328</v>
      </c>
      <c r="I29" s="2"/>
      <c r="J29" s="2" t="s">
        <v>278</v>
      </c>
      <c r="K29" s="2" t="s">
        <v>279</v>
      </c>
      <c r="L29" s="2" t="s">
        <v>280</v>
      </c>
      <c r="M29" s="2" t="s">
        <v>191</v>
      </c>
      <c r="N29" s="2" t="s">
        <v>181</v>
      </c>
      <c r="O29" s="2" t="s">
        <v>192</v>
      </c>
      <c r="P29" s="2" t="s">
        <v>329</v>
      </c>
      <c r="Q29" s="2" t="s">
        <v>5</v>
      </c>
      <c r="R29" s="2" t="s">
        <v>36</v>
      </c>
      <c r="S29" s="2" t="s">
        <v>36</v>
      </c>
      <c r="T29" s="2" t="s">
        <v>36</v>
      </c>
      <c r="U29" s="2" t="s">
        <v>36</v>
      </c>
    </row>
    <row r="30" spans="1:21" x14ac:dyDescent="0.25">
      <c r="A30" s="2" t="s">
        <v>330</v>
      </c>
      <c r="B30" s="2" t="s">
        <v>54</v>
      </c>
      <c r="C30" s="2" t="s">
        <v>82</v>
      </c>
      <c r="D30" s="2" t="s">
        <v>108</v>
      </c>
      <c r="E30" s="2" t="s">
        <v>331</v>
      </c>
      <c r="F30" s="2" t="s">
        <v>332</v>
      </c>
      <c r="G30" s="2" t="s">
        <v>333</v>
      </c>
      <c r="H30" s="2" t="s">
        <v>334</v>
      </c>
      <c r="I30" s="2"/>
      <c r="J30" s="2" t="s">
        <v>252</v>
      </c>
      <c r="K30" s="2" t="s">
        <v>253</v>
      </c>
      <c r="L30" s="2"/>
      <c r="M30" s="2" t="s">
        <v>191</v>
      </c>
      <c r="N30" s="2" t="s">
        <v>49</v>
      </c>
      <c r="O30" s="2" t="s">
        <v>154</v>
      </c>
      <c r="P30" s="2" t="s">
        <v>335</v>
      </c>
      <c r="Q30" s="2" t="s">
        <v>93</v>
      </c>
      <c r="R30" s="2" t="s">
        <v>36</v>
      </c>
      <c r="S30" s="2" t="s">
        <v>36</v>
      </c>
      <c r="T30" s="2" t="s">
        <v>36</v>
      </c>
      <c r="U30" s="2" t="s">
        <v>36</v>
      </c>
    </row>
    <row r="31" spans="1:21" x14ac:dyDescent="0.25">
      <c r="A31" s="2" t="s">
        <v>336</v>
      </c>
      <c r="B31" s="2" t="s">
        <v>69</v>
      </c>
      <c r="C31" s="2" t="s">
        <v>337</v>
      </c>
      <c r="D31" s="2" t="s">
        <v>338</v>
      </c>
      <c r="E31" s="2" t="s">
        <v>339</v>
      </c>
      <c r="F31" s="2" t="s">
        <v>340</v>
      </c>
      <c r="G31" s="2" t="s">
        <v>341</v>
      </c>
      <c r="H31" s="2" t="s">
        <v>342</v>
      </c>
      <c r="I31" s="2"/>
      <c r="J31" s="2" t="s">
        <v>100</v>
      </c>
      <c r="K31" s="2" t="s">
        <v>101</v>
      </c>
      <c r="L31" s="2" t="s">
        <v>343</v>
      </c>
      <c r="M31" s="2" t="s">
        <v>79</v>
      </c>
      <c r="N31" s="2" t="s">
        <v>65</v>
      </c>
      <c r="O31" s="2" t="s">
        <v>243</v>
      </c>
      <c r="P31" s="2" t="s">
        <v>344</v>
      </c>
      <c r="Q31" s="2" t="s">
        <v>5</v>
      </c>
      <c r="R31" s="2" t="s">
        <v>36</v>
      </c>
      <c r="S31" s="2" t="s">
        <v>36</v>
      </c>
      <c r="T31" s="2" t="s">
        <v>37</v>
      </c>
      <c r="U31" s="2" t="s">
        <v>36</v>
      </c>
    </row>
    <row r="32" spans="1:21" x14ac:dyDescent="0.25">
      <c r="A32" s="2" t="s">
        <v>345</v>
      </c>
      <c r="B32" s="2" t="s">
        <v>22</v>
      </c>
      <c r="C32" s="2" t="s">
        <v>346</v>
      </c>
      <c r="D32" s="2" t="s">
        <v>197</v>
      </c>
      <c r="E32" s="2"/>
      <c r="F32" s="2" t="s">
        <v>347</v>
      </c>
      <c r="G32" s="2" t="s">
        <v>348</v>
      </c>
      <c r="H32" s="2" t="s">
        <v>349</v>
      </c>
      <c r="I32" s="2"/>
      <c r="J32" s="2" t="s">
        <v>76</v>
      </c>
      <c r="K32" s="2" t="s">
        <v>77</v>
      </c>
      <c r="L32" s="2" t="s">
        <v>78</v>
      </c>
      <c r="M32" s="2" t="s">
        <v>180</v>
      </c>
      <c r="N32" s="2" t="s">
        <v>49</v>
      </c>
      <c r="O32" s="2" t="s">
        <v>50</v>
      </c>
      <c r="P32" s="2" t="s">
        <v>350</v>
      </c>
      <c r="Q32" s="2" t="s">
        <v>4</v>
      </c>
      <c r="R32" s="2" t="s">
        <v>36</v>
      </c>
      <c r="S32" s="2" t="s">
        <v>36</v>
      </c>
      <c r="T32" s="2" t="s">
        <v>37</v>
      </c>
      <c r="U32" s="2" t="s">
        <v>37</v>
      </c>
    </row>
    <row r="33" spans="1:21" x14ac:dyDescent="0.25">
      <c r="A33" s="2" t="s">
        <v>351</v>
      </c>
      <c r="B33" s="2"/>
      <c r="C33" s="2" t="s">
        <v>308</v>
      </c>
      <c r="D33" s="2" t="s">
        <v>172</v>
      </c>
      <c r="E33" s="2" t="s">
        <v>352</v>
      </c>
      <c r="F33" s="2" t="s">
        <v>353</v>
      </c>
      <c r="G33" s="2" t="s">
        <v>354</v>
      </c>
      <c r="H33" s="2" t="s">
        <v>355</v>
      </c>
      <c r="I33" s="2"/>
      <c r="J33" s="2" t="s">
        <v>296</v>
      </c>
      <c r="K33" s="2" t="s">
        <v>297</v>
      </c>
      <c r="L33" s="2" t="s">
        <v>298</v>
      </c>
      <c r="M33" s="2" t="s">
        <v>180</v>
      </c>
      <c r="N33" s="2" t="s">
        <v>153</v>
      </c>
      <c r="O33" s="2" t="s">
        <v>66</v>
      </c>
      <c r="P33" s="2" t="s">
        <v>356</v>
      </c>
      <c r="Q33" s="2" t="s">
        <v>5</v>
      </c>
      <c r="R33" s="2" t="s">
        <v>36</v>
      </c>
      <c r="S33" s="2" t="s">
        <v>36</v>
      </c>
      <c r="T33" s="2" t="s">
        <v>36</v>
      </c>
      <c r="U33" s="2" t="s">
        <v>36</v>
      </c>
    </row>
    <row r="34" spans="1:21" x14ac:dyDescent="0.25">
      <c r="A34" s="2" t="s">
        <v>357</v>
      </c>
      <c r="B34" s="2" t="s">
        <v>195</v>
      </c>
      <c r="C34" s="2" t="s">
        <v>196</v>
      </c>
      <c r="D34" s="2" t="s">
        <v>41</v>
      </c>
      <c r="E34" s="2" t="s">
        <v>358</v>
      </c>
      <c r="F34" s="2" t="s">
        <v>359</v>
      </c>
      <c r="G34" s="2" t="s">
        <v>360</v>
      </c>
      <c r="H34" s="2" t="s">
        <v>361</v>
      </c>
      <c r="I34" s="2"/>
      <c r="J34" s="2" t="s">
        <v>319</v>
      </c>
      <c r="K34" s="2" t="s">
        <v>320</v>
      </c>
      <c r="L34" s="2" t="s">
        <v>321</v>
      </c>
      <c r="M34" s="2" t="s">
        <v>180</v>
      </c>
      <c r="N34" s="2" t="s">
        <v>49</v>
      </c>
      <c r="O34" s="2" t="s">
        <v>141</v>
      </c>
      <c r="P34" s="2" t="s">
        <v>362</v>
      </c>
      <c r="Q34" s="2" t="s">
        <v>93</v>
      </c>
      <c r="R34" s="2" t="s">
        <v>36</v>
      </c>
      <c r="S34" s="2" t="s">
        <v>37</v>
      </c>
      <c r="T34" s="2" t="s">
        <v>36</v>
      </c>
      <c r="U34" s="2" t="s">
        <v>37</v>
      </c>
    </row>
    <row r="35" spans="1:21" x14ac:dyDescent="0.25">
      <c r="A35" s="2" t="s">
        <v>363</v>
      </c>
      <c r="B35" s="2" t="s">
        <v>69</v>
      </c>
      <c r="C35" s="2" t="s">
        <v>364</v>
      </c>
      <c r="D35" s="2" t="s">
        <v>365</v>
      </c>
      <c r="E35" s="2" t="s">
        <v>366</v>
      </c>
      <c r="F35" s="2" t="s">
        <v>367</v>
      </c>
      <c r="G35" s="2" t="s">
        <v>368</v>
      </c>
      <c r="H35" s="2" t="s">
        <v>369</v>
      </c>
      <c r="I35" s="2"/>
      <c r="J35" s="2" t="s">
        <v>370</v>
      </c>
      <c r="K35" s="2" t="s">
        <v>371</v>
      </c>
      <c r="L35" s="2" t="s">
        <v>372</v>
      </c>
      <c r="M35" s="2" t="s">
        <v>166</v>
      </c>
      <c r="N35" s="2" t="s">
        <v>33</v>
      </c>
      <c r="O35" s="2" t="s">
        <v>141</v>
      </c>
      <c r="P35" s="2" t="s">
        <v>373</v>
      </c>
      <c r="Q35" s="2" t="s">
        <v>5</v>
      </c>
      <c r="R35" s="2" t="s">
        <v>36</v>
      </c>
      <c r="S35" s="2" t="s">
        <v>36</v>
      </c>
      <c r="T35" s="2" t="s">
        <v>37</v>
      </c>
      <c r="U35" s="2" t="s">
        <v>37</v>
      </c>
    </row>
    <row r="36" spans="1:21" x14ac:dyDescent="0.25">
      <c r="A36" s="2" t="s">
        <v>374</v>
      </c>
      <c r="B36" s="2" t="s">
        <v>39</v>
      </c>
      <c r="C36" s="2" t="s">
        <v>185</v>
      </c>
      <c r="D36" s="2" t="s">
        <v>375</v>
      </c>
      <c r="E36" s="2" t="s">
        <v>376</v>
      </c>
      <c r="F36" s="2" t="s">
        <v>377</v>
      </c>
      <c r="G36" s="2" t="s">
        <v>378</v>
      </c>
      <c r="H36" s="2" t="s">
        <v>379</v>
      </c>
      <c r="I36" s="2"/>
      <c r="J36" s="2" t="s">
        <v>252</v>
      </c>
      <c r="K36" s="2" t="s">
        <v>253</v>
      </c>
      <c r="L36" s="2" t="s">
        <v>254</v>
      </c>
      <c r="M36" s="2" t="s">
        <v>79</v>
      </c>
      <c r="N36" s="2" t="s">
        <v>117</v>
      </c>
      <c r="O36" s="2" t="s">
        <v>154</v>
      </c>
      <c r="P36" s="2" t="s">
        <v>380</v>
      </c>
      <c r="Q36" s="2" t="s">
        <v>93</v>
      </c>
      <c r="R36" s="2" t="s">
        <v>36</v>
      </c>
      <c r="S36" s="2" t="s">
        <v>36</v>
      </c>
      <c r="T36" s="2" t="s">
        <v>37</v>
      </c>
      <c r="U36" s="2" t="s">
        <v>37</v>
      </c>
    </row>
    <row r="37" spans="1:21" x14ac:dyDescent="0.25">
      <c r="A37" s="2" t="s">
        <v>381</v>
      </c>
      <c r="B37" s="2" t="s">
        <v>22</v>
      </c>
      <c r="C37" s="2" t="s">
        <v>382</v>
      </c>
      <c r="D37" s="2" t="s">
        <v>172</v>
      </c>
      <c r="E37" s="2" t="s">
        <v>383</v>
      </c>
      <c r="F37" s="2" t="s">
        <v>384</v>
      </c>
      <c r="G37" s="2" t="s">
        <v>385</v>
      </c>
      <c r="H37" s="2" t="s">
        <v>386</v>
      </c>
      <c r="I37" s="2"/>
      <c r="J37" s="2" t="s">
        <v>387</v>
      </c>
      <c r="K37" s="2" t="s">
        <v>388</v>
      </c>
      <c r="L37" s="2" t="s">
        <v>389</v>
      </c>
      <c r="M37" s="2" t="s">
        <v>32</v>
      </c>
      <c r="N37" s="2" t="s">
        <v>91</v>
      </c>
      <c r="O37" s="2" t="s">
        <v>34</v>
      </c>
      <c r="P37" s="2" t="s">
        <v>390</v>
      </c>
      <c r="Q37" s="2" t="s">
        <v>5</v>
      </c>
      <c r="R37" s="2" t="s">
        <v>36</v>
      </c>
      <c r="S37" s="2" t="s">
        <v>36</v>
      </c>
      <c r="T37" s="2" t="s">
        <v>36</v>
      </c>
      <c r="U37" s="2" t="s">
        <v>37</v>
      </c>
    </row>
    <row r="38" spans="1:21" x14ac:dyDescent="0.25">
      <c r="A38" s="2" t="s">
        <v>391</v>
      </c>
      <c r="B38" s="2" t="s">
        <v>235</v>
      </c>
      <c r="C38" s="2" t="s">
        <v>392</v>
      </c>
      <c r="D38" s="2" t="s">
        <v>375</v>
      </c>
      <c r="E38" s="2" t="s">
        <v>393</v>
      </c>
      <c r="F38" s="2" t="s">
        <v>394</v>
      </c>
      <c r="G38" s="2" t="s">
        <v>395</v>
      </c>
      <c r="H38" s="2" t="s">
        <v>396</v>
      </c>
      <c r="I38" s="2"/>
      <c r="J38" s="2" t="s">
        <v>397</v>
      </c>
      <c r="K38" s="2" t="s">
        <v>220</v>
      </c>
      <c r="L38" s="2" t="s">
        <v>398</v>
      </c>
      <c r="M38" s="2" t="s">
        <v>32</v>
      </c>
      <c r="N38" s="2" t="s">
        <v>91</v>
      </c>
      <c r="O38" s="2" t="s">
        <v>192</v>
      </c>
      <c r="P38" s="2" t="s">
        <v>399</v>
      </c>
      <c r="Q38" s="2" t="s">
        <v>4</v>
      </c>
      <c r="R38" s="2" t="s">
        <v>400</v>
      </c>
      <c r="S38" s="2" t="s">
        <v>37</v>
      </c>
      <c r="T38" s="2" t="s">
        <v>37</v>
      </c>
      <c r="U38" s="2" t="s">
        <v>37</v>
      </c>
    </row>
    <row r="39" spans="1:21" x14ac:dyDescent="0.25">
      <c r="A39" s="2" t="s">
        <v>401</v>
      </c>
      <c r="B39" s="2" t="s">
        <v>402</v>
      </c>
      <c r="C39" s="2" t="s">
        <v>403</v>
      </c>
      <c r="D39" s="2" t="s">
        <v>258</v>
      </c>
      <c r="E39" s="2" t="s">
        <v>404</v>
      </c>
      <c r="F39" s="2" t="s">
        <v>405</v>
      </c>
      <c r="G39" s="2" t="s">
        <v>406</v>
      </c>
      <c r="H39" s="2" t="s">
        <v>407</v>
      </c>
      <c r="I39" s="2"/>
      <c r="J39" s="2" t="s">
        <v>408</v>
      </c>
      <c r="K39" s="2" t="s">
        <v>409</v>
      </c>
      <c r="L39" s="2" t="s">
        <v>410</v>
      </c>
      <c r="M39" s="2" t="s">
        <v>232</v>
      </c>
      <c r="N39" s="2" t="s">
        <v>33</v>
      </c>
      <c r="O39" s="2" t="s">
        <v>34</v>
      </c>
      <c r="P39" s="2" t="s">
        <v>411</v>
      </c>
      <c r="Q39" s="2" t="s">
        <v>93</v>
      </c>
      <c r="R39" s="2" t="s">
        <v>36</v>
      </c>
      <c r="S39" s="2" t="s">
        <v>36</v>
      </c>
      <c r="T39" s="2" t="s">
        <v>36</v>
      </c>
      <c r="U39" s="2" t="s">
        <v>36</v>
      </c>
    </row>
    <row r="40" spans="1:21" x14ac:dyDescent="0.25">
      <c r="A40" s="2" t="s">
        <v>412</v>
      </c>
      <c r="B40" s="2"/>
      <c r="C40" s="2" t="s">
        <v>413</v>
      </c>
      <c r="D40" s="2" t="s">
        <v>414</v>
      </c>
      <c r="E40" s="2" t="s">
        <v>415</v>
      </c>
      <c r="F40" s="2" t="s">
        <v>416</v>
      </c>
      <c r="G40" s="2" t="s">
        <v>417</v>
      </c>
      <c r="H40" s="2" t="s">
        <v>418</v>
      </c>
      <c r="I40" s="2"/>
      <c r="J40" s="2" t="s">
        <v>419</v>
      </c>
      <c r="K40" s="2" t="s">
        <v>420</v>
      </c>
      <c r="L40" s="2" t="s">
        <v>421</v>
      </c>
      <c r="M40" s="2" t="s">
        <v>180</v>
      </c>
      <c r="N40" s="2" t="s">
        <v>65</v>
      </c>
      <c r="O40" s="2" t="s">
        <v>34</v>
      </c>
      <c r="P40" s="2" t="s">
        <v>422</v>
      </c>
      <c r="Q40" s="2" t="s">
        <v>52</v>
      </c>
      <c r="R40" s="2" t="s">
        <v>36</v>
      </c>
      <c r="S40" s="2" t="s">
        <v>37</v>
      </c>
      <c r="T40" s="2" t="s">
        <v>37</v>
      </c>
      <c r="U40" s="2" t="s">
        <v>36</v>
      </c>
    </row>
    <row r="41" spans="1:21" x14ac:dyDescent="0.25">
      <c r="A41" s="2" t="s">
        <v>423</v>
      </c>
      <c r="B41" s="2" t="s">
        <v>184</v>
      </c>
      <c r="C41" s="2" t="s">
        <v>424</v>
      </c>
      <c r="D41" s="2" t="s">
        <v>425</v>
      </c>
      <c r="E41" s="2" t="s">
        <v>426</v>
      </c>
      <c r="F41" s="2" t="s">
        <v>427</v>
      </c>
      <c r="G41" s="2"/>
      <c r="H41" s="2" t="s">
        <v>428</v>
      </c>
      <c r="I41" s="2"/>
      <c r="J41" s="2" t="s">
        <v>429</v>
      </c>
      <c r="K41" s="2" t="s">
        <v>430</v>
      </c>
      <c r="L41" s="2" t="s">
        <v>431</v>
      </c>
      <c r="M41" s="2" t="s">
        <v>116</v>
      </c>
      <c r="N41" s="2" t="s">
        <v>65</v>
      </c>
      <c r="O41" s="2" t="s">
        <v>66</v>
      </c>
      <c r="P41" s="2" t="s">
        <v>432</v>
      </c>
      <c r="Q41" s="2" t="s">
        <v>52</v>
      </c>
      <c r="R41" s="2" t="s">
        <v>36</v>
      </c>
      <c r="S41" s="2" t="s">
        <v>36</v>
      </c>
      <c r="T41" s="2" t="s">
        <v>37</v>
      </c>
      <c r="U41" s="2" t="s">
        <v>37</v>
      </c>
    </row>
    <row r="42" spans="1:21" x14ac:dyDescent="0.25">
      <c r="A42" s="2" t="s">
        <v>433</v>
      </c>
      <c r="B42" s="2" t="s">
        <v>54</v>
      </c>
      <c r="C42" s="2" t="s">
        <v>434</v>
      </c>
      <c r="D42" s="2" t="s">
        <v>435</v>
      </c>
      <c r="E42" s="2" t="s">
        <v>436</v>
      </c>
      <c r="F42" s="2" t="s">
        <v>437</v>
      </c>
      <c r="G42" s="2" t="s">
        <v>438</v>
      </c>
      <c r="H42" s="2" t="s">
        <v>439</v>
      </c>
      <c r="I42" s="2"/>
      <c r="J42" s="2" t="s">
        <v>419</v>
      </c>
      <c r="K42" s="2" t="s">
        <v>420</v>
      </c>
      <c r="L42" s="2" t="s">
        <v>421</v>
      </c>
      <c r="M42" s="2" t="s">
        <v>191</v>
      </c>
      <c r="N42" s="2" t="s">
        <v>117</v>
      </c>
      <c r="O42" s="2" t="s">
        <v>66</v>
      </c>
      <c r="P42" s="2" t="s">
        <v>440</v>
      </c>
      <c r="Q42" s="2" t="s">
        <v>52</v>
      </c>
      <c r="R42" s="2" t="s">
        <v>36</v>
      </c>
      <c r="S42" s="2" t="s">
        <v>36</v>
      </c>
      <c r="T42" s="2" t="s">
        <v>36</v>
      </c>
      <c r="U42" s="2" t="s">
        <v>37</v>
      </c>
    </row>
    <row r="43" spans="1:21" x14ac:dyDescent="0.25">
      <c r="A43" s="2" t="s">
        <v>441</v>
      </c>
      <c r="B43" s="2" t="s">
        <v>170</v>
      </c>
      <c r="C43" s="2" t="s">
        <v>308</v>
      </c>
      <c r="D43" s="2" t="s">
        <v>225</v>
      </c>
      <c r="E43" s="2" t="s">
        <v>442</v>
      </c>
      <c r="F43" s="2" t="s">
        <v>443</v>
      </c>
      <c r="G43" s="2" t="s">
        <v>444</v>
      </c>
      <c r="H43" s="2" t="s">
        <v>445</v>
      </c>
      <c r="I43" s="2"/>
      <c r="J43" s="2" t="s">
        <v>150</v>
      </c>
      <c r="K43" s="2" t="s">
        <v>151</v>
      </c>
      <c r="L43" s="2" t="s">
        <v>152</v>
      </c>
      <c r="M43" s="2" t="s">
        <v>32</v>
      </c>
      <c r="N43" s="2" t="s">
        <v>181</v>
      </c>
      <c r="O43" s="2" t="s">
        <v>66</v>
      </c>
      <c r="P43" s="2" t="s">
        <v>446</v>
      </c>
      <c r="Q43" s="2" t="s">
        <v>93</v>
      </c>
      <c r="R43" s="2" t="s">
        <v>36</v>
      </c>
      <c r="S43" s="2" t="s">
        <v>36</v>
      </c>
      <c r="T43" s="2" t="s">
        <v>36</v>
      </c>
      <c r="U43" s="2" t="s">
        <v>36</v>
      </c>
    </row>
    <row r="44" spans="1:21" x14ac:dyDescent="0.25">
      <c r="A44" s="2" t="s">
        <v>447</v>
      </c>
      <c r="B44" s="2" t="s">
        <v>69</v>
      </c>
      <c r="C44" s="2" t="s">
        <v>448</v>
      </c>
      <c r="D44" s="2" t="s">
        <v>449</v>
      </c>
      <c r="E44" s="2" t="s">
        <v>450</v>
      </c>
      <c r="F44" s="2" t="s">
        <v>451</v>
      </c>
      <c r="G44" s="2" t="s">
        <v>452</v>
      </c>
      <c r="H44" s="2" t="s">
        <v>453</v>
      </c>
      <c r="I44" s="2"/>
      <c r="J44" s="2" t="s">
        <v>454</v>
      </c>
      <c r="K44" s="2" t="s">
        <v>455</v>
      </c>
      <c r="L44" s="2" t="s">
        <v>456</v>
      </c>
      <c r="M44" s="2" t="s">
        <v>166</v>
      </c>
      <c r="N44" s="2" t="s">
        <v>153</v>
      </c>
      <c r="O44" s="2" t="s">
        <v>243</v>
      </c>
      <c r="P44" s="2" t="s">
        <v>457</v>
      </c>
      <c r="Q44" s="2" t="s">
        <v>5</v>
      </c>
      <c r="R44" s="2" t="s">
        <v>36</v>
      </c>
      <c r="S44" s="2" t="s">
        <v>36</v>
      </c>
      <c r="T44" s="2" t="s">
        <v>37</v>
      </c>
      <c r="U44" s="2" t="s">
        <v>36</v>
      </c>
    </row>
    <row r="45" spans="1:21" x14ac:dyDescent="0.25">
      <c r="A45" s="2" t="s">
        <v>458</v>
      </c>
      <c r="B45" s="2" t="s">
        <v>54</v>
      </c>
      <c r="C45" s="2" t="s">
        <v>459</v>
      </c>
      <c r="D45" s="2" t="s">
        <v>365</v>
      </c>
      <c r="E45" s="2" t="s">
        <v>460</v>
      </c>
      <c r="F45" s="2" t="s">
        <v>461</v>
      </c>
      <c r="G45" s="2" t="s">
        <v>462</v>
      </c>
      <c r="H45" s="2" t="s">
        <v>463</v>
      </c>
      <c r="I45" s="2"/>
      <c r="J45" s="2" t="s">
        <v>419</v>
      </c>
      <c r="K45" s="2" t="s">
        <v>420</v>
      </c>
      <c r="L45" s="2" t="s">
        <v>421</v>
      </c>
      <c r="M45" s="2" t="s">
        <v>116</v>
      </c>
      <c r="N45" s="2" t="s">
        <v>65</v>
      </c>
      <c r="O45" s="2" t="s">
        <v>66</v>
      </c>
      <c r="P45" s="2" t="s">
        <v>464</v>
      </c>
      <c r="Q45" s="2" t="s">
        <v>4</v>
      </c>
      <c r="R45" s="2" t="s">
        <v>36</v>
      </c>
      <c r="S45" s="2" t="s">
        <v>36</v>
      </c>
      <c r="T45" s="2" t="s">
        <v>37</v>
      </c>
      <c r="U45" s="2" t="s">
        <v>37</v>
      </c>
    </row>
    <row r="46" spans="1:21" x14ac:dyDescent="0.25">
      <c r="A46" s="2" t="s">
        <v>465</v>
      </c>
      <c r="B46" s="2" t="s">
        <v>402</v>
      </c>
      <c r="C46" s="2" t="s">
        <v>246</v>
      </c>
      <c r="D46" s="2" t="s">
        <v>56</v>
      </c>
      <c r="E46" s="2" t="s">
        <v>466</v>
      </c>
      <c r="F46" s="2" t="s">
        <v>467</v>
      </c>
      <c r="G46" s="2" t="s">
        <v>468</v>
      </c>
      <c r="H46" s="2" t="s">
        <v>469</v>
      </c>
      <c r="I46" s="2"/>
      <c r="J46" s="2" t="s">
        <v>126</v>
      </c>
      <c r="K46" s="2" t="s">
        <v>127</v>
      </c>
      <c r="L46" s="2" t="s">
        <v>128</v>
      </c>
      <c r="M46" s="2" t="s">
        <v>32</v>
      </c>
      <c r="N46" s="2" t="s">
        <v>91</v>
      </c>
      <c r="O46" s="2" t="s">
        <v>243</v>
      </c>
      <c r="P46" s="2" t="s">
        <v>470</v>
      </c>
      <c r="Q46" s="2" t="s">
        <v>5</v>
      </c>
      <c r="R46" s="2" t="s">
        <v>36</v>
      </c>
      <c r="S46" s="2" t="s">
        <v>37</v>
      </c>
      <c r="T46" s="2" t="s">
        <v>36</v>
      </c>
      <c r="U46" s="2" t="s">
        <v>36</v>
      </c>
    </row>
    <row r="47" spans="1:21" x14ac:dyDescent="0.25">
      <c r="A47" s="2" t="s">
        <v>471</v>
      </c>
      <c r="B47" s="2"/>
      <c r="C47" s="2" t="s">
        <v>472</v>
      </c>
      <c r="D47" s="2" t="s">
        <v>473</v>
      </c>
      <c r="E47" s="2" t="s">
        <v>474</v>
      </c>
      <c r="F47" s="2" t="s">
        <v>475</v>
      </c>
      <c r="G47" s="2" t="s">
        <v>476</v>
      </c>
      <c r="H47" s="2" t="s">
        <v>477</v>
      </c>
      <c r="I47" s="2"/>
      <c r="J47" s="2" t="s">
        <v>429</v>
      </c>
      <c r="K47" s="2" t="s">
        <v>430</v>
      </c>
      <c r="L47" s="2" t="s">
        <v>431</v>
      </c>
      <c r="M47" s="2" t="s">
        <v>242</v>
      </c>
      <c r="N47" s="2" t="s">
        <v>49</v>
      </c>
      <c r="O47" s="2" t="s">
        <v>243</v>
      </c>
      <c r="P47" s="2" t="s">
        <v>478</v>
      </c>
      <c r="Q47" s="2" t="s">
        <v>93</v>
      </c>
      <c r="R47" s="2" t="s">
        <v>479</v>
      </c>
      <c r="S47" s="2" t="s">
        <v>37</v>
      </c>
      <c r="T47" s="2" t="s">
        <v>37</v>
      </c>
      <c r="U47" s="2" t="s">
        <v>36</v>
      </c>
    </row>
    <row r="48" spans="1:21" x14ac:dyDescent="0.25">
      <c r="A48" s="2" t="s">
        <v>480</v>
      </c>
      <c r="B48" s="2" t="s">
        <v>402</v>
      </c>
      <c r="C48" s="2" t="s">
        <v>481</v>
      </c>
      <c r="D48" s="2" t="s">
        <v>205</v>
      </c>
      <c r="E48" s="2" t="s">
        <v>482</v>
      </c>
      <c r="F48" s="2" t="s">
        <v>483</v>
      </c>
      <c r="G48" s="2" t="s">
        <v>484</v>
      </c>
      <c r="H48" s="2" t="s">
        <v>485</v>
      </c>
      <c r="I48" s="2"/>
      <c r="J48" s="2" t="s">
        <v>319</v>
      </c>
      <c r="K48" s="2" t="s">
        <v>320</v>
      </c>
      <c r="L48" s="2" t="s">
        <v>321</v>
      </c>
      <c r="M48" s="2" t="s">
        <v>32</v>
      </c>
      <c r="N48" s="2" t="s">
        <v>153</v>
      </c>
      <c r="O48" s="2" t="s">
        <v>192</v>
      </c>
      <c r="P48" s="2" t="s">
        <v>486</v>
      </c>
      <c r="Q48" s="2" t="s">
        <v>52</v>
      </c>
      <c r="R48" s="2" t="s">
        <v>36</v>
      </c>
      <c r="S48" s="2" t="s">
        <v>36</v>
      </c>
      <c r="T48" s="2" t="s">
        <v>37</v>
      </c>
      <c r="U48" s="2" t="s">
        <v>36</v>
      </c>
    </row>
    <row r="49" spans="1:21" x14ac:dyDescent="0.25">
      <c r="A49" s="2" t="s">
        <v>487</v>
      </c>
      <c r="B49" s="2" t="s">
        <v>170</v>
      </c>
      <c r="C49" s="2" t="s">
        <v>488</v>
      </c>
      <c r="D49" s="2" t="s">
        <v>489</v>
      </c>
      <c r="E49" s="2" t="s">
        <v>490</v>
      </c>
      <c r="F49" s="2" t="s">
        <v>491</v>
      </c>
      <c r="G49" s="2" t="s">
        <v>492</v>
      </c>
      <c r="H49" s="2" t="s">
        <v>493</v>
      </c>
      <c r="I49" s="2"/>
      <c r="J49" s="2" t="s">
        <v>150</v>
      </c>
      <c r="K49" s="2" t="s">
        <v>151</v>
      </c>
      <c r="L49" s="2"/>
      <c r="M49" s="2" t="s">
        <v>103</v>
      </c>
      <c r="N49" s="2" t="s">
        <v>49</v>
      </c>
      <c r="O49" s="2" t="s">
        <v>34</v>
      </c>
      <c r="P49" s="2" t="s">
        <v>494</v>
      </c>
      <c r="Q49" s="2" t="s">
        <v>93</v>
      </c>
      <c r="R49" s="2" t="s">
        <v>37</v>
      </c>
      <c r="S49" s="2" t="s">
        <v>36</v>
      </c>
      <c r="T49" s="2" t="s">
        <v>37</v>
      </c>
      <c r="U49" s="2" t="s">
        <v>36</v>
      </c>
    </row>
    <row r="50" spans="1:21" x14ac:dyDescent="0.25">
      <c r="A50" s="2" t="s">
        <v>495</v>
      </c>
      <c r="B50" s="2" t="s">
        <v>39</v>
      </c>
      <c r="C50" s="2" t="s">
        <v>382</v>
      </c>
      <c r="D50" s="2" t="s">
        <v>496</v>
      </c>
      <c r="E50" s="2" t="s">
        <v>497</v>
      </c>
      <c r="F50" s="2" t="s">
        <v>498</v>
      </c>
      <c r="G50" s="2" t="s">
        <v>499</v>
      </c>
      <c r="H50" s="2" t="s">
        <v>500</v>
      </c>
      <c r="I50" s="2"/>
      <c r="J50" s="2" t="s">
        <v>163</v>
      </c>
      <c r="K50" s="2" t="s">
        <v>164</v>
      </c>
      <c r="L50" s="2" t="s">
        <v>165</v>
      </c>
      <c r="M50" s="2" t="s">
        <v>32</v>
      </c>
      <c r="N50" s="2" t="s">
        <v>181</v>
      </c>
      <c r="O50" s="2" t="s">
        <v>141</v>
      </c>
      <c r="P50" s="2" t="s">
        <v>501</v>
      </c>
      <c r="Q50" s="2" t="s">
        <v>4</v>
      </c>
      <c r="R50" s="2" t="s">
        <v>36</v>
      </c>
      <c r="S50" s="2" t="s">
        <v>36</v>
      </c>
      <c r="T50" s="2" t="s">
        <v>36</v>
      </c>
      <c r="U50" s="2" t="s">
        <v>36</v>
      </c>
    </row>
    <row r="51" spans="1:21" x14ac:dyDescent="0.25">
      <c r="A51" s="2" t="s">
        <v>502</v>
      </c>
      <c r="B51" s="2" t="s">
        <v>69</v>
      </c>
      <c r="C51" s="2" t="s">
        <v>503</v>
      </c>
      <c r="D51" s="2" t="s">
        <v>504</v>
      </c>
      <c r="E51" s="2" t="s">
        <v>505</v>
      </c>
      <c r="F51" s="2" t="s">
        <v>506</v>
      </c>
      <c r="G51" s="2" t="s">
        <v>507</v>
      </c>
      <c r="H51" s="2" t="s">
        <v>508</v>
      </c>
      <c r="I51" s="2"/>
      <c r="J51" s="2" t="s">
        <v>509</v>
      </c>
      <c r="K51" s="2" t="s">
        <v>510</v>
      </c>
      <c r="L51" s="2" t="s">
        <v>511</v>
      </c>
      <c r="M51" s="2" t="s">
        <v>166</v>
      </c>
      <c r="N51" s="2" t="s">
        <v>91</v>
      </c>
      <c r="O51" s="2" t="s">
        <v>66</v>
      </c>
      <c r="P51" s="2" t="s">
        <v>512</v>
      </c>
      <c r="Q51" s="2" t="s">
        <v>93</v>
      </c>
      <c r="R51" s="2" t="s">
        <v>36</v>
      </c>
      <c r="S51" s="2" t="s">
        <v>36</v>
      </c>
      <c r="T51" s="2" t="s">
        <v>36</v>
      </c>
      <c r="U51" s="2" t="s">
        <v>37</v>
      </c>
    </row>
    <row r="52" spans="1:21" x14ac:dyDescent="0.25">
      <c r="A52" s="2" t="s">
        <v>513</v>
      </c>
      <c r="B52" s="2" t="s">
        <v>39</v>
      </c>
      <c r="C52" s="2" t="s">
        <v>514</v>
      </c>
      <c r="D52" s="2" t="s">
        <v>473</v>
      </c>
      <c r="E52" s="2" t="s">
        <v>515</v>
      </c>
      <c r="F52" s="2" t="s">
        <v>516</v>
      </c>
      <c r="G52" s="2" t="s">
        <v>517</v>
      </c>
      <c r="H52" s="2" t="s">
        <v>518</v>
      </c>
      <c r="I52" s="2"/>
      <c r="J52" s="2" t="s">
        <v>397</v>
      </c>
      <c r="K52" s="2" t="s">
        <v>220</v>
      </c>
      <c r="L52" s="2" t="s">
        <v>398</v>
      </c>
      <c r="M52" s="2" t="s">
        <v>166</v>
      </c>
      <c r="N52" s="2" t="s">
        <v>49</v>
      </c>
      <c r="O52" s="2" t="s">
        <v>50</v>
      </c>
      <c r="P52" s="2" t="s">
        <v>519</v>
      </c>
      <c r="Q52" s="2" t="s">
        <v>5</v>
      </c>
      <c r="R52" s="2" t="s">
        <v>36</v>
      </c>
      <c r="S52" s="2" t="s">
        <v>36</v>
      </c>
      <c r="T52" s="2" t="s">
        <v>37</v>
      </c>
      <c r="U52" s="2" t="s">
        <v>37</v>
      </c>
    </row>
    <row r="53" spans="1:21" x14ac:dyDescent="0.25">
      <c r="A53" s="2" t="s">
        <v>520</v>
      </c>
      <c r="B53" s="2" t="s">
        <v>54</v>
      </c>
      <c r="C53" s="2" t="s">
        <v>503</v>
      </c>
      <c r="D53" s="2" t="s">
        <v>258</v>
      </c>
      <c r="E53" s="2" t="s">
        <v>521</v>
      </c>
      <c r="F53" s="2" t="s">
        <v>522</v>
      </c>
      <c r="G53" s="2" t="s">
        <v>523</v>
      </c>
      <c r="H53" s="2" t="s">
        <v>524</v>
      </c>
      <c r="I53" s="2"/>
      <c r="J53" s="2" t="s">
        <v>419</v>
      </c>
      <c r="K53" s="2" t="s">
        <v>420</v>
      </c>
      <c r="L53" s="2" t="s">
        <v>421</v>
      </c>
      <c r="M53" s="2" t="s">
        <v>79</v>
      </c>
      <c r="N53" s="2" t="s">
        <v>91</v>
      </c>
      <c r="O53" s="2" t="s">
        <v>34</v>
      </c>
      <c r="P53" s="2" t="s">
        <v>525</v>
      </c>
      <c r="Q53" s="2" t="s">
        <v>4</v>
      </c>
      <c r="R53" s="2" t="s">
        <v>36</v>
      </c>
      <c r="S53" s="2" t="s">
        <v>36</v>
      </c>
      <c r="T53" s="2" t="s">
        <v>36</v>
      </c>
      <c r="U53" s="2" t="s">
        <v>37</v>
      </c>
    </row>
    <row r="54" spans="1:21" x14ac:dyDescent="0.25">
      <c r="A54" s="2" t="s">
        <v>526</v>
      </c>
      <c r="B54" s="2" t="s">
        <v>195</v>
      </c>
      <c r="C54" s="2" t="s">
        <v>95</v>
      </c>
      <c r="D54" s="2" t="s">
        <v>225</v>
      </c>
      <c r="E54" s="2" t="s">
        <v>527</v>
      </c>
      <c r="F54" s="2" t="s">
        <v>528</v>
      </c>
      <c r="G54" s="2" t="s">
        <v>529</v>
      </c>
      <c r="H54" s="2" t="s">
        <v>530</v>
      </c>
      <c r="I54" s="2"/>
      <c r="J54" s="2" t="s">
        <v>531</v>
      </c>
      <c r="K54" s="2" t="s">
        <v>532</v>
      </c>
      <c r="L54" s="2" t="s">
        <v>533</v>
      </c>
      <c r="M54" s="2" t="s">
        <v>32</v>
      </c>
      <c r="N54" s="2" t="s">
        <v>153</v>
      </c>
      <c r="O54" s="2" t="s">
        <v>243</v>
      </c>
      <c r="P54" s="2" t="s">
        <v>534</v>
      </c>
      <c r="Q54" s="2" t="s">
        <v>93</v>
      </c>
      <c r="R54" s="2" t="s">
        <v>36</v>
      </c>
      <c r="S54" s="2" t="s">
        <v>36</v>
      </c>
      <c r="T54" s="2" t="s">
        <v>37</v>
      </c>
      <c r="U54" s="2" t="s">
        <v>36</v>
      </c>
    </row>
    <row r="55" spans="1:21" x14ac:dyDescent="0.25">
      <c r="A55" s="2" t="s">
        <v>535</v>
      </c>
      <c r="B55" s="2" t="s">
        <v>39</v>
      </c>
      <c r="C55" s="2" t="s">
        <v>403</v>
      </c>
      <c r="D55" s="2" t="s">
        <v>536</v>
      </c>
      <c r="E55" s="2" t="s">
        <v>537</v>
      </c>
      <c r="F55" s="2" t="s">
        <v>538</v>
      </c>
      <c r="G55" s="2"/>
      <c r="H55" s="2" t="s">
        <v>539</v>
      </c>
      <c r="I55" s="2"/>
      <c r="J55" s="2" t="s">
        <v>278</v>
      </c>
      <c r="K55" s="2" t="s">
        <v>279</v>
      </c>
      <c r="L55" s="2" t="s">
        <v>280</v>
      </c>
      <c r="M55" s="2" t="s">
        <v>242</v>
      </c>
      <c r="N55" s="2" t="s">
        <v>91</v>
      </c>
      <c r="O55" s="2" t="s">
        <v>50</v>
      </c>
      <c r="P55" s="2" t="s">
        <v>540</v>
      </c>
      <c r="Q55" s="2" t="s">
        <v>52</v>
      </c>
      <c r="R55" s="2" t="s">
        <v>36</v>
      </c>
      <c r="S55" s="2" t="s">
        <v>36</v>
      </c>
      <c r="T55" s="2" t="s">
        <v>37</v>
      </c>
      <c r="U55" s="2" t="s">
        <v>36</v>
      </c>
    </row>
    <row r="56" spans="1:21" x14ac:dyDescent="0.25">
      <c r="A56" s="2" t="s">
        <v>541</v>
      </c>
      <c r="B56" s="2" t="s">
        <v>54</v>
      </c>
      <c r="C56" s="2" t="s">
        <v>185</v>
      </c>
      <c r="D56" s="2" t="s">
        <v>205</v>
      </c>
      <c r="E56" s="2" t="s">
        <v>542</v>
      </c>
      <c r="F56" s="2" t="s">
        <v>543</v>
      </c>
      <c r="G56" s="2" t="s">
        <v>544</v>
      </c>
      <c r="H56" s="2" t="s">
        <v>545</v>
      </c>
      <c r="I56" s="2"/>
      <c r="J56" s="2" t="s">
        <v>76</v>
      </c>
      <c r="K56" s="2" t="s">
        <v>77</v>
      </c>
      <c r="L56" s="2" t="s">
        <v>372</v>
      </c>
      <c r="M56" s="2" t="s">
        <v>116</v>
      </c>
      <c r="N56" s="2" t="s">
        <v>91</v>
      </c>
      <c r="O56" s="2" t="s">
        <v>66</v>
      </c>
      <c r="P56" s="2" t="s">
        <v>546</v>
      </c>
      <c r="Q56" s="2" t="s">
        <v>52</v>
      </c>
      <c r="R56" s="2" t="s">
        <v>36</v>
      </c>
      <c r="S56" s="2" t="s">
        <v>36</v>
      </c>
      <c r="T56" s="2" t="s">
        <v>37</v>
      </c>
      <c r="U56" s="2" t="s">
        <v>36</v>
      </c>
    </row>
    <row r="57" spans="1:21" x14ac:dyDescent="0.25">
      <c r="A57" s="2" t="s">
        <v>547</v>
      </c>
      <c r="B57" s="2" t="s">
        <v>22</v>
      </c>
      <c r="C57" s="2" t="s">
        <v>548</v>
      </c>
      <c r="D57" s="2" t="s">
        <v>24</v>
      </c>
      <c r="E57" s="2" t="s">
        <v>549</v>
      </c>
      <c r="F57" s="2" t="s">
        <v>550</v>
      </c>
      <c r="G57" s="2"/>
      <c r="H57" s="2" t="s">
        <v>551</v>
      </c>
      <c r="I57" s="2"/>
      <c r="J57" s="2" t="s">
        <v>531</v>
      </c>
      <c r="K57" s="2" t="s">
        <v>532</v>
      </c>
      <c r="L57" s="2" t="s">
        <v>533</v>
      </c>
      <c r="M57" s="2" t="s">
        <v>32</v>
      </c>
      <c r="N57" s="2" t="s">
        <v>49</v>
      </c>
      <c r="O57" s="2" t="s">
        <v>154</v>
      </c>
      <c r="P57" s="2" t="s">
        <v>552</v>
      </c>
      <c r="Q57" s="2" t="s">
        <v>4</v>
      </c>
      <c r="R57" s="2" t="s">
        <v>36</v>
      </c>
      <c r="S57" s="2" t="s">
        <v>36</v>
      </c>
      <c r="T57" s="2" t="s">
        <v>36</v>
      </c>
      <c r="U57" s="2" t="s">
        <v>36</v>
      </c>
    </row>
    <row r="58" spans="1:21" x14ac:dyDescent="0.25">
      <c r="A58" s="2" t="s">
        <v>553</v>
      </c>
      <c r="B58" s="2" t="s">
        <v>54</v>
      </c>
      <c r="C58" s="2" t="s">
        <v>213</v>
      </c>
      <c r="D58" s="2" t="s">
        <v>554</v>
      </c>
      <c r="E58" s="2"/>
      <c r="F58" s="2" t="s">
        <v>555</v>
      </c>
      <c r="G58" s="2" t="s">
        <v>556</v>
      </c>
      <c r="H58" s="2" t="s">
        <v>557</v>
      </c>
      <c r="I58" s="2"/>
      <c r="J58" s="2" t="s">
        <v>138</v>
      </c>
      <c r="K58" s="2" t="s">
        <v>139</v>
      </c>
      <c r="L58" s="2" t="s">
        <v>140</v>
      </c>
      <c r="M58" s="2" t="s">
        <v>64</v>
      </c>
      <c r="N58" s="2" t="s">
        <v>33</v>
      </c>
      <c r="O58" s="2" t="s">
        <v>154</v>
      </c>
      <c r="P58" s="2" t="s">
        <v>558</v>
      </c>
      <c r="Q58" s="2" t="s">
        <v>4</v>
      </c>
      <c r="R58" s="2" t="s">
        <v>36</v>
      </c>
      <c r="S58" s="2" t="s">
        <v>36</v>
      </c>
      <c r="T58" s="2" t="s">
        <v>37</v>
      </c>
      <c r="U58" s="2" t="s">
        <v>36</v>
      </c>
    </row>
    <row r="59" spans="1:21" x14ac:dyDescent="0.25">
      <c r="A59" s="2" t="s">
        <v>559</v>
      </c>
      <c r="B59" s="2" t="s">
        <v>69</v>
      </c>
      <c r="C59" s="2" t="s">
        <v>424</v>
      </c>
      <c r="D59" s="2" t="s">
        <v>375</v>
      </c>
      <c r="E59" s="2" t="s">
        <v>560</v>
      </c>
      <c r="F59" s="2" t="s">
        <v>561</v>
      </c>
      <c r="G59" s="2" t="s">
        <v>562</v>
      </c>
      <c r="H59" s="2" t="s">
        <v>563</v>
      </c>
      <c r="I59" s="2"/>
      <c r="J59" s="2" t="s">
        <v>177</v>
      </c>
      <c r="K59" s="2" t="s">
        <v>178</v>
      </c>
      <c r="L59" s="2" t="s">
        <v>179</v>
      </c>
      <c r="M59" s="2" t="s">
        <v>116</v>
      </c>
      <c r="N59" s="2" t="s">
        <v>181</v>
      </c>
      <c r="O59" s="2" t="s">
        <v>154</v>
      </c>
      <c r="P59" s="2" t="s">
        <v>564</v>
      </c>
      <c r="Q59" s="2" t="s">
        <v>4</v>
      </c>
      <c r="R59" s="2" t="s">
        <v>36</v>
      </c>
      <c r="S59" s="2" t="s">
        <v>36</v>
      </c>
      <c r="T59" s="2" t="s">
        <v>37</v>
      </c>
      <c r="U59" s="2" t="s">
        <v>37</v>
      </c>
    </row>
    <row r="60" spans="1:21" x14ac:dyDescent="0.25">
      <c r="A60" s="2" t="s">
        <v>565</v>
      </c>
      <c r="B60" s="2" t="s">
        <v>39</v>
      </c>
      <c r="C60" s="2" t="s">
        <v>566</v>
      </c>
      <c r="D60" s="2" t="s">
        <v>237</v>
      </c>
      <c r="E60" s="2" t="s">
        <v>567</v>
      </c>
      <c r="F60" s="2" t="s">
        <v>568</v>
      </c>
      <c r="G60" s="2" t="s">
        <v>569</v>
      </c>
      <c r="H60" s="2" t="s">
        <v>570</v>
      </c>
      <c r="I60" s="2"/>
      <c r="J60" s="2" t="s">
        <v>100</v>
      </c>
      <c r="K60" s="2" t="s">
        <v>101</v>
      </c>
      <c r="L60" s="2" t="s">
        <v>343</v>
      </c>
      <c r="M60" s="2" t="s">
        <v>166</v>
      </c>
      <c r="N60" s="2" t="s">
        <v>33</v>
      </c>
      <c r="O60" s="2" t="s">
        <v>50</v>
      </c>
      <c r="P60" s="2" t="s">
        <v>571</v>
      </c>
      <c r="Q60" s="2" t="s">
        <v>4</v>
      </c>
      <c r="R60" s="2" t="s">
        <v>37</v>
      </c>
      <c r="S60" s="2" t="s">
        <v>36</v>
      </c>
      <c r="T60" s="2" t="s">
        <v>37</v>
      </c>
      <c r="U60" s="2" t="s">
        <v>36</v>
      </c>
    </row>
    <row r="61" spans="1:21" x14ac:dyDescent="0.25">
      <c r="A61" s="2" t="s">
        <v>572</v>
      </c>
      <c r="B61" s="2" t="s">
        <v>39</v>
      </c>
      <c r="C61" s="2" t="s">
        <v>573</v>
      </c>
      <c r="D61" s="2" t="s">
        <v>574</v>
      </c>
      <c r="E61" s="2" t="s">
        <v>575</v>
      </c>
      <c r="F61" s="2" t="s">
        <v>576</v>
      </c>
      <c r="G61" s="2" t="s">
        <v>577</v>
      </c>
      <c r="H61" s="2" t="s">
        <v>578</v>
      </c>
      <c r="I61" s="2"/>
      <c r="J61" s="2" t="s">
        <v>408</v>
      </c>
      <c r="K61" s="2" t="s">
        <v>409</v>
      </c>
      <c r="L61" s="2" t="s">
        <v>410</v>
      </c>
      <c r="M61" s="2" t="s">
        <v>32</v>
      </c>
      <c r="N61" s="2" t="s">
        <v>167</v>
      </c>
      <c r="O61" s="2" t="s">
        <v>50</v>
      </c>
      <c r="P61" s="2" t="s">
        <v>579</v>
      </c>
      <c r="Q61" s="2" t="s">
        <v>52</v>
      </c>
      <c r="R61" s="2" t="s">
        <v>36</v>
      </c>
      <c r="S61" s="2" t="s">
        <v>36</v>
      </c>
      <c r="T61" s="2" t="s">
        <v>37</v>
      </c>
      <c r="U61" s="2" t="s">
        <v>37</v>
      </c>
    </row>
    <row r="62" spans="1:21" x14ac:dyDescent="0.25">
      <c r="A62" s="2" t="s">
        <v>580</v>
      </c>
      <c r="B62" s="2" t="s">
        <v>184</v>
      </c>
      <c r="C62" s="2" t="s">
        <v>459</v>
      </c>
      <c r="D62" s="2" t="s">
        <v>266</v>
      </c>
      <c r="E62" s="2" t="s">
        <v>581</v>
      </c>
      <c r="F62" s="2" t="s">
        <v>582</v>
      </c>
      <c r="G62" s="2" t="s">
        <v>583</v>
      </c>
      <c r="H62" s="2" t="s">
        <v>584</v>
      </c>
      <c r="I62" s="2"/>
      <c r="J62" s="2" t="s">
        <v>585</v>
      </c>
      <c r="K62" s="2" t="s">
        <v>586</v>
      </c>
      <c r="L62" s="2" t="s">
        <v>587</v>
      </c>
      <c r="M62" s="2" t="s">
        <v>64</v>
      </c>
      <c r="N62" s="2" t="s">
        <v>167</v>
      </c>
      <c r="O62" s="2" t="s">
        <v>66</v>
      </c>
      <c r="P62" s="2" t="s">
        <v>588</v>
      </c>
      <c r="Q62" s="2" t="s">
        <v>5</v>
      </c>
      <c r="R62" s="2" t="s">
        <v>36</v>
      </c>
      <c r="S62" s="2" t="s">
        <v>36</v>
      </c>
      <c r="T62" s="2" t="s">
        <v>36</v>
      </c>
      <c r="U62" s="2" t="s">
        <v>37</v>
      </c>
    </row>
    <row r="63" spans="1:21" x14ac:dyDescent="0.25">
      <c r="A63" s="2" t="s">
        <v>589</v>
      </c>
      <c r="B63" s="2" t="s">
        <v>39</v>
      </c>
      <c r="C63" s="2" t="s">
        <v>590</v>
      </c>
      <c r="D63" s="2" t="s">
        <v>133</v>
      </c>
      <c r="E63" s="2" t="s">
        <v>591</v>
      </c>
      <c r="F63" s="2" t="s">
        <v>592</v>
      </c>
      <c r="G63" s="2" t="s">
        <v>593</v>
      </c>
      <c r="H63" s="2" t="s">
        <v>594</v>
      </c>
      <c r="I63" s="2"/>
      <c r="J63" s="2" t="s">
        <v>509</v>
      </c>
      <c r="K63" s="2" t="s">
        <v>510</v>
      </c>
      <c r="L63" s="2" t="s">
        <v>511</v>
      </c>
      <c r="M63" s="2" t="s">
        <v>103</v>
      </c>
      <c r="N63" s="2" t="s">
        <v>65</v>
      </c>
      <c r="O63" s="2" t="s">
        <v>66</v>
      </c>
      <c r="P63" s="2" t="s">
        <v>595</v>
      </c>
      <c r="Q63" s="2" t="s">
        <v>5</v>
      </c>
      <c r="R63" s="2" t="s">
        <v>36</v>
      </c>
      <c r="S63" s="2" t="s">
        <v>36</v>
      </c>
      <c r="T63" s="2" t="s">
        <v>36</v>
      </c>
      <c r="U63" s="2" t="s">
        <v>37</v>
      </c>
    </row>
    <row r="64" spans="1:21" x14ac:dyDescent="0.25">
      <c r="A64" s="2" t="s">
        <v>596</v>
      </c>
      <c r="B64" s="2" t="s">
        <v>39</v>
      </c>
      <c r="C64" s="2" t="s">
        <v>597</v>
      </c>
      <c r="D64" s="2" t="s">
        <v>96</v>
      </c>
      <c r="E64" s="2" t="s">
        <v>598</v>
      </c>
      <c r="F64" s="2" t="s">
        <v>599</v>
      </c>
      <c r="G64" s="2" t="s">
        <v>600</v>
      </c>
      <c r="H64" s="2" t="s">
        <v>601</v>
      </c>
      <c r="I64" s="2"/>
      <c r="J64" s="2" t="s">
        <v>370</v>
      </c>
      <c r="K64" s="2" t="s">
        <v>371</v>
      </c>
      <c r="L64" s="2" t="s">
        <v>602</v>
      </c>
      <c r="M64" s="2" t="s">
        <v>116</v>
      </c>
      <c r="N64" s="2" t="s">
        <v>33</v>
      </c>
      <c r="O64" s="2" t="s">
        <v>243</v>
      </c>
      <c r="P64" s="2" t="s">
        <v>603</v>
      </c>
      <c r="Q64" s="2" t="s">
        <v>4</v>
      </c>
      <c r="R64" s="2" t="s">
        <v>37</v>
      </c>
      <c r="S64" s="2" t="s">
        <v>37</v>
      </c>
      <c r="T64" s="2" t="s">
        <v>37</v>
      </c>
      <c r="U64" s="2" t="s">
        <v>37</v>
      </c>
    </row>
    <row r="65" spans="1:21" x14ac:dyDescent="0.25">
      <c r="A65" s="2" t="s">
        <v>604</v>
      </c>
      <c r="B65" s="2" t="s">
        <v>170</v>
      </c>
      <c r="C65" s="2" t="s">
        <v>548</v>
      </c>
      <c r="D65" s="2" t="s">
        <v>56</v>
      </c>
      <c r="E65" s="2" t="s">
        <v>605</v>
      </c>
      <c r="F65" s="2" t="s">
        <v>606</v>
      </c>
      <c r="G65" s="2" t="s">
        <v>607</v>
      </c>
      <c r="H65" s="2" t="s">
        <v>608</v>
      </c>
      <c r="I65" s="2"/>
      <c r="J65" s="2" t="s">
        <v>609</v>
      </c>
      <c r="K65" s="2" t="s">
        <v>610</v>
      </c>
      <c r="L65" s="2" t="s">
        <v>611</v>
      </c>
      <c r="M65" s="2" t="s">
        <v>32</v>
      </c>
      <c r="N65" s="2" t="s">
        <v>65</v>
      </c>
      <c r="O65" s="2" t="s">
        <v>154</v>
      </c>
      <c r="P65" s="2" t="s">
        <v>612</v>
      </c>
      <c r="Q65" s="2" t="s">
        <v>52</v>
      </c>
      <c r="R65" s="2" t="s">
        <v>36</v>
      </c>
      <c r="S65" s="2" t="s">
        <v>37</v>
      </c>
      <c r="T65" s="2" t="s">
        <v>36</v>
      </c>
      <c r="U65" s="2" t="s">
        <v>37</v>
      </c>
    </row>
    <row r="66" spans="1:21" x14ac:dyDescent="0.25">
      <c r="A66" s="2" t="s">
        <v>613</v>
      </c>
      <c r="B66" s="2" t="s">
        <v>402</v>
      </c>
      <c r="C66" s="2" t="s">
        <v>413</v>
      </c>
      <c r="D66" s="2" t="s">
        <v>614</v>
      </c>
      <c r="E66" s="2" t="s">
        <v>615</v>
      </c>
      <c r="F66" s="2" t="s">
        <v>616</v>
      </c>
      <c r="G66" s="2" t="s">
        <v>617</v>
      </c>
      <c r="H66" s="2" t="s">
        <v>618</v>
      </c>
      <c r="I66" s="2"/>
      <c r="J66" s="2" t="s">
        <v>61</v>
      </c>
      <c r="K66" s="2" t="s">
        <v>62</v>
      </c>
      <c r="L66" s="2"/>
      <c r="M66" s="2" t="s">
        <v>232</v>
      </c>
      <c r="N66" s="2" t="s">
        <v>91</v>
      </c>
      <c r="O66" s="2" t="s">
        <v>66</v>
      </c>
      <c r="P66" s="2" t="s">
        <v>619</v>
      </c>
      <c r="Q66" s="2" t="s">
        <v>5</v>
      </c>
      <c r="R66" s="2" t="s">
        <v>36</v>
      </c>
      <c r="S66" s="2" t="s">
        <v>37</v>
      </c>
      <c r="T66" s="2" t="s">
        <v>37</v>
      </c>
      <c r="U66" s="2" t="s">
        <v>37</v>
      </c>
    </row>
    <row r="67" spans="1:21" x14ac:dyDescent="0.25">
      <c r="A67" s="2" t="s">
        <v>620</v>
      </c>
      <c r="B67" s="2" t="s">
        <v>54</v>
      </c>
      <c r="C67" s="2" t="s">
        <v>448</v>
      </c>
      <c r="D67" s="2" t="s">
        <v>266</v>
      </c>
      <c r="E67" s="2" t="s">
        <v>621</v>
      </c>
      <c r="F67" s="2" t="s">
        <v>622</v>
      </c>
      <c r="G67" s="2" t="s">
        <v>623</v>
      </c>
      <c r="H67" s="2" t="s">
        <v>624</v>
      </c>
      <c r="I67" s="2"/>
      <c r="J67" s="2" t="s">
        <v>625</v>
      </c>
      <c r="K67" s="2" t="s">
        <v>626</v>
      </c>
      <c r="L67" s="2" t="s">
        <v>627</v>
      </c>
      <c r="M67" s="2" t="s">
        <v>116</v>
      </c>
      <c r="N67" s="2" t="s">
        <v>33</v>
      </c>
      <c r="O67" s="2" t="s">
        <v>141</v>
      </c>
      <c r="P67" s="2" t="s">
        <v>628</v>
      </c>
      <c r="Q67" s="2" t="s">
        <v>4</v>
      </c>
      <c r="R67" s="2" t="s">
        <v>36</v>
      </c>
      <c r="S67" s="2" t="s">
        <v>36</v>
      </c>
      <c r="T67" s="2" t="s">
        <v>36</v>
      </c>
      <c r="U67" s="2" t="s">
        <v>37</v>
      </c>
    </row>
    <row r="68" spans="1:21" x14ac:dyDescent="0.25">
      <c r="A68" s="2" t="s">
        <v>629</v>
      </c>
      <c r="B68" s="2" t="s">
        <v>54</v>
      </c>
      <c r="C68" s="2" t="s">
        <v>157</v>
      </c>
      <c r="D68" s="2" t="s">
        <v>630</v>
      </c>
      <c r="E68" s="2" t="s">
        <v>631</v>
      </c>
      <c r="F68" s="2" t="s">
        <v>632</v>
      </c>
      <c r="G68" s="2" t="s">
        <v>633</v>
      </c>
      <c r="H68" s="2" t="s">
        <v>634</v>
      </c>
      <c r="I68" s="2"/>
      <c r="J68" s="2" t="s">
        <v>387</v>
      </c>
      <c r="K68" s="2" t="s">
        <v>388</v>
      </c>
      <c r="L68" s="2" t="s">
        <v>389</v>
      </c>
      <c r="M68" s="2" t="s">
        <v>166</v>
      </c>
      <c r="N68" s="2" t="s">
        <v>49</v>
      </c>
      <c r="O68" s="2" t="s">
        <v>50</v>
      </c>
      <c r="P68" s="2" t="s">
        <v>635</v>
      </c>
      <c r="Q68" s="2" t="s">
        <v>5</v>
      </c>
      <c r="R68" s="2" t="s">
        <v>37</v>
      </c>
      <c r="S68" s="2" t="s">
        <v>636</v>
      </c>
      <c r="T68" s="2" t="s">
        <v>37</v>
      </c>
      <c r="U68" s="2" t="s">
        <v>37</v>
      </c>
    </row>
    <row r="69" spans="1:21" x14ac:dyDescent="0.25">
      <c r="A69" s="2" t="s">
        <v>637</v>
      </c>
      <c r="B69" s="2" t="s">
        <v>184</v>
      </c>
      <c r="C69" s="2" t="s">
        <v>324</v>
      </c>
      <c r="D69" s="2" t="s">
        <v>638</v>
      </c>
      <c r="E69" s="2" t="s">
        <v>639</v>
      </c>
      <c r="F69" s="2" t="s">
        <v>640</v>
      </c>
      <c r="G69" s="2" t="s">
        <v>641</v>
      </c>
      <c r="H69" s="2" t="s">
        <v>642</v>
      </c>
      <c r="I69" s="2"/>
      <c r="J69" s="2" t="s">
        <v>296</v>
      </c>
      <c r="K69" s="2" t="s">
        <v>297</v>
      </c>
      <c r="L69" s="2" t="s">
        <v>298</v>
      </c>
      <c r="M69" s="2" t="s">
        <v>191</v>
      </c>
      <c r="N69" s="2" t="s">
        <v>65</v>
      </c>
      <c r="O69" s="2" t="s">
        <v>66</v>
      </c>
      <c r="P69" s="2" t="s">
        <v>643</v>
      </c>
      <c r="Q69" s="2" t="s">
        <v>105</v>
      </c>
      <c r="R69" s="2" t="s">
        <v>37</v>
      </c>
      <c r="S69" s="2" t="s">
        <v>37</v>
      </c>
      <c r="T69" s="2" t="s">
        <v>37</v>
      </c>
      <c r="U69" s="2" t="s">
        <v>37</v>
      </c>
    </row>
    <row r="70" spans="1:21" x14ac:dyDescent="0.25">
      <c r="A70" s="2" t="s">
        <v>644</v>
      </c>
      <c r="B70" s="2" t="s">
        <v>235</v>
      </c>
      <c r="C70" s="2" t="s">
        <v>645</v>
      </c>
      <c r="D70" s="2" t="s">
        <v>214</v>
      </c>
      <c r="E70" s="2" t="s">
        <v>646</v>
      </c>
      <c r="F70" s="2" t="s">
        <v>647</v>
      </c>
      <c r="G70" s="2" t="s">
        <v>648</v>
      </c>
      <c r="H70" s="2" t="s">
        <v>649</v>
      </c>
      <c r="I70" s="2"/>
      <c r="J70" s="2" t="s">
        <v>650</v>
      </c>
      <c r="K70" s="2" t="s">
        <v>651</v>
      </c>
      <c r="L70" s="2" t="s">
        <v>652</v>
      </c>
      <c r="M70" s="2" t="s">
        <v>32</v>
      </c>
      <c r="N70" s="2" t="s">
        <v>65</v>
      </c>
      <c r="O70" s="2" t="s">
        <v>154</v>
      </c>
      <c r="P70" s="2" t="s">
        <v>653</v>
      </c>
      <c r="Q70" s="2" t="s">
        <v>52</v>
      </c>
      <c r="R70" s="2" t="s">
        <v>36</v>
      </c>
      <c r="S70" s="2" t="s">
        <v>36</v>
      </c>
      <c r="T70" s="2" t="s">
        <v>37</v>
      </c>
      <c r="U70" s="2" t="s">
        <v>37</v>
      </c>
    </row>
    <row r="71" spans="1:21" x14ac:dyDescent="0.25">
      <c r="A71" s="2" t="s">
        <v>654</v>
      </c>
      <c r="B71" s="2" t="s">
        <v>195</v>
      </c>
      <c r="C71" s="2" t="s">
        <v>655</v>
      </c>
      <c r="D71" s="2" t="s">
        <v>425</v>
      </c>
      <c r="E71" s="2" t="s">
        <v>656</v>
      </c>
      <c r="F71" s="2" t="s">
        <v>657</v>
      </c>
      <c r="G71" s="2" t="s">
        <v>658</v>
      </c>
      <c r="H71" s="2" t="s">
        <v>659</v>
      </c>
      <c r="I71" s="2"/>
      <c r="J71" s="2" t="s">
        <v>660</v>
      </c>
      <c r="K71" s="2" t="s">
        <v>230</v>
      </c>
      <c r="L71" s="2" t="s">
        <v>661</v>
      </c>
      <c r="M71" s="2" t="s">
        <v>32</v>
      </c>
      <c r="N71" s="2" t="s">
        <v>181</v>
      </c>
      <c r="O71" s="2" t="s">
        <v>141</v>
      </c>
      <c r="P71" s="2" t="s">
        <v>662</v>
      </c>
      <c r="Q71" s="2" t="s">
        <v>4</v>
      </c>
      <c r="R71" s="2" t="s">
        <v>36</v>
      </c>
      <c r="S71" s="2" t="s">
        <v>36</v>
      </c>
      <c r="T71" s="2" t="s">
        <v>37</v>
      </c>
      <c r="U71" s="2" t="s">
        <v>37</v>
      </c>
    </row>
    <row r="72" spans="1:21" x14ac:dyDescent="0.25">
      <c r="A72" s="2" t="s">
        <v>663</v>
      </c>
      <c r="B72" s="2" t="s">
        <v>184</v>
      </c>
      <c r="C72" s="2" t="s">
        <v>55</v>
      </c>
      <c r="D72" s="2" t="s">
        <v>489</v>
      </c>
      <c r="E72" s="2" t="s">
        <v>664</v>
      </c>
      <c r="F72" s="2" t="s">
        <v>665</v>
      </c>
      <c r="G72" s="2" t="s">
        <v>666</v>
      </c>
      <c r="H72" s="2" t="s">
        <v>667</v>
      </c>
      <c r="I72" s="2"/>
      <c r="J72" s="2" t="s">
        <v>668</v>
      </c>
      <c r="K72" s="2" t="s">
        <v>669</v>
      </c>
      <c r="L72" s="2" t="s">
        <v>670</v>
      </c>
      <c r="M72" s="2" t="s">
        <v>116</v>
      </c>
      <c r="N72" s="2" t="s">
        <v>33</v>
      </c>
      <c r="O72" s="2" t="s">
        <v>141</v>
      </c>
      <c r="P72" s="2" t="s">
        <v>671</v>
      </c>
      <c r="Q72" s="2" t="s">
        <v>52</v>
      </c>
      <c r="R72" s="2" t="s">
        <v>36</v>
      </c>
      <c r="S72" s="2" t="s">
        <v>37</v>
      </c>
      <c r="T72" s="2" t="s">
        <v>36</v>
      </c>
      <c r="U72" s="2" t="s">
        <v>36</v>
      </c>
    </row>
    <row r="73" spans="1:21" x14ac:dyDescent="0.25">
      <c r="A73" s="2" t="s">
        <v>672</v>
      </c>
      <c r="B73" s="2" t="s">
        <v>54</v>
      </c>
      <c r="C73" s="2" t="s">
        <v>673</v>
      </c>
      <c r="D73" s="2" t="s">
        <v>674</v>
      </c>
      <c r="E73" s="2" t="s">
        <v>675</v>
      </c>
      <c r="F73" s="2" t="s">
        <v>676</v>
      </c>
      <c r="G73" s="2" t="s">
        <v>677</v>
      </c>
      <c r="H73" s="2" t="s">
        <v>678</v>
      </c>
      <c r="I73" s="2"/>
      <c r="J73" s="2" t="s">
        <v>609</v>
      </c>
      <c r="K73" s="2" t="s">
        <v>610</v>
      </c>
      <c r="L73" s="2" t="s">
        <v>611</v>
      </c>
      <c r="M73" s="2" t="s">
        <v>116</v>
      </c>
      <c r="N73" s="2" t="s">
        <v>91</v>
      </c>
      <c r="O73" s="2" t="s">
        <v>66</v>
      </c>
      <c r="P73" s="2" t="s">
        <v>679</v>
      </c>
      <c r="Q73" s="2" t="s">
        <v>4</v>
      </c>
      <c r="R73" s="2" t="s">
        <v>36</v>
      </c>
      <c r="S73" s="2" t="s">
        <v>37</v>
      </c>
      <c r="T73" s="2" t="s">
        <v>36</v>
      </c>
      <c r="U73" s="2" t="s">
        <v>37</v>
      </c>
    </row>
    <row r="74" spans="1:21" x14ac:dyDescent="0.25">
      <c r="A74" s="2" t="s">
        <v>680</v>
      </c>
      <c r="B74" s="2" t="s">
        <v>184</v>
      </c>
      <c r="C74" s="2" t="s">
        <v>681</v>
      </c>
      <c r="D74" s="2" t="s">
        <v>682</v>
      </c>
      <c r="E74" s="2" t="s">
        <v>683</v>
      </c>
      <c r="F74" s="2" t="s">
        <v>684</v>
      </c>
      <c r="G74" s="2" t="s">
        <v>685</v>
      </c>
      <c r="H74" s="2" t="s">
        <v>686</v>
      </c>
      <c r="I74" s="2"/>
      <c r="J74" s="2" t="s">
        <v>419</v>
      </c>
      <c r="K74" s="2" t="s">
        <v>420</v>
      </c>
      <c r="L74" s="2" t="s">
        <v>421</v>
      </c>
      <c r="M74" s="2" t="s">
        <v>79</v>
      </c>
      <c r="N74" s="2" t="s">
        <v>117</v>
      </c>
      <c r="O74" s="2" t="s">
        <v>50</v>
      </c>
      <c r="P74" s="2" t="s">
        <v>687</v>
      </c>
      <c r="Q74" s="2" t="s">
        <v>93</v>
      </c>
      <c r="R74" s="2" t="s">
        <v>36</v>
      </c>
      <c r="S74" s="2" t="s">
        <v>37</v>
      </c>
      <c r="T74" s="2" t="s">
        <v>37</v>
      </c>
      <c r="U74" s="2" t="s">
        <v>37</v>
      </c>
    </row>
    <row r="75" spans="1:21" x14ac:dyDescent="0.25">
      <c r="A75" s="2" t="s">
        <v>688</v>
      </c>
      <c r="B75" s="2" t="s">
        <v>54</v>
      </c>
      <c r="C75" s="2" t="s">
        <v>459</v>
      </c>
      <c r="D75" s="2" t="s">
        <v>56</v>
      </c>
      <c r="E75" s="2" t="s">
        <v>689</v>
      </c>
      <c r="F75" s="2" t="s">
        <v>690</v>
      </c>
      <c r="G75" s="2" t="s">
        <v>691</v>
      </c>
      <c r="H75" s="2" t="s">
        <v>692</v>
      </c>
      <c r="I75" s="2"/>
      <c r="J75" s="2" t="s">
        <v>693</v>
      </c>
      <c r="K75" s="2" t="s">
        <v>694</v>
      </c>
      <c r="L75" s="2" t="s">
        <v>695</v>
      </c>
      <c r="M75" s="2" t="s">
        <v>116</v>
      </c>
      <c r="N75" s="2" t="s">
        <v>153</v>
      </c>
      <c r="O75" s="2" t="s">
        <v>154</v>
      </c>
      <c r="P75" s="2" t="s">
        <v>696</v>
      </c>
      <c r="Q75" s="2" t="s">
        <v>93</v>
      </c>
      <c r="R75" s="2" t="s">
        <v>36</v>
      </c>
      <c r="S75" s="2" t="s">
        <v>36</v>
      </c>
      <c r="T75" s="2" t="s">
        <v>36</v>
      </c>
      <c r="U75" s="2" t="s">
        <v>37</v>
      </c>
    </row>
    <row r="76" spans="1:21" x14ac:dyDescent="0.25">
      <c r="A76" s="2" t="s">
        <v>697</v>
      </c>
      <c r="B76" s="2" t="s">
        <v>235</v>
      </c>
      <c r="C76" s="2" t="s">
        <v>265</v>
      </c>
      <c r="D76" s="2" t="s">
        <v>258</v>
      </c>
      <c r="E76" s="2" t="s">
        <v>698</v>
      </c>
      <c r="F76" s="2" t="s">
        <v>699</v>
      </c>
      <c r="G76" s="2" t="s">
        <v>700</v>
      </c>
      <c r="H76" s="2" t="s">
        <v>701</v>
      </c>
      <c r="I76" s="2"/>
      <c r="J76" s="2" t="s">
        <v>229</v>
      </c>
      <c r="K76" s="2" t="s">
        <v>230</v>
      </c>
      <c r="L76" s="2" t="s">
        <v>231</v>
      </c>
      <c r="M76" s="2" t="s">
        <v>232</v>
      </c>
      <c r="N76" s="2" t="s">
        <v>153</v>
      </c>
      <c r="O76" s="2" t="s">
        <v>192</v>
      </c>
      <c r="P76" s="2" t="s">
        <v>702</v>
      </c>
      <c r="Q76" s="2" t="s">
        <v>5</v>
      </c>
      <c r="R76" s="2" t="s">
        <v>36</v>
      </c>
      <c r="S76" s="2" t="s">
        <v>36</v>
      </c>
      <c r="T76" s="2" t="s">
        <v>37</v>
      </c>
      <c r="U76" s="2" t="s">
        <v>37</v>
      </c>
    </row>
    <row r="77" spans="1:21" x14ac:dyDescent="0.25">
      <c r="A77" s="2" t="s">
        <v>703</v>
      </c>
      <c r="B77" s="2" t="s">
        <v>170</v>
      </c>
      <c r="C77" s="2" t="s">
        <v>392</v>
      </c>
      <c r="D77" s="2" t="s">
        <v>496</v>
      </c>
      <c r="E77" s="2" t="s">
        <v>704</v>
      </c>
      <c r="F77" s="2" t="s">
        <v>705</v>
      </c>
      <c r="G77" s="2" t="s">
        <v>706</v>
      </c>
      <c r="H77" s="2" t="s">
        <v>707</v>
      </c>
      <c r="I77" s="2"/>
      <c r="J77" s="2" t="s">
        <v>370</v>
      </c>
      <c r="K77" s="2" t="s">
        <v>371</v>
      </c>
      <c r="L77" s="2" t="s">
        <v>602</v>
      </c>
      <c r="M77" s="2" t="s">
        <v>103</v>
      </c>
      <c r="N77" s="2" t="s">
        <v>117</v>
      </c>
      <c r="O77" s="2" t="s">
        <v>243</v>
      </c>
      <c r="P77" s="2" t="s">
        <v>708</v>
      </c>
      <c r="Q77" s="2" t="s">
        <v>4</v>
      </c>
      <c r="R77" s="2" t="s">
        <v>37</v>
      </c>
      <c r="S77" s="2" t="s">
        <v>36</v>
      </c>
      <c r="T77" s="2" t="s">
        <v>36</v>
      </c>
      <c r="U77" s="2" t="s">
        <v>36</v>
      </c>
    </row>
    <row r="78" spans="1:21" x14ac:dyDescent="0.25">
      <c r="A78" s="2" t="s">
        <v>709</v>
      </c>
      <c r="B78" s="2" t="s">
        <v>170</v>
      </c>
      <c r="C78" s="2" t="s">
        <v>710</v>
      </c>
      <c r="D78" s="2" t="s">
        <v>711</v>
      </c>
      <c r="E78" s="2" t="s">
        <v>712</v>
      </c>
      <c r="F78" s="2" t="s">
        <v>713</v>
      </c>
      <c r="G78" s="2" t="s">
        <v>714</v>
      </c>
      <c r="H78" s="2" t="s">
        <v>715</v>
      </c>
      <c r="I78" s="2"/>
      <c r="J78" s="2" t="s">
        <v>693</v>
      </c>
      <c r="K78" s="2" t="s">
        <v>694</v>
      </c>
      <c r="L78" s="2" t="s">
        <v>695</v>
      </c>
      <c r="M78" s="2" t="s">
        <v>180</v>
      </c>
      <c r="N78" s="2" t="s">
        <v>65</v>
      </c>
      <c r="O78" s="2" t="s">
        <v>154</v>
      </c>
      <c r="P78" s="2" t="s">
        <v>716</v>
      </c>
      <c r="Q78" s="2" t="s">
        <v>52</v>
      </c>
      <c r="R78" s="2" t="s">
        <v>36</v>
      </c>
      <c r="S78" s="2" t="s">
        <v>36</v>
      </c>
      <c r="T78" s="2" t="s">
        <v>37</v>
      </c>
      <c r="U78" s="2" t="s">
        <v>36</v>
      </c>
    </row>
    <row r="79" spans="1:21" x14ac:dyDescent="0.25">
      <c r="A79" s="2" t="s">
        <v>717</v>
      </c>
      <c r="B79" s="2"/>
      <c r="C79" s="2" t="s">
        <v>196</v>
      </c>
      <c r="D79" s="2" t="s">
        <v>133</v>
      </c>
      <c r="E79" s="2" t="s">
        <v>718</v>
      </c>
      <c r="F79" s="2" t="s">
        <v>719</v>
      </c>
      <c r="G79" s="2" t="s">
        <v>720</v>
      </c>
      <c r="H79" s="2" t="s">
        <v>721</v>
      </c>
      <c r="I79" s="2"/>
      <c r="J79" s="2" t="s">
        <v>387</v>
      </c>
      <c r="K79" s="2" t="s">
        <v>388</v>
      </c>
      <c r="L79" s="2" t="s">
        <v>389</v>
      </c>
      <c r="M79" s="2" t="s">
        <v>180</v>
      </c>
      <c r="N79" s="2" t="s">
        <v>117</v>
      </c>
      <c r="O79" s="2" t="s">
        <v>243</v>
      </c>
      <c r="P79" s="2" t="s">
        <v>722</v>
      </c>
      <c r="Q79" s="2" t="s">
        <v>4</v>
      </c>
      <c r="R79" s="2" t="s">
        <v>36</v>
      </c>
      <c r="S79" s="2" t="s">
        <v>37</v>
      </c>
      <c r="T79" s="2" t="s">
        <v>36</v>
      </c>
      <c r="U79" s="2" t="s">
        <v>36</v>
      </c>
    </row>
    <row r="80" spans="1:21" x14ac:dyDescent="0.25">
      <c r="A80" s="2" t="s">
        <v>723</v>
      </c>
      <c r="B80" s="2" t="s">
        <v>69</v>
      </c>
      <c r="C80" s="2" t="s">
        <v>337</v>
      </c>
      <c r="D80" s="2" t="s">
        <v>711</v>
      </c>
      <c r="E80" s="2" t="s">
        <v>724</v>
      </c>
      <c r="F80" s="2" t="s">
        <v>725</v>
      </c>
      <c r="G80" s="2" t="s">
        <v>726</v>
      </c>
      <c r="H80" s="2" t="s">
        <v>727</v>
      </c>
      <c r="I80" s="2"/>
      <c r="J80" s="2" t="s">
        <v>693</v>
      </c>
      <c r="K80" s="2" t="s">
        <v>694</v>
      </c>
      <c r="L80" s="2" t="s">
        <v>695</v>
      </c>
      <c r="M80" s="2" t="s">
        <v>166</v>
      </c>
      <c r="N80" s="2" t="s">
        <v>153</v>
      </c>
      <c r="O80" s="2" t="s">
        <v>192</v>
      </c>
      <c r="P80" s="2" t="s">
        <v>728</v>
      </c>
      <c r="Q80" s="2" t="s">
        <v>4</v>
      </c>
      <c r="R80" s="2" t="s">
        <v>36</v>
      </c>
      <c r="S80" s="2" t="s">
        <v>37</v>
      </c>
      <c r="T80" s="2" t="s">
        <v>37</v>
      </c>
      <c r="U80" s="2" t="s">
        <v>36</v>
      </c>
    </row>
    <row r="81" spans="1:21" x14ac:dyDescent="0.25">
      <c r="A81" s="2" t="s">
        <v>729</v>
      </c>
      <c r="B81" s="2" t="s">
        <v>39</v>
      </c>
      <c r="C81" s="2" t="s">
        <v>196</v>
      </c>
      <c r="D81" s="2" t="s">
        <v>674</v>
      </c>
      <c r="E81" s="2"/>
      <c r="F81" s="2" t="s">
        <v>730</v>
      </c>
      <c r="G81" s="2" t="s">
        <v>731</v>
      </c>
      <c r="H81" s="2" t="s">
        <v>732</v>
      </c>
      <c r="I81" s="2"/>
      <c r="J81" s="2" t="s">
        <v>177</v>
      </c>
      <c r="K81" s="2" t="s">
        <v>178</v>
      </c>
      <c r="L81" s="2" t="s">
        <v>179</v>
      </c>
      <c r="M81" s="2" t="s">
        <v>103</v>
      </c>
      <c r="N81" s="2" t="s">
        <v>65</v>
      </c>
      <c r="O81" s="2" t="s">
        <v>50</v>
      </c>
      <c r="P81" s="2" t="s">
        <v>733</v>
      </c>
      <c r="Q81" s="2" t="s">
        <v>52</v>
      </c>
      <c r="R81" s="2" t="s">
        <v>37</v>
      </c>
      <c r="S81" s="2" t="s">
        <v>37</v>
      </c>
      <c r="T81" s="2" t="s">
        <v>37</v>
      </c>
      <c r="U81" s="2" t="s">
        <v>36</v>
      </c>
    </row>
    <row r="82" spans="1:21" x14ac:dyDescent="0.25">
      <c r="A82" s="2" t="s">
        <v>734</v>
      </c>
      <c r="B82" s="2" t="s">
        <v>402</v>
      </c>
      <c r="C82" s="2" t="s">
        <v>481</v>
      </c>
      <c r="D82" s="2" t="s">
        <v>309</v>
      </c>
      <c r="E82" s="2" t="s">
        <v>735</v>
      </c>
      <c r="F82" s="2" t="s">
        <v>736</v>
      </c>
      <c r="G82" s="2" t="s">
        <v>737</v>
      </c>
      <c r="H82" s="2" t="s">
        <v>738</v>
      </c>
      <c r="I82" s="2"/>
      <c r="J82" s="2" t="s">
        <v>397</v>
      </c>
      <c r="K82" s="2" t="s">
        <v>220</v>
      </c>
      <c r="L82" s="2"/>
      <c r="M82" s="2" t="s">
        <v>232</v>
      </c>
      <c r="N82" s="2" t="s">
        <v>49</v>
      </c>
      <c r="O82" s="2" t="s">
        <v>154</v>
      </c>
      <c r="P82" s="2" t="s">
        <v>739</v>
      </c>
      <c r="Q82" s="2" t="s">
        <v>93</v>
      </c>
      <c r="R82" s="2" t="s">
        <v>36</v>
      </c>
      <c r="S82" s="2" t="s">
        <v>37</v>
      </c>
      <c r="T82" s="2" t="s">
        <v>36</v>
      </c>
      <c r="U82" s="2" t="s">
        <v>36</v>
      </c>
    </row>
    <row r="83" spans="1:21" x14ac:dyDescent="0.25">
      <c r="A83" s="2" t="s">
        <v>740</v>
      </c>
      <c r="B83" s="2" t="s">
        <v>22</v>
      </c>
      <c r="C83" s="2" t="s">
        <v>204</v>
      </c>
      <c r="D83" s="2" t="s">
        <v>71</v>
      </c>
      <c r="E83" s="2" t="s">
        <v>741</v>
      </c>
      <c r="F83" s="2" t="s">
        <v>742</v>
      </c>
      <c r="G83" s="2" t="s">
        <v>743</v>
      </c>
      <c r="H83" s="2" t="s">
        <v>744</v>
      </c>
      <c r="I83" s="2"/>
      <c r="J83" s="2" t="s">
        <v>29</v>
      </c>
      <c r="K83" s="2" t="s">
        <v>30</v>
      </c>
      <c r="L83" s="2" t="s">
        <v>31</v>
      </c>
      <c r="M83" s="2" t="s">
        <v>32</v>
      </c>
      <c r="N83" s="2" t="s">
        <v>49</v>
      </c>
      <c r="O83" s="2" t="s">
        <v>141</v>
      </c>
      <c r="P83" s="2" t="s">
        <v>745</v>
      </c>
      <c r="Q83" s="2" t="s">
        <v>4</v>
      </c>
      <c r="R83" s="2" t="s">
        <v>36</v>
      </c>
      <c r="S83" s="2" t="s">
        <v>37</v>
      </c>
      <c r="T83" s="2" t="s">
        <v>37</v>
      </c>
      <c r="U83" s="2" t="s">
        <v>37</v>
      </c>
    </row>
    <row r="84" spans="1:21" x14ac:dyDescent="0.25">
      <c r="A84" s="2" t="s">
        <v>746</v>
      </c>
      <c r="B84" s="2"/>
      <c r="C84" s="2" t="s">
        <v>747</v>
      </c>
      <c r="D84" s="2" t="s">
        <v>748</v>
      </c>
      <c r="E84" s="2"/>
      <c r="F84" s="2" t="s">
        <v>749</v>
      </c>
      <c r="G84" s="2" t="s">
        <v>750</v>
      </c>
      <c r="H84" s="2" t="s">
        <v>751</v>
      </c>
      <c r="I84" s="2"/>
      <c r="J84" s="2" t="s">
        <v>150</v>
      </c>
      <c r="K84" s="2" t="s">
        <v>151</v>
      </c>
      <c r="L84" s="2" t="s">
        <v>152</v>
      </c>
      <c r="M84" s="2" t="s">
        <v>32</v>
      </c>
      <c r="N84" s="2" t="s">
        <v>153</v>
      </c>
      <c r="O84" s="2" t="s">
        <v>141</v>
      </c>
      <c r="P84" s="2" t="s">
        <v>752</v>
      </c>
      <c r="Q84" s="2" t="s">
        <v>4</v>
      </c>
      <c r="R84" s="2" t="s">
        <v>36</v>
      </c>
      <c r="S84" s="2" t="s">
        <v>36</v>
      </c>
      <c r="T84" s="2" t="s">
        <v>37</v>
      </c>
      <c r="U84" s="2" t="s">
        <v>37</v>
      </c>
    </row>
    <row r="85" spans="1:21" x14ac:dyDescent="0.25">
      <c r="A85" s="2" t="s">
        <v>753</v>
      </c>
      <c r="B85" s="2" t="s">
        <v>69</v>
      </c>
      <c r="C85" s="2" t="s">
        <v>754</v>
      </c>
      <c r="D85" s="2" t="s">
        <v>755</v>
      </c>
      <c r="E85" s="2" t="s">
        <v>756</v>
      </c>
      <c r="F85" s="2" t="s">
        <v>757</v>
      </c>
      <c r="G85" s="2" t="s">
        <v>758</v>
      </c>
      <c r="H85" s="2" t="s">
        <v>759</v>
      </c>
      <c r="I85" s="2"/>
      <c r="J85" s="2" t="s">
        <v>509</v>
      </c>
      <c r="K85" s="2" t="s">
        <v>510</v>
      </c>
      <c r="L85" s="2" t="s">
        <v>760</v>
      </c>
      <c r="M85" s="2" t="s">
        <v>116</v>
      </c>
      <c r="N85" s="2" t="s">
        <v>153</v>
      </c>
      <c r="O85" s="2" t="s">
        <v>141</v>
      </c>
      <c r="P85" s="2" t="s">
        <v>761</v>
      </c>
      <c r="Q85" s="2" t="s">
        <v>5</v>
      </c>
      <c r="R85" s="2" t="s">
        <v>36</v>
      </c>
      <c r="S85" s="2" t="s">
        <v>36</v>
      </c>
      <c r="T85" s="2" t="s">
        <v>37</v>
      </c>
      <c r="U85" s="2" t="s">
        <v>37</v>
      </c>
    </row>
    <row r="86" spans="1:21" x14ac:dyDescent="0.25">
      <c r="A86" s="2" t="s">
        <v>762</v>
      </c>
      <c r="B86" s="2"/>
      <c r="C86" s="2" t="s">
        <v>224</v>
      </c>
      <c r="D86" s="2" t="s">
        <v>489</v>
      </c>
      <c r="E86" s="2" t="s">
        <v>763</v>
      </c>
      <c r="F86" s="2" t="s">
        <v>764</v>
      </c>
      <c r="G86" s="2"/>
      <c r="H86" s="2" t="s">
        <v>765</v>
      </c>
      <c r="I86" s="2"/>
      <c r="J86" s="2" t="s">
        <v>766</v>
      </c>
      <c r="K86" s="2" t="s">
        <v>767</v>
      </c>
      <c r="L86" s="2" t="s">
        <v>768</v>
      </c>
      <c r="M86" s="2" t="s">
        <v>180</v>
      </c>
      <c r="N86" s="2" t="s">
        <v>181</v>
      </c>
      <c r="O86" s="2" t="s">
        <v>154</v>
      </c>
      <c r="P86" s="2" t="s">
        <v>769</v>
      </c>
      <c r="Q86" s="2" t="s">
        <v>4</v>
      </c>
      <c r="R86" s="2" t="s">
        <v>36</v>
      </c>
      <c r="S86" s="2" t="s">
        <v>36</v>
      </c>
      <c r="T86" s="2" t="s">
        <v>36</v>
      </c>
      <c r="U86" s="2" t="s">
        <v>37</v>
      </c>
    </row>
    <row r="87" spans="1:21" x14ac:dyDescent="0.25">
      <c r="A87" s="2" t="s">
        <v>770</v>
      </c>
      <c r="B87" s="2" t="s">
        <v>54</v>
      </c>
      <c r="C87" s="2" t="s">
        <v>337</v>
      </c>
      <c r="D87" s="2" t="s">
        <v>771</v>
      </c>
      <c r="E87" s="2" t="s">
        <v>772</v>
      </c>
      <c r="F87" s="2" t="s">
        <v>773</v>
      </c>
      <c r="G87" s="2" t="s">
        <v>774</v>
      </c>
      <c r="H87" s="2" t="s">
        <v>775</v>
      </c>
      <c r="I87" s="2"/>
      <c r="J87" s="2" t="s">
        <v>766</v>
      </c>
      <c r="K87" s="2" t="s">
        <v>767</v>
      </c>
      <c r="L87" s="2" t="s">
        <v>768</v>
      </c>
      <c r="M87" s="2" t="s">
        <v>79</v>
      </c>
      <c r="N87" s="2" t="s">
        <v>33</v>
      </c>
      <c r="O87" s="2" t="s">
        <v>192</v>
      </c>
      <c r="P87" s="2" t="s">
        <v>776</v>
      </c>
      <c r="Q87" s="2" t="s">
        <v>4</v>
      </c>
      <c r="R87" s="2" t="s">
        <v>36</v>
      </c>
      <c r="S87" s="2" t="s">
        <v>36</v>
      </c>
      <c r="T87" s="2" t="s">
        <v>37</v>
      </c>
      <c r="U87" s="2" t="s">
        <v>37</v>
      </c>
    </row>
    <row r="88" spans="1:21" x14ac:dyDescent="0.25">
      <c r="A88" s="2" t="s">
        <v>777</v>
      </c>
      <c r="B88" s="2" t="s">
        <v>54</v>
      </c>
      <c r="C88" s="2" t="s">
        <v>778</v>
      </c>
      <c r="D88" s="2" t="s">
        <v>674</v>
      </c>
      <c r="E88" s="2" t="s">
        <v>779</v>
      </c>
      <c r="F88" s="2" t="s">
        <v>780</v>
      </c>
      <c r="G88" s="2" t="s">
        <v>781</v>
      </c>
      <c r="H88" s="2" t="s">
        <v>782</v>
      </c>
      <c r="I88" s="2"/>
      <c r="J88" s="2" t="s">
        <v>625</v>
      </c>
      <c r="K88" s="2" t="s">
        <v>626</v>
      </c>
      <c r="L88" s="2" t="s">
        <v>627</v>
      </c>
      <c r="M88" s="2" t="s">
        <v>166</v>
      </c>
      <c r="N88" s="2" t="s">
        <v>153</v>
      </c>
      <c r="O88" s="2" t="s">
        <v>192</v>
      </c>
      <c r="P88" s="2" t="s">
        <v>783</v>
      </c>
      <c r="Q88" s="2" t="s">
        <v>5</v>
      </c>
      <c r="R88" s="2" t="s">
        <v>36</v>
      </c>
      <c r="S88" s="2" t="s">
        <v>36</v>
      </c>
      <c r="T88" s="2" t="s">
        <v>37</v>
      </c>
      <c r="U88" s="2" t="s">
        <v>37</v>
      </c>
    </row>
    <row r="89" spans="1:21" x14ac:dyDescent="0.25">
      <c r="A89" s="2" t="s">
        <v>784</v>
      </c>
      <c r="B89" s="2"/>
      <c r="C89" s="2" t="s">
        <v>413</v>
      </c>
      <c r="D89" s="2" t="s">
        <v>674</v>
      </c>
      <c r="E89" s="2" t="s">
        <v>785</v>
      </c>
      <c r="F89" s="2" t="s">
        <v>786</v>
      </c>
      <c r="G89" s="2" t="s">
        <v>787</v>
      </c>
      <c r="H89" s="2" t="s">
        <v>788</v>
      </c>
      <c r="I89" s="2"/>
      <c r="J89" s="2" t="s">
        <v>609</v>
      </c>
      <c r="K89" s="2" t="s">
        <v>610</v>
      </c>
      <c r="L89" s="2" t="s">
        <v>611</v>
      </c>
      <c r="M89" s="2" t="s">
        <v>180</v>
      </c>
      <c r="N89" s="2" t="s">
        <v>181</v>
      </c>
      <c r="O89" s="2" t="s">
        <v>141</v>
      </c>
      <c r="P89" s="2" t="s">
        <v>789</v>
      </c>
      <c r="Q89" s="2" t="s">
        <v>93</v>
      </c>
      <c r="R89" s="2" t="s">
        <v>37</v>
      </c>
      <c r="S89" s="2" t="s">
        <v>36</v>
      </c>
      <c r="T89" s="2" t="s">
        <v>37</v>
      </c>
      <c r="U89" s="2" t="s">
        <v>37</v>
      </c>
    </row>
    <row r="90" spans="1:21" x14ac:dyDescent="0.25">
      <c r="A90" s="2" t="s">
        <v>790</v>
      </c>
      <c r="B90" s="2"/>
      <c r="C90" s="2" t="s">
        <v>791</v>
      </c>
      <c r="D90" s="2" t="s">
        <v>489</v>
      </c>
      <c r="E90" s="2"/>
      <c r="F90" s="2" t="s">
        <v>792</v>
      </c>
      <c r="G90" s="2" t="s">
        <v>793</v>
      </c>
      <c r="H90" s="2" t="s">
        <v>794</v>
      </c>
      <c r="I90" s="2"/>
      <c r="J90" s="2" t="s">
        <v>693</v>
      </c>
      <c r="K90" s="2" t="s">
        <v>694</v>
      </c>
      <c r="L90" s="2" t="s">
        <v>695</v>
      </c>
      <c r="M90" s="2" t="s">
        <v>242</v>
      </c>
      <c r="N90" s="2" t="s">
        <v>49</v>
      </c>
      <c r="O90" s="2" t="s">
        <v>154</v>
      </c>
      <c r="P90" s="2" t="s">
        <v>795</v>
      </c>
      <c r="Q90" s="2" t="s">
        <v>4</v>
      </c>
      <c r="R90" s="2" t="s">
        <v>37</v>
      </c>
      <c r="S90" s="2" t="s">
        <v>36</v>
      </c>
      <c r="T90" s="2" t="s">
        <v>36</v>
      </c>
      <c r="U90" s="2" t="s">
        <v>37</v>
      </c>
    </row>
    <row r="91" spans="1:21" x14ac:dyDescent="0.25">
      <c r="A91" s="2" t="s">
        <v>796</v>
      </c>
      <c r="B91" s="2" t="s">
        <v>195</v>
      </c>
      <c r="C91" s="2" t="s">
        <v>224</v>
      </c>
      <c r="D91" s="2" t="s">
        <v>56</v>
      </c>
      <c r="E91" s="2" t="s">
        <v>797</v>
      </c>
      <c r="F91" s="2" t="s">
        <v>798</v>
      </c>
      <c r="G91" s="2" t="s">
        <v>799</v>
      </c>
      <c r="H91" s="2" t="s">
        <v>800</v>
      </c>
      <c r="I91" s="2"/>
      <c r="J91" s="2" t="s">
        <v>219</v>
      </c>
      <c r="K91" s="2" t="s">
        <v>220</v>
      </c>
      <c r="L91" s="2" t="s">
        <v>221</v>
      </c>
      <c r="M91" s="2" t="s">
        <v>32</v>
      </c>
      <c r="N91" s="2" t="s">
        <v>33</v>
      </c>
      <c r="O91" s="2" t="s">
        <v>34</v>
      </c>
      <c r="P91" s="2" t="s">
        <v>801</v>
      </c>
      <c r="Q91" s="2" t="s">
        <v>105</v>
      </c>
      <c r="R91" s="2" t="s">
        <v>37</v>
      </c>
      <c r="S91" s="2" t="s">
        <v>37</v>
      </c>
      <c r="T91" s="2" t="s">
        <v>37</v>
      </c>
      <c r="U91" s="2" t="s">
        <v>37</v>
      </c>
    </row>
    <row r="92" spans="1:21" x14ac:dyDescent="0.25">
      <c r="A92" s="2" t="s">
        <v>802</v>
      </c>
      <c r="B92" s="2" t="s">
        <v>195</v>
      </c>
      <c r="C92" s="2" t="s">
        <v>265</v>
      </c>
      <c r="D92" s="2" t="s">
        <v>425</v>
      </c>
      <c r="E92" s="2" t="s">
        <v>803</v>
      </c>
      <c r="F92" s="2" t="s">
        <v>804</v>
      </c>
      <c r="G92" s="2" t="s">
        <v>805</v>
      </c>
      <c r="H92" s="2" t="s">
        <v>806</v>
      </c>
      <c r="I92" s="2"/>
      <c r="J92" s="2" t="s">
        <v>429</v>
      </c>
      <c r="K92" s="2" t="s">
        <v>430</v>
      </c>
      <c r="L92" s="2" t="s">
        <v>431</v>
      </c>
      <c r="M92" s="2" t="s">
        <v>180</v>
      </c>
      <c r="N92" s="2" t="s">
        <v>33</v>
      </c>
      <c r="O92" s="2" t="s">
        <v>243</v>
      </c>
      <c r="P92" s="2" t="s">
        <v>807</v>
      </c>
      <c r="Q92" s="2" t="s">
        <v>52</v>
      </c>
      <c r="R92" s="2" t="s">
        <v>36</v>
      </c>
      <c r="S92" s="2" t="s">
        <v>37</v>
      </c>
      <c r="T92" s="2" t="s">
        <v>37</v>
      </c>
      <c r="U92" s="2" t="s">
        <v>36</v>
      </c>
    </row>
    <row r="93" spans="1:21" x14ac:dyDescent="0.25">
      <c r="A93" s="2" t="s">
        <v>808</v>
      </c>
      <c r="B93" s="2"/>
      <c r="C93" s="2" t="s">
        <v>809</v>
      </c>
      <c r="D93" s="2" t="s">
        <v>810</v>
      </c>
      <c r="E93" s="2" t="s">
        <v>811</v>
      </c>
      <c r="F93" s="2" t="s">
        <v>812</v>
      </c>
      <c r="G93" s="2" t="s">
        <v>813</v>
      </c>
      <c r="H93" s="2" t="s">
        <v>814</v>
      </c>
      <c r="I93" s="2"/>
      <c r="J93" s="2" t="s">
        <v>370</v>
      </c>
      <c r="K93" s="2" t="s">
        <v>371</v>
      </c>
      <c r="L93" s="2" t="s">
        <v>602</v>
      </c>
      <c r="M93" s="2" t="s">
        <v>32</v>
      </c>
      <c r="N93" s="2" t="s">
        <v>167</v>
      </c>
      <c r="O93" s="2" t="s">
        <v>66</v>
      </c>
      <c r="P93" s="2" t="s">
        <v>815</v>
      </c>
      <c r="Q93" s="2" t="s">
        <v>5</v>
      </c>
      <c r="R93" s="2" t="s">
        <v>816</v>
      </c>
      <c r="S93" s="2" t="s">
        <v>36</v>
      </c>
      <c r="T93" s="2" t="s">
        <v>37</v>
      </c>
      <c r="U93" s="2" t="s">
        <v>36</v>
      </c>
    </row>
    <row r="94" spans="1:21" x14ac:dyDescent="0.25">
      <c r="A94" s="2" t="s">
        <v>817</v>
      </c>
      <c r="B94" s="2"/>
      <c r="C94" s="2" t="s">
        <v>818</v>
      </c>
      <c r="D94" s="2" t="s">
        <v>819</v>
      </c>
      <c r="E94" s="2" t="s">
        <v>820</v>
      </c>
      <c r="F94" s="2" t="s">
        <v>821</v>
      </c>
      <c r="G94" s="2" t="s">
        <v>822</v>
      </c>
      <c r="H94" s="2" t="s">
        <v>823</v>
      </c>
      <c r="I94" s="2"/>
      <c r="J94" s="2" t="s">
        <v>278</v>
      </c>
      <c r="K94" s="2" t="s">
        <v>279</v>
      </c>
      <c r="L94" s="2" t="s">
        <v>280</v>
      </c>
      <c r="M94" s="2" t="s">
        <v>32</v>
      </c>
      <c r="N94" s="2" t="s">
        <v>33</v>
      </c>
      <c r="O94" s="2" t="s">
        <v>154</v>
      </c>
      <c r="P94" s="2" t="s">
        <v>824</v>
      </c>
      <c r="Q94" s="2" t="s">
        <v>52</v>
      </c>
      <c r="R94" s="2" t="s">
        <v>36</v>
      </c>
      <c r="S94" s="2" t="s">
        <v>36</v>
      </c>
      <c r="T94" s="2" t="s">
        <v>37</v>
      </c>
      <c r="U94" s="2" t="s">
        <v>37</v>
      </c>
    </row>
    <row r="95" spans="1:21" x14ac:dyDescent="0.25">
      <c r="A95" s="2" t="s">
        <v>825</v>
      </c>
      <c r="B95" s="2" t="s">
        <v>54</v>
      </c>
      <c r="C95" s="2" t="s">
        <v>107</v>
      </c>
      <c r="D95" s="2" t="s">
        <v>449</v>
      </c>
      <c r="E95" s="2" t="s">
        <v>826</v>
      </c>
      <c r="F95" s="2" t="s">
        <v>827</v>
      </c>
      <c r="G95" s="2" t="s">
        <v>828</v>
      </c>
      <c r="H95" s="2" t="s">
        <v>829</v>
      </c>
      <c r="I95" s="2"/>
      <c r="J95" s="2" t="s">
        <v>660</v>
      </c>
      <c r="K95" s="2" t="s">
        <v>230</v>
      </c>
      <c r="L95" s="2" t="s">
        <v>661</v>
      </c>
      <c r="M95" s="2" t="s">
        <v>166</v>
      </c>
      <c r="N95" s="2" t="s">
        <v>65</v>
      </c>
      <c r="O95" s="2" t="s">
        <v>66</v>
      </c>
      <c r="P95" s="2" t="s">
        <v>830</v>
      </c>
      <c r="Q95" s="2" t="s">
        <v>5</v>
      </c>
      <c r="R95" s="2" t="s">
        <v>36</v>
      </c>
      <c r="S95" s="2" t="s">
        <v>36</v>
      </c>
      <c r="T95" s="2" t="s">
        <v>36</v>
      </c>
      <c r="U95" s="2" t="s">
        <v>37</v>
      </c>
    </row>
    <row r="96" spans="1:21" x14ac:dyDescent="0.25">
      <c r="A96" s="2" t="s">
        <v>831</v>
      </c>
      <c r="B96" s="2" t="s">
        <v>184</v>
      </c>
      <c r="C96" s="2" t="s">
        <v>55</v>
      </c>
      <c r="D96" s="2" t="s">
        <v>365</v>
      </c>
      <c r="E96" s="2" t="s">
        <v>832</v>
      </c>
      <c r="F96" s="2" t="s">
        <v>833</v>
      </c>
      <c r="G96" s="2" t="s">
        <v>834</v>
      </c>
      <c r="H96" s="2" t="s">
        <v>835</v>
      </c>
      <c r="I96" s="2"/>
      <c r="J96" s="2" t="s">
        <v>370</v>
      </c>
      <c r="K96" s="2" t="s">
        <v>371</v>
      </c>
      <c r="L96" s="2"/>
      <c r="M96" s="2" t="s">
        <v>64</v>
      </c>
      <c r="N96" s="2" t="s">
        <v>49</v>
      </c>
      <c r="O96" s="2" t="s">
        <v>192</v>
      </c>
      <c r="P96" s="2" t="s">
        <v>836</v>
      </c>
      <c r="Q96" s="2" t="s">
        <v>5</v>
      </c>
      <c r="R96" s="2" t="s">
        <v>36</v>
      </c>
      <c r="S96" s="2" t="s">
        <v>37</v>
      </c>
      <c r="T96" s="2" t="s">
        <v>37</v>
      </c>
      <c r="U96" s="2" t="s">
        <v>36</v>
      </c>
    </row>
    <row r="97" spans="1:21" x14ac:dyDescent="0.25">
      <c r="A97" s="2" t="s">
        <v>837</v>
      </c>
      <c r="B97" s="2" t="s">
        <v>39</v>
      </c>
      <c r="C97" s="2" t="s">
        <v>838</v>
      </c>
      <c r="D97" s="2" t="s">
        <v>325</v>
      </c>
      <c r="E97" s="2" t="s">
        <v>839</v>
      </c>
      <c r="F97" s="2" t="s">
        <v>840</v>
      </c>
      <c r="G97" s="2" t="s">
        <v>841</v>
      </c>
      <c r="H97" s="2" t="s">
        <v>842</v>
      </c>
      <c r="I97" s="2"/>
      <c r="J97" s="2" t="s">
        <v>252</v>
      </c>
      <c r="K97" s="2" t="s">
        <v>253</v>
      </c>
      <c r="L97" s="2" t="s">
        <v>254</v>
      </c>
      <c r="M97" s="2" t="s">
        <v>32</v>
      </c>
      <c r="N97" s="2" t="s">
        <v>117</v>
      </c>
      <c r="O97" s="2" t="s">
        <v>154</v>
      </c>
      <c r="P97" s="2" t="s">
        <v>843</v>
      </c>
      <c r="Q97" s="2" t="s">
        <v>4</v>
      </c>
      <c r="R97" s="2" t="s">
        <v>37</v>
      </c>
      <c r="S97" s="2" t="s">
        <v>36</v>
      </c>
      <c r="T97" s="2" t="s">
        <v>37</v>
      </c>
      <c r="U97" s="2" t="s">
        <v>36</v>
      </c>
    </row>
    <row r="98" spans="1:21" x14ac:dyDescent="0.25">
      <c r="A98" s="2" t="s">
        <v>844</v>
      </c>
      <c r="B98" s="2" t="s">
        <v>69</v>
      </c>
      <c r="C98" s="2" t="s">
        <v>673</v>
      </c>
      <c r="D98" s="2" t="s">
        <v>247</v>
      </c>
      <c r="E98" s="2" t="s">
        <v>845</v>
      </c>
      <c r="F98" s="2" t="s">
        <v>846</v>
      </c>
      <c r="G98" s="2" t="s">
        <v>847</v>
      </c>
      <c r="H98" s="2" t="s">
        <v>848</v>
      </c>
      <c r="I98" s="2"/>
      <c r="J98" s="2" t="s">
        <v>429</v>
      </c>
      <c r="K98" s="2" t="s">
        <v>430</v>
      </c>
      <c r="L98" s="2" t="s">
        <v>431</v>
      </c>
      <c r="M98" s="2" t="s">
        <v>191</v>
      </c>
      <c r="N98" s="2" t="s">
        <v>91</v>
      </c>
      <c r="O98" s="2" t="s">
        <v>50</v>
      </c>
      <c r="P98" s="2" t="s">
        <v>849</v>
      </c>
      <c r="Q98" s="2" t="s">
        <v>4</v>
      </c>
      <c r="R98" s="2" t="s">
        <v>37</v>
      </c>
      <c r="S98" s="2" t="s">
        <v>37</v>
      </c>
      <c r="T98" s="2" t="s">
        <v>37</v>
      </c>
      <c r="U98" s="2" t="s">
        <v>37</v>
      </c>
    </row>
    <row r="99" spans="1:21" x14ac:dyDescent="0.25">
      <c r="A99" s="2" t="s">
        <v>850</v>
      </c>
      <c r="B99" s="2" t="s">
        <v>131</v>
      </c>
      <c r="C99" s="2" t="s">
        <v>851</v>
      </c>
      <c r="D99" s="2" t="s">
        <v>449</v>
      </c>
      <c r="E99" s="2" t="s">
        <v>852</v>
      </c>
      <c r="F99" s="2" t="s">
        <v>853</v>
      </c>
      <c r="G99" s="2" t="s">
        <v>854</v>
      </c>
      <c r="H99" s="2" t="s">
        <v>855</v>
      </c>
      <c r="I99" s="2"/>
      <c r="J99" s="2" t="s">
        <v>100</v>
      </c>
      <c r="K99" s="2" t="s">
        <v>101</v>
      </c>
      <c r="L99" s="2" t="s">
        <v>343</v>
      </c>
      <c r="M99" s="2" t="s">
        <v>180</v>
      </c>
      <c r="N99" s="2" t="s">
        <v>181</v>
      </c>
      <c r="O99" s="2" t="s">
        <v>50</v>
      </c>
      <c r="P99" s="2" t="s">
        <v>856</v>
      </c>
      <c r="Q99" s="2" t="s">
        <v>93</v>
      </c>
      <c r="R99" s="2" t="s">
        <v>36</v>
      </c>
      <c r="S99" s="2" t="s">
        <v>37</v>
      </c>
      <c r="T99" s="2" t="s">
        <v>37</v>
      </c>
      <c r="U99" s="2" t="s">
        <v>37</v>
      </c>
    </row>
    <row r="100" spans="1:21" x14ac:dyDescent="0.25">
      <c r="A100" s="2" t="s">
        <v>857</v>
      </c>
      <c r="B100" s="2" t="s">
        <v>131</v>
      </c>
      <c r="C100" s="2" t="s">
        <v>488</v>
      </c>
      <c r="D100" s="2" t="s">
        <v>449</v>
      </c>
      <c r="E100" s="2" t="s">
        <v>858</v>
      </c>
      <c r="F100" s="2" t="s">
        <v>859</v>
      </c>
      <c r="G100" s="2" t="s">
        <v>860</v>
      </c>
      <c r="H100" s="2" t="s">
        <v>861</v>
      </c>
      <c r="I100" s="2"/>
      <c r="J100" s="2" t="s">
        <v>61</v>
      </c>
      <c r="K100" s="2" t="s">
        <v>62</v>
      </c>
      <c r="L100" s="2" t="s">
        <v>63</v>
      </c>
      <c r="M100" s="2" t="s">
        <v>242</v>
      </c>
      <c r="N100" s="2" t="s">
        <v>167</v>
      </c>
      <c r="O100" s="2" t="s">
        <v>50</v>
      </c>
      <c r="P100" s="2" t="s">
        <v>862</v>
      </c>
      <c r="Q100" s="2" t="s">
        <v>4</v>
      </c>
      <c r="R100" s="2" t="s">
        <v>36</v>
      </c>
      <c r="S100" s="2" t="s">
        <v>36</v>
      </c>
      <c r="T100" s="2" t="s">
        <v>37</v>
      </c>
      <c r="U100" s="2" t="s">
        <v>36</v>
      </c>
    </row>
    <row r="101" spans="1:21" x14ac:dyDescent="0.25">
      <c r="A101" s="2" t="s">
        <v>863</v>
      </c>
      <c r="B101" s="2" t="s">
        <v>54</v>
      </c>
      <c r="C101" s="2" t="s">
        <v>864</v>
      </c>
      <c r="D101" s="2" t="s">
        <v>186</v>
      </c>
      <c r="E101" s="2" t="s">
        <v>865</v>
      </c>
      <c r="F101" s="2" t="s">
        <v>866</v>
      </c>
      <c r="G101" s="2"/>
      <c r="H101" s="2" t="s">
        <v>867</v>
      </c>
      <c r="I101" s="2"/>
      <c r="J101" s="2" t="s">
        <v>660</v>
      </c>
      <c r="K101" s="2" t="s">
        <v>230</v>
      </c>
      <c r="L101" s="2" t="s">
        <v>661</v>
      </c>
      <c r="M101" s="2" t="s">
        <v>116</v>
      </c>
      <c r="N101" s="2" t="s">
        <v>91</v>
      </c>
      <c r="O101" s="2" t="s">
        <v>50</v>
      </c>
      <c r="P101" s="2" t="s">
        <v>868</v>
      </c>
      <c r="Q101" s="2" t="s">
        <v>4</v>
      </c>
      <c r="R101" s="2" t="s">
        <v>36</v>
      </c>
      <c r="S101" s="2" t="s">
        <v>36</v>
      </c>
      <c r="T101" s="2" t="s">
        <v>36</v>
      </c>
      <c r="U101" s="2" t="s">
        <v>36</v>
      </c>
    </row>
    <row r="102" spans="1:21" x14ac:dyDescent="0.25">
      <c r="A102" s="2" t="s">
        <v>869</v>
      </c>
      <c r="B102" s="2" t="s">
        <v>22</v>
      </c>
      <c r="C102" s="2" t="s">
        <v>818</v>
      </c>
      <c r="D102" s="2" t="s">
        <v>870</v>
      </c>
      <c r="E102" s="2" t="s">
        <v>871</v>
      </c>
      <c r="F102" s="2" t="s">
        <v>872</v>
      </c>
      <c r="G102" s="2" t="s">
        <v>873</v>
      </c>
      <c r="H102" s="2" t="s">
        <v>874</v>
      </c>
      <c r="I102" s="2"/>
      <c r="J102" s="2" t="s">
        <v>625</v>
      </c>
      <c r="K102" s="2" t="s">
        <v>626</v>
      </c>
      <c r="L102" s="2" t="s">
        <v>627</v>
      </c>
      <c r="M102" s="2" t="s">
        <v>32</v>
      </c>
      <c r="N102" s="2" t="s">
        <v>91</v>
      </c>
      <c r="O102" s="2" t="s">
        <v>34</v>
      </c>
      <c r="P102" s="2" t="s">
        <v>875</v>
      </c>
      <c r="Q102" s="2" t="s">
        <v>4</v>
      </c>
      <c r="R102" s="2" t="s">
        <v>36</v>
      </c>
      <c r="S102" s="2" t="s">
        <v>36</v>
      </c>
      <c r="T102" s="2" t="s">
        <v>37</v>
      </c>
      <c r="U102" s="2" t="s">
        <v>37</v>
      </c>
    </row>
    <row r="103" spans="1:21" x14ac:dyDescent="0.25">
      <c r="A103" s="2" t="s">
        <v>876</v>
      </c>
      <c r="B103" s="2" t="s">
        <v>131</v>
      </c>
      <c r="C103" s="2" t="s">
        <v>877</v>
      </c>
      <c r="D103" s="2" t="s">
        <v>449</v>
      </c>
      <c r="E103" s="2" t="s">
        <v>878</v>
      </c>
      <c r="F103" s="2" t="s">
        <v>879</v>
      </c>
      <c r="G103" s="2" t="s">
        <v>880</v>
      </c>
      <c r="H103" s="2" t="s">
        <v>881</v>
      </c>
      <c r="I103" s="2"/>
      <c r="J103" s="2" t="s">
        <v>252</v>
      </c>
      <c r="K103" s="2" t="s">
        <v>253</v>
      </c>
      <c r="L103" s="2" t="s">
        <v>254</v>
      </c>
      <c r="M103" s="2" t="s">
        <v>232</v>
      </c>
      <c r="N103" s="2" t="s">
        <v>181</v>
      </c>
      <c r="O103" s="2" t="s">
        <v>192</v>
      </c>
      <c r="P103" s="2" t="s">
        <v>882</v>
      </c>
      <c r="Q103" s="2" t="s">
        <v>4</v>
      </c>
      <c r="R103" s="2" t="s">
        <v>36</v>
      </c>
      <c r="S103" s="2" t="s">
        <v>36</v>
      </c>
      <c r="T103" s="2" t="s">
        <v>36</v>
      </c>
      <c r="U103" s="2" t="s">
        <v>36</v>
      </c>
    </row>
    <row r="104" spans="1:21" x14ac:dyDescent="0.25">
      <c r="A104" s="2" t="s">
        <v>883</v>
      </c>
      <c r="B104" s="2" t="s">
        <v>131</v>
      </c>
      <c r="C104" s="2" t="s">
        <v>413</v>
      </c>
      <c r="D104" s="2" t="s">
        <v>158</v>
      </c>
      <c r="E104" s="2" t="s">
        <v>884</v>
      </c>
      <c r="F104" s="2" t="s">
        <v>885</v>
      </c>
      <c r="G104" s="2" t="s">
        <v>886</v>
      </c>
      <c r="H104" s="2" t="s">
        <v>887</v>
      </c>
      <c r="I104" s="2"/>
      <c r="J104" s="2" t="s">
        <v>370</v>
      </c>
      <c r="K104" s="2" t="s">
        <v>371</v>
      </c>
      <c r="L104" s="2" t="s">
        <v>602</v>
      </c>
      <c r="M104" s="2" t="s">
        <v>32</v>
      </c>
      <c r="N104" s="2" t="s">
        <v>181</v>
      </c>
      <c r="O104" s="2" t="s">
        <v>154</v>
      </c>
      <c r="P104" s="2" t="s">
        <v>888</v>
      </c>
      <c r="Q104" s="2" t="s">
        <v>93</v>
      </c>
      <c r="R104" s="2" t="s">
        <v>36</v>
      </c>
      <c r="S104" s="2" t="s">
        <v>36</v>
      </c>
      <c r="T104" s="2" t="s">
        <v>37</v>
      </c>
      <c r="U104" s="2" t="s">
        <v>37</v>
      </c>
    </row>
    <row r="105" spans="1:21" x14ac:dyDescent="0.25">
      <c r="A105" s="2" t="s">
        <v>889</v>
      </c>
      <c r="B105" s="2" t="s">
        <v>235</v>
      </c>
      <c r="C105" s="2" t="s">
        <v>382</v>
      </c>
      <c r="D105" s="2" t="s">
        <v>121</v>
      </c>
      <c r="E105" s="2" t="s">
        <v>890</v>
      </c>
      <c r="F105" s="2" t="s">
        <v>891</v>
      </c>
      <c r="G105" s="2" t="s">
        <v>892</v>
      </c>
      <c r="H105" s="2" t="s">
        <v>893</v>
      </c>
      <c r="I105" s="2"/>
      <c r="J105" s="2" t="s">
        <v>61</v>
      </c>
      <c r="K105" s="2" t="s">
        <v>62</v>
      </c>
      <c r="L105" s="2" t="s">
        <v>63</v>
      </c>
      <c r="M105" s="2" t="s">
        <v>242</v>
      </c>
      <c r="N105" s="2" t="s">
        <v>153</v>
      </c>
      <c r="O105" s="2" t="s">
        <v>141</v>
      </c>
      <c r="P105" s="2" t="s">
        <v>894</v>
      </c>
      <c r="Q105" s="2" t="s">
        <v>4</v>
      </c>
      <c r="R105" s="2" t="s">
        <v>36</v>
      </c>
      <c r="S105" s="2" t="s">
        <v>36</v>
      </c>
      <c r="T105" s="2" t="s">
        <v>36</v>
      </c>
      <c r="U105" s="2" t="s">
        <v>37</v>
      </c>
    </row>
    <row r="106" spans="1:21" x14ac:dyDescent="0.25">
      <c r="A106" s="2" t="s">
        <v>895</v>
      </c>
      <c r="B106" s="2" t="s">
        <v>184</v>
      </c>
      <c r="C106" s="2" t="s">
        <v>754</v>
      </c>
      <c r="D106" s="2" t="s">
        <v>414</v>
      </c>
      <c r="E106" s="2" t="s">
        <v>896</v>
      </c>
      <c r="F106" s="2" t="s">
        <v>897</v>
      </c>
      <c r="G106" s="2" t="s">
        <v>898</v>
      </c>
      <c r="H106" s="2" t="s">
        <v>899</v>
      </c>
      <c r="I106" s="2"/>
      <c r="J106" s="2" t="s">
        <v>61</v>
      </c>
      <c r="K106" s="2" t="s">
        <v>62</v>
      </c>
      <c r="L106" s="2" t="s">
        <v>63</v>
      </c>
      <c r="M106" s="2" t="s">
        <v>64</v>
      </c>
      <c r="N106" s="2" t="s">
        <v>49</v>
      </c>
      <c r="O106" s="2" t="s">
        <v>192</v>
      </c>
      <c r="P106" s="2" t="s">
        <v>900</v>
      </c>
      <c r="Q106" s="2" t="s">
        <v>5</v>
      </c>
      <c r="R106" s="2" t="s">
        <v>36</v>
      </c>
      <c r="S106" s="2" t="s">
        <v>36</v>
      </c>
      <c r="T106" s="2" t="s">
        <v>36</v>
      </c>
      <c r="U106" s="2" t="s">
        <v>37</v>
      </c>
    </row>
    <row r="107" spans="1:21" x14ac:dyDescent="0.25">
      <c r="A107" s="2" t="s">
        <v>901</v>
      </c>
      <c r="B107" s="2" t="s">
        <v>402</v>
      </c>
      <c r="C107" s="2" t="s">
        <v>40</v>
      </c>
      <c r="D107" s="2" t="s">
        <v>902</v>
      </c>
      <c r="E107" s="2" t="s">
        <v>903</v>
      </c>
      <c r="F107" s="2" t="s">
        <v>904</v>
      </c>
      <c r="G107" s="2" t="s">
        <v>905</v>
      </c>
      <c r="H107" s="2" t="s">
        <v>906</v>
      </c>
      <c r="I107" s="2"/>
      <c r="J107" s="2" t="s">
        <v>252</v>
      </c>
      <c r="K107" s="2" t="s">
        <v>253</v>
      </c>
      <c r="L107" s="2" t="s">
        <v>254</v>
      </c>
      <c r="M107" s="2" t="s">
        <v>232</v>
      </c>
      <c r="N107" s="2" t="s">
        <v>153</v>
      </c>
      <c r="O107" s="2" t="s">
        <v>141</v>
      </c>
      <c r="P107" s="2" t="s">
        <v>907</v>
      </c>
      <c r="Q107" s="2" t="s">
        <v>4</v>
      </c>
      <c r="R107" s="2" t="s">
        <v>36</v>
      </c>
      <c r="S107" s="2" t="s">
        <v>37</v>
      </c>
      <c r="T107" s="2" t="s">
        <v>37</v>
      </c>
      <c r="U107" s="2" t="s">
        <v>37</v>
      </c>
    </row>
    <row r="108" spans="1:21" x14ac:dyDescent="0.25">
      <c r="A108" s="2" t="s">
        <v>908</v>
      </c>
      <c r="B108" s="2" t="s">
        <v>69</v>
      </c>
      <c r="C108" s="2" t="s">
        <v>55</v>
      </c>
      <c r="D108" s="2" t="s">
        <v>614</v>
      </c>
      <c r="E108" s="2" t="s">
        <v>909</v>
      </c>
      <c r="F108" s="2" t="s">
        <v>910</v>
      </c>
      <c r="G108" s="2" t="s">
        <v>911</v>
      </c>
      <c r="H108" s="2" t="s">
        <v>912</v>
      </c>
      <c r="I108" s="2"/>
      <c r="J108" s="2" t="s">
        <v>29</v>
      </c>
      <c r="K108" s="2" t="s">
        <v>30</v>
      </c>
      <c r="L108" s="2" t="s">
        <v>31</v>
      </c>
      <c r="M108" s="2" t="s">
        <v>64</v>
      </c>
      <c r="N108" s="2" t="s">
        <v>33</v>
      </c>
      <c r="O108" s="2" t="s">
        <v>243</v>
      </c>
      <c r="P108" s="2" t="s">
        <v>913</v>
      </c>
      <c r="Q108" s="2" t="s">
        <v>4</v>
      </c>
      <c r="R108" s="2" t="s">
        <v>37</v>
      </c>
      <c r="S108" s="2" t="s">
        <v>36</v>
      </c>
      <c r="T108" s="2" t="s">
        <v>37</v>
      </c>
      <c r="U108" s="2" t="s">
        <v>37</v>
      </c>
    </row>
    <row r="109" spans="1:21" x14ac:dyDescent="0.25">
      <c r="A109" s="2" t="s">
        <v>914</v>
      </c>
      <c r="B109" s="2" t="s">
        <v>131</v>
      </c>
      <c r="C109" s="2" t="s">
        <v>838</v>
      </c>
      <c r="D109" s="2" t="s">
        <v>83</v>
      </c>
      <c r="E109" s="2" t="s">
        <v>915</v>
      </c>
      <c r="F109" s="2" t="s">
        <v>916</v>
      </c>
      <c r="G109" s="2" t="s">
        <v>917</v>
      </c>
      <c r="H109" s="2" t="s">
        <v>918</v>
      </c>
      <c r="I109" s="2"/>
      <c r="J109" s="2" t="s">
        <v>585</v>
      </c>
      <c r="K109" s="2" t="s">
        <v>586</v>
      </c>
      <c r="L109" s="2" t="s">
        <v>587</v>
      </c>
      <c r="M109" s="2" t="s">
        <v>32</v>
      </c>
      <c r="N109" s="2" t="s">
        <v>153</v>
      </c>
      <c r="O109" s="2" t="s">
        <v>192</v>
      </c>
      <c r="P109" s="2" t="s">
        <v>919</v>
      </c>
      <c r="Q109" s="2" t="s">
        <v>4</v>
      </c>
      <c r="R109" s="2" t="s">
        <v>36</v>
      </c>
      <c r="S109" s="2" t="s">
        <v>36</v>
      </c>
      <c r="T109" s="2" t="s">
        <v>37</v>
      </c>
      <c r="U109" s="2" t="s">
        <v>36</v>
      </c>
    </row>
    <row r="110" spans="1:21" x14ac:dyDescent="0.25">
      <c r="A110" s="2" t="s">
        <v>920</v>
      </c>
      <c r="B110" s="2" t="s">
        <v>54</v>
      </c>
      <c r="C110" s="2" t="s">
        <v>597</v>
      </c>
      <c r="D110" s="2" t="s">
        <v>145</v>
      </c>
      <c r="E110" s="2" t="s">
        <v>921</v>
      </c>
      <c r="F110" s="2" t="s">
        <v>922</v>
      </c>
      <c r="G110" s="2" t="s">
        <v>923</v>
      </c>
      <c r="H110" s="2" t="s">
        <v>924</v>
      </c>
      <c r="I110" s="2"/>
      <c r="J110" s="2" t="s">
        <v>219</v>
      </c>
      <c r="K110" s="2" t="s">
        <v>220</v>
      </c>
      <c r="L110" s="2" t="s">
        <v>925</v>
      </c>
      <c r="M110" s="2" t="s">
        <v>116</v>
      </c>
      <c r="N110" s="2" t="s">
        <v>167</v>
      </c>
      <c r="O110" s="2" t="s">
        <v>141</v>
      </c>
      <c r="P110" s="2" t="s">
        <v>926</v>
      </c>
      <c r="Q110" s="2" t="s">
        <v>4</v>
      </c>
      <c r="R110" s="2" t="s">
        <v>37</v>
      </c>
      <c r="S110" s="2" t="s">
        <v>36</v>
      </c>
      <c r="T110" s="2" t="s">
        <v>36</v>
      </c>
      <c r="U110" s="2" t="s">
        <v>37</v>
      </c>
    </row>
    <row r="111" spans="1:21" x14ac:dyDescent="0.25">
      <c r="A111" s="2" t="s">
        <v>927</v>
      </c>
      <c r="B111" s="2" t="s">
        <v>69</v>
      </c>
      <c r="C111" s="2" t="s">
        <v>754</v>
      </c>
      <c r="D111" s="2" t="s">
        <v>258</v>
      </c>
      <c r="E111" s="2" t="s">
        <v>928</v>
      </c>
      <c r="F111" s="2" t="s">
        <v>929</v>
      </c>
      <c r="G111" s="2" t="s">
        <v>930</v>
      </c>
      <c r="H111" s="2" t="s">
        <v>931</v>
      </c>
      <c r="I111" s="2"/>
      <c r="J111" s="2" t="s">
        <v>531</v>
      </c>
      <c r="K111" s="2" t="s">
        <v>532</v>
      </c>
      <c r="L111" s="2" t="s">
        <v>533</v>
      </c>
      <c r="M111" s="2" t="s">
        <v>116</v>
      </c>
      <c r="N111" s="2" t="s">
        <v>49</v>
      </c>
      <c r="O111" s="2" t="s">
        <v>192</v>
      </c>
      <c r="P111" s="2" t="s">
        <v>932</v>
      </c>
      <c r="Q111" s="2" t="s">
        <v>4</v>
      </c>
      <c r="R111" s="2" t="s">
        <v>37</v>
      </c>
      <c r="S111" s="2" t="s">
        <v>36</v>
      </c>
      <c r="T111" s="2" t="s">
        <v>37</v>
      </c>
      <c r="U111" s="2" t="s">
        <v>36</v>
      </c>
    </row>
    <row r="112" spans="1:21" x14ac:dyDescent="0.25">
      <c r="A112" s="2" t="s">
        <v>933</v>
      </c>
      <c r="B112" s="2" t="s">
        <v>195</v>
      </c>
      <c r="C112" s="2" t="s">
        <v>40</v>
      </c>
      <c r="D112" s="2" t="s">
        <v>41</v>
      </c>
      <c r="E112" s="2" t="s">
        <v>934</v>
      </c>
      <c r="F112" s="2" t="s">
        <v>935</v>
      </c>
      <c r="G112" s="2" t="s">
        <v>936</v>
      </c>
      <c r="H112" s="2" t="s">
        <v>937</v>
      </c>
      <c r="I112" s="2"/>
      <c r="J112" s="2" t="s">
        <v>296</v>
      </c>
      <c r="K112" s="2" t="s">
        <v>297</v>
      </c>
      <c r="L112" s="2" t="s">
        <v>298</v>
      </c>
      <c r="M112" s="2" t="s">
        <v>32</v>
      </c>
      <c r="N112" s="2" t="s">
        <v>33</v>
      </c>
      <c r="O112" s="2" t="s">
        <v>34</v>
      </c>
      <c r="P112" s="2" t="s">
        <v>938</v>
      </c>
      <c r="Q112" s="2" t="s">
        <v>93</v>
      </c>
      <c r="R112" s="2" t="s">
        <v>36</v>
      </c>
      <c r="S112" s="2" t="s">
        <v>36</v>
      </c>
      <c r="T112" s="2" t="s">
        <v>37</v>
      </c>
      <c r="U112" s="2" t="s">
        <v>36</v>
      </c>
    </row>
    <row r="113" spans="1:21" x14ac:dyDescent="0.25">
      <c r="A113" s="2" t="s">
        <v>939</v>
      </c>
      <c r="B113" s="2"/>
      <c r="C113" s="2" t="s">
        <v>237</v>
      </c>
      <c r="D113" s="2" t="s">
        <v>940</v>
      </c>
      <c r="E113" s="2" t="s">
        <v>941</v>
      </c>
      <c r="F113" s="2" t="s">
        <v>942</v>
      </c>
      <c r="G113" s="2" t="s">
        <v>943</v>
      </c>
      <c r="H113" s="2" t="s">
        <v>944</v>
      </c>
      <c r="I113" s="2"/>
      <c r="J113" s="2" t="s">
        <v>945</v>
      </c>
      <c r="K113" s="2" t="s">
        <v>946</v>
      </c>
      <c r="L113" s="2" t="s">
        <v>947</v>
      </c>
      <c r="M113" s="2" t="s">
        <v>64</v>
      </c>
      <c r="N113" s="2" t="s">
        <v>181</v>
      </c>
      <c r="O113" s="2" t="s">
        <v>154</v>
      </c>
      <c r="P113" s="2" t="s">
        <v>948</v>
      </c>
      <c r="Q113" s="2" t="s">
        <v>5</v>
      </c>
      <c r="R113" s="2" t="s">
        <v>36</v>
      </c>
      <c r="S113" s="2" t="s">
        <v>36</v>
      </c>
      <c r="T113" s="2" t="s">
        <v>37</v>
      </c>
      <c r="U113" s="2" t="s">
        <v>37</v>
      </c>
    </row>
    <row r="114" spans="1:21" x14ac:dyDescent="0.25">
      <c r="A114" s="2" t="s">
        <v>949</v>
      </c>
      <c r="B114" s="2" t="s">
        <v>235</v>
      </c>
      <c r="C114" s="2" t="s">
        <v>590</v>
      </c>
      <c r="D114" s="2" t="s">
        <v>449</v>
      </c>
      <c r="E114" s="2" t="s">
        <v>950</v>
      </c>
      <c r="F114" s="2" t="s">
        <v>951</v>
      </c>
      <c r="G114" s="2" t="s">
        <v>952</v>
      </c>
      <c r="H114" s="2" t="s">
        <v>953</v>
      </c>
      <c r="I114" s="2"/>
      <c r="J114" s="2" t="s">
        <v>429</v>
      </c>
      <c r="K114" s="2" t="s">
        <v>430</v>
      </c>
      <c r="L114" s="2"/>
      <c r="M114" s="2" t="s">
        <v>103</v>
      </c>
      <c r="N114" s="2" t="s">
        <v>167</v>
      </c>
      <c r="O114" s="2" t="s">
        <v>50</v>
      </c>
      <c r="P114" s="2" t="s">
        <v>954</v>
      </c>
      <c r="Q114" s="2" t="s">
        <v>93</v>
      </c>
      <c r="R114" s="2" t="s">
        <v>36</v>
      </c>
      <c r="S114" s="2" t="s">
        <v>36</v>
      </c>
      <c r="T114" s="2" t="s">
        <v>37</v>
      </c>
      <c r="U114" s="2" t="s">
        <v>37</v>
      </c>
    </row>
    <row r="115" spans="1:21" x14ac:dyDescent="0.25">
      <c r="A115" s="2" t="s">
        <v>955</v>
      </c>
      <c r="B115" s="2"/>
      <c r="C115" s="2" t="s">
        <v>246</v>
      </c>
      <c r="D115" s="2" t="s">
        <v>158</v>
      </c>
      <c r="E115" s="2" t="s">
        <v>956</v>
      </c>
      <c r="F115" s="2" t="s">
        <v>957</v>
      </c>
      <c r="G115" s="2" t="s">
        <v>958</v>
      </c>
      <c r="H115" s="2" t="s">
        <v>959</v>
      </c>
      <c r="I115" s="2"/>
      <c r="J115" s="2" t="s">
        <v>609</v>
      </c>
      <c r="K115" s="2" t="s">
        <v>610</v>
      </c>
      <c r="L115" s="2" t="s">
        <v>611</v>
      </c>
      <c r="M115" s="2" t="s">
        <v>32</v>
      </c>
      <c r="N115" s="2" t="s">
        <v>181</v>
      </c>
      <c r="O115" s="2" t="s">
        <v>50</v>
      </c>
      <c r="P115" s="2" t="s">
        <v>960</v>
      </c>
      <c r="Q115" s="2" t="s">
        <v>52</v>
      </c>
      <c r="R115" s="2" t="s">
        <v>36</v>
      </c>
      <c r="S115" s="2" t="s">
        <v>37</v>
      </c>
      <c r="T115" s="2" t="s">
        <v>37</v>
      </c>
      <c r="U115" s="2" t="s">
        <v>36</v>
      </c>
    </row>
    <row r="116" spans="1:21" x14ac:dyDescent="0.25">
      <c r="A116" s="2" t="s">
        <v>961</v>
      </c>
      <c r="B116" s="2" t="s">
        <v>54</v>
      </c>
      <c r="C116" s="2" t="s">
        <v>82</v>
      </c>
      <c r="D116" s="2" t="s">
        <v>375</v>
      </c>
      <c r="E116" s="2" t="s">
        <v>962</v>
      </c>
      <c r="F116" s="2" t="s">
        <v>963</v>
      </c>
      <c r="G116" s="2" t="s">
        <v>964</v>
      </c>
      <c r="H116" s="2" t="s">
        <v>965</v>
      </c>
      <c r="I116" s="2"/>
      <c r="J116" s="2" t="s">
        <v>766</v>
      </c>
      <c r="K116" s="2" t="s">
        <v>767</v>
      </c>
      <c r="L116" s="2" t="s">
        <v>768</v>
      </c>
      <c r="M116" s="2" t="s">
        <v>191</v>
      </c>
      <c r="N116" s="2" t="s">
        <v>65</v>
      </c>
      <c r="O116" s="2" t="s">
        <v>154</v>
      </c>
      <c r="P116" s="2" t="s">
        <v>966</v>
      </c>
      <c r="Q116" s="2" t="s">
        <v>93</v>
      </c>
      <c r="R116" s="2" t="s">
        <v>37</v>
      </c>
      <c r="S116" s="2" t="s">
        <v>36</v>
      </c>
      <c r="T116" s="2" t="s">
        <v>37</v>
      </c>
      <c r="U116" s="2" t="s">
        <v>36</v>
      </c>
    </row>
    <row r="117" spans="1:21" x14ac:dyDescent="0.25">
      <c r="A117" s="2" t="s">
        <v>967</v>
      </c>
      <c r="B117" s="2" t="s">
        <v>39</v>
      </c>
      <c r="C117" s="2" t="s">
        <v>968</v>
      </c>
      <c r="D117" s="2" t="s">
        <v>83</v>
      </c>
      <c r="E117" s="2" t="s">
        <v>969</v>
      </c>
      <c r="F117" s="2" t="s">
        <v>970</v>
      </c>
      <c r="G117" s="2" t="s">
        <v>971</v>
      </c>
      <c r="H117" s="2" t="s">
        <v>972</v>
      </c>
      <c r="I117" s="2"/>
      <c r="J117" s="2" t="s">
        <v>100</v>
      </c>
      <c r="K117" s="2" t="s">
        <v>101</v>
      </c>
      <c r="L117" s="2" t="s">
        <v>343</v>
      </c>
      <c r="M117" s="2" t="s">
        <v>32</v>
      </c>
      <c r="N117" s="2" t="s">
        <v>91</v>
      </c>
      <c r="O117" s="2" t="s">
        <v>66</v>
      </c>
      <c r="P117" s="2" t="s">
        <v>973</v>
      </c>
      <c r="Q117" s="2" t="s">
        <v>5</v>
      </c>
      <c r="R117" s="2" t="s">
        <v>37</v>
      </c>
      <c r="S117" s="2" t="s">
        <v>36</v>
      </c>
      <c r="T117" s="2" t="s">
        <v>36</v>
      </c>
      <c r="U117" s="2" t="s">
        <v>37</v>
      </c>
    </row>
    <row r="118" spans="1:21" x14ac:dyDescent="0.25">
      <c r="A118" s="2" t="s">
        <v>974</v>
      </c>
      <c r="B118" s="2" t="s">
        <v>235</v>
      </c>
      <c r="C118" s="2" t="s">
        <v>308</v>
      </c>
      <c r="D118" s="2" t="s">
        <v>108</v>
      </c>
      <c r="E118" s="2"/>
      <c r="F118" s="2" t="s">
        <v>975</v>
      </c>
      <c r="G118" s="2" t="s">
        <v>976</v>
      </c>
      <c r="H118" s="2" t="s">
        <v>977</v>
      </c>
      <c r="I118" s="2"/>
      <c r="J118" s="2" t="s">
        <v>660</v>
      </c>
      <c r="K118" s="2" t="s">
        <v>230</v>
      </c>
      <c r="L118" s="2" t="s">
        <v>661</v>
      </c>
      <c r="M118" s="2" t="s">
        <v>232</v>
      </c>
      <c r="N118" s="2" t="s">
        <v>181</v>
      </c>
      <c r="O118" s="2" t="s">
        <v>141</v>
      </c>
      <c r="P118" s="2" t="s">
        <v>978</v>
      </c>
      <c r="Q118" s="2" t="s">
        <v>5</v>
      </c>
      <c r="R118" s="2" t="s">
        <v>37</v>
      </c>
      <c r="S118" s="2" t="s">
        <v>37</v>
      </c>
      <c r="T118" s="2" t="s">
        <v>37</v>
      </c>
      <c r="U118" s="2" t="s">
        <v>37</v>
      </c>
    </row>
    <row r="119" spans="1:21" x14ac:dyDescent="0.25">
      <c r="A119" s="2" t="s">
        <v>979</v>
      </c>
      <c r="B119" s="2" t="s">
        <v>54</v>
      </c>
      <c r="C119" s="2" t="s">
        <v>673</v>
      </c>
      <c r="D119" s="2" t="s">
        <v>496</v>
      </c>
      <c r="E119" s="2" t="s">
        <v>980</v>
      </c>
      <c r="F119" s="2" t="s">
        <v>981</v>
      </c>
      <c r="G119" s="2" t="s">
        <v>982</v>
      </c>
      <c r="H119" s="2" t="s">
        <v>983</v>
      </c>
      <c r="I119" s="2"/>
      <c r="J119" s="2" t="s">
        <v>984</v>
      </c>
      <c r="K119" s="2" t="s">
        <v>62</v>
      </c>
      <c r="L119" s="2" t="s">
        <v>985</v>
      </c>
      <c r="M119" s="2" t="s">
        <v>166</v>
      </c>
      <c r="N119" s="2" t="s">
        <v>49</v>
      </c>
      <c r="O119" s="2" t="s">
        <v>154</v>
      </c>
      <c r="P119" s="2" t="s">
        <v>986</v>
      </c>
      <c r="Q119" s="2" t="s">
        <v>4</v>
      </c>
      <c r="R119" s="2" t="s">
        <v>37</v>
      </c>
      <c r="S119" s="2" t="s">
        <v>36</v>
      </c>
      <c r="T119" s="2" t="s">
        <v>36</v>
      </c>
      <c r="U119" s="2" t="s">
        <v>37</v>
      </c>
    </row>
    <row r="120" spans="1:21" x14ac:dyDescent="0.25">
      <c r="A120" s="2" t="s">
        <v>987</v>
      </c>
      <c r="B120" s="2" t="s">
        <v>131</v>
      </c>
      <c r="C120" s="2" t="s">
        <v>988</v>
      </c>
      <c r="D120" s="2" t="s">
        <v>435</v>
      </c>
      <c r="E120" s="2" t="s">
        <v>989</v>
      </c>
      <c r="F120" s="2" t="s">
        <v>990</v>
      </c>
      <c r="G120" s="2" t="s">
        <v>991</v>
      </c>
      <c r="H120" s="2" t="s">
        <v>992</v>
      </c>
      <c r="I120" s="2"/>
      <c r="J120" s="2" t="s">
        <v>945</v>
      </c>
      <c r="K120" s="2" t="s">
        <v>946</v>
      </c>
      <c r="L120" s="2" t="s">
        <v>947</v>
      </c>
      <c r="M120" s="2" t="s">
        <v>32</v>
      </c>
      <c r="N120" s="2" t="s">
        <v>153</v>
      </c>
      <c r="O120" s="2" t="s">
        <v>141</v>
      </c>
      <c r="P120" s="2" t="s">
        <v>993</v>
      </c>
      <c r="Q120" s="2" t="s">
        <v>4</v>
      </c>
      <c r="R120" s="2" t="s">
        <v>37</v>
      </c>
      <c r="S120" s="2" t="s">
        <v>37</v>
      </c>
      <c r="T120" s="2" t="s">
        <v>37</v>
      </c>
      <c r="U120" s="2" t="s">
        <v>37</v>
      </c>
    </row>
    <row r="121" spans="1:21" x14ac:dyDescent="0.25">
      <c r="A121" s="2" t="s">
        <v>994</v>
      </c>
      <c r="B121" s="2" t="s">
        <v>54</v>
      </c>
      <c r="C121" s="2" t="s">
        <v>185</v>
      </c>
      <c r="D121" s="2" t="s">
        <v>158</v>
      </c>
      <c r="E121" s="2" t="s">
        <v>995</v>
      </c>
      <c r="F121" s="2" t="s">
        <v>996</v>
      </c>
      <c r="G121" s="2" t="s">
        <v>997</v>
      </c>
      <c r="H121" s="2" t="s">
        <v>998</v>
      </c>
      <c r="I121" s="2"/>
      <c r="J121" s="2" t="s">
        <v>252</v>
      </c>
      <c r="K121" s="2" t="s">
        <v>253</v>
      </c>
      <c r="L121" s="2" t="s">
        <v>254</v>
      </c>
      <c r="M121" s="2" t="s">
        <v>116</v>
      </c>
      <c r="N121" s="2" t="s">
        <v>33</v>
      </c>
      <c r="O121" s="2" t="s">
        <v>50</v>
      </c>
      <c r="P121" s="2" t="s">
        <v>999</v>
      </c>
      <c r="Q121" s="2" t="s">
        <v>4</v>
      </c>
      <c r="R121" s="2" t="s">
        <v>36</v>
      </c>
      <c r="S121" s="2" t="s">
        <v>36</v>
      </c>
      <c r="T121" s="2" t="s">
        <v>36</v>
      </c>
      <c r="U121" s="2" t="s">
        <v>37</v>
      </c>
    </row>
    <row r="122" spans="1:21" x14ac:dyDescent="0.25">
      <c r="A122" s="2" t="s">
        <v>1000</v>
      </c>
      <c r="B122" s="2" t="s">
        <v>184</v>
      </c>
      <c r="C122" s="2" t="s">
        <v>1001</v>
      </c>
      <c r="D122" s="2" t="s">
        <v>108</v>
      </c>
      <c r="E122" s="2" t="s">
        <v>1002</v>
      </c>
      <c r="F122" s="2" t="s">
        <v>1003</v>
      </c>
      <c r="G122" s="2" t="s">
        <v>1004</v>
      </c>
      <c r="H122" s="2" t="s">
        <v>1005</v>
      </c>
      <c r="I122" s="2"/>
      <c r="J122" s="2" t="s">
        <v>387</v>
      </c>
      <c r="K122" s="2" t="s">
        <v>388</v>
      </c>
      <c r="L122" s="2" t="s">
        <v>389</v>
      </c>
      <c r="M122" s="2" t="s">
        <v>191</v>
      </c>
      <c r="N122" s="2" t="s">
        <v>181</v>
      </c>
      <c r="O122" s="2" t="s">
        <v>34</v>
      </c>
      <c r="P122" s="2" t="s">
        <v>1006</v>
      </c>
      <c r="Q122" s="2" t="s">
        <v>4</v>
      </c>
      <c r="R122" s="2" t="s">
        <v>36</v>
      </c>
      <c r="S122" s="2" t="s">
        <v>36</v>
      </c>
      <c r="T122" s="2" t="s">
        <v>37</v>
      </c>
      <c r="U122" s="2" t="s">
        <v>37</v>
      </c>
    </row>
    <row r="123" spans="1:21" x14ac:dyDescent="0.25">
      <c r="A123" s="2" t="s">
        <v>1007</v>
      </c>
      <c r="B123" s="2" t="s">
        <v>22</v>
      </c>
      <c r="C123" s="2" t="s">
        <v>655</v>
      </c>
      <c r="D123" s="2" t="s">
        <v>1008</v>
      </c>
      <c r="E123" s="2" t="s">
        <v>1009</v>
      </c>
      <c r="F123" s="2" t="s">
        <v>1010</v>
      </c>
      <c r="G123" s="2" t="s">
        <v>1011</v>
      </c>
      <c r="H123" s="2" t="s">
        <v>1012</v>
      </c>
      <c r="I123" s="2"/>
      <c r="J123" s="2" t="s">
        <v>229</v>
      </c>
      <c r="K123" s="2" t="s">
        <v>230</v>
      </c>
      <c r="L123" s="2" t="s">
        <v>231</v>
      </c>
      <c r="M123" s="2" t="s">
        <v>103</v>
      </c>
      <c r="N123" s="2" t="s">
        <v>117</v>
      </c>
      <c r="O123" s="2" t="s">
        <v>243</v>
      </c>
      <c r="P123" s="2" t="s">
        <v>1013</v>
      </c>
      <c r="Q123" s="2" t="s">
        <v>93</v>
      </c>
      <c r="R123" s="2" t="s">
        <v>36</v>
      </c>
      <c r="S123" s="2" t="s">
        <v>36</v>
      </c>
      <c r="T123" s="2" t="s">
        <v>37</v>
      </c>
      <c r="U123" s="2" t="s">
        <v>36</v>
      </c>
    </row>
    <row r="124" spans="1:21" x14ac:dyDescent="0.25">
      <c r="A124" s="2" t="s">
        <v>1014</v>
      </c>
      <c r="B124" s="2" t="s">
        <v>39</v>
      </c>
      <c r="C124" s="2" t="s">
        <v>573</v>
      </c>
      <c r="D124" s="2" t="s">
        <v>133</v>
      </c>
      <c r="E124" s="2" t="s">
        <v>1015</v>
      </c>
      <c r="F124" s="2" t="s">
        <v>1016</v>
      </c>
      <c r="G124" s="2" t="s">
        <v>1017</v>
      </c>
      <c r="H124" s="2" t="s">
        <v>1018</v>
      </c>
      <c r="I124" s="2"/>
      <c r="J124" s="2" t="s">
        <v>61</v>
      </c>
      <c r="K124" s="2" t="s">
        <v>62</v>
      </c>
      <c r="L124" s="2" t="s">
        <v>925</v>
      </c>
      <c r="M124" s="2" t="s">
        <v>103</v>
      </c>
      <c r="N124" s="2" t="s">
        <v>181</v>
      </c>
      <c r="O124" s="2" t="s">
        <v>192</v>
      </c>
      <c r="P124" s="2" t="s">
        <v>1019</v>
      </c>
      <c r="Q124" s="2" t="s">
        <v>93</v>
      </c>
      <c r="R124" s="2" t="s">
        <v>36</v>
      </c>
      <c r="S124" s="2" t="s">
        <v>36</v>
      </c>
      <c r="T124" s="2" t="s">
        <v>36</v>
      </c>
      <c r="U124" s="2" t="s">
        <v>37</v>
      </c>
    </row>
    <row r="125" spans="1:21" x14ac:dyDescent="0.25">
      <c r="A125" s="2" t="s">
        <v>1020</v>
      </c>
      <c r="B125" s="2" t="s">
        <v>235</v>
      </c>
      <c r="C125" s="2" t="s">
        <v>1021</v>
      </c>
      <c r="D125" s="2" t="s">
        <v>197</v>
      </c>
      <c r="E125" s="2" t="s">
        <v>1022</v>
      </c>
      <c r="F125" s="2" t="s">
        <v>1023</v>
      </c>
      <c r="G125" s="2" t="s">
        <v>1024</v>
      </c>
      <c r="H125" s="2" t="s">
        <v>1025</v>
      </c>
      <c r="I125" s="2"/>
      <c r="J125" s="2" t="s">
        <v>1026</v>
      </c>
      <c r="K125" s="2" t="s">
        <v>1027</v>
      </c>
      <c r="L125" s="2" t="s">
        <v>1028</v>
      </c>
      <c r="M125" s="2" t="s">
        <v>242</v>
      </c>
      <c r="N125" s="2" t="s">
        <v>167</v>
      </c>
      <c r="O125" s="2" t="s">
        <v>192</v>
      </c>
      <c r="P125" s="2" t="s">
        <v>1029</v>
      </c>
      <c r="Q125" s="2" t="s">
        <v>4</v>
      </c>
      <c r="R125" s="2" t="s">
        <v>36</v>
      </c>
      <c r="S125" s="2" t="s">
        <v>36</v>
      </c>
      <c r="T125" s="2" t="s">
        <v>37</v>
      </c>
      <c r="U125" s="2" t="s">
        <v>36</v>
      </c>
    </row>
    <row r="126" spans="1:21" x14ac:dyDescent="0.25">
      <c r="A126" s="2" t="s">
        <v>1030</v>
      </c>
      <c r="B126" s="2" t="s">
        <v>54</v>
      </c>
      <c r="C126" s="2" t="s">
        <v>1031</v>
      </c>
      <c r="D126" s="2" t="s">
        <v>674</v>
      </c>
      <c r="E126" s="2" t="s">
        <v>1032</v>
      </c>
      <c r="F126" s="2" t="s">
        <v>1033</v>
      </c>
      <c r="G126" s="2" t="s">
        <v>1034</v>
      </c>
      <c r="H126" s="2" t="s">
        <v>1035</v>
      </c>
      <c r="I126" s="2"/>
      <c r="J126" s="2" t="s">
        <v>319</v>
      </c>
      <c r="K126" s="2" t="s">
        <v>320</v>
      </c>
      <c r="L126" s="2" t="s">
        <v>321</v>
      </c>
      <c r="M126" s="2" t="s">
        <v>64</v>
      </c>
      <c r="N126" s="2" t="s">
        <v>65</v>
      </c>
      <c r="O126" s="2" t="s">
        <v>154</v>
      </c>
      <c r="P126" s="2" t="s">
        <v>1036</v>
      </c>
      <c r="Q126" s="2" t="s">
        <v>4</v>
      </c>
      <c r="R126" s="2" t="s">
        <v>36</v>
      </c>
      <c r="S126" s="2" t="s">
        <v>36</v>
      </c>
      <c r="T126" s="2" t="s">
        <v>37</v>
      </c>
      <c r="U126" s="2" t="s">
        <v>37</v>
      </c>
    </row>
    <row r="127" spans="1:21" x14ac:dyDescent="0.25">
      <c r="A127" s="2" t="s">
        <v>1037</v>
      </c>
      <c r="B127" s="2" t="s">
        <v>402</v>
      </c>
      <c r="C127" s="2" t="s">
        <v>1038</v>
      </c>
      <c r="D127" s="2" t="s">
        <v>1039</v>
      </c>
      <c r="E127" s="2" t="s">
        <v>1040</v>
      </c>
      <c r="F127" s="2" t="s">
        <v>1041</v>
      </c>
      <c r="G127" s="2" t="s">
        <v>1042</v>
      </c>
      <c r="H127" s="2" t="s">
        <v>1043</v>
      </c>
      <c r="I127" s="2"/>
      <c r="J127" s="2" t="s">
        <v>509</v>
      </c>
      <c r="K127" s="2" t="s">
        <v>510</v>
      </c>
      <c r="L127" s="2" t="s">
        <v>511</v>
      </c>
      <c r="M127" s="2" t="s">
        <v>180</v>
      </c>
      <c r="N127" s="2" t="s">
        <v>33</v>
      </c>
      <c r="O127" s="2" t="s">
        <v>50</v>
      </c>
      <c r="P127" s="2" t="s">
        <v>1044</v>
      </c>
      <c r="Q127" s="2" t="s">
        <v>5</v>
      </c>
      <c r="R127" s="2" t="s">
        <v>36</v>
      </c>
      <c r="S127" s="2" t="s">
        <v>36</v>
      </c>
      <c r="T127" s="2" t="s">
        <v>36</v>
      </c>
      <c r="U127" s="2" t="s">
        <v>36</v>
      </c>
    </row>
    <row r="128" spans="1:21" x14ac:dyDescent="0.25">
      <c r="A128" s="2" t="s">
        <v>1045</v>
      </c>
      <c r="B128" s="2" t="s">
        <v>184</v>
      </c>
      <c r="C128" s="2" t="s">
        <v>1046</v>
      </c>
      <c r="D128" s="2" t="s">
        <v>1047</v>
      </c>
      <c r="E128" s="2" t="s">
        <v>1048</v>
      </c>
      <c r="F128" s="2" t="s">
        <v>1049</v>
      </c>
      <c r="G128" s="2" t="s">
        <v>1050</v>
      </c>
      <c r="H128" s="2" t="s">
        <v>1051</v>
      </c>
      <c r="I128" s="2"/>
      <c r="J128" s="2" t="s">
        <v>252</v>
      </c>
      <c r="K128" s="2" t="s">
        <v>253</v>
      </c>
      <c r="L128" s="2" t="s">
        <v>254</v>
      </c>
      <c r="M128" s="2" t="s">
        <v>79</v>
      </c>
      <c r="N128" s="2" t="s">
        <v>33</v>
      </c>
      <c r="O128" s="2" t="s">
        <v>66</v>
      </c>
      <c r="P128" s="2" t="s">
        <v>1052</v>
      </c>
      <c r="Q128" s="2" t="s">
        <v>5</v>
      </c>
      <c r="R128" s="2" t="s">
        <v>36</v>
      </c>
      <c r="S128" s="2" t="s">
        <v>36</v>
      </c>
      <c r="T128" s="2" t="s">
        <v>36</v>
      </c>
      <c r="U128" s="2" t="s">
        <v>37</v>
      </c>
    </row>
    <row r="129" spans="1:21" x14ac:dyDescent="0.25">
      <c r="A129" s="2" t="s">
        <v>1053</v>
      </c>
      <c r="B129" s="2" t="s">
        <v>39</v>
      </c>
      <c r="C129" s="2" t="s">
        <v>346</v>
      </c>
      <c r="D129" s="2" t="s">
        <v>247</v>
      </c>
      <c r="E129" s="2" t="s">
        <v>1054</v>
      </c>
      <c r="F129" s="2" t="s">
        <v>1055</v>
      </c>
      <c r="G129" s="2" t="s">
        <v>1056</v>
      </c>
      <c r="H129" s="2" t="s">
        <v>1057</v>
      </c>
      <c r="I129" s="2"/>
      <c r="J129" s="2" t="s">
        <v>150</v>
      </c>
      <c r="K129" s="2" t="s">
        <v>151</v>
      </c>
      <c r="L129" s="2" t="s">
        <v>152</v>
      </c>
      <c r="M129" s="2" t="s">
        <v>242</v>
      </c>
      <c r="N129" s="2" t="s">
        <v>117</v>
      </c>
      <c r="O129" s="2" t="s">
        <v>66</v>
      </c>
      <c r="P129" s="2" t="s">
        <v>1058</v>
      </c>
      <c r="Q129" s="2" t="s">
        <v>5</v>
      </c>
      <c r="R129" s="2" t="s">
        <v>36</v>
      </c>
      <c r="S129" s="2" t="s">
        <v>36</v>
      </c>
      <c r="T129" s="2" t="s">
        <v>37</v>
      </c>
      <c r="U129" s="2" t="s">
        <v>36</v>
      </c>
    </row>
    <row r="130" spans="1:21" x14ac:dyDescent="0.25">
      <c r="A130" s="2" t="s">
        <v>1059</v>
      </c>
      <c r="B130" s="2" t="s">
        <v>54</v>
      </c>
      <c r="C130" s="2" t="s">
        <v>1001</v>
      </c>
      <c r="D130" s="2" t="s">
        <v>614</v>
      </c>
      <c r="E130" s="2" t="s">
        <v>1060</v>
      </c>
      <c r="F130" s="2" t="s">
        <v>1061</v>
      </c>
      <c r="G130" s="2" t="s">
        <v>1062</v>
      </c>
      <c r="H130" s="2" t="s">
        <v>1063</v>
      </c>
      <c r="I130" s="2"/>
      <c r="J130" s="2" t="s">
        <v>138</v>
      </c>
      <c r="K130" s="2" t="s">
        <v>139</v>
      </c>
      <c r="L130" s="2" t="s">
        <v>140</v>
      </c>
      <c r="M130" s="2" t="s">
        <v>64</v>
      </c>
      <c r="N130" s="2" t="s">
        <v>65</v>
      </c>
      <c r="O130" s="2" t="s">
        <v>243</v>
      </c>
      <c r="P130" s="2" t="s">
        <v>1064</v>
      </c>
      <c r="Q130" s="2" t="s">
        <v>93</v>
      </c>
      <c r="R130" s="2" t="s">
        <v>36</v>
      </c>
      <c r="S130" s="2" t="s">
        <v>36</v>
      </c>
      <c r="T130" s="2" t="s">
        <v>37</v>
      </c>
      <c r="U130" s="2" t="s">
        <v>37</v>
      </c>
    </row>
    <row r="131" spans="1:21" x14ac:dyDescent="0.25">
      <c r="A131" s="2" t="s">
        <v>1065</v>
      </c>
      <c r="B131" s="2" t="s">
        <v>39</v>
      </c>
      <c r="C131" s="2" t="s">
        <v>337</v>
      </c>
      <c r="D131" s="2" t="s">
        <v>674</v>
      </c>
      <c r="E131" s="2" t="s">
        <v>1066</v>
      </c>
      <c r="F131" s="2" t="s">
        <v>1067</v>
      </c>
      <c r="G131" s="2" t="s">
        <v>1068</v>
      </c>
      <c r="H131" s="2" t="s">
        <v>1069</v>
      </c>
      <c r="I131" s="2"/>
      <c r="J131" s="2" t="s">
        <v>76</v>
      </c>
      <c r="K131" s="2" t="s">
        <v>77</v>
      </c>
      <c r="L131" s="2" t="s">
        <v>78</v>
      </c>
      <c r="M131" s="2" t="s">
        <v>166</v>
      </c>
      <c r="N131" s="2" t="s">
        <v>181</v>
      </c>
      <c r="O131" s="2" t="s">
        <v>243</v>
      </c>
      <c r="P131" s="2" t="s">
        <v>1070</v>
      </c>
      <c r="Q131" s="2" t="s">
        <v>4</v>
      </c>
      <c r="R131" s="2" t="s">
        <v>37</v>
      </c>
      <c r="S131" s="2" t="s">
        <v>37</v>
      </c>
      <c r="T131" s="2" t="s">
        <v>37</v>
      </c>
      <c r="U131" s="2" t="s">
        <v>36</v>
      </c>
    </row>
    <row r="132" spans="1:21" x14ac:dyDescent="0.25">
      <c r="A132" s="2" t="s">
        <v>1071</v>
      </c>
      <c r="B132" s="2" t="s">
        <v>131</v>
      </c>
      <c r="C132" s="2" t="s">
        <v>548</v>
      </c>
      <c r="D132" s="2" t="s">
        <v>186</v>
      </c>
      <c r="E132" s="2" t="s">
        <v>1072</v>
      </c>
      <c r="F132" s="2" t="s">
        <v>1073</v>
      </c>
      <c r="G132" s="2" t="s">
        <v>1074</v>
      </c>
      <c r="H132" s="2" t="s">
        <v>1075</v>
      </c>
      <c r="I132" s="2"/>
      <c r="J132" s="2" t="s">
        <v>668</v>
      </c>
      <c r="K132" s="2" t="s">
        <v>669</v>
      </c>
      <c r="L132" s="2" t="s">
        <v>670</v>
      </c>
      <c r="M132" s="2" t="s">
        <v>32</v>
      </c>
      <c r="N132" s="2" t="s">
        <v>33</v>
      </c>
      <c r="O132" s="2" t="s">
        <v>66</v>
      </c>
      <c r="P132" s="2" t="s">
        <v>1076</v>
      </c>
      <c r="Q132" s="2" t="s">
        <v>4</v>
      </c>
      <c r="R132" s="2" t="s">
        <v>36</v>
      </c>
      <c r="S132" s="2" t="s">
        <v>36</v>
      </c>
      <c r="T132" s="2" t="s">
        <v>37</v>
      </c>
      <c r="U132" s="2" t="s">
        <v>37</v>
      </c>
    </row>
    <row r="133" spans="1:21" x14ac:dyDescent="0.25">
      <c r="A133" s="2" t="s">
        <v>1077</v>
      </c>
      <c r="B133" s="2"/>
      <c r="C133" s="2" t="s">
        <v>1078</v>
      </c>
      <c r="D133" s="2" t="s">
        <v>1039</v>
      </c>
      <c r="E133" s="2" t="s">
        <v>1079</v>
      </c>
      <c r="F133" s="2" t="s">
        <v>1080</v>
      </c>
      <c r="G133" s="2" t="s">
        <v>1081</v>
      </c>
      <c r="H133" s="2" t="s">
        <v>1082</v>
      </c>
      <c r="I133" s="2"/>
      <c r="J133" s="2" t="s">
        <v>531</v>
      </c>
      <c r="K133" s="2" t="s">
        <v>532</v>
      </c>
      <c r="L133" s="2" t="s">
        <v>533</v>
      </c>
      <c r="M133" s="2" t="s">
        <v>32</v>
      </c>
      <c r="N133" s="2" t="s">
        <v>49</v>
      </c>
      <c r="O133" s="2" t="s">
        <v>66</v>
      </c>
      <c r="P133" s="2" t="s">
        <v>1083</v>
      </c>
      <c r="Q133" s="2" t="s">
        <v>5</v>
      </c>
      <c r="R133" s="2" t="s">
        <v>36</v>
      </c>
      <c r="S133" s="2" t="s">
        <v>36</v>
      </c>
      <c r="T133" s="2" t="s">
        <v>36</v>
      </c>
      <c r="U133" s="2" t="s">
        <v>36</v>
      </c>
    </row>
    <row r="134" spans="1:21" x14ac:dyDescent="0.25">
      <c r="A134" s="2" t="s">
        <v>1084</v>
      </c>
      <c r="B134" s="2" t="s">
        <v>39</v>
      </c>
      <c r="C134" s="2" t="s">
        <v>1085</v>
      </c>
      <c r="D134" s="2" t="s">
        <v>1039</v>
      </c>
      <c r="E134" s="2"/>
      <c r="F134" s="2" t="s">
        <v>1086</v>
      </c>
      <c r="G134" s="2" t="s">
        <v>1087</v>
      </c>
      <c r="H134" s="2" t="s">
        <v>1088</v>
      </c>
      <c r="I134" s="2"/>
      <c r="J134" s="2" t="s">
        <v>163</v>
      </c>
      <c r="K134" s="2" t="s">
        <v>164</v>
      </c>
      <c r="L134" s="2" t="s">
        <v>165</v>
      </c>
      <c r="M134" s="2" t="s">
        <v>116</v>
      </c>
      <c r="N134" s="2" t="s">
        <v>167</v>
      </c>
      <c r="O134" s="2" t="s">
        <v>66</v>
      </c>
      <c r="P134" s="2" t="s">
        <v>1089</v>
      </c>
      <c r="Q134" s="2" t="s">
        <v>52</v>
      </c>
      <c r="R134" s="2" t="s">
        <v>36</v>
      </c>
      <c r="S134" s="2" t="s">
        <v>36</v>
      </c>
      <c r="T134" s="2" t="s">
        <v>36</v>
      </c>
      <c r="U134" s="2" t="s">
        <v>37</v>
      </c>
    </row>
    <row r="135" spans="1:21" x14ac:dyDescent="0.25">
      <c r="A135" s="2" t="s">
        <v>1090</v>
      </c>
      <c r="B135" s="2" t="s">
        <v>54</v>
      </c>
      <c r="C135" s="2" t="s">
        <v>1091</v>
      </c>
      <c r="D135" s="2" t="s">
        <v>121</v>
      </c>
      <c r="E135" s="2" t="s">
        <v>1092</v>
      </c>
      <c r="F135" s="2" t="s">
        <v>1093</v>
      </c>
      <c r="G135" s="2" t="s">
        <v>1094</v>
      </c>
      <c r="H135" s="2" t="s">
        <v>1095</v>
      </c>
      <c r="I135" s="2"/>
      <c r="J135" s="2" t="s">
        <v>46</v>
      </c>
      <c r="K135" s="2" t="s">
        <v>47</v>
      </c>
      <c r="L135" s="2" t="s">
        <v>48</v>
      </c>
      <c r="M135" s="2" t="s">
        <v>64</v>
      </c>
      <c r="N135" s="2" t="s">
        <v>65</v>
      </c>
      <c r="O135" s="2" t="s">
        <v>243</v>
      </c>
      <c r="P135" s="2" t="s">
        <v>1096</v>
      </c>
      <c r="Q135" s="2" t="s">
        <v>52</v>
      </c>
      <c r="R135" s="2" t="s">
        <v>36</v>
      </c>
      <c r="S135" s="2" t="s">
        <v>36</v>
      </c>
      <c r="T135" s="2" t="s">
        <v>36</v>
      </c>
      <c r="U135" s="2" t="s">
        <v>36</v>
      </c>
    </row>
    <row r="136" spans="1:21" x14ac:dyDescent="0.25">
      <c r="A136" s="2" t="s">
        <v>1097</v>
      </c>
      <c r="B136" s="2" t="s">
        <v>54</v>
      </c>
      <c r="C136" s="2" t="s">
        <v>1098</v>
      </c>
      <c r="D136" s="2" t="s">
        <v>536</v>
      </c>
      <c r="E136" s="2" t="s">
        <v>1099</v>
      </c>
      <c r="F136" s="2" t="s">
        <v>1100</v>
      </c>
      <c r="G136" s="2" t="s">
        <v>1101</v>
      </c>
      <c r="H136" s="2" t="s">
        <v>1102</v>
      </c>
      <c r="I136" s="2"/>
      <c r="J136" s="2" t="s">
        <v>660</v>
      </c>
      <c r="K136" s="2" t="s">
        <v>230</v>
      </c>
      <c r="L136" s="2" t="s">
        <v>661</v>
      </c>
      <c r="M136" s="2" t="s">
        <v>191</v>
      </c>
      <c r="N136" s="2" t="s">
        <v>91</v>
      </c>
      <c r="O136" s="2" t="s">
        <v>50</v>
      </c>
      <c r="P136" s="2" t="s">
        <v>1103</v>
      </c>
      <c r="Q136" s="2" t="s">
        <v>105</v>
      </c>
      <c r="R136" s="2" t="s">
        <v>37</v>
      </c>
      <c r="S136" s="2" t="s">
        <v>37</v>
      </c>
      <c r="T136" s="2" t="s">
        <v>37</v>
      </c>
      <c r="U136" s="2" t="s">
        <v>37</v>
      </c>
    </row>
    <row r="137" spans="1:21" x14ac:dyDescent="0.25">
      <c r="A137" s="2" t="s">
        <v>1104</v>
      </c>
      <c r="B137" s="2" t="s">
        <v>69</v>
      </c>
      <c r="C137" s="2" t="s">
        <v>754</v>
      </c>
      <c r="D137" s="2" t="s">
        <v>614</v>
      </c>
      <c r="E137" s="2" t="s">
        <v>1105</v>
      </c>
      <c r="F137" s="2" t="s">
        <v>1106</v>
      </c>
      <c r="G137" s="2" t="s">
        <v>1107</v>
      </c>
      <c r="H137" s="2" t="s">
        <v>1108</v>
      </c>
      <c r="I137" s="2"/>
      <c r="J137" s="2" t="s">
        <v>319</v>
      </c>
      <c r="K137" s="2" t="s">
        <v>320</v>
      </c>
      <c r="L137" s="2" t="s">
        <v>321</v>
      </c>
      <c r="M137" s="2" t="s">
        <v>79</v>
      </c>
      <c r="N137" s="2" t="s">
        <v>117</v>
      </c>
      <c r="O137" s="2" t="s">
        <v>50</v>
      </c>
      <c r="P137" s="2" t="s">
        <v>1109</v>
      </c>
      <c r="Q137" s="2" t="s">
        <v>5</v>
      </c>
      <c r="R137" s="2" t="s">
        <v>36</v>
      </c>
      <c r="S137" s="2" t="s">
        <v>36</v>
      </c>
      <c r="T137" s="2" t="s">
        <v>36</v>
      </c>
      <c r="U137" s="2" t="s">
        <v>36</v>
      </c>
    </row>
    <row r="138" spans="1:21" x14ac:dyDescent="0.25">
      <c r="A138" s="2" t="s">
        <v>1110</v>
      </c>
      <c r="B138" s="2"/>
      <c r="C138" s="2" t="s">
        <v>1111</v>
      </c>
      <c r="D138" s="2" t="s">
        <v>145</v>
      </c>
      <c r="E138" s="2" t="s">
        <v>1112</v>
      </c>
      <c r="F138" s="2" t="s">
        <v>1113</v>
      </c>
      <c r="G138" s="2" t="s">
        <v>1114</v>
      </c>
      <c r="H138" s="2" t="s">
        <v>1115</v>
      </c>
      <c r="I138" s="2"/>
      <c r="J138" s="2" t="s">
        <v>984</v>
      </c>
      <c r="K138" s="2" t="s">
        <v>62</v>
      </c>
      <c r="L138" s="2" t="s">
        <v>985</v>
      </c>
      <c r="M138" s="2" t="s">
        <v>232</v>
      </c>
      <c r="N138" s="2" t="s">
        <v>153</v>
      </c>
      <c r="O138" s="2" t="s">
        <v>154</v>
      </c>
      <c r="P138" s="2" t="s">
        <v>1116</v>
      </c>
      <c r="Q138" s="2" t="s">
        <v>4</v>
      </c>
      <c r="R138" s="2" t="s">
        <v>37</v>
      </c>
      <c r="S138" s="2" t="s">
        <v>36</v>
      </c>
      <c r="T138" s="2" t="s">
        <v>36</v>
      </c>
      <c r="U138" s="2" t="s">
        <v>37</v>
      </c>
    </row>
    <row r="139" spans="1:21" x14ac:dyDescent="0.25">
      <c r="A139" s="2" t="s">
        <v>1117</v>
      </c>
      <c r="B139" s="2"/>
      <c r="C139" s="2" t="s">
        <v>1118</v>
      </c>
      <c r="D139" s="2" t="s">
        <v>810</v>
      </c>
      <c r="E139" s="2" t="s">
        <v>1119</v>
      </c>
      <c r="F139" s="2" t="s">
        <v>1120</v>
      </c>
      <c r="G139" s="2" t="s">
        <v>1121</v>
      </c>
      <c r="H139" s="2" t="s">
        <v>1122</v>
      </c>
      <c r="I139" s="2"/>
      <c r="J139" s="2" t="s">
        <v>61</v>
      </c>
      <c r="K139" s="2" t="s">
        <v>62</v>
      </c>
      <c r="L139" s="2" t="s">
        <v>63</v>
      </c>
      <c r="M139" s="2" t="s">
        <v>191</v>
      </c>
      <c r="N139" s="2" t="s">
        <v>49</v>
      </c>
      <c r="O139" s="2" t="s">
        <v>50</v>
      </c>
      <c r="P139" s="2" t="s">
        <v>1123</v>
      </c>
      <c r="Q139" s="2" t="s">
        <v>4</v>
      </c>
      <c r="R139" s="2" t="s">
        <v>36</v>
      </c>
      <c r="S139" s="2" t="s">
        <v>37</v>
      </c>
      <c r="T139" s="2" t="s">
        <v>36</v>
      </c>
      <c r="U139" s="2" t="s">
        <v>37</v>
      </c>
    </row>
    <row r="140" spans="1:21" x14ac:dyDescent="0.25">
      <c r="A140" s="2" t="s">
        <v>1124</v>
      </c>
      <c r="B140" s="2" t="s">
        <v>39</v>
      </c>
      <c r="C140" s="2" t="s">
        <v>283</v>
      </c>
      <c r="D140" s="2" t="s">
        <v>41</v>
      </c>
      <c r="E140" s="2" t="s">
        <v>1125</v>
      </c>
      <c r="F140" s="2" t="s">
        <v>1126</v>
      </c>
      <c r="G140" s="2"/>
      <c r="H140" s="2" t="s">
        <v>1127</v>
      </c>
      <c r="I140" s="2"/>
      <c r="J140" s="2" t="s">
        <v>408</v>
      </c>
      <c r="K140" s="2" t="s">
        <v>409</v>
      </c>
      <c r="L140" s="2" t="s">
        <v>410</v>
      </c>
      <c r="M140" s="2" t="s">
        <v>32</v>
      </c>
      <c r="N140" s="2" t="s">
        <v>167</v>
      </c>
      <c r="O140" s="2" t="s">
        <v>154</v>
      </c>
      <c r="P140" s="2" t="s">
        <v>1128</v>
      </c>
      <c r="Q140" s="2" t="s">
        <v>4</v>
      </c>
      <c r="R140" s="2" t="s">
        <v>36</v>
      </c>
      <c r="S140" s="2" t="s">
        <v>36</v>
      </c>
      <c r="T140" s="2" t="s">
        <v>36</v>
      </c>
      <c r="U140" s="2" t="s">
        <v>36</v>
      </c>
    </row>
    <row r="141" spans="1:21" x14ac:dyDescent="0.25">
      <c r="A141" s="2" t="s">
        <v>1129</v>
      </c>
      <c r="B141" s="2" t="s">
        <v>54</v>
      </c>
      <c r="C141" s="2" t="s">
        <v>70</v>
      </c>
      <c r="D141" s="2" t="s">
        <v>940</v>
      </c>
      <c r="E141" s="2" t="s">
        <v>1130</v>
      </c>
      <c r="F141" s="2" t="s">
        <v>1131</v>
      </c>
      <c r="G141" s="2" t="s">
        <v>1132</v>
      </c>
      <c r="H141" s="2" t="s">
        <v>1133</v>
      </c>
      <c r="I141" s="2"/>
      <c r="J141" s="2" t="s">
        <v>625</v>
      </c>
      <c r="K141" s="2" t="s">
        <v>626</v>
      </c>
      <c r="L141" s="2"/>
      <c r="M141" s="2" t="s">
        <v>116</v>
      </c>
      <c r="N141" s="2" t="s">
        <v>117</v>
      </c>
      <c r="O141" s="2" t="s">
        <v>34</v>
      </c>
      <c r="P141" s="2" t="s">
        <v>1134</v>
      </c>
      <c r="Q141" s="2" t="s">
        <v>93</v>
      </c>
      <c r="R141" s="2" t="s">
        <v>36</v>
      </c>
      <c r="S141" s="2" t="s">
        <v>36</v>
      </c>
      <c r="T141" s="2" t="s">
        <v>37</v>
      </c>
      <c r="U141" s="2" t="s">
        <v>37</v>
      </c>
    </row>
    <row r="142" spans="1:21" x14ac:dyDescent="0.25">
      <c r="A142" s="2" t="s">
        <v>1135</v>
      </c>
      <c r="B142" s="2" t="s">
        <v>184</v>
      </c>
      <c r="C142" s="2" t="s">
        <v>503</v>
      </c>
      <c r="D142" s="2" t="s">
        <v>197</v>
      </c>
      <c r="E142" s="2" t="s">
        <v>1136</v>
      </c>
      <c r="F142" s="2" t="s">
        <v>1137</v>
      </c>
      <c r="G142" s="2" t="s">
        <v>1138</v>
      </c>
      <c r="H142" s="2" t="s">
        <v>1139</v>
      </c>
      <c r="I142" s="2"/>
      <c r="J142" s="2" t="s">
        <v>252</v>
      </c>
      <c r="K142" s="2" t="s">
        <v>253</v>
      </c>
      <c r="L142" s="2" t="s">
        <v>254</v>
      </c>
      <c r="M142" s="2" t="s">
        <v>116</v>
      </c>
      <c r="N142" s="2" t="s">
        <v>91</v>
      </c>
      <c r="O142" s="2" t="s">
        <v>34</v>
      </c>
      <c r="P142" s="2" t="s">
        <v>1140</v>
      </c>
      <c r="Q142" s="2" t="s">
        <v>4</v>
      </c>
      <c r="R142" s="2" t="s">
        <v>36</v>
      </c>
      <c r="S142" s="2" t="s">
        <v>36</v>
      </c>
      <c r="T142" s="2" t="s">
        <v>36</v>
      </c>
      <c r="U142" s="2" t="s">
        <v>37</v>
      </c>
    </row>
    <row r="143" spans="1:21" x14ac:dyDescent="0.25">
      <c r="A143" s="2" t="s">
        <v>1141</v>
      </c>
      <c r="B143" s="2" t="s">
        <v>195</v>
      </c>
      <c r="C143" s="2" t="s">
        <v>791</v>
      </c>
      <c r="D143" s="2" t="s">
        <v>819</v>
      </c>
      <c r="E143" s="2" t="s">
        <v>1142</v>
      </c>
      <c r="F143" s="2" t="s">
        <v>1143</v>
      </c>
      <c r="G143" s="2" t="s">
        <v>1144</v>
      </c>
      <c r="H143" s="2" t="s">
        <v>1145</v>
      </c>
      <c r="I143" s="2"/>
      <c r="J143" s="2" t="s">
        <v>650</v>
      </c>
      <c r="K143" s="2" t="s">
        <v>651</v>
      </c>
      <c r="L143" s="2" t="s">
        <v>652</v>
      </c>
      <c r="M143" s="2" t="s">
        <v>32</v>
      </c>
      <c r="N143" s="2" t="s">
        <v>49</v>
      </c>
      <c r="O143" s="2" t="s">
        <v>50</v>
      </c>
      <c r="P143" s="2" t="s">
        <v>1146</v>
      </c>
      <c r="Q143" s="2" t="s">
        <v>4</v>
      </c>
      <c r="R143" s="2" t="s">
        <v>36</v>
      </c>
      <c r="S143" s="2" t="s">
        <v>37</v>
      </c>
      <c r="T143" s="2" t="s">
        <v>37</v>
      </c>
      <c r="U143" s="2" t="s">
        <v>37</v>
      </c>
    </row>
    <row r="144" spans="1:21" x14ac:dyDescent="0.25">
      <c r="A144" s="2" t="s">
        <v>1147</v>
      </c>
      <c r="B144" s="2" t="s">
        <v>235</v>
      </c>
      <c r="C144" s="2" t="s">
        <v>481</v>
      </c>
      <c r="D144" s="2" t="s">
        <v>172</v>
      </c>
      <c r="E144" s="2" t="s">
        <v>1148</v>
      </c>
      <c r="F144" s="2" t="s">
        <v>1149</v>
      </c>
      <c r="G144" s="2" t="s">
        <v>1150</v>
      </c>
      <c r="H144" s="2" t="s">
        <v>1151</v>
      </c>
      <c r="I144" s="2"/>
      <c r="J144" s="2" t="s">
        <v>1026</v>
      </c>
      <c r="K144" s="2" t="s">
        <v>1027</v>
      </c>
      <c r="L144" s="2" t="s">
        <v>1028</v>
      </c>
      <c r="M144" s="2" t="s">
        <v>232</v>
      </c>
      <c r="N144" s="2" t="s">
        <v>91</v>
      </c>
      <c r="O144" s="2" t="s">
        <v>154</v>
      </c>
      <c r="P144" s="2" t="s">
        <v>1152</v>
      </c>
      <c r="Q144" s="2" t="s">
        <v>5</v>
      </c>
      <c r="R144" s="2" t="s">
        <v>36</v>
      </c>
      <c r="S144" s="2" t="s">
        <v>36</v>
      </c>
      <c r="T144" s="2" t="s">
        <v>36</v>
      </c>
      <c r="U144" s="2" t="s">
        <v>36</v>
      </c>
    </row>
    <row r="145" spans="1:21" x14ac:dyDescent="0.25">
      <c r="A145" s="2" t="s">
        <v>1153</v>
      </c>
      <c r="B145" s="2"/>
      <c r="C145" s="2" t="s">
        <v>283</v>
      </c>
      <c r="D145" s="2" t="s">
        <v>1154</v>
      </c>
      <c r="E145" s="2" t="s">
        <v>1155</v>
      </c>
      <c r="F145" s="2" t="s">
        <v>1156</v>
      </c>
      <c r="G145" s="2" t="s">
        <v>1157</v>
      </c>
      <c r="H145" s="2" t="s">
        <v>1158</v>
      </c>
      <c r="I145" s="2"/>
      <c r="J145" s="2" t="s">
        <v>219</v>
      </c>
      <c r="K145" s="2" t="s">
        <v>220</v>
      </c>
      <c r="L145" s="2" t="s">
        <v>221</v>
      </c>
      <c r="M145" s="2" t="s">
        <v>32</v>
      </c>
      <c r="N145" s="2" t="s">
        <v>65</v>
      </c>
      <c r="O145" s="2" t="s">
        <v>154</v>
      </c>
      <c r="P145" s="2" t="s">
        <v>1159</v>
      </c>
      <c r="Q145" s="2" t="s">
        <v>4</v>
      </c>
      <c r="R145" s="2" t="s">
        <v>1160</v>
      </c>
      <c r="S145" s="2" t="s">
        <v>37</v>
      </c>
      <c r="T145" s="2" t="s">
        <v>37</v>
      </c>
      <c r="U145" s="2" t="s">
        <v>37</v>
      </c>
    </row>
    <row r="146" spans="1:21" x14ac:dyDescent="0.25">
      <c r="A146" s="2" t="s">
        <v>1161</v>
      </c>
      <c r="B146" s="2" t="s">
        <v>54</v>
      </c>
      <c r="C146" s="2" t="s">
        <v>673</v>
      </c>
      <c r="D146" s="2" t="s">
        <v>449</v>
      </c>
      <c r="E146" s="2" t="s">
        <v>1162</v>
      </c>
      <c r="F146" s="2" t="s">
        <v>1163</v>
      </c>
      <c r="G146" s="2" t="s">
        <v>1164</v>
      </c>
      <c r="H146" s="2" t="s">
        <v>1165</v>
      </c>
      <c r="I146" s="2"/>
      <c r="J146" s="2" t="s">
        <v>29</v>
      </c>
      <c r="K146" s="2" t="s">
        <v>30</v>
      </c>
      <c r="L146" s="2" t="s">
        <v>210</v>
      </c>
      <c r="M146" s="2" t="s">
        <v>116</v>
      </c>
      <c r="N146" s="2" t="s">
        <v>49</v>
      </c>
      <c r="O146" s="2" t="s">
        <v>141</v>
      </c>
      <c r="P146" s="2" t="s">
        <v>1166</v>
      </c>
      <c r="Q146" s="2" t="s">
        <v>4</v>
      </c>
      <c r="R146" s="2" t="s">
        <v>36</v>
      </c>
      <c r="S146" s="2" t="s">
        <v>36</v>
      </c>
      <c r="T146" s="2" t="s">
        <v>37</v>
      </c>
      <c r="U146" s="2" t="s">
        <v>36</v>
      </c>
    </row>
    <row r="147" spans="1:21" x14ac:dyDescent="0.25">
      <c r="A147" s="2" t="s">
        <v>1167</v>
      </c>
      <c r="B147" s="2" t="s">
        <v>402</v>
      </c>
      <c r="C147" s="2" t="s">
        <v>40</v>
      </c>
      <c r="D147" s="2" t="s">
        <v>291</v>
      </c>
      <c r="E147" s="2" t="s">
        <v>1168</v>
      </c>
      <c r="F147" s="2" t="s">
        <v>1169</v>
      </c>
      <c r="G147" s="2" t="s">
        <v>1170</v>
      </c>
      <c r="H147" s="2" t="s">
        <v>1171</v>
      </c>
      <c r="I147" s="2"/>
      <c r="J147" s="2" t="s">
        <v>650</v>
      </c>
      <c r="K147" s="2" t="s">
        <v>651</v>
      </c>
      <c r="L147" s="2" t="s">
        <v>652</v>
      </c>
      <c r="M147" s="2" t="s">
        <v>32</v>
      </c>
      <c r="N147" s="2" t="s">
        <v>65</v>
      </c>
      <c r="O147" s="2" t="s">
        <v>154</v>
      </c>
      <c r="P147" s="2" t="s">
        <v>1172</v>
      </c>
      <c r="Q147" s="2" t="s">
        <v>5</v>
      </c>
      <c r="R147" s="2" t="s">
        <v>37</v>
      </c>
      <c r="S147" s="2" t="s">
        <v>36</v>
      </c>
      <c r="T147" s="2" t="s">
        <v>36</v>
      </c>
      <c r="U147" s="2" t="s">
        <v>37</v>
      </c>
    </row>
    <row r="148" spans="1:21" x14ac:dyDescent="0.25">
      <c r="A148" s="2" t="s">
        <v>1173</v>
      </c>
      <c r="B148" s="2" t="s">
        <v>131</v>
      </c>
      <c r="C148" s="2" t="s">
        <v>196</v>
      </c>
      <c r="D148" s="2" t="s">
        <v>1174</v>
      </c>
      <c r="E148" s="2" t="s">
        <v>1175</v>
      </c>
      <c r="F148" s="2" t="s">
        <v>1176</v>
      </c>
      <c r="G148" s="2" t="s">
        <v>1177</v>
      </c>
      <c r="H148" s="2" t="s">
        <v>1178</v>
      </c>
      <c r="I148" s="2"/>
      <c r="J148" s="2" t="s">
        <v>585</v>
      </c>
      <c r="K148" s="2" t="s">
        <v>586</v>
      </c>
      <c r="L148" s="2" t="s">
        <v>587</v>
      </c>
      <c r="M148" s="2" t="s">
        <v>103</v>
      </c>
      <c r="N148" s="2" t="s">
        <v>167</v>
      </c>
      <c r="O148" s="2" t="s">
        <v>141</v>
      </c>
      <c r="P148" s="2" t="s">
        <v>1179</v>
      </c>
      <c r="Q148" s="2" t="s">
        <v>93</v>
      </c>
      <c r="R148" s="2" t="s">
        <v>36</v>
      </c>
      <c r="S148" s="2" t="s">
        <v>36</v>
      </c>
      <c r="T148" s="2" t="s">
        <v>37</v>
      </c>
      <c r="U148" s="2" t="s">
        <v>36</v>
      </c>
    </row>
    <row r="149" spans="1:21" x14ac:dyDescent="0.25">
      <c r="A149" s="2" t="s">
        <v>1180</v>
      </c>
      <c r="B149" s="2"/>
      <c r="C149" s="2" t="s">
        <v>1021</v>
      </c>
      <c r="D149" s="2" t="s">
        <v>489</v>
      </c>
      <c r="E149" s="2" t="s">
        <v>1181</v>
      </c>
      <c r="F149" s="2" t="s">
        <v>1182</v>
      </c>
      <c r="G149" s="2" t="s">
        <v>1183</v>
      </c>
      <c r="H149" s="2" t="s">
        <v>1184</v>
      </c>
      <c r="I149" s="2"/>
      <c r="J149" s="2" t="s">
        <v>766</v>
      </c>
      <c r="K149" s="2" t="s">
        <v>767</v>
      </c>
      <c r="L149" s="2" t="s">
        <v>768</v>
      </c>
      <c r="M149" s="2" t="s">
        <v>180</v>
      </c>
      <c r="N149" s="2" t="s">
        <v>65</v>
      </c>
      <c r="O149" s="2" t="s">
        <v>192</v>
      </c>
      <c r="P149" s="2" t="s">
        <v>1185</v>
      </c>
      <c r="Q149" s="2" t="s">
        <v>4</v>
      </c>
      <c r="R149" s="2" t="s">
        <v>36</v>
      </c>
      <c r="S149" s="2" t="s">
        <v>36</v>
      </c>
      <c r="T149" s="2" t="s">
        <v>36</v>
      </c>
      <c r="U149" s="2" t="s">
        <v>36</v>
      </c>
    </row>
    <row r="150" spans="1:21" x14ac:dyDescent="0.25">
      <c r="A150" s="2" t="s">
        <v>1186</v>
      </c>
      <c r="B150" s="2" t="s">
        <v>235</v>
      </c>
      <c r="C150" s="2" t="s">
        <v>573</v>
      </c>
      <c r="D150" s="2" t="s">
        <v>96</v>
      </c>
      <c r="E150" s="2" t="s">
        <v>1187</v>
      </c>
      <c r="F150" s="2" t="s">
        <v>1188</v>
      </c>
      <c r="G150" s="2" t="s">
        <v>1189</v>
      </c>
      <c r="H150" s="2" t="s">
        <v>1190</v>
      </c>
      <c r="I150" s="2"/>
      <c r="J150" s="2" t="s">
        <v>113</v>
      </c>
      <c r="K150" s="2" t="s">
        <v>114</v>
      </c>
      <c r="L150" s="2" t="s">
        <v>115</v>
      </c>
      <c r="M150" s="2" t="s">
        <v>103</v>
      </c>
      <c r="N150" s="2" t="s">
        <v>91</v>
      </c>
      <c r="O150" s="2" t="s">
        <v>192</v>
      </c>
      <c r="P150" s="2" t="s">
        <v>1191</v>
      </c>
      <c r="Q150" s="2" t="s">
        <v>4</v>
      </c>
      <c r="R150" s="2" t="s">
        <v>36</v>
      </c>
      <c r="S150" s="2" t="s">
        <v>37</v>
      </c>
      <c r="T150" s="2" t="s">
        <v>36</v>
      </c>
      <c r="U150" s="2" t="s">
        <v>36</v>
      </c>
    </row>
    <row r="151" spans="1:21" x14ac:dyDescent="0.25">
      <c r="A151" s="2" t="s">
        <v>1192</v>
      </c>
      <c r="B151" s="2" t="s">
        <v>184</v>
      </c>
      <c r="C151" s="2" t="s">
        <v>1193</v>
      </c>
      <c r="D151" s="2" t="s">
        <v>309</v>
      </c>
      <c r="E151" s="2" t="s">
        <v>1194</v>
      </c>
      <c r="F151" s="2" t="s">
        <v>1195</v>
      </c>
      <c r="G151" s="2" t="s">
        <v>1196</v>
      </c>
      <c r="H151" s="2" t="s">
        <v>1197</v>
      </c>
      <c r="I151" s="2"/>
      <c r="J151" s="2" t="s">
        <v>76</v>
      </c>
      <c r="K151" s="2" t="s">
        <v>77</v>
      </c>
      <c r="L151" s="2" t="s">
        <v>78</v>
      </c>
      <c r="M151" s="2" t="s">
        <v>116</v>
      </c>
      <c r="N151" s="2" t="s">
        <v>181</v>
      </c>
      <c r="O151" s="2" t="s">
        <v>141</v>
      </c>
      <c r="P151" s="2" t="s">
        <v>1198</v>
      </c>
      <c r="Q151" s="2" t="s">
        <v>4</v>
      </c>
      <c r="R151" s="2" t="s">
        <v>36</v>
      </c>
      <c r="S151" s="2" t="s">
        <v>36</v>
      </c>
      <c r="T151" s="2" t="s">
        <v>37</v>
      </c>
      <c r="U151" s="2" t="s">
        <v>36</v>
      </c>
    </row>
    <row r="152" spans="1:21" x14ac:dyDescent="0.25">
      <c r="A152" s="2" t="s">
        <v>1199</v>
      </c>
      <c r="B152" s="2" t="s">
        <v>39</v>
      </c>
      <c r="C152" s="2" t="s">
        <v>1046</v>
      </c>
      <c r="D152" s="2" t="s">
        <v>554</v>
      </c>
      <c r="E152" s="2" t="s">
        <v>1200</v>
      </c>
      <c r="F152" s="2" t="s">
        <v>1201</v>
      </c>
      <c r="G152" s="2" t="s">
        <v>1202</v>
      </c>
      <c r="H152" s="2" t="s">
        <v>1203</v>
      </c>
      <c r="I152" s="2"/>
      <c r="J152" s="2" t="s">
        <v>1204</v>
      </c>
      <c r="K152" s="2" t="s">
        <v>114</v>
      </c>
      <c r="L152" s="2" t="s">
        <v>1205</v>
      </c>
      <c r="M152" s="2" t="s">
        <v>116</v>
      </c>
      <c r="N152" s="2" t="s">
        <v>65</v>
      </c>
      <c r="O152" s="2" t="s">
        <v>141</v>
      </c>
      <c r="P152" s="2" t="s">
        <v>1206</v>
      </c>
      <c r="Q152" s="2" t="s">
        <v>5</v>
      </c>
      <c r="R152" s="2" t="s">
        <v>36</v>
      </c>
      <c r="S152" s="2" t="s">
        <v>36</v>
      </c>
      <c r="T152" s="2" t="s">
        <v>37</v>
      </c>
      <c r="U152" s="2" t="s">
        <v>37</v>
      </c>
    </row>
    <row r="153" spans="1:21" x14ac:dyDescent="0.25">
      <c r="A153" s="2" t="s">
        <v>1207</v>
      </c>
      <c r="B153" s="2"/>
      <c r="C153" s="2" t="s">
        <v>597</v>
      </c>
      <c r="D153" s="2" t="s">
        <v>1154</v>
      </c>
      <c r="E153" s="2" t="s">
        <v>1208</v>
      </c>
      <c r="F153" s="2" t="s">
        <v>1209</v>
      </c>
      <c r="G153" s="2" t="s">
        <v>1210</v>
      </c>
      <c r="H153" s="2" t="s">
        <v>1211</v>
      </c>
      <c r="I153" s="2"/>
      <c r="J153" s="2" t="s">
        <v>163</v>
      </c>
      <c r="K153" s="2" t="s">
        <v>164</v>
      </c>
      <c r="L153" s="2" t="s">
        <v>165</v>
      </c>
      <c r="M153" s="2" t="s">
        <v>64</v>
      </c>
      <c r="N153" s="2" t="s">
        <v>181</v>
      </c>
      <c r="O153" s="2" t="s">
        <v>154</v>
      </c>
      <c r="P153" s="2" t="s">
        <v>1212</v>
      </c>
      <c r="Q153" s="2" t="s">
        <v>93</v>
      </c>
      <c r="R153" s="2" t="s">
        <v>36</v>
      </c>
      <c r="S153" s="2" t="s">
        <v>36</v>
      </c>
      <c r="T153" s="2" t="s">
        <v>37</v>
      </c>
      <c r="U153" s="2" t="s">
        <v>36</v>
      </c>
    </row>
    <row r="154" spans="1:21" x14ac:dyDescent="0.25">
      <c r="A154" s="2" t="s">
        <v>1213</v>
      </c>
      <c r="B154" s="2" t="s">
        <v>39</v>
      </c>
      <c r="C154" s="2" t="s">
        <v>481</v>
      </c>
      <c r="D154" s="2" t="s">
        <v>711</v>
      </c>
      <c r="E154" s="2" t="s">
        <v>1214</v>
      </c>
      <c r="F154" s="2" t="s">
        <v>1215</v>
      </c>
      <c r="G154" s="2" t="s">
        <v>1216</v>
      </c>
      <c r="H154" s="2" t="s">
        <v>1217</v>
      </c>
      <c r="I154" s="2"/>
      <c r="J154" s="2" t="s">
        <v>531</v>
      </c>
      <c r="K154" s="2" t="s">
        <v>532</v>
      </c>
      <c r="L154" s="2" t="s">
        <v>533</v>
      </c>
      <c r="M154" s="2" t="s">
        <v>103</v>
      </c>
      <c r="N154" s="2" t="s">
        <v>65</v>
      </c>
      <c r="O154" s="2" t="s">
        <v>50</v>
      </c>
      <c r="P154" s="2" t="s">
        <v>1218</v>
      </c>
      <c r="Q154" s="2" t="s">
        <v>52</v>
      </c>
      <c r="R154" s="2" t="s">
        <v>36</v>
      </c>
      <c r="S154" s="2" t="s">
        <v>36</v>
      </c>
      <c r="T154" s="2" t="s">
        <v>37</v>
      </c>
      <c r="U154" s="2" t="s">
        <v>36</v>
      </c>
    </row>
    <row r="155" spans="1:21" x14ac:dyDescent="0.25">
      <c r="A155" s="2" t="s">
        <v>1219</v>
      </c>
      <c r="B155" s="2" t="s">
        <v>54</v>
      </c>
      <c r="C155" s="2" t="s">
        <v>1220</v>
      </c>
      <c r="D155" s="2" t="s">
        <v>536</v>
      </c>
      <c r="E155" s="2" t="s">
        <v>1221</v>
      </c>
      <c r="F155" s="2" t="s">
        <v>1222</v>
      </c>
      <c r="G155" s="2" t="s">
        <v>1223</v>
      </c>
      <c r="H155" s="2" t="s">
        <v>1224</v>
      </c>
      <c r="I155" s="2"/>
      <c r="J155" s="2" t="s">
        <v>660</v>
      </c>
      <c r="K155" s="2" t="s">
        <v>230</v>
      </c>
      <c r="L155" s="2" t="s">
        <v>661</v>
      </c>
      <c r="M155" s="2" t="s">
        <v>64</v>
      </c>
      <c r="N155" s="2" t="s">
        <v>33</v>
      </c>
      <c r="O155" s="2" t="s">
        <v>66</v>
      </c>
      <c r="P155" s="2" t="s">
        <v>1225</v>
      </c>
      <c r="Q155" s="2" t="s">
        <v>93</v>
      </c>
      <c r="R155" s="2" t="s">
        <v>37</v>
      </c>
      <c r="S155" s="2" t="s">
        <v>36</v>
      </c>
      <c r="T155" s="2" t="s">
        <v>36</v>
      </c>
      <c r="U155" s="2" t="s">
        <v>37</v>
      </c>
    </row>
    <row r="156" spans="1:21" x14ac:dyDescent="0.25">
      <c r="A156" s="2" t="s">
        <v>1226</v>
      </c>
      <c r="B156" s="2" t="s">
        <v>195</v>
      </c>
      <c r="C156" s="2" t="s">
        <v>488</v>
      </c>
      <c r="D156" s="2" t="s">
        <v>414</v>
      </c>
      <c r="E156" s="2" t="s">
        <v>1227</v>
      </c>
      <c r="F156" s="2" t="s">
        <v>1228</v>
      </c>
      <c r="G156" s="2" t="s">
        <v>1229</v>
      </c>
      <c r="H156" s="2" t="s">
        <v>1230</v>
      </c>
      <c r="I156" s="2"/>
      <c r="J156" s="2" t="s">
        <v>387</v>
      </c>
      <c r="K156" s="2" t="s">
        <v>388</v>
      </c>
      <c r="L156" s="2" t="s">
        <v>389</v>
      </c>
      <c r="M156" s="2" t="s">
        <v>180</v>
      </c>
      <c r="N156" s="2" t="s">
        <v>65</v>
      </c>
      <c r="O156" s="2" t="s">
        <v>154</v>
      </c>
      <c r="P156" s="2" t="s">
        <v>1231</v>
      </c>
      <c r="Q156" s="2" t="s">
        <v>93</v>
      </c>
      <c r="R156" s="2" t="s">
        <v>36</v>
      </c>
      <c r="S156" s="2" t="s">
        <v>36</v>
      </c>
      <c r="T156" s="2" t="s">
        <v>37</v>
      </c>
      <c r="U156" s="2" t="s">
        <v>36</v>
      </c>
    </row>
    <row r="157" spans="1:21" x14ac:dyDescent="0.25">
      <c r="A157" s="2" t="s">
        <v>1232</v>
      </c>
      <c r="B157" s="2" t="s">
        <v>170</v>
      </c>
      <c r="C157" s="2" t="s">
        <v>1233</v>
      </c>
      <c r="D157" s="2" t="s">
        <v>435</v>
      </c>
      <c r="E157" s="2" t="s">
        <v>1234</v>
      </c>
      <c r="F157" s="2" t="s">
        <v>1235</v>
      </c>
      <c r="G157" s="2" t="s">
        <v>1236</v>
      </c>
      <c r="H157" s="2" t="s">
        <v>1237</v>
      </c>
      <c r="I157" s="2"/>
      <c r="J157" s="2" t="s">
        <v>531</v>
      </c>
      <c r="K157" s="2" t="s">
        <v>532</v>
      </c>
      <c r="L157" s="2" t="s">
        <v>533</v>
      </c>
      <c r="M157" s="2" t="s">
        <v>32</v>
      </c>
      <c r="N157" s="2" t="s">
        <v>65</v>
      </c>
      <c r="O157" s="2" t="s">
        <v>50</v>
      </c>
      <c r="P157" s="2" t="s">
        <v>1238</v>
      </c>
      <c r="Q157" s="2" t="s">
        <v>93</v>
      </c>
      <c r="R157" s="2" t="s">
        <v>36</v>
      </c>
      <c r="S157" s="2" t="s">
        <v>36</v>
      </c>
      <c r="T157" s="2" t="s">
        <v>37</v>
      </c>
      <c r="U157" s="2" t="s">
        <v>36</v>
      </c>
    </row>
    <row r="158" spans="1:21" x14ac:dyDescent="0.25">
      <c r="A158" s="2" t="s">
        <v>1239</v>
      </c>
      <c r="B158" s="2" t="s">
        <v>39</v>
      </c>
      <c r="C158" s="2" t="s">
        <v>864</v>
      </c>
      <c r="D158" s="2" t="s">
        <v>133</v>
      </c>
      <c r="E158" s="2"/>
      <c r="F158" s="2" t="s">
        <v>1240</v>
      </c>
      <c r="G158" s="2" t="s">
        <v>1241</v>
      </c>
      <c r="H158" s="2" t="s">
        <v>1242</v>
      </c>
      <c r="I158" s="2"/>
      <c r="J158" s="2" t="s">
        <v>660</v>
      </c>
      <c r="K158" s="2" t="s">
        <v>230</v>
      </c>
      <c r="L158" s="2" t="s">
        <v>661</v>
      </c>
      <c r="M158" s="2" t="s">
        <v>64</v>
      </c>
      <c r="N158" s="2" t="s">
        <v>65</v>
      </c>
      <c r="O158" s="2" t="s">
        <v>154</v>
      </c>
      <c r="P158" s="2" t="s">
        <v>1243</v>
      </c>
      <c r="Q158" s="2" t="s">
        <v>52</v>
      </c>
      <c r="R158" s="2" t="s">
        <v>36</v>
      </c>
      <c r="S158" s="2" t="s">
        <v>36</v>
      </c>
      <c r="T158" s="2" t="s">
        <v>37</v>
      </c>
      <c r="U158" s="2" t="s">
        <v>37</v>
      </c>
    </row>
    <row r="159" spans="1:21" x14ac:dyDescent="0.25">
      <c r="A159" s="2" t="s">
        <v>1244</v>
      </c>
      <c r="B159" s="2" t="s">
        <v>69</v>
      </c>
      <c r="C159" s="2" t="s">
        <v>514</v>
      </c>
      <c r="D159" s="2" t="s">
        <v>258</v>
      </c>
      <c r="E159" s="2" t="s">
        <v>1245</v>
      </c>
      <c r="F159" s="2" t="s">
        <v>1246</v>
      </c>
      <c r="G159" s="2" t="s">
        <v>1247</v>
      </c>
      <c r="H159" s="2" t="s">
        <v>1248</v>
      </c>
      <c r="I159" s="2"/>
      <c r="J159" s="2" t="s">
        <v>296</v>
      </c>
      <c r="K159" s="2" t="s">
        <v>297</v>
      </c>
      <c r="L159" s="2" t="s">
        <v>298</v>
      </c>
      <c r="M159" s="2" t="s">
        <v>64</v>
      </c>
      <c r="N159" s="2" t="s">
        <v>181</v>
      </c>
      <c r="O159" s="2" t="s">
        <v>154</v>
      </c>
      <c r="P159" s="2" t="s">
        <v>1249</v>
      </c>
      <c r="Q159" s="2" t="s">
        <v>5</v>
      </c>
      <c r="R159" s="2" t="s">
        <v>36</v>
      </c>
      <c r="S159" s="2" t="s">
        <v>36</v>
      </c>
      <c r="T159" s="2" t="s">
        <v>37</v>
      </c>
      <c r="U159" s="2" t="s">
        <v>36</v>
      </c>
    </row>
    <row r="160" spans="1:21" x14ac:dyDescent="0.25">
      <c r="A160" s="2" t="s">
        <v>1250</v>
      </c>
      <c r="B160" s="2" t="s">
        <v>54</v>
      </c>
      <c r="C160" s="2" t="s">
        <v>566</v>
      </c>
      <c r="D160" s="2" t="s">
        <v>771</v>
      </c>
      <c r="E160" s="2" t="s">
        <v>1251</v>
      </c>
      <c r="F160" s="2" t="s">
        <v>1252</v>
      </c>
      <c r="G160" s="2" t="s">
        <v>1253</v>
      </c>
      <c r="H160" s="2" t="s">
        <v>1254</v>
      </c>
      <c r="I160" s="2"/>
      <c r="J160" s="2" t="s">
        <v>1026</v>
      </c>
      <c r="K160" s="2" t="s">
        <v>1027</v>
      </c>
      <c r="L160" s="2" t="s">
        <v>1028</v>
      </c>
      <c r="M160" s="2" t="s">
        <v>64</v>
      </c>
      <c r="N160" s="2" t="s">
        <v>65</v>
      </c>
      <c r="O160" s="2" t="s">
        <v>192</v>
      </c>
      <c r="P160" s="2" t="s">
        <v>335</v>
      </c>
      <c r="Q160" s="2" t="s">
        <v>5</v>
      </c>
      <c r="R160" s="2" t="s">
        <v>36</v>
      </c>
      <c r="S160" s="2" t="s">
        <v>36</v>
      </c>
      <c r="T160" s="2" t="s">
        <v>36</v>
      </c>
      <c r="U160" s="2" t="s">
        <v>37</v>
      </c>
    </row>
    <row r="161" spans="1:21" x14ac:dyDescent="0.25">
      <c r="A161" s="2" t="s">
        <v>1255</v>
      </c>
      <c r="B161" s="2" t="s">
        <v>39</v>
      </c>
      <c r="C161" s="2" t="s">
        <v>283</v>
      </c>
      <c r="D161" s="2" t="s">
        <v>225</v>
      </c>
      <c r="E161" s="2" t="s">
        <v>1256</v>
      </c>
      <c r="F161" s="2" t="s">
        <v>1257</v>
      </c>
      <c r="G161" s="2" t="s">
        <v>1258</v>
      </c>
      <c r="H161" s="2" t="s">
        <v>1259</v>
      </c>
      <c r="I161" s="2"/>
      <c r="J161" s="2" t="s">
        <v>76</v>
      </c>
      <c r="K161" s="2" t="s">
        <v>77</v>
      </c>
      <c r="L161" s="2" t="s">
        <v>78</v>
      </c>
      <c r="M161" s="2" t="s">
        <v>180</v>
      </c>
      <c r="N161" s="2" t="s">
        <v>65</v>
      </c>
      <c r="O161" s="2" t="s">
        <v>192</v>
      </c>
      <c r="P161" s="2" t="s">
        <v>1260</v>
      </c>
      <c r="Q161" s="2" t="s">
        <v>93</v>
      </c>
      <c r="R161" s="2" t="s">
        <v>36</v>
      </c>
      <c r="S161" s="2" t="s">
        <v>36</v>
      </c>
      <c r="T161" s="2" t="s">
        <v>37</v>
      </c>
      <c r="U161" s="2" t="s">
        <v>37</v>
      </c>
    </row>
    <row r="162" spans="1:21" x14ac:dyDescent="0.25">
      <c r="A162" s="2" t="s">
        <v>1261</v>
      </c>
      <c r="B162" s="2" t="s">
        <v>131</v>
      </c>
      <c r="C162" s="2" t="s">
        <v>308</v>
      </c>
      <c r="D162" s="2" t="s">
        <v>1039</v>
      </c>
      <c r="E162" s="2" t="s">
        <v>1262</v>
      </c>
      <c r="F162" s="2" t="s">
        <v>1263</v>
      </c>
      <c r="G162" s="2"/>
      <c r="H162" s="2" t="s">
        <v>1264</v>
      </c>
      <c r="I162" s="2"/>
      <c r="J162" s="2" t="s">
        <v>609</v>
      </c>
      <c r="K162" s="2" t="s">
        <v>610</v>
      </c>
      <c r="L162" s="2" t="s">
        <v>611</v>
      </c>
      <c r="M162" s="2" t="s">
        <v>103</v>
      </c>
      <c r="N162" s="2" t="s">
        <v>91</v>
      </c>
      <c r="O162" s="2" t="s">
        <v>66</v>
      </c>
      <c r="P162" s="2" t="s">
        <v>1265</v>
      </c>
      <c r="Q162" s="2" t="s">
        <v>5</v>
      </c>
      <c r="R162" s="2" t="s">
        <v>37</v>
      </c>
      <c r="S162" s="2" t="s">
        <v>36</v>
      </c>
      <c r="T162" s="2" t="s">
        <v>36</v>
      </c>
      <c r="U162" s="2" t="s">
        <v>36</v>
      </c>
    </row>
    <row r="163" spans="1:21" x14ac:dyDescent="0.25">
      <c r="A163" s="2" t="s">
        <v>1266</v>
      </c>
      <c r="B163" s="2" t="s">
        <v>184</v>
      </c>
      <c r="C163" s="2" t="s">
        <v>1267</v>
      </c>
      <c r="D163" s="2" t="s">
        <v>1268</v>
      </c>
      <c r="E163" s="2" t="s">
        <v>1269</v>
      </c>
      <c r="F163" s="2" t="s">
        <v>1270</v>
      </c>
      <c r="G163" s="2" t="s">
        <v>1271</v>
      </c>
      <c r="H163" s="2" t="s">
        <v>1272</v>
      </c>
      <c r="I163" s="2"/>
      <c r="J163" s="2" t="s">
        <v>126</v>
      </c>
      <c r="K163" s="2" t="s">
        <v>127</v>
      </c>
      <c r="L163" s="2" t="s">
        <v>128</v>
      </c>
      <c r="M163" s="2" t="s">
        <v>64</v>
      </c>
      <c r="N163" s="2" t="s">
        <v>49</v>
      </c>
      <c r="O163" s="2" t="s">
        <v>50</v>
      </c>
      <c r="P163" s="2" t="s">
        <v>1273</v>
      </c>
      <c r="Q163" s="2" t="s">
        <v>4</v>
      </c>
      <c r="R163" s="2" t="s">
        <v>36</v>
      </c>
      <c r="S163" s="2" t="s">
        <v>36</v>
      </c>
      <c r="T163" s="2" t="s">
        <v>36</v>
      </c>
      <c r="U163" s="2" t="s">
        <v>36</v>
      </c>
    </row>
    <row r="164" spans="1:21" x14ac:dyDescent="0.25">
      <c r="A164" s="2" t="s">
        <v>1274</v>
      </c>
      <c r="B164" s="2" t="s">
        <v>54</v>
      </c>
      <c r="C164" s="2" t="s">
        <v>424</v>
      </c>
      <c r="D164" s="2" t="s">
        <v>1039</v>
      </c>
      <c r="E164" s="2" t="s">
        <v>1275</v>
      </c>
      <c r="F164" s="2" t="s">
        <v>1276</v>
      </c>
      <c r="G164" s="2" t="s">
        <v>1277</v>
      </c>
      <c r="H164" s="2" t="s">
        <v>1278</v>
      </c>
      <c r="I164" s="2"/>
      <c r="J164" s="2" t="s">
        <v>945</v>
      </c>
      <c r="K164" s="2" t="s">
        <v>946</v>
      </c>
      <c r="L164" s="2" t="s">
        <v>947</v>
      </c>
      <c r="M164" s="2" t="s">
        <v>116</v>
      </c>
      <c r="N164" s="2" t="s">
        <v>181</v>
      </c>
      <c r="O164" s="2" t="s">
        <v>243</v>
      </c>
      <c r="P164" s="2" t="s">
        <v>1279</v>
      </c>
      <c r="Q164" s="2" t="s">
        <v>93</v>
      </c>
      <c r="R164" s="2" t="s">
        <v>37</v>
      </c>
      <c r="S164" s="2" t="s">
        <v>36</v>
      </c>
      <c r="T164" s="2" t="s">
        <v>36</v>
      </c>
      <c r="U164" s="2" t="s">
        <v>36</v>
      </c>
    </row>
    <row r="165" spans="1:21" x14ac:dyDescent="0.25">
      <c r="A165" s="2" t="s">
        <v>1280</v>
      </c>
      <c r="B165" s="2" t="s">
        <v>39</v>
      </c>
      <c r="C165" s="2" t="s">
        <v>864</v>
      </c>
      <c r="D165" s="2" t="s">
        <v>247</v>
      </c>
      <c r="E165" s="2" t="s">
        <v>1281</v>
      </c>
      <c r="F165" s="2" t="s">
        <v>1282</v>
      </c>
      <c r="G165" s="2" t="s">
        <v>1283</v>
      </c>
      <c r="H165" s="2" t="s">
        <v>1284</v>
      </c>
      <c r="I165" s="2"/>
      <c r="J165" s="2" t="s">
        <v>1285</v>
      </c>
      <c r="K165" s="2" t="s">
        <v>1286</v>
      </c>
      <c r="L165" s="2" t="s">
        <v>1287</v>
      </c>
      <c r="M165" s="2" t="s">
        <v>166</v>
      </c>
      <c r="N165" s="2" t="s">
        <v>91</v>
      </c>
      <c r="O165" s="2" t="s">
        <v>154</v>
      </c>
      <c r="P165" s="2" t="s">
        <v>1288</v>
      </c>
      <c r="Q165" s="2" t="s">
        <v>4</v>
      </c>
      <c r="R165" s="2" t="s">
        <v>36</v>
      </c>
      <c r="S165" s="2" t="s">
        <v>36</v>
      </c>
      <c r="T165" s="2" t="s">
        <v>36</v>
      </c>
      <c r="U165" s="2" t="s">
        <v>36</v>
      </c>
    </row>
    <row r="166" spans="1:21" x14ac:dyDescent="0.25">
      <c r="A166" s="2" t="s">
        <v>1289</v>
      </c>
      <c r="B166" s="2" t="s">
        <v>54</v>
      </c>
      <c r="C166" s="2" t="s">
        <v>1290</v>
      </c>
      <c r="D166" s="2" t="s">
        <v>870</v>
      </c>
      <c r="E166" s="2" t="s">
        <v>1291</v>
      </c>
      <c r="F166" s="2" t="s">
        <v>1292</v>
      </c>
      <c r="G166" s="2" t="s">
        <v>1293</v>
      </c>
      <c r="H166" s="2" t="s">
        <v>1294</v>
      </c>
      <c r="I166" s="2"/>
      <c r="J166" s="2" t="s">
        <v>138</v>
      </c>
      <c r="K166" s="2" t="s">
        <v>139</v>
      </c>
      <c r="L166" s="2" t="s">
        <v>140</v>
      </c>
      <c r="M166" s="2" t="s">
        <v>79</v>
      </c>
      <c r="N166" s="2" t="s">
        <v>65</v>
      </c>
      <c r="O166" s="2" t="s">
        <v>243</v>
      </c>
      <c r="P166" s="2" t="s">
        <v>1295</v>
      </c>
      <c r="Q166" s="2" t="s">
        <v>4</v>
      </c>
      <c r="R166" s="2" t="s">
        <v>36</v>
      </c>
      <c r="S166" s="2" t="s">
        <v>36</v>
      </c>
      <c r="T166" s="2" t="s">
        <v>36</v>
      </c>
      <c r="U166" s="2" t="s">
        <v>37</v>
      </c>
    </row>
    <row r="167" spans="1:21" x14ac:dyDescent="0.25">
      <c r="A167" s="2" t="s">
        <v>1296</v>
      </c>
      <c r="B167" s="2" t="s">
        <v>39</v>
      </c>
      <c r="C167" s="2" t="s">
        <v>1297</v>
      </c>
      <c r="D167" s="2" t="s">
        <v>205</v>
      </c>
      <c r="E167" s="2" t="s">
        <v>1298</v>
      </c>
      <c r="F167" s="2" t="s">
        <v>1299</v>
      </c>
      <c r="G167" s="2" t="s">
        <v>1300</v>
      </c>
      <c r="H167" s="2" t="s">
        <v>1301</v>
      </c>
      <c r="I167" s="2"/>
      <c r="J167" s="2" t="s">
        <v>46</v>
      </c>
      <c r="K167" s="2" t="s">
        <v>47</v>
      </c>
      <c r="L167" s="2" t="s">
        <v>48</v>
      </c>
      <c r="M167" s="2" t="s">
        <v>79</v>
      </c>
      <c r="N167" s="2" t="s">
        <v>117</v>
      </c>
      <c r="O167" s="2" t="s">
        <v>66</v>
      </c>
      <c r="P167" s="2" t="s">
        <v>1302</v>
      </c>
      <c r="Q167" s="2" t="s">
        <v>4</v>
      </c>
      <c r="R167" s="2" t="s">
        <v>36</v>
      </c>
      <c r="S167" s="2" t="s">
        <v>36</v>
      </c>
      <c r="T167" s="2" t="s">
        <v>36</v>
      </c>
      <c r="U167" s="2" t="s">
        <v>36</v>
      </c>
    </row>
    <row r="168" spans="1:21" x14ac:dyDescent="0.25">
      <c r="A168" s="2" t="s">
        <v>1303</v>
      </c>
      <c r="B168" s="2" t="s">
        <v>39</v>
      </c>
      <c r="C168" s="2" t="s">
        <v>573</v>
      </c>
      <c r="D168" s="2" t="s">
        <v>1008</v>
      </c>
      <c r="E168" s="2" t="s">
        <v>1304</v>
      </c>
      <c r="F168" s="2" t="s">
        <v>1305</v>
      </c>
      <c r="G168" s="2" t="s">
        <v>1306</v>
      </c>
      <c r="H168" s="2" t="s">
        <v>1307</v>
      </c>
      <c r="I168" s="2"/>
      <c r="J168" s="2" t="s">
        <v>229</v>
      </c>
      <c r="K168" s="2" t="s">
        <v>230</v>
      </c>
      <c r="L168" s="2" t="s">
        <v>231</v>
      </c>
      <c r="M168" s="2" t="s">
        <v>32</v>
      </c>
      <c r="N168" s="2" t="s">
        <v>65</v>
      </c>
      <c r="O168" s="2" t="s">
        <v>154</v>
      </c>
      <c r="P168" s="2" t="s">
        <v>1308</v>
      </c>
      <c r="Q168" s="2" t="s">
        <v>93</v>
      </c>
      <c r="R168" s="2" t="s">
        <v>36</v>
      </c>
      <c r="S168" s="2" t="s">
        <v>36</v>
      </c>
      <c r="T168" s="2" t="s">
        <v>37</v>
      </c>
      <c r="U168" s="2" t="s">
        <v>36</v>
      </c>
    </row>
    <row r="169" spans="1:21" x14ac:dyDescent="0.25">
      <c r="A169" s="2" t="s">
        <v>1309</v>
      </c>
      <c r="B169" s="2" t="s">
        <v>22</v>
      </c>
      <c r="C169" s="2" t="s">
        <v>1310</v>
      </c>
      <c r="D169" s="2" t="s">
        <v>819</v>
      </c>
      <c r="E169" s="2" t="s">
        <v>1311</v>
      </c>
      <c r="F169" s="2" t="s">
        <v>1312</v>
      </c>
      <c r="G169" s="2" t="s">
        <v>1313</v>
      </c>
      <c r="H169" s="2" t="s">
        <v>1314</v>
      </c>
      <c r="I169" s="2"/>
      <c r="J169" s="2" t="s">
        <v>177</v>
      </c>
      <c r="K169" s="2" t="s">
        <v>178</v>
      </c>
      <c r="L169" s="2" t="s">
        <v>179</v>
      </c>
      <c r="M169" s="2" t="s">
        <v>232</v>
      </c>
      <c r="N169" s="2" t="s">
        <v>181</v>
      </c>
      <c r="O169" s="2" t="s">
        <v>66</v>
      </c>
      <c r="P169" s="2" t="s">
        <v>1315</v>
      </c>
      <c r="Q169" s="2" t="s">
        <v>52</v>
      </c>
      <c r="R169" s="2" t="s">
        <v>36</v>
      </c>
      <c r="S169" s="2" t="s">
        <v>36</v>
      </c>
      <c r="T169" s="2" t="s">
        <v>37</v>
      </c>
      <c r="U169" s="2" t="s">
        <v>37</v>
      </c>
    </row>
    <row r="170" spans="1:21" x14ac:dyDescent="0.25">
      <c r="A170" s="2" t="s">
        <v>1316</v>
      </c>
      <c r="B170" s="2" t="s">
        <v>54</v>
      </c>
      <c r="C170" s="2" t="s">
        <v>1031</v>
      </c>
      <c r="D170" s="2" t="s">
        <v>172</v>
      </c>
      <c r="E170" s="2" t="s">
        <v>1317</v>
      </c>
      <c r="F170" s="2" t="s">
        <v>1318</v>
      </c>
      <c r="G170" s="2" t="s">
        <v>1319</v>
      </c>
      <c r="H170" s="2" t="s">
        <v>1320</v>
      </c>
      <c r="I170" s="2"/>
      <c r="J170" s="2" t="s">
        <v>387</v>
      </c>
      <c r="K170" s="2" t="s">
        <v>388</v>
      </c>
      <c r="L170" s="2" t="s">
        <v>389</v>
      </c>
      <c r="M170" s="2" t="s">
        <v>116</v>
      </c>
      <c r="N170" s="2" t="s">
        <v>49</v>
      </c>
      <c r="O170" s="2" t="s">
        <v>154</v>
      </c>
      <c r="P170" s="2" t="s">
        <v>1321</v>
      </c>
      <c r="Q170" s="2" t="s">
        <v>5</v>
      </c>
      <c r="R170" s="2" t="s">
        <v>36</v>
      </c>
      <c r="S170" s="2" t="s">
        <v>36</v>
      </c>
      <c r="T170" s="2" t="s">
        <v>37</v>
      </c>
      <c r="U170" s="2" t="s">
        <v>36</v>
      </c>
    </row>
    <row r="171" spans="1:21" x14ac:dyDescent="0.25">
      <c r="A171" s="2" t="s">
        <v>1322</v>
      </c>
      <c r="B171" s="2" t="s">
        <v>170</v>
      </c>
      <c r="C171" s="2" t="s">
        <v>1111</v>
      </c>
      <c r="D171" s="2" t="s">
        <v>1323</v>
      </c>
      <c r="E171" s="2" t="s">
        <v>1324</v>
      </c>
      <c r="F171" s="2" t="s">
        <v>1325</v>
      </c>
      <c r="G171" s="2" t="s">
        <v>1326</v>
      </c>
      <c r="H171" s="2" t="s">
        <v>1327</v>
      </c>
      <c r="I171" s="2"/>
      <c r="J171" s="2" t="s">
        <v>46</v>
      </c>
      <c r="K171" s="2" t="s">
        <v>47</v>
      </c>
      <c r="L171" s="2" t="s">
        <v>48</v>
      </c>
      <c r="M171" s="2" t="s">
        <v>32</v>
      </c>
      <c r="N171" s="2" t="s">
        <v>91</v>
      </c>
      <c r="O171" s="2" t="s">
        <v>34</v>
      </c>
      <c r="P171" s="2" t="s">
        <v>1328</v>
      </c>
      <c r="Q171" s="2" t="s">
        <v>52</v>
      </c>
      <c r="R171" s="2" t="s">
        <v>36</v>
      </c>
      <c r="S171" s="2" t="s">
        <v>36</v>
      </c>
      <c r="T171" s="2" t="s">
        <v>36</v>
      </c>
      <c r="U171" s="2" t="s">
        <v>36</v>
      </c>
    </row>
    <row r="172" spans="1:21" x14ac:dyDescent="0.25">
      <c r="A172" s="2" t="s">
        <v>1329</v>
      </c>
      <c r="B172" s="2" t="s">
        <v>195</v>
      </c>
      <c r="C172" s="2" t="s">
        <v>308</v>
      </c>
      <c r="D172" s="2" t="s">
        <v>1047</v>
      </c>
      <c r="E172" s="2" t="s">
        <v>1330</v>
      </c>
      <c r="F172" s="2" t="s">
        <v>1331</v>
      </c>
      <c r="G172" s="2" t="s">
        <v>1332</v>
      </c>
      <c r="H172" s="2" t="s">
        <v>1333</v>
      </c>
      <c r="I172" s="2"/>
      <c r="J172" s="2" t="s">
        <v>46</v>
      </c>
      <c r="K172" s="2" t="s">
        <v>47</v>
      </c>
      <c r="L172" s="2" t="s">
        <v>48</v>
      </c>
      <c r="M172" s="2" t="s">
        <v>232</v>
      </c>
      <c r="N172" s="2" t="s">
        <v>65</v>
      </c>
      <c r="O172" s="2" t="s">
        <v>66</v>
      </c>
      <c r="P172" s="2" t="s">
        <v>1334</v>
      </c>
      <c r="Q172" s="2" t="s">
        <v>4</v>
      </c>
      <c r="R172" s="2" t="s">
        <v>36</v>
      </c>
      <c r="S172" s="2" t="s">
        <v>36</v>
      </c>
      <c r="T172" s="2" t="s">
        <v>37</v>
      </c>
      <c r="U172" s="2" t="s">
        <v>37</v>
      </c>
    </row>
    <row r="173" spans="1:21" x14ac:dyDescent="0.25">
      <c r="A173" s="2" t="s">
        <v>1335</v>
      </c>
      <c r="B173" s="2"/>
      <c r="C173" s="2" t="s">
        <v>213</v>
      </c>
      <c r="D173" s="2" t="s">
        <v>755</v>
      </c>
      <c r="E173" s="2" t="s">
        <v>1336</v>
      </c>
      <c r="F173" s="2" t="s">
        <v>1337</v>
      </c>
      <c r="G173" s="2" t="s">
        <v>1338</v>
      </c>
      <c r="H173" s="2" t="s">
        <v>1339</v>
      </c>
      <c r="I173" s="2"/>
      <c r="J173" s="2" t="s">
        <v>319</v>
      </c>
      <c r="K173" s="2" t="s">
        <v>320</v>
      </c>
      <c r="L173" s="2" t="s">
        <v>1340</v>
      </c>
      <c r="M173" s="2" t="s">
        <v>116</v>
      </c>
      <c r="N173" s="2" t="s">
        <v>91</v>
      </c>
      <c r="O173" s="2" t="s">
        <v>50</v>
      </c>
      <c r="P173" s="2" t="s">
        <v>1341</v>
      </c>
      <c r="Q173" s="2" t="s">
        <v>93</v>
      </c>
      <c r="R173" s="2" t="s">
        <v>36</v>
      </c>
      <c r="S173" s="2" t="s">
        <v>36</v>
      </c>
      <c r="T173" s="2" t="s">
        <v>36</v>
      </c>
      <c r="U173" s="2" t="s">
        <v>37</v>
      </c>
    </row>
    <row r="174" spans="1:21" x14ac:dyDescent="0.25">
      <c r="A174" s="2" t="s">
        <v>1342</v>
      </c>
      <c r="B174" s="2" t="s">
        <v>22</v>
      </c>
      <c r="C174" s="2" t="s">
        <v>472</v>
      </c>
      <c r="D174" s="2" t="s">
        <v>496</v>
      </c>
      <c r="E174" s="2" t="s">
        <v>1343</v>
      </c>
      <c r="F174" s="2" t="s">
        <v>1344</v>
      </c>
      <c r="G174" s="2" t="s">
        <v>1345</v>
      </c>
      <c r="H174" s="2" t="s">
        <v>1346</v>
      </c>
      <c r="I174" s="2"/>
      <c r="J174" s="2" t="s">
        <v>693</v>
      </c>
      <c r="K174" s="2" t="s">
        <v>694</v>
      </c>
      <c r="L174" s="2" t="s">
        <v>695</v>
      </c>
      <c r="M174" s="2" t="s">
        <v>180</v>
      </c>
      <c r="N174" s="2" t="s">
        <v>117</v>
      </c>
      <c r="O174" s="2" t="s">
        <v>192</v>
      </c>
      <c r="P174" s="2" t="s">
        <v>1347</v>
      </c>
      <c r="Q174" s="2" t="s">
        <v>93</v>
      </c>
      <c r="R174" s="2" t="s">
        <v>36</v>
      </c>
      <c r="S174" s="2" t="s">
        <v>36</v>
      </c>
      <c r="T174" s="2" t="s">
        <v>36</v>
      </c>
      <c r="U174" s="2" t="s">
        <v>36</v>
      </c>
    </row>
    <row r="175" spans="1:21" x14ac:dyDescent="0.25">
      <c r="A175" s="2" t="s">
        <v>1348</v>
      </c>
      <c r="B175" s="2" t="s">
        <v>54</v>
      </c>
      <c r="C175" s="2" t="s">
        <v>1349</v>
      </c>
      <c r="D175" s="2" t="s">
        <v>771</v>
      </c>
      <c r="E175" s="2" t="s">
        <v>1350</v>
      </c>
      <c r="F175" s="2" t="s">
        <v>1351</v>
      </c>
      <c r="G175" s="2" t="s">
        <v>1352</v>
      </c>
      <c r="H175" s="2" t="s">
        <v>1353</v>
      </c>
      <c r="I175" s="2"/>
      <c r="J175" s="2" t="s">
        <v>429</v>
      </c>
      <c r="K175" s="2" t="s">
        <v>430</v>
      </c>
      <c r="L175" s="2" t="s">
        <v>431</v>
      </c>
      <c r="M175" s="2" t="s">
        <v>191</v>
      </c>
      <c r="N175" s="2" t="s">
        <v>91</v>
      </c>
      <c r="O175" s="2" t="s">
        <v>50</v>
      </c>
      <c r="P175" s="2" t="s">
        <v>1354</v>
      </c>
      <c r="Q175" s="2" t="s">
        <v>93</v>
      </c>
      <c r="R175" s="2" t="s">
        <v>36</v>
      </c>
      <c r="S175" s="2" t="s">
        <v>37</v>
      </c>
      <c r="T175" s="2" t="s">
        <v>37</v>
      </c>
      <c r="U175" s="2" t="s">
        <v>37</v>
      </c>
    </row>
    <row r="176" spans="1:21" x14ac:dyDescent="0.25">
      <c r="A176" s="2" t="s">
        <v>1355</v>
      </c>
      <c r="B176" s="2" t="s">
        <v>54</v>
      </c>
      <c r="C176" s="2" t="s">
        <v>1356</v>
      </c>
      <c r="D176" s="2" t="s">
        <v>1357</v>
      </c>
      <c r="E176" s="2" t="s">
        <v>1358</v>
      </c>
      <c r="F176" s="2" t="s">
        <v>1359</v>
      </c>
      <c r="G176" s="2" t="s">
        <v>1360</v>
      </c>
      <c r="H176" s="2" t="s">
        <v>1361</v>
      </c>
      <c r="I176" s="2"/>
      <c r="J176" s="2" t="s">
        <v>1285</v>
      </c>
      <c r="K176" s="2" t="s">
        <v>1286</v>
      </c>
      <c r="L176" s="2" t="s">
        <v>1287</v>
      </c>
      <c r="M176" s="2" t="s">
        <v>166</v>
      </c>
      <c r="N176" s="2" t="s">
        <v>167</v>
      </c>
      <c r="O176" s="2" t="s">
        <v>34</v>
      </c>
      <c r="P176" s="2" t="s">
        <v>1362</v>
      </c>
      <c r="Q176" s="2" t="s">
        <v>93</v>
      </c>
      <c r="R176" s="2" t="s">
        <v>37</v>
      </c>
      <c r="S176" s="2" t="s">
        <v>37</v>
      </c>
      <c r="T176" s="2" t="s">
        <v>37</v>
      </c>
      <c r="U176" s="2" t="s">
        <v>36</v>
      </c>
    </row>
    <row r="177" spans="1:21" x14ac:dyDescent="0.25">
      <c r="A177" s="2" t="s">
        <v>1363</v>
      </c>
      <c r="B177" s="2" t="s">
        <v>54</v>
      </c>
      <c r="C177" s="2" t="s">
        <v>337</v>
      </c>
      <c r="D177" s="2" t="s">
        <v>291</v>
      </c>
      <c r="E177" s="2" t="s">
        <v>1364</v>
      </c>
      <c r="F177" s="2" t="s">
        <v>1365</v>
      </c>
      <c r="G177" s="2" t="s">
        <v>1366</v>
      </c>
      <c r="H177" s="2" t="s">
        <v>1367</v>
      </c>
      <c r="I177" s="2"/>
      <c r="J177" s="2" t="s">
        <v>278</v>
      </c>
      <c r="K177" s="2" t="s">
        <v>279</v>
      </c>
      <c r="L177" s="2" t="s">
        <v>280</v>
      </c>
      <c r="M177" s="2" t="s">
        <v>116</v>
      </c>
      <c r="N177" s="2" t="s">
        <v>49</v>
      </c>
      <c r="O177" s="2" t="s">
        <v>243</v>
      </c>
      <c r="P177" s="2" t="s">
        <v>1368</v>
      </c>
      <c r="Q177" s="2" t="s">
        <v>93</v>
      </c>
      <c r="R177" s="2" t="s">
        <v>36</v>
      </c>
      <c r="S177" s="2" t="s">
        <v>36</v>
      </c>
      <c r="T177" s="2" t="s">
        <v>37</v>
      </c>
      <c r="U177" s="2" t="s">
        <v>36</v>
      </c>
    </row>
    <row r="178" spans="1:21" x14ac:dyDescent="0.25">
      <c r="A178" s="2" t="s">
        <v>1369</v>
      </c>
      <c r="B178" s="2" t="s">
        <v>184</v>
      </c>
      <c r="C178" s="2" t="s">
        <v>1297</v>
      </c>
      <c r="D178" s="2" t="s">
        <v>24</v>
      </c>
      <c r="E178" s="2" t="s">
        <v>1370</v>
      </c>
      <c r="F178" s="2" t="s">
        <v>1371</v>
      </c>
      <c r="G178" s="2" t="s">
        <v>1372</v>
      </c>
      <c r="H178" s="2" t="s">
        <v>1373</v>
      </c>
      <c r="I178" s="2"/>
      <c r="J178" s="2" t="s">
        <v>252</v>
      </c>
      <c r="K178" s="2" t="s">
        <v>253</v>
      </c>
      <c r="L178" s="2" t="s">
        <v>254</v>
      </c>
      <c r="M178" s="2" t="s">
        <v>79</v>
      </c>
      <c r="N178" s="2" t="s">
        <v>49</v>
      </c>
      <c r="O178" s="2" t="s">
        <v>243</v>
      </c>
      <c r="P178" s="2" t="s">
        <v>1374</v>
      </c>
      <c r="Q178" s="2" t="s">
        <v>4</v>
      </c>
      <c r="R178" s="2" t="s">
        <v>37</v>
      </c>
      <c r="S178" s="2" t="s">
        <v>36</v>
      </c>
      <c r="T178" s="2" t="s">
        <v>36</v>
      </c>
      <c r="U178" s="2" t="s">
        <v>37</v>
      </c>
    </row>
    <row r="179" spans="1:21" x14ac:dyDescent="0.25">
      <c r="A179" s="2" t="s">
        <v>1375</v>
      </c>
      <c r="B179" s="2" t="s">
        <v>131</v>
      </c>
      <c r="C179" s="2" t="s">
        <v>95</v>
      </c>
      <c r="D179" s="2" t="s">
        <v>258</v>
      </c>
      <c r="E179" s="2" t="s">
        <v>1376</v>
      </c>
      <c r="F179" s="2" t="s">
        <v>1377</v>
      </c>
      <c r="G179" s="2" t="s">
        <v>1378</v>
      </c>
      <c r="H179" s="2" t="s">
        <v>530</v>
      </c>
      <c r="I179" s="2"/>
      <c r="J179" s="2" t="s">
        <v>1026</v>
      </c>
      <c r="K179" s="2" t="s">
        <v>1027</v>
      </c>
      <c r="L179" s="2" t="s">
        <v>1028</v>
      </c>
      <c r="M179" s="2" t="s">
        <v>32</v>
      </c>
      <c r="N179" s="2" t="s">
        <v>91</v>
      </c>
      <c r="O179" s="2" t="s">
        <v>141</v>
      </c>
      <c r="P179" s="2" t="s">
        <v>1379</v>
      </c>
      <c r="Q179" s="2" t="s">
        <v>4</v>
      </c>
      <c r="R179" s="2" t="s">
        <v>37</v>
      </c>
      <c r="S179" s="2" t="s">
        <v>36</v>
      </c>
      <c r="T179" s="2" t="s">
        <v>37</v>
      </c>
      <c r="U179" s="2" t="s">
        <v>36</v>
      </c>
    </row>
    <row r="180" spans="1:21" x14ac:dyDescent="0.25">
      <c r="A180" s="2" t="s">
        <v>1380</v>
      </c>
      <c r="B180" s="2" t="s">
        <v>69</v>
      </c>
      <c r="C180" s="2" t="s">
        <v>120</v>
      </c>
      <c r="D180" s="2" t="s">
        <v>365</v>
      </c>
      <c r="E180" s="2" t="s">
        <v>1381</v>
      </c>
      <c r="F180" s="2" t="s">
        <v>1382</v>
      </c>
      <c r="G180" s="2" t="s">
        <v>1383</v>
      </c>
      <c r="H180" s="2" t="s">
        <v>1384</v>
      </c>
      <c r="I180" s="2"/>
      <c r="J180" s="2" t="s">
        <v>370</v>
      </c>
      <c r="K180" s="2" t="s">
        <v>371</v>
      </c>
      <c r="L180" s="2" t="s">
        <v>602</v>
      </c>
      <c r="M180" s="2" t="s">
        <v>64</v>
      </c>
      <c r="N180" s="2" t="s">
        <v>65</v>
      </c>
      <c r="O180" s="2" t="s">
        <v>141</v>
      </c>
      <c r="P180" s="2" t="s">
        <v>1385</v>
      </c>
      <c r="Q180" s="2" t="s">
        <v>105</v>
      </c>
      <c r="R180" s="2" t="s">
        <v>37</v>
      </c>
      <c r="S180" s="2" t="s">
        <v>37</v>
      </c>
      <c r="T180" s="2" t="s">
        <v>37</v>
      </c>
      <c r="U180" s="2" t="s">
        <v>37</v>
      </c>
    </row>
    <row r="181" spans="1:21" x14ac:dyDescent="0.25">
      <c r="A181" s="2" t="s">
        <v>1386</v>
      </c>
      <c r="B181" s="2" t="s">
        <v>22</v>
      </c>
      <c r="C181" s="2" t="s">
        <v>403</v>
      </c>
      <c r="D181" s="2" t="s">
        <v>425</v>
      </c>
      <c r="E181" s="2" t="s">
        <v>1387</v>
      </c>
      <c r="F181" s="2" t="s">
        <v>1388</v>
      </c>
      <c r="G181" s="2" t="s">
        <v>1389</v>
      </c>
      <c r="H181" s="2" t="s">
        <v>1390</v>
      </c>
      <c r="I181" s="2"/>
      <c r="J181" s="2" t="s">
        <v>252</v>
      </c>
      <c r="K181" s="2" t="s">
        <v>253</v>
      </c>
      <c r="L181" s="2" t="s">
        <v>254</v>
      </c>
      <c r="M181" s="2" t="s">
        <v>103</v>
      </c>
      <c r="N181" s="2" t="s">
        <v>33</v>
      </c>
      <c r="O181" s="2" t="s">
        <v>141</v>
      </c>
      <c r="P181" s="2" t="s">
        <v>1391</v>
      </c>
      <c r="Q181" s="2" t="s">
        <v>93</v>
      </c>
      <c r="R181" s="2" t="s">
        <v>36</v>
      </c>
      <c r="S181" s="2" t="s">
        <v>36</v>
      </c>
      <c r="T181" s="2" t="s">
        <v>37</v>
      </c>
      <c r="U181" s="2" t="s">
        <v>37</v>
      </c>
    </row>
    <row r="182" spans="1:21" x14ac:dyDescent="0.25">
      <c r="A182" s="2" t="s">
        <v>1392</v>
      </c>
      <c r="B182" s="2" t="s">
        <v>39</v>
      </c>
      <c r="C182" s="2" t="s">
        <v>778</v>
      </c>
      <c r="D182" s="2" t="s">
        <v>1393</v>
      </c>
      <c r="E182" s="2" t="s">
        <v>1394</v>
      </c>
      <c r="F182" s="2" t="s">
        <v>1395</v>
      </c>
      <c r="G182" s="2" t="s">
        <v>1396</v>
      </c>
      <c r="H182" s="2" t="s">
        <v>1397</v>
      </c>
      <c r="I182" s="2"/>
      <c r="J182" s="2" t="s">
        <v>693</v>
      </c>
      <c r="K182" s="2" t="s">
        <v>694</v>
      </c>
      <c r="L182" s="2" t="s">
        <v>695</v>
      </c>
      <c r="M182" s="2" t="s">
        <v>116</v>
      </c>
      <c r="N182" s="2" t="s">
        <v>91</v>
      </c>
      <c r="O182" s="2" t="s">
        <v>141</v>
      </c>
      <c r="P182" s="2" t="s">
        <v>1398</v>
      </c>
      <c r="Q182" s="2" t="s">
        <v>4</v>
      </c>
      <c r="R182" s="2" t="s">
        <v>816</v>
      </c>
      <c r="S182" s="2" t="s">
        <v>36</v>
      </c>
      <c r="T182" s="2" t="s">
        <v>36</v>
      </c>
      <c r="U182" s="2" t="s">
        <v>37</v>
      </c>
    </row>
    <row r="183" spans="1:21" x14ac:dyDescent="0.25">
      <c r="A183" s="2" t="s">
        <v>1399</v>
      </c>
      <c r="B183" s="2" t="s">
        <v>54</v>
      </c>
      <c r="C183" s="2" t="s">
        <v>70</v>
      </c>
      <c r="D183" s="2" t="s">
        <v>902</v>
      </c>
      <c r="E183" s="2" t="s">
        <v>1400</v>
      </c>
      <c r="F183" s="2" t="s">
        <v>1401</v>
      </c>
      <c r="G183" s="2" t="s">
        <v>1402</v>
      </c>
      <c r="H183" s="2" t="s">
        <v>1403</v>
      </c>
      <c r="I183" s="2"/>
      <c r="J183" s="2" t="s">
        <v>219</v>
      </c>
      <c r="K183" s="2" t="s">
        <v>220</v>
      </c>
      <c r="L183" s="2" t="s">
        <v>221</v>
      </c>
      <c r="M183" s="2" t="s">
        <v>79</v>
      </c>
      <c r="N183" s="2" t="s">
        <v>181</v>
      </c>
      <c r="O183" s="2" t="s">
        <v>34</v>
      </c>
      <c r="P183" s="2" t="s">
        <v>1404</v>
      </c>
      <c r="Q183" s="2" t="s">
        <v>52</v>
      </c>
      <c r="R183" s="2" t="s">
        <v>36</v>
      </c>
      <c r="S183" s="2" t="s">
        <v>36</v>
      </c>
      <c r="T183" s="2" t="s">
        <v>37</v>
      </c>
      <c r="U183" s="2" t="s">
        <v>37</v>
      </c>
    </row>
    <row r="184" spans="1:21" x14ac:dyDescent="0.25">
      <c r="A184" s="2" t="s">
        <v>1405</v>
      </c>
      <c r="B184" s="2" t="s">
        <v>235</v>
      </c>
      <c r="C184" s="2" t="s">
        <v>472</v>
      </c>
      <c r="D184" s="2" t="s">
        <v>674</v>
      </c>
      <c r="E184" s="2" t="s">
        <v>1406</v>
      </c>
      <c r="F184" s="2" t="s">
        <v>1407</v>
      </c>
      <c r="G184" s="2" t="s">
        <v>1408</v>
      </c>
      <c r="H184" s="2" t="s">
        <v>1158</v>
      </c>
      <c r="I184" s="2"/>
      <c r="J184" s="2" t="s">
        <v>150</v>
      </c>
      <c r="K184" s="2" t="s">
        <v>151</v>
      </c>
      <c r="L184" s="2" t="s">
        <v>152</v>
      </c>
      <c r="M184" s="2" t="s">
        <v>180</v>
      </c>
      <c r="N184" s="2" t="s">
        <v>117</v>
      </c>
      <c r="O184" s="2" t="s">
        <v>141</v>
      </c>
      <c r="P184" s="2" t="s">
        <v>1409</v>
      </c>
      <c r="Q184" s="2" t="s">
        <v>4</v>
      </c>
      <c r="R184" s="2" t="s">
        <v>36</v>
      </c>
      <c r="S184" s="2" t="s">
        <v>36</v>
      </c>
      <c r="T184" s="2" t="s">
        <v>37</v>
      </c>
      <c r="U184" s="2" t="s">
        <v>37</v>
      </c>
    </row>
    <row r="185" spans="1:21" x14ac:dyDescent="0.25">
      <c r="A185" s="2" t="s">
        <v>1410</v>
      </c>
      <c r="B185" s="2" t="s">
        <v>195</v>
      </c>
      <c r="C185" s="2" t="s">
        <v>1411</v>
      </c>
      <c r="D185" s="2" t="s">
        <v>771</v>
      </c>
      <c r="E185" s="2" t="s">
        <v>1412</v>
      </c>
      <c r="F185" s="2" t="s">
        <v>1413</v>
      </c>
      <c r="G185" s="2" t="s">
        <v>1414</v>
      </c>
      <c r="H185" s="2" t="s">
        <v>1415</v>
      </c>
      <c r="I185" s="2"/>
      <c r="J185" s="2" t="s">
        <v>509</v>
      </c>
      <c r="K185" s="2" t="s">
        <v>510</v>
      </c>
      <c r="L185" s="2" t="s">
        <v>511</v>
      </c>
      <c r="M185" s="2" t="s">
        <v>103</v>
      </c>
      <c r="N185" s="2" t="s">
        <v>153</v>
      </c>
      <c r="O185" s="2" t="s">
        <v>243</v>
      </c>
      <c r="P185" s="2" t="s">
        <v>1416</v>
      </c>
      <c r="Q185" s="2" t="s">
        <v>4</v>
      </c>
      <c r="R185" s="2" t="s">
        <v>36</v>
      </c>
      <c r="S185" s="2" t="s">
        <v>36</v>
      </c>
      <c r="T185" s="2" t="s">
        <v>37</v>
      </c>
      <c r="U185" s="2" t="s">
        <v>37</v>
      </c>
    </row>
    <row r="186" spans="1:21" x14ac:dyDescent="0.25">
      <c r="A186" s="2" t="s">
        <v>1417</v>
      </c>
      <c r="B186" s="2" t="s">
        <v>131</v>
      </c>
      <c r="C186" s="2" t="s">
        <v>838</v>
      </c>
      <c r="D186" s="2" t="s">
        <v>870</v>
      </c>
      <c r="E186" s="2" t="s">
        <v>1418</v>
      </c>
      <c r="F186" s="2" t="s">
        <v>1419</v>
      </c>
      <c r="G186" s="2" t="s">
        <v>1420</v>
      </c>
      <c r="H186" s="2" t="s">
        <v>1421</v>
      </c>
      <c r="I186" s="2"/>
      <c r="J186" s="2" t="s">
        <v>100</v>
      </c>
      <c r="K186" s="2" t="s">
        <v>101</v>
      </c>
      <c r="L186" s="2" t="s">
        <v>343</v>
      </c>
      <c r="M186" s="2" t="s">
        <v>32</v>
      </c>
      <c r="N186" s="2" t="s">
        <v>49</v>
      </c>
      <c r="O186" s="2" t="s">
        <v>66</v>
      </c>
      <c r="P186" s="2" t="s">
        <v>1422</v>
      </c>
      <c r="Q186" s="2" t="s">
        <v>93</v>
      </c>
      <c r="R186" s="2" t="s">
        <v>36</v>
      </c>
      <c r="S186" s="2" t="s">
        <v>36</v>
      </c>
      <c r="T186" s="2" t="s">
        <v>36</v>
      </c>
      <c r="U186" s="2" t="s">
        <v>36</v>
      </c>
    </row>
    <row r="187" spans="1:21" x14ac:dyDescent="0.25">
      <c r="A187" s="2" t="s">
        <v>1423</v>
      </c>
      <c r="B187" s="2"/>
      <c r="C187" s="2" t="s">
        <v>673</v>
      </c>
      <c r="D187" s="2" t="s">
        <v>309</v>
      </c>
      <c r="E187" s="2" t="s">
        <v>1424</v>
      </c>
      <c r="F187" s="2" t="s">
        <v>1425</v>
      </c>
      <c r="G187" s="2"/>
      <c r="H187" s="2" t="s">
        <v>1426</v>
      </c>
      <c r="I187" s="2"/>
      <c r="J187" s="2" t="s">
        <v>945</v>
      </c>
      <c r="K187" s="2" t="s">
        <v>946</v>
      </c>
      <c r="L187" s="2" t="s">
        <v>947</v>
      </c>
      <c r="M187" s="2" t="s">
        <v>166</v>
      </c>
      <c r="N187" s="2" t="s">
        <v>65</v>
      </c>
      <c r="O187" s="2" t="s">
        <v>154</v>
      </c>
      <c r="P187" s="2" t="s">
        <v>1427</v>
      </c>
      <c r="Q187" s="2" t="s">
        <v>52</v>
      </c>
      <c r="R187" s="2" t="s">
        <v>36</v>
      </c>
      <c r="S187" s="2" t="s">
        <v>36</v>
      </c>
      <c r="T187" s="2" t="s">
        <v>37</v>
      </c>
      <c r="U187" s="2" t="s">
        <v>37</v>
      </c>
    </row>
    <row r="188" spans="1:21" x14ac:dyDescent="0.25">
      <c r="A188" s="2" t="s">
        <v>1428</v>
      </c>
      <c r="B188" s="2" t="s">
        <v>54</v>
      </c>
      <c r="C188" s="2" t="s">
        <v>1429</v>
      </c>
      <c r="D188" s="2" t="s">
        <v>755</v>
      </c>
      <c r="E188" s="2" t="s">
        <v>1430</v>
      </c>
      <c r="F188" s="2" t="s">
        <v>1431</v>
      </c>
      <c r="G188" s="2" t="s">
        <v>1432</v>
      </c>
      <c r="H188" s="2" t="s">
        <v>1433</v>
      </c>
      <c r="I188" s="2"/>
      <c r="J188" s="2" t="s">
        <v>177</v>
      </c>
      <c r="K188" s="2" t="s">
        <v>178</v>
      </c>
      <c r="L188" s="2" t="s">
        <v>179</v>
      </c>
      <c r="M188" s="2" t="s">
        <v>79</v>
      </c>
      <c r="N188" s="2" t="s">
        <v>91</v>
      </c>
      <c r="O188" s="2" t="s">
        <v>154</v>
      </c>
      <c r="P188" s="2" t="s">
        <v>1434</v>
      </c>
      <c r="Q188" s="2" t="s">
        <v>93</v>
      </c>
      <c r="R188" s="2" t="s">
        <v>1160</v>
      </c>
      <c r="S188" s="2" t="s">
        <v>37</v>
      </c>
      <c r="T188" s="2" t="s">
        <v>37</v>
      </c>
      <c r="U188" s="2" t="s">
        <v>37</v>
      </c>
    </row>
    <row r="189" spans="1:21" x14ac:dyDescent="0.25">
      <c r="A189" s="2" t="s">
        <v>1435</v>
      </c>
      <c r="B189" s="2"/>
      <c r="C189" s="2" t="s">
        <v>1429</v>
      </c>
      <c r="D189" s="2" t="s">
        <v>273</v>
      </c>
      <c r="E189" s="2" t="s">
        <v>1436</v>
      </c>
      <c r="F189" s="2" t="s">
        <v>1437</v>
      </c>
      <c r="G189" s="2" t="s">
        <v>1438</v>
      </c>
      <c r="H189" s="2" t="s">
        <v>667</v>
      </c>
      <c r="I189" s="2"/>
      <c r="J189" s="2" t="s">
        <v>693</v>
      </c>
      <c r="K189" s="2" t="s">
        <v>694</v>
      </c>
      <c r="L189" s="2" t="s">
        <v>695</v>
      </c>
      <c r="M189" s="2" t="s">
        <v>116</v>
      </c>
      <c r="N189" s="2" t="s">
        <v>33</v>
      </c>
      <c r="O189" s="2" t="s">
        <v>154</v>
      </c>
      <c r="P189" s="2" t="s">
        <v>1439</v>
      </c>
      <c r="Q189" s="2" t="s">
        <v>93</v>
      </c>
      <c r="R189" s="2" t="s">
        <v>36</v>
      </c>
      <c r="S189" s="2" t="s">
        <v>36</v>
      </c>
      <c r="T189" s="2" t="s">
        <v>36</v>
      </c>
      <c r="U189" s="2" t="s">
        <v>36</v>
      </c>
    </row>
    <row r="190" spans="1:21" x14ac:dyDescent="0.25">
      <c r="A190" s="2" t="s">
        <v>1440</v>
      </c>
      <c r="B190" s="2" t="s">
        <v>22</v>
      </c>
      <c r="C190" s="2" t="s">
        <v>472</v>
      </c>
      <c r="D190" s="2" t="s">
        <v>96</v>
      </c>
      <c r="E190" s="2" t="s">
        <v>1441</v>
      </c>
      <c r="F190" s="2" t="s">
        <v>1442</v>
      </c>
      <c r="G190" s="2" t="s">
        <v>1443</v>
      </c>
      <c r="H190" s="2" t="s">
        <v>1444</v>
      </c>
      <c r="I190" s="2"/>
      <c r="J190" s="2" t="s">
        <v>229</v>
      </c>
      <c r="K190" s="2" t="s">
        <v>230</v>
      </c>
      <c r="L190" s="2" t="s">
        <v>231</v>
      </c>
      <c r="M190" s="2" t="s">
        <v>232</v>
      </c>
      <c r="N190" s="2" t="s">
        <v>181</v>
      </c>
      <c r="O190" s="2" t="s">
        <v>34</v>
      </c>
      <c r="P190" s="2" t="s">
        <v>1445</v>
      </c>
      <c r="Q190" s="2" t="s">
        <v>4</v>
      </c>
      <c r="R190" s="2" t="s">
        <v>36</v>
      </c>
      <c r="S190" s="2" t="s">
        <v>36</v>
      </c>
      <c r="T190" s="2" t="s">
        <v>37</v>
      </c>
      <c r="U190" s="2" t="s">
        <v>36</v>
      </c>
    </row>
    <row r="191" spans="1:21" x14ac:dyDescent="0.25">
      <c r="A191" s="2" t="s">
        <v>1446</v>
      </c>
      <c r="B191" s="2"/>
      <c r="C191" s="2" t="s">
        <v>459</v>
      </c>
      <c r="D191" s="2" t="s">
        <v>1047</v>
      </c>
      <c r="E191" s="2" t="s">
        <v>1447</v>
      </c>
      <c r="F191" s="2" t="s">
        <v>1448</v>
      </c>
      <c r="G191" s="2" t="s">
        <v>1449</v>
      </c>
      <c r="H191" s="2" t="s">
        <v>1450</v>
      </c>
      <c r="I191" s="2"/>
      <c r="J191" s="2" t="s">
        <v>177</v>
      </c>
      <c r="K191" s="2" t="s">
        <v>178</v>
      </c>
      <c r="L191" s="2" t="s">
        <v>179</v>
      </c>
      <c r="M191" s="2" t="s">
        <v>166</v>
      </c>
      <c r="N191" s="2" t="s">
        <v>65</v>
      </c>
      <c r="O191" s="2" t="s">
        <v>50</v>
      </c>
      <c r="P191" s="2" t="s">
        <v>1451</v>
      </c>
      <c r="Q191" s="2" t="s">
        <v>52</v>
      </c>
      <c r="R191" s="2" t="s">
        <v>36</v>
      </c>
      <c r="S191" s="2" t="s">
        <v>36</v>
      </c>
      <c r="T191" s="2" t="s">
        <v>36</v>
      </c>
      <c r="U191" s="2" t="s">
        <v>36</v>
      </c>
    </row>
    <row r="192" spans="1:21" x14ac:dyDescent="0.25">
      <c r="A192" s="2" t="s">
        <v>1452</v>
      </c>
      <c r="B192" s="2" t="s">
        <v>69</v>
      </c>
      <c r="C192" s="2" t="s">
        <v>1453</v>
      </c>
      <c r="D192" s="2" t="s">
        <v>258</v>
      </c>
      <c r="E192" s="2" t="s">
        <v>1454</v>
      </c>
      <c r="F192" s="2" t="s">
        <v>1455</v>
      </c>
      <c r="G192" s="2"/>
      <c r="H192" s="2" t="s">
        <v>1456</v>
      </c>
      <c r="I192" s="2"/>
      <c r="J192" s="2" t="s">
        <v>138</v>
      </c>
      <c r="K192" s="2" t="s">
        <v>139</v>
      </c>
      <c r="L192" s="2" t="s">
        <v>140</v>
      </c>
      <c r="M192" s="2" t="s">
        <v>116</v>
      </c>
      <c r="N192" s="2" t="s">
        <v>153</v>
      </c>
      <c r="O192" s="2" t="s">
        <v>141</v>
      </c>
      <c r="P192" s="2" t="s">
        <v>1457</v>
      </c>
      <c r="Q192" s="2" t="s">
        <v>4</v>
      </c>
      <c r="R192" s="2" t="s">
        <v>36</v>
      </c>
      <c r="S192" s="2" t="s">
        <v>36</v>
      </c>
      <c r="T192" s="2" t="s">
        <v>37</v>
      </c>
      <c r="U192" s="2" t="s">
        <v>36</v>
      </c>
    </row>
    <row r="193" spans="1:21" x14ac:dyDescent="0.25">
      <c r="A193" s="2" t="s">
        <v>1458</v>
      </c>
      <c r="B193" s="2"/>
      <c r="C193" s="2" t="s">
        <v>548</v>
      </c>
      <c r="D193" s="2" t="s">
        <v>365</v>
      </c>
      <c r="E193" s="2" t="s">
        <v>1459</v>
      </c>
      <c r="F193" s="2" t="s">
        <v>1460</v>
      </c>
      <c r="G193" s="2" t="s">
        <v>1461</v>
      </c>
      <c r="H193" s="2" t="s">
        <v>1462</v>
      </c>
      <c r="I193" s="2"/>
      <c r="J193" s="2" t="s">
        <v>113</v>
      </c>
      <c r="K193" s="2" t="s">
        <v>114</v>
      </c>
      <c r="L193" s="2" t="s">
        <v>115</v>
      </c>
      <c r="M193" s="2" t="s">
        <v>32</v>
      </c>
      <c r="N193" s="2" t="s">
        <v>181</v>
      </c>
      <c r="O193" s="2" t="s">
        <v>192</v>
      </c>
      <c r="P193" s="2" t="s">
        <v>1463</v>
      </c>
      <c r="Q193" s="2" t="s">
        <v>52</v>
      </c>
      <c r="R193" s="2" t="s">
        <v>36</v>
      </c>
      <c r="S193" s="2" t="s">
        <v>36</v>
      </c>
      <c r="T193" s="2" t="s">
        <v>36</v>
      </c>
      <c r="U193" s="2" t="s">
        <v>37</v>
      </c>
    </row>
    <row r="194" spans="1:21" x14ac:dyDescent="0.25">
      <c r="A194" s="2" t="s">
        <v>1464</v>
      </c>
      <c r="B194" s="2" t="s">
        <v>402</v>
      </c>
      <c r="C194" s="2" t="s">
        <v>1038</v>
      </c>
      <c r="D194" s="2" t="s">
        <v>1008</v>
      </c>
      <c r="E194" s="2" t="s">
        <v>1465</v>
      </c>
      <c r="F194" s="2" t="s">
        <v>1466</v>
      </c>
      <c r="G194" s="2" t="s">
        <v>1467</v>
      </c>
      <c r="H194" s="2" t="s">
        <v>1468</v>
      </c>
      <c r="I194" s="2"/>
      <c r="J194" s="2" t="s">
        <v>177</v>
      </c>
      <c r="K194" s="2" t="s">
        <v>178</v>
      </c>
      <c r="L194" s="2" t="s">
        <v>179</v>
      </c>
      <c r="M194" s="2" t="s">
        <v>232</v>
      </c>
      <c r="N194" s="2" t="s">
        <v>49</v>
      </c>
      <c r="O194" s="2" t="s">
        <v>243</v>
      </c>
      <c r="P194" s="2" t="s">
        <v>1469</v>
      </c>
      <c r="Q194" s="2" t="s">
        <v>52</v>
      </c>
      <c r="R194" s="2" t="s">
        <v>36</v>
      </c>
      <c r="S194" s="2" t="s">
        <v>36</v>
      </c>
      <c r="T194" s="2" t="s">
        <v>37</v>
      </c>
      <c r="U194" s="2" t="s">
        <v>37</v>
      </c>
    </row>
    <row r="195" spans="1:21" x14ac:dyDescent="0.25">
      <c r="A195" s="2" t="s">
        <v>1470</v>
      </c>
      <c r="B195" s="2" t="s">
        <v>39</v>
      </c>
      <c r="C195" s="2" t="s">
        <v>1031</v>
      </c>
      <c r="D195" s="2" t="s">
        <v>71</v>
      </c>
      <c r="E195" s="2" t="s">
        <v>1471</v>
      </c>
      <c r="F195" s="2" t="s">
        <v>1472</v>
      </c>
      <c r="G195" s="2" t="s">
        <v>1473</v>
      </c>
      <c r="H195" s="2" t="s">
        <v>1474</v>
      </c>
      <c r="I195" s="2"/>
      <c r="J195" s="2" t="s">
        <v>1204</v>
      </c>
      <c r="K195" s="2" t="s">
        <v>114</v>
      </c>
      <c r="L195" s="2"/>
      <c r="M195" s="2" t="s">
        <v>64</v>
      </c>
      <c r="N195" s="2" t="s">
        <v>153</v>
      </c>
      <c r="O195" s="2" t="s">
        <v>154</v>
      </c>
      <c r="P195" s="2" t="s">
        <v>1475</v>
      </c>
      <c r="Q195" s="2" t="s">
        <v>93</v>
      </c>
      <c r="R195" s="2" t="s">
        <v>36</v>
      </c>
      <c r="S195" s="2" t="s">
        <v>36</v>
      </c>
      <c r="T195" s="2" t="s">
        <v>37</v>
      </c>
      <c r="U195" s="2" t="s">
        <v>36</v>
      </c>
    </row>
    <row r="196" spans="1:21" x14ac:dyDescent="0.25">
      <c r="A196" s="2" t="s">
        <v>1476</v>
      </c>
      <c r="B196" s="2" t="s">
        <v>131</v>
      </c>
      <c r="C196" s="2" t="s">
        <v>95</v>
      </c>
      <c r="D196" s="2" t="s">
        <v>870</v>
      </c>
      <c r="E196" s="2" t="s">
        <v>1477</v>
      </c>
      <c r="F196" s="2" t="s">
        <v>1478</v>
      </c>
      <c r="G196" s="2"/>
      <c r="H196" s="2" t="s">
        <v>1479</v>
      </c>
      <c r="I196" s="2"/>
      <c r="J196" s="2" t="s">
        <v>531</v>
      </c>
      <c r="K196" s="2" t="s">
        <v>532</v>
      </c>
      <c r="L196" s="2" t="s">
        <v>533</v>
      </c>
      <c r="M196" s="2" t="s">
        <v>180</v>
      </c>
      <c r="N196" s="2" t="s">
        <v>49</v>
      </c>
      <c r="O196" s="2" t="s">
        <v>50</v>
      </c>
      <c r="P196" s="2" t="s">
        <v>1480</v>
      </c>
      <c r="Q196" s="2" t="s">
        <v>52</v>
      </c>
      <c r="R196" s="2" t="s">
        <v>37</v>
      </c>
      <c r="S196" s="2" t="s">
        <v>36</v>
      </c>
      <c r="T196" s="2" t="s">
        <v>37</v>
      </c>
      <c r="U196" s="2" t="s">
        <v>36</v>
      </c>
    </row>
    <row r="197" spans="1:21" x14ac:dyDescent="0.25">
      <c r="A197" s="2" t="s">
        <v>1481</v>
      </c>
      <c r="B197" s="2" t="s">
        <v>54</v>
      </c>
      <c r="C197" s="2" t="s">
        <v>503</v>
      </c>
      <c r="D197" s="2" t="s">
        <v>425</v>
      </c>
      <c r="E197" s="2" t="s">
        <v>1482</v>
      </c>
      <c r="F197" s="2" t="s">
        <v>1483</v>
      </c>
      <c r="G197" s="2" t="s">
        <v>1484</v>
      </c>
      <c r="H197" s="2" t="s">
        <v>1485</v>
      </c>
      <c r="I197" s="2"/>
      <c r="J197" s="2" t="s">
        <v>668</v>
      </c>
      <c r="K197" s="2" t="s">
        <v>669</v>
      </c>
      <c r="L197" s="2" t="s">
        <v>670</v>
      </c>
      <c r="M197" s="2" t="s">
        <v>116</v>
      </c>
      <c r="N197" s="2" t="s">
        <v>49</v>
      </c>
      <c r="O197" s="2" t="s">
        <v>141</v>
      </c>
      <c r="P197" s="2" t="s">
        <v>1486</v>
      </c>
      <c r="Q197" s="2" t="s">
        <v>52</v>
      </c>
      <c r="R197" s="2" t="s">
        <v>37</v>
      </c>
      <c r="S197" s="2" t="s">
        <v>36</v>
      </c>
      <c r="T197" s="2" t="s">
        <v>37</v>
      </c>
      <c r="U197" s="2" t="s">
        <v>37</v>
      </c>
    </row>
    <row r="198" spans="1:21" x14ac:dyDescent="0.25">
      <c r="A198" s="2" t="s">
        <v>1487</v>
      </c>
      <c r="B198" s="2" t="s">
        <v>22</v>
      </c>
      <c r="C198" s="2" t="s">
        <v>791</v>
      </c>
      <c r="D198" s="2" t="s">
        <v>108</v>
      </c>
      <c r="E198" s="2" t="s">
        <v>1488</v>
      </c>
      <c r="F198" s="2" t="s">
        <v>1489</v>
      </c>
      <c r="G198" s="2" t="s">
        <v>1490</v>
      </c>
      <c r="H198" s="2" t="s">
        <v>1491</v>
      </c>
      <c r="I198" s="2"/>
      <c r="J198" s="2" t="s">
        <v>408</v>
      </c>
      <c r="K198" s="2" t="s">
        <v>409</v>
      </c>
      <c r="L198" s="2" t="s">
        <v>410</v>
      </c>
      <c r="M198" s="2" t="s">
        <v>232</v>
      </c>
      <c r="N198" s="2" t="s">
        <v>65</v>
      </c>
      <c r="O198" s="2" t="s">
        <v>66</v>
      </c>
      <c r="P198" s="2" t="s">
        <v>1492</v>
      </c>
      <c r="Q198" s="2" t="s">
        <v>93</v>
      </c>
      <c r="R198" s="2" t="s">
        <v>36</v>
      </c>
      <c r="S198" s="2" t="s">
        <v>37</v>
      </c>
      <c r="T198" s="2" t="s">
        <v>37</v>
      </c>
      <c r="U198" s="2" t="s">
        <v>36</v>
      </c>
    </row>
    <row r="199" spans="1:21" x14ac:dyDescent="0.25">
      <c r="A199" s="2" t="s">
        <v>1493</v>
      </c>
      <c r="B199" s="2"/>
      <c r="C199" s="2" t="s">
        <v>434</v>
      </c>
      <c r="D199" s="2" t="s">
        <v>291</v>
      </c>
      <c r="E199" s="2" t="s">
        <v>1494</v>
      </c>
      <c r="F199" s="2" t="s">
        <v>1495</v>
      </c>
      <c r="G199" s="2" t="s">
        <v>1496</v>
      </c>
      <c r="H199" s="2" t="s">
        <v>1497</v>
      </c>
      <c r="I199" s="2"/>
      <c r="J199" s="2" t="s">
        <v>585</v>
      </c>
      <c r="K199" s="2" t="s">
        <v>586</v>
      </c>
      <c r="L199" s="2" t="s">
        <v>587</v>
      </c>
      <c r="M199" s="2" t="s">
        <v>116</v>
      </c>
      <c r="N199" s="2" t="s">
        <v>153</v>
      </c>
      <c r="O199" s="2" t="s">
        <v>141</v>
      </c>
      <c r="P199" s="2" t="s">
        <v>1498</v>
      </c>
      <c r="Q199" s="2" t="s">
        <v>4</v>
      </c>
      <c r="R199" s="2" t="s">
        <v>37</v>
      </c>
      <c r="S199" s="2" t="s">
        <v>37</v>
      </c>
      <c r="T199" s="2" t="s">
        <v>37</v>
      </c>
      <c r="U199" s="2" t="s">
        <v>37</v>
      </c>
    </row>
    <row r="200" spans="1:21" x14ac:dyDescent="0.25">
      <c r="A200" s="2" t="s">
        <v>1499</v>
      </c>
      <c r="B200" s="2" t="s">
        <v>235</v>
      </c>
      <c r="C200" s="2" t="s">
        <v>1038</v>
      </c>
      <c r="D200" s="2" t="s">
        <v>41</v>
      </c>
      <c r="E200" s="2" t="s">
        <v>1500</v>
      </c>
      <c r="F200" s="2" t="s">
        <v>1501</v>
      </c>
      <c r="G200" s="2" t="s">
        <v>1502</v>
      </c>
      <c r="H200" s="2" t="s">
        <v>1503</v>
      </c>
      <c r="I200" s="2"/>
      <c r="J200" s="2" t="s">
        <v>150</v>
      </c>
      <c r="K200" s="2" t="s">
        <v>151</v>
      </c>
      <c r="L200" s="2" t="s">
        <v>152</v>
      </c>
      <c r="M200" s="2" t="s">
        <v>242</v>
      </c>
      <c r="N200" s="2" t="s">
        <v>167</v>
      </c>
      <c r="O200" s="2" t="s">
        <v>192</v>
      </c>
      <c r="P200" s="2" t="s">
        <v>1504</v>
      </c>
      <c r="Q200" s="2" t="s">
        <v>93</v>
      </c>
      <c r="R200" s="2" t="s">
        <v>37</v>
      </c>
      <c r="S200" s="2" t="s">
        <v>36</v>
      </c>
      <c r="T200" s="2" t="s">
        <v>36</v>
      </c>
      <c r="U200" s="2" t="s">
        <v>36</v>
      </c>
    </row>
    <row r="201" spans="1:21" x14ac:dyDescent="0.25">
      <c r="A201" s="2" t="s">
        <v>1505</v>
      </c>
      <c r="B201" s="2" t="s">
        <v>184</v>
      </c>
      <c r="C201" s="2" t="s">
        <v>1220</v>
      </c>
      <c r="D201" s="2" t="s">
        <v>449</v>
      </c>
      <c r="E201" s="2" t="s">
        <v>1506</v>
      </c>
      <c r="F201" s="2" t="s">
        <v>1507</v>
      </c>
      <c r="G201" s="2" t="s">
        <v>1508</v>
      </c>
      <c r="H201" s="2" t="s">
        <v>1509</v>
      </c>
      <c r="I201" s="2"/>
      <c r="J201" s="2" t="s">
        <v>163</v>
      </c>
      <c r="K201" s="2" t="s">
        <v>164</v>
      </c>
      <c r="L201" s="2" t="s">
        <v>165</v>
      </c>
      <c r="M201" s="2" t="s">
        <v>116</v>
      </c>
      <c r="N201" s="2" t="s">
        <v>181</v>
      </c>
      <c r="O201" s="2" t="s">
        <v>50</v>
      </c>
      <c r="P201" s="2" t="s">
        <v>1510</v>
      </c>
      <c r="Q201" s="2" t="s">
        <v>4</v>
      </c>
      <c r="R201" s="2" t="s">
        <v>37</v>
      </c>
      <c r="S201" s="2" t="s">
        <v>36</v>
      </c>
      <c r="T201" s="2" t="s">
        <v>37</v>
      </c>
      <c r="U201" s="2" t="s">
        <v>37</v>
      </c>
    </row>
    <row r="202" spans="1:21" x14ac:dyDescent="0.25">
      <c r="A202" s="2" t="s">
        <v>1511</v>
      </c>
      <c r="B202" s="2" t="s">
        <v>170</v>
      </c>
      <c r="C202" s="2" t="s">
        <v>1411</v>
      </c>
      <c r="D202" s="2" t="s">
        <v>71</v>
      </c>
      <c r="E202" s="2" t="s">
        <v>1512</v>
      </c>
      <c r="F202" s="2" t="s">
        <v>1513</v>
      </c>
      <c r="G202" s="2" t="s">
        <v>1514</v>
      </c>
      <c r="H202" s="2" t="s">
        <v>1515</v>
      </c>
      <c r="I202" s="2"/>
      <c r="J202" s="2" t="s">
        <v>163</v>
      </c>
      <c r="K202" s="2" t="s">
        <v>164</v>
      </c>
      <c r="L202" s="2"/>
      <c r="M202" s="2" t="s">
        <v>32</v>
      </c>
      <c r="N202" s="2" t="s">
        <v>49</v>
      </c>
      <c r="O202" s="2" t="s">
        <v>141</v>
      </c>
      <c r="P202" s="2" t="s">
        <v>1516</v>
      </c>
      <c r="Q202" s="2" t="s">
        <v>4</v>
      </c>
      <c r="R202" s="2" t="s">
        <v>36</v>
      </c>
      <c r="S202" s="2" t="s">
        <v>36</v>
      </c>
      <c r="T202" s="2" t="s">
        <v>37</v>
      </c>
      <c r="U202" s="2" t="s">
        <v>37</v>
      </c>
    </row>
    <row r="203" spans="1:21" x14ac:dyDescent="0.25">
      <c r="A203" s="2" t="s">
        <v>1517</v>
      </c>
      <c r="B203" s="2" t="s">
        <v>39</v>
      </c>
      <c r="C203" s="2" t="s">
        <v>265</v>
      </c>
      <c r="D203" s="2" t="s">
        <v>273</v>
      </c>
      <c r="E203" s="2" t="s">
        <v>274</v>
      </c>
      <c r="F203" s="2" t="s">
        <v>1518</v>
      </c>
      <c r="G203" s="2" t="s">
        <v>1519</v>
      </c>
      <c r="H203" s="2" t="s">
        <v>1520</v>
      </c>
      <c r="I203" s="2"/>
      <c r="J203" s="2" t="s">
        <v>660</v>
      </c>
      <c r="K203" s="2" t="s">
        <v>230</v>
      </c>
      <c r="L203" s="2" t="s">
        <v>661</v>
      </c>
      <c r="M203" s="2" t="s">
        <v>232</v>
      </c>
      <c r="N203" s="2" t="s">
        <v>117</v>
      </c>
      <c r="O203" s="2" t="s">
        <v>34</v>
      </c>
      <c r="P203" s="2" t="s">
        <v>1521</v>
      </c>
      <c r="Q203" s="2" t="s">
        <v>4</v>
      </c>
      <c r="R203" s="2" t="s">
        <v>37</v>
      </c>
      <c r="S203" s="2" t="s">
        <v>37</v>
      </c>
      <c r="T203" s="2" t="s">
        <v>37</v>
      </c>
      <c r="U203" s="2" t="s">
        <v>37</v>
      </c>
    </row>
    <row r="204" spans="1:21" x14ac:dyDescent="0.25">
      <c r="A204" s="2" t="s">
        <v>1522</v>
      </c>
      <c r="B204" s="2" t="s">
        <v>54</v>
      </c>
      <c r="C204" s="2" t="s">
        <v>514</v>
      </c>
      <c r="D204" s="2" t="s">
        <v>711</v>
      </c>
      <c r="E204" s="2"/>
      <c r="F204" s="2" t="s">
        <v>1523</v>
      </c>
      <c r="G204" s="2" t="s">
        <v>1524</v>
      </c>
      <c r="H204" s="2" t="s">
        <v>937</v>
      </c>
      <c r="I204" s="2"/>
      <c r="J204" s="2" t="s">
        <v>531</v>
      </c>
      <c r="K204" s="2" t="s">
        <v>532</v>
      </c>
      <c r="L204" s="2" t="s">
        <v>533</v>
      </c>
      <c r="M204" s="2" t="s">
        <v>166</v>
      </c>
      <c r="N204" s="2" t="s">
        <v>181</v>
      </c>
      <c r="O204" s="2" t="s">
        <v>34</v>
      </c>
      <c r="P204" s="2" t="s">
        <v>1525</v>
      </c>
      <c r="Q204" s="2" t="s">
        <v>4</v>
      </c>
      <c r="R204" s="2" t="s">
        <v>36</v>
      </c>
      <c r="S204" s="2" t="s">
        <v>36</v>
      </c>
      <c r="T204" s="2" t="s">
        <v>36</v>
      </c>
      <c r="U204" s="2" t="s">
        <v>37</v>
      </c>
    </row>
    <row r="205" spans="1:21" x14ac:dyDescent="0.25">
      <c r="A205" s="2" t="s">
        <v>1526</v>
      </c>
      <c r="B205" s="2"/>
      <c r="C205" s="2" t="s">
        <v>566</v>
      </c>
      <c r="D205" s="2" t="s">
        <v>71</v>
      </c>
      <c r="E205" s="2" t="s">
        <v>1527</v>
      </c>
      <c r="F205" s="2" t="s">
        <v>1528</v>
      </c>
      <c r="G205" s="2" t="s">
        <v>1529</v>
      </c>
      <c r="H205" s="2" t="s">
        <v>1530</v>
      </c>
      <c r="I205" s="2"/>
      <c r="J205" s="2" t="s">
        <v>454</v>
      </c>
      <c r="K205" s="2" t="s">
        <v>455</v>
      </c>
      <c r="L205" s="2" t="s">
        <v>456</v>
      </c>
      <c r="M205" s="2" t="s">
        <v>191</v>
      </c>
      <c r="N205" s="2" t="s">
        <v>33</v>
      </c>
      <c r="O205" s="2" t="s">
        <v>34</v>
      </c>
      <c r="P205" s="2" t="s">
        <v>1531</v>
      </c>
      <c r="Q205" s="2" t="s">
        <v>4</v>
      </c>
      <c r="R205" s="2" t="s">
        <v>36</v>
      </c>
      <c r="S205" s="2" t="s">
        <v>36</v>
      </c>
      <c r="T205" s="2" t="s">
        <v>37</v>
      </c>
      <c r="U205" s="2" t="s">
        <v>37</v>
      </c>
    </row>
    <row r="206" spans="1:21" x14ac:dyDescent="0.25">
      <c r="A206" s="2" t="s">
        <v>1532</v>
      </c>
      <c r="B206" s="2"/>
      <c r="C206" s="2" t="s">
        <v>346</v>
      </c>
      <c r="D206" s="2" t="s">
        <v>325</v>
      </c>
      <c r="E206" s="2" t="s">
        <v>1533</v>
      </c>
      <c r="F206" s="2" t="s">
        <v>1534</v>
      </c>
      <c r="G206" s="2" t="s">
        <v>1535</v>
      </c>
      <c r="H206" s="2" t="s">
        <v>1536</v>
      </c>
      <c r="I206" s="2"/>
      <c r="J206" s="2" t="s">
        <v>660</v>
      </c>
      <c r="K206" s="2" t="s">
        <v>230</v>
      </c>
      <c r="L206" s="2" t="s">
        <v>661</v>
      </c>
      <c r="M206" s="2" t="s">
        <v>180</v>
      </c>
      <c r="N206" s="2" t="s">
        <v>33</v>
      </c>
      <c r="O206" s="2" t="s">
        <v>34</v>
      </c>
      <c r="P206" s="2" t="s">
        <v>1537</v>
      </c>
      <c r="Q206" s="2" t="s">
        <v>93</v>
      </c>
      <c r="R206" s="2" t="s">
        <v>37</v>
      </c>
      <c r="S206" s="2" t="s">
        <v>37</v>
      </c>
      <c r="T206" s="2" t="s">
        <v>37</v>
      </c>
      <c r="U206" s="2" t="s">
        <v>37</v>
      </c>
    </row>
    <row r="207" spans="1:21" x14ac:dyDescent="0.25">
      <c r="A207" s="2" t="s">
        <v>1538</v>
      </c>
      <c r="B207" s="2" t="s">
        <v>235</v>
      </c>
      <c r="C207" s="2" t="s">
        <v>877</v>
      </c>
      <c r="D207" s="2" t="s">
        <v>810</v>
      </c>
      <c r="E207" s="2" t="s">
        <v>1539</v>
      </c>
      <c r="F207" s="2" t="s">
        <v>1540</v>
      </c>
      <c r="G207" s="2" t="s">
        <v>1541</v>
      </c>
      <c r="H207" s="2" t="s">
        <v>1542</v>
      </c>
      <c r="I207" s="2"/>
      <c r="J207" s="2" t="s">
        <v>76</v>
      </c>
      <c r="K207" s="2" t="s">
        <v>77</v>
      </c>
      <c r="L207" s="2"/>
      <c r="M207" s="2" t="s">
        <v>32</v>
      </c>
      <c r="N207" s="2" t="s">
        <v>117</v>
      </c>
      <c r="O207" s="2" t="s">
        <v>50</v>
      </c>
      <c r="P207" s="2" t="s">
        <v>1543</v>
      </c>
      <c r="Q207" s="2" t="s">
        <v>4</v>
      </c>
      <c r="R207" s="2" t="s">
        <v>36</v>
      </c>
      <c r="S207" s="2" t="s">
        <v>636</v>
      </c>
      <c r="T207" s="2" t="s">
        <v>37</v>
      </c>
      <c r="U207" s="2" t="s">
        <v>36</v>
      </c>
    </row>
    <row r="208" spans="1:21" x14ac:dyDescent="0.25">
      <c r="A208" s="2" t="s">
        <v>1544</v>
      </c>
      <c r="B208" s="2" t="s">
        <v>54</v>
      </c>
      <c r="C208" s="2" t="s">
        <v>864</v>
      </c>
      <c r="D208" s="2" t="s">
        <v>940</v>
      </c>
      <c r="E208" s="2" t="s">
        <v>1545</v>
      </c>
      <c r="F208" s="2" t="s">
        <v>1546</v>
      </c>
      <c r="G208" s="2" t="s">
        <v>1547</v>
      </c>
      <c r="H208" s="2" t="s">
        <v>1548</v>
      </c>
      <c r="I208" s="2"/>
      <c r="J208" s="2" t="s">
        <v>668</v>
      </c>
      <c r="K208" s="2" t="s">
        <v>669</v>
      </c>
      <c r="L208" s="2" t="s">
        <v>670</v>
      </c>
      <c r="M208" s="2" t="s">
        <v>191</v>
      </c>
      <c r="N208" s="2" t="s">
        <v>117</v>
      </c>
      <c r="O208" s="2" t="s">
        <v>50</v>
      </c>
      <c r="P208" s="2" t="s">
        <v>1549</v>
      </c>
      <c r="Q208" s="2" t="s">
        <v>4</v>
      </c>
      <c r="R208" s="2" t="s">
        <v>37</v>
      </c>
      <c r="S208" s="2" t="s">
        <v>36</v>
      </c>
      <c r="T208" s="2" t="s">
        <v>37</v>
      </c>
      <c r="U208" s="2" t="s">
        <v>37</v>
      </c>
    </row>
    <row r="209" spans="1:21" x14ac:dyDescent="0.25">
      <c r="A209" s="2" t="s">
        <v>1550</v>
      </c>
      <c r="B209" s="2"/>
      <c r="C209" s="2" t="s">
        <v>514</v>
      </c>
      <c r="D209" s="2" t="s">
        <v>496</v>
      </c>
      <c r="E209" s="2" t="s">
        <v>1551</v>
      </c>
      <c r="F209" s="2" t="s">
        <v>1552</v>
      </c>
      <c r="G209" s="2"/>
      <c r="H209" s="2" t="s">
        <v>1553</v>
      </c>
      <c r="I209" s="2"/>
      <c r="J209" s="2" t="s">
        <v>150</v>
      </c>
      <c r="K209" s="2" t="s">
        <v>151</v>
      </c>
      <c r="L209" s="2" t="s">
        <v>152</v>
      </c>
      <c r="M209" s="2" t="s">
        <v>64</v>
      </c>
      <c r="N209" s="2" t="s">
        <v>181</v>
      </c>
      <c r="O209" s="2" t="s">
        <v>192</v>
      </c>
      <c r="P209" s="2" t="s">
        <v>1554</v>
      </c>
      <c r="Q209" s="2" t="s">
        <v>4</v>
      </c>
      <c r="R209" s="2" t="s">
        <v>36</v>
      </c>
      <c r="S209" s="2" t="s">
        <v>36</v>
      </c>
      <c r="T209" s="2" t="s">
        <v>37</v>
      </c>
      <c r="U209" s="2" t="s">
        <v>37</v>
      </c>
    </row>
    <row r="210" spans="1:21" x14ac:dyDescent="0.25">
      <c r="A210" s="2" t="s">
        <v>1555</v>
      </c>
      <c r="B210" s="2"/>
      <c r="C210" s="2" t="s">
        <v>1429</v>
      </c>
      <c r="D210" s="2" t="s">
        <v>771</v>
      </c>
      <c r="E210" s="2" t="s">
        <v>1556</v>
      </c>
      <c r="F210" s="2" t="s">
        <v>1557</v>
      </c>
      <c r="G210" s="2" t="s">
        <v>1558</v>
      </c>
      <c r="H210" s="2" t="s">
        <v>1559</v>
      </c>
      <c r="I210" s="2"/>
      <c r="J210" s="2" t="s">
        <v>100</v>
      </c>
      <c r="K210" s="2" t="s">
        <v>101</v>
      </c>
      <c r="L210" s="2" t="s">
        <v>343</v>
      </c>
      <c r="M210" s="2" t="s">
        <v>191</v>
      </c>
      <c r="N210" s="2" t="s">
        <v>153</v>
      </c>
      <c r="O210" s="2" t="s">
        <v>66</v>
      </c>
      <c r="P210" s="2" t="s">
        <v>1560</v>
      </c>
      <c r="Q210" s="2" t="s">
        <v>4</v>
      </c>
      <c r="R210" s="2" t="s">
        <v>36</v>
      </c>
      <c r="S210" s="2" t="s">
        <v>36</v>
      </c>
      <c r="T210" s="2" t="s">
        <v>36</v>
      </c>
      <c r="U210" s="2" t="s">
        <v>37</v>
      </c>
    </row>
    <row r="211" spans="1:21" x14ac:dyDescent="0.25">
      <c r="A211" s="2" t="s">
        <v>1561</v>
      </c>
      <c r="B211" s="2" t="s">
        <v>170</v>
      </c>
      <c r="C211" s="2" t="s">
        <v>413</v>
      </c>
      <c r="D211" s="2" t="s">
        <v>258</v>
      </c>
      <c r="E211" s="2" t="s">
        <v>1562</v>
      </c>
      <c r="F211" s="2" t="s">
        <v>1563</v>
      </c>
      <c r="G211" s="2" t="s">
        <v>1564</v>
      </c>
      <c r="H211" s="2" t="s">
        <v>1565</v>
      </c>
      <c r="I211" s="2"/>
      <c r="J211" s="2" t="s">
        <v>76</v>
      </c>
      <c r="K211" s="2" t="s">
        <v>77</v>
      </c>
      <c r="L211" s="2" t="s">
        <v>78</v>
      </c>
      <c r="M211" s="2" t="s">
        <v>232</v>
      </c>
      <c r="N211" s="2" t="s">
        <v>65</v>
      </c>
      <c r="O211" s="2" t="s">
        <v>34</v>
      </c>
      <c r="P211" s="2" t="s">
        <v>1566</v>
      </c>
      <c r="Q211" s="2" t="s">
        <v>4</v>
      </c>
      <c r="R211" s="2" t="s">
        <v>36</v>
      </c>
      <c r="S211" s="2" t="s">
        <v>636</v>
      </c>
      <c r="T211" s="2" t="s">
        <v>37</v>
      </c>
      <c r="U211" s="2" t="s">
        <v>37</v>
      </c>
    </row>
    <row r="212" spans="1:21" x14ac:dyDescent="0.25">
      <c r="A212" s="2" t="s">
        <v>1567</v>
      </c>
      <c r="B212" s="2" t="s">
        <v>54</v>
      </c>
      <c r="C212" s="2" t="s">
        <v>566</v>
      </c>
      <c r="D212" s="2" t="s">
        <v>630</v>
      </c>
      <c r="E212" s="2" t="s">
        <v>1568</v>
      </c>
      <c r="F212" s="2" t="s">
        <v>1569</v>
      </c>
      <c r="G212" s="2" t="s">
        <v>1570</v>
      </c>
      <c r="H212" s="2" t="s">
        <v>1571</v>
      </c>
      <c r="I212" s="2"/>
      <c r="J212" s="2" t="s">
        <v>76</v>
      </c>
      <c r="K212" s="2" t="s">
        <v>77</v>
      </c>
      <c r="L212" s="2" t="s">
        <v>78</v>
      </c>
      <c r="M212" s="2" t="s">
        <v>166</v>
      </c>
      <c r="N212" s="2" t="s">
        <v>181</v>
      </c>
      <c r="O212" s="2" t="s">
        <v>66</v>
      </c>
      <c r="P212" s="2" t="s">
        <v>1572</v>
      </c>
      <c r="Q212" s="2" t="s">
        <v>4</v>
      </c>
      <c r="R212" s="2" t="s">
        <v>37</v>
      </c>
      <c r="S212" s="2" t="s">
        <v>36</v>
      </c>
      <c r="T212" s="2" t="s">
        <v>37</v>
      </c>
      <c r="U212" s="2" t="s">
        <v>37</v>
      </c>
    </row>
    <row r="213" spans="1:21" x14ac:dyDescent="0.25">
      <c r="A213" s="2" t="s">
        <v>1573</v>
      </c>
      <c r="B213" s="2" t="s">
        <v>170</v>
      </c>
      <c r="C213" s="2" t="s">
        <v>472</v>
      </c>
      <c r="D213" s="2" t="s">
        <v>435</v>
      </c>
      <c r="E213" s="2" t="s">
        <v>1574</v>
      </c>
      <c r="F213" s="2" t="s">
        <v>1575</v>
      </c>
      <c r="G213" s="2" t="s">
        <v>1576</v>
      </c>
      <c r="H213" s="2" t="s">
        <v>1577</v>
      </c>
      <c r="I213" s="2"/>
      <c r="J213" s="2" t="s">
        <v>650</v>
      </c>
      <c r="K213" s="2" t="s">
        <v>651</v>
      </c>
      <c r="L213" s="2" t="s">
        <v>652</v>
      </c>
      <c r="M213" s="2" t="s">
        <v>242</v>
      </c>
      <c r="N213" s="2" t="s">
        <v>167</v>
      </c>
      <c r="O213" s="2" t="s">
        <v>243</v>
      </c>
      <c r="P213" s="2" t="s">
        <v>1578</v>
      </c>
      <c r="Q213" s="2" t="s">
        <v>93</v>
      </c>
      <c r="R213" s="2" t="s">
        <v>36</v>
      </c>
      <c r="S213" s="2" t="s">
        <v>36</v>
      </c>
      <c r="T213" s="2" t="s">
        <v>37</v>
      </c>
      <c r="U213" s="2" t="s">
        <v>36</v>
      </c>
    </row>
    <row r="214" spans="1:21" x14ac:dyDescent="0.25">
      <c r="A214" s="2" t="s">
        <v>1579</v>
      </c>
      <c r="B214" s="2" t="s">
        <v>22</v>
      </c>
      <c r="C214" s="2" t="s">
        <v>809</v>
      </c>
      <c r="D214" s="2" t="s">
        <v>810</v>
      </c>
      <c r="E214" s="2" t="s">
        <v>1580</v>
      </c>
      <c r="F214" s="2" t="s">
        <v>1581</v>
      </c>
      <c r="G214" s="2" t="s">
        <v>1582</v>
      </c>
      <c r="H214" s="2" t="s">
        <v>1583</v>
      </c>
      <c r="I214" s="2"/>
      <c r="J214" s="2" t="s">
        <v>219</v>
      </c>
      <c r="K214" s="2" t="s">
        <v>220</v>
      </c>
      <c r="L214" s="2" t="s">
        <v>221</v>
      </c>
      <c r="M214" s="2" t="s">
        <v>32</v>
      </c>
      <c r="N214" s="2" t="s">
        <v>181</v>
      </c>
      <c r="O214" s="2" t="s">
        <v>50</v>
      </c>
      <c r="P214" s="2" t="s">
        <v>1584</v>
      </c>
      <c r="Q214" s="2" t="s">
        <v>5</v>
      </c>
      <c r="R214" s="2" t="s">
        <v>36</v>
      </c>
      <c r="S214" s="2" t="s">
        <v>37</v>
      </c>
      <c r="T214" s="2" t="s">
        <v>37</v>
      </c>
      <c r="U214" s="2" t="s">
        <v>36</v>
      </c>
    </row>
    <row r="215" spans="1:21" x14ac:dyDescent="0.25">
      <c r="A215" s="2" t="s">
        <v>1585</v>
      </c>
      <c r="B215" s="2" t="s">
        <v>54</v>
      </c>
      <c r="C215" s="2" t="s">
        <v>514</v>
      </c>
      <c r="D215" s="2" t="s">
        <v>1393</v>
      </c>
      <c r="E215" s="2" t="s">
        <v>1586</v>
      </c>
      <c r="F215" s="2" t="s">
        <v>1587</v>
      </c>
      <c r="G215" s="2" t="s">
        <v>1588</v>
      </c>
      <c r="H215" s="2" t="s">
        <v>1589</v>
      </c>
      <c r="I215" s="2"/>
      <c r="J215" s="2" t="s">
        <v>113</v>
      </c>
      <c r="K215" s="2" t="s">
        <v>114</v>
      </c>
      <c r="L215" s="2" t="s">
        <v>115</v>
      </c>
      <c r="M215" s="2" t="s">
        <v>116</v>
      </c>
      <c r="N215" s="2" t="s">
        <v>181</v>
      </c>
      <c r="O215" s="2" t="s">
        <v>243</v>
      </c>
      <c r="P215" s="2" t="s">
        <v>1590</v>
      </c>
      <c r="Q215" s="2" t="s">
        <v>4</v>
      </c>
      <c r="R215" s="2" t="s">
        <v>36</v>
      </c>
      <c r="S215" s="2" t="s">
        <v>37</v>
      </c>
      <c r="T215" s="2" t="s">
        <v>36</v>
      </c>
      <c r="U215" s="2" t="s">
        <v>37</v>
      </c>
    </row>
    <row r="216" spans="1:21" x14ac:dyDescent="0.25">
      <c r="A216" s="2" t="s">
        <v>1591</v>
      </c>
      <c r="B216" s="2" t="s">
        <v>184</v>
      </c>
      <c r="C216" s="2" t="s">
        <v>237</v>
      </c>
      <c r="D216" s="2" t="s">
        <v>1268</v>
      </c>
      <c r="E216" s="2" t="s">
        <v>1592</v>
      </c>
      <c r="F216" s="2" t="s">
        <v>1593</v>
      </c>
      <c r="G216" s="2" t="s">
        <v>1594</v>
      </c>
      <c r="H216" s="2" t="s">
        <v>1595</v>
      </c>
      <c r="I216" s="2"/>
      <c r="J216" s="2" t="s">
        <v>150</v>
      </c>
      <c r="K216" s="2" t="s">
        <v>151</v>
      </c>
      <c r="L216" s="2" t="s">
        <v>152</v>
      </c>
      <c r="M216" s="2" t="s">
        <v>116</v>
      </c>
      <c r="N216" s="2" t="s">
        <v>153</v>
      </c>
      <c r="O216" s="2" t="s">
        <v>141</v>
      </c>
      <c r="P216" s="2" t="s">
        <v>1596</v>
      </c>
      <c r="Q216" s="2" t="s">
        <v>4</v>
      </c>
      <c r="R216" s="2" t="s">
        <v>36</v>
      </c>
      <c r="S216" s="2" t="s">
        <v>37</v>
      </c>
      <c r="T216" s="2" t="s">
        <v>36</v>
      </c>
      <c r="U216" s="2" t="s">
        <v>37</v>
      </c>
    </row>
    <row r="217" spans="1:21" x14ac:dyDescent="0.25">
      <c r="A217" s="2" t="s">
        <v>1597</v>
      </c>
      <c r="B217" s="2" t="s">
        <v>184</v>
      </c>
      <c r="C217" s="2" t="s">
        <v>864</v>
      </c>
      <c r="D217" s="2" t="s">
        <v>574</v>
      </c>
      <c r="E217" s="2" t="s">
        <v>1598</v>
      </c>
      <c r="F217" s="2" t="s">
        <v>1599</v>
      </c>
      <c r="G217" s="2" t="s">
        <v>1600</v>
      </c>
      <c r="H217" s="2" t="s">
        <v>1601</v>
      </c>
      <c r="I217" s="2"/>
      <c r="J217" s="2" t="s">
        <v>126</v>
      </c>
      <c r="K217" s="2" t="s">
        <v>127</v>
      </c>
      <c r="L217" s="2" t="s">
        <v>128</v>
      </c>
      <c r="M217" s="2" t="s">
        <v>116</v>
      </c>
      <c r="N217" s="2" t="s">
        <v>153</v>
      </c>
      <c r="O217" s="2" t="s">
        <v>66</v>
      </c>
      <c r="P217" s="2" t="s">
        <v>1602</v>
      </c>
      <c r="Q217" s="2" t="s">
        <v>93</v>
      </c>
      <c r="R217" s="2" t="s">
        <v>36</v>
      </c>
      <c r="S217" s="2" t="s">
        <v>36</v>
      </c>
      <c r="T217" s="2" t="s">
        <v>37</v>
      </c>
      <c r="U217" s="2" t="s">
        <v>36</v>
      </c>
    </row>
    <row r="218" spans="1:21" x14ac:dyDescent="0.25">
      <c r="A218" s="2" t="s">
        <v>1603</v>
      </c>
      <c r="B218" s="2" t="s">
        <v>170</v>
      </c>
      <c r="C218" s="2" t="s">
        <v>791</v>
      </c>
      <c r="D218" s="2" t="s">
        <v>56</v>
      </c>
      <c r="E218" s="2"/>
      <c r="F218" s="2" t="s">
        <v>1604</v>
      </c>
      <c r="G218" s="2" t="s">
        <v>1605</v>
      </c>
      <c r="H218" s="2" t="s">
        <v>1606</v>
      </c>
      <c r="I218" s="2"/>
      <c r="J218" s="2" t="s">
        <v>454</v>
      </c>
      <c r="K218" s="2" t="s">
        <v>455</v>
      </c>
      <c r="L218" s="2" t="s">
        <v>456</v>
      </c>
      <c r="M218" s="2" t="s">
        <v>32</v>
      </c>
      <c r="N218" s="2" t="s">
        <v>33</v>
      </c>
      <c r="O218" s="2" t="s">
        <v>192</v>
      </c>
      <c r="P218" s="2" t="s">
        <v>1607</v>
      </c>
      <c r="Q218" s="2" t="s">
        <v>4</v>
      </c>
      <c r="R218" s="2" t="s">
        <v>36</v>
      </c>
      <c r="S218" s="2" t="s">
        <v>37</v>
      </c>
      <c r="T218" s="2" t="s">
        <v>37</v>
      </c>
      <c r="U218" s="2" t="s">
        <v>37</v>
      </c>
    </row>
    <row r="219" spans="1:21" x14ac:dyDescent="0.25">
      <c r="A219" s="2" t="s">
        <v>1608</v>
      </c>
      <c r="B219" s="2" t="s">
        <v>235</v>
      </c>
      <c r="C219" s="2" t="s">
        <v>710</v>
      </c>
      <c r="D219" s="2" t="s">
        <v>197</v>
      </c>
      <c r="E219" s="2" t="s">
        <v>1609</v>
      </c>
      <c r="F219" s="2" t="s">
        <v>1610</v>
      </c>
      <c r="G219" s="2"/>
      <c r="H219" s="2" t="s">
        <v>1611</v>
      </c>
      <c r="I219" s="2"/>
      <c r="J219" s="2" t="s">
        <v>625</v>
      </c>
      <c r="K219" s="2" t="s">
        <v>626</v>
      </c>
      <c r="L219" s="2" t="s">
        <v>627</v>
      </c>
      <c r="M219" s="2" t="s">
        <v>32</v>
      </c>
      <c r="N219" s="2" t="s">
        <v>117</v>
      </c>
      <c r="O219" s="2" t="s">
        <v>66</v>
      </c>
      <c r="P219" s="2" t="s">
        <v>1612</v>
      </c>
      <c r="Q219" s="2" t="s">
        <v>4</v>
      </c>
      <c r="R219" s="2" t="s">
        <v>36</v>
      </c>
      <c r="S219" s="2" t="s">
        <v>37</v>
      </c>
      <c r="T219" s="2" t="s">
        <v>37</v>
      </c>
      <c r="U219" s="2" t="s">
        <v>36</v>
      </c>
    </row>
    <row r="220" spans="1:21" x14ac:dyDescent="0.25">
      <c r="A220" s="2" t="s">
        <v>1613</v>
      </c>
      <c r="B220" s="2" t="s">
        <v>39</v>
      </c>
      <c r="C220" s="2" t="s">
        <v>1078</v>
      </c>
      <c r="D220" s="2" t="s">
        <v>435</v>
      </c>
      <c r="E220" s="2" t="s">
        <v>1614</v>
      </c>
      <c r="F220" s="2" t="s">
        <v>1615</v>
      </c>
      <c r="G220" s="2" t="s">
        <v>1616</v>
      </c>
      <c r="H220" s="2" t="s">
        <v>1617</v>
      </c>
      <c r="I220" s="2"/>
      <c r="J220" s="2" t="s">
        <v>387</v>
      </c>
      <c r="K220" s="2" t="s">
        <v>388</v>
      </c>
      <c r="L220" s="2" t="s">
        <v>389</v>
      </c>
      <c r="M220" s="2" t="s">
        <v>180</v>
      </c>
      <c r="N220" s="2" t="s">
        <v>167</v>
      </c>
      <c r="O220" s="2" t="s">
        <v>66</v>
      </c>
      <c r="P220" s="2" t="s">
        <v>1618</v>
      </c>
      <c r="Q220" s="2" t="s">
        <v>4</v>
      </c>
      <c r="R220" s="2" t="s">
        <v>36</v>
      </c>
      <c r="S220" s="2" t="s">
        <v>36</v>
      </c>
      <c r="T220" s="2" t="s">
        <v>37</v>
      </c>
      <c r="U220" s="2" t="s">
        <v>37</v>
      </c>
    </row>
    <row r="221" spans="1:21" x14ac:dyDescent="0.25">
      <c r="A221" s="2" t="s">
        <v>1619</v>
      </c>
      <c r="B221" s="2" t="s">
        <v>195</v>
      </c>
      <c r="C221" s="2" t="s">
        <v>988</v>
      </c>
      <c r="D221" s="2" t="s">
        <v>309</v>
      </c>
      <c r="E221" s="2" t="s">
        <v>1620</v>
      </c>
      <c r="F221" s="2" t="s">
        <v>1621</v>
      </c>
      <c r="G221" s="2" t="s">
        <v>1622</v>
      </c>
      <c r="H221" s="2" t="s">
        <v>1623</v>
      </c>
      <c r="I221" s="2"/>
      <c r="J221" s="2" t="s">
        <v>1285</v>
      </c>
      <c r="K221" s="2" t="s">
        <v>1286</v>
      </c>
      <c r="L221" s="2" t="s">
        <v>1287</v>
      </c>
      <c r="M221" s="2" t="s">
        <v>103</v>
      </c>
      <c r="N221" s="2" t="s">
        <v>167</v>
      </c>
      <c r="O221" s="2" t="s">
        <v>154</v>
      </c>
      <c r="P221" s="2" t="s">
        <v>1624</v>
      </c>
      <c r="Q221" s="2" t="s">
        <v>93</v>
      </c>
      <c r="R221" s="2" t="s">
        <v>36</v>
      </c>
      <c r="S221" s="2" t="s">
        <v>36</v>
      </c>
      <c r="T221" s="2" t="s">
        <v>36</v>
      </c>
      <c r="U221" s="2" t="s">
        <v>37</v>
      </c>
    </row>
    <row r="222" spans="1:21" x14ac:dyDescent="0.25">
      <c r="A222" s="2" t="s">
        <v>1625</v>
      </c>
      <c r="B222" s="2" t="s">
        <v>402</v>
      </c>
      <c r="C222" s="2" t="s">
        <v>1021</v>
      </c>
      <c r="D222" s="2" t="s">
        <v>414</v>
      </c>
      <c r="E222" s="2" t="s">
        <v>1626</v>
      </c>
      <c r="F222" s="2" t="s">
        <v>1627</v>
      </c>
      <c r="G222" s="2" t="s">
        <v>1628</v>
      </c>
      <c r="H222" s="2" t="s">
        <v>1629</v>
      </c>
      <c r="I222" s="2"/>
      <c r="J222" s="2" t="s">
        <v>408</v>
      </c>
      <c r="K222" s="2" t="s">
        <v>409</v>
      </c>
      <c r="L222" s="2" t="s">
        <v>410</v>
      </c>
      <c r="M222" s="2" t="s">
        <v>32</v>
      </c>
      <c r="N222" s="2" t="s">
        <v>33</v>
      </c>
      <c r="O222" s="2" t="s">
        <v>66</v>
      </c>
      <c r="P222" s="2" t="s">
        <v>1630</v>
      </c>
      <c r="Q222" s="2" t="s">
        <v>52</v>
      </c>
      <c r="R222" s="2" t="s">
        <v>36</v>
      </c>
      <c r="S222" s="2" t="s">
        <v>36</v>
      </c>
      <c r="T222" s="2" t="s">
        <v>37</v>
      </c>
      <c r="U222" s="2" t="s">
        <v>37</v>
      </c>
    </row>
    <row r="223" spans="1:21" x14ac:dyDescent="0.25">
      <c r="A223" s="2" t="s">
        <v>1631</v>
      </c>
      <c r="B223" s="2" t="s">
        <v>54</v>
      </c>
      <c r="C223" s="2" t="s">
        <v>107</v>
      </c>
      <c r="D223" s="2" t="s">
        <v>425</v>
      </c>
      <c r="E223" s="2" t="s">
        <v>1632</v>
      </c>
      <c r="F223" s="2" t="s">
        <v>1633</v>
      </c>
      <c r="G223" s="2" t="s">
        <v>1634</v>
      </c>
      <c r="H223" s="2" t="s">
        <v>1635</v>
      </c>
      <c r="I223" s="2"/>
      <c r="J223" s="2" t="s">
        <v>126</v>
      </c>
      <c r="K223" s="2" t="s">
        <v>127</v>
      </c>
      <c r="L223" s="2" t="s">
        <v>128</v>
      </c>
      <c r="M223" s="2" t="s">
        <v>116</v>
      </c>
      <c r="N223" s="2" t="s">
        <v>91</v>
      </c>
      <c r="O223" s="2" t="s">
        <v>154</v>
      </c>
      <c r="P223" s="2" t="s">
        <v>1636</v>
      </c>
      <c r="Q223" s="2" t="s">
        <v>4</v>
      </c>
      <c r="R223" s="2" t="s">
        <v>36</v>
      </c>
      <c r="S223" s="2" t="s">
        <v>37</v>
      </c>
      <c r="T223" s="2" t="s">
        <v>37</v>
      </c>
      <c r="U223" s="2" t="s">
        <v>36</v>
      </c>
    </row>
    <row r="224" spans="1:21" x14ac:dyDescent="0.25">
      <c r="A224" s="2" t="s">
        <v>1637</v>
      </c>
      <c r="B224" s="2" t="s">
        <v>235</v>
      </c>
      <c r="C224" s="2" t="s">
        <v>382</v>
      </c>
      <c r="D224" s="2" t="s">
        <v>225</v>
      </c>
      <c r="E224" s="2" t="s">
        <v>1638</v>
      </c>
      <c r="F224" s="2" t="s">
        <v>1639</v>
      </c>
      <c r="G224" s="2" t="s">
        <v>1640</v>
      </c>
      <c r="H224" s="2" t="s">
        <v>1641</v>
      </c>
      <c r="I224" s="2"/>
      <c r="J224" s="2" t="s">
        <v>370</v>
      </c>
      <c r="K224" s="2" t="s">
        <v>371</v>
      </c>
      <c r="L224" s="2" t="s">
        <v>602</v>
      </c>
      <c r="M224" s="2" t="s">
        <v>180</v>
      </c>
      <c r="N224" s="2" t="s">
        <v>91</v>
      </c>
      <c r="O224" s="2" t="s">
        <v>154</v>
      </c>
      <c r="P224" s="2" t="s">
        <v>1642</v>
      </c>
      <c r="Q224" s="2" t="s">
        <v>93</v>
      </c>
      <c r="R224" s="2" t="s">
        <v>36</v>
      </c>
      <c r="S224" s="2" t="s">
        <v>37</v>
      </c>
      <c r="T224" s="2" t="s">
        <v>37</v>
      </c>
      <c r="U224" s="2" t="s">
        <v>36</v>
      </c>
    </row>
    <row r="225" spans="1:21" x14ac:dyDescent="0.25">
      <c r="A225" s="2" t="s">
        <v>1643</v>
      </c>
      <c r="B225" s="2"/>
      <c r="C225" s="2" t="s">
        <v>1644</v>
      </c>
      <c r="D225" s="2" t="s">
        <v>172</v>
      </c>
      <c r="E225" s="2" t="s">
        <v>1645</v>
      </c>
      <c r="F225" s="2" t="s">
        <v>1646</v>
      </c>
      <c r="G225" s="2" t="s">
        <v>1647</v>
      </c>
      <c r="H225" s="2" t="s">
        <v>1648</v>
      </c>
      <c r="I225" s="2"/>
      <c r="J225" s="2" t="s">
        <v>113</v>
      </c>
      <c r="K225" s="2" t="s">
        <v>114</v>
      </c>
      <c r="L225" s="2" t="s">
        <v>115</v>
      </c>
      <c r="M225" s="2" t="s">
        <v>116</v>
      </c>
      <c r="N225" s="2" t="s">
        <v>65</v>
      </c>
      <c r="O225" s="2" t="s">
        <v>192</v>
      </c>
      <c r="P225" s="2" t="s">
        <v>1649</v>
      </c>
      <c r="Q225" s="2" t="s">
        <v>105</v>
      </c>
      <c r="R225" s="2" t="s">
        <v>37</v>
      </c>
      <c r="S225" s="2" t="s">
        <v>37</v>
      </c>
      <c r="T225" s="2" t="s">
        <v>37</v>
      </c>
      <c r="U225" s="2" t="s">
        <v>37</v>
      </c>
    </row>
    <row r="226" spans="1:21" x14ac:dyDescent="0.25">
      <c r="A226" s="2" t="s">
        <v>1650</v>
      </c>
      <c r="B226" s="2" t="s">
        <v>402</v>
      </c>
      <c r="C226" s="2" t="s">
        <v>236</v>
      </c>
      <c r="D226" s="2" t="s">
        <v>214</v>
      </c>
      <c r="E226" s="2" t="s">
        <v>1651</v>
      </c>
      <c r="F226" s="2" t="s">
        <v>1652</v>
      </c>
      <c r="G226" s="2" t="s">
        <v>1653</v>
      </c>
      <c r="H226" s="2" t="s">
        <v>1654</v>
      </c>
      <c r="I226" s="2"/>
      <c r="J226" s="2" t="s">
        <v>693</v>
      </c>
      <c r="K226" s="2" t="s">
        <v>694</v>
      </c>
      <c r="L226" s="2" t="s">
        <v>695</v>
      </c>
      <c r="M226" s="2" t="s">
        <v>180</v>
      </c>
      <c r="N226" s="2" t="s">
        <v>167</v>
      </c>
      <c r="O226" s="2" t="s">
        <v>154</v>
      </c>
      <c r="P226" s="2" t="s">
        <v>1655</v>
      </c>
      <c r="Q226" s="2" t="s">
        <v>4</v>
      </c>
      <c r="R226" s="2" t="s">
        <v>36</v>
      </c>
      <c r="S226" s="2" t="s">
        <v>36</v>
      </c>
      <c r="T226" s="2" t="s">
        <v>36</v>
      </c>
      <c r="U226" s="2" t="s">
        <v>37</v>
      </c>
    </row>
    <row r="227" spans="1:21" x14ac:dyDescent="0.25">
      <c r="A227" s="2" t="s">
        <v>1656</v>
      </c>
      <c r="B227" s="2" t="s">
        <v>39</v>
      </c>
      <c r="C227" s="2" t="s">
        <v>246</v>
      </c>
      <c r="D227" s="2" t="s">
        <v>902</v>
      </c>
      <c r="E227" s="2" t="s">
        <v>1657</v>
      </c>
      <c r="F227" s="2" t="s">
        <v>1658</v>
      </c>
      <c r="G227" s="2" t="s">
        <v>1659</v>
      </c>
      <c r="H227" s="2" t="s">
        <v>1660</v>
      </c>
      <c r="I227" s="2"/>
      <c r="J227" s="2" t="s">
        <v>177</v>
      </c>
      <c r="K227" s="2" t="s">
        <v>178</v>
      </c>
      <c r="L227" s="2" t="s">
        <v>179</v>
      </c>
      <c r="M227" s="2" t="s">
        <v>242</v>
      </c>
      <c r="N227" s="2" t="s">
        <v>65</v>
      </c>
      <c r="O227" s="2" t="s">
        <v>154</v>
      </c>
      <c r="P227" s="2" t="s">
        <v>1661</v>
      </c>
      <c r="Q227" s="2" t="s">
        <v>52</v>
      </c>
      <c r="R227" s="2" t="s">
        <v>37</v>
      </c>
      <c r="S227" s="2" t="s">
        <v>1662</v>
      </c>
      <c r="T227" s="2" t="s">
        <v>36</v>
      </c>
      <c r="U227" s="2" t="s">
        <v>37</v>
      </c>
    </row>
    <row r="228" spans="1:21" x14ac:dyDescent="0.25">
      <c r="A228" s="2" t="s">
        <v>1663</v>
      </c>
      <c r="B228" s="2" t="s">
        <v>195</v>
      </c>
      <c r="C228" s="2" t="s">
        <v>1111</v>
      </c>
      <c r="D228" s="2" t="s">
        <v>1174</v>
      </c>
      <c r="E228" s="2" t="s">
        <v>1664</v>
      </c>
      <c r="F228" s="2" t="s">
        <v>1665</v>
      </c>
      <c r="G228" s="2" t="s">
        <v>1666</v>
      </c>
      <c r="H228" s="2" t="s">
        <v>1667</v>
      </c>
      <c r="I228" s="2"/>
      <c r="J228" s="2" t="s">
        <v>88</v>
      </c>
      <c r="K228" s="2" t="s">
        <v>89</v>
      </c>
      <c r="L228" s="2" t="s">
        <v>90</v>
      </c>
      <c r="M228" s="2" t="s">
        <v>32</v>
      </c>
      <c r="N228" s="2" t="s">
        <v>49</v>
      </c>
      <c r="O228" s="2" t="s">
        <v>243</v>
      </c>
      <c r="P228" s="2" t="s">
        <v>1668</v>
      </c>
      <c r="Q228" s="2" t="s">
        <v>52</v>
      </c>
      <c r="R228" s="2" t="s">
        <v>36</v>
      </c>
      <c r="S228" s="2" t="s">
        <v>36</v>
      </c>
      <c r="T228" s="2" t="s">
        <v>37</v>
      </c>
      <c r="U228" s="2" t="s">
        <v>36</v>
      </c>
    </row>
    <row r="229" spans="1:21" x14ac:dyDescent="0.25">
      <c r="A229" s="2" t="s">
        <v>1669</v>
      </c>
      <c r="B229" s="2" t="s">
        <v>235</v>
      </c>
      <c r="C229" s="2" t="s">
        <v>413</v>
      </c>
      <c r="D229" s="2" t="s">
        <v>172</v>
      </c>
      <c r="E229" s="2" t="s">
        <v>1670</v>
      </c>
      <c r="F229" s="2" t="s">
        <v>1671</v>
      </c>
      <c r="G229" s="2" t="s">
        <v>1672</v>
      </c>
      <c r="H229" s="2" t="s">
        <v>1673</v>
      </c>
      <c r="I229" s="2"/>
      <c r="J229" s="2" t="s">
        <v>150</v>
      </c>
      <c r="K229" s="2" t="s">
        <v>151</v>
      </c>
      <c r="L229" s="2" t="s">
        <v>152</v>
      </c>
      <c r="M229" s="2" t="s">
        <v>180</v>
      </c>
      <c r="N229" s="2" t="s">
        <v>153</v>
      </c>
      <c r="O229" s="2" t="s">
        <v>50</v>
      </c>
      <c r="P229" s="2" t="s">
        <v>1674</v>
      </c>
      <c r="Q229" s="2" t="s">
        <v>5</v>
      </c>
      <c r="R229" s="2" t="s">
        <v>36</v>
      </c>
      <c r="S229" s="2" t="s">
        <v>36</v>
      </c>
      <c r="T229" s="2" t="s">
        <v>36</v>
      </c>
      <c r="U229" s="2" t="s">
        <v>36</v>
      </c>
    </row>
    <row r="230" spans="1:21" x14ac:dyDescent="0.25">
      <c r="A230" s="2" t="s">
        <v>1675</v>
      </c>
      <c r="B230" s="2" t="s">
        <v>54</v>
      </c>
      <c r="C230" s="2" t="s">
        <v>1429</v>
      </c>
      <c r="D230" s="2" t="s">
        <v>819</v>
      </c>
      <c r="E230" s="2" t="s">
        <v>1676</v>
      </c>
      <c r="F230" s="2" t="s">
        <v>1677</v>
      </c>
      <c r="G230" s="2" t="s">
        <v>1678</v>
      </c>
      <c r="H230" s="2" t="s">
        <v>1679</v>
      </c>
      <c r="I230" s="2"/>
      <c r="J230" s="2" t="s">
        <v>668</v>
      </c>
      <c r="K230" s="2" t="s">
        <v>669</v>
      </c>
      <c r="L230" s="2" t="s">
        <v>670</v>
      </c>
      <c r="M230" s="2" t="s">
        <v>116</v>
      </c>
      <c r="N230" s="2" t="s">
        <v>91</v>
      </c>
      <c r="O230" s="2" t="s">
        <v>154</v>
      </c>
      <c r="P230" s="2" t="s">
        <v>1680</v>
      </c>
      <c r="Q230" s="2" t="s">
        <v>4</v>
      </c>
      <c r="R230" s="2" t="s">
        <v>37</v>
      </c>
      <c r="S230" s="2" t="s">
        <v>37</v>
      </c>
      <c r="T230" s="2" t="s">
        <v>37</v>
      </c>
      <c r="U230" s="2" t="s">
        <v>36</v>
      </c>
    </row>
    <row r="231" spans="1:21" x14ac:dyDescent="0.25">
      <c r="A231" s="2" t="s">
        <v>1681</v>
      </c>
      <c r="B231" s="2" t="s">
        <v>54</v>
      </c>
      <c r="C231" s="2" t="s">
        <v>1429</v>
      </c>
      <c r="D231" s="2" t="s">
        <v>1682</v>
      </c>
      <c r="E231" s="2" t="s">
        <v>1683</v>
      </c>
      <c r="F231" s="2" t="s">
        <v>1684</v>
      </c>
      <c r="G231" s="2" t="s">
        <v>1685</v>
      </c>
      <c r="H231" s="2" t="s">
        <v>1686</v>
      </c>
      <c r="I231" s="2"/>
      <c r="J231" s="2" t="s">
        <v>1204</v>
      </c>
      <c r="K231" s="2" t="s">
        <v>114</v>
      </c>
      <c r="L231" s="2" t="s">
        <v>1205</v>
      </c>
      <c r="M231" s="2" t="s">
        <v>191</v>
      </c>
      <c r="N231" s="2" t="s">
        <v>65</v>
      </c>
      <c r="O231" s="2" t="s">
        <v>192</v>
      </c>
      <c r="P231" s="2" t="s">
        <v>1687</v>
      </c>
      <c r="Q231" s="2" t="s">
        <v>5</v>
      </c>
      <c r="R231" s="2" t="s">
        <v>36</v>
      </c>
      <c r="S231" s="2" t="s">
        <v>37</v>
      </c>
      <c r="T231" s="2" t="s">
        <v>37</v>
      </c>
      <c r="U231" s="2" t="s">
        <v>37</v>
      </c>
    </row>
    <row r="232" spans="1:21" x14ac:dyDescent="0.25">
      <c r="A232" s="2" t="s">
        <v>1688</v>
      </c>
      <c r="B232" s="2" t="s">
        <v>402</v>
      </c>
      <c r="C232" s="2" t="s">
        <v>1689</v>
      </c>
      <c r="D232" s="2" t="s">
        <v>496</v>
      </c>
      <c r="E232" s="2" t="s">
        <v>1690</v>
      </c>
      <c r="F232" s="2" t="s">
        <v>1691</v>
      </c>
      <c r="G232" s="2" t="s">
        <v>1692</v>
      </c>
      <c r="H232" s="2" t="s">
        <v>1693</v>
      </c>
      <c r="I232" s="2"/>
      <c r="J232" s="2" t="s">
        <v>296</v>
      </c>
      <c r="K232" s="2" t="s">
        <v>297</v>
      </c>
      <c r="L232" s="2" t="s">
        <v>298</v>
      </c>
      <c r="M232" s="2" t="s">
        <v>103</v>
      </c>
      <c r="N232" s="2" t="s">
        <v>91</v>
      </c>
      <c r="O232" s="2" t="s">
        <v>141</v>
      </c>
      <c r="P232" s="2" t="s">
        <v>1694</v>
      </c>
      <c r="Q232" s="2" t="s">
        <v>5</v>
      </c>
      <c r="R232" s="2" t="s">
        <v>37</v>
      </c>
      <c r="S232" s="2" t="s">
        <v>36</v>
      </c>
      <c r="T232" s="2" t="s">
        <v>37</v>
      </c>
      <c r="U232" s="2" t="s">
        <v>37</v>
      </c>
    </row>
    <row r="233" spans="1:21" x14ac:dyDescent="0.25">
      <c r="A233" s="2" t="s">
        <v>1695</v>
      </c>
      <c r="B233" s="2" t="s">
        <v>131</v>
      </c>
      <c r="C233" s="2" t="s">
        <v>346</v>
      </c>
      <c r="D233" s="2" t="s">
        <v>1696</v>
      </c>
      <c r="E233" s="2" t="s">
        <v>1697</v>
      </c>
      <c r="F233" s="2" t="s">
        <v>1698</v>
      </c>
      <c r="G233" s="2" t="s">
        <v>1699</v>
      </c>
      <c r="H233" s="2" t="s">
        <v>1700</v>
      </c>
      <c r="I233" s="2"/>
      <c r="J233" s="2" t="s">
        <v>150</v>
      </c>
      <c r="K233" s="2" t="s">
        <v>151</v>
      </c>
      <c r="L233" s="2" t="s">
        <v>152</v>
      </c>
      <c r="M233" s="2" t="s">
        <v>242</v>
      </c>
      <c r="N233" s="2" t="s">
        <v>33</v>
      </c>
      <c r="O233" s="2" t="s">
        <v>243</v>
      </c>
      <c r="P233" s="2" t="s">
        <v>1701</v>
      </c>
      <c r="Q233" s="2" t="s">
        <v>4</v>
      </c>
      <c r="R233" s="2" t="s">
        <v>36</v>
      </c>
      <c r="S233" s="2" t="s">
        <v>36</v>
      </c>
      <c r="T233" s="2" t="s">
        <v>37</v>
      </c>
      <c r="U233" s="2" t="s">
        <v>37</v>
      </c>
    </row>
    <row r="234" spans="1:21" x14ac:dyDescent="0.25">
      <c r="A234" s="2" t="s">
        <v>1702</v>
      </c>
      <c r="B234" s="2" t="s">
        <v>235</v>
      </c>
      <c r="C234" s="2" t="s">
        <v>1703</v>
      </c>
      <c r="D234" s="2" t="s">
        <v>338</v>
      </c>
      <c r="E234" s="2"/>
      <c r="F234" s="2" t="s">
        <v>1704</v>
      </c>
      <c r="G234" s="2" t="s">
        <v>1705</v>
      </c>
      <c r="H234" s="2" t="s">
        <v>1706</v>
      </c>
      <c r="I234" s="2"/>
      <c r="J234" s="2" t="s">
        <v>150</v>
      </c>
      <c r="K234" s="2" t="s">
        <v>151</v>
      </c>
      <c r="L234" s="2" t="s">
        <v>152</v>
      </c>
      <c r="M234" s="2" t="s">
        <v>32</v>
      </c>
      <c r="N234" s="2" t="s">
        <v>33</v>
      </c>
      <c r="O234" s="2" t="s">
        <v>66</v>
      </c>
      <c r="P234" s="2" t="s">
        <v>1707</v>
      </c>
      <c r="Q234" s="2" t="s">
        <v>93</v>
      </c>
      <c r="R234" s="2" t="s">
        <v>36</v>
      </c>
      <c r="S234" s="2" t="s">
        <v>36</v>
      </c>
      <c r="T234" s="2" t="s">
        <v>36</v>
      </c>
      <c r="U234" s="2" t="s">
        <v>36</v>
      </c>
    </row>
    <row r="235" spans="1:21" x14ac:dyDescent="0.25">
      <c r="A235" s="2" t="s">
        <v>1708</v>
      </c>
      <c r="B235" s="2" t="s">
        <v>54</v>
      </c>
      <c r="C235" s="2" t="s">
        <v>301</v>
      </c>
      <c r="D235" s="2" t="s">
        <v>56</v>
      </c>
      <c r="E235" s="2" t="s">
        <v>1709</v>
      </c>
      <c r="F235" s="2" t="s">
        <v>1710</v>
      </c>
      <c r="G235" s="2" t="s">
        <v>1711</v>
      </c>
      <c r="H235" s="2" t="s">
        <v>1712</v>
      </c>
      <c r="I235" s="2"/>
      <c r="J235" s="2" t="s">
        <v>163</v>
      </c>
      <c r="K235" s="2" t="s">
        <v>164</v>
      </c>
      <c r="L235" s="2" t="s">
        <v>165</v>
      </c>
      <c r="M235" s="2" t="s">
        <v>191</v>
      </c>
      <c r="N235" s="2" t="s">
        <v>153</v>
      </c>
      <c r="O235" s="2" t="s">
        <v>141</v>
      </c>
      <c r="P235" s="2" t="s">
        <v>1713</v>
      </c>
      <c r="Q235" s="2" t="s">
        <v>52</v>
      </c>
      <c r="R235" s="2" t="s">
        <v>36</v>
      </c>
      <c r="S235" s="2" t="s">
        <v>36</v>
      </c>
      <c r="T235" s="2" t="s">
        <v>37</v>
      </c>
      <c r="U235" s="2" t="s">
        <v>37</v>
      </c>
    </row>
    <row r="236" spans="1:21" x14ac:dyDescent="0.25">
      <c r="A236" s="2" t="s">
        <v>1714</v>
      </c>
      <c r="B236" s="2"/>
      <c r="C236" s="2" t="s">
        <v>448</v>
      </c>
      <c r="D236" s="2" t="s">
        <v>1174</v>
      </c>
      <c r="E236" s="2" t="s">
        <v>1715</v>
      </c>
      <c r="F236" s="2" t="s">
        <v>1716</v>
      </c>
      <c r="G236" s="2" t="s">
        <v>1717</v>
      </c>
      <c r="H236" s="2" t="s">
        <v>1718</v>
      </c>
      <c r="I236" s="2"/>
      <c r="J236" s="2" t="s">
        <v>29</v>
      </c>
      <c r="K236" s="2" t="s">
        <v>30</v>
      </c>
      <c r="L236" s="2" t="s">
        <v>31</v>
      </c>
      <c r="M236" s="2" t="s">
        <v>166</v>
      </c>
      <c r="N236" s="2" t="s">
        <v>117</v>
      </c>
      <c r="O236" s="2" t="s">
        <v>66</v>
      </c>
      <c r="P236" s="2" t="s">
        <v>1719</v>
      </c>
      <c r="Q236" s="2" t="s">
        <v>4</v>
      </c>
      <c r="R236" s="2" t="s">
        <v>37</v>
      </c>
      <c r="S236" s="2" t="s">
        <v>36</v>
      </c>
      <c r="T236" s="2" t="s">
        <v>36</v>
      </c>
      <c r="U236" s="2" t="s">
        <v>36</v>
      </c>
    </row>
    <row r="237" spans="1:21" x14ac:dyDescent="0.25">
      <c r="A237" s="2" t="s">
        <v>1720</v>
      </c>
      <c r="B237" s="2" t="s">
        <v>235</v>
      </c>
      <c r="C237" s="2" t="s">
        <v>346</v>
      </c>
      <c r="D237" s="2" t="s">
        <v>473</v>
      </c>
      <c r="E237" s="2" t="s">
        <v>1721</v>
      </c>
      <c r="F237" s="2" t="s">
        <v>1722</v>
      </c>
      <c r="G237" s="2" t="s">
        <v>1723</v>
      </c>
      <c r="H237" s="2" t="s">
        <v>1724</v>
      </c>
      <c r="I237" s="2"/>
      <c r="J237" s="2" t="s">
        <v>668</v>
      </c>
      <c r="K237" s="2" t="s">
        <v>669</v>
      </c>
      <c r="L237" s="2" t="s">
        <v>670</v>
      </c>
      <c r="M237" s="2" t="s">
        <v>32</v>
      </c>
      <c r="N237" s="2" t="s">
        <v>153</v>
      </c>
      <c r="O237" s="2" t="s">
        <v>66</v>
      </c>
      <c r="P237" s="2" t="s">
        <v>1725</v>
      </c>
      <c r="Q237" s="2" t="s">
        <v>5</v>
      </c>
      <c r="R237" s="2" t="s">
        <v>1160</v>
      </c>
      <c r="S237" s="2" t="s">
        <v>36</v>
      </c>
      <c r="T237" s="2" t="s">
        <v>36</v>
      </c>
      <c r="U237" s="2" t="s">
        <v>37</v>
      </c>
    </row>
    <row r="238" spans="1:21" x14ac:dyDescent="0.25">
      <c r="A238" s="2" t="s">
        <v>1726</v>
      </c>
      <c r="B238" s="2" t="s">
        <v>235</v>
      </c>
      <c r="C238" s="2" t="s">
        <v>655</v>
      </c>
      <c r="D238" s="2" t="s">
        <v>237</v>
      </c>
      <c r="E238" s="2" t="s">
        <v>1727</v>
      </c>
      <c r="F238" s="2" t="s">
        <v>1728</v>
      </c>
      <c r="G238" s="2" t="s">
        <v>1729</v>
      </c>
      <c r="H238" s="2" t="s">
        <v>1730</v>
      </c>
      <c r="I238" s="2"/>
      <c r="J238" s="2" t="s">
        <v>387</v>
      </c>
      <c r="K238" s="2" t="s">
        <v>388</v>
      </c>
      <c r="L238" s="2" t="s">
        <v>389</v>
      </c>
      <c r="M238" s="2" t="s">
        <v>32</v>
      </c>
      <c r="N238" s="2" t="s">
        <v>117</v>
      </c>
      <c r="O238" s="2" t="s">
        <v>66</v>
      </c>
      <c r="P238" s="2" t="s">
        <v>1731</v>
      </c>
      <c r="Q238" s="2" t="s">
        <v>93</v>
      </c>
      <c r="R238" s="2" t="s">
        <v>36</v>
      </c>
      <c r="S238" s="2" t="s">
        <v>36</v>
      </c>
      <c r="T238" s="2" t="s">
        <v>37</v>
      </c>
      <c r="U238" s="2" t="s">
        <v>36</v>
      </c>
    </row>
    <row r="239" spans="1:21" x14ac:dyDescent="0.25">
      <c r="A239" s="2" t="s">
        <v>1732</v>
      </c>
      <c r="B239" s="2" t="s">
        <v>195</v>
      </c>
      <c r="C239" s="2" t="s">
        <v>809</v>
      </c>
      <c r="D239" s="2" t="s">
        <v>819</v>
      </c>
      <c r="E239" s="2" t="s">
        <v>1733</v>
      </c>
      <c r="F239" s="2" t="s">
        <v>1734</v>
      </c>
      <c r="G239" s="2" t="s">
        <v>1735</v>
      </c>
      <c r="H239" s="2" t="s">
        <v>1736</v>
      </c>
      <c r="I239" s="2"/>
      <c r="J239" s="2" t="s">
        <v>219</v>
      </c>
      <c r="K239" s="2" t="s">
        <v>220</v>
      </c>
      <c r="L239" s="2" t="s">
        <v>221</v>
      </c>
      <c r="M239" s="2" t="s">
        <v>32</v>
      </c>
      <c r="N239" s="2" t="s">
        <v>153</v>
      </c>
      <c r="O239" s="2" t="s">
        <v>243</v>
      </c>
      <c r="P239" s="2" t="s">
        <v>1737</v>
      </c>
      <c r="Q239" s="2" t="s">
        <v>5</v>
      </c>
      <c r="R239" s="2" t="s">
        <v>36</v>
      </c>
      <c r="S239" s="2" t="s">
        <v>36</v>
      </c>
      <c r="T239" s="2" t="s">
        <v>37</v>
      </c>
      <c r="U239" s="2" t="s">
        <v>37</v>
      </c>
    </row>
    <row r="240" spans="1:21" x14ac:dyDescent="0.25">
      <c r="A240" s="2" t="s">
        <v>1738</v>
      </c>
      <c r="B240" s="2"/>
      <c r="C240" s="2" t="s">
        <v>185</v>
      </c>
      <c r="D240" s="2" t="s">
        <v>711</v>
      </c>
      <c r="E240" s="2" t="s">
        <v>1739</v>
      </c>
      <c r="F240" s="2" t="s">
        <v>1740</v>
      </c>
      <c r="G240" s="2" t="s">
        <v>1741</v>
      </c>
      <c r="H240" s="2" t="s">
        <v>1742</v>
      </c>
      <c r="I240" s="2"/>
      <c r="J240" s="2" t="s">
        <v>650</v>
      </c>
      <c r="K240" s="2" t="s">
        <v>651</v>
      </c>
      <c r="L240" s="2" t="s">
        <v>652</v>
      </c>
      <c r="M240" s="2" t="s">
        <v>116</v>
      </c>
      <c r="N240" s="2" t="s">
        <v>91</v>
      </c>
      <c r="O240" s="2" t="s">
        <v>141</v>
      </c>
      <c r="P240" s="2" t="s">
        <v>1743</v>
      </c>
      <c r="Q240" s="2" t="s">
        <v>4</v>
      </c>
      <c r="R240" s="2" t="s">
        <v>37</v>
      </c>
      <c r="S240" s="2" t="s">
        <v>36</v>
      </c>
      <c r="T240" s="2" t="s">
        <v>37</v>
      </c>
      <c r="U240" s="2" t="s">
        <v>37</v>
      </c>
    </row>
    <row r="241" spans="1:21" x14ac:dyDescent="0.25">
      <c r="A241" s="2" t="s">
        <v>1744</v>
      </c>
      <c r="B241" s="2" t="s">
        <v>54</v>
      </c>
      <c r="C241" s="2" t="s">
        <v>55</v>
      </c>
      <c r="D241" s="2" t="s">
        <v>108</v>
      </c>
      <c r="E241" s="2" t="s">
        <v>1745</v>
      </c>
      <c r="F241" s="2" t="s">
        <v>1746</v>
      </c>
      <c r="G241" s="2"/>
      <c r="H241" s="2" t="s">
        <v>1747</v>
      </c>
      <c r="I241" s="2"/>
      <c r="J241" s="2" t="s">
        <v>1204</v>
      </c>
      <c r="K241" s="2" t="s">
        <v>114</v>
      </c>
      <c r="L241" s="2" t="s">
        <v>1205</v>
      </c>
      <c r="M241" s="2" t="s">
        <v>116</v>
      </c>
      <c r="N241" s="2" t="s">
        <v>49</v>
      </c>
      <c r="O241" s="2" t="s">
        <v>154</v>
      </c>
      <c r="P241" s="2" t="s">
        <v>1748</v>
      </c>
      <c r="Q241" s="2" t="s">
        <v>4</v>
      </c>
      <c r="R241" s="2" t="s">
        <v>36</v>
      </c>
      <c r="S241" s="2" t="s">
        <v>36</v>
      </c>
      <c r="T241" s="2" t="s">
        <v>37</v>
      </c>
      <c r="U241" s="2" t="s">
        <v>37</v>
      </c>
    </row>
    <row r="242" spans="1:21" x14ac:dyDescent="0.25">
      <c r="A242" s="2" t="s">
        <v>1749</v>
      </c>
      <c r="B242" s="2" t="s">
        <v>131</v>
      </c>
      <c r="C242" s="2" t="s">
        <v>1689</v>
      </c>
      <c r="D242" s="2" t="s">
        <v>121</v>
      </c>
      <c r="E242" s="2" t="s">
        <v>1750</v>
      </c>
      <c r="F242" s="2" t="s">
        <v>1751</v>
      </c>
      <c r="G242" s="2" t="s">
        <v>1752</v>
      </c>
      <c r="H242" s="2" t="s">
        <v>1753</v>
      </c>
      <c r="I242" s="2"/>
      <c r="J242" s="2" t="s">
        <v>1285</v>
      </c>
      <c r="K242" s="2" t="s">
        <v>1286</v>
      </c>
      <c r="L242" s="2" t="s">
        <v>1287</v>
      </c>
      <c r="M242" s="2" t="s">
        <v>232</v>
      </c>
      <c r="N242" s="2" t="s">
        <v>91</v>
      </c>
      <c r="O242" s="2" t="s">
        <v>34</v>
      </c>
      <c r="P242" s="2" t="s">
        <v>1754</v>
      </c>
      <c r="Q242" s="2" t="s">
        <v>4</v>
      </c>
      <c r="R242" s="2" t="s">
        <v>36</v>
      </c>
      <c r="S242" s="2" t="s">
        <v>36</v>
      </c>
      <c r="T242" s="2" t="s">
        <v>37</v>
      </c>
      <c r="U242" s="2" t="s">
        <v>36</v>
      </c>
    </row>
    <row r="243" spans="1:21" x14ac:dyDescent="0.25">
      <c r="A243" s="2" t="s">
        <v>1755</v>
      </c>
      <c r="B243" s="2" t="s">
        <v>54</v>
      </c>
      <c r="C243" s="2" t="s">
        <v>290</v>
      </c>
      <c r="D243" s="2" t="s">
        <v>711</v>
      </c>
      <c r="E243" s="2" t="s">
        <v>1756</v>
      </c>
      <c r="F243" s="2" t="s">
        <v>1757</v>
      </c>
      <c r="G243" s="2" t="s">
        <v>1758</v>
      </c>
      <c r="H243" s="2" t="s">
        <v>1759</v>
      </c>
      <c r="I243" s="2"/>
      <c r="J243" s="2" t="s">
        <v>693</v>
      </c>
      <c r="K243" s="2" t="s">
        <v>694</v>
      </c>
      <c r="L243" s="2" t="s">
        <v>695</v>
      </c>
      <c r="M243" s="2" t="s">
        <v>166</v>
      </c>
      <c r="N243" s="2" t="s">
        <v>33</v>
      </c>
      <c r="O243" s="2" t="s">
        <v>154</v>
      </c>
      <c r="P243" s="2" t="s">
        <v>1760</v>
      </c>
      <c r="Q243" s="2" t="s">
        <v>93</v>
      </c>
      <c r="R243" s="2" t="s">
        <v>36</v>
      </c>
      <c r="S243" s="2" t="s">
        <v>36</v>
      </c>
      <c r="T243" s="2" t="s">
        <v>36</v>
      </c>
      <c r="U243" s="2" t="s">
        <v>37</v>
      </c>
    </row>
    <row r="244" spans="1:21" x14ac:dyDescent="0.25">
      <c r="A244" s="2" t="s">
        <v>1761</v>
      </c>
      <c r="B244" s="2" t="s">
        <v>39</v>
      </c>
      <c r="C244" s="2" t="s">
        <v>1429</v>
      </c>
      <c r="D244" s="2" t="s">
        <v>186</v>
      </c>
      <c r="E244" s="2" t="s">
        <v>1762</v>
      </c>
      <c r="F244" s="2" t="s">
        <v>1763</v>
      </c>
      <c r="G244" s="2" t="s">
        <v>1764</v>
      </c>
      <c r="H244" s="2" t="s">
        <v>1765</v>
      </c>
      <c r="I244" s="2"/>
      <c r="J244" s="2" t="s">
        <v>370</v>
      </c>
      <c r="K244" s="2" t="s">
        <v>371</v>
      </c>
      <c r="L244" s="2" t="s">
        <v>602</v>
      </c>
      <c r="M244" s="2" t="s">
        <v>191</v>
      </c>
      <c r="N244" s="2" t="s">
        <v>153</v>
      </c>
      <c r="O244" s="2" t="s">
        <v>34</v>
      </c>
      <c r="P244" s="2" t="s">
        <v>1766</v>
      </c>
      <c r="Q244" s="2" t="s">
        <v>5</v>
      </c>
      <c r="R244" s="2" t="s">
        <v>36</v>
      </c>
      <c r="S244" s="2" t="s">
        <v>37</v>
      </c>
      <c r="T244" s="2" t="s">
        <v>37</v>
      </c>
      <c r="U244" s="2" t="s">
        <v>37</v>
      </c>
    </row>
    <row r="245" spans="1:21" x14ac:dyDescent="0.25">
      <c r="A245" s="2" t="s">
        <v>1767</v>
      </c>
      <c r="B245" s="2" t="s">
        <v>235</v>
      </c>
      <c r="C245" s="2" t="s">
        <v>851</v>
      </c>
      <c r="D245" s="2" t="s">
        <v>755</v>
      </c>
      <c r="E245" s="2" t="s">
        <v>1768</v>
      </c>
      <c r="F245" s="2" t="s">
        <v>1769</v>
      </c>
      <c r="G245" s="2" t="s">
        <v>1770</v>
      </c>
      <c r="H245" s="2" t="s">
        <v>1771</v>
      </c>
      <c r="I245" s="2"/>
      <c r="J245" s="2" t="s">
        <v>408</v>
      </c>
      <c r="K245" s="2" t="s">
        <v>409</v>
      </c>
      <c r="L245" s="2" t="s">
        <v>410</v>
      </c>
      <c r="M245" s="2" t="s">
        <v>103</v>
      </c>
      <c r="N245" s="2" t="s">
        <v>49</v>
      </c>
      <c r="O245" s="2" t="s">
        <v>141</v>
      </c>
      <c r="P245" s="2" t="s">
        <v>1772</v>
      </c>
      <c r="Q245" s="2" t="s">
        <v>93</v>
      </c>
      <c r="R245" s="2" t="s">
        <v>37</v>
      </c>
      <c r="S245" s="2" t="s">
        <v>36</v>
      </c>
      <c r="T245" s="2" t="s">
        <v>37</v>
      </c>
      <c r="U245" s="2" t="s">
        <v>37</v>
      </c>
    </row>
    <row r="246" spans="1:21" x14ac:dyDescent="0.25">
      <c r="A246" s="2" t="s">
        <v>1773</v>
      </c>
      <c r="B246" s="2" t="s">
        <v>131</v>
      </c>
      <c r="C246" s="2" t="s">
        <v>40</v>
      </c>
      <c r="D246" s="2" t="s">
        <v>258</v>
      </c>
      <c r="E246" s="2" t="s">
        <v>1774</v>
      </c>
      <c r="F246" s="2" t="s">
        <v>1775</v>
      </c>
      <c r="G246" s="2"/>
      <c r="H246" s="2" t="s">
        <v>1776</v>
      </c>
      <c r="I246" s="2"/>
      <c r="J246" s="2" t="s">
        <v>419</v>
      </c>
      <c r="K246" s="2" t="s">
        <v>420</v>
      </c>
      <c r="L246" s="2" t="s">
        <v>421</v>
      </c>
      <c r="M246" s="2" t="s">
        <v>242</v>
      </c>
      <c r="N246" s="2" t="s">
        <v>117</v>
      </c>
      <c r="O246" s="2" t="s">
        <v>34</v>
      </c>
      <c r="P246" s="2" t="s">
        <v>1777</v>
      </c>
      <c r="Q246" s="2" t="s">
        <v>52</v>
      </c>
      <c r="R246" s="2" t="s">
        <v>36</v>
      </c>
      <c r="S246" s="2" t="s">
        <v>36</v>
      </c>
      <c r="T246" s="2" t="s">
        <v>36</v>
      </c>
      <c r="U246" s="2" t="s">
        <v>36</v>
      </c>
    </row>
    <row r="247" spans="1:21" x14ac:dyDescent="0.25">
      <c r="A247" s="2" t="s">
        <v>1778</v>
      </c>
      <c r="B247" s="2" t="s">
        <v>195</v>
      </c>
      <c r="C247" s="2" t="s">
        <v>988</v>
      </c>
      <c r="D247" s="2" t="s">
        <v>41</v>
      </c>
      <c r="E247" s="2" t="s">
        <v>1779</v>
      </c>
      <c r="F247" s="2" t="s">
        <v>1780</v>
      </c>
      <c r="G247" s="2" t="s">
        <v>1781</v>
      </c>
      <c r="H247" s="2" t="s">
        <v>1782</v>
      </c>
      <c r="I247" s="2"/>
      <c r="J247" s="2" t="s">
        <v>252</v>
      </c>
      <c r="K247" s="2" t="s">
        <v>253</v>
      </c>
      <c r="L247" s="2" t="s">
        <v>254</v>
      </c>
      <c r="M247" s="2" t="s">
        <v>32</v>
      </c>
      <c r="N247" s="2" t="s">
        <v>65</v>
      </c>
      <c r="O247" s="2" t="s">
        <v>34</v>
      </c>
      <c r="P247" s="2" t="s">
        <v>1783</v>
      </c>
      <c r="Q247" s="2" t="s">
        <v>52</v>
      </c>
      <c r="R247" s="2" t="s">
        <v>37</v>
      </c>
      <c r="S247" s="2" t="s">
        <v>36</v>
      </c>
      <c r="T247" s="2" t="s">
        <v>36</v>
      </c>
      <c r="U247" s="2" t="s">
        <v>37</v>
      </c>
    </row>
    <row r="248" spans="1:21" x14ac:dyDescent="0.25">
      <c r="A248" s="2" t="s">
        <v>1784</v>
      </c>
      <c r="B248" s="2" t="s">
        <v>54</v>
      </c>
      <c r="C248" s="2" t="s">
        <v>324</v>
      </c>
      <c r="D248" s="2" t="s">
        <v>1047</v>
      </c>
      <c r="E248" s="2" t="s">
        <v>1785</v>
      </c>
      <c r="F248" s="2" t="s">
        <v>1786</v>
      </c>
      <c r="G248" s="2" t="s">
        <v>1787</v>
      </c>
      <c r="H248" s="2" t="s">
        <v>1788</v>
      </c>
      <c r="I248" s="2"/>
      <c r="J248" s="2" t="s">
        <v>1026</v>
      </c>
      <c r="K248" s="2" t="s">
        <v>1027</v>
      </c>
      <c r="L248" s="2" t="s">
        <v>1028</v>
      </c>
      <c r="M248" s="2" t="s">
        <v>116</v>
      </c>
      <c r="N248" s="2" t="s">
        <v>65</v>
      </c>
      <c r="O248" s="2" t="s">
        <v>154</v>
      </c>
      <c r="P248" s="2" t="s">
        <v>1789</v>
      </c>
      <c r="Q248" s="2" t="s">
        <v>5</v>
      </c>
      <c r="R248" s="2" t="s">
        <v>36</v>
      </c>
      <c r="S248" s="2" t="s">
        <v>36</v>
      </c>
      <c r="T248" s="2" t="s">
        <v>36</v>
      </c>
      <c r="U248" s="2" t="s">
        <v>37</v>
      </c>
    </row>
    <row r="249" spans="1:21" x14ac:dyDescent="0.25">
      <c r="A249" s="2" t="s">
        <v>1790</v>
      </c>
      <c r="B249" s="2"/>
      <c r="C249" s="2" t="s">
        <v>308</v>
      </c>
      <c r="D249" s="2" t="s">
        <v>614</v>
      </c>
      <c r="E249" s="2" t="s">
        <v>1791</v>
      </c>
      <c r="F249" s="2" t="s">
        <v>1792</v>
      </c>
      <c r="G249" s="2" t="s">
        <v>1793</v>
      </c>
      <c r="H249" s="2" t="s">
        <v>1794</v>
      </c>
      <c r="I249" s="2"/>
      <c r="J249" s="2" t="s">
        <v>150</v>
      </c>
      <c r="K249" s="2" t="s">
        <v>151</v>
      </c>
      <c r="L249" s="2" t="s">
        <v>152</v>
      </c>
      <c r="M249" s="2" t="s">
        <v>103</v>
      </c>
      <c r="N249" s="2" t="s">
        <v>117</v>
      </c>
      <c r="O249" s="2" t="s">
        <v>154</v>
      </c>
      <c r="P249" s="2" t="s">
        <v>1795</v>
      </c>
      <c r="Q249" s="2" t="s">
        <v>52</v>
      </c>
      <c r="R249" s="2" t="s">
        <v>36</v>
      </c>
      <c r="S249" s="2" t="s">
        <v>36</v>
      </c>
      <c r="T249" s="2" t="s">
        <v>36</v>
      </c>
      <c r="U249" s="2" t="s">
        <v>36</v>
      </c>
    </row>
    <row r="250" spans="1:21" x14ac:dyDescent="0.25">
      <c r="A250" s="2" t="s">
        <v>1796</v>
      </c>
      <c r="B250" s="2" t="s">
        <v>235</v>
      </c>
      <c r="C250" s="2" t="s">
        <v>392</v>
      </c>
      <c r="D250" s="2" t="s">
        <v>338</v>
      </c>
      <c r="E250" s="2" t="s">
        <v>1797</v>
      </c>
      <c r="F250" s="2" t="s">
        <v>1798</v>
      </c>
      <c r="G250" s="2" t="s">
        <v>1799</v>
      </c>
      <c r="H250" s="2" t="s">
        <v>1800</v>
      </c>
      <c r="I250" s="2"/>
      <c r="J250" s="2" t="s">
        <v>138</v>
      </c>
      <c r="K250" s="2" t="s">
        <v>139</v>
      </c>
      <c r="L250" s="2" t="s">
        <v>140</v>
      </c>
      <c r="M250" s="2" t="s">
        <v>32</v>
      </c>
      <c r="N250" s="2" t="s">
        <v>181</v>
      </c>
      <c r="O250" s="2" t="s">
        <v>34</v>
      </c>
      <c r="P250" s="2" t="s">
        <v>1801</v>
      </c>
      <c r="Q250" s="2" t="s">
        <v>4</v>
      </c>
      <c r="R250" s="2" t="s">
        <v>37</v>
      </c>
      <c r="S250" s="2" t="s">
        <v>36</v>
      </c>
      <c r="T250" s="2" t="s">
        <v>36</v>
      </c>
      <c r="U250" s="2" t="s">
        <v>37</v>
      </c>
    </row>
    <row r="251" spans="1:21" x14ac:dyDescent="0.25">
      <c r="A251" s="2" t="s">
        <v>1802</v>
      </c>
      <c r="B251" s="2" t="s">
        <v>54</v>
      </c>
      <c r="C251" s="2" t="s">
        <v>120</v>
      </c>
      <c r="D251" s="2" t="s">
        <v>121</v>
      </c>
      <c r="E251" s="2" t="s">
        <v>1803</v>
      </c>
      <c r="F251" s="2" t="s">
        <v>1804</v>
      </c>
      <c r="G251" s="2" t="s">
        <v>1805</v>
      </c>
      <c r="H251" s="2" t="s">
        <v>1806</v>
      </c>
      <c r="I251" s="2"/>
      <c r="J251" s="2" t="s">
        <v>88</v>
      </c>
      <c r="K251" s="2" t="s">
        <v>89</v>
      </c>
      <c r="L251" s="2" t="s">
        <v>90</v>
      </c>
      <c r="M251" s="2" t="s">
        <v>191</v>
      </c>
      <c r="N251" s="2" t="s">
        <v>167</v>
      </c>
      <c r="O251" s="2" t="s">
        <v>243</v>
      </c>
      <c r="P251" s="2" t="s">
        <v>1807</v>
      </c>
      <c r="Q251" s="2" t="s">
        <v>4</v>
      </c>
      <c r="R251" s="2" t="s">
        <v>36</v>
      </c>
      <c r="S251" s="2" t="s">
        <v>36</v>
      </c>
      <c r="T251" s="2" t="s">
        <v>37</v>
      </c>
      <c r="U251" s="2" t="s">
        <v>37</v>
      </c>
    </row>
    <row r="252" spans="1:21" x14ac:dyDescent="0.25">
      <c r="A252" s="2" t="s">
        <v>1808</v>
      </c>
      <c r="B252" s="2" t="s">
        <v>402</v>
      </c>
      <c r="C252" s="2" t="s">
        <v>710</v>
      </c>
      <c r="D252" s="2" t="s">
        <v>258</v>
      </c>
      <c r="E252" s="2" t="s">
        <v>1809</v>
      </c>
      <c r="F252" s="2" t="s">
        <v>1810</v>
      </c>
      <c r="G252" s="2" t="s">
        <v>1811</v>
      </c>
      <c r="H252" s="2" t="s">
        <v>1812</v>
      </c>
      <c r="I252" s="2"/>
      <c r="J252" s="2" t="s">
        <v>984</v>
      </c>
      <c r="K252" s="2" t="s">
        <v>62</v>
      </c>
      <c r="L252" s="2" t="s">
        <v>985</v>
      </c>
      <c r="M252" s="2" t="s">
        <v>232</v>
      </c>
      <c r="N252" s="2" t="s">
        <v>117</v>
      </c>
      <c r="O252" s="2" t="s">
        <v>66</v>
      </c>
      <c r="P252" s="2" t="s">
        <v>1813</v>
      </c>
      <c r="Q252" s="2" t="s">
        <v>93</v>
      </c>
      <c r="R252" s="2" t="s">
        <v>36</v>
      </c>
      <c r="S252" s="2" t="s">
        <v>37</v>
      </c>
      <c r="T252" s="2" t="s">
        <v>37</v>
      </c>
      <c r="U252" s="2" t="s">
        <v>37</v>
      </c>
    </row>
    <row r="253" spans="1:21" x14ac:dyDescent="0.25">
      <c r="A253" s="2" t="s">
        <v>1814</v>
      </c>
      <c r="B253" s="2"/>
      <c r="C253" s="2" t="s">
        <v>877</v>
      </c>
      <c r="D253" s="2" t="s">
        <v>1039</v>
      </c>
      <c r="E253" s="2" t="s">
        <v>1815</v>
      </c>
      <c r="F253" s="2" t="s">
        <v>1816</v>
      </c>
      <c r="G253" s="2" t="s">
        <v>1817</v>
      </c>
      <c r="H253" s="2" t="s">
        <v>1818</v>
      </c>
      <c r="I253" s="2"/>
      <c r="J253" s="2" t="s">
        <v>29</v>
      </c>
      <c r="K253" s="2" t="s">
        <v>30</v>
      </c>
      <c r="L253" s="2" t="s">
        <v>31</v>
      </c>
      <c r="M253" s="2" t="s">
        <v>232</v>
      </c>
      <c r="N253" s="2" t="s">
        <v>33</v>
      </c>
      <c r="O253" s="2" t="s">
        <v>50</v>
      </c>
      <c r="P253" s="2" t="s">
        <v>1819</v>
      </c>
      <c r="Q253" s="2" t="s">
        <v>5</v>
      </c>
      <c r="R253" s="2" t="s">
        <v>37</v>
      </c>
      <c r="S253" s="2" t="s">
        <v>36</v>
      </c>
      <c r="T253" s="2" t="s">
        <v>36</v>
      </c>
      <c r="U253" s="2" t="s">
        <v>37</v>
      </c>
    </row>
    <row r="254" spans="1:21" x14ac:dyDescent="0.25">
      <c r="A254" s="2" t="s">
        <v>1820</v>
      </c>
      <c r="B254" s="2" t="s">
        <v>170</v>
      </c>
      <c r="C254" s="2" t="s">
        <v>1021</v>
      </c>
      <c r="D254" s="2" t="s">
        <v>83</v>
      </c>
      <c r="E254" s="2" t="s">
        <v>1821</v>
      </c>
      <c r="F254" s="2" t="s">
        <v>1822</v>
      </c>
      <c r="G254" s="2" t="s">
        <v>1823</v>
      </c>
      <c r="H254" s="2" t="s">
        <v>1824</v>
      </c>
      <c r="I254" s="2"/>
      <c r="J254" s="2" t="s">
        <v>76</v>
      </c>
      <c r="K254" s="2" t="s">
        <v>77</v>
      </c>
      <c r="L254" s="2" t="s">
        <v>78</v>
      </c>
      <c r="M254" s="2" t="s">
        <v>32</v>
      </c>
      <c r="N254" s="2" t="s">
        <v>117</v>
      </c>
      <c r="O254" s="2" t="s">
        <v>192</v>
      </c>
      <c r="P254" s="2" t="s">
        <v>1825</v>
      </c>
      <c r="Q254" s="2" t="s">
        <v>4</v>
      </c>
      <c r="R254" s="2" t="s">
        <v>36</v>
      </c>
      <c r="S254" s="2" t="s">
        <v>37</v>
      </c>
      <c r="T254" s="2" t="s">
        <v>36</v>
      </c>
      <c r="U254" s="2" t="s">
        <v>37</v>
      </c>
    </row>
    <row r="255" spans="1:21" x14ac:dyDescent="0.25">
      <c r="A255" s="2" t="s">
        <v>1826</v>
      </c>
      <c r="B255" s="2" t="s">
        <v>54</v>
      </c>
      <c r="C255" s="2" t="s">
        <v>1118</v>
      </c>
      <c r="D255" s="2" t="s">
        <v>449</v>
      </c>
      <c r="E255" s="2" t="s">
        <v>1827</v>
      </c>
      <c r="F255" s="2" t="s">
        <v>1828</v>
      </c>
      <c r="G255" s="2" t="s">
        <v>1829</v>
      </c>
      <c r="H255" s="2" t="s">
        <v>1830</v>
      </c>
      <c r="I255" s="2"/>
      <c r="J255" s="2" t="s">
        <v>984</v>
      </c>
      <c r="K255" s="2" t="s">
        <v>62</v>
      </c>
      <c r="L255" s="2" t="s">
        <v>985</v>
      </c>
      <c r="M255" s="2" t="s">
        <v>116</v>
      </c>
      <c r="N255" s="2" t="s">
        <v>65</v>
      </c>
      <c r="O255" s="2" t="s">
        <v>192</v>
      </c>
      <c r="P255" s="2" t="s">
        <v>1831</v>
      </c>
      <c r="Q255" s="2" t="s">
        <v>52</v>
      </c>
      <c r="R255" s="2" t="s">
        <v>36</v>
      </c>
      <c r="S255" s="2" t="s">
        <v>36</v>
      </c>
      <c r="T255" s="2" t="s">
        <v>36</v>
      </c>
      <c r="U255" s="2" t="s">
        <v>36</v>
      </c>
    </row>
    <row r="256" spans="1:21" x14ac:dyDescent="0.25">
      <c r="A256" s="2" t="s">
        <v>1832</v>
      </c>
      <c r="B256" s="2" t="s">
        <v>54</v>
      </c>
      <c r="C256" s="2" t="s">
        <v>1429</v>
      </c>
      <c r="D256" s="2" t="s">
        <v>1696</v>
      </c>
      <c r="E256" s="2" t="s">
        <v>1833</v>
      </c>
      <c r="F256" s="2" t="s">
        <v>1834</v>
      </c>
      <c r="G256" s="2" t="s">
        <v>1835</v>
      </c>
      <c r="H256" s="2" t="s">
        <v>1836</v>
      </c>
      <c r="I256" s="2"/>
      <c r="J256" s="2" t="s">
        <v>984</v>
      </c>
      <c r="K256" s="2" t="s">
        <v>62</v>
      </c>
      <c r="L256" s="2" t="s">
        <v>985</v>
      </c>
      <c r="M256" s="2" t="s">
        <v>116</v>
      </c>
      <c r="N256" s="2" t="s">
        <v>33</v>
      </c>
      <c r="O256" s="2" t="s">
        <v>34</v>
      </c>
      <c r="P256" s="2" t="s">
        <v>1837</v>
      </c>
      <c r="Q256" s="2" t="s">
        <v>5</v>
      </c>
      <c r="R256" s="2" t="s">
        <v>36</v>
      </c>
      <c r="S256" s="2" t="s">
        <v>36</v>
      </c>
      <c r="T256" s="2" t="s">
        <v>37</v>
      </c>
      <c r="U256" s="2" t="s">
        <v>36</v>
      </c>
    </row>
    <row r="257" spans="1:21" x14ac:dyDescent="0.25">
      <c r="A257" s="2" t="s">
        <v>1838</v>
      </c>
      <c r="B257" s="2" t="s">
        <v>402</v>
      </c>
      <c r="C257" s="2" t="s">
        <v>246</v>
      </c>
      <c r="D257" s="2" t="s">
        <v>449</v>
      </c>
      <c r="E257" s="2" t="s">
        <v>1839</v>
      </c>
      <c r="F257" s="2" t="s">
        <v>1840</v>
      </c>
      <c r="G257" s="2" t="s">
        <v>1841</v>
      </c>
      <c r="H257" s="2" t="s">
        <v>1842</v>
      </c>
      <c r="I257" s="2"/>
      <c r="J257" s="2" t="s">
        <v>945</v>
      </c>
      <c r="K257" s="2" t="s">
        <v>946</v>
      </c>
      <c r="L257" s="2" t="s">
        <v>947</v>
      </c>
      <c r="M257" s="2" t="s">
        <v>32</v>
      </c>
      <c r="N257" s="2" t="s">
        <v>33</v>
      </c>
      <c r="O257" s="2" t="s">
        <v>50</v>
      </c>
      <c r="P257" s="2" t="s">
        <v>1843</v>
      </c>
      <c r="Q257" s="2" t="s">
        <v>4</v>
      </c>
      <c r="R257" s="2" t="s">
        <v>36</v>
      </c>
      <c r="S257" s="2" t="s">
        <v>36</v>
      </c>
      <c r="T257" s="2" t="s">
        <v>37</v>
      </c>
      <c r="U257" s="2" t="s">
        <v>36</v>
      </c>
    </row>
    <row r="258" spans="1:21" x14ac:dyDescent="0.25">
      <c r="A258" s="2" t="s">
        <v>1844</v>
      </c>
      <c r="B258" s="2" t="s">
        <v>235</v>
      </c>
      <c r="C258" s="2" t="s">
        <v>1845</v>
      </c>
      <c r="D258" s="2" t="s">
        <v>711</v>
      </c>
      <c r="E258" s="2"/>
      <c r="F258" s="2" t="s">
        <v>1846</v>
      </c>
      <c r="G258" s="2" t="s">
        <v>1847</v>
      </c>
      <c r="H258" s="2" t="s">
        <v>1848</v>
      </c>
      <c r="I258" s="2"/>
      <c r="J258" s="2" t="s">
        <v>163</v>
      </c>
      <c r="K258" s="2" t="s">
        <v>164</v>
      </c>
      <c r="L258" s="2" t="s">
        <v>165</v>
      </c>
      <c r="M258" s="2" t="s">
        <v>32</v>
      </c>
      <c r="N258" s="2" t="s">
        <v>167</v>
      </c>
      <c r="O258" s="2" t="s">
        <v>50</v>
      </c>
      <c r="P258" s="2" t="s">
        <v>1849</v>
      </c>
      <c r="Q258" s="2" t="s">
        <v>5</v>
      </c>
      <c r="R258" s="2" t="s">
        <v>36</v>
      </c>
      <c r="S258" s="2" t="s">
        <v>37</v>
      </c>
      <c r="T258" s="2" t="s">
        <v>37</v>
      </c>
      <c r="U258" s="2" t="s">
        <v>37</v>
      </c>
    </row>
    <row r="259" spans="1:21" x14ac:dyDescent="0.25">
      <c r="A259" s="2" t="s">
        <v>1850</v>
      </c>
      <c r="B259" s="2"/>
      <c r="C259" s="2" t="s">
        <v>171</v>
      </c>
      <c r="D259" s="2" t="s">
        <v>205</v>
      </c>
      <c r="E259" s="2"/>
      <c r="F259" s="2" t="s">
        <v>1851</v>
      </c>
      <c r="G259" s="2" t="s">
        <v>1852</v>
      </c>
      <c r="H259" s="2" t="s">
        <v>1853</v>
      </c>
      <c r="I259" s="2"/>
      <c r="J259" s="2" t="s">
        <v>46</v>
      </c>
      <c r="K259" s="2" t="s">
        <v>47</v>
      </c>
      <c r="L259" s="2" t="s">
        <v>48</v>
      </c>
      <c r="M259" s="2" t="s">
        <v>32</v>
      </c>
      <c r="N259" s="2" t="s">
        <v>153</v>
      </c>
      <c r="O259" s="2" t="s">
        <v>66</v>
      </c>
      <c r="P259" s="2" t="s">
        <v>1854</v>
      </c>
      <c r="Q259" s="2" t="s">
        <v>4</v>
      </c>
      <c r="R259" s="2" t="s">
        <v>36</v>
      </c>
      <c r="S259" s="2" t="s">
        <v>36</v>
      </c>
      <c r="T259" s="2" t="s">
        <v>37</v>
      </c>
      <c r="U259" s="2" t="s">
        <v>36</v>
      </c>
    </row>
    <row r="260" spans="1:21" x14ac:dyDescent="0.25">
      <c r="A260" s="2" t="s">
        <v>1855</v>
      </c>
      <c r="B260" s="2" t="s">
        <v>54</v>
      </c>
      <c r="C260" s="2" t="s">
        <v>1297</v>
      </c>
      <c r="D260" s="2" t="s">
        <v>414</v>
      </c>
      <c r="E260" s="2" t="s">
        <v>1856</v>
      </c>
      <c r="F260" s="2" t="s">
        <v>1857</v>
      </c>
      <c r="G260" s="2" t="s">
        <v>1858</v>
      </c>
      <c r="H260" s="2" t="s">
        <v>1859</v>
      </c>
      <c r="I260" s="2"/>
      <c r="J260" s="2" t="s">
        <v>88</v>
      </c>
      <c r="K260" s="2" t="s">
        <v>89</v>
      </c>
      <c r="L260" s="2" t="s">
        <v>90</v>
      </c>
      <c r="M260" s="2" t="s">
        <v>116</v>
      </c>
      <c r="N260" s="2" t="s">
        <v>91</v>
      </c>
      <c r="O260" s="2" t="s">
        <v>141</v>
      </c>
      <c r="P260" s="2" t="s">
        <v>1860</v>
      </c>
      <c r="Q260" s="2" t="s">
        <v>4</v>
      </c>
      <c r="R260" s="2" t="s">
        <v>36</v>
      </c>
      <c r="S260" s="2" t="s">
        <v>36</v>
      </c>
      <c r="T260" s="2" t="s">
        <v>36</v>
      </c>
      <c r="U260" s="2" t="s">
        <v>37</v>
      </c>
    </row>
    <row r="261" spans="1:21" x14ac:dyDescent="0.25">
      <c r="A261" s="2" t="s">
        <v>1861</v>
      </c>
      <c r="B261" s="2" t="s">
        <v>170</v>
      </c>
      <c r="C261" s="2" t="s">
        <v>655</v>
      </c>
      <c r="D261" s="2" t="s">
        <v>83</v>
      </c>
      <c r="E261" s="2" t="s">
        <v>1862</v>
      </c>
      <c r="F261" s="2" t="s">
        <v>1863</v>
      </c>
      <c r="G261" s="2" t="s">
        <v>1864</v>
      </c>
      <c r="H261" s="2" t="s">
        <v>1641</v>
      </c>
      <c r="I261" s="2"/>
      <c r="J261" s="2" t="s">
        <v>660</v>
      </c>
      <c r="K261" s="2" t="s">
        <v>230</v>
      </c>
      <c r="L261" s="2" t="s">
        <v>661</v>
      </c>
      <c r="M261" s="2" t="s">
        <v>232</v>
      </c>
      <c r="N261" s="2" t="s">
        <v>65</v>
      </c>
      <c r="O261" s="2" t="s">
        <v>243</v>
      </c>
      <c r="P261" s="2" t="s">
        <v>1865</v>
      </c>
      <c r="Q261" s="2" t="s">
        <v>93</v>
      </c>
      <c r="R261" s="2" t="s">
        <v>36</v>
      </c>
      <c r="S261" s="2" t="s">
        <v>36</v>
      </c>
      <c r="T261" s="2" t="s">
        <v>37</v>
      </c>
      <c r="U261" s="2" t="s">
        <v>37</v>
      </c>
    </row>
    <row r="262" spans="1:21" x14ac:dyDescent="0.25">
      <c r="A262" s="2" t="s">
        <v>1866</v>
      </c>
      <c r="B262" s="2" t="s">
        <v>39</v>
      </c>
      <c r="C262" s="2" t="s">
        <v>424</v>
      </c>
      <c r="D262" s="2" t="s">
        <v>24</v>
      </c>
      <c r="E262" s="2" t="s">
        <v>1867</v>
      </c>
      <c r="F262" s="2" t="s">
        <v>1868</v>
      </c>
      <c r="G262" s="2" t="s">
        <v>1869</v>
      </c>
      <c r="H262" s="2" t="s">
        <v>1870</v>
      </c>
      <c r="I262" s="2"/>
      <c r="J262" s="2" t="s">
        <v>177</v>
      </c>
      <c r="K262" s="2" t="s">
        <v>178</v>
      </c>
      <c r="L262" s="2" t="s">
        <v>179</v>
      </c>
      <c r="M262" s="2" t="s">
        <v>191</v>
      </c>
      <c r="N262" s="2" t="s">
        <v>117</v>
      </c>
      <c r="O262" s="2" t="s">
        <v>141</v>
      </c>
      <c r="P262" s="2" t="s">
        <v>1871</v>
      </c>
      <c r="Q262" s="2" t="s">
        <v>52</v>
      </c>
      <c r="R262" s="2" t="s">
        <v>36</v>
      </c>
      <c r="S262" s="2" t="s">
        <v>36</v>
      </c>
      <c r="T262" s="2" t="s">
        <v>36</v>
      </c>
      <c r="U262" s="2" t="s">
        <v>37</v>
      </c>
    </row>
    <row r="263" spans="1:21" x14ac:dyDescent="0.25">
      <c r="A263" s="2" t="s">
        <v>1872</v>
      </c>
      <c r="B263" s="2" t="s">
        <v>170</v>
      </c>
      <c r="C263" s="2" t="s">
        <v>655</v>
      </c>
      <c r="D263" s="2" t="s">
        <v>96</v>
      </c>
      <c r="E263" s="2" t="s">
        <v>1873</v>
      </c>
      <c r="F263" s="2" t="s">
        <v>1874</v>
      </c>
      <c r="G263" s="2" t="s">
        <v>1875</v>
      </c>
      <c r="H263" s="2" t="s">
        <v>1876</v>
      </c>
      <c r="I263" s="2"/>
      <c r="J263" s="2" t="s">
        <v>625</v>
      </c>
      <c r="K263" s="2" t="s">
        <v>626</v>
      </c>
      <c r="L263" s="2" t="s">
        <v>627</v>
      </c>
      <c r="M263" s="2" t="s">
        <v>32</v>
      </c>
      <c r="N263" s="2" t="s">
        <v>91</v>
      </c>
      <c r="O263" s="2" t="s">
        <v>192</v>
      </c>
      <c r="P263" s="2" t="s">
        <v>1877</v>
      </c>
      <c r="Q263" s="2" t="s">
        <v>93</v>
      </c>
      <c r="R263" s="2" t="s">
        <v>37</v>
      </c>
      <c r="S263" s="2" t="s">
        <v>36</v>
      </c>
      <c r="T263" s="2" t="s">
        <v>37</v>
      </c>
      <c r="U263" s="2" t="s">
        <v>36</v>
      </c>
    </row>
    <row r="264" spans="1:21" x14ac:dyDescent="0.25">
      <c r="A264" s="2" t="s">
        <v>1878</v>
      </c>
      <c r="B264" s="2" t="s">
        <v>69</v>
      </c>
      <c r="C264" s="2" t="s">
        <v>185</v>
      </c>
      <c r="D264" s="2" t="s">
        <v>1268</v>
      </c>
      <c r="E264" s="2" t="s">
        <v>1879</v>
      </c>
      <c r="F264" s="2" t="s">
        <v>1880</v>
      </c>
      <c r="G264" s="2" t="s">
        <v>1881</v>
      </c>
      <c r="H264" s="2" t="s">
        <v>1882</v>
      </c>
      <c r="I264" s="2"/>
      <c r="J264" s="2" t="s">
        <v>61</v>
      </c>
      <c r="K264" s="2" t="s">
        <v>62</v>
      </c>
      <c r="L264" s="2" t="s">
        <v>63</v>
      </c>
      <c r="M264" s="2" t="s">
        <v>116</v>
      </c>
      <c r="N264" s="2" t="s">
        <v>65</v>
      </c>
      <c r="O264" s="2" t="s">
        <v>192</v>
      </c>
      <c r="P264" s="2" t="s">
        <v>1883</v>
      </c>
      <c r="Q264" s="2" t="s">
        <v>5</v>
      </c>
      <c r="R264" s="2" t="s">
        <v>36</v>
      </c>
      <c r="S264" s="2" t="s">
        <v>36</v>
      </c>
      <c r="T264" s="2" t="s">
        <v>36</v>
      </c>
      <c r="U264" s="2" t="s">
        <v>36</v>
      </c>
    </row>
    <row r="265" spans="1:21" x14ac:dyDescent="0.25">
      <c r="A265" s="2" t="s">
        <v>1884</v>
      </c>
      <c r="B265" s="2" t="s">
        <v>69</v>
      </c>
      <c r="C265" s="2" t="s">
        <v>213</v>
      </c>
      <c r="D265" s="2" t="s">
        <v>1039</v>
      </c>
      <c r="E265" s="2" t="s">
        <v>1885</v>
      </c>
      <c r="F265" s="2" t="s">
        <v>1886</v>
      </c>
      <c r="G265" s="2" t="s">
        <v>1887</v>
      </c>
      <c r="H265" s="2" t="s">
        <v>1888</v>
      </c>
      <c r="I265" s="2"/>
      <c r="J265" s="2" t="s">
        <v>650</v>
      </c>
      <c r="K265" s="2" t="s">
        <v>651</v>
      </c>
      <c r="L265" s="2" t="s">
        <v>652</v>
      </c>
      <c r="M265" s="2" t="s">
        <v>116</v>
      </c>
      <c r="N265" s="2" t="s">
        <v>49</v>
      </c>
      <c r="O265" s="2" t="s">
        <v>154</v>
      </c>
      <c r="P265" s="2" t="s">
        <v>1889</v>
      </c>
      <c r="Q265" s="2" t="s">
        <v>93</v>
      </c>
      <c r="R265" s="2" t="s">
        <v>36</v>
      </c>
      <c r="S265" s="2" t="s">
        <v>36</v>
      </c>
      <c r="T265" s="2" t="s">
        <v>36</v>
      </c>
      <c r="U265" s="2" t="s">
        <v>37</v>
      </c>
    </row>
    <row r="266" spans="1:21" x14ac:dyDescent="0.25">
      <c r="A266" s="2" t="s">
        <v>1890</v>
      </c>
      <c r="B266" s="2" t="s">
        <v>195</v>
      </c>
      <c r="C266" s="2" t="s">
        <v>382</v>
      </c>
      <c r="D266" s="2" t="s">
        <v>1891</v>
      </c>
      <c r="E266" s="2" t="s">
        <v>1892</v>
      </c>
      <c r="F266" s="2" t="s">
        <v>1893</v>
      </c>
      <c r="G266" s="2" t="s">
        <v>1894</v>
      </c>
      <c r="H266" s="2" t="s">
        <v>1895</v>
      </c>
      <c r="I266" s="2"/>
      <c r="J266" s="2" t="s">
        <v>219</v>
      </c>
      <c r="K266" s="2" t="s">
        <v>220</v>
      </c>
      <c r="L266" s="2" t="s">
        <v>221</v>
      </c>
      <c r="M266" s="2" t="s">
        <v>32</v>
      </c>
      <c r="N266" s="2" t="s">
        <v>153</v>
      </c>
      <c r="O266" s="2" t="s">
        <v>50</v>
      </c>
      <c r="P266" s="2" t="s">
        <v>1896</v>
      </c>
      <c r="Q266" s="2" t="s">
        <v>4</v>
      </c>
      <c r="R266" s="2" t="s">
        <v>36</v>
      </c>
      <c r="S266" s="2" t="s">
        <v>36</v>
      </c>
      <c r="T266" s="2" t="s">
        <v>37</v>
      </c>
      <c r="U266" s="2" t="s">
        <v>37</v>
      </c>
    </row>
    <row r="267" spans="1:21" x14ac:dyDescent="0.25">
      <c r="A267" s="2" t="s">
        <v>1897</v>
      </c>
      <c r="B267" s="2"/>
      <c r="C267" s="2" t="s">
        <v>566</v>
      </c>
      <c r="D267" s="2" t="s">
        <v>810</v>
      </c>
      <c r="E267" s="2" t="s">
        <v>1898</v>
      </c>
      <c r="F267" s="2" t="s">
        <v>1899</v>
      </c>
      <c r="G267" s="2" t="s">
        <v>1900</v>
      </c>
      <c r="H267" s="2" t="s">
        <v>1901</v>
      </c>
      <c r="I267" s="2"/>
      <c r="J267" s="2" t="s">
        <v>668</v>
      </c>
      <c r="K267" s="2" t="s">
        <v>669</v>
      </c>
      <c r="L267" s="2" t="s">
        <v>670</v>
      </c>
      <c r="M267" s="2" t="s">
        <v>79</v>
      </c>
      <c r="N267" s="2" t="s">
        <v>49</v>
      </c>
      <c r="O267" s="2" t="s">
        <v>243</v>
      </c>
      <c r="P267" s="2" t="s">
        <v>1902</v>
      </c>
      <c r="Q267" s="2" t="s">
        <v>93</v>
      </c>
      <c r="R267" s="2" t="s">
        <v>36</v>
      </c>
      <c r="S267" s="2" t="s">
        <v>36</v>
      </c>
      <c r="T267" s="2" t="s">
        <v>37</v>
      </c>
      <c r="U267" s="2" t="s">
        <v>37</v>
      </c>
    </row>
    <row r="268" spans="1:21" x14ac:dyDescent="0.25">
      <c r="A268" s="2" t="s">
        <v>1903</v>
      </c>
      <c r="B268" s="2" t="s">
        <v>22</v>
      </c>
      <c r="C268" s="2" t="s">
        <v>265</v>
      </c>
      <c r="D268" s="2" t="s">
        <v>674</v>
      </c>
      <c r="E268" s="2" t="s">
        <v>1904</v>
      </c>
      <c r="F268" s="2" t="s">
        <v>1905</v>
      </c>
      <c r="G268" s="2" t="s">
        <v>1906</v>
      </c>
      <c r="H268" s="2" t="s">
        <v>1907</v>
      </c>
      <c r="I268" s="2"/>
      <c r="J268" s="2" t="s">
        <v>984</v>
      </c>
      <c r="K268" s="2" t="s">
        <v>62</v>
      </c>
      <c r="L268" s="2" t="s">
        <v>985</v>
      </c>
      <c r="M268" s="2" t="s">
        <v>232</v>
      </c>
      <c r="N268" s="2" t="s">
        <v>181</v>
      </c>
      <c r="O268" s="2" t="s">
        <v>154</v>
      </c>
      <c r="P268" s="2" t="s">
        <v>1908</v>
      </c>
      <c r="Q268" s="2" t="s">
        <v>4</v>
      </c>
      <c r="R268" s="2" t="s">
        <v>36</v>
      </c>
      <c r="S268" s="2" t="s">
        <v>36</v>
      </c>
      <c r="T268" s="2" t="s">
        <v>37</v>
      </c>
      <c r="U268" s="2" t="s">
        <v>37</v>
      </c>
    </row>
    <row r="269" spans="1:21" x14ac:dyDescent="0.25">
      <c r="A269" s="2" t="s">
        <v>1909</v>
      </c>
      <c r="B269" s="2" t="s">
        <v>54</v>
      </c>
      <c r="C269" s="2" t="s">
        <v>1910</v>
      </c>
      <c r="D269" s="2" t="s">
        <v>682</v>
      </c>
      <c r="E269" s="2" t="s">
        <v>1911</v>
      </c>
      <c r="F269" s="2" t="s">
        <v>1912</v>
      </c>
      <c r="G269" s="2" t="s">
        <v>1913</v>
      </c>
      <c r="H269" s="2" t="s">
        <v>1914</v>
      </c>
      <c r="I269" s="2"/>
      <c r="J269" s="2" t="s">
        <v>219</v>
      </c>
      <c r="K269" s="2" t="s">
        <v>220</v>
      </c>
      <c r="L269" s="2"/>
      <c r="M269" s="2" t="s">
        <v>191</v>
      </c>
      <c r="N269" s="2" t="s">
        <v>33</v>
      </c>
      <c r="O269" s="2" t="s">
        <v>154</v>
      </c>
      <c r="P269" s="2" t="s">
        <v>1915</v>
      </c>
      <c r="Q269" s="2" t="s">
        <v>105</v>
      </c>
      <c r="R269" s="2" t="s">
        <v>37</v>
      </c>
      <c r="S269" s="2" t="s">
        <v>37</v>
      </c>
      <c r="T269" s="2" t="s">
        <v>37</v>
      </c>
      <c r="U269" s="2" t="s">
        <v>37</v>
      </c>
    </row>
    <row r="270" spans="1:21" x14ac:dyDescent="0.25">
      <c r="A270" s="2" t="s">
        <v>1916</v>
      </c>
      <c r="B270" s="2" t="s">
        <v>235</v>
      </c>
      <c r="C270" s="2" t="s">
        <v>1111</v>
      </c>
      <c r="D270" s="2" t="s">
        <v>536</v>
      </c>
      <c r="E270" s="2" t="s">
        <v>1917</v>
      </c>
      <c r="F270" s="2" t="s">
        <v>1918</v>
      </c>
      <c r="G270" s="2" t="s">
        <v>1919</v>
      </c>
      <c r="H270" s="2" t="s">
        <v>1018</v>
      </c>
      <c r="I270" s="2"/>
      <c r="J270" s="2" t="s">
        <v>531</v>
      </c>
      <c r="K270" s="2" t="s">
        <v>532</v>
      </c>
      <c r="L270" s="2" t="s">
        <v>533</v>
      </c>
      <c r="M270" s="2" t="s">
        <v>103</v>
      </c>
      <c r="N270" s="2" t="s">
        <v>33</v>
      </c>
      <c r="O270" s="2" t="s">
        <v>34</v>
      </c>
      <c r="P270" s="2" t="s">
        <v>1920</v>
      </c>
      <c r="Q270" s="2" t="s">
        <v>93</v>
      </c>
      <c r="R270" s="2" t="s">
        <v>37</v>
      </c>
      <c r="S270" s="2" t="s">
        <v>37</v>
      </c>
      <c r="T270" s="2" t="s">
        <v>37</v>
      </c>
      <c r="U270" s="2" t="s">
        <v>36</v>
      </c>
    </row>
    <row r="271" spans="1:21" x14ac:dyDescent="0.25">
      <c r="A271" s="2" t="s">
        <v>1921</v>
      </c>
      <c r="B271" s="2" t="s">
        <v>54</v>
      </c>
      <c r="C271" s="2" t="s">
        <v>459</v>
      </c>
      <c r="D271" s="2" t="s">
        <v>674</v>
      </c>
      <c r="E271" s="2" t="s">
        <v>1922</v>
      </c>
      <c r="F271" s="2" t="s">
        <v>1923</v>
      </c>
      <c r="G271" s="2" t="s">
        <v>1924</v>
      </c>
      <c r="H271" s="2" t="s">
        <v>1925</v>
      </c>
      <c r="I271" s="2"/>
      <c r="J271" s="2" t="s">
        <v>46</v>
      </c>
      <c r="K271" s="2" t="s">
        <v>47</v>
      </c>
      <c r="L271" s="2" t="s">
        <v>48</v>
      </c>
      <c r="M271" s="2" t="s">
        <v>116</v>
      </c>
      <c r="N271" s="2" t="s">
        <v>49</v>
      </c>
      <c r="O271" s="2" t="s">
        <v>243</v>
      </c>
      <c r="P271" s="2" t="s">
        <v>1926</v>
      </c>
      <c r="Q271" s="2" t="s">
        <v>5</v>
      </c>
      <c r="R271" s="2" t="s">
        <v>36</v>
      </c>
      <c r="S271" s="2" t="s">
        <v>36</v>
      </c>
      <c r="T271" s="2" t="s">
        <v>37</v>
      </c>
      <c r="U271" s="2" t="s">
        <v>37</v>
      </c>
    </row>
    <row r="272" spans="1:21" x14ac:dyDescent="0.25">
      <c r="A272" s="2" t="s">
        <v>1927</v>
      </c>
      <c r="B272" s="2" t="s">
        <v>39</v>
      </c>
      <c r="C272" s="2" t="s">
        <v>144</v>
      </c>
      <c r="D272" s="2" t="s">
        <v>133</v>
      </c>
      <c r="E272" s="2" t="s">
        <v>1928</v>
      </c>
      <c r="F272" s="2" t="s">
        <v>1929</v>
      </c>
      <c r="G272" s="2" t="s">
        <v>1930</v>
      </c>
      <c r="H272" s="2" t="s">
        <v>1931</v>
      </c>
      <c r="I272" s="2"/>
      <c r="J272" s="2" t="s">
        <v>138</v>
      </c>
      <c r="K272" s="2" t="s">
        <v>139</v>
      </c>
      <c r="L272" s="2" t="s">
        <v>140</v>
      </c>
      <c r="M272" s="2" t="s">
        <v>191</v>
      </c>
      <c r="N272" s="2" t="s">
        <v>33</v>
      </c>
      <c r="O272" s="2" t="s">
        <v>50</v>
      </c>
      <c r="P272" s="2" t="s">
        <v>1932</v>
      </c>
      <c r="Q272" s="2" t="s">
        <v>4</v>
      </c>
      <c r="R272" s="2" t="s">
        <v>36</v>
      </c>
      <c r="S272" s="2" t="s">
        <v>36</v>
      </c>
      <c r="T272" s="2" t="s">
        <v>36</v>
      </c>
      <c r="U272" s="2" t="s">
        <v>36</v>
      </c>
    </row>
    <row r="273" spans="1:21" x14ac:dyDescent="0.25">
      <c r="A273" s="2" t="s">
        <v>1933</v>
      </c>
      <c r="B273" s="2" t="s">
        <v>22</v>
      </c>
      <c r="C273" s="2" t="s">
        <v>95</v>
      </c>
      <c r="D273" s="2" t="s">
        <v>96</v>
      </c>
      <c r="E273" s="2" t="s">
        <v>1934</v>
      </c>
      <c r="F273" s="2" t="s">
        <v>1935</v>
      </c>
      <c r="G273" s="2" t="s">
        <v>1936</v>
      </c>
      <c r="H273" s="2" t="s">
        <v>1937</v>
      </c>
      <c r="I273" s="2"/>
      <c r="J273" s="2" t="s">
        <v>766</v>
      </c>
      <c r="K273" s="2" t="s">
        <v>767</v>
      </c>
      <c r="L273" s="2" t="s">
        <v>768</v>
      </c>
      <c r="M273" s="2" t="s">
        <v>32</v>
      </c>
      <c r="N273" s="2" t="s">
        <v>167</v>
      </c>
      <c r="O273" s="2" t="s">
        <v>243</v>
      </c>
      <c r="P273" s="2" t="s">
        <v>1938</v>
      </c>
      <c r="Q273" s="2" t="s">
        <v>93</v>
      </c>
      <c r="R273" s="2" t="s">
        <v>36</v>
      </c>
      <c r="S273" s="2" t="s">
        <v>36</v>
      </c>
      <c r="T273" s="2" t="s">
        <v>36</v>
      </c>
      <c r="U273" s="2" t="s">
        <v>36</v>
      </c>
    </row>
    <row r="274" spans="1:21" x14ac:dyDescent="0.25">
      <c r="A274" s="2" t="s">
        <v>1939</v>
      </c>
      <c r="B274" s="2" t="s">
        <v>39</v>
      </c>
      <c r="C274" s="2" t="s">
        <v>754</v>
      </c>
      <c r="D274" s="2" t="s">
        <v>133</v>
      </c>
      <c r="E274" s="2" t="s">
        <v>1940</v>
      </c>
      <c r="F274" s="2" t="s">
        <v>1941</v>
      </c>
      <c r="G274" s="2" t="s">
        <v>1942</v>
      </c>
      <c r="H274" s="2" t="s">
        <v>1943</v>
      </c>
      <c r="I274" s="2"/>
      <c r="J274" s="2" t="s">
        <v>668</v>
      </c>
      <c r="K274" s="2" t="s">
        <v>669</v>
      </c>
      <c r="L274" s="2" t="s">
        <v>670</v>
      </c>
      <c r="M274" s="2" t="s">
        <v>116</v>
      </c>
      <c r="N274" s="2" t="s">
        <v>167</v>
      </c>
      <c r="O274" s="2" t="s">
        <v>34</v>
      </c>
      <c r="P274" s="2" t="s">
        <v>1944</v>
      </c>
      <c r="Q274" s="2" t="s">
        <v>4</v>
      </c>
      <c r="R274" s="2" t="s">
        <v>36</v>
      </c>
      <c r="S274" s="2" t="s">
        <v>37</v>
      </c>
      <c r="T274" s="2" t="s">
        <v>37</v>
      </c>
      <c r="U274" s="2" t="s">
        <v>37</v>
      </c>
    </row>
    <row r="275" spans="1:21" x14ac:dyDescent="0.25">
      <c r="A275" s="2" t="s">
        <v>1945</v>
      </c>
      <c r="B275" s="2" t="s">
        <v>22</v>
      </c>
      <c r="C275" s="2" t="s">
        <v>283</v>
      </c>
      <c r="D275" s="2" t="s">
        <v>121</v>
      </c>
      <c r="E275" s="2" t="s">
        <v>1946</v>
      </c>
      <c r="F275" s="2" t="s">
        <v>1947</v>
      </c>
      <c r="G275" s="2" t="s">
        <v>1948</v>
      </c>
      <c r="H275" s="2" t="s">
        <v>1949</v>
      </c>
      <c r="I275" s="2"/>
      <c r="J275" s="2" t="s">
        <v>693</v>
      </c>
      <c r="K275" s="2" t="s">
        <v>694</v>
      </c>
      <c r="L275" s="2" t="s">
        <v>695</v>
      </c>
      <c r="M275" s="2" t="s">
        <v>232</v>
      </c>
      <c r="N275" s="2" t="s">
        <v>167</v>
      </c>
      <c r="O275" s="2" t="s">
        <v>50</v>
      </c>
      <c r="P275" s="2" t="s">
        <v>1950</v>
      </c>
      <c r="Q275" s="2" t="s">
        <v>52</v>
      </c>
      <c r="R275" s="2" t="s">
        <v>36</v>
      </c>
      <c r="S275" s="2" t="s">
        <v>36</v>
      </c>
      <c r="T275" s="2" t="s">
        <v>36</v>
      </c>
      <c r="U275" s="2" t="s">
        <v>37</v>
      </c>
    </row>
    <row r="276" spans="1:21" x14ac:dyDescent="0.25">
      <c r="A276" s="2" t="s">
        <v>1951</v>
      </c>
      <c r="B276" s="2" t="s">
        <v>235</v>
      </c>
      <c r="C276" s="2" t="s">
        <v>382</v>
      </c>
      <c r="D276" s="2" t="s">
        <v>108</v>
      </c>
      <c r="E276" s="2" t="s">
        <v>1952</v>
      </c>
      <c r="F276" s="2" t="s">
        <v>1953</v>
      </c>
      <c r="G276" s="2" t="s">
        <v>1954</v>
      </c>
      <c r="H276" s="2" t="s">
        <v>1955</v>
      </c>
      <c r="I276" s="2"/>
      <c r="J276" s="2" t="s">
        <v>668</v>
      </c>
      <c r="K276" s="2" t="s">
        <v>669</v>
      </c>
      <c r="L276" s="2" t="s">
        <v>670</v>
      </c>
      <c r="M276" s="2" t="s">
        <v>32</v>
      </c>
      <c r="N276" s="2" t="s">
        <v>117</v>
      </c>
      <c r="O276" s="2" t="s">
        <v>66</v>
      </c>
      <c r="P276" s="2" t="s">
        <v>1956</v>
      </c>
      <c r="Q276" s="2" t="s">
        <v>52</v>
      </c>
      <c r="R276" s="2" t="s">
        <v>36</v>
      </c>
      <c r="S276" s="2" t="s">
        <v>36</v>
      </c>
      <c r="T276" s="2" t="s">
        <v>36</v>
      </c>
      <c r="U276" s="2" t="s">
        <v>36</v>
      </c>
    </row>
    <row r="277" spans="1:21" x14ac:dyDescent="0.25">
      <c r="A277" s="2" t="s">
        <v>1957</v>
      </c>
      <c r="B277" s="2" t="s">
        <v>39</v>
      </c>
      <c r="C277" s="2" t="s">
        <v>877</v>
      </c>
      <c r="D277" s="2" t="s">
        <v>121</v>
      </c>
      <c r="E277" s="2" t="s">
        <v>1958</v>
      </c>
      <c r="F277" s="2" t="s">
        <v>1959</v>
      </c>
      <c r="G277" s="2" t="s">
        <v>1960</v>
      </c>
      <c r="H277" s="2" t="s">
        <v>1961</v>
      </c>
      <c r="I277" s="2"/>
      <c r="J277" s="2" t="s">
        <v>660</v>
      </c>
      <c r="K277" s="2" t="s">
        <v>230</v>
      </c>
      <c r="L277" s="2" t="s">
        <v>661</v>
      </c>
      <c r="M277" s="2" t="s">
        <v>232</v>
      </c>
      <c r="N277" s="2" t="s">
        <v>65</v>
      </c>
      <c r="O277" s="2" t="s">
        <v>50</v>
      </c>
      <c r="P277" s="2" t="s">
        <v>1962</v>
      </c>
      <c r="Q277" s="2" t="s">
        <v>4</v>
      </c>
      <c r="R277" s="2" t="s">
        <v>37</v>
      </c>
      <c r="S277" s="2" t="s">
        <v>37</v>
      </c>
      <c r="T277" s="2" t="s">
        <v>36</v>
      </c>
      <c r="U277" s="2" t="s">
        <v>37</v>
      </c>
    </row>
    <row r="278" spans="1:21" x14ac:dyDescent="0.25">
      <c r="A278" s="2" t="s">
        <v>1963</v>
      </c>
      <c r="B278" s="2" t="s">
        <v>69</v>
      </c>
      <c r="C278" s="2" t="s">
        <v>107</v>
      </c>
      <c r="D278" s="2" t="s">
        <v>83</v>
      </c>
      <c r="E278" s="2" t="s">
        <v>1964</v>
      </c>
      <c r="F278" s="2" t="s">
        <v>1965</v>
      </c>
      <c r="G278" s="2" t="s">
        <v>1966</v>
      </c>
      <c r="H278" s="2" t="s">
        <v>1967</v>
      </c>
      <c r="I278" s="2"/>
      <c r="J278" s="2" t="s">
        <v>429</v>
      </c>
      <c r="K278" s="2" t="s">
        <v>430</v>
      </c>
      <c r="L278" s="2" t="s">
        <v>431</v>
      </c>
      <c r="M278" s="2" t="s">
        <v>116</v>
      </c>
      <c r="N278" s="2" t="s">
        <v>153</v>
      </c>
      <c r="O278" s="2" t="s">
        <v>141</v>
      </c>
      <c r="P278" s="2" t="s">
        <v>1968</v>
      </c>
      <c r="Q278" s="2" t="s">
        <v>4</v>
      </c>
      <c r="R278" s="2" t="s">
        <v>36</v>
      </c>
      <c r="S278" s="2" t="s">
        <v>36</v>
      </c>
      <c r="T278" s="2" t="s">
        <v>36</v>
      </c>
      <c r="U278" s="2" t="s">
        <v>36</v>
      </c>
    </row>
    <row r="279" spans="1:21" x14ac:dyDescent="0.25">
      <c r="A279" s="2" t="s">
        <v>1969</v>
      </c>
      <c r="B279" s="2" t="s">
        <v>170</v>
      </c>
      <c r="C279" s="2" t="s">
        <v>1703</v>
      </c>
      <c r="D279" s="2" t="s">
        <v>414</v>
      </c>
      <c r="E279" s="2" t="s">
        <v>1970</v>
      </c>
      <c r="F279" s="2" t="s">
        <v>1971</v>
      </c>
      <c r="G279" s="2" t="s">
        <v>1972</v>
      </c>
      <c r="H279" s="2" t="s">
        <v>1973</v>
      </c>
      <c r="I279" s="2"/>
      <c r="J279" s="2" t="s">
        <v>454</v>
      </c>
      <c r="K279" s="2" t="s">
        <v>455</v>
      </c>
      <c r="L279" s="2" t="s">
        <v>1974</v>
      </c>
      <c r="M279" s="2" t="s">
        <v>242</v>
      </c>
      <c r="N279" s="2" t="s">
        <v>153</v>
      </c>
      <c r="O279" s="2" t="s">
        <v>192</v>
      </c>
      <c r="P279" s="2" t="s">
        <v>1975</v>
      </c>
      <c r="Q279" s="2" t="s">
        <v>5</v>
      </c>
      <c r="R279" s="2" t="s">
        <v>37</v>
      </c>
      <c r="S279" s="2" t="s">
        <v>36</v>
      </c>
      <c r="T279" s="2" t="s">
        <v>36</v>
      </c>
      <c r="U279" s="2" t="s">
        <v>37</v>
      </c>
    </row>
    <row r="280" spans="1:21" x14ac:dyDescent="0.25">
      <c r="A280" s="2" t="s">
        <v>1976</v>
      </c>
      <c r="B280" s="2" t="s">
        <v>195</v>
      </c>
      <c r="C280" s="2" t="s">
        <v>171</v>
      </c>
      <c r="D280" s="2" t="s">
        <v>449</v>
      </c>
      <c r="E280" s="2" t="s">
        <v>1977</v>
      </c>
      <c r="F280" s="2" t="s">
        <v>1978</v>
      </c>
      <c r="G280" s="2" t="s">
        <v>1979</v>
      </c>
      <c r="H280" s="2" t="s">
        <v>1980</v>
      </c>
      <c r="I280" s="2"/>
      <c r="J280" s="2" t="s">
        <v>609</v>
      </c>
      <c r="K280" s="2" t="s">
        <v>610</v>
      </c>
      <c r="L280" s="2" t="s">
        <v>611</v>
      </c>
      <c r="M280" s="2" t="s">
        <v>103</v>
      </c>
      <c r="N280" s="2" t="s">
        <v>49</v>
      </c>
      <c r="O280" s="2" t="s">
        <v>192</v>
      </c>
      <c r="P280" s="2" t="s">
        <v>1981</v>
      </c>
      <c r="Q280" s="2" t="s">
        <v>4</v>
      </c>
      <c r="R280" s="2" t="s">
        <v>36</v>
      </c>
      <c r="S280" s="2" t="s">
        <v>36</v>
      </c>
      <c r="T280" s="2" t="s">
        <v>36</v>
      </c>
      <c r="U280" s="2" t="s">
        <v>36</v>
      </c>
    </row>
    <row r="281" spans="1:21" x14ac:dyDescent="0.25">
      <c r="A281" s="2" t="s">
        <v>1982</v>
      </c>
      <c r="B281" s="2" t="s">
        <v>184</v>
      </c>
      <c r="C281" s="2" t="s">
        <v>1098</v>
      </c>
      <c r="D281" s="2" t="s">
        <v>71</v>
      </c>
      <c r="E281" s="2" t="s">
        <v>1983</v>
      </c>
      <c r="F281" s="2" t="s">
        <v>1984</v>
      </c>
      <c r="G281" s="2" t="s">
        <v>1985</v>
      </c>
      <c r="H281" s="2" t="s">
        <v>1986</v>
      </c>
      <c r="I281" s="2"/>
      <c r="J281" s="2" t="s">
        <v>585</v>
      </c>
      <c r="K281" s="2" t="s">
        <v>586</v>
      </c>
      <c r="L281" s="2" t="s">
        <v>587</v>
      </c>
      <c r="M281" s="2" t="s">
        <v>116</v>
      </c>
      <c r="N281" s="2" t="s">
        <v>65</v>
      </c>
      <c r="O281" s="2" t="s">
        <v>243</v>
      </c>
      <c r="P281" s="2" t="s">
        <v>1987</v>
      </c>
      <c r="Q281" s="2" t="s">
        <v>93</v>
      </c>
      <c r="R281" s="2" t="s">
        <v>37</v>
      </c>
      <c r="S281" s="2" t="s">
        <v>36</v>
      </c>
      <c r="T281" s="2" t="s">
        <v>36</v>
      </c>
      <c r="U281" s="2" t="s">
        <v>37</v>
      </c>
    </row>
    <row r="282" spans="1:21" x14ac:dyDescent="0.25">
      <c r="A282" s="2" t="s">
        <v>1988</v>
      </c>
      <c r="B282" s="2" t="s">
        <v>184</v>
      </c>
      <c r="C282" s="2" t="s">
        <v>70</v>
      </c>
      <c r="D282" s="2" t="s">
        <v>375</v>
      </c>
      <c r="E282" s="2" t="s">
        <v>1989</v>
      </c>
      <c r="F282" s="2" t="s">
        <v>1990</v>
      </c>
      <c r="G282" s="2" t="s">
        <v>1991</v>
      </c>
      <c r="H282" s="2" t="s">
        <v>1992</v>
      </c>
      <c r="I282" s="2"/>
      <c r="J282" s="2" t="s">
        <v>88</v>
      </c>
      <c r="K282" s="2" t="s">
        <v>89</v>
      </c>
      <c r="L282" s="2" t="s">
        <v>90</v>
      </c>
      <c r="M282" s="2" t="s">
        <v>116</v>
      </c>
      <c r="N282" s="2" t="s">
        <v>91</v>
      </c>
      <c r="O282" s="2" t="s">
        <v>66</v>
      </c>
      <c r="P282" s="2" t="s">
        <v>1993</v>
      </c>
      <c r="Q282" s="2" t="s">
        <v>4</v>
      </c>
      <c r="R282" s="2" t="s">
        <v>36</v>
      </c>
      <c r="S282" s="2" t="s">
        <v>36</v>
      </c>
      <c r="T282" s="2" t="s">
        <v>37</v>
      </c>
      <c r="U282" s="2" t="s">
        <v>37</v>
      </c>
    </row>
    <row r="283" spans="1:21" x14ac:dyDescent="0.25">
      <c r="A283" s="2" t="s">
        <v>1994</v>
      </c>
      <c r="B283" s="2" t="s">
        <v>54</v>
      </c>
      <c r="C283" s="2" t="s">
        <v>1644</v>
      </c>
      <c r="D283" s="2" t="s">
        <v>291</v>
      </c>
      <c r="E283" s="2" t="s">
        <v>1995</v>
      </c>
      <c r="F283" s="2" t="s">
        <v>1996</v>
      </c>
      <c r="G283" s="2" t="s">
        <v>1997</v>
      </c>
      <c r="H283" s="2" t="s">
        <v>1998</v>
      </c>
      <c r="I283" s="2"/>
      <c r="J283" s="2" t="s">
        <v>984</v>
      </c>
      <c r="K283" s="2" t="s">
        <v>62</v>
      </c>
      <c r="L283" s="2" t="s">
        <v>985</v>
      </c>
      <c r="M283" s="2" t="s">
        <v>116</v>
      </c>
      <c r="N283" s="2" t="s">
        <v>153</v>
      </c>
      <c r="O283" s="2" t="s">
        <v>34</v>
      </c>
      <c r="P283" s="2" t="s">
        <v>1999</v>
      </c>
      <c r="Q283" s="2" t="s">
        <v>4</v>
      </c>
      <c r="R283" s="2" t="s">
        <v>36</v>
      </c>
      <c r="S283" s="2" t="s">
        <v>37</v>
      </c>
      <c r="T283" s="2" t="s">
        <v>37</v>
      </c>
      <c r="U283" s="2" t="s">
        <v>37</v>
      </c>
    </row>
    <row r="284" spans="1:21" x14ac:dyDescent="0.25">
      <c r="A284" s="2" t="s">
        <v>2000</v>
      </c>
      <c r="B284" s="2"/>
      <c r="C284" s="2" t="s">
        <v>185</v>
      </c>
      <c r="D284" s="2" t="s">
        <v>247</v>
      </c>
      <c r="E284" s="2" t="s">
        <v>2001</v>
      </c>
      <c r="F284" s="2" t="s">
        <v>2002</v>
      </c>
      <c r="G284" s="2" t="s">
        <v>2003</v>
      </c>
      <c r="H284" s="2" t="s">
        <v>2004</v>
      </c>
      <c r="I284" s="2"/>
      <c r="J284" s="2" t="s">
        <v>138</v>
      </c>
      <c r="K284" s="2" t="s">
        <v>139</v>
      </c>
      <c r="L284" s="2" t="s">
        <v>140</v>
      </c>
      <c r="M284" s="2" t="s">
        <v>116</v>
      </c>
      <c r="N284" s="2" t="s">
        <v>181</v>
      </c>
      <c r="O284" s="2" t="s">
        <v>192</v>
      </c>
      <c r="P284" s="2" t="s">
        <v>2005</v>
      </c>
      <c r="Q284" s="2" t="s">
        <v>4</v>
      </c>
      <c r="R284" s="2" t="s">
        <v>36</v>
      </c>
      <c r="S284" s="2" t="s">
        <v>36</v>
      </c>
      <c r="T284" s="2" t="s">
        <v>37</v>
      </c>
      <c r="U284" s="2" t="s">
        <v>37</v>
      </c>
    </row>
    <row r="285" spans="1:21" x14ac:dyDescent="0.25">
      <c r="A285" s="2" t="s">
        <v>2006</v>
      </c>
      <c r="B285" s="2" t="s">
        <v>39</v>
      </c>
      <c r="C285" s="2" t="s">
        <v>1411</v>
      </c>
      <c r="D285" s="2" t="s">
        <v>1268</v>
      </c>
      <c r="E285" s="2"/>
      <c r="F285" s="2" t="s">
        <v>2007</v>
      </c>
      <c r="G285" s="2" t="s">
        <v>2008</v>
      </c>
      <c r="H285" s="2" t="s">
        <v>2009</v>
      </c>
      <c r="I285" s="2"/>
      <c r="J285" s="2" t="s">
        <v>370</v>
      </c>
      <c r="K285" s="2" t="s">
        <v>371</v>
      </c>
      <c r="L285" s="2" t="s">
        <v>602</v>
      </c>
      <c r="M285" s="2" t="s">
        <v>180</v>
      </c>
      <c r="N285" s="2" t="s">
        <v>153</v>
      </c>
      <c r="O285" s="2" t="s">
        <v>243</v>
      </c>
      <c r="P285" s="2" t="s">
        <v>2010</v>
      </c>
      <c r="Q285" s="2" t="s">
        <v>4</v>
      </c>
      <c r="R285" s="2" t="s">
        <v>36</v>
      </c>
      <c r="S285" s="2" t="s">
        <v>37</v>
      </c>
      <c r="T285" s="2" t="s">
        <v>36</v>
      </c>
      <c r="U285" s="2" t="s">
        <v>37</v>
      </c>
    </row>
    <row r="286" spans="1:21" x14ac:dyDescent="0.25">
      <c r="A286" s="2" t="s">
        <v>2011</v>
      </c>
      <c r="B286" s="2" t="s">
        <v>235</v>
      </c>
      <c r="C286" s="2" t="s">
        <v>171</v>
      </c>
      <c r="D286" s="2" t="s">
        <v>755</v>
      </c>
      <c r="E286" s="2" t="s">
        <v>2012</v>
      </c>
      <c r="F286" s="2" t="s">
        <v>2013</v>
      </c>
      <c r="G286" s="2" t="s">
        <v>2014</v>
      </c>
      <c r="H286" s="2" t="s">
        <v>2015</v>
      </c>
      <c r="I286" s="2"/>
      <c r="J286" s="2" t="s">
        <v>150</v>
      </c>
      <c r="K286" s="2" t="s">
        <v>151</v>
      </c>
      <c r="L286" s="2" t="s">
        <v>152</v>
      </c>
      <c r="M286" s="2" t="s">
        <v>103</v>
      </c>
      <c r="N286" s="2" t="s">
        <v>167</v>
      </c>
      <c r="O286" s="2" t="s">
        <v>154</v>
      </c>
      <c r="P286" s="2" t="s">
        <v>1607</v>
      </c>
      <c r="Q286" s="2" t="s">
        <v>4</v>
      </c>
      <c r="R286" s="2" t="s">
        <v>36</v>
      </c>
      <c r="S286" s="2" t="s">
        <v>36</v>
      </c>
      <c r="T286" s="2" t="s">
        <v>37</v>
      </c>
      <c r="U286" s="2" t="s">
        <v>37</v>
      </c>
    </row>
    <row r="287" spans="1:21" x14ac:dyDescent="0.25">
      <c r="A287" s="2" t="s">
        <v>2016</v>
      </c>
      <c r="B287" s="2"/>
      <c r="C287" s="2" t="s">
        <v>1267</v>
      </c>
      <c r="D287" s="2" t="s">
        <v>225</v>
      </c>
      <c r="E287" s="2" t="s">
        <v>2017</v>
      </c>
      <c r="F287" s="2" t="s">
        <v>2018</v>
      </c>
      <c r="G287" s="2" t="s">
        <v>2019</v>
      </c>
      <c r="H287" s="2" t="s">
        <v>2020</v>
      </c>
      <c r="I287" s="2"/>
      <c r="J287" s="2" t="s">
        <v>766</v>
      </c>
      <c r="K287" s="2" t="s">
        <v>767</v>
      </c>
      <c r="L287" s="2" t="s">
        <v>768</v>
      </c>
      <c r="M287" s="2" t="s">
        <v>116</v>
      </c>
      <c r="N287" s="2" t="s">
        <v>181</v>
      </c>
      <c r="O287" s="2" t="s">
        <v>243</v>
      </c>
      <c r="P287" s="2" t="s">
        <v>2021</v>
      </c>
      <c r="Q287" s="2" t="s">
        <v>93</v>
      </c>
      <c r="R287" s="2" t="s">
        <v>36</v>
      </c>
      <c r="S287" s="2" t="s">
        <v>36</v>
      </c>
      <c r="T287" s="2" t="s">
        <v>37</v>
      </c>
      <c r="U287" s="2" t="s">
        <v>36</v>
      </c>
    </row>
    <row r="288" spans="1:21" x14ac:dyDescent="0.25">
      <c r="A288" s="2" t="s">
        <v>2022</v>
      </c>
      <c r="B288" s="2" t="s">
        <v>131</v>
      </c>
      <c r="C288" s="2" t="s">
        <v>265</v>
      </c>
      <c r="D288" s="2" t="s">
        <v>1047</v>
      </c>
      <c r="E288" s="2" t="s">
        <v>2023</v>
      </c>
      <c r="F288" s="2" t="s">
        <v>2024</v>
      </c>
      <c r="G288" s="2" t="s">
        <v>2025</v>
      </c>
      <c r="H288" s="2" t="s">
        <v>2026</v>
      </c>
      <c r="I288" s="2"/>
      <c r="J288" s="2" t="s">
        <v>693</v>
      </c>
      <c r="K288" s="2" t="s">
        <v>694</v>
      </c>
      <c r="L288" s="2"/>
      <c r="M288" s="2" t="s">
        <v>32</v>
      </c>
      <c r="N288" s="2" t="s">
        <v>181</v>
      </c>
      <c r="O288" s="2" t="s">
        <v>66</v>
      </c>
      <c r="P288" s="2" t="s">
        <v>2027</v>
      </c>
      <c r="Q288" s="2" t="s">
        <v>4</v>
      </c>
      <c r="R288" s="2" t="s">
        <v>37</v>
      </c>
      <c r="S288" s="2" t="s">
        <v>36</v>
      </c>
      <c r="T288" s="2" t="s">
        <v>36</v>
      </c>
      <c r="U288" s="2" t="s">
        <v>37</v>
      </c>
    </row>
    <row r="289" spans="1:21" x14ac:dyDescent="0.25">
      <c r="A289" s="2" t="s">
        <v>2028</v>
      </c>
      <c r="B289" s="2" t="s">
        <v>39</v>
      </c>
      <c r="C289" s="2" t="s">
        <v>1021</v>
      </c>
      <c r="D289" s="2" t="s">
        <v>536</v>
      </c>
      <c r="E289" s="2" t="s">
        <v>2029</v>
      </c>
      <c r="F289" s="2" t="s">
        <v>2030</v>
      </c>
      <c r="G289" s="2" t="s">
        <v>2031</v>
      </c>
      <c r="H289" s="2" t="s">
        <v>2032</v>
      </c>
      <c r="I289" s="2"/>
      <c r="J289" s="2" t="s">
        <v>229</v>
      </c>
      <c r="K289" s="2" t="s">
        <v>230</v>
      </c>
      <c r="L289" s="2" t="s">
        <v>231</v>
      </c>
      <c r="M289" s="2" t="s">
        <v>32</v>
      </c>
      <c r="N289" s="2" t="s">
        <v>33</v>
      </c>
      <c r="O289" s="2" t="s">
        <v>154</v>
      </c>
      <c r="P289" s="2" t="s">
        <v>2033</v>
      </c>
      <c r="Q289" s="2" t="s">
        <v>4</v>
      </c>
      <c r="R289" s="2" t="s">
        <v>36</v>
      </c>
      <c r="S289" s="2" t="s">
        <v>37</v>
      </c>
      <c r="T289" s="2" t="s">
        <v>36</v>
      </c>
      <c r="U289" s="2" t="s">
        <v>37</v>
      </c>
    </row>
    <row r="290" spans="1:21" x14ac:dyDescent="0.25">
      <c r="A290" s="2" t="s">
        <v>2034</v>
      </c>
      <c r="B290" s="2" t="s">
        <v>54</v>
      </c>
      <c r="C290" s="2" t="s">
        <v>337</v>
      </c>
      <c r="D290" s="2" t="s">
        <v>1154</v>
      </c>
      <c r="E290" s="2" t="s">
        <v>2035</v>
      </c>
      <c r="F290" s="2" t="s">
        <v>2036</v>
      </c>
      <c r="G290" s="2" t="s">
        <v>2037</v>
      </c>
      <c r="H290" s="2" t="s">
        <v>2038</v>
      </c>
      <c r="I290" s="2"/>
      <c r="J290" s="2" t="s">
        <v>668</v>
      </c>
      <c r="K290" s="2" t="s">
        <v>669</v>
      </c>
      <c r="L290" s="2" t="s">
        <v>670</v>
      </c>
      <c r="M290" s="2" t="s">
        <v>116</v>
      </c>
      <c r="N290" s="2" t="s">
        <v>91</v>
      </c>
      <c r="O290" s="2" t="s">
        <v>50</v>
      </c>
      <c r="P290" s="2" t="s">
        <v>2039</v>
      </c>
      <c r="Q290" s="2" t="s">
        <v>5</v>
      </c>
      <c r="R290" s="2" t="s">
        <v>36</v>
      </c>
      <c r="S290" s="2" t="s">
        <v>36</v>
      </c>
      <c r="T290" s="2" t="s">
        <v>36</v>
      </c>
      <c r="U290" s="2" t="s">
        <v>37</v>
      </c>
    </row>
    <row r="291" spans="1:21" x14ac:dyDescent="0.25">
      <c r="A291" s="2" t="s">
        <v>2040</v>
      </c>
      <c r="B291" s="2" t="s">
        <v>39</v>
      </c>
      <c r="C291" s="2" t="s">
        <v>224</v>
      </c>
      <c r="D291" s="2" t="s">
        <v>237</v>
      </c>
      <c r="E291" s="2" t="s">
        <v>2041</v>
      </c>
      <c r="F291" s="2" t="s">
        <v>2042</v>
      </c>
      <c r="G291" s="2" t="s">
        <v>2043</v>
      </c>
      <c r="H291" s="2" t="s">
        <v>2044</v>
      </c>
      <c r="I291" s="2"/>
      <c r="J291" s="2" t="s">
        <v>945</v>
      </c>
      <c r="K291" s="2" t="s">
        <v>946</v>
      </c>
      <c r="L291" s="2" t="s">
        <v>947</v>
      </c>
      <c r="M291" s="2" t="s">
        <v>103</v>
      </c>
      <c r="N291" s="2" t="s">
        <v>91</v>
      </c>
      <c r="O291" s="2" t="s">
        <v>141</v>
      </c>
      <c r="P291" s="2" t="s">
        <v>2045</v>
      </c>
      <c r="Q291" s="2" t="s">
        <v>93</v>
      </c>
      <c r="R291" s="2" t="s">
        <v>37</v>
      </c>
      <c r="S291" s="2" t="s">
        <v>36</v>
      </c>
      <c r="T291" s="2" t="s">
        <v>37</v>
      </c>
      <c r="U291" s="2" t="s">
        <v>37</v>
      </c>
    </row>
    <row r="292" spans="1:21" x14ac:dyDescent="0.25">
      <c r="A292" s="2" t="s">
        <v>2046</v>
      </c>
      <c r="B292" s="2" t="s">
        <v>69</v>
      </c>
      <c r="C292" s="2" t="s">
        <v>459</v>
      </c>
      <c r="D292" s="2" t="s">
        <v>2047</v>
      </c>
      <c r="E292" s="2" t="s">
        <v>2048</v>
      </c>
      <c r="F292" s="2" t="s">
        <v>2049</v>
      </c>
      <c r="G292" s="2" t="s">
        <v>2050</v>
      </c>
      <c r="H292" s="2" t="s">
        <v>2051</v>
      </c>
      <c r="I292" s="2"/>
      <c r="J292" s="2" t="s">
        <v>296</v>
      </c>
      <c r="K292" s="2" t="s">
        <v>297</v>
      </c>
      <c r="L292" s="2" t="s">
        <v>298</v>
      </c>
      <c r="M292" s="2" t="s">
        <v>116</v>
      </c>
      <c r="N292" s="2" t="s">
        <v>49</v>
      </c>
      <c r="O292" s="2" t="s">
        <v>243</v>
      </c>
      <c r="P292" s="2" t="s">
        <v>2052</v>
      </c>
      <c r="Q292" s="2" t="s">
        <v>52</v>
      </c>
      <c r="R292" s="2" t="s">
        <v>36</v>
      </c>
      <c r="S292" s="2" t="s">
        <v>36</v>
      </c>
      <c r="T292" s="2" t="s">
        <v>36</v>
      </c>
      <c r="U292" s="2" t="s">
        <v>36</v>
      </c>
    </row>
    <row r="293" spans="1:21" x14ac:dyDescent="0.25">
      <c r="A293" s="2" t="s">
        <v>2053</v>
      </c>
      <c r="B293" s="2" t="s">
        <v>54</v>
      </c>
      <c r="C293" s="2" t="s">
        <v>290</v>
      </c>
      <c r="D293" s="2" t="s">
        <v>108</v>
      </c>
      <c r="E293" s="2" t="s">
        <v>2054</v>
      </c>
      <c r="F293" s="2" t="s">
        <v>2055</v>
      </c>
      <c r="G293" s="2" t="s">
        <v>2056</v>
      </c>
      <c r="H293" s="2" t="s">
        <v>2057</v>
      </c>
      <c r="I293" s="2"/>
      <c r="J293" s="2" t="s">
        <v>650</v>
      </c>
      <c r="K293" s="2" t="s">
        <v>651</v>
      </c>
      <c r="L293" s="2" t="s">
        <v>652</v>
      </c>
      <c r="M293" s="2" t="s">
        <v>64</v>
      </c>
      <c r="N293" s="2" t="s">
        <v>153</v>
      </c>
      <c r="O293" s="2" t="s">
        <v>66</v>
      </c>
      <c r="P293" s="2" t="s">
        <v>2058</v>
      </c>
      <c r="Q293" s="2" t="s">
        <v>4</v>
      </c>
      <c r="R293" s="2" t="s">
        <v>36</v>
      </c>
      <c r="S293" s="2" t="s">
        <v>36</v>
      </c>
      <c r="T293" s="2" t="s">
        <v>37</v>
      </c>
      <c r="U293" s="2" t="s">
        <v>36</v>
      </c>
    </row>
    <row r="294" spans="1:21" x14ac:dyDescent="0.25">
      <c r="A294" s="2" t="s">
        <v>2059</v>
      </c>
      <c r="B294" s="2" t="s">
        <v>69</v>
      </c>
      <c r="C294" s="2" t="s">
        <v>290</v>
      </c>
      <c r="D294" s="2" t="s">
        <v>325</v>
      </c>
      <c r="E294" s="2"/>
      <c r="F294" s="2" t="s">
        <v>2060</v>
      </c>
      <c r="G294" s="2" t="s">
        <v>2061</v>
      </c>
      <c r="H294" s="2" t="s">
        <v>2062</v>
      </c>
      <c r="I294" s="2"/>
      <c r="J294" s="2" t="s">
        <v>1285</v>
      </c>
      <c r="K294" s="2" t="s">
        <v>1286</v>
      </c>
      <c r="L294" s="2" t="s">
        <v>1287</v>
      </c>
      <c r="M294" s="2" t="s">
        <v>79</v>
      </c>
      <c r="N294" s="2" t="s">
        <v>65</v>
      </c>
      <c r="O294" s="2" t="s">
        <v>34</v>
      </c>
      <c r="P294" s="2" t="s">
        <v>2063</v>
      </c>
      <c r="Q294" s="2" t="s">
        <v>52</v>
      </c>
      <c r="R294" s="2" t="s">
        <v>36</v>
      </c>
      <c r="S294" s="2" t="s">
        <v>36</v>
      </c>
      <c r="T294" s="2" t="s">
        <v>37</v>
      </c>
      <c r="U294" s="2" t="s">
        <v>37</v>
      </c>
    </row>
    <row r="295" spans="1:21" x14ac:dyDescent="0.25">
      <c r="A295" s="2" t="s">
        <v>2064</v>
      </c>
      <c r="B295" s="2" t="s">
        <v>54</v>
      </c>
      <c r="C295" s="2" t="s">
        <v>237</v>
      </c>
      <c r="D295" s="2" t="s">
        <v>449</v>
      </c>
      <c r="E295" s="2" t="s">
        <v>2065</v>
      </c>
      <c r="F295" s="2" t="s">
        <v>2066</v>
      </c>
      <c r="G295" s="2" t="s">
        <v>2067</v>
      </c>
      <c r="H295" s="2" t="s">
        <v>2068</v>
      </c>
      <c r="I295" s="2"/>
      <c r="J295" s="2" t="s">
        <v>278</v>
      </c>
      <c r="K295" s="2" t="s">
        <v>279</v>
      </c>
      <c r="L295" s="2" t="s">
        <v>280</v>
      </c>
      <c r="M295" s="2" t="s">
        <v>116</v>
      </c>
      <c r="N295" s="2" t="s">
        <v>33</v>
      </c>
      <c r="O295" s="2" t="s">
        <v>243</v>
      </c>
      <c r="P295" s="2" t="s">
        <v>2069</v>
      </c>
      <c r="Q295" s="2" t="s">
        <v>52</v>
      </c>
      <c r="R295" s="2" t="s">
        <v>37</v>
      </c>
      <c r="S295" s="2" t="s">
        <v>36</v>
      </c>
      <c r="T295" s="2" t="s">
        <v>36</v>
      </c>
      <c r="U295" s="2" t="s">
        <v>36</v>
      </c>
    </row>
    <row r="296" spans="1:21" x14ac:dyDescent="0.25">
      <c r="A296" s="2" t="s">
        <v>2070</v>
      </c>
      <c r="B296" s="2" t="s">
        <v>39</v>
      </c>
      <c r="C296" s="2" t="s">
        <v>346</v>
      </c>
      <c r="D296" s="2" t="s">
        <v>291</v>
      </c>
      <c r="E296" s="2" t="s">
        <v>2071</v>
      </c>
      <c r="F296" s="2" t="s">
        <v>2072</v>
      </c>
      <c r="G296" s="2" t="s">
        <v>2073</v>
      </c>
      <c r="H296" s="2" t="s">
        <v>2074</v>
      </c>
      <c r="I296" s="2"/>
      <c r="J296" s="2" t="s">
        <v>88</v>
      </c>
      <c r="K296" s="2" t="s">
        <v>89</v>
      </c>
      <c r="L296" s="2" t="s">
        <v>90</v>
      </c>
      <c r="M296" s="2" t="s">
        <v>242</v>
      </c>
      <c r="N296" s="2" t="s">
        <v>65</v>
      </c>
      <c r="O296" s="2" t="s">
        <v>50</v>
      </c>
      <c r="P296" s="2" t="s">
        <v>2075</v>
      </c>
      <c r="Q296" s="2" t="s">
        <v>93</v>
      </c>
      <c r="R296" s="2" t="s">
        <v>37</v>
      </c>
      <c r="S296" s="2" t="s">
        <v>37</v>
      </c>
      <c r="T296" s="2" t="s">
        <v>37</v>
      </c>
      <c r="U296" s="2" t="s">
        <v>36</v>
      </c>
    </row>
    <row r="297" spans="1:21" x14ac:dyDescent="0.25">
      <c r="A297" s="2" t="s">
        <v>2076</v>
      </c>
      <c r="B297" s="2" t="s">
        <v>69</v>
      </c>
      <c r="C297" s="2" t="s">
        <v>120</v>
      </c>
      <c r="D297" s="2" t="s">
        <v>1323</v>
      </c>
      <c r="E297" s="2" t="s">
        <v>2077</v>
      </c>
      <c r="F297" s="2" t="s">
        <v>2078</v>
      </c>
      <c r="G297" s="2" t="s">
        <v>2079</v>
      </c>
      <c r="H297" s="2" t="s">
        <v>2080</v>
      </c>
      <c r="I297" s="2"/>
      <c r="J297" s="2" t="s">
        <v>177</v>
      </c>
      <c r="K297" s="2" t="s">
        <v>178</v>
      </c>
      <c r="L297" s="2" t="s">
        <v>179</v>
      </c>
      <c r="M297" s="2" t="s">
        <v>166</v>
      </c>
      <c r="N297" s="2" t="s">
        <v>167</v>
      </c>
      <c r="O297" s="2" t="s">
        <v>34</v>
      </c>
      <c r="P297" s="2" t="s">
        <v>2081</v>
      </c>
      <c r="Q297" s="2" t="s">
        <v>4</v>
      </c>
      <c r="R297" s="2" t="s">
        <v>816</v>
      </c>
      <c r="S297" s="2" t="s">
        <v>36</v>
      </c>
      <c r="T297" s="2" t="s">
        <v>37</v>
      </c>
      <c r="U297" s="2" t="s">
        <v>37</v>
      </c>
    </row>
    <row r="298" spans="1:21" x14ac:dyDescent="0.25">
      <c r="A298" s="2" t="s">
        <v>2082</v>
      </c>
      <c r="B298" s="2" t="s">
        <v>54</v>
      </c>
      <c r="C298" s="2" t="s">
        <v>754</v>
      </c>
      <c r="D298" s="2" t="s">
        <v>870</v>
      </c>
      <c r="E298" s="2" t="s">
        <v>2083</v>
      </c>
      <c r="F298" s="2" t="s">
        <v>2084</v>
      </c>
      <c r="G298" s="2" t="s">
        <v>2085</v>
      </c>
      <c r="H298" s="2" t="s">
        <v>2086</v>
      </c>
      <c r="I298" s="2"/>
      <c r="J298" s="2" t="s">
        <v>319</v>
      </c>
      <c r="K298" s="2" t="s">
        <v>320</v>
      </c>
      <c r="L298" s="2" t="s">
        <v>321</v>
      </c>
      <c r="M298" s="2" t="s">
        <v>116</v>
      </c>
      <c r="N298" s="2" t="s">
        <v>65</v>
      </c>
      <c r="O298" s="2" t="s">
        <v>34</v>
      </c>
      <c r="P298" s="2" t="s">
        <v>2087</v>
      </c>
      <c r="Q298" s="2" t="s">
        <v>93</v>
      </c>
      <c r="R298" s="2" t="s">
        <v>36</v>
      </c>
      <c r="S298" s="2" t="s">
        <v>36</v>
      </c>
      <c r="T298" s="2" t="s">
        <v>37</v>
      </c>
      <c r="U298" s="2" t="s">
        <v>37</v>
      </c>
    </row>
    <row r="299" spans="1:21" x14ac:dyDescent="0.25">
      <c r="A299" s="2" t="s">
        <v>2088</v>
      </c>
      <c r="B299" s="2" t="s">
        <v>184</v>
      </c>
      <c r="C299" s="2" t="s">
        <v>213</v>
      </c>
      <c r="D299" s="2" t="s">
        <v>247</v>
      </c>
      <c r="E299" s="2" t="s">
        <v>2089</v>
      </c>
      <c r="F299" s="2" t="s">
        <v>2090</v>
      </c>
      <c r="G299" s="2" t="s">
        <v>2091</v>
      </c>
      <c r="H299" s="2" t="s">
        <v>2092</v>
      </c>
      <c r="I299" s="2"/>
      <c r="J299" s="2" t="s">
        <v>419</v>
      </c>
      <c r="K299" s="2" t="s">
        <v>420</v>
      </c>
      <c r="L299" s="2" t="s">
        <v>421</v>
      </c>
      <c r="M299" s="2" t="s">
        <v>166</v>
      </c>
      <c r="N299" s="2" t="s">
        <v>49</v>
      </c>
      <c r="O299" s="2" t="s">
        <v>154</v>
      </c>
      <c r="P299" s="2" t="s">
        <v>2093</v>
      </c>
      <c r="Q299" s="2" t="s">
        <v>52</v>
      </c>
      <c r="R299" s="2" t="s">
        <v>36</v>
      </c>
      <c r="S299" s="2" t="s">
        <v>37</v>
      </c>
      <c r="T299" s="2" t="s">
        <v>36</v>
      </c>
      <c r="U299" s="2" t="s">
        <v>37</v>
      </c>
    </row>
    <row r="300" spans="1:21" x14ac:dyDescent="0.25">
      <c r="A300" s="2" t="s">
        <v>2094</v>
      </c>
      <c r="B300" s="2"/>
      <c r="C300" s="2" t="s">
        <v>196</v>
      </c>
      <c r="D300" s="2" t="s">
        <v>674</v>
      </c>
      <c r="E300" s="2" t="s">
        <v>2095</v>
      </c>
      <c r="F300" s="2" t="s">
        <v>2096</v>
      </c>
      <c r="G300" s="2" t="s">
        <v>2097</v>
      </c>
      <c r="H300" s="2" t="s">
        <v>2098</v>
      </c>
      <c r="I300" s="2"/>
      <c r="J300" s="2" t="s">
        <v>454</v>
      </c>
      <c r="K300" s="2" t="s">
        <v>455</v>
      </c>
      <c r="L300" s="2" t="s">
        <v>456</v>
      </c>
      <c r="M300" s="2" t="s">
        <v>32</v>
      </c>
      <c r="N300" s="2" t="s">
        <v>65</v>
      </c>
      <c r="O300" s="2" t="s">
        <v>154</v>
      </c>
      <c r="P300" s="2" t="s">
        <v>2099</v>
      </c>
      <c r="Q300" s="2" t="s">
        <v>4</v>
      </c>
      <c r="R300" s="2" t="s">
        <v>36</v>
      </c>
      <c r="S300" s="2" t="s">
        <v>36</v>
      </c>
      <c r="T300" s="2" t="s">
        <v>37</v>
      </c>
      <c r="U300" s="2" t="s">
        <v>36</v>
      </c>
    </row>
    <row r="301" spans="1:21" x14ac:dyDescent="0.25">
      <c r="A301" s="2" t="s">
        <v>2100</v>
      </c>
      <c r="B301" s="2"/>
      <c r="C301" s="2" t="s">
        <v>791</v>
      </c>
      <c r="D301" s="2" t="s">
        <v>338</v>
      </c>
      <c r="E301" s="2" t="s">
        <v>2101</v>
      </c>
      <c r="F301" s="2" t="s">
        <v>2102</v>
      </c>
      <c r="G301" s="2" t="s">
        <v>2103</v>
      </c>
      <c r="H301" s="2" t="s">
        <v>2104</v>
      </c>
      <c r="I301" s="2"/>
      <c r="J301" s="2" t="s">
        <v>76</v>
      </c>
      <c r="K301" s="2" t="s">
        <v>77</v>
      </c>
      <c r="L301" s="2" t="s">
        <v>78</v>
      </c>
      <c r="M301" s="2" t="s">
        <v>242</v>
      </c>
      <c r="N301" s="2" t="s">
        <v>153</v>
      </c>
      <c r="O301" s="2" t="s">
        <v>50</v>
      </c>
      <c r="P301" s="2" t="s">
        <v>2105</v>
      </c>
      <c r="Q301" s="2" t="s">
        <v>93</v>
      </c>
      <c r="R301" s="2" t="s">
        <v>36</v>
      </c>
      <c r="S301" s="2" t="s">
        <v>36</v>
      </c>
      <c r="T301" s="2" t="s">
        <v>36</v>
      </c>
      <c r="U301" s="2" t="s">
        <v>37</v>
      </c>
    </row>
    <row r="302" spans="1:21" x14ac:dyDescent="0.25">
      <c r="A302" s="2" t="s">
        <v>2106</v>
      </c>
      <c r="B302" s="2" t="s">
        <v>69</v>
      </c>
      <c r="C302" s="2" t="s">
        <v>434</v>
      </c>
      <c r="D302" s="2" t="s">
        <v>24</v>
      </c>
      <c r="E302" s="2" t="s">
        <v>2107</v>
      </c>
      <c r="F302" s="2" t="s">
        <v>2108</v>
      </c>
      <c r="G302" s="2" t="s">
        <v>2109</v>
      </c>
      <c r="H302" s="2" t="s">
        <v>2110</v>
      </c>
      <c r="I302" s="2"/>
      <c r="J302" s="2" t="s">
        <v>397</v>
      </c>
      <c r="K302" s="2" t="s">
        <v>220</v>
      </c>
      <c r="L302" s="2" t="s">
        <v>398</v>
      </c>
      <c r="M302" s="2" t="s">
        <v>64</v>
      </c>
      <c r="N302" s="2" t="s">
        <v>181</v>
      </c>
      <c r="O302" s="2" t="s">
        <v>141</v>
      </c>
      <c r="P302" s="2" t="s">
        <v>2111</v>
      </c>
      <c r="Q302" s="2" t="s">
        <v>93</v>
      </c>
      <c r="R302" s="2" t="s">
        <v>36</v>
      </c>
      <c r="S302" s="2" t="s">
        <v>36</v>
      </c>
      <c r="T302" s="2" t="s">
        <v>37</v>
      </c>
      <c r="U302" s="2" t="s">
        <v>36</v>
      </c>
    </row>
    <row r="303" spans="1:21" x14ac:dyDescent="0.25">
      <c r="A303" s="2" t="s">
        <v>2112</v>
      </c>
      <c r="B303" s="2" t="s">
        <v>39</v>
      </c>
      <c r="C303" s="2" t="s">
        <v>1703</v>
      </c>
      <c r="D303" s="2" t="s">
        <v>237</v>
      </c>
      <c r="E303" s="2" t="s">
        <v>2113</v>
      </c>
      <c r="F303" s="2" t="s">
        <v>2114</v>
      </c>
      <c r="G303" s="2" t="s">
        <v>2115</v>
      </c>
      <c r="H303" s="2" t="s">
        <v>2116</v>
      </c>
      <c r="I303" s="2"/>
      <c r="J303" s="2" t="s">
        <v>397</v>
      </c>
      <c r="K303" s="2" t="s">
        <v>220</v>
      </c>
      <c r="L303" s="2" t="s">
        <v>398</v>
      </c>
      <c r="M303" s="2" t="s">
        <v>242</v>
      </c>
      <c r="N303" s="2" t="s">
        <v>117</v>
      </c>
      <c r="O303" s="2" t="s">
        <v>141</v>
      </c>
      <c r="P303" s="2" t="s">
        <v>2117</v>
      </c>
      <c r="Q303" s="2" t="s">
        <v>5</v>
      </c>
      <c r="R303" s="2" t="s">
        <v>36</v>
      </c>
      <c r="S303" s="2" t="s">
        <v>36</v>
      </c>
      <c r="T303" s="2" t="s">
        <v>37</v>
      </c>
      <c r="U303" s="2" t="s">
        <v>36</v>
      </c>
    </row>
    <row r="304" spans="1:21" x14ac:dyDescent="0.25">
      <c r="A304" s="2" t="s">
        <v>2118</v>
      </c>
      <c r="B304" s="2" t="s">
        <v>39</v>
      </c>
      <c r="C304" s="2" t="s">
        <v>488</v>
      </c>
      <c r="D304" s="2" t="s">
        <v>940</v>
      </c>
      <c r="E304" s="2" t="s">
        <v>2119</v>
      </c>
      <c r="F304" s="2" t="s">
        <v>2120</v>
      </c>
      <c r="G304" s="2" t="s">
        <v>2121</v>
      </c>
      <c r="H304" s="2" t="s">
        <v>2122</v>
      </c>
      <c r="I304" s="2"/>
      <c r="J304" s="2" t="s">
        <v>984</v>
      </c>
      <c r="K304" s="2" t="s">
        <v>62</v>
      </c>
      <c r="L304" s="2" t="s">
        <v>985</v>
      </c>
      <c r="M304" s="2" t="s">
        <v>103</v>
      </c>
      <c r="N304" s="2" t="s">
        <v>181</v>
      </c>
      <c r="O304" s="2" t="s">
        <v>34</v>
      </c>
      <c r="P304" s="2" t="s">
        <v>2123</v>
      </c>
      <c r="Q304" s="2" t="s">
        <v>52</v>
      </c>
      <c r="R304" s="2" t="s">
        <v>36</v>
      </c>
      <c r="S304" s="2" t="s">
        <v>36</v>
      </c>
      <c r="T304" s="2" t="s">
        <v>36</v>
      </c>
      <c r="U304" s="2" t="s">
        <v>37</v>
      </c>
    </row>
    <row r="305" spans="1:21" x14ac:dyDescent="0.25">
      <c r="A305" s="2" t="s">
        <v>2124</v>
      </c>
      <c r="B305" s="2" t="s">
        <v>22</v>
      </c>
      <c r="C305" s="2" t="s">
        <v>851</v>
      </c>
      <c r="D305" s="2" t="s">
        <v>24</v>
      </c>
      <c r="E305" s="2" t="s">
        <v>2125</v>
      </c>
      <c r="F305" s="2" t="s">
        <v>2126</v>
      </c>
      <c r="G305" s="2" t="s">
        <v>2127</v>
      </c>
      <c r="H305" s="2" t="s">
        <v>2128</v>
      </c>
      <c r="I305" s="2"/>
      <c r="J305" s="2" t="s">
        <v>387</v>
      </c>
      <c r="K305" s="2" t="s">
        <v>388</v>
      </c>
      <c r="L305" s="2" t="s">
        <v>389</v>
      </c>
      <c r="M305" s="2" t="s">
        <v>242</v>
      </c>
      <c r="N305" s="2" t="s">
        <v>91</v>
      </c>
      <c r="O305" s="2" t="s">
        <v>243</v>
      </c>
      <c r="P305" s="2" t="s">
        <v>2129</v>
      </c>
      <c r="Q305" s="2" t="s">
        <v>4</v>
      </c>
      <c r="R305" s="2" t="s">
        <v>36</v>
      </c>
      <c r="S305" s="2" t="s">
        <v>36</v>
      </c>
      <c r="T305" s="2" t="s">
        <v>37</v>
      </c>
      <c r="U305" s="2" t="s">
        <v>36</v>
      </c>
    </row>
    <row r="306" spans="1:21" x14ac:dyDescent="0.25">
      <c r="A306" s="2" t="s">
        <v>2130</v>
      </c>
      <c r="B306" s="2" t="s">
        <v>170</v>
      </c>
      <c r="C306" s="2" t="s">
        <v>1310</v>
      </c>
      <c r="D306" s="2" t="s">
        <v>554</v>
      </c>
      <c r="E306" s="2" t="s">
        <v>2131</v>
      </c>
      <c r="F306" s="2" t="s">
        <v>2132</v>
      </c>
      <c r="G306" s="2" t="s">
        <v>2133</v>
      </c>
      <c r="H306" s="2" t="s">
        <v>2134</v>
      </c>
      <c r="I306" s="2"/>
      <c r="J306" s="2" t="s">
        <v>668</v>
      </c>
      <c r="K306" s="2" t="s">
        <v>669</v>
      </c>
      <c r="L306" s="2" t="s">
        <v>670</v>
      </c>
      <c r="M306" s="2" t="s">
        <v>32</v>
      </c>
      <c r="N306" s="2" t="s">
        <v>153</v>
      </c>
      <c r="O306" s="2" t="s">
        <v>243</v>
      </c>
      <c r="P306" s="2" t="s">
        <v>2135</v>
      </c>
      <c r="Q306" s="2" t="s">
        <v>4</v>
      </c>
      <c r="R306" s="2" t="s">
        <v>37</v>
      </c>
      <c r="S306" s="2" t="s">
        <v>36</v>
      </c>
      <c r="T306" s="2" t="s">
        <v>37</v>
      </c>
      <c r="U306" s="2" t="s">
        <v>37</v>
      </c>
    </row>
    <row r="307" spans="1:21" x14ac:dyDescent="0.25">
      <c r="A307" s="2" t="s">
        <v>2136</v>
      </c>
      <c r="B307" s="2" t="s">
        <v>131</v>
      </c>
      <c r="C307" s="2" t="s">
        <v>1411</v>
      </c>
      <c r="D307" s="2" t="s">
        <v>205</v>
      </c>
      <c r="E307" s="2" t="s">
        <v>2137</v>
      </c>
      <c r="F307" s="2" t="s">
        <v>2138</v>
      </c>
      <c r="G307" s="2" t="s">
        <v>2139</v>
      </c>
      <c r="H307" s="2" t="s">
        <v>2140</v>
      </c>
      <c r="I307" s="2"/>
      <c r="J307" s="2" t="s">
        <v>177</v>
      </c>
      <c r="K307" s="2" t="s">
        <v>178</v>
      </c>
      <c r="L307" s="2" t="s">
        <v>372</v>
      </c>
      <c r="M307" s="2" t="s">
        <v>32</v>
      </c>
      <c r="N307" s="2" t="s">
        <v>91</v>
      </c>
      <c r="O307" s="2" t="s">
        <v>141</v>
      </c>
      <c r="P307" s="2" t="s">
        <v>2141</v>
      </c>
      <c r="Q307" s="2" t="s">
        <v>4</v>
      </c>
      <c r="R307" s="2" t="s">
        <v>36</v>
      </c>
      <c r="S307" s="2" t="s">
        <v>36</v>
      </c>
      <c r="T307" s="2" t="s">
        <v>37</v>
      </c>
      <c r="U307" s="2" t="s">
        <v>36</v>
      </c>
    </row>
    <row r="308" spans="1:21" x14ac:dyDescent="0.25">
      <c r="A308" s="2" t="s">
        <v>2142</v>
      </c>
      <c r="B308" s="2" t="s">
        <v>235</v>
      </c>
      <c r="C308" s="2" t="s">
        <v>548</v>
      </c>
      <c r="D308" s="2" t="s">
        <v>1323</v>
      </c>
      <c r="E308" s="2" t="s">
        <v>2143</v>
      </c>
      <c r="F308" s="2" t="s">
        <v>2144</v>
      </c>
      <c r="G308" s="2" t="s">
        <v>2145</v>
      </c>
      <c r="H308" s="2" t="s">
        <v>2146</v>
      </c>
      <c r="I308" s="2"/>
      <c r="J308" s="2" t="s">
        <v>100</v>
      </c>
      <c r="K308" s="2" t="s">
        <v>101</v>
      </c>
      <c r="L308" s="2" t="s">
        <v>343</v>
      </c>
      <c r="M308" s="2" t="s">
        <v>32</v>
      </c>
      <c r="N308" s="2" t="s">
        <v>91</v>
      </c>
      <c r="O308" s="2" t="s">
        <v>141</v>
      </c>
      <c r="P308" s="2" t="s">
        <v>2147</v>
      </c>
      <c r="Q308" s="2" t="s">
        <v>4</v>
      </c>
      <c r="R308" s="2" t="s">
        <v>36</v>
      </c>
      <c r="S308" s="2" t="s">
        <v>36</v>
      </c>
      <c r="T308" s="2" t="s">
        <v>36</v>
      </c>
      <c r="U308" s="2" t="s">
        <v>37</v>
      </c>
    </row>
    <row r="309" spans="1:21" x14ac:dyDescent="0.25">
      <c r="A309" s="2" t="s">
        <v>2148</v>
      </c>
      <c r="B309" s="2" t="s">
        <v>235</v>
      </c>
      <c r="C309" s="2" t="s">
        <v>818</v>
      </c>
      <c r="D309" s="2" t="s">
        <v>902</v>
      </c>
      <c r="E309" s="2" t="s">
        <v>2149</v>
      </c>
      <c r="F309" s="2" t="s">
        <v>2150</v>
      </c>
      <c r="G309" s="2" t="s">
        <v>2151</v>
      </c>
      <c r="H309" s="2" t="s">
        <v>2152</v>
      </c>
      <c r="I309" s="2"/>
      <c r="J309" s="2" t="s">
        <v>252</v>
      </c>
      <c r="K309" s="2" t="s">
        <v>253</v>
      </c>
      <c r="L309" s="2" t="s">
        <v>254</v>
      </c>
      <c r="M309" s="2" t="s">
        <v>32</v>
      </c>
      <c r="N309" s="2" t="s">
        <v>153</v>
      </c>
      <c r="O309" s="2" t="s">
        <v>192</v>
      </c>
      <c r="P309" s="2" t="s">
        <v>2153</v>
      </c>
      <c r="Q309" s="2" t="s">
        <v>4</v>
      </c>
      <c r="R309" s="2" t="s">
        <v>36</v>
      </c>
      <c r="S309" s="2" t="s">
        <v>37</v>
      </c>
      <c r="T309" s="2" t="s">
        <v>37</v>
      </c>
      <c r="U309" s="2" t="s">
        <v>36</v>
      </c>
    </row>
    <row r="310" spans="1:21" x14ac:dyDescent="0.25">
      <c r="A310" s="2" t="s">
        <v>2154</v>
      </c>
      <c r="B310" s="2" t="s">
        <v>195</v>
      </c>
      <c r="C310" s="2" t="s">
        <v>488</v>
      </c>
      <c r="D310" s="2" t="s">
        <v>755</v>
      </c>
      <c r="E310" s="2" t="s">
        <v>2155</v>
      </c>
      <c r="F310" s="2" t="s">
        <v>2156</v>
      </c>
      <c r="G310" s="2"/>
      <c r="H310" s="2" t="s">
        <v>2157</v>
      </c>
      <c r="I310" s="2"/>
      <c r="J310" s="2" t="s">
        <v>668</v>
      </c>
      <c r="K310" s="2" t="s">
        <v>669</v>
      </c>
      <c r="L310" s="2" t="s">
        <v>670</v>
      </c>
      <c r="M310" s="2" t="s">
        <v>103</v>
      </c>
      <c r="N310" s="2" t="s">
        <v>153</v>
      </c>
      <c r="O310" s="2" t="s">
        <v>192</v>
      </c>
      <c r="P310" s="2" t="s">
        <v>2158</v>
      </c>
      <c r="Q310" s="2" t="s">
        <v>5</v>
      </c>
      <c r="R310" s="2" t="s">
        <v>36</v>
      </c>
      <c r="S310" s="2" t="s">
        <v>36</v>
      </c>
      <c r="T310" s="2" t="s">
        <v>36</v>
      </c>
      <c r="U310" s="2" t="s">
        <v>37</v>
      </c>
    </row>
    <row r="311" spans="1:21" x14ac:dyDescent="0.25">
      <c r="A311" s="2" t="s">
        <v>2159</v>
      </c>
      <c r="B311" s="2" t="s">
        <v>54</v>
      </c>
      <c r="C311" s="2" t="s">
        <v>673</v>
      </c>
      <c r="D311" s="2" t="s">
        <v>1323</v>
      </c>
      <c r="E311" s="2"/>
      <c r="F311" s="2" t="s">
        <v>2160</v>
      </c>
      <c r="G311" s="2"/>
      <c r="H311" s="2" t="s">
        <v>2161</v>
      </c>
      <c r="I311" s="2"/>
      <c r="J311" s="2" t="s">
        <v>113</v>
      </c>
      <c r="K311" s="2" t="s">
        <v>114</v>
      </c>
      <c r="L311" s="2" t="s">
        <v>115</v>
      </c>
      <c r="M311" s="2" t="s">
        <v>191</v>
      </c>
      <c r="N311" s="2" t="s">
        <v>181</v>
      </c>
      <c r="O311" s="2" t="s">
        <v>66</v>
      </c>
      <c r="P311" s="2" t="s">
        <v>2162</v>
      </c>
      <c r="Q311" s="2" t="s">
        <v>5</v>
      </c>
      <c r="R311" s="2" t="s">
        <v>36</v>
      </c>
      <c r="S311" s="2" t="s">
        <v>37</v>
      </c>
      <c r="T311" s="2" t="s">
        <v>37</v>
      </c>
      <c r="U311" s="2" t="s">
        <v>37</v>
      </c>
    </row>
    <row r="312" spans="1:21" x14ac:dyDescent="0.25">
      <c r="A312" s="2" t="s">
        <v>2163</v>
      </c>
      <c r="B312" s="2" t="s">
        <v>22</v>
      </c>
      <c r="C312" s="2" t="s">
        <v>573</v>
      </c>
      <c r="D312" s="2" t="s">
        <v>145</v>
      </c>
      <c r="E312" s="2" t="s">
        <v>2164</v>
      </c>
      <c r="F312" s="2" t="s">
        <v>2165</v>
      </c>
      <c r="G312" s="2" t="s">
        <v>2166</v>
      </c>
      <c r="H312" s="2" t="s">
        <v>2167</v>
      </c>
      <c r="I312" s="2"/>
      <c r="J312" s="2" t="s">
        <v>509</v>
      </c>
      <c r="K312" s="2" t="s">
        <v>510</v>
      </c>
      <c r="L312" s="2" t="s">
        <v>511</v>
      </c>
      <c r="M312" s="2" t="s">
        <v>32</v>
      </c>
      <c r="N312" s="2" t="s">
        <v>167</v>
      </c>
      <c r="O312" s="2" t="s">
        <v>34</v>
      </c>
      <c r="P312" s="2" t="s">
        <v>2168</v>
      </c>
      <c r="Q312" s="2" t="s">
        <v>52</v>
      </c>
      <c r="R312" s="2" t="s">
        <v>36</v>
      </c>
      <c r="S312" s="2" t="s">
        <v>36</v>
      </c>
      <c r="T312" s="2" t="s">
        <v>36</v>
      </c>
      <c r="U312" s="2" t="s">
        <v>37</v>
      </c>
    </row>
    <row r="313" spans="1:21" x14ac:dyDescent="0.25">
      <c r="A313" s="2" t="s">
        <v>2169</v>
      </c>
      <c r="B313" s="2" t="s">
        <v>54</v>
      </c>
      <c r="C313" s="2" t="s">
        <v>144</v>
      </c>
      <c r="D313" s="2" t="s">
        <v>2170</v>
      </c>
      <c r="E313" s="2" t="s">
        <v>2171</v>
      </c>
      <c r="F313" s="2" t="s">
        <v>2172</v>
      </c>
      <c r="G313" s="2" t="s">
        <v>2173</v>
      </c>
      <c r="H313" s="2" t="s">
        <v>2174</v>
      </c>
      <c r="I313" s="2"/>
      <c r="J313" s="2" t="s">
        <v>229</v>
      </c>
      <c r="K313" s="2" t="s">
        <v>230</v>
      </c>
      <c r="L313" s="2" t="s">
        <v>231</v>
      </c>
      <c r="M313" s="2" t="s">
        <v>79</v>
      </c>
      <c r="N313" s="2" t="s">
        <v>153</v>
      </c>
      <c r="O313" s="2" t="s">
        <v>50</v>
      </c>
      <c r="P313" s="2" t="s">
        <v>2175</v>
      </c>
      <c r="Q313" s="2" t="s">
        <v>5</v>
      </c>
      <c r="R313" s="2" t="s">
        <v>36</v>
      </c>
      <c r="S313" s="2" t="s">
        <v>36</v>
      </c>
      <c r="T313" s="2" t="s">
        <v>36</v>
      </c>
      <c r="U313" s="2" t="s">
        <v>36</v>
      </c>
    </row>
    <row r="314" spans="1:21" x14ac:dyDescent="0.25">
      <c r="A314" s="2" t="s">
        <v>2176</v>
      </c>
      <c r="B314" s="2" t="s">
        <v>22</v>
      </c>
      <c r="C314" s="2" t="s">
        <v>481</v>
      </c>
      <c r="D314" s="2" t="s">
        <v>197</v>
      </c>
      <c r="E314" s="2" t="s">
        <v>2177</v>
      </c>
      <c r="F314" s="2" t="s">
        <v>2178</v>
      </c>
      <c r="G314" s="2" t="s">
        <v>2179</v>
      </c>
      <c r="H314" s="2" t="s">
        <v>2180</v>
      </c>
      <c r="I314" s="2"/>
      <c r="J314" s="2" t="s">
        <v>693</v>
      </c>
      <c r="K314" s="2" t="s">
        <v>694</v>
      </c>
      <c r="L314" s="2" t="s">
        <v>695</v>
      </c>
      <c r="M314" s="2" t="s">
        <v>242</v>
      </c>
      <c r="N314" s="2" t="s">
        <v>153</v>
      </c>
      <c r="O314" s="2" t="s">
        <v>50</v>
      </c>
      <c r="P314" s="2" t="s">
        <v>2181</v>
      </c>
      <c r="Q314" s="2" t="s">
        <v>105</v>
      </c>
      <c r="R314" s="2" t="s">
        <v>37</v>
      </c>
      <c r="S314" s="2" t="s">
        <v>37</v>
      </c>
      <c r="T314" s="2" t="s">
        <v>37</v>
      </c>
      <c r="U314" s="2" t="s">
        <v>37</v>
      </c>
    </row>
    <row r="315" spans="1:21" x14ac:dyDescent="0.25">
      <c r="A315" s="2" t="s">
        <v>2182</v>
      </c>
      <c r="B315" s="2" t="s">
        <v>54</v>
      </c>
      <c r="C315" s="2" t="s">
        <v>1297</v>
      </c>
      <c r="D315" s="2" t="s">
        <v>449</v>
      </c>
      <c r="E315" s="2" t="s">
        <v>2183</v>
      </c>
      <c r="F315" s="2" t="s">
        <v>2184</v>
      </c>
      <c r="G315" s="2" t="s">
        <v>2185</v>
      </c>
      <c r="H315" s="2" t="s">
        <v>2186</v>
      </c>
      <c r="I315" s="2"/>
      <c r="J315" s="2" t="s">
        <v>668</v>
      </c>
      <c r="K315" s="2" t="s">
        <v>669</v>
      </c>
      <c r="L315" s="2" t="s">
        <v>670</v>
      </c>
      <c r="M315" s="2" t="s">
        <v>191</v>
      </c>
      <c r="N315" s="2" t="s">
        <v>65</v>
      </c>
      <c r="O315" s="2" t="s">
        <v>243</v>
      </c>
      <c r="P315" s="2" t="s">
        <v>2187</v>
      </c>
      <c r="Q315" s="2" t="s">
        <v>5</v>
      </c>
      <c r="R315" s="2" t="s">
        <v>36</v>
      </c>
      <c r="S315" s="2" t="s">
        <v>36</v>
      </c>
      <c r="T315" s="2" t="s">
        <v>37</v>
      </c>
      <c r="U315" s="2" t="s">
        <v>37</v>
      </c>
    </row>
    <row r="316" spans="1:21" x14ac:dyDescent="0.25">
      <c r="A316" s="2" t="s">
        <v>2188</v>
      </c>
      <c r="B316" s="2" t="s">
        <v>184</v>
      </c>
      <c r="C316" s="2" t="s">
        <v>503</v>
      </c>
      <c r="D316" s="2" t="s">
        <v>1696</v>
      </c>
      <c r="E316" s="2" t="s">
        <v>2189</v>
      </c>
      <c r="F316" s="2" t="s">
        <v>2190</v>
      </c>
      <c r="G316" s="2" t="s">
        <v>2191</v>
      </c>
      <c r="H316" s="2" t="s">
        <v>2192</v>
      </c>
      <c r="I316" s="2"/>
      <c r="J316" s="2" t="s">
        <v>88</v>
      </c>
      <c r="K316" s="2" t="s">
        <v>89</v>
      </c>
      <c r="L316" s="2" t="s">
        <v>90</v>
      </c>
      <c r="M316" s="2" t="s">
        <v>64</v>
      </c>
      <c r="N316" s="2" t="s">
        <v>117</v>
      </c>
      <c r="O316" s="2" t="s">
        <v>34</v>
      </c>
      <c r="P316" s="2" t="s">
        <v>2193</v>
      </c>
      <c r="Q316" s="2" t="s">
        <v>4</v>
      </c>
      <c r="R316" s="2" t="s">
        <v>37</v>
      </c>
      <c r="S316" s="2" t="s">
        <v>36</v>
      </c>
      <c r="T316" s="2" t="s">
        <v>37</v>
      </c>
      <c r="U316" s="2" t="s">
        <v>36</v>
      </c>
    </row>
    <row r="317" spans="1:21" x14ac:dyDescent="0.25">
      <c r="A317" s="2" t="s">
        <v>2194</v>
      </c>
      <c r="B317" s="2" t="s">
        <v>69</v>
      </c>
      <c r="C317" s="2" t="s">
        <v>237</v>
      </c>
      <c r="D317" s="2" t="s">
        <v>504</v>
      </c>
      <c r="E317" s="2" t="s">
        <v>2195</v>
      </c>
      <c r="F317" s="2" t="s">
        <v>2196</v>
      </c>
      <c r="G317" s="2" t="s">
        <v>2197</v>
      </c>
      <c r="H317" s="2" t="s">
        <v>2198</v>
      </c>
      <c r="I317" s="2"/>
      <c r="J317" s="2" t="s">
        <v>319</v>
      </c>
      <c r="K317" s="2" t="s">
        <v>320</v>
      </c>
      <c r="L317" s="2" t="s">
        <v>321</v>
      </c>
      <c r="M317" s="2" t="s">
        <v>116</v>
      </c>
      <c r="N317" s="2" t="s">
        <v>91</v>
      </c>
      <c r="O317" s="2" t="s">
        <v>66</v>
      </c>
      <c r="P317" s="2" t="s">
        <v>2199</v>
      </c>
      <c r="Q317" s="2" t="s">
        <v>4</v>
      </c>
      <c r="R317" s="2" t="s">
        <v>36</v>
      </c>
      <c r="S317" s="2" t="s">
        <v>36</v>
      </c>
      <c r="T317" s="2" t="s">
        <v>36</v>
      </c>
      <c r="U317" s="2" t="s">
        <v>37</v>
      </c>
    </row>
    <row r="318" spans="1:21" x14ac:dyDescent="0.25">
      <c r="A318" s="2" t="s">
        <v>2200</v>
      </c>
      <c r="B318" s="2" t="s">
        <v>131</v>
      </c>
      <c r="C318" s="2" t="s">
        <v>196</v>
      </c>
      <c r="D318" s="2" t="s">
        <v>630</v>
      </c>
      <c r="E318" s="2" t="s">
        <v>2201</v>
      </c>
      <c r="F318" s="2" t="s">
        <v>2202</v>
      </c>
      <c r="G318" s="2" t="s">
        <v>2203</v>
      </c>
      <c r="H318" s="2" t="s">
        <v>2204</v>
      </c>
      <c r="I318" s="2"/>
      <c r="J318" s="2" t="s">
        <v>419</v>
      </c>
      <c r="K318" s="2" t="s">
        <v>420</v>
      </c>
      <c r="L318" s="2"/>
      <c r="M318" s="2" t="s">
        <v>32</v>
      </c>
      <c r="N318" s="2" t="s">
        <v>33</v>
      </c>
      <c r="O318" s="2" t="s">
        <v>192</v>
      </c>
      <c r="P318" s="2" t="s">
        <v>2205</v>
      </c>
      <c r="Q318" s="2" t="s">
        <v>4</v>
      </c>
      <c r="R318" s="2" t="s">
        <v>36</v>
      </c>
      <c r="S318" s="2" t="s">
        <v>37</v>
      </c>
      <c r="T318" s="2" t="s">
        <v>36</v>
      </c>
      <c r="U318" s="2" t="s">
        <v>37</v>
      </c>
    </row>
    <row r="319" spans="1:21" x14ac:dyDescent="0.25">
      <c r="A319" s="2" t="s">
        <v>2206</v>
      </c>
      <c r="B319" s="2" t="s">
        <v>69</v>
      </c>
      <c r="C319" s="2" t="s">
        <v>144</v>
      </c>
      <c r="D319" s="2" t="s">
        <v>186</v>
      </c>
      <c r="E319" s="2" t="s">
        <v>2207</v>
      </c>
      <c r="F319" s="2" t="s">
        <v>2208</v>
      </c>
      <c r="G319" s="2" t="s">
        <v>2209</v>
      </c>
      <c r="H319" s="2" t="s">
        <v>2210</v>
      </c>
      <c r="I319" s="2"/>
      <c r="J319" s="2" t="s">
        <v>138</v>
      </c>
      <c r="K319" s="2" t="s">
        <v>139</v>
      </c>
      <c r="L319" s="2" t="s">
        <v>140</v>
      </c>
      <c r="M319" s="2" t="s">
        <v>116</v>
      </c>
      <c r="N319" s="2" t="s">
        <v>49</v>
      </c>
      <c r="O319" s="2" t="s">
        <v>141</v>
      </c>
      <c r="P319" s="2" t="s">
        <v>2211</v>
      </c>
      <c r="Q319" s="2" t="s">
        <v>93</v>
      </c>
      <c r="R319" s="2" t="s">
        <v>36</v>
      </c>
      <c r="S319" s="2" t="s">
        <v>1662</v>
      </c>
      <c r="T319" s="2" t="s">
        <v>36</v>
      </c>
      <c r="U319" s="2" t="s">
        <v>37</v>
      </c>
    </row>
    <row r="320" spans="1:21" x14ac:dyDescent="0.25">
      <c r="A320" s="2" t="s">
        <v>2212</v>
      </c>
      <c r="B320" s="2"/>
      <c r="C320" s="2" t="s">
        <v>204</v>
      </c>
      <c r="D320" s="2" t="s">
        <v>435</v>
      </c>
      <c r="E320" s="2" t="s">
        <v>2213</v>
      </c>
      <c r="F320" s="2" t="s">
        <v>2214</v>
      </c>
      <c r="G320" s="2" t="s">
        <v>2215</v>
      </c>
      <c r="H320" s="2" t="s">
        <v>2216</v>
      </c>
      <c r="I320" s="2"/>
      <c r="J320" s="2" t="s">
        <v>454</v>
      </c>
      <c r="K320" s="2" t="s">
        <v>455</v>
      </c>
      <c r="L320" s="2" t="s">
        <v>456</v>
      </c>
      <c r="M320" s="2" t="s">
        <v>232</v>
      </c>
      <c r="N320" s="2" t="s">
        <v>49</v>
      </c>
      <c r="O320" s="2" t="s">
        <v>66</v>
      </c>
      <c r="P320" s="2" t="s">
        <v>2217</v>
      </c>
      <c r="Q320" s="2" t="s">
        <v>93</v>
      </c>
      <c r="R320" s="2" t="s">
        <v>36</v>
      </c>
      <c r="S320" s="2" t="s">
        <v>36</v>
      </c>
      <c r="T320" s="2" t="s">
        <v>36</v>
      </c>
      <c r="U320" s="2" t="s">
        <v>37</v>
      </c>
    </row>
    <row r="321" spans="1:21" x14ac:dyDescent="0.25">
      <c r="A321" s="2" t="s">
        <v>2218</v>
      </c>
      <c r="B321" s="2" t="s">
        <v>184</v>
      </c>
      <c r="C321" s="2" t="s">
        <v>1267</v>
      </c>
      <c r="D321" s="2" t="s">
        <v>536</v>
      </c>
      <c r="E321" s="2" t="s">
        <v>2219</v>
      </c>
      <c r="F321" s="2" t="s">
        <v>2220</v>
      </c>
      <c r="G321" s="2" t="s">
        <v>2221</v>
      </c>
      <c r="H321" s="2" t="s">
        <v>2222</v>
      </c>
      <c r="I321" s="2"/>
      <c r="J321" s="2" t="s">
        <v>76</v>
      </c>
      <c r="K321" s="2" t="s">
        <v>77</v>
      </c>
      <c r="L321" s="2" t="s">
        <v>78</v>
      </c>
      <c r="M321" s="2" t="s">
        <v>116</v>
      </c>
      <c r="N321" s="2" t="s">
        <v>49</v>
      </c>
      <c r="O321" s="2" t="s">
        <v>154</v>
      </c>
      <c r="P321" s="2" t="s">
        <v>2223</v>
      </c>
      <c r="Q321" s="2" t="s">
        <v>5</v>
      </c>
      <c r="R321" s="2" t="s">
        <v>36</v>
      </c>
      <c r="S321" s="2" t="s">
        <v>36</v>
      </c>
      <c r="T321" s="2" t="s">
        <v>36</v>
      </c>
      <c r="U321" s="2" t="s">
        <v>36</v>
      </c>
    </row>
    <row r="322" spans="1:21" x14ac:dyDescent="0.25">
      <c r="A322" s="2" t="s">
        <v>2224</v>
      </c>
      <c r="B322" s="2"/>
      <c r="C322" s="2" t="s">
        <v>459</v>
      </c>
      <c r="D322" s="2" t="s">
        <v>1696</v>
      </c>
      <c r="E322" s="2" t="s">
        <v>2225</v>
      </c>
      <c r="F322" s="2" t="s">
        <v>2226</v>
      </c>
      <c r="G322" s="2" t="s">
        <v>2227</v>
      </c>
      <c r="H322" s="2" t="s">
        <v>2228</v>
      </c>
      <c r="I322" s="2"/>
      <c r="J322" s="2" t="s">
        <v>100</v>
      </c>
      <c r="K322" s="2" t="s">
        <v>101</v>
      </c>
      <c r="L322" s="2" t="s">
        <v>343</v>
      </c>
      <c r="M322" s="2" t="s">
        <v>116</v>
      </c>
      <c r="N322" s="2" t="s">
        <v>117</v>
      </c>
      <c r="O322" s="2" t="s">
        <v>50</v>
      </c>
      <c r="P322" s="2" t="s">
        <v>2229</v>
      </c>
      <c r="Q322" s="2" t="s">
        <v>52</v>
      </c>
      <c r="R322" s="2" t="s">
        <v>36</v>
      </c>
      <c r="S322" s="2" t="s">
        <v>36</v>
      </c>
      <c r="T322" s="2" t="s">
        <v>37</v>
      </c>
      <c r="U322" s="2" t="s">
        <v>37</v>
      </c>
    </row>
    <row r="323" spans="1:21" x14ac:dyDescent="0.25">
      <c r="A323" s="2" t="s">
        <v>2230</v>
      </c>
      <c r="B323" s="2" t="s">
        <v>235</v>
      </c>
      <c r="C323" s="2" t="s">
        <v>132</v>
      </c>
      <c r="D323" s="2" t="s">
        <v>473</v>
      </c>
      <c r="E323" s="2" t="s">
        <v>2231</v>
      </c>
      <c r="F323" s="2" t="s">
        <v>2232</v>
      </c>
      <c r="G323" s="2" t="s">
        <v>2233</v>
      </c>
      <c r="H323" s="2" t="s">
        <v>2116</v>
      </c>
      <c r="I323" s="2"/>
      <c r="J323" s="2" t="s">
        <v>252</v>
      </c>
      <c r="K323" s="2" t="s">
        <v>253</v>
      </c>
      <c r="L323" s="2" t="s">
        <v>254</v>
      </c>
      <c r="M323" s="2" t="s">
        <v>32</v>
      </c>
      <c r="N323" s="2" t="s">
        <v>181</v>
      </c>
      <c r="O323" s="2" t="s">
        <v>66</v>
      </c>
      <c r="P323" s="2" t="s">
        <v>2234</v>
      </c>
      <c r="Q323" s="2" t="s">
        <v>4</v>
      </c>
      <c r="R323" s="2" t="s">
        <v>36</v>
      </c>
      <c r="S323" s="2" t="s">
        <v>36</v>
      </c>
      <c r="T323" s="2" t="s">
        <v>37</v>
      </c>
      <c r="U323" s="2" t="s">
        <v>37</v>
      </c>
    </row>
    <row r="324" spans="1:21" x14ac:dyDescent="0.25">
      <c r="A324" s="2" t="s">
        <v>2235</v>
      </c>
      <c r="B324" s="2" t="s">
        <v>184</v>
      </c>
      <c r="C324" s="2" t="s">
        <v>1001</v>
      </c>
      <c r="D324" s="2" t="s">
        <v>870</v>
      </c>
      <c r="E324" s="2" t="s">
        <v>2236</v>
      </c>
      <c r="F324" s="2" t="s">
        <v>2237</v>
      </c>
      <c r="G324" s="2" t="s">
        <v>2238</v>
      </c>
      <c r="H324" s="2" t="s">
        <v>1895</v>
      </c>
      <c r="I324" s="2"/>
      <c r="J324" s="2" t="s">
        <v>163</v>
      </c>
      <c r="K324" s="2" t="s">
        <v>164</v>
      </c>
      <c r="L324" s="2" t="s">
        <v>165</v>
      </c>
      <c r="M324" s="2" t="s">
        <v>79</v>
      </c>
      <c r="N324" s="2" t="s">
        <v>33</v>
      </c>
      <c r="O324" s="2" t="s">
        <v>154</v>
      </c>
      <c r="P324" s="2" t="s">
        <v>2239</v>
      </c>
      <c r="Q324" s="2" t="s">
        <v>4</v>
      </c>
      <c r="R324" s="2" t="s">
        <v>36</v>
      </c>
      <c r="S324" s="2" t="s">
        <v>36</v>
      </c>
      <c r="T324" s="2" t="s">
        <v>37</v>
      </c>
      <c r="U324" s="2" t="s">
        <v>36</v>
      </c>
    </row>
    <row r="325" spans="1:21" x14ac:dyDescent="0.25">
      <c r="A325" s="2" t="s">
        <v>2240</v>
      </c>
      <c r="B325" s="2"/>
      <c r="C325" s="2" t="s">
        <v>968</v>
      </c>
      <c r="D325" s="2" t="s">
        <v>1154</v>
      </c>
      <c r="E325" s="2" t="s">
        <v>2241</v>
      </c>
      <c r="F325" s="2" t="s">
        <v>2242</v>
      </c>
      <c r="G325" s="2" t="s">
        <v>2243</v>
      </c>
      <c r="H325" s="2" t="s">
        <v>2244</v>
      </c>
      <c r="I325" s="2"/>
      <c r="J325" s="2" t="s">
        <v>1285</v>
      </c>
      <c r="K325" s="2" t="s">
        <v>1286</v>
      </c>
      <c r="L325" s="2" t="s">
        <v>1287</v>
      </c>
      <c r="M325" s="2" t="s">
        <v>232</v>
      </c>
      <c r="N325" s="2" t="s">
        <v>181</v>
      </c>
      <c r="O325" s="2" t="s">
        <v>243</v>
      </c>
      <c r="P325" s="2" t="s">
        <v>2245</v>
      </c>
      <c r="Q325" s="2" t="s">
        <v>4</v>
      </c>
      <c r="R325" s="2" t="s">
        <v>36</v>
      </c>
      <c r="S325" s="2" t="s">
        <v>36</v>
      </c>
      <c r="T325" s="2" t="s">
        <v>37</v>
      </c>
      <c r="U325" s="2" t="s">
        <v>37</v>
      </c>
    </row>
    <row r="326" spans="1:21" x14ac:dyDescent="0.25">
      <c r="A326" s="2" t="s">
        <v>2246</v>
      </c>
      <c r="B326" s="2" t="s">
        <v>69</v>
      </c>
      <c r="C326" s="2" t="s">
        <v>157</v>
      </c>
      <c r="D326" s="2" t="s">
        <v>41</v>
      </c>
      <c r="E326" s="2" t="s">
        <v>2247</v>
      </c>
      <c r="F326" s="2" t="s">
        <v>2248</v>
      </c>
      <c r="G326" s="2" t="s">
        <v>2249</v>
      </c>
      <c r="H326" s="2" t="s">
        <v>2250</v>
      </c>
      <c r="I326" s="2"/>
      <c r="J326" s="2" t="s">
        <v>454</v>
      </c>
      <c r="K326" s="2" t="s">
        <v>455</v>
      </c>
      <c r="L326" s="2" t="s">
        <v>456</v>
      </c>
      <c r="M326" s="2" t="s">
        <v>191</v>
      </c>
      <c r="N326" s="2" t="s">
        <v>49</v>
      </c>
      <c r="O326" s="2" t="s">
        <v>192</v>
      </c>
      <c r="P326" s="2" t="s">
        <v>2251</v>
      </c>
      <c r="Q326" s="2" t="s">
        <v>4</v>
      </c>
      <c r="R326" s="2" t="s">
        <v>36</v>
      </c>
      <c r="S326" s="2" t="s">
        <v>36</v>
      </c>
      <c r="T326" s="2" t="s">
        <v>37</v>
      </c>
      <c r="U326" s="2" t="s">
        <v>37</v>
      </c>
    </row>
    <row r="327" spans="1:21" x14ac:dyDescent="0.25">
      <c r="A327" s="2" t="s">
        <v>2252</v>
      </c>
      <c r="B327" s="2" t="s">
        <v>184</v>
      </c>
      <c r="C327" s="2" t="s">
        <v>754</v>
      </c>
      <c r="D327" s="2" t="s">
        <v>425</v>
      </c>
      <c r="E327" s="2" t="s">
        <v>2253</v>
      </c>
      <c r="F327" s="2" t="s">
        <v>2254</v>
      </c>
      <c r="G327" s="2" t="s">
        <v>2255</v>
      </c>
      <c r="H327" s="2" t="s">
        <v>2161</v>
      </c>
      <c r="I327" s="2"/>
      <c r="J327" s="2" t="s">
        <v>585</v>
      </c>
      <c r="K327" s="2" t="s">
        <v>586</v>
      </c>
      <c r="L327" s="2" t="s">
        <v>587</v>
      </c>
      <c r="M327" s="2" t="s">
        <v>79</v>
      </c>
      <c r="N327" s="2" t="s">
        <v>33</v>
      </c>
      <c r="O327" s="2" t="s">
        <v>243</v>
      </c>
      <c r="P327" s="2" t="s">
        <v>2256</v>
      </c>
      <c r="Q327" s="2" t="s">
        <v>4</v>
      </c>
      <c r="R327" s="2" t="s">
        <v>36</v>
      </c>
      <c r="S327" s="2" t="s">
        <v>36</v>
      </c>
      <c r="T327" s="2" t="s">
        <v>36</v>
      </c>
      <c r="U327" s="2" t="s">
        <v>37</v>
      </c>
    </row>
    <row r="328" spans="1:21" x14ac:dyDescent="0.25">
      <c r="A328" s="2" t="s">
        <v>2257</v>
      </c>
      <c r="B328" s="2" t="s">
        <v>39</v>
      </c>
      <c r="C328" s="2" t="s">
        <v>566</v>
      </c>
      <c r="D328" s="2" t="s">
        <v>489</v>
      </c>
      <c r="E328" s="2" t="s">
        <v>2258</v>
      </c>
      <c r="F328" s="2" t="s">
        <v>2259</v>
      </c>
      <c r="G328" s="2" t="s">
        <v>2260</v>
      </c>
      <c r="H328" s="2" t="s">
        <v>2261</v>
      </c>
      <c r="I328" s="2"/>
      <c r="J328" s="2" t="s">
        <v>984</v>
      </c>
      <c r="K328" s="2" t="s">
        <v>62</v>
      </c>
      <c r="L328" s="2" t="s">
        <v>985</v>
      </c>
      <c r="M328" s="2" t="s">
        <v>166</v>
      </c>
      <c r="N328" s="2" t="s">
        <v>49</v>
      </c>
      <c r="O328" s="2" t="s">
        <v>243</v>
      </c>
      <c r="P328" s="2" t="s">
        <v>2262</v>
      </c>
      <c r="Q328" s="2" t="s">
        <v>52</v>
      </c>
      <c r="R328" s="2" t="s">
        <v>36</v>
      </c>
      <c r="S328" s="2" t="s">
        <v>36</v>
      </c>
      <c r="T328" s="2" t="s">
        <v>36</v>
      </c>
      <c r="U328" s="2" t="s">
        <v>36</v>
      </c>
    </row>
    <row r="329" spans="1:21" x14ac:dyDescent="0.25">
      <c r="A329" s="2" t="s">
        <v>2263</v>
      </c>
      <c r="B329" s="2" t="s">
        <v>170</v>
      </c>
      <c r="C329" s="2" t="s">
        <v>382</v>
      </c>
      <c r="D329" s="2" t="s">
        <v>489</v>
      </c>
      <c r="E329" s="2" t="s">
        <v>2264</v>
      </c>
      <c r="F329" s="2" t="s">
        <v>2265</v>
      </c>
      <c r="G329" s="2" t="s">
        <v>2266</v>
      </c>
      <c r="H329" s="2" t="s">
        <v>2267</v>
      </c>
      <c r="I329" s="2"/>
      <c r="J329" s="2" t="s">
        <v>100</v>
      </c>
      <c r="K329" s="2" t="s">
        <v>101</v>
      </c>
      <c r="L329" s="2" t="s">
        <v>343</v>
      </c>
      <c r="M329" s="2" t="s">
        <v>32</v>
      </c>
      <c r="N329" s="2" t="s">
        <v>117</v>
      </c>
      <c r="O329" s="2" t="s">
        <v>66</v>
      </c>
      <c r="P329" s="2" t="s">
        <v>1308</v>
      </c>
      <c r="Q329" s="2" t="s">
        <v>5</v>
      </c>
      <c r="R329" s="2" t="s">
        <v>36</v>
      </c>
      <c r="S329" s="2" t="s">
        <v>36</v>
      </c>
      <c r="T329" s="2" t="s">
        <v>37</v>
      </c>
      <c r="U329" s="2" t="s">
        <v>36</v>
      </c>
    </row>
    <row r="330" spans="1:21" x14ac:dyDescent="0.25">
      <c r="A330" s="2" t="s">
        <v>2268</v>
      </c>
      <c r="B330" s="2" t="s">
        <v>39</v>
      </c>
      <c r="C330" s="2" t="s">
        <v>324</v>
      </c>
      <c r="D330" s="2" t="s">
        <v>536</v>
      </c>
      <c r="E330" s="2"/>
      <c r="F330" s="2" t="s">
        <v>2269</v>
      </c>
      <c r="G330" s="2"/>
      <c r="H330" s="2" t="s">
        <v>2270</v>
      </c>
      <c r="I330" s="2"/>
      <c r="J330" s="2" t="s">
        <v>150</v>
      </c>
      <c r="K330" s="2" t="s">
        <v>151</v>
      </c>
      <c r="L330" s="2" t="s">
        <v>152</v>
      </c>
      <c r="M330" s="2" t="s">
        <v>64</v>
      </c>
      <c r="N330" s="2" t="s">
        <v>153</v>
      </c>
      <c r="O330" s="2" t="s">
        <v>66</v>
      </c>
      <c r="P330" s="2" t="s">
        <v>2271</v>
      </c>
      <c r="Q330" s="2" t="s">
        <v>93</v>
      </c>
      <c r="R330" s="2" t="s">
        <v>37</v>
      </c>
      <c r="S330" s="2" t="s">
        <v>36</v>
      </c>
      <c r="T330" s="2" t="s">
        <v>36</v>
      </c>
      <c r="U330" s="2" t="s">
        <v>36</v>
      </c>
    </row>
    <row r="331" spans="1:21" x14ac:dyDescent="0.25">
      <c r="A331" s="2" t="s">
        <v>2272</v>
      </c>
      <c r="B331" s="2" t="s">
        <v>54</v>
      </c>
      <c r="C331" s="2" t="s">
        <v>290</v>
      </c>
      <c r="D331" s="2" t="s">
        <v>614</v>
      </c>
      <c r="E331" s="2" t="s">
        <v>2273</v>
      </c>
      <c r="F331" s="2" t="s">
        <v>2274</v>
      </c>
      <c r="G331" s="2" t="s">
        <v>2275</v>
      </c>
      <c r="H331" s="2" t="s">
        <v>2276</v>
      </c>
      <c r="I331" s="2"/>
      <c r="J331" s="2" t="s">
        <v>429</v>
      </c>
      <c r="K331" s="2" t="s">
        <v>430</v>
      </c>
      <c r="L331" s="2" t="s">
        <v>431</v>
      </c>
      <c r="M331" s="2" t="s">
        <v>116</v>
      </c>
      <c r="N331" s="2" t="s">
        <v>117</v>
      </c>
      <c r="O331" s="2" t="s">
        <v>243</v>
      </c>
      <c r="P331" s="2" t="s">
        <v>2277</v>
      </c>
      <c r="Q331" s="2" t="s">
        <v>5</v>
      </c>
      <c r="R331" s="2" t="s">
        <v>36</v>
      </c>
      <c r="S331" s="2" t="s">
        <v>36</v>
      </c>
      <c r="T331" s="2" t="s">
        <v>36</v>
      </c>
      <c r="U331" s="2" t="s">
        <v>36</v>
      </c>
    </row>
    <row r="332" spans="1:21" x14ac:dyDescent="0.25">
      <c r="A332" s="2" t="s">
        <v>2278</v>
      </c>
      <c r="B332" s="2" t="s">
        <v>195</v>
      </c>
      <c r="C332" s="2" t="s">
        <v>392</v>
      </c>
      <c r="D332" s="2" t="s">
        <v>902</v>
      </c>
      <c r="E332" s="2" t="s">
        <v>2279</v>
      </c>
      <c r="F332" s="2" t="s">
        <v>2280</v>
      </c>
      <c r="G332" s="2" t="s">
        <v>2281</v>
      </c>
      <c r="H332" s="2" t="s">
        <v>2282</v>
      </c>
      <c r="I332" s="2"/>
      <c r="J332" s="2" t="s">
        <v>585</v>
      </c>
      <c r="K332" s="2" t="s">
        <v>586</v>
      </c>
      <c r="L332" s="2" t="s">
        <v>587</v>
      </c>
      <c r="M332" s="2" t="s">
        <v>32</v>
      </c>
      <c r="N332" s="2" t="s">
        <v>65</v>
      </c>
      <c r="O332" s="2" t="s">
        <v>192</v>
      </c>
      <c r="P332" s="2" t="s">
        <v>2283</v>
      </c>
      <c r="Q332" s="2" t="s">
        <v>93</v>
      </c>
      <c r="R332" s="2" t="s">
        <v>36</v>
      </c>
      <c r="S332" s="2" t="s">
        <v>36</v>
      </c>
      <c r="T332" s="2" t="s">
        <v>37</v>
      </c>
      <c r="U332" s="2" t="s">
        <v>37</v>
      </c>
    </row>
    <row r="333" spans="1:21" x14ac:dyDescent="0.25">
      <c r="A333" s="2" t="s">
        <v>2284</v>
      </c>
      <c r="B333" s="2" t="s">
        <v>54</v>
      </c>
      <c r="C333" s="2" t="s">
        <v>1118</v>
      </c>
      <c r="D333" s="2" t="s">
        <v>96</v>
      </c>
      <c r="E333" s="2" t="s">
        <v>2285</v>
      </c>
      <c r="F333" s="2" t="s">
        <v>2286</v>
      </c>
      <c r="G333" s="2"/>
      <c r="H333" s="2" t="s">
        <v>2287</v>
      </c>
      <c r="I333" s="2"/>
      <c r="J333" s="2" t="s">
        <v>625</v>
      </c>
      <c r="K333" s="2" t="s">
        <v>626</v>
      </c>
      <c r="L333" s="2" t="s">
        <v>627</v>
      </c>
      <c r="M333" s="2" t="s">
        <v>79</v>
      </c>
      <c r="N333" s="2" t="s">
        <v>153</v>
      </c>
      <c r="O333" s="2" t="s">
        <v>192</v>
      </c>
      <c r="P333" s="2" t="s">
        <v>2288</v>
      </c>
      <c r="Q333" s="2" t="s">
        <v>52</v>
      </c>
      <c r="R333" s="2" t="s">
        <v>37</v>
      </c>
      <c r="S333" s="2" t="s">
        <v>36</v>
      </c>
      <c r="T333" s="2" t="s">
        <v>36</v>
      </c>
      <c r="U333" s="2" t="s">
        <v>36</v>
      </c>
    </row>
    <row r="334" spans="1:21" x14ac:dyDescent="0.25">
      <c r="A334" s="2" t="s">
        <v>2289</v>
      </c>
      <c r="B334" s="2"/>
      <c r="C334" s="2" t="s">
        <v>403</v>
      </c>
      <c r="D334" s="2" t="s">
        <v>2290</v>
      </c>
      <c r="E334" s="2" t="s">
        <v>2291</v>
      </c>
      <c r="F334" s="2" t="s">
        <v>2292</v>
      </c>
      <c r="G334" s="2" t="s">
        <v>2293</v>
      </c>
      <c r="H334" s="2" t="s">
        <v>75</v>
      </c>
      <c r="I334" s="2"/>
      <c r="J334" s="2" t="s">
        <v>945</v>
      </c>
      <c r="K334" s="2" t="s">
        <v>946</v>
      </c>
      <c r="L334" s="2" t="s">
        <v>947</v>
      </c>
      <c r="M334" s="2" t="s">
        <v>103</v>
      </c>
      <c r="N334" s="2" t="s">
        <v>65</v>
      </c>
      <c r="O334" s="2" t="s">
        <v>50</v>
      </c>
      <c r="P334" s="2" t="s">
        <v>2294</v>
      </c>
      <c r="Q334" s="2" t="s">
        <v>4</v>
      </c>
      <c r="R334" s="2" t="s">
        <v>36</v>
      </c>
      <c r="S334" s="2" t="s">
        <v>36</v>
      </c>
      <c r="T334" s="2" t="s">
        <v>36</v>
      </c>
      <c r="U334" s="2" t="s">
        <v>37</v>
      </c>
    </row>
    <row r="335" spans="1:21" x14ac:dyDescent="0.25">
      <c r="A335" s="2" t="s">
        <v>2295</v>
      </c>
      <c r="B335" s="2" t="s">
        <v>39</v>
      </c>
      <c r="C335" s="2" t="s">
        <v>2296</v>
      </c>
      <c r="D335" s="2" t="s">
        <v>2297</v>
      </c>
      <c r="E335" s="2" t="s">
        <v>2298</v>
      </c>
      <c r="F335" s="2" t="s">
        <v>2299</v>
      </c>
      <c r="G335" s="2" t="s">
        <v>2300</v>
      </c>
      <c r="H335" s="2" t="s">
        <v>2301</v>
      </c>
      <c r="I335" s="2"/>
      <c r="J335" s="2" t="s">
        <v>429</v>
      </c>
      <c r="K335" s="2" t="s">
        <v>430</v>
      </c>
      <c r="L335" s="2" t="s">
        <v>431</v>
      </c>
      <c r="M335" s="2" t="s">
        <v>32</v>
      </c>
      <c r="N335" s="2" t="s">
        <v>91</v>
      </c>
      <c r="O335" s="2" t="s">
        <v>66</v>
      </c>
      <c r="P335" s="2" t="s">
        <v>2302</v>
      </c>
      <c r="Q335" s="2" t="s">
        <v>4</v>
      </c>
      <c r="R335" s="2" t="s">
        <v>36</v>
      </c>
      <c r="S335" s="2" t="s">
        <v>36</v>
      </c>
      <c r="T335" s="2" t="s">
        <v>37</v>
      </c>
      <c r="U335" s="2" t="s">
        <v>37</v>
      </c>
    </row>
    <row r="336" spans="1:21" x14ac:dyDescent="0.25">
      <c r="A336" s="2" t="s">
        <v>2303</v>
      </c>
      <c r="B336" s="2" t="s">
        <v>39</v>
      </c>
      <c r="C336" s="2" t="s">
        <v>392</v>
      </c>
      <c r="D336" s="2" t="s">
        <v>2304</v>
      </c>
      <c r="E336" s="2" t="s">
        <v>2305</v>
      </c>
      <c r="F336" s="2" t="s">
        <v>2306</v>
      </c>
      <c r="G336" s="2"/>
      <c r="H336" s="2" t="s">
        <v>2307</v>
      </c>
      <c r="I336" s="2"/>
      <c r="J336" s="2" t="s">
        <v>531</v>
      </c>
      <c r="K336" s="2" t="s">
        <v>532</v>
      </c>
      <c r="L336" s="2" t="s">
        <v>533</v>
      </c>
      <c r="M336" s="2" t="s">
        <v>103</v>
      </c>
      <c r="N336" s="2" t="s">
        <v>65</v>
      </c>
      <c r="O336" s="2" t="s">
        <v>50</v>
      </c>
      <c r="P336" s="2" t="s">
        <v>2308</v>
      </c>
      <c r="Q336" s="2" t="s">
        <v>52</v>
      </c>
      <c r="R336" s="2" t="s">
        <v>36</v>
      </c>
      <c r="S336" s="2" t="s">
        <v>36</v>
      </c>
      <c r="T336" s="2" t="s">
        <v>37</v>
      </c>
      <c r="U336" s="2" t="s">
        <v>37</v>
      </c>
    </row>
    <row r="337" spans="1:21" x14ac:dyDescent="0.25">
      <c r="A337" s="2" t="s">
        <v>2309</v>
      </c>
      <c r="B337" s="2" t="s">
        <v>54</v>
      </c>
      <c r="C337" s="2" t="s">
        <v>1220</v>
      </c>
      <c r="D337" s="2" t="s">
        <v>674</v>
      </c>
      <c r="E337" s="2" t="s">
        <v>2310</v>
      </c>
      <c r="F337" s="2" t="s">
        <v>2311</v>
      </c>
      <c r="G337" s="2" t="s">
        <v>2312</v>
      </c>
      <c r="H337" s="2" t="s">
        <v>2313</v>
      </c>
      <c r="I337" s="2"/>
      <c r="J337" s="2" t="s">
        <v>138</v>
      </c>
      <c r="K337" s="2" t="s">
        <v>139</v>
      </c>
      <c r="L337" s="2" t="s">
        <v>140</v>
      </c>
      <c r="M337" s="2" t="s">
        <v>64</v>
      </c>
      <c r="N337" s="2" t="s">
        <v>91</v>
      </c>
      <c r="O337" s="2" t="s">
        <v>66</v>
      </c>
      <c r="P337" s="2" t="s">
        <v>2314</v>
      </c>
      <c r="Q337" s="2" t="s">
        <v>93</v>
      </c>
      <c r="R337" s="2" t="s">
        <v>36</v>
      </c>
      <c r="S337" s="2" t="s">
        <v>36</v>
      </c>
      <c r="T337" s="2" t="s">
        <v>36</v>
      </c>
      <c r="U337" s="2" t="s">
        <v>36</v>
      </c>
    </row>
    <row r="338" spans="1:21" x14ac:dyDescent="0.25">
      <c r="A338" s="2" t="s">
        <v>2315</v>
      </c>
      <c r="B338" s="2" t="s">
        <v>54</v>
      </c>
      <c r="C338" s="2" t="s">
        <v>144</v>
      </c>
      <c r="D338" s="2" t="s">
        <v>56</v>
      </c>
      <c r="E338" s="2" t="s">
        <v>2316</v>
      </c>
      <c r="F338" s="2" t="s">
        <v>2317</v>
      </c>
      <c r="G338" s="2" t="s">
        <v>2318</v>
      </c>
      <c r="H338" s="2" t="s">
        <v>2319</v>
      </c>
      <c r="I338" s="2"/>
      <c r="J338" s="2" t="s">
        <v>625</v>
      </c>
      <c r="K338" s="2" t="s">
        <v>626</v>
      </c>
      <c r="L338" s="2" t="s">
        <v>627</v>
      </c>
      <c r="M338" s="2" t="s">
        <v>166</v>
      </c>
      <c r="N338" s="2" t="s">
        <v>49</v>
      </c>
      <c r="O338" s="2" t="s">
        <v>50</v>
      </c>
      <c r="P338" s="2" t="s">
        <v>2320</v>
      </c>
      <c r="Q338" s="2" t="s">
        <v>4</v>
      </c>
      <c r="R338" s="2" t="s">
        <v>37</v>
      </c>
      <c r="S338" s="2" t="s">
        <v>36</v>
      </c>
      <c r="T338" s="2" t="s">
        <v>36</v>
      </c>
      <c r="U338" s="2" t="s">
        <v>37</v>
      </c>
    </row>
    <row r="339" spans="1:21" x14ac:dyDescent="0.25">
      <c r="A339" s="2" t="s">
        <v>2321</v>
      </c>
      <c r="B339" s="2" t="s">
        <v>39</v>
      </c>
      <c r="C339" s="2" t="s">
        <v>710</v>
      </c>
      <c r="D339" s="2" t="s">
        <v>96</v>
      </c>
      <c r="E339" s="2" t="s">
        <v>2322</v>
      </c>
      <c r="F339" s="2" t="s">
        <v>2323</v>
      </c>
      <c r="G339" s="2" t="s">
        <v>2324</v>
      </c>
      <c r="H339" s="2" t="s">
        <v>2325</v>
      </c>
      <c r="I339" s="2"/>
      <c r="J339" s="2" t="s">
        <v>397</v>
      </c>
      <c r="K339" s="2" t="s">
        <v>220</v>
      </c>
      <c r="L339" s="2" t="s">
        <v>398</v>
      </c>
      <c r="M339" s="2" t="s">
        <v>32</v>
      </c>
      <c r="N339" s="2" t="s">
        <v>117</v>
      </c>
      <c r="O339" s="2" t="s">
        <v>192</v>
      </c>
      <c r="P339" s="2" t="s">
        <v>2326</v>
      </c>
      <c r="Q339" s="2" t="s">
        <v>4</v>
      </c>
      <c r="R339" s="2" t="s">
        <v>36</v>
      </c>
      <c r="S339" s="2" t="s">
        <v>36</v>
      </c>
      <c r="T339" s="2" t="s">
        <v>37</v>
      </c>
      <c r="U339" s="2" t="s">
        <v>37</v>
      </c>
    </row>
    <row r="340" spans="1:21" x14ac:dyDescent="0.25">
      <c r="A340" s="2" t="s">
        <v>2327</v>
      </c>
      <c r="B340" s="2"/>
      <c r="C340" s="2" t="s">
        <v>1290</v>
      </c>
      <c r="D340" s="2" t="s">
        <v>309</v>
      </c>
      <c r="E340" s="2" t="s">
        <v>2328</v>
      </c>
      <c r="F340" s="2" t="s">
        <v>2329</v>
      </c>
      <c r="G340" s="2" t="s">
        <v>2330</v>
      </c>
      <c r="H340" s="2" t="s">
        <v>1848</v>
      </c>
      <c r="I340" s="2"/>
      <c r="J340" s="2" t="s">
        <v>138</v>
      </c>
      <c r="K340" s="2" t="s">
        <v>139</v>
      </c>
      <c r="L340" s="2" t="s">
        <v>140</v>
      </c>
      <c r="M340" s="2" t="s">
        <v>116</v>
      </c>
      <c r="N340" s="2" t="s">
        <v>49</v>
      </c>
      <c r="O340" s="2" t="s">
        <v>243</v>
      </c>
      <c r="P340" s="2" t="s">
        <v>2331</v>
      </c>
      <c r="Q340" s="2" t="s">
        <v>4</v>
      </c>
      <c r="R340" s="2" t="s">
        <v>36</v>
      </c>
      <c r="S340" s="2" t="s">
        <v>36</v>
      </c>
      <c r="T340" s="2" t="s">
        <v>36</v>
      </c>
      <c r="U340" s="2" t="s">
        <v>37</v>
      </c>
    </row>
    <row r="341" spans="1:21" x14ac:dyDescent="0.25">
      <c r="A341" s="2" t="s">
        <v>2332</v>
      </c>
      <c r="B341" s="2" t="s">
        <v>54</v>
      </c>
      <c r="C341" s="2" t="s">
        <v>337</v>
      </c>
      <c r="D341" s="2" t="s">
        <v>414</v>
      </c>
      <c r="E341" s="2" t="s">
        <v>2333</v>
      </c>
      <c r="F341" s="2" t="s">
        <v>2334</v>
      </c>
      <c r="G341" s="2" t="s">
        <v>2335</v>
      </c>
      <c r="H341" s="2" t="s">
        <v>2336</v>
      </c>
      <c r="I341" s="2"/>
      <c r="J341" s="2" t="s">
        <v>766</v>
      </c>
      <c r="K341" s="2" t="s">
        <v>767</v>
      </c>
      <c r="L341" s="2" t="s">
        <v>768</v>
      </c>
      <c r="M341" s="2" t="s">
        <v>191</v>
      </c>
      <c r="N341" s="2" t="s">
        <v>33</v>
      </c>
      <c r="O341" s="2" t="s">
        <v>243</v>
      </c>
      <c r="P341" s="2" t="s">
        <v>2337</v>
      </c>
      <c r="Q341" s="2" t="s">
        <v>4</v>
      </c>
      <c r="R341" s="2" t="s">
        <v>37</v>
      </c>
      <c r="S341" s="2" t="s">
        <v>37</v>
      </c>
      <c r="T341" s="2" t="s">
        <v>37</v>
      </c>
      <c r="U341" s="2" t="s">
        <v>37</v>
      </c>
    </row>
    <row r="342" spans="1:21" x14ac:dyDescent="0.25">
      <c r="A342" s="2" t="s">
        <v>2338</v>
      </c>
      <c r="B342" s="2"/>
      <c r="C342" s="2" t="s">
        <v>645</v>
      </c>
      <c r="D342" s="2" t="s">
        <v>158</v>
      </c>
      <c r="E342" s="2" t="s">
        <v>2339</v>
      </c>
      <c r="F342" s="2" t="s">
        <v>2340</v>
      </c>
      <c r="G342" s="2" t="s">
        <v>2341</v>
      </c>
      <c r="H342" s="2" t="s">
        <v>2342</v>
      </c>
      <c r="I342" s="2"/>
      <c r="J342" s="2" t="s">
        <v>100</v>
      </c>
      <c r="K342" s="2" t="s">
        <v>101</v>
      </c>
      <c r="L342" s="2" t="s">
        <v>343</v>
      </c>
      <c r="M342" s="2" t="s">
        <v>32</v>
      </c>
      <c r="N342" s="2" t="s">
        <v>49</v>
      </c>
      <c r="O342" s="2" t="s">
        <v>154</v>
      </c>
      <c r="P342" s="2" t="s">
        <v>2343</v>
      </c>
      <c r="Q342" s="2" t="s">
        <v>93</v>
      </c>
      <c r="R342" s="2" t="s">
        <v>36</v>
      </c>
      <c r="S342" s="2" t="s">
        <v>36</v>
      </c>
      <c r="T342" s="2" t="s">
        <v>36</v>
      </c>
      <c r="U342" s="2" t="s">
        <v>36</v>
      </c>
    </row>
    <row r="343" spans="1:21" x14ac:dyDescent="0.25">
      <c r="A343" s="2" t="s">
        <v>2344</v>
      </c>
      <c r="B343" s="2" t="s">
        <v>22</v>
      </c>
      <c r="C343" s="2" t="s">
        <v>403</v>
      </c>
      <c r="D343" s="2" t="s">
        <v>273</v>
      </c>
      <c r="E343" s="2" t="s">
        <v>2345</v>
      </c>
      <c r="F343" s="2" t="s">
        <v>2346</v>
      </c>
      <c r="G343" s="2" t="s">
        <v>2347</v>
      </c>
      <c r="H343" s="2" t="s">
        <v>2348</v>
      </c>
      <c r="I343" s="2"/>
      <c r="J343" s="2" t="s">
        <v>509</v>
      </c>
      <c r="K343" s="2" t="s">
        <v>510</v>
      </c>
      <c r="L343" s="2" t="s">
        <v>511</v>
      </c>
      <c r="M343" s="2" t="s">
        <v>242</v>
      </c>
      <c r="N343" s="2" t="s">
        <v>33</v>
      </c>
      <c r="O343" s="2" t="s">
        <v>192</v>
      </c>
      <c r="P343" s="2" t="s">
        <v>2349</v>
      </c>
      <c r="Q343" s="2" t="s">
        <v>4</v>
      </c>
      <c r="R343" s="2" t="s">
        <v>37</v>
      </c>
      <c r="S343" s="2" t="s">
        <v>37</v>
      </c>
      <c r="T343" s="2" t="s">
        <v>36</v>
      </c>
      <c r="U343" s="2" t="s">
        <v>37</v>
      </c>
    </row>
    <row r="344" spans="1:21" x14ac:dyDescent="0.25">
      <c r="A344" s="2" t="s">
        <v>2350</v>
      </c>
      <c r="B344" s="2" t="s">
        <v>235</v>
      </c>
      <c r="C344" s="2" t="s">
        <v>481</v>
      </c>
      <c r="D344" s="2" t="s">
        <v>489</v>
      </c>
      <c r="E344" s="2" t="s">
        <v>2351</v>
      </c>
      <c r="F344" s="2" t="s">
        <v>2352</v>
      </c>
      <c r="G344" s="2" t="s">
        <v>2353</v>
      </c>
      <c r="H344" s="2" t="s">
        <v>1151</v>
      </c>
      <c r="I344" s="2"/>
      <c r="J344" s="2" t="s">
        <v>163</v>
      </c>
      <c r="K344" s="2" t="s">
        <v>164</v>
      </c>
      <c r="L344" s="2" t="s">
        <v>165</v>
      </c>
      <c r="M344" s="2" t="s">
        <v>32</v>
      </c>
      <c r="N344" s="2" t="s">
        <v>91</v>
      </c>
      <c r="O344" s="2" t="s">
        <v>50</v>
      </c>
      <c r="P344" s="2" t="s">
        <v>2354</v>
      </c>
      <c r="Q344" s="2" t="s">
        <v>93</v>
      </c>
      <c r="R344" s="2" t="s">
        <v>36</v>
      </c>
      <c r="S344" s="2" t="s">
        <v>36</v>
      </c>
      <c r="T344" s="2" t="s">
        <v>37</v>
      </c>
      <c r="U344" s="2" t="s">
        <v>37</v>
      </c>
    </row>
    <row r="345" spans="1:21" x14ac:dyDescent="0.25">
      <c r="A345" s="2" t="s">
        <v>2355</v>
      </c>
      <c r="B345" s="2" t="s">
        <v>402</v>
      </c>
      <c r="C345" s="2" t="s">
        <v>838</v>
      </c>
      <c r="D345" s="2" t="s">
        <v>172</v>
      </c>
      <c r="E345" s="2" t="s">
        <v>2356</v>
      </c>
      <c r="F345" s="2" t="s">
        <v>2357</v>
      </c>
      <c r="G345" s="2" t="s">
        <v>2358</v>
      </c>
      <c r="H345" s="2" t="s">
        <v>2359</v>
      </c>
      <c r="I345" s="2"/>
      <c r="J345" s="2" t="s">
        <v>693</v>
      </c>
      <c r="K345" s="2" t="s">
        <v>694</v>
      </c>
      <c r="L345" s="2" t="s">
        <v>695</v>
      </c>
      <c r="M345" s="2" t="s">
        <v>232</v>
      </c>
      <c r="N345" s="2" t="s">
        <v>33</v>
      </c>
      <c r="O345" s="2" t="s">
        <v>50</v>
      </c>
      <c r="P345" s="2" t="s">
        <v>2360</v>
      </c>
      <c r="Q345" s="2" t="s">
        <v>4</v>
      </c>
      <c r="R345" s="2" t="s">
        <v>36</v>
      </c>
      <c r="S345" s="2" t="s">
        <v>37</v>
      </c>
      <c r="T345" s="2" t="s">
        <v>36</v>
      </c>
      <c r="U345" s="2" t="s">
        <v>37</v>
      </c>
    </row>
    <row r="346" spans="1:21" x14ac:dyDescent="0.25">
      <c r="A346" s="2" t="s">
        <v>2361</v>
      </c>
      <c r="B346" s="2" t="s">
        <v>402</v>
      </c>
      <c r="C346" s="2" t="s">
        <v>1411</v>
      </c>
      <c r="D346" s="2" t="s">
        <v>56</v>
      </c>
      <c r="E346" s="2" t="s">
        <v>2362</v>
      </c>
      <c r="F346" s="2" t="s">
        <v>2363</v>
      </c>
      <c r="G346" s="2" t="s">
        <v>2364</v>
      </c>
      <c r="H346" s="2" t="s">
        <v>2365</v>
      </c>
      <c r="I346" s="2"/>
      <c r="J346" s="2" t="s">
        <v>46</v>
      </c>
      <c r="K346" s="2" t="s">
        <v>47</v>
      </c>
      <c r="L346" s="2" t="s">
        <v>48</v>
      </c>
      <c r="M346" s="2" t="s">
        <v>242</v>
      </c>
      <c r="N346" s="2" t="s">
        <v>117</v>
      </c>
      <c r="O346" s="2" t="s">
        <v>66</v>
      </c>
      <c r="P346" s="2" t="s">
        <v>2366</v>
      </c>
      <c r="Q346" s="2" t="s">
        <v>4</v>
      </c>
      <c r="R346" s="2" t="s">
        <v>36</v>
      </c>
      <c r="S346" s="2" t="s">
        <v>37</v>
      </c>
      <c r="T346" s="2" t="s">
        <v>37</v>
      </c>
      <c r="U346" s="2" t="s">
        <v>36</v>
      </c>
    </row>
    <row r="347" spans="1:21" x14ac:dyDescent="0.25">
      <c r="A347" s="2" t="s">
        <v>2367</v>
      </c>
      <c r="B347" s="2" t="s">
        <v>54</v>
      </c>
      <c r="C347" s="2" t="s">
        <v>1085</v>
      </c>
      <c r="D347" s="2" t="s">
        <v>325</v>
      </c>
      <c r="E347" s="2" t="s">
        <v>2368</v>
      </c>
      <c r="F347" s="2" t="s">
        <v>2369</v>
      </c>
      <c r="G347" s="2" t="s">
        <v>2370</v>
      </c>
      <c r="H347" s="2" t="s">
        <v>2371</v>
      </c>
      <c r="I347" s="2"/>
      <c r="J347" s="2" t="s">
        <v>219</v>
      </c>
      <c r="K347" s="2" t="s">
        <v>220</v>
      </c>
      <c r="L347" s="2" t="s">
        <v>221</v>
      </c>
      <c r="M347" s="2" t="s">
        <v>166</v>
      </c>
      <c r="N347" s="2" t="s">
        <v>65</v>
      </c>
      <c r="O347" s="2" t="s">
        <v>243</v>
      </c>
      <c r="P347" s="2" t="s">
        <v>2372</v>
      </c>
      <c r="Q347" s="2" t="s">
        <v>4</v>
      </c>
      <c r="R347" s="2" t="s">
        <v>36</v>
      </c>
      <c r="S347" s="2" t="s">
        <v>36</v>
      </c>
      <c r="T347" s="2" t="s">
        <v>36</v>
      </c>
      <c r="U347" s="2" t="s">
        <v>37</v>
      </c>
    </row>
    <row r="348" spans="1:21" x14ac:dyDescent="0.25">
      <c r="A348" s="2" t="s">
        <v>2373</v>
      </c>
      <c r="B348" s="2" t="s">
        <v>54</v>
      </c>
      <c r="C348" s="2" t="s">
        <v>2374</v>
      </c>
      <c r="D348" s="2" t="s">
        <v>214</v>
      </c>
      <c r="E348" s="2" t="s">
        <v>2375</v>
      </c>
      <c r="F348" s="2" t="s">
        <v>2376</v>
      </c>
      <c r="G348" s="2" t="s">
        <v>2377</v>
      </c>
      <c r="H348" s="2" t="s">
        <v>2378</v>
      </c>
      <c r="I348" s="2"/>
      <c r="J348" s="2" t="s">
        <v>100</v>
      </c>
      <c r="K348" s="2" t="s">
        <v>101</v>
      </c>
      <c r="L348" s="2" t="s">
        <v>343</v>
      </c>
      <c r="M348" s="2" t="s">
        <v>116</v>
      </c>
      <c r="N348" s="2" t="s">
        <v>33</v>
      </c>
      <c r="O348" s="2" t="s">
        <v>50</v>
      </c>
      <c r="P348" s="2" t="s">
        <v>2379</v>
      </c>
      <c r="Q348" s="2" t="s">
        <v>5</v>
      </c>
      <c r="R348" s="2" t="s">
        <v>36</v>
      </c>
      <c r="S348" s="2" t="s">
        <v>36</v>
      </c>
      <c r="T348" s="2" t="s">
        <v>37</v>
      </c>
      <c r="U348" s="2" t="s">
        <v>37</v>
      </c>
    </row>
    <row r="349" spans="1:21" x14ac:dyDescent="0.25">
      <c r="A349" s="2" t="s">
        <v>2380</v>
      </c>
      <c r="B349" s="2" t="s">
        <v>402</v>
      </c>
      <c r="C349" s="2" t="s">
        <v>472</v>
      </c>
      <c r="D349" s="2" t="s">
        <v>473</v>
      </c>
      <c r="E349" s="2" t="s">
        <v>2381</v>
      </c>
      <c r="F349" s="2" t="s">
        <v>2382</v>
      </c>
      <c r="G349" s="2" t="s">
        <v>2383</v>
      </c>
      <c r="H349" s="2" t="s">
        <v>2384</v>
      </c>
      <c r="I349" s="2"/>
      <c r="J349" s="2" t="s">
        <v>278</v>
      </c>
      <c r="K349" s="2" t="s">
        <v>279</v>
      </c>
      <c r="L349" s="2" t="s">
        <v>280</v>
      </c>
      <c r="M349" s="2" t="s">
        <v>242</v>
      </c>
      <c r="N349" s="2" t="s">
        <v>65</v>
      </c>
      <c r="O349" s="2" t="s">
        <v>141</v>
      </c>
      <c r="P349" s="2" t="s">
        <v>2385</v>
      </c>
      <c r="Q349" s="2" t="s">
        <v>4</v>
      </c>
      <c r="R349" s="2" t="s">
        <v>36</v>
      </c>
      <c r="S349" s="2" t="s">
        <v>36</v>
      </c>
      <c r="T349" s="2" t="s">
        <v>37</v>
      </c>
      <c r="U349" s="2" t="s">
        <v>36</v>
      </c>
    </row>
    <row r="350" spans="1:21" x14ac:dyDescent="0.25">
      <c r="A350" s="2" t="s">
        <v>2386</v>
      </c>
      <c r="B350" s="2" t="s">
        <v>54</v>
      </c>
      <c r="C350" s="2" t="s">
        <v>2387</v>
      </c>
      <c r="D350" s="2" t="s">
        <v>56</v>
      </c>
      <c r="E350" s="2"/>
      <c r="F350" s="2" t="s">
        <v>2388</v>
      </c>
      <c r="G350" s="2" t="s">
        <v>2389</v>
      </c>
      <c r="H350" s="2" t="s">
        <v>2390</v>
      </c>
      <c r="I350" s="2"/>
      <c r="J350" s="2" t="s">
        <v>1026</v>
      </c>
      <c r="K350" s="2" t="s">
        <v>1027</v>
      </c>
      <c r="L350" s="2" t="s">
        <v>1028</v>
      </c>
      <c r="M350" s="2" t="s">
        <v>64</v>
      </c>
      <c r="N350" s="2" t="s">
        <v>153</v>
      </c>
      <c r="O350" s="2" t="s">
        <v>243</v>
      </c>
      <c r="P350" s="2" t="s">
        <v>2391</v>
      </c>
      <c r="Q350" s="2" t="s">
        <v>52</v>
      </c>
      <c r="R350" s="2" t="s">
        <v>36</v>
      </c>
      <c r="S350" s="2" t="s">
        <v>2392</v>
      </c>
      <c r="T350" s="2" t="s">
        <v>37</v>
      </c>
      <c r="U350" s="2" t="s">
        <v>37</v>
      </c>
    </row>
    <row r="351" spans="1:21" x14ac:dyDescent="0.25">
      <c r="A351" s="2" t="s">
        <v>2393</v>
      </c>
      <c r="B351" s="2" t="s">
        <v>170</v>
      </c>
      <c r="C351" s="2" t="s">
        <v>809</v>
      </c>
      <c r="D351" s="2" t="s">
        <v>375</v>
      </c>
      <c r="E351" s="2" t="s">
        <v>2394</v>
      </c>
      <c r="F351" s="2" t="s">
        <v>2395</v>
      </c>
      <c r="G351" s="2" t="s">
        <v>2396</v>
      </c>
      <c r="H351" s="2" t="s">
        <v>2397</v>
      </c>
      <c r="I351" s="2"/>
      <c r="J351" s="2" t="s">
        <v>454</v>
      </c>
      <c r="K351" s="2" t="s">
        <v>455</v>
      </c>
      <c r="L351" s="2" t="s">
        <v>456</v>
      </c>
      <c r="M351" s="2" t="s">
        <v>180</v>
      </c>
      <c r="N351" s="2" t="s">
        <v>153</v>
      </c>
      <c r="O351" s="2" t="s">
        <v>66</v>
      </c>
      <c r="P351" s="2" t="s">
        <v>2398</v>
      </c>
      <c r="Q351" s="2" t="s">
        <v>4</v>
      </c>
      <c r="R351" s="2" t="s">
        <v>36</v>
      </c>
      <c r="S351" s="2" t="s">
        <v>36</v>
      </c>
      <c r="T351" s="2" t="s">
        <v>37</v>
      </c>
      <c r="U351" s="2" t="s">
        <v>37</v>
      </c>
    </row>
    <row r="352" spans="1:21" x14ac:dyDescent="0.25">
      <c r="A352" s="2" t="s">
        <v>2399</v>
      </c>
      <c r="B352" s="2" t="s">
        <v>54</v>
      </c>
      <c r="C352" s="2" t="s">
        <v>157</v>
      </c>
      <c r="D352" s="2" t="s">
        <v>237</v>
      </c>
      <c r="E352" s="2" t="s">
        <v>2400</v>
      </c>
      <c r="F352" s="2" t="s">
        <v>2401</v>
      </c>
      <c r="G352" s="2" t="s">
        <v>2402</v>
      </c>
      <c r="H352" s="2" t="s">
        <v>2403</v>
      </c>
      <c r="I352" s="2"/>
      <c r="J352" s="2" t="s">
        <v>984</v>
      </c>
      <c r="K352" s="2" t="s">
        <v>62</v>
      </c>
      <c r="L352" s="2" t="s">
        <v>985</v>
      </c>
      <c r="M352" s="2" t="s">
        <v>191</v>
      </c>
      <c r="N352" s="2" t="s">
        <v>167</v>
      </c>
      <c r="O352" s="2" t="s">
        <v>141</v>
      </c>
      <c r="P352" s="2" t="s">
        <v>2404</v>
      </c>
      <c r="Q352" s="2" t="s">
        <v>93</v>
      </c>
      <c r="R352" s="2" t="s">
        <v>37</v>
      </c>
      <c r="S352" s="2" t="s">
        <v>36</v>
      </c>
      <c r="T352" s="2" t="s">
        <v>37</v>
      </c>
      <c r="U352" s="2" t="s">
        <v>37</v>
      </c>
    </row>
    <row r="353" spans="1:21" x14ac:dyDescent="0.25">
      <c r="A353" s="2" t="s">
        <v>2405</v>
      </c>
      <c r="B353" s="2" t="s">
        <v>170</v>
      </c>
      <c r="C353" s="2" t="s">
        <v>818</v>
      </c>
      <c r="D353" s="2" t="s">
        <v>145</v>
      </c>
      <c r="E353" s="2" t="s">
        <v>2406</v>
      </c>
      <c r="F353" s="2" t="s">
        <v>2407</v>
      </c>
      <c r="G353" s="2" t="s">
        <v>2408</v>
      </c>
      <c r="H353" s="2" t="s">
        <v>2409</v>
      </c>
      <c r="I353" s="2"/>
      <c r="J353" s="2" t="s">
        <v>29</v>
      </c>
      <c r="K353" s="2" t="s">
        <v>30</v>
      </c>
      <c r="L353" s="2" t="s">
        <v>31</v>
      </c>
      <c r="M353" s="2" t="s">
        <v>32</v>
      </c>
      <c r="N353" s="2" t="s">
        <v>49</v>
      </c>
      <c r="O353" s="2" t="s">
        <v>192</v>
      </c>
      <c r="P353" s="2" t="s">
        <v>2410</v>
      </c>
      <c r="Q353" s="2" t="s">
        <v>4</v>
      </c>
      <c r="R353" s="2" t="s">
        <v>36</v>
      </c>
      <c r="S353" s="2" t="s">
        <v>36</v>
      </c>
      <c r="T353" s="2" t="s">
        <v>37</v>
      </c>
      <c r="U353" s="2" t="s">
        <v>37</v>
      </c>
    </row>
    <row r="354" spans="1:21" x14ac:dyDescent="0.25">
      <c r="A354" s="2" t="s">
        <v>2411</v>
      </c>
      <c r="B354" s="2" t="s">
        <v>39</v>
      </c>
      <c r="C354" s="2" t="s">
        <v>459</v>
      </c>
      <c r="D354" s="2" t="s">
        <v>489</v>
      </c>
      <c r="E354" s="2" t="s">
        <v>2412</v>
      </c>
      <c r="F354" s="2" t="s">
        <v>2413</v>
      </c>
      <c r="G354" s="2" t="s">
        <v>2414</v>
      </c>
      <c r="H354" s="2" t="s">
        <v>2415</v>
      </c>
      <c r="I354" s="2"/>
      <c r="J354" s="2" t="s">
        <v>150</v>
      </c>
      <c r="K354" s="2" t="s">
        <v>151</v>
      </c>
      <c r="L354" s="2" t="s">
        <v>152</v>
      </c>
      <c r="M354" s="2" t="s">
        <v>191</v>
      </c>
      <c r="N354" s="2" t="s">
        <v>167</v>
      </c>
      <c r="O354" s="2" t="s">
        <v>141</v>
      </c>
      <c r="P354" s="2" t="s">
        <v>2416</v>
      </c>
      <c r="Q354" s="2" t="s">
        <v>52</v>
      </c>
      <c r="R354" s="2" t="s">
        <v>36</v>
      </c>
      <c r="S354" s="2" t="s">
        <v>37</v>
      </c>
      <c r="T354" s="2" t="s">
        <v>36</v>
      </c>
      <c r="U354" s="2" t="s">
        <v>37</v>
      </c>
    </row>
    <row r="355" spans="1:21" x14ac:dyDescent="0.25">
      <c r="A355" s="2" t="s">
        <v>2417</v>
      </c>
      <c r="B355" s="2" t="s">
        <v>195</v>
      </c>
      <c r="C355" s="2" t="s">
        <v>818</v>
      </c>
      <c r="D355" s="2" t="s">
        <v>1696</v>
      </c>
      <c r="E355" s="2" t="s">
        <v>2418</v>
      </c>
      <c r="F355" s="2" t="s">
        <v>2419</v>
      </c>
      <c r="G355" s="2" t="s">
        <v>2420</v>
      </c>
      <c r="H355" s="2" t="s">
        <v>2421</v>
      </c>
      <c r="I355" s="2"/>
      <c r="J355" s="2" t="s">
        <v>163</v>
      </c>
      <c r="K355" s="2" t="s">
        <v>164</v>
      </c>
      <c r="L355" s="2" t="s">
        <v>165</v>
      </c>
      <c r="M355" s="2" t="s">
        <v>32</v>
      </c>
      <c r="N355" s="2" t="s">
        <v>49</v>
      </c>
      <c r="O355" s="2" t="s">
        <v>66</v>
      </c>
      <c r="P355" s="2" t="s">
        <v>2422</v>
      </c>
      <c r="Q355" s="2" t="s">
        <v>5</v>
      </c>
      <c r="R355" s="2" t="s">
        <v>36</v>
      </c>
      <c r="S355" s="2" t="s">
        <v>36</v>
      </c>
      <c r="T355" s="2" t="s">
        <v>37</v>
      </c>
      <c r="U355" s="2" t="s">
        <v>36</v>
      </c>
    </row>
    <row r="356" spans="1:21" x14ac:dyDescent="0.25">
      <c r="A356" s="2" t="s">
        <v>2423</v>
      </c>
      <c r="B356" s="2" t="s">
        <v>184</v>
      </c>
      <c r="C356" s="2" t="s">
        <v>1297</v>
      </c>
      <c r="D356" s="2" t="s">
        <v>1696</v>
      </c>
      <c r="E356" s="2" t="s">
        <v>2424</v>
      </c>
      <c r="F356" s="2" t="s">
        <v>2425</v>
      </c>
      <c r="G356" s="2"/>
      <c r="H356" s="2" t="s">
        <v>570</v>
      </c>
      <c r="I356" s="2"/>
      <c r="J356" s="2" t="s">
        <v>668</v>
      </c>
      <c r="K356" s="2" t="s">
        <v>669</v>
      </c>
      <c r="L356" s="2" t="s">
        <v>670</v>
      </c>
      <c r="M356" s="2" t="s">
        <v>191</v>
      </c>
      <c r="N356" s="2" t="s">
        <v>167</v>
      </c>
      <c r="O356" s="2" t="s">
        <v>154</v>
      </c>
      <c r="P356" s="2" t="s">
        <v>2426</v>
      </c>
      <c r="Q356" s="2" t="s">
        <v>52</v>
      </c>
      <c r="R356" s="2" t="s">
        <v>36</v>
      </c>
      <c r="S356" s="2" t="s">
        <v>36</v>
      </c>
      <c r="T356" s="2" t="s">
        <v>37</v>
      </c>
      <c r="U356" s="2" t="s">
        <v>37</v>
      </c>
    </row>
    <row r="357" spans="1:21" x14ac:dyDescent="0.25">
      <c r="A357" s="2" t="s">
        <v>2427</v>
      </c>
      <c r="B357" s="2"/>
      <c r="C357" s="2" t="s">
        <v>818</v>
      </c>
      <c r="D357" s="2" t="s">
        <v>1268</v>
      </c>
      <c r="E357" s="2" t="s">
        <v>2428</v>
      </c>
      <c r="F357" s="2" t="s">
        <v>2429</v>
      </c>
      <c r="G357" s="2" t="s">
        <v>2430</v>
      </c>
      <c r="H357" s="2" t="s">
        <v>2431</v>
      </c>
      <c r="I357" s="2"/>
      <c r="J357" s="2" t="s">
        <v>668</v>
      </c>
      <c r="K357" s="2" t="s">
        <v>669</v>
      </c>
      <c r="L357" s="2" t="s">
        <v>670</v>
      </c>
      <c r="M357" s="2" t="s">
        <v>103</v>
      </c>
      <c r="N357" s="2" t="s">
        <v>33</v>
      </c>
      <c r="O357" s="2" t="s">
        <v>34</v>
      </c>
      <c r="P357" s="2" t="s">
        <v>2432</v>
      </c>
      <c r="Q357" s="2" t="s">
        <v>4</v>
      </c>
      <c r="R357" s="2" t="s">
        <v>36</v>
      </c>
      <c r="S357" s="2" t="s">
        <v>37</v>
      </c>
      <c r="T357" s="2" t="s">
        <v>37</v>
      </c>
      <c r="U357" s="2" t="s">
        <v>37</v>
      </c>
    </row>
    <row r="358" spans="1:21" x14ac:dyDescent="0.25">
      <c r="A358" s="2" t="s">
        <v>2433</v>
      </c>
      <c r="B358" s="2" t="s">
        <v>131</v>
      </c>
      <c r="C358" s="2" t="s">
        <v>224</v>
      </c>
      <c r="D358" s="2" t="s">
        <v>214</v>
      </c>
      <c r="E358" s="2" t="s">
        <v>2434</v>
      </c>
      <c r="F358" s="2" t="s">
        <v>2435</v>
      </c>
      <c r="G358" s="2" t="s">
        <v>2436</v>
      </c>
      <c r="H358" s="2" t="s">
        <v>2437</v>
      </c>
      <c r="I358" s="2"/>
      <c r="J358" s="2" t="s">
        <v>429</v>
      </c>
      <c r="K358" s="2" t="s">
        <v>430</v>
      </c>
      <c r="L358" s="2" t="s">
        <v>431</v>
      </c>
      <c r="M358" s="2" t="s">
        <v>232</v>
      </c>
      <c r="N358" s="2" t="s">
        <v>167</v>
      </c>
      <c r="O358" s="2" t="s">
        <v>141</v>
      </c>
      <c r="P358" s="2" t="s">
        <v>2438</v>
      </c>
      <c r="Q358" s="2" t="s">
        <v>105</v>
      </c>
      <c r="R358" s="2" t="s">
        <v>37</v>
      </c>
      <c r="S358" s="2" t="s">
        <v>37</v>
      </c>
      <c r="T358" s="2" t="s">
        <v>37</v>
      </c>
      <c r="U358" s="2" t="s">
        <v>37</v>
      </c>
    </row>
    <row r="359" spans="1:21" x14ac:dyDescent="0.25">
      <c r="A359" s="2" t="s">
        <v>2439</v>
      </c>
      <c r="B359" s="2" t="s">
        <v>54</v>
      </c>
      <c r="C359" s="2" t="s">
        <v>1085</v>
      </c>
      <c r="D359" s="2" t="s">
        <v>1047</v>
      </c>
      <c r="E359" s="2" t="s">
        <v>2440</v>
      </c>
      <c r="F359" s="2" t="s">
        <v>2441</v>
      </c>
      <c r="G359" s="2" t="s">
        <v>2442</v>
      </c>
      <c r="H359" s="2" t="s">
        <v>2443</v>
      </c>
      <c r="I359" s="2"/>
      <c r="J359" s="2" t="s">
        <v>219</v>
      </c>
      <c r="K359" s="2" t="s">
        <v>220</v>
      </c>
      <c r="L359" s="2" t="s">
        <v>221</v>
      </c>
      <c r="M359" s="2" t="s">
        <v>116</v>
      </c>
      <c r="N359" s="2" t="s">
        <v>181</v>
      </c>
      <c r="O359" s="2" t="s">
        <v>141</v>
      </c>
      <c r="P359" s="2" t="s">
        <v>2444</v>
      </c>
      <c r="Q359" s="2" t="s">
        <v>4</v>
      </c>
      <c r="R359" s="2" t="s">
        <v>37</v>
      </c>
      <c r="S359" s="2" t="s">
        <v>36</v>
      </c>
      <c r="T359" s="2" t="s">
        <v>37</v>
      </c>
      <c r="U359" s="2" t="s">
        <v>36</v>
      </c>
    </row>
    <row r="360" spans="1:21" x14ac:dyDescent="0.25">
      <c r="A360" s="2" t="s">
        <v>2445</v>
      </c>
      <c r="B360" s="2" t="s">
        <v>235</v>
      </c>
      <c r="C360" s="2" t="s">
        <v>23</v>
      </c>
      <c r="D360" s="2" t="s">
        <v>145</v>
      </c>
      <c r="E360" s="2" t="s">
        <v>2446</v>
      </c>
      <c r="F360" s="2" t="s">
        <v>2447</v>
      </c>
      <c r="G360" s="2" t="s">
        <v>2448</v>
      </c>
      <c r="H360" s="2" t="s">
        <v>2449</v>
      </c>
      <c r="I360" s="2"/>
      <c r="J360" s="2" t="s">
        <v>660</v>
      </c>
      <c r="K360" s="2" t="s">
        <v>230</v>
      </c>
      <c r="L360" s="2" t="s">
        <v>661</v>
      </c>
      <c r="M360" s="2" t="s">
        <v>242</v>
      </c>
      <c r="N360" s="2" t="s">
        <v>33</v>
      </c>
      <c r="O360" s="2" t="s">
        <v>192</v>
      </c>
      <c r="P360" s="2" t="s">
        <v>2450</v>
      </c>
      <c r="Q360" s="2" t="s">
        <v>93</v>
      </c>
      <c r="R360" s="2" t="s">
        <v>37</v>
      </c>
      <c r="S360" s="2" t="s">
        <v>36</v>
      </c>
      <c r="T360" s="2" t="s">
        <v>37</v>
      </c>
      <c r="U360" s="2" t="s">
        <v>37</v>
      </c>
    </row>
    <row r="361" spans="1:21" x14ac:dyDescent="0.25">
      <c r="A361" s="2" t="s">
        <v>2451</v>
      </c>
      <c r="B361" s="2" t="s">
        <v>131</v>
      </c>
      <c r="C361" s="2" t="s">
        <v>1703</v>
      </c>
      <c r="D361" s="2" t="s">
        <v>365</v>
      </c>
      <c r="E361" s="2" t="s">
        <v>2452</v>
      </c>
      <c r="F361" s="2" t="s">
        <v>2453</v>
      </c>
      <c r="G361" s="2" t="s">
        <v>2454</v>
      </c>
      <c r="H361" s="2" t="s">
        <v>2455</v>
      </c>
      <c r="I361" s="2"/>
      <c r="J361" s="2" t="s">
        <v>419</v>
      </c>
      <c r="K361" s="2" t="s">
        <v>420</v>
      </c>
      <c r="L361" s="2" t="s">
        <v>421</v>
      </c>
      <c r="M361" s="2" t="s">
        <v>232</v>
      </c>
      <c r="N361" s="2" t="s">
        <v>167</v>
      </c>
      <c r="O361" s="2" t="s">
        <v>154</v>
      </c>
      <c r="P361" s="2" t="s">
        <v>2456</v>
      </c>
      <c r="Q361" s="2" t="s">
        <v>52</v>
      </c>
      <c r="R361" s="2" t="s">
        <v>36</v>
      </c>
      <c r="S361" s="2" t="s">
        <v>36</v>
      </c>
      <c r="T361" s="2" t="s">
        <v>36</v>
      </c>
      <c r="U361" s="2" t="s">
        <v>37</v>
      </c>
    </row>
    <row r="362" spans="1:21" x14ac:dyDescent="0.25">
      <c r="A362" s="2" t="s">
        <v>2457</v>
      </c>
      <c r="B362" s="2" t="s">
        <v>184</v>
      </c>
      <c r="C362" s="2" t="s">
        <v>1193</v>
      </c>
      <c r="D362" s="2" t="s">
        <v>145</v>
      </c>
      <c r="E362" s="2" t="s">
        <v>2458</v>
      </c>
      <c r="F362" s="2" t="s">
        <v>2459</v>
      </c>
      <c r="G362" s="2" t="s">
        <v>2460</v>
      </c>
      <c r="H362" s="2" t="s">
        <v>2461</v>
      </c>
      <c r="I362" s="2"/>
      <c r="J362" s="2" t="s">
        <v>100</v>
      </c>
      <c r="K362" s="2" t="s">
        <v>101</v>
      </c>
      <c r="L362" s="2" t="s">
        <v>343</v>
      </c>
      <c r="M362" s="2" t="s">
        <v>116</v>
      </c>
      <c r="N362" s="2" t="s">
        <v>49</v>
      </c>
      <c r="O362" s="2" t="s">
        <v>243</v>
      </c>
      <c r="P362" s="2" t="s">
        <v>2462</v>
      </c>
      <c r="Q362" s="2" t="s">
        <v>4</v>
      </c>
      <c r="R362" s="2" t="s">
        <v>36</v>
      </c>
      <c r="S362" s="2" t="s">
        <v>37</v>
      </c>
      <c r="T362" s="2" t="s">
        <v>36</v>
      </c>
      <c r="U362" s="2" t="s">
        <v>36</v>
      </c>
    </row>
    <row r="363" spans="1:21" x14ac:dyDescent="0.25">
      <c r="A363" s="2" t="s">
        <v>2463</v>
      </c>
      <c r="B363" s="2" t="s">
        <v>170</v>
      </c>
      <c r="C363" s="2" t="s">
        <v>548</v>
      </c>
      <c r="D363" s="2" t="s">
        <v>338</v>
      </c>
      <c r="E363" s="2" t="s">
        <v>2464</v>
      </c>
      <c r="F363" s="2" t="s">
        <v>2465</v>
      </c>
      <c r="G363" s="2" t="s">
        <v>2466</v>
      </c>
      <c r="H363" s="2" t="s">
        <v>2467</v>
      </c>
      <c r="I363" s="2"/>
      <c r="J363" s="2" t="s">
        <v>219</v>
      </c>
      <c r="K363" s="2" t="s">
        <v>220</v>
      </c>
      <c r="L363" s="2" t="s">
        <v>221</v>
      </c>
      <c r="M363" s="2" t="s">
        <v>242</v>
      </c>
      <c r="N363" s="2" t="s">
        <v>181</v>
      </c>
      <c r="O363" s="2" t="s">
        <v>66</v>
      </c>
      <c r="P363" s="2" t="s">
        <v>2468</v>
      </c>
      <c r="Q363" s="2" t="s">
        <v>93</v>
      </c>
      <c r="R363" s="2" t="s">
        <v>36</v>
      </c>
      <c r="S363" s="2" t="s">
        <v>36</v>
      </c>
      <c r="T363" s="2" t="s">
        <v>36</v>
      </c>
      <c r="U363" s="2" t="s">
        <v>37</v>
      </c>
    </row>
    <row r="364" spans="1:21" x14ac:dyDescent="0.25">
      <c r="A364" s="2" t="s">
        <v>2469</v>
      </c>
      <c r="B364" s="2" t="s">
        <v>170</v>
      </c>
      <c r="C364" s="2" t="s">
        <v>413</v>
      </c>
      <c r="D364" s="2" t="s">
        <v>83</v>
      </c>
      <c r="E364" s="2" t="s">
        <v>2470</v>
      </c>
      <c r="F364" s="2" t="s">
        <v>2471</v>
      </c>
      <c r="G364" s="2" t="s">
        <v>2472</v>
      </c>
      <c r="H364" s="2" t="s">
        <v>2473</v>
      </c>
      <c r="I364" s="2"/>
      <c r="J364" s="2" t="s">
        <v>531</v>
      </c>
      <c r="K364" s="2" t="s">
        <v>532</v>
      </c>
      <c r="L364" s="2" t="s">
        <v>533</v>
      </c>
      <c r="M364" s="2" t="s">
        <v>232</v>
      </c>
      <c r="N364" s="2" t="s">
        <v>65</v>
      </c>
      <c r="O364" s="2" t="s">
        <v>243</v>
      </c>
      <c r="P364" s="2" t="s">
        <v>2474</v>
      </c>
      <c r="Q364" s="2" t="s">
        <v>52</v>
      </c>
      <c r="R364" s="2" t="s">
        <v>36</v>
      </c>
      <c r="S364" s="2" t="s">
        <v>37</v>
      </c>
      <c r="T364" s="2" t="s">
        <v>36</v>
      </c>
      <c r="U364" s="2" t="s">
        <v>37</v>
      </c>
    </row>
    <row r="365" spans="1:21" x14ac:dyDescent="0.25">
      <c r="A365" s="2" t="s">
        <v>2475</v>
      </c>
      <c r="B365" s="2" t="s">
        <v>195</v>
      </c>
      <c r="C365" s="2" t="s">
        <v>171</v>
      </c>
      <c r="D365" s="2" t="s">
        <v>24</v>
      </c>
      <c r="E365" s="2"/>
      <c r="F365" s="2" t="s">
        <v>2476</v>
      </c>
      <c r="G365" s="2" t="s">
        <v>2477</v>
      </c>
      <c r="H365" s="2" t="s">
        <v>2192</v>
      </c>
      <c r="I365" s="2"/>
      <c r="J365" s="2" t="s">
        <v>1026</v>
      </c>
      <c r="K365" s="2" t="s">
        <v>1027</v>
      </c>
      <c r="L365" s="2" t="s">
        <v>1028</v>
      </c>
      <c r="M365" s="2" t="s">
        <v>32</v>
      </c>
      <c r="N365" s="2" t="s">
        <v>49</v>
      </c>
      <c r="O365" s="2" t="s">
        <v>50</v>
      </c>
      <c r="P365" s="2" t="s">
        <v>2478</v>
      </c>
      <c r="Q365" s="2" t="s">
        <v>4</v>
      </c>
      <c r="R365" s="2" t="s">
        <v>400</v>
      </c>
      <c r="S365" s="2" t="s">
        <v>36</v>
      </c>
      <c r="T365" s="2" t="s">
        <v>36</v>
      </c>
      <c r="U365" s="2" t="s">
        <v>37</v>
      </c>
    </row>
    <row r="366" spans="1:21" x14ac:dyDescent="0.25">
      <c r="A366" s="2" t="s">
        <v>2479</v>
      </c>
      <c r="B366" s="2" t="s">
        <v>39</v>
      </c>
      <c r="C366" s="2" t="s">
        <v>283</v>
      </c>
      <c r="D366" s="2" t="s">
        <v>41</v>
      </c>
      <c r="E366" s="2"/>
      <c r="F366" s="2" t="s">
        <v>2480</v>
      </c>
      <c r="G366" s="2" t="s">
        <v>2481</v>
      </c>
      <c r="H366" s="2" t="s">
        <v>1242</v>
      </c>
      <c r="I366" s="2"/>
      <c r="J366" s="2" t="s">
        <v>531</v>
      </c>
      <c r="K366" s="2" t="s">
        <v>532</v>
      </c>
      <c r="L366" s="2" t="s">
        <v>533</v>
      </c>
      <c r="M366" s="2" t="s">
        <v>180</v>
      </c>
      <c r="N366" s="2" t="s">
        <v>91</v>
      </c>
      <c r="O366" s="2" t="s">
        <v>154</v>
      </c>
      <c r="P366" s="2" t="s">
        <v>2482</v>
      </c>
      <c r="Q366" s="2" t="s">
        <v>52</v>
      </c>
      <c r="R366" s="2" t="s">
        <v>36</v>
      </c>
      <c r="S366" s="2" t="s">
        <v>36</v>
      </c>
      <c r="T366" s="2" t="s">
        <v>36</v>
      </c>
      <c r="U366" s="2" t="s">
        <v>37</v>
      </c>
    </row>
    <row r="367" spans="1:21" x14ac:dyDescent="0.25">
      <c r="A367" s="2" t="s">
        <v>2483</v>
      </c>
      <c r="B367" s="2" t="s">
        <v>170</v>
      </c>
      <c r="C367" s="2" t="s">
        <v>655</v>
      </c>
      <c r="D367" s="2" t="s">
        <v>496</v>
      </c>
      <c r="E367" s="2" t="s">
        <v>2484</v>
      </c>
      <c r="F367" s="2" t="s">
        <v>2485</v>
      </c>
      <c r="G367" s="2" t="s">
        <v>2486</v>
      </c>
      <c r="H367" s="2" t="s">
        <v>2487</v>
      </c>
      <c r="I367" s="2"/>
      <c r="J367" s="2" t="s">
        <v>585</v>
      </c>
      <c r="K367" s="2" t="s">
        <v>586</v>
      </c>
      <c r="L367" s="2" t="s">
        <v>587</v>
      </c>
      <c r="M367" s="2" t="s">
        <v>32</v>
      </c>
      <c r="N367" s="2" t="s">
        <v>167</v>
      </c>
      <c r="O367" s="2" t="s">
        <v>50</v>
      </c>
      <c r="P367" s="2" t="s">
        <v>2488</v>
      </c>
      <c r="Q367" s="2" t="s">
        <v>4</v>
      </c>
      <c r="R367" s="2" t="s">
        <v>36</v>
      </c>
      <c r="S367" s="2" t="s">
        <v>36</v>
      </c>
      <c r="T367" s="2" t="s">
        <v>36</v>
      </c>
      <c r="U367" s="2" t="s">
        <v>36</v>
      </c>
    </row>
    <row r="368" spans="1:21" x14ac:dyDescent="0.25">
      <c r="A368" s="2" t="s">
        <v>2489</v>
      </c>
      <c r="B368" s="2" t="s">
        <v>54</v>
      </c>
      <c r="C368" s="2" t="s">
        <v>1290</v>
      </c>
      <c r="D368" s="2" t="s">
        <v>574</v>
      </c>
      <c r="E368" s="2" t="s">
        <v>2490</v>
      </c>
      <c r="F368" s="2" t="s">
        <v>2491</v>
      </c>
      <c r="G368" s="2" t="s">
        <v>2492</v>
      </c>
      <c r="H368" s="2" t="s">
        <v>2493</v>
      </c>
      <c r="I368" s="2"/>
      <c r="J368" s="2" t="s">
        <v>984</v>
      </c>
      <c r="K368" s="2" t="s">
        <v>62</v>
      </c>
      <c r="L368" s="2" t="s">
        <v>985</v>
      </c>
      <c r="M368" s="2" t="s">
        <v>166</v>
      </c>
      <c r="N368" s="2" t="s">
        <v>167</v>
      </c>
      <c r="O368" s="2" t="s">
        <v>243</v>
      </c>
      <c r="P368" s="2" t="s">
        <v>2494</v>
      </c>
      <c r="Q368" s="2" t="s">
        <v>52</v>
      </c>
      <c r="R368" s="2" t="s">
        <v>37</v>
      </c>
      <c r="S368" s="2" t="s">
        <v>36</v>
      </c>
      <c r="T368" s="2" t="s">
        <v>36</v>
      </c>
      <c r="U368" s="2" t="s">
        <v>36</v>
      </c>
    </row>
    <row r="369" spans="1:21" x14ac:dyDescent="0.25">
      <c r="A369" s="2" t="s">
        <v>2495</v>
      </c>
      <c r="B369" s="2" t="s">
        <v>54</v>
      </c>
      <c r="C369" s="2" t="s">
        <v>337</v>
      </c>
      <c r="D369" s="2" t="s">
        <v>2496</v>
      </c>
      <c r="E369" s="2" t="s">
        <v>2497</v>
      </c>
      <c r="F369" s="2" t="s">
        <v>2498</v>
      </c>
      <c r="G369" s="2" t="s">
        <v>2499</v>
      </c>
      <c r="H369" s="2" t="s">
        <v>2500</v>
      </c>
      <c r="I369" s="2"/>
      <c r="J369" s="2" t="s">
        <v>126</v>
      </c>
      <c r="K369" s="2" t="s">
        <v>127</v>
      </c>
      <c r="L369" s="2" t="s">
        <v>128</v>
      </c>
      <c r="M369" s="2" t="s">
        <v>116</v>
      </c>
      <c r="N369" s="2" t="s">
        <v>153</v>
      </c>
      <c r="O369" s="2" t="s">
        <v>154</v>
      </c>
      <c r="P369" s="2" t="s">
        <v>2501</v>
      </c>
      <c r="Q369" s="2" t="s">
        <v>4</v>
      </c>
      <c r="R369" s="2" t="s">
        <v>36</v>
      </c>
      <c r="S369" s="2" t="s">
        <v>36</v>
      </c>
      <c r="T369" s="2" t="s">
        <v>37</v>
      </c>
      <c r="U369" s="2" t="s">
        <v>37</v>
      </c>
    </row>
    <row r="370" spans="1:21" x14ac:dyDescent="0.25">
      <c r="A370" s="2" t="s">
        <v>2502</v>
      </c>
      <c r="B370" s="2" t="s">
        <v>69</v>
      </c>
      <c r="C370" s="2" t="s">
        <v>434</v>
      </c>
      <c r="D370" s="2" t="s">
        <v>902</v>
      </c>
      <c r="E370" s="2" t="s">
        <v>2503</v>
      </c>
      <c r="F370" s="2" t="s">
        <v>2504</v>
      </c>
      <c r="G370" s="2" t="s">
        <v>2505</v>
      </c>
      <c r="H370" s="2" t="s">
        <v>2506</v>
      </c>
      <c r="I370" s="2"/>
      <c r="J370" s="2" t="s">
        <v>945</v>
      </c>
      <c r="K370" s="2" t="s">
        <v>946</v>
      </c>
      <c r="L370" s="2" t="s">
        <v>947</v>
      </c>
      <c r="M370" s="2" t="s">
        <v>191</v>
      </c>
      <c r="N370" s="2" t="s">
        <v>181</v>
      </c>
      <c r="O370" s="2" t="s">
        <v>192</v>
      </c>
      <c r="P370" s="2" t="s">
        <v>2507</v>
      </c>
      <c r="Q370" s="2" t="s">
        <v>52</v>
      </c>
      <c r="R370" s="2" t="s">
        <v>37</v>
      </c>
      <c r="S370" s="2" t="s">
        <v>37</v>
      </c>
      <c r="T370" s="2" t="s">
        <v>37</v>
      </c>
      <c r="U370" s="2" t="s">
        <v>37</v>
      </c>
    </row>
    <row r="371" spans="1:21" x14ac:dyDescent="0.25">
      <c r="A371" s="2" t="s">
        <v>2508</v>
      </c>
      <c r="B371" s="2" t="s">
        <v>170</v>
      </c>
      <c r="C371" s="2" t="s">
        <v>95</v>
      </c>
      <c r="D371" s="2" t="s">
        <v>1323</v>
      </c>
      <c r="E371" s="2" t="s">
        <v>2509</v>
      </c>
      <c r="F371" s="2" t="s">
        <v>2510</v>
      </c>
      <c r="G371" s="2" t="s">
        <v>2511</v>
      </c>
      <c r="H371" s="2" t="s">
        <v>1724</v>
      </c>
      <c r="I371" s="2"/>
      <c r="J371" s="2" t="s">
        <v>609</v>
      </c>
      <c r="K371" s="2" t="s">
        <v>610</v>
      </c>
      <c r="L371" s="2" t="s">
        <v>611</v>
      </c>
      <c r="M371" s="2" t="s">
        <v>232</v>
      </c>
      <c r="N371" s="2" t="s">
        <v>117</v>
      </c>
      <c r="O371" s="2" t="s">
        <v>141</v>
      </c>
      <c r="P371" s="2" t="s">
        <v>2512</v>
      </c>
      <c r="Q371" s="2" t="s">
        <v>93</v>
      </c>
      <c r="R371" s="2" t="s">
        <v>36</v>
      </c>
      <c r="S371" s="2" t="s">
        <v>36</v>
      </c>
      <c r="T371" s="2" t="s">
        <v>36</v>
      </c>
      <c r="U371" s="2" t="s">
        <v>37</v>
      </c>
    </row>
    <row r="372" spans="1:21" x14ac:dyDescent="0.25">
      <c r="A372" s="2" t="s">
        <v>2513</v>
      </c>
      <c r="B372" s="2" t="s">
        <v>235</v>
      </c>
      <c r="C372" s="2" t="s">
        <v>1689</v>
      </c>
      <c r="D372" s="2" t="s">
        <v>24</v>
      </c>
      <c r="E372" s="2" t="s">
        <v>2514</v>
      </c>
      <c r="F372" s="2" t="s">
        <v>2515</v>
      </c>
      <c r="G372" s="2" t="s">
        <v>2516</v>
      </c>
      <c r="H372" s="2" t="s">
        <v>2517</v>
      </c>
      <c r="I372" s="2"/>
      <c r="J372" s="2" t="s">
        <v>625</v>
      </c>
      <c r="K372" s="2" t="s">
        <v>626</v>
      </c>
      <c r="L372" s="2" t="s">
        <v>627</v>
      </c>
      <c r="M372" s="2" t="s">
        <v>180</v>
      </c>
      <c r="N372" s="2" t="s">
        <v>153</v>
      </c>
      <c r="O372" s="2" t="s">
        <v>192</v>
      </c>
      <c r="P372" s="2" t="s">
        <v>2518</v>
      </c>
      <c r="Q372" s="2" t="s">
        <v>4</v>
      </c>
      <c r="R372" s="2" t="s">
        <v>36</v>
      </c>
      <c r="S372" s="2" t="s">
        <v>36</v>
      </c>
      <c r="T372" s="2" t="s">
        <v>36</v>
      </c>
      <c r="U372" s="2" t="s">
        <v>36</v>
      </c>
    </row>
    <row r="373" spans="1:21" x14ac:dyDescent="0.25">
      <c r="A373" s="2" t="s">
        <v>2519</v>
      </c>
      <c r="B373" s="2" t="s">
        <v>39</v>
      </c>
      <c r="C373" s="2" t="s">
        <v>413</v>
      </c>
      <c r="D373" s="2" t="s">
        <v>674</v>
      </c>
      <c r="E373" s="2" t="s">
        <v>2520</v>
      </c>
      <c r="F373" s="2" t="s">
        <v>2521</v>
      </c>
      <c r="G373" s="2" t="s">
        <v>2522</v>
      </c>
      <c r="H373" s="2" t="s">
        <v>2523</v>
      </c>
      <c r="I373" s="2"/>
      <c r="J373" s="2" t="s">
        <v>984</v>
      </c>
      <c r="K373" s="2" t="s">
        <v>62</v>
      </c>
      <c r="L373" s="2" t="s">
        <v>985</v>
      </c>
      <c r="M373" s="2" t="s">
        <v>32</v>
      </c>
      <c r="N373" s="2" t="s">
        <v>65</v>
      </c>
      <c r="O373" s="2" t="s">
        <v>154</v>
      </c>
      <c r="P373" s="2" t="s">
        <v>2524</v>
      </c>
      <c r="Q373" s="2" t="s">
        <v>93</v>
      </c>
      <c r="R373" s="2" t="s">
        <v>36</v>
      </c>
      <c r="S373" s="2" t="s">
        <v>36</v>
      </c>
      <c r="T373" s="2" t="s">
        <v>37</v>
      </c>
      <c r="U373" s="2" t="s">
        <v>37</v>
      </c>
    </row>
    <row r="374" spans="1:21" x14ac:dyDescent="0.25">
      <c r="A374" s="2" t="s">
        <v>2525</v>
      </c>
      <c r="B374" s="2" t="s">
        <v>54</v>
      </c>
      <c r="C374" s="2" t="s">
        <v>1098</v>
      </c>
      <c r="D374" s="2" t="s">
        <v>473</v>
      </c>
      <c r="E374" s="2" t="s">
        <v>2526</v>
      </c>
      <c r="F374" s="2" t="s">
        <v>2527</v>
      </c>
      <c r="G374" s="2" t="s">
        <v>2528</v>
      </c>
      <c r="H374" s="2" t="s">
        <v>2529</v>
      </c>
      <c r="I374" s="2"/>
      <c r="J374" s="2" t="s">
        <v>693</v>
      </c>
      <c r="K374" s="2" t="s">
        <v>694</v>
      </c>
      <c r="L374" s="2" t="s">
        <v>695</v>
      </c>
      <c r="M374" s="2" t="s">
        <v>79</v>
      </c>
      <c r="N374" s="2" t="s">
        <v>49</v>
      </c>
      <c r="O374" s="2" t="s">
        <v>192</v>
      </c>
      <c r="P374" s="2" t="s">
        <v>2530</v>
      </c>
      <c r="Q374" s="2" t="s">
        <v>4</v>
      </c>
      <c r="R374" s="2" t="s">
        <v>36</v>
      </c>
      <c r="S374" s="2" t="s">
        <v>36</v>
      </c>
      <c r="T374" s="2" t="s">
        <v>36</v>
      </c>
      <c r="U374" s="2" t="s">
        <v>37</v>
      </c>
    </row>
    <row r="375" spans="1:21" x14ac:dyDescent="0.25">
      <c r="A375" s="2" t="s">
        <v>2531</v>
      </c>
      <c r="B375" s="2" t="s">
        <v>39</v>
      </c>
      <c r="C375" s="2" t="s">
        <v>2532</v>
      </c>
      <c r="D375" s="2" t="s">
        <v>1039</v>
      </c>
      <c r="E375" s="2" t="s">
        <v>2533</v>
      </c>
      <c r="F375" s="2" t="s">
        <v>2534</v>
      </c>
      <c r="G375" s="2" t="s">
        <v>2535</v>
      </c>
      <c r="H375" s="2" t="s">
        <v>2536</v>
      </c>
      <c r="I375" s="2"/>
      <c r="J375" s="2" t="s">
        <v>370</v>
      </c>
      <c r="K375" s="2" t="s">
        <v>371</v>
      </c>
      <c r="L375" s="2" t="s">
        <v>602</v>
      </c>
      <c r="M375" s="2" t="s">
        <v>242</v>
      </c>
      <c r="N375" s="2" t="s">
        <v>117</v>
      </c>
      <c r="O375" s="2" t="s">
        <v>154</v>
      </c>
      <c r="P375" s="2" t="s">
        <v>2537</v>
      </c>
      <c r="Q375" s="2" t="s">
        <v>4</v>
      </c>
      <c r="R375" s="2" t="s">
        <v>36</v>
      </c>
      <c r="S375" s="2" t="s">
        <v>36</v>
      </c>
      <c r="T375" s="2" t="s">
        <v>36</v>
      </c>
      <c r="U375" s="2" t="s">
        <v>36</v>
      </c>
    </row>
    <row r="376" spans="1:21" x14ac:dyDescent="0.25">
      <c r="A376" s="2" t="s">
        <v>2538</v>
      </c>
      <c r="B376" s="2" t="s">
        <v>170</v>
      </c>
      <c r="C376" s="2" t="s">
        <v>346</v>
      </c>
      <c r="D376" s="2" t="s">
        <v>225</v>
      </c>
      <c r="E376" s="2" t="s">
        <v>2539</v>
      </c>
      <c r="F376" s="2" t="s">
        <v>2540</v>
      </c>
      <c r="G376" s="2" t="s">
        <v>2541</v>
      </c>
      <c r="H376" s="2" t="s">
        <v>2542</v>
      </c>
      <c r="I376" s="2"/>
      <c r="J376" s="2" t="s">
        <v>126</v>
      </c>
      <c r="K376" s="2" t="s">
        <v>127</v>
      </c>
      <c r="L376" s="2" t="s">
        <v>128</v>
      </c>
      <c r="M376" s="2" t="s">
        <v>242</v>
      </c>
      <c r="N376" s="2" t="s">
        <v>91</v>
      </c>
      <c r="O376" s="2" t="s">
        <v>34</v>
      </c>
      <c r="P376" s="2" t="s">
        <v>2543</v>
      </c>
      <c r="Q376" s="2" t="s">
        <v>4</v>
      </c>
      <c r="R376" s="2" t="s">
        <v>36</v>
      </c>
      <c r="S376" s="2" t="s">
        <v>36</v>
      </c>
      <c r="T376" s="2" t="s">
        <v>37</v>
      </c>
      <c r="U376" s="2" t="s">
        <v>37</v>
      </c>
    </row>
    <row r="377" spans="1:21" x14ac:dyDescent="0.25">
      <c r="A377" s="2" t="s">
        <v>2544</v>
      </c>
      <c r="B377" s="2" t="s">
        <v>170</v>
      </c>
      <c r="C377" s="2" t="s">
        <v>968</v>
      </c>
      <c r="D377" s="2" t="s">
        <v>1323</v>
      </c>
      <c r="E377" s="2" t="s">
        <v>2545</v>
      </c>
      <c r="F377" s="2" t="s">
        <v>2546</v>
      </c>
      <c r="G377" s="2" t="s">
        <v>2547</v>
      </c>
      <c r="H377" s="2" t="s">
        <v>2548</v>
      </c>
      <c r="I377" s="2"/>
      <c r="J377" s="2" t="s">
        <v>650</v>
      </c>
      <c r="K377" s="2" t="s">
        <v>651</v>
      </c>
      <c r="L377" s="2" t="s">
        <v>652</v>
      </c>
      <c r="M377" s="2" t="s">
        <v>32</v>
      </c>
      <c r="N377" s="2" t="s">
        <v>65</v>
      </c>
      <c r="O377" s="2" t="s">
        <v>243</v>
      </c>
      <c r="P377" s="2" t="s">
        <v>2549</v>
      </c>
      <c r="Q377" s="2" t="s">
        <v>4</v>
      </c>
      <c r="R377" s="2" t="s">
        <v>36</v>
      </c>
      <c r="S377" s="2" t="s">
        <v>37</v>
      </c>
      <c r="T377" s="2" t="s">
        <v>36</v>
      </c>
      <c r="U377" s="2" t="s">
        <v>37</v>
      </c>
    </row>
    <row r="378" spans="1:21" x14ac:dyDescent="0.25">
      <c r="A378" s="2" t="s">
        <v>2550</v>
      </c>
      <c r="B378" s="2" t="s">
        <v>54</v>
      </c>
      <c r="C378" s="2" t="s">
        <v>1429</v>
      </c>
      <c r="D378" s="2" t="s">
        <v>96</v>
      </c>
      <c r="E378" s="2" t="s">
        <v>2551</v>
      </c>
      <c r="F378" s="2" t="s">
        <v>2552</v>
      </c>
      <c r="G378" s="2" t="s">
        <v>2553</v>
      </c>
      <c r="H378" s="2" t="s">
        <v>2554</v>
      </c>
      <c r="I378" s="2"/>
      <c r="J378" s="2" t="s">
        <v>387</v>
      </c>
      <c r="K378" s="2" t="s">
        <v>388</v>
      </c>
      <c r="L378" s="2" t="s">
        <v>389</v>
      </c>
      <c r="M378" s="2" t="s">
        <v>116</v>
      </c>
      <c r="N378" s="2" t="s">
        <v>153</v>
      </c>
      <c r="O378" s="2" t="s">
        <v>66</v>
      </c>
      <c r="P378" s="2" t="s">
        <v>2555</v>
      </c>
      <c r="Q378" s="2" t="s">
        <v>4</v>
      </c>
      <c r="R378" s="2" t="s">
        <v>36</v>
      </c>
      <c r="S378" s="2" t="s">
        <v>36</v>
      </c>
      <c r="T378" s="2" t="s">
        <v>36</v>
      </c>
      <c r="U378" s="2" t="s">
        <v>36</v>
      </c>
    </row>
    <row r="379" spans="1:21" x14ac:dyDescent="0.25">
      <c r="A379" s="2" t="s">
        <v>2556</v>
      </c>
      <c r="B379" s="2" t="s">
        <v>195</v>
      </c>
      <c r="C379" s="2" t="s">
        <v>196</v>
      </c>
      <c r="D379" s="2" t="s">
        <v>214</v>
      </c>
      <c r="E379" s="2" t="s">
        <v>2557</v>
      </c>
      <c r="F379" s="2" t="s">
        <v>2558</v>
      </c>
      <c r="G379" s="2" t="s">
        <v>2559</v>
      </c>
      <c r="H379" s="2" t="s">
        <v>2560</v>
      </c>
      <c r="I379" s="2"/>
      <c r="J379" s="2" t="s">
        <v>945</v>
      </c>
      <c r="K379" s="2" t="s">
        <v>946</v>
      </c>
      <c r="L379" s="2" t="s">
        <v>947</v>
      </c>
      <c r="M379" s="2" t="s">
        <v>242</v>
      </c>
      <c r="N379" s="2" t="s">
        <v>49</v>
      </c>
      <c r="O379" s="2" t="s">
        <v>141</v>
      </c>
      <c r="P379" s="2" t="s">
        <v>2561</v>
      </c>
      <c r="Q379" s="2" t="s">
        <v>4</v>
      </c>
      <c r="R379" s="2" t="s">
        <v>36</v>
      </c>
      <c r="S379" s="2" t="s">
        <v>37</v>
      </c>
      <c r="T379" s="2" t="s">
        <v>36</v>
      </c>
      <c r="U379" s="2" t="s">
        <v>36</v>
      </c>
    </row>
    <row r="380" spans="1:21" x14ac:dyDescent="0.25">
      <c r="A380" s="2" t="s">
        <v>2562</v>
      </c>
      <c r="B380" s="2"/>
      <c r="C380" s="2" t="s">
        <v>1411</v>
      </c>
      <c r="D380" s="2" t="s">
        <v>504</v>
      </c>
      <c r="E380" s="2" t="s">
        <v>2563</v>
      </c>
      <c r="F380" s="2" t="s">
        <v>2564</v>
      </c>
      <c r="G380" s="2" t="s">
        <v>2565</v>
      </c>
      <c r="H380" s="2" t="s">
        <v>2566</v>
      </c>
      <c r="I380" s="2"/>
      <c r="J380" s="2" t="s">
        <v>229</v>
      </c>
      <c r="K380" s="2" t="s">
        <v>230</v>
      </c>
      <c r="L380" s="2" t="s">
        <v>231</v>
      </c>
      <c r="M380" s="2" t="s">
        <v>232</v>
      </c>
      <c r="N380" s="2" t="s">
        <v>91</v>
      </c>
      <c r="O380" s="2" t="s">
        <v>141</v>
      </c>
      <c r="P380" s="2" t="s">
        <v>2567</v>
      </c>
      <c r="Q380" s="2" t="s">
        <v>5</v>
      </c>
      <c r="R380" s="2" t="s">
        <v>36</v>
      </c>
      <c r="S380" s="2" t="s">
        <v>36</v>
      </c>
      <c r="T380" s="2" t="s">
        <v>36</v>
      </c>
      <c r="U380" s="2" t="s">
        <v>37</v>
      </c>
    </row>
    <row r="381" spans="1:21" x14ac:dyDescent="0.25">
      <c r="A381" s="2" t="s">
        <v>2568</v>
      </c>
      <c r="B381" s="2" t="s">
        <v>39</v>
      </c>
      <c r="C381" s="2" t="s">
        <v>1038</v>
      </c>
      <c r="D381" s="2" t="s">
        <v>574</v>
      </c>
      <c r="E381" s="2" t="s">
        <v>2569</v>
      </c>
      <c r="F381" s="2" t="s">
        <v>2570</v>
      </c>
      <c r="G381" s="2" t="s">
        <v>2571</v>
      </c>
      <c r="H381" s="2" t="s">
        <v>2572</v>
      </c>
      <c r="I381" s="2"/>
      <c r="J381" s="2" t="s">
        <v>278</v>
      </c>
      <c r="K381" s="2" t="s">
        <v>279</v>
      </c>
      <c r="L381" s="2" t="s">
        <v>280</v>
      </c>
      <c r="M381" s="2" t="s">
        <v>32</v>
      </c>
      <c r="N381" s="2" t="s">
        <v>167</v>
      </c>
      <c r="O381" s="2" t="s">
        <v>243</v>
      </c>
      <c r="P381" s="2" t="s">
        <v>2573</v>
      </c>
      <c r="Q381" s="2" t="s">
        <v>93</v>
      </c>
      <c r="R381" s="2" t="s">
        <v>36</v>
      </c>
      <c r="S381" s="2" t="s">
        <v>36</v>
      </c>
      <c r="T381" s="2" t="s">
        <v>36</v>
      </c>
      <c r="U381" s="2" t="s">
        <v>36</v>
      </c>
    </row>
    <row r="382" spans="1:21" x14ac:dyDescent="0.25">
      <c r="A382" s="2" t="s">
        <v>2574</v>
      </c>
      <c r="B382" s="2" t="s">
        <v>54</v>
      </c>
      <c r="C382" s="2" t="s">
        <v>324</v>
      </c>
      <c r="D382" s="2" t="s">
        <v>71</v>
      </c>
      <c r="E382" s="2" t="s">
        <v>2575</v>
      </c>
      <c r="F382" s="2" t="s">
        <v>2576</v>
      </c>
      <c r="G382" s="2" t="s">
        <v>2577</v>
      </c>
      <c r="H382" s="2" t="s">
        <v>2578</v>
      </c>
      <c r="I382" s="2"/>
      <c r="J382" s="2" t="s">
        <v>88</v>
      </c>
      <c r="K382" s="2" t="s">
        <v>89</v>
      </c>
      <c r="L382" s="2"/>
      <c r="M382" s="2" t="s">
        <v>116</v>
      </c>
      <c r="N382" s="2" t="s">
        <v>91</v>
      </c>
      <c r="O382" s="2" t="s">
        <v>243</v>
      </c>
      <c r="P382" s="2" t="s">
        <v>2579</v>
      </c>
      <c r="Q382" s="2" t="s">
        <v>4</v>
      </c>
      <c r="R382" s="2" t="s">
        <v>36</v>
      </c>
      <c r="S382" s="2" t="s">
        <v>36</v>
      </c>
      <c r="T382" s="2" t="s">
        <v>37</v>
      </c>
      <c r="U382" s="2" t="s">
        <v>36</v>
      </c>
    </row>
    <row r="383" spans="1:21" x14ac:dyDescent="0.25">
      <c r="A383" s="2" t="s">
        <v>2580</v>
      </c>
      <c r="B383" s="2" t="s">
        <v>184</v>
      </c>
      <c r="C383" s="2" t="s">
        <v>337</v>
      </c>
      <c r="D383" s="2" t="s">
        <v>24</v>
      </c>
      <c r="E383" s="2" t="s">
        <v>2581</v>
      </c>
      <c r="F383" s="2" t="s">
        <v>2582</v>
      </c>
      <c r="G383" s="2" t="s">
        <v>2583</v>
      </c>
      <c r="H383" s="2" t="s">
        <v>2584</v>
      </c>
      <c r="I383" s="2"/>
      <c r="J383" s="2" t="s">
        <v>370</v>
      </c>
      <c r="K383" s="2" t="s">
        <v>371</v>
      </c>
      <c r="L383" s="2"/>
      <c r="M383" s="2" t="s">
        <v>64</v>
      </c>
      <c r="N383" s="2" t="s">
        <v>181</v>
      </c>
      <c r="O383" s="2" t="s">
        <v>141</v>
      </c>
      <c r="P383" s="2" t="s">
        <v>2585</v>
      </c>
      <c r="Q383" s="2" t="s">
        <v>4</v>
      </c>
      <c r="R383" s="2" t="s">
        <v>36</v>
      </c>
      <c r="S383" s="2" t="s">
        <v>36</v>
      </c>
      <c r="T383" s="2" t="s">
        <v>37</v>
      </c>
      <c r="U383" s="2" t="s">
        <v>37</v>
      </c>
    </row>
    <row r="384" spans="1:21" x14ac:dyDescent="0.25">
      <c r="A384" s="2" t="s">
        <v>2586</v>
      </c>
      <c r="B384" s="2" t="s">
        <v>39</v>
      </c>
      <c r="C384" s="2" t="s">
        <v>171</v>
      </c>
      <c r="D384" s="2" t="s">
        <v>810</v>
      </c>
      <c r="E384" s="2" t="s">
        <v>2587</v>
      </c>
      <c r="F384" s="2" t="s">
        <v>2588</v>
      </c>
      <c r="G384" s="2" t="s">
        <v>2589</v>
      </c>
      <c r="H384" s="2" t="s">
        <v>2590</v>
      </c>
      <c r="I384" s="2"/>
      <c r="J384" s="2" t="s">
        <v>984</v>
      </c>
      <c r="K384" s="2" t="s">
        <v>62</v>
      </c>
      <c r="L384" s="2" t="s">
        <v>985</v>
      </c>
      <c r="M384" s="2" t="s">
        <v>242</v>
      </c>
      <c r="N384" s="2" t="s">
        <v>65</v>
      </c>
      <c r="O384" s="2" t="s">
        <v>141</v>
      </c>
      <c r="P384" s="2" t="s">
        <v>2591</v>
      </c>
      <c r="Q384" s="2" t="s">
        <v>4</v>
      </c>
      <c r="R384" s="2" t="s">
        <v>36</v>
      </c>
      <c r="S384" s="2" t="s">
        <v>36</v>
      </c>
      <c r="T384" s="2" t="s">
        <v>37</v>
      </c>
      <c r="U384" s="2" t="s">
        <v>37</v>
      </c>
    </row>
    <row r="385" spans="1:21" x14ac:dyDescent="0.25">
      <c r="A385" s="2" t="s">
        <v>2592</v>
      </c>
      <c r="B385" s="2" t="s">
        <v>39</v>
      </c>
      <c r="C385" s="2" t="s">
        <v>459</v>
      </c>
      <c r="D385" s="2" t="s">
        <v>574</v>
      </c>
      <c r="E385" s="2" t="s">
        <v>2593</v>
      </c>
      <c r="F385" s="2" t="s">
        <v>2594</v>
      </c>
      <c r="G385" s="2" t="s">
        <v>2595</v>
      </c>
      <c r="H385" s="2" t="s">
        <v>2596</v>
      </c>
      <c r="I385" s="2"/>
      <c r="J385" s="2" t="s">
        <v>138</v>
      </c>
      <c r="K385" s="2" t="s">
        <v>139</v>
      </c>
      <c r="L385" s="2" t="s">
        <v>140</v>
      </c>
      <c r="M385" s="2" t="s">
        <v>116</v>
      </c>
      <c r="N385" s="2" t="s">
        <v>153</v>
      </c>
      <c r="O385" s="2" t="s">
        <v>154</v>
      </c>
      <c r="P385" s="2" t="s">
        <v>2597</v>
      </c>
      <c r="Q385" s="2" t="s">
        <v>93</v>
      </c>
      <c r="R385" s="2" t="s">
        <v>36</v>
      </c>
      <c r="S385" s="2" t="s">
        <v>36</v>
      </c>
      <c r="T385" s="2" t="s">
        <v>37</v>
      </c>
      <c r="U385" s="2" t="s">
        <v>37</v>
      </c>
    </row>
    <row r="386" spans="1:21" x14ac:dyDescent="0.25">
      <c r="A386" s="2" t="s">
        <v>2598</v>
      </c>
      <c r="B386" s="2" t="s">
        <v>170</v>
      </c>
      <c r="C386" s="2" t="s">
        <v>413</v>
      </c>
      <c r="D386" s="2" t="s">
        <v>291</v>
      </c>
      <c r="E386" s="2"/>
      <c r="F386" s="2" t="s">
        <v>2599</v>
      </c>
      <c r="G386" s="2" t="s">
        <v>2600</v>
      </c>
      <c r="H386" s="2" t="s">
        <v>2601</v>
      </c>
      <c r="I386" s="2"/>
      <c r="J386" s="2" t="s">
        <v>509</v>
      </c>
      <c r="K386" s="2" t="s">
        <v>510</v>
      </c>
      <c r="L386" s="2" t="s">
        <v>511</v>
      </c>
      <c r="M386" s="2" t="s">
        <v>32</v>
      </c>
      <c r="N386" s="2" t="s">
        <v>153</v>
      </c>
      <c r="O386" s="2" t="s">
        <v>141</v>
      </c>
      <c r="P386" s="2" t="s">
        <v>2602</v>
      </c>
      <c r="Q386" s="2" t="s">
        <v>5</v>
      </c>
      <c r="R386" s="2" t="s">
        <v>36</v>
      </c>
      <c r="S386" s="2" t="s">
        <v>37</v>
      </c>
      <c r="T386" s="2" t="s">
        <v>36</v>
      </c>
      <c r="U386" s="2" t="s">
        <v>36</v>
      </c>
    </row>
    <row r="387" spans="1:21" x14ac:dyDescent="0.25">
      <c r="A387" s="2" t="s">
        <v>2603</v>
      </c>
      <c r="B387" s="2"/>
      <c r="C387" s="2" t="s">
        <v>1078</v>
      </c>
      <c r="D387" s="2" t="s">
        <v>771</v>
      </c>
      <c r="E387" s="2" t="s">
        <v>2604</v>
      </c>
      <c r="F387" s="2" t="s">
        <v>2605</v>
      </c>
      <c r="G387" s="2" t="s">
        <v>2606</v>
      </c>
      <c r="H387" s="2" t="s">
        <v>2607</v>
      </c>
      <c r="I387" s="2"/>
      <c r="J387" s="2" t="s">
        <v>229</v>
      </c>
      <c r="K387" s="2" t="s">
        <v>230</v>
      </c>
      <c r="L387" s="2" t="s">
        <v>231</v>
      </c>
      <c r="M387" s="2" t="s">
        <v>32</v>
      </c>
      <c r="N387" s="2" t="s">
        <v>91</v>
      </c>
      <c r="O387" s="2" t="s">
        <v>141</v>
      </c>
      <c r="P387" s="2" t="s">
        <v>2608</v>
      </c>
      <c r="Q387" s="2" t="s">
        <v>93</v>
      </c>
      <c r="R387" s="2" t="s">
        <v>36</v>
      </c>
      <c r="S387" s="2" t="s">
        <v>37</v>
      </c>
      <c r="T387" s="2" t="s">
        <v>36</v>
      </c>
      <c r="U387" s="2" t="s">
        <v>36</v>
      </c>
    </row>
    <row r="388" spans="1:21" x14ac:dyDescent="0.25">
      <c r="A388" s="2" t="s">
        <v>2609</v>
      </c>
      <c r="B388" s="2" t="s">
        <v>402</v>
      </c>
      <c r="C388" s="2" t="s">
        <v>265</v>
      </c>
      <c r="D388" s="2" t="s">
        <v>940</v>
      </c>
      <c r="E388" s="2" t="s">
        <v>2610</v>
      </c>
      <c r="F388" s="2" t="s">
        <v>2611</v>
      </c>
      <c r="G388" s="2" t="s">
        <v>2612</v>
      </c>
      <c r="H388" s="2" t="s">
        <v>2613</v>
      </c>
      <c r="I388" s="2"/>
      <c r="J388" s="2" t="s">
        <v>945</v>
      </c>
      <c r="K388" s="2" t="s">
        <v>946</v>
      </c>
      <c r="L388" s="2" t="s">
        <v>947</v>
      </c>
      <c r="M388" s="2" t="s">
        <v>180</v>
      </c>
      <c r="N388" s="2" t="s">
        <v>181</v>
      </c>
      <c r="O388" s="2" t="s">
        <v>50</v>
      </c>
      <c r="P388" s="2" t="s">
        <v>2614</v>
      </c>
      <c r="Q388" s="2" t="s">
        <v>93</v>
      </c>
      <c r="R388" s="2" t="s">
        <v>36</v>
      </c>
      <c r="S388" s="2" t="s">
        <v>36</v>
      </c>
      <c r="T388" s="2" t="s">
        <v>36</v>
      </c>
      <c r="U388" s="2" t="s">
        <v>37</v>
      </c>
    </row>
    <row r="389" spans="1:21" x14ac:dyDescent="0.25">
      <c r="A389" s="2" t="s">
        <v>2615</v>
      </c>
      <c r="B389" s="2" t="s">
        <v>22</v>
      </c>
      <c r="C389" s="2" t="s">
        <v>392</v>
      </c>
      <c r="D389" s="2" t="s">
        <v>41</v>
      </c>
      <c r="E389" s="2" t="s">
        <v>2616</v>
      </c>
      <c r="F389" s="2" t="s">
        <v>2617</v>
      </c>
      <c r="G389" s="2" t="s">
        <v>2618</v>
      </c>
      <c r="H389" s="2" t="s">
        <v>2619</v>
      </c>
      <c r="I389" s="2"/>
      <c r="J389" s="2" t="s">
        <v>429</v>
      </c>
      <c r="K389" s="2" t="s">
        <v>430</v>
      </c>
      <c r="L389" s="2" t="s">
        <v>925</v>
      </c>
      <c r="M389" s="2" t="s">
        <v>242</v>
      </c>
      <c r="N389" s="2" t="s">
        <v>33</v>
      </c>
      <c r="O389" s="2" t="s">
        <v>243</v>
      </c>
      <c r="P389" s="2" t="s">
        <v>2620</v>
      </c>
      <c r="Q389" s="2" t="s">
        <v>4</v>
      </c>
      <c r="R389" s="2" t="s">
        <v>36</v>
      </c>
      <c r="S389" s="2" t="s">
        <v>36</v>
      </c>
      <c r="T389" s="2" t="s">
        <v>37</v>
      </c>
      <c r="U389" s="2" t="s">
        <v>36</v>
      </c>
    </row>
    <row r="390" spans="1:21" x14ac:dyDescent="0.25">
      <c r="A390" s="2" t="s">
        <v>2621</v>
      </c>
      <c r="B390" s="2" t="s">
        <v>184</v>
      </c>
      <c r="C390" s="2" t="s">
        <v>1267</v>
      </c>
      <c r="D390" s="2" t="s">
        <v>614</v>
      </c>
      <c r="E390" s="2" t="s">
        <v>2622</v>
      </c>
      <c r="F390" s="2" t="s">
        <v>2623</v>
      </c>
      <c r="G390" s="2" t="s">
        <v>2624</v>
      </c>
      <c r="H390" s="2" t="s">
        <v>2625</v>
      </c>
      <c r="I390" s="2"/>
      <c r="J390" s="2" t="s">
        <v>429</v>
      </c>
      <c r="K390" s="2" t="s">
        <v>430</v>
      </c>
      <c r="L390" s="2" t="s">
        <v>431</v>
      </c>
      <c r="M390" s="2" t="s">
        <v>166</v>
      </c>
      <c r="N390" s="2" t="s">
        <v>49</v>
      </c>
      <c r="O390" s="2" t="s">
        <v>192</v>
      </c>
      <c r="P390" s="2" t="s">
        <v>2626</v>
      </c>
      <c r="Q390" s="2" t="s">
        <v>4</v>
      </c>
      <c r="R390" s="2" t="s">
        <v>36</v>
      </c>
      <c r="S390" s="2" t="s">
        <v>36</v>
      </c>
      <c r="T390" s="2" t="s">
        <v>37</v>
      </c>
      <c r="U390" s="2" t="s">
        <v>37</v>
      </c>
    </row>
    <row r="391" spans="1:21" x14ac:dyDescent="0.25">
      <c r="A391" s="2" t="s">
        <v>2627</v>
      </c>
      <c r="B391" s="2" t="s">
        <v>69</v>
      </c>
      <c r="C391" s="2" t="s">
        <v>864</v>
      </c>
      <c r="D391" s="2" t="s">
        <v>197</v>
      </c>
      <c r="E391" s="2" t="s">
        <v>2628</v>
      </c>
      <c r="F391" s="2" t="s">
        <v>2629</v>
      </c>
      <c r="G391" s="2" t="s">
        <v>2630</v>
      </c>
      <c r="H391" s="2" t="s">
        <v>162</v>
      </c>
      <c r="I391" s="2"/>
      <c r="J391" s="2" t="s">
        <v>46</v>
      </c>
      <c r="K391" s="2" t="s">
        <v>47</v>
      </c>
      <c r="L391" s="2" t="s">
        <v>48</v>
      </c>
      <c r="M391" s="2" t="s">
        <v>64</v>
      </c>
      <c r="N391" s="2" t="s">
        <v>91</v>
      </c>
      <c r="O391" s="2" t="s">
        <v>66</v>
      </c>
      <c r="P391" s="2" t="s">
        <v>2631</v>
      </c>
      <c r="Q391" s="2" t="s">
        <v>5</v>
      </c>
      <c r="R391" s="2" t="s">
        <v>37</v>
      </c>
      <c r="S391" s="2" t="s">
        <v>36</v>
      </c>
      <c r="T391" s="2" t="s">
        <v>37</v>
      </c>
      <c r="U391" s="2" t="s">
        <v>37</v>
      </c>
    </row>
    <row r="392" spans="1:21" x14ac:dyDescent="0.25">
      <c r="A392" s="2" t="s">
        <v>2632</v>
      </c>
      <c r="B392" s="2" t="s">
        <v>54</v>
      </c>
      <c r="C392" s="2" t="s">
        <v>70</v>
      </c>
      <c r="D392" s="2" t="s">
        <v>1323</v>
      </c>
      <c r="E392" s="2" t="s">
        <v>2633</v>
      </c>
      <c r="F392" s="2" t="s">
        <v>2634</v>
      </c>
      <c r="G392" s="2" t="s">
        <v>2635</v>
      </c>
      <c r="H392" s="2" t="s">
        <v>2636</v>
      </c>
      <c r="I392" s="2"/>
      <c r="J392" s="2" t="s">
        <v>278</v>
      </c>
      <c r="K392" s="2" t="s">
        <v>279</v>
      </c>
      <c r="L392" s="2" t="s">
        <v>280</v>
      </c>
      <c r="M392" s="2" t="s">
        <v>116</v>
      </c>
      <c r="N392" s="2" t="s">
        <v>181</v>
      </c>
      <c r="O392" s="2" t="s">
        <v>50</v>
      </c>
      <c r="P392" s="2" t="s">
        <v>2637</v>
      </c>
      <c r="Q392" s="2" t="s">
        <v>5</v>
      </c>
      <c r="R392" s="2" t="s">
        <v>36</v>
      </c>
      <c r="S392" s="2" t="s">
        <v>36</v>
      </c>
      <c r="T392" s="2" t="s">
        <v>37</v>
      </c>
      <c r="U392" s="2" t="s">
        <v>37</v>
      </c>
    </row>
    <row r="393" spans="1:21" x14ac:dyDescent="0.25">
      <c r="A393" s="2" t="s">
        <v>2638</v>
      </c>
      <c r="B393" s="2" t="s">
        <v>69</v>
      </c>
      <c r="C393" s="2" t="s">
        <v>448</v>
      </c>
      <c r="D393" s="2" t="s">
        <v>711</v>
      </c>
      <c r="E393" s="2" t="s">
        <v>2639</v>
      </c>
      <c r="F393" s="2" t="s">
        <v>2640</v>
      </c>
      <c r="G393" s="2" t="s">
        <v>2641</v>
      </c>
      <c r="H393" s="2" t="s">
        <v>2642</v>
      </c>
      <c r="I393" s="2"/>
      <c r="J393" s="2" t="s">
        <v>1204</v>
      </c>
      <c r="K393" s="2" t="s">
        <v>114</v>
      </c>
      <c r="L393" s="2" t="s">
        <v>1205</v>
      </c>
      <c r="M393" s="2" t="s">
        <v>116</v>
      </c>
      <c r="N393" s="2" t="s">
        <v>181</v>
      </c>
      <c r="O393" s="2" t="s">
        <v>243</v>
      </c>
      <c r="P393" s="2" t="s">
        <v>2643</v>
      </c>
      <c r="Q393" s="2" t="s">
        <v>4</v>
      </c>
      <c r="R393" s="2" t="s">
        <v>36</v>
      </c>
      <c r="S393" s="2" t="s">
        <v>37</v>
      </c>
      <c r="T393" s="2" t="s">
        <v>36</v>
      </c>
      <c r="U393" s="2" t="s">
        <v>36</v>
      </c>
    </row>
    <row r="394" spans="1:21" x14ac:dyDescent="0.25">
      <c r="A394" s="2" t="s">
        <v>2644</v>
      </c>
      <c r="B394" s="2" t="s">
        <v>235</v>
      </c>
      <c r="C394" s="2" t="s">
        <v>645</v>
      </c>
      <c r="D394" s="2" t="s">
        <v>2290</v>
      </c>
      <c r="E394" s="2" t="s">
        <v>2645</v>
      </c>
      <c r="F394" s="2" t="s">
        <v>2646</v>
      </c>
      <c r="G394" s="2" t="s">
        <v>2647</v>
      </c>
      <c r="H394" s="2" t="s">
        <v>2648</v>
      </c>
      <c r="I394" s="2"/>
      <c r="J394" s="2" t="s">
        <v>296</v>
      </c>
      <c r="K394" s="2" t="s">
        <v>297</v>
      </c>
      <c r="L394" s="2" t="s">
        <v>298</v>
      </c>
      <c r="M394" s="2" t="s">
        <v>180</v>
      </c>
      <c r="N394" s="2" t="s">
        <v>167</v>
      </c>
      <c r="O394" s="2" t="s">
        <v>50</v>
      </c>
      <c r="P394" s="2" t="s">
        <v>2649</v>
      </c>
      <c r="Q394" s="2" t="s">
        <v>93</v>
      </c>
      <c r="R394" s="2" t="s">
        <v>36</v>
      </c>
      <c r="S394" s="2" t="s">
        <v>36</v>
      </c>
      <c r="T394" s="2" t="s">
        <v>37</v>
      </c>
      <c r="U394" s="2" t="s">
        <v>37</v>
      </c>
    </row>
    <row r="395" spans="1:21" x14ac:dyDescent="0.25">
      <c r="A395" s="2" t="s">
        <v>2650</v>
      </c>
      <c r="B395" s="2" t="s">
        <v>402</v>
      </c>
      <c r="C395" s="2" t="s">
        <v>710</v>
      </c>
      <c r="D395" s="2" t="s">
        <v>2651</v>
      </c>
      <c r="E395" s="2" t="s">
        <v>2652</v>
      </c>
      <c r="F395" s="2" t="s">
        <v>2653</v>
      </c>
      <c r="G395" s="2" t="s">
        <v>2654</v>
      </c>
      <c r="H395" s="2" t="s">
        <v>2655</v>
      </c>
      <c r="I395" s="2"/>
      <c r="J395" s="2" t="s">
        <v>46</v>
      </c>
      <c r="K395" s="2" t="s">
        <v>47</v>
      </c>
      <c r="L395" s="2" t="s">
        <v>48</v>
      </c>
      <c r="M395" s="2" t="s">
        <v>242</v>
      </c>
      <c r="N395" s="2" t="s">
        <v>49</v>
      </c>
      <c r="O395" s="2" t="s">
        <v>34</v>
      </c>
      <c r="P395" s="2" t="s">
        <v>2656</v>
      </c>
      <c r="Q395" s="2" t="s">
        <v>93</v>
      </c>
      <c r="R395" s="2" t="s">
        <v>36</v>
      </c>
      <c r="S395" s="2" t="s">
        <v>37</v>
      </c>
      <c r="T395" s="2" t="s">
        <v>37</v>
      </c>
      <c r="U395" s="2" t="s">
        <v>37</v>
      </c>
    </row>
    <row r="396" spans="1:21" x14ac:dyDescent="0.25">
      <c r="A396" s="2" t="s">
        <v>2657</v>
      </c>
      <c r="B396" s="2" t="s">
        <v>69</v>
      </c>
      <c r="C396" s="2" t="s">
        <v>778</v>
      </c>
      <c r="D396" s="2" t="s">
        <v>473</v>
      </c>
      <c r="E396" s="2" t="s">
        <v>2658</v>
      </c>
      <c r="F396" s="2" t="s">
        <v>2659</v>
      </c>
      <c r="G396" s="2" t="s">
        <v>2660</v>
      </c>
      <c r="H396" s="2" t="s">
        <v>642</v>
      </c>
      <c r="I396" s="2"/>
      <c r="J396" s="2" t="s">
        <v>408</v>
      </c>
      <c r="K396" s="2" t="s">
        <v>409</v>
      </c>
      <c r="L396" s="2" t="s">
        <v>410</v>
      </c>
      <c r="M396" s="2" t="s">
        <v>166</v>
      </c>
      <c r="N396" s="2" t="s">
        <v>153</v>
      </c>
      <c r="O396" s="2" t="s">
        <v>154</v>
      </c>
      <c r="P396" s="2" t="s">
        <v>2661</v>
      </c>
      <c r="Q396" s="2" t="s">
        <v>52</v>
      </c>
      <c r="R396" s="2" t="s">
        <v>37</v>
      </c>
      <c r="S396" s="2" t="s">
        <v>36</v>
      </c>
      <c r="T396" s="2" t="s">
        <v>37</v>
      </c>
      <c r="U396" s="2" t="s">
        <v>36</v>
      </c>
    </row>
    <row r="397" spans="1:21" x14ac:dyDescent="0.25">
      <c r="A397" s="2" t="s">
        <v>2662</v>
      </c>
      <c r="B397" s="2" t="s">
        <v>402</v>
      </c>
      <c r="C397" s="2" t="s">
        <v>413</v>
      </c>
      <c r="D397" s="2" t="s">
        <v>711</v>
      </c>
      <c r="E397" s="2" t="s">
        <v>2663</v>
      </c>
      <c r="F397" s="2" t="s">
        <v>2664</v>
      </c>
      <c r="G397" s="2" t="s">
        <v>2665</v>
      </c>
      <c r="H397" s="2" t="s">
        <v>2666</v>
      </c>
      <c r="I397" s="2"/>
      <c r="J397" s="2" t="s">
        <v>419</v>
      </c>
      <c r="K397" s="2" t="s">
        <v>420</v>
      </c>
      <c r="L397" s="2" t="s">
        <v>421</v>
      </c>
      <c r="M397" s="2" t="s">
        <v>32</v>
      </c>
      <c r="N397" s="2" t="s">
        <v>49</v>
      </c>
      <c r="O397" s="2" t="s">
        <v>141</v>
      </c>
      <c r="P397" s="2" t="s">
        <v>2667</v>
      </c>
      <c r="Q397" s="2" t="s">
        <v>93</v>
      </c>
      <c r="R397" s="2" t="s">
        <v>1160</v>
      </c>
      <c r="S397" s="2" t="s">
        <v>36</v>
      </c>
      <c r="T397" s="2" t="s">
        <v>37</v>
      </c>
      <c r="U397" s="2" t="s">
        <v>36</v>
      </c>
    </row>
    <row r="398" spans="1:21" x14ac:dyDescent="0.25">
      <c r="A398" s="2" t="s">
        <v>2668</v>
      </c>
      <c r="B398" s="2" t="s">
        <v>54</v>
      </c>
      <c r="C398" s="2" t="s">
        <v>1193</v>
      </c>
      <c r="D398" s="2" t="s">
        <v>158</v>
      </c>
      <c r="E398" s="2" t="s">
        <v>2669</v>
      </c>
      <c r="F398" s="2" t="s">
        <v>2670</v>
      </c>
      <c r="G398" s="2" t="s">
        <v>2671</v>
      </c>
      <c r="H398" s="2" t="s">
        <v>2672</v>
      </c>
      <c r="I398" s="2"/>
      <c r="J398" s="2" t="s">
        <v>625</v>
      </c>
      <c r="K398" s="2" t="s">
        <v>626</v>
      </c>
      <c r="L398" s="2" t="s">
        <v>627</v>
      </c>
      <c r="M398" s="2" t="s">
        <v>64</v>
      </c>
      <c r="N398" s="2" t="s">
        <v>167</v>
      </c>
      <c r="O398" s="2" t="s">
        <v>66</v>
      </c>
      <c r="P398" s="2" t="s">
        <v>2673</v>
      </c>
      <c r="Q398" s="2" t="s">
        <v>93</v>
      </c>
      <c r="R398" s="2" t="s">
        <v>36</v>
      </c>
      <c r="S398" s="2" t="s">
        <v>37</v>
      </c>
      <c r="T398" s="2" t="s">
        <v>37</v>
      </c>
      <c r="U398" s="2" t="s">
        <v>37</v>
      </c>
    </row>
    <row r="399" spans="1:21" x14ac:dyDescent="0.25">
      <c r="A399" s="2" t="s">
        <v>2674</v>
      </c>
      <c r="B399" s="2" t="s">
        <v>54</v>
      </c>
      <c r="C399" s="2" t="s">
        <v>434</v>
      </c>
      <c r="D399" s="2" t="s">
        <v>237</v>
      </c>
      <c r="E399" s="2" t="s">
        <v>2675</v>
      </c>
      <c r="F399" s="2" t="s">
        <v>2676</v>
      </c>
      <c r="G399" s="2" t="s">
        <v>2677</v>
      </c>
      <c r="H399" s="2" t="s">
        <v>2678</v>
      </c>
      <c r="I399" s="2"/>
      <c r="J399" s="2" t="s">
        <v>296</v>
      </c>
      <c r="K399" s="2" t="s">
        <v>297</v>
      </c>
      <c r="L399" s="2" t="s">
        <v>298</v>
      </c>
      <c r="M399" s="2" t="s">
        <v>166</v>
      </c>
      <c r="N399" s="2" t="s">
        <v>167</v>
      </c>
      <c r="O399" s="2" t="s">
        <v>141</v>
      </c>
      <c r="P399" s="2" t="s">
        <v>2679</v>
      </c>
      <c r="Q399" s="2" t="s">
        <v>4</v>
      </c>
      <c r="R399" s="2" t="s">
        <v>36</v>
      </c>
      <c r="S399" s="2" t="s">
        <v>36</v>
      </c>
      <c r="T399" s="2" t="s">
        <v>37</v>
      </c>
      <c r="U399" s="2" t="s">
        <v>37</v>
      </c>
    </row>
    <row r="400" spans="1:21" x14ac:dyDescent="0.25">
      <c r="A400" s="2" t="s">
        <v>2680</v>
      </c>
      <c r="B400" s="2" t="s">
        <v>54</v>
      </c>
      <c r="C400" s="2" t="s">
        <v>107</v>
      </c>
      <c r="D400" s="2" t="s">
        <v>674</v>
      </c>
      <c r="E400" s="2" t="s">
        <v>2681</v>
      </c>
      <c r="F400" s="2" t="s">
        <v>2682</v>
      </c>
      <c r="G400" s="2" t="s">
        <v>2683</v>
      </c>
      <c r="H400" s="2" t="s">
        <v>2684</v>
      </c>
      <c r="I400" s="2"/>
      <c r="J400" s="2" t="s">
        <v>219</v>
      </c>
      <c r="K400" s="2" t="s">
        <v>220</v>
      </c>
      <c r="L400" s="2" t="s">
        <v>760</v>
      </c>
      <c r="M400" s="2" t="s">
        <v>64</v>
      </c>
      <c r="N400" s="2" t="s">
        <v>33</v>
      </c>
      <c r="O400" s="2" t="s">
        <v>243</v>
      </c>
      <c r="P400" s="2" t="s">
        <v>2685</v>
      </c>
      <c r="Q400" s="2" t="s">
        <v>93</v>
      </c>
      <c r="R400" s="2" t="s">
        <v>37</v>
      </c>
      <c r="S400" s="2" t="s">
        <v>36</v>
      </c>
      <c r="T400" s="2" t="s">
        <v>36</v>
      </c>
      <c r="U400" s="2" t="s">
        <v>37</v>
      </c>
    </row>
    <row r="401" spans="1:21" x14ac:dyDescent="0.25">
      <c r="A401" s="2" t="s">
        <v>2686</v>
      </c>
      <c r="B401" s="2" t="s">
        <v>39</v>
      </c>
      <c r="C401" s="2" t="s">
        <v>1689</v>
      </c>
      <c r="D401" s="2" t="s">
        <v>504</v>
      </c>
      <c r="E401" s="2" t="s">
        <v>2687</v>
      </c>
      <c r="F401" s="2" t="s">
        <v>2688</v>
      </c>
      <c r="G401" s="2" t="s">
        <v>2689</v>
      </c>
      <c r="H401" s="2" t="s">
        <v>2690</v>
      </c>
      <c r="I401" s="2"/>
      <c r="J401" s="2" t="s">
        <v>1285</v>
      </c>
      <c r="K401" s="2" t="s">
        <v>1286</v>
      </c>
      <c r="L401" s="2" t="s">
        <v>1287</v>
      </c>
      <c r="M401" s="2" t="s">
        <v>32</v>
      </c>
      <c r="N401" s="2" t="s">
        <v>167</v>
      </c>
      <c r="O401" s="2" t="s">
        <v>154</v>
      </c>
      <c r="P401" s="2" t="s">
        <v>2691</v>
      </c>
      <c r="Q401" s="2" t="s">
        <v>5</v>
      </c>
      <c r="R401" s="2" t="s">
        <v>36</v>
      </c>
      <c r="S401" s="2" t="s">
        <v>37</v>
      </c>
      <c r="T401" s="2" t="s">
        <v>36</v>
      </c>
      <c r="U401" s="2" t="s">
        <v>37</v>
      </c>
    </row>
    <row r="402" spans="1:21" x14ac:dyDescent="0.25">
      <c r="A402" s="2" t="s">
        <v>2692</v>
      </c>
      <c r="B402" s="2" t="s">
        <v>39</v>
      </c>
      <c r="C402" s="2" t="s">
        <v>237</v>
      </c>
      <c r="D402" s="2" t="s">
        <v>755</v>
      </c>
      <c r="E402" s="2" t="s">
        <v>2693</v>
      </c>
      <c r="F402" s="2" t="s">
        <v>2694</v>
      </c>
      <c r="G402" s="2" t="s">
        <v>2695</v>
      </c>
      <c r="H402" s="2" t="s">
        <v>2696</v>
      </c>
      <c r="I402" s="2"/>
      <c r="J402" s="2" t="s">
        <v>609</v>
      </c>
      <c r="K402" s="2" t="s">
        <v>610</v>
      </c>
      <c r="L402" s="2" t="s">
        <v>611</v>
      </c>
      <c r="M402" s="2" t="s">
        <v>116</v>
      </c>
      <c r="N402" s="2" t="s">
        <v>49</v>
      </c>
      <c r="O402" s="2" t="s">
        <v>154</v>
      </c>
      <c r="P402" s="2" t="s">
        <v>2697</v>
      </c>
      <c r="Q402" s="2" t="s">
        <v>5</v>
      </c>
      <c r="R402" s="2" t="s">
        <v>36</v>
      </c>
      <c r="S402" s="2" t="s">
        <v>36</v>
      </c>
      <c r="T402" s="2" t="s">
        <v>37</v>
      </c>
      <c r="U402" s="2" t="s">
        <v>36</v>
      </c>
    </row>
    <row r="403" spans="1:21" x14ac:dyDescent="0.25">
      <c r="A403" s="2" t="s">
        <v>2698</v>
      </c>
      <c r="B403" s="2" t="s">
        <v>54</v>
      </c>
      <c r="C403" s="2" t="s">
        <v>864</v>
      </c>
      <c r="D403" s="2" t="s">
        <v>902</v>
      </c>
      <c r="E403" s="2" t="s">
        <v>2699</v>
      </c>
      <c r="F403" s="2" t="s">
        <v>2700</v>
      </c>
      <c r="G403" s="2" t="s">
        <v>2701</v>
      </c>
      <c r="H403" s="2" t="s">
        <v>2702</v>
      </c>
      <c r="I403" s="2"/>
      <c r="J403" s="2" t="s">
        <v>945</v>
      </c>
      <c r="K403" s="2" t="s">
        <v>946</v>
      </c>
      <c r="L403" s="2" t="s">
        <v>947</v>
      </c>
      <c r="M403" s="2" t="s">
        <v>116</v>
      </c>
      <c r="N403" s="2" t="s">
        <v>181</v>
      </c>
      <c r="O403" s="2" t="s">
        <v>141</v>
      </c>
      <c r="P403" s="2" t="s">
        <v>2703</v>
      </c>
      <c r="Q403" s="2" t="s">
        <v>105</v>
      </c>
      <c r="R403" s="2" t="s">
        <v>37</v>
      </c>
      <c r="S403" s="2" t="s">
        <v>37</v>
      </c>
      <c r="T403" s="2" t="s">
        <v>37</v>
      </c>
      <c r="U403" s="2" t="s">
        <v>37</v>
      </c>
    </row>
    <row r="404" spans="1:21" x14ac:dyDescent="0.25">
      <c r="A404" s="2" t="s">
        <v>2704</v>
      </c>
      <c r="B404" s="2" t="s">
        <v>39</v>
      </c>
      <c r="C404" s="2" t="s">
        <v>424</v>
      </c>
      <c r="D404" s="2" t="s">
        <v>2705</v>
      </c>
      <c r="E404" s="2" t="s">
        <v>2706</v>
      </c>
      <c r="F404" s="2" t="s">
        <v>2707</v>
      </c>
      <c r="G404" s="2" t="s">
        <v>2708</v>
      </c>
      <c r="H404" s="2" t="s">
        <v>2709</v>
      </c>
      <c r="I404" s="2"/>
      <c r="J404" s="2" t="s">
        <v>585</v>
      </c>
      <c r="K404" s="2" t="s">
        <v>586</v>
      </c>
      <c r="L404" s="2" t="s">
        <v>587</v>
      </c>
      <c r="M404" s="2" t="s">
        <v>116</v>
      </c>
      <c r="N404" s="2" t="s">
        <v>167</v>
      </c>
      <c r="O404" s="2" t="s">
        <v>66</v>
      </c>
      <c r="P404" s="2" t="s">
        <v>2710</v>
      </c>
      <c r="Q404" s="2" t="s">
        <v>4</v>
      </c>
      <c r="R404" s="2" t="s">
        <v>37</v>
      </c>
      <c r="S404" s="2" t="s">
        <v>36</v>
      </c>
      <c r="T404" s="2" t="s">
        <v>36</v>
      </c>
      <c r="U404" s="2" t="s">
        <v>37</v>
      </c>
    </row>
    <row r="405" spans="1:21" x14ac:dyDescent="0.25">
      <c r="A405" s="2" t="s">
        <v>2711</v>
      </c>
      <c r="B405" s="2" t="s">
        <v>195</v>
      </c>
      <c r="C405" s="2" t="s">
        <v>196</v>
      </c>
      <c r="D405" s="2" t="s">
        <v>755</v>
      </c>
      <c r="E405" s="2" t="s">
        <v>2712</v>
      </c>
      <c r="F405" s="2" t="s">
        <v>2713</v>
      </c>
      <c r="G405" s="2" t="s">
        <v>2714</v>
      </c>
      <c r="H405" s="2" t="s">
        <v>2715</v>
      </c>
      <c r="I405" s="2"/>
      <c r="J405" s="2" t="s">
        <v>408</v>
      </c>
      <c r="K405" s="2" t="s">
        <v>409</v>
      </c>
      <c r="L405" s="2" t="s">
        <v>410</v>
      </c>
      <c r="M405" s="2" t="s">
        <v>242</v>
      </c>
      <c r="N405" s="2" t="s">
        <v>91</v>
      </c>
      <c r="O405" s="2" t="s">
        <v>243</v>
      </c>
      <c r="P405" s="2" t="s">
        <v>2716</v>
      </c>
      <c r="Q405" s="2" t="s">
        <v>5</v>
      </c>
      <c r="R405" s="2" t="s">
        <v>36</v>
      </c>
      <c r="S405" s="2" t="s">
        <v>36</v>
      </c>
      <c r="T405" s="2" t="s">
        <v>37</v>
      </c>
      <c r="U405" s="2" t="s">
        <v>37</v>
      </c>
    </row>
    <row r="406" spans="1:21" x14ac:dyDescent="0.25">
      <c r="A406" s="2" t="s">
        <v>2717</v>
      </c>
      <c r="B406" s="2" t="s">
        <v>54</v>
      </c>
      <c r="C406" s="2" t="s">
        <v>1118</v>
      </c>
      <c r="D406" s="2" t="s">
        <v>1696</v>
      </c>
      <c r="E406" s="2" t="s">
        <v>2718</v>
      </c>
      <c r="F406" s="2" t="s">
        <v>2719</v>
      </c>
      <c r="G406" s="2" t="s">
        <v>2720</v>
      </c>
      <c r="H406" s="2" t="s">
        <v>2721</v>
      </c>
      <c r="I406" s="2"/>
      <c r="J406" s="2" t="s">
        <v>278</v>
      </c>
      <c r="K406" s="2" t="s">
        <v>279</v>
      </c>
      <c r="L406" s="2" t="s">
        <v>280</v>
      </c>
      <c r="M406" s="2" t="s">
        <v>64</v>
      </c>
      <c r="N406" s="2" t="s">
        <v>49</v>
      </c>
      <c r="O406" s="2" t="s">
        <v>34</v>
      </c>
      <c r="P406" s="2" t="s">
        <v>2722</v>
      </c>
      <c r="Q406" s="2" t="s">
        <v>5</v>
      </c>
      <c r="R406" s="2" t="s">
        <v>36</v>
      </c>
      <c r="S406" s="2" t="s">
        <v>36</v>
      </c>
      <c r="T406" s="2" t="s">
        <v>36</v>
      </c>
      <c r="U406" s="2" t="s">
        <v>37</v>
      </c>
    </row>
    <row r="407" spans="1:21" x14ac:dyDescent="0.25">
      <c r="A407" s="2" t="s">
        <v>2723</v>
      </c>
      <c r="B407" s="2" t="s">
        <v>39</v>
      </c>
      <c r="C407" s="2" t="s">
        <v>434</v>
      </c>
      <c r="D407" s="2" t="s">
        <v>375</v>
      </c>
      <c r="E407" s="2" t="s">
        <v>2724</v>
      </c>
      <c r="F407" s="2" t="s">
        <v>2725</v>
      </c>
      <c r="G407" s="2" t="s">
        <v>2726</v>
      </c>
      <c r="H407" s="2" t="s">
        <v>2727</v>
      </c>
      <c r="I407" s="2"/>
      <c r="J407" s="2" t="s">
        <v>29</v>
      </c>
      <c r="K407" s="2" t="s">
        <v>30</v>
      </c>
      <c r="L407" s="2" t="s">
        <v>31</v>
      </c>
      <c r="M407" s="2" t="s">
        <v>166</v>
      </c>
      <c r="N407" s="2" t="s">
        <v>153</v>
      </c>
      <c r="O407" s="2" t="s">
        <v>243</v>
      </c>
      <c r="P407" s="2" t="s">
        <v>2728</v>
      </c>
      <c r="Q407" s="2" t="s">
        <v>4</v>
      </c>
      <c r="R407" s="2" t="s">
        <v>37</v>
      </c>
      <c r="S407" s="2" t="s">
        <v>36</v>
      </c>
      <c r="T407" s="2" t="s">
        <v>37</v>
      </c>
      <c r="U407" s="2" t="s">
        <v>36</v>
      </c>
    </row>
    <row r="408" spans="1:21" x14ac:dyDescent="0.25">
      <c r="A408" s="2" t="s">
        <v>2729</v>
      </c>
      <c r="B408" s="2" t="s">
        <v>54</v>
      </c>
      <c r="C408" s="2" t="s">
        <v>1098</v>
      </c>
      <c r="D408" s="2" t="s">
        <v>2290</v>
      </c>
      <c r="E408" s="2" t="s">
        <v>2730</v>
      </c>
      <c r="F408" s="2" t="s">
        <v>2731</v>
      </c>
      <c r="G408" s="2" t="s">
        <v>2732</v>
      </c>
      <c r="H408" s="2" t="s">
        <v>2733</v>
      </c>
      <c r="I408" s="2"/>
      <c r="J408" s="2" t="s">
        <v>319</v>
      </c>
      <c r="K408" s="2" t="s">
        <v>320</v>
      </c>
      <c r="L408" s="2" t="s">
        <v>321</v>
      </c>
      <c r="M408" s="2" t="s">
        <v>116</v>
      </c>
      <c r="N408" s="2" t="s">
        <v>153</v>
      </c>
      <c r="O408" s="2" t="s">
        <v>192</v>
      </c>
      <c r="P408" s="2" t="s">
        <v>2734</v>
      </c>
      <c r="Q408" s="2" t="s">
        <v>93</v>
      </c>
      <c r="R408" s="2" t="s">
        <v>36</v>
      </c>
      <c r="S408" s="2" t="s">
        <v>36</v>
      </c>
      <c r="T408" s="2" t="s">
        <v>37</v>
      </c>
      <c r="U408" s="2" t="s">
        <v>37</v>
      </c>
    </row>
    <row r="409" spans="1:21" x14ac:dyDescent="0.25">
      <c r="A409" s="2" t="s">
        <v>2735</v>
      </c>
      <c r="B409" s="2"/>
      <c r="C409" s="2" t="s">
        <v>1091</v>
      </c>
      <c r="D409" s="2" t="s">
        <v>309</v>
      </c>
      <c r="E409" s="2" t="s">
        <v>2736</v>
      </c>
      <c r="F409" s="2" t="s">
        <v>2737</v>
      </c>
      <c r="G409" s="2" t="s">
        <v>2738</v>
      </c>
      <c r="H409" s="2" t="s">
        <v>2739</v>
      </c>
      <c r="I409" s="2"/>
      <c r="J409" s="2" t="s">
        <v>387</v>
      </c>
      <c r="K409" s="2" t="s">
        <v>388</v>
      </c>
      <c r="L409" s="2" t="s">
        <v>389</v>
      </c>
      <c r="M409" s="2" t="s">
        <v>116</v>
      </c>
      <c r="N409" s="2" t="s">
        <v>167</v>
      </c>
      <c r="O409" s="2" t="s">
        <v>192</v>
      </c>
      <c r="P409" s="2" t="s">
        <v>2740</v>
      </c>
      <c r="Q409" s="2" t="s">
        <v>4</v>
      </c>
      <c r="R409" s="2" t="s">
        <v>37</v>
      </c>
      <c r="S409" s="2" t="s">
        <v>37</v>
      </c>
      <c r="T409" s="2" t="s">
        <v>37</v>
      </c>
      <c r="U409" s="2" t="s">
        <v>36</v>
      </c>
    </row>
    <row r="410" spans="1:21" x14ac:dyDescent="0.25">
      <c r="A410" s="2" t="s">
        <v>2741</v>
      </c>
      <c r="B410" s="2" t="s">
        <v>39</v>
      </c>
      <c r="C410" s="2" t="s">
        <v>597</v>
      </c>
      <c r="D410" s="2" t="s">
        <v>771</v>
      </c>
      <c r="E410" s="2" t="s">
        <v>2742</v>
      </c>
      <c r="F410" s="2" t="s">
        <v>2743</v>
      </c>
      <c r="G410" s="2" t="s">
        <v>2744</v>
      </c>
      <c r="H410" s="2" t="s">
        <v>2745</v>
      </c>
      <c r="I410" s="2"/>
      <c r="J410" s="2" t="s">
        <v>609</v>
      </c>
      <c r="K410" s="2" t="s">
        <v>610</v>
      </c>
      <c r="L410" s="2" t="s">
        <v>611</v>
      </c>
      <c r="M410" s="2" t="s">
        <v>116</v>
      </c>
      <c r="N410" s="2" t="s">
        <v>91</v>
      </c>
      <c r="O410" s="2" t="s">
        <v>154</v>
      </c>
      <c r="P410" s="2" t="s">
        <v>2746</v>
      </c>
      <c r="Q410" s="2" t="s">
        <v>52</v>
      </c>
      <c r="R410" s="2" t="s">
        <v>37</v>
      </c>
      <c r="S410" s="2" t="s">
        <v>37</v>
      </c>
      <c r="T410" s="2" t="s">
        <v>36</v>
      </c>
      <c r="U410" s="2" t="s">
        <v>37</v>
      </c>
    </row>
    <row r="411" spans="1:21" x14ac:dyDescent="0.25">
      <c r="A411" s="2" t="s">
        <v>2747</v>
      </c>
      <c r="B411" s="2" t="s">
        <v>54</v>
      </c>
      <c r="C411" s="2" t="s">
        <v>157</v>
      </c>
      <c r="D411" s="2" t="s">
        <v>425</v>
      </c>
      <c r="E411" s="2" t="s">
        <v>2748</v>
      </c>
      <c r="F411" s="2" t="s">
        <v>2749</v>
      </c>
      <c r="G411" s="2" t="s">
        <v>2750</v>
      </c>
      <c r="H411" s="2" t="s">
        <v>2751</v>
      </c>
      <c r="I411" s="2"/>
      <c r="J411" s="2" t="s">
        <v>945</v>
      </c>
      <c r="K411" s="2" t="s">
        <v>946</v>
      </c>
      <c r="L411" s="2" t="s">
        <v>947</v>
      </c>
      <c r="M411" s="2" t="s">
        <v>166</v>
      </c>
      <c r="N411" s="2" t="s">
        <v>181</v>
      </c>
      <c r="O411" s="2" t="s">
        <v>34</v>
      </c>
      <c r="P411" s="2" t="s">
        <v>2752</v>
      </c>
      <c r="Q411" s="2" t="s">
        <v>52</v>
      </c>
      <c r="R411" s="2" t="s">
        <v>36</v>
      </c>
      <c r="S411" s="2" t="s">
        <v>36</v>
      </c>
      <c r="T411" s="2" t="s">
        <v>37</v>
      </c>
      <c r="U411" s="2" t="s">
        <v>37</v>
      </c>
    </row>
    <row r="412" spans="1:21" x14ac:dyDescent="0.25">
      <c r="A412" s="2" t="s">
        <v>2753</v>
      </c>
      <c r="B412" s="2" t="s">
        <v>54</v>
      </c>
      <c r="C412" s="2" t="s">
        <v>1001</v>
      </c>
      <c r="D412" s="2" t="s">
        <v>1268</v>
      </c>
      <c r="E412" s="2" t="s">
        <v>2754</v>
      </c>
      <c r="F412" s="2" t="s">
        <v>2755</v>
      </c>
      <c r="G412" s="2" t="s">
        <v>2756</v>
      </c>
      <c r="H412" s="2" t="s">
        <v>2757</v>
      </c>
      <c r="I412" s="2"/>
      <c r="J412" s="2" t="s">
        <v>1026</v>
      </c>
      <c r="K412" s="2" t="s">
        <v>1027</v>
      </c>
      <c r="L412" s="2" t="s">
        <v>1028</v>
      </c>
      <c r="M412" s="2" t="s">
        <v>116</v>
      </c>
      <c r="N412" s="2" t="s">
        <v>65</v>
      </c>
      <c r="O412" s="2" t="s">
        <v>192</v>
      </c>
      <c r="P412" s="2" t="s">
        <v>2758</v>
      </c>
      <c r="Q412" s="2" t="s">
        <v>93</v>
      </c>
      <c r="R412" s="2" t="s">
        <v>36</v>
      </c>
      <c r="S412" s="2" t="s">
        <v>36</v>
      </c>
      <c r="T412" s="2" t="s">
        <v>37</v>
      </c>
      <c r="U412" s="2" t="s">
        <v>37</v>
      </c>
    </row>
    <row r="413" spans="1:21" x14ac:dyDescent="0.25">
      <c r="A413" s="2" t="s">
        <v>2759</v>
      </c>
      <c r="B413" s="2" t="s">
        <v>69</v>
      </c>
      <c r="C413" s="2" t="s">
        <v>237</v>
      </c>
      <c r="D413" s="2" t="s">
        <v>870</v>
      </c>
      <c r="E413" s="2" t="s">
        <v>2760</v>
      </c>
      <c r="F413" s="2" t="s">
        <v>2761</v>
      </c>
      <c r="G413" s="2"/>
      <c r="H413" s="2" t="s">
        <v>2762</v>
      </c>
      <c r="I413" s="2"/>
      <c r="J413" s="2" t="s">
        <v>945</v>
      </c>
      <c r="K413" s="2" t="s">
        <v>946</v>
      </c>
      <c r="L413" s="2" t="s">
        <v>947</v>
      </c>
      <c r="M413" s="2" t="s">
        <v>116</v>
      </c>
      <c r="N413" s="2" t="s">
        <v>153</v>
      </c>
      <c r="O413" s="2" t="s">
        <v>50</v>
      </c>
      <c r="P413" s="2" t="s">
        <v>2763</v>
      </c>
      <c r="Q413" s="2" t="s">
        <v>5</v>
      </c>
      <c r="R413" s="2" t="s">
        <v>36</v>
      </c>
      <c r="S413" s="2" t="s">
        <v>36</v>
      </c>
      <c r="T413" s="2" t="s">
        <v>36</v>
      </c>
      <c r="U413" s="2" t="s">
        <v>37</v>
      </c>
    </row>
    <row r="414" spans="1:21" x14ac:dyDescent="0.25">
      <c r="A414" s="2" t="s">
        <v>2764</v>
      </c>
      <c r="B414" s="2" t="s">
        <v>195</v>
      </c>
      <c r="C414" s="2" t="s">
        <v>838</v>
      </c>
      <c r="D414" s="2" t="s">
        <v>504</v>
      </c>
      <c r="E414" s="2" t="s">
        <v>2765</v>
      </c>
      <c r="F414" s="2" t="s">
        <v>2766</v>
      </c>
      <c r="G414" s="2" t="s">
        <v>2767</v>
      </c>
      <c r="H414" s="2" t="s">
        <v>2768</v>
      </c>
      <c r="I414" s="2"/>
      <c r="J414" s="2" t="s">
        <v>945</v>
      </c>
      <c r="K414" s="2" t="s">
        <v>946</v>
      </c>
      <c r="L414" s="2" t="s">
        <v>947</v>
      </c>
      <c r="M414" s="2" t="s">
        <v>32</v>
      </c>
      <c r="N414" s="2" t="s">
        <v>167</v>
      </c>
      <c r="O414" s="2" t="s">
        <v>66</v>
      </c>
      <c r="P414" s="2" t="s">
        <v>2769</v>
      </c>
      <c r="Q414" s="2" t="s">
        <v>93</v>
      </c>
      <c r="R414" s="2" t="s">
        <v>37</v>
      </c>
      <c r="S414" s="2" t="s">
        <v>36</v>
      </c>
      <c r="T414" s="2" t="s">
        <v>36</v>
      </c>
      <c r="U414" s="2" t="s">
        <v>37</v>
      </c>
    </row>
    <row r="415" spans="1:21" x14ac:dyDescent="0.25">
      <c r="A415" s="2" t="s">
        <v>2770</v>
      </c>
      <c r="B415" s="2" t="s">
        <v>402</v>
      </c>
      <c r="C415" s="2" t="s">
        <v>2771</v>
      </c>
      <c r="D415" s="2" t="s">
        <v>2772</v>
      </c>
      <c r="E415" s="2" t="s">
        <v>2773</v>
      </c>
      <c r="F415" s="2" t="s">
        <v>2774</v>
      </c>
      <c r="G415" s="2" t="s">
        <v>2775</v>
      </c>
      <c r="H415" s="2" t="s">
        <v>2776</v>
      </c>
      <c r="I415" s="2"/>
      <c r="J415" s="2" t="s">
        <v>668</v>
      </c>
      <c r="K415" s="2" t="s">
        <v>669</v>
      </c>
      <c r="L415" s="2" t="s">
        <v>670</v>
      </c>
      <c r="M415" s="2" t="s">
        <v>32</v>
      </c>
      <c r="N415" s="2" t="s">
        <v>181</v>
      </c>
      <c r="O415" s="2" t="s">
        <v>50</v>
      </c>
      <c r="P415" s="2" t="s">
        <v>2777</v>
      </c>
      <c r="Q415" s="2" t="s">
        <v>4</v>
      </c>
      <c r="R415" s="2" t="s">
        <v>37</v>
      </c>
      <c r="S415" s="2" t="s">
        <v>36</v>
      </c>
      <c r="T415" s="2" t="s">
        <v>37</v>
      </c>
      <c r="U415" s="2" t="s">
        <v>36</v>
      </c>
    </row>
    <row r="416" spans="1:21" x14ac:dyDescent="0.25">
      <c r="A416" s="2" t="s">
        <v>2778</v>
      </c>
      <c r="B416" s="2" t="s">
        <v>39</v>
      </c>
      <c r="C416" s="2" t="s">
        <v>1078</v>
      </c>
      <c r="D416" s="2" t="s">
        <v>158</v>
      </c>
      <c r="E416" s="2" t="s">
        <v>2779</v>
      </c>
      <c r="F416" s="2" t="s">
        <v>2780</v>
      </c>
      <c r="G416" s="2" t="s">
        <v>2781</v>
      </c>
      <c r="H416" s="2" t="s">
        <v>2782</v>
      </c>
      <c r="I416" s="2"/>
      <c r="J416" s="2" t="s">
        <v>408</v>
      </c>
      <c r="K416" s="2" t="s">
        <v>409</v>
      </c>
      <c r="L416" s="2" t="s">
        <v>410</v>
      </c>
      <c r="M416" s="2" t="s">
        <v>242</v>
      </c>
      <c r="N416" s="2" t="s">
        <v>91</v>
      </c>
      <c r="O416" s="2" t="s">
        <v>50</v>
      </c>
      <c r="P416" s="2" t="s">
        <v>2783</v>
      </c>
      <c r="Q416" s="2" t="s">
        <v>4</v>
      </c>
      <c r="R416" s="2" t="s">
        <v>36</v>
      </c>
      <c r="S416" s="2" t="s">
        <v>36</v>
      </c>
      <c r="T416" s="2" t="s">
        <v>37</v>
      </c>
      <c r="U416" s="2" t="s">
        <v>37</v>
      </c>
    </row>
    <row r="417" spans="1:21" x14ac:dyDescent="0.25">
      <c r="A417" s="2" t="s">
        <v>2784</v>
      </c>
      <c r="B417" s="2"/>
      <c r="C417" s="2" t="s">
        <v>120</v>
      </c>
      <c r="D417" s="2" t="s">
        <v>414</v>
      </c>
      <c r="E417" s="2" t="s">
        <v>2785</v>
      </c>
      <c r="F417" s="2" t="s">
        <v>2786</v>
      </c>
      <c r="G417" s="2" t="s">
        <v>2787</v>
      </c>
      <c r="H417" s="2" t="s">
        <v>125</v>
      </c>
      <c r="I417" s="2"/>
      <c r="J417" s="2" t="s">
        <v>429</v>
      </c>
      <c r="K417" s="2" t="s">
        <v>430</v>
      </c>
      <c r="L417" s="2" t="s">
        <v>431</v>
      </c>
      <c r="M417" s="2" t="s">
        <v>116</v>
      </c>
      <c r="N417" s="2" t="s">
        <v>65</v>
      </c>
      <c r="O417" s="2" t="s">
        <v>141</v>
      </c>
      <c r="P417" s="2" t="s">
        <v>2788</v>
      </c>
      <c r="Q417" s="2" t="s">
        <v>93</v>
      </c>
      <c r="R417" s="2" t="s">
        <v>36</v>
      </c>
      <c r="S417" s="2" t="s">
        <v>36</v>
      </c>
      <c r="T417" s="2" t="s">
        <v>37</v>
      </c>
      <c r="U417" s="2" t="s">
        <v>37</v>
      </c>
    </row>
    <row r="418" spans="1:21" x14ac:dyDescent="0.25">
      <c r="A418" s="2" t="s">
        <v>2789</v>
      </c>
      <c r="B418" s="2" t="s">
        <v>131</v>
      </c>
      <c r="C418" s="2" t="s">
        <v>2790</v>
      </c>
      <c r="D418" s="2" t="s">
        <v>291</v>
      </c>
      <c r="E418" s="2" t="s">
        <v>2791</v>
      </c>
      <c r="F418" s="2" t="s">
        <v>2792</v>
      </c>
      <c r="G418" s="2" t="s">
        <v>2793</v>
      </c>
      <c r="H418" s="2" t="s">
        <v>2794</v>
      </c>
      <c r="I418" s="2"/>
      <c r="J418" s="2" t="s">
        <v>1204</v>
      </c>
      <c r="K418" s="2" t="s">
        <v>114</v>
      </c>
      <c r="L418" s="2" t="s">
        <v>1205</v>
      </c>
      <c r="M418" s="2" t="s">
        <v>232</v>
      </c>
      <c r="N418" s="2" t="s">
        <v>153</v>
      </c>
      <c r="O418" s="2" t="s">
        <v>50</v>
      </c>
      <c r="P418" s="2" t="s">
        <v>2795</v>
      </c>
      <c r="Q418" s="2" t="s">
        <v>93</v>
      </c>
      <c r="R418" s="2" t="s">
        <v>36</v>
      </c>
      <c r="S418" s="2" t="s">
        <v>36</v>
      </c>
      <c r="T418" s="2" t="s">
        <v>37</v>
      </c>
      <c r="U418" s="2" t="s">
        <v>37</v>
      </c>
    </row>
    <row r="419" spans="1:21" x14ac:dyDescent="0.25">
      <c r="A419" s="2" t="s">
        <v>2796</v>
      </c>
      <c r="B419" s="2" t="s">
        <v>131</v>
      </c>
      <c r="C419" s="2" t="s">
        <v>132</v>
      </c>
      <c r="D419" s="2" t="s">
        <v>197</v>
      </c>
      <c r="E419" s="2" t="s">
        <v>2797</v>
      </c>
      <c r="F419" s="2" t="s">
        <v>2798</v>
      </c>
      <c r="G419" s="2" t="s">
        <v>2799</v>
      </c>
      <c r="H419" s="2" t="s">
        <v>2800</v>
      </c>
      <c r="I419" s="2"/>
      <c r="J419" s="2" t="s">
        <v>766</v>
      </c>
      <c r="K419" s="2" t="s">
        <v>767</v>
      </c>
      <c r="L419" s="2" t="s">
        <v>768</v>
      </c>
      <c r="M419" s="2" t="s">
        <v>242</v>
      </c>
      <c r="N419" s="2" t="s">
        <v>49</v>
      </c>
      <c r="O419" s="2" t="s">
        <v>192</v>
      </c>
      <c r="P419" s="2" t="s">
        <v>2801</v>
      </c>
      <c r="Q419" s="2" t="s">
        <v>93</v>
      </c>
      <c r="R419" s="2" t="s">
        <v>36</v>
      </c>
      <c r="S419" s="2" t="s">
        <v>36</v>
      </c>
      <c r="T419" s="2" t="s">
        <v>36</v>
      </c>
      <c r="U419" s="2" t="s">
        <v>36</v>
      </c>
    </row>
    <row r="420" spans="1:21" x14ac:dyDescent="0.25">
      <c r="A420" s="2" t="s">
        <v>2802</v>
      </c>
      <c r="B420" s="2" t="s">
        <v>170</v>
      </c>
      <c r="C420" s="2" t="s">
        <v>1411</v>
      </c>
      <c r="D420" s="2" t="s">
        <v>375</v>
      </c>
      <c r="E420" s="2" t="s">
        <v>2803</v>
      </c>
      <c r="F420" s="2" t="s">
        <v>2804</v>
      </c>
      <c r="G420" s="2"/>
      <c r="H420" s="2" t="s">
        <v>2805</v>
      </c>
      <c r="I420" s="2"/>
      <c r="J420" s="2" t="s">
        <v>609</v>
      </c>
      <c r="K420" s="2" t="s">
        <v>610</v>
      </c>
      <c r="L420" s="2" t="s">
        <v>611</v>
      </c>
      <c r="M420" s="2" t="s">
        <v>32</v>
      </c>
      <c r="N420" s="2" t="s">
        <v>65</v>
      </c>
      <c r="O420" s="2" t="s">
        <v>141</v>
      </c>
      <c r="P420" s="2" t="s">
        <v>2806</v>
      </c>
      <c r="Q420" s="2" t="s">
        <v>93</v>
      </c>
      <c r="R420" s="2" t="s">
        <v>36</v>
      </c>
      <c r="S420" s="2" t="s">
        <v>36</v>
      </c>
      <c r="T420" s="2" t="s">
        <v>36</v>
      </c>
      <c r="U420" s="2" t="s">
        <v>37</v>
      </c>
    </row>
    <row r="421" spans="1:21" x14ac:dyDescent="0.25">
      <c r="A421" s="2" t="s">
        <v>2807</v>
      </c>
      <c r="B421" s="2" t="s">
        <v>184</v>
      </c>
      <c r="C421" s="2" t="s">
        <v>107</v>
      </c>
      <c r="D421" s="2" t="s">
        <v>214</v>
      </c>
      <c r="E421" s="2" t="s">
        <v>2808</v>
      </c>
      <c r="F421" s="2" t="s">
        <v>2809</v>
      </c>
      <c r="G421" s="2" t="s">
        <v>2810</v>
      </c>
      <c r="H421" s="2" t="s">
        <v>2811</v>
      </c>
      <c r="I421" s="2"/>
      <c r="J421" s="2" t="s">
        <v>46</v>
      </c>
      <c r="K421" s="2" t="s">
        <v>47</v>
      </c>
      <c r="L421" s="2" t="s">
        <v>48</v>
      </c>
      <c r="M421" s="2" t="s">
        <v>191</v>
      </c>
      <c r="N421" s="2" t="s">
        <v>49</v>
      </c>
      <c r="O421" s="2" t="s">
        <v>141</v>
      </c>
      <c r="P421" s="2" t="s">
        <v>2812</v>
      </c>
      <c r="Q421" s="2" t="s">
        <v>4</v>
      </c>
      <c r="R421" s="2" t="s">
        <v>36</v>
      </c>
      <c r="S421" s="2" t="s">
        <v>36</v>
      </c>
      <c r="T421" s="2" t="s">
        <v>36</v>
      </c>
      <c r="U421" s="2" t="s">
        <v>37</v>
      </c>
    </row>
    <row r="422" spans="1:21" x14ac:dyDescent="0.25">
      <c r="A422" s="2" t="s">
        <v>2813</v>
      </c>
      <c r="B422" s="2" t="s">
        <v>54</v>
      </c>
      <c r="C422" s="2" t="s">
        <v>1118</v>
      </c>
      <c r="D422" s="2" t="s">
        <v>810</v>
      </c>
      <c r="E422" s="2" t="s">
        <v>2814</v>
      </c>
      <c r="F422" s="2" t="s">
        <v>2815</v>
      </c>
      <c r="G422" s="2" t="s">
        <v>2816</v>
      </c>
      <c r="H422" s="2" t="s">
        <v>2817</v>
      </c>
      <c r="I422" s="2"/>
      <c r="J422" s="2" t="s">
        <v>126</v>
      </c>
      <c r="K422" s="2" t="s">
        <v>127</v>
      </c>
      <c r="L422" s="2" t="s">
        <v>128</v>
      </c>
      <c r="M422" s="2" t="s">
        <v>79</v>
      </c>
      <c r="N422" s="2" t="s">
        <v>153</v>
      </c>
      <c r="O422" s="2" t="s">
        <v>243</v>
      </c>
      <c r="P422" s="2" t="s">
        <v>2818</v>
      </c>
      <c r="Q422" s="2" t="s">
        <v>93</v>
      </c>
      <c r="R422" s="2" t="s">
        <v>36</v>
      </c>
      <c r="S422" s="2" t="s">
        <v>36</v>
      </c>
      <c r="T422" s="2" t="s">
        <v>37</v>
      </c>
      <c r="U422" s="2" t="s">
        <v>37</v>
      </c>
    </row>
    <row r="423" spans="1:21" x14ac:dyDescent="0.25">
      <c r="A423" s="2" t="s">
        <v>2819</v>
      </c>
      <c r="B423" s="2" t="s">
        <v>170</v>
      </c>
      <c r="C423" s="2" t="s">
        <v>265</v>
      </c>
      <c r="D423" s="2" t="s">
        <v>614</v>
      </c>
      <c r="E423" s="2" t="s">
        <v>2820</v>
      </c>
      <c r="F423" s="2" t="s">
        <v>2821</v>
      </c>
      <c r="G423" s="2" t="s">
        <v>2822</v>
      </c>
      <c r="H423" s="2" t="s">
        <v>2823</v>
      </c>
      <c r="I423" s="2"/>
      <c r="J423" s="2" t="s">
        <v>609</v>
      </c>
      <c r="K423" s="2" t="s">
        <v>610</v>
      </c>
      <c r="L423" s="2"/>
      <c r="M423" s="2" t="s">
        <v>103</v>
      </c>
      <c r="N423" s="2" t="s">
        <v>181</v>
      </c>
      <c r="O423" s="2" t="s">
        <v>154</v>
      </c>
      <c r="P423" s="2" t="s">
        <v>2824</v>
      </c>
      <c r="Q423" s="2" t="s">
        <v>93</v>
      </c>
      <c r="R423" s="2" t="s">
        <v>36</v>
      </c>
      <c r="S423" s="2" t="s">
        <v>36</v>
      </c>
      <c r="T423" s="2" t="s">
        <v>36</v>
      </c>
      <c r="U423" s="2" t="s">
        <v>37</v>
      </c>
    </row>
    <row r="424" spans="1:21" x14ac:dyDescent="0.25">
      <c r="A424" s="2" t="s">
        <v>2825</v>
      </c>
      <c r="B424" s="2" t="s">
        <v>39</v>
      </c>
      <c r="C424" s="2" t="s">
        <v>1031</v>
      </c>
      <c r="D424" s="2" t="s">
        <v>1696</v>
      </c>
      <c r="E424" s="2" t="s">
        <v>2826</v>
      </c>
      <c r="F424" s="2" t="s">
        <v>2827</v>
      </c>
      <c r="G424" s="2" t="s">
        <v>2828</v>
      </c>
      <c r="H424" s="2" t="s">
        <v>2829</v>
      </c>
      <c r="I424" s="2"/>
      <c r="J424" s="2" t="s">
        <v>397</v>
      </c>
      <c r="K424" s="2" t="s">
        <v>220</v>
      </c>
      <c r="L424" s="2" t="s">
        <v>398</v>
      </c>
      <c r="M424" s="2" t="s">
        <v>116</v>
      </c>
      <c r="N424" s="2" t="s">
        <v>181</v>
      </c>
      <c r="O424" s="2" t="s">
        <v>66</v>
      </c>
      <c r="P424" s="2" t="s">
        <v>2830</v>
      </c>
      <c r="Q424" s="2" t="s">
        <v>52</v>
      </c>
      <c r="R424" s="2" t="s">
        <v>37</v>
      </c>
      <c r="S424" s="2" t="s">
        <v>36</v>
      </c>
      <c r="T424" s="2" t="s">
        <v>37</v>
      </c>
      <c r="U424" s="2" t="s">
        <v>37</v>
      </c>
    </row>
    <row r="425" spans="1:21" x14ac:dyDescent="0.25">
      <c r="A425" s="2" t="s">
        <v>2831</v>
      </c>
      <c r="B425" s="2" t="s">
        <v>54</v>
      </c>
      <c r="C425" s="2" t="s">
        <v>120</v>
      </c>
      <c r="D425" s="2" t="s">
        <v>247</v>
      </c>
      <c r="E425" s="2" t="s">
        <v>2832</v>
      </c>
      <c r="F425" s="2" t="s">
        <v>2833</v>
      </c>
      <c r="G425" s="2"/>
      <c r="H425" s="2" t="s">
        <v>2834</v>
      </c>
      <c r="I425" s="2"/>
      <c r="J425" s="2" t="s">
        <v>319</v>
      </c>
      <c r="K425" s="2" t="s">
        <v>320</v>
      </c>
      <c r="L425" s="2" t="s">
        <v>321</v>
      </c>
      <c r="M425" s="2" t="s">
        <v>116</v>
      </c>
      <c r="N425" s="2" t="s">
        <v>65</v>
      </c>
      <c r="O425" s="2" t="s">
        <v>243</v>
      </c>
      <c r="P425" s="2" t="s">
        <v>2835</v>
      </c>
      <c r="Q425" s="2" t="s">
        <v>5</v>
      </c>
      <c r="R425" s="2" t="s">
        <v>36</v>
      </c>
      <c r="S425" s="2" t="s">
        <v>36</v>
      </c>
      <c r="T425" s="2" t="s">
        <v>36</v>
      </c>
      <c r="U425" s="2" t="s">
        <v>36</v>
      </c>
    </row>
    <row r="426" spans="1:21" x14ac:dyDescent="0.25">
      <c r="A426" s="2" t="s">
        <v>2836</v>
      </c>
      <c r="B426" s="2" t="s">
        <v>54</v>
      </c>
      <c r="C426" s="2" t="s">
        <v>1453</v>
      </c>
      <c r="D426" s="2" t="s">
        <v>375</v>
      </c>
      <c r="E426" s="2"/>
      <c r="F426" s="2" t="s">
        <v>2837</v>
      </c>
      <c r="G426" s="2" t="s">
        <v>2838</v>
      </c>
      <c r="H426" s="2" t="s">
        <v>2839</v>
      </c>
      <c r="I426" s="2"/>
      <c r="J426" s="2" t="s">
        <v>397</v>
      </c>
      <c r="K426" s="2" t="s">
        <v>220</v>
      </c>
      <c r="L426" s="2" t="s">
        <v>398</v>
      </c>
      <c r="M426" s="2" t="s">
        <v>116</v>
      </c>
      <c r="N426" s="2" t="s">
        <v>91</v>
      </c>
      <c r="O426" s="2" t="s">
        <v>141</v>
      </c>
      <c r="P426" s="2" t="s">
        <v>2840</v>
      </c>
      <c r="Q426" s="2" t="s">
        <v>52</v>
      </c>
      <c r="R426" s="2" t="s">
        <v>36</v>
      </c>
      <c r="S426" s="2" t="s">
        <v>36</v>
      </c>
      <c r="T426" s="2" t="s">
        <v>37</v>
      </c>
      <c r="U426" s="2" t="s">
        <v>36</v>
      </c>
    </row>
    <row r="427" spans="1:21" x14ac:dyDescent="0.25">
      <c r="A427" s="2" t="s">
        <v>2841</v>
      </c>
      <c r="B427" s="2" t="s">
        <v>131</v>
      </c>
      <c r="C427" s="2" t="s">
        <v>488</v>
      </c>
      <c r="D427" s="2" t="s">
        <v>536</v>
      </c>
      <c r="E427" s="2" t="s">
        <v>2842</v>
      </c>
      <c r="F427" s="2" t="s">
        <v>2843</v>
      </c>
      <c r="G427" s="2" t="s">
        <v>2844</v>
      </c>
      <c r="H427" s="2" t="s">
        <v>2845</v>
      </c>
      <c r="I427" s="2"/>
      <c r="J427" s="2" t="s">
        <v>88</v>
      </c>
      <c r="K427" s="2" t="s">
        <v>89</v>
      </c>
      <c r="L427" s="2" t="s">
        <v>90</v>
      </c>
      <c r="M427" s="2" t="s">
        <v>180</v>
      </c>
      <c r="N427" s="2" t="s">
        <v>167</v>
      </c>
      <c r="O427" s="2" t="s">
        <v>243</v>
      </c>
      <c r="P427" s="2" t="s">
        <v>2846</v>
      </c>
      <c r="Q427" s="2" t="s">
        <v>4</v>
      </c>
      <c r="R427" s="2" t="s">
        <v>36</v>
      </c>
      <c r="S427" s="2" t="s">
        <v>36</v>
      </c>
      <c r="T427" s="2" t="s">
        <v>37</v>
      </c>
      <c r="U427" s="2" t="s">
        <v>37</v>
      </c>
    </row>
    <row r="428" spans="1:21" x14ac:dyDescent="0.25">
      <c r="A428" s="2" t="s">
        <v>2847</v>
      </c>
      <c r="B428" s="2" t="s">
        <v>184</v>
      </c>
      <c r="C428" s="2" t="s">
        <v>597</v>
      </c>
      <c r="D428" s="2" t="s">
        <v>536</v>
      </c>
      <c r="E428" s="2"/>
      <c r="F428" s="2" t="s">
        <v>2848</v>
      </c>
      <c r="G428" s="2" t="s">
        <v>2849</v>
      </c>
      <c r="H428" s="2" t="s">
        <v>2850</v>
      </c>
      <c r="I428" s="2"/>
      <c r="J428" s="2" t="s">
        <v>984</v>
      </c>
      <c r="K428" s="2" t="s">
        <v>62</v>
      </c>
      <c r="L428" s="2" t="s">
        <v>985</v>
      </c>
      <c r="M428" s="2" t="s">
        <v>64</v>
      </c>
      <c r="N428" s="2" t="s">
        <v>91</v>
      </c>
      <c r="O428" s="2" t="s">
        <v>141</v>
      </c>
      <c r="P428" s="2" t="s">
        <v>2851</v>
      </c>
      <c r="Q428" s="2" t="s">
        <v>93</v>
      </c>
      <c r="R428" s="2" t="s">
        <v>36</v>
      </c>
      <c r="S428" s="2" t="s">
        <v>37</v>
      </c>
      <c r="T428" s="2" t="s">
        <v>36</v>
      </c>
      <c r="U428" s="2" t="s">
        <v>36</v>
      </c>
    </row>
    <row r="429" spans="1:21" x14ac:dyDescent="0.25">
      <c r="A429" s="2" t="s">
        <v>2852</v>
      </c>
      <c r="B429" s="2" t="s">
        <v>131</v>
      </c>
      <c r="C429" s="2" t="s">
        <v>2790</v>
      </c>
      <c r="D429" s="2" t="s">
        <v>1696</v>
      </c>
      <c r="E429" s="2" t="s">
        <v>2853</v>
      </c>
      <c r="F429" s="2" t="s">
        <v>2854</v>
      </c>
      <c r="G429" s="2" t="s">
        <v>2855</v>
      </c>
      <c r="H429" s="2" t="s">
        <v>2856</v>
      </c>
      <c r="I429" s="2"/>
      <c r="J429" s="2" t="s">
        <v>419</v>
      </c>
      <c r="K429" s="2" t="s">
        <v>420</v>
      </c>
      <c r="L429" s="2" t="s">
        <v>421</v>
      </c>
      <c r="M429" s="2" t="s">
        <v>242</v>
      </c>
      <c r="N429" s="2" t="s">
        <v>153</v>
      </c>
      <c r="O429" s="2" t="s">
        <v>192</v>
      </c>
      <c r="P429" s="2" t="s">
        <v>2857</v>
      </c>
      <c r="Q429" s="2" t="s">
        <v>4</v>
      </c>
      <c r="R429" s="2" t="s">
        <v>37</v>
      </c>
      <c r="S429" s="2" t="s">
        <v>36</v>
      </c>
      <c r="T429" s="2" t="s">
        <v>37</v>
      </c>
      <c r="U429" s="2" t="s">
        <v>37</v>
      </c>
    </row>
    <row r="430" spans="1:21" x14ac:dyDescent="0.25">
      <c r="A430" s="2" t="s">
        <v>2858</v>
      </c>
      <c r="B430" s="2" t="s">
        <v>54</v>
      </c>
      <c r="C430" s="2" t="s">
        <v>503</v>
      </c>
      <c r="D430" s="2" t="s">
        <v>711</v>
      </c>
      <c r="E430" s="2" t="s">
        <v>2859</v>
      </c>
      <c r="F430" s="2" t="s">
        <v>2860</v>
      </c>
      <c r="G430" s="2" t="s">
        <v>2861</v>
      </c>
      <c r="H430" s="2" t="s">
        <v>2862</v>
      </c>
      <c r="I430" s="2"/>
      <c r="J430" s="2" t="s">
        <v>419</v>
      </c>
      <c r="K430" s="2" t="s">
        <v>420</v>
      </c>
      <c r="L430" s="2" t="s">
        <v>421</v>
      </c>
      <c r="M430" s="2" t="s">
        <v>116</v>
      </c>
      <c r="N430" s="2" t="s">
        <v>65</v>
      </c>
      <c r="O430" s="2" t="s">
        <v>66</v>
      </c>
      <c r="P430" s="2" t="s">
        <v>2863</v>
      </c>
      <c r="Q430" s="2" t="s">
        <v>5</v>
      </c>
      <c r="R430" s="2" t="s">
        <v>36</v>
      </c>
      <c r="S430" s="2" t="s">
        <v>37</v>
      </c>
      <c r="T430" s="2" t="s">
        <v>36</v>
      </c>
      <c r="U430" s="2" t="s">
        <v>36</v>
      </c>
    </row>
    <row r="431" spans="1:21" x14ac:dyDescent="0.25">
      <c r="A431" s="2" t="s">
        <v>2864</v>
      </c>
      <c r="B431" s="2" t="s">
        <v>170</v>
      </c>
      <c r="C431" s="2" t="s">
        <v>246</v>
      </c>
      <c r="D431" s="2" t="s">
        <v>197</v>
      </c>
      <c r="E431" s="2" t="s">
        <v>2865</v>
      </c>
      <c r="F431" s="2" t="s">
        <v>2866</v>
      </c>
      <c r="G431" s="2" t="s">
        <v>2867</v>
      </c>
      <c r="H431" s="2" t="s">
        <v>2868</v>
      </c>
      <c r="I431" s="2"/>
      <c r="J431" s="2" t="s">
        <v>29</v>
      </c>
      <c r="K431" s="2" t="s">
        <v>30</v>
      </c>
      <c r="L431" s="2" t="s">
        <v>31</v>
      </c>
      <c r="M431" s="2" t="s">
        <v>32</v>
      </c>
      <c r="N431" s="2" t="s">
        <v>153</v>
      </c>
      <c r="O431" s="2" t="s">
        <v>154</v>
      </c>
      <c r="P431" s="2" t="s">
        <v>2869</v>
      </c>
      <c r="Q431" s="2" t="s">
        <v>4</v>
      </c>
      <c r="R431" s="2" t="s">
        <v>37</v>
      </c>
      <c r="S431" s="2" t="s">
        <v>36</v>
      </c>
      <c r="T431" s="2" t="s">
        <v>37</v>
      </c>
      <c r="U431" s="2" t="s">
        <v>36</v>
      </c>
    </row>
    <row r="432" spans="1:21" x14ac:dyDescent="0.25">
      <c r="A432" s="2" t="s">
        <v>2870</v>
      </c>
      <c r="B432" s="2"/>
      <c r="C432" s="2" t="s">
        <v>204</v>
      </c>
      <c r="D432" s="2" t="s">
        <v>1174</v>
      </c>
      <c r="E432" s="2" t="s">
        <v>2871</v>
      </c>
      <c r="F432" s="2" t="s">
        <v>2872</v>
      </c>
      <c r="G432" s="2" t="s">
        <v>2873</v>
      </c>
      <c r="H432" s="2" t="s">
        <v>2874</v>
      </c>
      <c r="I432" s="2"/>
      <c r="J432" s="2" t="s">
        <v>408</v>
      </c>
      <c r="K432" s="2" t="s">
        <v>409</v>
      </c>
      <c r="L432" s="2" t="s">
        <v>410</v>
      </c>
      <c r="M432" s="2" t="s">
        <v>242</v>
      </c>
      <c r="N432" s="2" t="s">
        <v>181</v>
      </c>
      <c r="O432" s="2" t="s">
        <v>34</v>
      </c>
      <c r="P432" s="2" t="s">
        <v>2875</v>
      </c>
      <c r="Q432" s="2" t="s">
        <v>52</v>
      </c>
      <c r="R432" s="2" t="s">
        <v>36</v>
      </c>
      <c r="S432" s="2" t="s">
        <v>36</v>
      </c>
      <c r="T432" s="2" t="s">
        <v>36</v>
      </c>
      <c r="U432" s="2" t="s">
        <v>37</v>
      </c>
    </row>
    <row r="433" spans="1:21" x14ac:dyDescent="0.25">
      <c r="A433" s="2" t="s">
        <v>2876</v>
      </c>
      <c r="B433" s="2" t="s">
        <v>195</v>
      </c>
      <c r="C433" s="2" t="s">
        <v>1411</v>
      </c>
      <c r="D433" s="2" t="s">
        <v>158</v>
      </c>
      <c r="E433" s="2" t="s">
        <v>2877</v>
      </c>
      <c r="F433" s="2" t="s">
        <v>2878</v>
      </c>
      <c r="G433" s="2" t="s">
        <v>2879</v>
      </c>
      <c r="H433" s="2" t="s">
        <v>2880</v>
      </c>
      <c r="I433" s="2"/>
      <c r="J433" s="2" t="s">
        <v>46</v>
      </c>
      <c r="K433" s="2" t="s">
        <v>47</v>
      </c>
      <c r="L433" s="2" t="s">
        <v>48</v>
      </c>
      <c r="M433" s="2" t="s">
        <v>32</v>
      </c>
      <c r="N433" s="2" t="s">
        <v>65</v>
      </c>
      <c r="O433" s="2" t="s">
        <v>34</v>
      </c>
      <c r="P433" s="2" t="s">
        <v>2881</v>
      </c>
      <c r="Q433" s="2" t="s">
        <v>5</v>
      </c>
      <c r="R433" s="2" t="s">
        <v>36</v>
      </c>
      <c r="S433" s="2" t="s">
        <v>36</v>
      </c>
      <c r="T433" s="2" t="s">
        <v>37</v>
      </c>
      <c r="U433" s="2" t="s">
        <v>36</v>
      </c>
    </row>
    <row r="434" spans="1:21" x14ac:dyDescent="0.25">
      <c r="A434" s="2" t="s">
        <v>2882</v>
      </c>
      <c r="B434" s="2" t="s">
        <v>69</v>
      </c>
      <c r="C434" s="2" t="s">
        <v>237</v>
      </c>
      <c r="D434" s="2" t="s">
        <v>96</v>
      </c>
      <c r="E434" s="2" t="s">
        <v>2883</v>
      </c>
      <c r="F434" s="2" t="s">
        <v>2884</v>
      </c>
      <c r="G434" s="2" t="s">
        <v>2885</v>
      </c>
      <c r="H434" s="2" t="s">
        <v>2886</v>
      </c>
      <c r="I434" s="2"/>
      <c r="J434" s="2" t="s">
        <v>531</v>
      </c>
      <c r="K434" s="2" t="s">
        <v>532</v>
      </c>
      <c r="L434" s="2" t="s">
        <v>533</v>
      </c>
      <c r="M434" s="2" t="s">
        <v>116</v>
      </c>
      <c r="N434" s="2" t="s">
        <v>153</v>
      </c>
      <c r="O434" s="2" t="s">
        <v>66</v>
      </c>
      <c r="P434" s="2" t="s">
        <v>2887</v>
      </c>
      <c r="Q434" s="2" t="s">
        <v>4</v>
      </c>
      <c r="R434" s="2" t="s">
        <v>36</v>
      </c>
      <c r="S434" s="2" t="s">
        <v>36</v>
      </c>
      <c r="T434" s="2" t="s">
        <v>37</v>
      </c>
      <c r="U434" s="2" t="s">
        <v>36</v>
      </c>
    </row>
    <row r="435" spans="1:21" x14ac:dyDescent="0.25">
      <c r="A435" s="2" t="s">
        <v>2888</v>
      </c>
      <c r="B435" s="2" t="s">
        <v>54</v>
      </c>
      <c r="C435" s="2" t="s">
        <v>1644</v>
      </c>
      <c r="D435" s="2" t="s">
        <v>205</v>
      </c>
      <c r="E435" s="2" t="s">
        <v>2889</v>
      </c>
      <c r="F435" s="2" t="s">
        <v>2890</v>
      </c>
      <c r="G435" s="2" t="s">
        <v>2891</v>
      </c>
      <c r="H435" s="2" t="s">
        <v>2892</v>
      </c>
      <c r="I435" s="2"/>
      <c r="J435" s="2" t="s">
        <v>984</v>
      </c>
      <c r="K435" s="2" t="s">
        <v>62</v>
      </c>
      <c r="L435" s="2" t="s">
        <v>210</v>
      </c>
      <c r="M435" s="2" t="s">
        <v>64</v>
      </c>
      <c r="N435" s="2" t="s">
        <v>117</v>
      </c>
      <c r="O435" s="2" t="s">
        <v>154</v>
      </c>
      <c r="P435" s="2" t="s">
        <v>2893</v>
      </c>
      <c r="Q435" s="2" t="s">
        <v>4</v>
      </c>
      <c r="R435" s="2" t="s">
        <v>37</v>
      </c>
      <c r="S435" s="2" t="s">
        <v>36</v>
      </c>
      <c r="T435" s="2" t="s">
        <v>36</v>
      </c>
      <c r="U435" s="2" t="s">
        <v>37</v>
      </c>
    </row>
    <row r="436" spans="1:21" x14ac:dyDescent="0.25">
      <c r="A436" s="2" t="s">
        <v>2894</v>
      </c>
      <c r="B436" s="2" t="s">
        <v>131</v>
      </c>
      <c r="C436" s="2" t="s">
        <v>573</v>
      </c>
      <c r="D436" s="2" t="s">
        <v>1154</v>
      </c>
      <c r="E436" s="2" t="s">
        <v>2895</v>
      </c>
      <c r="F436" s="2" t="s">
        <v>2896</v>
      </c>
      <c r="G436" s="2" t="s">
        <v>2897</v>
      </c>
      <c r="H436" s="2" t="s">
        <v>2898</v>
      </c>
      <c r="I436" s="2"/>
      <c r="J436" s="2" t="s">
        <v>252</v>
      </c>
      <c r="K436" s="2" t="s">
        <v>253</v>
      </c>
      <c r="L436" s="2" t="s">
        <v>254</v>
      </c>
      <c r="M436" s="2" t="s">
        <v>103</v>
      </c>
      <c r="N436" s="2" t="s">
        <v>153</v>
      </c>
      <c r="O436" s="2" t="s">
        <v>34</v>
      </c>
      <c r="P436" s="2" t="s">
        <v>2899</v>
      </c>
      <c r="Q436" s="2" t="s">
        <v>52</v>
      </c>
      <c r="R436" s="2" t="s">
        <v>37</v>
      </c>
      <c r="S436" s="2" t="s">
        <v>36</v>
      </c>
      <c r="T436" s="2" t="s">
        <v>37</v>
      </c>
      <c r="U436" s="2" t="s">
        <v>37</v>
      </c>
    </row>
    <row r="437" spans="1:21" x14ac:dyDescent="0.25">
      <c r="A437" s="2" t="s">
        <v>2900</v>
      </c>
      <c r="B437" s="2" t="s">
        <v>54</v>
      </c>
      <c r="C437" s="2" t="s">
        <v>574</v>
      </c>
      <c r="D437" s="2" t="s">
        <v>145</v>
      </c>
      <c r="E437" s="2" t="s">
        <v>2901</v>
      </c>
      <c r="F437" s="2" t="s">
        <v>2902</v>
      </c>
      <c r="G437" s="2" t="s">
        <v>2903</v>
      </c>
      <c r="H437" s="2" t="s">
        <v>2904</v>
      </c>
      <c r="I437" s="2"/>
      <c r="J437" s="2" t="s">
        <v>126</v>
      </c>
      <c r="K437" s="2" t="s">
        <v>127</v>
      </c>
      <c r="L437" s="2" t="s">
        <v>128</v>
      </c>
      <c r="M437" s="2" t="s">
        <v>116</v>
      </c>
      <c r="N437" s="2" t="s">
        <v>33</v>
      </c>
      <c r="O437" s="2" t="s">
        <v>34</v>
      </c>
      <c r="P437" s="2" t="s">
        <v>2905</v>
      </c>
      <c r="Q437" s="2" t="s">
        <v>4</v>
      </c>
      <c r="R437" s="2" t="s">
        <v>36</v>
      </c>
      <c r="S437" s="2" t="s">
        <v>36</v>
      </c>
      <c r="T437" s="2" t="s">
        <v>37</v>
      </c>
      <c r="U437" s="2" t="s">
        <v>36</v>
      </c>
    </row>
    <row r="438" spans="1:21" x14ac:dyDescent="0.25">
      <c r="A438" s="2" t="s">
        <v>2906</v>
      </c>
      <c r="B438" s="2" t="s">
        <v>54</v>
      </c>
      <c r="C438" s="2" t="s">
        <v>1267</v>
      </c>
      <c r="D438" s="2" t="s">
        <v>96</v>
      </c>
      <c r="E438" s="2" t="s">
        <v>2907</v>
      </c>
      <c r="F438" s="2" t="s">
        <v>2908</v>
      </c>
      <c r="G438" s="2" t="s">
        <v>2909</v>
      </c>
      <c r="H438" s="2" t="s">
        <v>2684</v>
      </c>
      <c r="I438" s="2"/>
      <c r="J438" s="2" t="s">
        <v>660</v>
      </c>
      <c r="K438" s="2" t="s">
        <v>230</v>
      </c>
      <c r="L438" s="2" t="s">
        <v>661</v>
      </c>
      <c r="M438" s="2" t="s">
        <v>116</v>
      </c>
      <c r="N438" s="2" t="s">
        <v>65</v>
      </c>
      <c r="O438" s="2" t="s">
        <v>141</v>
      </c>
      <c r="P438" s="2" t="s">
        <v>2910</v>
      </c>
      <c r="Q438" s="2" t="s">
        <v>4</v>
      </c>
      <c r="R438" s="2" t="s">
        <v>36</v>
      </c>
      <c r="S438" s="2" t="s">
        <v>36</v>
      </c>
      <c r="T438" s="2" t="s">
        <v>37</v>
      </c>
      <c r="U438" s="2" t="s">
        <v>37</v>
      </c>
    </row>
    <row r="439" spans="1:21" x14ac:dyDescent="0.25">
      <c r="A439" s="2" t="s">
        <v>2911</v>
      </c>
      <c r="B439" s="2" t="s">
        <v>69</v>
      </c>
      <c r="C439" s="2" t="s">
        <v>1220</v>
      </c>
      <c r="D439" s="2" t="s">
        <v>496</v>
      </c>
      <c r="E439" s="2" t="s">
        <v>2912</v>
      </c>
      <c r="F439" s="2" t="s">
        <v>2913</v>
      </c>
      <c r="G439" s="2" t="s">
        <v>2914</v>
      </c>
      <c r="H439" s="2" t="s">
        <v>2915</v>
      </c>
      <c r="I439" s="2"/>
      <c r="J439" s="2" t="s">
        <v>668</v>
      </c>
      <c r="K439" s="2" t="s">
        <v>669</v>
      </c>
      <c r="L439" s="2" t="s">
        <v>670</v>
      </c>
      <c r="M439" s="2" t="s">
        <v>116</v>
      </c>
      <c r="N439" s="2" t="s">
        <v>117</v>
      </c>
      <c r="O439" s="2" t="s">
        <v>141</v>
      </c>
      <c r="P439" s="2" t="s">
        <v>2916</v>
      </c>
      <c r="Q439" s="2" t="s">
        <v>4</v>
      </c>
      <c r="R439" s="2" t="s">
        <v>37</v>
      </c>
      <c r="S439" s="2" t="s">
        <v>36</v>
      </c>
      <c r="T439" s="2" t="s">
        <v>37</v>
      </c>
      <c r="U439" s="2" t="s">
        <v>37</v>
      </c>
    </row>
    <row r="440" spans="1:21" x14ac:dyDescent="0.25">
      <c r="A440" s="2" t="s">
        <v>2917</v>
      </c>
      <c r="B440" s="2" t="s">
        <v>131</v>
      </c>
      <c r="C440" s="2" t="s">
        <v>95</v>
      </c>
      <c r="D440" s="2" t="s">
        <v>375</v>
      </c>
      <c r="E440" s="2" t="s">
        <v>2918</v>
      </c>
      <c r="F440" s="2" t="s">
        <v>2919</v>
      </c>
      <c r="G440" s="2" t="s">
        <v>2920</v>
      </c>
      <c r="H440" s="2" t="s">
        <v>2601</v>
      </c>
      <c r="I440" s="2"/>
      <c r="J440" s="2" t="s">
        <v>660</v>
      </c>
      <c r="K440" s="2" t="s">
        <v>230</v>
      </c>
      <c r="L440" s="2" t="s">
        <v>661</v>
      </c>
      <c r="M440" s="2" t="s">
        <v>242</v>
      </c>
      <c r="N440" s="2" t="s">
        <v>181</v>
      </c>
      <c r="O440" s="2" t="s">
        <v>154</v>
      </c>
      <c r="P440" s="2" t="s">
        <v>2921</v>
      </c>
      <c r="Q440" s="2" t="s">
        <v>4</v>
      </c>
      <c r="R440" s="2" t="s">
        <v>37</v>
      </c>
      <c r="S440" s="2" t="s">
        <v>636</v>
      </c>
      <c r="T440" s="2" t="s">
        <v>36</v>
      </c>
      <c r="U440" s="2" t="s">
        <v>36</v>
      </c>
    </row>
    <row r="441" spans="1:21" x14ac:dyDescent="0.25">
      <c r="A441" s="2" t="s">
        <v>2922</v>
      </c>
      <c r="B441" s="2" t="s">
        <v>69</v>
      </c>
      <c r="C441" s="2" t="s">
        <v>301</v>
      </c>
      <c r="D441" s="2" t="s">
        <v>291</v>
      </c>
      <c r="E441" s="2" t="s">
        <v>2923</v>
      </c>
      <c r="F441" s="2" t="s">
        <v>2924</v>
      </c>
      <c r="G441" s="2" t="s">
        <v>2925</v>
      </c>
      <c r="H441" s="2" t="s">
        <v>2926</v>
      </c>
      <c r="I441" s="2"/>
      <c r="J441" s="2" t="s">
        <v>766</v>
      </c>
      <c r="K441" s="2" t="s">
        <v>767</v>
      </c>
      <c r="L441" s="2" t="s">
        <v>768</v>
      </c>
      <c r="M441" s="2" t="s">
        <v>116</v>
      </c>
      <c r="N441" s="2" t="s">
        <v>153</v>
      </c>
      <c r="O441" s="2" t="s">
        <v>34</v>
      </c>
      <c r="P441" s="2" t="s">
        <v>2927</v>
      </c>
      <c r="Q441" s="2" t="s">
        <v>4</v>
      </c>
      <c r="R441" s="2" t="s">
        <v>36</v>
      </c>
      <c r="S441" s="2" t="s">
        <v>36</v>
      </c>
      <c r="T441" s="2" t="s">
        <v>36</v>
      </c>
      <c r="U441" s="2" t="s">
        <v>36</v>
      </c>
    </row>
    <row r="442" spans="1:21" x14ac:dyDescent="0.25">
      <c r="A442" s="2" t="s">
        <v>2928</v>
      </c>
      <c r="B442" s="2" t="s">
        <v>131</v>
      </c>
      <c r="C442" s="2" t="s">
        <v>246</v>
      </c>
      <c r="D442" s="2" t="s">
        <v>425</v>
      </c>
      <c r="E442" s="2" t="s">
        <v>2929</v>
      </c>
      <c r="F442" s="2" t="s">
        <v>2930</v>
      </c>
      <c r="G442" s="2" t="s">
        <v>2931</v>
      </c>
      <c r="H442" s="2" t="s">
        <v>2932</v>
      </c>
      <c r="I442" s="2"/>
      <c r="J442" s="2" t="s">
        <v>387</v>
      </c>
      <c r="K442" s="2" t="s">
        <v>388</v>
      </c>
      <c r="L442" s="2" t="s">
        <v>389</v>
      </c>
      <c r="M442" s="2" t="s">
        <v>32</v>
      </c>
      <c r="N442" s="2" t="s">
        <v>167</v>
      </c>
      <c r="O442" s="2" t="s">
        <v>50</v>
      </c>
      <c r="P442" s="2" t="s">
        <v>2933</v>
      </c>
      <c r="Q442" s="2" t="s">
        <v>4</v>
      </c>
      <c r="R442" s="2" t="s">
        <v>36</v>
      </c>
      <c r="S442" s="2" t="s">
        <v>36</v>
      </c>
      <c r="T442" s="2" t="s">
        <v>37</v>
      </c>
      <c r="U442" s="2" t="s">
        <v>36</v>
      </c>
    </row>
    <row r="443" spans="1:21" x14ac:dyDescent="0.25">
      <c r="A443" s="2" t="s">
        <v>2934</v>
      </c>
      <c r="B443" s="2"/>
      <c r="C443" s="2" t="s">
        <v>838</v>
      </c>
      <c r="D443" s="2" t="s">
        <v>1268</v>
      </c>
      <c r="E443" s="2" t="s">
        <v>2935</v>
      </c>
      <c r="F443" s="2" t="s">
        <v>2936</v>
      </c>
      <c r="G443" s="2" t="s">
        <v>2937</v>
      </c>
      <c r="H443" s="2" t="s">
        <v>2938</v>
      </c>
      <c r="I443" s="2"/>
      <c r="J443" s="2" t="s">
        <v>88</v>
      </c>
      <c r="K443" s="2" t="s">
        <v>89</v>
      </c>
      <c r="L443" s="2" t="s">
        <v>90</v>
      </c>
      <c r="M443" s="2" t="s">
        <v>232</v>
      </c>
      <c r="N443" s="2" t="s">
        <v>91</v>
      </c>
      <c r="O443" s="2" t="s">
        <v>154</v>
      </c>
      <c r="P443" s="2" t="s">
        <v>2939</v>
      </c>
      <c r="Q443" s="2" t="s">
        <v>93</v>
      </c>
      <c r="R443" s="2" t="s">
        <v>36</v>
      </c>
      <c r="S443" s="2" t="s">
        <v>36</v>
      </c>
      <c r="T443" s="2" t="s">
        <v>36</v>
      </c>
      <c r="U443" s="2" t="s">
        <v>37</v>
      </c>
    </row>
    <row r="444" spans="1:21" x14ac:dyDescent="0.25">
      <c r="A444" s="2" t="s">
        <v>2940</v>
      </c>
      <c r="B444" s="2" t="s">
        <v>39</v>
      </c>
      <c r="C444" s="2" t="s">
        <v>597</v>
      </c>
      <c r="D444" s="2" t="s">
        <v>2290</v>
      </c>
      <c r="E444" s="2" t="s">
        <v>2941</v>
      </c>
      <c r="F444" s="2" t="s">
        <v>2942</v>
      </c>
      <c r="G444" s="2" t="s">
        <v>2943</v>
      </c>
      <c r="H444" s="2" t="s">
        <v>2944</v>
      </c>
      <c r="I444" s="2"/>
      <c r="J444" s="2" t="s">
        <v>252</v>
      </c>
      <c r="K444" s="2" t="s">
        <v>253</v>
      </c>
      <c r="L444" s="2" t="s">
        <v>254</v>
      </c>
      <c r="M444" s="2" t="s">
        <v>166</v>
      </c>
      <c r="N444" s="2" t="s">
        <v>167</v>
      </c>
      <c r="O444" s="2" t="s">
        <v>243</v>
      </c>
      <c r="P444" s="2" t="s">
        <v>2945</v>
      </c>
      <c r="Q444" s="2" t="s">
        <v>93</v>
      </c>
      <c r="R444" s="2" t="s">
        <v>36</v>
      </c>
      <c r="S444" s="2" t="s">
        <v>36</v>
      </c>
      <c r="T444" s="2" t="s">
        <v>37</v>
      </c>
      <c r="U444" s="2" t="s">
        <v>37</v>
      </c>
    </row>
    <row r="445" spans="1:21" x14ac:dyDescent="0.25">
      <c r="A445" s="2" t="s">
        <v>2946</v>
      </c>
      <c r="B445" s="2" t="s">
        <v>54</v>
      </c>
      <c r="C445" s="2" t="s">
        <v>1297</v>
      </c>
      <c r="D445" s="2" t="s">
        <v>940</v>
      </c>
      <c r="E445" s="2" t="s">
        <v>2947</v>
      </c>
      <c r="F445" s="2" t="s">
        <v>2948</v>
      </c>
      <c r="G445" s="2" t="s">
        <v>2949</v>
      </c>
      <c r="H445" s="2" t="s">
        <v>2950</v>
      </c>
      <c r="I445" s="2"/>
      <c r="J445" s="2" t="s">
        <v>609</v>
      </c>
      <c r="K445" s="2" t="s">
        <v>610</v>
      </c>
      <c r="L445" s="2" t="s">
        <v>611</v>
      </c>
      <c r="M445" s="2" t="s">
        <v>116</v>
      </c>
      <c r="N445" s="2" t="s">
        <v>117</v>
      </c>
      <c r="O445" s="2" t="s">
        <v>34</v>
      </c>
      <c r="P445" s="2" t="s">
        <v>2951</v>
      </c>
      <c r="Q445" s="2" t="s">
        <v>4</v>
      </c>
      <c r="R445" s="2" t="s">
        <v>36</v>
      </c>
      <c r="S445" s="2" t="s">
        <v>36</v>
      </c>
      <c r="T445" s="2" t="s">
        <v>36</v>
      </c>
      <c r="U445" s="2" t="s">
        <v>36</v>
      </c>
    </row>
    <row r="446" spans="1:21" x14ac:dyDescent="0.25">
      <c r="A446" s="2" t="s">
        <v>2952</v>
      </c>
      <c r="B446" s="2" t="s">
        <v>22</v>
      </c>
      <c r="C446" s="2" t="s">
        <v>710</v>
      </c>
      <c r="D446" s="2" t="s">
        <v>365</v>
      </c>
      <c r="E446" s="2" t="s">
        <v>2953</v>
      </c>
      <c r="F446" s="2" t="s">
        <v>2954</v>
      </c>
      <c r="G446" s="2" t="s">
        <v>2955</v>
      </c>
      <c r="H446" s="2" t="s">
        <v>2956</v>
      </c>
      <c r="I446" s="2"/>
      <c r="J446" s="2" t="s">
        <v>278</v>
      </c>
      <c r="K446" s="2" t="s">
        <v>279</v>
      </c>
      <c r="L446" s="2" t="s">
        <v>280</v>
      </c>
      <c r="M446" s="2" t="s">
        <v>242</v>
      </c>
      <c r="N446" s="2" t="s">
        <v>65</v>
      </c>
      <c r="O446" s="2" t="s">
        <v>66</v>
      </c>
      <c r="P446" s="2" t="s">
        <v>2957</v>
      </c>
      <c r="Q446" s="2" t="s">
        <v>93</v>
      </c>
      <c r="R446" s="2" t="s">
        <v>36</v>
      </c>
      <c r="S446" s="2" t="s">
        <v>36</v>
      </c>
      <c r="T446" s="2" t="s">
        <v>37</v>
      </c>
      <c r="U446" s="2" t="s">
        <v>37</v>
      </c>
    </row>
    <row r="447" spans="1:21" x14ac:dyDescent="0.25">
      <c r="A447" s="2" t="s">
        <v>2958</v>
      </c>
      <c r="B447" s="2" t="s">
        <v>39</v>
      </c>
      <c r="C447" s="2" t="s">
        <v>1078</v>
      </c>
      <c r="D447" s="2" t="s">
        <v>96</v>
      </c>
      <c r="E447" s="2" t="s">
        <v>2959</v>
      </c>
      <c r="F447" s="2" t="s">
        <v>2960</v>
      </c>
      <c r="G447" s="2" t="s">
        <v>2961</v>
      </c>
      <c r="H447" s="2" t="s">
        <v>2962</v>
      </c>
      <c r="I447" s="2"/>
      <c r="J447" s="2" t="s">
        <v>766</v>
      </c>
      <c r="K447" s="2" t="s">
        <v>767</v>
      </c>
      <c r="L447" s="2" t="s">
        <v>768</v>
      </c>
      <c r="M447" s="2" t="s">
        <v>32</v>
      </c>
      <c r="N447" s="2" t="s">
        <v>181</v>
      </c>
      <c r="O447" s="2" t="s">
        <v>34</v>
      </c>
      <c r="P447" s="2" t="s">
        <v>2963</v>
      </c>
      <c r="Q447" s="2" t="s">
        <v>105</v>
      </c>
      <c r="R447" s="2" t="s">
        <v>37</v>
      </c>
      <c r="S447" s="2" t="s">
        <v>37</v>
      </c>
      <c r="T447" s="2" t="s">
        <v>37</v>
      </c>
      <c r="U447" s="2" t="s">
        <v>37</v>
      </c>
    </row>
    <row r="448" spans="1:21" x14ac:dyDescent="0.25">
      <c r="A448" s="2" t="s">
        <v>2964</v>
      </c>
      <c r="B448" s="2" t="s">
        <v>184</v>
      </c>
      <c r="C448" s="2" t="s">
        <v>1193</v>
      </c>
      <c r="D448" s="2" t="s">
        <v>186</v>
      </c>
      <c r="E448" s="2" t="s">
        <v>2965</v>
      </c>
      <c r="F448" s="2" t="s">
        <v>2966</v>
      </c>
      <c r="G448" s="2" t="s">
        <v>2967</v>
      </c>
      <c r="H448" s="2" t="s">
        <v>2968</v>
      </c>
      <c r="I448" s="2"/>
      <c r="J448" s="2" t="s">
        <v>100</v>
      </c>
      <c r="K448" s="2" t="s">
        <v>101</v>
      </c>
      <c r="L448" s="2" t="s">
        <v>343</v>
      </c>
      <c r="M448" s="2" t="s">
        <v>116</v>
      </c>
      <c r="N448" s="2" t="s">
        <v>117</v>
      </c>
      <c r="O448" s="2" t="s">
        <v>243</v>
      </c>
      <c r="P448" s="2" t="s">
        <v>2969</v>
      </c>
      <c r="Q448" s="2" t="s">
        <v>4</v>
      </c>
      <c r="R448" s="2" t="s">
        <v>36</v>
      </c>
      <c r="S448" s="2" t="s">
        <v>36</v>
      </c>
      <c r="T448" s="2" t="s">
        <v>37</v>
      </c>
      <c r="U448" s="2" t="s">
        <v>37</v>
      </c>
    </row>
    <row r="449" spans="1:21" x14ac:dyDescent="0.25">
      <c r="A449" s="2" t="s">
        <v>2970</v>
      </c>
      <c r="B449" s="2" t="s">
        <v>195</v>
      </c>
      <c r="C449" s="2" t="s">
        <v>472</v>
      </c>
      <c r="D449" s="2" t="s">
        <v>273</v>
      </c>
      <c r="E449" s="2" t="s">
        <v>2971</v>
      </c>
      <c r="F449" s="2" t="s">
        <v>2972</v>
      </c>
      <c r="G449" s="2" t="s">
        <v>2973</v>
      </c>
      <c r="H449" s="2" t="s">
        <v>2974</v>
      </c>
      <c r="I449" s="2"/>
      <c r="J449" s="2" t="s">
        <v>163</v>
      </c>
      <c r="K449" s="2" t="s">
        <v>164</v>
      </c>
      <c r="L449" s="2" t="s">
        <v>165</v>
      </c>
      <c r="M449" s="2" t="s">
        <v>242</v>
      </c>
      <c r="N449" s="2" t="s">
        <v>181</v>
      </c>
      <c r="O449" s="2" t="s">
        <v>154</v>
      </c>
      <c r="P449" s="2" t="s">
        <v>2975</v>
      </c>
      <c r="Q449" s="2" t="s">
        <v>4</v>
      </c>
      <c r="R449" s="2" t="s">
        <v>36</v>
      </c>
      <c r="S449" s="2" t="s">
        <v>36</v>
      </c>
      <c r="T449" s="2" t="s">
        <v>36</v>
      </c>
      <c r="U449" s="2" t="s">
        <v>37</v>
      </c>
    </row>
    <row r="450" spans="1:21" x14ac:dyDescent="0.25">
      <c r="A450" s="2" t="s">
        <v>2976</v>
      </c>
      <c r="B450" s="2" t="s">
        <v>39</v>
      </c>
      <c r="C450" s="2" t="s">
        <v>55</v>
      </c>
      <c r="D450" s="2" t="s">
        <v>819</v>
      </c>
      <c r="E450" s="2"/>
      <c r="F450" s="2" t="s">
        <v>2977</v>
      </c>
      <c r="G450" s="2" t="s">
        <v>2978</v>
      </c>
      <c r="H450" s="2" t="s">
        <v>2979</v>
      </c>
      <c r="I450" s="2"/>
      <c r="J450" s="2" t="s">
        <v>766</v>
      </c>
      <c r="K450" s="2" t="s">
        <v>767</v>
      </c>
      <c r="L450" s="2" t="s">
        <v>768</v>
      </c>
      <c r="M450" s="2" t="s">
        <v>166</v>
      </c>
      <c r="N450" s="2" t="s">
        <v>33</v>
      </c>
      <c r="O450" s="2" t="s">
        <v>154</v>
      </c>
      <c r="P450" s="2" t="s">
        <v>2980</v>
      </c>
      <c r="Q450" s="2" t="s">
        <v>93</v>
      </c>
      <c r="R450" s="2" t="s">
        <v>36</v>
      </c>
      <c r="S450" s="2" t="s">
        <v>36</v>
      </c>
      <c r="T450" s="2" t="s">
        <v>36</v>
      </c>
      <c r="U450" s="2" t="s">
        <v>37</v>
      </c>
    </row>
    <row r="451" spans="1:21" x14ac:dyDescent="0.25">
      <c r="A451" s="2" t="s">
        <v>2981</v>
      </c>
      <c r="B451" s="2" t="s">
        <v>39</v>
      </c>
      <c r="C451" s="2" t="s">
        <v>144</v>
      </c>
      <c r="D451" s="2" t="s">
        <v>83</v>
      </c>
      <c r="E451" s="2" t="s">
        <v>2982</v>
      </c>
      <c r="F451" s="2" t="s">
        <v>2983</v>
      </c>
      <c r="G451" s="2" t="s">
        <v>2984</v>
      </c>
      <c r="H451" s="2" t="s">
        <v>2985</v>
      </c>
      <c r="I451" s="2"/>
      <c r="J451" s="2" t="s">
        <v>1204</v>
      </c>
      <c r="K451" s="2" t="s">
        <v>114</v>
      </c>
      <c r="L451" s="2" t="s">
        <v>1205</v>
      </c>
      <c r="M451" s="2" t="s">
        <v>116</v>
      </c>
      <c r="N451" s="2" t="s">
        <v>33</v>
      </c>
      <c r="O451" s="2" t="s">
        <v>66</v>
      </c>
      <c r="P451" s="2" t="s">
        <v>2986</v>
      </c>
      <c r="Q451" s="2" t="s">
        <v>93</v>
      </c>
      <c r="R451" s="2" t="s">
        <v>36</v>
      </c>
      <c r="S451" s="2" t="s">
        <v>36</v>
      </c>
      <c r="T451" s="2" t="s">
        <v>36</v>
      </c>
      <c r="U451" s="2" t="s">
        <v>37</v>
      </c>
    </row>
    <row r="452" spans="1:21" x14ac:dyDescent="0.25">
      <c r="A452" s="2" t="s">
        <v>2987</v>
      </c>
      <c r="B452" s="2"/>
      <c r="C452" s="2" t="s">
        <v>548</v>
      </c>
      <c r="D452" s="2" t="s">
        <v>473</v>
      </c>
      <c r="E452" s="2" t="s">
        <v>2988</v>
      </c>
      <c r="F452" s="2" t="s">
        <v>2989</v>
      </c>
      <c r="G452" s="2" t="s">
        <v>2990</v>
      </c>
      <c r="H452" s="2" t="s">
        <v>2365</v>
      </c>
      <c r="I452" s="2"/>
      <c r="J452" s="2" t="s">
        <v>163</v>
      </c>
      <c r="K452" s="2" t="s">
        <v>164</v>
      </c>
      <c r="L452" s="2" t="s">
        <v>165</v>
      </c>
      <c r="M452" s="2" t="s">
        <v>242</v>
      </c>
      <c r="N452" s="2" t="s">
        <v>49</v>
      </c>
      <c r="O452" s="2" t="s">
        <v>50</v>
      </c>
      <c r="P452" s="2" t="s">
        <v>2991</v>
      </c>
      <c r="Q452" s="2" t="s">
        <v>5</v>
      </c>
      <c r="R452" s="2" t="s">
        <v>36</v>
      </c>
      <c r="S452" s="2" t="s">
        <v>36</v>
      </c>
      <c r="T452" s="2" t="s">
        <v>37</v>
      </c>
      <c r="U452" s="2" t="s">
        <v>37</v>
      </c>
    </row>
    <row r="453" spans="1:21" x14ac:dyDescent="0.25">
      <c r="A453" s="2" t="s">
        <v>2992</v>
      </c>
      <c r="B453" s="2" t="s">
        <v>235</v>
      </c>
      <c r="C453" s="2" t="s">
        <v>710</v>
      </c>
      <c r="D453" s="2" t="s">
        <v>186</v>
      </c>
      <c r="E453" s="2"/>
      <c r="F453" s="2" t="s">
        <v>2993</v>
      </c>
      <c r="G453" s="2" t="s">
        <v>2994</v>
      </c>
      <c r="H453" s="2" t="s">
        <v>2995</v>
      </c>
      <c r="I453" s="2"/>
      <c r="J453" s="2" t="s">
        <v>945</v>
      </c>
      <c r="K453" s="2" t="s">
        <v>946</v>
      </c>
      <c r="L453" s="2" t="s">
        <v>947</v>
      </c>
      <c r="M453" s="2" t="s">
        <v>242</v>
      </c>
      <c r="N453" s="2" t="s">
        <v>181</v>
      </c>
      <c r="O453" s="2" t="s">
        <v>50</v>
      </c>
      <c r="P453" s="2" t="s">
        <v>2996</v>
      </c>
      <c r="Q453" s="2" t="s">
        <v>5</v>
      </c>
      <c r="R453" s="2" t="s">
        <v>37</v>
      </c>
      <c r="S453" s="2" t="s">
        <v>36</v>
      </c>
      <c r="T453" s="2" t="s">
        <v>37</v>
      </c>
      <c r="U453" s="2" t="s">
        <v>36</v>
      </c>
    </row>
    <row r="454" spans="1:21" x14ac:dyDescent="0.25">
      <c r="A454" s="2" t="s">
        <v>2997</v>
      </c>
      <c r="B454" s="2" t="s">
        <v>39</v>
      </c>
      <c r="C454" s="2" t="s">
        <v>590</v>
      </c>
      <c r="D454" s="2" t="s">
        <v>186</v>
      </c>
      <c r="E454" s="2" t="s">
        <v>2998</v>
      </c>
      <c r="F454" s="2" t="s">
        <v>2999</v>
      </c>
      <c r="G454" s="2" t="s">
        <v>3000</v>
      </c>
      <c r="H454" s="2" t="s">
        <v>3001</v>
      </c>
      <c r="I454" s="2"/>
      <c r="J454" s="2" t="s">
        <v>531</v>
      </c>
      <c r="K454" s="2" t="s">
        <v>532</v>
      </c>
      <c r="L454" s="2" t="s">
        <v>533</v>
      </c>
      <c r="M454" s="2" t="s">
        <v>32</v>
      </c>
      <c r="N454" s="2" t="s">
        <v>153</v>
      </c>
      <c r="O454" s="2" t="s">
        <v>154</v>
      </c>
      <c r="P454" s="2" t="s">
        <v>3002</v>
      </c>
      <c r="Q454" s="2" t="s">
        <v>93</v>
      </c>
      <c r="R454" s="2" t="s">
        <v>36</v>
      </c>
      <c r="S454" s="2" t="s">
        <v>36</v>
      </c>
      <c r="T454" s="2" t="s">
        <v>37</v>
      </c>
      <c r="U454" s="2" t="s">
        <v>37</v>
      </c>
    </row>
    <row r="455" spans="1:21" x14ac:dyDescent="0.25">
      <c r="A455" s="2" t="s">
        <v>3003</v>
      </c>
      <c r="B455" s="2" t="s">
        <v>54</v>
      </c>
      <c r="C455" s="2" t="s">
        <v>157</v>
      </c>
      <c r="D455" s="2" t="s">
        <v>133</v>
      </c>
      <c r="E455" s="2" t="s">
        <v>3004</v>
      </c>
      <c r="F455" s="2" t="s">
        <v>3005</v>
      </c>
      <c r="G455" s="2" t="s">
        <v>3006</v>
      </c>
      <c r="H455" s="2" t="s">
        <v>3007</v>
      </c>
      <c r="I455" s="2"/>
      <c r="J455" s="2" t="s">
        <v>163</v>
      </c>
      <c r="K455" s="2" t="s">
        <v>164</v>
      </c>
      <c r="L455" s="2" t="s">
        <v>165</v>
      </c>
      <c r="M455" s="2" t="s">
        <v>116</v>
      </c>
      <c r="N455" s="2" t="s">
        <v>153</v>
      </c>
      <c r="O455" s="2" t="s">
        <v>243</v>
      </c>
      <c r="P455" s="2" t="s">
        <v>3008</v>
      </c>
      <c r="Q455" s="2" t="s">
        <v>52</v>
      </c>
      <c r="R455" s="2" t="s">
        <v>36</v>
      </c>
      <c r="S455" s="2" t="s">
        <v>37</v>
      </c>
      <c r="T455" s="2" t="s">
        <v>37</v>
      </c>
      <c r="U455" s="2" t="s">
        <v>36</v>
      </c>
    </row>
    <row r="456" spans="1:21" x14ac:dyDescent="0.25">
      <c r="A456" s="2" t="s">
        <v>3009</v>
      </c>
      <c r="B456" s="2" t="s">
        <v>195</v>
      </c>
      <c r="C456" s="2" t="s">
        <v>851</v>
      </c>
      <c r="D456" s="2" t="s">
        <v>186</v>
      </c>
      <c r="E456" s="2" t="s">
        <v>3010</v>
      </c>
      <c r="F456" s="2" t="s">
        <v>3011</v>
      </c>
      <c r="G456" s="2" t="s">
        <v>3012</v>
      </c>
      <c r="H456" s="2" t="s">
        <v>3013</v>
      </c>
      <c r="I456" s="2"/>
      <c r="J456" s="2" t="s">
        <v>88</v>
      </c>
      <c r="K456" s="2" t="s">
        <v>89</v>
      </c>
      <c r="L456" s="2" t="s">
        <v>90</v>
      </c>
      <c r="M456" s="2" t="s">
        <v>242</v>
      </c>
      <c r="N456" s="2" t="s">
        <v>33</v>
      </c>
      <c r="O456" s="2" t="s">
        <v>34</v>
      </c>
      <c r="P456" s="2" t="s">
        <v>3014</v>
      </c>
      <c r="Q456" s="2" t="s">
        <v>4</v>
      </c>
      <c r="R456" s="2" t="s">
        <v>36</v>
      </c>
      <c r="S456" s="2" t="s">
        <v>36</v>
      </c>
      <c r="T456" s="2" t="s">
        <v>37</v>
      </c>
      <c r="U456" s="2" t="s">
        <v>36</v>
      </c>
    </row>
    <row r="457" spans="1:21" x14ac:dyDescent="0.25">
      <c r="A457" s="2" t="s">
        <v>3015</v>
      </c>
      <c r="B457" s="2" t="s">
        <v>131</v>
      </c>
      <c r="C457" s="2" t="s">
        <v>308</v>
      </c>
      <c r="D457" s="2" t="s">
        <v>225</v>
      </c>
      <c r="E457" s="2" t="s">
        <v>3016</v>
      </c>
      <c r="F457" s="2" t="s">
        <v>3017</v>
      </c>
      <c r="G457" s="2" t="s">
        <v>3018</v>
      </c>
      <c r="H457" s="2" t="s">
        <v>3019</v>
      </c>
      <c r="I457" s="2"/>
      <c r="J457" s="2" t="s">
        <v>387</v>
      </c>
      <c r="K457" s="2" t="s">
        <v>388</v>
      </c>
      <c r="L457" s="2" t="s">
        <v>389</v>
      </c>
      <c r="M457" s="2" t="s">
        <v>180</v>
      </c>
      <c r="N457" s="2" t="s">
        <v>33</v>
      </c>
      <c r="O457" s="2" t="s">
        <v>141</v>
      </c>
      <c r="P457" s="2" t="s">
        <v>3020</v>
      </c>
      <c r="Q457" s="2" t="s">
        <v>5</v>
      </c>
      <c r="R457" s="2" t="s">
        <v>36</v>
      </c>
      <c r="S457" s="2" t="s">
        <v>36</v>
      </c>
      <c r="T457" s="2" t="s">
        <v>36</v>
      </c>
      <c r="U457" s="2" t="s">
        <v>36</v>
      </c>
    </row>
    <row r="458" spans="1:21" x14ac:dyDescent="0.25">
      <c r="A458" s="2" t="s">
        <v>3021</v>
      </c>
      <c r="B458" s="2" t="s">
        <v>131</v>
      </c>
      <c r="C458" s="2" t="s">
        <v>877</v>
      </c>
      <c r="D458" s="2" t="s">
        <v>24</v>
      </c>
      <c r="E458" s="2" t="s">
        <v>3022</v>
      </c>
      <c r="F458" s="2" t="s">
        <v>3023</v>
      </c>
      <c r="G458" s="2" t="s">
        <v>3024</v>
      </c>
      <c r="H458" s="2" t="s">
        <v>3025</v>
      </c>
      <c r="I458" s="2"/>
      <c r="J458" s="2" t="s">
        <v>766</v>
      </c>
      <c r="K458" s="2" t="s">
        <v>767</v>
      </c>
      <c r="L458" s="2" t="s">
        <v>768</v>
      </c>
      <c r="M458" s="2" t="s">
        <v>32</v>
      </c>
      <c r="N458" s="2" t="s">
        <v>167</v>
      </c>
      <c r="O458" s="2" t="s">
        <v>66</v>
      </c>
      <c r="P458" s="2" t="s">
        <v>783</v>
      </c>
      <c r="Q458" s="2" t="s">
        <v>4</v>
      </c>
      <c r="R458" s="2" t="s">
        <v>36</v>
      </c>
      <c r="S458" s="2" t="s">
        <v>36</v>
      </c>
      <c r="T458" s="2" t="s">
        <v>37</v>
      </c>
      <c r="U458" s="2" t="s">
        <v>37</v>
      </c>
    </row>
    <row r="459" spans="1:21" x14ac:dyDescent="0.25">
      <c r="A459" s="2" t="s">
        <v>3026</v>
      </c>
      <c r="B459" s="2" t="s">
        <v>54</v>
      </c>
      <c r="C459" s="2" t="s">
        <v>1001</v>
      </c>
      <c r="D459" s="2" t="s">
        <v>414</v>
      </c>
      <c r="E459" s="2" t="s">
        <v>3027</v>
      </c>
      <c r="F459" s="2" t="s">
        <v>3028</v>
      </c>
      <c r="G459" s="2" t="s">
        <v>3029</v>
      </c>
      <c r="H459" s="2" t="s">
        <v>3030</v>
      </c>
      <c r="I459" s="2"/>
      <c r="J459" s="2" t="s">
        <v>660</v>
      </c>
      <c r="K459" s="2" t="s">
        <v>230</v>
      </c>
      <c r="L459" s="2" t="s">
        <v>661</v>
      </c>
      <c r="M459" s="2" t="s">
        <v>191</v>
      </c>
      <c r="N459" s="2" t="s">
        <v>117</v>
      </c>
      <c r="O459" s="2" t="s">
        <v>34</v>
      </c>
      <c r="P459" s="2" t="s">
        <v>3031</v>
      </c>
      <c r="Q459" s="2" t="s">
        <v>4</v>
      </c>
      <c r="R459" s="2" t="s">
        <v>37</v>
      </c>
      <c r="S459" s="2" t="s">
        <v>36</v>
      </c>
      <c r="T459" s="2" t="s">
        <v>36</v>
      </c>
      <c r="U459" s="2" t="s">
        <v>37</v>
      </c>
    </row>
    <row r="460" spans="1:21" x14ac:dyDescent="0.25">
      <c r="A460" s="2" t="s">
        <v>3032</v>
      </c>
      <c r="B460" s="2"/>
      <c r="C460" s="2" t="s">
        <v>597</v>
      </c>
      <c r="D460" s="2" t="s">
        <v>870</v>
      </c>
      <c r="E460" s="2" t="s">
        <v>3033</v>
      </c>
      <c r="F460" s="2" t="s">
        <v>3034</v>
      </c>
      <c r="G460" s="2" t="s">
        <v>3035</v>
      </c>
      <c r="H460" s="2" t="s">
        <v>3036</v>
      </c>
      <c r="I460" s="2"/>
      <c r="J460" s="2" t="s">
        <v>984</v>
      </c>
      <c r="K460" s="2" t="s">
        <v>62</v>
      </c>
      <c r="L460" s="2" t="s">
        <v>985</v>
      </c>
      <c r="M460" s="2" t="s">
        <v>116</v>
      </c>
      <c r="N460" s="2" t="s">
        <v>33</v>
      </c>
      <c r="O460" s="2" t="s">
        <v>34</v>
      </c>
      <c r="P460" s="2" t="s">
        <v>1218</v>
      </c>
      <c r="Q460" s="2" t="s">
        <v>5</v>
      </c>
      <c r="R460" s="2" t="s">
        <v>36</v>
      </c>
      <c r="S460" s="2" t="s">
        <v>36</v>
      </c>
      <c r="T460" s="2" t="s">
        <v>37</v>
      </c>
      <c r="U460" s="2" t="s">
        <v>37</v>
      </c>
    </row>
    <row r="461" spans="1:21" x14ac:dyDescent="0.25">
      <c r="A461" s="2" t="s">
        <v>3037</v>
      </c>
      <c r="B461" s="2" t="s">
        <v>195</v>
      </c>
      <c r="C461" s="2" t="s">
        <v>548</v>
      </c>
      <c r="D461" s="2" t="s">
        <v>83</v>
      </c>
      <c r="E461" s="2" t="s">
        <v>3038</v>
      </c>
      <c r="F461" s="2" t="s">
        <v>3039</v>
      </c>
      <c r="G461" s="2" t="s">
        <v>3040</v>
      </c>
      <c r="H461" s="2" t="s">
        <v>3041</v>
      </c>
      <c r="I461" s="2"/>
      <c r="J461" s="2" t="s">
        <v>585</v>
      </c>
      <c r="K461" s="2" t="s">
        <v>586</v>
      </c>
      <c r="L461" s="2" t="s">
        <v>587</v>
      </c>
      <c r="M461" s="2" t="s">
        <v>32</v>
      </c>
      <c r="N461" s="2" t="s">
        <v>91</v>
      </c>
      <c r="O461" s="2" t="s">
        <v>34</v>
      </c>
      <c r="P461" s="2" t="s">
        <v>3042</v>
      </c>
      <c r="Q461" s="2" t="s">
        <v>5</v>
      </c>
      <c r="R461" s="2" t="s">
        <v>37</v>
      </c>
      <c r="S461" s="2" t="s">
        <v>36</v>
      </c>
      <c r="T461" s="2" t="s">
        <v>36</v>
      </c>
      <c r="U461" s="2" t="s">
        <v>36</v>
      </c>
    </row>
    <row r="462" spans="1:21" x14ac:dyDescent="0.25">
      <c r="A462" s="2" t="s">
        <v>3043</v>
      </c>
      <c r="B462" s="2" t="s">
        <v>131</v>
      </c>
      <c r="C462" s="2" t="s">
        <v>472</v>
      </c>
      <c r="D462" s="2" t="s">
        <v>536</v>
      </c>
      <c r="E462" s="2" t="s">
        <v>3044</v>
      </c>
      <c r="F462" s="2" t="s">
        <v>3045</v>
      </c>
      <c r="G462" s="2" t="s">
        <v>3046</v>
      </c>
      <c r="H462" s="2" t="s">
        <v>3047</v>
      </c>
      <c r="I462" s="2"/>
      <c r="J462" s="2" t="s">
        <v>219</v>
      </c>
      <c r="K462" s="2" t="s">
        <v>220</v>
      </c>
      <c r="L462" s="2" t="s">
        <v>221</v>
      </c>
      <c r="M462" s="2" t="s">
        <v>32</v>
      </c>
      <c r="N462" s="2" t="s">
        <v>33</v>
      </c>
      <c r="O462" s="2" t="s">
        <v>34</v>
      </c>
      <c r="P462" s="2" t="s">
        <v>3048</v>
      </c>
      <c r="Q462" s="2" t="s">
        <v>52</v>
      </c>
      <c r="R462" s="2" t="s">
        <v>36</v>
      </c>
      <c r="S462" s="2" t="s">
        <v>37</v>
      </c>
      <c r="T462" s="2" t="s">
        <v>36</v>
      </c>
      <c r="U462" s="2" t="s">
        <v>36</v>
      </c>
    </row>
    <row r="463" spans="1:21" x14ac:dyDescent="0.25">
      <c r="A463" s="2" t="s">
        <v>3049</v>
      </c>
      <c r="B463" s="2" t="s">
        <v>170</v>
      </c>
      <c r="C463" s="2" t="s">
        <v>236</v>
      </c>
      <c r="D463" s="2" t="s">
        <v>771</v>
      </c>
      <c r="E463" s="2" t="s">
        <v>3050</v>
      </c>
      <c r="F463" s="2" t="s">
        <v>3051</v>
      </c>
      <c r="G463" s="2" t="s">
        <v>3052</v>
      </c>
      <c r="H463" s="2" t="s">
        <v>2384</v>
      </c>
      <c r="I463" s="2"/>
      <c r="J463" s="2" t="s">
        <v>163</v>
      </c>
      <c r="K463" s="2" t="s">
        <v>164</v>
      </c>
      <c r="L463" s="2" t="s">
        <v>165</v>
      </c>
      <c r="M463" s="2" t="s">
        <v>103</v>
      </c>
      <c r="N463" s="2" t="s">
        <v>117</v>
      </c>
      <c r="O463" s="2" t="s">
        <v>34</v>
      </c>
      <c r="P463" s="2" t="s">
        <v>3053</v>
      </c>
      <c r="Q463" s="2" t="s">
        <v>52</v>
      </c>
      <c r="R463" s="2" t="s">
        <v>36</v>
      </c>
      <c r="S463" s="2" t="s">
        <v>36</v>
      </c>
      <c r="T463" s="2" t="s">
        <v>36</v>
      </c>
      <c r="U463" s="2" t="s">
        <v>36</v>
      </c>
    </row>
    <row r="464" spans="1:21" x14ac:dyDescent="0.25">
      <c r="A464" s="2" t="s">
        <v>3054</v>
      </c>
      <c r="B464" s="2" t="s">
        <v>402</v>
      </c>
      <c r="C464" s="2" t="s">
        <v>1021</v>
      </c>
      <c r="D464" s="2" t="s">
        <v>630</v>
      </c>
      <c r="E464" s="2" t="s">
        <v>3055</v>
      </c>
      <c r="F464" s="2" t="s">
        <v>3056</v>
      </c>
      <c r="G464" s="2" t="s">
        <v>3057</v>
      </c>
      <c r="H464" s="2" t="s">
        <v>3058</v>
      </c>
      <c r="I464" s="2"/>
      <c r="J464" s="2" t="s">
        <v>509</v>
      </c>
      <c r="K464" s="2" t="s">
        <v>510</v>
      </c>
      <c r="L464" s="2" t="s">
        <v>511</v>
      </c>
      <c r="M464" s="2" t="s">
        <v>32</v>
      </c>
      <c r="N464" s="2" t="s">
        <v>65</v>
      </c>
      <c r="O464" s="2" t="s">
        <v>192</v>
      </c>
      <c r="P464" s="2" t="s">
        <v>3059</v>
      </c>
      <c r="Q464" s="2" t="s">
        <v>4</v>
      </c>
      <c r="R464" s="2" t="s">
        <v>36</v>
      </c>
      <c r="S464" s="2" t="s">
        <v>37</v>
      </c>
      <c r="T464" s="2" t="s">
        <v>36</v>
      </c>
      <c r="U464" s="2" t="s">
        <v>36</v>
      </c>
    </row>
    <row r="465" spans="1:21" x14ac:dyDescent="0.25">
      <c r="A465" s="2" t="s">
        <v>3060</v>
      </c>
      <c r="B465" s="2" t="s">
        <v>402</v>
      </c>
      <c r="C465" s="2" t="s">
        <v>655</v>
      </c>
      <c r="D465" s="2" t="s">
        <v>870</v>
      </c>
      <c r="E465" s="2" t="s">
        <v>3061</v>
      </c>
      <c r="F465" s="2" t="s">
        <v>3062</v>
      </c>
      <c r="G465" s="2" t="s">
        <v>3063</v>
      </c>
      <c r="H465" s="2" t="s">
        <v>3064</v>
      </c>
      <c r="I465" s="2"/>
      <c r="J465" s="2" t="s">
        <v>1285</v>
      </c>
      <c r="K465" s="2" t="s">
        <v>1286</v>
      </c>
      <c r="L465" s="2" t="s">
        <v>1287</v>
      </c>
      <c r="M465" s="2" t="s">
        <v>32</v>
      </c>
      <c r="N465" s="2" t="s">
        <v>117</v>
      </c>
      <c r="O465" s="2" t="s">
        <v>66</v>
      </c>
      <c r="P465" s="2" t="s">
        <v>3065</v>
      </c>
      <c r="Q465" s="2" t="s">
        <v>52</v>
      </c>
      <c r="R465" s="2" t="s">
        <v>36</v>
      </c>
      <c r="S465" s="2" t="s">
        <v>37</v>
      </c>
      <c r="T465" s="2" t="s">
        <v>37</v>
      </c>
      <c r="U465" s="2" t="s">
        <v>37</v>
      </c>
    </row>
    <row r="466" spans="1:21" x14ac:dyDescent="0.25">
      <c r="A466" s="2" t="s">
        <v>3066</v>
      </c>
      <c r="B466" s="2" t="s">
        <v>54</v>
      </c>
      <c r="C466" s="2" t="s">
        <v>1193</v>
      </c>
      <c r="D466" s="2" t="s">
        <v>755</v>
      </c>
      <c r="E466" s="2" t="s">
        <v>3067</v>
      </c>
      <c r="F466" s="2" t="s">
        <v>3068</v>
      </c>
      <c r="G466" s="2" t="s">
        <v>3069</v>
      </c>
      <c r="H466" s="2" t="s">
        <v>2625</v>
      </c>
      <c r="I466" s="2"/>
      <c r="J466" s="2" t="s">
        <v>100</v>
      </c>
      <c r="K466" s="2" t="s">
        <v>101</v>
      </c>
      <c r="L466" s="2" t="s">
        <v>343</v>
      </c>
      <c r="M466" s="2" t="s">
        <v>116</v>
      </c>
      <c r="N466" s="2" t="s">
        <v>153</v>
      </c>
      <c r="O466" s="2" t="s">
        <v>243</v>
      </c>
      <c r="P466" s="2" t="s">
        <v>3070</v>
      </c>
      <c r="Q466" s="2" t="s">
        <v>93</v>
      </c>
      <c r="R466" s="2" t="s">
        <v>36</v>
      </c>
      <c r="S466" s="2" t="s">
        <v>36</v>
      </c>
      <c r="T466" s="2" t="s">
        <v>36</v>
      </c>
      <c r="U466" s="2" t="s">
        <v>37</v>
      </c>
    </row>
    <row r="467" spans="1:21" x14ac:dyDescent="0.25">
      <c r="A467" s="2" t="s">
        <v>3071</v>
      </c>
      <c r="B467" s="2" t="s">
        <v>131</v>
      </c>
      <c r="C467" s="2" t="s">
        <v>791</v>
      </c>
      <c r="D467" s="2" t="s">
        <v>711</v>
      </c>
      <c r="E467" s="2" t="s">
        <v>3072</v>
      </c>
      <c r="F467" s="2" t="s">
        <v>3073</v>
      </c>
      <c r="G467" s="2" t="s">
        <v>3074</v>
      </c>
      <c r="H467" s="2" t="s">
        <v>3075</v>
      </c>
      <c r="I467" s="2"/>
      <c r="J467" s="2" t="s">
        <v>509</v>
      </c>
      <c r="K467" s="2" t="s">
        <v>510</v>
      </c>
      <c r="L467" s="2" t="s">
        <v>925</v>
      </c>
      <c r="M467" s="2" t="s">
        <v>32</v>
      </c>
      <c r="N467" s="2" t="s">
        <v>91</v>
      </c>
      <c r="O467" s="2" t="s">
        <v>192</v>
      </c>
      <c r="P467" s="2" t="s">
        <v>3076</v>
      </c>
      <c r="Q467" s="2" t="s">
        <v>4</v>
      </c>
      <c r="R467" s="2" t="s">
        <v>36</v>
      </c>
      <c r="S467" s="2" t="s">
        <v>37</v>
      </c>
      <c r="T467" s="2" t="s">
        <v>37</v>
      </c>
      <c r="U467" s="2" t="s">
        <v>36</v>
      </c>
    </row>
    <row r="468" spans="1:21" x14ac:dyDescent="0.25">
      <c r="A468" s="2" t="s">
        <v>3077</v>
      </c>
      <c r="B468" s="2" t="s">
        <v>235</v>
      </c>
      <c r="C468" s="2" t="s">
        <v>818</v>
      </c>
      <c r="D468" s="2" t="s">
        <v>214</v>
      </c>
      <c r="E468" s="2" t="s">
        <v>3078</v>
      </c>
      <c r="F468" s="2" t="s">
        <v>3079</v>
      </c>
      <c r="G468" s="2" t="s">
        <v>3080</v>
      </c>
      <c r="H468" s="2" t="s">
        <v>3081</v>
      </c>
      <c r="I468" s="2"/>
      <c r="J468" s="2" t="s">
        <v>419</v>
      </c>
      <c r="K468" s="2" t="s">
        <v>420</v>
      </c>
      <c r="L468" s="2" t="s">
        <v>421</v>
      </c>
      <c r="M468" s="2" t="s">
        <v>32</v>
      </c>
      <c r="N468" s="2" t="s">
        <v>91</v>
      </c>
      <c r="O468" s="2" t="s">
        <v>243</v>
      </c>
      <c r="P468" s="2" t="s">
        <v>3082</v>
      </c>
      <c r="Q468" s="2" t="s">
        <v>4</v>
      </c>
      <c r="R468" s="2" t="s">
        <v>36</v>
      </c>
      <c r="S468" s="2" t="s">
        <v>37</v>
      </c>
      <c r="T468" s="2" t="s">
        <v>37</v>
      </c>
      <c r="U468" s="2" t="s">
        <v>36</v>
      </c>
    </row>
    <row r="469" spans="1:21" x14ac:dyDescent="0.25">
      <c r="A469" s="2" t="s">
        <v>3083</v>
      </c>
      <c r="B469" s="2" t="s">
        <v>184</v>
      </c>
      <c r="C469" s="2" t="s">
        <v>1644</v>
      </c>
      <c r="D469" s="2" t="s">
        <v>819</v>
      </c>
      <c r="E469" s="2" t="s">
        <v>3084</v>
      </c>
      <c r="F469" s="2" t="s">
        <v>3085</v>
      </c>
      <c r="G469" s="2" t="s">
        <v>3086</v>
      </c>
      <c r="H469" s="2" t="s">
        <v>3087</v>
      </c>
      <c r="I469" s="2"/>
      <c r="J469" s="2" t="s">
        <v>585</v>
      </c>
      <c r="K469" s="2" t="s">
        <v>586</v>
      </c>
      <c r="L469" s="2" t="s">
        <v>587</v>
      </c>
      <c r="M469" s="2" t="s">
        <v>79</v>
      </c>
      <c r="N469" s="2" t="s">
        <v>117</v>
      </c>
      <c r="O469" s="2" t="s">
        <v>50</v>
      </c>
      <c r="P469" s="2" t="s">
        <v>3088</v>
      </c>
      <c r="Q469" s="2" t="s">
        <v>4</v>
      </c>
      <c r="R469" s="2" t="s">
        <v>36</v>
      </c>
      <c r="S469" s="2" t="s">
        <v>36</v>
      </c>
      <c r="T469" s="2" t="s">
        <v>37</v>
      </c>
      <c r="U469" s="2" t="s">
        <v>36</v>
      </c>
    </row>
    <row r="470" spans="1:21" x14ac:dyDescent="0.25">
      <c r="A470" s="2" t="s">
        <v>3089</v>
      </c>
      <c r="B470" s="2" t="s">
        <v>54</v>
      </c>
      <c r="C470" s="2" t="s">
        <v>1098</v>
      </c>
      <c r="D470" s="2" t="s">
        <v>425</v>
      </c>
      <c r="E470" s="2" t="s">
        <v>3090</v>
      </c>
      <c r="F470" s="2" t="s">
        <v>3091</v>
      </c>
      <c r="G470" s="2" t="s">
        <v>3092</v>
      </c>
      <c r="H470" s="2" t="s">
        <v>3093</v>
      </c>
      <c r="I470" s="2"/>
      <c r="J470" s="2" t="s">
        <v>1204</v>
      </c>
      <c r="K470" s="2" t="s">
        <v>114</v>
      </c>
      <c r="L470" s="2" t="s">
        <v>1205</v>
      </c>
      <c r="M470" s="2" t="s">
        <v>116</v>
      </c>
      <c r="N470" s="2" t="s">
        <v>65</v>
      </c>
      <c r="O470" s="2" t="s">
        <v>50</v>
      </c>
      <c r="P470" s="2" t="s">
        <v>3094</v>
      </c>
      <c r="Q470" s="2" t="s">
        <v>4</v>
      </c>
      <c r="R470" s="2" t="s">
        <v>37</v>
      </c>
      <c r="S470" s="2" t="s">
        <v>36</v>
      </c>
      <c r="T470" s="2" t="s">
        <v>36</v>
      </c>
      <c r="U470" s="2" t="s">
        <v>37</v>
      </c>
    </row>
    <row r="471" spans="1:21" x14ac:dyDescent="0.25">
      <c r="A471" s="2" t="s">
        <v>3095</v>
      </c>
      <c r="B471" s="2" t="s">
        <v>39</v>
      </c>
      <c r="C471" s="2" t="s">
        <v>673</v>
      </c>
      <c r="D471" s="2" t="s">
        <v>258</v>
      </c>
      <c r="E471" s="2" t="s">
        <v>3096</v>
      </c>
      <c r="F471" s="2" t="s">
        <v>3097</v>
      </c>
      <c r="G471" s="2" t="s">
        <v>3098</v>
      </c>
      <c r="H471" s="2" t="s">
        <v>3099</v>
      </c>
      <c r="I471" s="2"/>
      <c r="J471" s="2" t="s">
        <v>252</v>
      </c>
      <c r="K471" s="2" t="s">
        <v>253</v>
      </c>
      <c r="L471" s="2" t="s">
        <v>254</v>
      </c>
      <c r="M471" s="2" t="s">
        <v>116</v>
      </c>
      <c r="N471" s="2" t="s">
        <v>91</v>
      </c>
      <c r="O471" s="2" t="s">
        <v>50</v>
      </c>
      <c r="P471" s="2" t="s">
        <v>3100</v>
      </c>
      <c r="Q471" s="2" t="s">
        <v>93</v>
      </c>
      <c r="R471" s="2" t="s">
        <v>36</v>
      </c>
      <c r="S471" s="2" t="s">
        <v>2392</v>
      </c>
      <c r="T471" s="2" t="s">
        <v>36</v>
      </c>
      <c r="U471" s="2" t="s">
        <v>37</v>
      </c>
    </row>
    <row r="472" spans="1:21" x14ac:dyDescent="0.25">
      <c r="A472" s="2" t="s">
        <v>3101</v>
      </c>
      <c r="B472" s="2" t="s">
        <v>39</v>
      </c>
      <c r="C472" s="2" t="s">
        <v>70</v>
      </c>
      <c r="D472" s="2" t="s">
        <v>940</v>
      </c>
      <c r="E472" s="2"/>
      <c r="F472" s="2" t="s">
        <v>3102</v>
      </c>
      <c r="G472" s="2" t="s">
        <v>3103</v>
      </c>
      <c r="H472" s="2" t="s">
        <v>3104</v>
      </c>
      <c r="I472" s="2"/>
      <c r="J472" s="2" t="s">
        <v>1204</v>
      </c>
      <c r="K472" s="2" t="s">
        <v>114</v>
      </c>
      <c r="L472" s="2" t="s">
        <v>1205</v>
      </c>
      <c r="M472" s="2" t="s">
        <v>64</v>
      </c>
      <c r="N472" s="2" t="s">
        <v>167</v>
      </c>
      <c r="O472" s="2" t="s">
        <v>66</v>
      </c>
      <c r="P472" s="2" t="s">
        <v>3105</v>
      </c>
      <c r="Q472" s="2" t="s">
        <v>4</v>
      </c>
      <c r="R472" s="2" t="s">
        <v>36</v>
      </c>
      <c r="S472" s="2" t="s">
        <v>36</v>
      </c>
      <c r="T472" s="2" t="s">
        <v>36</v>
      </c>
      <c r="U472" s="2" t="s">
        <v>37</v>
      </c>
    </row>
    <row r="473" spans="1:21" x14ac:dyDescent="0.25">
      <c r="A473" s="2" t="s">
        <v>3106</v>
      </c>
      <c r="B473" s="2" t="s">
        <v>184</v>
      </c>
      <c r="C473" s="2" t="s">
        <v>1644</v>
      </c>
      <c r="D473" s="2" t="s">
        <v>1047</v>
      </c>
      <c r="E473" s="2" t="s">
        <v>3107</v>
      </c>
      <c r="F473" s="2" t="s">
        <v>3108</v>
      </c>
      <c r="G473" s="2" t="s">
        <v>3109</v>
      </c>
      <c r="H473" s="2" t="s">
        <v>3110</v>
      </c>
      <c r="I473" s="2"/>
      <c r="J473" s="2" t="s">
        <v>945</v>
      </c>
      <c r="K473" s="2" t="s">
        <v>946</v>
      </c>
      <c r="L473" s="2" t="s">
        <v>947</v>
      </c>
      <c r="M473" s="2" t="s">
        <v>116</v>
      </c>
      <c r="N473" s="2" t="s">
        <v>49</v>
      </c>
      <c r="O473" s="2" t="s">
        <v>243</v>
      </c>
      <c r="P473" s="2" t="s">
        <v>3111</v>
      </c>
      <c r="Q473" s="2" t="s">
        <v>4</v>
      </c>
      <c r="R473" s="2" t="s">
        <v>37</v>
      </c>
      <c r="S473" s="2" t="s">
        <v>36</v>
      </c>
      <c r="T473" s="2" t="s">
        <v>36</v>
      </c>
      <c r="U473" s="2" t="s">
        <v>37</v>
      </c>
    </row>
    <row r="474" spans="1:21" x14ac:dyDescent="0.25">
      <c r="A474" s="2" t="s">
        <v>3112</v>
      </c>
      <c r="B474" s="2" t="s">
        <v>235</v>
      </c>
      <c r="C474" s="2" t="s">
        <v>403</v>
      </c>
      <c r="D474" s="2" t="s">
        <v>273</v>
      </c>
      <c r="E474" s="2" t="s">
        <v>3113</v>
      </c>
      <c r="F474" s="2" t="s">
        <v>3114</v>
      </c>
      <c r="G474" s="2" t="s">
        <v>3115</v>
      </c>
      <c r="H474" s="2" t="s">
        <v>3116</v>
      </c>
      <c r="I474" s="2"/>
      <c r="J474" s="2" t="s">
        <v>219</v>
      </c>
      <c r="K474" s="2" t="s">
        <v>220</v>
      </c>
      <c r="L474" s="2" t="s">
        <v>221</v>
      </c>
      <c r="M474" s="2" t="s">
        <v>32</v>
      </c>
      <c r="N474" s="2" t="s">
        <v>181</v>
      </c>
      <c r="O474" s="2" t="s">
        <v>192</v>
      </c>
      <c r="P474" s="2" t="s">
        <v>3117</v>
      </c>
      <c r="Q474" s="2" t="s">
        <v>4</v>
      </c>
      <c r="R474" s="2" t="s">
        <v>37</v>
      </c>
      <c r="S474" s="2" t="s">
        <v>36</v>
      </c>
      <c r="T474" s="2" t="s">
        <v>36</v>
      </c>
      <c r="U474" s="2" t="s">
        <v>37</v>
      </c>
    </row>
    <row r="475" spans="1:21" x14ac:dyDescent="0.25">
      <c r="A475" s="2" t="s">
        <v>3118</v>
      </c>
      <c r="B475" s="2" t="s">
        <v>170</v>
      </c>
      <c r="C475" s="2" t="s">
        <v>95</v>
      </c>
      <c r="D475" s="2" t="s">
        <v>870</v>
      </c>
      <c r="E475" s="2" t="s">
        <v>3119</v>
      </c>
      <c r="F475" s="2" t="s">
        <v>3120</v>
      </c>
      <c r="G475" s="2" t="s">
        <v>3121</v>
      </c>
      <c r="H475" s="2" t="s">
        <v>2721</v>
      </c>
      <c r="I475" s="2"/>
      <c r="J475" s="2" t="s">
        <v>454</v>
      </c>
      <c r="K475" s="2" t="s">
        <v>455</v>
      </c>
      <c r="L475" s="2" t="s">
        <v>456</v>
      </c>
      <c r="M475" s="2" t="s">
        <v>32</v>
      </c>
      <c r="N475" s="2" t="s">
        <v>49</v>
      </c>
      <c r="O475" s="2" t="s">
        <v>154</v>
      </c>
      <c r="P475" s="2" t="s">
        <v>3122</v>
      </c>
      <c r="Q475" s="2" t="s">
        <v>93</v>
      </c>
      <c r="R475" s="2" t="s">
        <v>37</v>
      </c>
      <c r="S475" s="2" t="s">
        <v>36</v>
      </c>
      <c r="T475" s="2" t="s">
        <v>37</v>
      </c>
      <c r="U475" s="2" t="s">
        <v>37</v>
      </c>
    </row>
    <row r="476" spans="1:21" x14ac:dyDescent="0.25">
      <c r="A476" s="2" t="s">
        <v>3123</v>
      </c>
      <c r="B476" s="2" t="s">
        <v>402</v>
      </c>
      <c r="C476" s="2" t="s">
        <v>988</v>
      </c>
      <c r="D476" s="2" t="s">
        <v>1323</v>
      </c>
      <c r="E476" s="2" t="s">
        <v>3124</v>
      </c>
      <c r="F476" s="2" t="s">
        <v>3125</v>
      </c>
      <c r="G476" s="2" t="s">
        <v>3126</v>
      </c>
      <c r="H476" s="2" t="s">
        <v>3127</v>
      </c>
      <c r="I476" s="2"/>
      <c r="J476" s="2" t="s">
        <v>766</v>
      </c>
      <c r="K476" s="2" t="s">
        <v>767</v>
      </c>
      <c r="L476" s="2" t="s">
        <v>768</v>
      </c>
      <c r="M476" s="2" t="s">
        <v>32</v>
      </c>
      <c r="N476" s="2" t="s">
        <v>49</v>
      </c>
      <c r="O476" s="2" t="s">
        <v>34</v>
      </c>
      <c r="P476" s="2" t="s">
        <v>3128</v>
      </c>
      <c r="Q476" s="2" t="s">
        <v>52</v>
      </c>
      <c r="R476" s="2" t="s">
        <v>37</v>
      </c>
      <c r="S476" s="2" t="s">
        <v>36</v>
      </c>
      <c r="T476" s="2" t="s">
        <v>36</v>
      </c>
      <c r="U476" s="2" t="s">
        <v>37</v>
      </c>
    </row>
    <row r="477" spans="1:21" x14ac:dyDescent="0.25">
      <c r="A477" s="2" t="s">
        <v>3129</v>
      </c>
      <c r="B477" s="2" t="s">
        <v>54</v>
      </c>
      <c r="C477" s="2" t="s">
        <v>82</v>
      </c>
      <c r="D477" s="2" t="s">
        <v>414</v>
      </c>
      <c r="E477" s="2" t="s">
        <v>3130</v>
      </c>
      <c r="F477" s="2" t="s">
        <v>3131</v>
      </c>
      <c r="G477" s="2" t="s">
        <v>3132</v>
      </c>
      <c r="H477" s="2" t="s">
        <v>3133</v>
      </c>
      <c r="I477" s="2"/>
      <c r="J477" s="2" t="s">
        <v>278</v>
      </c>
      <c r="K477" s="2" t="s">
        <v>279</v>
      </c>
      <c r="L477" s="2" t="s">
        <v>280</v>
      </c>
      <c r="M477" s="2" t="s">
        <v>116</v>
      </c>
      <c r="N477" s="2" t="s">
        <v>181</v>
      </c>
      <c r="O477" s="2" t="s">
        <v>50</v>
      </c>
      <c r="P477" s="2" t="s">
        <v>3134</v>
      </c>
      <c r="Q477" s="2" t="s">
        <v>4</v>
      </c>
      <c r="R477" s="2" t="s">
        <v>36</v>
      </c>
      <c r="S477" s="2" t="s">
        <v>36</v>
      </c>
      <c r="T477" s="2" t="s">
        <v>36</v>
      </c>
      <c r="U477" s="2" t="s">
        <v>36</v>
      </c>
    </row>
    <row r="478" spans="1:21" x14ac:dyDescent="0.25">
      <c r="A478" s="2" t="s">
        <v>3135</v>
      </c>
      <c r="B478" s="2"/>
      <c r="C478" s="2" t="s">
        <v>754</v>
      </c>
      <c r="D478" s="2" t="s">
        <v>3136</v>
      </c>
      <c r="E478" s="2"/>
      <c r="F478" s="2" t="s">
        <v>3137</v>
      </c>
      <c r="G478" s="2" t="s">
        <v>3138</v>
      </c>
      <c r="H478" s="2" t="s">
        <v>3139</v>
      </c>
      <c r="I478" s="2"/>
      <c r="J478" s="2" t="s">
        <v>46</v>
      </c>
      <c r="K478" s="2" t="s">
        <v>47</v>
      </c>
      <c r="L478" s="2" t="s">
        <v>48</v>
      </c>
      <c r="M478" s="2" t="s">
        <v>116</v>
      </c>
      <c r="N478" s="2" t="s">
        <v>91</v>
      </c>
      <c r="O478" s="2" t="s">
        <v>154</v>
      </c>
      <c r="P478" s="2" t="s">
        <v>3140</v>
      </c>
      <c r="Q478" s="2" t="s">
        <v>52</v>
      </c>
      <c r="R478" s="2" t="s">
        <v>36</v>
      </c>
      <c r="S478" s="2" t="s">
        <v>36</v>
      </c>
      <c r="T478" s="2" t="s">
        <v>36</v>
      </c>
      <c r="U478" s="2" t="s">
        <v>37</v>
      </c>
    </row>
    <row r="479" spans="1:21" x14ac:dyDescent="0.25">
      <c r="A479" s="2" t="s">
        <v>3141</v>
      </c>
      <c r="B479" s="2" t="s">
        <v>402</v>
      </c>
      <c r="C479" s="2" t="s">
        <v>809</v>
      </c>
      <c r="D479" s="2" t="s">
        <v>247</v>
      </c>
      <c r="E479" s="2" t="s">
        <v>3142</v>
      </c>
      <c r="F479" s="2" t="s">
        <v>3143</v>
      </c>
      <c r="G479" s="2" t="s">
        <v>3144</v>
      </c>
      <c r="H479" s="2" t="s">
        <v>3145</v>
      </c>
      <c r="I479" s="2"/>
      <c r="J479" s="2" t="s">
        <v>408</v>
      </c>
      <c r="K479" s="2" t="s">
        <v>409</v>
      </c>
      <c r="L479" s="2" t="s">
        <v>410</v>
      </c>
      <c r="M479" s="2" t="s">
        <v>32</v>
      </c>
      <c r="N479" s="2" t="s">
        <v>33</v>
      </c>
      <c r="O479" s="2" t="s">
        <v>141</v>
      </c>
      <c r="P479" s="2" t="s">
        <v>3146</v>
      </c>
      <c r="Q479" s="2" t="s">
        <v>4</v>
      </c>
      <c r="R479" s="2" t="s">
        <v>36</v>
      </c>
      <c r="S479" s="2" t="s">
        <v>36</v>
      </c>
      <c r="T479" s="2" t="s">
        <v>37</v>
      </c>
      <c r="U479" s="2" t="s">
        <v>37</v>
      </c>
    </row>
    <row r="480" spans="1:21" x14ac:dyDescent="0.25">
      <c r="A480" s="2" t="s">
        <v>3147</v>
      </c>
      <c r="B480" s="2" t="s">
        <v>39</v>
      </c>
      <c r="C480" s="2" t="s">
        <v>1453</v>
      </c>
      <c r="D480" s="2" t="s">
        <v>870</v>
      </c>
      <c r="E480" s="2" t="s">
        <v>3148</v>
      </c>
      <c r="F480" s="2" t="s">
        <v>3149</v>
      </c>
      <c r="G480" s="2" t="s">
        <v>3150</v>
      </c>
      <c r="H480" s="2" t="s">
        <v>3151</v>
      </c>
      <c r="I480" s="2"/>
      <c r="J480" s="2" t="s">
        <v>100</v>
      </c>
      <c r="K480" s="2" t="s">
        <v>101</v>
      </c>
      <c r="L480" s="2" t="s">
        <v>343</v>
      </c>
      <c r="M480" s="2" t="s">
        <v>166</v>
      </c>
      <c r="N480" s="2" t="s">
        <v>167</v>
      </c>
      <c r="O480" s="2" t="s">
        <v>154</v>
      </c>
      <c r="P480" s="2" t="s">
        <v>3152</v>
      </c>
      <c r="Q480" s="2" t="s">
        <v>5</v>
      </c>
      <c r="R480" s="2" t="s">
        <v>36</v>
      </c>
      <c r="S480" s="2" t="s">
        <v>36</v>
      </c>
      <c r="T480" s="2" t="s">
        <v>36</v>
      </c>
      <c r="U480" s="2" t="s">
        <v>36</v>
      </c>
    </row>
    <row r="481" spans="1:21" x14ac:dyDescent="0.25">
      <c r="A481" s="2" t="s">
        <v>3153</v>
      </c>
      <c r="B481" s="2" t="s">
        <v>170</v>
      </c>
      <c r="C481" s="2" t="s">
        <v>590</v>
      </c>
      <c r="D481" s="2" t="s">
        <v>338</v>
      </c>
      <c r="E481" s="2" t="s">
        <v>3154</v>
      </c>
      <c r="F481" s="2" t="s">
        <v>3155</v>
      </c>
      <c r="G481" s="2" t="s">
        <v>3156</v>
      </c>
      <c r="H481" s="2" t="s">
        <v>3157</v>
      </c>
      <c r="I481" s="2"/>
      <c r="J481" s="2" t="s">
        <v>46</v>
      </c>
      <c r="K481" s="2" t="s">
        <v>47</v>
      </c>
      <c r="L481" s="2" t="s">
        <v>48</v>
      </c>
      <c r="M481" s="2" t="s">
        <v>32</v>
      </c>
      <c r="N481" s="2" t="s">
        <v>33</v>
      </c>
      <c r="O481" s="2" t="s">
        <v>50</v>
      </c>
      <c r="P481" s="2" t="s">
        <v>3158</v>
      </c>
      <c r="Q481" s="2" t="s">
        <v>93</v>
      </c>
      <c r="R481" s="2" t="s">
        <v>37</v>
      </c>
      <c r="S481" s="2" t="s">
        <v>36</v>
      </c>
      <c r="T481" s="2" t="s">
        <v>36</v>
      </c>
      <c r="U481" s="2" t="s">
        <v>37</v>
      </c>
    </row>
    <row r="482" spans="1:21" x14ac:dyDescent="0.25">
      <c r="A482" s="2" t="s">
        <v>3159</v>
      </c>
      <c r="B482" s="2" t="s">
        <v>54</v>
      </c>
      <c r="C482" s="2" t="s">
        <v>778</v>
      </c>
      <c r="D482" s="2" t="s">
        <v>71</v>
      </c>
      <c r="E482" s="2" t="s">
        <v>3160</v>
      </c>
      <c r="F482" s="2" t="s">
        <v>3161</v>
      </c>
      <c r="G482" s="2" t="s">
        <v>3162</v>
      </c>
      <c r="H482" s="2" t="s">
        <v>3163</v>
      </c>
      <c r="I482" s="2"/>
      <c r="J482" s="2" t="s">
        <v>138</v>
      </c>
      <c r="K482" s="2" t="s">
        <v>139</v>
      </c>
      <c r="L482" s="2" t="s">
        <v>140</v>
      </c>
      <c r="M482" s="2" t="s">
        <v>79</v>
      </c>
      <c r="N482" s="2" t="s">
        <v>33</v>
      </c>
      <c r="O482" s="2" t="s">
        <v>192</v>
      </c>
      <c r="P482" s="2" t="s">
        <v>3164</v>
      </c>
      <c r="Q482" s="2" t="s">
        <v>93</v>
      </c>
      <c r="R482" s="2" t="s">
        <v>36</v>
      </c>
      <c r="S482" s="2" t="s">
        <v>36</v>
      </c>
      <c r="T482" s="2" t="s">
        <v>36</v>
      </c>
      <c r="U482" s="2" t="s">
        <v>36</v>
      </c>
    </row>
    <row r="483" spans="1:21" x14ac:dyDescent="0.25">
      <c r="A483" s="2" t="s">
        <v>3165</v>
      </c>
      <c r="B483" s="2" t="s">
        <v>39</v>
      </c>
      <c r="C483" s="2" t="s">
        <v>1091</v>
      </c>
      <c r="D483" s="2" t="s">
        <v>1268</v>
      </c>
      <c r="E483" s="2" t="s">
        <v>3166</v>
      </c>
      <c r="F483" s="2" t="s">
        <v>3167</v>
      </c>
      <c r="G483" s="2" t="s">
        <v>3168</v>
      </c>
      <c r="H483" s="2" t="s">
        <v>3169</v>
      </c>
      <c r="I483" s="2"/>
      <c r="J483" s="2" t="s">
        <v>319</v>
      </c>
      <c r="K483" s="2" t="s">
        <v>320</v>
      </c>
      <c r="L483" s="2" t="s">
        <v>321</v>
      </c>
      <c r="M483" s="2" t="s">
        <v>116</v>
      </c>
      <c r="N483" s="2" t="s">
        <v>167</v>
      </c>
      <c r="O483" s="2" t="s">
        <v>34</v>
      </c>
      <c r="P483" s="2" t="s">
        <v>3170</v>
      </c>
      <c r="Q483" s="2" t="s">
        <v>5</v>
      </c>
      <c r="R483" s="2" t="s">
        <v>36</v>
      </c>
      <c r="S483" s="2" t="s">
        <v>36</v>
      </c>
      <c r="T483" s="2" t="s">
        <v>36</v>
      </c>
      <c r="U483" s="2" t="s">
        <v>37</v>
      </c>
    </row>
    <row r="484" spans="1:21" x14ac:dyDescent="0.25">
      <c r="A484" s="2" t="s">
        <v>3171</v>
      </c>
      <c r="B484" s="2" t="s">
        <v>402</v>
      </c>
      <c r="C484" s="2" t="s">
        <v>246</v>
      </c>
      <c r="D484" s="2" t="s">
        <v>338</v>
      </c>
      <c r="E484" s="2" t="s">
        <v>3172</v>
      </c>
      <c r="F484" s="2" t="s">
        <v>3173</v>
      </c>
      <c r="G484" s="2" t="s">
        <v>3174</v>
      </c>
      <c r="H484" s="2" t="s">
        <v>2715</v>
      </c>
      <c r="I484" s="2"/>
      <c r="J484" s="2" t="s">
        <v>609</v>
      </c>
      <c r="K484" s="2" t="s">
        <v>610</v>
      </c>
      <c r="L484" s="2" t="s">
        <v>611</v>
      </c>
      <c r="M484" s="2" t="s">
        <v>103</v>
      </c>
      <c r="N484" s="2" t="s">
        <v>167</v>
      </c>
      <c r="O484" s="2" t="s">
        <v>154</v>
      </c>
      <c r="P484" s="2" t="s">
        <v>3175</v>
      </c>
      <c r="Q484" s="2" t="s">
        <v>4</v>
      </c>
      <c r="R484" s="2" t="s">
        <v>36</v>
      </c>
      <c r="S484" s="2" t="s">
        <v>36</v>
      </c>
      <c r="T484" s="2" t="s">
        <v>36</v>
      </c>
      <c r="U484" s="2" t="s">
        <v>37</v>
      </c>
    </row>
    <row r="485" spans="1:21" x14ac:dyDescent="0.25">
      <c r="A485" s="2" t="s">
        <v>3176</v>
      </c>
      <c r="B485" s="2" t="s">
        <v>184</v>
      </c>
      <c r="C485" s="2" t="s">
        <v>574</v>
      </c>
      <c r="D485" s="2" t="s">
        <v>771</v>
      </c>
      <c r="E485" s="2" t="s">
        <v>3177</v>
      </c>
      <c r="F485" s="2" t="s">
        <v>3178</v>
      </c>
      <c r="G485" s="2" t="s">
        <v>3179</v>
      </c>
      <c r="H485" s="2" t="s">
        <v>3180</v>
      </c>
      <c r="I485" s="2"/>
      <c r="J485" s="2" t="s">
        <v>150</v>
      </c>
      <c r="K485" s="2" t="s">
        <v>151</v>
      </c>
      <c r="L485" s="2" t="s">
        <v>152</v>
      </c>
      <c r="M485" s="2" t="s">
        <v>191</v>
      </c>
      <c r="N485" s="2" t="s">
        <v>65</v>
      </c>
      <c r="O485" s="2" t="s">
        <v>192</v>
      </c>
      <c r="P485" s="2" t="s">
        <v>3181</v>
      </c>
      <c r="Q485" s="2" t="s">
        <v>4</v>
      </c>
      <c r="R485" s="2" t="s">
        <v>37</v>
      </c>
      <c r="S485" s="2" t="s">
        <v>36</v>
      </c>
      <c r="T485" s="2" t="s">
        <v>36</v>
      </c>
      <c r="U485" s="2" t="s">
        <v>37</v>
      </c>
    </row>
    <row r="486" spans="1:21" x14ac:dyDescent="0.25">
      <c r="A486" s="2" t="s">
        <v>3182</v>
      </c>
      <c r="B486" s="2" t="s">
        <v>235</v>
      </c>
      <c r="C486" s="2" t="s">
        <v>877</v>
      </c>
      <c r="D486" s="2" t="s">
        <v>674</v>
      </c>
      <c r="E486" s="2" t="s">
        <v>3183</v>
      </c>
      <c r="F486" s="2" t="s">
        <v>3184</v>
      </c>
      <c r="G486" s="2" t="s">
        <v>3185</v>
      </c>
      <c r="H486" s="2" t="s">
        <v>3186</v>
      </c>
      <c r="I486" s="2"/>
      <c r="J486" s="2" t="s">
        <v>76</v>
      </c>
      <c r="K486" s="2" t="s">
        <v>77</v>
      </c>
      <c r="L486" s="2" t="s">
        <v>78</v>
      </c>
      <c r="M486" s="2" t="s">
        <v>232</v>
      </c>
      <c r="N486" s="2" t="s">
        <v>181</v>
      </c>
      <c r="O486" s="2" t="s">
        <v>154</v>
      </c>
      <c r="P486" s="2" t="s">
        <v>3187</v>
      </c>
      <c r="Q486" s="2" t="s">
        <v>93</v>
      </c>
      <c r="R486" s="2" t="s">
        <v>36</v>
      </c>
      <c r="S486" s="2" t="s">
        <v>37</v>
      </c>
      <c r="T486" s="2" t="s">
        <v>37</v>
      </c>
      <c r="U486" s="2" t="s">
        <v>37</v>
      </c>
    </row>
    <row r="487" spans="1:21" x14ac:dyDescent="0.25">
      <c r="A487" s="2" t="s">
        <v>3188</v>
      </c>
      <c r="B487" s="2" t="s">
        <v>195</v>
      </c>
      <c r="C487" s="2" t="s">
        <v>171</v>
      </c>
      <c r="D487" s="2" t="s">
        <v>554</v>
      </c>
      <c r="E487" s="2"/>
      <c r="F487" s="2" t="s">
        <v>3189</v>
      </c>
      <c r="G487" s="2" t="s">
        <v>3190</v>
      </c>
      <c r="H487" s="2" t="s">
        <v>3191</v>
      </c>
      <c r="I487" s="2"/>
      <c r="J487" s="2" t="s">
        <v>100</v>
      </c>
      <c r="K487" s="2" t="s">
        <v>101</v>
      </c>
      <c r="L487" s="2" t="s">
        <v>343</v>
      </c>
      <c r="M487" s="2" t="s">
        <v>32</v>
      </c>
      <c r="N487" s="2" t="s">
        <v>117</v>
      </c>
      <c r="O487" s="2" t="s">
        <v>141</v>
      </c>
      <c r="P487" s="2" t="s">
        <v>3192</v>
      </c>
      <c r="Q487" s="2" t="s">
        <v>4</v>
      </c>
      <c r="R487" s="2" t="s">
        <v>37</v>
      </c>
      <c r="S487" s="2" t="s">
        <v>36</v>
      </c>
      <c r="T487" s="2" t="s">
        <v>37</v>
      </c>
      <c r="U487" s="2" t="s">
        <v>36</v>
      </c>
    </row>
    <row r="488" spans="1:21" x14ac:dyDescent="0.25">
      <c r="A488" s="2" t="s">
        <v>3193</v>
      </c>
      <c r="B488" s="2" t="s">
        <v>22</v>
      </c>
      <c r="C488" s="2" t="s">
        <v>308</v>
      </c>
      <c r="D488" s="2" t="s">
        <v>771</v>
      </c>
      <c r="E488" s="2" t="s">
        <v>3194</v>
      </c>
      <c r="F488" s="2" t="s">
        <v>3195</v>
      </c>
      <c r="G488" s="2" t="s">
        <v>3196</v>
      </c>
      <c r="H488" s="2" t="s">
        <v>3197</v>
      </c>
      <c r="I488" s="2"/>
      <c r="J488" s="2" t="s">
        <v>76</v>
      </c>
      <c r="K488" s="2" t="s">
        <v>77</v>
      </c>
      <c r="L488" s="2"/>
      <c r="M488" s="2" t="s">
        <v>32</v>
      </c>
      <c r="N488" s="2" t="s">
        <v>117</v>
      </c>
      <c r="O488" s="2" t="s">
        <v>50</v>
      </c>
      <c r="P488" s="2" t="s">
        <v>3198</v>
      </c>
      <c r="Q488" s="2" t="s">
        <v>4</v>
      </c>
      <c r="R488" s="2" t="s">
        <v>37</v>
      </c>
      <c r="S488" s="2" t="s">
        <v>36</v>
      </c>
      <c r="T488" s="2" t="s">
        <v>37</v>
      </c>
      <c r="U488" s="2" t="s">
        <v>37</v>
      </c>
    </row>
    <row r="489" spans="1:21" x14ac:dyDescent="0.25">
      <c r="A489" s="2" t="s">
        <v>3199</v>
      </c>
      <c r="B489" s="2" t="s">
        <v>22</v>
      </c>
      <c r="C489" s="2" t="s">
        <v>988</v>
      </c>
      <c r="D489" s="2" t="s">
        <v>902</v>
      </c>
      <c r="E489" s="2" t="s">
        <v>3200</v>
      </c>
      <c r="F489" s="2" t="s">
        <v>3201</v>
      </c>
      <c r="G489" s="2" t="s">
        <v>3202</v>
      </c>
      <c r="H489" s="2" t="s">
        <v>3203</v>
      </c>
      <c r="I489" s="2"/>
      <c r="J489" s="2" t="s">
        <v>625</v>
      </c>
      <c r="K489" s="2" t="s">
        <v>626</v>
      </c>
      <c r="L489" s="2" t="s">
        <v>627</v>
      </c>
      <c r="M489" s="2" t="s">
        <v>32</v>
      </c>
      <c r="N489" s="2" t="s">
        <v>117</v>
      </c>
      <c r="O489" s="2" t="s">
        <v>141</v>
      </c>
      <c r="P489" s="2" t="s">
        <v>3204</v>
      </c>
      <c r="Q489" s="2" t="s">
        <v>93</v>
      </c>
      <c r="R489" s="2" t="s">
        <v>36</v>
      </c>
      <c r="S489" s="2" t="s">
        <v>36</v>
      </c>
      <c r="T489" s="2" t="s">
        <v>37</v>
      </c>
      <c r="U489" s="2" t="s">
        <v>36</v>
      </c>
    </row>
    <row r="490" spans="1:21" x14ac:dyDescent="0.25">
      <c r="A490" s="2" t="s">
        <v>3205</v>
      </c>
      <c r="B490" s="2" t="s">
        <v>54</v>
      </c>
      <c r="C490" s="2" t="s">
        <v>1085</v>
      </c>
      <c r="D490" s="2" t="s">
        <v>414</v>
      </c>
      <c r="E490" s="2" t="s">
        <v>3206</v>
      </c>
      <c r="F490" s="2" t="s">
        <v>3207</v>
      </c>
      <c r="G490" s="2" t="s">
        <v>3208</v>
      </c>
      <c r="H490" s="2" t="s">
        <v>3209</v>
      </c>
      <c r="I490" s="2"/>
      <c r="J490" s="2" t="s">
        <v>419</v>
      </c>
      <c r="K490" s="2" t="s">
        <v>420</v>
      </c>
      <c r="L490" s="2" t="s">
        <v>421</v>
      </c>
      <c r="M490" s="2" t="s">
        <v>116</v>
      </c>
      <c r="N490" s="2" t="s">
        <v>181</v>
      </c>
      <c r="O490" s="2" t="s">
        <v>243</v>
      </c>
      <c r="P490" s="2" t="s">
        <v>3210</v>
      </c>
      <c r="Q490" s="2" t="s">
        <v>105</v>
      </c>
      <c r="R490" s="2" t="s">
        <v>37</v>
      </c>
      <c r="S490" s="2" t="s">
        <v>37</v>
      </c>
      <c r="T490" s="2" t="s">
        <v>37</v>
      </c>
      <c r="U490" s="2" t="s">
        <v>37</v>
      </c>
    </row>
    <row r="491" spans="1:21" x14ac:dyDescent="0.25">
      <c r="A491" s="2" t="s">
        <v>3211</v>
      </c>
      <c r="B491" s="2" t="s">
        <v>170</v>
      </c>
      <c r="C491" s="2" t="s">
        <v>472</v>
      </c>
      <c r="D491" s="2" t="s">
        <v>172</v>
      </c>
      <c r="E491" s="2" t="s">
        <v>3212</v>
      </c>
      <c r="F491" s="2" t="s">
        <v>3213</v>
      </c>
      <c r="G491" s="2" t="s">
        <v>3214</v>
      </c>
      <c r="H491" s="2" t="s">
        <v>3215</v>
      </c>
      <c r="I491" s="2"/>
      <c r="J491" s="2" t="s">
        <v>319</v>
      </c>
      <c r="K491" s="2" t="s">
        <v>320</v>
      </c>
      <c r="L491" s="2" t="s">
        <v>321</v>
      </c>
      <c r="M491" s="2" t="s">
        <v>103</v>
      </c>
      <c r="N491" s="2" t="s">
        <v>117</v>
      </c>
      <c r="O491" s="2" t="s">
        <v>66</v>
      </c>
      <c r="P491" s="2" t="s">
        <v>3216</v>
      </c>
      <c r="Q491" s="2" t="s">
        <v>4</v>
      </c>
      <c r="R491" s="2" t="s">
        <v>36</v>
      </c>
      <c r="S491" s="2" t="s">
        <v>36</v>
      </c>
      <c r="T491" s="2" t="s">
        <v>36</v>
      </c>
      <c r="U491" s="2" t="s">
        <v>37</v>
      </c>
    </row>
    <row r="492" spans="1:21" x14ac:dyDescent="0.25">
      <c r="A492" s="2" t="s">
        <v>3217</v>
      </c>
      <c r="B492" s="2" t="s">
        <v>170</v>
      </c>
      <c r="C492" s="2" t="s">
        <v>204</v>
      </c>
      <c r="D492" s="2" t="s">
        <v>630</v>
      </c>
      <c r="E492" s="2" t="s">
        <v>3218</v>
      </c>
      <c r="F492" s="2" t="s">
        <v>3219</v>
      </c>
      <c r="G492" s="2" t="s">
        <v>3220</v>
      </c>
      <c r="H492" s="2" t="s">
        <v>3221</v>
      </c>
      <c r="I492" s="2"/>
      <c r="J492" s="2" t="s">
        <v>138</v>
      </c>
      <c r="K492" s="2" t="s">
        <v>139</v>
      </c>
      <c r="L492" s="2" t="s">
        <v>140</v>
      </c>
      <c r="M492" s="2" t="s">
        <v>180</v>
      </c>
      <c r="N492" s="2" t="s">
        <v>33</v>
      </c>
      <c r="O492" s="2" t="s">
        <v>192</v>
      </c>
      <c r="P492" s="2" t="s">
        <v>3222</v>
      </c>
      <c r="Q492" s="2" t="s">
        <v>4</v>
      </c>
      <c r="R492" s="2" t="s">
        <v>36</v>
      </c>
      <c r="S492" s="2" t="s">
        <v>36</v>
      </c>
      <c r="T492" s="2" t="s">
        <v>36</v>
      </c>
      <c r="U492" s="2" t="s">
        <v>37</v>
      </c>
    </row>
    <row r="493" spans="1:21" x14ac:dyDescent="0.25">
      <c r="A493" s="2" t="s">
        <v>3223</v>
      </c>
      <c r="B493" s="2" t="s">
        <v>22</v>
      </c>
      <c r="C493" s="2" t="s">
        <v>1038</v>
      </c>
      <c r="D493" s="2" t="s">
        <v>819</v>
      </c>
      <c r="E493" s="2" t="s">
        <v>3224</v>
      </c>
      <c r="F493" s="2" t="s">
        <v>3225</v>
      </c>
      <c r="G493" s="2" t="s">
        <v>3226</v>
      </c>
      <c r="H493" s="2" t="s">
        <v>3227</v>
      </c>
      <c r="I493" s="2"/>
      <c r="J493" s="2" t="s">
        <v>419</v>
      </c>
      <c r="K493" s="2" t="s">
        <v>420</v>
      </c>
      <c r="L493" s="2" t="s">
        <v>421</v>
      </c>
      <c r="M493" s="2" t="s">
        <v>180</v>
      </c>
      <c r="N493" s="2" t="s">
        <v>117</v>
      </c>
      <c r="O493" s="2" t="s">
        <v>154</v>
      </c>
      <c r="P493" s="2" t="s">
        <v>3228</v>
      </c>
      <c r="Q493" s="2" t="s">
        <v>4</v>
      </c>
      <c r="R493" s="2" t="s">
        <v>36</v>
      </c>
      <c r="S493" s="2" t="s">
        <v>36</v>
      </c>
      <c r="T493" s="2" t="s">
        <v>37</v>
      </c>
      <c r="U493" s="2" t="s">
        <v>37</v>
      </c>
    </row>
    <row r="494" spans="1:21" x14ac:dyDescent="0.25">
      <c r="A494" s="2" t="s">
        <v>3229</v>
      </c>
      <c r="B494" s="2" t="s">
        <v>131</v>
      </c>
      <c r="C494" s="2" t="s">
        <v>40</v>
      </c>
      <c r="D494" s="2" t="s">
        <v>504</v>
      </c>
      <c r="E494" s="2" t="s">
        <v>3230</v>
      </c>
      <c r="F494" s="2" t="s">
        <v>3231</v>
      </c>
      <c r="G494" s="2" t="s">
        <v>3232</v>
      </c>
      <c r="H494" s="2" t="s">
        <v>3233</v>
      </c>
      <c r="I494" s="2"/>
      <c r="J494" s="2" t="s">
        <v>509</v>
      </c>
      <c r="K494" s="2" t="s">
        <v>510</v>
      </c>
      <c r="L494" s="2" t="s">
        <v>511</v>
      </c>
      <c r="M494" s="2" t="s">
        <v>32</v>
      </c>
      <c r="N494" s="2" t="s">
        <v>181</v>
      </c>
      <c r="O494" s="2" t="s">
        <v>50</v>
      </c>
      <c r="P494" s="2" t="s">
        <v>3234</v>
      </c>
      <c r="Q494" s="2" t="s">
        <v>4</v>
      </c>
      <c r="R494" s="2" t="s">
        <v>37</v>
      </c>
      <c r="S494" s="2" t="s">
        <v>36</v>
      </c>
      <c r="T494" s="2" t="s">
        <v>36</v>
      </c>
      <c r="U494" s="2" t="s">
        <v>36</v>
      </c>
    </row>
    <row r="495" spans="1:21" x14ac:dyDescent="0.25">
      <c r="A495" s="2" t="s">
        <v>3235</v>
      </c>
      <c r="B495" s="2" t="s">
        <v>195</v>
      </c>
      <c r="C495" s="2" t="s">
        <v>1038</v>
      </c>
      <c r="D495" s="2" t="s">
        <v>3236</v>
      </c>
      <c r="E495" s="2" t="s">
        <v>3237</v>
      </c>
      <c r="F495" s="2" t="s">
        <v>3238</v>
      </c>
      <c r="G495" s="2" t="s">
        <v>3239</v>
      </c>
      <c r="H495" s="2" t="s">
        <v>3240</v>
      </c>
      <c r="I495" s="2"/>
      <c r="J495" s="2" t="s">
        <v>429</v>
      </c>
      <c r="K495" s="2" t="s">
        <v>430</v>
      </c>
      <c r="L495" s="2" t="s">
        <v>431</v>
      </c>
      <c r="M495" s="2" t="s">
        <v>32</v>
      </c>
      <c r="N495" s="2" t="s">
        <v>33</v>
      </c>
      <c r="O495" s="2" t="s">
        <v>34</v>
      </c>
      <c r="P495" s="2" t="s">
        <v>3241</v>
      </c>
      <c r="Q495" s="2" t="s">
        <v>93</v>
      </c>
      <c r="R495" s="2" t="s">
        <v>36</v>
      </c>
      <c r="S495" s="2" t="s">
        <v>36</v>
      </c>
      <c r="T495" s="2" t="s">
        <v>36</v>
      </c>
      <c r="U495" s="2" t="s">
        <v>36</v>
      </c>
    </row>
    <row r="496" spans="1:21" x14ac:dyDescent="0.25">
      <c r="A496" s="2" t="s">
        <v>3242</v>
      </c>
      <c r="B496" s="2" t="s">
        <v>54</v>
      </c>
      <c r="C496" s="2" t="s">
        <v>55</v>
      </c>
      <c r="D496" s="2" t="s">
        <v>554</v>
      </c>
      <c r="E496" s="2" t="s">
        <v>3243</v>
      </c>
      <c r="F496" s="2" t="s">
        <v>3244</v>
      </c>
      <c r="G496" s="2" t="s">
        <v>3245</v>
      </c>
      <c r="H496" s="2" t="s">
        <v>3246</v>
      </c>
      <c r="I496" s="2"/>
      <c r="J496" s="2" t="s">
        <v>100</v>
      </c>
      <c r="K496" s="2" t="s">
        <v>101</v>
      </c>
      <c r="L496" s="2" t="s">
        <v>343</v>
      </c>
      <c r="M496" s="2" t="s">
        <v>191</v>
      </c>
      <c r="N496" s="2" t="s">
        <v>117</v>
      </c>
      <c r="O496" s="2" t="s">
        <v>34</v>
      </c>
      <c r="P496" s="2" t="s">
        <v>3247</v>
      </c>
      <c r="Q496" s="2" t="s">
        <v>5</v>
      </c>
      <c r="R496" s="2" t="s">
        <v>36</v>
      </c>
      <c r="S496" s="2" t="s">
        <v>36</v>
      </c>
      <c r="T496" s="2" t="s">
        <v>37</v>
      </c>
      <c r="U496" s="2" t="s">
        <v>37</v>
      </c>
    </row>
    <row r="497" spans="1:21" x14ac:dyDescent="0.25">
      <c r="A497" s="2" t="s">
        <v>3248</v>
      </c>
      <c r="B497" s="2" t="s">
        <v>235</v>
      </c>
      <c r="C497" s="2" t="s">
        <v>1689</v>
      </c>
      <c r="D497" s="2" t="s">
        <v>83</v>
      </c>
      <c r="E497" s="2" t="s">
        <v>3249</v>
      </c>
      <c r="F497" s="2" t="s">
        <v>3250</v>
      </c>
      <c r="G497" s="2" t="s">
        <v>3251</v>
      </c>
      <c r="H497" s="2" t="s">
        <v>3252</v>
      </c>
      <c r="I497" s="2"/>
      <c r="J497" s="2" t="s">
        <v>397</v>
      </c>
      <c r="K497" s="2" t="s">
        <v>220</v>
      </c>
      <c r="L497" s="2" t="s">
        <v>398</v>
      </c>
      <c r="M497" s="2" t="s">
        <v>32</v>
      </c>
      <c r="N497" s="2" t="s">
        <v>167</v>
      </c>
      <c r="O497" s="2" t="s">
        <v>66</v>
      </c>
      <c r="P497" s="2" t="s">
        <v>3253</v>
      </c>
      <c r="Q497" s="2" t="s">
        <v>4</v>
      </c>
      <c r="R497" s="2" t="s">
        <v>36</v>
      </c>
      <c r="S497" s="2" t="s">
        <v>36</v>
      </c>
      <c r="T497" s="2" t="s">
        <v>37</v>
      </c>
      <c r="U497" s="2" t="s">
        <v>37</v>
      </c>
    </row>
    <row r="498" spans="1:21" x14ac:dyDescent="0.25">
      <c r="A498" s="2" t="s">
        <v>3254</v>
      </c>
      <c r="B498" s="2"/>
      <c r="C498" s="2" t="s">
        <v>3255</v>
      </c>
      <c r="D498" s="2" t="s">
        <v>205</v>
      </c>
      <c r="E498" s="2" t="s">
        <v>3256</v>
      </c>
      <c r="F498" s="2" t="s">
        <v>3257</v>
      </c>
      <c r="G498" s="2" t="s">
        <v>3258</v>
      </c>
      <c r="H498" s="2" t="s">
        <v>3259</v>
      </c>
      <c r="I498" s="2"/>
      <c r="J498" s="2" t="s">
        <v>319</v>
      </c>
      <c r="K498" s="2" t="s">
        <v>320</v>
      </c>
      <c r="L498" s="2" t="s">
        <v>321</v>
      </c>
      <c r="M498" s="2" t="s">
        <v>116</v>
      </c>
      <c r="N498" s="2" t="s">
        <v>33</v>
      </c>
      <c r="O498" s="2" t="s">
        <v>66</v>
      </c>
      <c r="P498" s="2" t="s">
        <v>3260</v>
      </c>
      <c r="Q498" s="2" t="s">
        <v>52</v>
      </c>
      <c r="R498" s="2" t="s">
        <v>37</v>
      </c>
      <c r="S498" s="2" t="s">
        <v>36</v>
      </c>
      <c r="T498" s="2" t="s">
        <v>37</v>
      </c>
      <c r="U498" s="2" t="s">
        <v>37</v>
      </c>
    </row>
    <row r="499" spans="1:21" x14ac:dyDescent="0.25">
      <c r="A499" s="2" t="s">
        <v>3261</v>
      </c>
      <c r="B499" s="2" t="s">
        <v>22</v>
      </c>
      <c r="C499" s="2" t="s">
        <v>403</v>
      </c>
      <c r="D499" s="2" t="s">
        <v>325</v>
      </c>
      <c r="E499" s="2" t="s">
        <v>3262</v>
      </c>
      <c r="F499" s="2" t="s">
        <v>3263</v>
      </c>
      <c r="G499" s="2" t="s">
        <v>3264</v>
      </c>
      <c r="H499" s="2" t="s">
        <v>3019</v>
      </c>
      <c r="I499" s="2"/>
      <c r="J499" s="2" t="s">
        <v>693</v>
      </c>
      <c r="K499" s="2" t="s">
        <v>694</v>
      </c>
      <c r="L499" s="2" t="s">
        <v>695</v>
      </c>
      <c r="M499" s="2" t="s">
        <v>180</v>
      </c>
      <c r="N499" s="2" t="s">
        <v>49</v>
      </c>
      <c r="O499" s="2" t="s">
        <v>50</v>
      </c>
      <c r="P499" s="2" t="s">
        <v>3265</v>
      </c>
      <c r="Q499" s="2" t="s">
        <v>5</v>
      </c>
      <c r="R499" s="2" t="s">
        <v>36</v>
      </c>
      <c r="S499" s="2" t="s">
        <v>36</v>
      </c>
      <c r="T499" s="2" t="s">
        <v>36</v>
      </c>
      <c r="U499" s="2" t="s">
        <v>37</v>
      </c>
    </row>
    <row r="500" spans="1:21" x14ac:dyDescent="0.25">
      <c r="A500" s="2" t="s">
        <v>3266</v>
      </c>
      <c r="B500" s="2" t="s">
        <v>22</v>
      </c>
      <c r="C500" s="2" t="s">
        <v>95</v>
      </c>
      <c r="D500" s="2" t="s">
        <v>810</v>
      </c>
      <c r="E500" s="2" t="s">
        <v>3267</v>
      </c>
      <c r="F500" s="2" t="s">
        <v>3268</v>
      </c>
      <c r="G500" s="2" t="s">
        <v>3269</v>
      </c>
      <c r="H500" s="2" t="s">
        <v>3270</v>
      </c>
      <c r="I500" s="2"/>
      <c r="J500" s="2" t="s">
        <v>531</v>
      </c>
      <c r="K500" s="2" t="s">
        <v>532</v>
      </c>
      <c r="L500" s="2"/>
      <c r="M500" s="2" t="s">
        <v>242</v>
      </c>
      <c r="N500" s="2" t="s">
        <v>167</v>
      </c>
      <c r="O500" s="2" t="s">
        <v>141</v>
      </c>
      <c r="P500" s="2" t="s">
        <v>3271</v>
      </c>
      <c r="Q500" s="2" t="s">
        <v>93</v>
      </c>
      <c r="R500" s="2" t="s">
        <v>36</v>
      </c>
      <c r="S500" s="2" t="s">
        <v>37</v>
      </c>
      <c r="T500" s="2" t="s">
        <v>36</v>
      </c>
      <c r="U500" s="2" t="s">
        <v>37</v>
      </c>
    </row>
    <row r="501" spans="1:21" x14ac:dyDescent="0.25">
      <c r="A501" s="2" t="s">
        <v>3272</v>
      </c>
      <c r="B501" s="2" t="s">
        <v>235</v>
      </c>
      <c r="C501" s="2" t="s">
        <v>413</v>
      </c>
      <c r="D501" s="2" t="s">
        <v>1039</v>
      </c>
      <c r="E501" s="2" t="s">
        <v>3273</v>
      </c>
      <c r="F501" s="2" t="s">
        <v>3274</v>
      </c>
      <c r="G501" s="2" t="s">
        <v>3275</v>
      </c>
      <c r="H501" s="2" t="s">
        <v>3276</v>
      </c>
      <c r="I501" s="2"/>
      <c r="J501" s="2" t="s">
        <v>509</v>
      </c>
      <c r="K501" s="2" t="s">
        <v>510</v>
      </c>
      <c r="L501" s="2"/>
      <c r="M501" s="2" t="s">
        <v>232</v>
      </c>
      <c r="N501" s="2" t="s">
        <v>91</v>
      </c>
      <c r="O501" s="2" t="s">
        <v>66</v>
      </c>
      <c r="P501" s="2" t="s">
        <v>3277</v>
      </c>
      <c r="Q501" s="2" t="s">
        <v>5</v>
      </c>
      <c r="R501" s="2" t="s">
        <v>36</v>
      </c>
      <c r="S501" s="2" t="s">
        <v>36</v>
      </c>
      <c r="T501" s="2" t="s">
        <v>37</v>
      </c>
      <c r="U501" s="2" t="s">
        <v>36</v>
      </c>
    </row>
    <row r="502" spans="1:21" x14ac:dyDescent="0.25">
      <c r="A502" s="2" t="s">
        <v>3278</v>
      </c>
      <c r="B502" s="2" t="s">
        <v>54</v>
      </c>
      <c r="C502" s="2" t="s">
        <v>3279</v>
      </c>
      <c r="D502" s="2" t="s">
        <v>158</v>
      </c>
      <c r="E502" s="2" t="s">
        <v>159</v>
      </c>
      <c r="F502" s="2"/>
      <c r="G502" s="2" t="s">
        <v>161</v>
      </c>
      <c r="H502" s="2" t="s">
        <v>162</v>
      </c>
      <c r="I502" s="2"/>
      <c r="J502" s="2" t="s">
        <v>163</v>
      </c>
      <c r="K502" s="2" t="s">
        <v>164</v>
      </c>
      <c r="L502" s="2" t="s">
        <v>165</v>
      </c>
      <c r="M502" s="2" t="s">
        <v>166</v>
      </c>
      <c r="N502" s="2" t="s">
        <v>167</v>
      </c>
      <c r="O502" s="2" t="s">
        <v>154</v>
      </c>
      <c r="P502" s="2" t="s">
        <v>3280</v>
      </c>
      <c r="Q502" s="2" t="s">
        <v>93</v>
      </c>
      <c r="R502" s="2" t="s">
        <v>36</v>
      </c>
      <c r="S502" s="2" t="s">
        <v>36</v>
      </c>
      <c r="T502" s="2" t="s">
        <v>36</v>
      </c>
      <c r="U502" s="2" t="s">
        <v>37</v>
      </c>
    </row>
    <row r="503" spans="1:21" x14ac:dyDescent="0.25">
      <c r="A503" s="2" t="s">
        <v>3281</v>
      </c>
      <c r="B503" s="2"/>
      <c r="C503" s="2" t="s">
        <v>472</v>
      </c>
      <c r="D503" s="2" t="s">
        <v>473</v>
      </c>
      <c r="E503" s="2" t="s">
        <v>474</v>
      </c>
      <c r="F503" s="2" t="s">
        <v>475</v>
      </c>
      <c r="G503" s="2" t="s">
        <v>3282</v>
      </c>
      <c r="H503" s="2" t="s">
        <v>477</v>
      </c>
      <c r="I503" s="2"/>
      <c r="J503" s="2" t="s">
        <v>429</v>
      </c>
      <c r="K503" s="2" t="s">
        <v>430</v>
      </c>
      <c r="L503" s="2" t="s">
        <v>431</v>
      </c>
      <c r="M503" s="2" t="s">
        <v>242</v>
      </c>
      <c r="N503" s="2" t="s">
        <v>49</v>
      </c>
      <c r="O503" s="2" t="s">
        <v>243</v>
      </c>
      <c r="P503" s="2" t="s">
        <v>3283</v>
      </c>
      <c r="Q503" s="2" t="s">
        <v>93</v>
      </c>
      <c r="R503" s="2" t="s">
        <v>36</v>
      </c>
      <c r="S503" s="2" t="s">
        <v>37</v>
      </c>
      <c r="T503" s="2" t="s">
        <v>37</v>
      </c>
      <c r="U503" s="2" t="s">
        <v>36</v>
      </c>
    </row>
    <row r="504" spans="1:21" x14ac:dyDescent="0.25">
      <c r="A504" s="2" t="s">
        <v>3284</v>
      </c>
      <c r="B504" s="2" t="s">
        <v>69</v>
      </c>
      <c r="C504" s="2" t="s">
        <v>337</v>
      </c>
      <c r="D504" s="2" t="s">
        <v>711</v>
      </c>
      <c r="E504" s="2" t="s">
        <v>724</v>
      </c>
      <c r="F504" s="2" t="s">
        <v>725</v>
      </c>
      <c r="G504" s="2" t="s">
        <v>3285</v>
      </c>
      <c r="H504" s="2" t="s">
        <v>727</v>
      </c>
      <c r="I504" s="2"/>
      <c r="J504" s="2" t="s">
        <v>693</v>
      </c>
      <c r="K504" s="2" t="s">
        <v>694</v>
      </c>
      <c r="L504" s="2" t="s">
        <v>695</v>
      </c>
      <c r="M504" s="2" t="s">
        <v>166</v>
      </c>
      <c r="N504" s="2" t="s">
        <v>153</v>
      </c>
      <c r="O504" s="2" t="s">
        <v>192</v>
      </c>
      <c r="P504" s="2" t="s">
        <v>3286</v>
      </c>
      <c r="Q504" s="2" t="s">
        <v>4</v>
      </c>
      <c r="R504" s="2" t="s">
        <v>36</v>
      </c>
      <c r="S504" s="2" t="s">
        <v>37</v>
      </c>
      <c r="T504" s="2" t="s">
        <v>37</v>
      </c>
      <c r="U504" s="2" t="s">
        <v>36</v>
      </c>
    </row>
    <row r="505" spans="1:21" x14ac:dyDescent="0.25">
      <c r="A505" s="2" t="s">
        <v>3287</v>
      </c>
      <c r="B505" s="2" t="s">
        <v>184</v>
      </c>
      <c r="C505" s="2" t="s">
        <v>1001</v>
      </c>
      <c r="D505" s="2" t="s">
        <v>108</v>
      </c>
      <c r="E505" s="2" t="s">
        <v>3288</v>
      </c>
      <c r="F505" s="2" t="s">
        <v>1003</v>
      </c>
      <c r="G505" s="2" t="s">
        <v>1004</v>
      </c>
      <c r="H505" s="2" t="s">
        <v>1005</v>
      </c>
      <c r="I505" s="2"/>
      <c r="J505" s="2" t="s">
        <v>387</v>
      </c>
      <c r="K505" s="2" t="s">
        <v>388</v>
      </c>
      <c r="L505" s="2" t="s">
        <v>389</v>
      </c>
      <c r="M505" s="2" t="s">
        <v>191</v>
      </c>
      <c r="N505" s="2" t="s">
        <v>181</v>
      </c>
      <c r="O505" s="2" t="s">
        <v>34</v>
      </c>
      <c r="P505" s="2" t="s">
        <v>3289</v>
      </c>
      <c r="Q505" s="2" t="s">
        <v>4</v>
      </c>
      <c r="R505" s="2" t="s">
        <v>36</v>
      </c>
      <c r="S505" s="2" t="s">
        <v>36</v>
      </c>
      <c r="T505" s="2" t="s">
        <v>37</v>
      </c>
      <c r="U505" s="2" t="s">
        <v>37</v>
      </c>
    </row>
    <row r="506" spans="1:21" x14ac:dyDescent="0.25">
      <c r="A506" s="2" t="s">
        <v>3290</v>
      </c>
      <c r="B506" s="2" t="s">
        <v>170</v>
      </c>
      <c r="C506" s="2" t="s">
        <v>3291</v>
      </c>
      <c r="D506" s="2" t="s">
        <v>71</v>
      </c>
      <c r="E506" s="2" t="s">
        <v>1512</v>
      </c>
      <c r="F506" s="2"/>
      <c r="G506" s="2" t="s">
        <v>1514</v>
      </c>
      <c r="H506" s="2" t="s">
        <v>1515</v>
      </c>
      <c r="I506" s="2"/>
      <c r="J506" s="2" t="s">
        <v>163</v>
      </c>
      <c r="K506" s="2" t="s">
        <v>164</v>
      </c>
      <c r="L506" s="2"/>
      <c r="M506" s="2" t="s">
        <v>32</v>
      </c>
      <c r="N506" s="2" t="s">
        <v>49</v>
      </c>
      <c r="O506" s="2" t="s">
        <v>141</v>
      </c>
      <c r="P506" s="2" t="s">
        <v>3292</v>
      </c>
      <c r="Q506" s="2" t="s">
        <v>4</v>
      </c>
      <c r="R506" s="2" t="s">
        <v>36</v>
      </c>
      <c r="S506" s="2" t="s">
        <v>36</v>
      </c>
      <c r="T506" s="2" t="s">
        <v>37</v>
      </c>
      <c r="U506" s="2" t="s">
        <v>37</v>
      </c>
    </row>
    <row r="507" spans="1:21" x14ac:dyDescent="0.25">
      <c r="A507" s="2" t="s">
        <v>3293</v>
      </c>
      <c r="B507" s="2" t="s">
        <v>402</v>
      </c>
      <c r="C507" s="2" t="s">
        <v>710</v>
      </c>
      <c r="D507" s="2" t="s">
        <v>258</v>
      </c>
      <c r="E507" s="2" t="s">
        <v>3294</v>
      </c>
      <c r="F507" s="2" t="s">
        <v>1810</v>
      </c>
      <c r="G507" s="2" t="s">
        <v>3295</v>
      </c>
      <c r="H507" s="2" t="s">
        <v>1812</v>
      </c>
      <c r="I507" s="2"/>
      <c r="J507" s="2" t="s">
        <v>984</v>
      </c>
      <c r="K507" s="2" t="s">
        <v>62</v>
      </c>
      <c r="L507" s="2" t="s">
        <v>985</v>
      </c>
      <c r="M507" s="2" t="s">
        <v>232</v>
      </c>
      <c r="N507" s="2" t="s">
        <v>117</v>
      </c>
      <c r="O507" s="2" t="s">
        <v>66</v>
      </c>
      <c r="P507" s="2" t="s">
        <v>3296</v>
      </c>
      <c r="Q507" s="2" t="s">
        <v>93</v>
      </c>
      <c r="R507" s="2" t="s">
        <v>36</v>
      </c>
      <c r="S507" s="2" t="s">
        <v>37</v>
      </c>
      <c r="T507" s="2" t="s">
        <v>37</v>
      </c>
      <c r="U507" s="2" t="s">
        <v>37</v>
      </c>
    </row>
    <row r="508" spans="1:21" x14ac:dyDescent="0.25">
      <c r="A508" s="2" t="s">
        <v>3297</v>
      </c>
      <c r="B508" s="2" t="s">
        <v>22</v>
      </c>
      <c r="C508" s="2" t="s">
        <v>3298</v>
      </c>
      <c r="D508" s="2" t="s">
        <v>145</v>
      </c>
      <c r="E508" s="2" t="s">
        <v>3299</v>
      </c>
      <c r="F508" s="2" t="s">
        <v>2165</v>
      </c>
      <c r="G508" s="2" t="s">
        <v>3300</v>
      </c>
      <c r="H508" s="2" t="s">
        <v>2167</v>
      </c>
      <c r="I508" s="2"/>
      <c r="J508" s="2" t="s">
        <v>509</v>
      </c>
      <c r="K508" s="2" t="s">
        <v>510</v>
      </c>
      <c r="L508" s="2" t="s">
        <v>511</v>
      </c>
      <c r="M508" s="2" t="s">
        <v>32</v>
      </c>
      <c r="N508" s="2" t="s">
        <v>167</v>
      </c>
      <c r="O508" s="2" t="s">
        <v>34</v>
      </c>
      <c r="P508" s="2" t="s">
        <v>3301</v>
      </c>
      <c r="Q508" s="2" t="s">
        <v>52</v>
      </c>
      <c r="R508" s="2" t="s">
        <v>36</v>
      </c>
      <c r="S508" s="2" t="s">
        <v>36</v>
      </c>
      <c r="T508" s="2" t="s">
        <v>36</v>
      </c>
      <c r="U508" s="2" t="s">
        <v>37</v>
      </c>
    </row>
    <row r="509" spans="1:21" x14ac:dyDescent="0.25">
      <c r="A509" s="2" t="s">
        <v>3302</v>
      </c>
      <c r="B509" s="2" t="s">
        <v>39</v>
      </c>
      <c r="C509" s="2" t="s">
        <v>237</v>
      </c>
      <c r="D509" s="2" t="s">
        <v>755</v>
      </c>
      <c r="E509" s="2" t="s">
        <v>2693</v>
      </c>
      <c r="F509" s="2"/>
      <c r="G509" s="2" t="s">
        <v>3303</v>
      </c>
      <c r="H509" s="2" t="s">
        <v>2696</v>
      </c>
      <c r="I509" s="2"/>
      <c r="J509" s="2" t="s">
        <v>609</v>
      </c>
      <c r="K509" s="2" t="s">
        <v>610</v>
      </c>
      <c r="L509" s="2" t="s">
        <v>611</v>
      </c>
      <c r="M509" s="2" t="s">
        <v>116</v>
      </c>
      <c r="N509" s="2" t="s">
        <v>49</v>
      </c>
      <c r="O509" s="2" t="s">
        <v>154</v>
      </c>
      <c r="P509" s="2" t="s">
        <v>3304</v>
      </c>
      <c r="Q509" s="2" t="s">
        <v>5</v>
      </c>
      <c r="R509" s="2" t="s">
        <v>36</v>
      </c>
      <c r="S509" s="2" t="s">
        <v>36</v>
      </c>
      <c r="T509" s="2" t="s">
        <v>37</v>
      </c>
      <c r="U509" s="2" t="s">
        <v>36</v>
      </c>
    </row>
  </sheetData>
  <autoFilter ref="A1:U50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9"/>
  <sheetViews>
    <sheetView workbookViewId="0">
      <selection activeCell="C18" sqref="C18"/>
    </sheetView>
  </sheetViews>
  <sheetFormatPr defaultColWidth="8.85546875" defaultRowHeight="15" x14ac:dyDescent="0.25"/>
  <cols>
    <col min="1" max="2" width="14" customWidth="1"/>
    <col min="3" max="3" width="30" customWidth="1"/>
    <col min="4" max="6" width="14" customWidth="1"/>
    <col min="7" max="7" width="12" customWidth="1"/>
    <col min="8" max="8" width="16" customWidth="1"/>
    <col min="9" max="9" width="14" customWidth="1"/>
  </cols>
  <sheetData>
    <row r="1" spans="1:9" ht="30" x14ac:dyDescent="0.25">
      <c r="A1" s="1" t="s">
        <v>3305</v>
      </c>
      <c r="B1" s="1" t="s">
        <v>0</v>
      </c>
      <c r="C1" s="1" t="s">
        <v>3306</v>
      </c>
      <c r="D1" s="1" t="s">
        <v>3307</v>
      </c>
      <c r="E1" s="1" t="s">
        <v>3308</v>
      </c>
      <c r="F1" s="1" t="s">
        <v>3309</v>
      </c>
      <c r="G1" s="1" t="s">
        <v>3310</v>
      </c>
      <c r="H1" s="1" t="s">
        <v>3311</v>
      </c>
      <c r="I1" s="1" t="s">
        <v>3312</v>
      </c>
    </row>
    <row r="2" spans="1:9" x14ac:dyDescent="0.25">
      <c r="A2" s="2" t="s">
        <v>3313</v>
      </c>
      <c r="B2" s="2" t="s">
        <v>1464</v>
      </c>
      <c r="C2" s="2" t="s">
        <v>3314</v>
      </c>
      <c r="D2" s="2" t="s">
        <v>3315</v>
      </c>
      <c r="E2" s="2" t="s">
        <v>3316</v>
      </c>
      <c r="F2" s="2" t="s">
        <v>3317</v>
      </c>
      <c r="G2" s="2">
        <v>427.04</v>
      </c>
      <c r="H2" s="2" t="s">
        <v>36</v>
      </c>
      <c r="I2" s="2" t="s">
        <v>3318</v>
      </c>
    </row>
    <row r="3" spans="1:9" x14ac:dyDescent="0.25">
      <c r="A3" s="2" t="s">
        <v>3319</v>
      </c>
      <c r="B3" s="2" t="s">
        <v>1820</v>
      </c>
      <c r="C3" s="2" t="s">
        <v>3320</v>
      </c>
      <c r="D3" s="2" t="s">
        <v>3321</v>
      </c>
      <c r="E3" s="2" t="s">
        <v>65</v>
      </c>
      <c r="F3" s="2" t="s">
        <v>3322</v>
      </c>
      <c r="G3" s="2">
        <v>1580.05</v>
      </c>
      <c r="H3" s="2" t="s">
        <v>36</v>
      </c>
      <c r="I3" s="2" t="s">
        <v>3323</v>
      </c>
    </row>
    <row r="4" spans="1:9" x14ac:dyDescent="0.25">
      <c r="A4" s="2" t="s">
        <v>3324</v>
      </c>
      <c r="B4" s="2" t="s">
        <v>351</v>
      </c>
      <c r="C4" s="2" t="s">
        <v>3325</v>
      </c>
      <c r="D4" s="2" t="s">
        <v>3326</v>
      </c>
      <c r="E4" s="2" t="s">
        <v>65</v>
      </c>
      <c r="F4" s="2" t="s">
        <v>3327</v>
      </c>
      <c r="G4" s="2">
        <v>92.05</v>
      </c>
      <c r="H4" s="2" t="s">
        <v>36</v>
      </c>
      <c r="I4" s="2" t="s">
        <v>3328</v>
      </c>
    </row>
    <row r="5" spans="1:9" x14ac:dyDescent="0.25">
      <c r="A5" s="2" t="s">
        <v>3329</v>
      </c>
      <c r="B5" s="2" t="s">
        <v>762</v>
      </c>
      <c r="C5" s="2" t="s">
        <v>3325</v>
      </c>
      <c r="D5" s="2" t="s">
        <v>3326</v>
      </c>
      <c r="E5" s="2" t="s">
        <v>4</v>
      </c>
      <c r="F5" s="2" t="s">
        <v>3330</v>
      </c>
      <c r="G5" s="2">
        <v>40.36</v>
      </c>
      <c r="H5" s="2" t="s">
        <v>36</v>
      </c>
      <c r="I5" s="2" t="s">
        <v>3331</v>
      </c>
    </row>
    <row r="6" spans="1:9" x14ac:dyDescent="0.25">
      <c r="A6" s="2" t="s">
        <v>3332</v>
      </c>
      <c r="B6" s="2" t="s">
        <v>3009</v>
      </c>
      <c r="C6" s="2" t="s">
        <v>3325</v>
      </c>
      <c r="D6" s="2" t="s">
        <v>3326</v>
      </c>
      <c r="E6" s="2" t="s">
        <v>65</v>
      </c>
      <c r="F6" s="2" t="s">
        <v>3333</v>
      </c>
      <c r="G6" s="2">
        <v>34.85</v>
      </c>
      <c r="H6" s="2" t="s">
        <v>36</v>
      </c>
      <c r="I6" s="2" t="s">
        <v>3334</v>
      </c>
    </row>
    <row r="7" spans="1:9" x14ac:dyDescent="0.25">
      <c r="A7" s="2" t="s">
        <v>3335</v>
      </c>
      <c r="B7" s="2" t="s">
        <v>1476</v>
      </c>
      <c r="C7" s="2" t="s">
        <v>3336</v>
      </c>
      <c r="D7" s="2" t="s">
        <v>3337</v>
      </c>
      <c r="E7" s="2" t="s">
        <v>3338</v>
      </c>
      <c r="F7" s="2" t="s">
        <v>3339</v>
      </c>
      <c r="G7" s="2">
        <v>15.74</v>
      </c>
      <c r="H7" s="2" t="s">
        <v>36</v>
      </c>
      <c r="I7" s="2" t="s">
        <v>3331</v>
      </c>
    </row>
    <row r="8" spans="1:9" x14ac:dyDescent="0.25">
      <c r="A8" s="2" t="s">
        <v>3340</v>
      </c>
      <c r="B8" s="2" t="s">
        <v>1289</v>
      </c>
      <c r="C8" s="2" t="s">
        <v>3341</v>
      </c>
      <c r="D8" s="2" t="s">
        <v>3342</v>
      </c>
      <c r="E8" s="2" t="s">
        <v>3316</v>
      </c>
      <c r="F8" s="2" t="s">
        <v>3343</v>
      </c>
      <c r="G8" s="2">
        <v>151.99</v>
      </c>
      <c r="H8" s="2" t="s">
        <v>36</v>
      </c>
      <c r="I8" s="2" t="s">
        <v>3318</v>
      </c>
    </row>
    <row r="9" spans="1:9" x14ac:dyDescent="0.25">
      <c r="A9" s="2" t="s">
        <v>3344</v>
      </c>
      <c r="B9" s="2" t="s">
        <v>2411</v>
      </c>
      <c r="C9" s="2" t="s">
        <v>3325</v>
      </c>
      <c r="D9" s="2" t="s">
        <v>3326</v>
      </c>
      <c r="E9" s="2" t="s">
        <v>3345</v>
      </c>
      <c r="F9" s="2" t="s">
        <v>3346</v>
      </c>
      <c r="G9" s="2">
        <v>156.21</v>
      </c>
      <c r="H9" s="2" t="s">
        <v>37</v>
      </c>
      <c r="I9" s="2" t="s">
        <v>3323</v>
      </c>
    </row>
    <row r="10" spans="1:9" x14ac:dyDescent="0.25">
      <c r="A10" s="2" t="s">
        <v>3347</v>
      </c>
      <c r="B10" s="2" t="s">
        <v>939</v>
      </c>
      <c r="C10" s="2" t="s">
        <v>3314</v>
      </c>
      <c r="D10" s="2" t="s">
        <v>3315</v>
      </c>
      <c r="E10" s="2" t="s">
        <v>65</v>
      </c>
      <c r="F10" s="2" t="s">
        <v>3348</v>
      </c>
      <c r="G10" s="2">
        <v>18.29</v>
      </c>
      <c r="H10" s="2" t="s">
        <v>37</v>
      </c>
      <c r="I10" s="2" t="s">
        <v>3318</v>
      </c>
    </row>
    <row r="11" spans="1:9" x14ac:dyDescent="0.25">
      <c r="A11" s="2" t="s">
        <v>3349</v>
      </c>
      <c r="B11" s="2" t="s">
        <v>2632</v>
      </c>
      <c r="C11" s="2" t="s">
        <v>3314</v>
      </c>
      <c r="D11" s="2" t="s">
        <v>3315</v>
      </c>
      <c r="E11" s="2" t="s">
        <v>33</v>
      </c>
      <c r="F11" s="2" t="s">
        <v>3350</v>
      </c>
      <c r="G11" s="2">
        <v>11.29</v>
      </c>
      <c r="H11" s="2" t="s">
        <v>37</v>
      </c>
      <c r="I11" s="2" t="s">
        <v>3331</v>
      </c>
    </row>
    <row r="12" spans="1:9" x14ac:dyDescent="0.25">
      <c r="A12" s="2" t="s">
        <v>3351</v>
      </c>
      <c r="B12" s="2" t="s">
        <v>2130</v>
      </c>
      <c r="C12" s="2" t="s">
        <v>3341</v>
      </c>
      <c r="D12" s="2" t="s">
        <v>3342</v>
      </c>
      <c r="E12" s="2" t="s">
        <v>91</v>
      </c>
      <c r="F12" s="2" t="s">
        <v>3352</v>
      </c>
      <c r="G12" s="2">
        <v>113.62</v>
      </c>
      <c r="H12" s="2" t="s">
        <v>37</v>
      </c>
      <c r="I12" s="2" t="s">
        <v>3328</v>
      </c>
    </row>
    <row r="13" spans="1:9" x14ac:dyDescent="0.25">
      <c r="A13" s="2" t="s">
        <v>3353</v>
      </c>
      <c r="B13" s="2" t="s">
        <v>245</v>
      </c>
      <c r="C13" s="2" t="s">
        <v>3354</v>
      </c>
      <c r="D13" s="2" t="s">
        <v>3355</v>
      </c>
      <c r="E13" s="2" t="s">
        <v>65</v>
      </c>
      <c r="F13" s="2" t="s">
        <v>3356</v>
      </c>
      <c r="G13" s="2">
        <v>80.349999999999994</v>
      </c>
      <c r="H13" s="2" t="s">
        <v>36</v>
      </c>
      <c r="I13" s="2" t="s">
        <v>3323</v>
      </c>
    </row>
    <row r="14" spans="1:9" x14ac:dyDescent="0.25">
      <c r="A14" s="2" t="s">
        <v>3357</v>
      </c>
      <c r="B14" s="2" t="s">
        <v>2489</v>
      </c>
      <c r="C14" s="2" t="s">
        <v>3320</v>
      </c>
      <c r="D14" s="2" t="s">
        <v>3321</v>
      </c>
      <c r="E14" s="2" t="s">
        <v>65</v>
      </c>
      <c r="F14" s="2" t="s">
        <v>3358</v>
      </c>
      <c r="G14" s="2">
        <v>443.08</v>
      </c>
      <c r="H14" s="2" t="s">
        <v>37</v>
      </c>
      <c r="I14" s="2" t="s">
        <v>3318</v>
      </c>
    </row>
    <row r="15" spans="1:9" x14ac:dyDescent="0.25">
      <c r="A15" s="2" t="s">
        <v>3359</v>
      </c>
      <c r="B15" s="2" t="s">
        <v>345</v>
      </c>
      <c r="C15" s="2" t="s">
        <v>3341</v>
      </c>
      <c r="D15" s="2" t="s">
        <v>3342</v>
      </c>
      <c r="E15" s="2" t="s">
        <v>4</v>
      </c>
      <c r="F15" s="2" t="s">
        <v>3360</v>
      </c>
      <c r="G15" s="2">
        <v>7.27</v>
      </c>
      <c r="H15" s="2" t="s">
        <v>36</v>
      </c>
      <c r="I15" s="2" t="s">
        <v>3328</v>
      </c>
    </row>
    <row r="16" spans="1:9" x14ac:dyDescent="0.25">
      <c r="A16" s="2" t="s">
        <v>3361</v>
      </c>
      <c r="B16" s="2" t="s">
        <v>883</v>
      </c>
      <c r="C16" s="2" t="s">
        <v>3362</v>
      </c>
      <c r="D16" s="2" t="s">
        <v>3363</v>
      </c>
      <c r="E16" s="2" t="s">
        <v>65</v>
      </c>
      <c r="F16" s="2" t="s">
        <v>3364</v>
      </c>
      <c r="G16" s="2">
        <v>-38.659999999999997</v>
      </c>
      <c r="H16" s="2" t="s">
        <v>37</v>
      </c>
      <c r="I16" s="2" t="s">
        <v>3365</v>
      </c>
    </row>
    <row r="17" spans="1:9" x14ac:dyDescent="0.25">
      <c r="A17" s="2" t="s">
        <v>3366</v>
      </c>
      <c r="B17" s="2" t="s">
        <v>3297</v>
      </c>
      <c r="C17" s="2" t="s">
        <v>3367</v>
      </c>
      <c r="D17" s="2" t="s">
        <v>3368</v>
      </c>
      <c r="E17" s="2" t="s">
        <v>65</v>
      </c>
      <c r="F17" s="2" t="s">
        <v>3369</v>
      </c>
      <c r="G17" s="2">
        <v>70.680000000000007</v>
      </c>
      <c r="H17" s="2" t="s">
        <v>37</v>
      </c>
      <c r="I17" s="2" t="s">
        <v>3370</v>
      </c>
    </row>
    <row r="18" spans="1:9" x14ac:dyDescent="0.25">
      <c r="A18" s="2" t="s">
        <v>3371</v>
      </c>
      <c r="B18" s="2" t="s">
        <v>2958</v>
      </c>
      <c r="C18" s="2" t="s">
        <v>3341</v>
      </c>
      <c r="D18" s="2" t="s">
        <v>3342</v>
      </c>
      <c r="E18" s="2" t="s">
        <v>4</v>
      </c>
      <c r="F18" s="2" t="s">
        <v>3372</v>
      </c>
      <c r="G18" s="2">
        <v>55.83</v>
      </c>
      <c r="H18" s="2" t="s">
        <v>36</v>
      </c>
      <c r="I18" s="2" t="s">
        <v>3328</v>
      </c>
    </row>
    <row r="19" spans="1:9" x14ac:dyDescent="0.25">
      <c r="A19" s="2" t="s">
        <v>3373</v>
      </c>
      <c r="B19" s="2" t="s">
        <v>2747</v>
      </c>
      <c r="C19" s="2" t="s">
        <v>3341</v>
      </c>
      <c r="D19" s="2" t="s">
        <v>3342</v>
      </c>
      <c r="E19" s="2" t="s">
        <v>3316</v>
      </c>
      <c r="F19" s="2" t="s">
        <v>3374</v>
      </c>
      <c r="G19" s="2">
        <v>25.61</v>
      </c>
      <c r="H19" s="2" t="s">
        <v>37</v>
      </c>
      <c r="I19" s="2" t="s">
        <v>3331</v>
      </c>
    </row>
    <row r="20" spans="1:9" x14ac:dyDescent="0.25">
      <c r="A20" s="2" t="s">
        <v>3375</v>
      </c>
      <c r="B20" s="2" t="s">
        <v>3199</v>
      </c>
      <c r="C20" s="2" t="s">
        <v>3314</v>
      </c>
      <c r="D20" s="2" t="s">
        <v>3315</v>
      </c>
      <c r="E20" s="2" t="s">
        <v>3316</v>
      </c>
      <c r="F20" s="2" t="s">
        <v>3376</v>
      </c>
      <c r="G20" s="2">
        <v>215.29</v>
      </c>
      <c r="H20" s="2" t="s">
        <v>37</v>
      </c>
      <c r="I20" s="2" t="s">
        <v>3323</v>
      </c>
    </row>
    <row r="21" spans="1:9" x14ac:dyDescent="0.25">
      <c r="A21" s="2" t="s">
        <v>3377</v>
      </c>
      <c r="B21" s="2" t="s">
        <v>2813</v>
      </c>
      <c r="C21" s="2" t="s">
        <v>3362</v>
      </c>
      <c r="D21" s="2" t="s">
        <v>3363</v>
      </c>
      <c r="E21" s="2" t="s">
        <v>65</v>
      </c>
      <c r="F21" s="2" t="s">
        <v>3378</v>
      </c>
      <c r="G21" s="2">
        <v>122.85</v>
      </c>
      <c r="H21" s="2" t="s">
        <v>36</v>
      </c>
      <c r="I21" s="2" t="s">
        <v>3318</v>
      </c>
    </row>
    <row r="22" spans="1:9" x14ac:dyDescent="0.25">
      <c r="A22" s="2" t="s">
        <v>3379</v>
      </c>
      <c r="B22" s="2" t="s">
        <v>837</v>
      </c>
      <c r="C22" s="2" t="s">
        <v>3320</v>
      </c>
      <c r="D22" s="2" t="s">
        <v>3321</v>
      </c>
      <c r="E22" s="2" t="s">
        <v>4</v>
      </c>
      <c r="F22" s="2" t="s">
        <v>3380</v>
      </c>
      <c r="G22" s="2">
        <v>24.58</v>
      </c>
      <c r="H22" s="2" t="s">
        <v>36</v>
      </c>
      <c r="I22" s="2" t="s">
        <v>3365</v>
      </c>
    </row>
    <row r="23" spans="1:9" x14ac:dyDescent="0.25">
      <c r="A23" s="2" t="s">
        <v>3381</v>
      </c>
      <c r="B23" s="2" t="s">
        <v>1933</v>
      </c>
      <c r="C23" s="2" t="s">
        <v>3336</v>
      </c>
      <c r="D23" s="2" t="s">
        <v>3337</v>
      </c>
      <c r="E23" s="2" t="s">
        <v>4</v>
      </c>
      <c r="F23" s="2" t="s">
        <v>3382</v>
      </c>
      <c r="G23" s="2">
        <v>231.44</v>
      </c>
      <c r="H23" s="2" t="s">
        <v>37</v>
      </c>
      <c r="I23" s="2" t="s">
        <v>3323</v>
      </c>
    </row>
    <row r="24" spans="1:9" x14ac:dyDescent="0.25">
      <c r="A24" s="2" t="s">
        <v>3383</v>
      </c>
      <c r="B24" s="2" t="s">
        <v>2433</v>
      </c>
      <c r="C24" s="2" t="s">
        <v>3325</v>
      </c>
      <c r="D24" s="2" t="s">
        <v>3326</v>
      </c>
      <c r="E24" s="2" t="s">
        <v>4</v>
      </c>
      <c r="F24" s="2" t="s">
        <v>3384</v>
      </c>
      <c r="G24" s="2">
        <v>143.19</v>
      </c>
      <c r="H24" s="2" t="s">
        <v>36</v>
      </c>
      <c r="I24" s="2" t="s">
        <v>3385</v>
      </c>
    </row>
    <row r="25" spans="1:9" x14ac:dyDescent="0.25">
      <c r="A25" s="2" t="s">
        <v>3386</v>
      </c>
      <c r="B25" s="2" t="s">
        <v>1020</v>
      </c>
      <c r="C25" s="2" t="s">
        <v>3320</v>
      </c>
      <c r="D25" s="2" t="s">
        <v>3321</v>
      </c>
      <c r="E25" s="2" t="s">
        <v>65</v>
      </c>
      <c r="F25" s="2" t="s">
        <v>3387</v>
      </c>
      <c r="G25" s="2">
        <v>1080.7</v>
      </c>
      <c r="H25" s="2" t="s">
        <v>37</v>
      </c>
      <c r="I25" s="2" t="s">
        <v>3331</v>
      </c>
    </row>
    <row r="26" spans="1:9" x14ac:dyDescent="0.25">
      <c r="A26" s="2" t="s">
        <v>3388</v>
      </c>
      <c r="B26" s="2" t="s">
        <v>1030</v>
      </c>
      <c r="C26" s="2" t="s">
        <v>3341</v>
      </c>
      <c r="D26" s="2" t="s">
        <v>3342</v>
      </c>
      <c r="E26" s="2" t="s">
        <v>3316</v>
      </c>
      <c r="F26" s="2" t="s">
        <v>3389</v>
      </c>
      <c r="G26" s="2">
        <v>48.5</v>
      </c>
      <c r="H26" s="2" t="s">
        <v>37</v>
      </c>
      <c r="I26" s="2" t="s">
        <v>3370</v>
      </c>
    </row>
    <row r="27" spans="1:9" x14ac:dyDescent="0.25">
      <c r="A27" s="2" t="s">
        <v>3390</v>
      </c>
      <c r="B27" s="2" t="s">
        <v>2802</v>
      </c>
      <c r="C27" s="2" t="s">
        <v>3325</v>
      </c>
      <c r="D27" s="2" t="s">
        <v>3326</v>
      </c>
      <c r="E27" s="2" t="s">
        <v>65</v>
      </c>
      <c r="F27" s="2" t="s">
        <v>3391</v>
      </c>
      <c r="G27" s="2">
        <v>153.65</v>
      </c>
      <c r="H27" s="2" t="s">
        <v>36</v>
      </c>
      <c r="I27" s="2" t="s">
        <v>3385</v>
      </c>
    </row>
    <row r="28" spans="1:9" x14ac:dyDescent="0.25">
      <c r="A28" s="2" t="s">
        <v>3392</v>
      </c>
      <c r="B28" s="2" t="s">
        <v>2852</v>
      </c>
      <c r="C28" s="2" t="s">
        <v>3320</v>
      </c>
      <c r="D28" s="2" t="s">
        <v>3321</v>
      </c>
      <c r="E28" s="2" t="s">
        <v>4</v>
      </c>
      <c r="F28" s="2" t="s">
        <v>3393</v>
      </c>
      <c r="G28" s="2">
        <v>3702.46</v>
      </c>
      <c r="H28" s="2" t="s">
        <v>36</v>
      </c>
      <c r="I28" s="2" t="s">
        <v>3385</v>
      </c>
    </row>
    <row r="29" spans="1:9" x14ac:dyDescent="0.25">
      <c r="A29" s="2" t="s">
        <v>3394</v>
      </c>
      <c r="B29" s="2" t="s">
        <v>1744</v>
      </c>
      <c r="C29" s="2" t="s">
        <v>3341</v>
      </c>
      <c r="D29" s="2" t="s">
        <v>3342</v>
      </c>
      <c r="E29" s="2" t="s">
        <v>91</v>
      </c>
      <c r="F29" s="2" t="s">
        <v>3395</v>
      </c>
      <c r="G29" s="2">
        <v>27.49</v>
      </c>
      <c r="H29" s="2" t="s">
        <v>36</v>
      </c>
      <c r="I29" s="2" t="s">
        <v>3328</v>
      </c>
    </row>
    <row r="30" spans="1:9" x14ac:dyDescent="0.25">
      <c r="A30" s="2" t="s">
        <v>3396</v>
      </c>
      <c r="B30" s="2" t="s">
        <v>2272</v>
      </c>
      <c r="C30" s="2" t="s">
        <v>3325</v>
      </c>
      <c r="D30" s="2" t="s">
        <v>3326</v>
      </c>
      <c r="E30" s="2" t="s">
        <v>4</v>
      </c>
      <c r="F30" s="2" t="s">
        <v>3397</v>
      </c>
      <c r="G30" s="2">
        <v>85.01</v>
      </c>
      <c r="H30" s="2" t="s">
        <v>37</v>
      </c>
      <c r="I30" s="2" t="s">
        <v>3385</v>
      </c>
    </row>
    <row r="31" spans="1:9" x14ac:dyDescent="0.25">
      <c r="A31" s="2" t="s">
        <v>3398</v>
      </c>
      <c r="B31" s="2" t="s">
        <v>2674</v>
      </c>
      <c r="C31" s="2" t="s">
        <v>3341</v>
      </c>
      <c r="D31" s="2" t="s">
        <v>3342</v>
      </c>
      <c r="E31" s="2" t="s">
        <v>91</v>
      </c>
      <c r="F31" s="2" t="s">
        <v>3399</v>
      </c>
      <c r="G31" s="2">
        <v>186.62</v>
      </c>
      <c r="H31" s="2" t="s">
        <v>36</v>
      </c>
      <c r="I31" s="2" t="s">
        <v>3318</v>
      </c>
    </row>
    <row r="32" spans="1:9" x14ac:dyDescent="0.25">
      <c r="A32" s="2" t="s">
        <v>3400</v>
      </c>
      <c r="B32" s="2" t="s">
        <v>2906</v>
      </c>
      <c r="C32" s="2" t="s">
        <v>3325</v>
      </c>
      <c r="D32" s="2" t="s">
        <v>3326</v>
      </c>
      <c r="E32" s="2" t="s">
        <v>3338</v>
      </c>
      <c r="F32" s="2" t="s">
        <v>3401</v>
      </c>
      <c r="G32" s="2">
        <v>50.51</v>
      </c>
      <c r="H32" s="2" t="s">
        <v>36</v>
      </c>
      <c r="I32" s="2" t="s">
        <v>3328</v>
      </c>
    </row>
    <row r="33" spans="1:9" x14ac:dyDescent="0.25">
      <c r="A33" s="2" t="s">
        <v>3402</v>
      </c>
      <c r="B33" s="2" t="s">
        <v>256</v>
      </c>
      <c r="C33" s="2" t="s">
        <v>3403</v>
      </c>
      <c r="D33" s="2" t="s">
        <v>3404</v>
      </c>
      <c r="E33" s="2" t="s">
        <v>4</v>
      </c>
      <c r="F33" s="2" t="s">
        <v>3405</v>
      </c>
      <c r="G33" s="2">
        <v>979.64</v>
      </c>
      <c r="H33" s="2" t="s">
        <v>37</v>
      </c>
      <c r="I33" s="2" t="s">
        <v>3334</v>
      </c>
    </row>
    <row r="34" spans="1:9" x14ac:dyDescent="0.25">
      <c r="A34" s="2" t="s">
        <v>3406</v>
      </c>
      <c r="B34" s="2" t="s">
        <v>2263</v>
      </c>
      <c r="C34" s="2" t="s">
        <v>3367</v>
      </c>
      <c r="D34" s="2" t="s">
        <v>3368</v>
      </c>
      <c r="E34" s="2" t="s">
        <v>65</v>
      </c>
      <c r="F34" s="2" t="s">
        <v>3407</v>
      </c>
      <c r="G34" s="2">
        <v>30.12</v>
      </c>
      <c r="H34" s="2" t="s">
        <v>36</v>
      </c>
      <c r="I34" s="2" t="s">
        <v>3331</v>
      </c>
    </row>
    <row r="35" spans="1:9" x14ac:dyDescent="0.25">
      <c r="A35" s="2" t="s">
        <v>3408</v>
      </c>
      <c r="B35" s="2" t="s">
        <v>680</v>
      </c>
      <c r="C35" s="2" t="s">
        <v>3409</v>
      </c>
      <c r="D35" s="2" t="s">
        <v>3326</v>
      </c>
      <c r="E35" s="2" t="s">
        <v>65</v>
      </c>
      <c r="F35" s="2" t="s">
        <v>3410</v>
      </c>
      <c r="G35" s="2">
        <v>6.88</v>
      </c>
      <c r="H35" s="2" t="s">
        <v>37</v>
      </c>
      <c r="I35" s="2" t="s">
        <v>3323</v>
      </c>
    </row>
    <row r="36" spans="1:9" x14ac:dyDescent="0.25">
      <c r="A36" s="2" t="s">
        <v>3411</v>
      </c>
      <c r="B36" s="2" t="s">
        <v>746</v>
      </c>
      <c r="C36" s="2" t="s">
        <v>3341</v>
      </c>
      <c r="D36" s="2" t="s">
        <v>3342</v>
      </c>
      <c r="E36" s="2" t="s">
        <v>4</v>
      </c>
      <c r="F36" s="2" t="s">
        <v>3412</v>
      </c>
      <c r="G36" s="2">
        <v>212.03</v>
      </c>
      <c r="H36" s="2" t="s">
        <v>36</v>
      </c>
      <c r="I36" s="2" t="s">
        <v>3331</v>
      </c>
    </row>
    <row r="37" spans="1:9" x14ac:dyDescent="0.25">
      <c r="A37" s="2" t="s">
        <v>3413</v>
      </c>
      <c r="B37" s="2" t="s">
        <v>2278</v>
      </c>
      <c r="C37" s="2" t="s">
        <v>3341</v>
      </c>
      <c r="D37" s="2" t="s">
        <v>3342</v>
      </c>
      <c r="E37" s="2" t="s">
        <v>4</v>
      </c>
      <c r="F37" s="2" t="s">
        <v>3414</v>
      </c>
      <c r="G37" s="2">
        <v>1097.68</v>
      </c>
      <c r="H37" s="2" t="s">
        <v>36</v>
      </c>
      <c r="I37" s="2" t="s">
        <v>3365</v>
      </c>
    </row>
    <row r="38" spans="1:9" x14ac:dyDescent="0.25">
      <c r="A38" s="2" t="s">
        <v>3415</v>
      </c>
      <c r="B38" s="2" t="s">
        <v>2159</v>
      </c>
      <c r="C38" s="2" t="s">
        <v>3325</v>
      </c>
      <c r="D38" s="2" t="s">
        <v>3326</v>
      </c>
      <c r="E38" s="2" t="s">
        <v>65</v>
      </c>
      <c r="F38" s="2" t="s">
        <v>3416</v>
      </c>
      <c r="G38" s="2">
        <v>39.479999999999997</v>
      </c>
      <c r="H38" s="2" t="s">
        <v>36</v>
      </c>
      <c r="I38" s="2" t="s">
        <v>3385</v>
      </c>
    </row>
    <row r="39" spans="1:9" x14ac:dyDescent="0.25">
      <c r="A39" s="2" t="s">
        <v>3417</v>
      </c>
      <c r="B39" s="2" t="s">
        <v>2764</v>
      </c>
      <c r="C39" s="2" t="s">
        <v>3354</v>
      </c>
      <c r="D39" s="2" t="s">
        <v>3355</v>
      </c>
      <c r="E39" s="2" t="s">
        <v>65</v>
      </c>
      <c r="F39" s="2" t="s">
        <v>3356</v>
      </c>
      <c r="G39" s="2">
        <v>80.83</v>
      </c>
      <c r="H39" s="2" t="s">
        <v>36</v>
      </c>
      <c r="I39" s="2" t="s">
        <v>3365</v>
      </c>
    </row>
    <row r="40" spans="1:9" x14ac:dyDescent="0.25">
      <c r="A40" s="2" t="s">
        <v>3418</v>
      </c>
      <c r="B40" s="2" t="s">
        <v>553</v>
      </c>
      <c r="C40" s="2" t="s">
        <v>3314</v>
      </c>
      <c r="D40" s="2" t="s">
        <v>3315</v>
      </c>
      <c r="E40" s="2" t="s">
        <v>33</v>
      </c>
      <c r="F40" s="2" t="s">
        <v>3419</v>
      </c>
      <c r="G40" s="2">
        <v>11.66</v>
      </c>
      <c r="H40" s="2" t="s">
        <v>36</v>
      </c>
      <c r="I40" s="2" t="s">
        <v>3323</v>
      </c>
    </row>
    <row r="41" spans="1:9" x14ac:dyDescent="0.25">
      <c r="A41" s="2" t="s">
        <v>3420</v>
      </c>
      <c r="B41" s="2" t="s">
        <v>2163</v>
      </c>
      <c r="C41" s="2" t="s">
        <v>3403</v>
      </c>
      <c r="D41" s="2" t="s">
        <v>3404</v>
      </c>
      <c r="E41" s="2" t="s">
        <v>3316</v>
      </c>
      <c r="F41" s="2" t="s">
        <v>3421</v>
      </c>
      <c r="G41" s="2">
        <v>60.91</v>
      </c>
      <c r="H41" s="2" t="s">
        <v>37</v>
      </c>
      <c r="I41" s="2" t="s">
        <v>3385</v>
      </c>
    </row>
    <row r="42" spans="1:9" x14ac:dyDescent="0.25">
      <c r="A42" s="2" t="s">
        <v>3422</v>
      </c>
      <c r="B42" s="2" t="s">
        <v>458</v>
      </c>
      <c r="C42" s="2" t="s">
        <v>3325</v>
      </c>
      <c r="D42" s="2" t="s">
        <v>3326</v>
      </c>
      <c r="E42" s="2" t="s">
        <v>3316</v>
      </c>
      <c r="F42" s="2" t="s">
        <v>3423</v>
      </c>
      <c r="G42" s="2">
        <v>79.34</v>
      </c>
      <c r="H42" s="2" t="s">
        <v>36</v>
      </c>
      <c r="I42" s="2" t="s">
        <v>3334</v>
      </c>
    </row>
    <row r="43" spans="1:9" x14ac:dyDescent="0.25">
      <c r="A43" s="2" t="s">
        <v>3424</v>
      </c>
      <c r="B43" s="2" t="s">
        <v>119</v>
      </c>
      <c r="C43" s="2" t="s">
        <v>3354</v>
      </c>
      <c r="D43" s="2" t="s">
        <v>3355</v>
      </c>
      <c r="E43" s="2" t="s">
        <v>65</v>
      </c>
      <c r="F43" s="2" t="s">
        <v>3425</v>
      </c>
      <c r="G43" s="2">
        <v>48.2</v>
      </c>
      <c r="H43" s="2" t="s">
        <v>37</v>
      </c>
      <c r="I43" s="2" t="s">
        <v>3334</v>
      </c>
    </row>
    <row r="44" spans="1:9" x14ac:dyDescent="0.25">
      <c r="A44" s="2" t="s">
        <v>3426</v>
      </c>
      <c r="B44" s="2" t="s">
        <v>2309</v>
      </c>
      <c r="C44" s="2" t="s">
        <v>3427</v>
      </c>
      <c r="D44" s="2" t="s">
        <v>3428</v>
      </c>
      <c r="E44" s="2" t="s">
        <v>65</v>
      </c>
      <c r="F44" s="2" t="s">
        <v>3429</v>
      </c>
      <c r="G44" s="2">
        <v>23.22</v>
      </c>
      <c r="H44" s="2" t="s">
        <v>37</v>
      </c>
      <c r="I44" s="2" t="s">
        <v>3365</v>
      </c>
    </row>
    <row r="45" spans="1:9" x14ac:dyDescent="0.25">
      <c r="A45" s="2" t="s">
        <v>3430</v>
      </c>
      <c r="B45" s="2" t="s">
        <v>825</v>
      </c>
      <c r="C45" s="2" t="s">
        <v>3362</v>
      </c>
      <c r="D45" s="2" t="s">
        <v>3363</v>
      </c>
      <c r="E45" s="2" t="s">
        <v>65</v>
      </c>
      <c r="F45" s="2" t="s">
        <v>3431</v>
      </c>
      <c r="G45" s="2">
        <v>28.55</v>
      </c>
      <c r="H45" s="2" t="s">
        <v>36</v>
      </c>
      <c r="I45" s="2" t="s">
        <v>3365</v>
      </c>
    </row>
    <row r="46" spans="1:9" x14ac:dyDescent="0.25">
      <c r="A46" s="2" t="s">
        <v>3432</v>
      </c>
      <c r="B46" s="2" t="s">
        <v>2574</v>
      </c>
      <c r="C46" s="2" t="s">
        <v>3320</v>
      </c>
      <c r="D46" s="2" t="s">
        <v>3321</v>
      </c>
      <c r="E46" s="2" t="s">
        <v>65</v>
      </c>
      <c r="F46" s="2" t="s">
        <v>3433</v>
      </c>
      <c r="G46" s="2">
        <v>478.2</v>
      </c>
      <c r="H46" s="2" t="s">
        <v>36</v>
      </c>
      <c r="I46" s="2" t="s">
        <v>3365</v>
      </c>
    </row>
    <row r="47" spans="1:9" x14ac:dyDescent="0.25">
      <c r="A47" s="2" t="s">
        <v>3434</v>
      </c>
      <c r="B47" s="2" t="s">
        <v>740</v>
      </c>
      <c r="C47" s="2" t="s">
        <v>3325</v>
      </c>
      <c r="D47" s="2" t="s">
        <v>3326</v>
      </c>
      <c r="E47" s="2" t="s">
        <v>3316</v>
      </c>
      <c r="F47" s="2" t="s">
        <v>3435</v>
      </c>
      <c r="G47" s="2">
        <v>48.33</v>
      </c>
      <c r="H47" s="2" t="s">
        <v>37</v>
      </c>
      <c r="I47" s="2" t="s">
        <v>3334</v>
      </c>
    </row>
    <row r="48" spans="1:9" x14ac:dyDescent="0.25">
      <c r="A48" s="2" t="s">
        <v>3436</v>
      </c>
      <c r="B48" s="2" t="s">
        <v>908</v>
      </c>
      <c r="C48" s="2" t="s">
        <v>3341</v>
      </c>
      <c r="D48" s="2" t="s">
        <v>3342</v>
      </c>
      <c r="E48" s="2" t="s">
        <v>3316</v>
      </c>
      <c r="F48" s="2" t="s">
        <v>3437</v>
      </c>
      <c r="G48" s="2">
        <v>273.94</v>
      </c>
      <c r="H48" s="2" t="s">
        <v>37</v>
      </c>
      <c r="I48" s="2" t="s">
        <v>3370</v>
      </c>
    </row>
    <row r="49" spans="1:9" x14ac:dyDescent="0.25">
      <c r="A49" s="2" t="s">
        <v>3438</v>
      </c>
      <c r="B49" s="2" t="s">
        <v>1567</v>
      </c>
      <c r="C49" s="2" t="s">
        <v>3314</v>
      </c>
      <c r="D49" s="2" t="s">
        <v>3315</v>
      </c>
      <c r="E49" s="2" t="s">
        <v>3316</v>
      </c>
      <c r="F49" s="2" t="s">
        <v>3439</v>
      </c>
      <c r="G49" s="2">
        <v>46.97</v>
      </c>
      <c r="H49" s="2" t="s">
        <v>37</v>
      </c>
      <c r="I49" s="2" t="s">
        <v>3365</v>
      </c>
    </row>
    <row r="50" spans="1:9" x14ac:dyDescent="0.25">
      <c r="A50" s="2" t="s">
        <v>3440</v>
      </c>
      <c r="B50" s="2" t="s">
        <v>1316</v>
      </c>
      <c r="C50" s="2" t="s">
        <v>3325</v>
      </c>
      <c r="D50" s="2" t="s">
        <v>3326</v>
      </c>
      <c r="E50" s="2" t="s">
        <v>65</v>
      </c>
      <c r="F50" s="2" t="s">
        <v>3441</v>
      </c>
      <c r="G50" s="2">
        <v>48.92</v>
      </c>
      <c r="H50" s="2" t="s">
        <v>36</v>
      </c>
      <c r="I50" s="2" t="s">
        <v>3365</v>
      </c>
    </row>
    <row r="51" spans="1:9" x14ac:dyDescent="0.25">
      <c r="A51" s="2" t="s">
        <v>3442</v>
      </c>
      <c r="B51" s="2" t="s">
        <v>927</v>
      </c>
      <c r="C51" s="2" t="s">
        <v>3336</v>
      </c>
      <c r="D51" s="2" t="s">
        <v>3337</v>
      </c>
      <c r="E51" s="2" t="s">
        <v>65</v>
      </c>
      <c r="F51" s="2" t="s">
        <v>3443</v>
      </c>
      <c r="G51" s="2">
        <v>4744.6000000000004</v>
      </c>
      <c r="H51" s="2" t="s">
        <v>37</v>
      </c>
      <c r="I51" s="2" t="s">
        <v>3385</v>
      </c>
    </row>
    <row r="52" spans="1:9" x14ac:dyDescent="0.25">
      <c r="A52" s="2" t="s">
        <v>3444</v>
      </c>
      <c r="B52" s="2" t="s">
        <v>2176</v>
      </c>
      <c r="C52" s="2" t="s">
        <v>3314</v>
      </c>
      <c r="D52" s="2" t="s">
        <v>3315</v>
      </c>
      <c r="E52" s="2" t="s">
        <v>65</v>
      </c>
      <c r="F52" s="2" t="s">
        <v>3445</v>
      </c>
      <c r="G52" s="2">
        <v>16.64</v>
      </c>
      <c r="H52" s="2" t="s">
        <v>36</v>
      </c>
      <c r="I52" s="2" t="s">
        <v>3370</v>
      </c>
    </row>
    <row r="53" spans="1:9" x14ac:dyDescent="0.25">
      <c r="A53" s="2" t="s">
        <v>3446</v>
      </c>
      <c r="B53" s="2" t="s">
        <v>1637</v>
      </c>
      <c r="C53" s="2" t="s">
        <v>3336</v>
      </c>
      <c r="D53" s="2" t="s">
        <v>3337</v>
      </c>
      <c r="E53" s="2" t="s">
        <v>3338</v>
      </c>
      <c r="F53" s="2" t="s">
        <v>3447</v>
      </c>
      <c r="G53" s="2">
        <v>46.05</v>
      </c>
      <c r="H53" s="2" t="s">
        <v>37</v>
      </c>
      <c r="I53" s="2" t="s">
        <v>3365</v>
      </c>
    </row>
    <row r="54" spans="1:9" x14ac:dyDescent="0.25">
      <c r="A54" s="2" t="s">
        <v>3448</v>
      </c>
      <c r="B54" s="2" t="s">
        <v>2550</v>
      </c>
      <c r="C54" s="2" t="s">
        <v>3403</v>
      </c>
      <c r="D54" s="2" t="s">
        <v>3404</v>
      </c>
      <c r="E54" s="2" t="s">
        <v>65</v>
      </c>
      <c r="F54" s="2" t="s">
        <v>3449</v>
      </c>
      <c r="G54" s="2">
        <v>10.63</v>
      </c>
      <c r="H54" s="2" t="s">
        <v>37</v>
      </c>
      <c r="I54" s="2" t="s">
        <v>3323</v>
      </c>
    </row>
    <row r="55" spans="1:9" x14ac:dyDescent="0.25">
      <c r="A55" s="2" t="s">
        <v>3450</v>
      </c>
      <c r="B55" s="2" t="s">
        <v>1274</v>
      </c>
      <c r="C55" s="2" t="s">
        <v>3325</v>
      </c>
      <c r="D55" s="2" t="s">
        <v>3326</v>
      </c>
      <c r="E55" s="2" t="s">
        <v>4</v>
      </c>
      <c r="F55" s="2" t="s">
        <v>3451</v>
      </c>
      <c r="G55" s="2">
        <v>322.75</v>
      </c>
      <c r="H55" s="2" t="s">
        <v>37</v>
      </c>
      <c r="I55" s="2" t="s">
        <v>3385</v>
      </c>
    </row>
    <row r="56" spans="1:9" x14ac:dyDescent="0.25">
      <c r="A56" s="2" t="s">
        <v>3452</v>
      </c>
      <c r="B56" s="2" t="s">
        <v>2112</v>
      </c>
      <c r="C56" s="2" t="s">
        <v>3320</v>
      </c>
      <c r="D56" s="2" t="s">
        <v>3321</v>
      </c>
      <c r="E56" s="2" t="s">
        <v>4</v>
      </c>
      <c r="F56" s="2" t="s">
        <v>3453</v>
      </c>
      <c r="G56" s="2">
        <v>241.31</v>
      </c>
      <c r="H56" s="2" t="s">
        <v>36</v>
      </c>
      <c r="I56" s="2" t="s">
        <v>3331</v>
      </c>
    </row>
    <row r="57" spans="1:9" x14ac:dyDescent="0.25">
      <c r="A57" s="2" t="s">
        <v>3454</v>
      </c>
      <c r="B57" s="2" t="s">
        <v>1688</v>
      </c>
      <c r="C57" s="2" t="s">
        <v>3320</v>
      </c>
      <c r="D57" s="2" t="s">
        <v>3321</v>
      </c>
      <c r="E57" s="2" t="s">
        <v>4</v>
      </c>
      <c r="F57" s="2" t="s">
        <v>3455</v>
      </c>
      <c r="G57" s="2">
        <v>57.48</v>
      </c>
      <c r="H57" s="2" t="s">
        <v>36</v>
      </c>
      <c r="I57" s="2" t="s">
        <v>3331</v>
      </c>
    </row>
    <row r="58" spans="1:9" x14ac:dyDescent="0.25">
      <c r="A58" s="2" t="s">
        <v>3456</v>
      </c>
      <c r="B58" s="2" t="s">
        <v>3009</v>
      </c>
      <c r="C58" s="2" t="s">
        <v>3427</v>
      </c>
      <c r="D58" s="2" t="s">
        <v>3428</v>
      </c>
      <c r="E58" s="2" t="s">
        <v>4</v>
      </c>
      <c r="F58" s="2" t="s">
        <v>3429</v>
      </c>
      <c r="G58" s="2">
        <v>92.35</v>
      </c>
      <c r="H58" s="2" t="s">
        <v>36</v>
      </c>
      <c r="I58" s="2" t="s">
        <v>3334</v>
      </c>
    </row>
    <row r="59" spans="1:9" x14ac:dyDescent="0.25">
      <c r="A59" s="2" t="s">
        <v>3457</v>
      </c>
      <c r="B59" s="2" t="s">
        <v>3003</v>
      </c>
      <c r="C59" s="2" t="s">
        <v>3341</v>
      </c>
      <c r="D59" s="2" t="s">
        <v>3342</v>
      </c>
      <c r="E59" s="2" t="s">
        <v>3458</v>
      </c>
      <c r="F59" s="2" t="s">
        <v>3459</v>
      </c>
      <c r="G59" s="2">
        <v>278.52</v>
      </c>
      <c r="H59" s="2" t="s">
        <v>37</v>
      </c>
      <c r="I59" s="2" t="s">
        <v>3331</v>
      </c>
    </row>
    <row r="60" spans="1:9" x14ac:dyDescent="0.25">
      <c r="A60" s="2" t="s">
        <v>3460</v>
      </c>
      <c r="B60" s="2" t="s">
        <v>330</v>
      </c>
      <c r="C60" s="2" t="s">
        <v>3354</v>
      </c>
      <c r="D60" s="2" t="s">
        <v>3355</v>
      </c>
      <c r="E60" s="2" t="s">
        <v>65</v>
      </c>
      <c r="F60" s="2" t="s">
        <v>3425</v>
      </c>
      <c r="G60" s="2">
        <v>38.14</v>
      </c>
      <c r="H60" s="2" t="s">
        <v>36</v>
      </c>
      <c r="I60" s="2" t="s">
        <v>3334</v>
      </c>
    </row>
    <row r="61" spans="1:9" x14ac:dyDescent="0.25">
      <c r="A61" s="2" t="s">
        <v>3461</v>
      </c>
      <c r="B61" s="2" t="s">
        <v>3077</v>
      </c>
      <c r="C61" s="2" t="s">
        <v>3320</v>
      </c>
      <c r="D61" s="2" t="s">
        <v>3321</v>
      </c>
      <c r="E61" s="2" t="s">
        <v>4</v>
      </c>
      <c r="F61" s="2" t="s">
        <v>3462</v>
      </c>
      <c r="G61" s="2">
        <v>158.62</v>
      </c>
      <c r="H61" s="2" t="s">
        <v>37</v>
      </c>
      <c r="I61" s="2" t="s">
        <v>3370</v>
      </c>
    </row>
    <row r="62" spans="1:9" x14ac:dyDescent="0.25">
      <c r="A62" s="2" t="s">
        <v>3463</v>
      </c>
      <c r="B62" s="2" t="s">
        <v>272</v>
      </c>
      <c r="C62" s="2" t="s">
        <v>3367</v>
      </c>
      <c r="D62" s="2" t="s">
        <v>3368</v>
      </c>
      <c r="E62" s="2" t="s">
        <v>65</v>
      </c>
      <c r="F62" s="2" t="s">
        <v>3464</v>
      </c>
      <c r="G62" s="2">
        <v>18.809999999999999</v>
      </c>
      <c r="H62" s="2" t="s">
        <v>36</v>
      </c>
      <c r="I62" s="2" t="s">
        <v>3328</v>
      </c>
    </row>
    <row r="63" spans="1:9" x14ac:dyDescent="0.25">
      <c r="A63" s="2" t="s">
        <v>3465</v>
      </c>
      <c r="B63" s="2" t="s">
        <v>1059</v>
      </c>
      <c r="C63" s="2" t="s">
        <v>3427</v>
      </c>
      <c r="D63" s="2" t="s">
        <v>3428</v>
      </c>
      <c r="E63" s="2" t="s">
        <v>65</v>
      </c>
      <c r="F63" s="2" t="s">
        <v>3429</v>
      </c>
      <c r="G63" s="2">
        <v>324.07</v>
      </c>
      <c r="H63" s="2" t="s">
        <v>36</v>
      </c>
      <c r="I63" s="2" t="s">
        <v>3370</v>
      </c>
    </row>
    <row r="64" spans="1:9" x14ac:dyDescent="0.25">
      <c r="A64" s="2" t="s">
        <v>3466</v>
      </c>
      <c r="B64" s="2" t="s">
        <v>688</v>
      </c>
      <c r="C64" s="2" t="s">
        <v>3320</v>
      </c>
      <c r="D64" s="2" t="s">
        <v>3321</v>
      </c>
      <c r="E64" s="2" t="s">
        <v>65</v>
      </c>
      <c r="F64" s="2" t="s">
        <v>3467</v>
      </c>
      <c r="G64" s="2">
        <v>40.270000000000003</v>
      </c>
      <c r="H64" s="2" t="s">
        <v>36</v>
      </c>
      <c r="I64" s="2" t="s">
        <v>3370</v>
      </c>
    </row>
    <row r="65" spans="1:9" x14ac:dyDescent="0.25">
      <c r="A65" s="2" t="s">
        <v>3468</v>
      </c>
      <c r="B65" s="2" t="s">
        <v>2393</v>
      </c>
      <c r="C65" s="2" t="s">
        <v>3314</v>
      </c>
      <c r="D65" s="2" t="s">
        <v>3315</v>
      </c>
      <c r="E65" s="2" t="s">
        <v>3316</v>
      </c>
      <c r="F65" s="2" t="s">
        <v>3469</v>
      </c>
      <c r="G65" s="2">
        <v>36.9</v>
      </c>
      <c r="H65" s="2" t="s">
        <v>36</v>
      </c>
      <c r="I65" s="2" t="s">
        <v>3334</v>
      </c>
    </row>
    <row r="66" spans="1:9" x14ac:dyDescent="0.25">
      <c r="A66" s="2" t="s">
        <v>3470</v>
      </c>
      <c r="B66" s="2" t="s">
        <v>1405</v>
      </c>
      <c r="C66" s="2" t="s">
        <v>3427</v>
      </c>
      <c r="D66" s="2" t="s">
        <v>3428</v>
      </c>
      <c r="E66" s="2" t="s">
        <v>65</v>
      </c>
      <c r="F66" s="2" t="s">
        <v>3471</v>
      </c>
      <c r="G66" s="2">
        <v>98.95</v>
      </c>
      <c r="H66" s="2" t="s">
        <v>36</v>
      </c>
      <c r="I66" s="2" t="s">
        <v>3323</v>
      </c>
    </row>
    <row r="67" spans="1:9" x14ac:dyDescent="0.25">
      <c r="A67" s="2" t="s">
        <v>3472</v>
      </c>
      <c r="B67" s="2" t="s">
        <v>1808</v>
      </c>
      <c r="C67" s="2" t="s">
        <v>3336</v>
      </c>
      <c r="D67" s="2" t="s">
        <v>3337</v>
      </c>
      <c r="E67" s="2" t="s">
        <v>3338</v>
      </c>
      <c r="F67" s="2" t="s">
        <v>3473</v>
      </c>
      <c r="G67" s="2">
        <v>60.74</v>
      </c>
      <c r="H67" s="2" t="s">
        <v>36</v>
      </c>
      <c r="I67" s="2" t="s">
        <v>3331</v>
      </c>
    </row>
    <row r="68" spans="1:9" x14ac:dyDescent="0.25">
      <c r="A68" s="2" t="s">
        <v>3474</v>
      </c>
      <c r="B68" s="2" t="s">
        <v>2439</v>
      </c>
      <c r="C68" s="2" t="s">
        <v>3427</v>
      </c>
      <c r="D68" s="2" t="s">
        <v>3428</v>
      </c>
      <c r="E68" s="2" t="s">
        <v>4</v>
      </c>
      <c r="F68" s="2" t="s">
        <v>3471</v>
      </c>
      <c r="G68" s="2">
        <v>166.94</v>
      </c>
      <c r="H68" s="2" t="s">
        <v>37</v>
      </c>
      <c r="I68" s="2" t="s">
        <v>3331</v>
      </c>
    </row>
    <row r="69" spans="1:9" x14ac:dyDescent="0.25">
      <c r="A69" s="2" t="s">
        <v>3475</v>
      </c>
      <c r="B69" s="2" t="s">
        <v>2106</v>
      </c>
      <c r="C69" s="2" t="s">
        <v>3320</v>
      </c>
      <c r="D69" s="2" t="s">
        <v>3321</v>
      </c>
      <c r="E69" s="2" t="s">
        <v>4</v>
      </c>
      <c r="F69" s="2" t="s">
        <v>3476</v>
      </c>
      <c r="G69" s="2">
        <v>149.34</v>
      </c>
      <c r="H69" s="2" t="s">
        <v>37</v>
      </c>
      <c r="I69" s="2" t="s">
        <v>3328</v>
      </c>
    </row>
    <row r="70" spans="1:9" x14ac:dyDescent="0.25">
      <c r="A70" s="2" t="s">
        <v>3477</v>
      </c>
      <c r="B70" s="2" t="s">
        <v>2519</v>
      </c>
      <c r="C70" s="2" t="s">
        <v>3427</v>
      </c>
      <c r="D70" s="2" t="s">
        <v>3428</v>
      </c>
      <c r="E70" s="2" t="s">
        <v>4</v>
      </c>
      <c r="F70" s="2" t="s">
        <v>3478</v>
      </c>
      <c r="G70" s="2">
        <v>33.380000000000003</v>
      </c>
      <c r="H70" s="2" t="s">
        <v>37</v>
      </c>
      <c r="I70" s="2" t="s">
        <v>3334</v>
      </c>
    </row>
    <row r="71" spans="1:9" x14ac:dyDescent="0.25">
      <c r="A71" s="2" t="s">
        <v>3479</v>
      </c>
      <c r="B71" s="2" t="s">
        <v>541</v>
      </c>
      <c r="C71" s="2" t="s">
        <v>3314</v>
      </c>
      <c r="D71" s="2" t="s">
        <v>3315</v>
      </c>
      <c r="E71" s="2" t="s">
        <v>3480</v>
      </c>
      <c r="F71" s="2" t="s">
        <v>3481</v>
      </c>
      <c r="G71" s="2">
        <v>18.84</v>
      </c>
      <c r="H71" s="2" t="s">
        <v>36</v>
      </c>
      <c r="I71" s="2" t="s">
        <v>3334</v>
      </c>
    </row>
    <row r="72" spans="1:9" x14ac:dyDescent="0.25">
      <c r="A72" s="2" t="s">
        <v>3482</v>
      </c>
      <c r="B72" s="2" t="s">
        <v>1405</v>
      </c>
      <c r="C72" s="2" t="s">
        <v>3336</v>
      </c>
      <c r="D72" s="2" t="s">
        <v>3337</v>
      </c>
      <c r="E72" s="2" t="s">
        <v>4</v>
      </c>
      <c r="F72" s="2" t="s">
        <v>3483</v>
      </c>
      <c r="G72" s="2">
        <v>181.16</v>
      </c>
      <c r="H72" s="2" t="s">
        <v>37</v>
      </c>
      <c r="I72" s="2" t="s">
        <v>3370</v>
      </c>
    </row>
    <row r="73" spans="1:9" x14ac:dyDescent="0.25">
      <c r="A73" s="2" t="s">
        <v>3484</v>
      </c>
      <c r="B73" s="2" t="s">
        <v>1921</v>
      </c>
      <c r="C73" s="2" t="s">
        <v>3367</v>
      </c>
      <c r="D73" s="2" t="s">
        <v>3368</v>
      </c>
      <c r="E73" s="2" t="s">
        <v>65</v>
      </c>
      <c r="F73" s="2" t="s">
        <v>3485</v>
      </c>
      <c r="G73" s="2">
        <v>274.42</v>
      </c>
      <c r="H73" s="2" t="s">
        <v>36</v>
      </c>
      <c r="I73" s="2" t="s">
        <v>3370</v>
      </c>
    </row>
    <row r="74" spans="1:9" x14ac:dyDescent="0.25">
      <c r="A74" s="2" t="s">
        <v>3486</v>
      </c>
      <c r="B74" s="2" t="s">
        <v>2580</v>
      </c>
      <c r="C74" s="2" t="s">
        <v>3487</v>
      </c>
      <c r="D74" s="2" t="s">
        <v>3368</v>
      </c>
      <c r="E74" s="2" t="s">
        <v>4</v>
      </c>
      <c r="F74" s="2" t="s">
        <v>3488</v>
      </c>
      <c r="G74" s="2">
        <v>40.35</v>
      </c>
      <c r="H74" s="2" t="s">
        <v>37</v>
      </c>
      <c r="I74" s="2" t="s">
        <v>3318</v>
      </c>
    </row>
    <row r="75" spans="1:9" x14ac:dyDescent="0.25">
      <c r="A75" s="2" t="s">
        <v>3489</v>
      </c>
      <c r="B75" s="2" t="s">
        <v>1180</v>
      </c>
      <c r="C75" s="2" t="s">
        <v>3314</v>
      </c>
      <c r="D75" s="2" t="s">
        <v>3315</v>
      </c>
      <c r="E75" s="2" t="s">
        <v>65</v>
      </c>
      <c r="F75" s="2" t="s">
        <v>3490</v>
      </c>
      <c r="G75" s="2">
        <v>4179.5</v>
      </c>
      <c r="H75" s="2" t="s">
        <v>36</v>
      </c>
      <c r="I75" s="2" t="s">
        <v>3328</v>
      </c>
    </row>
    <row r="76" spans="1:9" x14ac:dyDescent="0.25">
      <c r="A76" s="2" t="s">
        <v>3491</v>
      </c>
      <c r="B76" s="2" t="s">
        <v>3254</v>
      </c>
      <c r="C76" s="2" t="s">
        <v>3336</v>
      </c>
      <c r="D76" s="2" t="s">
        <v>3337</v>
      </c>
      <c r="E76" s="2" t="s">
        <v>3338</v>
      </c>
      <c r="F76" s="2" t="s">
        <v>3492</v>
      </c>
      <c r="G76" s="2">
        <v>38.06</v>
      </c>
      <c r="H76" s="2" t="s">
        <v>37</v>
      </c>
      <c r="I76" s="2" t="s">
        <v>3334</v>
      </c>
    </row>
    <row r="77" spans="1:9" x14ac:dyDescent="0.25">
      <c r="A77" s="2" t="s">
        <v>3493</v>
      </c>
      <c r="B77" s="2" t="s">
        <v>2657</v>
      </c>
      <c r="C77" s="2" t="s">
        <v>3362</v>
      </c>
      <c r="D77" s="2" t="s">
        <v>3363</v>
      </c>
      <c r="E77" s="2" t="s">
        <v>65</v>
      </c>
      <c r="F77" s="2" t="s">
        <v>3494</v>
      </c>
      <c r="G77" s="2">
        <v>49.08</v>
      </c>
      <c r="H77" s="2" t="s">
        <v>36</v>
      </c>
      <c r="I77" s="2" t="s">
        <v>3365</v>
      </c>
    </row>
    <row r="78" spans="1:9" x14ac:dyDescent="0.25">
      <c r="A78" s="2" t="s">
        <v>3495</v>
      </c>
      <c r="B78" s="2" t="s">
        <v>1613</v>
      </c>
      <c r="C78" s="2" t="s">
        <v>3320</v>
      </c>
      <c r="D78" s="2" t="s">
        <v>3321</v>
      </c>
      <c r="E78" s="2" t="s">
        <v>4</v>
      </c>
      <c r="F78" s="2" t="s">
        <v>3496</v>
      </c>
      <c r="G78" s="2">
        <v>33.909999999999997</v>
      </c>
      <c r="H78" s="2" t="s">
        <v>36</v>
      </c>
      <c r="I78" s="2" t="s">
        <v>3328</v>
      </c>
    </row>
    <row r="79" spans="1:9" x14ac:dyDescent="0.25">
      <c r="A79" s="2" t="s">
        <v>3497</v>
      </c>
      <c r="B79" s="2" t="s">
        <v>1135</v>
      </c>
      <c r="C79" s="2" t="s">
        <v>3325</v>
      </c>
      <c r="D79" s="2" t="s">
        <v>3326</v>
      </c>
      <c r="E79" s="2" t="s">
        <v>4</v>
      </c>
      <c r="F79" s="2" t="s">
        <v>3498</v>
      </c>
      <c r="G79" s="2">
        <v>78.27</v>
      </c>
      <c r="H79" s="2" t="s">
        <v>36</v>
      </c>
      <c r="I79" s="2" t="s">
        <v>3370</v>
      </c>
    </row>
    <row r="80" spans="1:9" x14ac:dyDescent="0.25">
      <c r="A80" s="2" t="s">
        <v>3499</v>
      </c>
      <c r="B80" s="2" t="s">
        <v>412</v>
      </c>
      <c r="C80" s="2" t="s">
        <v>3341</v>
      </c>
      <c r="D80" s="2" t="s">
        <v>3342</v>
      </c>
      <c r="E80" s="2" t="s">
        <v>3316</v>
      </c>
      <c r="F80" s="2" t="s">
        <v>3500</v>
      </c>
      <c r="G80" s="2">
        <v>143.80000000000001</v>
      </c>
      <c r="H80" s="2" t="s">
        <v>36</v>
      </c>
      <c r="I80" s="2" t="s">
        <v>3318</v>
      </c>
    </row>
    <row r="81" spans="1:9" x14ac:dyDescent="0.25">
      <c r="A81" s="2" t="s">
        <v>3501</v>
      </c>
      <c r="B81" s="2" t="s">
        <v>613</v>
      </c>
      <c r="C81" s="2" t="s">
        <v>3427</v>
      </c>
      <c r="D81" s="2" t="s">
        <v>3428</v>
      </c>
      <c r="E81" s="2" t="s">
        <v>4</v>
      </c>
      <c r="F81" s="2" t="s">
        <v>3478</v>
      </c>
      <c r="G81" s="2">
        <v>34.19</v>
      </c>
      <c r="H81" s="2" t="s">
        <v>36</v>
      </c>
      <c r="I81" s="2" t="s">
        <v>3365</v>
      </c>
    </row>
    <row r="82" spans="1:9" x14ac:dyDescent="0.25">
      <c r="A82" s="2" t="s">
        <v>3502</v>
      </c>
      <c r="B82" s="2" t="s">
        <v>2870</v>
      </c>
      <c r="C82" s="2" t="s">
        <v>3427</v>
      </c>
      <c r="D82" s="2" t="s">
        <v>3428</v>
      </c>
      <c r="E82" s="2" t="s">
        <v>65</v>
      </c>
      <c r="F82" s="2" t="s">
        <v>3471</v>
      </c>
      <c r="G82" s="2">
        <v>93.77</v>
      </c>
      <c r="H82" s="2" t="s">
        <v>36</v>
      </c>
      <c r="I82" s="2" t="s">
        <v>3323</v>
      </c>
    </row>
    <row r="83" spans="1:9" x14ac:dyDescent="0.25">
      <c r="A83" s="2" t="s">
        <v>3503</v>
      </c>
      <c r="B83" s="2" t="s">
        <v>2609</v>
      </c>
      <c r="C83" s="2" t="s">
        <v>3336</v>
      </c>
      <c r="D83" s="2" t="s">
        <v>3337</v>
      </c>
      <c r="E83" s="2" t="s">
        <v>65</v>
      </c>
      <c r="F83" s="2" t="s">
        <v>3504</v>
      </c>
      <c r="G83" s="2">
        <v>27.4</v>
      </c>
      <c r="H83" s="2" t="s">
        <v>36</v>
      </c>
      <c r="I83" s="2" t="s">
        <v>3318</v>
      </c>
    </row>
    <row r="84" spans="1:9" x14ac:dyDescent="0.25">
      <c r="A84" s="2" t="s">
        <v>3505</v>
      </c>
      <c r="B84" s="2" t="s">
        <v>2439</v>
      </c>
      <c r="C84" s="2" t="s">
        <v>3320</v>
      </c>
      <c r="D84" s="2" t="s">
        <v>3321</v>
      </c>
      <c r="E84" s="2" t="s">
        <v>4</v>
      </c>
      <c r="F84" s="2" t="s">
        <v>3506</v>
      </c>
      <c r="G84" s="2">
        <v>138.93</v>
      </c>
      <c r="H84" s="2" t="s">
        <v>36</v>
      </c>
      <c r="I84" s="2" t="s">
        <v>3370</v>
      </c>
    </row>
    <row r="85" spans="1:9" x14ac:dyDescent="0.25">
      <c r="A85" s="2" t="s">
        <v>3507</v>
      </c>
      <c r="B85" s="2" t="s">
        <v>212</v>
      </c>
      <c r="C85" s="2" t="s">
        <v>3367</v>
      </c>
      <c r="D85" s="2" t="s">
        <v>3368</v>
      </c>
      <c r="E85" s="2" t="s">
        <v>4</v>
      </c>
      <c r="F85" s="2" t="s">
        <v>3508</v>
      </c>
      <c r="G85" s="2">
        <v>21.69</v>
      </c>
      <c r="H85" s="2" t="s">
        <v>37</v>
      </c>
      <c r="I85" s="2" t="s">
        <v>3334</v>
      </c>
    </row>
    <row r="86" spans="1:9" x14ac:dyDescent="0.25">
      <c r="A86" s="2" t="s">
        <v>3509</v>
      </c>
      <c r="B86" s="2" t="s">
        <v>1872</v>
      </c>
      <c r="C86" s="2" t="s">
        <v>3341</v>
      </c>
      <c r="D86" s="2" t="s">
        <v>3342</v>
      </c>
      <c r="E86" s="2" t="s">
        <v>91</v>
      </c>
      <c r="F86" s="2" t="s">
        <v>3510</v>
      </c>
      <c r="G86" s="2">
        <v>507.16</v>
      </c>
      <c r="H86" s="2" t="s">
        <v>36</v>
      </c>
      <c r="I86" s="2" t="s">
        <v>3323</v>
      </c>
    </row>
    <row r="87" spans="1:9" x14ac:dyDescent="0.25">
      <c r="A87" s="2" t="s">
        <v>3511</v>
      </c>
      <c r="B87" s="2" t="s">
        <v>1567</v>
      </c>
      <c r="C87" s="2" t="s">
        <v>3341</v>
      </c>
      <c r="D87" s="2" t="s">
        <v>3342</v>
      </c>
      <c r="E87" s="2" t="s">
        <v>91</v>
      </c>
      <c r="F87" s="2" t="s">
        <v>3512</v>
      </c>
      <c r="G87" s="2">
        <v>78.72</v>
      </c>
      <c r="H87" s="2" t="s">
        <v>36</v>
      </c>
      <c r="I87" s="2" t="s">
        <v>3328</v>
      </c>
    </row>
    <row r="88" spans="1:9" x14ac:dyDescent="0.25">
      <c r="A88" s="2" t="s">
        <v>3513</v>
      </c>
      <c r="B88" s="2" t="s">
        <v>1280</v>
      </c>
      <c r="C88" s="2" t="s">
        <v>3320</v>
      </c>
      <c r="D88" s="2" t="s">
        <v>3321</v>
      </c>
      <c r="E88" s="2" t="s">
        <v>65</v>
      </c>
      <c r="F88" s="2" t="s">
        <v>3514</v>
      </c>
      <c r="G88" s="2">
        <v>41.64</v>
      </c>
      <c r="H88" s="2" t="s">
        <v>37</v>
      </c>
      <c r="I88" s="2" t="s">
        <v>3328</v>
      </c>
    </row>
    <row r="89" spans="1:9" x14ac:dyDescent="0.25">
      <c r="A89" s="2" t="s">
        <v>3515</v>
      </c>
      <c r="B89" s="2"/>
      <c r="C89" s="2" t="s">
        <v>3403</v>
      </c>
      <c r="D89" s="2" t="s">
        <v>3404</v>
      </c>
      <c r="E89" s="2" t="s">
        <v>65</v>
      </c>
      <c r="F89" s="2" t="s">
        <v>3516</v>
      </c>
      <c r="G89" s="2">
        <v>1776.69</v>
      </c>
      <c r="H89" s="2" t="s">
        <v>37</v>
      </c>
      <c r="I89" s="2" t="s">
        <v>3334</v>
      </c>
    </row>
    <row r="90" spans="1:9" x14ac:dyDescent="0.25">
      <c r="A90" s="2" t="s">
        <v>3517</v>
      </c>
      <c r="B90" s="2" t="s">
        <v>559</v>
      </c>
      <c r="C90" s="2" t="s">
        <v>3336</v>
      </c>
      <c r="D90" s="2" t="s">
        <v>3337</v>
      </c>
      <c r="E90" s="2" t="s">
        <v>4</v>
      </c>
      <c r="F90" s="2" t="s">
        <v>3518</v>
      </c>
      <c r="G90" s="2">
        <v>16.829999999999998</v>
      </c>
      <c r="H90" s="2" t="s">
        <v>36</v>
      </c>
      <c r="I90" s="2" t="s">
        <v>3328</v>
      </c>
    </row>
    <row r="91" spans="1:9" x14ac:dyDescent="0.25">
      <c r="A91" s="2" t="s">
        <v>3519</v>
      </c>
      <c r="B91" s="2" t="s">
        <v>3287</v>
      </c>
      <c r="C91" s="2" t="s">
        <v>3341</v>
      </c>
      <c r="D91" s="2" t="s">
        <v>3342</v>
      </c>
      <c r="E91" s="2" t="s">
        <v>3316</v>
      </c>
      <c r="F91" s="2" t="s">
        <v>3520</v>
      </c>
      <c r="G91" s="2">
        <v>111.64</v>
      </c>
      <c r="H91" s="2" t="s">
        <v>37</v>
      </c>
      <c r="I91" s="2" t="s">
        <v>3385</v>
      </c>
    </row>
    <row r="92" spans="1:9" x14ac:dyDescent="0.25">
      <c r="A92" s="2" t="s">
        <v>3521</v>
      </c>
      <c r="B92" s="2" t="s">
        <v>1173</v>
      </c>
      <c r="C92" s="2" t="s">
        <v>3354</v>
      </c>
      <c r="D92" s="2" t="s">
        <v>3355</v>
      </c>
      <c r="E92" s="2" t="s">
        <v>4</v>
      </c>
      <c r="F92" s="2" t="s">
        <v>3522</v>
      </c>
      <c r="G92" s="2">
        <v>30.69</v>
      </c>
      <c r="H92" s="2" t="s">
        <v>37</v>
      </c>
      <c r="I92" s="2" t="s">
        <v>3334</v>
      </c>
    </row>
    <row r="93" spans="1:9" x14ac:dyDescent="0.25">
      <c r="A93" s="2" t="s">
        <v>3523</v>
      </c>
      <c r="B93" s="2" t="s">
        <v>850</v>
      </c>
      <c r="C93" s="2" t="s">
        <v>3320</v>
      </c>
      <c r="D93" s="2" t="s">
        <v>3321</v>
      </c>
      <c r="E93" s="2" t="s">
        <v>65</v>
      </c>
      <c r="F93" s="2" t="s">
        <v>3524</v>
      </c>
      <c r="G93" s="2">
        <v>23.11</v>
      </c>
      <c r="H93" s="2" t="s">
        <v>36</v>
      </c>
      <c r="I93" s="2" t="s">
        <v>3328</v>
      </c>
    </row>
    <row r="94" spans="1:9" x14ac:dyDescent="0.25">
      <c r="A94" s="2" t="s">
        <v>3525</v>
      </c>
      <c r="B94" s="2" t="s">
        <v>2836</v>
      </c>
      <c r="C94" s="2" t="s">
        <v>3362</v>
      </c>
      <c r="D94" s="2" t="s">
        <v>3363</v>
      </c>
      <c r="E94" s="2" t="s">
        <v>65</v>
      </c>
      <c r="F94" s="2" t="s">
        <v>3526</v>
      </c>
      <c r="G94" s="2">
        <v>38.770000000000003</v>
      </c>
      <c r="H94" s="2" t="s">
        <v>36</v>
      </c>
      <c r="I94" s="2" t="s">
        <v>3331</v>
      </c>
    </row>
    <row r="95" spans="1:9" x14ac:dyDescent="0.25">
      <c r="A95" s="2" t="s">
        <v>3527</v>
      </c>
      <c r="B95" s="2" t="s">
        <v>3188</v>
      </c>
      <c r="C95" s="2" t="s">
        <v>3314</v>
      </c>
      <c r="D95" s="2" t="s">
        <v>3315</v>
      </c>
      <c r="E95" s="2" t="s">
        <v>65</v>
      </c>
      <c r="F95" s="2" t="s">
        <v>3528</v>
      </c>
      <c r="G95" s="2">
        <v>202.17</v>
      </c>
      <c r="H95" s="2" t="s">
        <v>36</v>
      </c>
      <c r="I95" s="2" t="s">
        <v>3331</v>
      </c>
    </row>
    <row r="96" spans="1:9" x14ac:dyDescent="0.25">
      <c r="A96" s="2" t="s">
        <v>3529</v>
      </c>
      <c r="B96" s="2" t="s">
        <v>2142</v>
      </c>
      <c r="C96" s="2" t="s">
        <v>3336</v>
      </c>
      <c r="D96" s="2" t="s">
        <v>3337</v>
      </c>
      <c r="E96" s="2" t="s">
        <v>3316</v>
      </c>
      <c r="F96" s="2" t="s">
        <v>3530</v>
      </c>
      <c r="G96" s="2">
        <v>40.090000000000003</v>
      </c>
      <c r="H96" s="2" t="s">
        <v>36</v>
      </c>
      <c r="I96" s="2" t="s">
        <v>3323</v>
      </c>
    </row>
    <row r="97" spans="1:9" x14ac:dyDescent="0.25">
      <c r="A97" s="2" t="s">
        <v>3531</v>
      </c>
      <c r="B97" s="2" t="s">
        <v>2981</v>
      </c>
      <c r="C97" s="2" t="s">
        <v>3320</v>
      </c>
      <c r="D97" s="2" t="s">
        <v>3321</v>
      </c>
      <c r="E97" s="2" t="s">
        <v>65</v>
      </c>
      <c r="F97" s="2" t="s">
        <v>3532</v>
      </c>
      <c r="G97" s="2">
        <v>84.17</v>
      </c>
      <c r="H97" s="2" t="s">
        <v>36</v>
      </c>
      <c r="I97" s="2" t="s">
        <v>3334</v>
      </c>
    </row>
    <row r="98" spans="1:9" x14ac:dyDescent="0.25">
      <c r="A98" s="2" t="s">
        <v>3533</v>
      </c>
      <c r="B98" s="2" t="s">
        <v>2627</v>
      </c>
      <c r="C98" s="2" t="s">
        <v>3320</v>
      </c>
      <c r="D98" s="2" t="s">
        <v>3321</v>
      </c>
      <c r="E98" s="2" t="s">
        <v>4</v>
      </c>
      <c r="F98" s="2" t="s">
        <v>3534</v>
      </c>
      <c r="G98" s="2">
        <v>34.840000000000003</v>
      </c>
      <c r="H98" s="2" t="s">
        <v>37</v>
      </c>
      <c r="I98" s="2" t="s">
        <v>3331</v>
      </c>
    </row>
    <row r="99" spans="1:9" x14ac:dyDescent="0.25">
      <c r="A99" s="2" t="s">
        <v>3535</v>
      </c>
      <c r="B99" s="2" t="s">
        <v>1329</v>
      </c>
      <c r="C99" s="2" t="s">
        <v>3367</v>
      </c>
      <c r="D99" s="2" t="s">
        <v>3368</v>
      </c>
      <c r="E99" s="2" t="s">
        <v>4</v>
      </c>
      <c r="F99" s="2" t="s">
        <v>3536</v>
      </c>
      <c r="G99" s="2">
        <v>22.21</v>
      </c>
      <c r="H99" s="2" t="s">
        <v>37</v>
      </c>
      <c r="I99" s="2" t="s">
        <v>3331</v>
      </c>
    </row>
    <row r="100" spans="1:9" x14ac:dyDescent="0.25">
      <c r="A100" s="2" t="s">
        <v>3537</v>
      </c>
      <c r="B100" s="2" t="s">
        <v>2469</v>
      </c>
      <c r="C100" s="2" t="s">
        <v>3341</v>
      </c>
      <c r="D100" s="2" t="s">
        <v>3342</v>
      </c>
      <c r="E100" s="2" t="s">
        <v>4</v>
      </c>
      <c r="F100" s="2" t="s">
        <v>3538</v>
      </c>
      <c r="G100" s="2">
        <v>218.38</v>
      </c>
      <c r="H100" s="2" t="s">
        <v>36</v>
      </c>
      <c r="I100" s="2" t="s">
        <v>3385</v>
      </c>
    </row>
    <row r="101" spans="1:9" x14ac:dyDescent="0.25">
      <c r="A101" s="2" t="s">
        <v>3539</v>
      </c>
      <c r="B101" s="2" t="s">
        <v>817</v>
      </c>
      <c r="C101" s="2" t="s">
        <v>3325</v>
      </c>
      <c r="D101" s="2" t="s">
        <v>3326</v>
      </c>
      <c r="E101" s="2" t="s">
        <v>4</v>
      </c>
      <c r="F101" s="2" t="s">
        <v>3540</v>
      </c>
      <c r="G101" s="2">
        <v>33.229999999999997</v>
      </c>
      <c r="H101" s="2" t="s">
        <v>37</v>
      </c>
      <c r="I101" s="2" t="s">
        <v>3334</v>
      </c>
    </row>
    <row r="102" spans="1:9" x14ac:dyDescent="0.25">
      <c r="A102" s="2" t="s">
        <v>3541</v>
      </c>
      <c r="B102" s="2" t="s">
        <v>831</v>
      </c>
      <c r="C102" s="2" t="s">
        <v>3354</v>
      </c>
      <c r="D102" s="2" t="s">
        <v>3355</v>
      </c>
      <c r="E102" s="2" t="s">
        <v>65</v>
      </c>
      <c r="F102" s="2" t="s">
        <v>3522</v>
      </c>
      <c r="G102" s="2">
        <v>1439.27</v>
      </c>
      <c r="H102" s="2" t="s">
        <v>37</v>
      </c>
      <c r="I102" s="2" t="s">
        <v>3385</v>
      </c>
    </row>
    <row r="103" spans="1:9" x14ac:dyDescent="0.25">
      <c r="A103" s="2" t="s">
        <v>3542</v>
      </c>
      <c r="B103" s="2" t="s">
        <v>81</v>
      </c>
      <c r="C103" s="2" t="s">
        <v>3325</v>
      </c>
      <c r="D103" s="2" t="s">
        <v>3326</v>
      </c>
      <c r="E103" s="2" t="s">
        <v>3338</v>
      </c>
      <c r="F103" s="2" t="s">
        <v>3543</v>
      </c>
      <c r="G103" s="2">
        <v>80.290000000000006</v>
      </c>
      <c r="H103" s="2" t="s">
        <v>36</v>
      </c>
      <c r="I103" s="2" t="s">
        <v>3318</v>
      </c>
    </row>
    <row r="104" spans="1:9" x14ac:dyDescent="0.25">
      <c r="A104" s="2" t="s">
        <v>3544</v>
      </c>
      <c r="B104" s="2" t="s">
        <v>920</v>
      </c>
      <c r="C104" s="2" t="s">
        <v>3314</v>
      </c>
      <c r="D104" s="2" t="s">
        <v>3315</v>
      </c>
      <c r="E104" s="2" t="s">
        <v>3316</v>
      </c>
      <c r="F104" s="2" t="s">
        <v>3350</v>
      </c>
      <c r="G104" s="2">
        <v>83.03</v>
      </c>
      <c r="H104" s="2" t="s">
        <v>36</v>
      </c>
      <c r="I104" s="2" t="s">
        <v>3365</v>
      </c>
    </row>
    <row r="105" spans="1:9" x14ac:dyDescent="0.25">
      <c r="A105" s="2" t="s">
        <v>3545</v>
      </c>
      <c r="B105" s="2" t="s">
        <v>3089</v>
      </c>
      <c r="C105" s="2" t="s">
        <v>3403</v>
      </c>
      <c r="D105" s="2" t="s">
        <v>3404</v>
      </c>
      <c r="E105" s="2" t="s">
        <v>4</v>
      </c>
      <c r="F105" s="2" t="s">
        <v>3546</v>
      </c>
      <c r="G105" s="2">
        <v>25.93</v>
      </c>
      <c r="H105" s="2" t="s">
        <v>36</v>
      </c>
      <c r="I105" s="2" t="s">
        <v>3331</v>
      </c>
    </row>
    <row r="106" spans="1:9" x14ac:dyDescent="0.25">
      <c r="A106" s="2" t="s">
        <v>3547</v>
      </c>
      <c r="B106" s="2" t="s">
        <v>1982</v>
      </c>
      <c r="C106" s="2" t="s">
        <v>3320</v>
      </c>
      <c r="D106" s="2" t="s">
        <v>3321</v>
      </c>
      <c r="E106" s="2" t="s">
        <v>4</v>
      </c>
      <c r="F106" s="2" t="s">
        <v>3548</v>
      </c>
      <c r="G106" s="2">
        <v>497.59</v>
      </c>
      <c r="H106" s="2" t="s">
        <v>37</v>
      </c>
      <c r="I106" s="2" t="s">
        <v>3318</v>
      </c>
    </row>
    <row r="107" spans="1:9" x14ac:dyDescent="0.25">
      <c r="A107" s="2" t="s">
        <v>3549</v>
      </c>
      <c r="B107" s="2" t="s">
        <v>2268</v>
      </c>
      <c r="C107" s="2" t="s">
        <v>3403</v>
      </c>
      <c r="D107" s="2" t="s">
        <v>3404</v>
      </c>
      <c r="E107" s="2" t="s">
        <v>4</v>
      </c>
      <c r="F107" s="2" t="s">
        <v>3405</v>
      </c>
      <c r="G107" s="2">
        <v>12.83</v>
      </c>
      <c r="H107" s="2" t="s">
        <v>36</v>
      </c>
      <c r="I107" s="2" t="s">
        <v>3385</v>
      </c>
    </row>
    <row r="108" spans="1:9" x14ac:dyDescent="0.25">
      <c r="A108" s="2" t="s">
        <v>3550</v>
      </c>
      <c r="B108" s="2" t="s">
        <v>2475</v>
      </c>
      <c r="C108" s="2" t="s">
        <v>3367</v>
      </c>
      <c r="D108" s="2" t="s">
        <v>3368</v>
      </c>
      <c r="E108" s="2" t="s">
        <v>4</v>
      </c>
      <c r="F108" s="2" t="s">
        <v>3551</v>
      </c>
      <c r="G108" s="2">
        <v>25.11</v>
      </c>
      <c r="H108" s="2" t="s">
        <v>36</v>
      </c>
      <c r="I108" s="2" t="s">
        <v>3323</v>
      </c>
    </row>
    <row r="109" spans="1:9" x14ac:dyDescent="0.25">
      <c r="A109" s="2" t="s">
        <v>3552</v>
      </c>
      <c r="B109" s="2" t="s">
        <v>2711</v>
      </c>
      <c r="C109" s="2" t="s">
        <v>3427</v>
      </c>
      <c r="D109" s="2" t="s">
        <v>3428</v>
      </c>
      <c r="E109" s="2" t="s">
        <v>65</v>
      </c>
      <c r="F109" s="2" t="s">
        <v>3478</v>
      </c>
      <c r="G109" s="2">
        <v>469.57</v>
      </c>
      <c r="H109" s="2" t="s">
        <v>37</v>
      </c>
      <c r="I109" s="2" t="s">
        <v>3370</v>
      </c>
    </row>
    <row r="110" spans="1:9" x14ac:dyDescent="0.25">
      <c r="A110" s="2" t="s">
        <v>3553</v>
      </c>
      <c r="B110" s="2" t="s">
        <v>2284</v>
      </c>
      <c r="C110" s="2" t="s">
        <v>3362</v>
      </c>
      <c r="D110" s="2" t="s">
        <v>3363</v>
      </c>
      <c r="E110" s="2" t="s">
        <v>65</v>
      </c>
      <c r="F110" s="2" t="s">
        <v>3554</v>
      </c>
      <c r="G110" s="2">
        <v>3919.37</v>
      </c>
      <c r="H110" s="2" t="s">
        <v>37</v>
      </c>
      <c r="I110" s="2" t="s">
        <v>3334</v>
      </c>
    </row>
    <row r="111" spans="1:9" x14ac:dyDescent="0.25">
      <c r="A111" s="2" t="s">
        <v>3555</v>
      </c>
      <c r="B111" s="2" t="s">
        <v>2200</v>
      </c>
      <c r="C111" s="2" t="s">
        <v>3314</v>
      </c>
      <c r="D111" s="2" t="s">
        <v>3315</v>
      </c>
      <c r="E111" s="2" t="s">
        <v>3316</v>
      </c>
      <c r="F111" s="2" t="s">
        <v>3556</v>
      </c>
      <c r="G111" s="2">
        <v>470.21</v>
      </c>
      <c r="H111" s="2" t="s">
        <v>36</v>
      </c>
      <c r="I111" s="2" t="s">
        <v>3334</v>
      </c>
    </row>
    <row r="112" spans="1:9" x14ac:dyDescent="0.25">
      <c r="A112" s="2" t="s">
        <v>3557</v>
      </c>
      <c r="B112" s="2" t="s">
        <v>920</v>
      </c>
      <c r="C112" s="2" t="s">
        <v>3325</v>
      </c>
      <c r="D112" s="2" t="s">
        <v>3326</v>
      </c>
      <c r="E112" s="2" t="s">
        <v>3338</v>
      </c>
      <c r="F112" s="2" t="s">
        <v>3558</v>
      </c>
      <c r="G112" s="2">
        <v>130.08000000000001</v>
      </c>
      <c r="H112" s="2" t="s">
        <v>37</v>
      </c>
      <c r="I112" s="2" t="s">
        <v>3328</v>
      </c>
    </row>
    <row r="113" spans="1:9" x14ac:dyDescent="0.25">
      <c r="A113" s="2" t="s">
        <v>3559</v>
      </c>
      <c r="B113" s="2" t="s">
        <v>3217</v>
      </c>
      <c r="C113" s="2" t="s">
        <v>3403</v>
      </c>
      <c r="D113" s="2" t="s">
        <v>3404</v>
      </c>
      <c r="E113" s="2" t="s">
        <v>4</v>
      </c>
      <c r="F113" s="2" t="s">
        <v>3560</v>
      </c>
      <c r="G113" s="2">
        <v>2557.13</v>
      </c>
      <c r="H113" s="2" t="s">
        <v>36</v>
      </c>
      <c r="I113" s="2" t="s">
        <v>3334</v>
      </c>
    </row>
    <row r="114" spans="1:9" x14ac:dyDescent="0.25">
      <c r="A114" s="2" t="s">
        <v>3561</v>
      </c>
      <c r="B114" s="2" t="s">
        <v>2433</v>
      </c>
      <c r="C114" s="2" t="s">
        <v>3367</v>
      </c>
      <c r="D114" s="2" t="s">
        <v>3368</v>
      </c>
      <c r="E114" s="2" t="s">
        <v>4</v>
      </c>
      <c r="F114" s="2" t="s">
        <v>3562</v>
      </c>
      <c r="G114" s="2">
        <v>241.63</v>
      </c>
      <c r="H114" s="2" t="s">
        <v>37</v>
      </c>
      <c r="I114" s="2" t="s">
        <v>3318</v>
      </c>
    </row>
    <row r="115" spans="1:9" x14ac:dyDescent="0.25">
      <c r="A115" s="2" t="s">
        <v>3563</v>
      </c>
      <c r="B115" s="2" t="s">
        <v>2900</v>
      </c>
      <c r="C115" s="2" t="s">
        <v>3314</v>
      </c>
      <c r="D115" s="2" t="s">
        <v>3315</v>
      </c>
      <c r="E115" s="2" t="s">
        <v>3316</v>
      </c>
      <c r="F115" s="2" t="s">
        <v>1950</v>
      </c>
      <c r="G115" s="2">
        <v>115.5</v>
      </c>
      <c r="H115" s="2" t="s">
        <v>36</v>
      </c>
      <c r="I115" s="2" t="s">
        <v>3370</v>
      </c>
    </row>
    <row r="116" spans="1:9" x14ac:dyDescent="0.25">
      <c r="A116" s="2" t="s">
        <v>3564</v>
      </c>
      <c r="B116" s="2" t="s">
        <v>1921</v>
      </c>
      <c r="C116" s="2" t="s">
        <v>3403</v>
      </c>
      <c r="D116" s="2" t="s">
        <v>3404</v>
      </c>
      <c r="E116" s="2" t="s">
        <v>4</v>
      </c>
      <c r="F116" s="2" t="s">
        <v>3565</v>
      </c>
      <c r="G116" s="2">
        <v>282.35000000000002</v>
      </c>
      <c r="H116" s="2" t="s">
        <v>37</v>
      </c>
      <c r="I116" s="2" t="s">
        <v>3365</v>
      </c>
    </row>
    <row r="117" spans="1:9" x14ac:dyDescent="0.25">
      <c r="A117" s="2" t="s">
        <v>3566</v>
      </c>
      <c r="B117" s="2" t="s">
        <v>1511</v>
      </c>
      <c r="C117" s="2" t="s">
        <v>3354</v>
      </c>
      <c r="D117" s="2" t="s">
        <v>3355</v>
      </c>
      <c r="E117" s="2" t="s">
        <v>65</v>
      </c>
      <c r="F117" s="2" t="s">
        <v>3522</v>
      </c>
      <c r="G117" s="2">
        <v>156.12</v>
      </c>
      <c r="H117" s="2" t="s">
        <v>37</v>
      </c>
      <c r="I117" s="2" t="s">
        <v>3370</v>
      </c>
    </row>
    <row r="118" spans="1:9" x14ac:dyDescent="0.25">
      <c r="A118" s="2" t="s">
        <v>3567</v>
      </c>
      <c r="B118" s="2" t="s">
        <v>967</v>
      </c>
      <c r="C118" s="2" t="s">
        <v>3341</v>
      </c>
      <c r="D118" s="2" t="s">
        <v>3342</v>
      </c>
      <c r="E118" s="2" t="s">
        <v>4</v>
      </c>
      <c r="F118" s="2" t="s">
        <v>3568</v>
      </c>
      <c r="G118" s="2">
        <v>38.21</v>
      </c>
      <c r="H118" s="2" t="s">
        <v>37</v>
      </c>
      <c r="I118" s="2" t="s">
        <v>3370</v>
      </c>
    </row>
    <row r="119" spans="1:9" x14ac:dyDescent="0.25">
      <c r="A119" s="2" t="s">
        <v>3569</v>
      </c>
      <c r="B119" s="2" t="s">
        <v>272</v>
      </c>
      <c r="C119" s="2" t="s">
        <v>3354</v>
      </c>
      <c r="D119" s="2" t="s">
        <v>3355</v>
      </c>
      <c r="E119" s="2" t="s">
        <v>4</v>
      </c>
      <c r="F119" s="2" t="s">
        <v>3425</v>
      </c>
      <c r="G119" s="2">
        <v>28.27</v>
      </c>
      <c r="H119" s="2" t="s">
        <v>37</v>
      </c>
      <c r="I119" s="2" t="s">
        <v>3385</v>
      </c>
    </row>
    <row r="120" spans="1:9" x14ac:dyDescent="0.25">
      <c r="A120" s="2" t="s">
        <v>3570</v>
      </c>
      <c r="B120" s="2" t="s">
        <v>2427</v>
      </c>
      <c r="C120" s="2" t="s">
        <v>3341</v>
      </c>
      <c r="D120" s="2" t="s">
        <v>3342</v>
      </c>
      <c r="E120" s="2" t="s">
        <v>4</v>
      </c>
      <c r="F120" s="2" t="s">
        <v>3571</v>
      </c>
      <c r="G120" s="2">
        <v>89.81</v>
      </c>
      <c r="H120" s="2" t="s">
        <v>36</v>
      </c>
      <c r="I120" s="2" t="s">
        <v>3323</v>
      </c>
    </row>
    <row r="121" spans="1:9" x14ac:dyDescent="0.25">
      <c r="A121" s="2" t="s">
        <v>3572</v>
      </c>
      <c r="B121" s="2" t="s">
        <v>844</v>
      </c>
      <c r="C121" s="2" t="s">
        <v>3320</v>
      </c>
      <c r="D121" s="2" t="s">
        <v>3321</v>
      </c>
      <c r="E121" s="2" t="s">
        <v>4</v>
      </c>
      <c r="F121" s="2" t="s">
        <v>3573</v>
      </c>
      <c r="G121" s="2">
        <v>11.52</v>
      </c>
      <c r="H121" s="2" t="s">
        <v>36</v>
      </c>
      <c r="I121" s="2" t="s">
        <v>3365</v>
      </c>
    </row>
    <row r="122" spans="1:9" x14ac:dyDescent="0.25">
      <c r="A122" s="2" t="s">
        <v>3574</v>
      </c>
      <c r="B122" s="2" t="s">
        <v>1994</v>
      </c>
      <c r="C122" s="2" t="s">
        <v>3314</v>
      </c>
      <c r="D122" s="2" t="s">
        <v>3315</v>
      </c>
      <c r="E122" s="2" t="s">
        <v>3316</v>
      </c>
      <c r="F122" s="2" t="s">
        <v>3575</v>
      </c>
      <c r="G122" s="2">
        <v>77.489999999999995</v>
      </c>
      <c r="H122" s="2" t="s">
        <v>37</v>
      </c>
      <c r="I122" s="2" t="s">
        <v>3365</v>
      </c>
    </row>
    <row r="123" spans="1:9" x14ac:dyDescent="0.25">
      <c r="A123" s="2" t="s">
        <v>3576</v>
      </c>
      <c r="B123" s="2" t="s">
        <v>2188</v>
      </c>
      <c r="C123" s="2" t="s">
        <v>3336</v>
      </c>
      <c r="D123" s="2" t="s">
        <v>3337</v>
      </c>
      <c r="E123" s="2" t="s">
        <v>3316</v>
      </c>
      <c r="F123" s="2" t="s">
        <v>3577</v>
      </c>
      <c r="G123" s="2">
        <v>38.369999999999997</v>
      </c>
      <c r="H123" s="2" t="s">
        <v>36</v>
      </c>
      <c r="I123" s="2" t="s">
        <v>3328</v>
      </c>
    </row>
    <row r="124" spans="1:9" x14ac:dyDescent="0.25">
      <c r="A124" s="2" t="s">
        <v>3578</v>
      </c>
      <c r="B124" s="2" t="s">
        <v>2513</v>
      </c>
      <c r="C124" s="2" t="s">
        <v>3336</v>
      </c>
      <c r="D124" s="2" t="s">
        <v>3337</v>
      </c>
      <c r="E124" s="2" t="s">
        <v>3338</v>
      </c>
      <c r="F124" s="2" t="s">
        <v>3579</v>
      </c>
      <c r="G124" s="2">
        <v>3217.7</v>
      </c>
      <c r="H124" s="2" t="s">
        <v>36</v>
      </c>
      <c r="I124" s="2" t="s">
        <v>3318</v>
      </c>
    </row>
    <row r="125" spans="1:9" x14ac:dyDescent="0.25">
      <c r="A125" s="2" t="s">
        <v>3580</v>
      </c>
      <c r="B125" s="2" t="s">
        <v>1591</v>
      </c>
      <c r="C125" s="2" t="s">
        <v>3336</v>
      </c>
      <c r="D125" s="2" t="s">
        <v>3337</v>
      </c>
      <c r="E125" s="2" t="s">
        <v>65</v>
      </c>
      <c r="F125" s="2" t="s">
        <v>3581</v>
      </c>
      <c r="G125" s="2">
        <v>28.32</v>
      </c>
      <c r="H125" s="2" t="s">
        <v>37</v>
      </c>
      <c r="I125" s="2" t="s">
        <v>3334</v>
      </c>
    </row>
    <row r="126" spans="1:9" x14ac:dyDescent="0.25">
      <c r="A126" s="2" t="s">
        <v>3582</v>
      </c>
      <c r="B126" s="2" t="s">
        <v>2350</v>
      </c>
      <c r="C126" s="2" t="s">
        <v>3341</v>
      </c>
      <c r="D126" s="2" t="s">
        <v>3342</v>
      </c>
      <c r="E126" s="2" t="s">
        <v>4</v>
      </c>
      <c r="F126" s="2" t="s">
        <v>3583</v>
      </c>
      <c r="G126" s="2">
        <v>27.21</v>
      </c>
      <c r="H126" s="2" t="s">
        <v>36</v>
      </c>
      <c r="I126" s="2" t="s">
        <v>3331</v>
      </c>
    </row>
    <row r="127" spans="1:9" x14ac:dyDescent="0.25">
      <c r="A127" s="2" t="s">
        <v>3584</v>
      </c>
      <c r="B127" s="2" t="s">
        <v>2405</v>
      </c>
      <c r="C127" s="2" t="s">
        <v>3367</v>
      </c>
      <c r="D127" s="2" t="s">
        <v>3368</v>
      </c>
      <c r="E127" s="2" t="s">
        <v>65</v>
      </c>
      <c r="F127" s="2" t="s">
        <v>3585</v>
      </c>
      <c r="G127" s="2">
        <v>3728.32</v>
      </c>
      <c r="H127" s="2" t="s">
        <v>37</v>
      </c>
      <c r="I127" s="2" t="s">
        <v>3365</v>
      </c>
    </row>
    <row r="128" spans="1:9" x14ac:dyDescent="0.25">
      <c r="A128" s="2" t="s">
        <v>3586</v>
      </c>
      <c r="B128" s="2" t="s">
        <v>2789</v>
      </c>
      <c r="C128" s="2" t="s">
        <v>3427</v>
      </c>
      <c r="D128" s="2" t="s">
        <v>3428</v>
      </c>
      <c r="E128" s="2" t="s">
        <v>65</v>
      </c>
      <c r="F128" s="2" t="s">
        <v>3587</v>
      </c>
      <c r="G128" s="2">
        <v>29.01</v>
      </c>
      <c r="H128" s="2" t="s">
        <v>37</v>
      </c>
      <c r="I128" s="2" t="s">
        <v>3323</v>
      </c>
    </row>
    <row r="129" spans="1:9" x14ac:dyDescent="0.25">
      <c r="A129" s="2" t="s">
        <v>3588</v>
      </c>
      <c r="B129" s="2" t="s">
        <v>2562</v>
      </c>
      <c r="C129" s="2" t="s">
        <v>3354</v>
      </c>
      <c r="D129" s="2" t="s">
        <v>3355</v>
      </c>
      <c r="E129" s="2" t="s">
        <v>65</v>
      </c>
      <c r="F129" s="2" t="s">
        <v>3589</v>
      </c>
      <c r="G129" s="2">
        <v>61.73</v>
      </c>
      <c r="H129" s="2" t="s">
        <v>36</v>
      </c>
      <c r="I129" s="2" t="s">
        <v>3328</v>
      </c>
    </row>
    <row r="130" spans="1:9" x14ac:dyDescent="0.25">
      <c r="A130" s="2" t="s">
        <v>3590</v>
      </c>
      <c r="B130" s="2" t="s">
        <v>2142</v>
      </c>
      <c r="C130" s="2" t="s">
        <v>3314</v>
      </c>
      <c r="D130" s="2" t="s">
        <v>3315</v>
      </c>
      <c r="E130" s="2" t="s">
        <v>33</v>
      </c>
      <c r="F130" s="2" t="s">
        <v>3591</v>
      </c>
      <c r="G130" s="2">
        <v>125.49</v>
      </c>
      <c r="H130" s="2" t="s">
        <v>37</v>
      </c>
      <c r="I130" s="2" t="s">
        <v>3323</v>
      </c>
    </row>
    <row r="131" spans="1:9" x14ac:dyDescent="0.25">
      <c r="A131" s="2" t="s">
        <v>3592</v>
      </c>
      <c r="B131" s="2" t="s">
        <v>2200</v>
      </c>
      <c r="C131" s="2" t="s">
        <v>3341</v>
      </c>
      <c r="D131" s="2" t="s">
        <v>3342</v>
      </c>
      <c r="E131" s="2" t="s">
        <v>4</v>
      </c>
      <c r="F131" s="2" t="s">
        <v>3593</v>
      </c>
      <c r="G131" s="2">
        <v>2936.9</v>
      </c>
      <c r="H131" s="2" t="s">
        <v>36</v>
      </c>
      <c r="I131" s="2" t="s">
        <v>3318</v>
      </c>
    </row>
    <row r="132" spans="1:9" x14ac:dyDescent="0.25">
      <c r="A132" s="2" t="s">
        <v>3594</v>
      </c>
      <c r="B132" s="2" t="s">
        <v>1778</v>
      </c>
      <c r="C132" s="2" t="s">
        <v>3403</v>
      </c>
      <c r="D132" s="2" t="s">
        <v>3404</v>
      </c>
      <c r="E132" s="2" t="s">
        <v>3458</v>
      </c>
      <c r="F132" s="2" t="s">
        <v>3595</v>
      </c>
      <c r="G132" s="2">
        <v>29.57</v>
      </c>
      <c r="H132" s="2" t="s">
        <v>37</v>
      </c>
      <c r="I132" s="2" t="s">
        <v>3370</v>
      </c>
    </row>
    <row r="133" spans="1:9" x14ac:dyDescent="0.25">
      <c r="A133" s="2" t="s">
        <v>3596</v>
      </c>
      <c r="B133" s="2" t="s">
        <v>1522</v>
      </c>
      <c r="C133" s="2" t="s">
        <v>3354</v>
      </c>
      <c r="D133" s="2" t="s">
        <v>3355</v>
      </c>
      <c r="E133" s="2" t="s">
        <v>65</v>
      </c>
      <c r="F133" s="2" t="s">
        <v>3522</v>
      </c>
      <c r="G133" s="2">
        <v>88.91</v>
      </c>
      <c r="H133" s="2" t="s">
        <v>36</v>
      </c>
      <c r="I133" s="2" t="s">
        <v>3365</v>
      </c>
    </row>
    <row r="134" spans="1:9" x14ac:dyDescent="0.25">
      <c r="A134" s="2" t="s">
        <v>3597</v>
      </c>
      <c r="B134" s="2" t="s">
        <v>1147</v>
      </c>
      <c r="C134" s="2" t="s">
        <v>3314</v>
      </c>
      <c r="D134" s="2" t="s">
        <v>3315</v>
      </c>
      <c r="E134" s="2" t="s">
        <v>65</v>
      </c>
      <c r="F134" s="2" t="s">
        <v>3598</v>
      </c>
      <c r="G134" s="2">
        <v>40.880000000000003</v>
      </c>
      <c r="H134" s="2" t="s">
        <v>36</v>
      </c>
      <c r="I134" s="2" t="s">
        <v>3323</v>
      </c>
    </row>
    <row r="135" spans="1:9" x14ac:dyDescent="0.25">
      <c r="A135" s="2" t="s">
        <v>3599</v>
      </c>
      <c r="B135" s="2" t="s">
        <v>363</v>
      </c>
      <c r="C135" s="2" t="s">
        <v>3325</v>
      </c>
      <c r="D135" s="2" t="s">
        <v>3326</v>
      </c>
      <c r="E135" s="2" t="s">
        <v>4</v>
      </c>
      <c r="F135" s="2" t="s">
        <v>3600</v>
      </c>
      <c r="G135" s="2">
        <v>142.38999999999999</v>
      </c>
      <c r="H135" s="2" t="s">
        <v>36</v>
      </c>
      <c r="I135" s="2" t="s">
        <v>3334</v>
      </c>
    </row>
    <row r="136" spans="1:9" x14ac:dyDescent="0.25">
      <c r="A136" s="2" t="s">
        <v>3601</v>
      </c>
      <c r="B136" s="2" t="s">
        <v>2088</v>
      </c>
      <c r="C136" s="2" t="s">
        <v>3314</v>
      </c>
      <c r="D136" s="2" t="s">
        <v>3315</v>
      </c>
      <c r="E136" s="2" t="s">
        <v>33</v>
      </c>
      <c r="F136" s="2" t="s">
        <v>3602</v>
      </c>
      <c r="G136" s="2">
        <v>44.18</v>
      </c>
      <c r="H136" s="2" t="s">
        <v>36</v>
      </c>
      <c r="I136" s="2" t="s">
        <v>3318</v>
      </c>
    </row>
    <row r="137" spans="1:9" x14ac:dyDescent="0.25">
      <c r="A137" s="2" t="s">
        <v>3603</v>
      </c>
      <c r="B137" s="2" t="s">
        <v>535</v>
      </c>
      <c r="C137" s="2" t="s">
        <v>3403</v>
      </c>
      <c r="D137" s="2" t="s">
        <v>3404</v>
      </c>
      <c r="E137" s="2" t="s">
        <v>4</v>
      </c>
      <c r="F137" s="2" t="s">
        <v>3604</v>
      </c>
      <c r="G137" s="2">
        <v>21.88</v>
      </c>
      <c r="H137" s="2" t="s">
        <v>37</v>
      </c>
      <c r="I137" s="2" t="s">
        <v>3331</v>
      </c>
    </row>
    <row r="138" spans="1:9" x14ac:dyDescent="0.25">
      <c r="A138" s="2" t="s">
        <v>3605</v>
      </c>
      <c r="B138" s="2" t="s">
        <v>723</v>
      </c>
      <c r="C138" s="2" t="s">
        <v>3362</v>
      </c>
      <c r="D138" s="2" t="s">
        <v>3363</v>
      </c>
      <c r="E138" s="2" t="s">
        <v>65</v>
      </c>
      <c r="F138" s="2" t="s">
        <v>3606</v>
      </c>
      <c r="G138" s="2">
        <v>4877.93</v>
      </c>
      <c r="H138" s="2" t="s">
        <v>36</v>
      </c>
      <c r="I138" s="2" t="s">
        <v>3331</v>
      </c>
    </row>
    <row r="139" spans="1:9" x14ac:dyDescent="0.25">
      <c r="A139" s="2" t="s">
        <v>3607</v>
      </c>
      <c r="B139" s="2" t="s">
        <v>1348</v>
      </c>
      <c r="C139" s="2" t="s">
        <v>3362</v>
      </c>
      <c r="D139" s="2" t="s">
        <v>3363</v>
      </c>
      <c r="E139" s="2" t="s">
        <v>65</v>
      </c>
      <c r="F139" s="2" t="s">
        <v>3554</v>
      </c>
      <c r="G139" s="2">
        <v>12.57</v>
      </c>
      <c r="H139" s="2" t="s">
        <v>37</v>
      </c>
      <c r="I139" s="2" t="s">
        <v>3323</v>
      </c>
    </row>
    <row r="140" spans="1:9" x14ac:dyDescent="0.25">
      <c r="A140" s="2" t="s">
        <v>3608</v>
      </c>
      <c r="B140" s="2" t="s">
        <v>863</v>
      </c>
      <c r="C140" s="2" t="s">
        <v>3341</v>
      </c>
      <c r="D140" s="2" t="s">
        <v>3342</v>
      </c>
      <c r="E140" s="2" t="s">
        <v>4</v>
      </c>
      <c r="F140" s="2" t="s">
        <v>3609</v>
      </c>
      <c r="G140" s="2">
        <v>17.37</v>
      </c>
      <c r="H140" s="2" t="s">
        <v>37</v>
      </c>
      <c r="I140" s="2" t="s">
        <v>3331</v>
      </c>
    </row>
    <row r="141" spans="1:9" x14ac:dyDescent="0.25">
      <c r="A141" s="2" t="s">
        <v>3610</v>
      </c>
      <c r="B141" s="2" t="s">
        <v>1714</v>
      </c>
      <c r="C141" s="2" t="s">
        <v>3367</v>
      </c>
      <c r="D141" s="2" t="s">
        <v>3368</v>
      </c>
      <c r="E141" s="2" t="s">
        <v>65</v>
      </c>
      <c r="F141" s="2" t="s">
        <v>3611</v>
      </c>
      <c r="G141" s="2">
        <v>95.83</v>
      </c>
      <c r="H141" s="2" t="s">
        <v>36</v>
      </c>
      <c r="I141" s="2" t="s">
        <v>3323</v>
      </c>
    </row>
    <row r="142" spans="1:9" x14ac:dyDescent="0.25">
      <c r="A142" s="2" t="s">
        <v>3612</v>
      </c>
      <c r="B142" s="2" t="s">
        <v>620</v>
      </c>
      <c r="C142" s="2" t="s">
        <v>3354</v>
      </c>
      <c r="D142" s="2" t="s">
        <v>3355</v>
      </c>
      <c r="E142" s="2" t="s">
        <v>4</v>
      </c>
      <c r="F142" s="2" t="s">
        <v>3589</v>
      </c>
      <c r="G142" s="2">
        <v>124.88</v>
      </c>
      <c r="H142" s="2" t="s">
        <v>37</v>
      </c>
      <c r="I142" s="2" t="s">
        <v>3318</v>
      </c>
    </row>
    <row r="143" spans="1:9" x14ac:dyDescent="0.25">
      <c r="A143" s="2" t="s">
        <v>3613</v>
      </c>
      <c r="B143" s="2" t="s">
        <v>212</v>
      </c>
      <c r="C143" s="2" t="s">
        <v>3403</v>
      </c>
      <c r="D143" s="2" t="s">
        <v>3404</v>
      </c>
      <c r="E143" s="2" t="s">
        <v>65</v>
      </c>
      <c r="F143" s="2" t="s">
        <v>3614</v>
      </c>
      <c r="G143" s="2">
        <v>21.59</v>
      </c>
      <c r="H143" s="2" t="s">
        <v>36</v>
      </c>
      <c r="I143" s="2" t="s">
        <v>3331</v>
      </c>
    </row>
    <row r="144" spans="1:9" x14ac:dyDescent="0.25">
      <c r="A144" s="2" t="s">
        <v>3615</v>
      </c>
      <c r="B144" s="2" t="s">
        <v>3118</v>
      </c>
      <c r="C144" s="2" t="s">
        <v>3325</v>
      </c>
      <c r="D144" s="2" t="s">
        <v>3326</v>
      </c>
      <c r="E144" s="2" t="s">
        <v>4</v>
      </c>
      <c r="F144" s="2" t="s">
        <v>3616</v>
      </c>
      <c r="G144" s="2">
        <v>17.71</v>
      </c>
      <c r="H144" s="2" t="s">
        <v>36</v>
      </c>
      <c r="I144" s="2" t="s">
        <v>3334</v>
      </c>
    </row>
    <row r="145" spans="1:9" x14ac:dyDescent="0.25">
      <c r="A145" s="2" t="s">
        <v>3617</v>
      </c>
      <c r="B145" s="2" t="s">
        <v>336</v>
      </c>
      <c r="C145" s="2" t="s">
        <v>3325</v>
      </c>
      <c r="D145" s="2" t="s">
        <v>3326</v>
      </c>
      <c r="E145" s="2" t="s">
        <v>3338</v>
      </c>
      <c r="F145" s="2" t="s">
        <v>3618</v>
      </c>
      <c r="G145" s="2">
        <v>348.83</v>
      </c>
      <c r="H145" s="2" t="s">
        <v>36</v>
      </c>
      <c r="I145" s="2" t="s">
        <v>3385</v>
      </c>
    </row>
    <row r="146" spans="1:9" x14ac:dyDescent="0.25">
      <c r="A146" s="2" t="s">
        <v>3619</v>
      </c>
      <c r="B146" s="2" t="s">
        <v>2475</v>
      </c>
      <c r="C146" s="2" t="s">
        <v>3403</v>
      </c>
      <c r="D146" s="2" t="s">
        <v>3404</v>
      </c>
      <c r="E146" s="2" t="s">
        <v>4</v>
      </c>
      <c r="F146" s="2" t="s">
        <v>3620</v>
      </c>
      <c r="G146" s="2">
        <v>15.02</v>
      </c>
      <c r="H146" s="2" t="s">
        <v>36</v>
      </c>
      <c r="I146" s="2" t="s">
        <v>3334</v>
      </c>
    </row>
    <row r="147" spans="1:9" x14ac:dyDescent="0.25">
      <c r="A147" s="2" t="s">
        <v>3621</v>
      </c>
      <c r="B147" s="2" t="s">
        <v>901</v>
      </c>
      <c r="C147" s="2" t="s">
        <v>3427</v>
      </c>
      <c r="D147" s="2" t="s">
        <v>3428</v>
      </c>
      <c r="E147" s="2" t="s">
        <v>65</v>
      </c>
      <c r="F147" s="2" t="s">
        <v>3429</v>
      </c>
      <c r="G147" s="2">
        <v>110.75</v>
      </c>
      <c r="H147" s="2" t="s">
        <v>36</v>
      </c>
      <c r="I147" s="2" t="s">
        <v>3334</v>
      </c>
    </row>
    <row r="148" spans="1:9" x14ac:dyDescent="0.25">
      <c r="A148" s="2" t="s">
        <v>3622</v>
      </c>
      <c r="B148" s="2" t="s">
        <v>1274</v>
      </c>
      <c r="C148" s="2" t="s">
        <v>3354</v>
      </c>
      <c r="D148" s="2" t="s">
        <v>3355</v>
      </c>
      <c r="E148" s="2" t="s">
        <v>4</v>
      </c>
      <c r="F148" s="2" t="s">
        <v>3623</v>
      </c>
      <c r="G148" s="2">
        <v>457.62</v>
      </c>
      <c r="H148" s="2" t="s">
        <v>36</v>
      </c>
      <c r="I148" s="2" t="s">
        <v>3323</v>
      </c>
    </row>
    <row r="149" spans="1:9" x14ac:dyDescent="0.25">
      <c r="A149" s="2" t="s">
        <v>3624</v>
      </c>
      <c r="B149" s="2" t="s">
        <v>589</v>
      </c>
      <c r="C149" s="2" t="s">
        <v>3403</v>
      </c>
      <c r="D149" s="2" t="s">
        <v>3404</v>
      </c>
      <c r="E149" s="2" t="s">
        <v>4</v>
      </c>
      <c r="F149" s="2" t="s">
        <v>3625</v>
      </c>
      <c r="G149" s="2">
        <v>90.34</v>
      </c>
      <c r="H149" s="2" t="s">
        <v>36</v>
      </c>
      <c r="I149" s="2" t="s">
        <v>3323</v>
      </c>
    </row>
    <row r="150" spans="1:9" x14ac:dyDescent="0.25">
      <c r="A150" s="2" t="s">
        <v>3626</v>
      </c>
      <c r="B150" s="2" t="s">
        <v>1591</v>
      </c>
      <c r="C150" s="2" t="s">
        <v>3325</v>
      </c>
      <c r="D150" s="2" t="s">
        <v>3326</v>
      </c>
      <c r="E150" s="2" t="s">
        <v>4</v>
      </c>
      <c r="F150" s="2" t="s">
        <v>3627</v>
      </c>
      <c r="G150" s="2">
        <v>28.73</v>
      </c>
      <c r="H150" s="2" t="s">
        <v>37</v>
      </c>
      <c r="I150" s="2" t="s">
        <v>3331</v>
      </c>
    </row>
    <row r="151" spans="1:9" x14ac:dyDescent="0.25">
      <c r="A151" s="2" t="s">
        <v>3628</v>
      </c>
      <c r="B151" s="2" t="s">
        <v>2802</v>
      </c>
      <c r="C151" s="2" t="s">
        <v>3320</v>
      </c>
      <c r="D151" s="2" t="s">
        <v>3321</v>
      </c>
      <c r="E151" s="2" t="s">
        <v>65</v>
      </c>
      <c r="F151" s="2" t="s">
        <v>3629</v>
      </c>
      <c r="G151" s="2">
        <v>202.36</v>
      </c>
      <c r="H151" s="2" t="s">
        <v>37</v>
      </c>
      <c r="I151" s="2" t="s">
        <v>3385</v>
      </c>
    </row>
    <row r="152" spans="1:9" x14ac:dyDescent="0.25">
      <c r="A152" s="2" t="s">
        <v>3630</v>
      </c>
      <c r="B152" s="2" t="s">
        <v>2059</v>
      </c>
      <c r="C152" s="2" t="s">
        <v>3314</v>
      </c>
      <c r="D152" s="2" t="s">
        <v>3315</v>
      </c>
      <c r="E152" s="2" t="s">
        <v>65</v>
      </c>
      <c r="F152" s="2" t="s">
        <v>3631</v>
      </c>
      <c r="G152" s="2">
        <v>88.9</v>
      </c>
      <c r="H152" s="2" t="s">
        <v>36</v>
      </c>
      <c r="I152" s="2" t="s">
        <v>3385</v>
      </c>
    </row>
    <row r="153" spans="1:9" x14ac:dyDescent="0.25">
      <c r="A153" s="2" t="s">
        <v>3632</v>
      </c>
      <c r="B153" s="2" t="s">
        <v>1059</v>
      </c>
      <c r="C153" s="2" t="s">
        <v>3320</v>
      </c>
      <c r="D153" s="2" t="s">
        <v>3321</v>
      </c>
      <c r="E153" s="2" t="s">
        <v>65</v>
      </c>
      <c r="F153" s="2" t="s">
        <v>3633</v>
      </c>
      <c r="G153" s="2">
        <v>425.67</v>
      </c>
      <c r="H153" s="2" t="s">
        <v>37</v>
      </c>
      <c r="I153" s="2" t="s">
        <v>3370</v>
      </c>
    </row>
    <row r="154" spans="1:9" x14ac:dyDescent="0.25">
      <c r="A154" s="2" t="s">
        <v>3634</v>
      </c>
      <c r="B154" s="2" t="s">
        <v>2770</v>
      </c>
      <c r="C154" s="2" t="s">
        <v>3341</v>
      </c>
      <c r="D154" s="2" t="s">
        <v>3342</v>
      </c>
      <c r="E154" s="2" t="s">
        <v>3458</v>
      </c>
      <c r="F154" s="2" t="s">
        <v>3635</v>
      </c>
      <c r="G154" s="2">
        <v>12.84</v>
      </c>
      <c r="H154" s="2" t="s">
        <v>36</v>
      </c>
      <c r="I154" s="2" t="s">
        <v>3365</v>
      </c>
    </row>
    <row r="155" spans="1:9" x14ac:dyDescent="0.25">
      <c r="A155" s="2" t="s">
        <v>3636</v>
      </c>
      <c r="B155" s="2" t="s">
        <v>3217</v>
      </c>
      <c r="C155" s="2" t="s">
        <v>3367</v>
      </c>
      <c r="D155" s="2" t="s">
        <v>3368</v>
      </c>
      <c r="E155" s="2" t="s">
        <v>65</v>
      </c>
      <c r="F155" s="2" t="s">
        <v>3637</v>
      </c>
      <c r="G155" s="2">
        <v>2250.5</v>
      </c>
      <c r="H155" s="2" t="s">
        <v>37</v>
      </c>
      <c r="I155" s="2" t="s">
        <v>3334</v>
      </c>
    </row>
    <row r="156" spans="1:9" x14ac:dyDescent="0.25">
      <c r="A156" s="2" t="s">
        <v>3638</v>
      </c>
      <c r="B156" s="2" t="s">
        <v>1969</v>
      </c>
      <c r="C156" s="2" t="s">
        <v>3320</v>
      </c>
      <c r="D156" s="2" t="s">
        <v>3321</v>
      </c>
      <c r="E156" s="2" t="s">
        <v>4</v>
      </c>
      <c r="F156" s="2" t="s">
        <v>3496</v>
      </c>
      <c r="G156" s="2">
        <v>3693.76</v>
      </c>
      <c r="H156" s="2" t="s">
        <v>36</v>
      </c>
      <c r="I156" s="2" t="s">
        <v>3331</v>
      </c>
    </row>
    <row r="157" spans="1:9" x14ac:dyDescent="0.25">
      <c r="A157" s="2" t="s">
        <v>3639</v>
      </c>
      <c r="B157" s="2" t="s">
        <v>1417</v>
      </c>
      <c r="C157" s="2" t="s">
        <v>3367</v>
      </c>
      <c r="D157" s="2" t="s">
        <v>3368</v>
      </c>
      <c r="E157" s="2" t="s">
        <v>65</v>
      </c>
      <c r="F157" s="2" t="s">
        <v>3640</v>
      </c>
      <c r="G157" s="2">
        <v>69.03</v>
      </c>
      <c r="H157" s="2" t="s">
        <v>36</v>
      </c>
      <c r="I157" s="2" t="s">
        <v>3370</v>
      </c>
    </row>
    <row r="158" spans="1:9" x14ac:dyDescent="0.25">
      <c r="A158" s="2" t="s">
        <v>3641</v>
      </c>
      <c r="B158" s="2" t="s">
        <v>2940</v>
      </c>
      <c r="C158" s="2" t="s">
        <v>3320</v>
      </c>
      <c r="D158" s="2" t="s">
        <v>3321</v>
      </c>
      <c r="E158" s="2" t="s">
        <v>65</v>
      </c>
      <c r="F158" s="2" t="s">
        <v>3642</v>
      </c>
      <c r="G158" s="2">
        <v>216.31</v>
      </c>
      <c r="H158" s="2" t="s">
        <v>37</v>
      </c>
      <c r="I158" s="2" t="s">
        <v>3365</v>
      </c>
    </row>
    <row r="159" spans="1:9" x14ac:dyDescent="0.25">
      <c r="A159" s="2" t="s">
        <v>3643</v>
      </c>
      <c r="B159" s="2" t="s">
        <v>1135</v>
      </c>
      <c r="C159" s="2" t="s">
        <v>3367</v>
      </c>
      <c r="D159" s="2" t="s">
        <v>3368</v>
      </c>
      <c r="E159" s="2" t="s">
        <v>4</v>
      </c>
      <c r="F159" s="2" t="s">
        <v>3635</v>
      </c>
      <c r="G159" s="2">
        <v>116.87</v>
      </c>
      <c r="H159" s="2" t="s">
        <v>37</v>
      </c>
      <c r="I159" s="2" t="s">
        <v>3365</v>
      </c>
    </row>
    <row r="160" spans="1:9" x14ac:dyDescent="0.25">
      <c r="A160" s="2" t="s">
        <v>3644</v>
      </c>
      <c r="B160" s="2" t="s">
        <v>565</v>
      </c>
      <c r="C160" s="2" t="s">
        <v>3325</v>
      </c>
      <c r="D160" s="2" t="s">
        <v>3326</v>
      </c>
      <c r="E160" s="2" t="s">
        <v>3316</v>
      </c>
      <c r="F160" s="2" t="s">
        <v>3645</v>
      </c>
      <c r="G160" s="2">
        <v>19.91</v>
      </c>
      <c r="H160" s="2" t="s">
        <v>36</v>
      </c>
      <c r="I160" s="2" t="s">
        <v>3370</v>
      </c>
    </row>
    <row r="161" spans="1:9" x14ac:dyDescent="0.25">
      <c r="A161" s="2" t="s">
        <v>3646</v>
      </c>
      <c r="B161" s="2" t="s">
        <v>2246</v>
      </c>
      <c r="C161" s="2" t="s">
        <v>3341</v>
      </c>
      <c r="D161" s="2" t="s">
        <v>3342</v>
      </c>
      <c r="E161" s="2" t="s">
        <v>91</v>
      </c>
      <c r="F161" s="2" t="s">
        <v>3647</v>
      </c>
      <c r="G161" s="2">
        <v>1886.12</v>
      </c>
      <c r="H161" s="2" t="s">
        <v>36</v>
      </c>
      <c r="I161" s="2" t="s">
        <v>3370</v>
      </c>
    </row>
    <row r="162" spans="1:9" x14ac:dyDescent="0.25">
      <c r="A162" s="2" t="s">
        <v>3648</v>
      </c>
      <c r="B162" s="2" t="s">
        <v>2011</v>
      </c>
      <c r="C162" s="2" t="s">
        <v>3354</v>
      </c>
      <c r="D162" s="2" t="s">
        <v>3355</v>
      </c>
      <c r="E162" s="2" t="s">
        <v>4</v>
      </c>
      <c r="F162" s="2" t="s">
        <v>3649</v>
      </c>
      <c r="G162" s="2">
        <v>41.25</v>
      </c>
      <c r="H162" s="2" t="s">
        <v>36</v>
      </c>
      <c r="I162" s="2" t="s">
        <v>3365</v>
      </c>
    </row>
    <row r="163" spans="1:9" x14ac:dyDescent="0.25">
      <c r="A163" s="2" t="s">
        <v>3650</v>
      </c>
      <c r="B163" s="2" t="s">
        <v>156</v>
      </c>
      <c r="C163" s="2" t="s">
        <v>3362</v>
      </c>
      <c r="D163" s="2" t="s">
        <v>3363</v>
      </c>
      <c r="E163" s="2" t="s">
        <v>65</v>
      </c>
      <c r="F163" s="2" t="s">
        <v>3651</v>
      </c>
      <c r="G163" s="2">
        <v>21.22</v>
      </c>
      <c r="H163" s="2" t="s">
        <v>36</v>
      </c>
      <c r="I163" s="2" t="s">
        <v>3334</v>
      </c>
    </row>
    <row r="164" spans="1:9" x14ac:dyDescent="0.25">
      <c r="A164" s="2" t="s">
        <v>3652</v>
      </c>
      <c r="B164" s="2" t="s">
        <v>1065</v>
      </c>
      <c r="C164" s="2" t="s">
        <v>3367</v>
      </c>
      <c r="D164" s="2" t="s">
        <v>3368</v>
      </c>
      <c r="E164" s="2" t="s">
        <v>65</v>
      </c>
      <c r="F164" s="2" t="s">
        <v>3653</v>
      </c>
      <c r="G164" s="2">
        <v>269.76</v>
      </c>
      <c r="H164" s="2" t="s">
        <v>36</v>
      </c>
      <c r="I164" s="2" t="s">
        <v>3370</v>
      </c>
    </row>
    <row r="165" spans="1:9" x14ac:dyDescent="0.25">
      <c r="A165" s="2" t="s">
        <v>3654</v>
      </c>
      <c r="B165" s="2" t="s">
        <v>1749</v>
      </c>
      <c r="C165" s="2" t="s">
        <v>3325</v>
      </c>
      <c r="D165" s="2" t="s">
        <v>3326</v>
      </c>
      <c r="E165" s="2" t="s">
        <v>3338</v>
      </c>
      <c r="F165" s="2" t="s">
        <v>3655</v>
      </c>
      <c r="G165" s="2">
        <v>44.34</v>
      </c>
      <c r="H165" s="2" t="s">
        <v>36</v>
      </c>
      <c r="I165" s="2" t="s">
        <v>3370</v>
      </c>
    </row>
    <row r="166" spans="1:9" x14ac:dyDescent="0.25">
      <c r="A166" s="2" t="s">
        <v>3656</v>
      </c>
      <c r="B166" s="2" t="s">
        <v>1161</v>
      </c>
      <c r="C166" s="2" t="s">
        <v>3320</v>
      </c>
      <c r="D166" s="2" t="s">
        <v>3321</v>
      </c>
      <c r="E166" s="2" t="s">
        <v>4</v>
      </c>
      <c r="F166" s="2" t="s">
        <v>3657</v>
      </c>
      <c r="G166" s="2">
        <v>133.04</v>
      </c>
      <c r="H166" s="2" t="s">
        <v>37</v>
      </c>
      <c r="I166" s="2" t="s">
        <v>3323</v>
      </c>
    </row>
    <row r="167" spans="1:9" x14ac:dyDescent="0.25">
      <c r="A167" s="2" t="s">
        <v>3658</v>
      </c>
      <c r="B167" s="2" t="s">
        <v>1380</v>
      </c>
      <c r="C167" s="2" t="s">
        <v>3336</v>
      </c>
      <c r="D167" s="2" t="s">
        <v>3337</v>
      </c>
      <c r="E167" s="2" t="s">
        <v>3338</v>
      </c>
      <c r="F167" s="2" t="s">
        <v>3659</v>
      </c>
      <c r="G167" s="2">
        <v>57.35</v>
      </c>
      <c r="H167" s="2" t="s">
        <v>36</v>
      </c>
      <c r="I167" s="2" t="s">
        <v>3385</v>
      </c>
    </row>
    <row r="168" spans="1:9" x14ac:dyDescent="0.25">
      <c r="A168" s="2" t="s">
        <v>3660</v>
      </c>
      <c r="B168" s="2" t="s">
        <v>38</v>
      </c>
      <c r="C168" s="2" t="s">
        <v>3314</v>
      </c>
      <c r="D168" s="2" t="s">
        <v>3315</v>
      </c>
      <c r="E168" s="2" t="s">
        <v>65</v>
      </c>
      <c r="F168" s="2" t="s">
        <v>3661</v>
      </c>
      <c r="G168" s="2">
        <v>13.14</v>
      </c>
      <c r="H168" s="2" t="s">
        <v>37</v>
      </c>
      <c r="I168" s="2" t="s">
        <v>3323</v>
      </c>
    </row>
    <row r="169" spans="1:9" x14ac:dyDescent="0.25">
      <c r="A169" s="2" t="s">
        <v>3662</v>
      </c>
      <c r="B169" s="2" t="s">
        <v>1982</v>
      </c>
      <c r="C169" s="2" t="s">
        <v>3403</v>
      </c>
      <c r="D169" s="2" t="s">
        <v>3404</v>
      </c>
      <c r="E169" s="2" t="s">
        <v>65</v>
      </c>
      <c r="F169" s="2" t="s">
        <v>3663</v>
      </c>
      <c r="G169" s="2">
        <v>185.87</v>
      </c>
      <c r="H169" s="2" t="s">
        <v>36</v>
      </c>
      <c r="I169" s="2" t="s">
        <v>3328</v>
      </c>
    </row>
    <row r="170" spans="1:9" x14ac:dyDescent="0.25">
      <c r="A170" s="2" t="s">
        <v>3664</v>
      </c>
      <c r="B170" s="2" t="s">
        <v>2813</v>
      </c>
      <c r="C170" s="2" t="s">
        <v>3325</v>
      </c>
      <c r="D170" s="2" t="s">
        <v>3326</v>
      </c>
      <c r="E170" s="2" t="s">
        <v>3316</v>
      </c>
      <c r="F170" s="2" t="s">
        <v>3665</v>
      </c>
      <c r="G170" s="2">
        <v>147.26</v>
      </c>
      <c r="H170" s="2" t="s">
        <v>36</v>
      </c>
      <c r="I170" s="2" t="s">
        <v>3323</v>
      </c>
    </row>
    <row r="171" spans="1:9" x14ac:dyDescent="0.25">
      <c r="A171" s="2" t="s">
        <v>3666</v>
      </c>
      <c r="B171" s="2" t="s">
        <v>1077</v>
      </c>
      <c r="C171" s="2" t="s">
        <v>3367</v>
      </c>
      <c r="D171" s="2" t="s">
        <v>3368</v>
      </c>
      <c r="E171" s="2" t="s">
        <v>4</v>
      </c>
      <c r="F171" s="2" t="s">
        <v>3667</v>
      </c>
      <c r="G171" s="2">
        <v>71.28</v>
      </c>
      <c r="H171" s="2" t="s">
        <v>37</v>
      </c>
      <c r="I171" s="2" t="s">
        <v>3385</v>
      </c>
    </row>
    <row r="172" spans="1:9" x14ac:dyDescent="0.25">
      <c r="A172" s="2" t="s">
        <v>3668</v>
      </c>
      <c r="B172" s="2" t="s">
        <v>2603</v>
      </c>
      <c r="C172" s="2" t="s">
        <v>3325</v>
      </c>
      <c r="D172" s="2" t="s">
        <v>3326</v>
      </c>
      <c r="E172" s="2" t="s">
        <v>4</v>
      </c>
      <c r="F172" s="2" t="s">
        <v>3669</v>
      </c>
      <c r="G172" s="2">
        <v>223.59</v>
      </c>
      <c r="H172" s="2" t="s">
        <v>37</v>
      </c>
      <c r="I172" s="2" t="s">
        <v>3328</v>
      </c>
    </row>
    <row r="173" spans="1:9" x14ac:dyDescent="0.25">
      <c r="A173" s="2" t="s">
        <v>3670</v>
      </c>
      <c r="B173" s="2" t="s">
        <v>2644</v>
      </c>
      <c r="C173" s="2" t="s">
        <v>3314</v>
      </c>
      <c r="D173" s="2" t="s">
        <v>3315</v>
      </c>
      <c r="E173" s="2" t="s">
        <v>65</v>
      </c>
      <c r="F173" s="2" t="s">
        <v>3671</v>
      </c>
      <c r="G173" s="2">
        <v>23.03</v>
      </c>
      <c r="H173" s="2" t="s">
        <v>37</v>
      </c>
      <c r="I173" s="2" t="s">
        <v>3318</v>
      </c>
    </row>
    <row r="174" spans="1:9" x14ac:dyDescent="0.25">
      <c r="A174" s="2" t="s">
        <v>3672</v>
      </c>
      <c r="B174" s="2" t="s">
        <v>106</v>
      </c>
      <c r="C174" s="2" t="s">
        <v>3320</v>
      </c>
      <c r="D174" s="2" t="s">
        <v>3321</v>
      </c>
      <c r="E174" s="2" t="s">
        <v>65</v>
      </c>
      <c r="F174" s="2" t="s">
        <v>3673</v>
      </c>
      <c r="G174" s="2">
        <v>19.95</v>
      </c>
      <c r="H174" s="2" t="s">
        <v>37</v>
      </c>
      <c r="I174" s="2" t="s">
        <v>3318</v>
      </c>
    </row>
    <row r="175" spans="1:9" x14ac:dyDescent="0.25">
      <c r="A175" s="2" t="s">
        <v>3674</v>
      </c>
      <c r="B175" s="2" t="s">
        <v>2303</v>
      </c>
      <c r="C175" s="2" t="s">
        <v>3362</v>
      </c>
      <c r="D175" s="2" t="s">
        <v>3363</v>
      </c>
      <c r="E175" s="2" t="s">
        <v>65</v>
      </c>
      <c r="F175" s="2" t="s">
        <v>3364</v>
      </c>
      <c r="G175" s="2">
        <v>22.76</v>
      </c>
      <c r="H175" s="2" t="s">
        <v>37</v>
      </c>
      <c r="I175" s="2" t="s">
        <v>3331</v>
      </c>
    </row>
    <row r="176" spans="1:9" x14ac:dyDescent="0.25">
      <c r="A176" s="2" t="s">
        <v>3675</v>
      </c>
      <c r="B176" s="2" t="s">
        <v>1053</v>
      </c>
      <c r="C176" s="2" t="s">
        <v>3427</v>
      </c>
      <c r="D176" s="2" t="s">
        <v>3428</v>
      </c>
      <c r="E176" s="2" t="s">
        <v>4</v>
      </c>
      <c r="F176" s="2" t="s">
        <v>3587</v>
      </c>
      <c r="G176" s="2">
        <v>61.53</v>
      </c>
      <c r="H176" s="2" t="s">
        <v>37</v>
      </c>
      <c r="I176" s="2" t="s">
        <v>3331</v>
      </c>
    </row>
    <row r="177" spans="1:9" x14ac:dyDescent="0.25">
      <c r="A177" s="2" t="s">
        <v>3676</v>
      </c>
      <c r="B177" s="2" t="s">
        <v>1464</v>
      </c>
      <c r="C177" s="2" t="s">
        <v>3325</v>
      </c>
      <c r="D177" s="2" t="s">
        <v>3326</v>
      </c>
      <c r="E177" s="2" t="s">
        <v>65</v>
      </c>
      <c r="F177" s="2" t="s">
        <v>3616</v>
      </c>
      <c r="G177" s="2">
        <v>497.91</v>
      </c>
      <c r="H177" s="2" t="s">
        <v>36</v>
      </c>
      <c r="I177" s="2" t="s">
        <v>3365</v>
      </c>
    </row>
    <row r="178" spans="1:9" x14ac:dyDescent="0.25">
      <c r="A178" s="2" t="s">
        <v>3677</v>
      </c>
      <c r="B178" s="2" t="s">
        <v>2621</v>
      </c>
      <c r="C178" s="2" t="s">
        <v>3325</v>
      </c>
      <c r="D178" s="2" t="s">
        <v>3326</v>
      </c>
      <c r="E178" s="2" t="s">
        <v>65</v>
      </c>
      <c r="F178" s="2" t="s">
        <v>3678</v>
      </c>
      <c r="G178" s="2">
        <v>335.22</v>
      </c>
      <c r="H178" s="2" t="s">
        <v>36</v>
      </c>
      <c r="I178" s="2" t="s">
        <v>3331</v>
      </c>
    </row>
    <row r="179" spans="1:9" x14ac:dyDescent="0.25">
      <c r="A179" s="2" t="s">
        <v>3679</v>
      </c>
      <c r="B179" s="2" t="s">
        <v>2053</v>
      </c>
      <c r="C179" s="2" t="s">
        <v>3325</v>
      </c>
      <c r="D179" s="2" t="s">
        <v>3326</v>
      </c>
      <c r="E179" s="2" t="s">
        <v>3316</v>
      </c>
      <c r="F179" s="2" t="s">
        <v>3655</v>
      </c>
      <c r="G179" s="2">
        <v>55.3</v>
      </c>
      <c r="H179" s="2" t="s">
        <v>36</v>
      </c>
      <c r="I179" s="2" t="s">
        <v>3331</v>
      </c>
    </row>
    <row r="180" spans="1:9" x14ac:dyDescent="0.25">
      <c r="A180" s="2" t="s">
        <v>3680</v>
      </c>
      <c r="B180" s="2" t="s">
        <v>245</v>
      </c>
      <c r="C180" s="2" t="s">
        <v>3427</v>
      </c>
      <c r="D180" s="2" t="s">
        <v>3428</v>
      </c>
      <c r="E180" s="2" t="s">
        <v>65</v>
      </c>
      <c r="F180" s="2" t="s">
        <v>3681</v>
      </c>
      <c r="G180" s="2">
        <v>55.8</v>
      </c>
      <c r="H180" s="2" t="s">
        <v>37</v>
      </c>
      <c r="I180" s="2" t="s">
        <v>3323</v>
      </c>
    </row>
    <row r="181" spans="1:9" x14ac:dyDescent="0.25">
      <c r="A181" s="2" t="s">
        <v>3682</v>
      </c>
      <c r="B181" s="2" t="s">
        <v>1778</v>
      </c>
      <c r="C181" s="2" t="s">
        <v>3354</v>
      </c>
      <c r="D181" s="2" t="s">
        <v>3355</v>
      </c>
      <c r="E181" s="2" t="s">
        <v>4</v>
      </c>
      <c r="F181" s="2" t="s">
        <v>3425</v>
      </c>
      <c r="G181" s="2">
        <v>100.16</v>
      </c>
      <c r="H181" s="2" t="s">
        <v>36</v>
      </c>
      <c r="I181" s="2" t="s">
        <v>3328</v>
      </c>
    </row>
    <row r="182" spans="1:9" x14ac:dyDescent="0.25">
      <c r="A182" s="2" t="s">
        <v>3683</v>
      </c>
      <c r="B182" s="2" t="s">
        <v>2568</v>
      </c>
      <c r="C182" s="2" t="s">
        <v>3367</v>
      </c>
      <c r="D182" s="2" t="s">
        <v>3368</v>
      </c>
      <c r="E182" s="2" t="s">
        <v>4</v>
      </c>
      <c r="F182" s="2" t="s">
        <v>3684</v>
      </c>
      <c r="G182" s="2">
        <v>65.34</v>
      </c>
      <c r="H182" s="2" t="s">
        <v>37</v>
      </c>
      <c r="I182" s="2" t="s">
        <v>3365</v>
      </c>
    </row>
    <row r="183" spans="1:9" x14ac:dyDescent="0.25">
      <c r="A183" s="2" t="s">
        <v>3685</v>
      </c>
      <c r="B183" s="2" t="s">
        <v>1631</v>
      </c>
      <c r="C183" s="2" t="s">
        <v>3325</v>
      </c>
      <c r="D183" s="2" t="s">
        <v>3326</v>
      </c>
      <c r="E183" s="2" t="s">
        <v>65</v>
      </c>
      <c r="F183" s="2" t="s">
        <v>3686</v>
      </c>
      <c r="G183" s="2">
        <v>14.46</v>
      </c>
      <c r="H183" s="2" t="s">
        <v>37</v>
      </c>
      <c r="I183" s="2" t="s">
        <v>3370</v>
      </c>
    </row>
    <row r="184" spans="1:9" x14ac:dyDescent="0.25">
      <c r="A184" s="2" t="s">
        <v>3687</v>
      </c>
      <c r="B184" s="2" t="s">
        <v>2303</v>
      </c>
      <c r="C184" s="2" t="s">
        <v>3314</v>
      </c>
      <c r="D184" s="2" t="s">
        <v>3315</v>
      </c>
      <c r="E184" s="2" t="s">
        <v>3316</v>
      </c>
      <c r="F184" s="2" t="s">
        <v>3688</v>
      </c>
      <c r="G184" s="2">
        <v>27.11</v>
      </c>
      <c r="H184" s="2" t="s">
        <v>36</v>
      </c>
      <c r="I184" s="2" t="s">
        <v>3318</v>
      </c>
    </row>
    <row r="185" spans="1:9" x14ac:dyDescent="0.25">
      <c r="A185" s="2" t="s">
        <v>3689</v>
      </c>
      <c r="B185" s="2" t="s">
        <v>2735</v>
      </c>
      <c r="C185" s="2" t="s">
        <v>3336</v>
      </c>
      <c r="D185" s="2" t="s">
        <v>3337</v>
      </c>
      <c r="E185" s="2" t="s">
        <v>4</v>
      </c>
      <c r="F185" s="2" t="s">
        <v>3690</v>
      </c>
      <c r="G185" s="2">
        <v>4033.79</v>
      </c>
      <c r="H185" s="2" t="s">
        <v>36</v>
      </c>
      <c r="I185" s="2" t="s">
        <v>3331</v>
      </c>
    </row>
    <row r="186" spans="1:9" x14ac:dyDescent="0.25">
      <c r="A186" s="2" t="s">
        <v>3691</v>
      </c>
      <c r="B186" s="2" t="s">
        <v>3193</v>
      </c>
      <c r="C186" s="2" t="s">
        <v>3320</v>
      </c>
      <c r="D186" s="2" t="s">
        <v>3321</v>
      </c>
      <c r="E186" s="2" t="s">
        <v>65</v>
      </c>
      <c r="F186" s="2" t="s">
        <v>3692</v>
      </c>
      <c r="G186" s="2">
        <v>21.2</v>
      </c>
      <c r="H186" s="2" t="s">
        <v>36</v>
      </c>
      <c r="I186" s="2" t="s">
        <v>3331</v>
      </c>
    </row>
    <row r="187" spans="1:9" x14ac:dyDescent="0.25">
      <c r="A187" s="2" t="s">
        <v>3693</v>
      </c>
      <c r="B187" s="2" t="s">
        <v>2332</v>
      </c>
      <c r="C187" s="2" t="s">
        <v>3336</v>
      </c>
      <c r="D187" s="2" t="s">
        <v>3337</v>
      </c>
      <c r="E187" s="2" t="s">
        <v>3316</v>
      </c>
      <c r="F187" s="2" t="s">
        <v>3694</v>
      </c>
      <c r="G187" s="2">
        <v>146.19999999999999</v>
      </c>
      <c r="H187" s="2" t="s">
        <v>37</v>
      </c>
      <c r="I187" s="2" t="s">
        <v>3328</v>
      </c>
    </row>
    <row r="188" spans="1:9" x14ac:dyDescent="0.25">
      <c r="A188" s="2" t="s">
        <v>3695</v>
      </c>
      <c r="B188" s="2" t="s">
        <v>1755</v>
      </c>
      <c r="C188" s="2" t="s">
        <v>3403</v>
      </c>
      <c r="D188" s="2" t="s">
        <v>3404</v>
      </c>
      <c r="E188" s="2" t="s">
        <v>4</v>
      </c>
      <c r="F188" s="2" t="s">
        <v>3696</v>
      </c>
      <c r="G188" s="2">
        <v>18.84</v>
      </c>
      <c r="H188" s="2" t="s">
        <v>36</v>
      </c>
      <c r="I188" s="2" t="s">
        <v>3323</v>
      </c>
    </row>
    <row r="189" spans="1:9" x14ac:dyDescent="0.25">
      <c r="A189" s="2" t="s">
        <v>3697</v>
      </c>
      <c r="B189" s="2" t="s">
        <v>323</v>
      </c>
      <c r="C189" s="2" t="s">
        <v>3427</v>
      </c>
      <c r="D189" s="2" t="s">
        <v>3428</v>
      </c>
      <c r="E189" s="2" t="s">
        <v>4</v>
      </c>
      <c r="F189" s="2" t="s">
        <v>3698</v>
      </c>
      <c r="G189" s="2">
        <v>4729.3599999999997</v>
      </c>
      <c r="H189" s="2" t="s">
        <v>36</v>
      </c>
      <c r="I189" s="2" t="s">
        <v>3323</v>
      </c>
    </row>
    <row r="190" spans="1:9" x14ac:dyDescent="0.25">
      <c r="A190" s="2" t="s">
        <v>3699</v>
      </c>
      <c r="B190" s="2" t="s">
        <v>391</v>
      </c>
      <c r="C190" s="2" t="s">
        <v>3341</v>
      </c>
      <c r="D190" s="2" t="s">
        <v>3342</v>
      </c>
      <c r="E190" s="2" t="s">
        <v>91</v>
      </c>
      <c r="F190" s="2" t="s">
        <v>3700</v>
      </c>
      <c r="G190" s="2">
        <v>4228.91</v>
      </c>
      <c r="H190" s="2" t="s">
        <v>36</v>
      </c>
      <c r="I190" s="2" t="s">
        <v>3331</v>
      </c>
    </row>
    <row r="191" spans="1:9" x14ac:dyDescent="0.25">
      <c r="A191" s="2" t="s">
        <v>3701</v>
      </c>
      <c r="B191" s="2" t="s">
        <v>2011</v>
      </c>
      <c r="C191" s="2" t="s">
        <v>3314</v>
      </c>
      <c r="D191" s="2" t="s">
        <v>3315</v>
      </c>
      <c r="E191" s="2" t="s">
        <v>3316</v>
      </c>
      <c r="F191" s="2" t="s">
        <v>3702</v>
      </c>
      <c r="G191" s="2">
        <v>46.46</v>
      </c>
      <c r="H191" s="2" t="s">
        <v>36</v>
      </c>
      <c r="I191" s="2" t="s">
        <v>3331</v>
      </c>
    </row>
    <row r="192" spans="1:9" x14ac:dyDescent="0.25">
      <c r="A192" s="2" t="s">
        <v>3703</v>
      </c>
      <c r="B192" s="2" t="s">
        <v>1410</v>
      </c>
      <c r="C192" s="2" t="s">
        <v>3320</v>
      </c>
      <c r="D192" s="2" t="s">
        <v>3321</v>
      </c>
      <c r="E192" s="2" t="s">
        <v>65</v>
      </c>
      <c r="F192" s="2" t="s">
        <v>3704</v>
      </c>
      <c r="G192" s="2">
        <v>390.11</v>
      </c>
      <c r="H192" s="2" t="s">
        <v>36</v>
      </c>
      <c r="I192" s="2" t="s">
        <v>3323</v>
      </c>
    </row>
    <row r="193" spans="1:9" x14ac:dyDescent="0.25">
      <c r="A193" s="2" t="s">
        <v>3705</v>
      </c>
      <c r="B193" s="2" t="s">
        <v>2483</v>
      </c>
      <c r="C193" s="2" t="s">
        <v>3403</v>
      </c>
      <c r="D193" s="2" t="s">
        <v>3404</v>
      </c>
      <c r="E193" s="2" t="s">
        <v>65</v>
      </c>
      <c r="F193" s="2" t="s">
        <v>1993</v>
      </c>
      <c r="G193" s="2">
        <v>12.57</v>
      </c>
      <c r="H193" s="2" t="s">
        <v>36</v>
      </c>
      <c r="I193" s="2" t="s">
        <v>3318</v>
      </c>
    </row>
    <row r="194" spans="1:9" x14ac:dyDescent="0.25">
      <c r="A194" s="2" t="s">
        <v>3706</v>
      </c>
      <c r="B194" s="2" t="s">
        <v>2538</v>
      </c>
      <c r="C194" s="2" t="s">
        <v>3320</v>
      </c>
      <c r="D194" s="2" t="s">
        <v>3321</v>
      </c>
      <c r="E194" s="2" t="s">
        <v>4</v>
      </c>
      <c r="F194" s="2" t="s">
        <v>3707</v>
      </c>
      <c r="G194" s="2">
        <v>78.67</v>
      </c>
      <c r="H194" s="2" t="s">
        <v>36</v>
      </c>
      <c r="I194" s="2" t="s">
        <v>3385</v>
      </c>
    </row>
    <row r="195" spans="1:9" x14ac:dyDescent="0.25">
      <c r="A195" s="2" t="s">
        <v>3708</v>
      </c>
      <c r="B195" s="2" t="s">
        <v>3043</v>
      </c>
      <c r="C195" s="2" t="s">
        <v>3367</v>
      </c>
      <c r="D195" s="2" t="s">
        <v>3368</v>
      </c>
      <c r="E195" s="2" t="s">
        <v>65</v>
      </c>
      <c r="F195" s="2" t="s">
        <v>3709</v>
      </c>
      <c r="G195" s="2" t="s">
        <v>3710</v>
      </c>
      <c r="H195" s="2" t="s">
        <v>36</v>
      </c>
      <c r="I195" s="2" t="s">
        <v>3328</v>
      </c>
    </row>
    <row r="196" spans="1:9" x14ac:dyDescent="0.25">
      <c r="A196" s="2" t="s">
        <v>3711</v>
      </c>
      <c r="B196" s="2" t="s">
        <v>487</v>
      </c>
      <c r="C196" s="2" t="s">
        <v>3325</v>
      </c>
      <c r="D196" s="2" t="s">
        <v>3326</v>
      </c>
      <c r="E196" s="2" t="s">
        <v>3316</v>
      </c>
      <c r="F196" s="2" t="s">
        <v>3712</v>
      </c>
      <c r="G196" s="2">
        <v>50000</v>
      </c>
      <c r="H196" s="2" t="s">
        <v>37</v>
      </c>
      <c r="I196" s="2" t="s">
        <v>3365</v>
      </c>
    </row>
    <row r="197" spans="1:9" x14ac:dyDescent="0.25">
      <c r="A197" s="2" t="s">
        <v>3713</v>
      </c>
      <c r="B197" s="2" t="s">
        <v>1192</v>
      </c>
      <c r="C197" s="2" t="s">
        <v>3427</v>
      </c>
      <c r="D197" s="2" t="s">
        <v>3428</v>
      </c>
      <c r="E197" s="2" t="s">
        <v>65</v>
      </c>
      <c r="F197" s="2" t="s">
        <v>3478</v>
      </c>
      <c r="G197" s="2">
        <v>239.13</v>
      </c>
      <c r="H197" s="2" t="s">
        <v>36</v>
      </c>
      <c r="I197" s="2" t="s">
        <v>3331</v>
      </c>
    </row>
    <row r="198" spans="1:9" x14ac:dyDescent="0.25">
      <c r="A198" s="2" t="s">
        <v>3714</v>
      </c>
      <c r="B198" s="2" t="s">
        <v>1643</v>
      </c>
      <c r="C198" s="2" t="s">
        <v>3325</v>
      </c>
      <c r="D198" s="2" t="s">
        <v>3326</v>
      </c>
      <c r="E198" s="2" t="s">
        <v>65</v>
      </c>
      <c r="F198" s="2" t="s">
        <v>3715</v>
      </c>
      <c r="G198" s="2">
        <v>589.96</v>
      </c>
      <c r="H198" s="2" t="s">
        <v>36</v>
      </c>
      <c r="I198" s="2" t="s">
        <v>3318</v>
      </c>
    </row>
    <row r="199" spans="1:9" x14ac:dyDescent="0.25">
      <c r="A199" s="2" t="s">
        <v>3716</v>
      </c>
      <c r="B199" s="2" t="s">
        <v>38</v>
      </c>
      <c r="C199" s="2" t="s">
        <v>3336</v>
      </c>
      <c r="D199" s="2" t="s">
        <v>3337</v>
      </c>
      <c r="E199" s="2" t="s">
        <v>65</v>
      </c>
      <c r="F199" s="2" t="s">
        <v>3717</v>
      </c>
      <c r="G199" s="2">
        <v>28.76</v>
      </c>
      <c r="H199" s="2" t="s">
        <v>36</v>
      </c>
      <c r="I199" s="2" t="s">
        <v>3334</v>
      </c>
    </row>
    <row r="200" spans="1:9" x14ac:dyDescent="0.25">
      <c r="A200" s="2" t="s">
        <v>3718</v>
      </c>
      <c r="B200" s="2" t="s">
        <v>3290</v>
      </c>
      <c r="C200" s="2" t="s">
        <v>3403</v>
      </c>
      <c r="D200" s="2" t="s">
        <v>3404</v>
      </c>
      <c r="E200" s="2" t="s">
        <v>4</v>
      </c>
      <c r="F200" s="2" t="s">
        <v>3719</v>
      </c>
      <c r="G200" s="2">
        <v>126.59</v>
      </c>
      <c r="H200" s="2" t="s">
        <v>37</v>
      </c>
      <c r="I200" s="2" t="s">
        <v>3385</v>
      </c>
    </row>
    <row r="201" spans="1:9" x14ac:dyDescent="0.25">
      <c r="A201" s="2" t="s">
        <v>3720</v>
      </c>
      <c r="B201" s="2" t="s">
        <v>1567</v>
      </c>
      <c r="C201" s="2" t="s">
        <v>3427</v>
      </c>
      <c r="D201" s="2" t="s">
        <v>3428</v>
      </c>
      <c r="E201" s="2" t="s">
        <v>4</v>
      </c>
      <c r="F201" s="2" t="s">
        <v>3698</v>
      </c>
      <c r="G201" s="2">
        <v>39.049999999999997</v>
      </c>
      <c r="H201" s="2" t="s">
        <v>36</v>
      </c>
      <c r="I201" s="2" t="s">
        <v>3385</v>
      </c>
    </row>
    <row r="202" spans="1:9" x14ac:dyDescent="0.25">
      <c r="A202" s="2" t="s">
        <v>3721</v>
      </c>
      <c r="B202" s="2" t="s">
        <v>1207</v>
      </c>
      <c r="C202" s="2" t="s">
        <v>3341</v>
      </c>
      <c r="D202" s="2" t="s">
        <v>3342</v>
      </c>
      <c r="E202" s="2" t="s">
        <v>4</v>
      </c>
      <c r="F202" s="2" t="s">
        <v>3722</v>
      </c>
      <c r="G202" s="2">
        <v>13.76</v>
      </c>
      <c r="H202" s="2" t="s">
        <v>37</v>
      </c>
      <c r="I202" s="2" t="s">
        <v>3385</v>
      </c>
    </row>
    <row r="203" spans="1:9" x14ac:dyDescent="0.25">
      <c r="A203" s="2" t="s">
        <v>3723</v>
      </c>
      <c r="B203" s="2" t="s">
        <v>790</v>
      </c>
      <c r="C203" s="2" t="s">
        <v>3403</v>
      </c>
      <c r="D203" s="2" t="s">
        <v>3404</v>
      </c>
      <c r="E203" s="2" t="s">
        <v>4</v>
      </c>
      <c r="F203" s="2" t="s">
        <v>3724</v>
      </c>
      <c r="G203" s="2">
        <v>39.340000000000003</v>
      </c>
      <c r="H203" s="2" t="s">
        <v>36</v>
      </c>
      <c r="I203" s="2" t="s">
        <v>3370</v>
      </c>
    </row>
    <row r="204" spans="1:9" x14ac:dyDescent="0.25">
      <c r="A204" s="2" t="s">
        <v>3725</v>
      </c>
      <c r="B204" s="2" t="s">
        <v>1855</v>
      </c>
      <c r="C204" s="2" t="s">
        <v>3341</v>
      </c>
      <c r="D204" s="2" t="s">
        <v>3342</v>
      </c>
      <c r="E204" s="2" t="s">
        <v>91</v>
      </c>
      <c r="F204" s="2" t="s">
        <v>3726</v>
      </c>
      <c r="G204" s="2">
        <v>213.54</v>
      </c>
      <c r="H204" s="2" t="s">
        <v>36</v>
      </c>
      <c r="I204" s="2" t="s">
        <v>3318</v>
      </c>
    </row>
    <row r="205" spans="1:9" x14ac:dyDescent="0.25">
      <c r="A205" s="2" t="s">
        <v>3727</v>
      </c>
      <c r="B205" s="2" t="s">
        <v>2046</v>
      </c>
      <c r="C205" s="2" t="s">
        <v>3325</v>
      </c>
      <c r="D205" s="2" t="s">
        <v>3326</v>
      </c>
      <c r="E205" s="2" t="s">
        <v>3338</v>
      </c>
      <c r="F205" s="2" t="s">
        <v>3728</v>
      </c>
      <c r="G205" s="2">
        <v>372.32</v>
      </c>
      <c r="H205" s="2" t="s">
        <v>36</v>
      </c>
      <c r="I205" s="2" t="s">
        <v>3328</v>
      </c>
    </row>
    <row r="206" spans="1:9" x14ac:dyDescent="0.25">
      <c r="A206" s="2" t="s">
        <v>3729</v>
      </c>
      <c r="B206" s="2" t="s">
        <v>802</v>
      </c>
      <c r="C206" s="2" t="s">
        <v>3320</v>
      </c>
      <c r="D206" s="2" t="s">
        <v>3321</v>
      </c>
      <c r="E206" s="2" t="s">
        <v>65</v>
      </c>
      <c r="F206" s="2" t="s">
        <v>3730</v>
      </c>
      <c r="G206" s="2">
        <v>252.27</v>
      </c>
      <c r="H206" s="2" t="s">
        <v>36</v>
      </c>
      <c r="I206" s="2" t="s">
        <v>3331</v>
      </c>
    </row>
    <row r="207" spans="1:9" x14ac:dyDescent="0.25">
      <c r="A207" s="2" t="s">
        <v>3731</v>
      </c>
      <c r="B207" s="2" t="s">
        <v>2638</v>
      </c>
      <c r="C207" s="2" t="s">
        <v>3336</v>
      </c>
      <c r="D207" s="2" t="s">
        <v>3337</v>
      </c>
      <c r="E207" s="2" t="s">
        <v>3316</v>
      </c>
      <c r="F207" s="2" t="s">
        <v>3732</v>
      </c>
      <c r="G207" s="2">
        <v>349.18</v>
      </c>
      <c r="H207" s="2" t="s">
        <v>36</v>
      </c>
      <c r="I207" s="2" t="s">
        <v>3334</v>
      </c>
    </row>
    <row r="208" spans="1:9" x14ac:dyDescent="0.25">
      <c r="A208" s="2" t="s">
        <v>3733</v>
      </c>
      <c r="B208" s="2" t="s">
        <v>1186</v>
      </c>
      <c r="C208" s="2" t="s">
        <v>3325</v>
      </c>
      <c r="D208" s="2" t="s">
        <v>3326</v>
      </c>
      <c r="E208" s="2" t="s">
        <v>3316</v>
      </c>
      <c r="F208" s="2" t="s">
        <v>3330</v>
      </c>
      <c r="G208" s="2">
        <v>1496.64</v>
      </c>
      <c r="H208" s="2" t="s">
        <v>37</v>
      </c>
      <c r="I208" s="2" t="s">
        <v>3331</v>
      </c>
    </row>
    <row r="209" spans="1:9" x14ac:dyDescent="0.25">
      <c r="A209" s="2" t="s">
        <v>3734</v>
      </c>
      <c r="B209" s="2" t="s">
        <v>3171</v>
      </c>
      <c r="C209" s="2" t="s">
        <v>3325</v>
      </c>
      <c r="D209" s="2" t="s">
        <v>3326</v>
      </c>
      <c r="E209" s="2" t="s">
        <v>3316</v>
      </c>
      <c r="F209" s="2" t="s">
        <v>3735</v>
      </c>
      <c r="G209" s="2">
        <v>9.91</v>
      </c>
      <c r="H209" s="2" t="s">
        <v>36</v>
      </c>
      <c r="I209" s="2" t="s">
        <v>3323</v>
      </c>
    </row>
    <row r="210" spans="1:9" x14ac:dyDescent="0.25">
      <c r="A210" s="2" t="s">
        <v>3736</v>
      </c>
      <c r="B210" s="2" t="s">
        <v>1059</v>
      </c>
      <c r="C210" s="2" t="s">
        <v>3354</v>
      </c>
      <c r="D210" s="2" t="s">
        <v>3355</v>
      </c>
      <c r="E210" s="2" t="s">
        <v>4</v>
      </c>
      <c r="F210" s="2" t="s">
        <v>3425</v>
      </c>
      <c r="G210" s="2">
        <v>368.28</v>
      </c>
      <c r="H210" s="2" t="s">
        <v>36</v>
      </c>
      <c r="I210" s="2" t="s">
        <v>3370</v>
      </c>
    </row>
    <row r="211" spans="1:9" x14ac:dyDescent="0.25">
      <c r="A211" s="2" t="s">
        <v>3737</v>
      </c>
      <c r="B211" s="2" t="s">
        <v>2386</v>
      </c>
      <c r="C211" s="2" t="s">
        <v>3320</v>
      </c>
      <c r="D211" s="2" t="s">
        <v>3321</v>
      </c>
      <c r="E211" s="2" t="s">
        <v>65</v>
      </c>
      <c r="F211" s="2" t="s">
        <v>3738</v>
      </c>
      <c r="G211" s="2">
        <v>432.99</v>
      </c>
      <c r="H211" s="2" t="s">
        <v>37</v>
      </c>
      <c r="I211" s="2" t="s">
        <v>3323</v>
      </c>
    </row>
    <row r="212" spans="1:9" x14ac:dyDescent="0.25">
      <c r="A212" s="2" t="s">
        <v>3739</v>
      </c>
      <c r="B212" s="2" t="s">
        <v>2309</v>
      </c>
      <c r="C212" s="2" t="s">
        <v>3320</v>
      </c>
      <c r="D212" s="2" t="s">
        <v>3321</v>
      </c>
      <c r="E212" s="2" t="s">
        <v>65</v>
      </c>
      <c r="F212" s="2" t="s">
        <v>3740</v>
      </c>
      <c r="G212" s="2">
        <v>56</v>
      </c>
      <c r="H212" s="2" t="s">
        <v>36</v>
      </c>
      <c r="I212" s="2" t="s">
        <v>3323</v>
      </c>
    </row>
    <row r="213" spans="1:9" x14ac:dyDescent="0.25">
      <c r="A213" s="2" t="s">
        <v>3741</v>
      </c>
      <c r="B213" s="2" t="s">
        <v>1167</v>
      </c>
      <c r="C213" s="2" t="s">
        <v>3354</v>
      </c>
      <c r="D213" s="2" t="s">
        <v>3355</v>
      </c>
      <c r="E213" s="2" t="s">
        <v>65</v>
      </c>
      <c r="F213" s="2" t="s">
        <v>3356</v>
      </c>
      <c r="G213" s="2">
        <v>32.07</v>
      </c>
      <c r="H213" s="2" t="s">
        <v>36</v>
      </c>
      <c r="I213" s="2" t="s">
        <v>3385</v>
      </c>
    </row>
    <row r="214" spans="1:9" x14ac:dyDescent="0.25">
      <c r="A214" s="2" t="s">
        <v>3742</v>
      </c>
      <c r="B214" s="2" t="s">
        <v>3266</v>
      </c>
      <c r="C214" s="2" t="s">
        <v>3314</v>
      </c>
      <c r="D214" s="2" t="s">
        <v>3315</v>
      </c>
      <c r="E214" s="2" t="s">
        <v>3316</v>
      </c>
      <c r="F214" s="2" t="s">
        <v>3743</v>
      </c>
      <c r="G214" s="2">
        <v>140.05000000000001</v>
      </c>
      <c r="H214" s="2" t="s">
        <v>36</v>
      </c>
      <c r="I214" s="2" t="s">
        <v>3318</v>
      </c>
    </row>
    <row r="215" spans="1:9" x14ac:dyDescent="0.25">
      <c r="A215" s="2" t="s">
        <v>3744</v>
      </c>
      <c r="B215" s="2" t="s">
        <v>2218</v>
      </c>
      <c r="C215" s="2" t="s">
        <v>3362</v>
      </c>
      <c r="D215" s="2" t="s">
        <v>3363</v>
      </c>
      <c r="E215" s="2" t="s">
        <v>65</v>
      </c>
      <c r="F215" s="2" t="s">
        <v>3364</v>
      </c>
      <c r="G215" s="2">
        <v>28.34</v>
      </c>
      <c r="H215" s="2" t="s">
        <v>36</v>
      </c>
      <c r="I215" s="2" t="s">
        <v>3318</v>
      </c>
    </row>
    <row r="216" spans="1:9" x14ac:dyDescent="0.25">
      <c r="A216" s="2" t="s">
        <v>3745</v>
      </c>
      <c r="B216" s="2" t="s">
        <v>1957</v>
      </c>
      <c r="C216" s="2" t="s">
        <v>3314</v>
      </c>
      <c r="D216" s="2" t="s">
        <v>3315</v>
      </c>
      <c r="E216" s="2" t="s">
        <v>3316</v>
      </c>
      <c r="F216" s="2" t="s">
        <v>3746</v>
      </c>
      <c r="G216" s="2">
        <v>29.89</v>
      </c>
      <c r="H216" s="2" t="s">
        <v>37</v>
      </c>
      <c r="I216" s="2" t="s">
        <v>3328</v>
      </c>
    </row>
    <row r="217" spans="1:9" x14ac:dyDescent="0.25">
      <c r="A217" s="2" t="s">
        <v>3747</v>
      </c>
      <c r="B217" s="2" t="s">
        <v>2764</v>
      </c>
      <c r="C217" s="2" t="s">
        <v>3341</v>
      </c>
      <c r="D217" s="2" t="s">
        <v>3342</v>
      </c>
      <c r="E217" s="2" t="s">
        <v>91</v>
      </c>
      <c r="F217" s="2" t="s">
        <v>3748</v>
      </c>
      <c r="G217" s="2">
        <v>10.43</v>
      </c>
      <c r="H217" s="2" t="s">
        <v>36</v>
      </c>
      <c r="I217" s="2" t="s">
        <v>3370</v>
      </c>
    </row>
    <row r="218" spans="1:9" x14ac:dyDescent="0.25">
      <c r="A218" s="2" t="s">
        <v>3749</v>
      </c>
      <c r="B218" s="2" t="s">
        <v>3147</v>
      </c>
      <c r="C218" s="2" t="s">
        <v>3354</v>
      </c>
      <c r="D218" s="2" t="s">
        <v>3355</v>
      </c>
      <c r="E218" s="2" t="s">
        <v>4</v>
      </c>
      <c r="F218" s="2" t="s">
        <v>3623</v>
      </c>
      <c r="G218" s="2">
        <v>49.45</v>
      </c>
      <c r="H218" s="2" t="s">
        <v>36</v>
      </c>
      <c r="I218" s="2" t="s">
        <v>3334</v>
      </c>
    </row>
    <row r="219" spans="1:9" x14ac:dyDescent="0.25">
      <c r="A219" s="2" t="s">
        <v>3750</v>
      </c>
      <c r="B219" s="2" t="s">
        <v>3235</v>
      </c>
      <c r="C219" s="2" t="s">
        <v>3336</v>
      </c>
      <c r="D219" s="2" t="s">
        <v>3337</v>
      </c>
      <c r="E219" s="2" t="s">
        <v>3338</v>
      </c>
      <c r="F219" s="2" t="s">
        <v>3751</v>
      </c>
      <c r="G219" s="2">
        <v>90.59</v>
      </c>
      <c r="H219" s="2" t="s">
        <v>37</v>
      </c>
      <c r="I219" s="2" t="s">
        <v>3318</v>
      </c>
    </row>
    <row r="220" spans="1:9" x14ac:dyDescent="0.25">
      <c r="A220" s="2" t="s">
        <v>3752</v>
      </c>
      <c r="B220" s="2" t="s">
        <v>256</v>
      </c>
      <c r="C220" s="2" t="s">
        <v>3325</v>
      </c>
      <c r="D220" s="2" t="s">
        <v>3326</v>
      </c>
      <c r="E220" s="2" t="s">
        <v>65</v>
      </c>
      <c r="F220" s="2" t="s">
        <v>3753</v>
      </c>
      <c r="G220" s="2" t="s">
        <v>3754</v>
      </c>
      <c r="H220" s="2" t="s">
        <v>36</v>
      </c>
      <c r="I220" s="2" t="s">
        <v>3328</v>
      </c>
    </row>
    <row r="221" spans="1:9" x14ac:dyDescent="0.25">
      <c r="A221" s="2" t="s">
        <v>3755</v>
      </c>
      <c r="B221" s="2" t="s">
        <v>2263</v>
      </c>
      <c r="C221" s="2" t="s">
        <v>3325</v>
      </c>
      <c r="D221" s="2" t="s">
        <v>3326</v>
      </c>
      <c r="E221" s="2" t="s">
        <v>3338</v>
      </c>
      <c r="F221" s="2" t="s">
        <v>3756</v>
      </c>
      <c r="G221" s="2">
        <v>71.95</v>
      </c>
      <c r="H221" s="2" t="s">
        <v>36</v>
      </c>
      <c r="I221" s="2" t="s">
        <v>3318</v>
      </c>
    </row>
    <row r="222" spans="1:9" x14ac:dyDescent="0.25">
      <c r="A222" s="2" t="s">
        <v>3757</v>
      </c>
      <c r="B222" s="2" t="s">
        <v>2082</v>
      </c>
      <c r="C222" s="2" t="s">
        <v>3367</v>
      </c>
      <c r="D222" s="2" t="s">
        <v>3368</v>
      </c>
      <c r="E222" s="2" t="s">
        <v>65</v>
      </c>
      <c r="F222" s="2" t="s">
        <v>3758</v>
      </c>
      <c r="G222" s="2">
        <v>70.16</v>
      </c>
      <c r="H222" s="2" t="s">
        <v>37</v>
      </c>
      <c r="I222" s="2" t="s">
        <v>3385</v>
      </c>
    </row>
    <row r="223" spans="1:9" x14ac:dyDescent="0.25">
      <c r="A223" s="2" t="s">
        <v>3759</v>
      </c>
      <c r="B223" s="2" t="s">
        <v>2118</v>
      </c>
      <c r="C223" s="2" t="s">
        <v>3341</v>
      </c>
      <c r="D223" s="2" t="s">
        <v>3342</v>
      </c>
      <c r="E223" s="2" t="s">
        <v>3316</v>
      </c>
      <c r="F223" s="2" t="s">
        <v>3760</v>
      </c>
      <c r="G223" s="2">
        <v>148.19</v>
      </c>
      <c r="H223" s="2" t="s">
        <v>36</v>
      </c>
      <c r="I223" s="2" t="s">
        <v>3328</v>
      </c>
    </row>
    <row r="224" spans="1:9" x14ac:dyDescent="0.25">
      <c r="A224" s="2" t="s">
        <v>3761</v>
      </c>
      <c r="B224" s="2" t="s">
        <v>2928</v>
      </c>
      <c r="C224" s="2" t="s">
        <v>3341</v>
      </c>
      <c r="D224" s="2" t="s">
        <v>3342</v>
      </c>
      <c r="E224" s="2" t="s">
        <v>91</v>
      </c>
      <c r="F224" s="2" t="s">
        <v>3762</v>
      </c>
      <c r="G224" s="2">
        <v>25.72</v>
      </c>
      <c r="H224" s="2" t="s">
        <v>36</v>
      </c>
      <c r="I224" s="2" t="s">
        <v>3328</v>
      </c>
    </row>
    <row r="225" spans="1:9" x14ac:dyDescent="0.25">
      <c r="A225" s="2" t="s">
        <v>3763</v>
      </c>
      <c r="B225" s="2" t="s">
        <v>234</v>
      </c>
      <c r="C225" s="2" t="s">
        <v>3403</v>
      </c>
      <c r="D225" s="2" t="s">
        <v>3404</v>
      </c>
      <c r="E225" s="2" t="s">
        <v>3316</v>
      </c>
      <c r="F225" s="2" t="s">
        <v>3764</v>
      </c>
      <c r="G225" s="2">
        <v>305.92</v>
      </c>
      <c r="H225" s="2" t="s">
        <v>37</v>
      </c>
      <c r="I225" s="2" t="s">
        <v>3331</v>
      </c>
    </row>
    <row r="226" spans="1:9" x14ac:dyDescent="0.25">
      <c r="A226" s="2" t="s">
        <v>3765</v>
      </c>
      <c r="B226" s="2" t="s">
        <v>1097</v>
      </c>
      <c r="C226" s="2" t="s">
        <v>3336</v>
      </c>
      <c r="D226" s="2" t="s">
        <v>3337</v>
      </c>
      <c r="E226" s="2" t="s">
        <v>3316</v>
      </c>
      <c r="F226" s="2" t="s">
        <v>3766</v>
      </c>
      <c r="G226" s="2">
        <v>17.809999999999999</v>
      </c>
      <c r="H226" s="2" t="s">
        <v>36</v>
      </c>
      <c r="I226" s="2" t="s">
        <v>3331</v>
      </c>
    </row>
    <row r="227" spans="1:9" x14ac:dyDescent="0.25">
      <c r="A227" s="2" t="s">
        <v>3767</v>
      </c>
      <c r="B227" s="2" t="s">
        <v>3021</v>
      </c>
      <c r="C227" s="2" t="s">
        <v>3367</v>
      </c>
      <c r="D227" s="2" t="s">
        <v>3368</v>
      </c>
      <c r="E227" s="2" t="s">
        <v>4</v>
      </c>
      <c r="F227" s="2" t="s">
        <v>3768</v>
      </c>
      <c r="G227" s="2">
        <v>17.7</v>
      </c>
      <c r="H227" s="2" t="s">
        <v>37</v>
      </c>
      <c r="I227" s="2" t="s">
        <v>3318</v>
      </c>
    </row>
    <row r="228" spans="1:9" x14ac:dyDescent="0.25">
      <c r="A228" s="2" t="s">
        <v>3769</v>
      </c>
      <c r="B228" s="2" t="s">
        <v>1976</v>
      </c>
      <c r="C228" s="2" t="s">
        <v>3336</v>
      </c>
      <c r="D228" s="2" t="s">
        <v>3337</v>
      </c>
      <c r="E228" s="2" t="s">
        <v>65</v>
      </c>
      <c r="F228" s="2" t="s">
        <v>3770</v>
      </c>
      <c r="G228" s="2">
        <v>399.43</v>
      </c>
      <c r="H228" s="2" t="s">
        <v>37</v>
      </c>
      <c r="I228" s="2" t="s">
        <v>3334</v>
      </c>
    </row>
    <row r="229" spans="1:9" x14ac:dyDescent="0.25">
      <c r="A229" s="2" t="s">
        <v>3771</v>
      </c>
      <c r="B229" s="2" t="s">
        <v>2976</v>
      </c>
      <c r="C229" s="2" t="s">
        <v>3367</v>
      </c>
      <c r="D229" s="2" t="s">
        <v>3368</v>
      </c>
      <c r="E229" s="2" t="s">
        <v>65</v>
      </c>
      <c r="F229" s="2" t="s">
        <v>3772</v>
      </c>
      <c r="G229" s="2">
        <v>10.72</v>
      </c>
      <c r="H229" s="2" t="s">
        <v>37</v>
      </c>
      <c r="I229" s="2" t="s">
        <v>3334</v>
      </c>
    </row>
    <row r="230" spans="1:9" x14ac:dyDescent="0.25">
      <c r="A230" s="2" t="s">
        <v>3773</v>
      </c>
      <c r="B230" s="2" t="s">
        <v>1591</v>
      </c>
      <c r="C230" s="2" t="s">
        <v>3314</v>
      </c>
      <c r="D230" s="2" t="s">
        <v>3315</v>
      </c>
      <c r="E230" s="2" t="s">
        <v>65</v>
      </c>
      <c r="F230" s="2" t="s">
        <v>3774</v>
      </c>
      <c r="G230" s="2">
        <v>174.45</v>
      </c>
      <c r="H230" s="2" t="s">
        <v>37</v>
      </c>
      <c r="I230" s="2" t="s">
        <v>3334</v>
      </c>
    </row>
    <row r="231" spans="1:9" x14ac:dyDescent="0.25">
      <c r="A231" s="2" t="s">
        <v>3775</v>
      </c>
      <c r="B231" s="2" t="s">
        <v>2981</v>
      </c>
      <c r="C231" s="2" t="s">
        <v>3367</v>
      </c>
      <c r="D231" s="2" t="s">
        <v>3368</v>
      </c>
      <c r="E231" s="2" t="s">
        <v>65</v>
      </c>
      <c r="F231" s="2" t="s">
        <v>3508</v>
      </c>
      <c r="G231" s="2">
        <v>38.9</v>
      </c>
      <c r="H231" s="2" t="s">
        <v>37</v>
      </c>
      <c r="I231" s="2" t="s">
        <v>3385</v>
      </c>
    </row>
    <row r="232" spans="1:9" x14ac:dyDescent="0.25">
      <c r="A232" s="2" t="s">
        <v>3776</v>
      </c>
      <c r="B232" s="2" t="s">
        <v>784</v>
      </c>
      <c r="C232" s="2" t="s">
        <v>3320</v>
      </c>
      <c r="D232" s="2" t="s">
        <v>3321</v>
      </c>
      <c r="E232" s="2" t="s">
        <v>65</v>
      </c>
      <c r="F232" s="2" t="s">
        <v>3777</v>
      </c>
      <c r="G232" s="2">
        <v>27.32</v>
      </c>
      <c r="H232" s="2" t="s">
        <v>36</v>
      </c>
      <c r="I232" s="2" t="s">
        <v>3365</v>
      </c>
    </row>
    <row r="233" spans="1:9" x14ac:dyDescent="0.25">
      <c r="A233" s="2" t="s">
        <v>3778</v>
      </c>
      <c r="B233" s="2" t="s">
        <v>1207</v>
      </c>
      <c r="C233" s="2" t="s">
        <v>3336</v>
      </c>
      <c r="D233" s="2" t="s">
        <v>3337</v>
      </c>
      <c r="E233" s="2" t="s">
        <v>4</v>
      </c>
      <c r="F233" s="2" t="s">
        <v>3579</v>
      </c>
      <c r="G233" s="2">
        <v>17.36</v>
      </c>
      <c r="H233" s="2" t="s">
        <v>37</v>
      </c>
      <c r="I233" s="2" t="s">
        <v>3370</v>
      </c>
    </row>
    <row r="234" spans="1:9" x14ac:dyDescent="0.25">
      <c r="A234" s="2" t="s">
        <v>3779</v>
      </c>
      <c r="B234" s="2" t="s">
        <v>1897</v>
      </c>
      <c r="C234" s="2" t="s">
        <v>3367</v>
      </c>
      <c r="D234" s="2" t="s">
        <v>3368</v>
      </c>
      <c r="E234" s="2" t="s">
        <v>65</v>
      </c>
      <c r="F234" s="2" t="s">
        <v>3780</v>
      </c>
      <c r="G234" s="2">
        <v>219.18</v>
      </c>
      <c r="H234" s="2" t="s">
        <v>37</v>
      </c>
      <c r="I234" s="2" t="s">
        <v>3385</v>
      </c>
    </row>
    <row r="235" spans="1:9" x14ac:dyDescent="0.25">
      <c r="A235" s="2" t="s">
        <v>3781</v>
      </c>
      <c r="B235" s="2" t="s">
        <v>3026</v>
      </c>
      <c r="C235" s="2" t="s">
        <v>3314</v>
      </c>
      <c r="D235" s="2" t="s">
        <v>3315</v>
      </c>
      <c r="E235" s="2" t="s">
        <v>65</v>
      </c>
      <c r="F235" s="2" t="s">
        <v>3722</v>
      </c>
      <c r="G235" s="2">
        <v>148.16999999999999</v>
      </c>
      <c r="H235" s="2" t="s">
        <v>37</v>
      </c>
      <c r="I235" s="2" t="s">
        <v>3365</v>
      </c>
    </row>
    <row r="236" spans="1:9" x14ac:dyDescent="0.25">
      <c r="A236" s="2" t="s">
        <v>3782</v>
      </c>
      <c r="B236" s="2" t="s">
        <v>447</v>
      </c>
      <c r="C236" s="2" t="s">
        <v>3341</v>
      </c>
      <c r="D236" s="2" t="s">
        <v>3342</v>
      </c>
      <c r="E236" s="2" t="s">
        <v>4</v>
      </c>
      <c r="F236" s="2" t="s">
        <v>3783</v>
      </c>
      <c r="G236" s="2">
        <v>102.78</v>
      </c>
      <c r="H236" s="2" t="s">
        <v>36</v>
      </c>
      <c r="I236" s="2" t="s">
        <v>3334</v>
      </c>
    </row>
    <row r="237" spans="1:9" x14ac:dyDescent="0.25">
      <c r="A237" s="2" t="s">
        <v>3784</v>
      </c>
      <c r="B237" s="2" t="s">
        <v>2224</v>
      </c>
      <c r="C237" s="2" t="s">
        <v>3403</v>
      </c>
      <c r="D237" s="2" t="s">
        <v>3404</v>
      </c>
      <c r="E237" s="2" t="s">
        <v>4</v>
      </c>
      <c r="F237" s="2" t="s">
        <v>3785</v>
      </c>
      <c r="G237" s="2">
        <v>21.96</v>
      </c>
      <c r="H237" s="2" t="s">
        <v>36</v>
      </c>
      <c r="I237" s="2" t="s">
        <v>3323</v>
      </c>
    </row>
    <row r="238" spans="1:9" x14ac:dyDescent="0.25">
      <c r="A238" s="2" t="s">
        <v>3786</v>
      </c>
      <c r="B238" s="2" t="s">
        <v>2976</v>
      </c>
      <c r="C238" s="2" t="s">
        <v>3336</v>
      </c>
      <c r="D238" s="2" t="s">
        <v>3337</v>
      </c>
      <c r="E238" s="2" t="s">
        <v>3316</v>
      </c>
      <c r="F238" s="2" t="s">
        <v>3787</v>
      </c>
      <c r="G238" s="2">
        <v>36.72</v>
      </c>
      <c r="H238" s="2" t="s">
        <v>37</v>
      </c>
      <c r="I238" s="2" t="s">
        <v>3328</v>
      </c>
    </row>
    <row r="239" spans="1:9" x14ac:dyDescent="0.25">
      <c r="A239" s="2" t="s">
        <v>3788</v>
      </c>
      <c r="B239" s="2" t="s">
        <v>3009</v>
      </c>
      <c r="C239" s="2" t="s">
        <v>3367</v>
      </c>
      <c r="D239" s="2" t="s">
        <v>3368</v>
      </c>
      <c r="E239" s="2" t="s">
        <v>4</v>
      </c>
      <c r="F239" s="2" t="s">
        <v>3789</v>
      </c>
      <c r="G239" s="2">
        <v>141.16999999999999</v>
      </c>
      <c r="H239" s="2" t="s">
        <v>36</v>
      </c>
      <c r="I239" s="2" t="s">
        <v>3365</v>
      </c>
    </row>
    <row r="240" spans="1:9" x14ac:dyDescent="0.25">
      <c r="A240" s="2" t="s">
        <v>3790</v>
      </c>
      <c r="B240" s="2" t="s">
        <v>2770</v>
      </c>
      <c r="C240" s="2" t="s">
        <v>3403</v>
      </c>
      <c r="D240" s="2" t="s">
        <v>3404</v>
      </c>
      <c r="E240" s="2" t="s">
        <v>3316</v>
      </c>
      <c r="F240" s="2" t="s">
        <v>3791</v>
      </c>
      <c r="G240" s="2">
        <v>9.5</v>
      </c>
      <c r="H240" s="2" t="s">
        <v>36</v>
      </c>
      <c r="I240" s="2" t="s">
        <v>3331</v>
      </c>
    </row>
    <row r="241" spans="1:9" x14ac:dyDescent="0.25">
      <c r="A241" s="2" t="s">
        <v>3792</v>
      </c>
      <c r="B241" s="2" t="s">
        <v>2483</v>
      </c>
      <c r="C241" s="2" t="s">
        <v>3427</v>
      </c>
      <c r="D241" s="2" t="s">
        <v>3428</v>
      </c>
      <c r="E241" s="2" t="s">
        <v>4</v>
      </c>
      <c r="F241" s="2" t="s">
        <v>3698</v>
      </c>
      <c r="G241" s="2">
        <v>24.66</v>
      </c>
      <c r="H241" s="2" t="s">
        <v>36</v>
      </c>
      <c r="I241" s="2" t="s">
        <v>3385</v>
      </c>
    </row>
    <row r="242" spans="1:9" x14ac:dyDescent="0.25">
      <c r="A242" s="2" t="s">
        <v>3793</v>
      </c>
      <c r="B242" s="2" t="s">
        <v>2154</v>
      </c>
      <c r="C242" s="2" t="s">
        <v>3427</v>
      </c>
      <c r="D242" s="2" t="s">
        <v>3428</v>
      </c>
      <c r="E242" s="2" t="s">
        <v>4</v>
      </c>
      <c r="F242" s="2" t="s">
        <v>3478</v>
      </c>
      <c r="G242" s="2">
        <v>4358.37</v>
      </c>
      <c r="H242" s="2" t="s">
        <v>36</v>
      </c>
      <c r="I242" s="2" t="s">
        <v>3323</v>
      </c>
    </row>
    <row r="243" spans="1:9" x14ac:dyDescent="0.25">
      <c r="A243" s="2" t="s">
        <v>3794</v>
      </c>
      <c r="B243" s="2" t="s">
        <v>433</v>
      </c>
      <c r="C243" s="2" t="s">
        <v>3320</v>
      </c>
      <c r="D243" s="2" t="s">
        <v>3321</v>
      </c>
      <c r="E243" s="2" t="s">
        <v>4</v>
      </c>
      <c r="F243" s="2" t="s">
        <v>3322</v>
      </c>
      <c r="G243" s="2">
        <v>17.32</v>
      </c>
      <c r="H243" s="2" t="s">
        <v>37</v>
      </c>
      <c r="I243" s="2" t="s">
        <v>3331</v>
      </c>
    </row>
    <row r="244" spans="1:9" x14ac:dyDescent="0.25">
      <c r="A244" s="2" t="s">
        <v>3795</v>
      </c>
      <c r="B244" s="2" t="s">
        <v>1167</v>
      </c>
      <c r="C244" s="2" t="s">
        <v>3314</v>
      </c>
      <c r="D244" s="2" t="s">
        <v>3315</v>
      </c>
      <c r="E244" s="2" t="s">
        <v>65</v>
      </c>
      <c r="F244" s="2" t="s">
        <v>3796</v>
      </c>
      <c r="G244" s="2">
        <v>37.54</v>
      </c>
      <c r="H244" s="2" t="s">
        <v>36</v>
      </c>
      <c r="I244" s="2" t="s">
        <v>3318</v>
      </c>
    </row>
    <row r="245" spans="1:9" x14ac:dyDescent="0.25">
      <c r="A245" s="2" t="s">
        <v>3797</v>
      </c>
      <c r="B245" s="2" t="s">
        <v>1976</v>
      </c>
      <c r="C245" s="2" t="s">
        <v>3403</v>
      </c>
      <c r="D245" s="2" t="s">
        <v>3404</v>
      </c>
      <c r="E245" s="2" t="s">
        <v>4</v>
      </c>
      <c r="F245" s="2" t="s">
        <v>3798</v>
      </c>
      <c r="G245" s="2">
        <v>2557.66</v>
      </c>
      <c r="H245" s="2" t="s">
        <v>36</v>
      </c>
      <c r="I245" s="2" t="s">
        <v>3385</v>
      </c>
    </row>
    <row r="246" spans="1:9" x14ac:dyDescent="0.25">
      <c r="A246" s="2" t="s">
        <v>3799</v>
      </c>
      <c r="B246" s="2" t="s">
        <v>1608</v>
      </c>
      <c r="C246" s="2" t="s">
        <v>3336</v>
      </c>
      <c r="D246" s="2" t="s">
        <v>3337</v>
      </c>
      <c r="E246" s="2" t="s">
        <v>3338</v>
      </c>
      <c r="F246" s="2" t="s">
        <v>3800</v>
      </c>
      <c r="G246" s="2">
        <v>26.11</v>
      </c>
      <c r="H246" s="2" t="s">
        <v>36</v>
      </c>
      <c r="I246" s="2" t="s">
        <v>3318</v>
      </c>
    </row>
    <row r="247" spans="1:9" x14ac:dyDescent="0.25">
      <c r="A247" s="2" t="s">
        <v>3801</v>
      </c>
      <c r="B247" s="2" t="s">
        <v>1219</v>
      </c>
      <c r="C247" s="2" t="s">
        <v>3341</v>
      </c>
      <c r="D247" s="2" t="s">
        <v>3342</v>
      </c>
      <c r="E247" s="2" t="s">
        <v>3316</v>
      </c>
      <c r="F247" s="2" t="s">
        <v>3802</v>
      </c>
      <c r="G247" s="2">
        <v>96.72</v>
      </c>
      <c r="H247" s="2" t="s">
        <v>37</v>
      </c>
      <c r="I247" s="2" t="s">
        <v>3365</v>
      </c>
    </row>
    <row r="248" spans="1:9" x14ac:dyDescent="0.25">
      <c r="A248" s="2" t="s">
        <v>3803</v>
      </c>
      <c r="B248" s="2" t="s">
        <v>2235</v>
      </c>
      <c r="C248" s="2" t="s">
        <v>3336</v>
      </c>
      <c r="D248" s="2" t="s">
        <v>3337</v>
      </c>
      <c r="E248" s="2" t="s">
        <v>3316</v>
      </c>
      <c r="F248" s="2" t="s">
        <v>3804</v>
      </c>
      <c r="G248" s="2">
        <v>25.83</v>
      </c>
      <c r="H248" s="2" t="s">
        <v>36</v>
      </c>
      <c r="I248" s="2" t="s">
        <v>3385</v>
      </c>
    </row>
    <row r="249" spans="1:9" x14ac:dyDescent="0.25">
      <c r="A249" s="2" t="s">
        <v>3805</v>
      </c>
      <c r="B249" s="2" t="s">
        <v>2632</v>
      </c>
      <c r="C249" s="2" t="s">
        <v>3354</v>
      </c>
      <c r="D249" s="2" t="s">
        <v>3355</v>
      </c>
      <c r="E249" s="2" t="s">
        <v>4</v>
      </c>
      <c r="F249" s="2" t="s">
        <v>3522</v>
      </c>
      <c r="G249" s="2">
        <v>12.91</v>
      </c>
      <c r="H249" s="2" t="s">
        <v>36</v>
      </c>
      <c r="I249" s="2" t="s">
        <v>3385</v>
      </c>
    </row>
    <row r="250" spans="1:9" x14ac:dyDescent="0.25">
      <c r="A250" s="2" t="s">
        <v>3806</v>
      </c>
      <c r="B250" s="2" t="s">
        <v>336</v>
      </c>
      <c r="C250" s="2" t="s">
        <v>3427</v>
      </c>
      <c r="D250" s="2" t="s">
        <v>3428</v>
      </c>
      <c r="E250" s="2" t="s">
        <v>65</v>
      </c>
      <c r="F250" s="2" t="s">
        <v>3681</v>
      </c>
      <c r="G250" s="2">
        <v>458.47</v>
      </c>
      <c r="H250" s="2" t="s">
        <v>36</v>
      </c>
      <c r="I250" s="2" t="s">
        <v>3331</v>
      </c>
    </row>
    <row r="251" spans="1:9" x14ac:dyDescent="0.25">
      <c r="A251" s="2" t="s">
        <v>3807</v>
      </c>
      <c r="B251" s="2" t="s">
        <v>734</v>
      </c>
      <c r="C251" s="2" t="s">
        <v>3314</v>
      </c>
      <c r="D251" s="2" t="s">
        <v>3315</v>
      </c>
      <c r="E251" s="2" t="s">
        <v>33</v>
      </c>
      <c r="F251" s="2" t="s">
        <v>3808</v>
      </c>
      <c r="G251" s="2">
        <v>39.299999999999997</v>
      </c>
      <c r="H251" s="2" t="s">
        <v>37</v>
      </c>
      <c r="I251" s="2" t="s">
        <v>3328</v>
      </c>
    </row>
    <row r="252" spans="1:9" x14ac:dyDescent="0.25">
      <c r="A252" s="2" t="s">
        <v>3809</v>
      </c>
      <c r="B252" s="2" t="s">
        <v>1104</v>
      </c>
      <c r="C252" s="2" t="s">
        <v>3367</v>
      </c>
      <c r="D252" s="2" t="s">
        <v>3368</v>
      </c>
      <c r="E252" s="2" t="s">
        <v>4</v>
      </c>
      <c r="F252" s="2" t="s">
        <v>3810</v>
      </c>
      <c r="G252" s="2">
        <v>22.58</v>
      </c>
      <c r="H252" s="2" t="s">
        <v>36</v>
      </c>
      <c r="I252" s="2" t="s">
        <v>3385</v>
      </c>
    </row>
    <row r="253" spans="1:9" x14ac:dyDescent="0.25">
      <c r="A253" s="2" t="s">
        <v>3811</v>
      </c>
      <c r="B253" s="2" t="s">
        <v>1037</v>
      </c>
      <c r="C253" s="2" t="s">
        <v>3367</v>
      </c>
      <c r="D253" s="2" t="s">
        <v>3368</v>
      </c>
      <c r="E253" s="2" t="s">
        <v>4</v>
      </c>
      <c r="F253" s="2" t="s">
        <v>3812</v>
      </c>
      <c r="G253" s="2">
        <v>15.42</v>
      </c>
      <c r="H253" s="2" t="s">
        <v>37</v>
      </c>
      <c r="I253" s="2" t="s">
        <v>3365</v>
      </c>
    </row>
    <row r="254" spans="1:9" x14ac:dyDescent="0.25">
      <c r="A254" s="2" t="s">
        <v>3813</v>
      </c>
      <c r="B254" s="2" t="s">
        <v>2252</v>
      </c>
      <c r="C254" s="2" t="s">
        <v>3320</v>
      </c>
      <c r="D254" s="2" t="s">
        <v>3321</v>
      </c>
      <c r="E254" s="2" t="s">
        <v>65</v>
      </c>
      <c r="F254" s="2" t="s">
        <v>3814</v>
      </c>
      <c r="G254" s="2">
        <v>286.11</v>
      </c>
      <c r="H254" s="2" t="s">
        <v>37</v>
      </c>
      <c r="I254" s="2" t="s">
        <v>3385</v>
      </c>
    </row>
    <row r="255" spans="1:9" x14ac:dyDescent="0.25">
      <c r="A255" s="2" t="s">
        <v>3815</v>
      </c>
      <c r="B255" s="2" t="s">
        <v>2148</v>
      </c>
      <c r="C255" s="2" t="s">
        <v>3320</v>
      </c>
      <c r="D255" s="2" t="s">
        <v>3321</v>
      </c>
      <c r="E255" s="2" t="s">
        <v>65</v>
      </c>
      <c r="F255" s="2" t="s">
        <v>3738</v>
      </c>
      <c r="G255" s="2">
        <v>1173.0999999999999</v>
      </c>
      <c r="H255" s="2" t="s">
        <v>36</v>
      </c>
      <c r="I255" s="2" t="s">
        <v>3385</v>
      </c>
    </row>
    <row r="256" spans="1:9" x14ac:dyDescent="0.25">
      <c r="A256" s="2" t="s">
        <v>3816</v>
      </c>
      <c r="B256" s="2" t="s">
        <v>203</v>
      </c>
      <c r="C256" s="2" t="s">
        <v>3403</v>
      </c>
      <c r="D256" s="2" t="s">
        <v>3404</v>
      </c>
      <c r="E256" s="2" t="s">
        <v>65</v>
      </c>
      <c r="F256" s="2" t="s">
        <v>3391</v>
      </c>
      <c r="G256" s="2">
        <v>12.24</v>
      </c>
      <c r="H256" s="2" t="s">
        <v>36</v>
      </c>
      <c r="I256" s="2" t="s">
        <v>3328</v>
      </c>
    </row>
    <row r="257" spans="1:9" x14ac:dyDescent="0.25">
      <c r="A257" s="2" t="s">
        <v>3817</v>
      </c>
      <c r="B257" s="2" t="s">
        <v>808</v>
      </c>
      <c r="C257" s="2" t="s">
        <v>3336</v>
      </c>
      <c r="D257" s="2" t="s">
        <v>3337</v>
      </c>
      <c r="E257" s="2" t="s">
        <v>65</v>
      </c>
      <c r="F257" s="2" t="s">
        <v>3818</v>
      </c>
      <c r="G257" s="2">
        <v>83.17</v>
      </c>
      <c r="H257" s="2" t="s">
        <v>37</v>
      </c>
      <c r="I257" s="2" t="s">
        <v>3385</v>
      </c>
    </row>
    <row r="258" spans="1:9" x14ac:dyDescent="0.25">
      <c r="A258" s="2" t="s">
        <v>3819</v>
      </c>
      <c r="B258" s="2" t="s">
        <v>2182</v>
      </c>
      <c r="C258" s="2" t="s">
        <v>3341</v>
      </c>
      <c r="D258" s="2" t="s">
        <v>3342</v>
      </c>
      <c r="E258" s="2" t="s">
        <v>3316</v>
      </c>
      <c r="F258" s="2" t="s">
        <v>3820</v>
      </c>
      <c r="G258" s="2">
        <v>350.92</v>
      </c>
      <c r="H258" s="2" t="s">
        <v>36</v>
      </c>
      <c r="I258" s="2" t="s">
        <v>3323</v>
      </c>
    </row>
    <row r="259" spans="1:9" x14ac:dyDescent="0.25">
      <c r="A259" s="2" t="s">
        <v>3821</v>
      </c>
      <c r="B259" s="2" t="s">
        <v>1982</v>
      </c>
      <c r="C259" s="2" t="s">
        <v>3325</v>
      </c>
      <c r="D259" s="2" t="s">
        <v>3326</v>
      </c>
      <c r="E259" s="2" t="s">
        <v>3338</v>
      </c>
      <c r="F259" s="2" t="s">
        <v>3822</v>
      </c>
      <c r="G259" s="2">
        <v>321.75</v>
      </c>
      <c r="H259" s="2" t="s">
        <v>37</v>
      </c>
      <c r="I259" s="2" t="s">
        <v>3328</v>
      </c>
    </row>
    <row r="260" spans="1:9" x14ac:dyDescent="0.25">
      <c r="A260" s="2" t="s">
        <v>3823</v>
      </c>
      <c r="B260" s="2" t="s">
        <v>740</v>
      </c>
      <c r="C260" s="2" t="s">
        <v>3341</v>
      </c>
      <c r="D260" s="2" t="s">
        <v>3342</v>
      </c>
      <c r="E260" s="2" t="s">
        <v>4</v>
      </c>
      <c r="F260" s="2" t="s">
        <v>3802</v>
      </c>
      <c r="G260" s="2">
        <v>207.59</v>
      </c>
      <c r="H260" s="2" t="s">
        <v>36</v>
      </c>
      <c r="I260" s="2" t="s">
        <v>3331</v>
      </c>
    </row>
    <row r="261" spans="1:9" x14ac:dyDescent="0.25">
      <c r="A261" s="2" t="s">
        <v>3824</v>
      </c>
      <c r="B261" s="2" t="s">
        <v>717</v>
      </c>
      <c r="C261" s="2" t="s">
        <v>3341</v>
      </c>
      <c r="D261" s="2" t="s">
        <v>3342</v>
      </c>
      <c r="E261" s="2" t="s">
        <v>4</v>
      </c>
      <c r="F261" s="2" t="s">
        <v>3575</v>
      </c>
      <c r="G261" s="2">
        <v>230.59</v>
      </c>
      <c r="H261" s="2" t="s">
        <v>36</v>
      </c>
      <c r="I261" s="2" t="s">
        <v>3318</v>
      </c>
    </row>
    <row r="262" spans="1:9" x14ac:dyDescent="0.25">
      <c r="A262" s="2" t="s">
        <v>3825</v>
      </c>
      <c r="B262" s="2" t="s">
        <v>3229</v>
      </c>
      <c r="C262" s="2" t="s">
        <v>3427</v>
      </c>
      <c r="D262" s="2" t="s">
        <v>3428</v>
      </c>
      <c r="E262" s="2" t="s">
        <v>4</v>
      </c>
      <c r="F262" s="2" t="s">
        <v>3587</v>
      </c>
      <c r="G262" s="2">
        <v>20.55</v>
      </c>
      <c r="H262" s="2" t="s">
        <v>36</v>
      </c>
      <c r="I262" s="2" t="s">
        <v>3370</v>
      </c>
    </row>
    <row r="263" spans="1:9" x14ac:dyDescent="0.25">
      <c r="A263" s="2" t="s">
        <v>3826</v>
      </c>
      <c r="B263" s="2" t="s">
        <v>1511</v>
      </c>
      <c r="C263" s="2" t="s">
        <v>3336</v>
      </c>
      <c r="D263" s="2" t="s">
        <v>3337</v>
      </c>
      <c r="E263" s="2" t="s">
        <v>3316</v>
      </c>
      <c r="F263" s="2" t="s">
        <v>3827</v>
      </c>
      <c r="G263" s="2">
        <v>27.21</v>
      </c>
      <c r="H263" s="2" t="s">
        <v>37</v>
      </c>
      <c r="I263" s="2" t="s">
        <v>3385</v>
      </c>
    </row>
    <row r="264" spans="1:9" x14ac:dyDescent="0.25">
      <c r="A264" s="2" t="s">
        <v>3828</v>
      </c>
      <c r="B264" s="2" t="s">
        <v>1850</v>
      </c>
      <c r="C264" s="2" t="s">
        <v>3427</v>
      </c>
      <c r="D264" s="2" t="s">
        <v>3428</v>
      </c>
      <c r="E264" s="2" t="s">
        <v>65</v>
      </c>
      <c r="F264" s="2" t="s">
        <v>3681</v>
      </c>
      <c r="G264" s="2">
        <v>90.6</v>
      </c>
      <c r="H264" s="2" t="s">
        <v>37</v>
      </c>
      <c r="I264" s="2" t="s">
        <v>3370</v>
      </c>
    </row>
    <row r="265" spans="1:9" x14ac:dyDescent="0.25">
      <c r="A265" s="2" t="s">
        <v>3829</v>
      </c>
      <c r="B265" s="2" t="s">
        <v>723</v>
      </c>
      <c r="C265" s="2" t="s">
        <v>3354</v>
      </c>
      <c r="D265" s="2" t="s">
        <v>3355</v>
      </c>
      <c r="E265" s="2" t="s">
        <v>65</v>
      </c>
      <c r="F265" s="2" t="s">
        <v>3356</v>
      </c>
      <c r="G265" s="2">
        <v>1583.28</v>
      </c>
      <c r="H265" s="2" t="s">
        <v>36</v>
      </c>
      <c r="I265" s="2" t="s">
        <v>3318</v>
      </c>
    </row>
    <row r="266" spans="1:9" x14ac:dyDescent="0.25">
      <c r="A266" s="2" t="s">
        <v>3830</v>
      </c>
      <c r="B266" s="2" t="s">
        <v>2668</v>
      </c>
      <c r="C266" s="2" t="s">
        <v>3367</v>
      </c>
      <c r="D266" s="2" t="s">
        <v>3368</v>
      </c>
      <c r="E266" s="2" t="s">
        <v>4</v>
      </c>
      <c r="F266" s="2" t="s">
        <v>3831</v>
      </c>
      <c r="G266" s="2">
        <v>72.47</v>
      </c>
      <c r="H266" s="2" t="s">
        <v>37</v>
      </c>
      <c r="I266" s="2" t="s">
        <v>3370</v>
      </c>
    </row>
    <row r="267" spans="1:9" x14ac:dyDescent="0.25">
      <c r="A267" s="2" t="s">
        <v>3832</v>
      </c>
      <c r="B267" s="2" t="s">
        <v>401</v>
      </c>
      <c r="C267" s="2" t="s">
        <v>3325</v>
      </c>
      <c r="D267" s="2" t="s">
        <v>3326</v>
      </c>
      <c r="E267" s="2" t="s">
        <v>3338</v>
      </c>
      <c r="F267" s="2" t="s">
        <v>3833</v>
      </c>
      <c r="G267" s="2">
        <v>145.47</v>
      </c>
      <c r="H267" s="2" t="s">
        <v>37</v>
      </c>
      <c r="I267" s="2" t="s">
        <v>3328</v>
      </c>
    </row>
    <row r="268" spans="1:9" x14ac:dyDescent="0.25">
      <c r="A268" s="2" t="s">
        <v>3834</v>
      </c>
      <c r="B268" s="2" t="s">
        <v>2469</v>
      </c>
      <c r="C268" s="2" t="s">
        <v>3320</v>
      </c>
      <c r="D268" s="2" t="s">
        <v>3321</v>
      </c>
      <c r="E268" s="2" t="s">
        <v>65</v>
      </c>
      <c r="F268" s="2" t="s">
        <v>3835</v>
      </c>
      <c r="G268" s="2">
        <v>316.82</v>
      </c>
      <c r="H268" s="2" t="s">
        <v>36</v>
      </c>
      <c r="I268" s="2" t="s">
        <v>3334</v>
      </c>
    </row>
    <row r="269" spans="1:9" x14ac:dyDescent="0.25">
      <c r="A269" s="2" t="s">
        <v>3836</v>
      </c>
      <c r="B269" s="2" t="s">
        <v>3159</v>
      </c>
      <c r="C269" s="2" t="s">
        <v>3325</v>
      </c>
      <c r="D269" s="2" t="s">
        <v>3326</v>
      </c>
      <c r="E269" s="2" t="s">
        <v>3316</v>
      </c>
      <c r="F269" s="2" t="s">
        <v>3837</v>
      </c>
      <c r="G269" s="2">
        <v>3208.87</v>
      </c>
      <c r="H269" s="2" t="s">
        <v>36</v>
      </c>
      <c r="I269" s="2" t="s">
        <v>3323</v>
      </c>
    </row>
    <row r="270" spans="1:9" x14ac:dyDescent="0.25">
      <c r="A270" s="2" t="s">
        <v>3838</v>
      </c>
      <c r="B270" s="2" t="s">
        <v>1470</v>
      </c>
      <c r="C270" s="2" t="s">
        <v>3314</v>
      </c>
      <c r="D270" s="2" t="s">
        <v>3315</v>
      </c>
      <c r="E270" s="2" t="s">
        <v>65</v>
      </c>
      <c r="F270" s="2" t="s">
        <v>3839</v>
      </c>
      <c r="G270" s="2">
        <v>26.64</v>
      </c>
      <c r="H270" s="2" t="s">
        <v>36</v>
      </c>
      <c r="I270" s="2" t="s">
        <v>3328</v>
      </c>
    </row>
    <row r="271" spans="1:9" x14ac:dyDescent="0.25">
      <c r="A271" s="2" t="s">
        <v>3840</v>
      </c>
      <c r="B271" s="2" t="s">
        <v>2778</v>
      </c>
      <c r="C271" s="2" t="s">
        <v>3325</v>
      </c>
      <c r="D271" s="2" t="s">
        <v>3326</v>
      </c>
      <c r="E271" s="2" t="s">
        <v>65</v>
      </c>
      <c r="F271" s="2" t="s">
        <v>3841</v>
      </c>
      <c r="G271" s="2">
        <v>10.5</v>
      </c>
      <c r="H271" s="2" t="s">
        <v>36</v>
      </c>
      <c r="I271" s="2" t="s">
        <v>3323</v>
      </c>
    </row>
    <row r="272" spans="1:9" x14ac:dyDescent="0.25">
      <c r="A272" s="2" t="s">
        <v>3842</v>
      </c>
      <c r="B272" s="2" t="s">
        <v>2928</v>
      </c>
      <c r="C272" s="2" t="s">
        <v>3354</v>
      </c>
      <c r="D272" s="2" t="s">
        <v>3355</v>
      </c>
      <c r="E272" s="2" t="s">
        <v>4</v>
      </c>
      <c r="F272" s="2" t="s">
        <v>3356</v>
      </c>
      <c r="G272" s="2">
        <v>14.17</v>
      </c>
      <c r="H272" s="2" t="s">
        <v>37</v>
      </c>
      <c r="I272" s="2" t="s">
        <v>3328</v>
      </c>
    </row>
    <row r="273" spans="1:9" x14ac:dyDescent="0.25">
      <c r="A273" s="2" t="s">
        <v>3843</v>
      </c>
      <c r="B273" s="2" t="s">
        <v>1399</v>
      </c>
      <c r="C273" s="2" t="s">
        <v>3341</v>
      </c>
      <c r="D273" s="2" t="s">
        <v>3342</v>
      </c>
      <c r="E273" s="2" t="s">
        <v>91</v>
      </c>
      <c r="F273" s="2" t="s">
        <v>3844</v>
      </c>
      <c r="G273" s="2">
        <v>60.2</v>
      </c>
      <c r="H273" s="2" t="s">
        <v>36</v>
      </c>
      <c r="I273" s="2" t="s">
        <v>3323</v>
      </c>
    </row>
    <row r="274" spans="1:9" x14ac:dyDescent="0.25">
      <c r="A274" s="2" t="s">
        <v>3845</v>
      </c>
      <c r="B274" s="2" t="s">
        <v>323</v>
      </c>
      <c r="C274" s="2" t="s">
        <v>3325</v>
      </c>
      <c r="D274" s="2" t="s">
        <v>3326</v>
      </c>
      <c r="E274" s="2" t="s">
        <v>4</v>
      </c>
      <c r="F274" s="2" t="s">
        <v>3846</v>
      </c>
      <c r="G274" s="2">
        <v>615.16</v>
      </c>
      <c r="H274" s="2" t="s">
        <v>36</v>
      </c>
      <c r="I274" s="2" t="s">
        <v>3328</v>
      </c>
    </row>
    <row r="275" spans="1:9" x14ac:dyDescent="0.25">
      <c r="A275" s="2" t="s">
        <v>3847</v>
      </c>
      <c r="B275" s="2" t="s">
        <v>2970</v>
      </c>
      <c r="C275" s="2" t="s">
        <v>3427</v>
      </c>
      <c r="D275" s="2" t="s">
        <v>3428</v>
      </c>
      <c r="E275" s="2" t="s">
        <v>4</v>
      </c>
      <c r="F275" s="2" t="s">
        <v>3681</v>
      </c>
      <c r="G275" s="2">
        <v>40.22</v>
      </c>
      <c r="H275" s="2" t="s">
        <v>36</v>
      </c>
      <c r="I275" s="2" t="s">
        <v>3334</v>
      </c>
    </row>
    <row r="276" spans="1:9" x14ac:dyDescent="0.25">
      <c r="A276" s="2" t="s">
        <v>3848</v>
      </c>
      <c r="B276" s="2" t="s">
        <v>2252</v>
      </c>
      <c r="C276" s="2" t="s">
        <v>3341</v>
      </c>
      <c r="D276" s="2" t="s">
        <v>3342</v>
      </c>
      <c r="E276" s="2" t="s">
        <v>4</v>
      </c>
      <c r="F276" s="2" t="s">
        <v>3395</v>
      </c>
      <c r="G276" s="2">
        <v>167.67</v>
      </c>
      <c r="H276" s="2" t="s">
        <v>36</v>
      </c>
      <c r="I276" s="2" t="s">
        <v>3328</v>
      </c>
    </row>
    <row r="277" spans="1:9" x14ac:dyDescent="0.25">
      <c r="A277" s="2" t="s">
        <v>3849</v>
      </c>
      <c r="B277" s="2" t="s">
        <v>2502</v>
      </c>
      <c r="C277" s="2" t="s">
        <v>3427</v>
      </c>
      <c r="D277" s="2" t="s">
        <v>3428</v>
      </c>
      <c r="E277" s="2" t="s">
        <v>4</v>
      </c>
      <c r="F277" s="2" t="s">
        <v>3681</v>
      </c>
      <c r="G277" s="2">
        <v>4767.12</v>
      </c>
      <c r="H277" s="2" t="s">
        <v>36</v>
      </c>
      <c r="I277" s="2" t="s">
        <v>3318</v>
      </c>
    </row>
    <row r="278" spans="1:9" x14ac:dyDescent="0.25">
      <c r="A278" s="2" t="s">
        <v>3850</v>
      </c>
      <c r="B278" s="2" t="s">
        <v>3188</v>
      </c>
      <c r="C278" s="2" t="s">
        <v>3362</v>
      </c>
      <c r="D278" s="2" t="s">
        <v>3363</v>
      </c>
      <c r="E278" s="2" t="s">
        <v>65</v>
      </c>
      <c r="F278" s="2" t="s">
        <v>3851</v>
      </c>
      <c r="G278" s="2">
        <v>118.4</v>
      </c>
      <c r="H278" s="2" t="s">
        <v>36</v>
      </c>
      <c r="I278" s="2" t="s">
        <v>3370</v>
      </c>
    </row>
    <row r="279" spans="1:9" x14ac:dyDescent="0.25">
      <c r="A279" s="2" t="s">
        <v>3852</v>
      </c>
      <c r="B279" s="2" t="s">
        <v>2836</v>
      </c>
      <c r="C279" s="2" t="s">
        <v>3314</v>
      </c>
      <c r="D279" s="2" t="s">
        <v>3315</v>
      </c>
      <c r="E279" s="2" t="s">
        <v>33</v>
      </c>
      <c r="F279" s="2" t="s">
        <v>3853</v>
      </c>
      <c r="G279" s="2">
        <v>61.09</v>
      </c>
      <c r="H279" s="2" t="s">
        <v>37</v>
      </c>
      <c r="I279" s="2" t="s">
        <v>3318</v>
      </c>
    </row>
    <row r="280" spans="1:9" x14ac:dyDescent="0.25">
      <c r="A280" s="2" t="s">
        <v>3854</v>
      </c>
      <c r="B280" s="2" t="s">
        <v>2445</v>
      </c>
      <c r="C280" s="2" t="s">
        <v>3325</v>
      </c>
      <c r="D280" s="2" t="s">
        <v>3326</v>
      </c>
      <c r="E280" s="2" t="s">
        <v>65</v>
      </c>
      <c r="F280" s="2" t="s">
        <v>3833</v>
      </c>
      <c r="G280" s="2">
        <v>278.77999999999997</v>
      </c>
      <c r="H280" s="2" t="s">
        <v>36</v>
      </c>
      <c r="I280" s="2" t="s">
        <v>3385</v>
      </c>
    </row>
    <row r="281" spans="1:9" x14ac:dyDescent="0.25">
      <c r="A281" s="2" t="s">
        <v>3855</v>
      </c>
      <c r="B281" s="2" t="s">
        <v>357</v>
      </c>
      <c r="C281" s="2" t="s">
        <v>3320</v>
      </c>
      <c r="D281" s="2" t="s">
        <v>3321</v>
      </c>
      <c r="E281" s="2" t="s">
        <v>65</v>
      </c>
      <c r="F281" s="2" t="s">
        <v>3573</v>
      </c>
      <c r="G281" s="2">
        <v>88</v>
      </c>
      <c r="H281" s="2" t="s">
        <v>36</v>
      </c>
      <c r="I281" s="2" t="s">
        <v>3365</v>
      </c>
    </row>
    <row r="282" spans="1:9" x14ac:dyDescent="0.25">
      <c r="A282" s="2" t="s">
        <v>3856</v>
      </c>
      <c r="B282" s="2" t="s">
        <v>1650</v>
      </c>
      <c r="C282" s="2" t="s">
        <v>3354</v>
      </c>
      <c r="D282" s="2" t="s">
        <v>3355</v>
      </c>
      <c r="E282" s="2" t="s">
        <v>4</v>
      </c>
      <c r="F282" s="2" t="s">
        <v>3356</v>
      </c>
      <c r="G282" s="2">
        <v>9.57</v>
      </c>
      <c r="H282" s="2" t="s">
        <v>37</v>
      </c>
      <c r="I282" s="2" t="s">
        <v>3385</v>
      </c>
    </row>
    <row r="283" spans="1:9" x14ac:dyDescent="0.25">
      <c r="A283" s="2" t="s">
        <v>3857</v>
      </c>
      <c r="B283" s="2" t="s">
        <v>2550</v>
      </c>
      <c r="C283" s="2" t="s">
        <v>3314</v>
      </c>
      <c r="D283" s="2" t="s">
        <v>3315</v>
      </c>
      <c r="E283" s="2" t="s">
        <v>3316</v>
      </c>
      <c r="F283" s="2" t="s">
        <v>3647</v>
      </c>
      <c r="G283" s="2">
        <v>86.73</v>
      </c>
      <c r="H283" s="2" t="s">
        <v>36</v>
      </c>
      <c r="I283" s="2" t="s">
        <v>3370</v>
      </c>
    </row>
    <row r="284" spans="1:9" x14ac:dyDescent="0.25">
      <c r="A284" s="2" t="s">
        <v>3858</v>
      </c>
      <c r="B284" s="2" t="s">
        <v>1784</v>
      </c>
      <c r="C284" s="2" t="s">
        <v>3325</v>
      </c>
      <c r="D284" s="2" t="s">
        <v>3326</v>
      </c>
      <c r="E284" s="2" t="s">
        <v>4</v>
      </c>
      <c r="F284" s="2" t="s">
        <v>3859</v>
      </c>
      <c r="G284" s="2">
        <v>48.3</v>
      </c>
      <c r="H284" s="2" t="s">
        <v>37</v>
      </c>
      <c r="I284" s="2" t="s">
        <v>3370</v>
      </c>
    </row>
    <row r="285" spans="1:9" x14ac:dyDescent="0.25">
      <c r="A285" s="2" t="s">
        <v>3860</v>
      </c>
      <c r="B285" s="2" t="s">
        <v>589</v>
      </c>
      <c r="C285" s="2" t="s">
        <v>3354</v>
      </c>
      <c r="D285" s="2" t="s">
        <v>3355</v>
      </c>
      <c r="E285" s="2" t="s">
        <v>4</v>
      </c>
      <c r="F285" s="2" t="s">
        <v>3649</v>
      </c>
      <c r="G285" s="2">
        <v>79.180000000000007</v>
      </c>
      <c r="H285" s="2" t="s">
        <v>36</v>
      </c>
      <c r="I285" s="2" t="s">
        <v>3323</v>
      </c>
    </row>
    <row r="286" spans="1:9" x14ac:dyDescent="0.25">
      <c r="A286" s="2" t="s">
        <v>3861</v>
      </c>
      <c r="B286" s="2" t="s">
        <v>1790</v>
      </c>
      <c r="C286" s="2" t="s">
        <v>3367</v>
      </c>
      <c r="D286" s="2" t="s">
        <v>3368</v>
      </c>
      <c r="E286" s="2" t="s">
        <v>65</v>
      </c>
      <c r="F286" s="2" t="s">
        <v>3598</v>
      </c>
      <c r="G286" s="2">
        <v>25.83</v>
      </c>
      <c r="H286" s="2" t="s">
        <v>37</v>
      </c>
      <c r="I286" s="2" t="s">
        <v>3365</v>
      </c>
    </row>
    <row r="287" spans="1:9" x14ac:dyDescent="0.25">
      <c r="A287" s="2" t="s">
        <v>3862</v>
      </c>
      <c r="B287" s="2" t="s">
        <v>1476</v>
      </c>
      <c r="C287" s="2" t="s">
        <v>3354</v>
      </c>
      <c r="D287" s="2" t="s">
        <v>3355</v>
      </c>
      <c r="E287" s="2" t="s">
        <v>65</v>
      </c>
      <c r="F287" s="2" t="s">
        <v>3522</v>
      </c>
      <c r="G287" s="2">
        <v>20.309999999999999</v>
      </c>
      <c r="H287" s="2" t="s">
        <v>36</v>
      </c>
      <c r="I287" s="2" t="s">
        <v>3385</v>
      </c>
    </row>
    <row r="288" spans="1:9" x14ac:dyDescent="0.25">
      <c r="A288" s="2" t="s">
        <v>3863</v>
      </c>
      <c r="B288" s="2" t="s">
        <v>1363</v>
      </c>
      <c r="C288" s="2" t="s">
        <v>3325</v>
      </c>
      <c r="D288" s="2" t="s">
        <v>3326</v>
      </c>
      <c r="E288" s="2" t="s">
        <v>4</v>
      </c>
      <c r="F288" s="2" t="s">
        <v>3864</v>
      </c>
      <c r="G288" s="2">
        <v>440.09</v>
      </c>
      <c r="H288" s="2" t="s">
        <v>36</v>
      </c>
      <c r="I288" s="2" t="s">
        <v>3323</v>
      </c>
    </row>
    <row r="289" spans="1:9" x14ac:dyDescent="0.25">
      <c r="A289" s="2" t="s">
        <v>3865</v>
      </c>
      <c r="B289" s="2" t="s">
        <v>2922</v>
      </c>
      <c r="C289" s="2" t="s">
        <v>3314</v>
      </c>
      <c r="D289" s="2" t="s">
        <v>3315</v>
      </c>
      <c r="E289" s="2" t="s">
        <v>33</v>
      </c>
      <c r="F289" s="2" t="s">
        <v>3866</v>
      </c>
      <c r="G289" s="2">
        <v>116.8</v>
      </c>
      <c r="H289" s="2" t="s">
        <v>36</v>
      </c>
      <c r="I289" s="2" t="s">
        <v>3331</v>
      </c>
    </row>
    <row r="290" spans="1:9" x14ac:dyDescent="0.25">
      <c r="A290" s="2" t="s">
        <v>3867</v>
      </c>
      <c r="B290" s="2" t="s">
        <v>2852</v>
      </c>
      <c r="C290" s="2" t="s">
        <v>3403</v>
      </c>
      <c r="D290" s="2" t="s">
        <v>3404</v>
      </c>
      <c r="E290" s="2" t="s">
        <v>3316</v>
      </c>
      <c r="F290" s="2" t="s">
        <v>3868</v>
      </c>
      <c r="G290" s="2">
        <v>279.39999999999998</v>
      </c>
      <c r="H290" s="2" t="s">
        <v>37</v>
      </c>
      <c r="I290" s="2" t="s">
        <v>3385</v>
      </c>
    </row>
    <row r="291" spans="1:9" x14ac:dyDescent="0.25">
      <c r="A291" s="2" t="s">
        <v>3869</v>
      </c>
      <c r="B291" s="2" t="s">
        <v>883</v>
      </c>
      <c r="C291" s="2" t="s">
        <v>3354</v>
      </c>
      <c r="D291" s="2" t="s">
        <v>3355</v>
      </c>
      <c r="E291" s="2" t="s">
        <v>4</v>
      </c>
      <c r="F291" s="2" t="s">
        <v>3623</v>
      </c>
      <c r="G291" s="2">
        <v>23.95</v>
      </c>
      <c r="H291" s="2" t="s">
        <v>37</v>
      </c>
      <c r="I291" s="2" t="s">
        <v>3318</v>
      </c>
    </row>
    <row r="292" spans="1:9" x14ac:dyDescent="0.25">
      <c r="A292" s="2" t="s">
        <v>3870</v>
      </c>
      <c r="B292" s="2" t="s">
        <v>2917</v>
      </c>
      <c r="C292" s="2" t="s">
        <v>3367</v>
      </c>
      <c r="D292" s="2" t="s">
        <v>3368</v>
      </c>
      <c r="E292" s="2" t="s">
        <v>4</v>
      </c>
      <c r="F292" s="2" t="s">
        <v>3774</v>
      </c>
      <c r="G292" s="2">
        <v>20.94</v>
      </c>
      <c r="H292" s="2" t="s">
        <v>37</v>
      </c>
      <c r="I292" s="2" t="s">
        <v>3328</v>
      </c>
    </row>
    <row r="293" spans="1:9" x14ac:dyDescent="0.25">
      <c r="A293" s="2" t="s">
        <v>3871</v>
      </c>
      <c r="B293" s="2" t="s">
        <v>1939</v>
      </c>
      <c r="C293" s="2" t="s">
        <v>3341</v>
      </c>
      <c r="D293" s="2" t="s">
        <v>3342</v>
      </c>
      <c r="E293" s="2" t="s">
        <v>4</v>
      </c>
      <c r="F293" s="2" t="s">
        <v>3872</v>
      </c>
      <c r="G293" s="2">
        <v>85.36</v>
      </c>
      <c r="H293" s="2" t="s">
        <v>37</v>
      </c>
      <c r="I293" s="2" t="s">
        <v>3334</v>
      </c>
    </row>
    <row r="294" spans="1:9" x14ac:dyDescent="0.25">
      <c r="A294" s="2" t="s">
        <v>3873</v>
      </c>
      <c r="B294" s="2" t="s">
        <v>1192</v>
      </c>
      <c r="C294" s="2" t="s">
        <v>3336</v>
      </c>
      <c r="D294" s="2" t="s">
        <v>3337</v>
      </c>
      <c r="E294" s="2" t="s">
        <v>3316</v>
      </c>
      <c r="F294" s="2" t="s">
        <v>3874</v>
      </c>
      <c r="G294" s="2">
        <v>63.41</v>
      </c>
      <c r="H294" s="2" t="s">
        <v>37</v>
      </c>
      <c r="I294" s="2" t="s">
        <v>3385</v>
      </c>
    </row>
    <row r="295" spans="1:9" x14ac:dyDescent="0.25">
      <c r="A295" s="2" t="s">
        <v>3875</v>
      </c>
      <c r="B295" s="2" t="s">
        <v>2309</v>
      </c>
      <c r="C295" s="2" t="s">
        <v>3403</v>
      </c>
      <c r="D295" s="2" t="s">
        <v>3404</v>
      </c>
      <c r="E295" s="2" t="s">
        <v>4</v>
      </c>
      <c r="F295" s="2" t="s">
        <v>3876</v>
      </c>
      <c r="G295" s="2">
        <v>63.92</v>
      </c>
      <c r="H295" s="2" t="s">
        <v>36</v>
      </c>
      <c r="I295" s="2" t="s">
        <v>3323</v>
      </c>
    </row>
    <row r="296" spans="1:9" x14ac:dyDescent="0.25">
      <c r="A296" s="2" t="s">
        <v>3877</v>
      </c>
      <c r="B296" s="2" t="s">
        <v>3049</v>
      </c>
      <c r="C296" s="2" t="s">
        <v>3314</v>
      </c>
      <c r="D296" s="2" t="s">
        <v>3315</v>
      </c>
      <c r="E296" s="2" t="s">
        <v>65</v>
      </c>
      <c r="F296" s="2" t="s">
        <v>3878</v>
      </c>
      <c r="G296" s="2">
        <v>81.040000000000006</v>
      </c>
      <c r="H296" s="2" t="s">
        <v>36</v>
      </c>
      <c r="I296" s="2" t="s">
        <v>3334</v>
      </c>
    </row>
    <row r="297" spans="1:9" x14ac:dyDescent="0.25">
      <c r="A297" s="2" t="s">
        <v>3879</v>
      </c>
      <c r="B297" s="2" t="s">
        <v>1796</v>
      </c>
      <c r="C297" s="2" t="s">
        <v>3336</v>
      </c>
      <c r="D297" s="2" t="s">
        <v>3337</v>
      </c>
      <c r="E297" s="2" t="s">
        <v>3338</v>
      </c>
      <c r="F297" s="2" t="s">
        <v>3526</v>
      </c>
      <c r="G297" s="2">
        <v>110.79</v>
      </c>
      <c r="H297" s="2" t="s">
        <v>36</v>
      </c>
      <c r="I297" s="2" t="s">
        <v>3370</v>
      </c>
    </row>
    <row r="298" spans="1:9" x14ac:dyDescent="0.25">
      <c r="A298" s="2" t="s">
        <v>3880</v>
      </c>
      <c r="B298" s="2" t="s">
        <v>1219</v>
      </c>
      <c r="C298" s="2" t="s">
        <v>3336</v>
      </c>
      <c r="D298" s="2" t="s">
        <v>3337</v>
      </c>
      <c r="E298" s="2" t="s">
        <v>3316</v>
      </c>
      <c r="F298" s="2" t="s">
        <v>3881</v>
      </c>
      <c r="G298" s="2">
        <v>56.3</v>
      </c>
      <c r="H298" s="2" t="s">
        <v>36</v>
      </c>
      <c r="I298" s="2" t="s">
        <v>3328</v>
      </c>
    </row>
    <row r="299" spans="1:9" x14ac:dyDescent="0.25">
      <c r="A299" s="2" t="s">
        <v>3882</v>
      </c>
      <c r="B299" s="2" t="s">
        <v>2796</v>
      </c>
      <c r="C299" s="2" t="s">
        <v>3427</v>
      </c>
      <c r="D299" s="2" t="s">
        <v>3428</v>
      </c>
      <c r="E299" s="2" t="s">
        <v>4</v>
      </c>
      <c r="F299" s="2" t="s">
        <v>3587</v>
      </c>
      <c r="G299" s="2">
        <v>4472.1400000000003</v>
      </c>
      <c r="H299" s="2" t="s">
        <v>36</v>
      </c>
      <c r="I299" s="2" t="s">
        <v>3328</v>
      </c>
    </row>
    <row r="300" spans="1:9" x14ac:dyDescent="0.25">
      <c r="A300" s="2" t="s">
        <v>3883</v>
      </c>
      <c r="B300" s="2" t="s">
        <v>2825</v>
      </c>
      <c r="C300" s="2" t="s">
        <v>3320</v>
      </c>
      <c r="D300" s="2" t="s">
        <v>3321</v>
      </c>
      <c r="E300" s="2" t="s">
        <v>3480</v>
      </c>
      <c r="F300" s="2" t="s">
        <v>3884</v>
      </c>
      <c r="G300" s="2">
        <v>39.44</v>
      </c>
      <c r="H300" s="2" t="s">
        <v>36</v>
      </c>
      <c r="I300" s="2" t="s">
        <v>3334</v>
      </c>
    </row>
    <row r="301" spans="1:9" x14ac:dyDescent="0.25">
      <c r="A301" s="2" t="s">
        <v>3885</v>
      </c>
      <c r="B301" s="2" t="s">
        <v>1499</v>
      </c>
      <c r="C301" s="2" t="s">
        <v>3354</v>
      </c>
      <c r="D301" s="2" t="s">
        <v>3355</v>
      </c>
      <c r="E301" s="2" t="s">
        <v>4</v>
      </c>
      <c r="F301" s="2" t="s">
        <v>3649</v>
      </c>
      <c r="G301" s="2">
        <v>216.79</v>
      </c>
      <c r="H301" s="2" t="s">
        <v>36</v>
      </c>
      <c r="I301" s="2" t="s">
        <v>3328</v>
      </c>
    </row>
    <row r="302" spans="1:9" x14ac:dyDescent="0.25">
      <c r="A302" s="2" t="s">
        <v>3886</v>
      </c>
      <c r="B302" s="2" t="s">
        <v>1110</v>
      </c>
      <c r="C302" s="2" t="s">
        <v>3427</v>
      </c>
      <c r="D302" s="2" t="s">
        <v>3428</v>
      </c>
      <c r="E302" s="2" t="s">
        <v>4</v>
      </c>
      <c r="F302" s="2" t="s">
        <v>3429</v>
      </c>
      <c r="G302" s="2">
        <v>10.36</v>
      </c>
      <c r="H302" s="2" t="s">
        <v>36</v>
      </c>
      <c r="I302" s="2" t="s">
        <v>3334</v>
      </c>
    </row>
    <row r="303" spans="1:9" x14ac:dyDescent="0.25">
      <c r="A303" s="2" t="s">
        <v>3887</v>
      </c>
      <c r="B303" s="2" t="s">
        <v>1522</v>
      </c>
      <c r="C303" s="2" t="s">
        <v>3320</v>
      </c>
      <c r="D303" s="2" t="s">
        <v>3321</v>
      </c>
      <c r="E303" s="2" t="s">
        <v>65</v>
      </c>
      <c r="F303" s="2" t="s">
        <v>3888</v>
      </c>
      <c r="G303" s="2">
        <v>67.77</v>
      </c>
      <c r="H303" s="2" t="s">
        <v>36</v>
      </c>
      <c r="I303" s="2" t="s">
        <v>3328</v>
      </c>
    </row>
    <row r="304" spans="1:9" x14ac:dyDescent="0.25">
      <c r="A304" s="2" t="s">
        <v>3889</v>
      </c>
      <c r="B304" s="2" t="s">
        <v>495</v>
      </c>
      <c r="C304" s="2" t="s">
        <v>3403</v>
      </c>
      <c r="D304" s="2" t="s">
        <v>3404</v>
      </c>
      <c r="E304" s="2" t="s">
        <v>65</v>
      </c>
      <c r="F304" s="2" t="s">
        <v>3614</v>
      </c>
      <c r="G304" s="2">
        <v>231.55</v>
      </c>
      <c r="H304" s="2" t="s">
        <v>36</v>
      </c>
      <c r="I304" s="2" t="s">
        <v>3385</v>
      </c>
    </row>
    <row r="305" spans="1:9" x14ac:dyDescent="0.25">
      <c r="A305" s="2" t="s">
        <v>3890</v>
      </c>
      <c r="B305" s="2" t="s">
        <v>1296</v>
      </c>
      <c r="C305" s="2" t="s">
        <v>3362</v>
      </c>
      <c r="D305" s="2" t="s">
        <v>3363</v>
      </c>
      <c r="E305" s="2" t="s">
        <v>65</v>
      </c>
      <c r="F305" s="2" t="s">
        <v>3651</v>
      </c>
      <c r="G305" s="2">
        <v>65.97</v>
      </c>
      <c r="H305" s="2" t="s">
        <v>36</v>
      </c>
      <c r="I305" s="2" t="s">
        <v>3365</v>
      </c>
    </row>
    <row r="306" spans="1:9" x14ac:dyDescent="0.25">
      <c r="A306" s="2" t="s">
        <v>3891</v>
      </c>
      <c r="B306" s="2" t="s">
        <v>1544</v>
      </c>
      <c r="C306" s="2" t="s">
        <v>3314</v>
      </c>
      <c r="D306" s="2" t="s">
        <v>3315</v>
      </c>
      <c r="E306" s="2" t="s">
        <v>65</v>
      </c>
      <c r="F306" s="2" t="s">
        <v>3892</v>
      </c>
      <c r="G306" s="2">
        <v>24.16</v>
      </c>
      <c r="H306" s="2" t="s">
        <v>37</v>
      </c>
      <c r="I306" s="2" t="s">
        <v>3331</v>
      </c>
    </row>
    <row r="307" spans="1:9" x14ac:dyDescent="0.25">
      <c r="A307" s="2" t="s">
        <v>3893</v>
      </c>
      <c r="B307" s="2" t="s">
        <v>1890</v>
      </c>
      <c r="C307" s="2" t="s">
        <v>3336</v>
      </c>
      <c r="D307" s="2" t="s">
        <v>3337</v>
      </c>
      <c r="E307" s="2" t="s">
        <v>3316</v>
      </c>
      <c r="F307" s="2" t="s">
        <v>3378</v>
      </c>
      <c r="G307" s="2">
        <v>14.78</v>
      </c>
      <c r="H307" s="2" t="s">
        <v>37</v>
      </c>
      <c r="I307" s="2" t="s">
        <v>3328</v>
      </c>
    </row>
    <row r="308" spans="1:9" x14ac:dyDescent="0.25">
      <c r="A308" s="2" t="s">
        <v>3894</v>
      </c>
      <c r="B308" s="2" t="s">
        <v>1280</v>
      </c>
      <c r="C308" s="2" t="s">
        <v>3427</v>
      </c>
      <c r="D308" s="2" t="s">
        <v>3428</v>
      </c>
      <c r="E308" s="2" t="s">
        <v>65</v>
      </c>
      <c r="F308" s="2" t="s">
        <v>3681</v>
      </c>
      <c r="G308" s="2">
        <v>8.32</v>
      </c>
      <c r="H308" s="2" t="s">
        <v>36</v>
      </c>
      <c r="I308" s="2" t="s">
        <v>3318</v>
      </c>
    </row>
    <row r="309" spans="1:9" x14ac:dyDescent="0.25">
      <c r="A309" s="2" t="s">
        <v>3895</v>
      </c>
      <c r="B309" s="2" t="s">
        <v>1045</v>
      </c>
      <c r="C309" s="2" t="s">
        <v>3336</v>
      </c>
      <c r="D309" s="2" t="s">
        <v>3337</v>
      </c>
      <c r="E309" s="2" t="s">
        <v>3338</v>
      </c>
      <c r="F309" s="2" t="s">
        <v>3483</v>
      </c>
      <c r="G309" s="2">
        <v>26.02</v>
      </c>
      <c r="H309" s="2" t="s">
        <v>36</v>
      </c>
      <c r="I309" s="2" t="s">
        <v>3370</v>
      </c>
    </row>
    <row r="310" spans="1:9" x14ac:dyDescent="0.25">
      <c r="A310" s="2" t="s">
        <v>3896</v>
      </c>
      <c r="B310" s="2" t="s">
        <v>3165</v>
      </c>
      <c r="C310" s="2" t="s">
        <v>3341</v>
      </c>
      <c r="D310" s="2" t="s">
        <v>3342</v>
      </c>
      <c r="E310" s="2" t="s">
        <v>3316</v>
      </c>
      <c r="F310" s="2" t="s">
        <v>3897</v>
      </c>
      <c r="G310" s="2">
        <v>72.069999999999993</v>
      </c>
      <c r="H310" s="2" t="s">
        <v>36</v>
      </c>
      <c r="I310" s="2" t="s">
        <v>3365</v>
      </c>
    </row>
    <row r="311" spans="1:9" x14ac:dyDescent="0.25">
      <c r="A311" s="2" t="s">
        <v>3898</v>
      </c>
      <c r="B311" s="2" t="s">
        <v>1487</v>
      </c>
      <c r="C311" s="2" t="s">
        <v>3314</v>
      </c>
      <c r="D311" s="2" t="s">
        <v>3315</v>
      </c>
      <c r="E311" s="2" t="s">
        <v>3316</v>
      </c>
      <c r="F311" s="2" t="s">
        <v>3899</v>
      </c>
      <c r="G311" s="2">
        <v>57.79</v>
      </c>
      <c r="H311" s="2" t="s">
        <v>36</v>
      </c>
      <c r="I311" s="2" t="s">
        <v>3385</v>
      </c>
    </row>
    <row r="312" spans="1:9" x14ac:dyDescent="0.25">
      <c r="A312" s="2" t="s">
        <v>3900</v>
      </c>
      <c r="B312" s="2" t="s">
        <v>863</v>
      </c>
      <c r="C312" s="2" t="s">
        <v>3367</v>
      </c>
      <c r="D312" s="2" t="s">
        <v>3368</v>
      </c>
      <c r="E312" s="2" t="s">
        <v>65</v>
      </c>
      <c r="F312" s="2" t="s">
        <v>3901</v>
      </c>
      <c r="G312" s="2">
        <v>22.44</v>
      </c>
      <c r="H312" s="2" t="s">
        <v>37</v>
      </c>
      <c r="I312" s="2" t="s">
        <v>3370</v>
      </c>
    </row>
    <row r="313" spans="1:9" x14ac:dyDescent="0.25">
      <c r="A313" s="2" t="s">
        <v>3902</v>
      </c>
      <c r="B313" s="2" t="s">
        <v>1423</v>
      </c>
      <c r="C313" s="2" t="s">
        <v>3341</v>
      </c>
      <c r="D313" s="2" t="s">
        <v>3342</v>
      </c>
      <c r="E313" s="2" t="s">
        <v>3316</v>
      </c>
      <c r="F313" s="2" t="s">
        <v>3903</v>
      </c>
      <c r="G313" s="2">
        <v>9.1999999999999993</v>
      </c>
      <c r="H313" s="2" t="s">
        <v>37</v>
      </c>
      <c r="I313" s="2" t="s">
        <v>3328</v>
      </c>
    </row>
    <row r="314" spans="1:9" x14ac:dyDescent="0.25">
      <c r="A314" s="2" t="s">
        <v>3904</v>
      </c>
      <c r="B314" s="2" t="s">
        <v>502</v>
      </c>
      <c r="C314" s="2" t="s">
        <v>3403</v>
      </c>
      <c r="D314" s="2" t="s">
        <v>3404</v>
      </c>
      <c r="E314" s="2" t="s">
        <v>3316</v>
      </c>
      <c r="F314" s="2" t="s">
        <v>3905</v>
      </c>
      <c r="G314" s="2">
        <v>52.56</v>
      </c>
      <c r="H314" s="2" t="s">
        <v>37</v>
      </c>
      <c r="I314" s="2" t="s">
        <v>3385</v>
      </c>
    </row>
    <row r="315" spans="1:9" x14ac:dyDescent="0.25">
      <c r="A315" s="2" t="s">
        <v>3906</v>
      </c>
      <c r="B315" s="2" t="s">
        <v>2163</v>
      </c>
      <c r="C315" s="2" t="s">
        <v>3320</v>
      </c>
      <c r="D315" s="2" t="s">
        <v>3321</v>
      </c>
      <c r="E315" s="2" t="s">
        <v>4</v>
      </c>
      <c r="F315" s="2" t="s">
        <v>3907</v>
      </c>
      <c r="G315" s="2">
        <v>21.44</v>
      </c>
      <c r="H315" s="2" t="s">
        <v>37</v>
      </c>
      <c r="I315" s="2" t="s">
        <v>3334</v>
      </c>
    </row>
    <row r="316" spans="1:9" x14ac:dyDescent="0.25">
      <c r="A316" s="2" t="s">
        <v>3908</v>
      </c>
      <c r="B316" s="2" t="s">
        <v>547</v>
      </c>
      <c r="C316" s="2" t="s">
        <v>3367</v>
      </c>
      <c r="D316" s="2" t="s">
        <v>3368</v>
      </c>
      <c r="E316" s="2" t="s">
        <v>4</v>
      </c>
      <c r="F316" s="2" t="s">
        <v>3909</v>
      </c>
      <c r="G316" s="2">
        <v>39.01</v>
      </c>
      <c r="H316" s="2" t="s">
        <v>37</v>
      </c>
      <c r="I316" s="2" t="s">
        <v>3334</v>
      </c>
    </row>
    <row r="317" spans="1:9" x14ac:dyDescent="0.25">
      <c r="A317" s="2" t="s">
        <v>3910</v>
      </c>
      <c r="B317" s="2" t="s">
        <v>3049</v>
      </c>
      <c r="C317" s="2" t="s">
        <v>3354</v>
      </c>
      <c r="D317" s="2" t="s">
        <v>3355</v>
      </c>
      <c r="E317" s="2" t="s">
        <v>65</v>
      </c>
      <c r="F317" s="2" t="s">
        <v>3623</v>
      </c>
      <c r="G317" s="2">
        <v>34.799999999999997</v>
      </c>
      <c r="H317" s="2" t="s">
        <v>36</v>
      </c>
      <c r="I317" s="2" t="s">
        <v>3385</v>
      </c>
    </row>
    <row r="318" spans="1:9" x14ac:dyDescent="0.25">
      <c r="A318" s="2" t="s">
        <v>3911</v>
      </c>
      <c r="B318" s="2" t="s">
        <v>3015</v>
      </c>
      <c r="C318" s="2" t="s">
        <v>3427</v>
      </c>
      <c r="D318" s="2" t="s">
        <v>3428</v>
      </c>
      <c r="E318" s="2" t="s">
        <v>65</v>
      </c>
      <c r="F318" s="2" t="s">
        <v>3478</v>
      </c>
      <c r="G318" s="2">
        <v>50.75</v>
      </c>
      <c r="H318" s="2" t="s">
        <v>36</v>
      </c>
      <c r="I318" s="2" t="s">
        <v>3385</v>
      </c>
    </row>
    <row r="319" spans="1:9" x14ac:dyDescent="0.25">
      <c r="A319" s="2" t="s">
        <v>3912</v>
      </c>
      <c r="B319" s="2" t="s">
        <v>2257</v>
      </c>
      <c r="C319" s="2" t="s">
        <v>3336</v>
      </c>
      <c r="D319" s="2" t="s">
        <v>3337</v>
      </c>
      <c r="E319" s="2" t="s">
        <v>4</v>
      </c>
      <c r="F319" s="2" t="s">
        <v>3913</v>
      </c>
      <c r="G319" s="2">
        <v>251.19</v>
      </c>
      <c r="H319" s="2" t="s">
        <v>37</v>
      </c>
      <c r="I319" s="2" t="s">
        <v>3331</v>
      </c>
    </row>
    <row r="320" spans="1:9" x14ac:dyDescent="0.25">
      <c r="A320" s="2" t="s">
        <v>3914</v>
      </c>
      <c r="B320" s="2" t="s">
        <v>1505</v>
      </c>
      <c r="C320" s="2" t="s">
        <v>3341</v>
      </c>
      <c r="D320" s="2" t="s">
        <v>3342</v>
      </c>
      <c r="E320" s="2" t="s">
        <v>3316</v>
      </c>
      <c r="F320" s="2" t="s">
        <v>3915</v>
      </c>
      <c r="G320" s="2">
        <v>21.24</v>
      </c>
      <c r="H320" s="2" t="s">
        <v>37</v>
      </c>
      <c r="I320" s="2" t="s">
        <v>3370</v>
      </c>
    </row>
    <row r="321" spans="1:9" x14ac:dyDescent="0.25">
      <c r="A321" s="2" t="s">
        <v>3916</v>
      </c>
      <c r="B321" s="2" t="s">
        <v>2958</v>
      </c>
      <c r="C321" s="2" t="s">
        <v>3403</v>
      </c>
      <c r="D321" s="2" t="s">
        <v>3404</v>
      </c>
      <c r="E321" s="2" t="s">
        <v>4</v>
      </c>
      <c r="F321" s="2" t="s">
        <v>3917</v>
      </c>
      <c r="G321" s="2">
        <v>49.44</v>
      </c>
      <c r="H321" s="2" t="s">
        <v>36</v>
      </c>
      <c r="I321" s="2" t="s">
        <v>3318</v>
      </c>
    </row>
    <row r="322" spans="1:9" x14ac:dyDescent="0.25">
      <c r="A322" s="2" t="s">
        <v>3918</v>
      </c>
      <c r="B322" s="2" t="s">
        <v>2759</v>
      </c>
      <c r="C322" s="2" t="s">
        <v>3325</v>
      </c>
      <c r="D322" s="2" t="s">
        <v>3326</v>
      </c>
      <c r="E322" s="2" t="s">
        <v>65</v>
      </c>
      <c r="F322" s="2" t="s">
        <v>3919</v>
      </c>
      <c r="G322" s="2">
        <v>9.17</v>
      </c>
      <c r="H322" s="2" t="s">
        <v>36</v>
      </c>
      <c r="I322" s="2" t="s">
        <v>3318</v>
      </c>
    </row>
    <row r="323" spans="1:9" x14ac:dyDescent="0.25">
      <c r="A323" s="2" t="s">
        <v>3920</v>
      </c>
      <c r="B323" s="2" t="s">
        <v>1663</v>
      </c>
      <c r="C323" s="2" t="s">
        <v>3320</v>
      </c>
      <c r="D323" s="2" t="s">
        <v>3321</v>
      </c>
      <c r="E323" s="2" t="s">
        <v>4</v>
      </c>
      <c r="F323" s="2" t="s">
        <v>3921</v>
      </c>
      <c r="G323" s="2">
        <v>299.75</v>
      </c>
      <c r="H323" s="2" t="s">
        <v>37</v>
      </c>
      <c r="I323" s="2" t="s">
        <v>3370</v>
      </c>
    </row>
    <row r="324" spans="1:9" x14ac:dyDescent="0.25">
      <c r="A324" s="2" t="s">
        <v>3922</v>
      </c>
      <c r="B324" s="2" t="s">
        <v>1309</v>
      </c>
      <c r="C324" s="2" t="s">
        <v>3362</v>
      </c>
      <c r="D324" s="2" t="s">
        <v>3363</v>
      </c>
      <c r="E324" s="2" t="s">
        <v>65</v>
      </c>
      <c r="F324" s="2" t="s">
        <v>2869</v>
      </c>
      <c r="G324" s="2">
        <v>56.33</v>
      </c>
      <c r="H324" s="2" t="s">
        <v>36</v>
      </c>
      <c r="I324" s="2" t="s">
        <v>3334</v>
      </c>
    </row>
    <row r="325" spans="1:9" x14ac:dyDescent="0.25">
      <c r="A325" s="2" t="s">
        <v>3923</v>
      </c>
      <c r="B325" s="2" t="s">
        <v>1945</v>
      </c>
      <c r="C325" s="2" t="s">
        <v>3325</v>
      </c>
      <c r="D325" s="2" t="s">
        <v>3326</v>
      </c>
      <c r="E325" s="2" t="s">
        <v>3338</v>
      </c>
      <c r="F325" s="2" t="s">
        <v>3924</v>
      </c>
      <c r="G325" s="2">
        <v>10.09</v>
      </c>
      <c r="H325" s="2" t="s">
        <v>36</v>
      </c>
      <c r="I325" s="2" t="s">
        <v>3328</v>
      </c>
    </row>
    <row r="326" spans="1:9" x14ac:dyDescent="0.25">
      <c r="A326" s="2" t="s">
        <v>3925</v>
      </c>
      <c r="B326" s="2" t="s">
        <v>3049</v>
      </c>
      <c r="C326" s="2" t="s">
        <v>3367</v>
      </c>
      <c r="D326" s="2" t="s">
        <v>3368</v>
      </c>
      <c r="E326" s="2" t="s">
        <v>65</v>
      </c>
      <c r="F326" s="2" t="s">
        <v>3926</v>
      </c>
      <c r="G326" s="2">
        <v>115.82</v>
      </c>
      <c r="H326" s="2" t="s">
        <v>37</v>
      </c>
      <c r="I326" s="2" t="s">
        <v>3331</v>
      </c>
    </row>
    <row r="327" spans="1:9" x14ac:dyDescent="0.25">
      <c r="A327" s="2" t="s">
        <v>3927</v>
      </c>
      <c r="B327" s="2" t="s">
        <v>2858</v>
      </c>
      <c r="C327" s="2" t="s">
        <v>3320</v>
      </c>
      <c r="D327" s="2" t="s">
        <v>3321</v>
      </c>
      <c r="E327" s="2" t="s">
        <v>65</v>
      </c>
      <c r="F327" s="2" t="s">
        <v>3928</v>
      </c>
      <c r="G327" s="2">
        <v>83.29</v>
      </c>
      <c r="H327" s="2" t="s">
        <v>37</v>
      </c>
      <c r="I327" s="2" t="s">
        <v>3334</v>
      </c>
    </row>
    <row r="328" spans="1:9" x14ac:dyDescent="0.25">
      <c r="A328" s="2" t="s">
        <v>3929</v>
      </c>
      <c r="B328" s="2" t="s">
        <v>1675</v>
      </c>
      <c r="C328" s="2" t="s">
        <v>3336</v>
      </c>
      <c r="D328" s="2" t="s">
        <v>3337</v>
      </c>
      <c r="E328" s="2" t="s">
        <v>4</v>
      </c>
      <c r="F328" s="2" t="s">
        <v>3930</v>
      </c>
      <c r="G328" s="2">
        <v>47.99</v>
      </c>
      <c r="H328" s="2" t="s">
        <v>36</v>
      </c>
      <c r="I328" s="2" t="s">
        <v>3328</v>
      </c>
    </row>
    <row r="329" spans="1:9" x14ac:dyDescent="0.25">
      <c r="A329" s="2" t="s">
        <v>3931</v>
      </c>
      <c r="B329" s="2" t="s">
        <v>2627</v>
      </c>
      <c r="C329" s="2" t="s">
        <v>3354</v>
      </c>
      <c r="D329" s="2" t="s">
        <v>3355</v>
      </c>
      <c r="E329" s="2" t="s">
        <v>65</v>
      </c>
      <c r="F329" s="2" t="s">
        <v>3649</v>
      </c>
      <c r="G329" s="2">
        <v>44.31</v>
      </c>
      <c r="H329" s="2" t="s">
        <v>37</v>
      </c>
      <c r="I329" s="2" t="s">
        <v>3365</v>
      </c>
    </row>
    <row r="330" spans="1:9" x14ac:dyDescent="0.25">
      <c r="A330" s="2" t="s">
        <v>3932</v>
      </c>
      <c r="B330" s="2" t="s">
        <v>1037</v>
      </c>
      <c r="C330" s="2" t="s">
        <v>3325</v>
      </c>
      <c r="D330" s="2" t="s">
        <v>3326</v>
      </c>
      <c r="E330" s="2" t="s">
        <v>3316</v>
      </c>
      <c r="F330" s="2" t="s">
        <v>3933</v>
      </c>
      <c r="G330" s="2">
        <v>28.58</v>
      </c>
      <c r="H330" s="2" t="s">
        <v>36</v>
      </c>
      <c r="I330" s="2" t="s">
        <v>3318</v>
      </c>
    </row>
    <row r="331" spans="1:9" x14ac:dyDescent="0.25">
      <c r="A331" s="2" t="s">
        <v>3934</v>
      </c>
      <c r="B331" s="2" t="s">
        <v>1065</v>
      </c>
      <c r="C331" s="2" t="s">
        <v>3325</v>
      </c>
      <c r="D331" s="2" t="s">
        <v>3326</v>
      </c>
      <c r="E331" s="2" t="s">
        <v>65</v>
      </c>
      <c r="F331" s="2" t="s">
        <v>3935</v>
      </c>
      <c r="G331" s="2">
        <v>284.79000000000002</v>
      </c>
      <c r="H331" s="2" t="s">
        <v>36</v>
      </c>
      <c r="I331" s="2" t="s">
        <v>3318</v>
      </c>
    </row>
    <row r="332" spans="1:9" x14ac:dyDescent="0.25">
      <c r="A332" s="2" t="s">
        <v>3936</v>
      </c>
      <c r="B332" s="2" t="s">
        <v>2952</v>
      </c>
      <c r="C332" s="2" t="s">
        <v>3427</v>
      </c>
      <c r="D332" s="2" t="s">
        <v>3428</v>
      </c>
      <c r="E332" s="2" t="s">
        <v>4</v>
      </c>
      <c r="F332" s="2" t="s">
        <v>3478</v>
      </c>
      <c r="G332" s="2">
        <v>78.900000000000006</v>
      </c>
      <c r="H332" s="2" t="s">
        <v>37</v>
      </c>
      <c r="I332" s="2" t="s">
        <v>3334</v>
      </c>
    </row>
    <row r="333" spans="1:9" x14ac:dyDescent="0.25">
      <c r="A333" s="2" t="s">
        <v>3937</v>
      </c>
      <c r="B333" s="2" t="s">
        <v>2076</v>
      </c>
      <c r="C333" s="2" t="s">
        <v>3367</v>
      </c>
      <c r="D333" s="2" t="s">
        <v>3368</v>
      </c>
      <c r="E333" s="2" t="s">
        <v>4</v>
      </c>
      <c r="F333" s="2" t="s">
        <v>3938</v>
      </c>
      <c r="G333" s="2">
        <v>73.989999999999995</v>
      </c>
      <c r="H333" s="2" t="s">
        <v>37</v>
      </c>
      <c r="I333" s="2" t="s">
        <v>3365</v>
      </c>
    </row>
    <row r="334" spans="1:9" x14ac:dyDescent="0.25">
      <c r="A334" s="2" t="s">
        <v>3939</v>
      </c>
      <c r="B334" s="2" t="s">
        <v>3176</v>
      </c>
      <c r="C334" s="2" t="s">
        <v>3325</v>
      </c>
      <c r="D334" s="2" t="s">
        <v>3326</v>
      </c>
      <c r="E334" s="2" t="s">
        <v>3316</v>
      </c>
      <c r="F334" s="2" t="s">
        <v>3940</v>
      </c>
      <c r="G334" s="2">
        <v>1139.1199999999999</v>
      </c>
      <c r="H334" s="2" t="s">
        <v>37</v>
      </c>
      <c r="I334" s="2" t="s">
        <v>3328</v>
      </c>
    </row>
    <row r="335" spans="1:9" x14ac:dyDescent="0.25">
      <c r="A335" s="2" t="s">
        <v>3941</v>
      </c>
      <c r="B335" s="2" t="s">
        <v>979</v>
      </c>
      <c r="C335" s="2" t="s">
        <v>3341</v>
      </c>
      <c r="D335" s="2" t="s">
        <v>3342</v>
      </c>
      <c r="E335" s="2" t="s">
        <v>91</v>
      </c>
      <c r="F335" s="2" t="s">
        <v>3631</v>
      </c>
      <c r="G335" s="2">
        <v>10.99</v>
      </c>
      <c r="H335" s="2" t="s">
        <v>37</v>
      </c>
      <c r="I335" s="2" t="s">
        <v>3331</v>
      </c>
    </row>
    <row r="336" spans="1:9" x14ac:dyDescent="0.25">
      <c r="A336" s="2" t="s">
        <v>3942</v>
      </c>
      <c r="B336" s="2" t="s">
        <v>1532</v>
      </c>
      <c r="C336" s="2" t="s">
        <v>3314</v>
      </c>
      <c r="D336" s="2" t="s">
        <v>3315</v>
      </c>
      <c r="E336" s="2" t="s">
        <v>33</v>
      </c>
      <c r="F336" s="2" t="s">
        <v>3943</v>
      </c>
      <c r="G336" s="2">
        <v>124.59</v>
      </c>
      <c r="H336" s="2" t="s">
        <v>36</v>
      </c>
      <c r="I336" s="2" t="s">
        <v>3331</v>
      </c>
    </row>
    <row r="337" spans="1:9" x14ac:dyDescent="0.25">
      <c r="A337" s="2" t="s">
        <v>3944</v>
      </c>
      <c r="B337" s="2" t="s">
        <v>2188</v>
      </c>
      <c r="C337" s="2" t="s">
        <v>3403</v>
      </c>
      <c r="D337" s="2" t="s">
        <v>3404</v>
      </c>
      <c r="E337" s="2" t="s">
        <v>65</v>
      </c>
      <c r="F337" s="2" t="s">
        <v>3945</v>
      </c>
      <c r="G337" s="2">
        <v>12.53</v>
      </c>
      <c r="H337" s="2" t="s">
        <v>36</v>
      </c>
      <c r="I337" s="2" t="s">
        <v>3334</v>
      </c>
    </row>
    <row r="338" spans="1:9" x14ac:dyDescent="0.25">
      <c r="A338" s="2" t="s">
        <v>3946</v>
      </c>
      <c r="B338" s="2" t="s">
        <v>1933</v>
      </c>
      <c r="C338" s="2" t="s">
        <v>3320</v>
      </c>
      <c r="D338" s="2" t="s">
        <v>3321</v>
      </c>
      <c r="E338" s="2" t="s">
        <v>4</v>
      </c>
      <c r="F338" s="2" t="s">
        <v>3947</v>
      </c>
      <c r="G338" s="2">
        <v>259.23</v>
      </c>
      <c r="H338" s="2" t="s">
        <v>37</v>
      </c>
      <c r="I338" s="2" t="s">
        <v>3328</v>
      </c>
    </row>
    <row r="339" spans="1:9" x14ac:dyDescent="0.25">
      <c r="A339" s="2" t="s">
        <v>3948</v>
      </c>
      <c r="B339" s="2" t="s">
        <v>81</v>
      </c>
      <c r="C339" s="2" t="s">
        <v>3362</v>
      </c>
      <c r="D339" s="2" t="s">
        <v>3363</v>
      </c>
      <c r="E339" s="2" t="s">
        <v>65</v>
      </c>
      <c r="F339" s="2" t="s">
        <v>3526</v>
      </c>
      <c r="G339" s="2">
        <v>133.07</v>
      </c>
      <c r="H339" s="2" t="s">
        <v>36</v>
      </c>
      <c r="I339" s="2" t="s">
        <v>3385</v>
      </c>
    </row>
    <row r="340" spans="1:9" x14ac:dyDescent="0.25">
      <c r="A340" s="2" t="s">
        <v>3949</v>
      </c>
      <c r="B340" s="2" t="s">
        <v>3199</v>
      </c>
      <c r="C340" s="2" t="s">
        <v>3320</v>
      </c>
      <c r="D340" s="2" t="s">
        <v>3321</v>
      </c>
      <c r="E340" s="2" t="s">
        <v>4</v>
      </c>
      <c r="F340" s="2" t="s">
        <v>3950</v>
      </c>
      <c r="G340" s="2">
        <v>30.29</v>
      </c>
      <c r="H340" s="2" t="s">
        <v>37</v>
      </c>
      <c r="I340" s="2" t="s">
        <v>3334</v>
      </c>
    </row>
    <row r="341" spans="1:9" x14ac:dyDescent="0.25">
      <c r="A341" s="2" t="s">
        <v>3951</v>
      </c>
      <c r="B341" s="2" t="s">
        <v>1239</v>
      </c>
      <c r="C341" s="2" t="s">
        <v>3427</v>
      </c>
      <c r="D341" s="2" t="s">
        <v>3428</v>
      </c>
      <c r="E341" s="2" t="s">
        <v>4</v>
      </c>
      <c r="F341" s="2" t="s">
        <v>3681</v>
      </c>
      <c r="G341" s="2">
        <v>28.44</v>
      </c>
      <c r="H341" s="2" t="s">
        <v>37</v>
      </c>
      <c r="I341" s="2" t="s">
        <v>3331</v>
      </c>
    </row>
    <row r="342" spans="1:9" x14ac:dyDescent="0.25">
      <c r="A342" s="2" t="s">
        <v>3952</v>
      </c>
      <c r="B342" s="2" t="s">
        <v>2940</v>
      </c>
      <c r="C342" s="2" t="s">
        <v>3314</v>
      </c>
      <c r="D342" s="2" t="s">
        <v>3315</v>
      </c>
      <c r="E342" s="2" t="s">
        <v>65</v>
      </c>
      <c r="F342" s="2" t="s">
        <v>3953</v>
      </c>
      <c r="G342" s="2">
        <v>165.79</v>
      </c>
      <c r="H342" s="2" t="s">
        <v>36</v>
      </c>
      <c r="I342" s="2" t="s">
        <v>3323</v>
      </c>
    </row>
    <row r="343" spans="1:9" x14ac:dyDescent="0.25">
      <c r="A343" s="2" t="s">
        <v>3954</v>
      </c>
      <c r="B343" s="2" t="s">
        <v>808</v>
      </c>
      <c r="C343" s="2" t="s">
        <v>3314</v>
      </c>
      <c r="D343" s="2" t="s">
        <v>3315</v>
      </c>
      <c r="E343" s="2" t="s">
        <v>33</v>
      </c>
      <c r="F343" s="2" t="s">
        <v>3955</v>
      </c>
      <c r="G343" s="2">
        <v>76.94</v>
      </c>
      <c r="H343" s="2" t="s">
        <v>36</v>
      </c>
      <c r="I343" s="2" t="s">
        <v>3331</v>
      </c>
    </row>
    <row r="344" spans="1:9" x14ac:dyDescent="0.25">
      <c r="A344" s="2" t="s">
        <v>3956</v>
      </c>
      <c r="B344" s="2" t="s">
        <v>1567</v>
      </c>
      <c r="C344" s="2" t="s">
        <v>3367</v>
      </c>
      <c r="D344" s="2" t="s">
        <v>3368</v>
      </c>
      <c r="E344" s="2" t="s">
        <v>4</v>
      </c>
      <c r="F344" s="2" t="s">
        <v>3957</v>
      </c>
      <c r="G344" s="2">
        <v>45.16</v>
      </c>
      <c r="H344" s="2" t="s">
        <v>36</v>
      </c>
      <c r="I344" s="2" t="s">
        <v>3328</v>
      </c>
    </row>
    <row r="345" spans="1:9" x14ac:dyDescent="0.25">
      <c r="A345" s="2" t="s">
        <v>3958</v>
      </c>
      <c r="B345" s="2" t="s">
        <v>374</v>
      </c>
      <c r="C345" s="2" t="s">
        <v>3336</v>
      </c>
      <c r="D345" s="2" t="s">
        <v>3337</v>
      </c>
      <c r="E345" s="2" t="s">
        <v>4</v>
      </c>
      <c r="F345" s="2" t="s">
        <v>3959</v>
      </c>
      <c r="G345" s="2">
        <v>21.29</v>
      </c>
      <c r="H345" s="2" t="s">
        <v>36</v>
      </c>
      <c r="I345" s="2" t="s">
        <v>3328</v>
      </c>
    </row>
    <row r="346" spans="1:9" x14ac:dyDescent="0.25">
      <c r="A346" s="2" t="s">
        <v>3960</v>
      </c>
      <c r="B346" s="2" t="s">
        <v>3026</v>
      </c>
      <c r="C346" s="2" t="s">
        <v>3341</v>
      </c>
      <c r="D346" s="2" t="s">
        <v>3342</v>
      </c>
      <c r="E346" s="2" t="s">
        <v>4</v>
      </c>
      <c r="F346" s="2" t="s">
        <v>3961</v>
      </c>
      <c r="G346" s="2">
        <v>11.46</v>
      </c>
      <c r="H346" s="2" t="s">
        <v>37</v>
      </c>
      <c r="I346" s="2" t="s">
        <v>3318</v>
      </c>
    </row>
    <row r="347" spans="1:9" x14ac:dyDescent="0.25">
      <c r="A347" s="2" t="s">
        <v>3962</v>
      </c>
      <c r="B347" s="2" t="s">
        <v>1650</v>
      </c>
      <c r="C347" s="2" t="s">
        <v>3427</v>
      </c>
      <c r="D347" s="2" t="s">
        <v>3428</v>
      </c>
      <c r="E347" s="2" t="s">
        <v>65</v>
      </c>
      <c r="F347" s="2" t="s">
        <v>3471</v>
      </c>
      <c r="G347" s="2">
        <v>18.809999999999999</v>
      </c>
      <c r="H347" s="2" t="s">
        <v>36</v>
      </c>
      <c r="I347" s="2" t="s">
        <v>3331</v>
      </c>
    </row>
    <row r="348" spans="1:9" x14ac:dyDescent="0.25">
      <c r="A348" s="2" t="s">
        <v>3963</v>
      </c>
      <c r="B348" s="2" t="s">
        <v>2894</v>
      </c>
      <c r="C348" s="2" t="s">
        <v>3320</v>
      </c>
      <c r="D348" s="2" t="s">
        <v>3321</v>
      </c>
      <c r="E348" s="2" t="s">
        <v>4</v>
      </c>
      <c r="F348" s="2" t="s">
        <v>3964</v>
      </c>
      <c r="G348" s="2">
        <v>100.49</v>
      </c>
      <c r="H348" s="2" t="s">
        <v>37</v>
      </c>
      <c r="I348" s="2" t="s">
        <v>3370</v>
      </c>
    </row>
    <row r="349" spans="1:9" x14ac:dyDescent="0.25">
      <c r="A349" s="2" t="s">
        <v>3965</v>
      </c>
      <c r="B349" s="2" t="s">
        <v>471</v>
      </c>
      <c r="C349" s="2" t="s">
        <v>3320</v>
      </c>
      <c r="D349" s="2" t="s">
        <v>3321</v>
      </c>
      <c r="E349" s="2" t="s">
        <v>4</v>
      </c>
      <c r="F349" s="2" t="s">
        <v>3966</v>
      </c>
      <c r="G349" s="2">
        <v>217.45</v>
      </c>
      <c r="H349" s="2" t="s">
        <v>36</v>
      </c>
      <c r="I349" s="2" t="s">
        <v>3331</v>
      </c>
    </row>
    <row r="350" spans="1:9" x14ac:dyDescent="0.25">
      <c r="A350" s="2" t="s">
        <v>3967</v>
      </c>
      <c r="B350" s="2" t="s">
        <v>2034</v>
      </c>
      <c r="C350" s="2" t="s">
        <v>3341</v>
      </c>
      <c r="D350" s="2" t="s">
        <v>3342</v>
      </c>
      <c r="E350" s="2" t="s">
        <v>3316</v>
      </c>
      <c r="F350" s="2" t="s">
        <v>3968</v>
      </c>
      <c r="G350" s="2">
        <v>13.34</v>
      </c>
      <c r="H350" s="2" t="s">
        <v>37</v>
      </c>
      <c r="I350" s="2" t="s">
        <v>3323</v>
      </c>
    </row>
    <row r="351" spans="1:9" x14ac:dyDescent="0.25">
      <c r="A351" s="2" t="s">
        <v>3969</v>
      </c>
      <c r="B351" s="2" t="s">
        <v>3083</v>
      </c>
      <c r="C351" s="2" t="s">
        <v>3367</v>
      </c>
      <c r="D351" s="2" t="s">
        <v>3368</v>
      </c>
      <c r="E351" s="2" t="s">
        <v>65</v>
      </c>
      <c r="F351" s="2" t="s">
        <v>3970</v>
      </c>
      <c r="G351" s="2">
        <v>13.52</v>
      </c>
      <c r="H351" s="2" t="s">
        <v>37</v>
      </c>
      <c r="I351" s="2" t="s">
        <v>3323</v>
      </c>
    </row>
    <row r="352" spans="1:9" x14ac:dyDescent="0.25">
      <c r="A352" s="2" t="s">
        <v>3971</v>
      </c>
      <c r="B352" s="2" t="s">
        <v>1738</v>
      </c>
      <c r="C352" s="2" t="s">
        <v>3325</v>
      </c>
      <c r="D352" s="2" t="s">
        <v>3326</v>
      </c>
      <c r="E352" s="2" t="s">
        <v>3316</v>
      </c>
      <c r="F352" s="2" t="s">
        <v>3972</v>
      </c>
      <c r="G352" s="2">
        <v>228.44</v>
      </c>
      <c r="H352" s="2" t="s">
        <v>37</v>
      </c>
      <c r="I352" s="2" t="s">
        <v>3328</v>
      </c>
    </row>
    <row r="353" spans="1:9" x14ac:dyDescent="0.25">
      <c r="A353" s="2" t="s">
        <v>3973</v>
      </c>
      <c r="B353" s="2" t="s">
        <v>2657</v>
      </c>
      <c r="C353" s="2" t="s">
        <v>3314</v>
      </c>
      <c r="D353" s="2" t="s">
        <v>3315</v>
      </c>
      <c r="E353" s="2" t="s">
        <v>3316</v>
      </c>
      <c r="F353" s="2" t="s">
        <v>3974</v>
      </c>
      <c r="G353" s="2">
        <v>16.96</v>
      </c>
      <c r="H353" s="2" t="s">
        <v>36</v>
      </c>
      <c r="I353" s="2" t="s">
        <v>3323</v>
      </c>
    </row>
    <row r="354" spans="1:9" x14ac:dyDescent="0.25">
      <c r="A354" s="2" t="s">
        <v>3975</v>
      </c>
      <c r="B354" s="2" t="s">
        <v>949</v>
      </c>
      <c r="C354" s="2" t="s">
        <v>3367</v>
      </c>
      <c r="D354" s="2" t="s">
        <v>3368</v>
      </c>
      <c r="E354" s="2" t="s">
        <v>4</v>
      </c>
      <c r="F354" s="2" t="s">
        <v>3976</v>
      </c>
      <c r="G354" s="2">
        <v>29.57</v>
      </c>
      <c r="H354" s="2" t="s">
        <v>36</v>
      </c>
      <c r="I354" s="2" t="s">
        <v>3331</v>
      </c>
    </row>
    <row r="355" spans="1:9" x14ac:dyDescent="0.25">
      <c r="A355" s="2" t="s">
        <v>3977</v>
      </c>
      <c r="B355" s="2" t="s">
        <v>1274</v>
      </c>
      <c r="C355" s="2" t="s">
        <v>3314</v>
      </c>
      <c r="D355" s="2" t="s">
        <v>3315</v>
      </c>
      <c r="E355" s="2" t="s">
        <v>3316</v>
      </c>
      <c r="F355" s="2" t="s">
        <v>3978</v>
      </c>
      <c r="G355" s="2">
        <v>177.69</v>
      </c>
      <c r="H355" s="2" t="s">
        <v>36</v>
      </c>
      <c r="I355" s="2" t="s">
        <v>3323</v>
      </c>
    </row>
    <row r="356" spans="1:9" x14ac:dyDescent="0.25">
      <c r="A356" s="2" t="s">
        <v>3979</v>
      </c>
      <c r="B356" s="2" t="s">
        <v>2987</v>
      </c>
      <c r="C356" s="2" t="s">
        <v>3320</v>
      </c>
      <c r="D356" s="2" t="s">
        <v>3321</v>
      </c>
      <c r="E356" s="2" t="s">
        <v>65</v>
      </c>
      <c r="F356" s="2" t="s">
        <v>3980</v>
      </c>
      <c r="G356" s="2">
        <v>27.99</v>
      </c>
      <c r="H356" s="2" t="s">
        <v>36</v>
      </c>
      <c r="I356" s="2" t="s">
        <v>3318</v>
      </c>
    </row>
    <row r="357" spans="1:9" x14ac:dyDescent="0.25">
      <c r="A357" s="2" t="s">
        <v>3981</v>
      </c>
      <c r="B357" s="2" t="s">
        <v>1808</v>
      </c>
      <c r="C357" s="2" t="s">
        <v>3320</v>
      </c>
      <c r="D357" s="2" t="s">
        <v>3321</v>
      </c>
      <c r="E357" s="2" t="s">
        <v>4</v>
      </c>
      <c r="F357" s="2" t="s">
        <v>3982</v>
      </c>
      <c r="G357" s="2">
        <v>12.79</v>
      </c>
      <c r="H357" s="2" t="s">
        <v>37</v>
      </c>
      <c r="I357" s="2" t="s">
        <v>3328</v>
      </c>
    </row>
    <row r="358" spans="1:9" x14ac:dyDescent="0.25">
      <c r="A358" s="2" t="s">
        <v>3983</v>
      </c>
      <c r="B358" s="2" t="s">
        <v>3106</v>
      </c>
      <c r="C358" s="2" t="s">
        <v>3403</v>
      </c>
      <c r="D358" s="2" t="s">
        <v>3404</v>
      </c>
      <c r="E358" s="2" t="s">
        <v>4</v>
      </c>
      <c r="F358" s="2" t="s">
        <v>3984</v>
      </c>
      <c r="G358" s="2">
        <v>447.61</v>
      </c>
      <c r="H358" s="2" t="s">
        <v>36</v>
      </c>
      <c r="I358" s="2" t="s">
        <v>3331</v>
      </c>
    </row>
    <row r="359" spans="1:9" x14ac:dyDescent="0.25">
      <c r="A359" s="2" t="s">
        <v>3985</v>
      </c>
      <c r="B359" s="2" t="s">
        <v>1380</v>
      </c>
      <c r="C359" s="2" t="s">
        <v>3325</v>
      </c>
      <c r="D359" s="2" t="s">
        <v>3326</v>
      </c>
      <c r="E359" s="2" t="s">
        <v>3316</v>
      </c>
      <c r="F359" s="2" t="s">
        <v>3301</v>
      </c>
      <c r="G359" s="2">
        <v>54</v>
      </c>
      <c r="H359" s="2" t="s">
        <v>37</v>
      </c>
      <c r="I359" s="2" t="s">
        <v>3385</v>
      </c>
    </row>
    <row r="360" spans="1:9" x14ac:dyDescent="0.25">
      <c r="A360" s="2" t="s">
        <v>3986</v>
      </c>
      <c r="B360" s="2" t="s">
        <v>3193</v>
      </c>
      <c r="C360" s="2" t="s">
        <v>3341</v>
      </c>
      <c r="D360" s="2" t="s">
        <v>3342</v>
      </c>
      <c r="E360" s="2" t="s">
        <v>91</v>
      </c>
      <c r="F360" s="2" t="s">
        <v>3853</v>
      </c>
      <c r="G360" s="2">
        <v>28.22</v>
      </c>
      <c r="H360" s="2" t="s">
        <v>37</v>
      </c>
      <c r="I360" s="2" t="s">
        <v>3318</v>
      </c>
    </row>
    <row r="361" spans="1:9" x14ac:dyDescent="0.25">
      <c r="A361" s="2" t="s">
        <v>3987</v>
      </c>
      <c r="B361" s="2" t="s">
        <v>961</v>
      </c>
      <c r="C361" s="2" t="s">
        <v>3362</v>
      </c>
      <c r="D361" s="2" t="s">
        <v>3363</v>
      </c>
      <c r="E361" s="2" t="s">
        <v>65</v>
      </c>
      <c r="F361" s="2" t="s">
        <v>3988</v>
      </c>
      <c r="G361" s="2">
        <v>43.53</v>
      </c>
      <c r="H361" s="2" t="s">
        <v>37</v>
      </c>
      <c r="I361" s="2" t="s">
        <v>3385</v>
      </c>
    </row>
    <row r="362" spans="1:9" x14ac:dyDescent="0.25">
      <c r="A362" s="2" t="s">
        <v>3989</v>
      </c>
      <c r="B362" s="2" t="s">
        <v>3043</v>
      </c>
      <c r="C362" s="2" t="s">
        <v>3314</v>
      </c>
      <c r="D362" s="2" t="s">
        <v>3315</v>
      </c>
      <c r="E362" s="2" t="s">
        <v>3316</v>
      </c>
      <c r="F362" s="2" t="s">
        <v>3990</v>
      </c>
      <c r="G362" s="2">
        <v>80.41</v>
      </c>
      <c r="H362" s="2" t="s">
        <v>36</v>
      </c>
      <c r="I362" s="2" t="s">
        <v>3334</v>
      </c>
    </row>
    <row r="363" spans="1:9" x14ac:dyDescent="0.25">
      <c r="A363" s="2" t="s">
        <v>3991</v>
      </c>
      <c r="B363" s="2" t="s">
        <v>1619</v>
      </c>
      <c r="C363" s="2" t="s">
        <v>3325</v>
      </c>
      <c r="D363" s="2" t="s">
        <v>3326</v>
      </c>
      <c r="E363" s="2" t="s">
        <v>65</v>
      </c>
      <c r="F363" s="2" t="s">
        <v>3992</v>
      </c>
      <c r="G363" s="2">
        <v>14.88</v>
      </c>
      <c r="H363" s="2" t="s">
        <v>36</v>
      </c>
      <c r="I363" s="2" t="s">
        <v>3365</v>
      </c>
    </row>
    <row r="364" spans="1:9" x14ac:dyDescent="0.25">
      <c r="A364" s="2" t="s">
        <v>3993</v>
      </c>
      <c r="B364" s="2" t="s">
        <v>914</v>
      </c>
      <c r="C364" s="2" t="s">
        <v>3354</v>
      </c>
      <c r="D364" s="2" t="s">
        <v>3355</v>
      </c>
      <c r="E364" s="2" t="s">
        <v>65</v>
      </c>
      <c r="F364" s="2" t="s">
        <v>3356</v>
      </c>
      <c r="G364" s="2">
        <v>1889.56</v>
      </c>
      <c r="H364" s="2" t="s">
        <v>36</v>
      </c>
      <c r="I364" s="2" t="s">
        <v>3323</v>
      </c>
    </row>
    <row r="365" spans="1:9" x14ac:dyDescent="0.25">
      <c r="A365" s="2" t="s">
        <v>3994</v>
      </c>
      <c r="B365" s="2" t="s">
        <v>143</v>
      </c>
      <c r="C365" s="2" t="s">
        <v>3362</v>
      </c>
      <c r="D365" s="2" t="s">
        <v>3363</v>
      </c>
      <c r="E365" s="2" t="s">
        <v>65</v>
      </c>
      <c r="F365" s="2" t="s">
        <v>3995</v>
      </c>
      <c r="G365" s="2">
        <v>47.13</v>
      </c>
      <c r="H365" s="2" t="s">
        <v>36</v>
      </c>
      <c r="I365" s="2" t="s">
        <v>3385</v>
      </c>
    </row>
    <row r="366" spans="1:9" x14ac:dyDescent="0.25">
      <c r="A366" s="2" t="s">
        <v>3996</v>
      </c>
      <c r="B366" s="2" t="s">
        <v>345</v>
      </c>
      <c r="C366" s="2" t="s">
        <v>3320</v>
      </c>
      <c r="D366" s="2" t="s">
        <v>3321</v>
      </c>
      <c r="E366" s="2" t="s">
        <v>4</v>
      </c>
      <c r="F366" s="2" t="s">
        <v>3455</v>
      </c>
      <c r="G366" s="2">
        <v>26.74</v>
      </c>
      <c r="H366" s="2" t="s">
        <v>37</v>
      </c>
      <c r="I366" s="2" t="s">
        <v>3331</v>
      </c>
    </row>
    <row r="367" spans="1:9" x14ac:dyDescent="0.25">
      <c r="A367" s="2" t="s">
        <v>3997</v>
      </c>
      <c r="B367" s="2" t="s">
        <v>2603</v>
      </c>
      <c r="C367" s="2" t="s">
        <v>3427</v>
      </c>
      <c r="D367" s="2" t="s">
        <v>3428</v>
      </c>
      <c r="E367" s="2" t="s">
        <v>65</v>
      </c>
      <c r="F367" s="2" t="s">
        <v>3471</v>
      </c>
      <c r="G367" s="2">
        <v>137.25</v>
      </c>
      <c r="H367" s="2" t="s">
        <v>36</v>
      </c>
      <c r="I367" s="2" t="s">
        <v>3331</v>
      </c>
    </row>
    <row r="368" spans="1:9" x14ac:dyDescent="0.25">
      <c r="A368" s="2" t="s">
        <v>3998</v>
      </c>
      <c r="B368" s="2" t="s">
        <v>1669</v>
      </c>
      <c r="C368" s="2" t="s">
        <v>3403</v>
      </c>
      <c r="D368" s="2" t="s">
        <v>3404</v>
      </c>
      <c r="E368" s="2" t="s">
        <v>65</v>
      </c>
      <c r="F368" s="2" t="s">
        <v>3999</v>
      </c>
      <c r="G368" s="2">
        <v>13.16</v>
      </c>
      <c r="H368" s="2" t="s">
        <v>36</v>
      </c>
      <c r="I368" s="2" t="s">
        <v>3334</v>
      </c>
    </row>
    <row r="369" spans="1:9" x14ac:dyDescent="0.25">
      <c r="A369" s="2" t="s">
        <v>4000</v>
      </c>
      <c r="B369" s="2" t="s">
        <v>1392</v>
      </c>
      <c r="C369" s="2" t="s">
        <v>3367</v>
      </c>
      <c r="D369" s="2" t="s">
        <v>3368</v>
      </c>
      <c r="E369" s="2" t="s">
        <v>4</v>
      </c>
      <c r="F369" s="2" t="s">
        <v>4001</v>
      </c>
      <c r="G369" s="2">
        <v>114.8</v>
      </c>
      <c r="H369" s="2" t="s">
        <v>36</v>
      </c>
      <c r="I369" s="2" t="s">
        <v>3331</v>
      </c>
    </row>
    <row r="370" spans="1:9" x14ac:dyDescent="0.25">
      <c r="A370" s="2" t="s">
        <v>4002</v>
      </c>
      <c r="B370" s="2" t="s">
        <v>1927</v>
      </c>
      <c r="C370" s="2" t="s">
        <v>3362</v>
      </c>
      <c r="D370" s="2" t="s">
        <v>3363</v>
      </c>
      <c r="E370" s="2" t="s">
        <v>65</v>
      </c>
      <c r="F370" s="2" t="s">
        <v>3431</v>
      </c>
      <c r="G370" s="2">
        <v>25.85</v>
      </c>
      <c r="H370" s="2" t="s">
        <v>37</v>
      </c>
      <c r="I370" s="2" t="s">
        <v>3318</v>
      </c>
    </row>
    <row r="371" spans="1:9" x14ac:dyDescent="0.25">
      <c r="A371" s="2" t="s">
        <v>4003</v>
      </c>
      <c r="B371" s="2" t="s">
        <v>746</v>
      </c>
      <c r="C371" s="2" t="s">
        <v>3325</v>
      </c>
      <c r="D371" s="2" t="s">
        <v>3326</v>
      </c>
      <c r="E371" s="2" t="s">
        <v>3316</v>
      </c>
      <c r="F371" s="2" t="s">
        <v>4004</v>
      </c>
      <c r="G371" s="2">
        <v>49.61</v>
      </c>
      <c r="H371" s="2" t="s">
        <v>36</v>
      </c>
      <c r="I371" s="2" t="s">
        <v>3331</v>
      </c>
    </row>
    <row r="372" spans="1:9" x14ac:dyDescent="0.25">
      <c r="A372" s="2" t="s">
        <v>4005</v>
      </c>
      <c r="B372" s="2" t="s">
        <v>2182</v>
      </c>
      <c r="C372" s="2" t="s">
        <v>3403</v>
      </c>
      <c r="D372" s="2" t="s">
        <v>3404</v>
      </c>
      <c r="E372" s="2" t="s">
        <v>3316</v>
      </c>
      <c r="F372" s="2" t="s">
        <v>4006</v>
      </c>
      <c r="G372" s="2">
        <v>254.61</v>
      </c>
      <c r="H372" s="2" t="s">
        <v>37</v>
      </c>
      <c r="I372" s="2" t="s">
        <v>3328</v>
      </c>
    </row>
    <row r="373" spans="1:9" x14ac:dyDescent="0.25">
      <c r="A373" s="2" t="s">
        <v>4007</v>
      </c>
      <c r="B373" s="2" t="s">
        <v>282</v>
      </c>
      <c r="C373" s="2" t="s">
        <v>3320</v>
      </c>
      <c r="D373" s="2" t="s">
        <v>3321</v>
      </c>
      <c r="E373" s="2" t="s">
        <v>4</v>
      </c>
      <c r="F373" s="2" t="s">
        <v>4008</v>
      </c>
      <c r="G373" s="2">
        <v>19.87</v>
      </c>
      <c r="H373" s="2" t="s">
        <v>36</v>
      </c>
      <c r="I373" s="2" t="s">
        <v>3328</v>
      </c>
    </row>
    <row r="374" spans="1:9" x14ac:dyDescent="0.25">
      <c r="A374" s="2" t="s">
        <v>4009</v>
      </c>
      <c r="B374" s="2" t="s">
        <v>2598</v>
      </c>
      <c r="C374" s="2" t="s">
        <v>3314</v>
      </c>
      <c r="D374" s="2" t="s">
        <v>3315</v>
      </c>
      <c r="E374" s="2" t="s">
        <v>3316</v>
      </c>
      <c r="F374" s="2" t="s">
        <v>4010</v>
      </c>
      <c r="G374" s="2">
        <v>-45.47</v>
      </c>
      <c r="H374" s="2" t="s">
        <v>36</v>
      </c>
      <c r="I374" s="2" t="s">
        <v>3328</v>
      </c>
    </row>
    <row r="375" spans="1:9" x14ac:dyDescent="0.25">
      <c r="A375" s="2" t="s">
        <v>4011</v>
      </c>
      <c r="B375" s="2" t="s">
        <v>330</v>
      </c>
      <c r="C375" s="2" t="s">
        <v>3403</v>
      </c>
      <c r="D375" s="2" t="s">
        <v>3404</v>
      </c>
      <c r="E375" s="2" t="s">
        <v>3316</v>
      </c>
      <c r="F375" s="2" t="s">
        <v>4012</v>
      </c>
      <c r="G375" s="2">
        <v>41.92</v>
      </c>
      <c r="H375" s="2" t="s">
        <v>37</v>
      </c>
      <c r="I375" s="2" t="s">
        <v>3365</v>
      </c>
    </row>
    <row r="376" spans="1:9" x14ac:dyDescent="0.25">
      <c r="A376" s="2" t="s">
        <v>4013</v>
      </c>
      <c r="B376" s="2" t="s">
        <v>1405</v>
      </c>
      <c r="C376" s="2" t="s">
        <v>3367</v>
      </c>
      <c r="D376" s="2" t="s">
        <v>3368</v>
      </c>
      <c r="E376" s="2" t="s">
        <v>65</v>
      </c>
      <c r="F376" s="2" t="s">
        <v>4014</v>
      </c>
      <c r="G376" s="2">
        <v>140.09</v>
      </c>
      <c r="H376" s="2" t="s">
        <v>37</v>
      </c>
      <c r="I376" s="2" t="s">
        <v>3318</v>
      </c>
    </row>
    <row r="377" spans="1:9" x14ac:dyDescent="0.25">
      <c r="A377" s="2" t="s">
        <v>4015</v>
      </c>
      <c r="B377" s="2" t="s">
        <v>987</v>
      </c>
      <c r="C377" s="2" t="s">
        <v>3336</v>
      </c>
      <c r="D377" s="2" t="s">
        <v>3337</v>
      </c>
      <c r="E377" s="2" t="s">
        <v>4</v>
      </c>
      <c r="F377" s="2" t="s">
        <v>4016</v>
      </c>
      <c r="G377" s="2">
        <v>69.41</v>
      </c>
      <c r="H377" s="2" t="s">
        <v>36</v>
      </c>
      <c r="I377" s="2" t="s">
        <v>3328</v>
      </c>
    </row>
    <row r="378" spans="1:9" x14ac:dyDescent="0.25">
      <c r="A378" s="2" t="s">
        <v>4017</v>
      </c>
      <c r="B378" s="2" t="s">
        <v>2638</v>
      </c>
      <c r="C378" s="2" t="s">
        <v>3341</v>
      </c>
      <c r="D378" s="2" t="s">
        <v>3342</v>
      </c>
      <c r="E378" s="2" t="s">
        <v>4</v>
      </c>
      <c r="F378" s="2" t="s">
        <v>3640</v>
      </c>
      <c r="G378" s="2">
        <v>386.53</v>
      </c>
      <c r="H378" s="2" t="s">
        <v>37</v>
      </c>
      <c r="I378" s="2" t="s">
        <v>3385</v>
      </c>
    </row>
    <row r="379" spans="1:9" x14ac:dyDescent="0.25">
      <c r="A379" s="2" t="s">
        <v>4018</v>
      </c>
      <c r="B379" s="2" t="s">
        <v>282</v>
      </c>
      <c r="C379" s="2" t="s">
        <v>3354</v>
      </c>
      <c r="D379" s="2" t="s">
        <v>3355</v>
      </c>
      <c r="E379" s="2" t="s">
        <v>4</v>
      </c>
      <c r="F379" s="2" t="s">
        <v>3522</v>
      </c>
      <c r="G379" s="2">
        <v>168.4</v>
      </c>
      <c r="H379" s="2" t="s">
        <v>37</v>
      </c>
      <c r="I379" s="2" t="s">
        <v>3370</v>
      </c>
    </row>
    <row r="380" spans="1:9" x14ac:dyDescent="0.25">
      <c r="A380" s="2" t="s">
        <v>4019</v>
      </c>
      <c r="B380" s="2" t="s">
        <v>2367</v>
      </c>
      <c r="C380" s="2" t="s">
        <v>3320</v>
      </c>
      <c r="D380" s="2" t="s">
        <v>3321</v>
      </c>
      <c r="E380" s="2" t="s">
        <v>4</v>
      </c>
      <c r="F380" s="2" t="s">
        <v>4020</v>
      </c>
      <c r="G380" s="2">
        <v>141.21</v>
      </c>
      <c r="H380" s="2" t="s">
        <v>36</v>
      </c>
      <c r="I380" s="2" t="s">
        <v>3331</v>
      </c>
    </row>
    <row r="381" spans="1:9" x14ac:dyDescent="0.25">
      <c r="A381" s="2" t="s">
        <v>4021</v>
      </c>
      <c r="B381" s="2" t="s">
        <v>1761</v>
      </c>
      <c r="C381" s="2" t="s">
        <v>3325</v>
      </c>
      <c r="D381" s="2" t="s">
        <v>3326</v>
      </c>
      <c r="E381" s="2" t="s">
        <v>3316</v>
      </c>
      <c r="F381" s="2" t="s">
        <v>4022</v>
      </c>
      <c r="G381" s="2">
        <v>79.069999999999993</v>
      </c>
      <c r="H381" s="2" t="s">
        <v>36</v>
      </c>
      <c r="I381" s="2" t="s">
        <v>3370</v>
      </c>
    </row>
    <row r="382" spans="1:9" x14ac:dyDescent="0.25">
      <c r="A382" s="2" t="s">
        <v>4023</v>
      </c>
      <c r="B382" s="2" t="s">
        <v>2315</v>
      </c>
      <c r="C382" s="2" t="s">
        <v>3336</v>
      </c>
      <c r="D382" s="2" t="s">
        <v>3337</v>
      </c>
      <c r="E382" s="2" t="s">
        <v>65</v>
      </c>
      <c r="F382" s="2" t="s">
        <v>4024</v>
      </c>
      <c r="G382" s="2">
        <v>24.19</v>
      </c>
      <c r="H382" s="2" t="s">
        <v>36</v>
      </c>
      <c r="I382" s="2" t="s">
        <v>3331</v>
      </c>
    </row>
    <row r="383" spans="1:9" x14ac:dyDescent="0.25">
      <c r="A383" s="2" t="s">
        <v>4025</v>
      </c>
      <c r="B383" s="2" t="s">
        <v>817</v>
      </c>
      <c r="C383" s="2" t="s">
        <v>3427</v>
      </c>
      <c r="D383" s="2" t="s">
        <v>3428</v>
      </c>
      <c r="E383" s="2" t="s">
        <v>65</v>
      </c>
      <c r="F383" s="2" t="s">
        <v>3587</v>
      </c>
      <c r="G383" s="2">
        <v>24.97</v>
      </c>
      <c r="H383" s="2" t="s">
        <v>36</v>
      </c>
      <c r="I383" s="2" t="s">
        <v>3318</v>
      </c>
    </row>
    <row r="384" spans="1:9" x14ac:dyDescent="0.25">
      <c r="A384" s="2" t="s">
        <v>4026</v>
      </c>
      <c r="B384" s="2" t="s">
        <v>1784</v>
      </c>
      <c r="C384" s="2" t="s">
        <v>3341</v>
      </c>
      <c r="D384" s="2" t="s">
        <v>3342</v>
      </c>
      <c r="E384" s="2" t="s">
        <v>91</v>
      </c>
      <c r="F384" s="2" t="s">
        <v>3909</v>
      </c>
      <c r="G384" s="2">
        <v>27.39</v>
      </c>
      <c r="H384" s="2" t="s">
        <v>36</v>
      </c>
      <c r="I384" s="2" t="s">
        <v>3365</v>
      </c>
    </row>
    <row r="385" spans="1:9" x14ac:dyDescent="0.25">
      <c r="A385" s="2" t="s">
        <v>4027</v>
      </c>
      <c r="B385" s="2" t="s">
        <v>2615</v>
      </c>
      <c r="C385" s="2" t="s">
        <v>3314</v>
      </c>
      <c r="D385" s="2" t="s">
        <v>3315</v>
      </c>
      <c r="E385" s="2" t="s">
        <v>33</v>
      </c>
      <c r="F385" s="2" t="s">
        <v>4028</v>
      </c>
      <c r="G385" s="2">
        <v>394.88</v>
      </c>
      <c r="H385" s="2" t="s">
        <v>36</v>
      </c>
      <c r="I385" s="2" t="s">
        <v>3385</v>
      </c>
    </row>
    <row r="386" spans="1:9" x14ac:dyDescent="0.25">
      <c r="A386" s="2" t="s">
        <v>4029</v>
      </c>
      <c r="B386" s="2" t="s">
        <v>351</v>
      </c>
      <c r="C386" s="2" t="s">
        <v>3403</v>
      </c>
      <c r="D386" s="2" t="s">
        <v>3404</v>
      </c>
      <c r="E386" s="2" t="s">
        <v>4</v>
      </c>
      <c r="F386" s="2" t="s">
        <v>4030</v>
      </c>
      <c r="G386" s="2">
        <v>96.86</v>
      </c>
      <c r="H386" s="2" t="s">
        <v>36</v>
      </c>
      <c r="I386" s="2" t="s">
        <v>3331</v>
      </c>
    </row>
    <row r="387" spans="1:9" x14ac:dyDescent="0.25">
      <c r="A387" s="2" t="s">
        <v>4031</v>
      </c>
      <c r="B387" s="2" t="s">
        <v>1951</v>
      </c>
      <c r="C387" s="2" t="s">
        <v>3427</v>
      </c>
      <c r="D387" s="2" t="s">
        <v>3428</v>
      </c>
      <c r="E387" s="2" t="s">
        <v>4</v>
      </c>
      <c r="F387" s="2" t="s">
        <v>3698</v>
      </c>
      <c r="G387" s="2">
        <v>14</v>
      </c>
      <c r="H387" s="2" t="s">
        <v>36</v>
      </c>
      <c r="I387" s="2" t="s">
        <v>3328</v>
      </c>
    </row>
    <row r="388" spans="1:9" x14ac:dyDescent="0.25">
      <c r="A388" s="2" t="s">
        <v>4032</v>
      </c>
      <c r="B388" s="2" t="s">
        <v>2100</v>
      </c>
      <c r="C388" s="2" t="s">
        <v>3362</v>
      </c>
      <c r="D388" s="2" t="s">
        <v>3363</v>
      </c>
      <c r="E388" s="2" t="s">
        <v>65</v>
      </c>
      <c r="F388" s="2" t="s">
        <v>4033</v>
      </c>
      <c r="G388" s="2">
        <v>12.79</v>
      </c>
      <c r="H388" s="2" t="s">
        <v>37</v>
      </c>
      <c r="I388" s="2" t="s">
        <v>3385</v>
      </c>
    </row>
    <row r="389" spans="1:9" x14ac:dyDescent="0.25">
      <c r="A389" s="2" t="s">
        <v>4034</v>
      </c>
      <c r="B389" s="2" t="s">
        <v>2423</v>
      </c>
      <c r="C389" s="2" t="s">
        <v>3362</v>
      </c>
      <c r="D389" s="2" t="s">
        <v>3363</v>
      </c>
      <c r="E389" s="2" t="s">
        <v>65</v>
      </c>
      <c r="F389" s="2" t="s">
        <v>4035</v>
      </c>
      <c r="G389" s="2">
        <v>14.25</v>
      </c>
      <c r="H389" s="2" t="s">
        <v>37</v>
      </c>
      <c r="I389" s="2" t="s">
        <v>3334</v>
      </c>
    </row>
    <row r="390" spans="1:9" x14ac:dyDescent="0.25">
      <c r="A390" s="2" t="s">
        <v>4036</v>
      </c>
      <c r="B390" s="2" t="s">
        <v>535</v>
      </c>
      <c r="C390" s="2" t="s">
        <v>3325</v>
      </c>
      <c r="D390" s="2" t="s">
        <v>3326</v>
      </c>
      <c r="E390" s="2" t="s">
        <v>3338</v>
      </c>
      <c r="F390" s="2" t="s">
        <v>3972</v>
      </c>
      <c r="G390" s="2">
        <v>9.42</v>
      </c>
      <c r="H390" s="2" t="s">
        <v>37</v>
      </c>
      <c r="I390" s="2" t="s">
        <v>3328</v>
      </c>
    </row>
    <row r="391" spans="1:9" x14ac:dyDescent="0.25">
      <c r="A391" s="2" t="s">
        <v>4037</v>
      </c>
      <c r="B391" s="2" t="s">
        <v>1511</v>
      </c>
      <c r="C391" s="2" t="s">
        <v>3487</v>
      </c>
      <c r="D391" s="2" t="s">
        <v>3368</v>
      </c>
      <c r="E391" s="2" t="s">
        <v>65</v>
      </c>
      <c r="F391" s="2" t="s">
        <v>4038</v>
      </c>
      <c r="G391" s="2">
        <v>56.34</v>
      </c>
      <c r="H391" s="2" t="s">
        <v>37</v>
      </c>
      <c r="I391" s="2" t="s">
        <v>3370</v>
      </c>
    </row>
    <row r="392" spans="1:9" x14ac:dyDescent="0.25">
      <c r="A392" s="2" t="s">
        <v>4039</v>
      </c>
      <c r="B392" s="2" t="s">
        <v>2386</v>
      </c>
      <c r="C392" s="2" t="s">
        <v>3341</v>
      </c>
      <c r="D392" s="2" t="s">
        <v>3342</v>
      </c>
      <c r="E392" s="2" t="s">
        <v>4</v>
      </c>
      <c r="F392" s="2" t="s">
        <v>4040</v>
      </c>
      <c r="G392" s="2">
        <v>427.19</v>
      </c>
      <c r="H392" s="2" t="s">
        <v>36</v>
      </c>
      <c r="I392" s="2" t="s">
        <v>3334</v>
      </c>
    </row>
    <row r="393" spans="1:9" x14ac:dyDescent="0.25">
      <c r="A393" s="2" t="s">
        <v>4041</v>
      </c>
      <c r="B393" s="2" t="s">
        <v>1355</v>
      </c>
      <c r="C393" s="2" t="s">
        <v>3354</v>
      </c>
      <c r="D393" s="2" t="s">
        <v>3355</v>
      </c>
      <c r="E393" s="2" t="s">
        <v>4</v>
      </c>
      <c r="F393" s="2" t="s">
        <v>3425</v>
      </c>
      <c r="G393" s="2">
        <v>-64.38</v>
      </c>
      <c r="H393" s="2" t="s">
        <v>36</v>
      </c>
      <c r="I393" s="2" t="s">
        <v>3328</v>
      </c>
    </row>
    <row r="394" spans="1:9" x14ac:dyDescent="0.25">
      <c r="A394" s="2" t="s">
        <v>4042</v>
      </c>
      <c r="B394" s="2" t="s">
        <v>1855</v>
      </c>
      <c r="C394" s="2" t="s">
        <v>3354</v>
      </c>
      <c r="D394" s="2" t="s">
        <v>3355</v>
      </c>
      <c r="E394" s="2" t="s">
        <v>4</v>
      </c>
      <c r="F394" s="2" t="s">
        <v>3589</v>
      </c>
      <c r="G394" s="2">
        <v>203.11</v>
      </c>
      <c r="H394" s="2" t="s">
        <v>36</v>
      </c>
      <c r="I394" s="2" t="s">
        <v>3323</v>
      </c>
    </row>
    <row r="395" spans="1:9" x14ac:dyDescent="0.25">
      <c r="A395" s="2" t="s">
        <v>4043</v>
      </c>
      <c r="B395" s="2" t="s">
        <v>2753</v>
      </c>
      <c r="C395" s="2" t="s">
        <v>3427</v>
      </c>
      <c r="D395" s="2" t="s">
        <v>3428</v>
      </c>
      <c r="E395" s="2" t="s">
        <v>4</v>
      </c>
      <c r="F395" s="2" t="s">
        <v>3478</v>
      </c>
      <c r="G395" s="2">
        <v>4621.22</v>
      </c>
      <c r="H395" s="2" t="s">
        <v>36</v>
      </c>
      <c r="I395" s="2" t="s">
        <v>3323</v>
      </c>
    </row>
    <row r="396" spans="1:9" x14ac:dyDescent="0.25">
      <c r="A396" s="2" t="s">
        <v>4044</v>
      </c>
      <c r="B396" s="2" t="s">
        <v>2176</v>
      </c>
      <c r="C396" s="2" t="s">
        <v>3336</v>
      </c>
      <c r="D396" s="2" t="s">
        <v>3337</v>
      </c>
      <c r="E396" s="2" t="s">
        <v>65</v>
      </c>
      <c r="F396" s="2" t="s">
        <v>3659</v>
      </c>
      <c r="G396" s="2">
        <v>23.88</v>
      </c>
      <c r="H396" s="2" t="s">
        <v>37</v>
      </c>
      <c r="I396" s="2" t="s">
        <v>3328</v>
      </c>
    </row>
    <row r="397" spans="1:9" x14ac:dyDescent="0.25">
      <c r="A397" s="2" t="s">
        <v>4045</v>
      </c>
      <c r="B397" s="2" t="s">
        <v>3261</v>
      </c>
      <c r="C397" s="2" t="s">
        <v>3325</v>
      </c>
      <c r="D397" s="2" t="s">
        <v>3326</v>
      </c>
      <c r="E397" s="2" t="s">
        <v>65</v>
      </c>
      <c r="F397" s="2" t="s">
        <v>4046</v>
      </c>
      <c r="G397" s="2">
        <v>7.87</v>
      </c>
      <c r="H397" s="2" t="s">
        <v>36</v>
      </c>
      <c r="I397" s="2" t="s">
        <v>3385</v>
      </c>
    </row>
    <row r="398" spans="1:9" x14ac:dyDescent="0.25">
      <c r="A398" s="2" t="s">
        <v>4047</v>
      </c>
      <c r="B398" s="2" t="s">
        <v>2303</v>
      </c>
      <c r="C398" s="2" t="s">
        <v>3314</v>
      </c>
      <c r="D398" s="2" t="s">
        <v>3315</v>
      </c>
      <c r="E398" s="2" t="s">
        <v>3316</v>
      </c>
      <c r="F398" s="2" t="s">
        <v>3688</v>
      </c>
      <c r="G398" s="2">
        <v>27.11</v>
      </c>
      <c r="H398" s="2" t="s">
        <v>36</v>
      </c>
      <c r="I398" s="2" t="s">
        <v>3318</v>
      </c>
    </row>
    <row r="399" spans="1:9" x14ac:dyDescent="0.25">
      <c r="A399" s="2" t="s">
        <v>4048</v>
      </c>
      <c r="B399" s="2" t="s">
        <v>955</v>
      </c>
      <c r="C399" s="2" t="s">
        <v>3341</v>
      </c>
      <c r="D399" s="2" t="s">
        <v>3342</v>
      </c>
      <c r="E399" s="2" t="s">
        <v>3316</v>
      </c>
      <c r="F399" s="2" t="s">
        <v>4049</v>
      </c>
      <c r="G399" s="2">
        <v>29.17</v>
      </c>
      <c r="H399" s="2" t="s">
        <v>36</v>
      </c>
      <c r="I399" s="2" t="s">
        <v>3328</v>
      </c>
    </row>
    <row r="400" spans="1:9" x14ac:dyDescent="0.25">
      <c r="A400" s="2" t="s">
        <v>4050</v>
      </c>
      <c r="B400" s="2" t="s">
        <v>1814</v>
      </c>
      <c r="C400" s="2" t="s">
        <v>3336</v>
      </c>
      <c r="D400" s="2" t="s">
        <v>3337</v>
      </c>
      <c r="E400" s="2" t="s">
        <v>4</v>
      </c>
      <c r="F400" s="2" t="s">
        <v>4051</v>
      </c>
      <c r="G400" s="2">
        <v>12.25</v>
      </c>
      <c r="H400" s="2" t="s">
        <v>36</v>
      </c>
      <c r="I400" s="2" t="s">
        <v>3370</v>
      </c>
    </row>
    <row r="401" spans="1:9" x14ac:dyDescent="0.25">
      <c r="A401" s="2" t="s">
        <v>4052</v>
      </c>
      <c r="B401" s="2" t="s">
        <v>2070</v>
      </c>
      <c r="C401" s="2" t="s">
        <v>3362</v>
      </c>
      <c r="D401" s="2" t="s">
        <v>3363</v>
      </c>
      <c r="E401" s="2" t="s">
        <v>65</v>
      </c>
      <c r="F401" s="2" t="s">
        <v>4053</v>
      </c>
      <c r="G401" s="2">
        <v>26.76</v>
      </c>
      <c r="H401" s="2" t="s">
        <v>36</v>
      </c>
      <c r="I401" s="2" t="s">
        <v>3323</v>
      </c>
    </row>
    <row r="402" spans="1:9" x14ac:dyDescent="0.25">
      <c r="A402" s="2" t="s">
        <v>4054</v>
      </c>
      <c r="B402" s="2" t="s">
        <v>3135</v>
      </c>
      <c r="C402" s="2" t="s">
        <v>3325</v>
      </c>
      <c r="D402" s="2" t="s">
        <v>3326</v>
      </c>
      <c r="E402" s="2" t="s">
        <v>3338</v>
      </c>
      <c r="F402" s="2" t="s">
        <v>4055</v>
      </c>
      <c r="G402" s="2">
        <v>15.74</v>
      </c>
      <c r="H402" s="2" t="s">
        <v>37</v>
      </c>
      <c r="I402" s="2" t="s">
        <v>3331</v>
      </c>
    </row>
    <row r="403" spans="1:9" x14ac:dyDescent="0.25">
      <c r="A403" s="2" t="s">
        <v>4056</v>
      </c>
      <c r="B403" s="2" t="s">
        <v>2911</v>
      </c>
      <c r="C403" s="2" t="s">
        <v>3325</v>
      </c>
      <c r="D403" s="2" t="s">
        <v>3326</v>
      </c>
      <c r="E403" s="2" t="s">
        <v>65</v>
      </c>
      <c r="F403" s="2" t="s">
        <v>4057</v>
      </c>
      <c r="G403" s="2">
        <v>69</v>
      </c>
      <c r="H403" s="2" t="s">
        <v>37</v>
      </c>
      <c r="I403" s="2" t="s">
        <v>3334</v>
      </c>
    </row>
    <row r="404" spans="1:9" x14ac:dyDescent="0.25">
      <c r="A404" s="2" t="s">
        <v>4058</v>
      </c>
      <c r="B404" s="2" t="s">
        <v>1180</v>
      </c>
      <c r="C404" s="2" t="s">
        <v>3320</v>
      </c>
      <c r="D404" s="2" t="s">
        <v>3321</v>
      </c>
      <c r="E404" s="2" t="s">
        <v>4</v>
      </c>
      <c r="F404" s="2" t="s">
        <v>3380</v>
      </c>
      <c r="G404" s="2">
        <v>793.24</v>
      </c>
      <c r="H404" s="2" t="s">
        <v>37</v>
      </c>
      <c r="I404" s="2" t="s">
        <v>3323</v>
      </c>
    </row>
    <row r="405" spans="1:9" x14ac:dyDescent="0.25">
      <c r="A405" s="2" t="s">
        <v>4059</v>
      </c>
      <c r="B405" s="2" t="s">
        <v>1435</v>
      </c>
      <c r="C405" s="2" t="s">
        <v>3427</v>
      </c>
      <c r="D405" s="2" t="s">
        <v>3428</v>
      </c>
      <c r="E405" s="2" t="s">
        <v>4</v>
      </c>
      <c r="F405" s="2" t="s">
        <v>3478</v>
      </c>
      <c r="G405" s="2">
        <v>40.81</v>
      </c>
      <c r="H405" s="2" t="s">
        <v>36</v>
      </c>
      <c r="I405" s="2" t="s">
        <v>3370</v>
      </c>
    </row>
    <row r="406" spans="1:9" x14ac:dyDescent="0.25">
      <c r="A406" s="2" t="s">
        <v>4060</v>
      </c>
      <c r="B406" s="2" t="s">
        <v>1749</v>
      </c>
      <c r="C406" s="2" t="s">
        <v>3320</v>
      </c>
      <c r="D406" s="2" t="s">
        <v>3321</v>
      </c>
      <c r="E406" s="2" t="s">
        <v>4</v>
      </c>
      <c r="F406" s="2" t="s">
        <v>4061</v>
      </c>
      <c r="G406" s="2">
        <v>144.6</v>
      </c>
      <c r="H406" s="2" t="s">
        <v>36</v>
      </c>
      <c r="I406" s="2" t="s">
        <v>3318</v>
      </c>
    </row>
    <row r="407" spans="1:9" x14ac:dyDescent="0.25">
      <c r="A407" s="2" t="s">
        <v>4062</v>
      </c>
      <c r="B407" s="2" t="s">
        <v>1702</v>
      </c>
      <c r="C407" s="2" t="s">
        <v>3362</v>
      </c>
      <c r="D407" s="2" t="s">
        <v>3363</v>
      </c>
      <c r="E407" s="2" t="s">
        <v>3480</v>
      </c>
      <c r="F407" s="2" t="s">
        <v>4063</v>
      </c>
      <c r="G407" s="2">
        <v>79.510000000000005</v>
      </c>
      <c r="H407" s="2" t="s">
        <v>36</v>
      </c>
      <c r="I407" s="2" t="s">
        <v>3318</v>
      </c>
    </row>
    <row r="408" spans="1:9" x14ac:dyDescent="0.25">
      <c r="A408" s="2" t="s">
        <v>4064</v>
      </c>
      <c r="B408" s="2" t="s">
        <v>1380</v>
      </c>
      <c r="C408" s="2" t="s">
        <v>3427</v>
      </c>
      <c r="D408" s="2" t="s">
        <v>3428</v>
      </c>
      <c r="E408" s="2" t="s">
        <v>65</v>
      </c>
      <c r="F408" s="2" t="s">
        <v>3587</v>
      </c>
      <c r="G408" s="2">
        <v>40.61</v>
      </c>
      <c r="H408" s="2" t="s">
        <v>36</v>
      </c>
      <c r="I408" s="2" t="s">
        <v>3328</v>
      </c>
    </row>
    <row r="409" spans="1:9" x14ac:dyDescent="0.25">
      <c r="A409" s="2" t="s">
        <v>4065</v>
      </c>
      <c r="B409" s="2" t="s">
        <v>447</v>
      </c>
      <c r="C409" s="2" t="s">
        <v>3403</v>
      </c>
      <c r="D409" s="2" t="s">
        <v>3404</v>
      </c>
      <c r="E409" s="2" t="s">
        <v>65</v>
      </c>
      <c r="F409" s="2" t="s">
        <v>4066</v>
      </c>
      <c r="G409" s="2">
        <v>181.96</v>
      </c>
      <c r="H409" s="2" t="s">
        <v>37</v>
      </c>
      <c r="I409" s="2" t="s">
        <v>3318</v>
      </c>
    </row>
    <row r="410" spans="1:9" x14ac:dyDescent="0.25">
      <c r="A410" s="2" t="s">
        <v>4067</v>
      </c>
      <c r="B410" s="2" t="s">
        <v>2831</v>
      </c>
      <c r="C410" s="2" t="s">
        <v>3367</v>
      </c>
      <c r="D410" s="2" t="s">
        <v>3368</v>
      </c>
      <c r="E410" s="2" t="s">
        <v>65</v>
      </c>
      <c r="F410" s="2" t="s">
        <v>3820</v>
      </c>
      <c r="G410" s="2">
        <v>262.93</v>
      </c>
      <c r="H410" s="2" t="s">
        <v>36</v>
      </c>
      <c r="I410" s="2" t="s">
        <v>3328</v>
      </c>
    </row>
    <row r="411" spans="1:9" x14ac:dyDescent="0.25">
      <c r="A411" s="2" t="s">
        <v>4068</v>
      </c>
      <c r="B411" s="2" t="s">
        <v>2457</v>
      </c>
      <c r="C411" s="2" t="s">
        <v>3403</v>
      </c>
      <c r="D411" s="2" t="s">
        <v>3404</v>
      </c>
      <c r="E411" s="2" t="s">
        <v>4</v>
      </c>
      <c r="F411" s="2" t="s">
        <v>4069</v>
      </c>
      <c r="G411" s="2">
        <v>187.82</v>
      </c>
      <c r="H411" s="2" t="s">
        <v>37</v>
      </c>
      <c r="I411" s="2" t="s">
        <v>3365</v>
      </c>
    </row>
    <row r="412" spans="1:9" x14ac:dyDescent="0.25">
      <c r="A412" s="2" t="s">
        <v>4070</v>
      </c>
      <c r="B412" s="2" t="s">
        <v>2729</v>
      </c>
      <c r="C412" s="2" t="s">
        <v>3427</v>
      </c>
      <c r="D412" s="2" t="s">
        <v>3428</v>
      </c>
      <c r="E412" s="2" t="s">
        <v>4</v>
      </c>
      <c r="F412" s="2" t="s">
        <v>3471</v>
      </c>
      <c r="G412" s="2">
        <v>192.36</v>
      </c>
      <c r="H412" s="2" t="s">
        <v>37</v>
      </c>
      <c r="I412" s="2" t="s">
        <v>3328</v>
      </c>
    </row>
    <row r="413" spans="1:9" x14ac:dyDescent="0.25">
      <c r="A413" s="2" t="s">
        <v>4071</v>
      </c>
      <c r="B413" s="2" t="s">
        <v>3266</v>
      </c>
      <c r="C413" s="2" t="s">
        <v>3354</v>
      </c>
      <c r="D413" s="2" t="s">
        <v>3355</v>
      </c>
      <c r="E413" s="2" t="s">
        <v>4</v>
      </c>
      <c r="F413" s="2" t="s">
        <v>3522</v>
      </c>
      <c r="G413" s="2">
        <v>185.07</v>
      </c>
      <c r="H413" s="2" t="s">
        <v>36</v>
      </c>
      <c r="I413" s="2" t="s">
        <v>3370</v>
      </c>
    </row>
    <row r="414" spans="1:9" x14ac:dyDescent="0.25">
      <c r="A414" s="2" t="s">
        <v>4072</v>
      </c>
      <c r="B414" s="2" t="s">
        <v>3077</v>
      </c>
      <c r="C414" s="2" t="s">
        <v>3403</v>
      </c>
      <c r="D414" s="2" t="s">
        <v>3404</v>
      </c>
      <c r="E414" s="2" t="s">
        <v>4</v>
      </c>
      <c r="F414" s="2" t="s">
        <v>3678</v>
      </c>
      <c r="G414" s="2">
        <v>316.02</v>
      </c>
      <c r="H414" s="2" t="s">
        <v>36</v>
      </c>
      <c r="I414" s="2" t="s">
        <v>3365</v>
      </c>
    </row>
    <row r="415" spans="1:9" x14ac:dyDescent="0.25">
      <c r="A415" s="2" t="s">
        <v>4073</v>
      </c>
      <c r="B415" s="2" t="s">
        <v>802</v>
      </c>
      <c r="C415" s="2" t="s">
        <v>3314</v>
      </c>
      <c r="D415" s="2" t="s">
        <v>3315</v>
      </c>
      <c r="E415" s="2" t="s">
        <v>65</v>
      </c>
      <c r="F415" s="2" t="s">
        <v>4074</v>
      </c>
      <c r="G415" s="2">
        <v>340.61</v>
      </c>
      <c r="H415" s="2" t="s">
        <v>36</v>
      </c>
      <c r="I415" s="2" t="s">
        <v>3331</v>
      </c>
    </row>
    <row r="416" spans="1:9" x14ac:dyDescent="0.25">
      <c r="A416" s="2" t="s">
        <v>4075</v>
      </c>
      <c r="B416" s="2" t="s">
        <v>1329</v>
      </c>
      <c r="C416" s="2" t="s">
        <v>3403</v>
      </c>
      <c r="D416" s="2" t="s">
        <v>3404</v>
      </c>
      <c r="E416" s="2" t="s">
        <v>3316</v>
      </c>
      <c r="F416" s="2" t="s">
        <v>4076</v>
      </c>
      <c r="G416" s="2">
        <v>11.13</v>
      </c>
      <c r="H416" s="2" t="s">
        <v>36</v>
      </c>
      <c r="I416" s="2" t="s">
        <v>3370</v>
      </c>
    </row>
    <row r="417" spans="1:9" x14ac:dyDescent="0.25">
      <c r="A417" s="2" t="s">
        <v>4077</v>
      </c>
      <c r="B417" s="2" t="s">
        <v>1561</v>
      </c>
      <c r="C417" s="2" t="s">
        <v>3314</v>
      </c>
      <c r="D417" s="2" t="s">
        <v>3315</v>
      </c>
      <c r="E417" s="2" t="s">
        <v>3316</v>
      </c>
      <c r="F417" s="2" t="s">
        <v>4078</v>
      </c>
      <c r="G417" s="2">
        <v>142.57</v>
      </c>
      <c r="H417" s="2" t="s">
        <v>36</v>
      </c>
      <c r="I417" s="2" t="s">
        <v>3331</v>
      </c>
    </row>
    <row r="418" spans="1:9" x14ac:dyDescent="0.25">
      <c r="A418" s="2" t="s">
        <v>4079</v>
      </c>
      <c r="B418" s="2" t="s">
        <v>3293</v>
      </c>
      <c r="C418" s="2" t="s">
        <v>3367</v>
      </c>
      <c r="D418" s="2" t="s">
        <v>3368</v>
      </c>
      <c r="E418" s="2" t="s">
        <v>4</v>
      </c>
      <c r="F418" s="2" t="s">
        <v>4080</v>
      </c>
      <c r="G418" s="2">
        <v>65.66</v>
      </c>
      <c r="H418" s="2" t="s">
        <v>37</v>
      </c>
      <c r="I418" s="2" t="s">
        <v>3385</v>
      </c>
    </row>
    <row r="419" spans="1:9" x14ac:dyDescent="0.25">
      <c r="A419" s="2" t="s">
        <v>4081</v>
      </c>
      <c r="B419" s="2" t="s">
        <v>3287</v>
      </c>
      <c r="C419" s="2" t="s">
        <v>3320</v>
      </c>
      <c r="D419" s="2" t="s">
        <v>3321</v>
      </c>
      <c r="E419" s="2" t="s">
        <v>65</v>
      </c>
      <c r="F419" s="2" t="s">
        <v>4082</v>
      </c>
      <c r="G419" s="2">
        <v>60.93</v>
      </c>
      <c r="H419" s="2" t="s">
        <v>36</v>
      </c>
      <c r="I419" s="2" t="s">
        <v>3323</v>
      </c>
    </row>
    <row r="420" spans="1:9" x14ac:dyDescent="0.25">
      <c r="A420" s="2" t="s">
        <v>4083</v>
      </c>
      <c r="B420" s="2" t="s">
        <v>604</v>
      </c>
      <c r="C420" s="2" t="s">
        <v>3320</v>
      </c>
      <c r="D420" s="2" t="s">
        <v>3321</v>
      </c>
      <c r="E420" s="2" t="s">
        <v>4</v>
      </c>
      <c r="F420" s="2" t="s">
        <v>3322</v>
      </c>
      <c r="G420" s="2">
        <v>39.909999999999997</v>
      </c>
      <c r="H420" s="2" t="s">
        <v>36</v>
      </c>
      <c r="I420" s="2" t="s">
        <v>3328</v>
      </c>
    </row>
    <row r="421" spans="1:9" x14ac:dyDescent="0.25">
      <c r="A421" s="2" t="s">
        <v>4084</v>
      </c>
      <c r="B421" s="2" t="s">
        <v>3123</v>
      </c>
      <c r="C421" s="2" t="s">
        <v>3427</v>
      </c>
      <c r="D421" s="2" t="s">
        <v>3428</v>
      </c>
      <c r="E421" s="2" t="s">
        <v>4</v>
      </c>
      <c r="F421" s="2" t="s">
        <v>3681</v>
      </c>
      <c r="G421" s="2">
        <v>135.63</v>
      </c>
      <c r="H421" s="2" t="s">
        <v>36</v>
      </c>
      <c r="I421" s="2" t="s">
        <v>3318</v>
      </c>
    </row>
    <row r="422" spans="1:9" x14ac:dyDescent="0.25">
      <c r="A422" s="2" t="s">
        <v>4085</v>
      </c>
      <c r="B422" s="2" t="s">
        <v>2053</v>
      </c>
      <c r="C422" s="2" t="s">
        <v>3320</v>
      </c>
      <c r="D422" s="2" t="s">
        <v>3321</v>
      </c>
      <c r="E422" s="2" t="s">
        <v>4</v>
      </c>
      <c r="F422" s="2" t="s">
        <v>4086</v>
      </c>
      <c r="G422" s="2">
        <v>75.87</v>
      </c>
      <c r="H422" s="2" t="s">
        <v>36</v>
      </c>
      <c r="I422" s="2" t="s">
        <v>3328</v>
      </c>
    </row>
    <row r="423" spans="1:9" x14ac:dyDescent="0.25">
      <c r="A423" s="2" t="s">
        <v>4087</v>
      </c>
      <c r="B423" s="2" t="s">
        <v>2770</v>
      </c>
      <c r="C423" s="2" t="s">
        <v>3427</v>
      </c>
      <c r="D423" s="2" t="s">
        <v>3428</v>
      </c>
      <c r="E423" s="2" t="s">
        <v>65</v>
      </c>
      <c r="F423" s="2" t="s">
        <v>3587</v>
      </c>
      <c r="G423" s="2">
        <v>11.98</v>
      </c>
      <c r="H423" s="2" t="s">
        <v>37</v>
      </c>
      <c r="I423" s="2" t="s">
        <v>3328</v>
      </c>
    </row>
    <row r="424" spans="1:9" x14ac:dyDescent="0.25">
      <c r="A424" s="2" t="s">
        <v>4088</v>
      </c>
      <c r="B424" s="2" t="s">
        <v>1850</v>
      </c>
      <c r="C424" s="2" t="s">
        <v>3403</v>
      </c>
      <c r="D424" s="2" t="s">
        <v>3404</v>
      </c>
      <c r="E424" s="2" t="s">
        <v>65</v>
      </c>
      <c r="F424" s="2" t="s">
        <v>4089</v>
      </c>
      <c r="G424" s="2">
        <v>60.85</v>
      </c>
      <c r="H424" s="2" t="s">
        <v>37</v>
      </c>
      <c r="I424" s="2" t="s">
        <v>3323</v>
      </c>
    </row>
    <row r="425" spans="1:9" x14ac:dyDescent="0.25">
      <c r="A425" s="2" t="s">
        <v>4090</v>
      </c>
      <c r="B425" s="2"/>
      <c r="C425" s="2" t="s">
        <v>3354</v>
      </c>
      <c r="D425" s="2" t="s">
        <v>3355</v>
      </c>
      <c r="E425" s="2" t="s">
        <v>65</v>
      </c>
      <c r="F425" s="2" t="s">
        <v>3425</v>
      </c>
      <c r="G425" s="2">
        <v>1077.1099999999999</v>
      </c>
      <c r="H425" s="2" t="s">
        <v>36</v>
      </c>
      <c r="I425" s="2" t="s">
        <v>3385</v>
      </c>
    </row>
    <row r="426" spans="1:9" x14ac:dyDescent="0.25">
      <c r="A426" s="2" t="s">
        <v>4091</v>
      </c>
      <c r="B426" s="2" t="s">
        <v>987</v>
      </c>
      <c r="C426" s="2" t="s">
        <v>3427</v>
      </c>
      <c r="D426" s="2" t="s">
        <v>3428</v>
      </c>
      <c r="E426" s="2" t="s">
        <v>65</v>
      </c>
      <c r="F426" s="2" t="s">
        <v>3587</v>
      </c>
      <c r="G426" s="2">
        <v>88.41</v>
      </c>
      <c r="H426" s="2" t="s">
        <v>37</v>
      </c>
      <c r="I426" s="2" t="s">
        <v>3328</v>
      </c>
    </row>
    <row r="427" spans="1:9" x14ac:dyDescent="0.25">
      <c r="A427" s="2" t="s">
        <v>4092</v>
      </c>
      <c r="B427" s="2" t="s">
        <v>1363</v>
      </c>
      <c r="C427" s="2" t="s">
        <v>3367</v>
      </c>
      <c r="D427" s="2" t="s">
        <v>3368</v>
      </c>
      <c r="E427" s="2" t="s">
        <v>65</v>
      </c>
      <c r="F427" s="2" t="s">
        <v>4093</v>
      </c>
      <c r="G427" s="2">
        <v>154.41999999999999</v>
      </c>
      <c r="H427" s="2" t="s">
        <v>37</v>
      </c>
      <c r="I427" s="2" t="s">
        <v>3323</v>
      </c>
    </row>
    <row r="428" spans="1:9" x14ac:dyDescent="0.25">
      <c r="A428" s="2" t="s">
        <v>4094</v>
      </c>
      <c r="B428" s="2" t="s">
        <v>130</v>
      </c>
      <c r="C428" s="2" t="s">
        <v>3403</v>
      </c>
      <c r="D428" s="2" t="s">
        <v>3404</v>
      </c>
      <c r="E428" s="2" t="s">
        <v>3316</v>
      </c>
      <c r="F428" s="2" t="s">
        <v>3940</v>
      </c>
      <c r="G428" s="2">
        <v>158.93</v>
      </c>
      <c r="H428" s="2" t="s">
        <v>37</v>
      </c>
      <c r="I428" s="2" t="s">
        <v>3318</v>
      </c>
    </row>
    <row r="429" spans="1:9" x14ac:dyDescent="0.25">
      <c r="A429" s="2" t="s">
        <v>4095</v>
      </c>
      <c r="B429" s="2" t="s">
        <v>949</v>
      </c>
      <c r="C429" s="2" t="s">
        <v>3336</v>
      </c>
      <c r="D429" s="2" t="s">
        <v>3337</v>
      </c>
      <c r="E429" s="2" t="s">
        <v>65</v>
      </c>
      <c r="F429" s="2" t="s">
        <v>4096</v>
      </c>
      <c r="G429" s="2">
        <v>19.82</v>
      </c>
      <c r="H429" s="2" t="s">
        <v>36</v>
      </c>
      <c r="I429" s="2" t="s">
        <v>3331</v>
      </c>
    </row>
    <row r="430" spans="1:9" x14ac:dyDescent="0.25">
      <c r="A430" s="2" t="s">
        <v>4097</v>
      </c>
      <c r="B430" s="2" t="s">
        <v>2922</v>
      </c>
      <c r="C430" s="2" t="s">
        <v>3427</v>
      </c>
      <c r="D430" s="2" t="s">
        <v>3428</v>
      </c>
      <c r="E430" s="2" t="s">
        <v>4</v>
      </c>
      <c r="F430" s="2" t="s">
        <v>3587</v>
      </c>
      <c r="G430" s="2">
        <v>112.59</v>
      </c>
      <c r="H430" s="2" t="s">
        <v>37</v>
      </c>
      <c r="I430" s="2" t="s">
        <v>3370</v>
      </c>
    </row>
    <row r="431" spans="1:9" x14ac:dyDescent="0.25">
      <c r="A431" s="2" t="s">
        <v>4098</v>
      </c>
      <c r="B431" s="2" t="s">
        <v>1446</v>
      </c>
      <c r="C431" s="2" t="s">
        <v>3403</v>
      </c>
      <c r="D431" s="2" t="s">
        <v>3404</v>
      </c>
      <c r="E431" s="2" t="s">
        <v>4</v>
      </c>
      <c r="F431" s="2" t="s">
        <v>1391</v>
      </c>
      <c r="G431" s="2">
        <v>25.16</v>
      </c>
      <c r="H431" s="2" t="s">
        <v>36</v>
      </c>
      <c r="I431" s="2" t="s">
        <v>3328</v>
      </c>
    </row>
    <row r="432" spans="1:9" x14ac:dyDescent="0.25">
      <c r="A432" s="2" t="s">
        <v>4099</v>
      </c>
      <c r="B432" s="2" t="s">
        <v>1386</v>
      </c>
      <c r="C432" s="2" t="s">
        <v>3354</v>
      </c>
      <c r="D432" s="2" t="s">
        <v>3355</v>
      </c>
      <c r="E432" s="2" t="s">
        <v>4</v>
      </c>
      <c r="F432" s="2" t="s">
        <v>3589</v>
      </c>
      <c r="G432" s="2">
        <v>218.83</v>
      </c>
      <c r="H432" s="2" t="s">
        <v>36</v>
      </c>
      <c r="I432" s="2" t="s">
        <v>3365</v>
      </c>
    </row>
    <row r="433" spans="1:9" x14ac:dyDescent="0.25">
      <c r="A433" s="2" t="s">
        <v>4100</v>
      </c>
      <c r="B433" s="2" t="s">
        <v>1778</v>
      </c>
      <c r="C433" s="2" t="s">
        <v>3427</v>
      </c>
      <c r="D433" s="2" t="s">
        <v>3428</v>
      </c>
      <c r="E433" s="2" t="s">
        <v>4</v>
      </c>
      <c r="F433" s="2" t="s">
        <v>3471</v>
      </c>
      <c r="G433" s="2">
        <v>89.85</v>
      </c>
      <c r="H433" s="2" t="s">
        <v>37</v>
      </c>
      <c r="I433" s="2" t="s">
        <v>3334</v>
      </c>
    </row>
    <row r="434" spans="1:9" x14ac:dyDescent="0.25">
      <c r="A434" s="2" t="s">
        <v>4101</v>
      </c>
      <c r="B434" s="2" t="s">
        <v>2076</v>
      </c>
      <c r="C434" s="2" t="s">
        <v>3362</v>
      </c>
      <c r="D434" s="2" t="s">
        <v>3363</v>
      </c>
      <c r="E434" s="2" t="s">
        <v>65</v>
      </c>
      <c r="F434" s="2" t="s">
        <v>4102</v>
      </c>
      <c r="G434" s="2">
        <v>99.92</v>
      </c>
      <c r="H434" s="2" t="s">
        <v>37</v>
      </c>
      <c r="I434" s="2" t="s">
        <v>3334</v>
      </c>
    </row>
    <row r="435" spans="1:9" x14ac:dyDescent="0.25">
      <c r="A435" s="2" t="s">
        <v>4103</v>
      </c>
      <c r="B435" s="2" t="s">
        <v>3278</v>
      </c>
      <c r="C435" s="2" t="s">
        <v>3325</v>
      </c>
      <c r="D435" s="2" t="s">
        <v>3326</v>
      </c>
      <c r="E435" s="2" t="s">
        <v>3338</v>
      </c>
      <c r="F435" s="2" t="s">
        <v>3686</v>
      </c>
      <c r="G435" s="2">
        <v>46.07</v>
      </c>
      <c r="H435" s="2" t="s">
        <v>37</v>
      </c>
      <c r="I435" s="2" t="s">
        <v>3365</v>
      </c>
    </row>
    <row r="436" spans="1:9" x14ac:dyDescent="0.25">
      <c r="A436" s="2" t="s">
        <v>4104</v>
      </c>
      <c r="B436" s="2" t="s">
        <v>502</v>
      </c>
      <c r="C436" s="2" t="s">
        <v>3314</v>
      </c>
      <c r="D436" s="2" t="s">
        <v>3315</v>
      </c>
      <c r="E436" s="2" t="s">
        <v>33</v>
      </c>
      <c r="F436" s="2" t="s">
        <v>4105</v>
      </c>
      <c r="G436" s="2">
        <v>33.81</v>
      </c>
      <c r="H436" s="2" t="s">
        <v>36</v>
      </c>
      <c r="I436" s="2" t="s">
        <v>3334</v>
      </c>
    </row>
    <row r="437" spans="1:9" x14ac:dyDescent="0.25">
      <c r="A437" s="2" t="s">
        <v>4106</v>
      </c>
      <c r="B437" s="2" t="s">
        <v>3003</v>
      </c>
      <c r="C437" s="2" t="s">
        <v>3354</v>
      </c>
      <c r="D437" s="2" t="s">
        <v>3355</v>
      </c>
      <c r="E437" s="2" t="s">
        <v>4</v>
      </c>
      <c r="F437" s="2" t="s">
        <v>3425</v>
      </c>
      <c r="G437" s="2">
        <v>252.35</v>
      </c>
      <c r="H437" s="2" t="s">
        <v>36</v>
      </c>
      <c r="I437" s="2" t="s">
        <v>3318</v>
      </c>
    </row>
    <row r="438" spans="1:9" x14ac:dyDescent="0.25">
      <c r="A438" s="2" t="s">
        <v>4107</v>
      </c>
      <c r="B438" s="2" t="s">
        <v>1951</v>
      </c>
      <c r="C438" s="2" t="s">
        <v>3314</v>
      </c>
      <c r="D438" s="2" t="s">
        <v>3315</v>
      </c>
      <c r="E438" s="2" t="s">
        <v>3316</v>
      </c>
      <c r="F438" s="2" t="s">
        <v>4108</v>
      </c>
      <c r="G438" s="2">
        <v>49.6</v>
      </c>
      <c r="H438" s="2" t="s">
        <v>36</v>
      </c>
      <c r="I438" s="2" t="s">
        <v>3365</v>
      </c>
    </row>
    <row r="439" spans="1:9" x14ac:dyDescent="0.25">
      <c r="A439" s="2" t="s">
        <v>4109</v>
      </c>
      <c r="B439" s="2" t="s">
        <v>2946</v>
      </c>
      <c r="C439" s="2" t="s">
        <v>3341</v>
      </c>
      <c r="D439" s="2" t="s">
        <v>3342</v>
      </c>
      <c r="E439" s="2" t="s">
        <v>91</v>
      </c>
      <c r="F439" s="2" t="s">
        <v>4110</v>
      </c>
      <c r="G439" s="2">
        <v>125.11</v>
      </c>
      <c r="H439" s="2" t="s">
        <v>37</v>
      </c>
      <c r="I439" s="2" t="s">
        <v>3318</v>
      </c>
    </row>
    <row r="440" spans="1:9" x14ac:dyDescent="0.25">
      <c r="A440" s="2" t="s">
        <v>4111</v>
      </c>
      <c r="B440" s="2" t="s">
        <v>2489</v>
      </c>
      <c r="C440" s="2" t="s">
        <v>3362</v>
      </c>
      <c r="D440" s="2" t="s">
        <v>3363</v>
      </c>
      <c r="E440" s="2" t="s">
        <v>65</v>
      </c>
      <c r="F440" s="2" t="s">
        <v>4053</v>
      </c>
      <c r="G440" s="2">
        <v>397.4</v>
      </c>
      <c r="H440" s="2" t="s">
        <v>37</v>
      </c>
      <c r="I440" s="2" t="s">
        <v>3334</v>
      </c>
    </row>
    <row r="441" spans="1:9" x14ac:dyDescent="0.25">
      <c r="A441" s="2" t="s">
        <v>4112</v>
      </c>
      <c r="B441" s="2" t="s">
        <v>974</v>
      </c>
      <c r="C441" s="2" t="s">
        <v>3320</v>
      </c>
      <c r="D441" s="2" t="s">
        <v>3321</v>
      </c>
      <c r="E441" s="2" t="s">
        <v>65</v>
      </c>
      <c r="F441" s="2" t="s">
        <v>4113</v>
      </c>
      <c r="G441" s="2">
        <v>56.48</v>
      </c>
      <c r="H441" s="2" t="s">
        <v>36</v>
      </c>
      <c r="I441" s="2" t="s">
        <v>3385</v>
      </c>
    </row>
    <row r="442" spans="1:9" x14ac:dyDescent="0.25">
      <c r="A442" s="2" t="s">
        <v>4114</v>
      </c>
      <c r="B442" s="2" t="s">
        <v>3205</v>
      </c>
      <c r="C442" s="2" t="s">
        <v>3336</v>
      </c>
      <c r="D442" s="2" t="s">
        <v>3337</v>
      </c>
      <c r="E442" s="2" t="s">
        <v>3338</v>
      </c>
      <c r="F442" s="2" t="s">
        <v>4115</v>
      </c>
      <c r="G442" s="2">
        <v>425.45</v>
      </c>
      <c r="H442" s="2" t="s">
        <v>36</v>
      </c>
      <c r="I442" s="2" t="s">
        <v>3328</v>
      </c>
    </row>
    <row r="443" spans="1:9" x14ac:dyDescent="0.25">
      <c r="A443" s="2" t="s">
        <v>4116</v>
      </c>
      <c r="B443" s="2" t="s">
        <v>1603</v>
      </c>
      <c r="C443" s="2" t="s">
        <v>3325</v>
      </c>
      <c r="D443" s="2" t="s">
        <v>3326</v>
      </c>
      <c r="E443" s="2" t="s">
        <v>4</v>
      </c>
      <c r="F443" s="2" t="s">
        <v>4117</v>
      </c>
      <c r="G443" s="2">
        <v>2958.92</v>
      </c>
      <c r="H443" s="2" t="s">
        <v>36</v>
      </c>
      <c r="I443" s="2" t="s">
        <v>3370</v>
      </c>
    </row>
    <row r="444" spans="1:9" x14ac:dyDescent="0.25">
      <c r="A444" s="2" t="s">
        <v>4118</v>
      </c>
      <c r="B444" s="2" t="s">
        <v>3223</v>
      </c>
      <c r="C444" s="2" t="s">
        <v>3341</v>
      </c>
      <c r="D444" s="2" t="s">
        <v>3342</v>
      </c>
      <c r="E444" s="2" t="s">
        <v>91</v>
      </c>
      <c r="F444" s="2" t="s">
        <v>3352</v>
      </c>
      <c r="G444" s="2">
        <v>30.03</v>
      </c>
      <c r="H444" s="2" t="s">
        <v>37</v>
      </c>
      <c r="I444" s="2" t="s">
        <v>3328</v>
      </c>
    </row>
    <row r="445" spans="1:9" x14ac:dyDescent="0.25">
      <c r="A445" s="2" t="s">
        <v>4119</v>
      </c>
      <c r="B445" s="2" t="s">
        <v>1316</v>
      </c>
      <c r="C445" s="2" t="s">
        <v>3403</v>
      </c>
      <c r="D445" s="2" t="s">
        <v>3404</v>
      </c>
      <c r="E445" s="2" t="s">
        <v>3316</v>
      </c>
      <c r="F445" s="2" t="s">
        <v>4120</v>
      </c>
      <c r="G445" s="2">
        <v>42.62</v>
      </c>
      <c r="H445" s="2" t="s">
        <v>36</v>
      </c>
      <c r="I445" s="2" t="s">
        <v>3334</v>
      </c>
    </row>
    <row r="446" spans="1:9" x14ac:dyDescent="0.25">
      <c r="A446" s="2" t="s">
        <v>4121</v>
      </c>
      <c r="B446" s="2" t="s">
        <v>1702</v>
      </c>
      <c r="C446" s="2" t="s">
        <v>3325</v>
      </c>
      <c r="D446" s="2" t="s">
        <v>3326</v>
      </c>
      <c r="E446" s="2" t="s">
        <v>3338</v>
      </c>
      <c r="F446" s="2" t="s">
        <v>4122</v>
      </c>
      <c r="G446" s="2">
        <v>90.81</v>
      </c>
      <c r="H446" s="2" t="s">
        <v>36</v>
      </c>
      <c r="I446" s="2" t="s">
        <v>3385</v>
      </c>
    </row>
    <row r="447" spans="1:9" x14ac:dyDescent="0.25">
      <c r="A447" s="2" t="s">
        <v>4123</v>
      </c>
      <c r="B447" s="2" t="s">
        <v>2106</v>
      </c>
      <c r="C447" s="2" t="s">
        <v>3403</v>
      </c>
      <c r="D447" s="2" t="s">
        <v>3404</v>
      </c>
      <c r="E447" s="2" t="s">
        <v>3316</v>
      </c>
      <c r="F447" s="2" t="s">
        <v>4124</v>
      </c>
      <c r="G447" s="2">
        <v>138.72999999999999</v>
      </c>
      <c r="H447" s="2" t="s">
        <v>36</v>
      </c>
      <c r="I447" s="2" t="s">
        <v>3331</v>
      </c>
    </row>
    <row r="448" spans="1:9" x14ac:dyDescent="0.25">
      <c r="A448" s="2" t="s">
        <v>4125</v>
      </c>
      <c r="B448" s="2" t="s">
        <v>381</v>
      </c>
      <c r="C448" s="2" t="s">
        <v>3409</v>
      </c>
      <c r="D448" s="2" t="s">
        <v>3326</v>
      </c>
      <c r="E448" s="2" t="s">
        <v>65</v>
      </c>
      <c r="F448" s="2" t="s">
        <v>4126</v>
      </c>
      <c r="G448" s="2">
        <v>103.87</v>
      </c>
      <c r="H448" s="2" t="s">
        <v>37</v>
      </c>
      <c r="I448" s="2" t="s">
        <v>3328</v>
      </c>
    </row>
    <row r="449" spans="1:9" x14ac:dyDescent="0.25">
      <c r="A449" s="2" t="s">
        <v>4127</v>
      </c>
      <c r="B449" s="2" t="s">
        <v>629</v>
      </c>
      <c r="C449" s="2" t="s">
        <v>3427</v>
      </c>
      <c r="D449" s="2" t="s">
        <v>3428</v>
      </c>
      <c r="E449" s="2" t="s">
        <v>65</v>
      </c>
      <c r="F449" s="2" t="s">
        <v>3587</v>
      </c>
      <c r="G449" s="2">
        <v>21.96</v>
      </c>
      <c r="H449" s="2" t="s">
        <v>36</v>
      </c>
      <c r="I449" s="2" t="s">
        <v>3365</v>
      </c>
    </row>
    <row r="450" spans="1:9" x14ac:dyDescent="0.25">
      <c r="A450" s="2" t="s">
        <v>4128</v>
      </c>
      <c r="B450" s="2" t="s">
        <v>2650</v>
      </c>
      <c r="C450" s="2" t="s">
        <v>3362</v>
      </c>
      <c r="D450" s="2" t="s">
        <v>3363</v>
      </c>
      <c r="E450" s="2" t="s">
        <v>65</v>
      </c>
      <c r="F450" s="2" t="s">
        <v>4129</v>
      </c>
      <c r="G450" s="2">
        <v>78.989999999999995</v>
      </c>
      <c r="H450" s="2" t="s">
        <v>37</v>
      </c>
      <c r="I450" s="2" t="s">
        <v>3385</v>
      </c>
    </row>
    <row r="451" spans="1:9" x14ac:dyDescent="0.25">
      <c r="A451" s="2" t="s">
        <v>4130</v>
      </c>
      <c r="B451" s="2" t="s">
        <v>2562</v>
      </c>
      <c r="C451" s="2" t="s">
        <v>3362</v>
      </c>
      <c r="D451" s="2" t="s">
        <v>3363</v>
      </c>
      <c r="E451" s="2" t="s">
        <v>65</v>
      </c>
      <c r="F451" s="2" t="s">
        <v>3874</v>
      </c>
      <c r="G451" s="2">
        <v>243.08</v>
      </c>
      <c r="H451" s="2" t="s">
        <v>37</v>
      </c>
      <c r="I451" s="2" t="s">
        <v>3334</v>
      </c>
    </row>
    <row r="452" spans="1:9" x14ac:dyDescent="0.25">
      <c r="A452" s="2" t="s">
        <v>4131</v>
      </c>
      <c r="B452" s="2" t="s">
        <v>3188</v>
      </c>
      <c r="C452" s="2" t="s">
        <v>3354</v>
      </c>
      <c r="D452" s="2" t="s">
        <v>3355</v>
      </c>
      <c r="E452" s="2" t="s">
        <v>4</v>
      </c>
      <c r="F452" s="2" t="s">
        <v>3425</v>
      </c>
      <c r="G452" s="2">
        <v>149.04</v>
      </c>
      <c r="H452" s="2" t="s">
        <v>36</v>
      </c>
      <c r="I452" s="2" t="s">
        <v>3365</v>
      </c>
    </row>
    <row r="453" spans="1:9" x14ac:dyDescent="0.25">
      <c r="A453" s="2" t="s">
        <v>4132</v>
      </c>
      <c r="B453" s="2" t="s">
        <v>2847</v>
      </c>
      <c r="C453" s="2" t="s">
        <v>3354</v>
      </c>
      <c r="D453" s="2" t="s">
        <v>3355</v>
      </c>
      <c r="E453" s="2" t="s">
        <v>4</v>
      </c>
      <c r="F453" s="2" t="s">
        <v>3356</v>
      </c>
      <c r="G453" s="2">
        <v>235.85</v>
      </c>
      <c r="H453" s="2" t="s">
        <v>37</v>
      </c>
      <c r="I453" s="2" t="s">
        <v>3385</v>
      </c>
    </row>
    <row r="454" spans="1:9" x14ac:dyDescent="0.25">
      <c r="A454" s="2" t="s">
        <v>4133</v>
      </c>
      <c r="B454" s="2" t="s">
        <v>1000</v>
      </c>
      <c r="C454" s="2" t="s">
        <v>3427</v>
      </c>
      <c r="D454" s="2" t="s">
        <v>3428</v>
      </c>
      <c r="E454" s="2" t="s">
        <v>65</v>
      </c>
      <c r="F454" s="2" t="s">
        <v>3681</v>
      </c>
      <c r="G454" s="2">
        <v>47.14</v>
      </c>
      <c r="H454" s="2" t="s">
        <v>36</v>
      </c>
      <c r="I454" s="2" t="s">
        <v>3318</v>
      </c>
    </row>
    <row r="455" spans="1:9" x14ac:dyDescent="0.25">
      <c r="A455" s="2" t="s">
        <v>4134</v>
      </c>
      <c r="B455" s="2" t="s">
        <v>1053</v>
      </c>
      <c r="C455" s="2" t="s">
        <v>3341</v>
      </c>
      <c r="D455" s="2" t="s">
        <v>3342</v>
      </c>
      <c r="E455" s="2" t="s">
        <v>91</v>
      </c>
      <c r="F455" s="2" t="s">
        <v>4135</v>
      </c>
      <c r="G455" s="2">
        <v>71.239999999999995</v>
      </c>
      <c r="H455" s="2" t="s">
        <v>36</v>
      </c>
      <c r="I455" s="2" t="s">
        <v>3331</v>
      </c>
    </row>
    <row r="456" spans="1:9" x14ac:dyDescent="0.25">
      <c r="A456" s="2" t="s">
        <v>4136</v>
      </c>
      <c r="B456" s="2" t="s">
        <v>2550</v>
      </c>
      <c r="C456" s="2" t="s">
        <v>3320</v>
      </c>
      <c r="D456" s="2" t="s">
        <v>3321</v>
      </c>
      <c r="E456" s="2" t="s">
        <v>65</v>
      </c>
      <c r="F456" s="2" t="s">
        <v>3884</v>
      </c>
      <c r="G456" s="2">
        <v>26.63</v>
      </c>
      <c r="H456" s="2" t="s">
        <v>36</v>
      </c>
      <c r="I456" s="2" t="s">
        <v>3334</v>
      </c>
    </row>
    <row r="457" spans="1:9" x14ac:dyDescent="0.25">
      <c r="A457" s="2" t="s">
        <v>4137</v>
      </c>
      <c r="B457" s="2" t="s">
        <v>2475</v>
      </c>
      <c r="C457" s="2" t="s">
        <v>3336</v>
      </c>
      <c r="D457" s="2" t="s">
        <v>3337</v>
      </c>
      <c r="E457" s="2" t="s">
        <v>4</v>
      </c>
      <c r="F457" s="2" t="s">
        <v>4138</v>
      </c>
      <c r="G457" s="2">
        <v>20.79</v>
      </c>
      <c r="H457" s="2" t="s">
        <v>36</v>
      </c>
      <c r="I457" s="2" t="s">
        <v>3331</v>
      </c>
    </row>
    <row r="458" spans="1:9" x14ac:dyDescent="0.25">
      <c r="A458" s="2" t="s">
        <v>4139</v>
      </c>
      <c r="B458" s="2" t="s">
        <v>1274</v>
      </c>
      <c r="C458" s="2" t="s">
        <v>3403</v>
      </c>
      <c r="D458" s="2" t="s">
        <v>3404</v>
      </c>
      <c r="E458" s="2" t="s">
        <v>3316</v>
      </c>
      <c r="F458" s="2" t="s">
        <v>4140</v>
      </c>
      <c r="G458" s="2">
        <v>225.53</v>
      </c>
      <c r="H458" s="2" t="s">
        <v>37</v>
      </c>
      <c r="I458" s="2" t="s">
        <v>3334</v>
      </c>
    </row>
    <row r="459" spans="1:9" x14ac:dyDescent="0.25">
      <c r="A459" s="2" t="s">
        <v>4141</v>
      </c>
      <c r="B459" s="2" t="s">
        <v>1802</v>
      </c>
      <c r="C459" s="2" t="s">
        <v>4142</v>
      </c>
      <c r="D459" s="2" t="s">
        <v>3368</v>
      </c>
      <c r="E459" s="2" t="s">
        <v>65</v>
      </c>
      <c r="F459" s="2" t="s">
        <v>4143</v>
      </c>
      <c r="G459" s="2">
        <v>254.24</v>
      </c>
      <c r="H459" s="2" t="s">
        <v>36</v>
      </c>
      <c r="I459" s="2" t="s">
        <v>3334</v>
      </c>
    </row>
    <row r="460" spans="1:9" x14ac:dyDescent="0.25">
      <c r="A460" s="2" t="s">
        <v>4144</v>
      </c>
      <c r="B460" s="2" t="s">
        <v>1369</v>
      </c>
      <c r="C460" s="2" t="s">
        <v>3320</v>
      </c>
      <c r="D460" s="2" t="s">
        <v>3321</v>
      </c>
      <c r="E460" s="2" t="s">
        <v>4</v>
      </c>
      <c r="F460" s="2" t="s">
        <v>4145</v>
      </c>
      <c r="G460" s="2">
        <v>253.24</v>
      </c>
      <c r="H460" s="2" t="s">
        <v>37</v>
      </c>
      <c r="I460" s="2" t="s">
        <v>3328</v>
      </c>
    </row>
    <row r="461" spans="1:9" x14ac:dyDescent="0.25">
      <c r="A461" s="2" t="s">
        <v>4146</v>
      </c>
      <c r="B461" s="2" t="s">
        <v>3242</v>
      </c>
      <c r="C461" s="2" t="s">
        <v>3341</v>
      </c>
      <c r="D461" s="2" t="s">
        <v>3342</v>
      </c>
      <c r="E461" s="2" t="s">
        <v>4</v>
      </c>
      <c r="F461" s="2" t="s">
        <v>3562</v>
      </c>
      <c r="G461" s="2">
        <v>93.78</v>
      </c>
      <c r="H461" s="2" t="s">
        <v>36</v>
      </c>
      <c r="I461" s="2" t="s">
        <v>3318</v>
      </c>
    </row>
    <row r="462" spans="1:9" x14ac:dyDescent="0.25">
      <c r="A462" s="2" t="s">
        <v>4147</v>
      </c>
      <c r="B462" s="2" t="s">
        <v>2922</v>
      </c>
      <c r="C462" s="2" t="s">
        <v>3341</v>
      </c>
      <c r="D462" s="2" t="s">
        <v>3342</v>
      </c>
      <c r="E462" s="2" t="s">
        <v>3316</v>
      </c>
      <c r="F462" s="2" t="s">
        <v>3571</v>
      </c>
      <c r="G462" s="2">
        <v>144.13</v>
      </c>
      <c r="H462" s="2" t="s">
        <v>36</v>
      </c>
      <c r="I462" s="2" t="s">
        <v>3323</v>
      </c>
    </row>
    <row r="463" spans="1:9" x14ac:dyDescent="0.25">
      <c r="A463" s="2" t="s">
        <v>4148</v>
      </c>
      <c r="B463" s="2" t="s">
        <v>3106</v>
      </c>
      <c r="C463" s="2" t="s">
        <v>3427</v>
      </c>
      <c r="D463" s="2" t="s">
        <v>3428</v>
      </c>
      <c r="E463" s="2" t="s">
        <v>65</v>
      </c>
      <c r="F463" s="2" t="s">
        <v>3587</v>
      </c>
      <c r="G463" s="2">
        <v>180.89</v>
      </c>
      <c r="H463" s="2" t="s">
        <v>36</v>
      </c>
      <c r="I463" s="2" t="s">
        <v>3365</v>
      </c>
    </row>
    <row r="464" spans="1:9" x14ac:dyDescent="0.25">
      <c r="A464" s="2" t="s">
        <v>4149</v>
      </c>
      <c r="B464" s="2" t="s">
        <v>2367</v>
      </c>
      <c r="C464" s="2" t="s">
        <v>3362</v>
      </c>
      <c r="D464" s="2" t="s">
        <v>3363</v>
      </c>
      <c r="E464" s="2" t="s">
        <v>65</v>
      </c>
      <c r="F464" s="2" t="s">
        <v>4035</v>
      </c>
      <c r="G464" s="2">
        <v>345.37</v>
      </c>
      <c r="H464" s="2" t="s">
        <v>36</v>
      </c>
      <c r="I464" s="2" t="s">
        <v>3334</v>
      </c>
    </row>
    <row r="465" spans="1:9" x14ac:dyDescent="0.25">
      <c r="A465" s="2" t="s">
        <v>4150</v>
      </c>
      <c r="B465" s="2" t="s">
        <v>2997</v>
      </c>
      <c r="C465" s="2" t="s">
        <v>3320</v>
      </c>
      <c r="D465" s="2" t="s">
        <v>3321</v>
      </c>
      <c r="E465" s="2" t="s">
        <v>4</v>
      </c>
      <c r="F465" s="2" t="s">
        <v>4151</v>
      </c>
      <c r="G465" s="2">
        <v>25.6</v>
      </c>
      <c r="H465" s="2" t="s">
        <v>37</v>
      </c>
      <c r="I465" s="2" t="s">
        <v>3385</v>
      </c>
    </row>
    <row r="466" spans="1:9" x14ac:dyDescent="0.25">
      <c r="A466" s="2" t="s">
        <v>4152</v>
      </c>
      <c r="B466" s="2" t="s">
        <v>2992</v>
      </c>
      <c r="C466" s="2" t="s">
        <v>3320</v>
      </c>
      <c r="D466" s="2" t="s">
        <v>3321</v>
      </c>
      <c r="E466" s="2" t="s">
        <v>65</v>
      </c>
      <c r="F466" s="2" t="s">
        <v>4153</v>
      </c>
      <c r="G466" s="2">
        <v>16.87</v>
      </c>
      <c r="H466" s="2" t="s">
        <v>37</v>
      </c>
      <c r="I466" s="2" t="s">
        <v>3334</v>
      </c>
    </row>
    <row r="467" spans="1:9" x14ac:dyDescent="0.25">
      <c r="A467" s="2" t="s">
        <v>4154</v>
      </c>
      <c r="B467" s="2" t="s">
        <v>2451</v>
      </c>
      <c r="C467" s="2" t="s">
        <v>4142</v>
      </c>
      <c r="D467" s="2" t="s">
        <v>3368</v>
      </c>
      <c r="E467" s="2" t="s">
        <v>4</v>
      </c>
      <c r="F467" s="2" t="s">
        <v>4155</v>
      </c>
      <c r="G467" s="2">
        <v>13.71</v>
      </c>
      <c r="H467" s="2" t="s">
        <v>37</v>
      </c>
      <c r="I467" s="2" t="s">
        <v>3365</v>
      </c>
    </row>
    <row r="468" spans="1:9" x14ac:dyDescent="0.25">
      <c r="A468" s="2" t="s">
        <v>4156</v>
      </c>
      <c r="B468" s="2" t="s">
        <v>2268</v>
      </c>
      <c r="C468" s="2" t="s">
        <v>3325</v>
      </c>
      <c r="D468" s="2" t="s">
        <v>3326</v>
      </c>
      <c r="E468" s="2" t="s">
        <v>3316</v>
      </c>
      <c r="F468" s="2" t="s">
        <v>4157</v>
      </c>
      <c r="G468" s="2">
        <v>85.87</v>
      </c>
      <c r="H468" s="2" t="s">
        <v>36</v>
      </c>
      <c r="I468" s="2" t="s">
        <v>3385</v>
      </c>
    </row>
    <row r="469" spans="1:9" x14ac:dyDescent="0.25">
      <c r="A469" s="2" t="s">
        <v>4158</v>
      </c>
      <c r="B469" s="2" t="s">
        <v>2825</v>
      </c>
      <c r="C469" s="2" t="s">
        <v>3314</v>
      </c>
      <c r="D469" s="2" t="s">
        <v>3315</v>
      </c>
      <c r="E469" s="2" t="s">
        <v>65</v>
      </c>
      <c r="F469" s="2" t="s">
        <v>3437</v>
      </c>
      <c r="G469" s="2">
        <v>23.05</v>
      </c>
      <c r="H469" s="2" t="s">
        <v>36</v>
      </c>
      <c r="I469" s="2" t="s">
        <v>3370</v>
      </c>
    </row>
    <row r="470" spans="1:9" x14ac:dyDescent="0.25">
      <c r="A470" s="2" t="s">
        <v>4159</v>
      </c>
      <c r="B470" s="2" t="s">
        <v>1832</v>
      </c>
      <c r="C470" s="2" t="s">
        <v>3354</v>
      </c>
      <c r="D470" s="2" t="s">
        <v>3355</v>
      </c>
      <c r="E470" s="2" t="s">
        <v>4</v>
      </c>
      <c r="F470" s="2" t="s">
        <v>3522</v>
      </c>
      <c r="G470" s="2">
        <v>27.5</v>
      </c>
      <c r="H470" s="2" t="s">
        <v>36</v>
      </c>
      <c r="I470" s="2" t="s">
        <v>3323</v>
      </c>
    </row>
    <row r="471" spans="1:9" x14ac:dyDescent="0.25">
      <c r="A471" s="2" t="s">
        <v>4160</v>
      </c>
      <c r="B471" s="2" t="s">
        <v>2136</v>
      </c>
      <c r="C471" s="2" t="s">
        <v>3354</v>
      </c>
      <c r="D471" s="2" t="s">
        <v>3355</v>
      </c>
      <c r="E471" s="2" t="s">
        <v>65</v>
      </c>
      <c r="F471" s="2" t="s">
        <v>3356</v>
      </c>
      <c r="G471" s="2">
        <v>195.03</v>
      </c>
      <c r="H471" s="2" t="s">
        <v>36</v>
      </c>
      <c r="I471" s="2" t="s">
        <v>3328</v>
      </c>
    </row>
    <row r="472" spans="1:9" x14ac:dyDescent="0.25">
      <c r="A472" s="2" t="s">
        <v>4161</v>
      </c>
      <c r="B472" s="2" t="s">
        <v>1255</v>
      </c>
      <c r="C472" s="2" t="s">
        <v>3341</v>
      </c>
      <c r="D472" s="2" t="s">
        <v>3342</v>
      </c>
      <c r="E472" s="2" t="s">
        <v>3316</v>
      </c>
      <c r="F472" s="2" t="s">
        <v>4162</v>
      </c>
      <c r="G472" s="2">
        <v>1810.36</v>
      </c>
      <c r="H472" s="2" t="s">
        <v>36</v>
      </c>
      <c r="I472" s="2" t="s">
        <v>3385</v>
      </c>
    </row>
    <row r="473" spans="1:9" x14ac:dyDescent="0.25">
      <c r="A473" s="2" t="s">
        <v>4163</v>
      </c>
      <c r="B473" s="2" t="s">
        <v>2934</v>
      </c>
      <c r="C473" s="2" t="s">
        <v>3320</v>
      </c>
      <c r="D473" s="2" t="s">
        <v>3321</v>
      </c>
      <c r="E473" s="2" t="s">
        <v>65</v>
      </c>
      <c r="F473" s="2" t="s">
        <v>4164</v>
      </c>
      <c r="G473" s="2">
        <v>14.7</v>
      </c>
      <c r="H473" s="2" t="s">
        <v>37</v>
      </c>
      <c r="I473" s="2" t="s">
        <v>3328</v>
      </c>
    </row>
    <row r="474" spans="1:9" x14ac:dyDescent="0.25">
      <c r="A474" s="2" t="s">
        <v>4165</v>
      </c>
      <c r="B474" s="2" t="s">
        <v>1921</v>
      </c>
      <c r="C474" s="2" t="s">
        <v>3427</v>
      </c>
      <c r="D474" s="2" t="s">
        <v>3428</v>
      </c>
      <c r="E474" s="2" t="s">
        <v>4</v>
      </c>
      <c r="F474" s="2" t="s">
        <v>3587</v>
      </c>
      <c r="G474" s="2">
        <v>209.47</v>
      </c>
      <c r="H474" s="2" t="s">
        <v>37</v>
      </c>
      <c r="I474" s="2" t="s">
        <v>3323</v>
      </c>
    </row>
    <row r="475" spans="1:9" x14ac:dyDescent="0.25">
      <c r="A475" s="2" t="s">
        <v>4166</v>
      </c>
      <c r="B475" s="2" t="s">
        <v>2876</v>
      </c>
      <c r="C475" s="2" t="s">
        <v>3367</v>
      </c>
      <c r="D475" s="2" t="s">
        <v>3368</v>
      </c>
      <c r="E475" s="2" t="s">
        <v>65</v>
      </c>
      <c r="F475" s="2" t="s">
        <v>4167</v>
      </c>
      <c r="G475" s="2">
        <v>91.25</v>
      </c>
      <c r="H475" s="2" t="s">
        <v>36</v>
      </c>
      <c r="I475" s="2" t="s">
        <v>3331</v>
      </c>
    </row>
    <row r="476" spans="1:9" x14ac:dyDescent="0.25">
      <c r="A476" s="2" t="s">
        <v>4168</v>
      </c>
      <c r="B476" s="2" t="s">
        <v>1141</v>
      </c>
      <c r="C476" s="2" t="s">
        <v>3341</v>
      </c>
      <c r="D476" s="2" t="s">
        <v>3342</v>
      </c>
      <c r="E476" s="2" t="s">
        <v>3316</v>
      </c>
      <c r="F476" s="2" t="s">
        <v>4169</v>
      </c>
      <c r="G476" s="2">
        <v>21.57</v>
      </c>
      <c r="H476" s="2" t="s">
        <v>36</v>
      </c>
      <c r="I476" s="2" t="s">
        <v>3334</v>
      </c>
    </row>
    <row r="477" spans="1:9" x14ac:dyDescent="0.25">
      <c r="A477" s="2" t="s">
        <v>4170</v>
      </c>
      <c r="B477" s="2" t="s">
        <v>447</v>
      </c>
      <c r="C477" s="2" t="s">
        <v>3325</v>
      </c>
      <c r="D477" s="2" t="s">
        <v>3326</v>
      </c>
      <c r="E477" s="2" t="s">
        <v>3338</v>
      </c>
      <c r="F477" s="2" t="s">
        <v>1825</v>
      </c>
      <c r="G477" s="2">
        <v>301.33</v>
      </c>
      <c r="H477" s="2" t="s">
        <v>36</v>
      </c>
      <c r="I477" s="2" t="s">
        <v>3323</v>
      </c>
    </row>
    <row r="478" spans="1:9" x14ac:dyDescent="0.25">
      <c r="A478" s="2" t="s">
        <v>4171</v>
      </c>
      <c r="B478" s="2" t="s">
        <v>3266</v>
      </c>
      <c r="C478" s="2" t="s">
        <v>3341</v>
      </c>
      <c r="D478" s="2" t="s">
        <v>3342</v>
      </c>
      <c r="E478" s="2" t="s">
        <v>3316</v>
      </c>
      <c r="F478" s="2" t="s">
        <v>4172</v>
      </c>
      <c r="G478" s="2">
        <v>60.76</v>
      </c>
      <c r="H478" s="2" t="s">
        <v>37</v>
      </c>
      <c r="I478" s="2" t="s">
        <v>3385</v>
      </c>
    </row>
    <row r="479" spans="1:9" x14ac:dyDescent="0.25">
      <c r="A479" s="2" t="s">
        <v>4173</v>
      </c>
      <c r="B479" s="2" t="s">
        <v>471</v>
      </c>
      <c r="C479" s="2" t="s">
        <v>3367</v>
      </c>
      <c r="D479" s="2" t="s">
        <v>3368</v>
      </c>
      <c r="E479" s="2" t="s">
        <v>65</v>
      </c>
      <c r="F479" s="2" t="s">
        <v>4174</v>
      </c>
      <c r="G479" s="2">
        <v>309.22000000000003</v>
      </c>
      <c r="H479" s="2" t="s">
        <v>37</v>
      </c>
      <c r="I479" s="2" t="s">
        <v>3331</v>
      </c>
    </row>
    <row r="480" spans="1:9" x14ac:dyDescent="0.25">
      <c r="A480" s="2" t="s">
        <v>4175</v>
      </c>
      <c r="B480" s="2" t="s">
        <v>2717</v>
      </c>
      <c r="C480" s="2" t="s">
        <v>3325</v>
      </c>
      <c r="D480" s="2" t="s">
        <v>3326</v>
      </c>
      <c r="E480" s="2" t="s">
        <v>65</v>
      </c>
      <c r="F480" s="2" t="s">
        <v>4176</v>
      </c>
      <c r="G480" s="2">
        <v>120.88</v>
      </c>
      <c r="H480" s="2" t="s">
        <v>37</v>
      </c>
      <c r="I480" s="2" t="s">
        <v>3365</v>
      </c>
    </row>
    <row r="481" spans="1:9" x14ac:dyDescent="0.25">
      <c r="A481" s="2" t="s">
        <v>4177</v>
      </c>
      <c r="B481" s="2" t="s">
        <v>3193</v>
      </c>
      <c r="C481" s="2" t="s">
        <v>3354</v>
      </c>
      <c r="D481" s="2" t="s">
        <v>3355</v>
      </c>
      <c r="E481" s="2" t="s">
        <v>65</v>
      </c>
      <c r="F481" s="2" t="s">
        <v>3425</v>
      </c>
      <c r="G481" s="2">
        <v>12.17</v>
      </c>
      <c r="H481" s="2" t="s">
        <v>36</v>
      </c>
      <c r="I481" s="2" t="s">
        <v>3328</v>
      </c>
    </row>
    <row r="482" spans="1:9" x14ac:dyDescent="0.25">
      <c r="A482" s="2" t="s">
        <v>4178</v>
      </c>
      <c r="B482" s="2" t="s">
        <v>2704</v>
      </c>
      <c r="C482" s="2" t="s">
        <v>3341</v>
      </c>
      <c r="D482" s="2" t="s">
        <v>3342</v>
      </c>
      <c r="E482" s="2" t="s">
        <v>4</v>
      </c>
      <c r="F482" s="2" t="s">
        <v>4179</v>
      </c>
      <c r="G482" s="2">
        <v>43.37</v>
      </c>
      <c r="H482" s="2" t="s">
        <v>36</v>
      </c>
      <c r="I482" s="2" t="s">
        <v>3334</v>
      </c>
    </row>
    <row r="483" spans="1:9" x14ac:dyDescent="0.25">
      <c r="A483" s="2" t="s">
        <v>4180</v>
      </c>
      <c r="B483" s="2" t="s">
        <v>1695</v>
      </c>
      <c r="C483" s="2" t="s">
        <v>3325</v>
      </c>
      <c r="D483" s="2" t="s">
        <v>3326</v>
      </c>
      <c r="E483" s="2" t="s">
        <v>4</v>
      </c>
      <c r="F483" s="2" t="s">
        <v>4181</v>
      </c>
      <c r="G483" s="2">
        <v>257.43</v>
      </c>
      <c r="H483" s="2" t="s">
        <v>36</v>
      </c>
      <c r="I483" s="2" t="s">
        <v>3334</v>
      </c>
    </row>
    <row r="484" spans="1:9" x14ac:dyDescent="0.25">
      <c r="A484" s="2" t="s">
        <v>4182</v>
      </c>
      <c r="B484" s="2" t="s">
        <v>1538</v>
      </c>
      <c r="C484" s="2" t="s">
        <v>3314</v>
      </c>
      <c r="D484" s="2" t="s">
        <v>3315</v>
      </c>
      <c r="E484" s="2" t="s">
        <v>65</v>
      </c>
      <c r="F484" s="2" t="s">
        <v>4183</v>
      </c>
      <c r="G484" s="2">
        <v>26.64</v>
      </c>
      <c r="H484" s="2" t="s">
        <v>37</v>
      </c>
      <c r="I484" s="2" t="s">
        <v>3385</v>
      </c>
    </row>
    <row r="485" spans="1:9" x14ac:dyDescent="0.25">
      <c r="A485" s="2" t="s">
        <v>4184</v>
      </c>
      <c r="B485" s="2" t="s">
        <v>2997</v>
      </c>
      <c r="C485" s="2" t="s">
        <v>3314</v>
      </c>
      <c r="D485" s="2" t="s">
        <v>3315</v>
      </c>
      <c r="E485" s="2" t="s">
        <v>33</v>
      </c>
      <c r="F485" s="2" t="s">
        <v>4185</v>
      </c>
      <c r="G485" s="2">
        <v>9.49</v>
      </c>
      <c r="H485" s="2" t="s">
        <v>37</v>
      </c>
      <c r="I485" s="2" t="s">
        <v>3318</v>
      </c>
    </row>
    <row r="486" spans="1:9" x14ac:dyDescent="0.25">
      <c r="A486" s="2" t="s">
        <v>4186</v>
      </c>
      <c r="B486" s="2" t="s">
        <v>3026</v>
      </c>
      <c r="C486" s="2" t="s">
        <v>3325</v>
      </c>
      <c r="D486" s="2" t="s">
        <v>3326</v>
      </c>
      <c r="E486" s="2" t="s">
        <v>4</v>
      </c>
      <c r="F486" s="2" t="s">
        <v>4187</v>
      </c>
      <c r="G486" s="2">
        <v>33.83</v>
      </c>
      <c r="H486" s="2" t="s">
        <v>36</v>
      </c>
      <c r="I486" s="2" t="s">
        <v>3370</v>
      </c>
    </row>
    <row r="487" spans="1:9" x14ac:dyDescent="0.25">
      <c r="A487" s="2" t="s">
        <v>4188</v>
      </c>
      <c r="B487" s="2" t="s">
        <v>2405</v>
      </c>
      <c r="C487" s="2" t="s">
        <v>3314</v>
      </c>
      <c r="D487" s="2" t="s">
        <v>3315</v>
      </c>
      <c r="E487" s="2" t="s">
        <v>65</v>
      </c>
      <c r="F487" s="2" t="s">
        <v>4189</v>
      </c>
      <c r="G487" s="2">
        <v>2889.71</v>
      </c>
      <c r="H487" s="2" t="s">
        <v>37</v>
      </c>
      <c r="I487" s="2" t="s">
        <v>3334</v>
      </c>
    </row>
    <row r="488" spans="1:9" x14ac:dyDescent="0.25">
      <c r="A488" s="2" t="s">
        <v>4190</v>
      </c>
      <c r="B488" s="2" t="s">
        <v>1392</v>
      </c>
      <c r="C488" s="2" t="s">
        <v>3320</v>
      </c>
      <c r="D488" s="2" t="s">
        <v>3321</v>
      </c>
      <c r="E488" s="2" t="s">
        <v>4</v>
      </c>
      <c r="F488" s="2" t="s">
        <v>4191</v>
      </c>
      <c r="G488" s="2" t="s">
        <v>4192</v>
      </c>
      <c r="H488" s="2" t="s">
        <v>37</v>
      </c>
      <c r="I488" s="2" t="s">
        <v>3385</v>
      </c>
    </row>
    <row r="489" spans="1:9" x14ac:dyDescent="0.25">
      <c r="A489" s="2" t="s">
        <v>4193</v>
      </c>
      <c r="B489" s="2" t="s">
        <v>1380</v>
      </c>
      <c r="C489" s="2" t="s">
        <v>3367</v>
      </c>
      <c r="D489" s="2" t="s">
        <v>3368</v>
      </c>
      <c r="E489" s="2" t="s">
        <v>4</v>
      </c>
      <c r="F489" s="2" t="s">
        <v>4194</v>
      </c>
      <c r="G489" s="2">
        <v>164.2</v>
      </c>
      <c r="H489" s="2" t="s">
        <v>37</v>
      </c>
      <c r="I489" s="2" t="s">
        <v>3334</v>
      </c>
    </row>
    <row r="490" spans="1:9" x14ac:dyDescent="0.25">
      <c r="A490" s="2" t="s">
        <v>4195</v>
      </c>
      <c r="B490" s="2" t="s">
        <v>680</v>
      </c>
      <c r="C490" s="2" t="s">
        <v>3341</v>
      </c>
      <c r="D490" s="2" t="s">
        <v>3342</v>
      </c>
      <c r="E490" s="2" t="s">
        <v>3316</v>
      </c>
      <c r="F490" s="2" t="s">
        <v>3551</v>
      </c>
      <c r="G490" s="2">
        <v>29.93</v>
      </c>
      <c r="H490" s="2" t="s">
        <v>37</v>
      </c>
      <c r="I490" s="2" t="s">
        <v>3328</v>
      </c>
    </row>
    <row r="491" spans="1:9" x14ac:dyDescent="0.25">
      <c r="A491" s="2" t="s">
        <v>4196</v>
      </c>
      <c r="B491" s="2" t="s">
        <v>2427</v>
      </c>
      <c r="C491" s="2" t="s">
        <v>3354</v>
      </c>
      <c r="D491" s="2" t="s">
        <v>3355</v>
      </c>
      <c r="E491" s="2" t="s">
        <v>4</v>
      </c>
      <c r="F491" s="2" t="s">
        <v>3649</v>
      </c>
      <c r="G491" s="2">
        <v>54.27</v>
      </c>
      <c r="H491" s="2" t="s">
        <v>37</v>
      </c>
      <c r="I491" s="2" t="s">
        <v>3365</v>
      </c>
    </row>
    <row r="492" spans="1:9" x14ac:dyDescent="0.25">
      <c r="A492" s="2" t="s">
        <v>4197</v>
      </c>
      <c r="B492" s="2" t="s">
        <v>1939</v>
      </c>
      <c r="C492" s="2" t="s">
        <v>3362</v>
      </c>
      <c r="D492" s="2" t="s">
        <v>3363</v>
      </c>
      <c r="E492" s="2" t="s">
        <v>65</v>
      </c>
      <c r="F492" s="2" t="s">
        <v>4035</v>
      </c>
      <c r="G492" s="2">
        <v>110.42</v>
      </c>
      <c r="H492" s="2" t="s">
        <v>36</v>
      </c>
      <c r="I492" s="2" t="s">
        <v>3334</v>
      </c>
    </row>
    <row r="493" spans="1:9" x14ac:dyDescent="0.25">
      <c r="A493" s="2" t="s">
        <v>4198</v>
      </c>
      <c r="B493" s="2" t="s">
        <v>717</v>
      </c>
      <c r="C493" s="2" t="s">
        <v>3362</v>
      </c>
      <c r="D493" s="2" t="s">
        <v>3363</v>
      </c>
      <c r="E493" s="2" t="s">
        <v>65</v>
      </c>
      <c r="F493" s="2" t="s">
        <v>3651</v>
      </c>
      <c r="G493" s="2">
        <v>70.92</v>
      </c>
      <c r="H493" s="2" t="s">
        <v>37</v>
      </c>
      <c r="I493" s="2" t="s">
        <v>3385</v>
      </c>
    </row>
    <row r="494" spans="1:9" x14ac:dyDescent="0.25">
      <c r="A494" s="2" t="s">
        <v>4199</v>
      </c>
      <c r="B494" s="2" t="s">
        <v>927</v>
      </c>
      <c r="C494" s="2" t="s">
        <v>3325</v>
      </c>
      <c r="D494" s="2" t="s">
        <v>3326</v>
      </c>
      <c r="E494" s="2" t="s">
        <v>3338</v>
      </c>
      <c r="F494" s="2" t="s">
        <v>4200</v>
      </c>
      <c r="G494" s="2">
        <v>4503.8500000000004</v>
      </c>
      <c r="H494" s="2" t="s">
        <v>37</v>
      </c>
      <c r="I494" s="2" t="s">
        <v>3328</v>
      </c>
    </row>
    <row r="495" spans="1:9" x14ac:dyDescent="0.25">
      <c r="A495" s="2" t="s">
        <v>4201</v>
      </c>
      <c r="B495" s="2" t="s">
        <v>1597</v>
      </c>
      <c r="C495" s="2" t="s">
        <v>3341</v>
      </c>
      <c r="D495" s="2" t="s">
        <v>3342</v>
      </c>
      <c r="E495" s="2" t="s">
        <v>91</v>
      </c>
      <c r="F495" s="2" t="s">
        <v>4202</v>
      </c>
      <c r="G495" s="2">
        <v>44.32</v>
      </c>
      <c r="H495" s="2" t="s">
        <v>37</v>
      </c>
      <c r="I495" s="2" t="s">
        <v>3370</v>
      </c>
    </row>
    <row r="496" spans="1:9" x14ac:dyDescent="0.25">
      <c r="A496" s="2" t="s">
        <v>4203</v>
      </c>
      <c r="B496" s="2" t="s">
        <v>2644</v>
      </c>
      <c r="C496" s="2" t="s">
        <v>3354</v>
      </c>
      <c r="D496" s="2" t="s">
        <v>3355</v>
      </c>
      <c r="E496" s="2" t="s">
        <v>65</v>
      </c>
      <c r="F496" s="2" t="s">
        <v>3425</v>
      </c>
      <c r="G496" s="2">
        <v>7.77</v>
      </c>
      <c r="H496" s="2" t="s">
        <v>36</v>
      </c>
      <c r="I496" s="2" t="s">
        <v>3370</v>
      </c>
    </row>
    <row r="497" spans="1:9" x14ac:dyDescent="0.25">
      <c r="A497" s="2" t="s">
        <v>4204</v>
      </c>
      <c r="B497" s="2" t="s">
        <v>1675</v>
      </c>
      <c r="C497" s="2" t="s">
        <v>3320</v>
      </c>
      <c r="D497" s="2" t="s">
        <v>3321</v>
      </c>
      <c r="E497" s="2" t="s">
        <v>65</v>
      </c>
      <c r="F497" s="2" t="s">
        <v>4205</v>
      </c>
      <c r="G497" s="2">
        <v>37.200000000000003</v>
      </c>
      <c r="H497" s="2" t="s">
        <v>36</v>
      </c>
      <c r="I497" s="2" t="s">
        <v>3370</v>
      </c>
    </row>
    <row r="498" spans="1:9" x14ac:dyDescent="0.25">
      <c r="A498" s="2" t="s">
        <v>4206</v>
      </c>
      <c r="B498" s="2" t="s">
        <v>130</v>
      </c>
      <c r="C498" s="2" t="s">
        <v>3341</v>
      </c>
      <c r="D498" s="2" t="s">
        <v>3342</v>
      </c>
      <c r="E498" s="2" t="s">
        <v>91</v>
      </c>
      <c r="F498" s="2" t="s">
        <v>4207</v>
      </c>
      <c r="G498" s="2">
        <v>154</v>
      </c>
      <c r="H498" s="2" t="s">
        <v>37</v>
      </c>
      <c r="I498" s="2" t="s">
        <v>3328</v>
      </c>
    </row>
    <row r="499" spans="1:9" x14ac:dyDescent="0.25">
      <c r="A499" s="2" t="s">
        <v>4208</v>
      </c>
      <c r="B499" s="2" t="s">
        <v>2940</v>
      </c>
      <c r="C499" s="2" t="s">
        <v>3367</v>
      </c>
      <c r="D499" s="2" t="s">
        <v>3368</v>
      </c>
      <c r="E499" s="2" t="s">
        <v>4</v>
      </c>
      <c r="F499" s="2" t="s">
        <v>3568</v>
      </c>
      <c r="G499" s="2">
        <v>62.45</v>
      </c>
      <c r="H499" s="2" t="s">
        <v>37</v>
      </c>
      <c r="I499" s="2" t="s">
        <v>3328</v>
      </c>
    </row>
    <row r="500" spans="1:9" x14ac:dyDescent="0.25">
      <c r="A500" s="2" t="s">
        <v>4209</v>
      </c>
      <c r="B500" s="2" t="s">
        <v>2609</v>
      </c>
      <c r="C500" s="2" t="s">
        <v>3320</v>
      </c>
      <c r="D500" s="2" t="s">
        <v>3321</v>
      </c>
      <c r="E500" s="2" t="s">
        <v>65</v>
      </c>
      <c r="F500" s="2" t="s">
        <v>4210</v>
      </c>
      <c r="G500" s="2">
        <v>20.41</v>
      </c>
      <c r="H500" s="2" t="s">
        <v>36</v>
      </c>
      <c r="I500" s="2" t="s">
        <v>3365</v>
      </c>
    </row>
    <row r="501" spans="1:9" x14ac:dyDescent="0.25">
      <c r="A501" s="2" t="s">
        <v>4211</v>
      </c>
      <c r="B501" s="2" t="s">
        <v>2657</v>
      </c>
      <c r="C501" s="2" t="s">
        <v>3320</v>
      </c>
      <c r="D501" s="2" t="s">
        <v>3321</v>
      </c>
      <c r="E501" s="2" t="s">
        <v>65</v>
      </c>
      <c r="F501" s="2" t="s">
        <v>4212</v>
      </c>
      <c r="G501" s="2">
        <v>19.98</v>
      </c>
      <c r="H501" s="2" t="s">
        <v>36</v>
      </c>
      <c r="I501" s="2" t="s">
        <v>3318</v>
      </c>
    </row>
    <row r="502" spans="1:9" x14ac:dyDescent="0.25">
      <c r="A502" s="2" t="s">
        <v>4213</v>
      </c>
      <c r="B502" s="2" t="s">
        <v>547</v>
      </c>
      <c r="C502" s="2" t="s">
        <v>3325</v>
      </c>
      <c r="D502" s="2" t="s">
        <v>3326</v>
      </c>
      <c r="E502" s="2" t="s">
        <v>4</v>
      </c>
      <c r="F502" s="2" t="s">
        <v>4214</v>
      </c>
      <c r="G502" s="2">
        <v>18.36</v>
      </c>
      <c r="H502" s="2" t="s">
        <v>37</v>
      </c>
      <c r="I502" s="2" t="s">
        <v>3323</v>
      </c>
    </row>
    <row r="503" spans="1:9" x14ac:dyDescent="0.25">
      <c r="A503" s="2" t="s">
        <v>4215</v>
      </c>
      <c r="B503" s="2" t="s">
        <v>1526</v>
      </c>
      <c r="C503" s="2" t="s">
        <v>3325</v>
      </c>
      <c r="D503" s="2" t="s">
        <v>3326</v>
      </c>
      <c r="E503" s="2" t="s">
        <v>3316</v>
      </c>
      <c r="F503" s="2" t="s">
        <v>4216</v>
      </c>
      <c r="G503" s="2">
        <v>128.25</v>
      </c>
      <c r="H503" s="2" t="s">
        <v>36</v>
      </c>
      <c r="I503" s="2" t="s">
        <v>3334</v>
      </c>
    </row>
    <row r="504" spans="1:9" x14ac:dyDescent="0.25">
      <c r="A504" s="2" t="s">
        <v>4217</v>
      </c>
      <c r="B504" s="2" t="s">
        <v>1250</v>
      </c>
      <c r="C504" s="2" t="s">
        <v>3403</v>
      </c>
      <c r="D504" s="2" t="s">
        <v>3404</v>
      </c>
      <c r="E504" s="2" t="s">
        <v>4</v>
      </c>
      <c r="F504" s="2" t="s">
        <v>3663</v>
      </c>
      <c r="G504" s="2">
        <v>2846.74</v>
      </c>
      <c r="H504" s="2" t="s">
        <v>36</v>
      </c>
      <c r="I504" s="2" t="s">
        <v>3318</v>
      </c>
    </row>
    <row r="505" spans="1:9" x14ac:dyDescent="0.25">
      <c r="A505" s="2" t="s">
        <v>4218</v>
      </c>
      <c r="B505" s="2" t="s">
        <v>2016</v>
      </c>
      <c r="C505" s="2" t="s">
        <v>3336</v>
      </c>
      <c r="D505" s="2" t="s">
        <v>3337</v>
      </c>
      <c r="E505" s="2" t="s">
        <v>3316</v>
      </c>
      <c r="F505" s="2" t="s">
        <v>4219</v>
      </c>
      <c r="G505" s="2">
        <v>147.03</v>
      </c>
      <c r="H505" s="2" t="s">
        <v>36</v>
      </c>
      <c r="I505" s="2" t="s">
        <v>3365</v>
      </c>
    </row>
    <row r="506" spans="1:9" x14ac:dyDescent="0.25">
      <c r="A506" s="2" t="s">
        <v>4220</v>
      </c>
      <c r="B506" s="2" t="s">
        <v>1084</v>
      </c>
      <c r="C506" s="2" t="s">
        <v>3325</v>
      </c>
      <c r="D506" s="2" t="s">
        <v>3326</v>
      </c>
      <c r="E506" s="2" t="s">
        <v>3338</v>
      </c>
      <c r="F506" s="2" t="s">
        <v>4221</v>
      </c>
      <c r="G506" s="2">
        <v>14.78</v>
      </c>
      <c r="H506" s="2" t="s">
        <v>36</v>
      </c>
      <c r="I506" s="2" t="s">
        <v>3334</v>
      </c>
    </row>
    <row r="507" spans="1:9" x14ac:dyDescent="0.25">
      <c r="A507" s="2" t="s">
        <v>4222</v>
      </c>
      <c r="B507" s="2" t="s">
        <v>2338</v>
      </c>
      <c r="C507" s="2" t="s">
        <v>3314</v>
      </c>
      <c r="D507" s="2" t="s">
        <v>3315</v>
      </c>
      <c r="E507" s="2" t="s">
        <v>33</v>
      </c>
      <c r="F507" s="2" t="s">
        <v>653</v>
      </c>
      <c r="G507" s="2">
        <v>26.52</v>
      </c>
      <c r="H507" s="2" t="s">
        <v>37</v>
      </c>
      <c r="I507" s="2" t="s">
        <v>3318</v>
      </c>
    </row>
    <row r="508" spans="1:9" x14ac:dyDescent="0.25">
      <c r="A508" s="2" t="s">
        <v>4223</v>
      </c>
      <c r="B508" s="2" t="s">
        <v>2917</v>
      </c>
      <c r="C508" s="2" t="s">
        <v>3354</v>
      </c>
      <c r="D508" s="2" t="s">
        <v>3355</v>
      </c>
      <c r="E508" s="2" t="s">
        <v>65</v>
      </c>
      <c r="F508" s="2" t="s">
        <v>3356</v>
      </c>
      <c r="G508" s="2">
        <v>29.62</v>
      </c>
      <c r="H508" s="2" t="s">
        <v>36</v>
      </c>
      <c r="I508" s="2" t="s">
        <v>3365</v>
      </c>
    </row>
    <row r="509" spans="1:9" x14ac:dyDescent="0.25">
      <c r="A509" s="2" t="s">
        <v>4224</v>
      </c>
      <c r="B509" s="2" t="s">
        <v>2028</v>
      </c>
      <c r="C509" s="2" t="s">
        <v>3325</v>
      </c>
      <c r="D509" s="2" t="s">
        <v>3326</v>
      </c>
      <c r="E509" s="2" t="s">
        <v>65</v>
      </c>
      <c r="F509" s="2" t="s">
        <v>3451</v>
      </c>
      <c r="G509" s="2">
        <v>21.66</v>
      </c>
      <c r="H509" s="2" t="s">
        <v>36</v>
      </c>
      <c r="I509" s="2" t="s">
        <v>3331</v>
      </c>
    </row>
    <row r="510" spans="1:9" x14ac:dyDescent="0.25">
      <c r="A510" s="2" t="s">
        <v>4225</v>
      </c>
      <c r="B510" s="2" t="s">
        <v>688</v>
      </c>
      <c r="C510" s="2" t="s">
        <v>3354</v>
      </c>
      <c r="D510" s="2" t="s">
        <v>3355</v>
      </c>
      <c r="E510" s="2" t="s">
        <v>65</v>
      </c>
      <c r="F510" s="2" t="s">
        <v>3356</v>
      </c>
      <c r="G510" s="2">
        <v>30.27</v>
      </c>
      <c r="H510" s="2" t="s">
        <v>37</v>
      </c>
      <c r="I510" s="2" t="s">
        <v>3331</v>
      </c>
    </row>
    <row r="511" spans="1:9" x14ac:dyDescent="0.25">
      <c r="A511" s="2" t="s">
        <v>4226</v>
      </c>
      <c r="B511" s="2" t="s">
        <v>2252</v>
      </c>
      <c r="C511" s="2" t="s">
        <v>3325</v>
      </c>
      <c r="D511" s="2" t="s">
        <v>3326</v>
      </c>
      <c r="E511" s="2" t="s">
        <v>3316</v>
      </c>
      <c r="F511" s="2" t="s">
        <v>4227</v>
      </c>
      <c r="G511" s="2">
        <v>489.36</v>
      </c>
      <c r="H511" s="2" t="s">
        <v>36</v>
      </c>
      <c r="I511" s="2" t="s">
        <v>3318</v>
      </c>
    </row>
    <row r="512" spans="1:9" x14ac:dyDescent="0.25">
      <c r="A512" s="2" t="s">
        <v>4228</v>
      </c>
      <c r="B512" s="2" t="s">
        <v>637</v>
      </c>
      <c r="C512" s="2" t="s">
        <v>3314</v>
      </c>
      <c r="D512" s="2" t="s">
        <v>3315</v>
      </c>
      <c r="E512" s="2" t="s">
        <v>65</v>
      </c>
      <c r="F512" s="2" t="s">
        <v>4229</v>
      </c>
      <c r="G512" s="2">
        <v>89.5</v>
      </c>
      <c r="H512" s="2" t="s">
        <v>37</v>
      </c>
      <c r="I512" s="2" t="s">
        <v>3365</v>
      </c>
    </row>
    <row r="513" spans="1:9" x14ac:dyDescent="0.25">
      <c r="A513" s="2" t="s">
        <v>4230</v>
      </c>
      <c r="B513" s="2" t="s">
        <v>374</v>
      </c>
      <c r="C513" s="2" t="s">
        <v>3341</v>
      </c>
      <c r="D513" s="2" t="s">
        <v>3342</v>
      </c>
      <c r="E513" s="2" t="s">
        <v>3316</v>
      </c>
      <c r="F513" s="2" t="s">
        <v>4231</v>
      </c>
      <c r="G513" s="2">
        <v>21.12</v>
      </c>
      <c r="H513" s="2" t="s">
        <v>37</v>
      </c>
      <c r="I513" s="2" t="s">
        <v>3334</v>
      </c>
    </row>
    <row r="514" spans="1:9" x14ac:dyDescent="0.25">
      <c r="A514" s="2" t="s">
        <v>4232</v>
      </c>
      <c r="B514" s="2" t="s">
        <v>3141</v>
      </c>
      <c r="C514" s="2" t="s">
        <v>3320</v>
      </c>
      <c r="D514" s="2" t="s">
        <v>3321</v>
      </c>
      <c r="E514" s="2" t="s">
        <v>65</v>
      </c>
      <c r="F514" s="2" t="s">
        <v>4082</v>
      </c>
      <c r="G514" s="2">
        <v>220.24</v>
      </c>
      <c r="H514" s="2" t="s">
        <v>37</v>
      </c>
      <c r="I514" s="2" t="s">
        <v>3370</v>
      </c>
    </row>
    <row r="515" spans="1:9" x14ac:dyDescent="0.25">
      <c r="A515" s="2" t="s">
        <v>4233</v>
      </c>
      <c r="B515" s="2" t="s">
        <v>1826</v>
      </c>
      <c r="C515" s="2" t="s">
        <v>3320</v>
      </c>
      <c r="D515" s="2" t="s">
        <v>3321</v>
      </c>
      <c r="E515" s="2" t="s">
        <v>65</v>
      </c>
      <c r="F515" s="2" t="s">
        <v>4234</v>
      </c>
      <c r="G515" s="2">
        <v>2017.33</v>
      </c>
      <c r="H515" s="2" t="s">
        <v>36</v>
      </c>
      <c r="I515" s="2" t="s">
        <v>3370</v>
      </c>
    </row>
    <row r="516" spans="1:9" x14ac:dyDescent="0.25">
      <c r="A516" s="2" t="s">
        <v>4235</v>
      </c>
      <c r="B516" s="2" t="s">
        <v>1688</v>
      </c>
      <c r="C516" s="2" t="s">
        <v>3367</v>
      </c>
      <c r="D516" s="2" t="s">
        <v>3368</v>
      </c>
      <c r="E516" s="2" t="s">
        <v>65</v>
      </c>
      <c r="F516" s="2" t="s">
        <v>4236</v>
      </c>
      <c r="G516" s="2">
        <v>153.33000000000001</v>
      </c>
      <c r="H516" s="2" t="s">
        <v>37</v>
      </c>
      <c r="I516" s="2" t="s">
        <v>3370</v>
      </c>
    </row>
    <row r="517" spans="1:9" x14ac:dyDescent="0.25">
      <c r="A517" s="2" t="s">
        <v>4237</v>
      </c>
      <c r="B517" s="2" t="s">
        <v>1767</v>
      </c>
      <c r="C517" s="2" t="s">
        <v>3325</v>
      </c>
      <c r="D517" s="2" t="s">
        <v>3326</v>
      </c>
      <c r="E517" s="2" t="s">
        <v>4</v>
      </c>
      <c r="F517" s="2" t="s">
        <v>1128</v>
      </c>
      <c r="G517" s="2">
        <v>239.6</v>
      </c>
      <c r="H517" s="2" t="s">
        <v>37</v>
      </c>
      <c r="I517" s="2" t="s">
        <v>3318</v>
      </c>
    </row>
    <row r="518" spans="1:9" x14ac:dyDescent="0.25">
      <c r="A518" s="2" t="s">
        <v>4238</v>
      </c>
      <c r="B518" s="2" t="s">
        <v>203</v>
      </c>
      <c r="C518" s="2" t="s">
        <v>3314</v>
      </c>
      <c r="D518" s="2" t="s">
        <v>3315</v>
      </c>
      <c r="E518" s="2" t="s">
        <v>3316</v>
      </c>
      <c r="F518" s="2" t="s">
        <v>4239</v>
      </c>
      <c r="G518" s="2">
        <v>27.14</v>
      </c>
      <c r="H518" s="2" t="s">
        <v>37</v>
      </c>
      <c r="I518" s="2" t="s">
        <v>3334</v>
      </c>
    </row>
    <row r="519" spans="1:9" x14ac:dyDescent="0.25">
      <c r="A519" s="2" t="s">
        <v>4240</v>
      </c>
      <c r="B519" s="2" t="s">
        <v>2580</v>
      </c>
      <c r="C519" s="2" t="s">
        <v>3341</v>
      </c>
      <c r="D519" s="2" t="s">
        <v>3342</v>
      </c>
      <c r="E519" s="2" t="s">
        <v>3316</v>
      </c>
      <c r="F519" s="2" t="s">
        <v>4236</v>
      </c>
      <c r="G519" s="2">
        <v>90.76</v>
      </c>
      <c r="H519" s="2" t="s">
        <v>37</v>
      </c>
      <c r="I519" s="2" t="s">
        <v>3318</v>
      </c>
    </row>
    <row r="520" spans="1:9" x14ac:dyDescent="0.25">
      <c r="A520" s="2" t="s">
        <v>4241</v>
      </c>
      <c r="B520" s="2"/>
      <c r="C520" s="2" t="s">
        <v>3354</v>
      </c>
      <c r="D520" s="2" t="s">
        <v>3355</v>
      </c>
      <c r="E520" s="2" t="s">
        <v>4</v>
      </c>
      <c r="F520" s="2" t="s">
        <v>3356</v>
      </c>
      <c r="G520" s="2">
        <v>20.53</v>
      </c>
      <c r="H520" s="2" t="s">
        <v>37</v>
      </c>
      <c r="I520" s="2" t="s">
        <v>3318</v>
      </c>
    </row>
    <row r="521" spans="1:9" x14ac:dyDescent="0.25">
      <c r="A521" s="2" t="s">
        <v>4242</v>
      </c>
      <c r="B521" s="2" t="s">
        <v>1470</v>
      </c>
      <c r="C521" s="2" t="s">
        <v>3367</v>
      </c>
      <c r="D521" s="2" t="s">
        <v>3368</v>
      </c>
      <c r="E521" s="2" t="s">
        <v>4</v>
      </c>
      <c r="F521" s="2" t="s">
        <v>4243</v>
      </c>
      <c r="G521" s="2">
        <v>39.200000000000003</v>
      </c>
      <c r="H521" s="2" t="s">
        <v>36</v>
      </c>
      <c r="I521" s="2" t="s">
        <v>3385</v>
      </c>
    </row>
    <row r="522" spans="1:9" x14ac:dyDescent="0.25">
      <c r="A522" s="2" t="s">
        <v>4244</v>
      </c>
      <c r="B522" s="2" t="s">
        <v>2240</v>
      </c>
      <c r="C522" s="2" t="s">
        <v>3336</v>
      </c>
      <c r="D522" s="2" t="s">
        <v>3337</v>
      </c>
      <c r="E522" s="2" t="s">
        <v>3316</v>
      </c>
      <c r="F522" s="2" t="s">
        <v>3995</v>
      </c>
      <c r="G522" s="2">
        <v>177.99</v>
      </c>
      <c r="H522" s="2" t="s">
        <v>37</v>
      </c>
      <c r="I522" s="2" t="s">
        <v>3323</v>
      </c>
    </row>
    <row r="523" spans="1:9" x14ac:dyDescent="0.25">
      <c r="A523" s="2" t="s">
        <v>4245</v>
      </c>
      <c r="B523" s="2" t="s">
        <v>637</v>
      </c>
      <c r="C523" s="2" t="s">
        <v>3403</v>
      </c>
      <c r="D523" s="2" t="s">
        <v>3404</v>
      </c>
      <c r="E523" s="2" t="s">
        <v>4</v>
      </c>
      <c r="F523" s="2" t="s">
        <v>3719</v>
      </c>
      <c r="G523" s="2">
        <v>40.369999999999997</v>
      </c>
      <c r="H523" s="2" t="s">
        <v>36</v>
      </c>
      <c r="I523" s="2" t="s">
        <v>3331</v>
      </c>
    </row>
    <row r="524" spans="1:9" x14ac:dyDescent="0.25">
      <c r="A524" s="2" t="s">
        <v>4246</v>
      </c>
      <c r="B524" s="2"/>
      <c r="C524" s="2" t="s">
        <v>3314</v>
      </c>
      <c r="D524" s="2" t="s">
        <v>3315</v>
      </c>
      <c r="E524" s="2" t="s">
        <v>3345</v>
      </c>
      <c r="F524" s="2" t="s">
        <v>4247</v>
      </c>
      <c r="G524" s="2">
        <v>171.29</v>
      </c>
      <c r="H524" s="2" t="s">
        <v>36</v>
      </c>
      <c r="I524" s="2" t="s">
        <v>3328</v>
      </c>
    </row>
    <row r="525" spans="1:9" x14ac:dyDescent="0.25">
      <c r="A525" s="2" t="s">
        <v>4248</v>
      </c>
      <c r="B525" s="2" t="s">
        <v>1322</v>
      </c>
      <c r="C525" s="2" t="s">
        <v>3367</v>
      </c>
      <c r="D525" s="2" t="s">
        <v>3368</v>
      </c>
      <c r="E525" s="2" t="s">
        <v>65</v>
      </c>
      <c r="F525" s="2" t="s">
        <v>4249</v>
      </c>
      <c r="G525" s="2">
        <v>57.33</v>
      </c>
      <c r="H525" s="2" t="s">
        <v>36</v>
      </c>
      <c r="I525" s="2" t="s">
        <v>3370</v>
      </c>
    </row>
    <row r="526" spans="1:9" x14ac:dyDescent="0.25">
      <c r="A526" s="2" t="s">
        <v>4250</v>
      </c>
      <c r="B526" s="2" t="s">
        <v>1726</v>
      </c>
      <c r="C526" s="2" t="s">
        <v>3354</v>
      </c>
      <c r="D526" s="2" t="s">
        <v>3355</v>
      </c>
      <c r="E526" s="2" t="s">
        <v>65</v>
      </c>
      <c r="F526" s="2" t="s">
        <v>3623</v>
      </c>
      <c r="G526" s="2">
        <v>82.56</v>
      </c>
      <c r="H526" s="2" t="s">
        <v>36</v>
      </c>
      <c r="I526" s="2" t="s">
        <v>3323</v>
      </c>
    </row>
    <row r="527" spans="1:9" x14ac:dyDescent="0.25">
      <c r="A527" s="2" t="s">
        <v>4251</v>
      </c>
      <c r="B527" s="2" t="s">
        <v>1505</v>
      </c>
      <c r="C527" s="2" t="s">
        <v>3362</v>
      </c>
      <c r="D527" s="2" t="s">
        <v>3363</v>
      </c>
      <c r="E527" s="2" t="s">
        <v>65</v>
      </c>
      <c r="F527" s="2" t="s">
        <v>4252</v>
      </c>
      <c r="G527" s="2">
        <v>20.440000000000001</v>
      </c>
      <c r="H527" s="2" t="s">
        <v>36</v>
      </c>
      <c r="I527" s="2" t="s">
        <v>3385</v>
      </c>
    </row>
    <row r="528" spans="1:9" x14ac:dyDescent="0.25">
      <c r="A528" s="2" t="s">
        <v>4253</v>
      </c>
      <c r="B528" s="2" t="s">
        <v>2525</v>
      </c>
      <c r="C528" s="2" t="s">
        <v>3367</v>
      </c>
      <c r="D528" s="2" t="s">
        <v>3368</v>
      </c>
      <c r="E528" s="2" t="s">
        <v>65</v>
      </c>
      <c r="F528" s="2" t="s">
        <v>3585</v>
      </c>
      <c r="G528" s="2">
        <v>2629.69</v>
      </c>
      <c r="H528" s="2" t="s">
        <v>37</v>
      </c>
      <c r="I528" s="2" t="s">
        <v>3318</v>
      </c>
    </row>
    <row r="529" spans="1:9" x14ac:dyDescent="0.25">
      <c r="A529" s="2" t="s">
        <v>4254</v>
      </c>
      <c r="B529" s="2" t="s">
        <v>2917</v>
      </c>
      <c r="C529" s="2" t="s">
        <v>3336</v>
      </c>
      <c r="D529" s="2" t="s">
        <v>3337</v>
      </c>
      <c r="E529" s="2" t="s">
        <v>3338</v>
      </c>
      <c r="F529" s="2" t="s">
        <v>3558</v>
      </c>
      <c r="G529" s="2">
        <v>46.06</v>
      </c>
      <c r="H529" s="2" t="s">
        <v>36</v>
      </c>
      <c r="I529" s="2" t="s">
        <v>3323</v>
      </c>
    </row>
    <row r="530" spans="1:9" x14ac:dyDescent="0.25">
      <c r="A530" s="2" t="s">
        <v>4255</v>
      </c>
      <c r="B530" s="2" t="s">
        <v>2321</v>
      </c>
      <c r="C530" s="2" t="s">
        <v>3367</v>
      </c>
      <c r="D530" s="2" t="s">
        <v>3368</v>
      </c>
      <c r="E530" s="2" t="s">
        <v>4</v>
      </c>
      <c r="F530" s="2" t="s">
        <v>4256</v>
      </c>
      <c r="G530" s="2">
        <v>4310.6400000000003</v>
      </c>
      <c r="H530" s="2" t="s">
        <v>37</v>
      </c>
      <c r="I530" s="2" t="s">
        <v>3328</v>
      </c>
    </row>
    <row r="531" spans="1:9" x14ac:dyDescent="0.25">
      <c r="A531" s="2" t="s">
        <v>4257</v>
      </c>
      <c r="B531" s="2" t="s">
        <v>1020</v>
      </c>
      <c r="C531" s="2" t="s">
        <v>3354</v>
      </c>
      <c r="D531" s="2" t="s">
        <v>3355</v>
      </c>
      <c r="E531" s="2" t="s">
        <v>65</v>
      </c>
      <c r="F531" s="2" t="s">
        <v>3522</v>
      </c>
      <c r="G531" s="2">
        <v>1635.14</v>
      </c>
      <c r="H531" s="2" t="s">
        <v>36</v>
      </c>
      <c r="I531" s="2" t="s">
        <v>3323</v>
      </c>
    </row>
    <row r="532" spans="1:9" x14ac:dyDescent="0.25">
      <c r="A532" s="2" t="s">
        <v>4258</v>
      </c>
      <c r="B532" s="2" t="s">
        <v>1538</v>
      </c>
      <c r="C532" s="2" t="s">
        <v>3362</v>
      </c>
      <c r="D532" s="2" t="s">
        <v>3363</v>
      </c>
      <c r="E532" s="2" t="s">
        <v>65</v>
      </c>
      <c r="F532" s="2" t="s">
        <v>4102</v>
      </c>
      <c r="G532" s="2">
        <v>28.65</v>
      </c>
      <c r="H532" s="2" t="s">
        <v>36</v>
      </c>
      <c r="I532" s="2" t="s">
        <v>3334</v>
      </c>
    </row>
    <row r="533" spans="1:9" x14ac:dyDescent="0.25">
      <c r="A533" s="2" t="s">
        <v>4259</v>
      </c>
      <c r="B533" s="2" t="s">
        <v>2399</v>
      </c>
      <c r="C533" s="2" t="s">
        <v>3325</v>
      </c>
      <c r="D533" s="2" t="s">
        <v>3326</v>
      </c>
      <c r="E533" s="2" t="s">
        <v>3338</v>
      </c>
      <c r="F533" s="2" t="s">
        <v>3516</v>
      </c>
      <c r="G533" s="2">
        <v>179.78</v>
      </c>
      <c r="H533" s="2" t="s">
        <v>37</v>
      </c>
      <c r="I533" s="2" t="s">
        <v>3385</v>
      </c>
    </row>
    <row r="534" spans="1:9" x14ac:dyDescent="0.25">
      <c r="A534" s="2" t="s">
        <v>4260</v>
      </c>
      <c r="B534" s="2" t="s">
        <v>2686</v>
      </c>
      <c r="C534" s="2" t="s">
        <v>3427</v>
      </c>
      <c r="D534" s="2" t="s">
        <v>3428</v>
      </c>
      <c r="E534" s="2" t="s">
        <v>65</v>
      </c>
      <c r="F534" s="2" t="s">
        <v>3681</v>
      </c>
      <c r="G534" s="2">
        <v>8.67</v>
      </c>
      <c r="H534" s="2" t="s">
        <v>37</v>
      </c>
      <c r="I534" s="2" t="s">
        <v>3385</v>
      </c>
    </row>
    <row r="535" spans="1:9" x14ac:dyDescent="0.25">
      <c r="A535" s="2" t="s">
        <v>4261</v>
      </c>
      <c r="B535" s="2" t="s">
        <v>2451</v>
      </c>
      <c r="C535" s="2" t="s">
        <v>3325</v>
      </c>
      <c r="D535" s="2" t="s">
        <v>3326</v>
      </c>
      <c r="E535" s="2" t="s">
        <v>4</v>
      </c>
      <c r="F535" s="2" t="s">
        <v>4262</v>
      </c>
      <c r="G535" s="2">
        <v>16.25</v>
      </c>
      <c r="H535" s="2" t="s">
        <v>36</v>
      </c>
      <c r="I535" s="2" t="s">
        <v>3331</v>
      </c>
    </row>
    <row r="536" spans="1:9" x14ac:dyDescent="0.25">
      <c r="A536" s="2" t="s">
        <v>4263</v>
      </c>
      <c r="B536" s="2" t="s">
        <v>2479</v>
      </c>
      <c r="C536" s="2" t="s">
        <v>3325</v>
      </c>
      <c r="D536" s="2" t="s">
        <v>3326</v>
      </c>
      <c r="E536" s="2" t="s">
        <v>3316</v>
      </c>
      <c r="F536" s="2" t="s">
        <v>4264</v>
      </c>
      <c r="G536" s="2">
        <v>12.39</v>
      </c>
      <c r="H536" s="2" t="s">
        <v>36</v>
      </c>
      <c r="I536" s="2" t="s">
        <v>3334</v>
      </c>
    </row>
    <row r="537" spans="1:9" x14ac:dyDescent="0.25">
      <c r="A537" s="2" t="s">
        <v>4265</v>
      </c>
      <c r="B537" s="2" t="s">
        <v>1625</v>
      </c>
      <c r="C537" s="2" t="s">
        <v>3367</v>
      </c>
      <c r="D537" s="2" t="s">
        <v>3368</v>
      </c>
      <c r="E537" s="2" t="s">
        <v>4</v>
      </c>
      <c r="F537" s="2" t="s">
        <v>4266</v>
      </c>
      <c r="G537" s="2">
        <v>91.23</v>
      </c>
      <c r="H537" s="2" t="s">
        <v>37</v>
      </c>
      <c r="I537" s="2" t="s">
        <v>3334</v>
      </c>
    </row>
    <row r="538" spans="1:9" x14ac:dyDescent="0.25">
      <c r="A538" s="2" t="s">
        <v>4267</v>
      </c>
      <c r="B538" s="2" t="s">
        <v>441</v>
      </c>
      <c r="C538" s="2" t="s">
        <v>3325</v>
      </c>
      <c r="D538" s="2" t="s">
        <v>3326</v>
      </c>
      <c r="E538" s="2" t="s">
        <v>4</v>
      </c>
      <c r="F538" s="2" t="s">
        <v>4268</v>
      </c>
      <c r="G538" s="2">
        <v>29.69</v>
      </c>
      <c r="H538" s="2" t="s">
        <v>36</v>
      </c>
      <c r="I538" s="2" t="s">
        <v>3318</v>
      </c>
    </row>
    <row r="539" spans="1:9" x14ac:dyDescent="0.25">
      <c r="A539" s="2" t="s">
        <v>4269</v>
      </c>
      <c r="B539" s="2" t="s">
        <v>3015</v>
      </c>
      <c r="C539" s="2" t="s">
        <v>3362</v>
      </c>
      <c r="D539" s="2" t="s">
        <v>3363</v>
      </c>
      <c r="E539" s="2" t="s">
        <v>65</v>
      </c>
      <c r="F539" s="2" t="s">
        <v>4252</v>
      </c>
      <c r="G539" s="2">
        <v>110.51</v>
      </c>
      <c r="H539" s="2" t="s">
        <v>37</v>
      </c>
      <c r="I539" s="2" t="s">
        <v>3334</v>
      </c>
    </row>
    <row r="540" spans="1:9" x14ac:dyDescent="0.25">
      <c r="A540" s="2" t="s">
        <v>4270</v>
      </c>
      <c r="B540" s="2" t="s">
        <v>1796</v>
      </c>
      <c r="C540" s="2" t="s">
        <v>3325</v>
      </c>
      <c r="D540" s="2" t="s">
        <v>3326</v>
      </c>
      <c r="E540" s="2" t="s">
        <v>3338</v>
      </c>
      <c r="F540" s="2" t="s">
        <v>4271</v>
      </c>
      <c r="G540" s="2">
        <v>48.31</v>
      </c>
      <c r="H540" s="2" t="s">
        <v>36</v>
      </c>
      <c r="I540" s="2" t="s">
        <v>3370</v>
      </c>
    </row>
    <row r="541" spans="1:9" x14ac:dyDescent="0.25">
      <c r="A541" s="2" t="s">
        <v>4272</v>
      </c>
      <c r="B541" s="2" t="s">
        <v>106</v>
      </c>
      <c r="C541" s="2" t="s">
        <v>3403</v>
      </c>
      <c r="D541" s="2" t="s">
        <v>3404</v>
      </c>
      <c r="E541" s="2" t="s">
        <v>3316</v>
      </c>
      <c r="F541" s="2" t="s">
        <v>4273</v>
      </c>
      <c r="G541" s="2">
        <v>15.99</v>
      </c>
      <c r="H541" s="2" t="s">
        <v>36</v>
      </c>
      <c r="I541" s="2" t="s">
        <v>3370</v>
      </c>
    </row>
    <row r="542" spans="1:9" x14ac:dyDescent="0.25">
      <c r="A542" s="2" t="s">
        <v>4274</v>
      </c>
      <c r="B542" s="2" t="s">
        <v>688</v>
      </c>
      <c r="C542" s="2" t="s">
        <v>3341</v>
      </c>
      <c r="D542" s="2" t="s">
        <v>3342</v>
      </c>
      <c r="E542" s="2" t="s">
        <v>91</v>
      </c>
      <c r="F542" s="2" t="s">
        <v>4275</v>
      </c>
      <c r="G542" s="2">
        <v>9.69</v>
      </c>
      <c r="H542" s="2" t="s">
        <v>37</v>
      </c>
      <c r="I542" s="2" t="s">
        <v>3328</v>
      </c>
    </row>
    <row r="543" spans="1:9" x14ac:dyDescent="0.25">
      <c r="A543" s="2" t="s">
        <v>4276</v>
      </c>
      <c r="B543" s="2" t="s">
        <v>2538</v>
      </c>
      <c r="C543" s="2" t="s">
        <v>3325</v>
      </c>
      <c r="D543" s="2" t="s">
        <v>3326</v>
      </c>
      <c r="E543" s="2" t="s">
        <v>65</v>
      </c>
      <c r="F543" s="2" t="s">
        <v>4277</v>
      </c>
      <c r="G543" s="2">
        <v>74.28</v>
      </c>
      <c r="H543" s="2" t="s">
        <v>37</v>
      </c>
      <c r="I543" s="2" t="s">
        <v>3334</v>
      </c>
    </row>
    <row r="544" spans="1:9" x14ac:dyDescent="0.25">
      <c r="A544" s="2" t="s">
        <v>4278</v>
      </c>
      <c r="B544" s="2" t="s">
        <v>1903</v>
      </c>
      <c r="C544" s="2" t="s">
        <v>3367</v>
      </c>
      <c r="D544" s="2" t="s">
        <v>3368</v>
      </c>
      <c r="E544" s="2" t="s">
        <v>65</v>
      </c>
      <c r="F544" s="2" t="s">
        <v>4279</v>
      </c>
      <c r="G544" s="2">
        <v>24.71</v>
      </c>
      <c r="H544" s="2" t="s">
        <v>37</v>
      </c>
      <c r="I544" s="2" t="s">
        <v>3370</v>
      </c>
    </row>
    <row r="545" spans="1:9" x14ac:dyDescent="0.25">
      <c r="A545" s="2" t="s">
        <v>4280</v>
      </c>
      <c r="B545" s="2" t="s">
        <v>2124</v>
      </c>
      <c r="C545" s="2" t="s">
        <v>3320</v>
      </c>
      <c r="D545" s="2" t="s">
        <v>3321</v>
      </c>
      <c r="E545" s="2" t="s">
        <v>65</v>
      </c>
      <c r="F545" s="2" t="s">
        <v>4281</v>
      </c>
      <c r="G545" s="2">
        <v>288.33999999999997</v>
      </c>
      <c r="H545" s="2" t="s">
        <v>36</v>
      </c>
      <c r="I545" s="2" t="s">
        <v>3370</v>
      </c>
    </row>
    <row r="546" spans="1:9" x14ac:dyDescent="0.25">
      <c r="A546" s="2" t="s">
        <v>4282</v>
      </c>
      <c r="B546" s="2" t="s">
        <v>282</v>
      </c>
      <c r="C546" s="2" t="s">
        <v>3427</v>
      </c>
      <c r="D546" s="2" t="s">
        <v>3428</v>
      </c>
      <c r="E546" s="2" t="s">
        <v>65</v>
      </c>
      <c r="F546" s="2" t="s">
        <v>3478</v>
      </c>
      <c r="G546" s="2">
        <v>233.87</v>
      </c>
      <c r="H546" s="2" t="s">
        <v>37</v>
      </c>
      <c r="I546" s="2" t="s">
        <v>3334</v>
      </c>
    </row>
    <row r="547" spans="1:9" x14ac:dyDescent="0.25">
      <c r="A547" s="2" t="s">
        <v>4283</v>
      </c>
      <c r="B547" s="2" t="s">
        <v>2987</v>
      </c>
      <c r="C547" s="2" t="s">
        <v>3362</v>
      </c>
      <c r="D547" s="2" t="s">
        <v>3363</v>
      </c>
      <c r="E547" s="2" t="s">
        <v>65</v>
      </c>
      <c r="F547" s="2" t="s">
        <v>4284</v>
      </c>
      <c r="G547" s="2">
        <v>29.92</v>
      </c>
      <c r="H547" s="2" t="s">
        <v>36</v>
      </c>
      <c r="I547" s="2" t="s">
        <v>3370</v>
      </c>
    </row>
    <row r="548" spans="1:9" x14ac:dyDescent="0.25">
      <c r="A548" s="2" t="s">
        <v>4285</v>
      </c>
      <c r="B548" s="2" t="s">
        <v>3217</v>
      </c>
      <c r="C548" s="2" t="s">
        <v>3320</v>
      </c>
      <c r="D548" s="2" t="s">
        <v>3321</v>
      </c>
      <c r="E548" s="2" t="s">
        <v>65</v>
      </c>
      <c r="F548" s="2" t="s">
        <v>4286</v>
      </c>
      <c r="G548" s="2">
        <v>1903.44</v>
      </c>
      <c r="H548" s="2" t="s">
        <v>36</v>
      </c>
      <c r="I548" s="2" t="s">
        <v>3370</v>
      </c>
    </row>
    <row r="549" spans="1:9" x14ac:dyDescent="0.25">
      <c r="A549" s="2" t="s">
        <v>4287</v>
      </c>
      <c r="B549" s="2" t="s">
        <v>3290</v>
      </c>
      <c r="C549" s="2" t="s">
        <v>3320</v>
      </c>
      <c r="D549" s="2" t="s">
        <v>3321</v>
      </c>
      <c r="E549" s="2" t="s">
        <v>65</v>
      </c>
      <c r="F549" s="2" t="s">
        <v>4288</v>
      </c>
      <c r="G549" s="2">
        <v>33.36</v>
      </c>
      <c r="H549" s="2" t="s">
        <v>37</v>
      </c>
      <c r="I549" s="2" t="s">
        <v>3318</v>
      </c>
    </row>
    <row r="550" spans="1:9" x14ac:dyDescent="0.25">
      <c r="A550" s="2" t="s">
        <v>4289</v>
      </c>
      <c r="B550" s="2" t="s">
        <v>1969</v>
      </c>
      <c r="C550" s="2" t="s">
        <v>3427</v>
      </c>
      <c r="D550" s="2" t="s">
        <v>3428</v>
      </c>
      <c r="E550" s="2" t="s">
        <v>4</v>
      </c>
      <c r="F550" s="2" t="s">
        <v>3698</v>
      </c>
      <c r="G550" s="2">
        <v>3530.56</v>
      </c>
      <c r="H550" s="2" t="s">
        <v>36</v>
      </c>
      <c r="I550" s="2" t="s">
        <v>3334</v>
      </c>
    </row>
    <row r="551" spans="1:9" x14ac:dyDescent="0.25">
      <c r="A551" s="2" t="s">
        <v>4290</v>
      </c>
      <c r="B551" s="2"/>
      <c r="C551" s="2" t="s">
        <v>3403</v>
      </c>
      <c r="D551" s="2" t="s">
        <v>3404</v>
      </c>
      <c r="E551" s="2" t="s">
        <v>65</v>
      </c>
      <c r="F551" s="2" t="s">
        <v>3940</v>
      </c>
      <c r="G551" s="2">
        <v>142.94999999999999</v>
      </c>
      <c r="H551" s="2" t="s">
        <v>37</v>
      </c>
      <c r="I551" s="2" t="s">
        <v>3385</v>
      </c>
    </row>
    <row r="552" spans="1:9" x14ac:dyDescent="0.25">
      <c r="A552" s="2" t="s">
        <v>4291</v>
      </c>
      <c r="B552" s="2" t="s">
        <v>1153</v>
      </c>
      <c r="C552" s="2" t="s">
        <v>3427</v>
      </c>
      <c r="D552" s="2" t="s">
        <v>3428</v>
      </c>
      <c r="E552" s="2" t="s">
        <v>4</v>
      </c>
      <c r="F552" s="2" t="s">
        <v>3478</v>
      </c>
      <c r="G552" s="2">
        <v>17.32</v>
      </c>
      <c r="H552" s="2" t="s">
        <v>37</v>
      </c>
      <c r="I552" s="2" t="s">
        <v>3323</v>
      </c>
    </row>
    <row r="553" spans="1:9" x14ac:dyDescent="0.25">
      <c r="A553" s="2" t="s">
        <v>4292</v>
      </c>
      <c r="B553" s="2" t="s">
        <v>1526</v>
      </c>
      <c r="C553" s="2" t="s">
        <v>3427</v>
      </c>
      <c r="D553" s="2" t="s">
        <v>3428</v>
      </c>
      <c r="E553" s="2" t="s">
        <v>65</v>
      </c>
      <c r="F553" s="2" t="s">
        <v>3429</v>
      </c>
      <c r="G553" s="2">
        <v>81.540000000000006</v>
      </c>
      <c r="H553" s="2" t="s">
        <v>36</v>
      </c>
      <c r="I553" s="2" t="s">
        <v>3323</v>
      </c>
    </row>
    <row r="554" spans="1:9" x14ac:dyDescent="0.25">
      <c r="A554" s="2" t="s">
        <v>4293</v>
      </c>
      <c r="B554" s="2" t="s">
        <v>272</v>
      </c>
      <c r="C554" s="2" t="s">
        <v>3320</v>
      </c>
      <c r="D554" s="2" t="s">
        <v>3321</v>
      </c>
      <c r="E554" s="2" t="s">
        <v>4</v>
      </c>
      <c r="F554" s="2" t="s">
        <v>4294</v>
      </c>
      <c r="G554" s="2">
        <v>6.73</v>
      </c>
      <c r="H554" s="2" t="s">
        <v>36</v>
      </c>
      <c r="I554" s="2" t="s">
        <v>3331</v>
      </c>
    </row>
    <row r="555" spans="1:9" x14ac:dyDescent="0.25">
      <c r="A555" s="2" t="s">
        <v>4295</v>
      </c>
      <c r="B555" s="2" t="s">
        <v>3159</v>
      </c>
      <c r="C555" s="2" t="s">
        <v>3427</v>
      </c>
      <c r="D555" s="2" t="s">
        <v>3428</v>
      </c>
      <c r="E555" s="2" t="s">
        <v>65</v>
      </c>
      <c r="F555" s="2" t="s">
        <v>3681</v>
      </c>
      <c r="G555" s="2">
        <v>4950.67</v>
      </c>
      <c r="H555" s="2" t="s">
        <v>36</v>
      </c>
      <c r="I555" s="2" t="s">
        <v>3328</v>
      </c>
    </row>
    <row r="556" spans="1:9" x14ac:dyDescent="0.25">
      <c r="A556" s="2" t="s">
        <v>4296</v>
      </c>
      <c r="B556" s="2" t="s">
        <v>1526</v>
      </c>
      <c r="C556" s="2" t="s">
        <v>3341</v>
      </c>
      <c r="D556" s="2" t="s">
        <v>3342</v>
      </c>
      <c r="E556" s="2" t="s">
        <v>4</v>
      </c>
      <c r="F556" s="2" t="s">
        <v>4297</v>
      </c>
      <c r="G556" s="2">
        <v>24.43</v>
      </c>
      <c r="H556" s="2" t="s">
        <v>37</v>
      </c>
      <c r="I556" s="2" t="s">
        <v>3370</v>
      </c>
    </row>
    <row r="557" spans="1:9" x14ac:dyDescent="0.25">
      <c r="A557" s="2" t="s">
        <v>4298</v>
      </c>
      <c r="B557" s="2" t="s">
        <v>1550</v>
      </c>
      <c r="C557" s="2" t="s">
        <v>3325</v>
      </c>
      <c r="D557" s="2" t="s">
        <v>3326</v>
      </c>
      <c r="E557" s="2" t="s">
        <v>3338</v>
      </c>
      <c r="F557" s="2" t="s">
        <v>4299</v>
      </c>
      <c r="G557" s="2">
        <v>3571.71</v>
      </c>
      <c r="H557" s="2" t="s">
        <v>36</v>
      </c>
      <c r="I557" s="2" t="s">
        <v>3334</v>
      </c>
    </row>
    <row r="558" spans="1:9" x14ac:dyDescent="0.25">
      <c r="A558" s="2" t="s">
        <v>4300</v>
      </c>
      <c r="B558" s="2" t="s">
        <v>3106</v>
      </c>
      <c r="C558" s="2" t="s">
        <v>3354</v>
      </c>
      <c r="D558" s="2" t="s">
        <v>3355</v>
      </c>
      <c r="E558" s="2" t="s">
        <v>4</v>
      </c>
      <c r="F558" s="2" t="s">
        <v>3522</v>
      </c>
      <c r="G558" s="2">
        <v>298.57</v>
      </c>
      <c r="H558" s="2" t="s">
        <v>37</v>
      </c>
      <c r="I558" s="2" t="s">
        <v>3331</v>
      </c>
    </row>
    <row r="559" spans="1:9" x14ac:dyDescent="0.25">
      <c r="A559" s="2" t="s">
        <v>4301</v>
      </c>
      <c r="B559" s="2" t="s">
        <v>1643</v>
      </c>
      <c r="C559" s="2" t="s">
        <v>3354</v>
      </c>
      <c r="D559" s="2" t="s">
        <v>3355</v>
      </c>
      <c r="E559" s="2" t="s">
        <v>65</v>
      </c>
      <c r="F559" s="2" t="s">
        <v>3425</v>
      </c>
      <c r="G559" s="2">
        <v>4793.99</v>
      </c>
      <c r="H559" s="2" t="s">
        <v>36</v>
      </c>
      <c r="I559" s="2" t="s">
        <v>3334</v>
      </c>
    </row>
    <row r="560" spans="1:9" x14ac:dyDescent="0.25">
      <c r="A560" s="2" t="s">
        <v>4302</v>
      </c>
      <c r="B560" s="2" t="s">
        <v>2638</v>
      </c>
      <c r="C560" s="2" t="s">
        <v>3314</v>
      </c>
      <c r="D560" s="2" t="s">
        <v>3315</v>
      </c>
      <c r="E560" s="2" t="s">
        <v>3316</v>
      </c>
      <c r="F560" s="2" t="s">
        <v>4303</v>
      </c>
      <c r="G560" s="2">
        <v>276.51</v>
      </c>
      <c r="H560" s="2" t="s">
        <v>36</v>
      </c>
      <c r="I560" s="2" t="s">
        <v>3328</v>
      </c>
    </row>
    <row r="561" spans="1:9" x14ac:dyDescent="0.25">
      <c r="A561" s="2" t="s">
        <v>4304</v>
      </c>
      <c r="B561" s="2" t="s">
        <v>1511</v>
      </c>
      <c r="C561" s="2" t="s">
        <v>3314</v>
      </c>
      <c r="D561" s="2" t="s">
        <v>3315</v>
      </c>
      <c r="E561" s="2" t="s">
        <v>33</v>
      </c>
      <c r="F561" s="2" t="s">
        <v>4305</v>
      </c>
      <c r="G561" s="2">
        <v>65.23</v>
      </c>
      <c r="H561" s="2" t="s">
        <v>37</v>
      </c>
      <c r="I561" s="2" t="s">
        <v>3334</v>
      </c>
    </row>
    <row r="562" spans="1:9" x14ac:dyDescent="0.25">
      <c r="A562" s="2" t="s">
        <v>4306</v>
      </c>
      <c r="B562" s="2" t="s">
        <v>961</v>
      </c>
      <c r="C562" s="2" t="s">
        <v>3325</v>
      </c>
      <c r="D562" s="2" t="s">
        <v>3326</v>
      </c>
      <c r="E562" s="2" t="s">
        <v>65</v>
      </c>
      <c r="F562" s="2" t="s">
        <v>4307</v>
      </c>
      <c r="G562" s="2">
        <v>47.28</v>
      </c>
      <c r="H562" s="2" t="s">
        <v>36</v>
      </c>
      <c r="I562" s="2" t="s">
        <v>3331</v>
      </c>
    </row>
    <row r="563" spans="1:9" x14ac:dyDescent="0.25">
      <c r="A563" s="2" t="s">
        <v>4308</v>
      </c>
      <c r="B563" s="2" t="s">
        <v>2819</v>
      </c>
      <c r="C563" s="2" t="s">
        <v>3403</v>
      </c>
      <c r="D563" s="2" t="s">
        <v>3404</v>
      </c>
      <c r="E563" s="2" t="s">
        <v>3316</v>
      </c>
      <c r="F563" s="2" t="s">
        <v>862</v>
      </c>
      <c r="G563" s="2">
        <v>48.44</v>
      </c>
      <c r="H563" s="2" t="s">
        <v>37</v>
      </c>
      <c r="I563" s="2" t="s">
        <v>3385</v>
      </c>
    </row>
    <row r="564" spans="1:9" x14ac:dyDescent="0.25">
      <c r="A564" s="2" t="s">
        <v>4309</v>
      </c>
      <c r="B564" s="2" t="s">
        <v>1440</v>
      </c>
      <c r="C564" s="2" t="s">
        <v>3403</v>
      </c>
      <c r="D564" s="2" t="s">
        <v>3404</v>
      </c>
      <c r="E564" s="2" t="s">
        <v>65</v>
      </c>
      <c r="F564" s="2" t="s">
        <v>4310</v>
      </c>
      <c r="G564" s="2">
        <v>99.31</v>
      </c>
      <c r="H564" s="2" t="s">
        <v>37</v>
      </c>
      <c r="I564" s="2" t="s">
        <v>3323</v>
      </c>
    </row>
    <row r="565" spans="1:9" x14ac:dyDescent="0.25">
      <c r="A565" s="2" t="s">
        <v>4311</v>
      </c>
      <c r="B565" s="2" t="s">
        <v>1180</v>
      </c>
      <c r="C565" s="2" t="s">
        <v>3336</v>
      </c>
      <c r="D565" s="2" t="s">
        <v>3337</v>
      </c>
      <c r="E565" s="2" t="s">
        <v>4</v>
      </c>
      <c r="F565" s="2" t="s">
        <v>4312</v>
      </c>
      <c r="G565" s="2">
        <v>2844.71</v>
      </c>
      <c r="H565" s="2" t="s">
        <v>37</v>
      </c>
      <c r="I565" s="2" t="s">
        <v>3318</v>
      </c>
    </row>
    <row r="566" spans="1:9" x14ac:dyDescent="0.25">
      <c r="A566" s="2" t="s">
        <v>4313</v>
      </c>
      <c r="B566" s="2" t="s">
        <v>1814</v>
      </c>
      <c r="C566" s="2" t="s">
        <v>3403</v>
      </c>
      <c r="D566" s="2" t="s">
        <v>3404</v>
      </c>
      <c r="E566" s="2" t="s">
        <v>4</v>
      </c>
      <c r="F566" s="2" t="s">
        <v>4314</v>
      </c>
      <c r="G566" s="2">
        <v>22.66</v>
      </c>
      <c r="H566" s="2" t="s">
        <v>36</v>
      </c>
      <c r="I566" s="2" t="s">
        <v>3385</v>
      </c>
    </row>
    <row r="567" spans="1:9" x14ac:dyDescent="0.25">
      <c r="A567" s="2" t="s">
        <v>4315</v>
      </c>
      <c r="B567" s="2" t="s">
        <v>2970</v>
      </c>
      <c r="C567" s="2" t="s">
        <v>3325</v>
      </c>
      <c r="D567" s="2" t="s">
        <v>3326</v>
      </c>
      <c r="E567" s="2" t="s">
        <v>4</v>
      </c>
      <c r="F567" s="2" t="s">
        <v>4316</v>
      </c>
      <c r="G567" s="2">
        <v>5.19</v>
      </c>
      <c r="H567" s="2" t="s">
        <v>37</v>
      </c>
      <c r="I567" s="2" t="s">
        <v>3365</v>
      </c>
    </row>
    <row r="568" spans="1:9" x14ac:dyDescent="0.25">
      <c r="A568" s="2" t="s">
        <v>4317</v>
      </c>
      <c r="B568" s="2" t="s">
        <v>604</v>
      </c>
      <c r="C568" s="2" t="s">
        <v>3314</v>
      </c>
      <c r="D568" s="2" t="s">
        <v>3315</v>
      </c>
      <c r="E568" s="2" t="s">
        <v>65</v>
      </c>
      <c r="F568" s="2" t="s">
        <v>4318</v>
      </c>
      <c r="G568" s="2">
        <v>34.54</v>
      </c>
      <c r="H568" s="2" t="s">
        <v>36</v>
      </c>
      <c r="I568" s="2" t="s">
        <v>3318</v>
      </c>
    </row>
    <row r="569" spans="1:9" x14ac:dyDescent="0.25">
      <c r="A569" s="2" t="s">
        <v>4319</v>
      </c>
      <c r="B569" s="2" t="s">
        <v>223</v>
      </c>
      <c r="C569" s="2" t="s">
        <v>3409</v>
      </c>
      <c r="D569" s="2" t="s">
        <v>3326</v>
      </c>
      <c r="E569" s="2" t="s">
        <v>3316</v>
      </c>
      <c r="F569" s="2" t="s">
        <v>4320</v>
      </c>
      <c r="G569" s="2">
        <v>1657.14</v>
      </c>
      <c r="H569" s="2" t="s">
        <v>36</v>
      </c>
      <c r="I569" s="2" t="s">
        <v>3323</v>
      </c>
    </row>
    <row r="570" spans="1:9" x14ac:dyDescent="0.25">
      <c r="A570" s="2" t="s">
        <v>4321</v>
      </c>
      <c r="B570" s="2" t="s">
        <v>3037</v>
      </c>
      <c r="C570" s="2" t="s">
        <v>3427</v>
      </c>
      <c r="D570" s="2" t="s">
        <v>3428</v>
      </c>
      <c r="E570" s="2" t="s">
        <v>3458</v>
      </c>
      <c r="F570" s="2" t="s">
        <v>3471</v>
      </c>
      <c r="G570" s="2">
        <v>54.07</v>
      </c>
      <c r="H570" s="2" t="s">
        <v>36</v>
      </c>
      <c r="I570" s="2" t="s">
        <v>3323</v>
      </c>
    </row>
    <row r="571" spans="1:9" x14ac:dyDescent="0.25">
      <c r="A571" s="2" t="s">
        <v>4322</v>
      </c>
      <c r="B571" s="2" t="s">
        <v>2350</v>
      </c>
      <c r="C571" s="2" t="s">
        <v>4323</v>
      </c>
      <c r="D571" s="2" t="s">
        <v>3326</v>
      </c>
      <c r="E571" s="2" t="s">
        <v>3338</v>
      </c>
      <c r="F571" s="2" t="s">
        <v>3764</v>
      </c>
      <c r="G571" s="2">
        <v>-9.26</v>
      </c>
      <c r="H571" s="2" t="s">
        <v>37</v>
      </c>
      <c r="I571" s="2" t="s">
        <v>3323</v>
      </c>
    </row>
    <row r="572" spans="1:9" x14ac:dyDescent="0.25">
      <c r="A572" s="2" t="s">
        <v>4324</v>
      </c>
      <c r="B572" s="2" t="s">
        <v>939</v>
      </c>
      <c r="C572" s="2" t="s">
        <v>3320</v>
      </c>
      <c r="D572" s="2" t="s">
        <v>3321</v>
      </c>
      <c r="E572" s="2" t="s">
        <v>65</v>
      </c>
      <c r="F572" s="2" t="s">
        <v>4325</v>
      </c>
      <c r="G572" s="2">
        <v>22.87</v>
      </c>
      <c r="H572" s="2" t="s">
        <v>36</v>
      </c>
      <c r="I572" s="2" t="s">
        <v>3365</v>
      </c>
    </row>
    <row r="573" spans="1:9" x14ac:dyDescent="0.25">
      <c r="A573" s="2" t="s">
        <v>4326</v>
      </c>
      <c r="B573" s="2" t="s">
        <v>336</v>
      </c>
      <c r="C573" s="2" t="s">
        <v>3403</v>
      </c>
      <c r="D573" s="2" t="s">
        <v>3404</v>
      </c>
      <c r="E573" s="2" t="s">
        <v>3316</v>
      </c>
      <c r="F573" s="2" t="s">
        <v>3516</v>
      </c>
      <c r="G573" s="2">
        <v>98.53</v>
      </c>
      <c r="H573" s="2" t="s">
        <v>37</v>
      </c>
      <c r="I573" s="2" t="s">
        <v>3328</v>
      </c>
    </row>
    <row r="574" spans="1:9" x14ac:dyDescent="0.25">
      <c r="A574" s="2" t="s">
        <v>4327</v>
      </c>
      <c r="B574" s="2" t="s">
        <v>2508</v>
      </c>
      <c r="C574" s="2" t="s">
        <v>3341</v>
      </c>
      <c r="D574" s="2" t="s">
        <v>3342</v>
      </c>
      <c r="E574" s="2" t="s">
        <v>4</v>
      </c>
      <c r="F574" s="2" t="s">
        <v>4305</v>
      </c>
      <c r="G574" s="2">
        <v>38.31</v>
      </c>
      <c r="H574" s="2" t="s">
        <v>36</v>
      </c>
      <c r="I574" s="2" t="s">
        <v>3385</v>
      </c>
    </row>
    <row r="575" spans="1:9" x14ac:dyDescent="0.25">
      <c r="A575" s="2" t="s">
        <v>4328</v>
      </c>
      <c r="B575" s="2" t="s">
        <v>471</v>
      </c>
      <c r="C575" s="2" t="s">
        <v>3336</v>
      </c>
      <c r="D575" s="2" t="s">
        <v>3337</v>
      </c>
      <c r="E575" s="2" t="s">
        <v>4</v>
      </c>
      <c r="F575" s="2" t="s">
        <v>3364</v>
      </c>
      <c r="G575" s="2">
        <v>63.03</v>
      </c>
      <c r="H575" s="2" t="s">
        <v>36</v>
      </c>
      <c r="I575" s="2" t="s">
        <v>3323</v>
      </c>
    </row>
    <row r="576" spans="1:9" x14ac:dyDescent="0.25">
      <c r="A576" s="2" t="s">
        <v>4329</v>
      </c>
      <c r="B576" s="2" t="s">
        <v>1226</v>
      </c>
      <c r="C576" s="2" t="s">
        <v>3427</v>
      </c>
      <c r="D576" s="2" t="s">
        <v>3428</v>
      </c>
      <c r="E576" s="2" t="s">
        <v>65</v>
      </c>
      <c r="F576" s="2" t="s">
        <v>3681</v>
      </c>
      <c r="G576" s="2">
        <v>39.94</v>
      </c>
      <c r="H576" s="2" t="s">
        <v>37</v>
      </c>
      <c r="I576" s="2" t="s">
        <v>3385</v>
      </c>
    </row>
    <row r="577" spans="1:9" x14ac:dyDescent="0.25">
      <c r="A577" s="2" t="s">
        <v>4330</v>
      </c>
      <c r="B577" s="2" t="s">
        <v>1903</v>
      </c>
      <c r="C577" s="2" t="s">
        <v>3427</v>
      </c>
      <c r="D577" s="2" t="s">
        <v>3428</v>
      </c>
      <c r="E577" s="2" t="s">
        <v>65</v>
      </c>
      <c r="F577" s="2" t="s">
        <v>3698</v>
      </c>
      <c r="G577" s="2">
        <v>26.98</v>
      </c>
      <c r="H577" s="2" t="s">
        <v>36</v>
      </c>
      <c r="I577" s="2" t="s">
        <v>3370</v>
      </c>
    </row>
    <row r="578" spans="1:9" x14ac:dyDescent="0.25">
      <c r="A578" s="2" t="s">
        <v>4331</v>
      </c>
      <c r="B578" s="2" t="s">
        <v>2463</v>
      </c>
      <c r="C578" s="2" t="s">
        <v>3403</v>
      </c>
      <c r="D578" s="2" t="s">
        <v>3404</v>
      </c>
      <c r="E578" s="2" t="s">
        <v>65</v>
      </c>
      <c r="F578" s="2" t="s">
        <v>4332</v>
      </c>
      <c r="G578" s="2">
        <v>80.69</v>
      </c>
      <c r="H578" s="2" t="s">
        <v>37</v>
      </c>
      <c r="I578" s="2" t="s">
        <v>3334</v>
      </c>
    </row>
    <row r="579" spans="1:9" x14ac:dyDescent="0.25">
      <c r="A579" s="2" t="s">
        <v>4333</v>
      </c>
      <c r="B579" s="2" t="s">
        <v>863</v>
      </c>
      <c r="C579" s="2" t="s">
        <v>3403</v>
      </c>
      <c r="D579" s="2" t="s">
        <v>3404</v>
      </c>
      <c r="E579" s="2" t="s">
        <v>65</v>
      </c>
      <c r="F579" s="2" t="s">
        <v>3924</v>
      </c>
      <c r="G579" s="2">
        <v>9.82</v>
      </c>
      <c r="H579" s="2" t="s">
        <v>37</v>
      </c>
      <c r="I579" s="2" t="s">
        <v>3331</v>
      </c>
    </row>
    <row r="580" spans="1:9" x14ac:dyDescent="0.25">
      <c r="A580" s="2" t="s">
        <v>4334</v>
      </c>
      <c r="B580" s="2" t="s">
        <v>1000</v>
      </c>
      <c r="C580" s="2" t="s">
        <v>3336</v>
      </c>
      <c r="D580" s="2" t="s">
        <v>3337</v>
      </c>
      <c r="E580" s="2" t="s">
        <v>65</v>
      </c>
      <c r="F580" s="2" t="s">
        <v>4335</v>
      </c>
      <c r="G580" s="2">
        <v>73.319999999999993</v>
      </c>
      <c r="H580" s="2" t="s">
        <v>37</v>
      </c>
      <c r="I580" s="2" t="s">
        <v>3328</v>
      </c>
    </row>
    <row r="581" spans="1:9" x14ac:dyDescent="0.25">
      <c r="A581" s="2" t="s">
        <v>4336</v>
      </c>
      <c r="B581" s="2" t="s">
        <v>1161</v>
      </c>
      <c r="C581" s="2" t="s">
        <v>3427</v>
      </c>
      <c r="D581" s="2" t="s">
        <v>3428</v>
      </c>
      <c r="E581" s="2" t="s">
        <v>65</v>
      </c>
      <c r="F581" s="2" t="s">
        <v>3429</v>
      </c>
      <c r="G581" s="2">
        <v>129.94999999999999</v>
      </c>
      <c r="H581" s="2" t="s">
        <v>36</v>
      </c>
      <c r="I581" s="2" t="s">
        <v>3318</v>
      </c>
    </row>
    <row r="582" spans="1:9" x14ac:dyDescent="0.25">
      <c r="A582" s="2" t="s">
        <v>4337</v>
      </c>
      <c r="B582" s="2" t="s">
        <v>119</v>
      </c>
      <c r="C582" s="2" t="s">
        <v>3427</v>
      </c>
      <c r="D582" s="2" t="s">
        <v>3428</v>
      </c>
      <c r="E582" s="2" t="s">
        <v>65</v>
      </c>
      <c r="F582" s="2" t="s">
        <v>3587</v>
      </c>
      <c r="G582" s="2">
        <v>57.73</v>
      </c>
      <c r="H582" s="2" t="s">
        <v>37</v>
      </c>
      <c r="I582" s="2" t="s">
        <v>3328</v>
      </c>
    </row>
    <row r="583" spans="1:9" x14ac:dyDescent="0.25">
      <c r="A583" s="2" t="s">
        <v>4338</v>
      </c>
      <c r="B583" s="2" t="s">
        <v>723</v>
      </c>
      <c r="C583" s="2" t="s">
        <v>3403</v>
      </c>
      <c r="D583" s="2" t="s">
        <v>3404</v>
      </c>
      <c r="E583" s="2" t="s">
        <v>3316</v>
      </c>
      <c r="F583" s="2" t="s">
        <v>4339</v>
      </c>
      <c r="G583" s="2">
        <v>1926.84</v>
      </c>
      <c r="H583" s="2" t="s">
        <v>37</v>
      </c>
      <c r="I583" s="2" t="s">
        <v>3370</v>
      </c>
    </row>
    <row r="584" spans="1:9" x14ac:dyDescent="0.25">
      <c r="A584" s="2" t="s">
        <v>4340</v>
      </c>
      <c r="B584" s="2" t="s">
        <v>3242</v>
      </c>
      <c r="C584" s="2" t="s">
        <v>3367</v>
      </c>
      <c r="D584" s="2" t="s">
        <v>3368</v>
      </c>
      <c r="E584" s="2" t="s">
        <v>65</v>
      </c>
      <c r="F584" s="2" t="s">
        <v>4341</v>
      </c>
      <c r="G584" s="2">
        <v>95.67</v>
      </c>
      <c r="H584" s="2" t="s">
        <v>36</v>
      </c>
      <c r="I584" s="2" t="s">
        <v>3334</v>
      </c>
    </row>
    <row r="585" spans="1:9" x14ac:dyDescent="0.25">
      <c r="A585" s="2" t="s">
        <v>4342</v>
      </c>
      <c r="B585" s="2" t="s">
        <v>3211</v>
      </c>
      <c r="C585" s="2" t="s">
        <v>3403</v>
      </c>
      <c r="D585" s="2" t="s">
        <v>3404</v>
      </c>
      <c r="E585" s="2" t="s">
        <v>4</v>
      </c>
      <c r="F585" s="2" t="s">
        <v>4343</v>
      </c>
      <c r="G585" s="2">
        <v>85.07</v>
      </c>
      <c r="H585" s="2" t="s">
        <v>36</v>
      </c>
      <c r="I585" s="2" t="s">
        <v>3370</v>
      </c>
    </row>
    <row r="586" spans="1:9" x14ac:dyDescent="0.25">
      <c r="A586" s="2" t="s">
        <v>4344</v>
      </c>
      <c r="B586" s="2" t="s">
        <v>169</v>
      </c>
      <c r="C586" s="2" t="s">
        <v>3325</v>
      </c>
      <c r="D586" s="2" t="s">
        <v>3326</v>
      </c>
      <c r="E586" s="2" t="s">
        <v>65</v>
      </c>
      <c r="F586" s="2" t="s">
        <v>3449</v>
      </c>
      <c r="G586" s="2">
        <v>47.03</v>
      </c>
      <c r="H586" s="2" t="s">
        <v>36</v>
      </c>
      <c r="I586" s="2" t="s">
        <v>3365</v>
      </c>
    </row>
    <row r="587" spans="1:9" x14ac:dyDescent="0.25">
      <c r="A587" s="2" t="s">
        <v>4345</v>
      </c>
      <c r="B587" s="2" t="s">
        <v>156</v>
      </c>
      <c r="C587" s="2" t="s">
        <v>3367</v>
      </c>
      <c r="D587" s="2" t="s">
        <v>3368</v>
      </c>
      <c r="E587" s="2" t="s">
        <v>65</v>
      </c>
      <c r="F587" s="2" t="s">
        <v>4194</v>
      </c>
      <c r="G587" s="2">
        <v>41.25</v>
      </c>
      <c r="H587" s="2" t="s">
        <v>37</v>
      </c>
      <c r="I587" s="2" t="s">
        <v>3323</v>
      </c>
    </row>
    <row r="588" spans="1:9" x14ac:dyDescent="0.25">
      <c r="A588" s="2" t="s">
        <v>4346</v>
      </c>
      <c r="B588" s="2" t="s">
        <v>1526</v>
      </c>
      <c r="C588" s="2" t="s">
        <v>3403</v>
      </c>
      <c r="D588" s="2" t="s">
        <v>3404</v>
      </c>
      <c r="E588" s="2" t="s">
        <v>3316</v>
      </c>
      <c r="F588" s="2" t="s">
        <v>4347</v>
      </c>
      <c r="G588" s="2">
        <v>62.91</v>
      </c>
      <c r="H588" s="2" t="s">
        <v>37</v>
      </c>
      <c r="I588" s="2" t="s">
        <v>3370</v>
      </c>
    </row>
    <row r="589" spans="1:9" x14ac:dyDescent="0.25">
      <c r="A589" s="2" t="s">
        <v>4348</v>
      </c>
      <c r="B589" s="2" t="s">
        <v>889</v>
      </c>
      <c r="C589" s="2" t="s">
        <v>3341</v>
      </c>
      <c r="D589" s="2" t="s">
        <v>3342</v>
      </c>
      <c r="E589" s="2" t="s">
        <v>91</v>
      </c>
      <c r="F589" s="2" t="s">
        <v>3938</v>
      </c>
      <c r="G589" s="2">
        <v>77.33</v>
      </c>
      <c r="H589" s="2" t="s">
        <v>37</v>
      </c>
      <c r="I589" s="2" t="s">
        <v>3385</v>
      </c>
    </row>
    <row r="590" spans="1:9" x14ac:dyDescent="0.25">
      <c r="A590" s="2" t="s">
        <v>4349</v>
      </c>
      <c r="B590" s="2" t="s">
        <v>2574</v>
      </c>
      <c r="C590" s="2" t="s">
        <v>3314</v>
      </c>
      <c r="D590" s="2" t="s">
        <v>3315</v>
      </c>
      <c r="E590" s="2" t="s">
        <v>33</v>
      </c>
      <c r="F590" s="2" t="s">
        <v>3772</v>
      </c>
      <c r="G590" s="2">
        <v>452.5</v>
      </c>
      <c r="H590" s="2" t="s">
        <v>36</v>
      </c>
      <c r="I590" s="2" t="s">
        <v>3318</v>
      </c>
    </row>
    <row r="591" spans="1:9" x14ac:dyDescent="0.25">
      <c r="A591" s="2" t="s">
        <v>4350</v>
      </c>
      <c r="B591" s="2" t="s">
        <v>844</v>
      </c>
      <c r="C591" s="2" t="s">
        <v>3354</v>
      </c>
      <c r="D591" s="2" t="s">
        <v>3355</v>
      </c>
      <c r="E591" s="2" t="s">
        <v>4</v>
      </c>
      <c r="F591" s="2" t="s">
        <v>3425</v>
      </c>
      <c r="G591" s="2">
        <v>5.4</v>
      </c>
      <c r="H591" s="2" t="s">
        <v>37</v>
      </c>
      <c r="I591" s="2" t="s">
        <v>3328</v>
      </c>
    </row>
    <row r="592" spans="1:9" x14ac:dyDescent="0.25">
      <c r="A592" s="2" t="s">
        <v>4351</v>
      </c>
      <c r="B592" s="2" t="s">
        <v>1335</v>
      </c>
      <c r="C592" s="2" t="s">
        <v>3314</v>
      </c>
      <c r="D592" s="2" t="s">
        <v>3315</v>
      </c>
      <c r="E592" s="2" t="s">
        <v>33</v>
      </c>
      <c r="F592" s="2" t="s">
        <v>3439</v>
      </c>
      <c r="G592" s="2">
        <v>24.53</v>
      </c>
      <c r="H592" s="2" t="s">
        <v>37</v>
      </c>
      <c r="I592" s="2" t="s">
        <v>3323</v>
      </c>
    </row>
    <row r="593" spans="1:9" x14ac:dyDescent="0.25">
      <c r="A593" s="2" t="s">
        <v>4352</v>
      </c>
      <c r="B593" s="2" t="s">
        <v>1688</v>
      </c>
      <c r="C593" s="2" t="s">
        <v>3314</v>
      </c>
      <c r="D593" s="2" t="s">
        <v>3315</v>
      </c>
      <c r="E593" s="2" t="s">
        <v>65</v>
      </c>
      <c r="F593" s="2" t="s">
        <v>4353</v>
      </c>
      <c r="G593" s="2">
        <v>94.3</v>
      </c>
      <c r="H593" s="2" t="s">
        <v>37</v>
      </c>
      <c r="I593" s="2" t="s">
        <v>3328</v>
      </c>
    </row>
    <row r="594" spans="1:9" x14ac:dyDescent="0.25">
      <c r="A594" s="2" t="s">
        <v>4354</v>
      </c>
      <c r="B594" s="2"/>
      <c r="C594" s="2" t="s">
        <v>3325</v>
      </c>
      <c r="D594" s="2" t="s">
        <v>3326</v>
      </c>
      <c r="E594" s="2" t="s">
        <v>3338</v>
      </c>
      <c r="F594" s="2" t="s">
        <v>4355</v>
      </c>
      <c r="G594" s="2">
        <v>4410.08</v>
      </c>
      <c r="H594" s="2" t="s">
        <v>36</v>
      </c>
      <c r="I594" s="2" t="s">
        <v>3328</v>
      </c>
    </row>
    <row r="595" spans="1:9" x14ac:dyDescent="0.25">
      <c r="A595" s="2" t="s">
        <v>4356</v>
      </c>
      <c r="B595" s="2" t="s">
        <v>2981</v>
      </c>
      <c r="C595" s="2" t="s">
        <v>3336</v>
      </c>
      <c r="D595" s="2" t="s">
        <v>3337</v>
      </c>
      <c r="E595" s="2" t="s">
        <v>3316</v>
      </c>
      <c r="F595" s="2" t="s">
        <v>3492</v>
      </c>
      <c r="G595" s="2">
        <v>38.17</v>
      </c>
      <c r="H595" s="2" t="s">
        <v>36</v>
      </c>
      <c r="I595" s="2" t="s">
        <v>3318</v>
      </c>
    </row>
    <row r="596" spans="1:9" x14ac:dyDescent="0.25">
      <c r="A596" s="2" t="s">
        <v>4357</v>
      </c>
      <c r="B596" s="2" t="s">
        <v>2928</v>
      </c>
      <c r="C596" s="2" t="s">
        <v>3320</v>
      </c>
      <c r="D596" s="2" t="s">
        <v>3321</v>
      </c>
      <c r="E596" s="2" t="s">
        <v>4</v>
      </c>
      <c r="F596" s="2" t="s">
        <v>3476</v>
      </c>
      <c r="G596" s="2">
        <v>14.25</v>
      </c>
      <c r="H596" s="2" t="s">
        <v>36</v>
      </c>
      <c r="I596" s="2" t="s">
        <v>3370</v>
      </c>
    </row>
    <row r="597" spans="1:9" x14ac:dyDescent="0.25">
      <c r="A597" s="2" t="s">
        <v>4358</v>
      </c>
      <c r="B597" s="2" t="s">
        <v>961</v>
      </c>
      <c r="C597" s="2" t="s">
        <v>3314</v>
      </c>
      <c r="D597" s="2" t="s">
        <v>3315</v>
      </c>
      <c r="E597" s="2" t="s">
        <v>3316</v>
      </c>
      <c r="F597" s="2" t="s">
        <v>4359</v>
      </c>
      <c r="G597" s="2">
        <v>12.12</v>
      </c>
      <c r="H597" s="2" t="s">
        <v>37</v>
      </c>
      <c r="I597" s="2" t="s">
        <v>3318</v>
      </c>
    </row>
    <row r="598" spans="1:9" x14ac:dyDescent="0.25">
      <c r="A598" s="2" t="s">
        <v>4360</v>
      </c>
      <c r="B598" s="2" t="s">
        <v>3290</v>
      </c>
      <c r="C598" s="2" t="s">
        <v>3341</v>
      </c>
      <c r="D598" s="2" t="s">
        <v>3342</v>
      </c>
      <c r="E598" s="2" t="s">
        <v>3316</v>
      </c>
      <c r="F598" s="2" t="s">
        <v>4361</v>
      </c>
      <c r="G598" s="2">
        <v>60.08</v>
      </c>
      <c r="H598" s="2" t="s">
        <v>37</v>
      </c>
      <c r="I598" s="2" t="s">
        <v>3331</v>
      </c>
    </row>
    <row r="599" spans="1:9" x14ac:dyDescent="0.25">
      <c r="A599" s="2" t="s">
        <v>4362</v>
      </c>
      <c r="B599" s="2" t="s">
        <v>967</v>
      </c>
      <c r="C599" s="2" t="s">
        <v>3314</v>
      </c>
      <c r="D599" s="2" t="s">
        <v>3315</v>
      </c>
      <c r="E599" s="2" t="s">
        <v>65</v>
      </c>
      <c r="F599" s="2" t="s">
        <v>4363</v>
      </c>
      <c r="G599" s="2">
        <v>40.82</v>
      </c>
      <c r="H599" s="2" t="s">
        <v>37</v>
      </c>
      <c r="I599" s="2" t="s">
        <v>3323</v>
      </c>
    </row>
    <row r="600" spans="1:9" x14ac:dyDescent="0.25">
      <c r="A600" s="2" t="s">
        <v>4364</v>
      </c>
      <c r="B600" s="2" t="s">
        <v>2194</v>
      </c>
      <c r="C600" s="2" t="s">
        <v>3354</v>
      </c>
      <c r="D600" s="2" t="s">
        <v>3355</v>
      </c>
      <c r="E600" s="2" t="s">
        <v>4</v>
      </c>
      <c r="F600" s="2" t="s">
        <v>3623</v>
      </c>
      <c r="G600" s="2">
        <v>66.09</v>
      </c>
      <c r="H600" s="2" t="s">
        <v>36</v>
      </c>
      <c r="I600" s="2" t="s">
        <v>3318</v>
      </c>
    </row>
    <row r="601" spans="1:9" x14ac:dyDescent="0.25">
      <c r="A601" s="2" t="s">
        <v>4365</v>
      </c>
      <c r="B601" s="2" t="s">
        <v>663</v>
      </c>
      <c r="C601" s="2" t="s">
        <v>3427</v>
      </c>
      <c r="D601" s="2" t="s">
        <v>3428</v>
      </c>
      <c r="E601" s="2" t="s">
        <v>65</v>
      </c>
      <c r="F601" s="2" t="s">
        <v>3478</v>
      </c>
      <c r="G601" s="2">
        <v>149.24</v>
      </c>
      <c r="H601" s="2" t="s">
        <v>37</v>
      </c>
      <c r="I601" s="2" t="s">
        <v>3385</v>
      </c>
    </row>
    <row r="602" spans="1:9" x14ac:dyDescent="0.25">
      <c r="A602" s="2" t="s">
        <v>4366</v>
      </c>
      <c r="B602" s="2" t="s">
        <v>796</v>
      </c>
      <c r="C602" s="2" t="s">
        <v>3341</v>
      </c>
      <c r="D602" s="2" t="s">
        <v>3342</v>
      </c>
      <c r="E602" s="2" t="s">
        <v>65</v>
      </c>
      <c r="F602" s="2" t="s">
        <v>4367</v>
      </c>
      <c r="G602" s="2">
        <v>44.86</v>
      </c>
      <c r="H602" s="2" t="s">
        <v>36</v>
      </c>
      <c r="I602" s="2" t="s">
        <v>3328</v>
      </c>
    </row>
    <row r="603" spans="1:9" x14ac:dyDescent="0.25">
      <c r="A603" s="2" t="s">
        <v>4368</v>
      </c>
      <c r="B603" s="2" t="s">
        <v>307</v>
      </c>
      <c r="C603" s="2" t="s">
        <v>3341</v>
      </c>
      <c r="D603" s="2" t="s">
        <v>3342</v>
      </c>
      <c r="E603" s="2" t="s">
        <v>4</v>
      </c>
      <c r="F603" s="2" t="s">
        <v>4369</v>
      </c>
      <c r="G603" s="2">
        <v>14.77</v>
      </c>
      <c r="H603" s="2" t="s">
        <v>36</v>
      </c>
      <c r="I603" s="2" t="s">
        <v>3334</v>
      </c>
    </row>
    <row r="604" spans="1:9" x14ac:dyDescent="0.25">
      <c r="A604" s="2" t="s">
        <v>4370</v>
      </c>
      <c r="B604" s="2" t="s">
        <v>2059</v>
      </c>
      <c r="C604" s="2" t="s">
        <v>3403</v>
      </c>
      <c r="D604" s="2" t="s">
        <v>3404</v>
      </c>
      <c r="E604" s="2" t="s">
        <v>3316</v>
      </c>
      <c r="F604" s="2" t="s">
        <v>4371</v>
      </c>
      <c r="G604" s="2">
        <v>14</v>
      </c>
      <c r="H604" s="2" t="s">
        <v>37</v>
      </c>
      <c r="I604" s="2" t="s">
        <v>3331</v>
      </c>
    </row>
    <row r="605" spans="1:9" x14ac:dyDescent="0.25">
      <c r="A605" s="2" t="s">
        <v>4372</v>
      </c>
      <c r="B605" s="2" t="s">
        <v>2495</v>
      </c>
      <c r="C605" s="2" t="s">
        <v>3403</v>
      </c>
      <c r="D605" s="2" t="s">
        <v>3404</v>
      </c>
      <c r="E605" s="2" t="s">
        <v>4</v>
      </c>
      <c r="F605" s="2" t="s">
        <v>3327</v>
      </c>
      <c r="G605" s="2">
        <v>5.04</v>
      </c>
      <c r="H605" s="2" t="s">
        <v>36</v>
      </c>
      <c r="I605" s="2" t="s">
        <v>3385</v>
      </c>
    </row>
    <row r="606" spans="1:9" x14ac:dyDescent="0.25">
      <c r="A606" s="2" t="s">
        <v>4373</v>
      </c>
      <c r="B606" s="2" t="s">
        <v>680</v>
      </c>
      <c r="C606" s="2" t="s">
        <v>3367</v>
      </c>
      <c r="D606" s="2" t="s">
        <v>3368</v>
      </c>
      <c r="E606" s="2" t="s">
        <v>65</v>
      </c>
      <c r="F606" s="2" t="s">
        <v>3611</v>
      </c>
      <c r="G606" s="2">
        <v>20.9</v>
      </c>
      <c r="H606" s="2" t="s">
        <v>36</v>
      </c>
      <c r="I606" s="2" t="s">
        <v>3323</v>
      </c>
    </row>
    <row r="607" spans="1:9" x14ac:dyDescent="0.25">
      <c r="A607" s="2" t="s">
        <v>4374</v>
      </c>
      <c r="B607" s="2" t="s">
        <v>1814</v>
      </c>
      <c r="C607" s="2" t="s">
        <v>3314</v>
      </c>
      <c r="D607" s="2" t="s">
        <v>3315</v>
      </c>
      <c r="E607" s="2" t="s">
        <v>65</v>
      </c>
      <c r="F607" s="2" t="s">
        <v>4375</v>
      </c>
      <c r="G607" s="2">
        <v>11.13</v>
      </c>
      <c r="H607" s="2" t="s">
        <v>37</v>
      </c>
      <c r="I607" s="2" t="s">
        <v>3323</v>
      </c>
    </row>
    <row r="608" spans="1:9" x14ac:dyDescent="0.25">
      <c r="A608" s="2" t="s">
        <v>4376</v>
      </c>
      <c r="B608" s="2" t="s">
        <v>1000</v>
      </c>
      <c r="C608" s="2" t="s">
        <v>3314</v>
      </c>
      <c r="D608" s="2" t="s">
        <v>3315</v>
      </c>
      <c r="E608" s="2" t="s">
        <v>33</v>
      </c>
      <c r="F608" s="2" t="s">
        <v>3684</v>
      </c>
      <c r="G608" s="2">
        <v>146.19</v>
      </c>
      <c r="H608" s="2" t="s">
        <v>37</v>
      </c>
      <c r="I608" s="2" t="s">
        <v>3334</v>
      </c>
    </row>
    <row r="609" spans="1:9" x14ac:dyDescent="0.25">
      <c r="A609" s="2" t="s">
        <v>4377</v>
      </c>
      <c r="B609" s="2" t="s">
        <v>2900</v>
      </c>
      <c r="C609" s="2" t="s">
        <v>3403</v>
      </c>
      <c r="D609" s="2" t="s">
        <v>3404</v>
      </c>
      <c r="E609" s="2" t="s">
        <v>4</v>
      </c>
      <c r="F609" s="2" t="s">
        <v>4378</v>
      </c>
      <c r="G609" s="2">
        <v>17.010000000000002</v>
      </c>
      <c r="H609" s="2" t="s">
        <v>37</v>
      </c>
      <c r="I609" s="2" t="s">
        <v>3331</v>
      </c>
    </row>
    <row r="610" spans="1:9" x14ac:dyDescent="0.25">
      <c r="A610" s="2" t="s">
        <v>4379</v>
      </c>
      <c r="B610" s="2" t="s">
        <v>1124</v>
      </c>
      <c r="C610" s="2" t="s">
        <v>3325</v>
      </c>
      <c r="D610" s="2" t="s">
        <v>3326</v>
      </c>
      <c r="E610" s="2" t="s">
        <v>4</v>
      </c>
      <c r="F610" s="2" t="s">
        <v>3421</v>
      </c>
      <c r="G610" s="2">
        <v>38.89</v>
      </c>
      <c r="H610" s="2" t="s">
        <v>37</v>
      </c>
      <c r="I610" s="2" t="s">
        <v>3318</v>
      </c>
    </row>
    <row r="611" spans="1:9" x14ac:dyDescent="0.25">
      <c r="A611" s="2" t="s">
        <v>4380</v>
      </c>
      <c r="B611" s="2" t="s">
        <v>2870</v>
      </c>
      <c r="C611" s="2" t="s">
        <v>3325</v>
      </c>
      <c r="D611" s="2" t="s">
        <v>3326</v>
      </c>
      <c r="E611" s="2" t="s">
        <v>4</v>
      </c>
      <c r="F611" s="2" t="s">
        <v>4381</v>
      </c>
      <c r="G611" s="2">
        <v>66.38</v>
      </c>
      <c r="H611" s="2" t="s">
        <v>37</v>
      </c>
      <c r="I611" s="2" t="s">
        <v>3318</v>
      </c>
    </row>
    <row r="612" spans="1:9" x14ac:dyDescent="0.25">
      <c r="A612" s="2" t="s">
        <v>4382</v>
      </c>
      <c r="B612" s="2" t="s">
        <v>596</v>
      </c>
      <c r="C612" s="2" t="s">
        <v>3427</v>
      </c>
      <c r="D612" s="2" t="s">
        <v>3428</v>
      </c>
      <c r="E612" s="2" t="s">
        <v>4</v>
      </c>
      <c r="F612" s="2" t="s">
        <v>4383</v>
      </c>
      <c r="G612" s="2">
        <v>323.14</v>
      </c>
      <c r="H612" s="2" t="s">
        <v>36</v>
      </c>
      <c r="I612" s="2" t="s">
        <v>3370</v>
      </c>
    </row>
    <row r="613" spans="1:9" x14ac:dyDescent="0.25">
      <c r="A613" s="2" t="s">
        <v>4384</v>
      </c>
      <c r="B613" s="2" t="s">
        <v>423</v>
      </c>
      <c r="C613" s="2" t="s">
        <v>3427</v>
      </c>
      <c r="D613" s="2" t="s">
        <v>3428</v>
      </c>
      <c r="E613" s="2" t="s">
        <v>65</v>
      </c>
      <c r="F613" s="2" t="s">
        <v>3429</v>
      </c>
      <c r="G613" s="2">
        <v>99.89</v>
      </c>
      <c r="H613" s="2" t="s">
        <v>37</v>
      </c>
      <c r="I613" s="2" t="s">
        <v>3331</v>
      </c>
    </row>
    <row r="614" spans="1:9" x14ac:dyDescent="0.25">
      <c r="A614" s="2" t="s">
        <v>4385</v>
      </c>
      <c r="B614" s="2" t="s">
        <v>3106</v>
      </c>
      <c r="C614" s="2" t="s">
        <v>3314</v>
      </c>
      <c r="D614" s="2" t="s">
        <v>3315</v>
      </c>
      <c r="E614" s="2" t="s">
        <v>3316</v>
      </c>
      <c r="F614" s="2" t="s">
        <v>4386</v>
      </c>
      <c r="G614" s="2">
        <v>483.11</v>
      </c>
      <c r="H614" s="2" t="s">
        <v>36</v>
      </c>
      <c r="I614" s="2" t="s">
        <v>3328</v>
      </c>
    </row>
    <row r="615" spans="1:9" x14ac:dyDescent="0.25">
      <c r="A615" s="2" t="s">
        <v>4387</v>
      </c>
      <c r="B615" s="2" t="s">
        <v>2451</v>
      </c>
      <c r="C615" s="2" t="s">
        <v>3320</v>
      </c>
      <c r="D615" s="2" t="s">
        <v>3321</v>
      </c>
      <c r="E615" s="2" t="s">
        <v>3480</v>
      </c>
      <c r="F615" s="2" t="s">
        <v>4388</v>
      </c>
      <c r="G615" s="2">
        <v>31.72</v>
      </c>
      <c r="H615" s="2" t="s">
        <v>36</v>
      </c>
      <c r="I615" s="2" t="s">
        <v>3331</v>
      </c>
    </row>
    <row r="616" spans="1:9" x14ac:dyDescent="0.25">
      <c r="A616" s="2" t="s">
        <v>4389</v>
      </c>
      <c r="B616" s="2" t="s">
        <v>3302</v>
      </c>
      <c r="C616" s="2" t="s">
        <v>3320</v>
      </c>
      <c r="D616" s="2" t="s">
        <v>3321</v>
      </c>
      <c r="E616" s="2" t="s">
        <v>65</v>
      </c>
      <c r="F616" s="2" t="s">
        <v>4390</v>
      </c>
      <c r="G616" s="2">
        <v>44.9</v>
      </c>
      <c r="H616" s="2" t="s">
        <v>36</v>
      </c>
      <c r="I616" s="2" t="s">
        <v>3318</v>
      </c>
    </row>
    <row r="617" spans="1:9" x14ac:dyDescent="0.25">
      <c r="A617" s="2" t="s">
        <v>4391</v>
      </c>
      <c r="B617" s="2" t="s">
        <v>3261</v>
      </c>
      <c r="C617" s="2" t="s">
        <v>3341</v>
      </c>
      <c r="D617" s="2" t="s">
        <v>3342</v>
      </c>
      <c r="E617" s="2" t="s">
        <v>3316</v>
      </c>
      <c r="F617" s="2" t="s">
        <v>3780</v>
      </c>
      <c r="G617" s="2">
        <v>6.76</v>
      </c>
      <c r="H617" s="2" t="s">
        <v>36</v>
      </c>
      <c r="I617" s="2" t="s">
        <v>3365</v>
      </c>
    </row>
    <row r="618" spans="1:9" x14ac:dyDescent="0.25">
      <c r="A618" s="2" t="s">
        <v>4392</v>
      </c>
      <c r="B618" s="2" t="s">
        <v>2508</v>
      </c>
      <c r="C618" s="2" t="s">
        <v>3403</v>
      </c>
      <c r="D618" s="2" t="s">
        <v>3404</v>
      </c>
      <c r="E618" s="2" t="s">
        <v>3316</v>
      </c>
      <c r="F618" s="2" t="s">
        <v>4122</v>
      </c>
      <c r="G618" s="2">
        <v>156.61000000000001</v>
      </c>
      <c r="H618" s="2" t="s">
        <v>37</v>
      </c>
      <c r="I618" s="2" t="s">
        <v>3328</v>
      </c>
    </row>
    <row r="619" spans="1:9" x14ac:dyDescent="0.25">
      <c r="A619" s="2" t="s">
        <v>4393</v>
      </c>
      <c r="B619" s="2" t="s">
        <v>3266</v>
      </c>
      <c r="C619" s="2" t="s">
        <v>3320</v>
      </c>
      <c r="D619" s="2" t="s">
        <v>3321</v>
      </c>
      <c r="E619" s="2" t="s">
        <v>65</v>
      </c>
      <c r="F619" s="2" t="s">
        <v>3950</v>
      </c>
      <c r="G619" s="2">
        <v>95.94</v>
      </c>
      <c r="H619" s="2" t="s">
        <v>37</v>
      </c>
      <c r="I619" s="2" t="s">
        <v>3365</v>
      </c>
    </row>
    <row r="620" spans="1:9" x14ac:dyDescent="0.25">
      <c r="A620" s="2" t="s">
        <v>4394</v>
      </c>
      <c r="B620" s="2" t="s">
        <v>1826</v>
      </c>
      <c r="C620" s="2" t="s">
        <v>3427</v>
      </c>
      <c r="D620" s="2" t="s">
        <v>3428</v>
      </c>
      <c r="E620" s="2" t="s">
        <v>65</v>
      </c>
      <c r="F620" s="2" t="s">
        <v>3587</v>
      </c>
      <c r="G620" s="2">
        <v>2870.47</v>
      </c>
      <c r="H620" s="2" t="s">
        <v>37</v>
      </c>
      <c r="I620" s="2" t="s">
        <v>3328</v>
      </c>
    </row>
    <row r="621" spans="1:9" x14ac:dyDescent="0.25">
      <c r="A621" s="2" t="s">
        <v>4395</v>
      </c>
      <c r="B621" s="2" t="s">
        <v>2070</v>
      </c>
      <c r="C621" s="2" t="s">
        <v>3320</v>
      </c>
      <c r="D621" s="2" t="s">
        <v>3321</v>
      </c>
      <c r="E621" s="2" t="s">
        <v>65</v>
      </c>
      <c r="F621" s="2" t="s">
        <v>4396</v>
      </c>
      <c r="G621" s="2">
        <v>24.77</v>
      </c>
      <c r="H621" s="2" t="s">
        <v>37</v>
      </c>
      <c r="I621" s="2" t="s">
        <v>3365</v>
      </c>
    </row>
    <row r="622" spans="1:9" x14ac:dyDescent="0.25">
      <c r="A622" s="2" t="s">
        <v>4397</v>
      </c>
      <c r="B622" s="2" t="s">
        <v>876</v>
      </c>
      <c r="C622" s="2" t="s">
        <v>3325</v>
      </c>
      <c r="D622" s="2" t="s">
        <v>3326</v>
      </c>
      <c r="E622" s="2" t="s">
        <v>3338</v>
      </c>
      <c r="F622" s="2" t="s">
        <v>4398</v>
      </c>
      <c r="G622" s="2">
        <v>3696.02</v>
      </c>
      <c r="H622" s="2" t="s">
        <v>36</v>
      </c>
      <c r="I622" s="2" t="s">
        <v>3318</v>
      </c>
    </row>
    <row r="623" spans="1:9" x14ac:dyDescent="0.25">
      <c r="A623" s="2" t="s">
        <v>4399</v>
      </c>
      <c r="B623" s="2" t="s">
        <v>3118</v>
      </c>
      <c r="C623" s="2" t="s">
        <v>3427</v>
      </c>
      <c r="D623" s="2" t="s">
        <v>3428</v>
      </c>
      <c r="E623" s="2" t="s">
        <v>65</v>
      </c>
      <c r="F623" s="2" t="s">
        <v>3698</v>
      </c>
      <c r="G623" s="2">
        <v>38.49</v>
      </c>
      <c r="H623" s="2" t="s">
        <v>36</v>
      </c>
      <c r="I623" s="2" t="s">
        <v>3334</v>
      </c>
    </row>
    <row r="624" spans="1:9" x14ac:dyDescent="0.25">
      <c r="A624" s="2" t="s">
        <v>4400</v>
      </c>
      <c r="B624" s="2" t="s">
        <v>1608</v>
      </c>
      <c r="C624" s="2" t="s">
        <v>3341</v>
      </c>
      <c r="D624" s="2" t="s">
        <v>3342</v>
      </c>
      <c r="E624" s="2" t="s">
        <v>91</v>
      </c>
      <c r="F624" s="2" t="s">
        <v>3350</v>
      </c>
      <c r="G624" s="2">
        <v>73.38</v>
      </c>
      <c r="H624" s="2" t="s">
        <v>36</v>
      </c>
      <c r="I624" s="2" t="s">
        <v>3323</v>
      </c>
    </row>
    <row r="625" spans="1:9" x14ac:dyDescent="0.25">
      <c r="A625" s="2" t="s">
        <v>4401</v>
      </c>
      <c r="B625" s="2" t="s">
        <v>1663</v>
      </c>
      <c r="C625" s="2" t="s">
        <v>3354</v>
      </c>
      <c r="D625" s="2" t="s">
        <v>3355</v>
      </c>
      <c r="E625" s="2" t="s">
        <v>65</v>
      </c>
      <c r="F625" s="2" t="s">
        <v>3649</v>
      </c>
      <c r="G625" s="2">
        <v>489.26</v>
      </c>
      <c r="H625" s="2" t="s">
        <v>36</v>
      </c>
      <c r="I625" s="2" t="s">
        <v>3318</v>
      </c>
    </row>
    <row r="626" spans="1:9" x14ac:dyDescent="0.25">
      <c r="A626" s="2" t="s">
        <v>4402</v>
      </c>
      <c r="B626" s="2" t="s">
        <v>3205</v>
      </c>
      <c r="C626" s="2" t="s">
        <v>3367</v>
      </c>
      <c r="D626" s="2" t="s">
        <v>3368</v>
      </c>
      <c r="E626" s="2" t="s">
        <v>65</v>
      </c>
      <c r="F626" s="2" t="s">
        <v>4403</v>
      </c>
      <c r="G626" s="2">
        <v>93.44</v>
      </c>
      <c r="H626" s="2" t="s">
        <v>36</v>
      </c>
      <c r="I626" s="2" t="s">
        <v>3318</v>
      </c>
    </row>
    <row r="627" spans="1:9" x14ac:dyDescent="0.25">
      <c r="A627" s="2" t="s">
        <v>4404</v>
      </c>
      <c r="B627" s="2" t="s">
        <v>1963</v>
      </c>
      <c r="C627" s="2" t="s">
        <v>3341</v>
      </c>
      <c r="D627" s="2" t="s">
        <v>3342</v>
      </c>
      <c r="E627" s="2" t="s">
        <v>91</v>
      </c>
      <c r="F627" s="2" t="s">
        <v>4405</v>
      </c>
      <c r="G627" s="2">
        <v>57.8</v>
      </c>
      <c r="H627" s="2" t="s">
        <v>36</v>
      </c>
      <c r="I627" s="2" t="s">
        <v>3370</v>
      </c>
    </row>
    <row r="628" spans="1:9" x14ac:dyDescent="0.25">
      <c r="A628" s="2" t="s">
        <v>4406</v>
      </c>
      <c r="B628" s="2" t="s">
        <v>559</v>
      </c>
      <c r="C628" s="2" t="s">
        <v>3354</v>
      </c>
      <c r="D628" s="2" t="s">
        <v>3355</v>
      </c>
      <c r="E628" s="2" t="s">
        <v>65</v>
      </c>
      <c r="F628" s="2" t="s">
        <v>3623</v>
      </c>
      <c r="G628" s="2">
        <v>26.16</v>
      </c>
      <c r="H628" s="2" t="s">
        <v>37</v>
      </c>
      <c r="I628" s="2" t="s">
        <v>3318</v>
      </c>
    </row>
    <row r="629" spans="1:9" x14ac:dyDescent="0.25">
      <c r="A629" s="2" t="s">
        <v>4407</v>
      </c>
      <c r="B629" s="2" t="s">
        <v>363</v>
      </c>
      <c r="C629" s="2" t="s">
        <v>3320</v>
      </c>
      <c r="D629" s="2" t="s">
        <v>3321</v>
      </c>
      <c r="E629" s="2" t="s">
        <v>4</v>
      </c>
      <c r="F629" s="2" t="s">
        <v>4408</v>
      </c>
      <c r="G629" s="2">
        <v>125.14</v>
      </c>
      <c r="H629" s="2" t="s">
        <v>37</v>
      </c>
      <c r="I629" s="2" t="s">
        <v>3334</v>
      </c>
    </row>
    <row r="630" spans="1:9" x14ac:dyDescent="0.25">
      <c r="A630" s="2" t="s">
        <v>4409</v>
      </c>
      <c r="B630" s="2" t="s">
        <v>1386</v>
      </c>
      <c r="C630" s="2" t="s">
        <v>3427</v>
      </c>
      <c r="D630" s="2" t="s">
        <v>3428</v>
      </c>
      <c r="E630" s="2" t="s">
        <v>65</v>
      </c>
      <c r="F630" s="2" t="s">
        <v>3471</v>
      </c>
      <c r="G630" s="2">
        <v>124.1</v>
      </c>
      <c r="H630" s="2" t="s">
        <v>36</v>
      </c>
      <c r="I630" s="2" t="s">
        <v>3331</v>
      </c>
    </row>
    <row r="631" spans="1:9" x14ac:dyDescent="0.25">
      <c r="A631" s="2" t="s">
        <v>4410</v>
      </c>
      <c r="B631" s="2" t="s">
        <v>3171</v>
      </c>
      <c r="C631" s="2" t="s">
        <v>3320</v>
      </c>
      <c r="D631" s="2" t="s">
        <v>3321</v>
      </c>
      <c r="E631" s="2" t="s">
        <v>4</v>
      </c>
      <c r="F631" s="2" t="s">
        <v>4411</v>
      </c>
      <c r="G631" s="2">
        <v>14.86</v>
      </c>
      <c r="H631" s="2" t="s">
        <v>36</v>
      </c>
      <c r="I631" s="2" t="s">
        <v>3328</v>
      </c>
    </row>
    <row r="632" spans="1:9" x14ac:dyDescent="0.25">
      <c r="A632" s="2" t="s">
        <v>4412</v>
      </c>
      <c r="B632" s="2" t="s">
        <v>1446</v>
      </c>
      <c r="C632" s="2" t="s">
        <v>3354</v>
      </c>
      <c r="D632" s="2" t="s">
        <v>3355</v>
      </c>
      <c r="E632" s="2" t="s">
        <v>4</v>
      </c>
      <c r="F632" s="2" t="s">
        <v>3589</v>
      </c>
      <c r="G632" s="2">
        <v>13.47</v>
      </c>
      <c r="H632" s="2" t="s">
        <v>36</v>
      </c>
      <c r="I632" s="2" t="s">
        <v>3331</v>
      </c>
    </row>
    <row r="633" spans="1:9" x14ac:dyDescent="0.25">
      <c r="A633" s="2" t="s">
        <v>4413</v>
      </c>
      <c r="B633" s="2" t="s">
        <v>1916</v>
      </c>
      <c r="C633" s="2" t="s">
        <v>3325</v>
      </c>
      <c r="D633" s="2" t="s">
        <v>3326</v>
      </c>
      <c r="E633" s="2" t="s">
        <v>65</v>
      </c>
      <c r="F633" s="2" t="s">
        <v>4414</v>
      </c>
      <c r="G633" s="2">
        <v>76.67</v>
      </c>
      <c r="H633" s="2" t="s">
        <v>37</v>
      </c>
      <c r="I633" s="2" t="s">
        <v>3370</v>
      </c>
    </row>
    <row r="634" spans="1:9" x14ac:dyDescent="0.25">
      <c r="A634" s="2" t="s">
        <v>4415</v>
      </c>
      <c r="B634" s="2"/>
      <c r="C634" s="2" t="s">
        <v>3354</v>
      </c>
      <c r="D634" s="2" t="s">
        <v>3355</v>
      </c>
      <c r="E634" s="2" t="s">
        <v>4</v>
      </c>
      <c r="F634" s="2" t="s">
        <v>3522</v>
      </c>
      <c r="G634" s="2">
        <v>23.47</v>
      </c>
      <c r="H634" s="2" t="s">
        <v>37</v>
      </c>
      <c r="I634" s="2" t="s">
        <v>3323</v>
      </c>
    </row>
    <row r="635" spans="1:9" x14ac:dyDescent="0.25">
      <c r="A635" s="2" t="s">
        <v>4416</v>
      </c>
      <c r="B635" s="2" t="s">
        <v>2252</v>
      </c>
      <c r="C635" s="2" t="s">
        <v>3314</v>
      </c>
      <c r="D635" s="2" t="s">
        <v>3315</v>
      </c>
      <c r="E635" s="2" t="s">
        <v>65</v>
      </c>
      <c r="F635" s="2" t="s">
        <v>4417</v>
      </c>
      <c r="G635" s="2">
        <v>334.01</v>
      </c>
      <c r="H635" s="2" t="s">
        <v>36</v>
      </c>
      <c r="I635" s="2" t="s">
        <v>3318</v>
      </c>
    </row>
    <row r="636" spans="1:9" x14ac:dyDescent="0.25">
      <c r="A636" s="2" t="s">
        <v>4418</v>
      </c>
      <c r="B636" s="2" t="s">
        <v>433</v>
      </c>
      <c r="C636" s="2" t="s">
        <v>3427</v>
      </c>
      <c r="D636" s="2" t="s">
        <v>3428</v>
      </c>
      <c r="E636" s="2" t="s">
        <v>65</v>
      </c>
      <c r="F636" s="2" t="s">
        <v>3698</v>
      </c>
      <c r="G636" s="2">
        <v>35.96</v>
      </c>
      <c r="H636" s="2" t="s">
        <v>36</v>
      </c>
      <c r="I636" s="2" t="s">
        <v>3334</v>
      </c>
    </row>
    <row r="637" spans="1:9" x14ac:dyDescent="0.25">
      <c r="A637" s="2" t="s">
        <v>4419</v>
      </c>
      <c r="B637" s="2" t="s">
        <v>770</v>
      </c>
      <c r="C637" s="2" t="s">
        <v>3341</v>
      </c>
      <c r="D637" s="2" t="s">
        <v>3342</v>
      </c>
      <c r="E637" s="2" t="s">
        <v>4</v>
      </c>
      <c r="F637" s="2" t="s">
        <v>4420</v>
      </c>
      <c r="G637" s="2">
        <v>4964.12</v>
      </c>
      <c r="H637" s="2" t="s">
        <v>36</v>
      </c>
      <c r="I637" s="2" t="s">
        <v>3323</v>
      </c>
    </row>
    <row r="638" spans="1:9" x14ac:dyDescent="0.25">
      <c r="A638" s="2" t="s">
        <v>4421</v>
      </c>
      <c r="B638" s="2" t="s">
        <v>1767</v>
      </c>
      <c r="C638" s="2" t="s">
        <v>3341</v>
      </c>
      <c r="D638" s="2" t="s">
        <v>3342</v>
      </c>
      <c r="E638" s="2" t="s">
        <v>3316</v>
      </c>
      <c r="F638" s="2" t="s">
        <v>4422</v>
      </c>
      <c r="G638" s="2">
        <v>46.57</v>
      </c>
      <c r="H638" s="2" t="s">
        <v>36</v>
      </c>
      <c r="I638" s="2" t="s">
        <v>3328</v>
      </c>
    </row>
    <row r="639" spans="1:9" x14ac:dyDescent="0.25">
      <c r="A639" s="2" t="s">
        <v>4423</v>
      </c>
      <c r="B639" s="2" t="s">
        <v>831</v>
      </c>
      <c r="C639" s="2" t="s">
        <v>3320</v>
      </c>
      <c r="D639" s="2" t="s">
        <v>3321</v>
      </c>
      <c r="E639" s="2" t="s">
        <v>65</v>
      </c>
      <c r="F639" s="2" t="s">
        <v>3730</v>
      </c>
      <c r="G639" s="2">
        <v>4519.09</v>
      </c>
      <c r="H639" s="2" t="s">
        <v>36</v>
      </c>
      <c r="I639" s="2" t="s">
        <v>3323</v>
      </c>
    </row>
    <row r="640" spans="1:9" x14ac:dyDescent="0.25">
      <c r="A640" s="2" t="s">
        <v>4424</v>
      </c>
      <c r="B640" s="2" t="s">
        <v>901</v>
      </c>
      <c r="C640" s="2" t="s">
        <v>3367</v>
      </c>
      <c r="D640" s="2" t="s">
        <v>3368</v>
      </c>
      <c r="E640" s="2" t="s">
        <v>4</v>
      </c>
      <c r="F640" s="2" t="s">
        <v>4425</v>
      </c>
      <c r="G640" s="2">
        <v>185.92</v>
      </c>
      <c r="H640" s="2" t="s">
        <v>36</v>
      </c>
      <c r="I640" s="2" t="s">
        <v>3331</v>
      </c>
    </row>
    <row r="641" spans="1:9" x14ac:dyDescent="0.25">
      <c r="A641" s="2" t="s">
        <v>4426</v>
      </c>
      <c r="B641" s="2" t="s">
        <v>1532</v>
      </c>
      <c r="C641" s="2" t="s">
        <v>3325</v>
      </c>
      <c r="D641" s="2" t="s">
        <v>3326</v>
      </c>
      <c r="E641" s="2" t="s">
        <v>3316</v>
      </c>
      <c r="F641" s="2" t="s">
        <v>4427</v>
      </c>
      <c r="G641" s="2">
        <v>39.659999999999997</v>
      </c>
      <c r="H641" s="2" t="s">
        <v>37</v>
      </c>
      <c r="I641" s="2" t="s">
        <v>3328</v>
      </c>
    </row>
    <row r="642" spans="1:9" x14ac:dyDescent="0.25">
      <c r="A642" s="2" t="s">
        <v>4428</v>
      </c>
      <c r="B642" s="2" t="s">
        <v>2373</v>
      </c>
      <c r="C642" s="2" t="s">
        <v>3320</v>
      </c>
      <c r="D642" s="2" t="s">
        <v>3321</v>
      </c>
      <c r="E642" s="2" t="s">
        <v>4</v>
      </c>
      <c r="F642" s="2" t="s">
        <v>4429</v>
      </c>
      <c r="G642" s="2">
        <v>20.76</v>
      </c>
      <c r="H642" s="2" t="s">
        <v>37</v>
      </c>
      <c r="I642" s="2" t="s">
        <v>3334</v>
      </c>
    </row>
    <row r="643" spans="1:9" x14ac:dyDescent="0.25">
      <c r="A643" s="2" t="s">
        <v>4430</v>
      </c>
      <c r="B643" s="2" t="s">
        <v>1097</v>
      </c>
      <c r="C643" s="2" t="s">
        <v>3427</v>
      </c>
      <c r="D643" s="2" t="s">
        <v>3428</v>
      </c>
      <c r="E643" s="2" t="s">
        <v>4</v>
      </c>
      <c r="F643" s="2" t="s">
        <v>3478</v>
      </c>
      <c r="G643" s="2">
        <v>13.95</v>
      </c>
      <c r="H643" s="2" t="s">
        <v>36</v>
      </c>
      <c r="I643" s="2" t="s">
        <v>3328</v>
      </c>
    </row>
    <row r="644" spans="1:9" x14ac:dyDescent="0.25">
      <c r="A644" s="2" t="s">
        <v>4431</v>
      </c>
      <c r="B644" s="2" t="s">
        <v>1951</v>
      </c>
      <c r="C644" s="2" t="s">
        <v>3427</v>
      </c>
      <c r="D644" s="2" t="s">
        <v>3428</v>
      </c>
      <c r="E644" s="2" t="s">
        <v>4</v>
      </c>
      <c r="F644" s="2" t="s">
        <v>3429</v>
      </c>
      <c r="G644" s="2">
        <v>14</v>
      </c>
      <c r="H644" s="2" t="s">
        <v>36</v>
      </c>
      <c r="I644" s="2" t="s">
        <v>3328</v>
      </c>
    </row>
    <row r="645" spans="1:9" x14ac:dyDescent="0.25">
      <c r="A645" s="2" t="s">
        <v>4432</v>
      </c>
      <c r="B645" s="2" t="s">
        <v>2934</v>
      </c>
      <c r="C645" s="2" t="s">
        <v>3403</v>
      </c>
      <c r="D645" s="2" t="s">
        <v>3404</v>
      </c>
      <c r="E645" s="2" t="s">
        <v>65</v>
      </c>
      <c r="F645" s="2" t="s">
        <v>3560</v>
      </c>
      <c r="G645" s="2">
        <v>41.07</v>
      </c>
      <c r="H645" s="2" t="s">
        <v>37</v>
      </c>
      <c r="I645" s="2" t="s">
        <v>3385</v>
      </c>
    </row>
    <row r="646" spans="1:9" x14ac:dyDescent="0.25">
      <c r="A646" s="2" t="s">
        <v>4433</v>
      </c>
      <c r="B646" s="2" t="s">
        <v>2224</v>
      </c>
      <c r="C646" s="2" t="s">
        <v>3367</v>
      </c>
      <c r="D646" s="2" t="s">
        <v>3368</v>
      </c>
      <c r="E646" s="2" t="s">
        <v>65</v>
      </c>
      <c r="F646" s="2" t="s">
        <v>4434</v>
      </c>
      <c r="G646" s="2">
        <v>9.89</v>
      </c>
      <c r="H646" s="2" t="s">
        <v>37</v>
      </c>
      <c r="I646" s="2" t="s">
        <v>3331</v>
      </c>
    </row>
    <row r="647" spans="1:9" x14ac:dyDescent="0.25">
      <c r="A647" s="2" t="s">
        <v>4435</v>
      </c>
      <c r="B647" s="2" t="s">
        <v>654</v>
      </c>
      <c r="C647" s="2" t="s">
        <v>3341</v>
      </c>
      <c r="D647" s="2" t="s">
        <v>3342</v>
      </c>
      <c r="E647" s="2" t="s">
        <v>3316</v>
      </c>
      <c r="F647" s="2" t="s">
        <v>4174</v>
      </c>
      <c r="G647" s="2">
        <v>142.87</v>
      </c>
      <c r="H647" s="2" t="s">
        <v>36</v>
      </c>
      <c r="I647" s="2" t="s">
        <v>3365</v>
      </c>
    </row>
    <row r="648" spans="1:9" x14ac:dyDescent="0.25">
      <c r="A648" s="2" t="s">
        <v>4436</v>
      </c>
      <c r="B648" s="2" t="s">
        <v>1790</v>
      </c>
      <c r="C648" s="2" t="s">
        <v>3336</v>
      </c>
      <c r="D648" s="2" t="s">
        <v>3337</v>
      </c>
      <c r="E648" s="2" t="s">
        <v>4</v>
      </c>
      <c r="F648" s="2" t="s">
        <v>4437</v>
      </c>
      <c r="G648" s="2">
        <v>43.92</v>
      </c>
      <c r="H648" s="2" t="s">
        <v>37</v>
      </c>
      <c r="I648" s="2" t="s">
        <v>3334</v>
      </c>
    </row>
    <row r="649" spans="1:9" x14ac:dyDescent="0.25">
      <c r="A649" s="2" t="s">
        <v>4438</v>
      </c>
      <c r="B649" s="2" t="s">
        <v>3297</v>
      </c>
      <c r="C649" s="2" t="s">
        <v>3341</v>
      </c>
      <c r="D649" s="2" t="s">
        <v>3342</v>
      </c>
      <c r="E649" s="2" t="s">
        <v>3316</v>
      </c>
      <c r="F649" s="2" t="s">
        <v>4439</v>
      </c>
      <c r="G649" s="2">
        <v>99.33</v>
      </c>
      <c r="H649" s="2" t="s">
        <v>36</v>
      </c>
      <c r="I649" s="2" t="s">
        <v>3331</v>
      </c>
    </row>
    <row r="650" spans="1:9" x14ac:dyDescent="0.25">
      <c r="A650" s="2" t="s">
        <v>4440</v>
      </c>
      <c r="B650" s="2" t="s">
        <v>1850</v>
      </c>
      <c r="C650" s="2" t="s">
        <v>3354</v>
      </c>
      <c r="D650" s="2" t="s">
        <v>3355</v>
      </c>
      <c r="E650" s="2" t="s">
        <v>65</v>
      </c>
      <c r="F650" s="2" t="s">
        <v>3589</v>
      </c>
      <c r="G650" s="2">
        <v>22.14</v>
      </c>
      <c r="H650" s="2" t="s">
        <v>36</v>
      </c>
      <c r="I650" s="2" t="s">
        <v>3328</v>
      </c>
    </row>
    <row r="651" spans="1:9" x14ac:dyDescent="0.25">
      <c r="A651" s="2" t="s">
        <v>4441</v>
      </c>
      <c r="B651" s="2" t="s">
        <v>1726</v>
      </c>
      <c r="C651" s="2" t="s">
        <v>3325</v>
      </c>
      <c r="D651" s="2" t="s">
        <v>3326</v>
      </c>
      <c r="E651" s="2" t="s">
        <v>65</v>
      </c>
      <c r="F651" s="2" t="s">
        <v>4157</v>
      </c>
      <c r="G651" s="2">
        <v>23.8</v>
      </c>
      <c r="H651" s="2" t="s">
        <v>36</v>
      </c>
      <c r="I651" s="2" t="s">
        <v>3370</v>
      </c>
    </row>
    <row r="652" spans="1:9" x14ac:dyDescent="0.25">
      <c r="A652" s="2" t="s">
        <v>4442</v>
      </c>
      <c r="B652" s="2" t="s">
        <v>1832</v>
      </c>
      <c r="C652" s="2" t="s">
        <v>3367</v>
      </c>
      <c r="D652" s="2" t="s">
        <v>3368</v>
      </c>
      <c r="E652" s="2" t="s">
        <v>4</v>
      </c>
      <c r="F652" s="2" t="s">
        <v>4443</v>
      </c>
      <c r="G652" s="2">
        <v>50.61</v>
      </c>
      <c r="H652" s="2" t="s">
        <v>36</v>
      </c>
      <c r="I652" s="2" t="s">
        <v>3318</v>
      </c>
    </row>
    <row r="653" spans="1:9" x14ac:dyDescent="0.25">
      <c r="A653" s="2" t="s">
        <v>4444</v>
      </c>
      <c r="B653" s="2" t="s">
        <v>1976</v>
      </c>
      <c r="C653" s="2" t="s">
        <v>3427</v>
      </c>
      <c r="D653" s="2" t="s">
        <v>3428</v>
      </c>
      <c r="E653" s="2" t="s">
        <v>65</v>
      </c>
      <c r="F653" s="2" t="s">
        <v>3681</v>
      </c>
      <c r="G653" s="2">
        <v>1956.31</v>
      </c>
      <c r="H653" s="2" t="s">
        <v>37</v>
      </c>
      <c r="I653" s="2" t="s">
        <v>3365</v>
      </c>
    </row>
    <row r="654" spans="1:9" x14ac:dyDescent="0.25">
      <c r="A654" s="2" t="s">
        <v>4445</v>
      </c>
      <c r="B654" s="2" t="s">
        <v>53</v>
      </c>
      <c r="C654" s="2" t="s">
        <v>3403</v>
      </c>
      <c r="D654" s="2" t="s">
        <v>3404</v>
      </c>
      <c r="E654" s="2" t="s">
        <v>65</v>
      </c>
      <c r="F654" s="2" t="s">
        <v>4446</v>
      </c>
      <c r="G654" s="2">
        <v>25.53</v>
      </c>
      <c r="H654" s="2" t="s">
        <v>36</v>
      </c>
      <c r="I654" s="2" t="s">
        <v>3323</v>
      </c>
    </row>
    <row r="655" spans="1:9" x14ac:dyDescent="0.25">
      <c r="A655" s="2" t="s">
        <v>4447</v>
      </c>
      <c r="B655" s="2" t="s">
        <v>1084</v>
      </c>
      <c r="C655" s="2" t="s">
        <v>3362</v>
      </c>
      <c r="D655" s="2" t="s">
        <v>3363</v>
      </c>
      <c r="E655" s="2" t="s">
        <v>65</v>
      </c>
      <c r="F655" s="2" t="s">
        <v>4448</v>
      </c>
      <c r="G655" s="2">
        <v>19.010000000000002</v>
      </c>
      <c r="H655" s="2" t="s">
        <v>36</v>
      </c>
      <c r="I655" s="2" t="s">
        <v>3334</v>
      </c>
    </row>
    <row r="656" spans="1:9" x14ac:dyDescent="0.25">
      <c r="A656" s="2" t="s">
        <v>4449</v>
      </c>
      <c r="B656" s="2" t="s">
        <v>2212</v>
      </c>
      <c r="C656" s="2" t="s">
        <v>3427</v>
      </c>
      <c r="D656" s="2" t="s">
        <v>3428</v>
      </c>
      <c r="E656" s="2" t="s">
        <v>4</v>
      </c>
      <c r="F656" s="2" t="s">
        <v>3587</v>
      </c>
      <c r="G656" s="2">
        <v>61.76</v>
      </c>
      <c r="H656" s="2" t="s">
        <v>37</v>
      </c>
      <c r="I656" s="2" t="s">
        <v>3370</v>
      </c>
    </row>
    <row r="657" spans="1:9" x14ac:dyDescent="0.25">
      <c r="A657" s="2" t="s">
        <v>4450</v>
      </c>
      <c r="B657" s="2" t="s">
        <v>2952</v>
      </c>
      <c r="C657" s="2" t="s">
        <v>3362</v>
      </c>
      <c r="D657" s="2" t="s">
        <v>3363</v>
      </c>
      <c r="E657" s="2" t="s">
        <v>65</v>
      </c>
      <c r="F657" s="2" t="s">
        <v>3431</v>
      </c>
      <c r="G657" s="2">
        <v>78.69</v>
      </c>
      <c r="H657" s="2" t="s">
        <v>36</v>
      </c>
      <c r="I657" s="2" t="s">
        <v>3370</v>
      </c>
    </row>
    <row r="658" spans="1:9" x14ac:dyDescent="0.25">
      <c r="A658" s="2" t="s">
        <v>4451</v>
      </c>
      <c r="B658" s="2" t="s">
        <v>1933</v>
      </c>
      <c r="C658" s="2" t="s">
        <v>3341</v>
      </c>
      <c r="D658" s="2" t="s">
        <v>3342</v>
      </c>
      <c r="E658" s="2" t="s">
        <v>91</v>
      </c>
      <c r="F658" s="2" t="s">
        <v>4452</v>
      </c>
      <c r="G658" s="2">
        <v>329.81</v>
      </c>
      <c r="H658" s="2" t="s">
        <v>36</v>
      </c>
      <c r="I658" s="2" t="s">
        <v>3323</v>
      </c>
    </row>
    <row r="659" spans="1:9" x14ac:dyDescent="0.25">
      <c r="A659" s="2" t="s">
        <v>4453</v>
      </c>
      <c r="B659" s="2" t="s">
        <v>762</v>
      </c>
      <c r="C659" s="2" t="s">
        <v>3341</v>
      </c>
      <c r="D659" s="2" t="s">
        <v>3342</v>
      </c>
      <c r="E659" s="2" t="s">
        <v>3316</v>
      </c>
      <c r="F659" s="2" t="s">
        <v>4454</v>
      </c>
      <c r="G659" s="2">
        <v>43.16</v>
      </c>
      <c r="H659" s="2" t="s">
        <v>37</v>
      </c>
      <c r="I659" s="2" t="s">
        <v>3328</v>
      </c>
    </row>
    <row r="660" spans="1:9" x14ac:dyDescent="0.25">
      <c r="A660" s="2" t="s">
        <v>4455</v>
      </c>
      <c r="B660" s="2" t="s">
        <v>1261</v>
      </c>
      <c r="C660" s="2" t="s">
        <v>3427</v>
      </c>
      <c r="D660" s="2" t="s">
        <v>3428</v>
      </c>
      <c r="E660" s="2" t="s">
        <v>4</v>
      </c>
      <c r="F660" s="2" t="s">
        <v>3429</v>
      </c>
      <c r="G660" s="2">
        <v>90.73</v>
      </c>
      <c r="H660" s="2" t="s">
        <v>37</v>
      </c>
      <c r="I660" s="2" t="s">
        <v>3370</v>
      </c>
    </row>
    <row r="661" spans="1:9" x14ac:dyDescent="0.25">
      <c r="A661" s="2" t="s">
        <v>4456</v>
      </c>
      <c r="B661" s="2" t="s">
        <v>2315</v>
      </c>
      <c r="C661" s="2" t="s">
        <v>3427</v>
      </c>
      <c r="D661" s="2" t="s">
        <v>3428</v>
      </c>
      <c r="E661" s="2" t="s">
        <v>4</v>
      </c>
      <c r="F661" s="2" t="s">
        <v>3429</v>
      </c>
      <c r="G661" s="2">
        <v>26.9</v>
      </c>
      <c r="H661" s="2" t="s">
        <v>36</v>
      </c>
      <c r="I661" s="2" t="s">
        <v>3365</v>
      </c>
    </row>
    <row r="662" spans="1:9" x14ac:dyDescent="0.25">
      <c r="A662" s="2" t="s">
        <v>4457</v>
      </c>
      <c r="B662" s="2" t="s">
        <v>2550</v>
      </c>
      <c r="C662" s="2" t="s">
        <v>3427</v>
      </c>
      <c r="D662" s="2" t="s">
        <v>3428</v>
      </c>
      <c r="E662" s="2" t="s">
        <v>4</v>
      </c>
      <c r="F662" s="2" t="s">
        <v>3698</v>
      </c>
      <c r="G662" s="2">
        <v>69.33</v>
      </c>
      <c r="H662" s="2" t="s">
        <v>37</v>
      </c>
      <c r="I662" s="2" t="s">
        <v>3318</v>
      </c>
    </row>
    <row r="663" spans="1:9" x14ac:dyDescent="0.25">
      <c r="A663" s="2" t="s">
        <v>4458</v>
      </c>
      <c r="B663" s="2"/>
      <c r="C663" s="2" t="s">
        <v>3403</v>
      </c>
      <c r="D663" s="2" t="s">
        <v>3404</v>
      </c>
      <c r="E663" s="2" t="s">
        <v>4</v>
      </c>
      <c r="F663" s="2" t="s">
        <v>4459</v>
      </c>
      <c r="G663" s="2">
        <v>23.66</v>
      </c>
      <c r="H663" s="2" t="s">
        <v>37</v>
      </c>
      <c r="I663" s="2" t="s">
        <v>3385</v>
      </c>
    </row>
    <row r="664" spans="1:9" x14ac:dyDescent="0.25">
      <c r="A664" s="2" t="s">
        <v>4460</v>
      </c>
      <c r="B664" s="2" t="s">
        <v>680</v>
      </c>
      <c r="C664" s="2" t="s">
        <v>3427</v>
      </c>
      <c r="D664" s="2" t="s">
        <v>3428</v>
      </c>
      <c r="E664" s="2" t="s">
        <v>65</v>
      </c>
      <c r="F664" s="2" t="s">
        <v>3478</v>
      </c>
      <c r="G664" s="2">
        <v>26.04</v>
      </c>
      <c r="H664" s="2" t="s">
        <v>36</v>
      </c>
      <c r="I664" s="2" t="s">
        <v>3365</v>
      </c>
    </row>
    <row r="665" spans="1:9" x14ac:dyDescent="0.25">
      <c r="A665" s="2" t="s">
        <v>4461</v>
      </c>
      <c r="B665" s="2" t="s">
        <v>2519</v>
      </c>
      <c r="C665" s="2" t="s">
        <v>3354</v>
      </c>
      <c r="D665" s="2" t="s">
        <v>3355</v>
      </c>
      <c r="E665" s="2" t="s">
        <v>4</v>
      </c>
      <c r="F665" s="2" t="s">
        <v>3356</v>
      </c>
      <c r="G665" s="2">
        <v>49.19</v>
      </c>
      <c r="H665" s="2" t="s">
        <v>36</v>
      </c>
      <c r="I665" s="2" t="s">
        <v>3318</v>
      </c>
    </row>
    <row r="666" spans="1:9" x14ac:dyDescent="0.25">
      <c r="A666" s="2" t="s">
        <v>4462</v>
      </c>
      <c r="B666" s="2" t="s">
        <v>2876</v>
      </c>
      <c r="C666" s="2" t="s">
        <v>3341</v>
      </c>
      <c r="D666" s="2" t="s">
        <v>3342</v>
      </c>
      <c r="E666" s="2" t="s">
        <v>4</v>
      </c>
      <c r="F666" s="2" t="s">
        <v>4463</v>
      </c>
      <c r="G666" s="2">
        <v>108.3</v>
      </c>
      <c r="H666" s="2" t="s">
        <v>37</v>
      </c>
      <c r="I666" s="2" t="s">
        <v>3318</v>
      </c>
    </row>
    <row r="667" spans="1:9" x14ac:dyDescent="0.25">
      <c r="A667" s="2" t="s">
        <v>4464</v>
      </c>
      <c r="B667" s="2" t="s">
        <v>374</v>
      </c>
      <c r="C667" s="2" t="s">
        <v>3354</v>
      </c>
      <c r="D667" s="2" t="s">
        <v>3355</v>
      </c>
      <c r="E667" s="2" t="s">
        <v>65</v>
      </c>
      <c r="F667" s="2" t="s">
        <v>3589</v>
      </c>
      <c r="G667" s="2">
        <v>46.41</v>
      </c>
      <c r="H667" s="2" t="s">
        <v>36</v>
      </c>
      <c r="I667" s="2" t="s">
        <v>3370</v>
      </c>
    </row>
    <row r="668" spans="1:9" x14ac:dyDescent="0.25">
      <c r="A668" s="2" t="s">
        <v>4465</v>
      </c>
      <c r="B668" s="2" t="s">
        <v>1951</v>
      </c>
      <c r="C668" s="2" t="s">
        <v>3325</v>
      </c>
      <c r="D668" s="2" t="s">
        <v>3326</v>
      </c>
      <c r="E668" s="2" t="s">
        <v>4</v>
      </c>
      <c r="F668" s="2" t="s">
        <v>4466</v>
      </c>
      <c r="G668" s="2">
        <v>71.13</v>
      </c>
      <c r="H668" s="2" t="s">
        <v>36</v>
      </c>
      <c r="I668" s="2" t="s">
        <v>3370</v>
      </c>
    </row>
    <row r="669" spans="1:9" x14ac:dyDescent="0.25">
      <c r="A669" s="2" t="s">
        <v>4467</v>
      </c>
      <c r="B669" s="2" t="s">
        <v>729</v>
      </c>
      <c r="C669" s="2" t="s">
        <v>3325</v>
      </c>
      <c r="D669" s="2" t="s">
        <v>3326</v>
      </c>
      <c r="E669" s="2" t="s">
        <v>3316</v>
      </c>
      <c r="F669" s="2" t="s">
        <v>4468</v>
      </c>
      <c r="G669" s="2">
        <v>15.35</v>
      </c>
      <c r="H669" s="2" t="s">
        <v>36</v>
      </c>
      <c r="I669" s="2" t="s">
        <v>3328</v>
      </c>
    </row>
    <row r="670" spans="1:9" x14ac:dyDescent="0.25">
      <c r="A670" s="2" t="s">
        <v>4469</v>
      </c>
      <c r="B670" s="2" t="s">
        <v>2380</v>
      </c>
      <c r="C670" s="2" t="s">
        <v>3320</v>
      </c>
      <c r="D670" s="2" t="s">
        <v>3321</v>
      </c>
      <c r="E670" s="2" t="s">
        <v>65</v>
      </c>
      <c r="F670" s="2" t="s">
        <v>807</v>
      </c>
      <c r="G670" s="2">
        <v>141.9</v>
      </c>
      <c r="H670" s="2" t="s">
        <v>37</v>
      </c>
      <c r="I670" s="2" t="s">
        <v>3331</v>
      </c>
    </row>
    <row r="671" spans="1:9" x14ac:dyDescent="0.25">
      <c r="A671" s="2" t="s">
        <v>4470</v>
      </c>
      <c r="B671" s="2" t="s">
        <v>1399</v>
      </c>
      <c r="C671" s="2" t="s">
        <v>3362</v>
      </c>
      <c r="D671" s="2" t="s">
        <v>3363</v>
      </c>
      <c r="E671" s="2" t="s">
        <v>65</v>
      </c>
      <c r="F671" s="2" t="s">
        <v>4471</v>
      </c>
      <c r="G671" s="2">
        <v>148.97999999999999</v>
      </c>
      <c r="H671" s="2" t="s">
        <v>37</v>
      </c>
      <c r="I671" s="2" t="s">
        <v>3331</v>
      </c>
    </row>
    <row r="672" spans="1:9" x14ac:dyDescent="0.25">
      <c r="A672" s="2" t="s">
        <v>4472</v>
      </c>
      <c r="B672" s="2" t="s">
        <v>637</v>
      </c>
      <c r="C672" s="2" t="s">
        <v>3427</v>
      </c>
      <c r="D672" s="2" t="s">
        <v>3428</v>
      </c>
      <c r="E672" s="2" t="s">
        <v>65</v>
      </c>
      <c r="F672" s="2" t="s">
        <v>3698</v>
      </c>
      <c r="G672" s="2">
        <v>27.92</v>
      </c>
      <c r="H672" s="2" t="s">
        <v>36</v>
      </c>
      <c r="I672" s="2" t="s">
        <v>3328</v>
      </c>
    </row>
    <row r="673" spans="1:9" x14ac:dyDescent="0.25">
      <c r="A673" s="2" t="s">
        <v>4473</v>
      </c>
      <c r="B673" s="2" t="s">
        <v>2332</v>
      </c>
      <c r="C673" s="2" t="s">
        <v>3354</v>
      </c>
      <c r="D673" s="2" t="s">
        <v>3355</v>
      </c>
      <c r="E673" s="2" t="s">
        <v>4</v>
      </c>
      <c r="F673" s="2" t="s">
        <v>3425</v>
      </c>
      <c r="G673" s="2">
        <v>452.29</v>
      </c>
      <c r="H673" s="2" t="s">
        <v>37</v>
      </c>
      <c r="I673" s="2" t="s">
        <v>3370</v>
      </c>
    </row>
    <row r="674" spans="1:9" x14ac:dyDescent="0.25">
      <c r="A674" s="2" t="s">
        <v>4474</v>
      </c>
      <c r="B674" s="2" t="s">
        <v>1147</v>
      </c>
      <c r="C674" s="2" t="s">
        <v>3403</v>
      </c>
      <c r="D674" s="2" t="s">
        <v>3404</v>
      </c>
      <c r="E674" s="2" t="s">
        <v>3316</v>
      </c>
      <c r="F674" s="2" t="s">
        <v>4475</v>
      </c>
      <c r="G674" s="2">
        <v>17.82</v>
      </c>
      <c r="H674" s="2" t="s">
        <v>36</v>
      </c>
      <c r="I674" s="2" t="s">
        <v>3323</v>
      </c>
    </row>
    <row r="675" spans="1:9" x14ac:dyDescent="0.25">
      <c r="A675" s="2" t="s">
        <v>4476</v>
      </c>
      <c r="B675" s="2" t="s">
        <v>2876</v>
      </c>
      <c r="C675" s="2" t="s">
        <v>3325</v>
      </c>
      <c r="D675" s="2" t="s">
        <v>3326</v>
      </c>
      <c r="E675" s="2" t="s">
        <v>3338</v>
      </c>
      <c r="F675" s="2" t="s">
        <v>3416</v>
      </c>
      <c r="G675" s="2">
        <v>26.57</v>
      </c>
      <c r="H675" s="2" t="s">
        <v>37</v>
      </c>
      <c r="I675" s="2" t="s">
        <v>3370</v>
      </c>
    </row>
    <row r="676" spans="1:9" x14ac:dyDescent="0.25">
      <c r="A676" s="2" t="s">
        <v>4477</v>
      </c>
      <c r="B676" s="2" t="s">
        <v>1625</v>
      </c>
      <c r="C676" s="2" t="s">
        <v>3320</v>
      </c>
      <c r="D676" s="2" t="s">
        <v>3321</v>
      </c>
      <c r="E676" s="2" t="s">
        <v>4</v>
      </c>
      <c r="F676" s="2" t="s">
        <v>4478</v>
      </c>
      <c r="G676" s="2">
        <v>25.75</v>
      </c>
      <c r="H676" s="2" t="s">
        <v>36</v>
      </c>
      <c r="I676" s="2" t="s">
        <v>3365</v>
      </c>
    </row>
    <row r="677" spans="1:9" x14ac:dyDescent="0.25">
      <c r="A677" s="2" t="s">
        <v>4479</v>
      </c>
      <c r="B677" s="2" t="s">
        <v>2463</v>
      </c>
      <c r="C677" s="2" t="s">
        <v>3320</v>
      </c>
      <c r="D677" s="2" t="s">
        <v>3321</v>
      </c>
      <c r="E677" s="2" t="s">
        <v>4</v>
      </c>
      <c r="F677" s="2" t="s">
        <v>3506</v>
      </c>
      <c r="G677" s="2">
        <v>30.5</v>
      </c>
      <c r="H677" s="2" t="s">
        <v>37</v>
      </c>
      <c r="I677" s="2" t="s">
        <v>3318</v>
      </c>
    </row>
    <row r="678" spans="1:9" x14ac:dyDescent="0.25">
      <c r="A678" s="2" t="s">
        <v>4480</v>
      </c>
      <c r="B678" s="2" t="s">
        <v>2615</v>
      </c>
      <c r="C678" s="2" t="s">
        <v>3320</v>
      </c>
      <c r="D678" s="2" t="s">
        <v>3321</v>
      </c>
      <c r="E678" s="2" t="s">
        <v>65</v>
      </c>
      <c r="F678" s="2" t="s">
        <v>4481</v>
      </c>
      <c r="G678" s="2">
        <v>375.25</v>
      </c>
      <c r="H678" s="2" t="s">
        <v>36</v>
      </c>
      <c r="I678" s="2" t="s">
        <v>3334</v>
      </c>
    </row>
    <row r="679" spans="1:9" x14ac:dyDescent="0.25">
      <c r="A679" s="2" t="s">
        <v>4482</v>
      </c>
      <c r="B679" s="2" t="s">
        <v>967</v>
      </c>
      <c r="C679" s="2" t="s">
        <v>3362</v>
      </c>
      <c r="D679" s="2" t="s">
        <v>3363</v>
      </c>
      <c r="E679" s="2" t="s">
        <v>65</v>
      </c>
      <c r="F679" s="2" t="s">
        <v>3577</v>
      </c>
      <c r="G679" s="2">
        <v>54.78</v>
      </c>
      <c r="H679" s="2" t="s">
        <v>36</v>
      </c>
      <c r="I679" s="2" t="s">
        <v>3370</v>
      </c>
    </row>
    <row r="680" spans="1:9" x14ac:dyDescent="0.25">
      <c r="A680" s="2" t="s">
        <v>4483</v>
      </c>
      <c r="B680" s="2" t="s">
        <v>3188</v>
      </c>
      <c r="C680" s="2" t="s">
        <v>3320</v>
      </c>
      <c r="D680" s="2" t="s">
        <v>3321</v>
      </c>
      <c r="E680" s="2" t="s">
        <v>65</v>
      </c>
      <c r="F680" s="2" t="s">
        <v>4396</v>
      </c>
      <c r="G680" s="2">
        <v>240.87</v>
      </c>
      <c r="H680" s="2" t="s">
        <v>36</v>
      </c>
      <c r="I680" s="2" t="s">
        <v>3331</v>
      </c>
    </row>
    <row r="681" spans="1:9" x14ac:dyDescent="0.25">
      <c r="A681" s="2" t="s">
        <v>4484</v>
      </c>
      <c r="B681" s="2" t="s">
        <v>1207</v>
      </c>
      <c r="C681" s="2" t="s">
        <v>3320</v>
      </c>
      <c r="D681" s="2" t="s">
        <v>3321</v>
      </c>
      <c r="E681" s="2" t="s">
        <v>65</v>
      </c>
      <c r="F681" s="2" t="s">
        <v>4191</v>
      </c>
      <c r="G681" s="2" t="s">
        <v>4485</v>
      </c>
      <c r="H681" s="2" t="s">
        <v>36</v>
      </c>
      <c r="I681" s="2" t="s">
        <v>3365</v>
      </c>
    </row>
    <row r="682" spans="1:9" x14ac:dyDescent="0.25">
      <c r="A682" s="2" t="s">
        <v>4486</v>
      </c>
      <c r="B682" s="2" t="s">
        <v>2770</v>
      </c>
      <c r="C682" s="2" t="s">
        <v>3325</v>
      </c>
      <c r="D682" s="2" t="s">
        <v>3326</v>
      </c>
      <c r="E682" s="2" t="s">
        <v>65</v>
      </c>
      <c r="F682" s="2" t="s">
        <v>4316</v>
      </c>
      <c r="G682" s="2">
        <v>27.4</v>
      </c>
      <c r="H682" s="2" t="s">
        <v>37</v>
      </c>
      <c r="I682" s="2" t="s">
        <v>3370</v>
      </c>
    </row>
    <row r="683" spans="1:9" x14ac:dyDescent="0.25">
      <c r="A683" s="2" t="s">
        <v>4487</v>
      </c>
      <c r="B683" s="2" t="s">
        <v>883</v>
      </c>
      <c r="C683" s="2" t="s">
        <v>3325</v>
      </c>
      <c r="D683" s="2" t="s">
        <v>3326</v>
      </c>
      <c r="E683" s="2" t="s">
        <v>3316</v>
      </c>
      <c r="F683" s="2" t="s">
        <v>4355</v>
      </c>
      <c r="G683" s="2">
        <v>41.38</v>
      </c>
      <c r="H683" s="2" t="s">
        <v>36</v>
      </c>
      <c r="I683" s="2" t="s">
        <v>3365</v>
      </c>
    </row>
    <row r="684" spans="1:9" x14ac:dyDescent="0.25">
      <c r="A684" s="2" t="s">
        <v>4488</v>
      </c>
      <c r="B684" s="2" t="s">
        <v>1147</v>
      </c>
      <c r="C684" s="2" t="s">
        <v>3325</v>
      </c>
      <c r="D684" s="2" t="s">
        <v>3326</v>
      </c>
      <c r="E684" s="2" t="s">
        <v>65</v>
      </c>
      <c r="F684" s="2" t="s">
        <v>4489</v>
      </c>
      <c r="G684" s="2">
        <v>32.33</v>
      </c>
      <c r="H684" s="2" t="s">
        <v>37</v>
      </c>
      <c r="I684" s="2" t="s">
        <v>3370</v>
      </c>
    </row>
    <row r="685" spans="1:9" x14ac:dyDescent="0.25">
      <c r="A685" s="2" t="s">
        <v>4490</v>
      </c>
      <c r="B685" s="2" t="s">
        <v>844</v>
      </c>
      <c r="C685" s="2" t="s">
        <v>3354</v>
      </c>
      <c r="D685" s="2" t="s">
        <v>3355</v>
      </c>
      <c r="E685" s="2" t="s">
        <v>4</v>
      </c>
      <c r="F685" s="2" t="s">
        <v>3522</v>
      </c>
      <c r="G685" s="2">
        <v>5.4</v>
      </c>
      <c r="H685" s="2" t="s">
        <v>37</v>
      </c>
      <c r="I685" s="2" t="s">
        <v>3328</v>
      </c>
    </row>
    <row r="686" spans="1:9" x14ac:dyDescent="0.25">
      <c r="A686" s="2" t="s">
        <v>4491</v>
      </c>
      <c r="B686" s="2" t="s">
        <v>1428</v>
      </c>
      <c r="C686" s="2" t="s">
        <v>3367</v>
      </c>
      <c r="D686" s="2" t="s">
        <v>3368</v>
      </c>
      <c r="E686" s="2" t="s">
        <v>65</v>
      </c>
      <c r="F686" s="2" t="s">
        <v>4303</v>
      </c>
      <c r="G686" s="2">
        <v>7.25</v>
      </c>
      <c r="H686" s="2" t="s">
        <v>36</v>
      </c>
      <c r="I686" s="2" t="s">
        <v>3331</v>
      </c>
    </row>
    <row r="687" spans="1:9" x14ac:dyDescent="0.25">
      <c r="A687" s="2" t="s">
        <v>4492</v>
      </c>
      <c r="B687" s="2" t="s">
        <v>796</v>
      </c>
      <c r="C687" s="2" t="s">
        <v>3367</v>
      </c>
      <c r="D687" s="2" t="s">
        <v>3368</v>
      </c>
      <c r="E687" s="2" t="s">
        <v>65</v>
      </c>
      <c r="F687" s="2" t="s">
        <v>3909</v>
      </c>
      <c r="G687" s="2">
        <v>41.36</v>
      </c>
      <c r="H687" s="2" t="s">
        <v>36</v>
      </c>
      <c r="I687" s="2" t="s">
        <v>3331</v>
      </c>
    </row>
    <row r="688" spans="1:9" x14ac:dyDescent="0.25">
      <c r="A688" s="2" t="s">
        <v>4493</v>
      </c>
      <c r="B688" s="2" t="s">
        <v>1124</v>
      </c>
      <c r="C688" s="2" t="s">
        <v>3367</v>
      </c>
      <c r="D688" s="2" t="s">
        <v>3368</v>
      </c>
      <c r="E688" s="2" t="s">
        <v>4</v>
      </c>
      <c r="F688" s="2" t="s">
        <v>3637</v>
      </c>
      <c r="G688" s="2">
        <v>30.44</v>
      </c>
      <c r="H688" s="2" t="s">
        <v>36</v>
      </c>
      <c r="I688" s="2" t="s">
        <v>3365</v>
      </c>
    </row>
    <row r="689" spans="1:9" x14ac:dyDescent="0.25">
      <c r="A689" s="2" t="s">
        <v>4494</v>
      </c>
      <c r="B689" s="2" t="s">
        <v>2332</v>
      </c>
      <c r="C689" s="2" t="s">
        <v>3367</v>
      </c>
      <c r="D689" s="2" t="s">
        <v>3368</v>
      </c>
      <c r="E689" s="2" t="s">
        <v>4</v>
      </c>
      <c r="F689" s="2" t="s">
        <v>4495</v>
      </c>
      <c r="G689" s="2">
        <v>269.07</v>
      </c>
      <c r="H689" s="2" t="s">
        <v>36</v>
      </c>
      <c r="I689" s="2" t="s">
        <v>3331</v>
      </c>
    </row>
    <row r="690" spans="1:9" x14ac:dyDescent="0.25">
      <c r="A690" s="2" t="s">
        <v>4496</v>
      </c>
      <c r="B690" s="2" t="s">
        <v>1767</v>
      </c>
      <c r="C690" s="2" t="s">
        <v>3320</v>
      </c>
      <c r="D690" s="2" t="s">
        <v>3321</v>
      </c>
      <c r="E690" s="2" t="s">
        <v>65</v>
      </c>
      <c r="F690" s="2" t="s">
        <v>3393</v>
      </c>
      <c r="G690" s="2">
        <v>191.02</v>
      </c>
      <c r="H690" s="2" t="s">
        <v>37</v>
      </c>
      <c r="I690" s="2" t="s">
        <v>3365</v>
      </c>
    </row>
    <row r="691" spans="1:9" x14ac:dyDescent="0.25">
      <c r="A691" s="2" t="s">
        <v>4497</v>
      </c>
      <c r="B691" s="2" t="s">
        <v>2240</v>
      </c>
      <c r="C691" s="2" t="s">
        <v>3403</v>
      </c>
      <c r="D691" s="2" t="s">
        <v>3404</v>
      </c>
      <c r="E691" s="2" t="s">
        <v>65</v>
      </c>
      <c r="F691" s="2" t="s">
        <v>1391</v>
      </c>
      <c r="G691" s="2">
        <v>264.8</v>
      </c>
      <c r="H691" s="2" t="s">
        <v>36</v>
      </c>
      <c r="I691" s="2" t="s">
        <v>3318</v>
      </c>
    </row>
    <row r="692" spans="1:9" x14ac:dyDescent="0.25">
      <c r="A692" s="2" t="s">
        <v>4498</v>
      </c>
      <c r="B692" s="2" t="s">
        <v>169</v>
      </c>
      <c r="C692" s="2" t="s">
        <v>3314</v>
      </c>
      <c r="D692" s="2" t="s">
        <v>3315</v>
      </c>
      <c r="E692" s="2" t="s">
        <v>33</v>
      </c>
      <c r="F692" s="2" t="s">
        <v>4499</v>
      </c>
      <c r="G692" s="2">
        <v>19.63</v>
      </c>
      <c r="H692" s="2" t="s">
        <v>36</v>
      </c>
      <c r="I692" s="2" t="s">
        <v>3318</v>
      </c>
    </row>
    <row r="693" spans="1:9" x14ac:dyDescent="0.25">
      <c r="A693" s="2" t="s">
        <v>4500</v>
      </c>
      <c r="B693" s="2" t="s">
        <v>1280</v>
      </c>
      <c r="C693" s="2" t="s">
        <v>3314</v>
      </c>
      <c r="D693" s="2" t="s">
        <v>3315</v>
      </c>
      <c r="E693" s="2" t="s">
        <v>33</v>
      </c>
      <c r="F693" s="2" t="s">
        <v>4501</v>
      </c>
      <c r="G693" s="2">
        <v>36.03</v>
      </c>
      <c r="H693" s="2" t="s">
        <v>37</v>
      </c>
      <c r="I693" s="2" t="s">
        <v>3365</v>
      </c>
    </row>
    <row r="694" spans="1:9" x14ac:dyDescent="0.25">
      <c r="A694" s="2" t="s">
        <v>4502</v>
      </c>
      <c r="B694" s="2" t="s">
        <v>3165</v>
      </c>
      <c r="C694" s="2" t="s">
        <v>3325</v>
      </c>
      <c r="D694" s="2" t="s">
        <v>3326</v>
      </c>
      <c r="E694" s="2" t="s">
        <v>3338</v>
      </c>
      <c r="F694" s="2" t="s">
        <v>4503</v>
      </c>
      <c r="G694" s="2">
        <v>129.36000000000001</v>
      </c>
      <c r="H694" s="2" t="s">
        <v>36</v>
      </c>
      <c r="I694" s="2" t="s">
        <v>3370</v>
      </c>
    </row>
    <row r="695" spans="1:9" x14ac:dyDescent="0.25">
      <c r="A695" s="2" t="s">
        <v>4504</v>
      </c>
      <c r="B695" s="2" t="s">
        <v>2544</v>
      </c>
      <c r="C695" s="2" t="s">
        <v>3341</v>
      </c>
      <c r="D695" s="2" t="s">
        <v>3342</v>
      </c>
      <c r="E695" s="2" t="s">
        <v>3316</v>
      </c>
      <c r="F695" s="2" t="s">
        <v>4505</v>
      </c>
      <c r="G695" s="2">
        <v>305.12</v>
      </c>
      <c r="H695" s="2" t="s">
        <v>36</v>
      </c>
      <c r="I695" s="2" t="s">
        <v>3370</v>
      </c>
    </row>
    <row r="696" spans="1:9" x14ac:dyDescent="0.25">
      <c r="A696" s="2" t="s">
        <v>4506</v>
      </c>
      <c r="B696" s="2" t="s">
        <v>2263</v>
      </c>
      <c r="C696" s="2" t="s">
        <v>3320</v>
      </c>
      <c r="D696" s="2" t="s">
        <v>3321</v>
      </c>
      <c r="E696" s="2" t="s">
        <v>65</v>
      </c>
      <c r="F696" s="2" t="s">
        <v>3835</v>
      </c>
      <c r="G696" s="2">
        <v>28.01</v>
      </c>
      <c r="H696" s="2" t="s">
        <v>36</v>
      </c>
      <c r="I696" s="2" t="s">
        <v>3323</v>
      </c>
    </row>
    <row r="697" spans="1:9" x14ac:dyDescent="0.25">
      <c r="A697" s="2" t="s">
        <v>4507</v>
      </c>
      <c r="B697" s="2" t="s">
        <v>3106</v>
      </c>
      <c r="C697" s="2" t="s">
        <v>3341</v>
      </c>
      <c r="D697" s="2" t="s">
        <v>3342</v>
      </c>
      <c r="E697" s="2" t="s">
        <v>4</v>
      </c>
      <c r="F697" s="2" t="s">
        <v>4508</v>
      </c>
      <c r="G697" s="2">
        <v>116.55</v>
      </c>
      <c r="H697" s="2" t="s">
        <v>36</v>
      </c>
      <c r="I697" s="2" t="s">
        <v>3331</v>
      </c>
    </row>
    <row r="698" spans="1:9" x14ac:dyDescent="0.25">
      <c r="A698" s="2" t="s">
        <v>4509</v>
      </c>
      <c r="B698" s="2" t="s">
        <v>2556</v>
      </c>
      <c r="C698" s="2" t="s">
        <v>3403</v>
      </c>
      <c r="D698" s="2" t="s">
        <v>3404</v>
      </c>
      <c r="E698" s="2" t="s">
        <v>3316</v>
      </c>
      <c r="F698" s="2" t="s">
        <v>4510</v>
      </c>
      <c r="G698" s="2">
        <v>89.76</v>
      </c>
      <c r="H698" s="2" t="s">
        <v>37</v>
      </c>
      <c r="I698" s="2" t="s">
        <v>3328</v>
      </c>
    </row>
    <row r="699" spans="1:9" x14ac:dyDescent="0.25">
      <c r="A699" s="2" t="s">
        <v>4511</v>
      </c>
      <c r="B699" s="2" t="s">
        <v>3290</v>
      </c>
      <c r="C699" s="2" t="s">
        <v>3325</v>
      </c>
      <c r="D699" s="2" t="s">
        <v>3326</v>
      </c>
      <c r="E699" s="2" t="s">
        <v>3316</v>
      </c>
      <c r="F699" s="2" t="s">
        <v>4512</v>
      </c>
      <c r="G699" s="2">
        <v>48.15</v>
      </c>
      <c r="H699" s="2" t="s">
        <v>37</v>
      </c>
      <c r="I699" s="2" t="s">
        <v>3385</v>
      </c>
    </row>
    <row r="700" spans="1:9" x14ac:dyDescent="0.25">
      <c r="A700" s="2" t="s">
        <v>4513</v>
      </c>
      <c r="B700" s="2" t="s">
        <v>3071</v>
      </c>
      <c r="C700" s="2" t="s">
        <v>3427</v>
      </c>
      <c r="D700" s="2" t="s">
        <v>3428</v>
      </c>
      <c r="E700" s="2" t="s">
        <v>3480</v>
      </c>
      <c r="F700" s="2" t="s">
        <v>3429</v>
      </c>
      <c r="G700" s="2">
        <v>305.48</v>
      </c>
      <c r="H700" s="2" t="s">
        <v>36</v>
      </c>
      <c r="I700" s="2" t="s">
        <v>3328</v>
      </c>
    </row>
    <row r="701" spans="1:9" x14ac:dyDescent="0.25">
      <c r="A701" s="2" t="s">
        <v>4514</v>
      </c>
      <c r="B701" s="2" t="s">
        <v>2586</v>
      </c>
      <c r="C701" s="2" t="s">
        <v>3427</v>
      </c>
      <c r="D701" s="2" t="s">
        <v>3428</v>
      </c>
      <c r="E701" s="2" t="s">
        <v>4</v>
      </c>
      <c r="F701" s="2" t="s">
        <v>3478</v>
      </c>
      <c r="G701" s="2">
        <v>171.23</v>
      </c>
      <c r="H701" s="2" t="s">
        <v>37</v>
      </c>
      <c r="I701" s="2" t="s">
        <v>3334</v>
      </c>
    </row>
    <row r="702" spans="1:9" x14ac:dyDescent="0.25">
      <c r="A702" s="2" t="s">
        <v>4515</v>
      </c>
      <c r="B702" s="2" t="s">
        <v>1261</v>
      </c>
      <c r="C702" s="2" t="s">
        <v>3403</v>
      </c>
      <c r="D702" s="2" t="s">
        <v>3404</v>
      </c>
      <c r="E702" s="2" t="s">
        <v>3316</v>
      </c>
      <c r="F702" s="2" t="s">
        <v>3002</v>
      </c>
      <c r="G702" s="2">
        <v>56.26</v>
      </c>
      <c r="H702" s="2" t="s">
        <v>36</v>
      </c>
      <c r="I702" s="2" t="s">
        <v>3370</v>
      </c>
    </row>
    <row r="703" spans="1:9" x14ac:dyDescent="0.25">
      <c r="A703" s="2" t="s">
        <v>4516</v>
      </c>
      <c r="B703" s="2" t="s">
        <v>979</v>
      </c>
      <c r="C703" s="2" t="s">
        <v>3354</v>
      </c>
      <c r="D703" s="2" t="s">
        <v>3355</v>
      </c>
      <c r="E703" s="2" t="s">
        <v>4</v>
      </c>
      <c r="F703" s="2" t="s">
        <v>3425</v>
      </c>
      <c r="G703" s="2">
        <v>45.71</v>
      </c>
      <c r="H703" s="2" t="s">
        <v>37</v>
      </c>
      <c r="I703" s="2" t="s">
        <v>3328</v>
      </c>
    </row>
    <row r="704" spans="1:9" x14ac:dyDescent="0.25">
      <c r="A704" s="2" t="s">
        <v>4517</v>
      </c>
      <c r="B704" s="2" t="s">
        <v>2206</v>
      </c>
      <c r="C704" s="2" t="s">
        <v>3320</v>
      </c>
      <c r="D704" s="2" t="s">
        <v>3321</v>
      </c>
      <c r="E704" s="2" t="s">
        <v>4</v>
      </c>
      <c r="F704" s="2" t="s">
        <v>4481</v>
      </c>
      <c r="G704" s="2">
        <v>30.08</v>
      </c>
      <c r="H704" s="2" t="s">
        <v>37</v>
      </c>
      <c r="I704" s="2" t="s">
        <v>3334</v>
      </c>
    </row>
    <row r="705" spans="1:9" x14ac:dyDescent="0.25">
      <c r="A705" s="2" t="s">
        <v>4518</v>
      </c>
      <c r="B705" s="2" t="s">
        <v>2568</v>
      </c>
      <c r="C705" s="2" t="s">
        <v>3427</v>
      </c>
      <c r="D705" s="2" t="s">
        <v>3428</v>
      </c>
      <c r="E705" s="2" t="s">
        <v>65</v>
      </c>
      <c r="F705" s="2" t="s">
        <v>3478</v>
      </c>
      <c r="G705" s="2">
        <v>372.31</v>
      </c>
      <c r="H705" s="2" t="s">
        <v>36</v>
      </c>
      <c r="I705" s="2" t="s">
        <v>3318</v>
      </c>
    </row>
    <row r="706" spans="1:9" x14ac:dyDescent="0.25">
      <c r="A706" s="2" t="s">
        <v>4519</v>
      </c>
      <c r="B706" s="2" t="s">
        <v>2807</v>
      </c>
      <c r="C706" s="2" t="s">
        <v>3341</v>
      </c>
      <c r="D706" s="2" t="s">
        <v>3342</v>
      </c>
      <c r="E706" s="2" t="s">
        <v>3316</v>
      </c>
      <c r="F706" s="2" t="s">
        <v>4520</v>
      </c>
      <c r="G706" s="2">
        <v>220.61</v>
      </c>
      <c r="H706" s="2" t="s">
        <v>37</v>
      </c>
      <c r="I706" s="2" t="s">
        <v>3328</v>
      </c>
    </row>
    <row r="707" spans="1:9" x14ac:dyDescent="0.25">
      <c r="A707" s="2" t="s">
        <v>4521</v>
      </c>
      <c r="B707" s="2" t="s">
        <v>465</v>
      </c>
      <c r="C707" s="2" t="s">
        <v>3354</v>
      </c>
      <c r="D707" s="2" t="s">
        <v>3355</v>
      </c>
      <c r="E707" s="2" t="s">
        <v>4</v>
      </c>
      <c r="F707" s="2" t="s">
        <v>3623</v>
      </c>
      <c r="G707" s="2">
        <v>446.87</v>
      </c>
      <c r="H707" s="2" t="s">
        <v>36</v>
      </c>
      <c r="I707" s="2" t="s">
        <v>3365</v>
      </c>
    </row>
    <row r="708" spans="1:9" x14ac:dyDescent="0.25">
      <c r="A708" s="2" t="s">
        <v>4522</v>
      </c>
      <c r="B708" s="2" t="s">
        <v>1522</v>
      </c>
      <c r="C708" s="2" t="s">
        <v>3314</v>
      </c>
      <c r="D708" s="2" t="s">
        <v>3315</v>
      </c>
      <c r="E708" s="2" t="s">
        <v>65</v>
      </c>
      <c r="F708" s="2" t="s">
        <v>4318</v>
      </c>
      <c r="G708" s="2">
        <v>135.88999999999999</v>
      </c>
      <c r="H708" s="2" t="s">
        <v>37</v>
      </c>
      <c r="I708" s="2" t="s">
        <v>3331</v>
      </c>
    </row>
    <row r="709" spans="1:9" x14ac:dyDescent="0.25">
      <c r="A709" s="2" t="s">
        <v>4523</v>
      </c>
      <c r="B709" s="2" t="s">
        <v>1826</v>
      </c>
      <c r="C709" s="2" t="s">
        <v>3314</v>
      </c>
      <c r="D709" s="2" t="s">
        <v>3315</v>
      </c>
      <c r="E709" s="2" t="s">
        <v>3316</v>
      </c>
      <c r="F709" s="2" t="s">
        <v>4524</v>
      </c>
      <c r="G709" s="2">
        <v>1130.43</v>
      </c>
      <c r="H709" s="2" t="s">
        <v>36</v>
      </c>
      <c r="I709" s="2" t="s">
        <v>3385</v>
      </c>
    </row>
    <row r="710" spans="1:9" x14ac:dyDescent="0.25">
      <c r="A710" s="2" t="s">
        <v>4525</v>
      </c>
      <c r="B710" s="2" t="s">
        <v>1897</v>
      </c>
      <c r="C710" s="2" t="s">
        <v>3354</v>
      </c>
      <c r="D710" s="2" t="s">
        <v>3355</v>
      </c>
      <c r="E710" s="2" t="s">
        <v>4</v>
      </c>
      <c r="F710" s="2" t="s">
        <v>3356</v>
      </c>
      <c r="G710" s="2">
        <v>202.01</v>
      </c>
      <c r="H710" s="2" t="s">
        <v>37</v>
      </c>
      <c r="I710" s="2" t="s">
        <v>3385</v>
      </c>
    </row>
    <row r="711" spans="1:9" x14ac:dyDescent="0.25">
      <c r="A711" s="2" t="s">
        <v>4526</v>
      </c>
      <c r="B711" s="2" t="s">
        <v>1585</v>
      </c>
      <c r="C711" s="2" t="s">
        <v>3367</v>
      </c>
      <c r="D711" s="2" t="s">
        <v>3368</v>
      </c>
      <c r="E711" s="2" t="s">
        <v>4</v>
      </c>
      <c r="F711" s="2" t="s">
        <v>4527</v>
      </c>
      <c r="G711" s="2">
        <v>491.48</v>
      </c>
      <c r="H711" s="2" t="s">
        <v>37</v>
      </c>
      <c r="I711" s="2" t="s">
        <v>3334</v>
      </c>
    </row>
    <row r="712" spans="1:9" x14ac:dyDescent="0.25">
      <c r="A712" s="2" t="s">
        <v>4528</v>
      </c>
      <c r="B712" s="2" t="s">
        <v>2668</v>
      </c>
      <c r="C712" s="2" t="s">
        <v>4323</v>
      </c>
      <c r="D712" s="2" t="s">
        <v>3326</v>
      </c>
      <c r="E712" s="2" t="s">
        <v>3316</v>
      </c>
      <c r="F712" s="2" t="s">
        <v>4529</v>
      </c>
      <c r="G712" s="2">
        <v>20.73</v>
      </c>
      <c r="H712" s="2" t="s">
        <v>37</v>
      </c>
      <c r="I712" s="2" t="s">
        <v>3370</v>
      </c>
    </row>
    <row r="713" spans="1:9" x14ac:dyDescent="0.25">
      <c r="A713" s="2" t="s">
        <v>4530</v>
      </c>
      <c r="B713" s="2" t="s">
        <v>2568</v>
      </c>
      <c r="C713" s="2" t="s">
        <v>3325</v>
      </c>
      <c r="D713" s="2" t="s">
        <v>3326</v>
      </c>
      <c r="E713" s="2" t="s">
        <v>3316</v>
      </c>
      <c r="F713" s="2" t="s">
        <v>3540</v>
      </c>
      <c r="G713" s="2">
        <v>470.22</v>
      </c>
      <c r="H713" s="2" t="s">
        <v>37</v>
      </c>
      <c r="I713" s="2" t="s">
        <v>3370</v>
      </c>
    </row>
    <row r="714" spans="1:9" x14ac:dyDescent="0.25">
      <c r="A714" s="2" t="s">
        <v>4531</v>
      </c>
      <c r="B714" s="2" t="s">
        <v>3235</v>
      </c>
      <c r="C714" s="2" t="s">
        <v>3320</v>
      </c>
      <c r="D714" s="2" t="s">
        <v>3321</v>
      </c>
      <c r="E714" s="2" t="s">
        <v>4</v>
      </c>
      <c r="F714" s="2" t="s">
        <v>4212</v>
      </c>
      <c r="G714" s="2">
        <v>41.84</v>
      </c>
      <c r="H714" s="2" t="s">
        <v>36</v>
      </c>
      <c r="I714" s="2" t="s">
        <v>3365</v>
      </c>
    </row>
    <row r="715" spans="1:9" x14ac:dyDescent="0.25">
      <c r="A715" s="2" t="s">
        <v>4532</v>
      </c>
      <c r="B715" s="2" t="s">
        <v>1613</v>
      </c>
      <c r="C715" s="2" t="s">
        <v>3362</v>
      </c>
      <c r="D715" s="2" t="s">
        <v>3363</v>
      </c>
      <c r="E715" s="2" t="s">
        <v>65</v>
      </c>
      <c r="F715" s="2" t="s">
        <v>4533</v>
      </c>
      <c r="G715" s="2">
        <v>12.56</v>
      </c>
      <c r="H715" s="2" t="s">
        <v>37</v>
      </c>
      <c r="I715" s="2" t="s">
        <v>3385</v>
      </c>
    </row>
    <row r="716" spans="1:9" x14ac:dyDescent="0.25">
      <c r="A716" s="2" t="s">
        <v>4534</v>
      </c>
      <c r="B716" s="2" t="s">
        <v>3261</v>
      </c>
      <c r="C716" s="2" t="s">
        <v>3403</v>
      </c>
      <c r="D716" s="2" t="s">
        <v>3404</v>
      </c>
      <c r="E716" s="2" t="s">
        <v>4</v>
      </c>
      <c r="F716" s="2" t="s">
        <v>4535</v>
      </c>
      <c r="G716" s="2">
        <v>25.23</v>
      </c>
      <c r="H716" s="2" t="s">
        <v>37</v>
      </c>
      <c r="I716" s="2" t="s">
        <v>3328</v>
      </c>
    </row>
    <row r="717" spans="1:9" x14ac:dyDescent="0.25">
      <c r="A717" s="2" t="s">
        <v>4536</v>
      </c>
      <c r="B717" s="2" t="s">
        <v>106</v>
      </c>
      <c r="C717" s="2" t="s">
        <v>3367</v>
      </c>
      <c r="D717" s="2" t="s">
        <v>3368</v>
      </c>
      <c r="E717" s="2" t="s">
        <v>4</v>
      </c>
      <c r="F717" s="2" t="s">
        <v>4537</v>
      </c>
      <c r="G717" s="2">
        <v>19.63</v>
      </c>
      <c r="H717" s="2" t="s">
        <v>36</v>
      </c>
      <c r="I717" s="2" t="s">
        <v>3323</v>
      </c>
    </row>
    <row r="718" spans="1:9" x14ac:dyDescent="0.25">
      <c r="A718" s="2" t="s">
        <v>4538</v>
      </c>
      <c r="B718" s="2" t="s">
        <v>3153</v>
      </c>
      <c r="C718" s="2" t="s">
        <v>3427</v>
      </c>
      <c r="D718" s="2" t="s">
        <v>3428</v>
      </c>
      <c r="E718" s="2" t="s">
        <v>4</v>
      </c>
      <c r="F718" s="2" t="s">
        <v>3587</v>
      </c>
      <c r="G718" s="2">
        <v>5.39</v>
      </c>
      <c r="H718" s="2" t="s">
        <v>36</v>
      </c>
      <c r="I718" s="2" t="s">
        <v>3328</v>
      </c>
    </row>
    <row r="719" spans="1:9" x14ac:dyDescent="0.25">
      <c r="A719" s="2" t="s">
        <v>4539</v>
      </c>
      <c r="B719" s="2" t="s">
        <v>3287</v>
      </c>
      <c r="C719" s="2" t="s">
        <v>3325</v>
      </c>
      <c r="D719" s="2" t="s">
        <v>3326</v>
      </c>
      <c r="E719" s="2" t="s">
        <v>3338</v>
      </c>
      <c r="F719" s="2" t="s">
        <v>4540</v>
      </c>
      <c r="G719" s="2">
        <v>48.45</v>
      </c>
      <c r="H719" s="2" t="s">
        <v>36</v>
      </c>
      <c r="I719" s="2" t="s">
        <v>3334</v>
      </c>
    </row>
    <row r="720" spans="1:9" x14ac:dyDescent="0.25">
      <c r="A720" s="2" t="s">
        <v>4541</v>
      </c>
      <c r="B720" s="2" t="s">
        <v>2638</v>
      </c>
      <c r="C720" s="2" t="s">
        <v>3320</v>
      </c>
      <c r="D720" s="2" t="s">
        <v>3321</v>
      </c>
      <c r="E720" s="2" t="s">
        <v>65</v>
      </c>
      <c r="F720" s="2" t="s">
        <v>4542</v>
      </c>
      <c r="G720" s="2">
        <v>155.66999999999999</v>
      </c>
      <c r="H720" s="2" t="s">
        <v>37</v>
      </c>
      <c r="I720" s="2" t="s">
        <v>3365</v>
      </c>
    </row>
    <row r="721" spans="1:9" x14ac:dyDescent="0.25">
      <c r="A721" s="2" t="s">
        <v>4543</v>
      </c>
      <c r="B721" s="2" t="s">
        <v>2303</v>
      </c>
      <c r="C721" s="2" t="s">
        <v>3427</v>
      </c>
      <c r="D721" s="2" t="s">
        <v>3428</v>
      </c>
      <c r="E721" s="2" t="s">
        <v>65</v>
      </c>
      <c r="F721" s="2" t="s">
        <v>3478</v>
      </c>
      <c r="G721" s="2">
        <v>26.74</v>
      </c>
      <c r="H721" s="2" t="s">
        <v>37</v>
      </c>
      <c r="I721" s="2" t="s">
        <v>3365</v>
      </c>
    </row>
    <row r="722" spans="1:9" x14ac:dyDescent="0.25">
      <c r="A722" s="2" t="s">
        <v>4544</v>
      </c>
      <c r="B722" s="2" t="s">
        <v>1173</v>
      </c>
      <c r="C722" s="2" t="s">
        <v>3320</v>
      </c>
      <c r="D722" s="2" t="s">
        <v>3321</v>
      </c>
      <c r="E722" s="2" t="s">
        <v>4</v>
      </c>
      <c r="F722" s="2" t="s">
        <v>4545</v>
      </c>
      <c r="G722" s="2">
        <v>26.61</v>
      </c>
      <c r="H722" s="2" t="s">
        <v>36</v>
      </c>
      <c r="I722" s="2" t="s">
        <v>3370</v>
      </c>
    </row>
    <row r="723" spans="1:9" x14ac:dyDescent="0.25">
      <c r="A723" s="2" t="s">
        <v>4546</v>
      </c>
      <c r="B723" s="2" t="s">
        <v>753</v>
      </c>
      <c r="C723" s="2" t="s">
        <v>3320</v>
      </c>
      <c r="D723" s="2" t="s">
        <v>3321</v>
      </c>
      <c r="E723" s="2" t="s">
        <v>65</v>
      </c>
      <c r="F723" s="2" t="s">
        <v>4547</v>
      </c>
      <c r="G723" s="2">
        <v>45.67</v>
      </c>
      <c r="H723" s="2" t="s">
        <v>36</v>
      </c>
      <c r="I723" s="2" t="s">
        <v>3370</v>
      </c>
    </row>
    <row r="724" spans="1:9" x14ac:dyDescent="0.25">
      <c r="A724" s="2" t="s">
        <v>4548</v>
      </c>
      <c r="B724" s="2" t="s">
        <v>1631</v>
      </c>
      <c r="C724" s="2" t="s">
        <v>3362</v>
      </c>
      <c r="D724" s="2" t="s">
        <v>3363</v>
      </c>
      <c r="E724" s="2" t="s">
        <v>65</v>
      </c>
      <c r="F724" s="2" t="s">
        <v>4549</v>
      </c>
      <c r="G724" s="2">
        <v>16.489999999999998</v>
      </c>
      <c r="H724" s="2" t="s">
        <v>36</v>
      </c>
      <c r="I724" s="2" t="s">
        <v>3365</v>
      </c>
    </row>
    <row r="725" spans="1:9" x14ac:dyDescent="0.25">
      <c r="A725" s="2" t="s">
        <v>4550</v>
      </c>
      <c r="B725" s="2" t="s">
        <v>1186</v>
      </c>
      <c r="C725" s="2" t="s">
        <v>3314</v>
      </c>
      <c r="D725" s="2" t="s">
        <v>3315</v>
      </c>
      <c r="E725" s="2" t="s">
        <v>3316</v>
      </c>
      <c r="F725" s="2" t="s">
        <v>4375</v>
      </c>
      <c r="G725" s="2">
        <v>3206.08</v>
      </c>
      <c r="H725" s="2" t="s">
        <v>37</v>
      </c>
      <c r="I725" s="2" t="s">
        <v>3331</v>
      </c>
    </row>
    <row r="726" spans="1:9" x14ac:dyDescent="0.25">
      <c r="A726" s="2" t="s">
        <v>4551</v>
      </c>
      <c r="B726" s="2" t="s">
        <v>3026</v>
      </c>
      <c r="C726" s="2" t="s">
        <v>3362</v>
      </c>
      <c r="D726" s="2" t="s">
        <v>3363</v>
      </c>
      <c r="E726" s="2" t="s">
        <v>65</v>
      </c>
      <c r="F726" s="2" t="s">
        <v>4053</v>
      </c>
      <c r="G726" s="2">
        <v>26.49</v>
      </c>
      <c r="H726" s="2" t="s">
        <v>36</v>
      </c>
      <c r="I726" s="2" t="s">
        <v>3370</v>
      </c>
    </row>
    <row r="727" spans="1:9" x14ac:dyDescent="0.25">
      <c r="A727" s="2" t="s">
        <v>4552</v>
      </c>
      <c r="B727" s="2" t="s">
        <v>2159</v>
      </c>
      <c r="C727" s="2" t="s">
        <v>3320</v>
      </c>
      <c r="D727" s="2" t="s">
        <v>3321</v>
      </c>
      <c r="E727" s="2" t="s">
        <v>65</v>
      </c>
      <c r="F727" s="2" t="s">
        <v>4553</v>
      </c>
      <c r="G727" s="2">
        <v>11.95</v>
      </c>
      <c r="H727" s="2" t="s">
        <v>37</v>
      </c>
      <c r="I727" s="2" t="s">
        <v>3331</v>
      </c>
    </row>
    <row r="728" spans="1:9" x14ac:dyDescent="0.25">
      <c r="A728" s="2" t="s">
        <v>4554</v>
      </c>
      <c r="B728" s="2" t="s">
        <v>2246</v>
      </c>
      <c r="C728" s="2" t="s">
        <v>3314</v>
      </c>
      <c r="D728" s="2" t="s">
        <v>3315</v>
      </c>
      <c r="E728" s="2" t="s">
        <v>3316</v>
      </c>
      <c r="F728" s="2" t="s">
        <v>4555</v>
      </c>
      <c r="G728" s="2">
        <v>4443.9399999999996</v>
      </c>
      <c r="H728" s="2" t="s">
        <v>36</v>
      </c>
      <c r="I728" s="2" t="s">
        <v>3318</v>
      </c>
    </row>
    <row r="729" spans="1:9" x14ac:dyDescent="0.25">
      <c r="A729" s="2" t="s">
        <v>4556</v>
      </c>
      <c r="B729" s="2" t="s">
        <v>2592</v>
      </c>
      <c r="C729" s="2" t="s">
        <v>3403</v>
      </c>
      <c r="D729" s="2" t="s">
        <v>3404</v>
      </c>
      <c r="E729" s="2" t="s">
        <v>4</v>
      </c>
      <c r="F729" s="2" t="s">
        <v>4557</v>
      </c>
      <c r="G729" s="2">
        <v>26.97</v>
      </c>
      <c r="H729" s="2" t="s">
        <v>37</v>
      </c>
      <c r="I729" s="2" t="s">
        <v>3323</v>
      </c>
    </row>
    <row r="730" spans="1:9" x14ac:dyDescent="0.25">
      <c r="A730" s="2" t="s">
        <v>4558</v>
      </c>
      <c r="B730" s="2" t="s">
        <v>949</v>
      </c>
      <c r="C730" s="2" t="s">
        <v>3427</v>
      </c>
      <c r="D730" s="2" t="s">
        <v>3428</v>
      </c>
      <c r="E730" s="2" t="s">
        <v>65</v>
      </c>
      <c r="F730" s="2" t="s">
        <v>3471</v>
      </c>
      <c r="G730" s="2">
        <v>13.8</v>
      </c>
      <c r="H730" s="2" t="s">
        <v>37</v>
      </c>
      <c r="I730" s="2" t="s">
        <v>3334</v>
      </c>
    </row>
    <row r="731" spans="1:9" x14ac:dyDescent="0.25">
      <c r="A731" s="2" t="s">
        <v>4559</v>
      </c>
      <c r="B731" s="2" t="s">
        <v>2433</v>
      </c>
      <c r="C731" s="2" t="s">
        <v>3403</v>
      </c>
      <c r="D731" s="2" t="s">
        <v>3404</v>
      </c>
      <c r="E731" s="2" t="s">
        <v>4</v>
      </c>
      <c r="F731" s="2" t="s">
        <v>4560</v>
      </c>
      <c r="G731" s="2">
        <v>131.99</v>
      </c>
      <c r="H731" s="2" t="s">
        <v>36</v>
      </c>
      <c r="I731" s="2" t="s">
        <v>3385</v>
      </c>
    </row>
    <row r="732" spans="1:9" x14ac:dyDescent="0.25">
      <c r="A732" s="2" t="s">
        <v>4561</v>
      </c>
      <c r="B732" s="2"/>
      <c r="C732" s="2" t="s">
        <v>3314</v>
      </c>
      <c r="D732" s="2" t="s">
        <v>3315</v>
      </c>
      <c r="E732" s="2" t="s">
        <v>65</v>
      </c>
      <c r="F732" s="2" t="s">
        <v>4562</v>
      </c>
      <c r="G732" s="2">
        <v>480.52</v>
      </c>
      <c r="H732" s="2" t="s">
        <v>37</v>
      </c>
      <c r="I732" s="2" t="s">
        <v>3328</v>
      </c>
    </row>
    <row r="733" spans="1:9" x14ac:dyDescent="0.25">
      <c r="A733" s="2" t="s">
        <v>4563</v>
      </c>
      <c r="B733" s="2" t="s">
        <v>1059</v>
      </c>
      <c r="C733" s="2" t="s">
        <v>3341</v>
      </c>
      <c r="D733" s="2" t="s">
        <v>3342</v>
      </c>
      <c r="E733" s="2" t="s">
        <v>3316</v>
      </c>
      <c r="F733" s="2" t="s">
        <v>4564</v>
      </c>
      <c r="G733" s="2">
        <v>290.85000000000002</v>
      </c>
      <c r="H733" s="2" t="s">
        <v>36</v>
      </c>
      <c r="I733" s="2" t="s">
        <v>3385</v>
      </c>
    </row>
    <row r="734" spans="1:9" x14ac:dyDescent="0.25">
      <c r="A734" s="2" t="s">
        <v>4565</v>
      </c>
      <c r="B734" s="2" t="s">
        <v>3077</v>
      </c>
      <c r="C734" s="2" t="s">
        <v>3367</v>
      </c>
      <c r="D734" s="2" t="s">
        <v>3368</v>
      </c>
      <c r="E734" s="2" t="s">
        <v>4</v>
      </c>
      <c r="F734" s="2" t="s">
        <v>4566</v>
      </c>
      <c r="G734" s="2">
        <v>83.65</v>
      </c>
      <c r="H734" s="2" t="s">
        <v>37</v>
      </c>
      <c r="I734" s="2" t="s">
        <v>3331</v>
      </c>
    </row>
    <row r="735" spans="1:9" x14ac:dyDescent="0.25">
      <c r="A735" s="2" t="s">
        <v>4567</v>
      </c>
      <c r="B735" s="2" t="s">
        <v>1861</v>
      </c>
      <c r="C735" s="2" t="s">
        <v>3320</v>
      </c>
      <c r="D735" s="2" t="s">
        <v>3321</v>
      </c>
      <c r="E735" s="2" t="s">
        <v>65</v>
      </c>
      <c r="F735" s="2" t="s">
        <v>3380</v>
      </c>
      <c r="G735" s="2">
        <v>415.99</v>
      </c>
      <c r="H735" s="2" t="s">
        <v>36</v>
      </c>
      <c r="I735" s="2" t="s">
        <v>3318</v>
      </c>
    </row>
    <row r="736" spans="1:9" x14ac:dyDescent="0.25">
      <c r="A736" s="2" t="s">
        <v>4568</v>
      </c>
      <c r="B736" s="2" t="s">
        <v>1643</v>
      </c>
      <c r="C736" s="2" t="s">
        <v>3320</v>
      </c>
      <c r="D736" s="2" t="s">
        <v>3321</v>
      </c>
      <c r="E736" s="2" t="s">
        <v>4</v>
      </c>
      <c r="F736" s="2" t="s">
        <v>4569</v>
      </c>
      <c r="G736" s="2">
        <v>74.239999999999995</v>
      </c>
      <c r="H736" s="2" t="s">
        <v>36</v>
      </c>
      <c r="I736" s="2" t="s">
        <v>3328</v>
      </c>
    </row>
    <row r="737" spans="1:9" x14ac:dyDescent="0.25">
      <c r="A737" s="2" t="s">
        <v>4570</v>
      </c>
      <c r="B737" s="2" t="s">
        <v>796</v>
      </c>
      <c r="C737" s="2" t="s">
        <v>3354</v>
      </c>
      <c r="D737" s="2" t="s">
        <v>3355</v>
      </c>
      <c r="E737" s="2" t="s">
        <v>4</v>
      </c>
      <c r="F737" s="2" t="s">
        <v>3623</v>
      </c>
      <c r="G737" s="2">
        <v>21.66</v>
      </c>
      <c r="H737" s="2" t="s">
        <v>37</v>
      </c>
      <c r="I737" s="2" t="s">
        <v>3334</v>
      </c>
    </row>
    <row r="738" spans="1:9" x14ac:dyDescent="0.25">
      <c r="A738" s="2" t="s">
        <v>4571</v>
      </c>
      <c r="B738" s="2" t="s">
        <v>289</v>
      </c>
      <c r="C738" s="2" t="s">
        <v>3427</v>
      </c>
      <c r="D738" s="2" t="s">
        <v>3428</v>
      </c>
      <c r="E738" s="2" t="s">
        <v>4</v>
      </c>
      <c r="F738" s="2" t="s">
        <v>3681</v>
      </c>
      <c r="G738" s="2">
        <v>64.09</v>
      </c>
      <c r="H738" s="2" t="s">
        <v>36</v>
      </c>
      <c r="I738" s="2" t="s">
        <v>3365</v>
      </c>
    </row>
    <row r="739" spans="1:9" x14ac:dyDescent="0.25">
      <c r="A739" s="2" t="s">
        <v>4572</v>
      </c>
      <c r="B739" s="2" t="s">
        <v>1838</v>
      </c>
      <c r="C739" s="2" t="s">
        <v>3320</v>
      </c>
      <c r="D739" s="2" t="s">
        <v>3321</v>
      </c>
      <c r="E739" s="2" t="s">
        <v>4</v>
      </c>
      <c r="F739" s="2" t="s">
        <v>4573</v>
      </c>
      <c r="G739" s="2">
        <v>5.26</v>
      </c>
      <c r="H739" s="2" t="s">
        <v>37</v>
      </c>
      <c r="I739" s="2" t="s">
        <v>3370</v>
      </c>
    </row>
    <row r="740" spans="1:9" x14ac:dyDescent="0.25">
      <c r="A740" s="2" t="s">
        <v>4574</v>
      </c>
      <c r="B740" s="2" t="s">
        <v>1909</v>
      </c>
      <c r="C740" s="2" t="s">
        <v>3341</v>
      </c>
      <c r="D740" s="2" t="s">
        <v>3342</v>
      </c>
      <c r="E740" s="2" t="s">
        <v>3316</v>
      </c>
      <c r="F740" s="2" t="s">
        <v>4040</v>
      </c>
      <c r="G740" s="2">
        <v>9.24</v>
      </c>
      <c r="H740" s="2" t="s">
        <v>37</v>
      </c>
      <c r="I740" s="2" t="s">
        <v>3328</v>
      </c>
    </row>
    <row r="741" spans="1:9" x14ac:dyDescent="0.25">
      <c r="A741" s="2" t="s">
        <v>4575</v>
      </c>
      <c r="B741" s="2" t="s">
        <v>3193</v>
      </c>
      <c r="C741" s="2" t="s">
        <v>3336</v>
      </c>
      <c r="D741" s="2" t="s">
        <v>3337</v>
      </c>
      <c r="E741" s="2" t="s">
        <v>3316</v>
      </c>
      <c r="F741" s="2" t="s">
        <v>4576</v>
      </c>
      <c r="G741" s="2">
        <v>6.52</v>
      </c>
      <c r="H741" s="2" t="s">
        <v>36</v>
      </c>
      <c r="I741" s="2" t="s">
        <v>3370</v>
      </c>
    </row>
    <row r="742" spans="1:9" x14ac:dyDescent="0.25">
      <c r="A742" s="2" t="s">
        <v>4577</v>
      </c>
      <c r="B742" s="2" t="s">
        <v>1982</v>
      </c>
      <c r="C742" s="2" t="s">
        <v>3367</v>
      </c>
      <c r="D742" s="2" t="s">
        <v>3368</v>
      </c>
      <c r="E742" s="2" t="s">
        <v>4</v>
      </c>
      <c r="F742" s="2" t="s">
        <v>4578</v>
      </c>
      <c r="G742" s="2">
        <v>99.59</v>
      </c>
      <c r="H742" s="2" t="s">
        <v>36</v>
      </c>
      <c r="I742" s="2" t="s">
        <v>3385</v>
      </c>
    </row>
    <row r="743" spans="1:9" x14ac:dyDescent="0.25">
      <c r="A743" s="2" t="s">
        <v>4579</v>
      </c>
      <c r="B743" s="2" t="s">
        <v>1976</v>
      </c>
      <c r="C743" s="2" t="s">
        <v>3367</v>
      </c>
      <c r="D743" s="2" t="s">
        <v>3368</v>
      </c>
      <c r="E743" s="2" t="s">
        <v>65</v>
      </c>
      <c r="F743" s="2" t="s">
        <v>4580</v>
      </c>
      <c r="G743" s="2">
        <v>2952.33</v>
      </c>
      <c r="H743" s="2" t="s">
        <v>36</v>
      </c>
      <c r="I743" s="2" t="s">
        <v>3365</v>
      </c>
    </row>
    <row r="744" spans="1:9" x14ac:dyDescent="0.25">
      <c r="A744" s="2" t="s">
        <v>4581</v>
      </c>
      <c r="B744" s="2" t="s">
        <v>844</v>
      </c>
      <c r="C744" s="2" t="s">
        <v>3314</v>
      </c>
      <c r="D744" s="2" t="s">
        <v>3315</v>
      </c>
      <c r="E744" s="2" t="s">
        <v>3316</v>
      </c>
      <c r="F744" s="2" t="s">
        <v>4582</v>
      </c>
      <c r="G744" s="2">
        <v>6.51</v>
      </c>
      <c r="H744" s="2" t="s">
        <v>37</v>
      </c>
      <c r="I744" s="2" t="s">
        <v>3365</v>
      </c>
    </row>
    <row r="745" spans="1:9" x14ac:dyDescent="0.25">
      <c r="A745" s="2" t="s">
        <v>4583</v>
      </c>
      <c r="B745" s="2" t="s">
        <v>825</v>
      </c>
      <c r="C745" s="2" t="s">
        <v>3341</v>
      </c>
      <c r="D745" s="2" t="s">
        <v>3342</v>
      </c>
      <c r="E745" s="2" t="s">
        <v>91</v>
      </c>
      <c r="F745" s="2" t="s">
        <v>3812</v>
      </c>
      <c r="G745" s="2">
        <v>62.65</v>
      </c>
      <c r="H745" s="2" t="s">
        <v>37</v>
      </c>
      <c r="I745" s="2" t="s">
        <v>3323</v>
      </c>
    </row>
    <row r="746" spans="1:9" x14ac:dyDescent="0.25">
      <c r="A746" s="2" t="s">
        <v>4584</v>
      </c>
      <c r="B746" s="2" t="s">
        <v>740</v>
      </c>
      <c r="C746" s="2" t="s">
        <v>3314</v>
      </c>
      <c r="D746" s="2" t="s">
        <v>3315</v>
      </c>
      <c r="E746" s="2" t="s">
        <v>3316</v>
      </c>
      <c r="F746" s="2" t="s">
        <v>4585</v>
      </c>
      <c r="G746" s="2">
        <v>93.17</v>
      </c>
      <c r="H746" s="2" t="s">
        <v>37</v>
      </c>
      <c r="I746" s="2" t="s">
        <v>3331</v>
      </c>
    </row>
    <row r="747" spans="1:9" x14ac:dyDescent="0.25">
      <c r="A747" s="2" t="s">
        <v>4586</v>
      </c>
      <c r="B747" s="2" t="s">
        <v>2046</v>
      </c>
      <c r="C747" s="2" t="s">
        <v>3427</v>
      </c>
      <c r="D747" s="2" t="s">
        <v>3428</v>
      </c>
      <c r="E747" s="2" t="s">
        <v>65</v>
      </c>
      <c r="F747" s="2" t="s">
        <v>3478</v>
      </c>
      <c r="G747" s="2">
        <v>346.97</v>
      </c>
      <c r="H747" s="2" t="s">
        <v>37</v>
      </c>
      <c r="I747" s="2" t="s">
        <v>3365</v>
      </c>
    </row>
    <row r="748" spans="1:9" x14ac:dyDescent="0.25">
      <c r="A748" s="2" t="s">
        <v>4587</v>
      </c>
      <c r="B748" s="2" t="s">
        <v>1423</v>
      </c>
      <c r="C748" s="2" t="s">
        <v>3320</v>
      </c>
      <c r="D748" s="2" t="s">
        <v>3321</v>
      </c>
      <c r="E748" s="2" t="s">
        <v>4</v>
      </c>
      <c r="F748" s="2" t="s">
        <v>4588</v>
      </c>
      <c r="G748" s="2">
        <v>38.92</v>
      </c>
      <c r="H748" s="2" t="s">
        <v>36</v>
      </c>
      <c r="I748" s="2" t="s">
        <v>3365</v>
      </c>
    </row>
    <row r="749" spans="1:9" x14ac:dyDescent="0.25">
      <c r="A749" s="2" t="s">
        <v>4589</v>
      </c>
      <c r="B749" s="2" t="s">
        <v>1909</v>
      </c>
      <c r="C749" s="2" t="s">
        <v>3367</v>
      </c>
      <c r="D749" s="2" t="s">
        <v>3368</v>
      </c>
      <c r="E749" s="2" t="s">
        <v>3480</v>
      </c>
      <c r="F749" s="2" t="s">
        <v>4590</v>
      </c>
      <c r="G749" s="2">
        <v>22.53</v>
      </c>
      <c r="H749" s="2" t="s">
        <v>36</v>
      </c>
      <c r="I749" s="2" t="s">
        <v>3328</v>
      </c>
    </row>
    <row r="750" spans="1:9" x14ac:dyDescent="0.25">
      <c r="A750" s="2" t="s">
        <v>4591</v>
      </c>
      <c r="B750" s="2" t="s">
        <v>68</v>
      </c>
      <c r="C750" s="2" t="s">
        <v>3362</v>
      </c>
      <c r="D750" s="2" t="s">
        <v>3363</v>
      </c>
      <c r="E750" s="2" t="s">
        <v>65</v>
      </c>
      <c r="F750" s="2" t="s">
        <v>2869</v>
      </c>
      <c r="G750" s="2">
        <v>29.7</v>
      </c>
      <c r="H750" s="2" t="s">
        <v>36</v>
      </c>
      <c r="I750" s="2" t="s">
        <v>3365</v>
      </c>
    </row>
    <row r="751" spans="1:9" x14ac:dyDescent="0.25">
      <c r="A751" s="2" t="s">
        <v>4592</v>
      </c>
      <c r="B751" s="2" t="s">
        <v>447</v>
      </c>
      <c r="C751" s="2" t="s">
        <v>3354</v>
      </c>
      <c r="D751" s="2" t="s">
        <v>3355</v>
      </c>
      <c r="E751" s="2" t="s">
        <v>4</v>
      </c>
      <c r="F751" s="2" t="s">
        <v>3589</v>
      </c>
      <c r="G751" s="2">
        <v>308.77999999999997</v>
      </c>
      <c r="H751" s="2" t="s">
        <v>36</v>
      </c>
      <c r="I751" s="2" t="s">
        <v>3385</v>
      </c>
    </row>
    <row r="752" spans="1:9" x14ac:dyDescent="0.25">
      <c r="A752" s="2" t="s">
        <v>4593</v>
      </c>
      <c r="B752" s="2" t="s">
        <v>2807</v>
      </c>
      <c r="C752" s="2" t="s">
        <v>3320</v>
      </c>
      <c r="D752" s="2" t="s">
        <v>3321</v>
      </c>
      <c r="E752" s="2" t="s">
        <v>65</v>
      </c>
      <c r="F752" s="2" t="s">
        <v>4594</v>
      </c>
      <c r="G752" s="2">
        <v>225.97</v>
      </c>
      <c r="H752" s="2" t="s">
        <v>37</v>
      </c>
      <c r="I752" s="2" t="s">
        <v>3334</v>
      </c>
    </row>
    <row r="753" spans="1:9" x14ac:dyDescent="0.25">
      <c r="A753" s="2" t="s">
        <v>4595</v>
      </c>
      <c r="B753" s="2" t="s">
        <v>2053</v>
      </c>
      <c r="C753" s="2" t="s">
        <v>3354</v>
      </c>
      <c r="D753" s="2" t="s">
        <v>3355</v>
      </c>
      <c r="E753" s="2" t="s">
        <v>65</v>
      </c>
      <c r="F753" s="2" t="s">
        <v>3623</v>
      </c>
      <c r="G753" s="2">
        <v>71.63</v>
      </c>
      <c r="H753" s="2" t="s">
        <v>37</v>
      </c>
      <c r="I753" s="2" t="s">
        <v>3365</v>
      </c>
    </row>
    <row r="754" spans="1:9" x14ac:dyDescent="0.25">
      <c r="A754" s="2" t="s">
        <v>4596</v>
      </c>
      <c r="B754" s="2" t="s">
        <v>1090</v>
      </c>
      <c r="C754" s="2" t="s">
        <v>3354</v>
      </c>
      <c r="D754" s="2" t="s">
        <v>3355</v>
      </c>
      <c r="E754" s="2" t="s">
        <v>65</v>
      </c>
      <c r="F754" s="2" t="s">
        <v>3649</v>
      </c>
      <c r="G754" s="2">
        <v>375.84</v>
      </c>
      <c r="H754" s="2" t="s">
        <v>36</v>
      </c>
      <c r="I754" s="2" t="s">
        <v>3370</v>
      </c>
    </row>
    <row r="755" spans="1:9" x14ac:dyDescent="0.25">
      <c r="A755" s="2" t="s">
        <v>4597</v>
      </c>
      <c r="B755" s="2" t="s">
        <v>3176</v>
      </c>
      <c r="C755" s="2" t="s">
        <v>3367</v>
      </c>
      <c r="D755" s="2" t="s">
        <v>3368</v>
      </c>
      <c r="E755" s="2" t="s">
        <v>4</v>
      </c>
      <c r="F755" s="2" t="s">
        <v>4598</v>
      </c>
      <c r="G755" s="2">
        <v>4738.34</v>
      </c>
      <c r="H755" s="2" t="s">
        <v>36</v>
      </c>
      <c r="I755" s="2" t="s">
        <v>3365</v>
      </c>
    </row>
    <row r="756" spans="1:9" x14ac:dyDescent="0.25">
      <c r="A756" s="2" t="s">
        <v>4599</v>
      </c>
      <c r="B756" s="2" t="s">
        <v>2592</v>
      </c>
      <c r="C756" s="2" t="s">
        <v>3336</v>
      </c>
      <c r="D756" s="2" t="s">
        <v>3337</v>
      </c>
      <c r="E756" s="2" t="s">
        <v>3316</v>
      </c>
      <c r="F756" s="2" t="s">
        <v>4600</v>
      </c>
      <c r="G756" s="2">
        <v>14.96</v>
      </c>
      <c r="H756" s="2" t="s">
        <v>36</v>
      </c>
      <c r="I756" s="2" t="s">
        <v>3323</v>
      </c>
    </row>
    <row r="757" spans="1:9" x14ac:dyDescent="0.25">
      <c r="A757" s="2" t="s">
        <v>4601</v>
      </c>
      <c r="B757" s="2" t="s">
        <v>2445</v>
      </c>
      <c r="C757" s="2" t="s">
        <v>3320</v>
      </c>
      <c r="D757" s="2" t="s">
        <v>3321</v>
      </c>
      <c r="E757" s="2" t="s">
        <v>65</v>
      </c>
      <c r="F757" s="2" t="s">
        <v>4602</v>
      </c>
      <c r="G757" s="2">
        <v>3293.01</v>
      </c>
      <c r="H757" s="2" t="s">
        <v>37</v>
      </c>
      <c r="I757" s="2" t="s">
        <v>3370</v>
      </c>
    </row>
    <row r="758" spans="1:9" x14ac:dyDescent="0.25">
      <c r="A758" s="2" t="s">
        <v>4603</v>
      </c>
      <c r="B758" s="2" t="s">
        <v>559</v>
      </c>
      <c r="C758" s="2" t="s">
        <v>3367</v>
      </c>
      <c r="D758" s="2" t="s">
        <v>3368</v>
      </c>
      <c r="E758" s="2" t="s">
        <v>65</v>
      </c>
      <c r="F758" s="2" t="s">
        <v>4604</v>
      </c>
      <c r="G758" s="2">
        <v>7.46</v>
      </c>
      <c r="H758" s="2" t="s">
        <v>36</v>
      </c>
      <c r="I758" s="2" t="s">
        <v>3334</v>
      </c>
    </row>
    <row r="759" spans="1:9" x14ac:dyDescent="0.25">
      <c r="A759" s="2" t="s">
        <v>4605</v>
      </c>
      <c r="B759" s="2" t="s">
        <v>3141</v>
      </c>
      <c r="C759" s="2" t="s">
        <v>3341</v>
      </c>
      <c r="D759" s="2" t="s">
        <v>3342</v>
      </c>
      <c r="E759" s="2" t="s">
        <v>91</v>
      </c>
      <c r="F759" s="2" t="s">
        <v>4606</v>
      </c>
      <c r="G759" s="2">
        <v>210.88</v>
      </c>
      <c r="H759" s="2" t="s">
        <v>36</v>
      </c>
      <c r="I759" s="2" t="s">
        <v>3385</v>
      </c>
    </row>
    <row r="760" spans="1:9" x14ac:dyDescent="0.25">
      <c r="A760" s="2" t="s">
        <v>4607</v>
      </c>
      <c r="B760" s="2" t="s">
        <v>2112</v>
      </c>
      <c r="C760" s="2" t="s">
        <v>3367</v>
      </c>
      <c r="D760" s="2" t="s">
        <v>3368</v>
      </c>
      <c r="E760" s="2" t="s">
        <v>65</v>
      </c>
      <c r="F760" s="2" t="s">
        <v>4608</v>
      </c>
      <c r="G760" s="2">
        <v>78.010000000000005</v>
      </c>
      <c r="H760" s="2" t="s">
        <v>36</v>
      </c>
      <c r="I760" s="2" t="s">
        <v>3365</v>
      </c>
    </row>
    <row r="761" spans="1:9" x14ac:dyDescent="0.25">
      <c r="A761" s="2" t="s">
        <v>4609</v>
      </c>
      <c r="B761" s="2" t="s">
        <v>2609</v>
      </c>
      <c r="C761" s="2" t="s">
        <v>3341</v>
      </c>
      <c r="D761" s="2" t="s">
        <v>3342</v>
      </c>
      <c r="E761" s="2" t="s">
        <v>4</v>
      </c>
      <c r="F761" s="2" t="s">
        <v>3897</v>
      </c>
      <c r="G761" s="2">
        <v>21.08</v>
      </c>
      <c r="H761" s="2" t="s">
        <v>36</v>
      </c>
      <c r="I761" s="2" t="s">
        <v>3385</v>
      </c>
    </row>
    <row r="762" spans="1:9" x14ac:dyDescent="0.25">
      <c r="A762" s="2" t="s">
        <v>4610</v>
      </c>
      <c r="B762" s="2" t="s">
        <v>3071</v>
      </c>
      <c r="C762" s="2" t="s">
        <v>3341</v>
      </c>
      <c r="D762" s="2" t="s">
        <v>3342</v>
      </c>
      <c r="E762" s="2" t="s">
        <v>91</v>
      </c>
      <c r="F762" s="2" t="s">
        <v>3536</v>
      </c>
      <c r="G762" s="2">
        <v>4754.83</v>
      </c>
      <c r="H762" s="2" t="s">
        <v>36</v>
      </c>
      <c r="I762" s="2" t="s">
        <v>3334</v>
      </c>
    </row>
    <row r="763" spans="1:9" x14ac:dyDescent="0.25">
      <c r="A763" s="2" t="s">
        <v>4611</v>
      </c>
      <c r="B763" s="2" t="s">
        <v>3297</v>
      </c>
      <c r="C763" s="2" t="s">
        <v>3403</v>
      </c>
      <c r="D763" s="2" t="s">
        <v>3404</v>
      </c>
      <c r="E763" s="2" t="s">
        <v>65</v>
      </c>
      <c r="F763" s="2" t="s">
        <v>4612</v>
      </c>
      <c r="G763" s="2">
        <v>119.49</v>
      </c>
      <c r="H763" s="2" t="s">
        <v>36</v>
      </c>
      <c r="I763" s="2" t="s">
        <v>3331</v>
      </c>
    </row>
    <row r="764" spans="1:9" x14ac:dyDescent="0.25">
      <c r="A764" s="2" t="s">
        <v>4613</v>
      </c>
      <c r="B764" s="2" t="s">
        <v>1921</v>
      </c>
      <c r="C764" s="2" t="s">
        <v>3341</v>
      </c>
      <c r="D764" s="2" t="s">
        <v>3342</v>
      </c>
      <c r="E764" s="2" t="s">
        <v>91</v>
      </c>
      <c r="F764" s="2" t="s">
        <v>4614</v>
      </c>
      <c r="G764" s="2">
        <v>250.7</v>
      </c>
      <c r="H764" s="2" t="s">
        <v>36</v>
      </c>
      <c r="I764" s="2" t="s">
        <v>3318</v>
      </c>
    </row>
    <row r="765" spans="1:9" x14ac:dyDescent="0.25">
      <c r="A765" s="2" t="s">
        <v>4615</v>
      </c>
      <c r="B765" s="2" t="s">
        <v>1375</v>
      </c>
      <c r="C765" s="2" t="s">
        <v>3427</v>
      </c>
      <c r="D765" s="2" t="s">
        <v>3428</v>
      </c>
      <c r="E765" s="2" t="s">
        <v>4</v>
      </c>
      <c r="F765" s="2" t="s">
        <v>3681</v>
      </c>
      <c r="G765" s="2">
        <v>135.99</v>
      </c>
      <c r="H765" s="2" t="s">
        <v>36</v>
      </c>
      <c r="I765" s="2" t="s">
        <v>3328</v>
      </c>
    </row>
    <row r="766" spans="1:9" x14ac:dyDescent="0.25">
      <c r="A766" s="2" t="s">
        <v>4616</v>
      </c>
      <c r="B766" s="2" t="s">
        <v>914</v>
      </c>
      <c r="C766" s="2" t="s">
        <v>3427</v>
      </c>
      <c r="D766" s="2" t="s">
        <v>3428</v>
      </c>
      <c r="E766" s="2" t="s">
        <v>4</v>
      </c>
      <c r="F766" s="2" t="s">
        <v>3478</v>
      </c>
      <c r="G766" s="2">
        <v>3685.01</v>
      </c>
      <c r="H766" s="2" t="s">
        <v>36</v>
      </c>
      <c r="I766" s="2" t="s">
        <v>3370</v>
      </c>
    </row>
    <row r="767" spans="1:9" x14ac:dyDescent="0.25">
      <c r="A767" s="2" t="s">
        <v>4617</v>
      </c>
      <c r="B767" s="2" t="s">
        <v>1591</v>
      </c>
      <c r="C767" s="2" t="s">
        <v>3403</v>
      </c>
      <c r="D767" s="2" t="s">
        <v>3404</v>
      </c>
      <c r="E767" s="2" t="s">
        <v>4</v>
      </c>
      <c r="F767" s="2" t="s">
        <v>1993</v>
      </c>
      <c r="G767" s="2">
        <v>91.98</v>
      </c>
      <c r="H767" s="2" t="s">
        <v>36</v>
      </c>
      <c r="I767" s="2" t="s">
        <v>3370</v>
      </c>
    </row>
    <row r="768" spans="1:9" x14ac:dyDescent="0.25">
      <c r="A768" s="2" t="s">
        <v>4618</v>
      </c>
      <c r="B768" s="2" t="s">
        <v>1386</v>
      </c>
      <c r="C768" s="2" t="s">
        <v>3341</v>
      </c>
      <c r="D768" s="2" t="s">
        <v>3342</v>
      </c>
      <c r="E768" s="2" t="s">
        <v>91</v>
      </c>
      <c r="F768" s="2" t="s">
        <v>3488</v>
      </c>
      <c r="G768" s="2">
        <v>180.31</v>
      </c>
      <c r="H768" s="2" t="s">
        <v>37</v>
      </c>
      <c r="I768" s="2" t="s">
        <v>3328</v>
      </c>
    </row>
    <row r="769" spans="1:9" x14ac:dyDescent="0.25">
      <c r="A769" s="2" t="s">
        <v>4619</v>
      </c>
      <c r="B769" s="2" t="s">
        <v>3223</v>
      </c>
      <c r="C769" s="2" t="s">
        <v>3314</v>
      </c>
      <c r="D769" s="2" t="s">
        <v>3315</v>
      </c>
      <c r="E769" s="2" t="s">
        <v>65</v>
      </c>
      <c r="F769" s="2" t="s">
        <v>4620</v>
      </c>
      <c r="G769" s="2">
        <v>32.159999999999997</v>
      </c>
      <c r="H769" s="2" t="s">
        <v>36</v>
      </c>
      <c r="I769" s="2" t="s">
        <v>3334</v>
      </c>
    </row>
    <row r="770" spans="1:9" x14ac:dyDescent="0.25">
      <c r="A770" s="2" t="s">
        <v>4621</v>
      </c>
      <c r="B770" s="2" t="s">
        <v>1784</v>
      </c>
      <c r="C770" s="2" t="s">
        <v>3336</v>
      </c>
      <c r="D770" s="2" t="s">
        <v>3337</v>
      </c>
      <c r="E770" s="2" t="s">
        <v>3338</v>
      </c>
      <c r="F770" s="2" t="s">
        <v>4622</v>
      </c>
      <c r="G770" s="2">
        <v>33.64</v>
      </c>
      <c r="H770" s="2" t="s">
        <v>36</v>
      </c>
      <c r="I770" s="2" t="s">
        <v>3365</v>
      </c>
    </row>
    <row r="771" spans="1:9" x14ac:dyDescent="0.25">
      <c r="A771" s="2" t="s">
        <v>4623</v>
      </c>
      <c r="B771" s="2" t="s">
        <v>1250</v>
      </c>
      <c r="C771" s="2" t="s">
        <v>3367</v>
      </c>
      <c r="D771" s="2" t="s">
        <v>3368</v>
      </c>
      <c r="E771" s="2" t="s">
        <v>4</v>
      </c>
      <c r="F771" s="2" t="s">
        <v>4189</v>
      </c>
      <c r="G771" s="2">
        <v>2440.1999999999998</v>
      </c>
      <c r="H771" s="2" t="s">
        <v>36</v>
      </c>
      <c r="I771" s="2" t="s">
        <v>3365</v>
      </c>
    </row>
    <row r="772" spans="1:9" x14ac:dyDescent="0.25">
      <c r="A772" s="2" t="s">
        <v>4624</v>
      </c>
      <c r="B772" s="2" t="s">
        <v>256</v>
      </c>
      <c r="C772" s="2" t="s">
        <v>3336</v>
      </c>
      <c r="D772" s="2" t="s">
        <v>3337</v>
      </c>
      <c r="E772" s="2" t="s">
        <v>3338</v>
      </c>
      <c r="F772" s="2" t="s">
        <v>4625</v>
      </c>
      <c r="G772" s="2">
        <v>4323.72</v>
      </c>
      <c r="H772" s="2" t="s">
        <v>36</v>
      </c>
      <c r="I772" s="2" t="s">
        <v>3328</v>
      </c>
    </row>
    <row r="773" spans="1:9" x14ac:dyDescent="0.25">
      <c r="A773" s="2" t="s">
        <v>4626</v>
      </c>
      <c r="B773" s="2" t="s">
        <v>1303</v>
      </c>
      <c r="C773" s="2" t="s">
        <v>3336</v>
      </c>
      <c r="D773" s="2" t="s">
        <v>3337</v>
      </c>
      <c r="E773" s="2" t="s">
        <v>3316</v>
      </c>
      <c r="F773" s="2" t="s">
        <v>4627</v>
      </c>
      <c r="G773" s="2">
        <v>27.05</v>
      </c>
      <c r="H773" s="2" t="s">
        <v>36</v>
      </c>
      <c r="I773" s="2" t="s">
        <v>3328</v>
      </c>
    </row>
    <row r="774" spans="1:9" x14ac:dyDescent="0.25">
      <c r="A774" s="2" t="s">
        <v>4628</v>
      </c>
      <c r="B774" s="2" t="s">
        <v>1141</v>
      </c>
      <c r="C774" s="2" t="s">
        <v>3367</v>
      </c>
      <c r="D774" s="2" t="s">
        <v>3368</v>
      </c>
      <c r="E774" s="2" t="s">
        <v>65</v>
      </c>
      <c r="F774" s="2" t="s">
        <v>4629</v>
      </c>
      <c r="G774" s="2">
        <v>5.89</v>
      </c>
      <c r="H774" s="2" t="s">
        <v>37</v>
      </c>
      <c r="I774" s="2" t="s">
        <v>3370</v>
      </c>
    </row>
    <row r="775" spans="1:9" x14ac:dyDescent="0.25">
      <c r="A775" s="2" t="s">
        <v>4630</v>
      </c>
      <c r="B775" s="2" t="s">
        <v>2632</v>
      </c>
      <c r="C775" s="2" t="s">
        <v>3320</v>
      </c>
      <c r="D775" s="2" t="s">
        <v>3321</v>
      </c>
      <c r="E775" s="2" t="s">
        <v>65</v>
      </c>
      <c r="F775" s="2" t="s">
        <v>3888</v>
      </c>
      <c r="G775" s="2">
        <v>21.98</v>
      </c>
      <c r="H775" s="2" t="s">
        <v>36</v>
      </c>
      <c r="I775" s="2" t="s">
        <v>3370</v>
      </c>
    </row>
    <row r="776" spans="1:9" x14ac:dyDescent="0.25">
      <c r="A776" s="2" t="s">
        <v>4631</v>
      </c>
      <c r="B776" s="2" t="s">
        <v>2463</v>
      </c>
      <c r="C776" s="2" t="s">
        <v>3427</v>
      </c>
      <c r="D776" s="2" t="s">
        <v>3428</v>
      </c>
      <c r="E776" s="2" t="s">
        <v>65</v>
      </c>
      <c r="F776" s="2" t="s">
        <v>3429</v>
      </c>
      <c r="G776" s="2">
        <v>86.28</v>
      </c>
      <c r="H776" s="2" t="s">
        <v>37</v>
      </c>
      <c r="I776" s="2" t="s">
        <v>3365</v>
      </c>
    </row>
    <row r="777" spans="1:9" x14ac:dyDescent="0.25">
      <c r="A777" s="2" t="s">
        <v>4632</v>
      </c>
      <c r="B777" s="2" t="s">
        <v>2870</v>
      </c>
      <c r="C777" s="2" t="s">
        <v>3336</v>
      </c>
      <c r="D777" s="2" t="s">
        <v>3337</v>
      </c>
      <c r="E777" s="2" t="s">
        <v>65</v>
      </c>
      <c r="F777" s="2" t="s">
        <v>4633</v>
      </c>
      <c r="G777" s="2">
        <v>62.6</v>
      </c>
      <c r="H777" s="2" t="s">
        <v>36</v>
      </c>
      <c r="I777" s="2" t="s">
        <v>3334</v>
      </c>
    </row>
    <row r="778" spans="1:9" x14ac:dyDescent="0.25">
      <c r="A778" s="2" t="s">
        <v>4634</v>
      </c>
      <c r="B778" s="2" t="s">
        <v>2094</v>
      </c>
      <c r="C778" s="2" t="s">
        <v>3336</v>
      </c>
      <c r="D778" s="2" t="s">
        <v>3337</v>
      </c>
      <c r="E778" s="2" t="s">
        <v>3316</v>
      </c>
      <c r="F778" s="2" t="s">
        <v>4635</v>
      </c>
      <c r="G778" s="2">
        <v>5.77</v>
      </c>
      <c r="H778" s="2" t="s">
        <v>37</v>
      </c>
      <c r="I778" s="2" t="s">
        <v>3370</v>
      </c>
    </row>
    <row r="779" spans="1:9" x14ac:dyDescent="0.25">
      <c r="A779" s="2" t="s">
        <v>4636</v>
      </c>
      <c r="B779" s="2" t="s">
        <v>2163</v>
      </c>
      <c r="C779" s="2" t="s">
        <v>3427</v>
      </c>
      <c r="D779" s="2" t="s">
        <v>3428</v>
      </c>
      <c r="E779" s="2" t="s">
        <v>65</v>
      </c>
      <c r="F779" s="2" t="s">
        <v>3587</v>
      </c>
      <c r="G779" s="2">
        <v>58.96</v>
      </c>
      <c r="H779" s="2" t="s">
        <v>36</v>
      </c>
      <c r="I779" s="2" t="s">
        <v>3318</v>
      </c>
    </row>
    <row r="780" spans="1:9" x14ac:dyDescent="0.25">
      <c r="A780" s="2" t="s">
        <v>4637</v>
      </c>
      <c r="B780" s="2" t="s">
        <v>1261</v>
      </c>
      <c r="C780" s="2" t="s">
        <v>3320</v>
      </c>
      <c r="D780" s="2" t="s">
        <v>3321</v>
      </c>
      <c r="E780" s="2" t="s">
        <v>65</v>
      </c>
      <c r="F780" s="2" t="s">
        <v>4638</v>
      </c>
      <c r="G780" s="2">
        <v>48.04</v>
      </c>
      <c r="H780" s="2" t="s">
        <v>37</v>
      </c>
      <c r="I780" s="2" t="s">
        <v>3370</v>
      </c>
    </row>
    <row r="781" spans="1:9" x14ac:dyDescent="0.25">
      <c r="A781" s="2" t="s">
        <v>4639</v>
      </c>
      <c r="B781" s="2" t="s">
        <v>876</v>
      </c>
      <c r="C781" s="2" t="s">
        <v>3341</v>
      </c>
      <c r="D781" s="2" t="s">
        <v>3342</v>
      </c>
      <c r="E781" s="2" t="s">
        <v>4</v>
      </c>
      <c r="F781" s="2" t="s">
        <v>3459</v>
      </c>
      <c r="G781" s="2">
        <v>3747.49</v>
      </c>
      <c r="H781" s="2" t="s">
        <v>37</v>
      </c>
      <c r="I781" s="2" t="s">
        <v>3365</v>
      </c>
    </row>
    <row r="782" spans="1:9" x14ac:dyDescent="0.25">
      <c r="A782" s="2" t="s">
        <v>4640</v>
      </c>
      <c r="B782" s="2" t="s">
        <v>2252</v>
      </c>
      <c r="C782" s="2" t="s">
        <v>3336</v>
      </c>
      <c r="D782" s="2" t="s">
        <v>3337</v>
      </c>
      <c r="E782" s="2" t="s">
        <v>65</v>
      </c>
      <c r="F782" s="2" t="s">
        <v>4627</v>
      </c>
      <c r="G782" s="2">
        <v>129.29</v>
      </c>
      <c r="H782" s="2" t="s">
        <v>36</v>
      </c>
      <c r="I782" s="2" t="s">
        <v>3370</v>
      </c>
    </row>
    <row r="783" spans="1:9" x14ac:dyDescent="0.25">
      <c r="A783" s="2" t="s">
        <v>4641</v>
      </c>
      <c r="B783" s="2" t="s">
        <v>895</v>
      </c>
      <c r="C783" s="2" t="s">
        <v>3427</v>
      </c>
      <c r="D783" s="2" t="s">
        <v>3428</v>
      </c>
      <c r="E783" s="2" t="s">
        <v>65</v>
      </c>
      <c r="F783" s="2" t="s">
        <v>3587</v>
      </c>
      <c r="G783" s="2">
        <v>3365.52</v>
      </c>
      <c r="H783" s="2" t="s">
        <v>36</v>
      </c>
      <c r="I783" s="2" t="s">
        <v>3334</v>
      </c>
    </row>
    <row r="784" spans="1:9" x14ac:dyDescent="0.25">
      <c r="A784" s="2" t="s">
        <v>4642</v>
      </c>
      <c r="B784" s="2" t="s">
        <v>1796</v>
      </c>
      <c r="C784" s="2" t="s">
        <v>3427</v>
      </c>
      <c r="D784" s="2" t="s">
        <v>3428</v>
      </c>
      <c r="E784" s="2" t="s">
        <v>65</v>
      </c>
      <c r="F784" s="2" t="s">
        <v>3471</v>
      </c>
      <c r="G784" s="2">
        <v>58.63</v>
      </c>
      <c r="H784" s="2" t="s">
        <v>36</v>
      </c>
      <c r="I784" s="2" t="s">
        <v>3334</v>
      </c>
    </row>
    <row r="785" spans="1:9" x14ac:dyDescent="0.25">
      <c r="A785" s="2" t="s">
        <v>4643</v>
      </c>
      <c r="B785" s="2" t="s">
        <v>2176</v>
      </c>
      <c r="C785" s="2" t="s">
        <v>3341</v>
      </c>
      <c r="D785" s="2" t="s">
        <v>3342</v>
      </c>
      <c r="E785" s="2" t="s">
        <v>4</v>
      </c>
      <c r="F785" s="2" t="s">
        <v>4644</v>
      </c>
      <c r="G785" s="2">
        <v>11.3</v>
      </c>
      <c r="H785" s="2" t="s">
        <v>36</v>
      </c>
      <c r="I785" s="2" t="s">
        <v>3318</v>
      </c>
    </row>
    <row r="786" spans="1:9" x14ac:dyDescent="0.25">
      <c r="A786" s="2" t="s">
        <v>4645</v>
      </c>
      <c r="B786" s="2" t="s">
        <v>2000</v>
      </c>
      <c r="C786" s="2" t="s">
        <v>3427</v>
      </c>
      <c r="D786" s="2" t="s">
        <v>3428</v>
      </c>
      <c r="E786" s="2" t="s">
        <v>4</v>
      </c>
      <c r="F786" s="2" t="s">
        <v>3698</v>
      </c>
      <c r="G786" s="2">
        <v>3199.89</v>
      </c>
      <c r="H786" s="2" t="s">
        <v>36</v>
      </c>
      <c r="I786" s="2" t="s">
        <v>3385</v>
      </c>
    </row>
    <row r="787" spans="1:9" x14ac:dyDescent="0.25">
      <c r="A787" s="2" t="s">
        <v>4646</v>
      </c>
      <c r="B787" s="2" t="s">
        <v>1280</v>
      </c>
      <c r="C787" s="2" t="s">
        <v>3325</v>
      </c>
      <c r="D787" s="2" t="s">
        <v>3326</v>
      </c>
      <c r="E787" s="2" t="s">
        <v>3338</v>
      </c>
      <c r="F787" s="2" t="s">
        <v>4647</v>
      </c>
      <c r="G787" s="2">
        <v>32.08</v>
      </c>
      <c r="H787" s="2" t="s">
        <v>37</v>
      </c>
      <c r="I787" s="2" t="s">
        <v>3334</v>
      </c>
    </row>
    <row r="788" spans="1:9" x14ac:dyDescent="0.25">
      <c r="A788" s="2" t="s">
        <v>4648</v>
      </c>
      <c r="B788" s="2" t="s">
        <v>3037</v>
      </c>
      <c r="C788" s="2" t="s">
        <v>3341</v>
      </c>
      <c r="D788" s="2" t="s">
        <v>3342</v>
      </c>
      <c r="E788" s="2" t="s">
        <v>4</v>
      </c>
      <c r="F788" s="2" t="s">
        <v>4649</v>
      </c>
      <c r="G788" s="2">
        <v>73.3</v>
      </c>
      <c r="H788" s="2" t="s">
        <v>37</v>
      </c>
      <c r="I788" s="2" t="s">
        <v>3331</v>
      </c>
    </row>
    <row r="789" spans="1:9" x14ac:dyDescent="0.25">
      <c r="A789" s="2" t="s">
        <v>4650</v>
      </c>
      <c r="B789" s="2" t="s">
        <v>520</v>
      </c>
      <c r="C789" s="2" t="s">
        <v>3341</v>
      </c>
      <c r="D789" s="2" t="s">
        <v>3342</v>
      </c>
      <c r="E789" s="2" t="s">
        <v>3316</v>
      </c>
      <c r="F789" s="2" t="s">
        <v>4651</v>
      </c>
      <c r="G789" s="2">
        <v>145.04</v>
      </c>
      <c r="H789" s="2" t="s">
        <v>37</v>
      </c>
      <c r="I789" s="2" t="s">
        <v>3318</v>
      </c>
    </row>
    <row r="790" spans="1:9" x14ac:dyDescent="0.25">
      <c r="A790" s="2" t="s">
        <v>4652</v>
      </c>
      <c r="B790" s="2" t="s">
        <v>3101</v>
      </c>
      <c r="C790" s="2" t="s">
        <v>3314</v>
      </c>
      <c r="D790" s="2" t="s">
        <v>3315</v>
      </c>
      <c r="E790" s="2" t="s">
        <v>33</v>
      </c>
      <c r="F790" s="2" t="s">
        <v>4653</v>
      </c>
      <c r="G790" s="2">
        <v>51.47</v>
      </c>
      <c r="H790" s="2" t="s">
        <v>36</v>
      </c>
      <c r="I790" s="2" t="s">
        <v>3331</v>
      </c>
    </row>
    <row r="791" spans="1:9" x14ac:dyDescent="0.25">
      <c r="A791" s="2" t="s">
        <v>4654</v>
      </c>
      <c r="B791" s="2" t="s">
        <v>2686</v>
      </c>
      <c r="C791" s="2" t="s">
        <v>3362</v>
      </c>
      <c r="D791" s="2" t="s">
        <v>3363</v>
      </c>
      <c r="E791" s="2" t="s">
        <v>65</v>
      </c>
      <c r="F791" s="2" t="s">
        <v>3577</v>
      </c>
      <c r="G791" s="2">
        <v>22.12</v>
      </c>
      <c r="H791" s="2" t="s">
        <v>37</v>
      </c>
      <c r="I791" s="2" t="s">
        <v>3328</v>
      </c>
    </row>
    <row r="792" spans="1:9" x14ac:dyDescent="0.25">
      <c r="A792" s="2" t="s">
        <v>4655</v>
      </c>
      <c r="B792" s="2" t="s">
        <v>3037</v>
      </c>
      <c r="C792" s="2" t="s">
        <v>3336</v>
      </c>
      <c r="D792" s="2" t="s">
        <v>3337</v>
      </c>
      <c r="E792" s="2" t="s">
        <v>4</v>
      </c>
      <c r="F792" s="2" t="s">
        <v>4656</v>
      </c>
      <c r="G792" s="2">
        <v>30.07</v>
      </c>
      <c r="H792" s="2" t="s">
        <v>37</v>
      </c>
      <c r="I792" s="2" t="s">
        <v>3370</v>
      </c>
    </row>
    <row r="793" spans="1:9" x14ac:dyDescent="0.25">
      <c r="A793" s="2" t="s">
        <v>4657</v>
      </c>
      <c r="B793" s="2" t="s">
        <v>1939</v>
      </c>
      <c r="C793" s="2" t="s">
        <v>3314</v>
      </c>
      <c r="D793" s="2" t="s">
        <v>3315</v>
      </c>
      <c r="E793" s="2" t="s">
        <v>65</v>
      </c>
      <c r="F793" s="2" t="s">
        <v>4658</v>
      </c>
      <c r="G793" s="2">
        <v>135.07</v>
      </c>
      <c r="H793" s="2" t="s">
        <v>37</v>
      </c>
      <c r="I793" s="2" t="s">
        <v>3318</v>
      </c>
    </row>
    <row r="794" spans="1:9" x14ac:dyDescent="0.25">
      <c r="A794" s="2" t="s">
        <v>4659</v>
      </c>
      <c r="B794" s="2" t="s">
        <v>2819</v>
      </c>
      <c r="C794" s="2" t="s">
        <v>3354</v>
      </c>
      <c r="D794" s="2" t="s">
        <v>3355</v>
      </c>
      <c r="E794" s="2" t="s">
        <v>4</v>
      </c>
      <c r="F794" s="2" t="s">
        <v>3425</v>
      </c>
      <c r="G794" s="2">
        <v>47.17</v>
      </c>
      <c r="H794" s="2" t="s">
        <v>37</v>
      </c>
      <c r="I794" s="2" t="s">
        <v>3331</v>
      </c>
    </row>
    <row r="795" spans="1:9" x14ac:dyDescent="0.25">
      <c r="A795" s="2" t="s">
        <v>4660</v>
      </c>
      <c r="B795" s="2" t="s">
        <v>1213</v>
      </c>
      <c r="C795" s="2" t="s">
        <v>3325</v>
      </c>
      <c r="D795" s="2" t="s">
        <v>3326</v>
      </c>
      <c r="E795" s="2" t="s">
        <v>4</v>
      </c>
      <c r="F795" s="2" t="s">
        <v>4200</v>
      </c>
      <c r="G795" s="2">
        <v>24.5</v>
      </c>
      <c r="H795" s="2" t="s">
        <v>36</v>
      </c>
      <c r="I795" s="2" t="s">
        <v>3331</v>
      </c>
    </row>
    <row r="796" spans="1:9" x14ac:dyDescent="0.25">
      <c r="A796" s="2" t="s">
        <v>4661</v>
      </c>
      <c r="B796" s="2" t="s">
        <v>502</v>
      </c>
      <c r="C796" s="2" t="s">
        <v>3336</v>
      </c>
      <c r="D796" s="2" t="s">
        <v>3337</v>
      </c>
      <c r="E796" s="2" t="s">
        <v>3316</v>
      </c>
      <c r="F796" s="2" t="s">
        <v>4662</v>
      </c>
      <c r="G796" s="2">
        <v>94.09</v>
      </c>
      <c r="H796" s="2" t="s">
        <v>37</v>
      </c>
      <c r="I796" s="2" t="s">
        <v>3323</v>
      </c>
    </row>
    <row r="797" spans="1:9" x14ac:dyDescent="0.25">
      <c r="A797" s="2" t="s">
        <v>4663</v>
      </c>
      <c r="B797" s="2" t="s">
        <v>1392</v>
      </c>
      <c r="C797" s="2" t="s">
        <v>3314</v>
      </c>
      <c r="D797" s="2" t="s">
        <v>3315</v>
      </c>
      <c r="E797" s="2" t="s">
        <v>33</v>
      </c>
      <c r="F797" s="2" t="s">
        <v>4664</v>
      </c>
      <c r="G797" s="2">
        <v>75.47</v>
      </c>
      <c r="H797" s="2" t="s">
        <v>36</v>
      </c>
      <c r="I797" s="2" t="s">
        <v>3334</v>
      </c>
    </row>
    <row r="798" spans="1:9" x14ac:dyDescent="0.25">
      <c r="A798" s="2" t="s">
        <v>4665</v>
      </c>
      <c r="B798" s="2" t="s">
        <v>2136</v>
      </c>
      <c r="C798" s="2" t="s">
        <v>4142</v>
      </c>
      <c r="D798" s="2" t="s">
        <v>3368</v>
      </c>
      <c r="E798" s="2" t="s">
        <v>3480</v>
      </c>
      <c r="F798" s="2" t="s">
        <v>3439</v>
      </c>
      <c r="G798" s="2">
        <v>194.95</v>
      </c>
      <c r="H798" s="2" t="s">
        <v>37</v>
      </c>
      <c r="I798" s="2" t="s">
        <v>3328</v>
      </c>
    </row>
    <row r="799" spans="1:9" x14ac:dyDescent="0.25">
      <c r="A799" s="2" t="s">
        <v>4666</v>
      </c>
      <c r="B799" s="2" t="s">
        <v>844</v>
      </c>
      <c r="C799" s="2" t="s">
        <v>3362</v>
      </c>
      <c r="D799" s="2" t="s">
        <v>3363</v>
      </c>
      <c r="E799" s="2" t="s">
        <v>65</v>
      </c>
      <c r="F799" s="2" t="s">
        <v>4252</v>
      </c>
      <c r="G799" s="2">
        <v>26.83</v>
      </c>
      <c r="H799" s="2" t="s">
        <v>36</v>
      </c>
      <c r="I799" s="2" t="s">
        <v>3328</v>
      </c>
    </row>
    <row r="800" spans="1:9" x14ac:dyDescent="0.25">
      <c r="A800" s="2" t="s">
        <v>4667</v>
      </c>
      <c r="B800" s="2" t="s">
        <v>672</v>
      </c>
      <c r="C800" s="2" t="s">
        <v>3341</v>
      </c>
      <c r="D800" s="2" t="s">
        <v>3342</v>
      </c>
      <c r="E800" s="2" t="s">
        <v>91</v>
      </c>
      <c r="F800" s="2" t="s">
        <v>3700</v>
      </c>
      <c r="G800" s="2">
        <v>49.16</v>
      </c>
      <c r="H800" s="2" t="s">
        <v>36</v>
      </c>
      <c r="I800" s="2" t="s">
        <v>3365</v>
      </c>
    </row>
    <row r="801" spans="1:9" x14ac:dyDescent="0.25">
      <c r="A801" s="2" t="s">
        <v>4668</v>
      </c>
      <c r="B801" s="2" t="s">
        <v>746</v>
      </c>
      <c r="C801" s="2" t="s">
        <v>3320</v>
      </c>
      <c r="D801" s="2" t="s">
        <v>3321</v>
      </c>
      <c r="E801" s="2" t="s">
        <v>65</v>
      </c>
      <c r="F801" s="2" t="s">
        <v>4669</v>
      </c>
      <c r="G801" s="2">
        <v>217.86</v>
      </c>
      <c r="H801" s="2" t="s">
        <v>36</v>
      </c>
      <c r="I801" s="2" t="s">
        <v>3365</v>
      </c>
    </row>
    <row r="802" spans="1:9" x14ac:dyDescent="0.25">
      <c r="A802" s="2" t="s">
        <v>4670</v>
      </c>
      <c r="B802" s="2"/>
      <c r="C802" s="2" t="s">
        <v>3320</v>
      </c>
      <c r="D802" s="2" t="s">
        <v>3321</v>
      </c>
      <c r="E802" s="2" t="s">
        <v>65</v>
      </c>
      <c r="F802" s="2" t="s">
        <v>3692</v>
      </c>
      <c r="G802" s="2">
        <v>339.63</v>
      </c>
      <c r="H802" s="2" t="s">
        <v>36</v>
      </c>
      <c r="I802" s="2" t="s">
        <v>3365</v>
      </c>
    </row>
    <row r="803" spans="1:9" x14ac:dyDescent="0.25">
      <c r="A803" s="2" t="s">
        <v>4671</v>
      </c>
      <c r="B803" s="2" t="s">
        <v>1951</v>
      </c>
      <c r="C803" s="2" t="s">
        <v>3354</v>
      </c>
      <c r="D803" s="2" t="s">
        <v>3355</v>
      </c>
      <c r="E803" s="2" t="s">
        <v>65</v>
      </c>
      <c r="F803" s="2" t="s">
        <v>3623</v>
      </c>
      <c r="G803" s="2">
        <v>26.56</v>
      </c>
      <c r="H803" s="2" t="s">
        <v>36</v>
      </c>
      <c r="I803" s="2" t="s">
        <v>3370</v>
      </c>
    </row>
    <row r="804" spans="1:9" x14ac:dyDescent="0.25">
      <c r="A804" s="2" t="s">
        <v>4672</v>
      </c>
      <c r="B804" s="2" t="s">
        <v>1714</v>
      </c>
      <c r="C804" s="2" t="s">
        <v>3362</v>
      </c>
      <c r="D804" s="2" t="s">
        <v>3363</v>
      </c>
      <c r="E804" s="2" t="s">
        <v>65</v>
      </c>
      <c r="F804" s="2" t="s">
        <v>4673</v>
      </c>
      <c r="G804" s="2">
        <v>30.36</v>
      </c>
      <c r="H804" s="2" t="s">
        <v>36</v>
      </c>
      <c r="I804" s="2" t="s">
        <v>3331</v>
      </c>
    </row>
    <row r="805" spans="1:9" x14ac:dyDescent="0.25">
      <c r="A805" s="2" t="s">
        <v>4674</v>
      </c>
      <c r="B805" s="2" t="s">
        <v>889</v>
      </c>
      <c r="C805" s="2" t="s">
        <v>3354</v>
      </c>
      <c r="D805" s="2" t="s">
        <v>3355</v>
      </c>
      <c r="E805" s="2" t="s">
        <v>65</v>
      </c>
      <c r="F805" s="2" t="s">
        <v>3356</v>
      </c>
      <c r="G805" s="2">
        <v>127.2</v>
      </c>
      <c r="H805" s="2" t="s">
        <v>36</v>
      </c>
      <c r="I805" s="2" t="s">
        <v>3323</v>
      </c>
    </row>
    <row r="806" spans="1:9" x14ac:dyDescent="0.25">
      <c r="A806" s="2" t="s">
        <v>4675</v>
      </c>
      <c r="B806" s="2" t="s">
        <v>2870</v>
      </c>
      <c r="C806" s="2" t="s">
        <v>3341</v>
      </c>
      <c r="D806" s="2" t="s">
        <v>3342</v>
      </c>
      <c r="E806" s="2" t="s">
        <v>4</v>
      </c>
      <c r="F806" s="2" t="s">
        <v>3591</v>
      </c>
      <c r="G806" s="2">
        <v>82.66</v>
      </c>
      <c r="H806" s="2" t="s">
        <v>37</v>
      </c>
      <c r="I806" s="2" t="s">
        <v>3334</v>
      </c>
    </row>
    <row r="807" spans="1:9" x14ac:dyDescent="0.25">
      <c r="A807" s="2" t="s">
        <v>4676</v>
      </c>
      <c r="B807" s="2" t="s">
        <v>547</v>
      </c>
      <c r="C807" s="2" t="s">
        <v>3354</v>
      </c>
      <c r="D807" s="2" t="s">
        <v>3355</v>
      </c>
      <c r="E807" s="2" t="s">
        <v>65</v>
      </c>
      <c r="F807" s="2" t="s">
        <v>3649</v>
      </c>
      <c r="G807" s="2">
        <v>11.46</v>
      </c>
      <c r="H807" s="2" t="s">
        <v>36</v>
      </c>
      <c r="I807" s="2" t="s">
        <v>3323</v>
      </c>
    </row>
    <row r="808" spans="1:9" x14ac:dyDescent="0.25">
      <c r="A808" s="2" t="s">
        <v>4677</v>
      </c>
      <c r="B808" s="2" t="s">
        <v>857</v>
      </c>
      <c r="C808" s="2" t="s">
        <v>3320</v>
      </c>
      <c r="D808" s="2" t="s">
        <v>3321</v>
      </c>
      <c r="E808" s="2" t="s">
        <v>4</v>
      </c>
      <c r="F808" s="2" t="s">
        <v>4294</v>
      </c>
      <c r="G808" s="2">
        <v>26.72</v>
      </c>
      <c r="H808" s="2" t="s">
        <v>37</v>
      </c>
      <c r="I808" s="2" t="s">
        <v>3385</v>
      </c>
    </row>
    <row r="809" spans="1:9" x14ac:dyDescent="0.25">
      <c r="A809" s="2" t="s">
        <v>4678</v>
      </c>
      <c r="B809" s="2" t="s">
        <v>2169</v>
      </c>
      <c r="C809" s="2" t="s">
        <v>3403</v>
      </c>
      <c r="D809" s="2" t="s">
        <v>3404</v>
      </c>
      <c r="E809" s="2" t="s">
        <v>4</v>
      </c>
      <c r="F809" s="2" t="s">
        <v>4679</v>
      </c>
      <c r="G809" s="2">
        <v>7.25</v>
      </c>
      <c r="H809" s="2" t="s">
        <v>36</v>
      </c>
      <c r="I809" s="2" t="s">
        <v>3370</v>
      </c>
    </row>
    <row r="810" spans="1:9" x14ac:dyDescent="0.25">
      <c r="A810" s="2" t="s">
        <v>4680</v>
      </c>
      <c r="B810" s="2" t="s">
        <v>1850</v>
      </c>
      <c r="C810" s="2" t="s">
        <v>3314</v>
      </c>
      <c r="D810" s="2" t="s">
        <v>3315</v>
      </c>
      <c r="E810" s="2" t="s">
        <v>65</v>
      </c>
      <c r="F810" s="2" t="s">
        <v>4590</v>
      </c>
      <c r="G810" s="2">
        <v>34.78</v>
      </c>
      <c r="H810" s="2" t="s">
        <v>37</v>
      </c>
      <c r="I810" s="2" t="s">
        <v>3331</v>
      </c>
    </row>
    <row r="811" spans="1:9" x14ac:dyDescent="0.25">
      <c r="A811" s="2" t="s">
        <v>4681</v>
      </c>
      <c r="B811" s="2" t="s">
        <v>790</v>
      </c>
      <c r="C811" s="2" t="s">
        <v>3314</v>
      </c>
      <c r="D811" s="2" t="s">
        <v>3315</v>
      </c>
      <c r="E811" s="2" t="s">
        <v>3316</v>
      </c>
      <c r="F811" s="2" t="s">
        <v>4682</v>
      </c>
      <c r="G811" s="2">
        <v>8.33</v>
      </c>
      <c r="H811" s="2" t="s">
        <v>37</v>
      </c>
      <c r="I811" s="2" t="s">
        <v>3385</v>
      </c>
    </row>
    <row r="812" spans="1:9" x14ac:dyDescent="0.25">
      <c r="A812" s="2" t="s">
        <v>4683</v>
      </c>
      <c r="B812" s="2" t="s">
        <v>3293</v>
      </c>
      <c r="C812" s="2" t="s">
        <v>3314</v>
      </c>
      <c r="D812" s="2" t="s">
        <v>3315</v>
      </c>
      <c r="E812" s="2" t="s">
        <v>3316</v>
      </c>
      <c r="F812" s="2" t="s">
        <v>4684</v>
      </c>
      <c r="G812" s="2">
        <v>27.72</v>
      </c>
      <c r="H812" s="2" t="s">
        <v>37</v>
      </c>
      <c r="I812" s="2" t="s">
        <v>3365</v>
      </c>
    </row>
    <row r="813" spans="1:9" x14ac:dyDescent="0.25">
      <c r="A813" s="2" t="s">
        <v>4685</v>
      </c>
      <c r="B813" s="2" t="s">
        <v>2411</v>
      </c>
      <c r="C813" s="2" t="s">
        <v>3336</v>
      </c>
      <c r="D813" s="2" t="s">
        <v>3337</v>
      </c>
      <c r="E813" s="2" t="s">
        <v>3316</v>
      </c>
      <c r="F813" s="2" t="s">
        <v>4686</v>
      </c>
      <c r="G813" s="2">
        <v>68.709999999999994</v>
      </c>
      <c r="H813" s="2" t="s">
        <v>37</v>
      </c>
      <c r="I813" s="2" t="s">
        <v>3370</v>
      </c>
    </row>
    <row r="814" spans="1:9" x14ac:dyDescent="0.25">
      <c r="A814" s="2" t="s">
        <v>4687</v>
      </c>
      <c r="B814" s="2" t="s">
        <v>2350</v>
      </c>
      <c r="C814" s="2" t="s">
        <v>3336</v>
      </c>
      <c r="D814" s="2" t="s">
        <v>3337</v>
      </c>
      <c r="E814" s="2" t="s">
        <v>3316</v>
      </c>
      <c r="F814" s="2" t="s">
        <v>4688</v>
      </c>
      <c r="G814" s="2">
        <v>14.99</v>
      </c>
      <c r="H814" s="2" t="s">
        <v>36</v>
      </c>
      <c r="I814" s="2" t="s">
        <v>3328</v>
      </c>
    </row>
    <row r="815" spans="1:9" x14ac:dyDescent="0.25">
      <c r="A815" s="2" t="s">
        <v>4689</v>
      </c>
      <c r="B815" s="2" t="s">
        <v>1916</v>
      </c>
      <c r="C815" s="2" t="s">
        <v>3341</v>
      </c>
      <c r="D815" s="2" t="s">
        <v>3342</v>
      </c>
      <c r="E815" s="2" t="s">
        <v>91</v>
      </c>
      <c r="F815" s="2" t="s">
        <v>3878</v>
      </c>
      <c r="G815" s="2">
        <v>-129.84</v>
      </c>
      <c r="H815" s="2" t="s">
        <v>37</v>
      </c>
      <c r="I815" s="2" t="s">
        <v>3370</v>
      </c>
    </row>
    <row r="816" spans="1:9" x14ac:dyDescent="0.25">
      <c r="A816" s="2" t="s">
        <v>4690</v>
      </c>
      <c r="B816" s="2" t="s">
        <v>2807</v>
      </c>
      <c r="C816" s="2" t="s">
        <v>3362</v>
      </c>
      <c r="D816" s="2" t="s">
        <v>3363</v>
      </c>
      <c r="E816" s="2" t="s">
        <v>65</v>
      </c>
      <c r="F816" s="2" t="s">
        <v>4549</v>
      </c>
      <c r="G816" s="2">
        <v>195.24</v>
      </c>
      <c r="H816" s="2" t="s">
        <v>36</v>
      </c>
      <c r="I816" s="2" t="s">
        <v>3370</v>
      </c>
    </row>
    <row r="817" spans="1:9" x14ac:dyDescent="0.25">
      <c r="A817" s="2" t="s">
        <v>4691</v>
      </c>
      <c r="B817" s="2" t="s">
        <v>908</v>
      </c>
      <c r="C817" s="2" t="s">
        <v>3336</v>
      </c>
      <c r="D817" s="2" t="s">
        <v>3337</v>
      </c>
      <c r="E817" s="2" t="s">
        <v>3345</v>
      </c>
      <c r="F817" s="2" t="s">
        <v>3732</v>
      </c>
      <c r="G817" s="2">
        <v>69.03</v>
      </c>
      <c r="H817" s="2" t="s">
        <v>36</v>
      </c>
      <c r="I817" s="2" t="s">
        <v>3365</v>
      </c>
    </row>
    <row r="818" spans="1:9" x14ac:dyDescent="0.25">
      <c r="A818" s="2" t="s">
        <v>4692</v>
      </c>
      <c r="B818" s="2" t="s">
        <v>2992</v>
      </c>
      <c r="C818" s="2" t="s">
        <v>3336</v>
      </c>
      <c r="D818" s="2" t="s">
        <v>3337</v>
      </c>
      <c r="E818" s="2" t="s">
        <v>4</v>
      </c>
      <c r="F818" s="2" t="s">
        <v>4693</v>
      </c>
      <c r="G818" s="2">
        <v>9.1999999999999993</v>
      </c>
      <c r="H818" s="2" t="s">
        <v>36</v>
      </c>
      <c r="I818" s="2" t="s">
        <v>3334</v>
      </c>
    </row>
    <row r="819" spans="1:9" x14ac:dyDescent="0.25">
      <c r="A819" s="2" t="s">
        <v>4694</v>
      </c>
      <c r="B819" s="2" t="s">
        <v>2011</v>
      </c>
      <c r="C819" s="2" t="s">
        <v>3341</v>
      </c>
      <c r="D819" s="2" t="s">
        <v>3342</v>
      </c>
      <c r="E819" s="2" t="s">
        <v>4</v>
      </c>
      <c r="F819" s="2" t="s">
        <v>4236</v>
      </c>
      <c r="G819" s="2">
        <v>11.7</v>
      </c>
      <c r="H819" s="2" t="s">
        <v>37</v>
      </c>
      <c r="I819" s="2" t="s">
        <v>3365</v>
      </c>
    </row>
    <row r="820" spans="1:9" x14ac:dyDescent="0.25">
      <c r="A820" s="2" t="s">
        <v>4695</v>
      </c>
      <c r="B820" s="2" t="s">
        <v>2680</v>
      </c>
      <c r="C820" s="2" t="s">
        <v>3314</v>
      </c>
      <c r="D820" s="2" t="s">
        <v>3315</v>
      </c>
      <c r="E820" s="2" t="s">
        <v>3316</v>
      </c>
      <c r="F820" s="2" t="s">
        <v>4183</v>
      </c>
      <c r="G820" s="2">
        <v>455</v>
      </c>
      <c r="H820" s="2" t="s">
        <v>36</v>
      </c>
      <c r="I820" s="2" t="s">
        <v>3385</v>
      </c>
    </row>
    <row r="821" spans="1:9" x14ac:dyDescent="0.25">
      <c r="A821" s="2" t="s">
        <v>4696</v>
      </c>
      <c r="B821" s="2" t="s">
        <v>1452</v>
      </c>
      <c r="C821" s="2" t="s">
        <v>3427</v>
      </c>
      <c r="D821" s="2" t="s">
        <v>3428</v>
      </c>
      <c r="E821" s="2" t="s">
        <v>4</v>
      </c>
      <c r="F821" s="2" t="s">
        <v>3698</v>
      </c>
      <c r="G821" s="2">
        <v>60.26</v>
      </c>
      <c r="H821" s="2" t="s">
        <v>36</v>
      </c>
      <c r="I821" s="2" t="s">
        <v>3331</v>
      </c>
    </row>
    <row r="822" spans="1:9" x14ac:dyDescent="0.25">
      <c r="A822" s="2" t="s">
        <v>4697</v>
      </c>
      <c r="B822" s="2" t="s">
        <v>2970</v>
      </c>
      <c r="C822" s="2" t="s">
        <v>3403</v>
      </c>
      <c r="D822" s="2" t="s">
        <v>3404</v>
      </c>
      <c r="E822" s="2" t="s">
        <v>3316</v>
      </c>
      <c r="F822" s="2" t="s">
        <v>3441</v>
      </c>
      <c r="G822" s="2" t="s">
        <v>4698</v>
      </c>
      <c r="H822" s="2" t="s">
        <v>36</v>
      </c>
      <c r="I822" s="2" t="s">
        <v>3370</v>
      </c>
    </row>
    <row r="823" spans="1:9" x14ac:dyDescent="0.25">
      <c r="A823" s="2" t="s">
        <v>4699</v>
      </c>
      <c r="B823" s="2" t="s">
        <v>2006</v>
      </c>
      <c r="C823" s="2" t="s">
        <v>3427</v>
      </c>
      <c r="D823" s="2" t="s">
        <v>3428</v>
      </c>
      <c r="E823" s="2" t="s">
        <v>4</v>
      </c>
      <c r="F823" s="2" t="s">
        <v>3478</v>
      </c>
      <c r="G823" s="2">
        <v>271.95999999999998</v>
      </c>
      <c r="H823" s="2" t="s">
        <v>36</v>
      </c>
      <c r="I823" s="2" t="s">
        <v>3385</v>
      </c>
    </row>
    <row r="824" spans="1:9" x14ac:dyDescent="0.25">
      <c r="A824" s="2" t="s">
        <v>4700</v>
      </c>
      <c r="B824" s="2" t="s">
        <v>1135</v>
      </c>
      <c r="C824" s="2" t="s">
        <v>3403</v>
      </c>
      <c r="D824" s="2" t="s">
        <v>3404</v>
      </c>
      <c r="E824" s="2" t="s">
        <v>3316</v>
      </c>
      <c r="F824" s="2" t="s">
        <v>4701</v>
      </c>
      <c r="G824" s="2">
        <v>118.28</v>
      </c>
      <c r="H824" s="2" t="s">
        <v>36</v>
      </c>
      <c r="I824" s="2" t="s">
        <v>3318</v>
      </c>
    </row>
    <row r="825" spans="1:9" x14ac:dyDescent="0.25">
      <c r="A825" s="2" t="s">
        <v>4702</v>
      </c>
      <c r="B825" s="2" t="s">
        <v>2650</v>
      </c>
      <c r="C825" s="2" t="s">
        <v>3325</v>
      </c>
      <c r="D825" s="2" t="s">
        <v>3326</v>
      </c>
      <c r="E825" s="2" t="s">
        <v>3316</v>
      </c>
      <c r="F825" s="2" t="s">
        <v>4703</v>
      </c>
      <c r="G825" s="2">
        <v>121.36</v>
      </c>
      <c r="H825" s="2" t="s">
        <v>37</v>
      </c>
      <c r="I825" s="2" t="s">
        <v>3318</v>
      </c>
    </row>
    <row r="826" spans="1:9" x14ac:dyDescent="0.25">
      <c r="A826" s="2" t="s">
        <v>4704</v>
      </c>
      <c r="B826" s="2" t="s">
        <v>1744</v>
      </c>
      <c r="C826" s="2" t="s">
        <v>3341</v>
      </c>
      <c r="D826" s="2" t="s">
        <v>3342</v>
      </c>
      <c r="E826" s="2" t="s">
        <v>91</v>
      </c>
      <c r="F826" s="2" t="s">
        <v>4705</v>
      </c>
      <c r="G826" s="2">
        <v>27.49</v>
      </c>
      <c r="H826" s="2" t="s">
        <v>36</v>
      </c>
      <c r="I826" s="2" t="s">
        <v>3328</v>
      </c>
    </row>
    <row r="827" spans="1:9" x14ac:dyDescent="0.25">
      <c r="A827" s="2" t="s">
        <v>4706</v>
      </c>
      <c r="B827" s="2" t="s">
        <v>2393</v>
      </c>
      <c r="C827" s="2" t="s">
        <v>3320</v>
      </c>
      <c r="D827" s="2" t="s">
        <v>3321</v>
      </c>
      <c r="E827" s="2" t="s">
        <v>65</v>
      </c>
      <c r="F827" s="2" t="s">
        <v>4191</v>
      </c>
      <c r="G827" s="2">
        <v>87.43</v>
      </c>
      <c r="H827" s="2" t="s">
        <v>36</v>
      </c>
      <c r="I827" s="2" t="s">
        <v>3328</v>
      </c>
    </row>
    <row r="828" spans="1:9" x14ac:dyDescent="0.25">
      <c r="A828" s="2" t="s">
        <v>4707</v>
      </c>
      <c r="B828" s="2" t="s">
        <v>94</v>
      </c>
      <c r="C828" s="2" t="s">
        <v>3341</v>
      </c>
      <c r="D828" s="2" t="s">
        <v>3342</v>
      </c>
      <c r="E828" s="2" t="s">
        <v>4</v>
      </c>
      <c r="F828" s="2" t="s">
        <v>4708</v>
      </c>
      <c r="G828" s="2">
        <v>13.58</v>
      </c>
      <c r="H828" s="2" t="s">
        <v>36</v>
      </c>
      <c r="I828" s="2" t="s">
        <v>3328</v>
      </c>
    </row>
    <row r="829" spans="1:9" x14ac:dyDescent="0.25">
      <c r="A829" s="2" t="s">
        <v>4709</v>
      </c>
      <c r="B829" s="2" t="s">
        <v>68</v>
      </c>
      <c r="C829" s="2" t="s">
        <v>3320</v>
      </c>
      <c r="D829" s="2" t="s">
        <v>3321</v>
      </c>
      <c r="E829" s="2" t="s">
        <v>65</v>
      </c>
      <c r="F829" s="2" t="s">
        <v>4710</v>
      </c>
      <c r="G829" s="2">
        <v>53.88</v>
      </c>
      <c r="H829" s="2" t="s">
        <v>36</v>
      </c>
      <c r="I829" s="2" t="s">
        <v>3385</v>
      </c>
    </row>
    <row r="830" spans="1:9" x14ac:dyDescent="0.25">
      <c r="A830" s="2" t="s">
        <v>4711</v>
      </c>
      <c r="B830" s="2" t="s">
        <v>1749</v>
      </c>
      <c r="C830" s="2" t="s">
        <v>3354</v>
      </c>
      <c r="D830" s="2" t="s">
        <v>3355</v>
      </c>
      <c r="E830" s="2" t="s">
        <v>4</v>
      </c>
      <c r="F830" s="2" t="s">
        <v>3623</v>
      </c>
      <c r="G830" s="2">
        <v>136.05000000000001</v>
      </c>
      <c r="H830" s="2" t="s">
        <v>37</v>
      </c>
      <c r="I830" s="2" t="s">
        <v>3328</v>
      </c>
    </row>
    <row r="831" spans="1:9" x14ac:dyDescent="0.25">
      <c r="A831" s="2" t="s">
        <v>4712</v>
      </c>
      <c r="B831" s="2" t="s">
        <v>802</v>
      </c>
      <c r="C831" s="2" t="s">
        <v>3325</v>
      </c>
      <c r="D831" s="2" t="s">
        <v>3326</v>
      </c>
      <c r="E831" s="2" t="s">
        <v>4</v>
      </c>
      <c r="F831" s="2" t="s">
        <v>4713</v>
      </c>
      <c r="G831" s="2">
        <v>91.31</v>
      </c>
      <c r="H831" s="2" t="s">
        <v>36</v>
      </c>
      <c r="I831" s="2" t="s">
        <v>3334</v>
      </c>
    </row>
    <row r="832" spans="1:9" x14ac:dyDescent="0.25">
      <c r="A832" s="2" t="s">
        <v>4714</v>
      </c>
      <c r="B832" s="2" t="s">
        <v>2338</v>
      </c>
      <c r="C832" s="2" t="s">
        <v>3362</v>
      </c>
      <c r="D832" s="2" t="s">
        <v>3363</v>
      </c>
      <c r="E832" s="2" t="s">
        <v>65</v>
      </c>
      <c r="F832" s="2" t="s">
        <v>3364</v>
      </c>
      <c r="G832" s="2">
        <v>19.760000000000002</v>
      </c>
      <c r="H832" s="2" t="s">
        <v>36</v>
      </c>
      <c r="I832" s="2" t="s">
        <v>3385</v>
      </c>
    </row>
    <row r="833" spans="1:9" x14ac:dyDescent="0.25">
      <c r="A833" s="2" t="s">
        <v>4715</v>
      </c>
      <c r="B833" s="2" t="s">
        <v>2148</v>
      </c>
      <c r="C833" s="2" t="s">
        <v>3325</v>
      </c>
      <c r="D833" s="2" t="s">
        <v>3326</v>
      </c>
      <c r="E833" s="2" t="s">
        <v>65</v>
      </c>
      <c r="F833" s="2" t="s">
        <v>4716</v>
      </c>
      <c r="G833" s="2">
        <v>4033.35</v>
      </c>
      <c r="H833" s="2" t="s">
        <v>37</v>
      </c>
      <c r="I833" s="2" t="s">
        <v>3331</v>
      </c>
    </row>
    <row r="834" spans="1:9" x14ac:dyDescent="0.25">
      <c r="A834" s="2" t="s">
        <v>4717</v>
      </c>
      <c r="B834" s="2" t="s">
        <v>2257</v>
      </c>
      <c r="C834" s="2" t="s">
        <v>3403</v>
      </c>
      <c r="D834" s="2" t="s">
        <v>3404</v>
      </c>
      <c r="E834" s="2" t="s">
        <v>4</v>
      </c>
      <c r="F834" s="2" t="s">
        <v>3833</v>
      </c>
      <c r="G834" s="2">
        <v>280.68</v>
      </c>
      <c r="H834" s="2" t="s">
        <v>36</v>
      </c>
      <c r="I834" s="2" t="s">
        <v>3331</v>
      </c>
    </row>
    <row r="835" spans="1:9" x14ac:dyDescent="0.25">
      <c r="A835" s="2" t="s">
        <v>4718</v>
      </c>
      <c r="B835" s="2" t="s">
        <v>3043</v>
      </c>
      <c r="C835" s="2" t="s">
        <v>3325</v>
      </c>
      <c r="D835" s="2" t="s">
        <v>3326</v>
      </c>
      <c r="E835" s="2" t="s">
        <v>65</v>
      </c>
      <c r="F835" s="2" t="s">
        <v>4719</v>
      </c>
      <c r="G835" s="2">
        <v>98.05</v>
      </c>
      <c r="H835" s="2" t="s">
        <v>37</v>
      </c>
      <c r="I835" s="2" t="s">
        <v>3365</v>
      </c>
    </row>
    <row r="836" spans="1:9" x14ac:dyDescent="0.25">
      <c r="A836" s="2" t="s">
        <v>4720</v>
      </c>
      <c r="B836" s="2" t="s">
        <v>2686</v>
      </c>
      <c r="C836" s="2" t="s">
        <v>3341</v>
      </c>
      <c r="D836" s="2" t="s">
        <v>3342</v>
      </c>
      <c r="E836" s="2" t="s">
        <v>4</v>
      </c>
      <c r="F836" s="2" t="s">
        <v>4721</v>
      </c>
      <c r="G836" s="2">
        <v>39.69</v>
      </c>
      <c r="H836" s="2" t="s">
        <v>37</v>
      </c>
      <c r="I836" s="2" t="s">
        <v>3370</v>
      </c>
    </row>
    <row r="837" spans="1:9" x14ac:dyDescent="0.25">
      <c r="A837" s="2" t="s">
        <v>4722</v>
      </c>
      <c r="B837" s="2" t="s">
        <v>777</v>
      </c>
      <c r="C837" s="2" t="s">
        <v>3403</v>
      </c>
      <c r="D837" s="2" t="s">
        <v>3404</v>
      </c>
      <c r="E837" s="2" t="s">
        <v>3316</v>
      </c>
      <c r="F837" s="2" t="s">
        <v>3589</v>
      </c>
      <c r="G837" s="2">
        <v>4925.8599999999997</v>
      </c>
      <c r="H837" s="2" t="s">
        <v>36</v>
      </c>
      <c r="I837" s="2" t="s">
        <v>3331</v>
      </c>
    </row>
    <row r="838" spans="1:9" x14ac:dyDescent="0.25">
      <c r="A838" s="2" t="s">
        <v>4723</v>
      </c>
      <c r="B838" s="2" t="s">
        <v>2952</v>
      </c>
      <c r="C838" s="2" t="s">
        <v>3325</v>
      </c>
      <c r="D838" s="2" t="s">
        <v>3326</v>
      </c>
      <c r="E838" s="2" t="s">
        <v>65</v>
      </c>
      <c r="F838" s="2" t="s">
        <v>4724</v>
      </c>
      <c r="G838" s="2">
        <v>12.64</v>
      </c>
      <c r="H838" s="2" t="s">
        <v>36</v>
      </c>
      <c r="I838" s="2" t="s">
        <v>3365</v>
      </c>
    </row>
    <row r="839" spans="1:9" x14ac:dyDescent="0.25">
      <c r="A839" s="2" t="s">
        <v>4725</v>
      </c>
      <c r="B839" s="2" t="s">
        <v>351</v>
      </c>
      <c r="C839" s="2" t="s">
        <v>3320</v>
      </c>
      <c r="D839" s="2" t="s">
        <v>3321</v>
      </c>
      <c r="E839" s="2" t="s">
        <v>65</v>
      </c>
      <c r="F839" s="2" t="s">
        <v>4212</v>
      </c>
      <c r="G839" s="2">
        <v>91.91</v>
      </c>
      <c r="H839" s="2" t="s">
        <v>36</v>
      </c>
      <c r="I839" s="2" t="s">
        <v>3318</v>
      </c>
    </row>
    <row r="840" spans="1:9" x14ac:dyDescent="0.25">
      <c r="A840" s="2" t="s">
        <v>4726</v>
      </c>
      <c r="B840" s="2" t="s">
        <v>1173</v>
      </c>
      <c r="C840" s="2" t="s">
        <v>3314</v>
      </c>
      <c r="D840" s="2" t="s">
        <v>3315</v>
      </c>
      <c r="E840" s="2" t="s">
        <v>3316</v>
      </c>
      <c r="F840" s="2" t="s">
        <v>4658</v>
      </c>
      <c r="G840" s="2">
        <v>85.61</v>
      </c>
      <c r="H840" s="2" t="s">
        <v>36</v>
      </c>
      <c r="I840" s="2" t="s">
        <v>3331</v>
      </c>
    </row>
    <row r="841" spans="1:9" x14ac:dyDescent="0.25">
      <c r="A841" s="2" t="s">
        <v>4727</v>
      </c>
      <c r="B841" s="2" t="s">
        <v>2958</v>
      </c>
      <c r="C841" s="2" t="s">
        <v>3427</v>
      </c>
      <c r="D841" s="2" t="s">
        <v>3428</v>
      </c>
      <c r="E841" s="2" t="s">
        <v>65</v>
      </c>
      <c r="F841" s="2" t="s">
        <v>3429</v>
      </c>
      <c r="G841" s="2">
        <v>112.7</v>
      </c>
      <c r="H841" s="2" t="s">
        <v>36</v>
      </c>
      <c r="I841" s="2" t="s">
        <v>3385</v>
      </c>
    </row>
    <row r="842" spans="1:9" x14ac:dyDescent="0.25">
      <c r="A842" s="2" t="s">
        <v>4728</v>
      </c>
      <c r="B842" s="2" t="s">
        <v>3021</v>
      </c>
      <c r="C842" s="2" t="s">
        <v>3314</v>
      </c>
      <c r="D842" s="2" t="s">
        <v>3315</v>
      </c>
      <c r="E842" s="2" t="s">
        <v>3316</v>
      </c>
      <c r="F842" s="2" t="s">
        <v>4729</v>
      </c>
      <c r="G842" s="2">
        <v>49.35</v>
      </c>
      <c r="H842" s="2" t="s">
        <v>36</v>
      </c>
      <c r="I842" s="2" t="s">
        <v>3370</v>
      </c>
    </row>
    <row r="843" spans="1:9" x14ac:dyDescent="0.25">
      <c r="A843" s="2" t="s">
        <v>4730</v>
      </c>
      <c r="B843" s="2" t="s">
        <v>2148</v>
      </c>
      <c r="C843" s="2" t="s">
        <v>3341</v>
      </c>
      <c r="D843" s="2" t="s">
        <v>3342</v>
      </c>
      <c r="E843" s="2" t="s">
        <v>4</v>
      </c>
      <c r="F843" s="2" t="s">
        <v>4731</v>
      </c>
      <c r="G843" s="2">
        <v>4955.78</v>
      </c>
      <c r="H843" s="2" t="s">
        <v>36</v>
      </c>
      <c r="I843" s="2" t="s">
        <v>3323</v>
      </c>
    </row>
    <row r="844" spans="1:9" x14ac:dyDescent="0.25">
      <c r="A844" s="2" t="s">
        <v>4732</v>
      </c>
      <c r="B844" s="2" t="s">
        <v>3242</v>
      </c>
      <c r="C844" s="2" t="s">
        <v>3427</v>
      </c>
      <c r="D844" s="2" t="s">
        <v>3428</v>
      </c>
      <c r="E844" s="2" t="s">
        <v>4</v>
      </c>
      <c r="F844" s="2" t="s">
        <v>3429</v>
      </c>
      <c r="G844" s="2">
        <v>47.69</v>
      </c>
      <c r="H844" s="2" t="s">
        <v>37</v>
      </c>
      <c r="I844" s="2" t="s">
        <v>3331</v>
      </c>
    </row>
    <row r="845" spans="1:9" x14ac:dyDescent="0.25">
      <c r="A845" s="2" t="s">
        <v>4733</v>
      </c>
      <c r="B845" s="2" t="s">
        <v>3266</v>
      </c>
      <c r="C845" s="2" t="s">
        <v>3367</v>
      </c>
      <c r="D845" s="2" t="s">
        <v>3368</v>
      </c>
      <c r="E845" s="2" t="s">
        <v>4</v>
      </c>
      <c r="F845" s="2" t="s">
        <v>4734</v>
      </c>
      <c r="G845" s="2">
        <v>27.05</v>
      </c>
      <c r="H845" s="2" t="s">
        <v>36</v>
      </c>
      <c r="I845" s="2" t="s">
        <v>3323</v>
      </c>
    </row>
    <row r="846" spans="1:9" x14ac:dyDescent="0.25">
      <c r="A846" s="2" t="s">
        <v>4735</v>
      </c>
      <c r="B846" s="2" t="s">
        <v>1538</v>
      </c>
      <c r="C846" s="2" t="s">
        <v>3341</v>
      </c>
      <c r="D846" s="2" t="s">
        <v>3342</v>
      </c>
      <c r="E846" s="2" t="s">
        <v>3316</v>
      </c>
      <c r="F846" s="2" t="s">
        <v>3938</v>
      </c>
      <c r="G846" s="2">
        <v>20.350000000000001</v>
      </c>
      <c r="H846" s="2" t="s">
        <v>37</v>
      </c>
      <c r="I846" s="2" t="s">
        <v>3385</v>
      </c>
    </row>
    <row r="847" spans="1:9" x14ac:dyDescent="0.25">
      <c r="A847" s="2" t="s">
        <v>4736</v>
      </c>
      <c r="B847" s="2" t="s">
        <v>357</v>
      </c>
      <c r="C847" s="2" t="s">
        <v>3354</v>
      </c>
      <c r="D847" s="2" t="s">
        <v>3355</v>
      </c>
      <c r="E847" s="2" t="s">
        <v>65</v>
      </c>
      <c r="F847" s="2" t="s">
        <v>3649</v>
      </c>
      <c r="G847" s="2">
        <v>186.32</v>
      </c>
      <c r="H847" s="2" t="s">
        <v>37</v>
      </c>
      <c r="I847" s="2" t="s">
        <v>3370</v>
      </c>
    </row>
    <row r="848" spans="1:9" x14ac:dyDescent="0.25">
      <c r="A848" s="2" t="s">
        <v>4737</v>
      </c>
      <c r="B848" s="2" t="s">
        <v>21</v>
      </c>
      <c r="C848" s="2" t="s">
        <v>3341</v>
      </c>
      <c r="D848" s="2" t="s">
        <v>3342</v>
      </c>
      <c r="E848" s="2" t="s">
        <v>91</v>
      </c>
      <c r="F848" s="2" t="s">
        <v>4738</v>
      </c>
      <c r="G848" s="2">
        <v>63.87</v>
      </c>
      <c r="H848" s="2" t="s">
        <v>36</v>
      </c>
      <c r="I848" s="2" t="s">
        <v>3370</v>
      </c>
    </row>
    <row r="849" spans="1:9" x14ac:dyDescent="0.25">
      <c r="A849" s="2" t="s">
        <v>4739</v>
      </c>
      <c r="B849" s="2" t="s">
        <v>2922</v>
      </c>
      <c r="C849" s="2" t="s">
        <v>3320</v>
      </c>
      <c r="D849" s="2" t="s">
        <v>3321</v>
      </c>
      <c r="E849" s="2" t="s">
        <v>65</v>
      </c>
      <c r="F849" s="2" t="s">
        <v>3467</v>
      </c>
      <c r="G849" s="2">
        <v>113.56</v>
      </c>
      <c r="H849" s="2" t="s">
        <v>36</v>
      </c>
      <c r="I849" s="2" t="s">
        <v>3334</v>
      </c>
    </row>
    <row r="850" spans="1:9" x14ac:dyDescent="0.25">
      <c r="A850" s="2" t="s">
        <v>4740</v>
      </c>
      <c r="B850" s="2" t="s">
        <v>2958</v>
      </c>
      <c r="C850" s="2" t="s">
        <v>3314</v>
      </c>
      <c r="D850" s="2" t="s">
        <v>3315</v>
      </c>
      <c r="E850" s="2" t="s">
        <v>33</v>
      </c>
      <c r="F850" s="2" t="s">
        <v>4741</v>
      </c>
      <c r="G850" s="2">
        <v>17.86</v>
      </c>
      <c r="H850" s="2" t="s">
        <v>36</v>
      </c>
      <c r="I850" s="2" t="s">
        <v>3370</v>
      </c>
    </row>
    <row r="851" spans="1:9" x14ac:dyDescent="0.25">
      <c r="A851" s="2" t="s">
        <v>4742</v>
      </c>
      <c r="B851" s="2" t="s">
        <v>412</v>
      </c>
      <c r="C851" s="2" t="s">
        <v>3320</v>
      </c>
      <c r="D851" s="2" t="s">
        <v>3321</v>
      </c>
      <c r="E851" s="2" t="s">
        <v>65</v>
      </c>
      <c r="F851" s="2" t="s">
        <v>3740</v>
      </c>
      <c r="G851" s="2">
        <v>92.11</v>
      </c>
      <c r="H851" s="2" t="s">
        <v>36</v>
      </c>
      <c r="I851" s="2" t="s">
        <v>3334</v>
      </c>
    </row>
    <row r="852" spans="1:9" x14ac:dyDescent="0.25">
      <c r="A852" s="2" t="s">
        <v>4743</v>
      </c>
      <c r="B852" s="2" t="s">
        <v>1458</v>
      </c>
      <c r="C852" s="2" t="s">
        <v>3341</v>
      </c>
      <c r="D852" s="2" t="s">
        <v>3342</v>
      </c>
      <c r="E852" s="2" t="s">
        <v>4</v>
      </c>
      <c r="F852" s="2" t="s">
        <v>4744</v>
      </c>
      <c r="G852" s="2">
        <v>4917.99</v>
      </c>
      <c r="H852" s="2" t="s">
        <v>36</v>
      </c>
      <c r="I852" s="2" t="s">
        <v>3318</v>
      </c>
    </row>
    <row r="853" spans="1:9" x14ac:dyDescent="0.25">
      <c r="A853" s="2" t="s">
        <v>4745</v>
      </c>
      <c r="B853" s="2" t="s">
        <v>2076</v>
      </c>
      <c r="C853" s="2" t="s">
        <v>3362</v>
      </c>
      <c r="D853" s="2" t="s">
        <v>3363</v>
      </c>
      <c r="E853" s="2" t="s">
        <v>65</v>
      </c>
      <c r="F853" s="2" t="s">
        <v>4102</v>
      </c>
      <c r="G853" s="2">
        <v>99.92</v>
      </c>
      <c r="H853" s="2" t="s">
        <v>37</v>
      </c>
      <c r="I853" s="2" t="s">
        <v>3334</v>
      </c>
    </row>
    <row r="854" spans="1:9" x14ac:dyDescent="0.25">
      <c r="A854" s="2" t="s">
        <v>4746</v>
      </c>
      <c r="B854" s="2" t="s">
        <v>2417</v>
      </c>
      <c r="C854" s="2" t="s">
        <v>3320</v>
      </c>
      <c r="D854" s="2" t="s">
        <v>3321</v>
      </c>
      <c r="E854" s="2" t="s">
        <v>4</v>
      </c>
      <c r="F854" s="2" t="s">
        <v>3707</v>
      </c>
      <c r="G854" s="2">
        <v>82.12</v>
      </c>
      <c r="H854" s="2" t="s">
        <v>37</v>
      </c>
      <c r="I854" s="2" t="s">
        <v>3365</v>
      </c>
    </row>
    <row r="855" spans="1:9" x14ac:dyDescent="0.25">
      <c r="A855" s="2" t="s">
        <v>4747</v>
      </c>
      <c r="B855" s="2" t="s">
        <v>2272</v>
      </c>
      <c r="C855" s="2" t="s">
        <v>3354</v>
      </c>
      <c r="D855" s="2" t="s">
        <v>3355</v>
      </c>
      <c r="E855" s="2" t="s">
        <v>65</v>
      </c>
      <c r="F855" s="2" t="s">
        <v>3623</v>
      </c>
      <c r="G855" s="2">
        <v>400.49</v>
      </c>
      <c r="H855" s="2" t="s">
        <v>36</v>
      </c>
      <c r="I855" s="2" t="s">
        <v>3365</v>
      </c>
    </row>
    <row r="856" spans="1:9" x14ac:dyDescent="0.25">
      <c r="A856" s="2" t="s">
        <v>4748</v>
      </c>
      <c r="B856" s="2" t="s">
        <v>2525</v>
      </c>
      <c r="C856" s="2" t="s">
        <v>3320</v>
      </c>
      <c r="D856" s="2" t="s">
        <v>3321</v>
      </c>
      <c r="E856" s="2" t="s">
        <v>65</v>
      </c>
      <c r="F856" s="2" t="s">
        <v>2673</v>
      </c>
      <c r="G856" s="2">
        <v>1206.49</v>
      </c>
      <c r="H856" s="2" t="s">
        <v>37</v>
      </c>
      <c r="I856" s="2" t="s">
        <v>3323</v>
      </c>
    </row>
    <row r="857" spans="1:9" x14ac:dyDescent="0.25">
      <c r="A857" s="2" t="s">
        <v>4749</v>
      </c>
      <c r="B857" s="2" t="s">
        <v>300</v>
      </c>
      <c r="C857" s="2" t="s">
        <v>3341</v>
      </c>
      <c r="D857" s="2" t="s">
        <v>3342</v>
      </c>
      <c r="E857" s="2" t="s">
        <v>91</v>
      </c>
      <c r="F857" s="2" t="s">
        <v>4750</v>
      </c>
      <c r="G857" s="2">
        <v>45.31</v>
      </c>
      <c r="H857" s="2" t="s">
        <v>36</v>
      </c>
      <c r="I857" s="2" t="s">
        <v>3370</v>
      </c>
    </row>
    <row r="858" spans="1:9" x14ac:dyDescent="0.25">
      <c r="A858" s="2" t="s">
        <v>4751</v>
      </c>
      <c r="B858" s="2" t="s">
        <v>2163</v>
      </c>
      <c r="C858" s="2" t="s">
        <v>3314</v>
      </c>
      <c r="D858" s="2" t="s">
        <v>3315</v>
      </c>
      <c r="E858" s="2" t="s">
        <v>3316</v>
      </c>
      <c r="F858" s="2" t="s">
        <v>3671</v>
      </c>
      <c r="G858" s="2">
        <v>117.63</v>
      </c>
      <c r="H858" s="2" t="s">
        <v>36</v>
      </c>
      <c r="I858" s="2" t="s">
        <v>3318</v>
      </c>
    </row>
    <row r="859" spans="1:9" x14ac:dyDescent="0.25">
      <c r="A859" s="2" t="s">
        <v>4752</v>
      </c>
      <c r="B859" s="2" t="s">
        <v>1761</v>
      </c>
      <c r="C859" s="2" t="s">
        <v>3403</v>
      </c>
      <c r="D859" s="2" t="s">
        <v>3404</v>
      </c>
      <c r="E859" s="2" t="s">
        <v>4</v>
      </c>
      <c r="F859" s="2" t="s">
        <v>4753</v>
      </c>
      <c r="G859" s="2">
        <v>124.77</v>
      </c>
      <c r="H859" s="2" t="s">
        <v>37</v>
      </c>
      <c r="I859" s="2" t="s">
        <v>3334</v>
      </c>
    </row>
    <row r="860" spans="1:9" x14ac:dyDescent="0.25">
      <c r="A860" s="2" t="s">
        <v>4754</v>
      </c>
      <c r="B860" s="2" t="s">
        <v>282</v>
      </c>
      <c r="C860" s="2" t="s">
        <v>3403</v>
      </c>
      <c r="D860" s="2" t="s">
        <v>3404</v>
      </c>
      <c r="E860" s="2" t="s">
        <v>3316</v>
      </c>
      <c r="F860" s="2" t="s">
        <v>4755</v>
      </c>
      <c r="G860" s="2">
        <v>97.08</v>
      </c>
      <c r="H860" s="2" t="s">
        <v>36</v>
      </c>
      <c r="I860" s="2" t="s">
        <v>3385</v>
      </c>
    </row>
    <row r="861" spans="1:9" x14ac:dyDescent="0.25">
      <c r="A861" s="2" t="s">
        <v>4756</v>
      </c>
      <c r="B861" s="2" t="s">
        <v>2650</v>
      </c>
      <c r="C861" s="2" t="s">
        <v>3354</v>
      </c>
      <c r="D861" s="2" t="s">
        <v>3355</v>
      </c>
      <c r="E861" s="2" t="s">
        <v>4</v>
      </c>
      <c r="F861" s="2" t="s">
        <v>3589</v>
      </c>
      <c r="G861" s="2">
        <v>63.11</v>
      </c>
      <c r="H861" s="2" t="s">
        <v>36</v>
      </c>
      <c r="I861" s="2" t="s">
        <v>3365</v>
      </c>
    </row>
    <row r="862" spans="1:9" x14ac:dyDescent="0.25">
      <c r="A862" s="2" t="s">
        <v>4757</v>
      </c>
      <c r="B862" s="2" t="s">
        <v>1591</v>
      </c>
      <c r="C862" s="2" t="s">
        <v>3341</v>
      </c>
      <c r="D862" s="2" t="s">
        <v>3342</v>
      </c>
      <c r="E862" s="2" t="s">
        <v>3316</v>
      </c>
      <c r="F862" s="2" t="s">
        <v>4758</v>
      </c>
      <c r="G862" s="2">
        <v>232.47</v>
      </c>
      <c r="H862" s="2" t="s">
        <v>36</v>
      </c>
      <c r="I862" s="2" t="s">
        <v>3334</v>
      </c>
    </row>
    <row r="863" spans="1:9" x14ac:dyDescent="0.25">
      <c r="A863" s="2" t="s">
        <v>4759</v>
      </c>
      <c r="B863" s="2" t="s">
        <v>850</v>
      </c>
      <c r="C863" s="2" t="s">
        <v>3367</v>
      </c>
      <c r="D863" s="2" t="s">
        <v>3368</v>
      </c>
      <c r="E863" s="2" t="s">
        <v>65</v>
      </c>
      <c r="F863" s="2" t="s">
        <v>4760</v>
      </c>
      <c r="G863" s="2">
        <v>24.34</v>
      </c>
      <c r="H863" s="2" t="s">
        <v>36</v>
      </c>
      <c r="I863" s="2" t="s">
        <v>3328</v>
      </c>
    </row>
    <row r="864" spans="1:9" x14ac:dyDescent="0.25">
      <c r="A864" s="2" t="s">
        <v>4761</v>
      </c>
      <c r="B864" s="2" t="s">
        <v>1744</v>
      </c>
      <c r="C864" s="2" t="s">
        <v>3325</v>
      </c>
      <c r="D864" s="2" t="s">
        <v>3326</v>
      </c>
      <c r="E864" s="2" t="s">
        <v>4</v>
      </c>
      <c r="F864" s="2" t="s">
        <v>4762</v>
      </c>
      <c r="G864" s="2">
        <v>9.48</v>
      </c>
      <c r="H864" s="2" t="s">
        <v>36</v>
      </c>
      <c r="I864" s="2" t="s">
        <v>3334</v>
      </c>
    </row>
    <row r="865" spans="1:9" x14ac:dyDescent="0.25">
      <c r="A865" s="2" t="s">
        <v>4763</v>
      </c>
      <c r="B865" s="2" t="s">
        <v>2598</v>
      </c>
      <c r="C865" s="2" t="s">
        <v>3403</v>
      </c>
      <c r="D865" s="2" t="s">
        <v>3404</v>
      </c>
      <c r="E865" s="2" t="s">
        <v>3316</v>
      </c>
      <c r="F865" s="2" t="s">
        <v>1475</v>
      </c>
      <c r="G865" s="2">
        <v>76.77</v>
      </c>
      <c r="H865" s="2" t="s">
        <v>37</v>
      </c>
      <c r="I865" s="2" t="s">
        <v>3365</v>
      </c>
    </row>
    <row r="866" spans="1:9" x14ac:dyDescent="0.25">
      <c r="A866" s="2" t="s">
        <v>4764</v>
      </c>
      <c r="B866" s="2" t="s">
        <v>1097</v>
      </c>
      <c r="C866" s="2" t="s">
        <v>3320</v>
      </c>
      <c r="D866" s="2" t="s">
        <v>3321</v>
      </c>
      <c r="E866" s="2" t="s">
        <v>65</v>
      </c>
      <c r="F866" s="2" t="s">
        <v>4765</v>
      </c>
      <c r="G866" s="2">
        <v>20.83</v>
      </c>
      <c r="H866" s="2" t="s">
        <v>36</v>
      </c>
      <c r="I866" s="2" t="s">
        <v>3318</v>
      </c>
    </row>
    <row r="867" spans="1:9" x14ac:dyDescent="0.25">
      <c r="A867" s="2" t="s">
        <v>4766</v>
      </c>
      <c r="B867" s="2" t="s">
        <v>817</v>
      </c>
      <c r="C867" s="2" t="s">
        <v>3336</v>
      </c>
      <c r="D867" s="2" t="s">
        <v>3337</v>
      </c>
      <c r="E867" s="2" t="s">
        <v>65</v>
      </c>
      <c r="F867" s="2" t="s">
        <v>4124</v>
      </c>
      <c r="G867" s="2">
        <v>17.07</v>
      </c>
      <c r="H867" s="2" t="s">
        <v>36</v>
      </c>
      <c r="I867" s="2" t="s">
        <v>3318</v>
      </c>
    </row>
    <row r="868" spans="1:9" x14ac:dyDescent="0.25">
      <c r="A868" s="2" t="s">
        <v>4767</v>
      </c>
      <c r="B868" s="2" t="s">
        <v>1538</v>
      </c>
      <c r="C868" s="2" t="s">
        <v>3325</v>
      </c>
      <c r="D868" s="2" t="s">
        <v>3326</v>
      </c>
      <c r="E868" s="2" t="s">
        <v>4</v>
      </c>
      <c r="F868" s="2" t="s">
        <v>4768</v>
      </c>
      <c r="G868" s="2">
        <v>21.49</v>
      </c>
      <c r="H868" s="2" t="s">
        <v>37</v>
      </c>
      <c r="I868" s="2" t="s">
        <v>3365</v>
      </c>
    </row>
    <row r="869" spans="1:9" x14ac:dyDescent="0.25">
      <c r="A869" s="2" t="s">
        <v>4769</v>
      </c>
      <c r="B869" s="2" t="s">
        <v>2922</v>
      </c>
      <c r="C869" s="2" t="s">
        <v>3403</v>
      </c>
      <c r="D869" s="2" t="s">
        <v>3404</v>
      </c>
      <c r="E869" s="2" t="s">
        <v>3316</v>
      </c>
      <c r="F869" s="2" t="s">
        <v>4310</v>
      </c>
      <c r="G869" s="2">
        <v>78.12</v>
      </c>
      <c r="H869" s="2" t="s">
        <v>36</v>
      </c>
      <c r="I869" s="2" t="s">
        <v>3323</v>
      </c>
    </row>
    <row r="870" spans="1:9" x14ac:dyDescent="0.25">
      <c r="A870" s="2" t="s">
        <v>4770</v>
      </c>
      <c r="B870" s="2" t="s">
        <v>3182</v>
      </c>
      <c r="C870" s="2" t="s">
        <v>3354</v>
      </c>
      <c r="D870" s="2" t="s">
        <v>3355</v>
      </c>
      <c r="E870" s="2" t="s">
        <v>65</v>
      </c>
      <c r="F870" s="2" t="s">
        <v>3425</v>
      </c>
      <c r="G870" s="2">
        <v>46.31</v>
      </c>
      <c r="H870" s="2" t="s">
        <v>36</v>
      </c>
      <c r="I870" s="2" t="s">
        <v>3385</v>
      </c>
    </row>
    <row r="871" spans="1:9" x14ac:dyDescent="0.25">
      <c r="A871" s="2" t="s">
        <v>4771</v>
      </c>
      <c r="B871" s="2" t="s">
        <v>697</v>
      </c>
      <c r="C871" s="2" t="s">
        <v>3325</v>
      </c>
      <c r="D871" s="2" t="s">
        <v>3326</v>
      </c>
      <c r="E871" s="2" t="s">
        <v>3338</v>
      </c>
      <c r="F871" s="2" t="s">
        <v>4772</v>
      </c>
      <c r="G871" s="2">
        <v>810.69</v>
      </c>
      <c r="H871" s="2" t="s">
        <v>36</v>
      </c>
      <c r="I871" s="2" t="s">
        <v>3365</v>
      </c>
    </row>
    <row r="872" spans="1:9" x14ac:dyDescent="0.25">
      <c r="A872" s="2" t="s">
        <v>4773</v>
      </c>
      <c r="B872" s="2" t="s">
        <v>802</v>
      </c>
      <c r="C872" s="2" t="s">
        <v>3403</v>
      </c>
      <c r="D872" s="2" t="s">
        <v>3404</v>
      </c>
      <c r="E872" s="2" t="s">
        <v>3316</v>
      </c>
      <c r="F872" s="2" t="s">
        <v>4535</v>
      </c>
      <c r="G872" s="2">
        <v>415.78</v>
      </c>
      <c r="H872" s="2" t="s">
        <v>37</v>
      </c>
      <c r="I872" s="2" t="s">
        <v>3365</v>
      </c>
    </row>
    <row r="873" spans="1:9" x14ac:dyDescent="0.25">
      <c r="A873" s="2" t="s">
        <v>4774</v>
      </c>
      <c r="B873" s="2" t="s">
        <v>535</v>
      </c>
      <c r="C873" s="2" t="s">
        <v>3427</v>
      </c>
      <c r="D873" s="2" t="s">
        <v>3428</v>
      </c>
      <c r="E873" s="2" t="s">
        <v>4</v>
      </c>
      <c r="F873" s="2" t="s">
        <v>3587</v>
      </c>
      <c r="G873" s="2">
        <v>14.48</v>
      </c>
      <c r="H873" s="2" t="s">
        <v>37</v>
      </c>
      <c r="I873" s="2" t="s">
        <v>3385</v>
      </c>
    </row>
    <row r="874" spans="1:9" x14ac:dyDescent="0.25">
      <c r="A874" s="2" t="s">
        <v>4775</v>
      </c>
      <c r="B874" s="2" t="s">
        <v>2544</v>
      </c>
      <c r="C874" s="2" t="s">
        <v>3320</v>
      </c>
      <c r="D874" s="2" t="s">
        <v>3321</v>
      </c>
      <c r="E874" s="2" t="s">
        <v>65</v>
      </c>
      <c r="F874" s="2" t="s">
        <v>4776</v>
      </c>
      <c r="G874" s="2">
        <v>56.45</v>
      </c>
      <c r="H874" s="2" t="s">
        <v>36</v>
      </c>
      <c r="I874" s="2" t="s">
        <v>3323</v>
      </c>
    </row>
    <row r="875" spans="1:9" x14ac:dyDescent="0.25">
      <c r="A875" s="2" t="s">
        <v>4777</v>
      </c>
      <c r="B875" s="2" t="s">
        <v>1037</v>
      </c>
      <c r="C875" s="2" t="s">
        <v>3427</v>
      </c>
      <c r="D875" s="2" t="s">
        <v>3428</v>
      </c>
      <c r="E875" s="2" t="s">
        <v>4</v>
      </c>
      <c r="F875" s="2" t="s">
        <v>3587</v>
      </c>
      <c r="G875" s="2">
        <v>19.5</v>
      </c>
      <c r="H875" s="2" t="s">
        <v>36</v>
      </c>
      <c r="I875" s="2" t="s">
        <v>3323</v>
      </c>
    </row>
    <row r="876" spans="1:9" x14ac:dyDescent="0.25">
      <c r="A876" s="2" t="s">
        <v>4778</v>
      </c>
      <c r="B876" s="2" t="s">
        <v>1065</v>
      </c>
      <c r="C876" s="2" t="s">
        <v>3403</v>
      </c>
      <c r="D876" s="2" t="s">
        <v>3404</v>
      </c>
      <c r="E876" s="2" t="s">
        <v>65</v>
      </c>
      <c r="F876" s="2" t="s">
        <v>3416</v>
      </c>
      <c r="G876" s="2">
        <v>220.69</v>
      </c>
      <c r="H876" s="2" t="s">
        <v>36</v>
      </c>
      <c r="I876" s="2" t="s">
        <v>3331</v>
      </c>
    </row>
    <row r="877" spans="1:9" x14ac:dyDescent="0.25">
      <c r="A877" s="2" t="s">
        <v>4779</v>
      </c>
      <c r="B877" s="2" t="s">
        <v>2598</v>
      </c>
      <c r="C877" s="2" t="s">
        <v>3341</v>
      </c>
      <c r="D877" s="2" t="s">
        <v>3342</v>
      </c>
      <c r="E877" s="2" t="s">
        <v>91</v>
      </c>
      <c r="F877" s="2" t="s">
        <v>4780</v>
      </c>
      <c r="G877" s="2">
        <v>154.21</v>
      </c>
      <c r="H877" s="2" t="s">
        <v>36</v>
      </c>
      <c r="I877" s="2" t="s">
        <v>3318</v>
      </c>
    </row>
    <row r="878" spans="1:9" x14ac:dyDescent="0.25">
      <c r="A878" s="2" t="s">
        <v>4781</v>
      </c>
      <c r="B878" s="2" t="s">
        <v>2580</v>
      </c>
      <c r="C878" s="2" t="s">
        <v>3320</v>
      </c>
      <c r="D878" s="2" t="s">
        <v>3321</v>
      </c>
      <c r="E878" s="2" t="s">
        <v>65</v>
      </c>
      <c r="F878" s="2" t="s">
        <v>4281</v>
      </c>
      <c r="G878" s="2">
        <v>108.99</v>
      </c>
      <c r="H878" s="2" t="s">
        <v>36</v>
      </c>
      <c r="I878" s="2" t="s">
        <v>3385</v>
      </c>
    </row>
    <row r="879" spans="1:9" x14ac:dyDescent="0.25">
      <c r="A879" s="2" t="s">
        <v>4782</v>
      </c>
      <c r="B879" s="2" t="s">
        <v>2888</v>
      </c>
      <c r="C879" s="2" t="s">
        <v>3403</v>
      </c>
      <c r="D879" s="2" t="s">
        <v>3404</v>
      </c>
      <c r="E879" s="2" t="s">
        <v>65</v>
      </c>
      <c r="F879" s="2" t="s">
        <v>4783</v>
      </c>
      <c r="G879" s="2">
        <v>29.07</v>
      </c>
      <c r="H879" s="2" t="s">
        <v>36</v>
      </c>
      <c r="I879" s="2" t="s">
        <v>3318</v>
      </c>
    </row>
    <row r="880" spans="1:9" x14ac:dyDescent="0.25">
      <c r="A880" s="2" t="s">
        <v>4784</v>
      </c>
      <c r="B880" s="2" t="s">
        <v>1192</v>
      </c>
      <c r="C880" s="2" t="s">
        <v>3354</v>
      </c>
      <c r="D880" s="2" t="s">
        <v>3355</v>
      </c>
      <c r="E880" s="2" t="s">
        <v>65</v>
      </c>
      <c r="F880" s="2" t="s">
        <v>3356</v>
      </c>
      <c r="G880" s="2">
        <v>186.61</v>
      </c>
      <c r="H880" s="2" t="s">
        <v>36</v>
      </c>
      <c r="I880" s="2" t="s">
        <v>3365</v>
      </c>
    </row>
    <row r="881" spans="1:9" x14ac:dyDescent="0.25">
      <c r="A881" s="2" t="s">
        <v>4785</v>
      </c>
      <c r="B881" s="2" t="s">
        <v>2489</v>
      </c>
      <c r="C881" s="2" t="s">
        <v>3341</v>
      </c>
      <c r="D881" s="2" t="s">
        <v>3342</v>
      </c>
      <c r="E881" s="2" t="s">
        <v>91</v>
      </c>
      <c r="F881" s="2" t="s">
        <v>4582</v>
      </c>
      <c r="G881" s="2">
        <v>315.98</v>
      </c>
      <c r="H881" s="2" t="s">
        <v>36</v>
      </c>
      <c r="I881" s="2" t="s">
        <v>3365</v>
      </c>
    </row>
    <row r="882" spans="1:9" x14ac:dyDescent="0.25">
      <c r="A882" s="2" t="s">
        <v>4786</v>
      </c>
      <c r="B882" s="2" t="s">
        <v>1669</v>
      </c>
      <c r="C882" s="2" t="s">
        <v>3427</v>
      </c>
      <c r="D882" s="2" t="s">
        <v>3428</v>
      </c>
      <c r="E882" s="2" t="s">
        <v>4</v>
      </c>
      <c r="F882" s="2" t="s">
        <v>3587</v>
      </c>
      <c r="G882" s="2">
        <v>21.33</v>
      </c>
      <c r="H882" s="2" t="s">
        <v>37</v>
      </c>
      <c r="I882" s="2" t="s">
        <v>3323</v>
      </c>
    </row>
    <row r="883" spans="1:9" x14ac:dyDescent="0.25">
      <c r="A883" s="2" t="s">
        <v>4787</v>
      </c>
      <c r="B883" s="2" t="s">
        <v>3106</v>
      </c>
      <c r="C883" s="2" t="s">
        <v>3367</v>
      </c>
      <c r="D883" s="2" t="s">
        <v>3368</v>
      </c>
      <c r="E883" s="2" t="s">
        <v>4</v>
      </c>
      <c r="F883" s="2" t="s">
        <v>4788</v>
      </c>
      <c r="G883" s="2">
        <v>80.41</v>
      </c>
      <c r="H883" s="2" t="s">
        <v>36</v>
      </c>
      <c r="I883" s="2" t="s">
        <v>3385</v>
      </c>
    </row>
    <row r="884" spans="1:9" x14ac:dyDescent="0.25">
      <c r="A884" s="2" t="s">
        <v>4789</v>
      </c>
      <c r="B884" s="2" t="s">
        <v>3118</v>
      </c>
      <c r="C884" s="2" t="s">
        <v>3362</v>
      </c>
      <c r="D884" s="2" t="s">
        <v>3363</v>
      </c>
      <c r="E884" s="2" t="s">
        <v>65</v>
      </c>
      <c r="F884" s="2" t="s">
        <v>3995</v>
      </c>
      <c r="G884" s="2">
        <v>43.6</v>
      </c>
      <c r="H884" s="2" t="s">
        <v>36</v>
      </c>
      <c r="I884" s="2" t="s">
        <v>3328</v>
      </c>
    </row>
    <row r="885" spans="1:9" x14ac:dyDescent="0.25">
      <c r="A885" s="2" t="s">
        <v>4790</v>
      </c>
      <c r="B885" s="2" t="s">
        <v>1625</v>
      </c>
      <c r="C885" s="2" t="s">
        <v>3325</v>
      </c>
      <c r="D885" s="2" t="s">
        <v>3326</v>
      </c>
      <c r="E885" s="2" t="s">
        <v>3338</v>
      </c>
      <c r="F885" s="2" t="s">
        <v>4540</v>
      </c>
      <c r="G885" s="2">
        <v>54.44</v>
      </c>
      <c r="H885" s="2" t="s">
        <v>36</v>
      </c>
      <c r="I885" s="2" t="s">
        <v>3331</v>
      </c>
    </row>
    <row r="886" spans="1:9" x14ac:dyDescent="0.25">
      <c r="A886" s="2" t="s">
        <v>4791</v>
      </c>
      <c r="B886" s="2" t="s">
        <v>513</v>
      </c>
      <c r="C886" s="2" t="s">
        <v>3314</v>
      </c>
      <c r="D886" s="2" t="s">
        <v>3315</v>
      </c>
      <c r="E886" s="2" t="s">
        <v>65</v>
      </c>
      <c r="F886" s="2" t="s">
        <v>4792</v>
      </c>
      <c r="G886" s="2">
        <v>11.13</v>
      </c>
      <c r="H886" s="2" t="s">
        <v>37</v>
      </c>
      <c r="I886" s="2" t="s">
        <v>3331</v>
      </c>
    </row>
    <row r="887" spans="1:9" x14ac:dyDescent="0.25">
      <c r="A887" s="2" t="s">
        <v>4793</v>
      </c>
      <c r="B887" s="2" t="s">
        <v>1897</v>
      </c>
      <c r="C887" s="2" t="s">
        <v>3367</v>
      </c>
      <c r="D887" s="2" t="s">
        <v>3368</v>
      </c>
      <c r="E887" s="2" t="s">
        <v>65</v>
      </c>
      <c r="F887" s="2" t="s">
        <v>4794</v>
      </c>
      <c r="G887" s="2">
        <v>219.18</v>
      </c>
      <c r="H887" s="2" t="s">
        <v>37</v>
      </c>
      <c r="I887" s="2" t="s">
        <v>3385</v>
      </c>
    </row>
    <row r="888" spans="1:9" x14ac:dyDescent="0.25">
      <c r="A888" s="2" t="s">
        <v>4795</v>
      </c>
      <c r="B888" s="2" t="s">
        <v>1476</v>
      </c>
      <c r="C888" s="2" t="s">
        <v>3325</v>
      </c>
      <c r="D888" s="2" t="s">
        <v>3326</v>
      </c>
      <c r="E888" s="2" t="s">
        <v>3316</v>
      </c>
      <c r="F888" s="2" t="s">
        <v>4796</v>
      </c>
      <c r="G888" s="2">
        <v>10.91</v>
      </c>
      <c r="H888" s="2" t="s">
        <v>36</v>
      </c>
      <c r="I888" s="2" t="s">
        <v>3365</v>
      </c>
    </row>
    <row r="889" spans="1:9" x14ac:dyDescent="0.25">
      <c r="A889" s="2" t="s">
        <v>4797</v>
      </c>
      <c r="B889" s="2" t="s">
        <v>876</v>
      </c>
      <c r="C889" s="2" t="s">
        <v>3320</v>
      </c>
      <c r="D889" s="2" t="s">
        <v>3321</v>
      </c>
      <c r="E889" s="2" t="s">
        <v>4</v>
      </c>
      <c r="F889" s="2" t="s">
        <v>4798</v>
      </c>
      <c r="G889" s="2">
        <v>1891.98</v>
      </c>
      <c r="H889" s="2" t="s">
        <v>37</v>
      </c>
      <c r="I889" s="2" t="s">
        <v>3385</v>
      </c>
    </row>
    <row r="890" spans="1:9" x14ac:dyDescent="0.25">
      <c r="A890" s="2" t="s">
        <v>4799</v>
      </c>
      <c r="B890" s="2" t="s">
        <v>1219</v>
      </c>
      <c r="C890" s="2" t="s">
        <v>3320</v>
      </c>
      <c r="D890" s="2" t="s">
        <v>3321</v>
      </c>
      <c r="E890" s="2" t="s">
        <v>3458</v>
      </c>
      <c r="F890" s="2" t="s">
        <v>4286</v>
      </c>
      <c r="G890" s="2">
        <v>43.74</v>
      </c>
      <c r="H890" s="2" t="s">
        <v>36</v>
      </c>
      <c r="I890" s="2" t="s">
        <v>3318</v>
      </c>
    </row>
    <row r="891" spans="1:9" x14ac:dyDescent="0.25">
      <c r="A891" s="2" t="s">
        <v>4800</v>
      </c>
      <c r="B891" s="2" t="s">
        <v>703</v>
      </c>
      <c r="C891" s="2" t="s">
        <v>3367</v>
      </c>
      <c r="D891" s="2" t="s">
        <v>3368</v>
      </c>
      <c r="E891" s="2" t="s">
        <v>65</v>
      </c>
      <c r="F891" s="2" t="s">
        <v>4801</v>
      </c>
      <c r="G891" s="2">
        <v>80.209999999999994</v>
      </c>
      <c r="H891" s="2" t="s">
        <v>36</v>
      </c>
      <c r="I891" s="2" t="s">
        <v>3334</v>
      </c>
    </row>
    <row r="892" spans="1:9" x14ac:dyDescent="0.25">
      <c r="A892" s="2" t="s">
        <v>4802</v>
      </c>
      <c r="B892" s="2" t="s">
        <v>2309</v>
      </c>
      <c r="C892" s="2" t="s">
        <v>3314</v>
      </c>
      <c r="D892" s="2" t="s">
        <v>3315</v>
      </c>
      <c r="E892" s="2" t="s">
        <v>3480</v>
      </c>
      <c r="F892" s="2" t="s">
        <v>4794</v>
      </c>
      <c r="G892" s="2">
        <v>93.12</v>
      </c>
      <c r="H892" s="2" t="s">
        <v>36</v>
      </c>
      <c r="I892" s="2" t="s">
        <v>3385</v>
      </c>
    </row>
    <row r="893" spans="1:9" x14ac:dyDescent="0.25">
      <c r="A893" s="2" t="s">
        <v>4803</v>
      </c>
      <c r="B893" s="2" t="s">
        <v>1778</v>
      </c>
      <c r="C893" s="2" t="s">
        <v>3320</v>
      </c>
      <c r="D893" s="2" t="s">
        <v>3321</v>
      </c>
      <c r="E893" s="2" t="s">
        <v>65</v>
      </c>
      <c r="F893" s="2" t="s">
        <v>4553</v>
      </c>
      <c r="G893" s="2">
        <v>51.41</v>
      </c>
      <c r="H893" s="2" t="s">
        <v>36</v>
      </c>
      <c r="I893" s="2" t="s">
        <v>3334</v>
      </c>
    </row>
    <row r="894" spans="1:9" x14ac:dyDescent="0.25">
      <c r="A894" s="2" t="s">
        <v>4804</v>
      </c>
      <c r="B894" s="2" t="s">
        <v>1226</v>
      </c>
      <c r="C894" s="2" t="s">
        <v>3367</v>
      </c>
      <c r="D894" s="2" t="s">
        <v>3368</v>
      </c>
      <c r="E894" s="2" t="s">
        <v>4</v>
      </c>
      <c r="F894" s="2" t="s">
        <v>4805</v>
      </c>
      <c r="G894" s="2">
        <v>31.87</v>
      </c>
      <c r="H894" s="2" t="s">
        <v>36</v>
      </c>
      <c r="I894" s="2" t="s">
        <v>3328</v>
      </c>
    </row>
    <row r="895" spans="1:9" x14ac:dyDescent="0.25">
      <c r="A895" s="2" t="s">
        <v>4806</v>
      </c>
      <c r="B895" s="2" t="s">
        <v>1511</v>
      </c>
      <c r="C895" s="2" t="s">
        <v>3341</v>
      </c>
      <c r="D895" s="2" t="s">
        <v>3342</v>
      </c>
      <c r="E895" s="2" t="s">
        <v>4</v>
      </c>
      <c r="F895" s="2" t="s">
        <v>4807</v>
      </c>
      <c r="G895" s="2">
        <v>36.799999999999997</v>
      </c>
      <c r="H895" s="2" t="s">
        <v>37</v>
      </c>
      <c r="I895" s="2" t="s">
        <v>3385</v>
      </c>
    </row>
    <row r="896" spans="1:9" x14ac:dyDescent="0.25">
      <c r="A896" s="2" t="s">
        <v>4808</v>
      </c>
      <c r="B896" s="2" t="s">
        <v>3281</v>
      </c>
      <c r="C896" s="2" t="s">
        <v>3367</v>
      </c>
      <c r="D896" s="2" t="s">
        <v>3368</v>
      </c>
      <c r="E896" s="2" t="s">
        <v>65</v>
      </c>
      <c r="F896" s="2" t="s">
        <v>4809</v>
      </c>
      <c r="G896" s="2">
        <v>161.24</v>
      </c>
      <c r="H896" s="2" t="s">
        <v>36</v>
      </c>
      <c r="I896" s="2" t="s">
        <v>3365</v>
      </c>
    </row>
    <row r="897" spans="1:9" x14ac:dyDescent="0.25">
      <c r="A897" s="2" t="s">
        <v>4810</v>
      </c>
      <c r="B897" s="2" t="s">
        <v>1423</v>
      </c>
      <c r="C897" s="2" t="s">
        <v>3325</v>
      </c>
      <c r="D897" s="2" t="s">
        <v>3326</v>
      </c>
      <c r="E897" s="2" t="s">
        <v>65</v>
      </c>
      <c r="F897" s="2" t="s">
        <v>3712</v>
      </c>
      <c r="G897" s="2">
        <v>8.1300000000000008</v>
      </c>
      <c r="H897" s="2" t="s">
        <v>36</v>
      </c>
      <c r="I897" s="2" t="s">
        <v>3328</v>
      </c>
    </row>
    <row r="898" spans="1:9" x14ac:dyDescent="0.25">
      <c r="A898" s="2" t="s">
        <v>4811</v>
      </c>
      <c r="B898" s="2" t="s">
        <v>1573</v>
      </c>
      <c r="C898" s="2" t="s">
        <v>3320</v>
      </c>
      <c r="D898" s="2" t="s">
        <v>3321</v>
      </c>
      <c r="E898" s="2" t="s">
        <v>4</v>
      </c>
      <c r="F898" s="2" t="s">
        <v>4812</v>
      </c>
      <c r="G898" s="2">
        <v>195.33</v>
      </c>
      <c r="H898" s="2" t="s">
        <v>37</v>
      </c>
      <c r="I898" s="2" t="s">
        <v>3331</v>
      </c>
    </row>
    <row r="899" spans="1:9" x14ac:dyDescent="0.25">
      <c r="A899" s="2" t="s">
        <v>4813</v>
      </c>
      <c r="B899" s="2" t="s">
        <v>1446</v>
      </c>
      <c r="C899" s="2" t="s">
        <v>3320</v>
      </c>
      <c r="D899" s="2" t="s">
        <v>3321</v>
      </c>
      <c r="E899" s="2" t="s">
        <v>65</v>
      </c>
      <c r="F899" s="2" t="s">
        <v>4814</v>
      </c>
      <c r="G899" s="2">
        <v>11.34</v>
      </c>
      <c r="H899" s="2" t="s">
        <v>36</v>
      </c>
      <c r="I899" s="2" t="s">
        <v>3370</v>
      </c>
    </row>
    <row r="900" spans="1:9" x14ac:dyDescent="0.25">
      <c r="A900" s="2" t="s">
        <v>4815</v>
      </c>
      <c r="B900" s="2" t="s">
        <v>1199</v>
      </c>
      <c r="C900" s="2" t="s">
        <v>3362</v>
      </c>
      <c r="D900" s="2" t="s">
        <v>3363</v>
      </c>
      <c r="E900" s="2" t="s">
        <v>65</v>
      </c>
      <c r="F900" s="2" t="s">
        <v>3554</v>
      </c>
      <c r="G900" s="2">
        <v>222.09</v>
      </c>
      <c r="H900" s="2" t="s">
        <v>36</v>
      </c>
      <c r="I900" s="2" t="s">
        <v>3370</v>
      </c>
    </row>
    <row r="901" spans="1:9" x14ac:dyDescent="0.25">
      <c r="A901" s="2" t="s">
        <v>4816</v>
      </c>
      <c r="B901" s="2" t="s">
        <v>3159</v>
      </c>
      <c r="C901" s="2" t="s">
        <v>3341</v>
      </c>
      <c r="D901" s="2" t="s">
        <v>3342</v>
      </c>
      <c r="E901" s="2" t="s">
        <v>4</v>
      </c>
      <c r="F901" s="2" t="s">
        <v>4817</v>
      </c>
      <c r="G901" s="2">
        <v>2297.4899999999998</v>
      </c>
      <c r="H901" s="2" t="s">
        <v>36</v>
      </c>
      <c r="I901" s="2" t="s">
        <v>3318</v>
      </c>
    </row>
    <row r="902" spans="1:9" x14ac:dyDescent="0.25">
      <c r="A902" s="2" t="s">
        <v>4818</v>
      </c>
      <c r="B902" s="2" t="s">
        <v>1147</v>
      </c>
      <c r="C902" s="2" t="s">
        <v>3341</v>
      </c>
      <c r="D902" s="2" t="s">
        <v>3342</v>
      </c>
      <c r="E902" s="2" t="s">
        <v>4</v>
      </c>
      <c r="F902" s="2" t="s">
        <v>3536</v>
      </c>
      <c r="G902" s="2">
        <v>49.11</v>
      </c>
      <c r="H902" s="2" t="s">
        <v>37</v>
      </c>
      <c r="I902" s="2" t="s">
        <v>3365</v>
      </c>
    </row>
    <row r="903" spans="1:9" x14ac:dyDescent="0.25">
      <c r="A903" s="2" t="s">
        <v>4819</v>
      </c>
      <c r="B903" s="2" t="s">
        <v>2917</v>
      </c>
      <c r="C903" s="2" t="s">
        <v>3362</v>
      </c>
      <c r="D903" s="2" t="s">
        <v>3363</v>
      </c>
      <c r="E903" s="2" t="s">
        <v>65</v>
      </c>
      <c r="F903" s="2" t="s">
        <v>3988</v>
      </c>
      <c r="G903" s="2">
        <v>49.47</v>
      </c>
      <c r="H903" s="2" t="s">
        <v>36</v>
      </c>
      <c r="I903" s="2" t="s">
        <v>3318</v>
      </c>
    </row>
    <row r="904" spans="1:9" x14ac:dyDescent="0.25">
      <c r="A904" s="2" t="s">
        <v>4820</v>
      </c>
      <c r="B904" s="2" t="s">
        <v>1702</v>
      </c>
      <c r="C904" s="2" t="s">
        <v>3403</v>
      </c>
      <c r="D904" s="2" t="s">
        <v>3404</v>
      </c>
      <c r="E904" s="2" t="s">
        <v>3316</v>
      </c>
      <c r="F904" s="2" t="s">
        <v>4821</v>
      </c>
      <c r="G904" s="2">
        <v>71.81</v>
      </c>
      <c r="H904" s="2" t="s">
        <v>36</v>
      </c>
      <c r="I904" s="2" t="s">
        <v>3328</v>
      </c>
    </row>
    <row r="905" spans="1:9" x14ac:dyDescent="0.25">
      <c r="A905" s="2" t="s">
        <v>4822</v>
      </c>
      <c r="B905" s="2" t="s">
        <v>2380</v>
      </c>
      <c r="C905" s="2" t="s">
        <v>3367</v>
      </c>
      <c r="D905" s="2" t="s">
        <v>3368</v>
      </c>
      <c r="E905" s="2" t="s">
        <v>65</v>
      </c>
      <c r="F905" s="2" t="s">
        <v>4823</v>
      </c>
      <c r="G905" s="2">
        <v>70.27</v>
      </c>
      <c r="H905" s="2" t="s">
        <v>36</v>
      </c>
      <c r="I905" s="2" t="s">
        <v>3323</v>
      </c>
    </row>
    <row r="906" spans="1:9" x14ac:dyDescent="0.25">
      <c r="A906" s="2" t="s">
        <v>4824</v>
      </c>
      <c r="B906" s="2" t="s">
        <v>831</v>
      </c>
      <c r="C906" s="2" t="s">
        <v>3325</v>
      </c>
      <c r="D906" s="2" t="s">
        <v>3326</v>
      </c>
      <c r="E906" s="2" t="s">
        <v>65</v>
      </c>
      <c r="F906" s="2" t="s">
        <v>4825</v>
      </c>
      <c r="G906" s="2">
        <v>3278.25</v>
      </c>
      <c r="H906" s="2" t="s">
        <v>37</v>
      </c>
      <c r="I906" s="2" t="s">
        <v>3331</v>
      </c>
    </row>
    <row r="907" spans="1:9" x14ac:dyDescent="0.25">
      <c r="A907" s="2" t="s">
        <v>4826</v>
      </c>
      <c r="B907" s="2" t="s">
        <v>3235</v>
      </c>
      <c r="C907" s="2" t="s">
        <v>3427</v>
      </c>
      <c r="D907" s="2" t="s">
        <v>3428</v>
      </c>
      <c r="E907" s="2" t="s">
        <v>4</v>
      </c>
      <c r="F907" s="2" t="s">
        <v>3429</v>
      </c>
      <c r="G907" s="2">
        <v>89.95</v>
      </c>
      <c r="H907" s="2" t="s">
        <v>36</v>
      </c>
      <c r="I907" s="2" t="s">
        <v>3331</v>
      </c>
    </row>
    <row r="908" spans="1:9" x14ac:dyDescent="0.25">
      <c r="A908" s="2" t="s">
        <v>4827</v>
      </c>
      <c r="B908" s="2" t="s">
        <v>2235</v>
      </c>
      <c r="C908" s="2" t="s">
        <v>3314</v>
      </c>
      <c r="D908" s="2" t="s">
        <v>3315</v>
      </c>
      <c r="E908" s="2" t="s">
        <v>33</v>
      </c>
      <c r="F908" s="2" t="s">
        <v>4828</v>
      </c>
      <c r="G908" s="2">
        <v>14.35</v>
      </c>
      <c r="H908" s="2" t="s">
        <v>36</v>
      </c>
      <c r="I908" s="2" t="s">
        <v>3318</v>
      </c>
    </row>
    <row r="909" spans="1:9" x14ac:dyDescent="0.25">
      <c r="A909" s="2" t="s">
        <v>4829</v>
      </c>
      <c r="B909" s="2" t="s">
        <v>1423</v>
      </c>
      <c r="C909" s="2" t="s">
        <v>3314</v>
      </c>
      <c r="D909" s="2" t="s">
        <v>3315</v>
      </c>
      <c r="E909" s="2" t="s">
        <v>3316</v>
      </c>
      <c r="F909" s="2" t="s">
        <v>3702</v>
      </c>
      <c r="G909" s="2">
        <v>42.38</v>
      </c>
      <c r="H909" s="2" t="s">
        <v>36</v>
      </c>
      <c r="I909" s="2" t="s">
        <v>3331</v>
      </c>
    </row>
  </sheetData>
  <autoFilter ref="A1:I90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C19" sqref="C19"/>
    </sheetView>
  </sheetViews>
  <sheetFormatPr defaultColWidth="8.85546875" defaultRowHeight="15" x14ac:dyDescent="0.25"/>
  <cols>
    <col min="1" max="1" width="32" customWidth="1"/>
    <col min="2" max="2" width="14" customWidth="1"/>
    <col min="3" max="3" width="16" customWidth="1"/>
    <col min="4" max="4" width="18" customWidth="1"/>
    <col min="5" max="6" width="14" customWidth="1"/>
    <col min="7" max="7" width="12" customWidth="1"/>
    <col min="8" max="8" width="16" customWidth="1"/>
  </cols>
  <sheetData>
    <row r="1" spans="1:8" ht="30" x14ac:dyDescent="0.25">
      <c r="A1" s="1" t="s">
        <v>3306</v>
      </c>
      <c r="B1" s="1" t="s">
        <v>3307</v>
      </c>
      <c r="C1" s="1" t="s">
        <v>4830</v>
      </c>
      <c r="D1" s="1" t="s">
        <v>4831</v>
      </c>
      <c r="E1" s="1" t="s">
        <v>4832</v>
      </c>
      <c r="F1" s="1" t="s">
        <v>4833</v>
      </c>
      <c r="G1" s="1" t="s">
        <v>4834</v>
      </c>
      <c r="H1" s="1" t="s">
        <v>4835</v>
      </c>
    </row>
    <row r="2" spans="1:8" x14ac:dyDescent="0.25">
      <c r="A2" s="2" t="s">
        <v>3325</v>
      </c>
      <c r="B2" s="2" t="s">
        <v>3326</v>
      </c>
      <c r="C2" s="2" t="s">
        <v>4836</v>
      </c>
      <c r="D2" s="2" t="s">
        <v>4837</v>
      </c>
      <c r="E2" s="2" t="s">
        <v>4838</v>
      </c>
      <c r="F2" s="2" t="s">
        <v>4839</v>
      </c>
      <c r="G2" s="2">
        <v>25000</v>
      </c>
      <c r="H2" s="2" t="s">
        <v>4840</v>
      </c>
    </row>
    <row r="3" spans="1:8" x14ac:dyDescent="0.25">
      <c r="A3" s="2" t="s">
        <v>3367</v>
      </c>
      <c r="B3" s="2" t="s">
        <v>3368</v>
      </c>
      <c r="C3" s="2" t="s">
        <v>4841</v>
      </c>
      <c r="D3" s="2" t="s">
        <v>4842</v>
      </c>
      <c r="E3" s="2" t="s">
        <v>4843</v>
      </c>
      <c r="F3" s="2" t="s">
        <v>4844</v>
      </c>
      <c r="G3" s="2">
        <v>8000</v>
      </c>
      <c r="H3" s="2" t="s">
        <v>65</v>
      </c>
    </row>
    <row r="4" spans="1:8" x14ac:dyDescent="0.25">
      <c r="A4" s="2" t="s">
        <v>3427</v>
      </c>
      <c r="B4" s="2" t="s">
        <v>3428</v>
      </c>
      <c r="C4" s="2" t="s">
        <v>117</v>
      </c>
      <c r="D4" s="2" t="s">
        <v>4845</v>
      </c>
      <c r="E4" s="2" t="s">
        <v>3681</v>
      </c>
      <c r="F4" s="2" t="s">
        <v>3681</v>
      </c>
      <c r="G4" s="2">
        <v>45000</v>
      </c>
      <c r="H4" s="2" t="s">
        <v>65</v>
      </c>
    </row>
    <row r="5" spans="1:8" x14ac:dyDescent="0.25">
      <c r="A5" s="2" t="s">
        <v>3336</v>
      </c>
      <c r="B5" s="2" t="s">
        <v>3337</v>
      </c>
      <c r="C5" s="2" t="s">
        <v>4836</v>
      </c>
      <c r="D5" s="2" t="s">
        <v>4846</v>
      </c>
      <c r="E5" s="2" t="s">
        <v>4847</v>
      </c>
      <c r="F5" s="2" t="s">
        <v>4848</v>
      </c>
      <c r="G5" s="2">
        <v>15000</v>
      </c>
      <c r="H5" s="2" t="s">
        <v>4</v>
      </c>
    </row>
    <row r="6" spans="1:8" x14ac:dyDescent="0.25">
      <c r="A6" s="2" t="s">
        <v>3403</v>
      </c>
      <c r="B6" s="2" t="s">
        <v>3404</v>
      </c>
      <c r="C6" s="2" t="s">
        <v>4849</v>
      </c>
      <c r="D6" s="2" t="s">
        <v>4837</v>
      </c>
      <c r="E6" s="2" t="s">
        <v>4848</v>
      </c>
      <c r="F6" s="2" t="s">
        <v>3405</v>
      </c>
      <c r="G6" s="2">
        <v>12000</v>
      </c>
      <c r="H6" s="2" t="s">
        <v>4840</v>
      </c>
    </row>
    <row r="7" spans="1:8" x14ac:dyDescent="0.25">
      <c r="A7" s="2" t="s">
        <v>3314</v>
      </c>
      <c r="B7" s="2" t="s">
        <v>3315</v>
      </c>
      <c r="C7" s="2" t="s">
        <v>4850</v>
      </c>
      <c r="D7" s="2" t="s">
        <v>4851</v>
      </c>
      <c r="E7" s="2" t="s">
        <v>4852</v>
      </c>
      <c r="F7" s="2" t="s">
        <v>4809</v>
      </c>
      <c r="G7" s="2">
        <v>10000</v>
      </c>
      <c r="H7" s="2" t="s">
        <v>33</v>
      </c>
    </row>
    <row r="8" spans="1:8" x14ac:dyDescent="0.25">
      <c r="A8" s="2" t="s">
        <v>3362</v>
      </c>
      <c r="B8" s="2" t="s">
        <v>3363</v>
      </c>
      <c r="C8" s="2" t="s">
        <v>4853</v>
      </c>
      <c r="D8" s="2" t="s">
        <v>4854</v>
      </c>
      <c r="E8" s="2" t="s">
        <v>3851</v>
      </c>
      <c r="F8" s="2" t="s">
        <v>3690</v>
      </c>
      <c r="G8" s="2">
        <v>5000</v>
      </c>
      <c r="H8" s="2" t="s">
        <v>65</v>
      </c>
    </row>
    <row r="9" spans="1:8" x14ac:dyDescent="0.25">
      <c r="A9" s="2" t="s">
        <v>3341</v>
      </c>
      <c r="B9" s="2" t="s">
        <v>3342</v>
      </c>
      <c r="C9" s="2" t="s">
        <v>4855</v>
      </c>
      <c r="D9" s="2" t="s">
        <v>4856</v>
      </c>
      <c r="E9" s="2" t="s">
        <v>4857</v>
      </c>
      <c r="F9" s="2" t="s">
        <v>4844</v>
      </c>
      <c r="G9" s="2">
        <v>20000</v>
      </c>
      <c r="H9" s="2" t="s">
        <v>3316</v>
      </c>
    </row>
    <row r="10" spans="1:8" x14ac:dyDescent="0.25">
      <c r="A10" s="2" t="s">
        <v>3354</v>
      </c>
      <c r="B10" s="2" t="s">
        <v>3355</v>
      </c>
      <c r="C10" s="2" t="s">
        <v>117</v>
      </c>
      <c r="D10" s="2" t="s">
        <v>4858</v>
      </c>
      <c r="E10" s="2" t="s">
        <v>3356</v>
      </c>
      <c r="F10" s="2" t="s">
        <v>3356</v>
      </c>
      <c r="G10" s="2">
        <v>3500</v>
      </c>
      <c r="H10" s="2" t="s">
        <v>4</v>
      </c>
    </row>
    <row r="11" spans="1:8" x14ac:dyDescent="0.25">
      <c r="A11" s="2" t="s">
        <v>3320</v>
      </c>
      <c r="B11" s="2" t="s">
        <v>3321</v>
      </c>
      <c r="C11" s="2" t="s">
        <v>4859</v>
      </c>
      <c r="D11" s="2" t="s">
        <v>4845</v>
      </c>
      <c r="E11" s="2" t="s">
        <v>4020</v>
      </c>
      <c r="F11" s="2" t="s">
        <v>4860</v>
      </c>
      <c r="G11" s="2">
        <v>7000</v>
      </c>
      <c r="H11" s="2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8F06-DFFD-4283-AFEB-14DFF306BF68}">
  <dimension ref="A1:AE509"/>
  <sheetViews>
    <sheetView topLeftCell="A49" workbookViewId="0">
      <selection activeCell="H43" sqref="A43:XFD43"/>
    </sheetView>
  </sheetViews>
  <sheetFormatPr defaultColWidth="8.85546875" defaultRowHeight="15" x14ac:dyDescent="0.25"/>
  <cols>
    <col min="1" max="1" width="19.85546875" bestFit="1" customWidth="1"/>
    <col min="2" max="2" width="19.85546875" customWidth="1"/>
    <col min="3" max="3" width="10.140625" bestFit="1" customWidth="1"/>
    <col min="4" max="4" width="17" bestFit="1" customWidth="1"/>
    <col min="5" max="5" width="16.7109375" bestFit="1" customWidth="1"/>
    <col min="6" max="7" width="32.140625" customWidth="1"/>
    <col min="8" max="8" width="17.7109375" bestFit="1" customWidth="1"/>
    <col min="9" max="9" width="19.28515625" bestFit="1" customWidth="1"/>
    <col min="10" max="10" width="19.7109375" bestFit="1" customWidth="1"/>
    <col min="11" max="11" width="9.28515625" bestFit="1" customWidth="1"/>
    <col min="12" max="12" width="15.85546875" style="17" bestFit="1" customWidth="1"/>
    <col min="13" max="13" width="19.7109375" style="18" bestFit="1" customWidth="1"/>
    <col min="14" max="14" width="12.85546875" bestFit="1" customWidth="1"/>
    <col min="15" max="15" width="17.7109375" style="18" bestFit="1" customWidth="1"/>
    <col min="16" max="16" width="15.140625" bestFit="1" customWidth="1"/>
    <col min="17" max="17" width="13.28515625" bestFit="1" customWidth="1"/>
    <col min="18" max="18" width="25.28515625" bestFit="1" customWidth="1"/>
    <col min="19" max="19" width="14.7109375" bestFit="1" customWidth="1"/>
    <col min="20" max="20" width="18" bestFit="1" customWidth="1"/>
    <col min="21" max="21" width="34.28515625" bestFit="1" customWidth="1"/>
    <col min="22" max="22" width="19" bestFit="1" customWidth="1"/>
    <col min="23" max="23" width="17.7109375" style="17" bestFit="1" customWidth="1"/>
    <col min="24" max="24" width="20.140625" bestFit="1" customWidth="1"/>
    <col min="25" max="25" width="26.28515625" bestFit="1" customWidth="1"/>
    <col min="26" max="26" width="36.140625" bestFit="1" customWidth="1"/>
    <col min="27" max="27" width="46.85546875" bestFit="1" customWidth="1"/>
    <col min="28" max="28" width="31.28515625" bestFit="1" customWidth="1"/>
    <col min="29" max="29" width="48.28515625" bestFit="1" customWidth="1"/>
    <col min="30" max="30" width="17.28515625" bestFit="1" customWidth="1"/>
    <col min="31" max="31" width="19.7109375" style="18" customWidth="1"/>
    <col min="32" max="32" width="27.28515625" bestFit="1" customWidth="1"/>
    <col min="33" max="33" width="16.85546875" bestFit="1" customWidth="1"/>
  </cols>
  <sheetData>
    <row r="1" spans="1:31" x14ac:dyDescent="0.25">
      <c r="A1" s="30" t="s">
        <v>4864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4874</v>
      </c>
      <c r="G1" s="31" t="s">
        <v>4872</v>
      </c>
      <c r="H1" s="32" t="s">
        <v>6</v>
      </c>
      <c r="I1" s="33" t="s">
        <v>4889</v>
      </c>
      <c r="J1" s="33" t="s">
        <v>4911</v>
      </c>
      <c r="K1" s="31" t="s">
        <v>4886</v>
      </c>
      <c r="L1" s="31" t="s">
        <v>9</v>
      </c>
      <c r="M1" s="31" t="s">
        <v>10</v>
      </c>
      <c r="N1" s="31" t="s">
        <v>11</v>
      </c>
      <c r="O1" s="31" t="s">
        <v>12</v>
      </c>
      <c r="P1" s="31" t="s">
        <v>13</v>
      </c>
      <c r="Q1" s="31" t="s">
        <v>14</v>
      </c>
      <c r="R1" s="32" t="s">
        <v>15</v>
      </c>
      <c r="S1" s="31" t="s">
        <v>16</v>
      </c>
      <c r="T1" s="31" t="s">
        <v>17</v>
      </c>
      <c r="U1" s="31" t="s">
        <v>18</v>
      </c>
      <c r="V1" s="31" t="s">
        <v>19</v>
      </c>
      <c r="W1" s="34" t="s">
        <v>20</v>
      </c>
      <c r="X1" s="35" t="s">
        <v>4946</v>
      </c>
      <c r="Y1" s="31" t="s">
        <v>4873</v>
      </c>
      <c r="Z1" s="33" t="s">
        <v>4910</v>
      </c>
      <c r="AA1" s="31" t="s">
        <v>4943</v>
      </c>
      <c r="AB1" s="35" t="s">
        <v>4945</v>
      </c>
      <c r="AE1"/>
    </row>
    <row r="2" spans="1:31" x14ac:dyDescent="0.25">
      <c r="A2" s="3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tr">
        <f>TRIM(SUBSTITUTE(SUBSTITUTE(SUBSTITUTE(SUBSTITUTE(tb1_supporters[[#This Row],[Phone_Raw]],"(",""),")","")," ",""),"+44",))</f>
        <v>07130195323</v>
      </c>
      <c r="H2" s="15">
        <v>28389</v>
      </c>
      <c r="I2" s="36">
        <f ca="1">IF(OR(tb1_supporters[[#This Row],[Date_of_Birth]]="",tb1_supporters[[#This Row],[Date_of_Birth]]&gt;TODAY()),"",DATEDIF(tb1_supporters[[#This Row],[Date_of_Birth]],TODAY(),"Y"))</f>
        <v>48</v>
      </c>
      <c r="J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242</v>
      </c>
      <c r="P2" s="2" t="s">
        <v>33</v>
      </c>
      <c r="Q2" s="2" t="s">
        <v>4888</v>
      </c>
      <c r="R2" s="15">
        <v>45333</v>
      </c>
      <c r="S2" s="2" t="s">
        <v>5</v>
      </c>
      <c r="T2" s="2" t="s">
        <v>36</v>
      </c>
      <c r="U2" s="2" t="s">
        <v>36</v>
      </c>
      <c r="V2" s="2" t="s">
        <v>37</v>
      </c>
      <c r="W2" s="4" t="s">
        <v>37</v>
      </c>
      <c r="X2" s="19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2" s="2" t="str">
        <f>IF(ISNUMBER(SEARCH("onal",tb1_supporters[[#This Row],[Phone_Clean]])),"Review - corrupt phone number", IF(LEN(tb1_supporters[[#This Row],[Phone_Clean]])&gt;11,"Review - too many digits",""))</f>
        <v/>
      </c>
      <c r="Z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" s="2" t="str">
        <f>IF(tb1_supporters[[#This Row],[Email]]="","",IF(COUNTIF(tb1_supporters[Email],tb1_supporters[[#This Row],[Email]])&gt;1,"Review - duplicate record, see Supporter_Duplicates tab",""))</f>
        <v/>
      </c>
      <c r="AB2" s="21" t="str">
        <f>IF(tb1_supporters[[#This Row],[Communication_Preference]]="Do Not Contact","DO NOT CONTACT","")</f>
        <v/>
      </c>
      <c r="AD2">
        <f ca="1">COUNTIFS(tb1_supporters[Gender],"Male",tb1_supporters[Age_Band],"50-64")</f>
        <v>58</v>
      </c>
      <c r="AE2"/>
    </row>
    <row r="3" spans="1:31" x14ac:dyDescent="0.25">
      <c r="A3" s="3" t="s">
        <v>38</v>
      </c>
      <c r="B3" s="2" t="s">
        <v>4866</v>
      </c>
      <c r="C3" s="2" t="s">
        <v>40</v>
      </c>
      <c r="D3" s="2" t="s">
        <v>41</v>
      </c>
      <c r="E3" s="2" t="s">
        <v>42</v>
      </c>
      <c r="F3" s="2" t="s">
        <v>43</v>
      </c>
      <c r="G3" s="2" t="str">
        <f>TRIM(SUBSTITUTE(SUBSTITUTE(SUBSTITUTE(SUBSTITUTE(tb1_supporters[[#This Row],[Phone_Raw]],"(",""),")","")," ",""),"+44",))</f>
        <v>07204194489</v>
      </c>
      <c r="H3" s="15">
        <v>18656</v>
      </c>
      <c r="I3" s="36">
        <f ca="1">IF(OR(tb1_supporters[[#This Row],[Date_of_Birth]]="",tb1_supporters[[#This Row],[Date_of_Birth]]&gt;TODAY()),"",DATEDIF(tb1_supporters[[#This Row],[Date_of_Birth]],TODAY(),"Y"))</f>
        <v>75</v>
      </c>
      <c r="J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242</v>
      </c>
      <c r="P3" s="2" t="s">
        <v>49</v>
      </c>
      <c r="Q3" s="2" t="s">
        <v>50</v>
      </c>
      <c r="R3" s="15">
        <v>44184</v>
      </c>
      <c r="S3" s="2" t="s">
        <v>52</v>
      </c>
      <c r="T3" s="2" t="s">
        <v>36</v>
      </c>
      <c r="U3" s="2" t="s">
        <v>36</v>
      </c>
      <c r="V3" s="2" t="s">
        <v>37</v>
      </c>
      <c r="W3" s="4" t="s">
        <v>36</v>
      </c>
      <c r="X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" s="2" t="str">
        <f>IF(ISNUMBER(SEARCH("onal",tb1_supporters[[#This Row],[Phone_Clean]])),"Review - corrupt phone number", IF(LEN(tb1_supporters[[#This Row],[Phone_Clean]])&gt;11,"Review - too many digits",""))</f>
        <v/>
      </c>
      <c r="Z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" s="2" t="str">
        <f>IF(tb1_supporters[[#This Row],[Email]]="","",IF(COUNTIF(tb1_supporters[Email],tb1_supporters[[#This Row],[Email]])&gt;1,"Review - duplicate record, see Supporter_Duplicates tab",""))</f>
        <v/>
      </c>
      <c r="AB3" s="21" t="str">
        <f>IF(tb1_supporters[[#This Row],[Communication_Preference]]="Do Not Contact","DO NOT CONTACT","")</f>
        <v/>
      </c>
      <c r="AE3"/>
    </row>
    <row r="4" spans="1:31" x14ac:dyDescent="0.25">
      <c r="A4" s="3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tr">
        <f>TRIM(SUBSTITUTE(SUBSTITUTE(SUBSTITUTE(SUBSTITUTE(tb1_supporters[[#This Row],[Phone_Raw]],"(",""),")","")," ",""),"+44",))</f>
        <v>012957412307</v>
      </c>
      <c r="H4" s="15">
        <v>21383</v>
      </c>
      <c r="I4" s="36">
        <f ca="1">IF(OR(tb1_supporters[[#This Row],[Date_of_Birth]]="",tb1_supporters[[#This Row],[Date_of_Birth]]&gt;TODAY()),"",DATEDIF(tb1_supporters[[#This Row],[Date_of_Birth]],TODAY(),"Y"))</f>
        <v>67</v>
      </c>
      <c r="J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" s="2" t="s">
        <v>60</v>
      </c>
      <c r="L4" s="2" t="s">
        <v>61</v>
      </c>
      <c r="M4" s="2" t="s">
        <v>62</v>
      </c>
      <c r="N4" s="2" t="s">
        <v>63</v>
      </c>
      <c r="O4" s="2" t="s">
        <v>166</v>
      </c>
      <c r="P4" s="2" t="s">
        <v>65</v>
      </c>
      <c r="Q4" s="2" t="s">
        <v>66</v>
      </c>
      <c r="R4" s="15">
        <v>44239</v>
      </c>
      <c r="S4" s="2" t="s">
        <v>5</v>
      </c>
      <c r="T4" s="2" t="s">
        <v>36</v>
      </c>
      <c r="U4" s="2" t="s">
        <v>36</v>
      </c>
      <c r="V4" s="2" t="s">
        <v>36</v>
      </c>
      <c r="W4" s="4" t="s">
        <v>37</v>
      </c>
      <c r="X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" s="2" t="str">
        <f>IF(tb1_supporters[[#This Row],[Email]]="","",IF(COUNTIF(tb1_supporters[Email],tb1_supporters[[#This Row],[Email]])&gt;1,"Review - duplicate record, see Supporter_Duplicates tab",""))</f>
        <v/>
      </c>
      <c r="AB4" s="21" t="str">
        <f>IF(tb1_supporters[[#This Row],[Communication_Preference]]="Do Not Contact","DO NOT CONTACT","")</f>
        <v/>
      </c>
      <c r="AE4"/>
    </row>
    <row r="5" spans="1:31" x14ac:dyDescent="0.25">
      <c r="A5" s="3" t="s">
        <v>68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73</v>
      </c>
      <c r="G5" s="2" t="str">
        <f>TRIM(SUBSTITUTE(SUBSTITUTE(SUBSTITUTE(SUBSTITUTE(tb1_supporters[[#This Row],[Phone_Raw]],"(",""),")","")," ",""),"+44",))</f>
        <v>07573488376</v>
      </c>
      <c r="H5" s="15">
        <v>14667</v>
      </c>
      <c r="I5" s="36">
        <f ca="1">IF(OR(tb1_supporters[[#This Row],[Date_of_Birth]]="",tb1_supporters[[#This Row],[Date_of_Birth]]&gt;TODAY()),"",DATEDIF(tb1_supporters[[#This Row],[Date_of_Birth]],TODAY(),"Y"))</f>
        <v>86</v>
      </c>
      <c r="J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5" s="2" t="s">
        <v>75</v>
      </c>
      <c r="L5" s="2" t="s">
        <v>76</v>
      </c>
      <c r="M5" s="2" t="s">
        <v>77</v>
      </c>
      <c r="N5" s="2" t="s">
        <v>78</v>
      </c>
      <c r="O5" s="2" t="s">
        <v>166</v>
      </c>
      <c r="P5" s="2" t="s">
        <v>33</v>
      </c>
      <c r="Q5" s="2" t="s">
        <v>4888</v>
      </c>
      <c r="R5" s="15">
        <v>44429</v>
      </c>
      <c r="S5" s="2" t="s">
        <v>52</v>
      </c>
      <c r="T5" s="2" t="s">
        <v>36</v>
      </c>
      <c r="U5" s="2" t="s">
        <v>36</v>
      </c>
      <c r="V5" s="2" t="s">
        <v>36</v>
      </c>
      <c r="W5" s="4" t="s">
        <v>37</v>
      </c>
      <c r="X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" s="2" t="str">
        <f>IF(ISNUMBER(SEARCH("onal",tb1_supporters[[#This Row],[Phone_Clean]])),"Review - corrupt phone number", IF(LEN(tb1_supporters[[#This Row],[Phone_Clean]])&gt;11,"Review - too many digits",""))</f>
        <v/>
      </c>
      <c r="Z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" s="2" t="str">
        <f>IF(tb1_supporters[[#This Row],[Email]]="","",IF(COUNTIF(tb1_supporters[Email],tb1_supporters[[#This Row],[Email]])&gt;1,"Review - duplicate record, see Supporter_Duplicates tab",""))</f>
        <v/>
      </c>
      <c r="AB5" s="21" t="str">
        <f>IF(tb1_supporters[[#This Row],[Communication_Preference]]="Do Not Contact","DO NOT CONTACT","")</f>
        <v/>
      </c>
      <c r="AE5"/>
    </row>
    <row r="6" spans="1:31" x14ac:dyDescent="0.25">
      <c r="A6" s="3" t="s">
        <v>81</v>
      </c>
      <c r="B6" s="2" t="s">
        <v>4866</v>
      </c>
      <c r="C6" s="2" t="s">
        <v>82</v>
      </c>
      <c r="D6" s="2" t="s">
        <v>83</v>
      </c>
      <c r="E6" s="2" t="s">
        <v>84</v>
      </c>
      <c r="F6" s="2" t="s">
        <v>85</v>
      </c>
      <c r="G6" s="2" t="str">
        <f>TRIM(SUBSTITUTE(SUBSTITUTE(SUBSTITUTE(SUBSTITUTE(tb1_supporters[[#This Row],[Phone_Raw]],"(",""),")","")," ",""),"+44",))</f>
        <v>07371242352</v>
      </c>
      <c r="H6" s="15">
        <v>14837</v>
      </c>
      <c r="I6" s="36">
        <f ca="1">IF(OR(tb1_supporters[[#This Row],[Date_of_Birth]]="",tb1_supporters[[#This Row],[Date_of_Birth]]&gt;TODAY()),"",DATEDIF(tb1_supporters[[#This Row],[Date_of_Birth]],TODAY(),"Y"))</f>
        <v>85</v>
      </c>
      <c r="J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6" s="2" t="s">
        <v>87</v>
      </c>
      <c r="L6" s="2" t="s">
        <v>88</v>
      </c>
      <c r="M6" s="2" t="s">
        <v>89</v>
      </c>
      <c r="N6" s="2" t="s">
        <v>90</v>
      </c>
      <c r="O6" s="2" t="s">
        <v>166</v>
      </c>
      <c r="P6" s="2" t="s">
        <v>91</v>
      </c>
      <c r="Q6" s="2" t="s">
        <v>4888</v>
      </c>
      <c r="R6" s="15">
        <v>45495</v>
      </c>
      <c r="S6" s="2" t="s">
        <v>93</v>
      </c>
      <c r="T6" s="2" t="s">
        <v>36</v>
      </c>
      <c r="U6" s="2" t="s">
        <v>37</v>
      </c>
      <c r="V6" s="2" t="s">
        <v>37</v>
      </c>
      <c r="W6" s="4" t="s">
        <v>37</v>
      </c>
      <c r="X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6" s="2" t="str">
        <f>IF(ISNUMBER(SEARCH("onal",tb1_supporters[[#This Row],[Phone_Clean]])),"Review - corrupt phone number", IF(LEN(tb1_supporters[[#This Row],[Phone_Clean]])&gt;11,"Review - too many digits",""))</f>
        <v/>
      </c>
      <c r="Z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6" s="2" t="str">
        <f>IF(tb1_supporters[[#This Row],[Email]]="","",IF(COUNTIF(tb1_supporters[Email],tb1_supporters[[#This Row],[Email]])&gt;1,"Review - duplicate record, see Supporter_Duplicates tab",""))</f>
        <v/>
      </c>
      <c r="AB6" s="21" t="str">
        <f>IF(tb1_supporters[[#This Row],[Communication_Preference]]="Do Not Contact","DO NOT CONTACT","")</f>
        <v/>
      </c>
      <c r="AE6"/>
    </row>
    <row r="7" spans="1:31" x14ac:dyDescent="0.25">
      <c r="A7" s="3" t="s">
        <v>94</v>
      </c>
      <c r="B7" s="2"/>
      <c r="C7" s="2" t="s">
        <v>95</v>
      </c>
      <c r="D7" s="2" t="s">
        <v>96</v>
      </c>
      <c r="E7" s="2" t="s">
        <v>4869</v>
      </c>
      <c r="F7" s="2" t="s">
        <v>97</v>
      </c>
      <c r="G7" s="2" t="str">
        <f>TRIM(SUBSTITUTE(SUBSTITUTE(SUBSTITUTE(SUBSTITUTE(tb1_supporters[[#This Row],[Phone_Raw]],"(",""),")","")," ",""),"+44",))</f>
        <v>7165494490</v>
      </c>
      <c r="H7" s="15">
        <v>23734</v>
      </c>
      <c r="I7" s="36">
        <f ca="1">IF(OR(tb1_supporters[[#This Row],[Date_of_Birth]]="",tb1_supporters[[#This Row],[Date_of_Birth]]&gt;TODAY()),"",DATEDIF(tb1_supporters[[#This Row],[Date_of_Birth]],TODAY(),"Y"))</f>
        <v>61</v>
      </c>
      <c r="J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7" s="2" t="s">
        <v>99</v>
      </c>
      <c r="L7" s="2" t="s">
        <v>100</v>
      </c>
      <c r="M7" s="2" t="s">
        <v>101</v>
      </c>
      <c r="N7" s="2"/>
      <c r="O7" s="2" t="s">
        <v>242</v>
      </c>
      <c r="P7" s="2" t="s">
        <v>91</v>
      </c>
      <c r="Q7" s="2" t="s">
        <v>50</v>
      </c>
      <c r="R7" s="15">
        <v>43148</v>
      </c>
      <c r="S7" s="2" t="s">
        <v>105</v>
      </c>
      <c r="T7" s="2" t="s">
        <v>37</v>
      </c>
      <c r="U7" s="2" t="s">
        <v>37</v>
      </c>
      <c r="V7" s="2" t="s">
        <v>37</v>
      </c>
      <c r="W7" s="4" t="s">
        <v>37</v>
      </c>
      <c r="X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7" s="2" t="str">
        <f>IF(ISNUMBER(SEARCH("onal",tb1_supporters[[#This Row],[Phone_Clean]])),"Review - corrupt phone number", IF(LEN(tb1_supporters[[#This Row],[Phone_Clean]])&gt;11,"Review - too many digits",""))</f>
        <v/>
      </c>
      <c r="Z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7" s="2" t="str">
        <f>IF(tb1_supporters[[#This Row],[Email]]="","",IF(COUNTIF(tb1_supporters[Email],tb1_supporters[[#This Row],[Email]])&gt;1,"Review - duplicate record, see Supporter_Duplicates tab",""))</f>
        <v/>
      </c>
      <c r="AB7" s="21" t="str">
        <f>IF(tb1_supporters[[#This Row],[Communication_Preference]]="Do Not Contact","DO NOT CONTACT","")</f>
        <v>DO NOT CONTACT</v>
      </c>
      <c r="AE7"/>
    </row>
    <row r="8" spans="1:31" x14ac:dyDescent="0.25">
      <c r="A8" s="3" t="s">
        <v>106</v>
      </c>
      <c r="B8" s="2"/>
      <c r="C8" s="2" t="s">
        <v>107</v>
      </c>
      <c r="D8" s="2" t="s">
        <v>108</v>
      </c>
      <c r="E8" s="2" t="s">
        <v>109</v>
      </c>
      <c r="F8" s="2" t="s">
        <v>110</v>
      </c>
      <c r="G8" s="2" t="str">
        <f>TRIM(SUBSTITUTE(SUBSTITUTE(SUBSTITUTE(SUBSTITUTE(tb1_supporters[[#This Row],[Phone_Raw]],"(",""),")","")," ",""),"+44",))</f>
        <v>016442583504</v>
      </c>
      <c r="H8" s="15">
        <v>38954</v>
      </c>
      <c r="I8" s="36">
        <f ca="1">IF(OR(tb1_supporters[[#This Row],[Date_of_Birth]]="",tb1_supporters[[#This Row],[Date_of_Birth]]&gt;TODAY()),"",DATEDIF(tb1_supporters[[#This Row],[Date_of_Birth]],TODAY(),"Y"))</f>
        <v>19</v>
      </c>
      <c r="J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8" s="2" t="s">
        <v>112</v>
      </c>
      <c r="L8" s="2" t="s">
        <v>113</v>
      </c>
      <c r="M8" s="2" t="s">
        <v>114</v>
      </c>
      <c r="N8" s="2" t="s">
        <v>115</v>
      </c>
      <c r="O8" s="2" t="s">
        <v>166</v>
      </c>
      <c r="P8" s="2" t="s">
        <v>117</v>
      </c>
      <c r="Q8" s="2" t="s">
        <v>50</v>
      </c>
      <c r="R8" s="15">
        <v>45273</v>
      </c>
      <c r="S8" s="2" t="s">
        <v>4</v>
      </c>
      <c r="T8" s="2" t="s">
        <v>36</v>
      </c>
      <c r="U8" s="2" t="s">
        <v>37</v>
      </c>
      <c r="V8" s="2" t="s">
        <v>36</v>
      </c>
      <c r="W8" s="4" t="s">
        <v>37</v>
      </c>
      <c r="X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8" s="2" t="str">
        <f>IF(tb1_supporters[[#This Row],[Email]]="","",IF(COUNTIF(tb1_supporters[Email],tb1_supporters[[#This Row],[Email]])&gt;1,"Review - duplicate record, see Supporter_Duplicates tab",""))</f>
        <v/>
      </c>
      <c r="AB8" s="21" t="str">
        <f>IF(tb1_supporters[[#This Row],[Communication_Preference]]="Do Not Contact","DO NOT CONTACT","")</f>
        <v/>
      </c>
      <c r="AE8"/>
    </row>
    <row r="9" spans="1:31" x14ac:dyDescent="0.25">
      <c r="A9" s="3" t="s">
        <v>119</v>
      </c>
      <c r="B9" s="2" t="s">
        <v>54</v>
      </c>
      <c r="C9" s="2" t="s">
        <v>120</v>
      </c>
      <c r="D9" s="2" t="s">
        <v>121</v>
      </c>
      <c r="E9" s="2" t="s">
        <v>122</v>
      </c>
      <c r="F9" s="2" t="s">
        <v>123</v>
      </c>
      <c r="G9" s="2" t="str">
        <f>TRIM(SUBSTITUTE(SUBSTITUTE(SUBSTITUTE(SUBSTITUTE(tb1_supporters[[#This Row],[Phone_Raw]],"(",""),")","")," ",""),"+44",))</f>
        <v>016221339727</v>
      </c>
      <c r="H9" s="15">
        <v>11921</v>
      </c>
      <c r="I9" s="36">
        <f ca="1">IF(OR(tb1_supporters[[#This Row],[Date_of_Birth]]="",tb1_supporters[[#This Row],[Date_of_Birth]]&gt;TODAY()),"",DATEDIF(tb1_supporters[[#This Row],[Date_of_Birth]],TODAY(),"Y"))</f>
        <v>93</v>
      </c>
      <c r="J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9" s="2" t="s">
        <v>125</v>
      </c>
      <c r="L9" s="2" t="s">
        <v>126</v>
      </c>
      <c r="M9" s="2" t="s">
        <v>127</v>
      </c>
      <c r="N9" s="2" t="s">
        <v>128</v>
      </c>
      <c r="O9" s="2" t="s">
        <v>166</v>
      </c>
      <c r="P9" s="2" t="s">
        <v>117</v>
      </c>
      <c r="Q9" s="2" t="s">
        <v>4888</v>
      </c>
      <c r="R9" s="15">
        <v>45047</v>
      </c>
      <c r="S9" s="2" t="s">
        <v>93</v>
      </c>
      <c r="T9" s="2" t="s">
        <v>37</v>
      </c>
      <c r="U9" s="2" t="s">
        <v>36</v>
      </c>
      <c r="V9" s="2" t="s">
        <v>36</v>
      </c>
      <c r="W9" s="4" t="s">
        <v>37</v>
      </c>
      <c r="X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9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9" s="2" t="str">
        <f>IF(tb1_supporters[[#This Row],[Email]]="","",IF(COUNTIF(tb1_supporters[Email],tb1_supporters[[#This Row],[Email]])&gt;1,"Review - duplicate record, see Supporter_Duplicates tab",""))</f>
        <v/>
      </c>
      <c r="AB9" s="21" t="str">
        <f>IF(tb1_supporters[[#This Row],[Communication_Preference]]="Do Not Contact","DO NOT CONTACT","")</f>
        <v/>
      </c>
      <c r="AE9"/>
    </row>
    <row r="10" spans="1:31" x14ac:dyDescent="0.25">
      <c r="A10" s="3" t="s">
        <v>130</v>
      </c>
      <c r="B10" s="2" t="s">
        <v>22</v>
      </c>
      <c r="C10" s="2" t="s">
        <v>132</v>
      </c>
      <c r="D10" s="2" t="s">
        <v>133</v>
      </c>
      <c r="E10" s="2" t="s">
        <v>134</v>
      </c>
      <c r="F10" s="2" t="s">
        <v>135</v>
      </c>
      <c r="G10" s="2" t="str">
        <f>TRIM(SUBSTITUTE(SUBSTITUTE(SUBSTITUTE(SUBSTITUTE(tb1_supporters[[#This Row],[Phone_Raw]],"(",""),")","")," ",""),"+44",))</f>
        <v>01onal5622982</v>
      </c>
      <c r="H10" s="15">
        <v>22675</v>
      </c>
      <c r="I10" s="36">
        <f ca="1">IF(OR(tb1_supporters[[#This Row],[Date_of_Birth]]="",tb1_supporters[[#This Row],[Date_of_Birth]]&gt;TODAY()),"",DATEDIF(tb1_supporters[[#This Row],[Date_of_Birth]],TODAY(),"Y"))</f>
        <v>64</v>
      </c>
      <c r="J1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0" s="2" t="s">
        <v>137</v>
      </c>
      <c r="L10" s="2" t="s">
        <v>138</v>
      </c>
      <c r="M10" s="2" t="s">
        <v>139</v>
      </c>
      <c r="N10" s="2" t="s">
        <v>140</v>
      </c>
      <c r="O10" s="2" t="s">
        <v>242</v>
      </c>
      <c r="P10" s="2" t="s">
        <v>65</v>
      </c>
      <c r="Q10" s="2" t="s">
        <v>141</v>
      </c>
      <c r="R10" s="15">
        <v>43187</v>
      </c>
      <c r="S10" s="2" t="s">
        <v>93</v>
      </c>
      <c r="T10" s="2" t="s">
        <v>37</v>
      </c>
      <c r="U10" s="2" t="s">
        <v>37</v>
      </c>
      <c r="V10" s="2" t="s">
        <v>36</v>
      </c>
      <c r="W10" s="4" t="s">
        <v>37</v>
      </c>
      <c r="X1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10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1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0" s="2" t="str">
        <f>IF(tb1_supporters[[#This Row],[Email]]="","",IF(COUNTIF(tb1_supporters[Email],tb1_supporters[[#This Row],[Email]])&gt;1,"Review - duplicate record, see Supporter_Duplicates tab",""))</f>
        <v/>
      </c>
      <c r="AB10" s="21" t="str">
        <f>IF(tb1_supporters[[#This Row],[Communication_Preference]]="Do Not Contact","DO NOT CONTACT","")</f>
        <v/>
      </c>
      <c r="AE10"/>
    </row>
    <row r="11" spans="1:31" x14ac:dyDescent="0.25">
      <c r="A11" s="3" t="s">
        <v>143</v>
      </c>
      <c r="B11" s="2" t="s">
        <v>69</v>
      </c>
      <c r="C11" s="2" t="s">
        <v>144</v>
      </c>
      <c r="D11" s="2" t="s">
        <v>145</v>
      </c>
      <c r="E11" s="2" t="s">
        <v>146</v>
      </c>
      <c r="F11" s="2" t="s">
        <v>147</v>
      </c>
      <c r="G11" s="2" t="str">
        <f>TRIM(SUBSTITUTE(SUBSTITUTE(SUBSTITUTE(SUBSTITUTE(tb1_supporters[[#This Row],[Phone_Raw]],"(",""),")","")," ",""),"+44",))</f>
        <v>016245109834</v>
      </c>
      <c r="H11" s="15">
        <v>29582</v>
      </c>
      <c r="I11" s="36">
        <f ca="1">IF(OR(tb1_supporters[[#This Row],[Date_of_Birth]]="",tb1_supporters[[#This Row],[Date_of_Birth]]&gt;TODAY()),"",DATEDIF(tb1_supporters[[#This Row],[Date_of_Birth]],TODAY(),"Y"))</f>
        <v>45</v>
      </c>
      <c r="J1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1" s="2" t="s">
        <v>149</v>
      </c>
      <c r="L11" s="2" t="s">
        <v>150</v>
      </c>
      <c r="M11" s="2" t="s">
        <v>151</v>
      </c>
      <c r="N11" s="2" t="s">
        <v>152</v>
      </c>
      <c r="O11" s="2" t="s">
        <v>166</v>
      </c>
      <c r="P11" s="2" t="s">
        <v>153</v>
      </c>
      <c r="Q11" s="2" t="s">
        <v>154</v>
      </c>
      <c r="R11" s="15">
        <v>45038</v>
      </c>
      <c r="S11" s="2" t="s">
        <v>4</v>
      </c>
      <c r="T11" s="2" t="s">
        <v>36</v>
      </c>
      <c r="U11" s="2" t="s">
        <v>36</v>
      </c>
      <c r="V11" s="2" t="s">
        <v>36</v>
      </c>
      <c r="W11" s="4" t="s">
        <v>36</v>
      </c>
      <c r="X1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1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1" s="2" t="str">
        <f>IF(tb1_supporters[[#This Row],[Email]]="","",IF(COUNTIF(tb1_supporters[Email],tb1_supporters[[#This Row],[Email]])&gt;1,"Review - duplicate record, see Supporter_Duplicates tab",""))</f>
        <v/>
      </c>
      <c r="AB11" s="21" t="str">
        <f>IF(tb1_supporters[[#This Row],[Communication_Preference]]="Do Not Contact","DO NOT CONTACT","")</f>
        <v/>
      </c>
      <c r="AE11"/>
    </row>
    <row r="12" spans="1:31" x14ac:dyDescent="0.25">
      <c r="A12" s="3" t="s">
        <v>156</v>
      </c>
      <c r="B12" s="2" t="s">
        <v>54</v>
      </c>
      <c r="C12" s="2" t="s">
        <v>157</v>
      </c>
      <c r="D12" s="2" t="s">
        <v>158</v>
      </c>
      <c r="E12" s="2" t="s">
        <v>159</v>
      </c>
      <c r="F12" s="2" t="s">
        <v>160</v>
      </c>
      <c r="G12" s="2" t="str">
        <f>TRIM(SUBSTITUTE(SUBSTITUTE(SUBSTITUTE(SUBSTITUTE(tb1_supporters[[#This Row],[Phone_Raw]],"(",""),")","")," ",""),"+44",))</f>
        <v>07296294649</v>
      </c>
      <c r="H12" s="15">
        <v>24461</v>
      </c>
      <c r="I12" s="36">
        <f ca="1">IF(OR(tb1_supporters[[#This Row],[Date_of_Birth]]="",tb1_supporters[[#This Row],[Date_of_Birth]]&gt;TODAY()),"",DATEDIF(tb1_supporters[[#This Row],[Date_of_Birth]],TODAY(),"Y"))</f>
        <v>59</v>
      </c>
      <c r="J1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2" s="2" t="s">
        <v>162</v>
      </c>
      <c r="L12" s="2" t="s">
        <v>163</v>
      </c>
      <c r="M12" s="2" t="s">
        <v>164</v>
      </c>
      <c r="N12" s="2" t="s">
        <v>165</v>
      </c>
      <c r="O12" s="2" t="s">
        <v>166</v>
      </c>
      <c r="P12" s="2" t="s">
        <v>4887</v>
      </c>
      <c r="Q12" s="2" t="s">
        <v>154</v>
      </c>
      <c r="R12" s="15">
        <v>44241</v>
      </c>
      <c r="S12" s="2" t="s">
        <v>93</v>
      </c>
      <c r="T12" s="2" t="s">
        <v>36</v>
      </c>
      <c r="U12" s="2" t="s">
        <v>36</v>
      </c>
      <c r="V12" s="2" t="s">
        <v>36</v>
      </c>
      <c r="W12" s="4" t="s">
        <v>37</v>
      </c>
      <c r="X1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2" s="2" t="str">
        <f>IF(ISNUMBER(SEARCH("onal",tb1_supporters[[#This Row],[Phone_Clean]])),"Review - corrupt phone number", IF(LEN(tb1_supporters[[#This Row],[Phone_Clean]])&gt;11,"Review - too many digits",""))</f>
        <v/>
      </c>
      <c r="Z1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2" s="2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12" s="21" t="str">
        <f>IF(tb1_supporters[[#This Row],[Communication_Preference]]="Do Not Contact","DO NOT CONTACT","")</f>
        <v/>
      </c>
      <c r="AE12"/>
    </row>
    <row r="13" spans="1:31" x14ac:dyDescent="0.25">
      <c r="A13" s="3" t="s">
        <v>169</v>
      </c>
      <c r="B13" s="2" t="s">
        <v>170</v>
      </c>
      <c r="C13" s="2" t="s">
        <v>171</v>
      </c>
      <c r="D13" s="2" t="s">
        <v>172</v>
      </c>
      <c r="E13" s="2" t="s">
        <v>173</v>
      </c>
      <c r="F13" s="2" t="s">
        <v>174</v>
      </c>
      <c r="G13" s="2" t="str">
        <f>TRIM(SUBSTITUTE(SUBSTITUTE(SUBSTITUTE(SUBSTITUTE(tb1_supporters[[#This Row],[Phone_Raw]],"(",""),")","")," ",""),"+44",))</f>
        <v>01915924502</v>
      </c>
      <c r="H13" s="15">
        <v>35892</v>
      </c>
      <c r="I13" s="36">
        <f ca="1">IF(OR(tb1_supporters[[#This Row],[Date_of_Birth]]="",tb1_supporters[[#This Row],[Date_of_Birth]]&gt;TODAY()),"",DATEDIF(tb1_supporters[[#This Row],[Date_of_Birth]],TODAY(),"Y"))</f>
        <v>28</v>
      </c>
      <c r="J1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3" s="2" t="s">
        <v>176</v>
      </c>
      <c r="L13" s="2" t="s">
        <v>177</v>
      </c>
      <c r="M13" s="2" t="s">
        <v>178</v>
      </c>
      <c r="N13" s="2" t="s">
        <v>179</v>
      </c>
      <c r="O13" s="2" t="s">
        <v>242</v>
      </c>
      <c r="P13" s="2" t="s">
        <v>181</v>
      </c>
      <c r="Q13" s="2" t="s">
        <v>154</v>
      </c>
      <c r="R13" s="15">
        <v>44653</v>
      </c>
      <c r="S13" s="2" t="s">
        <v>5</v>
      </c>
      <c r="T13" s="2" t="s">
        <v>36</v>
      </c>
      <c r="U13" s="2" t="s">
        <v>36</v>
      </c>
      <c r="V13" s="2" t="s">
        <v>36</v>
      </c>
      <c r="W13" s="4" t="s">
        <v>37</v>
      </c>
      <c r="X1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3" s="2" t="str">
        <f>IF(ISNUMBER(SEARCH("onal",tb1_supporters[[#This Row],[Phone_Clean]])),"Review - corrupt phone number", IF(LEN(tb1_supporters[[#This Row],[Phone_Clean]])&gt;11,"Review - too many digits",""))</f>
        <v/>
      </c>
      <c r="Z1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3" s="2" t="str">
        <f>IF(tb1_supporters[[#This Row],[Email]]="","",IF(COUNTIF(tb1_supporters[Email],tb1_supporters[[#This Row],[Email]])&gt;1,"Review - duplicate record, see Supporter_Duplicates tab",""))</f>
        <v/>
      </c>
      <c r="AB13" s="21" t="str">
        <f>IF(tb1_supporters[[#This Row],[Communication_Preference]]="Do Not Contact","DO NOT CONTACT","")</f>
        <v/>
      </c>
      <c r="AE13"/>
    </row>
    <row r="14" spans="1:31" x14ac:dyDescent="0.25">
      <c r="A14" s="3" t="s">
        <v>183</v>
      </c>
      <c r="B14" s="2" t="s">
        <v>54</v>
      </c>
      <c r="C14" s="2" t="s">
        <v>185</v>
      </c>
      <c r="D14" s="2" t="s">
        <v>186</v>
      </c>
      <c r="E14" s="2" t="s">
        <v>187</v>
      </c>
      <c r="F14" s="2" t="s">
        <v>188</v>
      </c>
      <c r="G14" s="2" t="str">
        <f>TRIM(SUBSTITUTE(SUBSTITUTE(SUBSTITUTE(SUBSTITUTE(tb1_supporters[[#This Row],[Phone_Raw]],"(",""),")","")," ",""),"+44",))</f>
        <v>014019361821</v>
      </c>
      <c r="H14" s="15">
        <v>20029</v>
      </c>
      <c r="I14" s="36">
        <f ca="1">IF(OR(tb1_supporters[[#This Row],[Date_of_Birth]]="",tb1_supporters[[#This Row],[Date_of_Birth]]&gt;TODAY()),"",DATEDIF(tb1_supporters[[#This Row],[Date_of_Birth]],TODAY(),"Y"))</f>
        <v>71</v>
      </c>
      <c r="J1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4" s="2" t="s">
        <v>190</v>
      </c>
      <c r="L14" s="2" t="s">
        <v>138</v>
      </c>
      <c r="M14" s="2" t="s">
        <v>139</v>
      </c>
      <c r="N14" s="2" t="s">
        <v>140</v>
      </c>
      <c r="O14" s="2" t="s">
        <v>166</v>
      </c>
      <c r="P14" s="2" t="s">
        <v>117</v>
      </c>
      <c r="Q14" s="2" t="s">
        <v>192</v>
      </c>
      <c r="R14" s="15">
        <v>45181</v>
      </c>
      <c r="S14" s="2" t="s">
        <v>4</v>
      </c>
      <c r="T14" s="2" t="s">
        <v>36</v>
      </c>
      <c r="U14" s="2" t="s">
        <v>36</v>
      </c>
      <c r="V14" s="2" t="s">
        <v>36</v>
      </c>
      <c r="W14" s="4" t="s">
        <v>37</v>
      </c>
      <c r="X1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4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4" s="2" t="str">
        <f>IF(tb1_supporters[[#This Row],[Email]]="","",IF(COUNTIF(tb1_supporters[Email],tb1_supporters[[#This Row],[Email]])&gt;1,"Review - duplicate record, see Supporter_Duplicates tab",""))</f>
        <v/>
      </c>
      <c r="AB14" s="21" t="str">
        <f>IF(tb1_supporters[[#This Row],[Communication_Preference]]="Do Not Contact","DO NOT CONTACT","")</f>
        <v/>
      </c>
      <c r="AE14"/>
    </row>
    <row r="15" spans="1:31" x14ac:dyDescent="0.25">
      <c r="A15" s="3" t="s">
        <v>194</v>
      </c>
      <c r="B15" s="2" t="s">
        <v>402</v>
      </c>
      <c r="C15" s="2" t="s">
        <v>196</v>
      </c>
      <c r="D15" s="2" t="s">
        <v>197</v>
      </c>
      <c r="E15" s="2" t="s">
        <v>198</v>
      </c>
      <c r="F15" s="2" t="s">
        <v>199</v>
      </c>
      <c r="G15" s="2" t="str">
        <f>TRIM(SUBSTITUTE(SUBSTITUTE(SUBSTITUTE(SUBSTITUTE(tb1_supporters[[#This Row],[Phone_Raw]],"(",""),")","")," ",""),"+44",))</f>
        <v>01onal6979565</v>
      </c>
      <c r="H15" s="15">
        <v>32957</v>
      </c>
      <c r="I15" s="36">
        <f ca="1">IF(OR(tb1_supporters[[#This Row],[Date_of_Birth]]="",tb1_supporters[[#This Row],[Date_of_Birth]]&gt;TODAY()),"",DATEDIF(tb1_supporters[[#This Row],[Date_of_Birth]],TODAY(),"Y"))</f>
        <v>36</v>
      </c>
      <c r="J1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5" s="2" t="s">
        <v>201</v>
      </c>
      <c r="L15" s="2" t="s">
        <v>126</v>
      </c>
      <c r="M15" s="2" t="s">
        <v>127</v>
      </c>
      <c r="N15" s="2" t="s">
        <v>128</v>
      </c>
      <c r="O15" s="2" t="s">
        <v>242</v>
      </c>
      <c r="P15" s="2" t="s">
        <v>33</v>
      </c>
      <c r="Q15" s="2" t="s">
        <v>4888</v>
      </c>
      <c r="R15" s="15">
        <v>44387</v>
      </c>
      <c r="S15" s="2" t="s">
        <v>4</v>
      </c>
      <c r="T15" s="2" t="s">
        <v>36</v>
      </c>
      <c r="U15" s="2" t="s">
        <v>36</v>
      </c>
      <c r="V15" s="2" t="s">
        <v>37</v>
      </c>
      <c r="W15" s="4" t="s">
        <v>36</v>
      </c>
      <c r="X1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5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1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5" s="2" t="str">
        <f>IF(tb1_supporters[[#This Row],[Email]]="","",IF(COUNTIF(tb1_supporters[Email],tb1_supporters[[#This Row],[Email]])&gt;1,"Review - duplicate record, see Supporter_Duplicates tab",""))</f>
        <v/>
      </c>
      <c r="AB15" s="21" t="str">
        <f>IF(tb1_supporters[[#This Row],[Communication_Preference]]="Do Not Contact","DO NOT CONTACT","")</f>
        <v/>
      </c>
      <c r="AE15"/>
    </row>
    <row r="16" spans="1:31" x14ac:dyDescent="0.25">
      <c r="A16" s="3" t="s">
        <v>203</v>
      </c>
      <c r="B16" s="2" t="s">
        <v>4866</v>
      </c>
      <c r="C16" s="2" t="s">
        <v>204</v>
      </c>
      <c r="D16" s="2" t="s">
        <v>205</v>
      </c>
      <c r="E16" s="2" t="s">
        <v>206</v>
      </c>
      <c r="F16" s="2" t="s">
        <v>207</v>
      </c>
      <c r="G16" s="2" t="str">
        <f>TRIM(SUBSTITUTE(SUBSTITUTE(SUBSTITUTE(SUBSTITUTE(tb1_supporters[[#This Row],[Phone_Raw]],"(",""),")","")," ",""),"+44",))</f>
        <v>7318618371</v>
      </c>
      <c r="H16" s="15">
        <v>15326</v>
      </c>
      <c r="I16" s="36">
        <f ca="1">IF(OR(tb1_supporters[[#This Row],[Date_of_Birth]]="",tb1_supporters[[#This Row],[Date_of_Birth]]&gt;TODAY()),"",DATEDIF(tb1_supporters[[#This Row],[Date_of_Birth]],TODAY(),"Y"))</f>
        <v>84</v>
      </c>
      <c r="J1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6" s="2" t="s">
        <v>209</v>
      </c>
      <c r="L16" s="2" t="s">
        <v>177</v>
      </c>
      <c r="M16" s="2" t="s">
        <v>178</v>
      </c>
      <c r="N16" s="2" t="s">
        <v>210</v>
      </c>
      <c r="O16" s="2" t="s">
        <v>242</v>
      </c>
      <c r="P16" s="2" t="s">
        <v>65</v>
      </c>
      <c r="Q16" s="2" t="s">
        <v>154</v>
      </c>
      <c r="R16" s="15">
        <v>44614</v>
      </c>
      <c r="S16" s="2" t="s">
        <v>4</v>
      </c>
      <c r="T16" s="2" t="s">
        <v>36</v>
      </c>
      <c r="U16" s="2" t="s">
        <v>36</v>
      </c>
      <c r="V16" s="2" t="s">
        <v>37</v>
      </c>
      <c r="W16" s="4" t="s">
        <v>37</v>
      </c>
      <c r="X1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6" s="2" t="str">
        <f>IF(ISNUMBER(SEARCH("onal",tb1_supporters[[#This Row],[Phone_Clean]])),"Review - corrupt phone number", IF(LEN(tb1_supporters[[#This Row],[Phone_Clean]])&gt;11,"Review - too many digits",""))</f>
        <v/>
      </c>
      <c r="Z1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6" s="2" t="str">
        <f>IF(tb1_supporters[[#This Row],[Email]]="","",IF(COUNTIF(tb1_supporters[Email],tb1_supporters[[#This Row],[Email]])&gt;1,"Review - duplicate record, see Supporter_Duplicates tab",""))</f>
        <v/>
      </c>
      <c r="AB16" s="21" t="str">
        <f>IF(tb1_supporters[[#This Row],[Communication_Preference]]="Do Not Contact","DO NOT CONTACT","")</f>
        <v/>
      </c>
      <c r="AE16"/>
    </row>
    <row r="17" spans="1:31" x14ac:dyDescent="0.25">
      <c r="A17" s="3" t="s">
        <v>212</v>
      </c>
      <c r="B17" s="2" t="s">
        <v>54</v>
      </c>
      <c r="C17" s="2" t="s">
        <v>213</v>
      </c>
      <c r="D17" s="2" t="s">
        <v>214</v>
      </c>
      <c r="E17" s="2" t="s">
        <v>215</v>
      </c>
      <c r="F17" s="2" t="s">
        <v>216</v>
      </c>
      <c r="G17" s="2" t="str">
        <f>TRIM(SUBSTITUTE(SUBSTITUTE(SUBSTITUTE(SUBSTITUTE(tb1_supporters[[#This Row],[Phone_Raw]],"(",""),")","")," ",""),"+44",))</f>
        <v>07209860666</v>
      </c>
      <c r="H17" s="15">
        <v>46123</v>
      </c>
      <c r="I17" s="36">
        <f ca="1">IF(OR(tb1_supporters[[#This Row],[Date_of_Birth]]="",tb1_supporters[[#This Row],[Date_of_Birth]]&gt;TODAY()),"",DATEDIF(tb1_supporters[[#This Row],[Date_of_Birth]],TODAY(),"Y"))</f>
        <v>0</v>
      </c>
      <c r="J1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Under 18</v>
      </c>
      <c r="K17" s="2" t="s">
        <v>218</v>
      </c>
      <c r="L17" s="2" t="s">
        <v>219</v>
      </c>
      <c r="M17" s="2" t="s">
        <v>220</v>
      </c>
      <c r="N17" s="2" t="s">
        <v>221</v>
      </c>
      <c r="O17" s="2" t="s">
        <v>166</v>
      </c>
      <c r="P17" s="2" t="s">
        <v>91</v>
      </c>
      <c r="Q17" s="2" t="s">
        <v>50</v>
      </c>
      <c r="R17" s="15">
        <v>43963</v>
      </c>
      <c r="S17" s="2" t="s">
        <v>4</v>
      </c>
      <c r="T17" s="2" t="s">
        <v>36</v>
      </c>
      <c r="U17" s="2" t="s">
        <v>36</v>
      </c>
      <c r="V17" s="2" t="s">
        <v>37</v>
      </c>
      <c r="W17" s="4" t="s">
        <v>37</v>
      </c>
      <c r="X1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7" s="2" t="str">
        <f>IF(ISNUMBER(SEARCH("onal",tb1_supporters[[#This Row],[Phone_Clean]])),"Review - corrupt phone number", IF(LEN(tb1_supporters[[#This Row],[Phone_Clean]])&gt;11,"Review - too many digits",""))</f>
        <v/>
      </c>
      <c r="Z1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Z9potential entry error (age 0)</v>
      </c>
      <c r="AA17" s="2" t="str">
        <f>IF(tb1_supporters[[#This Row],[Email]]="","",IF(COUNTIF(tb1_supporters[Email],tb1_supporters[[#This Row],[Email]])&gt;1,"Review - duplicate record, see Supporter_Duplicates tab",""))</f>
        <v/>
      </c>
      <c r="AB17" s="21" t="str">
        <f>IF(tb1_supporters[[#This Row],[Communication_Preference]]="Do Not Contact","DO NOT CONTACT","")</f>
        <v/>
      </c>
      <c r="AE17"/>
    </row>
    <row r="18" spans="1:31" x14ac:dyDescent="0.25">
      <c r="A18" s="3" t="s">
        <v>223</v>
      </c>
      <c r="B18" s="2" t="s">
        <v>170</v>
      </c>
      <c r="C18" s="2" t="s">
        <v>224</v>
      </c>
      <c r="D18" s="2" t="s">
        <v>225</v>
      </c>
      <c r="E18" s="2" t="s">
        <v>4869</v>
      </c>
      <c r="F18" s="2" t="s">
        <v>226</v>
      </c>
      <c r="G18" s="2" t="str">
        <f>TRIM(SUBSTITUTE(SUBSTITUTE(SUBSTITUTE(SUBSTITUTE(tb1_supporters[[#This Row],[Phone_Raw]],"(",""),")","")," ",""),"+44",))</f>
        <v>07859552664</v>
      </c>
      <c r="H18" s="15">
        <v>21427</v>
      </c>
      <c r="I18" s="36">
        <f ca="1">IF(OR(tb1_supporters[[#This Row],[Date_of_Birth]]="",tb1_supporters[[#This Row],[Date_of_Birth]]&gt;TODAY()),"",DATEDIF(tb1_supporters[[#This Row],[Date_of_Birth]],TODAY(),"Y"))</f>
        <v>67</v>
      </c>
      <c r="J1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8" s="2" t="s">
        <v>228</v>
      </c>
      <c r="L18" s="2" t="s">
        <v>229</v>
      </c>
      <c r="M18" s="2" t="s">
        <v>230</v>
      </c>
      <c r="N18" s="2" t="s">
        <v>231</v>
      </c>
      <c r="O18" s="2" t="s">
        <v>242</v>
      </c>
      <c r="P18" s="2" t="s">
        <v>181</v>
      </c>
      <c r="Q18" s="2" t="s">
        <v>192</v>
      </c>
      <c r="R18" s="15">
        <v>43409</v>
      </c>
      <c r="S18" s="2" t="s">
        <v>4</v>
      </c>
      <c r="T18" s="2" t="s">
        <v>36</v>
      </c>
      <c r="U18" s="2" t="s">
        <v>37</v>
      </c>
      <c r="V18" s="2" t="s">
        <v>36</v>
      </c>
      <c r="W18" s="4" t="s">
        <v>37</v>
      </c>
      <c r="X1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8" s="2" t="str">
        <f>IF(ISNUMBER(SEARCH("onal",tb1_supporters[[#This Row],[Phone_Clean]])),"Review - corrupt phone number", IF(LEN(tb1_supporters[[#This Row],[Phone_Clean]])&gt;11,"Review - too many digits",""))</f>
        <v/>
      </c>
      <c r="Z1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8" s="2" t="str">
        <f>IF(tb1_supporters[[#This Row],[Email]]="","",IF(COUNTIF(tb1_supporters[Email],tb1_supporters[[#This Row],[Email]])&gt;1,"Review - duplicate record, see Supporter_Duplicates tab",""))</f>
        <v/>
      </c>
      <c r="AB18" s="21" t="str">
        <f>IF(tb1_supporters[[#This Row],[Communication_Preference]]="Do Not Contact","DO NOT CONTACT","")</f>
        <v/>
      </c>
      <c r="AE18"/>
    </row>
    <row r="19" spans="1:31" x14ac:dyDescent="0.25">
      <c r="A19" s="3" t="s">
        <v>234</v>
      </c>
      <c r="B19" s="2" t="s">
        <v>235</v>
      </c>
      <c r="C19" s="2" t="s">
        <v>236</v>
      </c>
      <c r="D19" s="2" t="s">
        <v>237</v>
      </c>
      <c r="E19" s="2" t="s">
        <v>238</v>
      </c>
      <c r="F19" s="2" t="s">
        <v>239</v>
      </c>
      <c r="G19" s="2" t="str">
        <f>TRIM(SUBSTITUTE(SUBSTITUTE(SUBSTITUTE(SUBSTITUTE(tb1_supporters[[#This Row],[Phone_Raw]],"(",""),")","")," ",""),"+44",))</f>
        <v>07898673995</v>
      </c>
      <c r="H19" s="15">
        <v>36347</v>
      </c>
      <c r="I19" s="36">
        <f ca="1">IF(OR(tb1_supporters[[#This Row],[Date_of_Birth]]="",tb1_supporters[[#This Row],[Date_of_Birth]]&gt;TODAY()),"",DATEDIF(tb1_supporters[[#This Row],[Date_of_Birth]],TODAY(),"Y"))</f>
        <v>26</v>
      </c>
      <c r="J1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9" s="2" t="s">
        <v>241</v>
      </c>
      <c r="L19" s="2" t="s">
        <v>229</v>
      </c>
      <c r="M19" s="2" t="s">
        <v>230</v>
      </c>
      <c r="N19" s="2" t="s">
        <v>231</v>
      </c>
      <c r="O19" s="2" t="s">
        <v>242</v>
      </c>
      <c r="P19" s="2" t="s">
        <v>33</v>
      </c>
      <c r="Q19" s="2" t="s">
        <v>243</v>
      </c>
      <c r="R19" s="15">
        <v>43766</v>
      </c>
      <c r="S19" s="2" t="s">
        <v>4</v>
      </c>
      <c r="T19" s="2" t="s">
        <v>36</v>
      </c>
      <c r="U19" s="2" t="s">
        <v>36</v>
      </c>
      <c r="V19" s="2" t="s">
        <v>36</v>
      </c>
      <c r="W19" s="4" t="s">
        <v>36</v>
      </c>
      <c r="X1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9" s="2" t="str">
        <f>IF(ISNUMBER(SEARCH("onal",tb1_supporters[[#This Row],[Phone_Clean]])),"Review - corrupt phone number", IF(LEN(tb1_supporters[[#This Row],[Phone_Clean]])&gt;11,"Review - too many digits",""))</f>
        <v/>
      </c>
      <c r="Z1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9" s="2" t="str">
        <f>IF(tb1_supporters[[#This Row],[Email]]="","",IF(COUNTIF(tb1_supporters[Email],tb1_supporters[[#This Row],[Email]])&gt;1,"Review - duplicate record, see Supporter_Duplicates tab",""))</f>
        <v/>
      </c>
      <c r="AB19" s="21" t="str">
        <f>IF(tb1_supporters[[#This Row],[Communication_Preference]]="Do Not Contact","DO NOT CONTACT","")</f>
        <v/>
      </c>
      <c r="AE19"/>
    </row>
    <row r="20" spans="1:31" x14ac:dyDescent="0.25">
      <c r="A20" s="3" t="s">
        <v>245</v>
      </c>
      <c r="B20" s="2"/>
      <c r="C20" s="2" t="s">
        <v>246</v>
      </c>
      <c r="D20" s="2" t="s">
        <v>247</v>
      </c>
      <c r="E20" s="2" t="s">
        <v>248</v>
      </c>
      <c r="F20" s="2" t="s">
        <v>249</v>
      </c>
      <c r="G20" s="2" t="str">
        <f>TRIM(SUBSTITUTE(SUBSTITUTE(SUBSTITUTE(SUBSTITUTE(tb1_supporters[[#This Row],[Phone_Raw]],"(",""),")","")," ",""),"+44",))</f>
        <v>07979581327</v>
      </c>
      <c r="H20" s="15">
        <v>21076</v>
      </c>
      <c r="I20" s="36">
        <f ca="1">IF(OR(tb1_supporters[[#This Row],[Date_of_Birth]]="",tb1_supporters[[#This Row],[Date_of_Birth]]&gt;TODAY()),"",DATEDIF(tb1_supporters[[#This Row],[Date_of_Birth]],TODAY(),"Y"))</f>
        <v>68</v>
      </c>
      <c r="J2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0" s="2" t="s">
        <v>251</v>
      </c>
      <c r="L20" s="2" t="s">
        <v>252</v>
      </c>
      <c r="M20" s="2" t="s">
        <v>253</v>
      </c>
      <c r="N20" s="2" t="s">
        <v>254</v>
      </c>
      <c r="O20" s="2" t="s">
        <v>242</v>
      </c>
      <c r="P20" s="2" t="s">
        <v>49</v>
      </c>
      <c r="Q20" s="2" t="s">
        <v>141</v>
      </c>
      <c r="R20" s="15">
        <v>44033</v>
      </c>
      <c r="S20" s="2" t="s">
        <v>52</v>
      </c>
      <c r="T20" s="2" t="s">
        <v>36</v>
      </c>
      <c r="U20" s="2" t="s">
        <v>36</v>
      </c>
      <c r="V20" s="2" t="s">
        <v>37</v>
      </c>
      <c r="W20" s="4" t="s">
        <v>36</v>
      </c>
      <c r="X2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0" s="2" t="str">
        <f>IF(ISNUMBER(SEARCH("onal",tb1_supporters[[#This Row],[Phone_Clean]])),"Review - corrupt phone number", IF(LEN(tb1_supporters[[#This Row],[Phone_Clean]])&gt;11,"Review - too many digits",""))</f>
        <v/>
      </c>
      <c r="Z2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0" s="2" t="str">
        <f>IF(tb1_supporters[[#This Row],[Email]]="","",IF(COUNTIF(tb1_supporters[Email],tb1_supporters[[#This Row],[Email]])&gt;1,"Review - duplicate record, see Supporter_Duplicates tab",""))</f>
        <v/>
      </c>
      <c r="AB20" s="21" t="str">
        <f>IF(tb1_supporters[[#This Row],[Communication_Preference]]="Do Not Contact","DO NOT CONTACT","")</f>
        <v/>
      </c>
      <c r="AE20"/>
    </row>
    <row r="21" spans="1:31" x14ac:dyDescent="0.25">
      <c r="A21" s="3" t="s">
        <v>256</v>
      </c>
      <c r="B21" s="2" t="s">
        <v>54</v>
      </c>
      <c r="C21" s="2" t="s">
        <v>257</v>
      </c>
      <c r="D21" s="2" t="s">
        <v>258</v>
      </c>
      <c r="E21" s="2" t="s">
        <v>259</v>
      </c>
      <c r="F21" s="2" t="s">
        <v>260</v>
      </c>
      <c r="G21" s="2" t="str">
        <f>TRIM(SUBSTITUTE(SUBSTITUTE(SUBSTITUTE(SUBSTITUTE(tb1_supporters[[#This Row],[Phone_Raw]],"(",""),")","")," ",""),"+44",))</f>
        <v>07998367282</v>
      </c>
      <c r="H21" s="15">
        <v>28175</v>
      </c>
      <c r="I21" s="36">
        <f ca="1">IF(OR(tb1_supporters[[#This Row],[Date_of_Birth]]="",tb1_supporters[[#This Row],[Date_of_Birth]]&gt;TODAY()),"",DATEDIF(tb1_supporters[[#This Row],[Date_of_Birth]],TODAY(),"Y"))</f>
        <v>49</v>
      </c>
      <c r="J2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1" s="2" t="s">
        <v>262</v>
      </c>
      <c r="L21" s="2" t="s">
        <v>113</v>
      </c>
      <c r="M21" s="2" t="s">
        <v>114</v>
      </c>
      <c r="N21" s="2" t="s">
        <v>115</v>
      </c>
      <c r="O21" s="2" t="s">
        <v>166</v>
      </c>
      <c r="P21" s="2" t="s">
        <v>181</v>
      </c>
      <c r="Q21" s="2" t="s">
        <v>192</v>
      </c>
      <c r="R21" s="15">
        <v>45544</v>
      </c>
      <c r="S21" s="2" t="s">
        <v>52</v>
      </c>
      <c r="T21" s="2" t="s">
        <v>36</v>
      </c>
      <c r="U21" s="2" t="s">
        <v>36</v>
      </c>
      <c r="V21" s="2" t="s">
        <v>37</v>
      </c>
      <c r="W21" s="4" t="s">
        <v>37</v>
      </c>
      <c r="X2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1" s="2" t="str">
        <f>IF(ISNUMBER(SEARCH("onal",tb1_supporters[[#This Row],[Phone_Clean]])),"Review - corrupt phone number", IF(LEN(tb1_supporters[[#This Row],[Phone_Clean]])&gt;11,"Review - too many digits",""))</f>
        <v/>
      </c>
      <c r="Z2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1" s="2" t="str">
        <f>IF(tb1_supporters[[#This Row],[Email]]="","",IF(COUNTIF(tb1_supporters[Email],tb1_supporters[[#This Row],[Email]])&gt;1,"Review - duplicate record, see Supporter_Duplicates tab",""))</f>
        <v/>
      </c>
      <c r="AB21" s="21" t="str">
        <f>IF(tb1_supporters[[#This Row],[Communication_Preference]]="Do Not Contact","DO NOT CONTACT","")</f>
        <v/>
      </c>
      <c r="AE21"/>
    </row>
    <row r="22" spans="1:31" x14ac:dyDescent="0.25">
      <c r="A22" s="3" t="s">
        <v>264</v>
      </c>
      <c r="B22" s="2" t="s">
        <v>22</v>
      </c>
      <c r="C22" s="2" t="s">
        <v>265</v>
      </c>
      <c r="D22" s="2" t="s">
        <v>266</v>
      </c>
      <c r="E22" s="2" t="s">
        <v>267</v>
      </c>
      <c r="F22" s="2" t="s">
        <v>268</v>
      </c>
      <c r="G22" s="2" t="str">
        <f>TRIM(SUBSTITUTE(SUBSTITUTE(SUBSTITUTE(SUBSTITUTE(tb1_supporters[[#This Row],[Phone_Raw]],"(",""),")","")," ",""),"+44",))</f>
        <v>7925651803</v>
      </c>
      <c r="H22" s="15">
        <v>26018</v>
      </c>
      <c r="I22" s="36">
        <f ca="1">IF(OR(tb1_supporters[[#This Row],[Date_of_Birth]]="",tb1_supporters[[#This Row],[Date_of_Birth]]&gt;TODAY()),"",DATEDIF(tb1_supporters[[#This Row],[Date_of_Birth]],TODAY(),"Y"))</f>
        <v>55</v>
      </c>
      <c r="J2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2" s="2" t="s">
        <v>270</v>
      </c>
      <c r="L22" s="2" t="s">
        <v>138</v>
      </c>
      <c r="M22" s="2" t="s">
        <v>139</v>
      </c>
      <c r="N22" s="2" t="s">
        <v>140</v>
      </c>
      <c r="O22" s="2" t="s">
        <v>242</v>
      </c>
      <c r="P22" s="2" t="s">
        <v>49</v>
      </c>
      <c r="Q22" s="2" t="s">
        <v>66</v>
      </c>
      <c r="R22" s="15">
        <v>43387</v>
      </c>
      <c r="S22" s="2" t="s">
        <v>4</v>
      </c>
      <c r="T22" s="2" t="s">
        <v>36</v>
      </c>
      <c r="U22" s="2" t="s">
        <v>37</v>
      </c>
      <c r="V22" s="2" t="s">
        <v>36</v>
      </c>
      <c r="W22" s="4" t="s">
        <v>36</v>
      </c>
      <c r="X2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2" s="2" t="str">
        <f>IF(ISNUMBER(SEARCH("onal",tb1_supporters[[#This Row],[Phone_Clean]])),"Review - corrupt phone number", IF(LEN(tb1_supporters[[#This Row],[Phone_Clean]])&gt;11,"Review - too many digits",""))</f>
        <v/>
      </c>
      <c r="Z2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2" s="2" t="str">
        <f>IF(tb1_supporters[[#This Row],[Email]]="","",IF(COUNTIF(tb1_supporters[Email],tb1_supporters[[#This Row],[Email]])&gt;1,"Review - duplicate record, see Supporter_Duplicates tab",""))</f>
        <v/>
      </c>
      <c r="AB22" s="21" t="str">
        <f>IF(tb1_supporters[[#This Row],[Communication_Preference]]="Do Not Contact","DO NOT CONTACT","")</f>
        <v/>
      </c>
      <c r="AE22"/>
    </row>
    <row r="23" spans="1:31" x14ac:dyDescent="0.25">
      <c r="A23" s="3" t="s">
        <v>272</v>
      </c>
      <c r="B23" s="2" t="s">
        <v>402</v>
      </c>
      <c r="C23" s="2" t="s">
        <v>265</v>
      </c>
      <c r="D23" s="2" t="s">
        <v>273</v>
      </c>
      <c r="E23" s="2" t="s">
        <v>274</v>
      </c>
      <c r="F23" s="2" t="s">
        <v>275</v>
      </c>
      <c r="G23" s="2" t="str">
        <f>TRIM(SUBSTITUTE(SUBSTITUTE(SUBSTITUTE(SUBSTITUTE(tb1_supporters[[#This Row],[Phone_Raw]],"(",""),")","")," ",""),"+44",))</f>
        <v>01onal4883851</v>
      </c>
      <c r="H23" s="15">
        <v>21036</v>
      </c>
      <c r="I23" s="36">
        <f ca="1">IF(OR(tb1_supporters[[#This Row],[Date_of_Birth]]="",tb1_supporters[[#This Row],[Date_of_Birth]]&gt;TODAY()),"",DATEDIF(tb1_supporters[[#This Row],[Date_of_Birth]],TODAY(),"Y"))</f>
        <v>68</v>
      </c>
      <c r="J2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3" s="2" t="s">
        <v>277</v>
      </c>
      <c r="L23" s="2" t="s">
        <v>278</v>
      </c>
      <c r="M23" s="2" t="s">
        <v>279</v>
      </c>
      <c r="N23" s="2" t="s">
        <v>280</v>
      </c>
      <c r="O23" s="2" t="s">
        <v>242</v>
      </c>
      <c r="P23" s="2" t="s">
        <v>4887</v>
      </c>
      <c r="Q23" s="2" t="s">
        <v>50</v>
      </c>
      <c r="R23" s="15">
        <v>43102</v>
      </c>
      <c r="S23" s="2" t="s">
        <v>93</v>
      </c>
      <c r="T23" s="2" t="s">
        <v>36</v>
      </c>
      <c r="U23" s="2" t="s">
        <v>36</v>
      </c>
      <c r="V23" s="2" t="s">
        <v>36</v>
      </c>
      <c r="W23" s="4" t="s">
        <v>37</v>
      </c>
      <c r="X2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3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2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3" s="2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23" s="21" t="str">
        <f>IF(tb1_supporters[[#This Row],[Communication_Preference]]="Do Not Contact","DO NOT CONTACT","")</f>
        <v/>
      </c>
      <c r="AE23"/>
    </row>
    <row r="24" spans="1:31" x14ac:dyDescent="0.25">
      <c r="A24" s="3" t="s">
        <v>282</v>
      </c>
      <c r="B24" s="2" t="s">
        <v>4866</v>
      </c>
      <c r="C24" s="2" t="s">
        <v>283</v>
      </c>
      <c r="D24" s="2" t="s">
        <v>205</v>
      </c>
      <c r="E24" s="2" t="s">
        <v>284</v>
      </c>
      <c r="F24" s="2" t="s">
        <v>285</v>
      </c>
      <c r="G24" s="2" t="str">
        <f>TRIM(SUBSTITUTE(SUBSTITUTE(SUBSTITUTE(SUBSTITUTE(tb1_supporters[[#This Row],[Phone_Raw]],"(",""),")","")," ",""),"+44",))</f>
        <v>07627779748</v>
      </c>
      <c r="H24" s="15">
        <v>24262</v>
      </c>
      <c r="I24" s="36">
        <f ca="1">IF(OR(tb1_supporters[[#This Row],[Date_of_Birth]]="",tb1_supporters[[#This Row],[Date_of_Birth]]&gt;TODAY()),"",DATEDIF(tb1_supporters[[#This Row],[Date_of_Birth]],TODAY(),"Y"))</f>
        <v>59</v>
      </c>
      <c r="J2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4" s="2" t="s">
        <v>287</v>
      </c>
      <c r="L24" s="2" t="s">
        <v>88</v>
      </c>
      <c r="M24" s="2" t="s">
        <v>89</v>
      </c>
      <c r="N24" s="2" t="s">
        <v>90</v>
      </c>
      <c r="O24" s="2" t="s">
        <v>242</v>
      </c>
      <c r="P24" s="2" t="s">
        <v>65</v>
      </c>
      <c r="Q24" s="2" t="s">
        <v>243</v>
      </c>
      <c r="R24" s="15">
        <v>44063</v>
      </c>
      <c r="S24" s="2" t="s">
        <v>105</v>
      </c>
      <c r="T24" s="2" t="s">
        <v>37</v>
      </c>
      <c r="U24" s="2" t="s">
        <v>37</v>
      </c>
      <c r="V24" s="2" t="s">
        <v>37</v>
      </c>
      <c r="W24" s="4" t="s">
        <v>37</v>
      </c>
      <c r="X2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4" s="2" t="str">
        <f>IF(ISNUMBER(SEARCH("onal",tb1_supporters[[#This Row],[Phone_Clean]])),"Review - corrupt phone number", IF(LEN(tb1_supporters[[#This Row],[Phone_Clean]])&gt;11,"Review - too many digits",""))</f>
        <v/>
      </c>
      <c r="Z2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4" s="2" t="str">
        <f>IF(tb1_supporters[[#This Row],[Email]]="","",IF(COUNTIF(tb1_supporters[Email],tb1_supporters[[#This Row],[Email]])&gt;1,"Review - duplicate record, see Supporter_Duplicates tab",""))</f>
        <v/>
      </c>
      <c r="AB24" s="21" t="str">
        <f>IF(tb1_supporters[[#This Row],[Communication_Preference]]="Do Not Contact","DO NOT CONTACT","")</f>
        <v>DO NOT CONTACT</v>
      </c>
      <c r="AE24"/>
    </row>
    <row r="25" spans="1:31" x14ac:dyDescent="0.25">
      <c r="A25" s="3" t="s">
        <v>289</v>
      </c>
      <c r="B25" s="2" t="s">
        <v>69</v>
      </c>
      <c r="C25" s="2" t="s">
        <v>290</v>
      </c>
      <c r="D25" s="2" t="s">
        <v>291</v>
      </c>
      <c r="E25" s="2" t="s">
        <v>292</v>
      </c>
      <c r="F25" s="2" t="s">
        <v>293</v>
      </c>
      <c r="G25" s="2" t="str">
        <f>TRIM(SUBSTITUTE(SUBSTITUTE(SUBSTITUTE(SUBSTITUTE(tb1_supporters[[#This Row],[Phone_Raw]],"(",""),")","")," ",""),"+44",))</f>
        <v>01813493417</v>
      </c>
      <c r="H25" s="15">
        <v>17881</v>
      </c>
      <c r="I25" s="36">
        <f ca="1">IF(OR(tb1_supporters[[#This Row],[Date_of_Birth]]="",tb1_supporters[[#This Row],[Date_of_Birth]]&gt;TODAY()),"",DATEDIF(tb1_supporters[[#This Row],[Date_of_Birth]],TODAY(),"Y"))</f>
        <v>77</v>
      </c>
      <c r="J2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5" s="2" t="s">
        <v>295</v>
      </c>
      <c r="L25" s="2" t="s">
        <v>296</v>
      </c>
      <c r="M25" s="2" t="s">
        <v>297</v>
      </c>
      <c r="N25" s="2" t="s">
        <v>298</v>
      </c>
      <c r="O25" s="2" t="s">
        <v>166</v>
      </c>
      <c r="P25" s="2" t="s">
        <v>181</v>
      </c>
      <c r="Q25" s="2" t="s">
        <v>243</v>
      </c>
      <c r="R25" s="15">
        <v>43537</v>
      </c>
      <c r="S25" s="2" t="s">
        <v>52</v>
      </c>
      <c r="T25" s="2" t="s">
        <v>36</v>
      </c>
      <c r="U25" s="2" t="s">
        <v>36</v>
      </c>
      <c r="V25" s="2" t="s">
        <v>36</v>
      </c>
      <c r="W25" s="4" t="s">
        <v>37</v>
      </c>
      <c r="X2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5" s="2" t="str">
        <f>IF(ISNUMBER(SEARCH("onal",tb1_supporters[[#This Row],[Phone_Clean]])),"Review - corrupt phone number", IF(LEN(tb1_supporters[[#This Row],[Phone_Clean]])&gt;11,"Review - too many digits",""))</f>
        <v/>
      </c>
      <c r="Z2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5" s="2" t="str">
        <f>IF(tb1_supporters[[#This Row],[Email]]="","",IF(COUNTIF(tb1_supporters[Email],tb1_supporters[[#This Row],[Email]])&gt;1,"Review - duplicate record, see Supporter_Duplicates tab",""))</f>
        <v/>
      </c>
      <c r="AB25" s="21" t="str">
        <f>IF(tb1_supporters[[#This Row],[Communication_Preference]]="Do Not Contact","DO NOT CONTACT","")</f>
        <v/>
      </c>
      <c r="AE25"/>
    </row>
    <row r="26" spans="1:31" x14ac:dyDescent="0.25">
      <c r="A26" s="3" t="s">
        <v>300</v>
      </c>
      <c r="B26" s="2"/>
      <c r="C26" s="2" t="s">
        <v>301</v>
      </c>
      <c r="D26" s="2" t="s">
        <v>83</v>
      </c>
      <c r="E26" s="2" t="s">
        <v>302</v>
      </c>
      <c r="F26" s="2" t="s">
        <v>303</v>
      </c>
      <c r="G26" s="2" t="str">
        <f>TRIM(SUBSTITUTE(SUBSTITUTE(SUBSTITUTE(SUBSTITUTE(tb1_supporters[[#This Row],[Phone_Raw]],"(",""),")","")," ",""),"+44",))</f>
        <v>7934836616</v>
      </c>
      <c r="H26" s="15">
        <v>17685</v>
      </c>
      <c r="I26" s="36">
        <f ca="1">IF(OR(tb1_supporters[[#This Row],[Date_of_Birth]]="",tb1_supporters[[#This Row],[Date_of_Birth]]&gt;TODAY()),"",DATEDIF(tb1_supporters[[#This Row],[Date_of_Birth]],TODAY(),"Y"))</f>
        <v>77</v>
      </c>
      <c r="J2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6" s="2" t="s">
        <v>305</v>
      </c>
      <c r="L26" s="2" t="s">
        <v>29</v>
      </c>
      <c r="M26" s="2" t="s">
        <v>30</v>
      </c>
      <c r="N26" s="2" t="s">
        <v>31</v>
      </c>
      <c r="O26" s="2" t="s">
        <v>166</v>
      </c>
      <c r="P26" s="2" t="s">
        <v>153</v>
      </c>
      <c r="Q26" s="2" t="s">
        <v>154</v>
      </c>
      <c r="R26" s="15">
        <v>45045</v>
      </c>
      <c r="S26" s="2" t="s">
        <v>93</v>
      </c>
      <c r="T26" s="2" t="s">
        <v>36</v>
      </c>
      <c r="U26" s="2" t="s">
        <v>36</v>
      </c>
      <c r="V26" s="2" t="s">
        <v>36</v>
      </c>
      <c r="W26" s="4" t="s">
        <v>37</v>
      </c>
      <c r="X2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6" s="2" t="str">
        <f>IF(ISNUMBER(SEARCH("onal",tb1_supporters[[#This Row],[Phone_Clean]])),"Review - corrupt phone number", IF(LEN(tb1_supporters[[#This Row],[Phone_Clean]])&gt;11,"Review - too many digits",""))</f>
        <v/>
      </c>
      <c r="Z2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6" s="2" t="str">
        <f>IF(tb1_supporters[[#This Row],[Email]]="","",IF(COUNTIF(tb1_supporters[Email],tb1_supporters[[#This Row],[Email]])&gt;1,"Review - duplicate record, see Supporter_Duplicates tab",""))</f>
        <v/>
      </c>
      <c r="AB26" s="21" t="str">
        <f>IF(tb1_supporters[[#This Row],[Communication_Preference]]="Do Not Contact","DO NOT CONTACT","")</f>
        <v/>
      </c>
      <c r="AE26"/>
    </row>
    <row r="27" spans="1:31" x14ac:dyDescent="0.25">
      <c r="A27" s="3" t="s">
        <v>307</v>
      </c>
      <c r="B27" s="2" t="s">
        <v>235</v>
      </c>
      <c r="C27" s="2" t="s">
        <v>308</v>
      </c>
      <c r="D27" s="2" t="s">
        <v>309</v>
      </c>
      <c r="E27" s="2" t="s">
        <v>310</v>
      </c>
      <c r="F27" s="2" t="s">
        <v>311</v>
      </c>
      <c r="G27" s="2" t="str">
        <f>TRIM(SUBSTITUTE(SUBSTITUTE(SUBSTITUTE(SUBSTITUTE(tb1_supporters[[#This Row],[Phone_Raw]],"(",""),")","")," ",""),"+44",))</f>
        <v>07427653182</v>
      </c>
      <c r="H27" s="15">
        <v>28892</v>
      </c>
      <c r="I27" s="36">
        <f ca="1">IF(OR(tb1_supporters[[#This Row],[Date_of_Birth]]="",tb1_supporters[[#This Row],[Date_of_Birth]]&gt;TODAY()),"",DATEDIF(tb1_supporters[[#This Row],[Date_of_Birth]],TODAY(),"Y"))</f>
        <v>47</v>
      </c>
      <c r="J2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7" s="2" t="s">
        <v>137</v>
      </c>
      <c r="L27" s="2" t="s">
        <v>76</v>
      </c>
      <c r="M27" s="2" t="s">
        <v>77</v>
      </c>
      <c r="N27" s="2" t="s">
        <v>78</v>
      </c>
      <c r="O27" s="2" t="s">
        <v>242</v>
      </c>
      <c r="P27" s="2" t="s">
        <v>33</v>
      </c>
      <c r="Q27" s="2" t="s">
        <v>66</v>
      </c>
      <c r="R27" s="15">
        <v>43726</v>
      </c>
      <c r="S27" s="2" t="s">
        <v>5</v>
      </c>
      <c r="T27" s="2" t="s">
        <v>36</v>
      </c>
      <c r="U27" s="2" t="s">
        <v>36</v>
      </c>
      <c r="V27" s="2" t="s">
        <v>37</v>
      </c>
      <c r="W27" s="4" t="s">
        <v>37</v>
      </c>
      <c r="X2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27" s="2" t="str">
        <f>IF(ISNUMBER(SEARCH("onal",tb1_supporters[[#This Row],[Phone_Clean]])),"Review - corrupt phone number", IF(LEN(tb1_supporters[[#This Row],[Phone_Clean]])&gt;11,"Review - too many digits",""))</f>
        <v/>
      </c>
      <c r="Z2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7" s="2" t="str">
        <f>IF(tb1_supporters[[#This Row],[Email]]="","",IF(COUNTIF(tb1_supporters[Email],tb1_supporters[[#This Row],[Email]])&gt;1,"Review - duplicate record, see Supporter_Duplicates tab",""))</f>
        <v/>
      </c>
      <c r="AB27" s="21" t="str">
        <f>IF(tb1_supporters[[#This Row],[Communication_Preference]]="Do Not Contact","DO NOT CONTACT","")</f>
        <v/>
      </c>
      <c r="AE27"/>
    </row>
    <row r="28" spans="1:31" x14ac:dyDescent="0.25">
      <c r="A28" s="3" t="s">
        <v>314</v>
      </c>
      <c r="B28" s="2" t="s">
        <v>170</v>
      </c>
      <c r="C28" s="2" t="s">
        <v>246</v>
      </c>
      <c r="D28" s="2" t="s">
        <v>145</v>
      </c>
      <c r="E28" s="2" t="s">
        <v>315</v>
      </c>
      <c r="F28" s="2" t="s">
        <v>316</v>
      </c>
      <c r="G28" s="2" t="str">
        <f>TRIM(SUBSTITUTE(SUBSTITUTE(SUBSTITUTE(SUBSTITUTE(tb1_supporters[[#This Row],[Phone_Raw]],"(",""),")","")," ",""),"+44",))</f>
        <v>01214605892</v>
      </c>
      <c r="H28" s="15">
        <v>30113</v>
      </c>
      <c r="I28" s="36">
        <f ca="1">IF(OR(tb1_supporters[[#This Row],[Date_of_Birth]]="",tb1_supporters[[#This Row],[Date_of_Birth]]&gt;TODAY()),"",DATEDIF(tb1_supporters[[#This Row],[Date_of_Birth]],TODAY(),"Y"))</f>
        <v>43</v>
      </c>
      <c r="J2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8" s="2" t="s">
        <v>318</v>
      </c>
      <c r="L28" s="2" t="s">
        <v>319</v>
      </c>
      <c r="M28" s="2" t="s">
        <v>320</v>
      </c>
      <c r="N28" s="2" t="s">
        <v>321</v>
      </c>
      <c r="O28" s="2" t="s">
        <v>242</v>
      </c>
      <c r="P28" s="2" t="s">
        <v>4887</v>
      </c>
      <c r="Q28" s="2" t="s">
        <v>50</v>
      </c>
      <c r="R28" s="15">
        <v>45337</v>
      </c>
      <c r="S28" s="2" t="s">
        <v>5</v>
      </c>
      <c r="T28" s="2" t="s">
        <v>37</v>
      </c>
      <c r="U28" s="2" t="s">
        <v>36</v>
      </c>
      <c r="V28" s="2" t="s">
        <v>37</v>
      </c>
      <c r="W28" s="4" t="s">
        <v>36</v>
      </c>
      <c r="X2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28" s="2" t="str">
        <f>IF(ISNUMBER(SEARCH("onal",tb1_supporters[[#This Row],[Phone_Clean]])),"Review - corrupt phone number", IF(LEN(tb1_supporters[[#This Row],[Phone_Clean]])&gt;11,"Review - too many digits",""))</f>
        <v/>
      </c>
      <c r="Z2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8" s="2" t="str">
        <f>IF(tb1_supporters[[#This Row],[Email]]="","",IF(COUNTIF(tb1_supporters[Email],tb1_supporters[[#This Row],[Email]])&gt;1,"Review - duplicate record, see Supporter_Duplicates tab",""))</f>
        <v/>
      </c>
      <c r="AB28" s="21" t="str">
        <f>IF(tb1_supporters[[#This Row],[Communication_Preference]]="Do Not Contact","DO NOT CONTACT","")</f>
        <v/>
      </c>
      <c r="AE28"/>
    </row>
    <row r="29" spans="1:31" x14ac:dyDescent="0.25">
      <c r="A29" s="3" t="s">
        <v>323</v>
      </c>
      <c r="B29" s="2" t="s">
        <v>4866</v>
      </c>
      <c r="C29" s="2" t="s">
        <v>324</v>
      </c>
      <c r="D29" s="2" t="s">
        <v>325</v>
      </c>
      <c r="E29" s="2" t="s">
        <v>326</v>
      </c>
      <c r="F29" s="2" t="s">
        <v>327</v>
      </c>
      <c r="G29" s="2" t="str">
        <f>TRIM(SUBSTITUTE(SUBSTITUTE(SUBSTITUTE(SUBSTITUTE(tb1_supporters[[#This Row],[Phone_Raw]],"(",""),")","")," ",""),"+44",))</f>
        <v>7646127503</v>
      </c>
      <c r="H29" s="15"/>
      <c r="I29" s="36" t="str">
        <f ca="1">IF(OR(tb1_supporters[[#This Row],[Date_of_Birth]]="",tb1_supporters[[#This Row],[Date_of_Birth]]&gt;TODAY()),"",DATEDIF(tb1_supporters[[#This Row],[Date_of_Birth]],TODAY(),"Y"))</f>
        <v/>
      </c>
      <c r="J2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29" s="2" t="s">
        <v>328</v>
      </c>
      <c r="L29" s="2" t="s">
        <v>278</v>
      </c>
      <c r="M29" s="2" t="s">
        <v>279</v>
      </c>
      <c r="N29" s="2" t="s">
        <v>280</v>
      </c>
      <c r="O29" s="2" t="s">
        <v>166</v>
      </c>
      <c r="P29" s="2" t="s">
        <v>181</v>
      </c>
      <c r="Q29" s="2" t="s">
        <v>192</v>
      </c>
      <c r="R29" s="15">
        <v>44856</v>
      </c>
      <c r="S29" s="2" t="s">
        <v>5</v>
      </c>
      <c r="T29" s="2" t="s">
        <v>36</v>
      </c>
      <c r="U29" s="2" t="s">
        <v>36</v>
      </c>
      <c r="V29" s="2" t="s">
        <v>36</v>
      </c>
      <c r="W29" s="4" t="s">
        <v>36</v>
      </c>
      <c r="X2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9" s="2" t="str">
        <f>IF(ISNUMBER(SEARCH("onal",tb1_supporters[[#This Row],[Phone_Clean]])),"Review - corrupt phone number", IF(LEN(tb1_supporters[[#This Row],[Phone_Clean]])&gt;11,"Review - too many digits",""))</f>
        <v/>
      </c>
      <c r="Z2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29" s="2" t="str">
        <f>IF(tb1_supporters[[#This Row],[Email]]="","",IF(COUNTIF(tb1_supporters[Email],tb1_supporters[[#This Row],[Email]])&gt;1,"Review - duplicate record, see Supporter_Duplicates tab",""))</f>
        <v/>
      </c>
      <c r="AB29" s="21" t="str">
        <f>IF(tb1_supporters[[#This Row],[Communication_Preference]]="Do Not Contact","DO NOT CONTACT","")</f>
        <v/>
      </c>
      <c r="AE29"/>
    </row>
    <row r="30" spans="1:31" x14ac:dyDescent="0.25">
      <c r="A30" s="3" t="s">
        <v>330</v>
      </c>
      <c r="B30" s="2" t="s">
        <v>54</v>
      </c>
      <c r="C30" s="2" t="s">
        <v>82</v>
      </c>
      <c r="D30" s="2" t="s">
        <v>108</v>
      </c>
      <c r="E30" s="2" t="s">
        <v>331</v>
      </c>
      <c r="F30" s="2" t="s">
        <v>332</v>
      </c>
      <c r="G30" s="2" t="str">
        <f>TRIM(SUBSTITUTE(SUBSTITUTE(SUBSTITUTE(SUBSTITUTE(tb1_supporters[[#This Row],[Phone_Raw]],"(",""),")","")," ",""),"+44",))</f>
        <v>07581119867</v>
      </c>
      <c r="H30" s="15">
        <v>27126</v>
      </c>
      <c r="I30" s="36">
        <f ca="1">IF(OR(tb1_supporters[[#This Row],[Date_of_Birth]]="",tb1_supporters[[#This Row],[Date_of_Birth]]&gt;TODAY()),"",DATEDIF(tb1_supporters[[#This Row],[Date_of_Birth]],TODAY(),"Y"))</f>
        <v>52</v>
      </c>
      <c r="J3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0" s="2" t="s">
        <v>334</v>
      </c>
      <c r="L30" s="2" t="s">
        <v>252</v>
      </c>
      <c r="M30" s="2" t="s">
        <v>253</v>
      </c>
      <c r="N30" s="2" t="s">
        <v>4869</v>
      </c>
      <c r="O30" s="2" t="s">
        <v>166</v>
      </c>
      <c r="P30" s="2" t="s">
        <v>49</v>
      </c>
      <c r="Q30" s="2" t="s">
        <v>154</v>
      </c>
      <c r="R30" s="15">
        <v>43382</v>
      </c>
      <c r="S30" s="2" t="s">
        <v>93</v>
      </c>
      <c r="T30" s="2" t="s">
        <v>36</v>
      </c>
      <c r="U30" s="2" t="s">
        <v>36</v>
      </c>
      <c r="V30" s="2" t="s">
        <v>36</v>
      </c>
      <c r="W30" s="4" t="s">
        <v>36</v>
      </c>
      <c r="X3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0" s="2" t="str">
        <f>IF(ISNUMBER(SEARCH("onal",tb1_supporters[[#This Row],[Phone_Clean]])),"Review - corrupt phone number", IF(LEN(tb1_supporters[[#This Row],[Phone_Clean]])&gt;11,"Review - too many digits",""))</f>
        <v/>
      </c>
      <c r="Z3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0" s="2" t="str">
        <f>IF(tb1_supporters[[#This Row],[Email]]="","",IF(COUNTIF(tb1_supporters[Email],tb1_supporters[[#This Row],[Email]])&gt;1,"Review - duplicate record, see Supporter_Duplicates tab",""))</f>
        <v/>
      </c>
      <c r="AB30" s="21" t="str">
        <f>IF(tb1_supporters[[#This Row],[Communication_Preference]]="Do Not Contact","DO NOT CONTACT","")</f>
        <v/>
      </c>
      <c r="AE30"/>
    </row>
    <row r="31" spans="1:31" x14ac:dyDescent="0.25">
      <c r="A31" s="3" t="s">
        <v>336</v>
      </c>
      <c r="B31" s="2" t="s">
        <v>69</v>
      </c>
      <c r="C31" s="2" t="s">
        <v>337</v>
      </c>
      <c r="D31" s="2" t="s">
        <v>338</v>
      </c>
      <c r="E31" s="2" t="s">
        <v>339</v>
      </c>
      <c r="F31" s="2" t="s">
        <v>340</v>
      </c>
      <c r="G31" s="2" t="str">
        <f>TRIM(SUBSTITUTE(SUBSTITUTE(SUBSTITUTE(SUBSTITUTE(tb1_supporters[[#This Row],[Phone_Raw]],"(",""),")","")," ",""),"+44",))</f>
        <v>07271720721</v>
      </c>
      <c r="H31" s="15">
        <v>32541</v>
      </c>
      <c r="I31" s="36">
        <f ca="1">IF(OR(tb1_supporters[[#This Row],[Date_of_Birth]]="",tb1_supporters[[#This Row],[Date_of_Birth]]&gt;TODAY()),"",DATEDIF(tb1_supporters[[#This Row],[Date_of_Birth]],TODAY(),"Y"))</f>
        <v>37</v>
      </c>
      <c r="J3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1" s="2" t="s">
        <v>342</v>
      </c>
      <c r="L31" s="2" t="s">
        <v>100</v>
      </c>
      <c r="M31" s="2" t="s">
        <v>101</v>
      </c>
      <c r="N31" s="2" t="s">
        <v>343</v>
      </c>
      <c r="O31" s="2" t="s">
        <v>166</v>
      </c>
      <c r="P31" s="2" t="s">
        <v>65</v>
      </c>
      <c r="Q31" s="2" t="s">
        <v>243</v>
      </c>
      <c r="R31" s="15">
        <v>43771</v>
      </c>
      <c r="S31" s="2" t="s">
        <v>5</v>
      </c>
      <c r="T31" s="2" t="s">
        <v>36</v>
      </c>
      <c r="U31" s="2" t="s">
        <v>36</v>
      </c>
      <c r="V31" s="2" t="s">
        <v>37</v>
      </c>
      <c r="W31" s="4" t="s">
        <v>36</v>
      </c>
      <c r="X3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31" s="2" t="str">
        <f>IF(ISNUMBER(SEARCH("onal",tb1_supporters[[#This Row],[Phone_Clean]])),"Review - corrupt phone number", IF(LEN(tb1_supporters[[#This Row],[Phone_Clean]])&gt;11,"Review - too many digits",""))</f>
        <v/>
      </c>
      <c r="Z3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1" s="2" t="str">
        <f>IF(tb1_supporters[[#This Row],[Email]]="","",IF(COUNTIF(tb1_supporters[Email],tb1_supporters[[#This Row],[Email]])&gt;1,"Review - duplicate record, see Supporter_Duplicates tab",""))</f>
        <v/>
      </c>
      <c r="AB31" s="21" t="str">
        <f>IF(tb1_supporters[[#This Row],[Communication_Preference]]="Do Not Contact","DO NOT CONTACT","")</f>
        <v/>
      </c>
      <c r="AE31"/>
    </row>
    <row r="32" spans="1:31" x14ac:dyDescent="0.25">
      <c r="A32" s="3" t="s">
        <v>345</v>
      </c>
      <c r="B32" s="2" t="s">
        <v>22</v>
      </c>
      <c r="C32" s="2" t="s">
        <v>346</v>
      </c>
      <c r="D32" s="2" t="s">
        <v>197</v>
      </c>
      <c r="E32" s="2" t="s">
        <v>4869</v>
      </c>
      <c r="F32" s="2" t="s">
        <v>347</v>
      </c>
      <c r="G32" s="2" t="str">
        <f>TRIM(SUBSTITUTE(SUBSTITUTE(SUBSTITUTE(SUBSTITUTE(tb1_supporters[[#This Row],[Phone_Raw]],"(",""),")","")," ",""),"+44",))</f>
        <v>019859412983</v>
      </c>
      <c r="H32" s="15">
        <v>14897</v>
      </c>
      <c r="I32" s="36">
        <f ca="1">IF(OR(tb1_supporters[[#This Row],[Date_of_Birth]]="",tb1_supporters[[#This Row],[Date_of_Birth]]&gt;TODAY()),"",DATEDIF(tb1_supporters[[#This Row],[Date_of_Birth]],TODAY(),"Y"))</f>
        <v>85</v>
      </c>
      <c r="J3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2" s="2" t="s">
        <v>349</v>
      </c>
      <c r="L32" s="2" t="s">
        <v>76</v>
      </c>
      <c r="M32" s="2" t="s">
        <v>77</v>
      </c>
      <c r="N32" s="2" t="s">
        <v>78</v>
      </c>
      <c r="O32" s="2" t="s">
        <v>242</v>
      </c>
      <c r="P32" s="2" t="s">
        <v>49</v>
      </c>
      <c r="Q32" s="2" t="s">
        <v>50</v>
      </c>
      <c r="R32" s="15">
        <v>44855</v>
      </c>
      <c r="S32" s="2" t="s">
        <v>4</v>
      </c>
      <c r="T32" s="2" t="s">
        <v>36</v>
      </c>
      <c r="U32" s="2" t="s">
        <v>36</v>
      </c>
      <c r="V32" s="2" t="s">
        <v>37</v>
      </c>
      <c r="W32" s="4" t="s">
        <v>37</v>
      </c>
      <c r="X3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2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2" s="2" t="str">
        <f>IF(tb1_supporters[[#This Row],[Email]]="","",IF(COUNTIF(tb1_supporters[Email],tb1_supporters[[#This Row],[Email]])&gt;1,"Review - duplicate record, see Supporter_Duplicates tab",""))</f>
        <v/>
      </c>
      <c r="AB32" s="21" t="str">
        <f>IF(tb1_supporters[[#This Row],[Communication_Preference]]="Do Not Contact","DO NOT CONTACT","")</f>
        <v/>
      </c>
      <c r="AE32"/>
    </row>
    <row r="33" spans="1:31" x14ac:dyDescent="0.25">
      <c r="A33" s="3" t="s">
        <v>351</v>
      </c>
      <c r="B33" s="2"/>
      <c r="C33" s="2" t="s">
        <v>308</v>
      </c>
      <c r="D33" s="2" t="s">
        <v>172</v>
      </c>
      <c r="E33" s="2" t="s">
        <v>352</v>
      </c>
      <c r="F33" s="2" t="s">
        <v>353</v>
      </c>
      <c r="G33" s="2" t="str">
        <f>TRIM(SUBSTITUTE(SUBSTITUTE(SUBSTITUTE(SUBSTITUTE(tb1_supporters[[#This Row],[Phone_Raw]],"(",""),")","")," ",""),"+44",))</f>
        <v>016654259817</v>
      </c>
      <c r="H33" s="15">
        <v>25033</v>
      </c>
      <c r="I33" s="36">
        <f ca="1">IF(OR(tb1_supporters[[#This Row],[Date_of_Birth]]="",tb1_supporters[[#This Row],[Date_of_Birth]]&gt;TODAY()),"",DATEDIF(tb1_supporters[[#This Row],[Date_of_Birth]],TODAY(),"Y"))</f>
        <v>57</v>
      </c>
      <c r="J3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3" s="2" t="s">
        <v>355</v>
      </c>
      <c r="L33" s="2" t="s">
        <v>296</v>
      </c>
      <c r="M33" s="2" t="s">
        <v>297</v>
      </c>
      <c r="N33" s="2" t="s">
        <v>298</v>
      </c>
      <c r="O33" s="2" t="s">
        <v>242</v>
      </c>
      <c r="P33" s="2" t="s">
        <v>153</v>
      </c>
      <c r="Q33" s="2" t="s">
        <v>66</v>
      </c>
      <c r="R33" s="15">
        <v>45527</v>
      </c>
      <c r="S33" s="2" t="s">
        <v>5</v>
      </c>
      <c r="T33" s="2" t="s">
        <v>36</v>
      </c>
      <c r="U33" s="2" t="s">
        <v>36</v>
      </c>
      <c r="V33" s="2" t="s">
        <v>36</v>
      </c>
      <c r="W33" s="4" t="s">
        <v>36</v>
      </c>
      <c r="X3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3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3" s="2" t="str">
        <f>IF(tb1_supporters[[#This Row],[Email]]="","",IF(COUNTIF(tb1_supporters[Email],tb1_supporters[[#This Row],[Email]])&gt;1,"Review - duplicate record, see Supporter_Duplicates tab",""))</f>
        <v/>
      </c>
      <c r="AB33" s="21" t="str">
        <f>IF(tb1_supporters[[#This Row],[Communication_Preference]]="Do Not Contact","DO NOT CONTACT","")</f>
        <v/>
      </c>
      <c r="AE33"/>
    </row>
    <row r="34" spans="1:31" x14ac:dyDescent="0.25">
      <c r="A34" s="3" t="s">
        <v>357</v>
      </c>
      <c r="B34" s="2" t="s">
        <v>402</v>
      </c>
      <c r="C34" s="2" t="s">
        <v>196</v>
      </c>
      <c r="D34" s="2" t="s">
        <v>41</v>
      </c>
      <c r="E34" s="2" t="s">
        <v>358</v>
      </c>
      <c r="F34" s="2" t="s">
        <v>359</v>
      </c>
      <c r="G34" s="2" t="str">
        <f>TRIM(SUBSTITUTE(SUBSTITUTE(SUBSTITUTE(SUBSTITUTE(tb1_supporters[[#This Row],[Phone_Raw]],"(",""),")","")," ",""),"+44",))</f>
        <v>07599317463</v>
      </c>
      <c r="H34" s="15">
        <v>24176</v>
      </c>
      <c r="I34" s="36">
        <f ca="1">IF(OR(tb1_supporters[[#This Row],[Date_of_Birth]]="",tb1_supporters[[#This Row],[Date_of_Birth]]&gt;TODAY()),"",DATEDIF(tb1_supporters[[#This Row],[Date_of_Birth]],TODAY(),"Y"))</f>
        <v>60</v>
      </c>
      <c r="J3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4" s="2" t="s">
        <v>361</v>
      </c>
      <c r="L34" s="2" t="s">
        <v>319</v>
      </c>
      <c r="M34" s="2" t="s">
        <v>320</v>
      </c>
      <c r="N34" s="2" t="s">
        <v>321</v>
      </c>
      <c r="O34" s="2" t="s">
        <v>242</v>
      </c>
      <c r="P34" s="2" t="s">
        <v>49</v>
      </c>
      <c r="Q34" s="2" t="s">
        <v>141</v>
      </c>
      <c r="R34" s="15">
        <v>45542</v>
      </c>
      <c r="S34" s="2" t="s">
        <v>93</v>
      </c>
      <c r="T34" s="2" t="s">
        <v>36</v>
      </c>
      <c r="U34" s="2" t="s">
        <v>37</v>
      </c>
      <c r="V34" s="2" t="s">
        <v>36</v>
      </c>
      <c r="W34" s="4" t="s">
        <v>37</v>
      </c>
      <c r="X3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34" s="2" t="str">
        <f>IF(ISNUMBER(SEARCH("onal",tb1_supporters[[#This Row],[Phone_Clean]])),"Review - corrupt phone number", IF(LEN(tb1_supporters[[#This Row],[Phone_Clean]])&gt;11,"Review - too many digits",""))</f>
        <v/>
      </c>
      <c r="Z3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4" s="2" t="str">
        <f>IF(tb1_supporters[[#This Row],[Email]]="","",IF(COUNTIF(tb1_supporters[Email],tb1_supporters[[#This Row],[Email]])&gt;1,"Review - duplicate record, see Supporter_Duplicates tab",""))</f>
        <v/>
      </c>
      <c r="AB34" s="21" t="str">
        <f>IF(tb1_supporters[[#This Row],[Communication_Preference]]="Do Not Contact","DO NOT CONTACT","")</f>
        <v/>
      </c>
      <c r="AE34"/>
    </row>
    <row r="35" spans="1:31" x14ac:dyDescent="0.25">
      <c r="A35" s="3" t="s">
        <v>363</v>
      </c>
      <c r="B35" s="2" t="s">
        <v>69</v>
      </c>
      <c r="C35" s="2" t="s">
        <v>364</v>
      </c>
      <c r="D35" s="2" t="s">
        <v>365</v>
      </c>
      <c r="E35" s="2" t="s">
        <v>366</v>
      </c>
      <c r="F35" s="2" t="s">
        <v>367</v>
      </c>
      <c r="G35" s="2" t="str">
        <f>TRIM(SUBSTITUTE(SUBSTITUTE(SUBSTITUTE(SUBSTITUTE(tb1_supporters[[#This Row],[Phone_Raw]],"(",""),")","")," ",""),"+44",))</f>
        <v>07195401326</v>
      </c>
      <c r="H35" s="15">
        <v>22905</v>
      </c>
      <c r="I35" s="36">
        <f ca="1">IF(OR(tb1_supporters[[#This Row],[Date_of_Birth]]="",tb1_supporters[[#This Row],[Date_of_Birth]]&gt;TODAY()),"",DATEDIF(tb1_supporters[[#This Row],[Date_of_Birth]],TODAY(),"Y"))</f>
        <v>63</v>
      </c>
      <c r="J3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5" s="2" t="s">
        <v>369</v>
      </c>
      <c r="L35" s="2" t="s">
        <v>370</v>
      </c>
      <c r="M35" s="2" t="s">
        <v>371</v>
      </c>
      <c r="N35" s="2" t="s">
        <v>1028</v>
      </c>
      <c r="O35" s="2" t="s">
        <v>166</v>
      </c>
      <c r="P35" s="2" t="s">
        <v>33</v>
      </c>
      <c r="Q35" s="2" t="s">
        <v>141</v>
      </c>
      <c r="R35" s="15">
        <v>45483</v>
      </c>
      <c r="S35" s="2" t="s">
        <v>5</v>
      </c>
      <c r="T35" s="2" t="s">
        <v>36</v>
      </c>
      <c r="U35" s="2" t="s">
        <v>36</v>
      </c>
      <c r="V35" s="2" t="s">
        <v>37</v>
      </c>
      <c r="W35" s="4" t="s">
        <v>37</v>
      </c>
      <c r="X3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35" s="2" t="str">
        <f>IF(ISNUMBER(SEARCH("onal",tb1_supporters[[#This Row],[Phone_Clean]])),"Review - corrupt phone number", IF(LEN(tb1_supporters[[#This Row],[Phone_Clean]])&gt;11,"Review - too many digits",""))</f>
        <v/>
      </c>
      <c r="Z3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5" s="2" t="str">
        <f>IF(tb1_supporters[[#This Row],[Email]]="","",IF(COUNTIF(tb1_supporters[Email],tb1_supporters[[#This Row],[Email]])&gt;1,"Review - duplicate record, see Supporter_Duplicates tab",""))</f>
        <v/>
      </c>
      <c r="AB35" s="21" t="str">
        <f>IF(tb1_supporters[[#This Row],[Communication_Preference]]="Do Not Contact","DO NOT CONTACT","")</f>
        <v/>
      </c>
      <c r="AE35"/>
    </row>
    <row r="36" spans="1:31" x14ac:dyDescent="0.25">
      <c r="A36" s="3" t="s">
        <v>374</v>
      </c>
      <c r="B36" s="2" t="s">
        <v>4866</v>
      </c>
      <c r="C36" s="2" t="s">
        <v>185</v>
      </c>
      <c r="D36" s="2" t="s">
        <v>375</v>
      </c>
      <c r="E36" s="2" t="s">
        <v>376</v>
      </c>
      <c r="F36" s="2" t="s">
        <v>377</v>
      </c>
      <c r="G36" s="2" t="str">
        <f>TRIM(SUBSTITUTE(SUBSTITUTE(SUBSTITUTE(SUBSTITUTE(tb1_supporters[[#This Row],[Phone_Raw]],"(",""),")","")," ",""),"+44",))</f>
        <v>012461692958</v>
      </c>
      <c r="H36" s="15">
        <v>26811</v>
      </c>
      <c r="I36" s="36">
        <f ca="1">IF(OR(tb1_supporters[[#This Row],[Date_of_Birth]]="",tb1_supporters[[#This Row],[Date_of_Birth]]&gt;TODAY()),"",DATEDIF(tb1_supporters[[#This Row],[Date_of_Birth]],TODAY(),"Y"))</f>
        <v>53</v>
      </c>
      <c r="J3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6" s="2" t="s">
        <v>379</v>
      </c>
      <c r="L36" s="2" t="s">
        <v>252</v>
      </c>
      <c r="M36" s="2" t="s">
        <v>253</v>
      </c>
      <c r="N36" s="2" t="s">
        <v>254</v>
      </c>
      <c r="O36" s="2" t="s">
        <v>166</v>
      </c>
      <c r="P36" s="2" t="s">
        <v>117</v>
      </c>
      <c r="Q36" s="2" t="s">
        <v>154</v>
      </c>
      <c r="R36" s="15">
        <v>43987</v>
      </c>
      <c r="S36" s="2" t="s">
        <v>93</v>
      </c>
      <c r="T36" s="2" t="s">
        <v>36</v>
      </c>
      <c r="U36" s="2" t="s">
        <v>36</v>
      </c>
      <c r="V36" s="2" t="s">
        <v>37</v>
      </c>
      <c r="W36" s="4" t="s">
        <v>37</v>
      </c>
      <c r="X3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6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6" s="2" t="str">
        <f>IF(tb1_supporters[[#This Row],[Email]]="","",IF(COUNTIF(tb1_supporters[Email],tb1_supporters[[#This Row],[Email]])&gt;1,"Review - duplicate record, see Supporter_Duplicates tab",""))</f>
        <v/>
      </c>
      <c r="AB36" s="21" t="str">
        <f>IF(tb1_supporters[[#This Row],[Communication_Preference]]="Do Not Contact","DO NOT CONTACT","")</f>
        <v/>
      </c>
      <c r="AE36"/>
    </row>
    <row r="37" spans="1:31" x14ac:dyDescent="0.25">
      <c r="A37" s="3" t="s">
        <v>381</v>
      </c>
      <c r="B37" s="2" t="s">
        <v>22</v>
      </c>
      <c r="C37" s="2" t="s">
        <v>382</v>
      </c>
      <c r="D37" s="2" t="s">
        <v>172</v>
      </c>
      <c r="E37" s="2" t="s">
        <v>383</v>
      </c>
      <c r="F37" s="2" t="s">
        <v>384</v>
      </c>
      <c r="G37" s="2" t="str">
        <f>TRIM(SUBSTITUTE(SUBSTITUTE(SUBSTITUTE(SUBSTITUTE(tb1_supporters[[#This Row],[Phone_Raw]],"(",""),")","")," ",""),"+44",))</f>
        <v>016830735494</v>
      </c>
      <c r="H37" s="15">
        <v>18132</v>
      </c>
      <c r="I37" s="36">
        <f ca="1">IF(OR(tb1_supporters[[#This Row],[Date_of_Birth]]="",tb1_supporters[[#This Row],[Date_of_Birth]]&gt;TODAY()),"",DATEDIF(tb1_supporters[[#This Row],[Date_of_Birth]],TODAY(),"Y"))</f>
        <v>76</v>
      </c>
      <c r="J3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7" s="2" t="s">
        <v>386</v>
      </c>
      <c r="L37" s="2" t="s">
        <v>387</v>
      </c>
      <c r="M37" s="2" t="s">
        <v>388</v>
      </c>
      <c r="N37" s="2" t="s">
        <v>389</v>
      </c>
      <c r="O37" s="2" t="s">
        <v>242</v>
      </c>
      <c r="P37" s="2" t="s">
        <v>91</v>
      </c>
      <c r="Q37" s="2" t="s">
        <v>4888</v>
      </c>
      <c r="R37" s="15">
        <v>43618</v>
      </c>
      <c r="S37" s="2" t="s">
        <v>5</v>
      </c>
      <c r="T37" s="2" t="s">
        <v>36</v>
      </c>
      <c r="U37" s="2" t="s">
        <v>36</v>
      </c>
      <c r="V37" s="2" t="s">
        <v>36</v>
      </c>
      <c r="W37" s="4" t="s">
        <v>37</v>
      </c>
      <c r="X3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7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7" s="2" t="str">
        <f>IF(tb1_supporters[[#This Row],[Email]]="","",IF(COUNTIF(tb1_supporters[Email],tb1_supporters[[#This Row],[Email]])&gt;1,"Review - duplicate record, see Supporter_Duplicates tab",""))</f>
        <v/>
      </c>
      <c r="AB37" s="21" t="str">
        <f>IF(tb1_supporters[[#This Row],[Communication_Preference]]="Do Not Contact","DO NOT CONTACT","")</f>
        <v/>
      </c>
      <c r="AE37"/>
    </row>
    <row r="38" spans="1:31" x14ac:dyDescent="0.25">
      <c r="A38" s="3" t="s">
        <v>391</v>
      </c>
      <c r="B38" s="2" t="s">
        <v>235</v>
      </c>
      <c r="C38" s="2" t="s">
        <v>392</v>
      </c>
      <c r="D38" s="2" t="s">
        <v>375</v>
      </c>
      <c r="E38" s="2" t="s">
        <v>393</v>
      </c>
      <c r="F38" s="2" t="s">
        <v>394</v>
      </c>
      <c r="G38" s="2" t="str">
        <f>TRIM(SUBSTITUTE(SUBSTITUTE(SUBSTITUTE(SUBSTITUTE(tb1_supporters[[#This Row],[Phone_Raw]],"(",""),")","")," ",""),"+44",))</f>
        <v>01316901878</v>
      </c>
      <c r="H38" s="15">
        <v>31032</v>
      </c>
      <c r="I38" s="36">
        <f ca="1">IF(OR(tb1_supporters[[#This Row],[Date_of_Birth]]="",tb1_supporters[[#This Row],[Date_of_Birth]]&gt;TODAY()),"",DATEDIF(tb1_supporters[[#This Row],[Date_of_Birth]],TODAY(),"Y"))</f>
        <v>41</v>
      </c>
      <c r="J3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8" s="2" t="s">
        <v>396</v>
      </c>
      <c r="L38" s="2" t="s">
        <v>397</v>
      </c>
      <c r="M38" s="2" t="s">
        <v>220</v>
      </c>
      <c r="N38" s="2" t="s">
        <v>398</v>
      </c>
      <c r="O38" s="2" t="s">
        <v>242</v>
      </c>
      <c r="P38" s="2" t="s">
        <v>91</v>
      </c>
      <c r="Q38" s="2" t="s">
        <v>192</v>
      </c>
      <c r="R38" s="15">
        <v>44117</v>
      </c>
      <c r="S38" s="2" t="s">
        <v>4</v>
      </c>
      <c r="T38" s="2" t="s">
        <v>36</v>
      </c>
      <c r="U38" s="2" t="s">
        <v>37</v>
      </c>
      <c r="V38" s="2" t="s">
        <v>37</v>
      </c>
      <c r="W38" s="4" t="s">
        <v>37</v>
      </c>
      <c r="X3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8" s="2" t="str">
        <f>IF(ISNUMBER(SEARCH("onal",tb1_supporters[[#This Row],[Phone_Clean]])),"Review - corrupt phone number", IF(LEN(tb1_supporters[[#This Row],[Phone_Clean]])&gt;11,"Review - too many digits",""))</f>
        <v/>
      </c>
      <c r="Z3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8" s="2" t="str">
        <f>IF(tb1_supporters[[#This Row],[Email]]="","",IF(COUNTIF(tb1_supporters[Email],tb1_supporters[[#This Row],[Email]])&gt;1,"Review - duplicate record, see Supporter_Duplicates tab",""))</f>
        <v/>
      </c>
      <c r="AB38" s="21" t="str">
        <f>IF(tb1_supporters[[#This Row],[Communication_Preference]]="Do Not Contact","DO NOT CONTACT","")</f>
        <v/>
      </c>
      <c r="AE38"/>
    </row>
    <row r="39" spans="1:31" x14ac:dyDescent="0.25">
      <c r="A39" s="3" t="s">
        <v>401</v>
      </c>
      <c r="B39" s="2" t="s">
        <v>402</v>
      </c>
      <c r="C39" s="2" t="s">
        <v>403</v>
      </c>
      <c r="D39" s="2" t="s">
        <v>258</v>
      </c>
      <c r="E39" s="2" t="s">
        <v>404</v>
      </c>
      <c r="F39" s="2" t="s">
        <v>405</v>
      </c>
      <c r="G39" s="2" t="str">
        <f>TRIM(SUBSTITUTE(SUBSTITUTE(SUBSTITUTE(SUBSTITUTE(tb1_supporters[[#This Row],[Phone_Raw]],"(",""),")","")," ",""),"+44",))</f>
        <v>7735161724</v>
      </c>
      <c r="H39" s="15">
        <v>23163</v>
      </c>
      <c r="I39" s="36">
        <f ca="1">IF(OR(tb1_supporters[[#This Row],[Date_of_Birth]]="",tb1_supporters[[#This Row],[Date_of_Birth]]&gt;TODAY()),"",DATEDIF(tb1_supporters[[#This Row],[Date_of_Birth]],TODAY(),"Y"))</f>
        <v>62</v>
      </c>
      <c r="J3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9" s="2" t="s">
        <v>407</v>
      </c>
      <c r="L39" s="2" t="s">
        <v>408</v>
      </c>
      <c r="M39" s="2" t="s">
        <v>409</v>
      </c>
      <c r="N39" s="2" t="s">
        <v>410</v>
      </c>
      <c r="O39" s="2" t="s">
        <v>242</v>
      </c>
      <c r="P39" s="2" t="s">
        <v>33</v>
      </c>
      <c r="Q39" s="2" t="s">
        <v>4888</v>
      </c>
      <c r="R39" s="15">
        <v>43965</v>
      </c>
      <c r="S39" s="2" t="s">
        <v>93</v>
      </c>
      <c r="T39" s="2" t="s">
        <v>36</v>
      </c>
      <c r="U39" s="2" t="s">
        <v>36</v>
      </c>
      <c r="V39" s="2" t="s">
        <v>36</v>
      </c>
      <c r="W39" s="4" t="s">
        <v>36</v>
      </c>
      <c r="X3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9" s="2" t="str">
        <f>IF(ISNUMBER(SEARCH("onal",tb1_supporters[[#This Row],[Phone_Clean]])),"Review - corrupt phone number", IF(LEN(tb1_supporters[[#This Row],[Phone_Clean]])&gt;11,"Review - too many digits",""))</f>
        <v/>
      </c>
      <c r="Z3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9" s="2" t="str">
        <f>IF(tb1_supporters[[#This Row],[Email]]="","",IF(COUNTIF(tb1_supporters[Email],tb1_supporters[[#This Row],[Email]])&gt;1,"Review - duplicate record, see Supporter_Duplicates tab",""))</f>
        <v/>
      </c>
      <c r="AB39" s="21" t="str">
        <f>IF(tb1_supporters[[#This Row],[Communication_Preference]]="Do Not Contact","DO NOT CONTACT","")</f>
        <v/>
      </c>
      <c r="AE39"/>
    </row>
    <row r="40" spans="1:31" x14ac:dyDescent="0.25">
      <c r="A40" s="3" t="s">
        <v>412</v>
      </c>
      <c r="B40" s="2"/>
      <c r="C40" s="2" t="s">
        <v>413</v>
      </c>
      <c r="D40" s="2" t="s">
        <v>414</v>
      </c>
      <c r="E40" s="2" t="s">
        <v>415</v>
      </c>
      <c r="F40" s="2" t="s">
        <v>416</v>
      </c>
      <c r="G40" s="2" t="str">
        <f>TRIM(SUBSTITUTE(SUBSTITUTE(SUBSTITUTE(SUBSTITUTE(tb1_supporters[[#This Row],[Phone_Raw]],"(",""),")","")," ",""),"+44",))</f>
        <v>07823389819</v>
      </c>
      <c r="H40" s="15">
        <v>25231</v>
      </c>
      <c r="I40" s="36">
        <f ca="1">IF(OR(tb1_supporters[[#This Row],[Date_of_Birth]]="",tb1_supporters[[#This Row],[Date_of_Birth]]&gt;TODAY()),"",DATEDIF(tb1_supporters[[#This Row],[Date_of_Birth]],TODAY(),"Y"))</f>
        <v>57</v>
      </c>
      <c r="J4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0" s="2" t="s">
        <v>418</v>
      </c>
      <c r="L40" s="2" t="s">
        <v>419</v>
      </c>
      <c r="M40" s="2" t="s">
        <v>420</v>
      </c>
      <c r="N40" s="2" t="s">
        <v>421</v>
      </c>
      <c r="O40" s="2" t="s">
        <v>242</v>
      </c>
      <c r="P40" s="2" t="s">
        <v>65</v>
      </c>
      <c r="Q40" s="2" t="s">
        <v>4888</v>
      </c>
      <c r="R40" s="15">
        <v>44057</v>
      </c>
      <c r="S40" s="2" t="s">
        <v>52</v>
      </c>
      <c r="T40" s="2" t="s">
        <v>36</v>
      </c>
      <c r="U40" s="2" t="s">
        <v>37</v>
      </c>
      <c r="V40" s="2" t="s">
        <v>37</v>
      </c>
      <c r="W40" s="4" t="s">
        <v>36</v>
      </c>
      <c r="X4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0" s="2" t="str">
        <f>IF(ISNUMBER(SEARCH("onal",tb1_supporters[[#This Row],[Phone_Clean]])),"Review - corrupt phone number", IF(LEN(tb1_supporters[[#This Row],[Phone_Clean]])&gt;11,"Review - too many digits",""))</f>
        <v/>
      </c>
      <c r="Z4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0" s="2" t="str">
        <f>IF(tb1_supporters[[#This Row],[Email]]="","",IF(COUNTIF(tb1_supporters[Email],tb1_supporters[[#This Row],[Email]])&gt;1,"Review - duplicate record, see Supporter_Duplicates tab",""))</f>
        <v/>
      </c>
      <c r="AB40" s="21" t="str">
        <f>IF(tb1_supporters[[#This Row],[Communication_Preference]]="Do Not Contact","DO NOT CONTACT","")</f>
        <v/>
      </c>
      <c r="AE40"/>
    </row>
    <row r="41" spans="1:31" x14ac:dyDescent="0.25">
      <c r="A41" s="3" t="s">
        <v>423</v>
      </c>
      <c r="B41" s="2" t="s">
        <v>54</v>
      </c>
      <c r="C41" s="2" t="s">
        <v>424</v>
      </c>
      <c r="D41" s="2" t="s">
        <v>425</v>
      </c>
      <c r="E41" s="2" t="s">
        <v>426</v>
      </c>
      <c r="F41" s="2" t="s">
        <v>427</v>
      </c>
      <c r="G41" s="2" t="str">
        <f>TRIM(SUBSTITUTE(SUBSTITUTE(SUBSTITUTE(SUBSTITUTE(tb1_supporters[[#This Row],[Phone_Raw]],"(",""),")","")," ",""),"+44",))</f>
        <v>7866944682</v>
      </c>
      <c r="H41" s="15"/>
      <c r="I41" s="36" t="str">
        <f ca="1">IF(OR(tb1_supporters[[#This Row],[Date_of_Birth]]="",tb1_supporters[[#This Row],[Date_of_Birth]]&gt;TODAY()),"",DATEDIF(tb1_supporters[[#This Row],[Date_of_Birth]],TODAY(),"Y"))</f>
        <v/>
      </c>
      <c r="J4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41" s="2" t="s">
        <v>428</v>
      </c>
      <c r="L41" s="2" t="s">
        <v>429</v>
      </c>
      <c r="M41" s="2" t="s">
        <v>430</v>
      </c>
      <c r="N41" s="2" t="s">
        <v>431</v>
      </c>
      <c r="O41" s="2" t="s">
        <v>166</v>
      </c>
      <c r="P41" s="2" t="s">
        <v>65</v>
      </c>
      <c r="Q41" s="2" t="s">
        <v>66</v>
      </c>
      <c r="R41" s="15">
        <v>44346</v>
      </c>
      <c r="S41" s="2" t="s">
        <v>52</v>
      </c>
      <c r="T41" s="2" t="s">
        <v>36</v>
      </c>
      <c r="U41" s="2" t="s">
        <v>36</v>
      </c>
      <c r="V41" s="2" t="s">
        <v>37</v>
      </c>
      <c r="W41" s="4" t="s">
        <v>37</v>
      </c>
      <c r="X4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1" s="2" t="str">
        <f>IF(ISNUMBER(SEARCH("onal",tb1_supporters[[#This Row],[Phone_Clean]])),"Review - corrupt phone number", IF(LEN(tb1_supporters[[#This Row],[Phone_Clean]])&gt;11,"Review - too many digits",""))</f>
        <v/>
      </c>
      <c r="Z4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41" s="2" t="str">
        <f>IF(tb1_supporters[[#This Row],[Email]]="","",IF(COUNTIF(tb1_supporters[Email],tb1_supporters[[#This Row],[Email]])&gt;1,"Review - duplicate record, see Supporter_Duplicates tab",""))</f>
        <v/>
      </c>
      <c r="AB41" s="21" t="str">
        <f>IF(tb1_supporters[[#This Row],[Communication_Preference]]="Do Not Contact","DO NOT CONTACT","")</f>
        <v/>
      </c>
      <c r="AE41"/>
    </row>
    <row r="42" spans="1:31" x14ac:dyDescent="0.25">
      <c r="A42" s="3" t="s">
        <v>433</v>
      </c>
      <c r="B42" s="2" t="s">
        <v>54</v>
      </c>
      <c r="C42" s="2" t="s">
        <v>434</v>
      </c>
      <c r="D42" s="2" t="s">
        <v>435</v>
      </c>
      <c r="E42" s="2" t="s">
        <v>436</v>
      </c>
      <c r="F42" s="2" t="s">
        <v>437</v>
      </c>
      <c r="G42" s="2" t="str">
        <f>TRIM(SUBSTITUTE(SUBSTITUTE(SUBSTITUTE(SUBSTITUTE(tb1_supporters[[#This Row],[Phone_Raw]],"(",""),")","")," ",""),"+44",))</f>
        <v>017313395415</v>
      </c>
      <c r="H42" s="15">
        <v>16323</v>
      </c>
      <c r="I42" s="36">
        <f ca="1">IF(OR(tb1_supporters[[#This Row],[Date_of_Birth]]="",tb1_supporters[[#This Row],[Date_of_Birth]]&gt;TODAY()),"",DATEDIF(tb1_supporters[[#This Row],[Date_of_Birth]],TODAY(),"Y"))</f>
        <v>81</v>
      </c>
      <c r="J4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2" s="2" t="s">
        <v>439</v>
      </c>
      <c r="L42" s="2" t="s">
        <v>419</v>
      </c>
      <c r="M42" s="2" t="s">
        <v>420</v>
      </c>
      <c r="N42" s="2" t="s">
        <v>421</v>
      </c>
      <c r="O42" s="2" t="s">
        <v>166</v>
      </c>
      <c r="P42" s="2" t="s">
        <v>117</v>
      </c>
      <c r="Q42" s="2" t="s">
        <v>66</v>
      </c>
      <c r="R42" s="15">
        <v>45226</v>
      </c>
      <c r="S42" s="2" t="s">
        <v>52</v>
      </c>
      <c r="T42" s="2" t="s">
        <v>36</v>
      </c>
      <c r="U42" s="2" t="s">
        <v>36</v>
      </c>
      <c r="V42" s="2" t="s">
        <v>36</v>
      </c>
      <c r="W42" s="4" t="s">
        <v>37</v>
      </c>
      <c r="X4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2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2" s="2" t="str">
        <f>IF(tb1_supporters[[#This Row],[Email]]="","",IF(COUNTIF(tb1_supporters[Email],tb1_supporters[[#This Row],[Email]])&gt;1,"Review - duplicate record, see Supporter_Duplicates tab",""))</f>
        <v/>
      </c>
      <c r="AB42" s="21" t="str">
        <f>IF(tb1_supporters[[#This Row],[Communication_Preference]]="Do Not Contact","DO NOT CONTACT","")</f>
        <v/>
      </c>
      <c r="AE42"/>
    </row>
    <row r="43" spans="1:31" x14ac:dyDescent="0.25">
      <c r="A43" s="3" t="s">
        <v>441</v>
      </c>
      <c r="B43" s="2" t="s">
        <v>170</v>
      </c>
      <c r="C43" s="2" t="s">
        <v>308</v>
      </c>
      <c r="D43" s="2" t="s">
        <v>225</v>
      </c>
      <c r="E43" s="2" t="s">
        <v>442</v>
      </c>
      <c r="F43" s="2" t="s">
        <v>443</v>
      </c>
      <c r="G43" s="2" t="str">
        <f>TRIM(SUBSTITUTE(SUBSTITUTE(SUBSTITUTE(SUBSTITUTE(tb1_supporters[[#This Row],[Phone_Raw]],"(",""),")","")," ",""),"+44",))</f>
        <v>07521810607</v>
      </c>
      <c r="H43" s="15">
        <v>24279</v>
      </c>
      <c r="I43" s="36">
        <f ca="1">IF(OR(tb1_supporters[[#This Row],[Date_of_Birth]]="",tb1_supporters[[#This Row],[Date_of_Birth]]&gt;TODAY()),"",DATEDIF(tb1_supporters[[#This Row],[Date_of_Birth]],TODAY(),"Y"))</f>
        <v>59</v>
      </c>
      <c r="J4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3" s="2" t="s">
        <v>445</v>
      </c>
      <c r="L43" s="2" t="s">
        <v>150</v>
      </c>
      <c r="M43" s="2" t="s">
        <v>151</v>
      </c>
      <c r="N43" s="2" t="s">
        <v>152</v>
      </c>
      <c r="O43" s="2" t="s">
        <v>242</v>
      </c>
      <c r="P43" s="2" t="s">
        <v>181</v>
      </c>
      <c r="Q43" s="2" t="s">
        <v>66</v>
      </c>
      <c r="R43" s="15">
        <v>43461</v>
      </c>
      <c r="S43" s="2" t="s">
        <v>93</v>
      </c>
      <c r="T43" s="2" t="s">
        <v>36</v>
      </c>
      <c r="U43" s="2" t="s">
        <v>36</v>
      </c>
      <c r="V43" s="2" t="s">
        <v>36</v>
      </c>
      <c r="W43" s="4" t="s">
        <v>36</v>
      </c>
      <c r="X4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3" s="2" t="str">
        <f>IF(ISNUMBER(SEARCH("onal",tb1_supporters[[#This Row],[Phone_Clean]])),"Review - corrupt phone number", IF(LEN(tb1_supporters[[#This Row],[Phone_Clean]])&gt;11,"Review - too many digits",""))</f>
        <v/>
      </c>
      <c r="Z4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3" s="2" t="str">
        <f>IF(tb1_supporters[[#This Row],[Email]]="","",IF(COUNTIF(tb1_supporters[Email],tb1_supporters[[#This Row],[Email]])&gt;1,"Review - duplicate record, see Supporter_Duplicates tab",""))</f>
        <v/>
      </c>
      <c r="AB43" s="21" t="str">
        <f>IF(tb1_supporters[[#This Row],[Communication_Preference]]="Do Not Contact","DO NOT CONTACT","")</f>
        <v/>
      </c>
      <c r="AE43"/>
    </row>
    <row r="44" spans="1:31" x14ac:dyDescent="0.25">
      <c r="A44" s="3" t="s">
        <v>447</v>
      </c>
      <c r="B44" s="2" t="s">
        <v>69</v>
      </c>
      <c r="C44" s="2" t="s">
        <v>448</v>
      </c>
      <c r="D44" s="2" t="s">
        <v>449</v>
      </c>
      <c r="E44" s="2" t="s">
        <v>450</v>
      </c>
      <c r="F44" s="2" t="s">
        <v>451</v>
      </c>
      <c r="G44" s="2" t="str">
        <f>TRIM(SUBSTITUTE(SUBSTITUTE(SUBSTITUTE(SUBSTITUTE(tb1_supporters[[#This Row],[Phone_Raw]],"(",""),")","")," ",""),"+44",))</f>
        <v>7470737874</v>
      </c>
      <c r="H44" s="15">
        <v>11742</v>
      </c>
      <c r="I44" s="36">
        <f ca="1">IF(OR(tb1_supporters[[#This Row],[Date_of_Birth]]="",tb1_supporters[[#This Row],[Date_of_Birth]]&gt;TODAY()),"",DATEDIF(tb1_supporters[[#This Row],[Date_of_Birth]],TODAY(),"Y"))</f>
        <v>94</v>
      </c>
      <c r="J4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4" s="2" t="s">
        <v>453</v>
      </c>
      <c r="L44" s="2" t="s">
        <v>454</v>
      </c>
      <c r="M44" s="2" t="s">
        <v>455</v>
      </c>
      <c r="N44" s="2" t="s">
        <v>456</v>
      </c>
      <c r="O44" s="2" t="s">
        <v>166</v>
      </c>
      <c r="P44" s="2" t="s">
        <v>153</v>
      </c>
      <c r="Q44" s="2" t="s">
        <v>243</v>
      </c>
      <c r="R44" s="15">
        <v>43312</v>
      </c>
      <c r="S44" s="2" t="s">
        <v>5</v>
      </c>
      <c r="T44" s="2" t="s">
        <v>36</v>
      </c>
      <c r="U44" s="2" t="s">
        <v>36</v>
      </c>
      <c r="V44" s="2" t="s">
        <v>37</v>
      </c>
      <c r="W44" s="4" t="s">
        <v>36</v>
      </c>
      <c r="X4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44" s="2" t="str">
        <f>IF(ISNUMBER(SEARCH("onal",tb1_supporters[[#This Row],[Phone_Clean]])),"Review - corrupt phone number", IF(LEN(tb1_supporters[[#This Row],[Phone_Clean]])&gt;11,"Review - too many digits",""))</f>
        <v/>
      </c>
      <c r="Z4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4" s="2" t="str">
        <f>IF(tb1_supporters[[#This Row],[Email]]="","",IF(COUNTIF(tb1_supporters[Email],tb1_supporters[[#This Row],[Email]])&gt;1,"Review - duplicate record, see Supporter_Duplicates tab",""))</f>
        <v/>
      </c>
      <c r="AB44" s="21" t="str">
        <f>IF(tb1_supporters[[#This Row],[Communication_Preference]]="Do Not Contact","DO NOT CONTACT","")</f>
        <v/>
      </c>
      <c r="AE44"/>
    </row>
    <row r="45" spans="1:31" x14ac:dyDescent="0.25">
      <c r="A45" s="3" t="s">
        <v>458</v>
      </c>
      <c r="B45" s="2" t="s">
        <v>54</v>
      </c>
      <c r="C45" s="2" t="s">
        <v>459</v>
      </c>
      <c r="D45" s="2" t="s">
        <v>365</v>
      </c>
      <c r="E45" s="2" t="s">
        <v>460</v>
      </c>
      <c r="F45" s="2" t="s">
        <v>461</v>
      </c>
      <c r="G45" s="2" t="str">
        <f>TRIM(SUBSTITUTE(SUBSTITUTE(SUBSTITUTE(SUBSTITUTE(tb1_supporters[[#This Row],[Phone_Raw]],"(",""),")","")," ",""),"+44",))</f>
        <v>7114665517</v>
      </c>
      <c r="H45" s="15">
        <v>32926</v>
      </c>
      <c r="I45" s="36">
        <f ca="1">IF(OR(tb1_supporters[[#This Row],[Date_of_Birth]]="",tb1_supporters[[#This Row],[Date_of_Birth]]&gt;TODAY()),"",DATEDIF(tb1_supporters[[#This Row],[Date_of_Birth]],TODAY(),"Y"))</f>
        <v>36</v>
      </c>
      <c r="J4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5" s="2" t="s">
        <v>463</v>
      </c>
      <c r="L45" s="2" t="s">
        <v>419</v>
      </c>
      <c r="M45" s="2" t="s">
        <v>420</v>
      </c>
      <c r="N45" s="2" t="s">
        <v>421</v>
      </c>
      <c r="O45" s="2" t="s">
        <v>166</v>
      </c>
      <c r="P45" s="2" t="s">
        <v>65</v>
      </c>
      <c r="Q45" s="2" t="s">
        <v>66</v>
      </c>
      <c r="R45" s="15">
        <v>43582</v>
      </c>
      <c r="S45" s="2" t="s">
        <v>4</v>
      </c>
      <c r="T45" s="2" t="s">
        <v>36</v>
      </c>
      <c r="U45" s="2" t="s">
        <v>36</v>
      </c>
      <c r="V45" s="2" t="s">
        <v>37</v>
      </c>
      <c r="W45" s="4" t="s">
        <v>37</v>
      </c>
      <c r="X4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5" s="2" t="str">
        <f>IF(ISNUMBER(SEARCH("onal",tb1_supporters[[#This Row],[Phone_Clean]])),"Review - corrupt phone number", IF(LEN(tb1_supporters[[#This Row],[Phone_Clean]])&gt;11,"Review - too many digits",""))</f>
        <v/>
      </c>
      <c r="Z4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5" s="2" t="str">
        <f>IF(tb1_supporters[[#This Row],[Email]]="","",IF(COUNTIF(tb1_supporters[Email],tb1_supporters[[#This Row],[Email]])&gt;1,"Review - duplicate record, see Supporter_Duplicates tab",""))</f>
        <v/>
      </c>
      <c r="AB45" s="21" t="str">
        <f>IF(tb1_supporters[[#This Row],[Communication_Preference]]="Do Not Contact","DO NOT CONTACT","")</f>
        <v/>
      </c>
      <c r="AE45"/>
    </row>
    <row r="46" spans="1:31" x14ac:dyDescent="0.25">
      <c r="A46" s="3" t="s">
        <v>465</v>
      </c>
      <c r="B46" s="2" t="s">
        <v>402</v>
      </c>
      <c r="C46" s="2" t="s">
        <v>246</v>
      </c>
      <c r="D46" s="2" t="s">
        <v>56</v>
      </c>
      <c r="E46" s="2" t="s">
        <v>466</v>
      </c>
      <c r="F46" s="2" t="s">
        <v>467</v>
      </c>
      <c r="G46" s="2" t="str">
        <f>TRIM(SUBSTITUTE(SUBSTITUTE(SUBSTITUTE(SUBSTITUTE(tb1_supporters[[#This Row],[Phone_Raw]],"(",""),")","")," ",""),"+44",))</f>
        <v>07713620864</v>
      </c>
      <c r="H46" s="15">
        <v>23882</v>
      </c>
      <c r="I46" s="36">
        <f ca="1">IF(OR(tb1_supporters[[#This Row],[Date_of_Birth]]="",tb1_supporters[[#This Row],[Date_of_Birth]]&gt;TODAY()),"",DATEDIF(tb1_supporters[[#This Row],[Date_of_Birth]],TODAY(),"Y"))</f>
        <v>61</v>
      </c>
      <c r="J4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6" s="2" t="s">
        <v>469</v>
      </c>
      <c r="L46" s="2" t="s">
        <v>126</v>
      </c>
      <c r="M46" s="2" t="s">
        <v>127</v>
      </c>
      <c r="N46" s="2" t="s">
        <v>128</v>
      </c>
      <c r="O46" s="2" t="s">
        <v>242</v>
      </c>
      <c r="P46" s="2" t="s">
        <v>91</v>
      </c>
      <c r="Q46" s="2" t="s">
        <v>243</v>
      </c>
      <c r="R46" s="15">
        <v>44800</v>
      </c>
      <c r="S46" s="2" t="s">
        <v>5</v>
      </c>
      <c r="T46" s="2" t="s">
        <v>36</v>
      </c>
      <c r="U46" s="2" t="s">
        <v>37</v>
      </c>
      <c r="V46" s="2" t="s">
        <v>36</v>
      </c>
      <c r="W46" s="4" t="s">
        <v>36</v>
      </c>
      <c r="X4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6" s="2" t="str">
        <f>IF(ISNUMBER(SEARCH("onal",tb1_supporters[[#This Row],[Phone_Clean]])),"Review - corrupt phone number", IF(LEN(tb1_supporters[[#This Row],[Phone_Clean]])&gt;11,"Review - too many digits",""))</f>
        <v/>
      </c>
      <c r="Z4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6" s="2" t="str">
        <f>IF(tb1_supporters[[#This Row],[Email]]="","",IF(COUNTIF(tb1_supporters[Email],tb1_supporters[[#This Row],[Email]])&gt;1,"Review - duplicate record, see Supporter_Duplicates tab",""))</f>
        <v/>
      </c>
      <c r="AB46" s="21" t="str">
        <f>IF(tb1_supporters[[#This Row],[Communication_Preference]]="Do Not Contact","DO NOT CONTACT","")</f>
        <v/>
      </c>
      <c r="AE46"/>
    </row>
    <row r="47" spans="1:31" x14ac:dyDescent="0.25">
      <c r="A47" s="3" t="s">
        <v>471</v>
      </c>
      <c r="B47" s="2"/>
      <c r="C47" s="2" t="s">
        <v>472</v>
      </c>
      <c r="D47" s="2" t="s">
        <v>473</v>
      </c>
      <c r="E47" s="2" t="s">
        <v>474</v>
      </c>
      <c r="F47" s="2" t="s">
        <v>475</v>
      </c>
      <c r="G47" s="2" t="str">
        <f>TRIM(SUBSTITUTE(SUBSTITUTE(SUBSTITUTE(SUBSTITUTE(tb1_supporters[[#This Row],[Phone_Raw]],"(",""),")","")," ",""),"+44",))</f>
        <v>07665881656</v>
      </c>
      <c r="H47" s="15">
        <v>11098</v>
      </c>
      <c r="I47" s="36">
        <f ca="1">IF(OR(tb1_supporters[[#This Row],[Date_of_Birth]]="",tb1_supporters[[#This Row],[Date_of_Birth]]&gt;TODAY()),"",DATEDIF(tb1_supporters[[#This Row],[Date_of_Birth]],TODAY(),"Y"))</f>
        <v>96</v>
      </c>
      <c r="J4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7" s="2" t="s">
        <v>477</v>
      </c>
      <c r="L47" s="2" t="s">
        <v>429</v>
      </c>
      <c r="M47" s="2" t="s">
        <v>430</v>
      </c>
      <c r="N47" s="2" t="s">
        <v>431</v>
      </c>
      <c r="O47" s="2" t="s">
        <v>242</v>
      </c>
      <c r="P47" s="2" t="s">
        <v>49</v>
      </c>
      <c r="Q47" s="2" t="s">
        <v>243</v>
      </c>
      <c r="R47" s="15">
        <v>43873</v>
      </c>
      <c r="S47" s="2" t="s">
        <v>93</v>
      </c>
      <c r="T47" s="2" t="s">
        <v>36</v>
      </c>
      <c r="U47" s="2" t="s">
        <v>37</v>
      </c>
      <c r="V47" s="2" t="s">
        <v>37</v>
      </c>
      <c r="W47" s="4" t="s">
        <v>36</v>
      </c>
      <c r="X4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47" s="2" t="str">
        <f>IF(ISNUMBER(SEARCH("onal",tb1_supporters[[#This Row],[Phone_Clean]])),"Review - corrupt phone number", IF(LEN(tb1_supporters[[#This Row],[Phone_Clean]])&gt;11,"Review - too many digits",""))</f>
        <v/>
      </c>
      <c r="Z4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7" s="2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47" s="21" t="str">
        <f>IF(tb1_supporters[[#This Row],[Communication_Preference]]="Do Not Contact","DO NOT CONTACT","")</f>
        <v/>
      </c>
      <c r="AE47"/>
    </row>
    <row r="48" spans="1:31" x14ac:dyDescent="0.25">
      <c r="A48" s="3" t="s">
        <v>480</v>
      </c>
      <c r="B48" s="2" t="s">
        <v>402</v>
      </c>
      <c r="C48" s="2" t="s">
        <v>481</v>
      </c>
      <c r="D48" s="2" t="s">
        <v>205</v>
      </c>
      <c r="E48" s="2" t="s">
        <v>482</v>
      </c>
      <c r="F48" s="2" t="s">
        <v>483</v>
      </c>
      <c r="G48" s="2" t="str">
        <f>TRIM(SUBSTITUTE(SUBSTITUTE(SUBSTITUTE(SUBSTITUTE(tb1_supporters[[#This Row],[Phone_Raw]],"(",""),")","")," ",""),"+44",))</f>
        <v>07229614704</v>
      </c>
      <c r="H48" s="15">
        <v>19382</v>
      </c>
      <c r="I48" s="36">
        <f ca="1">IF(OR(tb1_supporters[[#This Row],[Date_of_Birth]]="",tb1_supporters[[#This Row],[Date_of_Birth]]&gt;TODAY()),"",DATEDIF(tb1_supporters[[#This Row],[Date_of_Birth]],TODAY(),"Y"))</f>
        <v>73</v>
      </c>
      <c r="J4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8" s="2" t="s">
        <v>485</v>
      </c>
      <c r="L48" s="2" t="s">
        <v>319</v>
      </c>
      <c r="M48" s="2" t="s">
        <v>320</v>
      </c>
      <c r="N48" s="2" t="s">
        <v>321</v>
      </c>
      <c r="O48" s="2" t="s">
        <v>242</v>
      </c>
      <c r="P48" s="2" t="s">
        <v>153</v>
      </c>
      <c r="Q48" s="2" t="s">
        <v>192</v>
      </c>
      <c r="R48" s="15">
        <v>45255</v>
      </c>
      <c r="S48" s="2" t="s">
        <v>52</v>
      </c>
      <c r="T48" s="2" t="s">
        <v>36</v>
      </c>
      <c r="U48" s="2" t="s">
        <v>36</v>
      </c>
      <c r="V48" s="2" t="s">
        <v>37</v>
      </c>
      <c r="W48" s="4" t="s">
        <v>36</v>
      </c>
      <c r="X4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8" s="2" t="str">
        <f>IF(ISNUMBER(SEARCH("onal",tb1_supporters[[#This Row],[Phone_Clean]])),"Review - corrupt phone number", IF(LEN(tb1_supporters[[#This Row],[Phone_Clean]])&gt;11,"Review - too many digits",""))</f>
        <v/>
      </c>
      <c r="Z4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8" s="2" t="str">
        <f>IF(tb1_supporters[[#This Row],[Email]]="","",IF(COUNTIF(tb1_supporters[Email],tb1_supporters[[#This Row],[Email]])&gt;1,"Review - duplicate record, see Supporter_Duplicates tab",""))</f>
        <v/>
      </c>
      <c r="AB48" s="21" t="str">
        <f>IF(tb1_supporters[[#This Row],[Communication_Preference]]="Do Not Contact","DO NOT CONTACT","")</f>
        <v/>
      </c>
      <c r="AE48"/>
    </row>
    <row r="49" spans="1:31" x14ac:dyDescent="0.25">
      <c r="A49" s="3" t="s">
        <v>487</v>
      </c>
      <c r="B49" s="2" t="s">
        <v>170</v>
      </c>
      <c r="C49" s="2" t="s">
        <v>488</v>
      </c>
      <c r="D49" s="2" t="s">
        <v>489</v>
      </c>
      <c r="E49" s="2" t="s">
        <v>490</v>
      </c>
      <c r="F49" s="2" t="s">
        <v>491</v>
      </c>
      <c r="G49" s="2" t="str">
        <f>TRIM(SUBSTITUTE(SUBSTITUTE(SUBSTITUTE(SUBSTITUTE(tb1_supporters[[#This Row],[Phone_Raw]],"(",""),")","")," ",""),"+44",))</f>
        <v>07972790979</v>
      </c>
      <c r="H49" s="15">
        <v>24353</v>
      </c>
      <c r="I49" s="36">
        <f ca="1">IF(OR(tb1_supporters[[#This Row],[Date_of_Birth]]="",tb1_supporters[[#This Row],[Date_of_Birth]]&gt;TODAY()),"",DATEDIF(tb1_supporters[[#This Row],[Date_of_Birth]],TODAY(),"Y"))</f>
        <v>59</v>
      </c>
      <c r="J4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9" s="2" t="s">
        <v>493</v>
      </c>
      <c r="L49" s="2" t="s">
        <v>150</v>
      </c>
      <c r="M49" s="2" t="s">
        <v>151</v>
      </c>
      <c r="N49" s="2" t="s">
        <v>4869</v>
      </c>
      <c r="O49" s="2" t="s">
        <v>242</v>
      </c>
      <c r="P49" s="2" t="s">
        <v>49</v>
      </c>
      <c r="Q49" s="2" t="s">
        <v>4888</v>
      </c>
      <c r="R49" s="15">
        <v>45099</v>
      </c>
      <c r="S49" s="2" t="s">
        <v>93</v>
      </c>
      <c r="T49" s="2" t="s">
        <v>37</v>
      </c>
      <c r="U49" s="2" t="s">
        <v>36</v>
      </c>
      <c r="V49" s="2" t="s">
        <v>37</v>
      </c>
      <c r="W49" s="4" t="s">
        <v>36</v>
      </c>
      <c r="X4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9" s="2" t="str">
        <f>IF(ISNUMBER(SEARCH("onal",tb1_supporters[[#This Row],[Phone_Clean]])),"Review - corrupt phone number", IF(LEN(tb1_supporters[[#This Row],[Phone_Clean]])&gt;11,"Review - too many digits",""))</f>
        <v/>
      </c>
      <c r="Z4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9" s="2" t="str">
        <f>IF(tb1_supporters[[#This Row],[Email]]="","",IF(COUNTIF(tb1_supporters[Email],tb1_supporters[[#This Row],[Email]])&gt;1,"Review - duplicate record, see Supporter_Duplicates tab",""))</f>
        <v/>
      </c>
      <c r="AB49" s="21" t="str">
        <f>IF(tb1_supporters[[#This Row],[Communication_Preference]]="Do Not Contact","DO NOT CONTACT","")</f>
        <v/>
      </c>
      <c r="AE49"/>
    </row>
    <row r="50" spans="1:31" x14ac:dyDescent="0.25">
      <c r="A50" s="3" t="s">
        <v>495</v>
      </c>
      <c r="B50" s="2" t="s">
        <v>4866</v>
      </c>
      <c r="C50" s="2" t="s">
        <v>382</v>
      </c>
      <c r="D50" s="2" t="s">
        <v>496</v>
      </c>
      <c r="E50" s="2" t="s">
        <v>497</v>
      </c>
      <c r="F50" s="2" t="s">
        <v>498</v>
      </c>
      <c r="G50" s="2" t="str">
        <f>TRIM(SUBSTITUTE(SUBSTITUTE(SUBSTITUTE(SUBSTITUTE(tb1_supporters[[#This Row],[Phone_Raw]],"(",""),")","")," ",""),"+44",))</f>
        <v>07810406129</v>
      </c>
      <c r="H50" s="15">
        <v>19521</v>
      </c>
      <c r="I50" s="36">
        <f ca="1">IF(OR(tb1_supporters[[#This Row],[Date_of_Birth]]="",tb1_supporters[[#This Row],[Date_of_Birth]]&gt;TODAY()),"",DATEDIF(tb1_supporters[[#This Row],[Date_of_Birth]],TODAY(),"Y"))</f>
        <v>72</v>
      </c>
      <c r="J5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50" s="2" t="s">
        <v>500</v>
      </c>
      <c r="L50" s="2" t="s">
        <v>163</v>
      </c>
      <c r="M50" s="2" t="s">
        <v>164</v>
      </c>
      <c r="N50" s="2" t="s">
        <v>165</v>
      </c>
      <c r="O50" s="2" t="s">
        <v>242</v>
      </c>
      <c r="P50" s="2" t="s">
        <v>181</v>
      </c>
      <c r="Q50" s="2" t="s">
        <v>141</v>
      </c>
      <c r="R50" s="15">
        <v>44569</v>
      </c>
      <c r="S50" s="2" t="s">
        <v>4</v>
      </c>
      <c r="T50" s="2" t="s">
        <v>36</v>
      </c>
      <c r="U50" s="2" t="s">
        <v>36</v>
      </c>
      <c r="V50" s="2" t="s">
        <v>36</v>
      </c>
      <c r="W50" s="4" t="s">
        <v>36</v>
      </c>
      <c r="X5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0" s="2" t="str">
        <f>IF(ISNUMBER(SEARCH("onal",tb1_supporters[[#This Row],[Phone_Clean]])),"Review - corrupt phone number", IF(LEN(tb1_supporters[[#This Row],[Phone_Clean]])&gt;11,"Review - too many digits",""))</f>
        <v/>
      </c>
      <c r="Z5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0" s="2" t="str">
        <f>IF(tb1_supporters[[#This Row],[Email]]="","",IF(COUNTIF(tb1_supporters[Email],tb1_supporters[[#This Row],[Email]])&gt;1,"Review - duplicate record, see Supporter_Duplicates tab",""))</f>
        <v/>
      </c>
      <c r="AB50" s="21" t="str">
        <f>IF(tb1_supporters[[#This Row],[Communication_Preference]]="Do Not Contact","DO NOT CONTACT","")</f>
        <v/>
      </c>
      <c r="AE50"/>
    </row>
    <row r="51" spans="1:31" x14ac:dyDescent="0.25">
      <c r="A51" s="3" t="s">
        <v>502</v>
      </c>
      <c r="B51" s="2" t="s">
        <v>69</v>
      </c>
      <c r="C51" s="2" t="s">
        <v>503</v>
      </c>
      <c r="D51" s="2" t="s">
        <v>504</v>
      </c>
      <c r="E51" s="2" t="s">
        <v>505</v>
      </c>
      <c r="F51" s="2" t="s">
        <v>506</v>
      </c>
      <c r="G51" s="2" t="str">
        <f>TRIM(SUBSTITUTE(SUBSTITUTE(SUBSTITUTE(SUBSTITUTE(tb1_supporters[[#This Row],[Phone_Raw]],"(",""),")","")," ",""),"+44",))</f>
        <v>0202464804</v>
      </c>
      <c r="H51" s="15">
        <v>31334</v>
      </c>
      <c r="I51" s="36">
        <f ca="1">IF(OR(tb1_supporters[[#This Row],[Date_of_Birth]]="",tb1_supporters[[#This Row],[Date_of_Birth]]&gt;TODAY()),"",DATEDIF(tb1_supporters[[#This Row],[Date_of_Birth]],TODAY(),"Y"))</f>
        <v>40</v>
      </c>
      <c r="J5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51" s="2" t="s">
        <v>508</v>
      </c>
      <c r="L51" s="2" t="s">
        <v>509</v>
      </c>
      <c r="M51" s="2" t="s">
        <v>510</v>
      </c>
      <c r="N51" s="2" t="s">
        <v>511</v>
      </c>
      <c r="O51" s="2" t="s">
        <v>166</v>
      </c>
      <c r="P51" s="2" t="s">
        <v>91</v>
      </c>
      <c r="Q51" s="2" t="s">
        <v>66</v>
      </c>
      <c r="R51" s="15">
        <v>44146</v>
      </c>
      <c r="S51" s="2" t="s">
        <v>93</v>
      </c>
      <c r="T51" s="2" t="s">
        <v>36</v>
      </c>
      <c r="U51" s="2" t="s">
        <v>36</v>
      </c>
      <c r="V51" s="2" t="s">
        <v>36</v>
      </c>
      <c r="W51" s="4" t="s">
        <v>37</v>
      </c>
      <c r="X5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1" s="2" t="str">
        <f>IF(ISNUMBER(SEARCH("onal",tb1_supporters[[#This Row],[Phone_Clean]])),"Review - corrupt phone number", IF(LEN(tb1_supporters[[#This Row],[Phone_Clean]])&gt;11,"Review - too many digits",""))</f>
        <v/>
      </c>
      <c r="Z5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1" s="2" t="str">
        <f>IF(tb1_supporters[[#This Row],[Email]]="","",IF(COUNTIF(tb1_supporters[Email],tb1_supporters[[#This Row],[Email]])&gt;1,"Review - duplicate record, see Supporter_Duplicates tab",""))</f>
        <v/>
      </c>
      <c r="AB51" s="21" t="str">
        <f>IF(tb1_supporters[[#This Row],[Communication_Preference]]="Do Not Contact","DO NOT CONTACT","")</f>
        <v/>
      </c>
      <c r="AE51"/>
    </row>
    <row r="52" spans="1:31" x14ac:dyDescent="0.25">
      <c r="A52" s="3" t="s">
        <v>513</v>
      </c>
      <c r="B52" s="2" t="s">
        <v>4866</v>
      </c>
      <c r="C52" s="2" t="s">
        <v>514</v>
      </c>
      <c r="D52" s="2" t="s">
        <v>473</v>
      </c>
      <c r="E52" s="2" t="s">
        <v>515</v>
      </c>
      <c r="F52" s="2" t="s">
        <v>516</v>
      </c>
      <c r="G52" s="2" t="str">
        <f>TRIM(SUBSTITUTE(SUBSTITUTE(SUBSTITUTE(SUBSTITUTE(tb1_supporters[[#This Row],[Phone_Raw]],"(",""),")","")," ",""),"+44",))</f>
        <v>01912094886</v>
      </c>
      <c r="H52" s="15">
        <v>27921</v>
      </c>
      <c r="I52" s="36">
        <f ca="1">IF(OR(tb1_supporters[[#This Row],[Date_of_Birth]]="",tb1_supporters[[#This Row],[Date_of_Birth]]&gt;TODAY()),"",DATEDIF(tb1_supporters[[#This Row],[Date_of_Birth]],TODAY(),"Y"))</f>
        <v>49</v>
      </c>
      <c r="J5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52" s="2" t="s">
        <v>518</v>
      </c>
      <c r="L52" s="2" t="s">
        <v>397</v>
      </c>
      <c r="M52" s="2" t="s">
        <v>220</v>
      </c>
      <c r="N52" s="2" t="s">
        <v>398</v>
      </c>
      <c r="O52" s="2" t="s">
        <v>166</v>
      </c>
      <c r="P52" s="2" t="s">
        <v>49</v>
      </c>
      <c r="Q52" s="2" t="s">
        <v>50</v>
      </c>
      <c r="R52" s="15">
        <v>44312</v>
      </c>
      <c r="S52" s="2" t="s">
        <v>5</v>
      </c>
      <c r="T52" s="2" t="s">
        <v>36</v>
      </c>
      <c r="U52" s="2" t="s">
        <v>36</v>
      </c>
      <c r="V52" s="2" t="s">
        <v>37</v>
      </c>
      <c r="W52" s="4" t="s">
        <v>37</v>
      </c>
      <c r="X5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52" s="2" t="str">
        <f>IF(ISNUMBER(SEARCH("onal",tb1_supporters[[#This Row],[Phone_Clean]])),"Review - corrupt phone number", IF(LEN(tb1_supporters[[#This Row],[Phone_Clean]])&gt;11,"Review - too many digits",""))</f>
        <v/>
      </c>
      <c r="Z5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2" s="2" t="str">
        <f>IF(tb1_supporters[[#This Row],[Email]]="","",IF(COUNTIF(tb1_supporters[Email],tb1_supporters[[#This Row],[Email]])&gt;1,"Review - duplicate record, see Supporter_Duplicates tab",""))</f>
        <v/>
      </c>
      <c r="AB52" s="21" t="str">
        <f>IF(tb1_supporters[[#This Row],[Communication_Preference]]="Do Not Contact","DO NOT CONTACT","")</f>
        <v/>
      </c>
      <c r="AE52"/>
    </row>
    <row r="53" spans="1:31" x14ac:dyDescent="0.25">
      <c r="A53" s="3" t="s">
        <v>520</v>
      </c>
      <c r="B53" s="2" t="s">
        <v>54</v>
      </c>
      <c r="C53" s="2" t="s">
        <v>503</v>
      </c>
      <c r="D53" s="2" t="s">
        <v>258</v>
      </c>
      <c r="E53" s="2" t="s">
        <v>521</v>
      </c>
      <c r="F53" s="2" t="s">
        <v>522</v>
      </c>
      <c r="G53" s="2" t="str">
        <f>TRIM(SUBSTITUTE(SUBSTITUTE(SUBSTITUTE(SUBSTITUTE(tb1_supporters[[#This Row],[Phone_Raw]],"(",""),")","")," ",""),"+44",))</f>
        <v>7921460324</v>
      </c>
      <c r="H53" s="15">
        <v>19718</v>
      </c>
      <c r="I53" s="36">
        <f ca="1">IF(OR(tb1_supporters[[#This Row],[Date_of_Birth]]="",tb1_supporters[[#This Row],[Date_of_Birth]]&gt;TODAY()),"",DATEDIF(tb1_supporters[[#This Row],[Date_of_Birth]],TODAY(),"Y"))</f>
        <v>72</v>
      </c>
      <c r="J5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53" s="2" t="s">
        <v>524</v>
      </c>
      <c r="L53" s="2" t="s">
        <v>419</v>
      </c>
      <c r="M53" s="2" t="s">
        <v>420</v>
      </c>
      <c r="N53" s="2" t="s">
        <v>421</v>
      </c>
      <c r="O53" s="2" t="s">
        <v>166</v>
      </c>
      <c r="P53" s="2" t="s">
        <v>91</v>
      </c>
      <c r="Q53" s="2" t="s">
        <v>4888</v>
      </c>
      <c r="R53" s="15">
        <v>43661</v>
      </c>
      <c r="S53" s="2" t="s">
        <v>4</v>
      </c>
      <c r="T53" s="2" t="s">
        <v>36</v>
      </c>
      <c r="U53" s="2" t="s">
        <v>36</v>
      </c>
      <c r="V53" s="2" t="s">
        <v>36</v>
      </c>
      <c r="W53" s="4" t="s">
        <v>37</v>
      </c>
      <c r="X5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3" s="2" t="str">
        <f>IF(ISNUMBER(SEARCH("onal",tb1_supporters[[#This Row],[Phone_Clean]])),"Review - corrupt phone number", IF(LEN(tb1_supporters[[#This Row],[Phone_Clean]])&gt;11,"Review - too many digits",""))</f>
        <v/>
      </c>
      <c r="Z5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3" s="2" t="str">
        <f>IF(tb1_supporters[[#This Row],[Email]]="","",IF(COUNTIF(tb1_supporters[Email],tb1_supporters[[#This Row],[Email]])&gt;1,"Review - duplicate record, see Supporter_Duplicates tab",""))</f>
        <v/>
      </c>
      <c r="AB53" s="21" t="str">
        <f>IF(tb1_supporters[[#This Row],[Communication_Preference]]="Do Not Contact","DO NOT CONTACT","")</f>
        <v/>
      </c>
      <c r="AE53"/>
    </row>
    <row r="54" spans="1:31" x14ac:dyDescent="0.25">
      <c r="A54" s="3" t="s">
        <v>526</v>
      </c>
      <c r="B54" s="2" t="s">
        <v>402</v>
      </c>
      <c r="C54" s="2" t="s">
        <v>95</v>
      </c>
      <c r="D54" s="2" t="s">
        <v>225</v>
      </c>
      <c r="E54" s="2" t="s">
        <v>527</v>
      </c>
      <c r="F54" s="2" t="s">
        <v>528</v>
      </c>
      <c r="G54" s="2" t="str">
        <f>TRIM(SUBSTITUTE(SUBSTITUTE(SUBSTITUTE(SUBSTITUTE(tb1_supporters[[#This Row],[Phone_Raw]],"(",""),")","")," ",""),"+44",))</f>
        <v>7613379950</v>
      </c>
      <c r="H54" s="15">
        <v>15561</v>
      </c>
      <c r="I54" s="36">
        <f ca="1">IF(OR(tb1_supporters[[#This Row],[Date_of_Birth]]="",tb1_supporters[[#This Row],[Date_of_Birth]]&gt;TODAY()),"",DATEDIF(tb1_supporters[[#This Row],[Date_of_Birth]],TODAY(),"Y"))</f>
        <v>83</v>
      </c>
      <c r="J5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54" s="2" t="s">
        <v>530</v>
      </c>
      <c r="L54" s="2" t="s">
        <v>531</v>
      </c>
      <c r="M54" s="2" t="s">
        <v>532</v>
      </c>
      <c r="N54" s="2" t="s">
        <v>533</v>
      </c>
      <c r="O54" s="2" t="s">
        <v>242</v>
      </c>
      <c r="P54" s="2" t="s">
        <v>153</v>
      </c>
      <c r="Q54" s="2" t="s">
        <v>243</v>
      </c>
      <c r="R54" s="15">
        <v>44309</v>
      </c>
      <c r="S54" s="2" t="s">
        <v>93</v>
      </c>
      <c r="T54" s="2" t="s">
        <v>36</v>
      </c>
      <c r="U54" s="2" t="s">
        <v>36</v>
      </c>
      <c r="V54" s="2" t="s">
        <v>37</v>
      </c>
      <c r="W54" s="4" t="s">
        <v>36</v>
      </c>
      <c r="X5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4" s="2" t="str">
        <f>IF(ISNUMBER(SEARCH("onal",tb1_supporters[[#This Row],[Phone_Clean]])),"Review - corrupt phone number", IF(LEN(tb1_supporters[[#This Row],[Phone_Clean]])&gt;11,"Review - too many digits",""))</f>
        <v/>
      </c>
      <c r="Z5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4" s="2" t="str">
        <f>IF(tb1_supporters[[#This Row],[Email]]="","",IF(COUNTIF(tb1_supporters[Email],tb1_supporters[[#This Row],[Email]])&gt;1,"Review - duplicate record, see Supporter_Duplicates tab",""))</f>
        <v/>
      </c>
      <c r="AB54" s="21" t="str">
        <f>IF(tb1_supporters[[#This Row],[Communication_Preference]]="Do Not Contact","DO NOT CONTACT","")</f>
        <v/>
      </c>
      <c r="AE54"/>
    </row>
    <row r="55" spans="1:31" x14ac:dyDescent="0.25">
      <c r="A55" s="3" t="s">
        <v>535</v>
      </c>
      <c r="B55" s="2" t="s">
        <v>4866</v>
      </c>
      <c r="C55" s="2" t="s">
        <v>403</v>
      </c>
      <c r="D55" s="2" t="s">
        <v>536</v>
      </c>
      <c r="E55" s="2" t="s">
        <v>537</v>
      </c>
      <c r="F55" s="2" t="s">
        <v>538</v>
      </c>
      <c r="G55" s="2" t="str">
        <f>TRIM(SUBSTITUTE(SUBSTITUTE(SUBSTITUTE(SUBSTITUTE(tb1_supporters[[#This Row],[Phone_Raw]],"(",""),")","")," ",""),"+44",))</f>
        <v>07370649226</v>
      </c>
      <c r="H55" s="15"/>
      <c r="I55" s="36" t="str">
        <f ca="1">IF(OR(tb1_supporters[[#This Row],[Date_of_Birth]]="",tb1_supporters[[#This Row],[Date_of_Birth]]&gt;TODAY()),"",DATEDIF(tb1_supporters[[#This Row],[Date_of_Birth]],TODAY(),"Y"))</f>
        <v/>
      </c>
      <c r="J5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55" s="2" t="s">
        <v>539</v>
      </c>
      <c r="L55" s="2" t="s">
        <v>278</v>
      </c>
      <c r="M55" s="2" t="s">
        <v>279</v>
      </c>
      <c r="N55" s="2" t="s">
        <v>280</v>
      </c>
      <c r="O55" s="2" t="s">
        <v>242</v>
      </c>
      <c r="P55" s="2" t="s">
        <v>91</v>
      </c>
      <c r="Q55" s="2" t="s">
        <v>50</v>
      </c>
      <c r="R55" s="15">
        <v>44661</v>
      </c>
      <c r="S55" s="2" t="s">
        <v>52</v>
      </c>
      <c r="T55" s="2" t="s">
        <v>36</v>
      </c>
      <c r="U55" s="2" t="s">
        <v>36</v>
      </c>
      <c r="V55" s="2" t="s">
        <v>37</v>
      </c>
      <c r="W55" s="4" t="s">
        <v>36</v>
      </c>
      <c r="X5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5" s="2" t="str">
        <f>IF(ISNUMBER(SEARCH("onal",tb1_supporters[[#This Row],[Phone_Clean]])),"Review - corrupt phone number", IF(LEN(tb1_supporters[[#This Row],[Phone_Clean]])&gt;11,"Review - too many digits",""))</f>
        <v/>
      </c>
      <c r="Z5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55" s="2" t="str">
        <f>IF(tb1_supporters[[#This Row],[Email]]="","",IF(COUNTIF(tb1_supporters[Email],tb1_supporters[[#This Row],[Email]])&gt;1,"Review - duplicate record, see Supporter_Duplicates tab",""))</f>
        <v/>
      </c>
      <c r="AB55" s="21" t="str">
        <f>IF(tb1_supporters[[#This Row],[Communication_Preference]]="Do Not Contact","DO NOT CONTACT","")</f>
        <v/>
      </c>
      <c r="AE55"/>
    </row>
    <row r="56" spans="1:31" x14ac:dyDescent="0.25">
      <c r="A56" s="3" t="s">
        <v>541</v>
      </c>
      <c r="B56" s="2" t="s">
        <v>54</v>
      </c>
      <c r="C56" s="2" t="s">
        <v>185</v>
      </c>
      <c r="D56" s="2" t="s">
        <v>205</v>
      </c>
      <c r="E56" s="2" t="s">
        <v>542</v>
      </c>
      <c r="F56" s="2" t="s">
        <v>543</v>
      </c>
      <c r="G56" s="2" t="str">
        <f>TRIM(SUBSTITUTE(SUBSTITUTE(SUBSTITUTE(SUBSTITUTE(tb1_supporters[[#This Row],[Phone_Raw]],"(",""),")","")," ",""),"+44",))</f>
        <v>015229113290</v>
      </c>
      <c r="H56" s="15">
        <v>15615</v>
      </c>
      <c r="I56" s="36">
        <f ca="1">IF(OR(tb1_supporters[[#This Row],[Date_of_Birth]]="",tb1_supporters[[#This Row],[Date_of_Birth]]&gt;TODAY()),"",DATEDIF(tb1_supporters[[#This Row],[Date_of_Birth]],TODAY(),"Y"))</f>
        <v>83</v>
      </c>
      <c r="J5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56" s="2" t="s">
        <v>545</v>
      </c>
      <c r="L56" s="2" t="s">
        <v>76</v>
      </c>
      <c r="M56" s="2" t="s">
        <v>77</v>
      </c>
      <c r="N56" s="2" t="s">
        <v>1028</v>
      </c>
      <c r="O56" s="2" t="s">
        <v>166</v>
      </c>
      <c r="P56" s="2" t="s">
        <v>91</v>
      </c>
      <c r="Q56" s="2" t="s">
        <v>66</v>
      </c>
      <c r="R56" s="15">
        <v>43576</v>
      </c>
      <c r="S56" s="2" t="s">
        <v>52</v>
      </c>
      <c r="T56" s="2" t="s">
        <v>36</v>
      </c>
      <c r="U56" s="2" t="s">
        <v>36</v>
      </c>
      <c r="V56" s="2" t="s">
        <v>37</v>
      </c>
      <c r="W56" s="4" t="s">
        <v>36</v>
      </c>
      <c r="X5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6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5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6" s="2" t="str">
        <f>IF(tb1_supporters[[#This Row],[Email]]="","",IF(COUNTIF(tb1_supporters[Email],tb1_supporters[[#This Row],[Email]])&gt;1,"Review - duplicate record, see Supporter_Duplicates tab",""))</f>
        <v/>
      </c>
      <c r="AB56" s="21" t="str">
        <f>IF(tb1_supporters[[#This Row],[Communication_Preference]]="Do Not Contact","DO NOT CONTACT","")</f>
        <v/>
      </c>
      <c r="AE56"/>
    </row>
    <row r="57" spans="1:31" x14ac:dyDescent="0.25">
      <c r="A57" s="3" t="s">
        <v>547</v>
      </c>
      <c r="B57" s="2" t="s">
        <v>22</v>
      </c>
      <c r="C57" s="2" t="s">
        <v>548</v>
      </c>
      <c r="D57" s="2" t="s">
        <v>24</v>
      </c>
      <c r="E57" s="2" t="s">
        <v>549</v>
      </c>
      <c r="F57" s="2" t="s">
        <v>550</v>
      </c>
      <c r="G57" s="2" t="str">
        <f>TRIM(SUBSTITUTE(SUBSTITUTE(SUBSTITUTE(SUBSTITUTE(tb1_supporters[[#This Row],[Phone_Raw]],"(",""),")","")," ",""),"+44",))</f>
        <v>011290177686</v>
      </c>
      <c r="H57" s="15"/>
      <c r="I57" s="36" t="str">
        <f ca="1">IF(OR(tb1_supporters[[#This Row],[Date_of_Birth]]="",tb1_supporters[[#This Row],[Date_of_Birth]]&gt;TODAY()),"",DATEDIF(tb1_supporters[[#This Row],[Date_of_Birth]],TODAY(),"Y"))</f>
        <v/>
      </c>
      <c r="J5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57" s="2" t="s">
        <v>551</v>
      </c>
      <c r="L57" s="2" t="s">
        <v>531</v>
      </c>
      <c r="M57" s="2" t="s">
        <v>532</v>
      </c>
      <c r="N57" s="2" t="s">
        <v>533</v>
      </c>
      <c r="O57" s="2" t="s">
        <v>242</v>
      </c>
      <c r="P57" s="2" t="s">
        <v>49</v>
      </c>
      <c r="Q57" s="2" t="s">
        <v>154</v>
      </c>
      <c r="R57" s="15">
        <v>44917</v>
      </c>
      <c r="S57" s="2" t="s">
        <v>4</v>
      </c>
      <c r="T57" s="2" t="s">
        <v>36</v>
      </c>
      <c r="U57" s="2" t="s">
        <v>36</v>
      </c>
      <c r="V57" s="2" t="s">
        <v>36</v>
      </c>
      <c r="W57" s="4" t="s">
        <v>36</v>
      </c>
      <c r="X5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7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5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57" s="2" t="str">
        <f>IF(tb1_supporters[[#This Row],[Email]]="","",IF(COUNTIF(tb1_supporters[Email],tb1_supporters[[#This Row],[Email]])&gt;1,"Review - duplicate record, see Supporter_Duplicates tab",""))</f>
        <v/>
      </c>
      <c r="AB57" s="21" t="str">
        <f>IF(tb1_supporters[[#This Row],[Communication_Preference]]="Do Not Contact","DO NOT CONTACT","")</f>
        <v/>
      </c>
      <c r="AE57"/>
    </row>
    <row r="58" spans="1:31" x14ac:dyDescent="0.25">
      <c r="A58" s="3" t="s">
        <v>553</v>
      </c>
      <c r="B58" s="2" t="s">
        <v>54</v>
      </c>
      <c r="C58" s="2" t="s">
        <v>213</v>
      </c>
      <c r="D58" s="2" t="s">
        <v>554</v>
      </c>
      <c r="E58" s="2" t="s">
        <v>4869</v>
      </c>
      <c r="F58" s="2" t="s">
        <v>555</v>
      </c>
      <c r="G58" s="2" t="str">
        <f>TRIM(SUBSTITUTE(SUBSTITUTE(SUBSTITUTE(SUBSTITUTE(tb1_supporters[[#This Row],[Phone_Raw]],"(",""),")","")," ",""),"+44",))</f>
        <v>012713491828</v>
      </c>
      <c r="H58" s="15">
        <v>35297</v>
      </c>
      <c r="I58" s="36">
        <f ca="1">IF(OR(tb1_supporters[[#This Row],[Date_of_Birth]]="",tb1_supporters[[#This Row],[Date_of_Birth]]&gt;TODAY()),"",DATEDIF(tb1_supporters[[#This Row],[Date_of_Birth]],TODAY(),"Y"))</f>
        <v>29</v>
      </c>
      <c r="J5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58" s="2" t="s">
        <v>557</v>
      </c>
      <c r="L58" s="2" t="s">
        <v>138</v>
      </c>
      <c r="M58" s="2" t="s">
        <v>139</v>
      </c>
      <c r="N58" s="2" t="s">
        <v>140</v>
      </c>
      <c r="O58" s="2" t="s">
        <v>166</v>
      </c>
      <c r="P58" s="2" t="s">
        <v>33</v>
      </c>
      <c r="Q58" s="2" t="s">
        <v>154</v>
      </c>
      <c r="R58" s="15">
        <v>45413</v>
      </c>
      <c r="S58" s="2" t="s">
        <v>4</v>
      </c>
      <c r="T58" s="2" t="s">
        <v>36</v>
      </c>
      <c r="U58" s="2" t="s">
        <v>36</v>
      </c>
      <c r="V58" s="2" t="s">
        <v>37</v>
      </c>
      <c r="W58" s="4" t="s">
        <v>36</v>
      </c>
      <c r="X5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5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8" s="2" t="str">
        <f>IF(tb1_supporters[[#This Row],[Email]]="","",IF(COUNTIF(tb1_supporters[Email],tb1_supporters[[#This Row],[Email]])&gt;1,"Review - duplicate record, see Supporter_Duplicates tab",""))</f>
        <v/>
      </c>
      <c r="AB58" s="21" t="str">
        <f>IF(tb1_supporters[[#This Row],[Communication_Preference]]="Do Not Contact","DO NOT CONTACT","")</f>
        <v/>
      </c>
      <c r="AE58"/>
    </row>
    <row r="59" spans="1:31" x14ac:dyDescent="0.25">
      <c r="A59" s="3" t="s">
        <v>559</v>
      </c>
      <c r="B59" s="2" t="s">
        <v>69</v>
      </c>
      <c r="C59" s="2" t="s">
        <v>424</v>
      </c>
      <c r="D59" s="2" t="s">
        <v>375</v>
      </c>
      <c r="E59" s="2" t="s">
        <v>560</v>
      </c>
      <c r="F59" s="2" t="s">
        <v>561</v>
      </c>
      <c r="G59" s="2" t="str">
        <f>TRIM(SUBSTITUTE(SUBSTITUTE(SUBSTITUTE(SUBSTITUTE(tb1_supporters[[#This Row],[Phone_Raw]],"(",""),")","")," ",""),"+44",))</f>
        <v>7356917278</v>
      </c>
      <c r="H59" s="15">
        <v>19073</v>
      </c>
      <c r="I59" s="36">
        <f ca="1">IF(OR(tb1_supporters[[#This Row],[Date_of_Birth]]="",tb1_supporters[[#This Row],[Date_of_Birth]]&gt;TODAY()),"",DATEDIF(tb1_supporters[[#This Row],[Date_of_Birth]],TODAY(),"Y"))</f>
        <v>74</v>
      </c>
      <c r="J5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59" s="2" t="s">
        <v>563</v>
      </c>
      <c r="L59" s="2" t="s">
        <v>177</v>
      </c>
      <c r="M59" s="2" t="s">
        <v>178</v>
      </c>
      <c r="N59" s="2" t="s">
        <v>179</v>
      </c>
      <c r="O59" s="2" t="s">
        <v>166</v>
      </c>
      <c r="P59" s="2" t="s">
        <v>181</v>
      </c>
      <c r="Q59" s="2" t="s">
        <v>154</v>
      </c>
      <c r="R59" s="15">
        <v>43134</v>
      </c>
      <c r="S59" s="2" t="s">
        <v>4</v>
      </c>
      <c r="T59" s="2" t="s">
        <v>36</v>
      </c>
      <c r="U59" s="2" t="s">
        <v>36</v>
      </c>
      <c r="V59" s="2" t="s">
        <v>37</v>
      </c>
      <c r="W59" s="4" t="s">
        <v>37</v>
      </c>
      <c r="X5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9" s="2" t="str">
        <f>IF(ISNUMBER(SEARCH("onal",tb1_supporters[[#This Row],[Phone_Clean]])),"Review - corrupt phone number", IF(LEN(tb1_supporters[[#This Row],[Phone_Clean]])&gt;11,"Review - too many digits",""))</f>
        <v/>
      </c>
      <c r="Z5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9" s="2" t="str">
        <f>IF(tb1_supporters[[#This Row],[Email]]="","",IF(COUNTIF(tb1_supporters[Email],tb1_supporters[[#This Row],[Email]])&gt;1,"Review - duplicate record, see Supporter_Duplicates tab",""))</f>
        <v/>
      </c>
      <c r="AB59" s="21" t="str">
        <f>IF(tb1_supporters[[#This Row],[Communication_Preference]]="Do Not Contact","DO NOT CONTACT","")</f>
        <v/>
      </c>
      <c r="AE59"/>
    </row>
    <row r="60" spans="1:31" x14ac:dyDescent="0.25">
      <c r="A60" s="3" t="s">
        <v>565</v>
      </c>
      <c r="B60" s="2" t="s">
        <v>4866</v>
      </c>
      <c r="C60" s="2" t="s">
        <v>566</v>
      </c>
      <c r="D60" s="2" t="s">
        <v>237</v>
      </c>
      <c r="E60" s="2" t="s">
        <v>567</v>
      </c>
      <c r="F60" s="2" t="s">
        <v>568</v>
      </c>
      <c r="G60" s="2" t="str">
        <f>TRIM(SUBSTITUTE(SUBSTITUTE(SUBSTITUTE(SUBSTITUTE(tb1_supporters[[#This Row],[Phone_Raw]],"(",""),")","")," ",""),"+44",))</f>
        <v>07625707211</v>
      </c>
      <c r="H60" s="15">
        <v>19474</v>
      </c>
      <c r="I60" s="36">
        <f ca="1">IF(OR(tb1_supporters[[#This Row],[Date_of_Birth]]="",tb1_supporters[[#This Row],[Date_of_Birth]]&gt;TODAY()),"",DATEDIF(tb1_supporters[[#This Row],[Date_of_Birth]],TODAY(),"Y"))</f>
        <v>73</v>
      </c>
      <c r="J6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60" s="2" t="s">
        <v>570</v>
      </c>
      <c r="L60" s="2" t="s">
        <v>100</v>
      </c>
      <c r="M60" s="2" t="s">
        <v>101</v>
      </c>
      <c r="N60" s="2" t="s">
        <v>343</v>
      </c>
      <c r="O60" s="2" t="s">
        <v>166</v>
      </c>
      <c r="P60" s="2" t="s">
        <v>33</v>
      </c>
      <c r="Q60" s="2" t="s">
        <v>50</v>
      </c>
      <c r="R60" s="15">
        <v>43278</v>
      </c>
      <c r="S60" s="2" t="s">
        <v>4</v>
      </c>
      <c r="T60" s="2" t="s">
        <v>37</v>
      </c>
      <c r="U60" s="2" t="s">
        <v>36</v>
      </c>
      <c r="V60" s="2" t="s">
        <v>37</v>
      </c>
      <c r="W60" s="4" t="s">
        <v>36</v>
      </c>
      <c r="X6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60" s="2" t="str">
        <f>IF(ISNUMBER(SEARCH("onal",tb1_supporters[[#This Row],[Phone_Clean]])),"Review - corrupt phone number", IF(LEN(tb1_supporters[[#This Row],[Phone_Clean]])&gt;11,"Review - too many digits",""))</f>
        <v/>
      </c>
      <c r="Z6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60" s="2" t="str">
        <f>IF(tb1_supporters[[#This Row],[Email]]="","",IF(COUNTIF(tb1_supporters[Email],tb1_supporters[[#This Row],[Email]])&gt;1,"Review - duplicate record, see Supporter_Duplicates tab",""))</f>
        <v/>
      </c>
      <c r="AB60" s="21" t="str">
        <f>IF(tb1_supporters[[#This Row],[Communication_Preference]]="Do Not Contact","DO NOT CONTACT","")</f>
        <v/>
      </c>
      <c r="AE60"/>
    </row>
    <row r="61" spans="1:31" x14ac:dyDescent="0.25">
      <c r="A61" s="3" t="s">
        <v>572</v>
      </c>
      <c r="B61" s="2" t="s">
        <v>4866</v>
      </c>
      <c r="C61" s="2" t="s">
        <v>573</v>
      </c>
      <c r="D61" s="2" t="s">
        <v>574</v>
      </c>
      <c r="E61" s="2" t="s">
        <v>575</v>
      </c>
      <c r="F61" s="2" t="s">
        <v>576</v>
      </c>
      <c r="G61" s="2" t="str">
        <f>TRIM(SUBSTITUTE(SUBSTITUTE(SUBSTITUTE(SUBSTITUTE(tb1_supporters[[#This Row],[Phone_Raw]],"(",""),")","")," ",""),"+44",))</f>
        <v>7251167229</v>
      </c>
      <c r="H61" s="15">
        <v>20587</v>
      </c>
      <c r="I61" s="36">
        <f ca="1">IF(OR(tb1_supporters[[#This Row],[Date_of_Birth]]="",tb1_supporters[[#This Row],[Date_of_Birth]]&gt;TODAY()),"",DATEDIF(tb1_supporters[[#This Row],[Date_of_Birth]],TODAY(),"Y"))</f>
        <v>70</v>
      </c>
      <c r="J6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61" s="2" t="s">
        <v>578</v>
      </c>
      <c r="L61" s="2" t="s">
        <v>408</v>
      </c>
      <c r="M61" s="2" t="s">
        <v>409</v>
      </c>
      <c r="N61" s="2" t="s">
        <v>410</v>
      </c>
      <c r="O61" s="2" t="s">
        <v>242</v>
      </c>
      <c r="P61" s="2" t="s">
        <v>4887</v>
      </c>
      <c r="Q61" s="2" t="s">
        <v>50</v>
      </c>
      <c r="R61" s="15">
        <v>45274</v>
      </c>
      <c r="S61" s="2" t="s">
        <v>52</v>
      </c>
      <c r="T61" s="2" t="s">
        <v>36</v>
      </c>
      <c r="U61" s="2" t="s">
        <v>36</v>
      </c>
      <c r="V61" s="2" t="s">
        <v>37</v>
      </c>
      <c r="W61" s="4" t="s">
        <v>37</v>
      </c>
      <c r="X6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61" s="2" t="str">
        <f>IF(ISNUMBER(SEARCH("onal",tb1_supporters[[#This Row],[Phone_Clean]])),"Review - corrupt phone number", IF(LEN(tb1_supporters[[#This Row],[Phone_Clean]])&gt;11,"Review - too many digits",""))</f>
        <v/>
      </c>
      <c r="Z6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61" s="2" t="str">
        <f>IF(tb1_supporters[[#This Row],[Email]]="","",IF(COUNTIF(tb1_supporters[Email],tb1_supporters[[#This Row],[Email]])&gt;1,"Review - duplicate record, see Supporter_Duplicates tab",""))</f>
        <v/>
      </c>
      <c r="AB61" s="21" t="str">
        <f>IF(tb1_supporters[[#This Row],[Communication_Preference]]="Do Not Contact","DO NOT CONTACT","")</f>
        <v/>
      </c>
      <c r="AE61"/>
    </row>
    <row r="62" spans="1:31" x14ac:dyDescent="0.25">
      <c r="A62" s="3" t="s">
        <v>580</v>
      </c>
      <c r="B62" s="2" t="s">
        <v>54</v>
      </c>
      <c r="C62" s="2" t="s">
        <v>459</v>
      </c>
      <c r="D62" s="2" t="s">
        <v>266</v>
      </c>
      <c r="E62" s="2" t="s">
        <v>581</v>
      </c>
      <c r="F62" s="2" t="s">
        <v>582</v>
      </c>
      <c r="G62" s="2" t="str">
        <f>TRIM(SUBSTITUTE(SUBSTITUTE(SUBSTITUTE(SUBSTITUTE(tb1_supporters[[#This Row],[Phone_Raw]],"(",""),")","")," ",""),"+44",))</f>
        <v>01515236553</v>
      </c>
      <c r="H62" s="15">
        <v>17585</v>
      </c>
      <c r="I62" s="36">
        <f ca="1">IF(OR(tb1_supporters[[#This Row],[Date_of_Birth]]="",tb1_supporters[[#This Row],[Date_of_Birth]]&gt;TODAY()),"",DATEDIF(tb1_supporters[[#This Row],[Date_of_Birth]],TODAY(),"Y"))</f>
        <v>78</v>
      </c>
      <c r="J6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62" s="2" t="s">
        <v>584</v>
      </c>
      <c r="L62" s="2" t="s">
        <v>585</v>
      </c>
      <c r="M62" s="2" t="s">
        <v>586</v>
      </c>
      <c r="N62" s="2" t="s">
        <v>587</v>
      </c>
      <c r="O62" s="2" t="s">
        <v>166</v>
      </c>
      <c r="P62" s="2" t="s">
        <v>4887</v>
      </c>
      <c r="Q62" s="2" t="s">
        <v>66</v>
      </c>
      <c r="R62" s="15">
        <v>43490</v>
      </c>
      <c r="S62" s="2" t="s">
        <v>5</v>
      </c>
      <c r="T62" s="2" t="s">
        <v>36</v>
      </c>
      <c r="U62" s="2" t="s">
        <v>36</v>
      </c>
      <c r="V62" s="2" t="s">
        <v>36</v>
      </c>
      <c r="W62" s="4" t="s">
        <v>37</v>
      </c>
      <c r="X6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62" s="2" t="str">
        <f>IF(ISNUMBER(SEARCH("onal",tb1_supporters[[#This Row],[Phone_Clean]])),"Review - corrupt phone number", IF(LEN(tb1_supporters[[#This Row],[Phone_Clean]])&gt;11,"Review - too many digits",""))</f>
        <v/>
      </c>
      <c r="Z6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62" s="2" t="str">
        <f>IF(tb1_supporters[[#This Row],[Email]]="","",IF(COUNTIF(tb1_supporters[Email],tb1_supporters[[#This Row],[Email]])&gt;1,"Review - duplicate record, see Supporter_Duplicates tab",""))</f>
        <v/>
      </c>
      <c r="AB62" s="21" t="str">
        <f>IF(tb1_supporters[[#This Row],[Communication_Preference]]="Do Not Contact","DO NOT CONTACT","")</f>
        <v/>
      </c>
      <c r="AE62"/>
    </row>
    <row r="63" spans="1:31" x14ac:dyDescent="0.25">
      <c r="A63" s="3" t="s">
        <v>589</v>
      </c>
      <c r="B63" s="2" t="s">
        <v>4866</v>
      </c>
      <c r="C63" s="2" t="s">
        <v>590</v>
      </c>
      <c r="D63" s="2" t="s">
        <v>133</v>
      </c>
      <c r="E63" s="2" t="s">
        <v>591</v>
      </c>
      <c r="F63" s="2" t="s">
        <v>592</v>
      </c>
      <c r="G63" s="2" t="str">
        <f>TRIM(SUBSTITUTE(SUBSTITUTE(SUBSTITUTE(SUBSTITUTE(tb1_supporters[[#This Row],[Phone_Raw]],"(",""),")","")," ",""),"+44",))</f>
        <v>07669161700</v>
      </c>
      <c r="H63" s="15">
        <v>24442</v>
      </c>
      <c r="I63" s="36">
        <f ca="1">IF(OR(tb1_supporters[[#This Row],[Date_of_Birth]]="",tb1_supporters[[#This Row],[Date_of_Birth]]&gt;TODAY()),"",DATEDIF(tb1_supporters[[#This Row],[Date_of_Birth]],TODAY(),"Y"))</f>
        <v>59</v>
      </c>
      <c r="J6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63" s="2" t="s">
        <v>594</v>
      </c>
      <c r="L63" s="2" t="s">
        <v>509</v>
      </c>
      <c r="M63" s="2" t="s">
        <v>510</v>
      </c>
      <c r="N63" s="2" t="s">
        <v>511</v>
      </c>
      <c r="O63" s="2" t="s">
        <v>242</v>
      </c>
      <c r="P63" s="2" t="s">
        <v>65</v>
      </c>
      <c r="Q63" s="2" t="s">
        <v>66</v>
      </c>
      <c r="R63" s="15">
        <v>44549</v>
      </c>
      <c r="S63" s="2" t="s">
        <v>5</v>
      </c>
      <c r="T63" s="2" t="s">
        <v>36</v>
      </c>
      <c r="U63" s="2" t="s">
        <v>36</v>
      </c>
      <c r="V63" s="2" t="s">
        <v>36</v>
      </c>
      <c r="W63" s="4" t="s">
        <v>37</v>
      </c>
      <c r="X6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63" s="2" t="str">
        <f>IF(ISNUMBER(SEARCH("onal",tb1_supporters[[#This Row],[Phone_Clean]])),"Review - corrupt phone number", IF(LEN(tb1_supporters[[#This Row],[Phone_Clean]])&gt;11,"Review - too many digits",""))</f>
        <v/>
      </c>
      <c r="Z6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63" s="2" t="str">
        <f>IF(tb1_supporters[[#This Row],[Email]]="","",IF(COUNTIF(tb1_supporters[Email],tb1_supporters[[#This Row],[Email]])&gt;1,"Review - duplicate record, see Supporter_Duplicates tab",""))</f>
        <v/>
      </c>
      <c r="AB63" s="21" t="str">
        <f>IF(tb1_supporters[[#This Row],[Communication_Preference]]="Do Not Contact","DO NOT CONTACT","")</f>
        <v/>
      </c>
      <c r="AE63"/>
    </row>
    <row r="64" spans="1:31" x14ac:dyDescent="0.25">
      <c r="A64" s="3" t="s">
        <v>596</v>
      </c>
      <c r="B64" s="2" t="s">
        <v>4866</v>
      </c>
      <c r="C64" s="2" t="s">
        <v>597</v>
      </c>
      <c r="D64" s="2" t="s">
        <v>96</v>
      </c>
      <c r="E64" s="2" t="s">
        <v>598</v>
      </c>
      <c r="F64" s="2" t="s">
        <v>599</v>
      </c>
      <c r="G64" s="2" t="str">
        <f>TRIM(SUBSTITUTE(SUBSTITUTE(SUBSTITUTE(SUBSTITUTE(tb1_supporters[[#This Row],[Phone_Raw]],"(",""),")","")," ",""),"+44",))</f>
        <v>7476217880</v>
      </c>
      <c r="H64" s="15">
        <v>29992</v>
      </c>
      <c r="I64" s="36">
        <f ca="1">IF(OR(tb1_supporters[[#This Row],[Date_of_Birth]]="",tb1_supporters[[#This Row],[Date_of_Birth]]&gt;TODAY()),"",DATEDIF(tb1_supporters[[#This Row],[Date_of_Birth]],TODAY(),"Y"))</f>
        <v>44</v>
      </c>
      <c r="J6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64" s="2" t="s">
        <v>601</v>
      </c>
      <c r="L64" s="2" t="s">
        <v>370</v>
      </c>
      <c r="M64" s="2" t="s">
        <v>371</v>
      </c>
      <c r="N64" s="2" t="s">
        <v>602</v>
      </c>
      <c r="O64" s="2" t="s">
        <v>166</v>
      </c>
      <c r="P64" s="2" t="s">
        <v>33</v>
      </c>
      <c r="Q64" s="2" t="s">
        <v>243</v>
      </c>
      <c r="R64" s="15">
        <v>44858</v>
      </c>
      <c r="S64" s="2" t="s">
        <v>4</v>
      </c>
      <c r="T64" s="2" t="s">
        <v>37</v>
      </c>
      <c r="U64" s="2" t="s">
        <v>37</v>
      </c>
      <c r="V64" s="2" t="s">
        <v>37</v>
      </c>
      <c r="W64" s="4" t="s">
        <v>37</v>
      </c>
      <c r="X6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64" s="2" t="str">
        <f>IF(ISNUMBER(SEARCH("onal",tb1_supporters[[#This Row],[Phone_Clean]])),"Review - corrupt phone number", IF(LEN(tb1_supporters[[#This Row],[Phone_Clean]])&gt;11,"Review - too many digits",""))</f>
        <v/>
      </c>
      <c r="Z6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64" s="2" t="str">
        <f>IF(tb1_supporters[[#This Row],[Email]]="","",IF(COUNTIF(tb1_supporters[Email],tb1_supporters[[#This Row],[Email]])&gt;1,"Review - duplicate record, see Supporter_Duplicates tab",""))</f>
        <v/>
      </c>
      <c r="AB64" s="21" t="str">
        <f>IF(tb1_supporters[[#This Row],[Communication_Preference]]="Do Not Contact","DO NOT CONTACT","")</f>
        <v/>
      </c>
      <c r="AE64"/>
    </row>
    <row r="65" spans="1:31" x14ac:dyDescent="0.25">
      <c r="A65" s="3" t="s">
        <v>604</v>
      </c>
      <c r="B65" s="2" t="s">
        <v>170</v>
      </c>
      <c r="C65" s="2" t="s">
        <v>548</v>
      </c>
      <c r="D65" s="2" t="s">
        <v>56</v>
      </c>
      <c r="E65" s="2" t="s">
        <v>605</v>
      </c>
      <c r="F65" s="2" t="s">
        <v>606</v>
      </c>
      <c r="G65" s="2" t="str">
        <f>TRIM(SUBSTITUTE(SUBSTITUTE(SUBSTITUTE(SUBSTITUTE(tb1_supporters[[#This Row],[Phone_Raw]],"(",""),")","")," ",""),"+44",))</f>
        <v>07106285990</v>
      </c>
      <c r="H65" s="15">
        <v>20824</v>
      </c>
      <c r="I65" s="36">
        <f ca="1">IF(OR(tb1_supporters[[#This Row],[Date_of_Birth]]="",tb1_supporters[[#This Row],[Date_of_Birth]]&gt;TODAY()),"",DATEDIF(tb1_supporters[[#This Row],[Date_of_Birth]],TODAY(),"Y"))</f>
        <v>69</v>
      </c>
      <c r="J6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65" s="2" t="s">
        <v>608</v>
      </c>
      <c r="L65" s="2" t="s">
        <v>609</v>
      </c>
      <c r="M65" s="2" t="s">
        <v>610</v>
      </c>
      <c r="N65" s="2" t="s">
        <v>611</v>
      </c>
      <c r="O65" s="2" t="s">
        <v>242</v>
      </c>
      <c r="P65" s="2" t="s">
        <v>65</v>
      </c>
      <c r="Q65" s="2" t="s">
        <v>154</v>
      </c>
      <c r="R65" s="15">
        <v>43226</v>
      </c>
      <c r="S65" s="2" t="s">
        <v>52</v>
      </c>
      <c r="T65" s="2" t="s">
        <v>36</v>
      </c>
      <c r="U65" s="2" t="s">
        <v>37</v>
      </c>
      <c r="V65" s="2" t="s">
        <v>36</v>
      </c>
      <c r="W65" s="4" t="s">
        <v>37</v>
      </c>
      <c r="X6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65" s="2" t="str">
        <f>IF(ISNUMBER(SEARCH("onal",tb1_supporters[[#This Row],[Phone_Clean]])),"Review - corrupt phone number", IF(LEN(tb1_supporters[[#This Row],[Phone_Clean]])&gt;11,"Review - too many digits",""))</f>
        <v/>
      </c>
      <c r="Z6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65" s="2" t="str">
        <f>IF(tb1_supporters[[#This Row],[Email]]="","",IF(COUNTIF(tb1_supporters[Email],tb1_supporters[[#This Row],[Email]])&gt;1,"Review - duplicate record, see Supporter_Duplicates tab",""))</f>
        <v/>
      </c>
      <c r="AB65" s="21" t="str">
        <f>IF(tb1_supporters[[#This Row],[Communication_Preference]]="Do Not Contact","DO NOT CONTACT","")</f>
        <v/>
      </c>
      <c r="AE65"/>
    </row>
    <row r="66" spans="1:31" x14ac:dyDescent="0.25">
      <c r="A66" s="3" t="s">
        <v>613</v>
      </c>
      <c r="B66" s="2" t="s">
        <v>402</v>
      </c>
      <c r="C66" s="2" t="s">
        <v>413</v>
      </c>
      <c r="D66" s="2" t="s">
        <v>614</v>
      </c>
      <c r="E66" s="2" t="s">
        <v>615</v>
      </c>
      <c r="F66" s="2" t="s">
        <v>616</v>
      </c>
      <c r="G66" s="2" t="str">
        <f>TRIM(SUBSTITUTE(SUBSTITUTE(SUBSTITUTE(SUBSTITUTE(tb1_supporters[[#This Row],[Phone_Raw]],"(",""),")","")," ",""),"+44",))</f>
        <v>07872732150</v>
      </c>
      <c r="H66" s="15">
        <v>27607</v>
      </c>
      <c r="I66" s="36">
        <f ca="1">IF(OR(tb1_supporters[[#This Row],[Date_of_Birth]]="",tb1_supporters[[#This Row],[Date_of_Birth]]&gt;TODAY()),"",DATEDIF(tb1_supporters[[#This Row],[Date_of_Birth]],TODAY(),"Y"))</f>
        <v>50</v>
      </c>
      <c r="J6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66" s="2" t="s">
        <v>618</v>
      </c>
      <c r="L66" s="2" t="s">
        <v>61</v>
      </c>
      <c r="M66" s="2" t="s">
        <v>62</v>
      </c>
      <c r="N66" s="2" t="s">
        <v>4869</v>
      </c>
      <c r="O66" s="2" t="s">
        <v>242</v>
      </c>
      <c r="P66" s="2" t="s">
        <v>91</v>
      </c>
      <c r="Q66" s="2" t="s">
        <v>66</v>
      </c>
      <c r="R66" s="15">
        <v>44837</v>
      </c>
      <c r="S66" s="2" t="s">
        <v>5</v>
      </c>
      <c r="T66" s="2" t="s">
        <v>36</v>
      </c>
      <c r="U66" s="2" t="s">
        <v>37</v>
      </c>
      <c r="V66" s="2" t="s">
        <v>37</v>
      </c>
      <c r="W66" s="4" t="s">
        <v>37</v>
      </c>
      <c r="X6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66" s="2" t="str">
        <f>IF(ISNUMBER(SEARCH("onal",tb1_supporters[[#This Row],[Phone_Clean]])),"Review - corrupt phone number", IF(LEN(tb1_supporters[[#This Row],[Phone_Clean]])&gt;11,"Review - too many digits",""))</f>
        <v/>
      </c>
      <c r="Z6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66" s="2" t="str">
        <f>IF(tb1_supporters[[#This Row],[Email]]="","",IF(COUNTIF(tb1_supporters[Email],tb1_supporters[[#This Row],[Email]])&gt;1,"Review - duplicate record, see Supporter_Duplicates tab",""))</f>
        <v/>
      </c>
      <c r="AB66" s="21" t="str">
        <f>IF(tb1_supporters[[#This Row],[Communication_Preference]]="Do Not Contact","DO NOT CONTACT","")</f>
        <v/>
      </c>
      <c r="AE66"/>
    </row>
    <row r="67" spans="1:31" x14ac:dyDescent="0.25">
      <c r="A67" s="3" t="s">
        <v>620</v>
      </c>
      <c r="B67" s="2" t="s">
        <v>54</v>
      </c>
      <c r="C67" s="2" t="s">
        <v>448</v>
      </c>
      <c r="D67" s="2" t="s">
        <v>266</v>
      </c>
      <c r="E67" s="2" t="s">
        <v>621</v>
      </c>
      <c r="F67" s="2" t="s">
        <v>622</v>
      </c>
      <c r="G67" s="2" t="str">
        <f>TRIM(SUBSTITUTE(SUBSTITUTE(SUBSTITUTE(SUBSTITUTE(tb1_supporters[[#This Row],[Phone_Raw]],"(",""),")","")," ",""),"+44",))</f>
        <v>07325504713</v>
      </c>
      <c r="H67" s="15">
        <v>26987</v>
      </c>
      <c r="I67" s="36">
        <f ca="1">IF(OR(tb1_supporters[[#This Row],[Date_of_Birth]]="",tb1_supporters[[#This Row],[Date_of_Birth]]&gt;TODAY()),"",DATEDIF(tb1_supporters[[#This Row],[Date_of_Birth]],TODAY(),"Y"))</f>
        <v>52</v>
      </c>
      <c r="J6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67" s="2" t="s">
        <v>624</v>
      </c>
      <c r="L67" s="2" t="s">
        <v>625</v>
      </c>
      <c r="M67" s="2" t="s">
        <v>626</v>
      </c>
      <c r="N67" s="2" t="s">
        <v>627</v>
      </c>
      <c r="O67" s="2" t="s">
        <v>166</v>
      </c>
      <c r="P67" s="2" t="s">
        <v>33</v>
      </c>
      <c r="Q67" s="2" t="s">
        <v>141</v>
      </c>
      <c r="R67" s="15">
        <v>43966</v>
      </c>
      <c r="S67" s="2" t="s">
        <v>4</v>
      </c>
      <c r="T67" s="2" t="s">
        <v>36</v>
      </c>
      <c r="U67" s="2" t="s">
        <v>36</v>
      </c>
      <c r="V67" s="2" t="s">
        <v>36</v>
      </c>
      <c r="W67" s="4" t="s">
        <v>37</v>
      </c>
      <c r="X6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67" s="2" t="str">
        <f>IF(ISNUMBER(SEARCH("onal",tb1_supporters[[#This Row],[Phone_Clean]])),"Review - corrupt phone number", IF(LEN(tb1_supporters[[#This Row],[Phone_Clean]])&gt;11,"Review - too many digits",""))</f>
        <v/>
      </c>
      <c r="Z6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67" s="2" t="str">
        <f>IF(tb1_supporters[[#This Row],[Email]]="","",IF(COUNTIF(tb1_supporters[Email],tb1_supporters[[#This Row],[Email]])&gt;1,"Review - duplicate record, see Supporter_Duplicates tab",""))</f>
        <v/>
      </c>
      <c r="AB67" s="21" t="str">
        <f>IF(tb1_supporters[[#This Row],[Communication_Preference]]="Do Not Contact","DO NOT CONTACT","")</f>
        <v/>
      </c>
      <c r="AE67"/>
    </row>
    <row r="68" spans="1:31" x14ac:dyDescent="0.25">
      <c r="A68" s="3" t="s">
        <v>629</v>
      </c>
      <c r="B68" s="2" t="s">
        <v>54</v>
      </c>
      <c r="C68" s="2" t="s">
        <v>157</v>
      </c>
      <c r="D68" s="2" t="s">
        <v>630</v>
      </c>
      <c r="E68" s="2" t="s">
        <v>631</v>
      </c>
      <c r="F68" s="2" t="s">
        <v>632</v>
      </c>
      <c r="G68" s="2" t="str">
        <f>TRIM(SUBSTITUTE(SUBSTITUTE(SUBSTITUTE(SUBSTITUTE(tb1_supporters[[#This Row],[Phone_Raw]],"(",""),")","")," ",""),"+44",))</f>
        <v>01215461307</v>
      </c>
      <c r="H68" s="15">
        <v>32611</v>
      </c>
      <c r="I68" s="36">
        <f ca="1">IF(OR(tb1_supporters[[#This Row],[Date_of_Birth]]="",tb1_supporters[[#This Row],[Date_of_Birth]]&gt;TODAY()),"",DATEDIF(tb1_supporters[[#This Row],[Date_of_Birth]],TODAY(),"Y"))</f>
        <v>37</v>
      </c>
      <c r="J6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68" s="2" t="s">
        <v>634</v>
      </c>
      <c r="L68" s="2" t="s">
        <v>387</v>
      </c>
      <c r="M68" s="2" t="s">
        <v>388</v>
      </c>
      <c r="N68" s="2" t="s">
        <v>389</v>
      </c>
      <c r="O68" s="2" t="s">
        <v>166</v>
      </c>
      <c r="P68" s="2" t="s">
        <v>49</v>
      </c>
      <c r="Q68" s="2" t="s">
        <v>50</v>
      </c>
      <c r="R68" s="15">
        <v>44859</v>
      </c>
      <c r="S68" s="2" t="s">
        <v>5</v>
      </c>
      <c r="T68" s="2" t="s">
        <v>37</v>
      </c>
      <c r="U68" s="2" t="s">
        <v>37</v>
      </c>
      <c r="V68" s="2" t="s">
        <v>37</v>
      </c>
      <c r="W68" s="4" t="s">
        <v>37</v>
      </c>
      <c r="X6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68" s="2" t="str">
        <f>IF(ISNUMBER(SEARCH("onal",tb1_supporters[[#This Row],[Phone_Clean]])),"Review - corrupt phone number", IF(LEN(tb1_supporters[[#This Row],[Phone_Clean]])&gt;11,"Review - too many digits",""))</f>
        <v/>
      </c>
      <c r="Z6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68" s="2" t="str">
        <f>IF(tb1_supporters[[#This Row],[Email]]="","",IF(COUNTIF(tb1_supporters[Email],tb1_supporters[[#This Row],[Email]])&gt;1,"Review - duplicate record, see Supporter_Duplicates tab",""))</f>
        <v/>
      </c>
      <c r="AB68" s="21" t="str">
        <f>IF(tb1_supporters[[#This Row],[Communication_Preference]]="Do Not Contact","DO NOT CONTACT","")</f>
        <v/>
      </c>
      <c r="AE68"/>
    </row>
    <row r="69" spans="1:31" x14ac:dyDescent="0.25">
      <c r="A69" s="3" t="s">
        <v>637</v>
      </c>
      <c r="B69" s="2" t="s">
        <v>54</v>
      </c>
      <c r="C69" s="2" t="s">
        <v>324</v>
      </c>
      <c r="D69" s="2" t="s">
        <v>205</v>
      </c>
      <c r="E69" s="2" t="s">
        <v>639</v>
      </c>
      <c r="F69" s="2" t="s">
        <v>640</v>
      </c>
      <c r="G69" s="2" t="str">
        <f>TRIM(SUBSTITUTE(SUBSTITUTE(SUBSTITUTE(SUBSTITUTE(tb1_supporters[[#This Row],[Phone_Raw]],"(",""),")","")," ",""),"+44",))</f>
        <v>01313498138</v>
      </c>
      <c r="H69" s="15">
        <v>31107</v>
      </c>
      <c r="I69" s="36">
        <f ca="1">IF(OR(tb1_supporters[[#This Row],[Date_of_Birth]]="",tb1_supporters[[#This Row],[Date_of_Birth]]&gt;TODAY()),"",DATEDIF(tb1_supporters[[#This Row],[Date_of_Birth]],TODAY(),"Y"))</f>
        <v>41</v>
      </c>
      <c r="J6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69" s="2" t="s">
        <v>642</v>
      </c>
      <c r="L69" s="2" t="s">
        <v>296</v>
      </c>
      <c r="M69" s="2" t="s">
        <v>297</v>
      </c>
      <c r="N69" s="2" t="s">
        <v>298</v>
      </c>
      <c r="O69" s="2" t="s">
        <v>166</v>
      </c>
      <c r="P69" s="2" t="s">
        <v>65</v>
      </c>
      <c r="Q69" s="2" t="s">
        <v>66</v>
      </c>
      <c r="R69" s="15">
        <v>44371</v>
      </c>
      <c r="S69" s="2" t="s">
        <v>105</v>
      </c>
      <c r="T69" s="2" t="s">
        <v>37</v>
      </c>
      <c r="U69" s="2" t="s">
        <v>37</v>
      </c>
      <c r="V69" s="2" t="s">
        <v>37</v>
      </c>
      <c r="W69" s="4" t="s">
        <v>37</v>
      </c>
      <c r="X6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69" s="2" t="str">
        <f>IF(ISNUMBER(SEARCH("onal",tb1_supporters[[#This Row],[Phone_Clean]])),"Review - corrupt phone number", IF(LEN(tb1_supporters[[#This Row],[Phone_Clean]])&gt;11,"Review - too many digits",""))</f>
        <v/>
      </c>
      <c r="Z6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69" s="2" t="str">
        <f>IF(tb1_supporters[[#This Row],[Email]]="","",IF(COUNTIF(tb1_supporters[Email],tb1_supporters[[#This Row],[Email]])&gt;1,"Review - duplicate record, see Supporter_Duplicates tab",""))</f>
        <v/>
      </c>
      <c r="AB69" s="21" t="str">
        <f>IF(tb1_supporters[[#This Row],[Communication_Preference]]="Do Not Contact","DO NOT CONTACT","")</f>
        <v>DO NOT CONTACT</v>
      </c>
      <c r="AE69"/>
    </row>
    <row r="70" spans="1:31" x14ac:dyDescent="0.25">
      <c r="A70" s="3" t="s">
        <v>644</v>
      </c>
      <c r="B70" s="2" t="s">
        <v>235</v>
      </c>
      <c r="C70" s="2" t="s">
        <v>645</v>
      </c>
      <c r="D70" s="2" t="s">
        <v>214</v>
      </c>
      <c r="E70" s="2" t="s">
        <v>646</v>
      </c>
      <c r="F70" s="2" t="s">
        <v>647</v>
      </c>
      <c r="G70" s="2" t="str">
        <f>TRIM(SUBSTITUTE(SUBSTITUTE(SUBSTITUTE(SUBSTITUTE(tb1_supporters[[#This Row],[Phone_Raw]],"(",""),")","")," ",""),"+44",))</f>
        <v>07249362302</v>
      </c>
      <c r="H70" s="15">
        <v>23580</v>
      </c>
      <c r="I70" s="36">
        <f ca="1">IF(OR(tb1_supporters[[#This Row],[Date_of_Birth]]="",tb1_supporters[[#This Row],[Date_of_Birth]]&gt;TODAY()),"",DATEDIF(tb1_supporters[[#This Row],[Date_of_Birth]],TODAY(),"Y"))</f>
        <v>61</v>
      </c>
      <c r="J7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70" s="2" t="s">
        <v>649</v>
      </c>
      <c r="L70" s="2" t="s">
        <v>650</v>
      </c>
      <c r="M70" s="2" t="s">
        <v>651</v>
      </c>
      <c r="N70" s="2" t="s">
        <v>652</v>
      </c>
      <c r="O70" s="2" t="s">
        <v>242</v>
      </c>
      <c r="P70" s="2" t="s">
        <v>65</v>
      </c>
      <c r="Q70" s="2" t="s">
        <v>154</v>
      </c>
      <c r="R70" s="15">
        <v>45673</v>
      </c>
      <c r="S70" s="2" t="s">
        <v>52</v>
      </c>
      <c r="T70" s="2" t="s">
        <v>36</v>
      </c>
      <c r="U70" s="2" t="s">
        <v>36</v>
      </c>
      <c r="V70" s="2" t="s">
        <v>37</v>
      </c>
      <c r="W70" s="4" t="s">
        <v>37</v>
      </c>
      <c r="X7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70" s="2" t="str">
        <f>IF(ISNUMBER(SEARCH("onal",tb1_supporters[[#This Row],[Phone_Clean]])),"Review - corrupt phone number", IF(LEN(tb1_supporters[[#This Row],[Phone_Clean]])&gt;11,"Review - too many digits",""))</f>
        <v/>
      </c>
      <c r="Z7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70" s="2" t="str">
        <f>IF(tb1_supporters[[#This Row],[Email]]="","",IF(COUNTIF(tb1_supporters[Email],tb1_supporters[[#This Row],[Email]])&gt;1,"Review - duplicate record, see Supporter_Duplicates tab",""))</f>
        <v/>
      </c>
      <c r="AB70" s="21" t="str">
        <f>IF(tb1_supporters[[#This Row],[Communication_Preference]]="Do Not Contact","DO NOT CONTACT","")</f>
        <v/>
      </c>
      <c r="AE70"/>
    </row>
    <row r="71" spans="1:31" x14ac:dyDescent="0.25">
      <c r="A71" s="3" t="s">
        <v>654</v>
      </c>
      <c r="B71" s="2" t="s">
        <v>402</v>
      </c>
      <c r="C71" s="2" t="s">
        <v>655</v>
      </c>
      <c r="D71" s="2" t="s">
        <v>425</v>
      </c>
      <c r="E71" s="2" t="s">
        <v>656</v>
      </c>
      <c r="F71" s="2" t="s">
        <v>657</v>
      </c>
      <c r="G71" s="2" t="str">
        <f>TRIM(SUBSTITUTE(SUBSTITUTE(SUBSTITUTE(SUBSTITUTE(tb1_supporters[[#This Row],[Phone_Raw]],"(",""),")","")," ",""),"+44",))</f>
        <v>07580552746</v>
      </c>
      <c r="H71" s="15">
        <v>21249</v>
      </c>
      <c r="I71" s="36">
        <f ca="1">IF(OR(tb1_supporters[[#This Row],[Date_of_Birth]]="",tb1_supporters[[#This Row],[Date_of_Birth]]&gt;TODAY()),"",DATEDIF(tb1_supporters[[#This Row],[Date_of_Birth]],TODAY(),"Y"))</f>
        <v>68</v>
      </c>
      <c r="J7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71" s="2" t="s">
        <v>659</v>
      </c>
      <c r="L71" s="2" t="s">
        <v>660</v>
      </c>
      <c r="M71" s="2" t="s">
        <v>230</v>
      </c>
      <c r="N71" s="2" t="s">
        <v>661</v>
      </c>
      <c r="O71" s="2" t="s">
        <v>242</v>
      </c>
      <c r="P71" s="2" t="s">
        <v>181</v>
      </c>
      <c r="Q71" s="2" t="s">
        <v>141</v>
      </c>
      <c r="R71" s="15">
        <v>45208</v>
      </c>
      <c r="S71" s="2" t="s">
        <v>4</v>
      </c>
      <c r="T71" s="2" t="s">
        <v>36</v>
      </c>
      <c r="U71" s="2" t="s">
        <v>36</v>
      </c>
      <c r="V71" s="2" t="s">
        <v>37</v>
      </c>
      <c r="W71" s="4" t="s">
        <v>37</v>
      </c>
      <c r="X7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71" s="2" t="str">
        <f>IF(ISNUMBER(SEARCH("onal",tb1_supporters[[#This Row],[Phone_Clean]])),"Review - corrupt phone number", IF(LEN(tb1_supporters[[#This Row],[Phone_Clean]])&gt;11,"Review - too many digits",""))</f>
        <v/>
      </c>
      <c r="Z7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71" s="2" t="str">
        <f>IF(tb1_supporters[[#This Row],[Email]]="","",IF(COUNTIF(tb1_supporters[Email],tb1_supporters[[#This Row],[Email]])&gt;1,"Review - duplicate record, see Supporter_Duplicates tab",""))</f>
        <v/>
      </c>
      <c r="AB71" s="21" t="str">
        <f>IF(tb1_supporters[[#This Row],[Communication_Preference]]="Do Not Contact","DO NOT CONTACT","")</f>
        <v/>
      </c>
      <c r="AE71"/>
    </row>
    <row r="72" spans="1:31" x14ac:dyDescent="0.25">
      <c r="A72" s="3" t="s">
        <v>663</v>
      </c>
      <c r="B72" s="2" t="s">
        <v>54</v>
      </c>
      <c r="C72" s="2" t="s">
        <v>55</v>
      </c>
      <c r="D72" s="2" t="s">
        <v>489</v>
      </c>
      <c r="E72" s="2" t="s">
        <v>664</v>
      </c>
      <c r="F72" s="2" t="s">
        <v>665</v>
      </c>
      <c r="G72" s="2" t="str">
        <f>TRIM(SUBSTITUTE(SUBSTITUTE(SUBSTITUTE(SUBSTITUTE(tb1_supporters[[#This Row],[Phone_Raw]],"(",""),")","")," ",""),"+44",))</f>
        <v>7667910856</v>
      </c>
      <c r="H72" s="15">
        <v>21522</v>
      </c>
      <c r="I72" s="36">
        <f ca="1">IF(OR(tb1_supporters[[#This Row],[Date_of_Birth]]="",tb1_supporters[[#This Row],[Date_of_Birth]]&gt;TODAY()),"",DATEDIF(tb1_supporters[[#This Row],[Date_of_Birth]],TODAY(),"Y"))</f>
        <v>67</v>
      </c>
      <c r="J7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72" s="2" t="s">
        <v>667</v>
      </c>
      <c r="L72" s="2" t="s">
        <v>668</v>
      </c>
      <c r="M72" s="2" t="s">
        <v>669</v>
      </c>
      <c r="N72" s="2" t="s">
        <v>670</v>
      </c>
      <c r="O72" s="2" t="s">
        <v>166</v>
      </c>
      <c r="P72" s="2" t="s">
        <v>33</v>
      </c>
      <c r="Q72" s="2" t="s">
        <v>141</v>
      </c>
      <c r="R72" s="15">
        <v>45579</v>
      </c>
      <c r="S72" s="2" t="s">
        <v>52</v>
      </c>
      <c r="T72" s="2" t="s">
        <v>36</v>
      </c>
      <c r="U72" s="2" t="s">
        <v>37</v>
      </c>
      <c r="V72" s="2" t="s">
        <v>36</v>
      </c>
      <c r="W72" s="4" t="s">
        <v>36</v>
      </c>
      <c r="X7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72" s="2" t="str">
        <f>IF(ISNUMBER(SEARCH("onal",tb1_supporters[[#This Row],[Phone_Clean]])),"Review - corrupt phone number", IF(LEN(tb1_supporters[[#This Row],[Phone_Clean]])&gt;11,"Review - too many digits",""))</f>
        <v/>
      </c>
      <c r="Z7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72" s="2" t="str">
        <f>IF(tb1_supporters[[#This Row],[Email]]="","",IF(COUNTIF(tb1_supporters[Email],tb1_supporters[[#This Row],[Email]])&gt;1,"Review - duplicate record, see Supporter_Duplicates tab",""))</f>
        <v/>
      </c>
      <c r="AB72" s="21" t="str">
        <f>IF(tb1_supporters[[#This Row],[Communication_Preference]]="Do Not Contact","DO NOT CONTACT","")</f>
        <v/>
      </c>
      <c r="AE72"/>
    </row>
    <row r="73" spans="1:31" x14ac:dyDescent="0.25">
      <c r="A73" s="3" t="s">
        <v>672</v>
      </c>
      <c r="B73" s="2" t="s">
        <v>54</v>
      </c>
      <c r="C73" s="2" t="s">
        <v>673</v>
      </c>
      <c r="D73" s="2" t="s">
        <v>674</v>
      </c>
      <c r="E73" s="2" t="s">
        <v>675</v>
      </c>
      <c r="F73" s="2" t="s">
        <v>676</v>
      </c>
      <c r="G73" s="2" t="str">
        <f>TRIM(SUBSTITUTE(SUBSTITUTE(SUBSTITUTE(SUBSTITUTE(tb1_supporters[[#This Row],[Phone_Raw]],"(",""),")","")," ",""),"+44",))</f>
        <v>7635724262</v>
      </c>
      <c r="H73" s="15">
        <v>34013</v>
      </c>
      <c r="I73" s="36">
        <f ca="1">IF(OR(tb1_supporters[[#This Row],[Date_of_Birth]]="",tb1_supporters[[#This Row],[Date_of_Birth]]&gt;TODAY()),"",DATEDIF(tb1_supporters[[#This Row],[Date_of_Birth]],TODAY(),"Y"))</f>
        <v>33</v>
      </c>
      <c r="J7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73" s="2" t="s">
        <v>678</v>
      </c>
      <c r="L73" s="2" t="s">
        <v>609</v>
      </c>
      <c r="M73" s="2" t="s">
        <v>610</v>
      </c>
      <c r="N73" s="2" t="s">
        <v>611</v>
      </c>
      <c r="O73" s="2" t="s">
        <v>166</v>
      </c>
      <c r="P73" s="2" t="s">
        <v>91</v>
      </c>
      <c r="Q73" s="2" t="s">
        <v>66</v>
      </c>
      <c r="R73" s="15">
        <v>44775</v>
      </c>
      <c r="S73" s="2" t="s">
        <v>4</v>
      </c>
      <c r="T73" s="2" t="s">
        <v>36</v>
      </c>
      <c r="U73" s="2" t="s">
        <v>37</v>
      </c>
      <c r="V73" s="2" t="s">
        <v>36</v>
      </c>
      <c r="W73" s="4" t="s">
        <v>37</v>
      </c>
      <c r="X7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73" s="2" t="str">
        <f>IF(ISNUMBER(SEARCH("onal",tb1_supporters[[#This Row],[Phone_Clean]])),"Review - corrupt phone number", IF(LEN(tb1_supporters[[#This Row],[Phone_Clean]])&gt;11,"Review - too many digits",""))</f>
        <v/>
      </c>
      <c r="Z7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73" s="2" t="str">
        <f>IF(tb1_supporters[[#This Row],[Email]]="","",IF(COUNTIF(tb1_supporters[Email],tb1_supporters[[#This Row],[Email]])&gt;1,"Review - duplicate record, see Supporter_Duplicates tab",""))</f>
        <v/>
      </c>
      <c r="AB73" s="21" t="str">
        <f>IF(tb1_supporters[[#This Row],[Communication_Preference]]="Do Not Contact","DO NOT CONTACT","")</f>
        <v/>
      </c>
      <c r="AE73"/>
    </row>
    <row r="74" spans="1:31" x14ac:dyDescent="0.25">
      <c r="A74" s="3" t="s">
        <v>680</v>
      </c>
      <c r="B74" s="2" t="s">
        <v>54</v>
      </c>
      <c r="C74" s="2" t="s">
        <v>185</v>
      </c>
      <c r="D74" s="2" t="s">
        <v>771</v>
      </c>
      <c r="E74" s="2" t="s">
        <v>683</v>
      </c>
      <c r="F74" s="2" t="s">
        <v>684</v>
      </c>
      <c r="G74" s="2" t="str">
        <f>TRIM(SUBSTITUTE(SUBSTITUTE(SUBSTITUTE(SUBSTITUTE(tb1_supporters[[#This Row],[Phone_Raw]],"(",""),")","")," ",""),"+44",))</f>
        <v>07417771815</v>
      </c>
      <c r="H74" s="15">
        <v>26154</v>
      </c>
      <c r="I74" s="36">
        <f ca="1">IF(OR(tb1_supporters[[#This Row],[Date_of_Birth]]="",tb1_supporters[[#This Row],[Date_of_Birth]]&gt;TODAY()),"",DATEDIF(tb1_supporters[[#This Row],[Date_of_Birth]],TODAY(),"Y"))</f>
        <v>54</v>
      </c>
      <c r="J7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74" s="2" t="s">
        <v>686</v>
      </c>
      <c r="L74" s="2" t="s">
        <v>419</v>
      </c>
      <c r="M74" s="2" t="s">
        <v>420</v>
      </c>
      <c r="N74" s="2" t="s">
        <v>421</v>
      </c>
      <c r="O74" s="2" t="s">
        <v>166</v>
      </c>
      <c r="P74" s="2" t="s">
        <v>117</v>
      </c>
      <c r="Q74" s="2" t="s">
        <v>50</v>
      </c>
      <c r="R74" s="15">
        <v>43448</v>
      </c>
      <c r="S74" s="2" t="s">
        <v>93</v>
      </c>
      <c r="T74" s="2" t="s">
        <v>36</v>
      </c>
      <c r="U74" s="2" t="s">
        <v>37</v>
      </c>
      <c r="V74" s="2" t="s">
        <v>37</v>
      </c>
      <c r="W74" s="4" t="s">
        <v>37</v>
      </c>
      <c r="X7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74" s="2" t="str">
        <f>IF(ISNUMBER(SEARCH("onal",tb1_supporters[[#This Row],[Phone_Clean]])),"Review - corrupt phone number", IF(LEN(tb1_supporters[[#This Row],[Phone_Clean]])&gt;11,"Review - too many digits",""))</f>
        <v/>
      </c>
      <c r="Z7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74" s="2" t="str">
        <f>IF(tb1_supporters[[#This Row],[Email]]="","",IF(COUNTIF(tb1_supporters[Email],tb1_supporters[[#This Row],[Email]])&gt;1,"Review - duplicate record, see Supporter_Duplicates tab",""))</f>
        <v/>
      </c>
      <c r="AB74" s="21" t="str">
        <f>IF(tb1_supporters[[#This Row],[Communication_Preference]]="Do Not Contact","DO NOT CONTACT","")</f>
        <v/>
      </c>
      <c r="AE74"/>
    </row>
    <row r="75" spans="1:31" x14ac:dyDescent="0.25">
      <c r="A75" s="3" t="s">
        <v>688</v>
      </c>
      <c r="B75" s="2" t="s">
        <v>54</v>
      </c>
      <c r="C75" s="2" t="s">
        <v>459</v>
      </c>
      <c r="D75" s="2" t="s">
        <v>56</v>
      </c>
      <c r="E75" s="2" t="s">
        <v>689</v>
      </c>
      <c r="F75" s="2" t="s">
        <v>690</v>
      </c>
      <c r="G75" s="2" t="str">
        <f>TRIM(SUBSTITUTE(SUBSTITUTE(SUBSTITUTE(SUBSTITUTE(tb1_supporters[[#This Row],[Phone_Raw]],"(",""),")","")," ",""),"+44",))</f>
        <v>07471416284</v>
      </c>
      <c r="H75" s="15">
        <v>14283</v>
      </c>
      <c r="I75" s="36">
        <f ca="1">IF(OR(tb1_supporters[[#This Row],[Date_of_Birth]]="",tb1_supporters[[#This Row],[Date_of_Birth]]&gt;TODAY()),"",DATEDIF(tb1_supporters[[#This Row],[Date_of_Birth]],TODAY(),"Y"))</f>
        <v>87</v>
      </c>
      <c r="J7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75" s="2" t="s">
        <v>692</v>
      </c>
      <c r="L75" s="2" t="s">
        <v>693</v>
      </c>
      <c r="M75" s="2" t="s">
        <v>694</v>
      </c>
      <c r="N75" s="2" t="s">
        <v>695</v>
      </c>
      <c r="O75" s="2" t="s">
        <v>166</v>
      </c>
      <c r="P75" s="2" t="s">
        <v>153</v>
      </c>
      <c r="Q75" s="2" t="s">
        <v>154</v>
      </c>
      <c r="R75" s="15">
        <v>44028</v>
      </c>
      <c r="S75" s="2" t="s">
        <v>93</v>
      </c>
      <c r="T75" s="2" t="s">
        <v>36</v>
      </c>
      <c r="U75" s="2" t="s">
        <v>36</v>
      </c>
      <c r="V75" s="2" t="s">
        <v>36</v>
      </c>
      <c r="W75" s="4" t="s">
        <v>37</v>
      </c>
      <c r="X7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75" s="2" t="str">
        <f>IF(ISNUMBER(SEARCH("onal",tb1_supporters[[#This Row],[Phone_Clean]])),"Review - corrupt phone number", IF(LEN(tb1_supporters[[#This Row],[Phone_Clean]])&gt;11,"Review - too many digits",""))</f>
        <v/>
      </c>
      <c r="Z7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75" s="2" t="str">
        <f>IF(tb1_supporters[[#This Row],[Email]]="","",IF(COUNTIF(tb1_supporters[Email],tb1_supporters[[#This Row],[Email]])&gt;1,"Review - duplicate record, see Supporter_Duplicates tab",""))</f>
        <v/>
      </c>
      <c r="AB75" s="21" t="str">
        <f>IF(tb1_supporters[[#This Row],[Communication_Preference]]="Do Not Contact","DO NOT CONTACT","")</f>
        <v/>
      </c>
      <c r="AE75"/>
    </row>
    <row r="76" spans="1:31" x14ac:dyDescent="0.25">
      <c r="A76" s="3" t="s">
        <v>697</v>
      </c>
      <c r="B76" s="2" t="s">
        <v>235</v>
      </c>
      <c r="C76" s="2" t="s">
        <v>265</v>
      </c>
      <c r="D76" s="2" t="s">
        <v>258</v>
      </c>
      <c r="E76" s="2" t="s">
        <v>698</v>
      </c>
      <c r="F76" s="2" t="s">
        <v>699</v>
      </c>
      <c r="G76" s="2" t="str">
        <f>TRIM(SUBSTITUTE(SUBSTITUTE(SUBSTITUTE(SUBSTITUTE(tb1_supporters[[#This Row],[Phone_Raw]],"(",""),")","")," ",""),"+44",))</f>
        <v>07266285951</v>
      </c>
      <c r="H76" s="15">
        <v>22759</v>
      </c>
      <c r="I76" s="36">
        <f ca="1">IF(OR(tb1_supporters[[#This Row],[Date_of_Birth]]="",tb1_supporters[[#This Row],[Date_of_Birth]]&gt;TODAY()),"",DATEDIF(tb1_supporters[[#This Row],[Date_of_Birth]],TODAY(),"Y"))</f>
        <v>64</v>
      </c>
      <c r="J7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76" s="2" t="s">
        <v>701</v>
      </c>
      <c r="L76" s="2" t="s">
        <v>229</v>
      </c>
      <c r="M76" s="2" t="s">
        <v>230</v>
      </c>
      <c r="N76" s="2" t="s">
        <v>231</v>
      </c>
      <c r="O76" s="2" t="s">
        <v>242</v>
      </c>
      <c r="P76" s="2" t="s">
        <v>153</v>
      </c>
      <c r="Q76" s="2" t="s">
        <v>192</v>
      </c>
      <c r="R76" s="15">
        <v>44783</v>
      </c>
      <c r="S76" s="2" t="s">
        <v>5</v>
      </c>
      <c r="T76" s="2" t="s">
        <v>36</v>
      </c>
      <c r="U76" s="2" t="s">
        <v>36</v>
      </c>
      <c r="V76" s="2" t="s">
        <v>37</v>
      </c>
      <c r="W76" s="4" t="s">
        <v>37</v>
      </c>
      <c r="X7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76" s="2" t="str">
        <f>IF(ISNUMBER(SEARCH("onal",tb1_supporters[[#This Row],[Phone_Clean]])),"Review - corrupt phone number", IF(LEN(tb1_supporters[[#This Row],[Phone_Clean]])&gt;11,"Review - too many digits",""))</f>
        <v/>
      </c>
      <c r="Z7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76" s="2" t="str">
        <f>IF(tb1_supporters[[#This Row],[Email]]="","",IF(COUNTIF(tb1_supporters[Email],tb1_supporters[[#This Row],[Email]])&gt;1,"Review - duplicate record, see Supporter_Duplicates tab",""))</f>
        <v/>
      </c>
      <c r="AB76" s="21" t="str">
        <f>IF(tb1_supporters[[#This Row],[Communication_Preference]]="Do Not Contact","DO NOT CONTACT","")</f>
        <v/>
      </c>
      <c r="AE76"/>
    </row>
    <row r="77" spans="1:31" x14ac:dyDescent="0.25">
      <c r="A77" s="3" t="s">
        <v>703</v>
      </c>
      <c r="B77" s="2" t="s">
        <v>170</v>
      </c>
      <c r="C77" s="2" t="s">
        <v>392</v>
      </c>
      <c r="D77" s="2" t="s">
        <v>496</v>
      </c>
      <c r="E77" s="2" t="s">
        <v>704</v>
      </c>
      <c r="F77" s="2" t="s">
        <v>705</v>
      </c>
      <c r="G77" s="2" t="str">
        <f>TRIM(SUBSTITUTE(SUBSTITUTE(SUBSTITUTE(SUBSTITUTE(tb1_supporters[[#This Row],[Phone_Raw]],"(",""),")","")," ",""),"+44",))</f>
        <v>07896491614</v>
      </c>
      <c r="H77" s="15">
        <v>23235</v>
      </c>
      <c r="I77" s="36">
        <f ca="1">IF(OR(tb1_supporters[[#This Row],[Date_of_Birth]]="",tb1_supporters[[#This Row],[Date_of_Birth]]&gt;TODAY()),"",DATEDIF(tb1_supporters[[#This Row],[Date_of_Birth]],TODAY(),"Y"))</f>
        <v>62</v>
      </c>
      <c r="J7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77" s="2" t="s">
        <v>707</v>
      </c>
      <c r="L77" s="2" t="s">
        <v>370</v>
      </c>
      <c r="M77" s="2" t="s">
        <v>371</v>
      </c>
      <c r="N77" s="2" t="s">
        <v>602</v>
      </c>
      <c r="O77" s="2" t="s">
        <v>242</v>
      </c>
      <c r="P77" s="2" t="s">
        <v>117</v>
      </c>
      <c r="Q77" s="2" t="s">
        <v>243</v>
      </c>
      <c r="R77" s="15">
        <v>43918</v>
      </c>
      <c r="S77" s="2" t="s">
        <v>4</v>
      </c>
      <c r="T77" s="2" t="s">
        <v>37</v>
      </c>
      <c r="U77" s="2" t="s">
        <v>36</v>
      </c>
      <c r="V77" s="2" t="s">
        <v>36</v>
      </c>
      <c r="W77" s="4" t="s">
        <v>36</v>
      </c>
      <c r="X7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77" s="2" t="str">
        <f>IF(ISNUMBER(SEARCH("onal",tb1_supporters[[#This Row],[Phone_Clean]])),"Review - corrupt phone number", IF(LEN(tb1_supporters[[#This Row],[Phone_Clean]])&gt;11,"Review - too many digits",""))</f>
        <v/>
      </c>
      <c r="Z7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77" s="2" t="str">
        <f>IF(tb1_supporters[[#This Row],[Email]]="","",IF(COUNTIF(tb1_supporters[Email],tb1_supporters[[#This Row],[Email]])&gt;1,"Review - duplicate record, see Supporter_Duplicates tab",""))</f>
        <v/>
      </c>
      <c r="AB77" s="21" t="str">
        <f>IF(tb1_supporters[[#This Row],[Communication_Preference]]="Do Not Contact","DO NOT CONTACT","")</f>
        <v/>
      </c>
      <c r="AE77"/>
    </row>
    <row r="78" spans="1:31" x14ac:dyDescent="0.25">
      <c r="A78" s="3" t="s">
        <v>709</v>
      </c>
      <c r="B78" s="2" t="s">
        <v>170</v>
      </c>
      <c r="C78" s="2" t="s">
        <v>710</v>
      </c>
      <c r="D78" s="2" t="s">
        <v>711</v>
      </c>
      <c r="E78" s="2" t="s">
        <v>712</v>
      </c>
      <c r="F78" s="2" t="s">
        <v>713</v>
      </c>
      <c r="G78" s="2" t="str">
        <f>TRIM(SUBSTITUTE(SUBSTITUTE(SUBSTITUTE(SUBSTITUTE(tb1_supporters[[#This Row],[Phone_Raw]],"(",""),")","")," ",""),"+44",))</f>
        <v>07560625250</v>
      </c>
      <c r="H78" s="15">
        <v>14634</v>
      </c>
      <c r="I78" s="36">
        <f ca="1">IF(OR(tb1_supporters[[#This Row],[Date_of_Birth]]="",tb1_supporters[[#This Row],[Date_of_Birth]]&gt;TODAY()),"",DATEDIF(tb1_supporters[[#This Row],[Date_of_Birth]],TODAY(),"Y"))</f>
        <v>86</v>
      </c>
      <c r="J7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78" s="2" t="s">
        <v>715</v>
      </c>
      <c r="L78" s="2" t="s">
        <v>693</v>
      </c>
      <c r="M78" s="2" t="s">
        <v>694</v>
      </c>
      <c r="N78" s="2" t="s">
        <v>695</v>
      </c>
      <c r="O78" s="2" t="s">
        <v>242</v>
      </c>
      <c r="P78" s="2" t="s">
        <v>65</v>
      </c>
      <c r="Q78" s="2" t="s">
        <v>154</v>
      </c>
      <c r="R78" s="15">
        <v>44948</v>
      </c>
      <c r="S78" s="2" t="s">
        <v>52</v>
      </c>
      <c r="T78" s="2" t="s">
        <v>36</v>
      </c>
      <c r="U78" s="2" t="s">
        <v>36</v>
      </c>
      <c r="V78" s="2" t="s">
        <v>37</v>
      </c>
      <c r="W78" s="4" t="s">
        <v>36</v>
      </c>
      <c r="X7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78" s="2" t="str">
        <f>IF(ISNUMBER(SEARCH("onal",tb1_supporters[[#This Row],[Phone_Clean]])),"Review - corrupt phone number", IF(LEN(tb1_supporters[[#This Row],[Phone_Clean]])&gt;11,"Review - too many digits",""))</f>
        <v/>
      </c>
      <c r="Z7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78" s="2" t="str">
        <f>IF(tb1_supporters[[#This Row],[Email]]="","",IF(COUNTIF(tb1_supporters[Email],tb1_supporters[[#This Row],[Email]])&gt;1,"Review - duplicate record, see Supporter_Duplicates tab",""))</f>
        <v/>
      </c>
      <c r="AB78" s="21" t="str">
        <f>IF(tb1_supporters[[#This Row],[Communication_Preference]]="Do Not Contact","DO NOT CONTACT","")</f>
        <v/>
      </c>
      <c r="AE78"/>
    </row>
    <row r="79" spans="1:31" x14ac:dyDescent="0.25">
      <c r="A79" s="3" t="s">
        <v>717</v>
      </c>
      <c r="B79" s="2"/>
      <c r="C79" s="2" t="s">
        <v>196</v>
      </c>
      <c r="D79" s="2" t="s">
        <v>133</v>
      </c>
      <c r="E79" s="2" t="s">
        <v>718</v>
      </c>
      <c r="F79" s="2" t="s">
        <v>719</v>
      </c>
      <c r="G79" s="2" t="str">
        <f>TRIM(SUBSTITUTE(SUBSTITUTE(SUBSTITUTE(SUBSTITUTE(tb1_supporters[[#This Row],[Phone_Raw]],"(",""),")","")," ",""),"+44",))</f>
        <v>07240139393</v>
      </c>
      <c r="H79" s="15">
        <v>11157</v>
      </c>
      <c r="I79" s="36">
        <f ca="1">IF(OR(tb1_supporters[[#This Row],[Date_of_Birth]]="",tb1_supporters[[#This Row],[Date_of_Birth]]&gt;TODAY()),"",DATEDIF(tb1_supporters[[#This Row],[Date_of_Birth]],TODAY(),"Y"))</f>
        <v>95</v>
      </c>
      <c r="J7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79" s="2" t="s">
        <v>721</v>
      </c>
      <c r="L79" s="2" t="s">
        <v>387</v>
      </c>
      <c r="M79" s="2" t="s">
        <v>388</v>
      </c>
      <c r="N79" s="2" t="s">
        <v>389</v>
      </c>
      <c r="O79" s="2" t="s">
        <v>242</v>
      </c>
      <c r="P79" s="2" t="s">
        <v>117</v>
      </c>
      <c r="Q79" s="2" t="s">
        <v>243</v>
      </c>
      <c r="R79" s="15">
        <v>45022</v>
      </c>
      <c r="S79" s="2" t="s">
        <v>4</v>
      </c>
      <c r="T79" s="2" t="s">
        <v>36</v>
      </c>
      <c r="U79" s="2" t="s">
        <v>37</v>
      </c>
      <c r="V79" s="2" t="s">
        <v>36</v>
      </c>
      <c r="W79" s="4" t="s">
        <v>36</v>
      </c>
      <c r="X7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79" s="2" t="str">
        <f>IF(ISNUMBER(SEARCH("onal",tb1_supporters[[#This Row],[Phone_Clean]])),"Review - corrupt phone number", IF(LEN(tb1_supporters[[#This Row],[Phone_Clean]])&gt;11,"Review - too many digits",""))</f>
        <v/>
      </c>
      <c r="Z7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79" s="2" t="str">
        <f>IF(tb1_supporters[[#This Row],[Email]]="","",IF(COUNTIF(tb1_supporters[Email],tb1_supporters[[#This Row],[Email]])&gt;1,"Review - duplicate record, see Supporter_Duplicates tab",""))</f>
        <v/>
      </c>
      <c r="AB79" s="21" t="str">
        <f>IF(tb1_supporters[[#This Row],[Communication_Preference]]="Do Not Contact","DO NOT CONTACT","")</f>
        <v/>
      </c>
      <c r="AE79"/>
    </row>
    <row r="80" spans="1:31" x14ac:dyDescent="0.25">
      <c r="A80" s="3" t="s">
        <v>723</v>
      </c>
      <c r="B80" s="2" t="s">
        <v>69</v>
      </c>
      <c r="C80" s="2" t="s">
        <v>337</v>
      </c>
      <c r="D80" s="2" t="s">
        <v>711</v>
      </c>
      <c r="E80" s="2" t="s">
        <v>724</v>
      </c>
      <c r="F80" s="2" t="s">
        <v>725</v>
      </c>
      <c r="G80" s="2" t="str">
        <f>TRIM(SUBSTITUTE(SUBSTITUTE(SUBSTITUTE(SUBSTITUTE(tb1_supporters[[#This Row],[Phone_Raw]],"(",""),")","")," ",""),"+44",))</f>
        <v>07224148344</v>
      </c>
      <c r="H80" s="15">
        <v>14687</v>
      </c>
      <c r="I80" s="36">
        <f ca="1">IF(OR(tb1_supporters[[#This Row],[Date_of_Birth]]="",tb1_supporters[[#This Row],[Date_of_Birth]]&gt;TODAY()),"",DATEDIF(tb1_supporters[[#This Row],[Date_of_Birth]],TODAY(),"Y"))</f>
        <v>86</v>
      </c>
      <c r="J8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80" s="2" t="s">
        <v>727</v>
      </c>
      <c r="L80" s="2" t="s">
        <v>693</v>
      </c>
      <c r="M80" s="2" t="s">
        <v>694</v>
      </c>
      <c r="N80" s="2" t="s">
        <v>695</v>
      </c>
      <c r="O80" s="2" t="s">
        <v>166</v>
      </c>
      <c r="P80" s="2" t="s">
        <v>153</v>
      </c>
      <c r="Q80" s="2" t="s">
        <v>192</v>
      </c>
      <c r="R80" s="15">
        <v>43555</v>
      </c>
      <c r="S80" s="2" t="s">
        <v>4</v>
      </c>
      <c r="T80" s="2" t="s">
        <v>36</v>
      </c>
      <c r="U80" s="2" t="s">
        <v>37</v>
      </c>
      <c r="V80" s="2" t="s">
        <v>37</v>
      </c>
      <c r="W80" s="4" t="s">
        <v>36</v>
      </c>
      <c r="X8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80" s="2" t="str">
        <f>IF(ISNUMBER(SEARCH("onal",tb1_supporters[[#This Row],[Phone_Clean]])),"Review - corrupt phone number", IF(LEN(tb1_supporters[[#This Row],[Phone_Clean]])&gt;11,"Review - too many digits",""))</f>
        <v/>
      </c>
      <c r="Z8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80" s="2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80" s="21" t="str">
        <f>IF(tb1_supporters[[#This Row],[Communication_Preference]]="Do Not Contact","DO NOT CONTACT","")</f>
        <v/>
      </c>
      <c r="AE80"/>
    </row>
    <row r="81" spans="1:31" x14ac:dyDescent="0.25">
      <c r="A81" s="3" t="s">
        <v>729</v>
      </c>
      <c r="B81" s="2" t="s">
        <v>4866</v>
      </c>
      <c r="C81" s="2" t="s">
        <v>196</v>
      </c>
      <c r="D81" s="2" t="s">
        <v>674</v>
      </c>
      <c r="E81" s="2" t="s">
        <v>4869</v>
      </c>
      <c r="F81" s="2" t="s">
        <v>730</v>
      </c>
      <c r="G81" s="2" t="str">
        <f>TRIM(SUBSTITUTE(SUBSTITUTE(SUBSTITUTE(SUBSTITUTE(tb1_supporters[[#This Row],[Phone_Raw]],"(",""),")","")," ",""),"+44",))</f>
        <v>07780784187</v>
      </c>
      <c r="H81" s="15">
        <v>32299</v>
      </c>
      <c r="I81" s="36">
        <f ca="1">IF(OR(tb1_supporters[[#This Row],[Date_of_Birth]]="",tb1_supporters[[#This Row],[Date_of_Birth]]&gt;TODAY()),"",DATEDIF(tb1_supporters[[#This Row],[Date_of_Birth]],TODAY(),"Y"))</f>
        <v>37</v>
      </c>
      <c r="J8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81" s="2" t="s">
        <v>732</v>
      </c>
      <c r="L81" s="2" t="s">
        <v>177</v>
      </c>
      <c r="M81" s="2" t="s">
        <v>178</v>
      </c>
      <c r="N81" s="2" t="s">
        <v>179</v>
      </c>
      <c r="O81" s="2" t="s">
        <v>242</v>
      </c>
      <c r="P81" s="2" t="s">
        <v>65</v>
      </c>
      <c r="Q81" s="2" t="s">
        <v>50</v>
      </c>
      <c r="R81" s="15">
        <v>45329</v>
      </c>
      <c r="S81" s="2" t="s">
        <v>52</v>
      </c>
      <c r="T81" s="2" t="s">
        <v>37</v>
      </c>
      <c r="U81" s="2" t="s">
        <v>37</v>
      </c>
      <c r="V81" s="2" t="s">
        <v>37</v>
      </c>
      <c r="W81" s="4" t="s">
        <v>36</v>
      </c>
      <c r="X8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81" s="2" t="str">
        <f>IF(ISNUMBER(SEARCH("onal",tb1_supporters[[#This Row],[Phone_Clean]])),"Review - corrupt phone number", IF(LEN(tb1_supporters[[#This Row],[Phone_Clean]])&gt;11,"Review - too many digits",""))</f>
        <v/>
      </c>
      <c r="Z8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81" s="2" t="str">
        <f>IF(tb1_supporters[[#This Row],[Email]]="","",IF(COUNTIF(tb1_supporters[Email],tb1_supporters[[#This Row],[Email]])&gt;1,"Review - duplicate record, see Supporter_Duplicates tab",""))</f>
        <v/>
      </c>
      <c r="AB81" s="21" t="str">
        <f>IF(tb1_supporters[[#This Row],[Communication_Preference]]="Do Not Contact","DO NOT CONTACT","")</f>
        <v/>
      </c>
      <c r="AE81"/>
    </row>
    <row r="82" spans="1:31" x14ac:dyDescent="0.25">
      <c r="A82" s="3" t="s">
        <v>734</v>
      </c>
      <c r="B82" s="2" t="s">
        <v>402</v>
      </c>
      <c r="C82" s="2" t="s">
        <v>481</v>
      </c>
      <c r="D82" s="2" t="s">
        <v>309</v>
      </c>
      <c r="E82" s="2" t="s">
        <v>735</v>
      </c>
      <c r="F82" s="2" t="s">
        <v>736</v>
      </c>
      <c r="G82" s="2" t="str">
        <f>TRIM(SUBSTITUTE(SUBSTITUTE(SUBSTITUTE(SUBSTITUTE(tb1_supporters[[#This Row],[Phone_Raw]],"(",""),")","")," ",""),"+44",))</f>
        <v>07346850772</v>
      </c>
      <c r="H82" s="15">
        <v>26122</v>
      </c>
      <c r="I82" s="36">
        <f ca="1">IF(OR(tb1_supporters[[#This Row],[Date_of_Birth]]="",tb1_supporters[[#This Row],[Date_of_Birth]]&gt;TODAY()),"",DATEDIF(tb1_supporters[[#This Row],[Date_of_Birth]],TODAY(),"Y"))</f>
        <v>54</v>
      </c>
      <c r="J8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82" s="2" t="s">
        <v>738</v>
      </c>
      <c r="L82" s="2" t="s">
        <v>397</v>
      </c>
      <c r="M82" s="2" t="s">
        <v>220</v>
      </c>
      <c r="N82" s="2" t="s">
        <v>4869</v>
      </c>
      <c r="O82" s="2" t="s">
        <v>242</v>
      </c>
      <c r="P82" s="2" t="s">
        <v>49</v>
      </c>
      <c r="Q82" s="2" t="s">
        <v>154</v>
      </c>
      <c r="R82" s="15">
        <v>43282</v>
      </c>
      <c r="S82" s="2" t="s">
        <v>93</v>
      </c>
      <c r="T82" s="2" t="s">
        <v>36</v>
      </c>
      <c r="U82" s="2" t="s">
        <v>37</v>
      </c>
      <c r="V82" s="2" t="s">
        <v>36</v>
      </c>
      <c r="W82" s="4" t="s">
        <v>36</v>
      </c>
      <c r="X8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82" s="2" t="str">
        <f>IF(ISNUMBER(SEARCH("onal",tb1_supporters[[#This Row],[Phone_Clean]])),"Review - corrupt phone number", IF(LEN(tb1_supporters[[#This Row],[Phone_Clean]])&gt;11,"Review - too many digits",""))</f>
        <v/>
      </c>
      <c r="Z8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82" s="2" t="str">
        <f>IF(tb1_supporters[[#This Row],[Email]]="","",IF(COUNTIF(tb1_supporters[Email],tb1_supporters[[#This Row],[Email]])&gt;1,"Review - duplicate record, see Supporter_Duplicates tab",""))</f>
        <v/>
      </c>
      <c r="AB82" s="21" t="str">
        <f>IF(tb1_supporters[[#This Row],[Communication_Preference]]="Do Not Contact","DO NOT CONTACT","")</f>
        <v/>
      </c>
      <c r="AE82"/>
    </row>
    <row r="83" spans="1:31" x14ac:dyDescent="0.25">
      <c r="A83" s="3" t="s">
        <v>740</v>
      </c>
      <c r="B83" s="2" t="s">
        <v>22</v>
      </c>
      <c r="C83" s="2" t="s">
        <v>204</v>
      </c>
      <c r="D83" s="2" t="s">
        <v>71</v>
      </c>
      <c r="E83" s="2" t="s">
        <v>741</v>
      </c>
      <c r="F83" s="2" t="s">
        <v>742</v>
      </c>
      <c r="G83" s="2" t="str">
        <f>TRIM(SUBSTITUTE(SUBSTITUTE(SUBSTITUTE(SUBSTITUTE(tb1_supporters[[#This Row],[Phone_Raw]],"(",""),")","")," ",""),"+44",))</f>
        <v>07306144910</v>
      </c>
      <c r="H83" s="15">
        <v>24030</v>
      </c>
      <c r="I83" s="36">
        <f ca="1">IF(OR(tb1_supporters[[#This Row],[Date_of_Birth]]="",tb1_supporters[[#This Row],[Date_of_Birth]]&gt;TODAY()),"",DATEDIF(tb1_supporters[[#This Row],[Date_of_Birth]],TODAY(),"Y"))</f>
        <v>60</v>
      </c>
      <c r="J8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83" s="2" t="s">
        <v>744</v>
      </c>
      <c r="L83" s="2" t="s">
        <v>29</v>
      </c>
      <c r="M83" s="2" t="s">
        <v>30</v>
      </c>
      <c r="N83" s="2" t="s">
        <v>31</v>
      </c>
      <c r="O83" s="2" t="s">
        <v>242</v>
      </c>
      <c r="P83" s="2" t="s">
        <v>49</v>
      </c>
      <c r="Q83" s="2" t="s">
        <v>141</v>
      </c>
      <c r="R83" s="15">
        <v>45212</v>
      </c>
      <c r="S83" s="2" t="s">
        <v>4</v>
      </c>
      <c r="T83" s="2" t="s">
        <v>36</v>
      </c>
      <c r="U83" s="2" t="s">
        <v>37</v>
      </c>
      <c r="V83" s="2" t="s">
        <v>37</v>
      </c>
      <c r="W83" s="4" t="s">
        <v>37</v>
      </c>
      <c r="X8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83" s="2" t="str">
        <f>IF(ISNUMBER(SEARCH("onal",tb1_supporters[[#This Row],[Phone_Clean]])),"Review - corrupt phone number", IF(LEN(tb1_supporters[[#This Row],[Phone_Clean]])&gt;11,"Review - too many digits",""))</f>
        <v/>
      </c>
      <c r="Z8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83" s="2" t="str">
        <f>IF(tb1_supporters[[#This Row],[Email]]="","",IF(COUNTIF(tb1_supporters[Email],tb1_supporters[[#This Row],[Email]])&gt;1,"Review - duplicate record, see Supporter_Duplicates tab",""))</f>
        <v/>
      </c>
      <c r="AB83" s="21" t="str">
        <f>IF(tb1_supporters[[#This Row],[Communication_Preference]]="Do Not Contact","DO NOT CONTACT","")</f>
        <v/>
      </c>
      <c r="AE83"/>
    </row>
    <row r="84" spans="1:31" x14ac:dyDescent="0.25">
      <c r="A84" s="3" t="s">
        <v>746</v>
      </c>
      <c r="B84" s="2"/>
      <c r="C84" s="2" t="s">
        <v>877</v>
      </c>
      <c r="D84" s="2" t="s">
        <v>810</v>
      </c>
      <c r="E84" s="2" t="s">
        <v>4869</v>
      </c>
      <c r="F84" s="2" t="s">
        <v>749</v>
      </c>
      <c r="G84" s="2" t="str">
        <f>TRIM(SUBSTITUTE(SUBSTITUTE(SUBSTITUTE(SUBSTITUTE(tb1_supporters[[#This Row],[Phone_Raw]],"(",""),")","")," ",""),"+44",))</f>
        <v>01914956554</v>
      </c>
      <c r="H84" s="15">
        <v>26654</v>
      </c>
      <c r="I84" s="36">
        <f ca="1">IF(OR(tb1_supporters[[#This Row],[Date_of_Birth]]="",tb1_supporters[[#This Row],[Date_of_Birth]]&gt;TODAY()),"",DATEDIF(tb1_supporters[[#This Row],[Date_of_Birth]],TODAY(),"Y"))</f>
        <v>53</v>
      </c>
      <c r="J8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84" s="2" t="s">
        <v>751</v>
      </c>
      <c r="L84" s="2" t="s">
        <v>150</v>
      </c>
      <c r="M84" s="2" t="s">
        <v>151</v>
      </c>
      <c r="N84" s="2" t="s">
        <v>152</v>
      </c>
      <c r="O84" s="2" t="s">
        <v>242</v>
      </c>
      <c r="P84" s="2" t="s">
        <v>153</v>
      </c>
      <c r="Q84" s="2" t="s">
        <v>141</v>
      </c>
      <c r="R84" s="15">
        <v>45227</v>
      </c>
      <c r="S84" s="2" t="s">
        <v>4</v>
      </c>
      <c r="T84" s="2" t="s">
        <v>36</v>
      </c>
      <c r="U84" s="2" t="s">
        <v>36</v>
      </c>
      <c r="V84" s="2" t="s">
        <v>37</v>
      </c>
      <c r="W84" s="4" t="s">
        <v>37</v>
      </c>
      <c r="X8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84" s="2" t="str">
        <f>IF(ISNUMBER(SEARCH("onal",tb1_supporters[[#This Row],[Phone_Clean]])),"Review - corrupt phone number", IF(LEN(tb1_supporters[[#This Row],[Phone_Clean]])&gt;11,"Review - too many digits",""))</f>
        <v/>
      </c>
      <c r="Z8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84" s="2" t="str">
        <f>IF(tb1_supporters[[#This Row],[Email]]="","",IF(COUNTIF(tb1_supporters[Email],tb1_supporters[[#This Row],[Email]])&gt;1,"Review - duplicate record, see Supporter_Duplicates tab",""))</f>
        <v/>
      </c>
      <c r="AB84" s="21" t="str">
        <f>IF(tb1_supporters[[#This Row],[Communication_Preference]]="Do Not Contact","DO NOT CONTACT","")</f>
        <v/>
      </c>
      <c r="AE84"/>
    </row>
    <row r="85" spans="1:31" x14ac:dyDescent="0.25">
      <c r="A85" s="3" t="s">
        <v>753</v>
      </c>
      <c r="B85" s="2" t="s">
        <v>69</v>
      </c>
      <c r="C85" s="2" t="s">
        <v>754</v>
      </c>
      <c r="D85" s="2" t="s">
        <v>755</v>
      </c>
      <c r="E85" s="2" t="s">
        <v>756</v>
      </c>
      <c r="F85" s="2" t="s">
        <v>757</v>
      </c>
      <c r="G85" s="2" t="str">
        <f>TRIM(SUBSTITUTE(SUBSTITUTE(SUBSTITUTE(SUBSTITUTE(tb1_supporters[[#This Row],[Phone_Raw]],"(",""),")","")," ",""),"+44",))</f>
        <v>0208347981</v>
      </c>
      <c r="H85" s="15">
        <v>28086</v>
      </c>
      <c r="I85" s="36">
        <f ca="1">IF(OR(tb1_supporters[[#This Row],[Date_of_Birth]]="",tb1_supporters[[#This Row],[Date_of_Birth]]&gt;TODAY()),"",DATEDIF(tb1_supporters[[#This Row],[Date_of_Birth]],TODAY(),"Y"))</f>
        <v>49</v>
      </c>
      <c r="J8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85" s="2" t="s">
        <v>759</v>
      </c>
      <c r="L85" s="2" t="s">
        <v>509</v>
      </c>
      <c r="M85" s="2" t="s">
        <v>510</v>
      </c>
      <c r="N85" s="2" t="s">
        <v>760</v>
      </c>
      <c r="O85" s="2" t="s">
        <v>166</v>
      </c>
      <c r="P85" s="2" t="s">
        <v>153</v>
      </c>
      <c r="Q85" s="2" t="s">
        <v>141</v>
      </c>
      <c r="R85" s="15">
        <v>44932</v>
      </c>
      <c r="S85" s="2" t="s">
        <v>5</v>
      </c>
      <c r="T85" s="2" t="s">
        <v>36</v>
      </c>
      <c r="U85" s="2" t="s">
        <v>36</v>
      </c>
      <c r="V85" s="2" t="s">
        <v>37</v>
      </c>
      <c r="W85" s="4" t="s">
        <v>37</v>
      </c>
      <c r="X8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85" s="2" t="str">
        <f>IF(ISNUMBER(SEARCH("onal",tb1_supporters[[#This Row],[Phone_Clean]])),"Review - corrupt phone number", IF(LEN(tb1_supporters[[#This Row],[Phone_Clean]])&gt;11,"Review - too many digits",""))</f>
        <v/>
      </c>
      <c r="Z8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85" s="2" t="str">
        <f>IF(tb1_supporters[[#This Row],[Email]]="","",IF(COUNTIF(tb1_supporters[Email],tb1_supporters[[#This Row],[Email]])&gt;1,"Review - duplicate record, see Supporter_Duplicates tab",""))</f>
        <v/>
      </c>
      <c r="AB85" s="21" t="str">
        <f>IF(tb1_supporters[[#This Row],[Communication_Preference]]="Do Not Contact","DO NOT CONTACT","")</f>
        <v/>
      </c>
      <c r="AE85"/>
    </row>
    <row r="86" spans="1:31" x14ac:dyDescent="0.25">
      <c r="A86" s="3" t="s">
        <v>762</v>
      </c>
      <c r="B86" s="2"/>
      <c r="C86" s="2" t="s">
        <v>224</v>
      </c>
      <c r="D86" s="2" t="s">
        <v>489</v>
      </c>
      <c r="E86" s="2" t="s">
        <v>763</v>
      </c>
      <c r="F86" s="2" t="s">
        <v>764</v>
      </c>
      <c r="G86" s="2" t="str">
        <f>TRIM(SUBSTITUTE(SUBSTITUTE(SUBSTITUTE(SUBSTITUTE(tb1_supporters[[#This Row],[Phone_Raw]],"(",""),")","")," ",""),"+44",))</f>
        <v>07969722794</v>
      </c>
      <c r="H86" s="15"/>
      <c r="I86" s="36" t="str">
        <f ca="1">IF(OR(tb1_supporters[[#This Row],[Date_of_Birth]]="",tb1_supporters[[#This Row],[Date_of_Birth]]&gt;TODAY()),"",DATEDIF(tb1_supporters[[#This Row],[Date_of_Birth]],TODAY(),"Y"))</f>
        <v/>
      </c>
      <c r="J8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86" s="2" t="s">
        <v>765</v>
      </c>
      <c r="L86" s="2" t="s">
        <v>766</v>
      </c>
      <c r="M86" s="2" t="s">
        <v>767</v>
      </c>
      <c r="N86" s="2" t="s">
        <v>768</v>
      </c>
      <c r="O86" s="2" t="s">
        <v>242</v>
      </c>
      <c r="P86" s="2" t="s">
        <v>181</v>
      </c>
      <c r="Q86" s="2" t="s">
        <v>154</v>
      </c>
      <c r="R86" s="15">
        <v>43376</v>
      </c>
      <c r="S86" s="2" t="s">
        <v>4</v>
      </c>
      <c r="T86" s="2" t="s">
        <v>36</v>
      </c>
      <c r="U86" s="2" t="s">
        <v>36</v>
      </c>
      <c r="V86" s="2" t="s">
        <v>36</v>
      </c>
      <c r="W86" s="4" t="s">
        <v>37</v>
      </c>
      <c r="X8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86" s="2" t="str">
        <f>IF(ISNUMBER(SEARCH("onal",tb1_supporters[[#This Row],[Phone_Clean]])),"Review - corrupt phone number", IF(LEN(tb1_supporters[[#This Row],[Phone_Clean]])&gt;11,"Review - too many digits",""))</f>
        <v/>
      </c>
      <c r="Z8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86" s="2" t="str">
        <f>IF(tb1_supporters[[#This Row],[Email]]="","",IF(COUNTIF(tb1_supporters[Email],tb1_supporters[[#This Row],[Email]])&gt;1,"Review - duplicate record, see Supporter_Duplicates tab",""))</f>
        <v/>
      </c>
      <c r="AB86" s="21" t="str">
        <f>IF(tb1_supporters[[#This Row],[Communication_Preference]]="Do Not Contact","DO NOT CONTACT","")</f>
        <v/>
      </c>
      <c r="AE86"/>
    </row>
    <row r="87" spans="1:31" x14ac:dyDescent="0.25">
      <c r="A87" s="3" t="s">
        <v>770</v>
      </c>
      <c r="B87" s="2" t="s">
        <v>54</v>
      </c>
      <c r="C87" s="2" t="s">
        <v>337</v>
      </c>
      <c r="D87" s="2" t="s">
        <v>771</v>
      </c>
      <c r="E87" s="2" t="s">
        <v>772</v>
      </c>
      <c r="F87" s="2" t="s">
        <v>773</v>
      </c>
      <c r="G87" s="2" t="str">
        <f>TRIM(SUBSTITUTE(SUBSTITUTE(SUBSTITUTE(SUBSTITUTE(tb1_supporters[[#This Row],[Phone_Raw]],"(",""),")","")," ",""),"+44",))</f>
        <v>7475507421</v>
      </c>
      <c r="H87" s="15">
        <v>24664</v>
      </c>
      <c r="I87" s="36">
        <f ca="1">IF(OR(tb1_supporters[[#This Row],[Date_of_Birth]]="",tb1_supporters[[#This Row],[Date_of_Birth]]&gt;TODAY()),"",DATEDIF(tb1_supporters[[#This Row],[Date_of_Birth]],TODAY(),"Y"))</f>
        <v>58</v>
      </c>
      <c r="J8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87" s="2" t="s">
        <v>775</v>
      </c>
      <c r="L87" s="2" t="s">
        <v>766</v>
      </c>
      <c r="M87" s="2" t="s">
        <v>767</v>
      </c>
      <c r="N87" s="2" t="s">
        <v>768</v>
      </c>
      <c r="O87" s="2" t="s">
        <v>166</v>
      </c>
      <c r="P87" s="2" t="s">
        <v>33</v>
      </c>
      <c r="Q87" s="2" t="s">
        <v>192</v>
      </c>
      <c r="R87" s="15">
        <v>43207</v>
      </c>
      <c r="S87" s="2" t="s">
        <v>4</v>
      </c>
      <c r="T87" s="2" t="s">
        <v>36</v>
      </c>
      <c r="U87" s="2" t="s">
        <v>36</v>
      </c>
      <c r="V87" s="2" t="s">
        <v>37</v>
      </c>
      <c r="W87" s="4" t="s">
        <v>37</v>
      </c>
      <c r="X8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87" s="2" t="str">
        <f>IF(ISNUMBER(SEARCH("onal",tb1_supporters[[#This Row],[Phone_Clean]])),"Review - corrupt phone number", IF(LEN(tb1_supporters[[#This Row],[Phone_Clean]])&gt;11,"Review - too many digits",""))</f>
        <v/>
      </c>
      <c r="Z8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87" s="2" t="str">
        <f>IF(tb1_supporters[[#This Row],[Email]]="","",IF(COUNTIF(tb1_supporters[Email],tb1_supporters[[#This Row],[Email]])&gt;1,"Review - duplicate record, see Supporter_Duplicates tab",""))</f>
        <v/>
      </c>
      <c r="AB87" s="21" t="str">
        <f>IF(tb1_supporters[[#This Row],[Communication_Preference]]="Do Not Contact","DO NOT CONTACT","")</f>
        <v/>
      </c>
      <c r="AE87"/>
    </row>
    <row r="88" spans="1:31" x14ac:dyDescent="0.25">
      <c r="A88" s="3" t="s">
        <v>777</v>
      </c>
      <c r="B88" s="2" t="s">
        <v>54</v>
      </c>
      <c r="C88" s="2" t="s">
        <v>778</v>
      </c>
      <c r="D88" s="2" t="s">
        <v>674</v>
      </c>
      <c r="E88" s="2" t="s">
        <v>779</v>
      </c>
      <c r="F88" s="2" t="s">
        <v>780</v>
      </c>
      <c r="G88" s="2" t="str">
        <f>TRIM(SUBSTITUTE(SUBSTITUTE(SUBSTITUTE(SUBSTITUTE(tb1_supporters[[#This Row],[Phone_Raw]],"(",""),")","")," ",""),"+44",))</f>
        <v>07238973175</v>
      </c>
      <c r="H88" s="15">
        <v>24540</v>
      </c>
      <c r="I88" s="36">
        <f ca="1">IF(OR(tb1_supporters[[#This Row],[Date_of_Birth]]="",tb1_supporters[[#This Row],[Date_of_Birth]]&gt;TODAY()),"",DATEDIF(tb1_supporters[[#This Row],[Date_of_Birth]],TODAY(),"Y"))</f>
        <v>59</v>
      </c>
      <c r="J8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88" s="2" t="s">
        <v>782</v>
      </c>
      <c r="L88" s="2" t="s">
        <v>625</v>
      </c>
      <c r="M88" s="2" t="s">
        <v>626</v>
      </c>
      <c r="N88" s="2" t="s">
        <v>627</v>
      </c>
      <c r="O88" s="2" t="s">
        <v>166</v>
      </c>
      <c r="P88" s="2" t="s">
        <v>153</v>
      </c>
      <c r="Q88" s="2" t="s">
        <v>192</v>
      </c>
      <c r="R88" s="15">
        <v>44410</v>
      </c>
      <c r="S88" s="2" t="s">
        <v>5</v>
      </c>
      <c r="T88" s="2" t="s">
        <v>36</v>
      </c>
      <c r="U88" s="2" t="s">
        <v>36</v>
      </c>
      <c r="V88" s="2" t="s">
        <v>37</v>
      </c>
      <c r="W88" s="4" t="s">
        <v>37</v>
      </c>
      <c r="X8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88" s="2" t="str">
        <f>IF(ISNUMBER(SEARCH("onal",tb1_supporters[[#This Row],[Phone_Clean]])),"Review - corrupt phone number", IF(LEN(tb1_supporters[[#This Row],[Phone_Clean]])&gt;11,"Review - too many digits",""))</f>
        <v/>
      </c>
      <c r="Z8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88" s="2" t="str">
        <f>IF(tb1_supporters[[#This Row],[Email]]="","",IF(COUNTIF(tb1_supporters[Email],tb1_supporters[[#This Row],[Email]])&gt;1,"Review - duplicate record, see Supporter_Duplicates tab",""))</f>
        <v/>
      </c>
      <c r="AB88" s="21" t="str">
        <f>IF(tb1_supporters[[#This Row],[Communication_Preference]]="Do Not Contact","DO NOT CONTACT","")</f>
        <v/>
      </c>
      <c r="AE88"/>
    </row>
    <row r="89" spans="1:31" x14ac:dyDescent="0.25">
      <c r="A89" s="3" t="s">
        <v>784</v>
      </c>
      <c r="B89" s="2"/>
      <c r="C89" s="2" t="s">
        <v>413</v>
      </c>
      <c r="D89" s="2" t="s">
        <v>674</v>
      </c>
      <c r="E89" s="2" t="s">
        <v>785</v>
      </c>
      <c r="F89" s="2" t="s">
        <v>786</v>
      </c>
      <c r="G89" s="2" t="str">
        <f>TRIM(SUBSTITUTE(SUBSTITUTE(SUBSTITUTE(SUBSTITUTE(tb1_supporters[[#This Row],[Phone_Raw]],"(",""),")","")," ",""),"+44",))</f>
        <v>07911242342</v>
      </c>
      <c r="H89" s="15">
        <v>20115</v>
      </c>
      <c r="I89" s="36">
        <f ca="1">IF(OR(tb1_supporters[[#This Row],[Date_of_Birth]]="",tb1_supporters[[#This Row],[Date_of_Birth]]&gt;TODAY()),"",DATEDIF(tb1_supporters[[#This Row],[Date_of_Birth]],TODAY(),"Y"))</f>
        <v>71</v>
      </c>
      <c r="J8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89" s="2" t="s">
        <v>788</v>
      </c>
      <c r="L89" s="2" t="s">
        <v>609</v>
      </c>
      <c r="M89" s="2" t="s">
        <v>610</v>
      </c>
      <c r="N89" s="2" t="s">
        <v>611</v>
      </c>
      <c r="O89" s="2" t="s">
        <v>242</v>
      </c>
      <c r="P89" s="2" t="s">
        <v>181</v>
      </c>
      <c r="Q89" s="2" t="s">
        <v>141</v>
      </c>
      <c r="R89" s="15">
        <v>45370</v>
      </c>
      <c r="S89" s="2" t="s">
        <v>93</v>
      </c>
      <c r="T89" s="2" t="s">
        <v>37</v>
      </c>
      <c r="U89" s="2" t="s">
        <v>36</v>
      </c>
      <c r="V89" s="2" t="s">
        <v>37</v>
      </c>
      <c r="W89" s="4" t="s">
        <v>37</v>
      </c>
      <c r="X8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89" s="2" t="str">
        <f>IF(ISNUMBER(SEARCH("onal",tb1_supporters[[#This Row],[Phone_Clean]])),"Review - corrupt phone number", IF(LEN(tb1_supporters[[#This Row],[Phone_Clean]])&gt;11,"Review - too many digits",""))</f>
        <v/>
      </c>
      <c r="Z8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89" s="2" t="str">
        <f>IF(tb1_supporters[[#This Row],[Email]]="","",IF(COUNTIF(tb1_supporters[Email],tb1_supporters[[#This Row],[Email]])&gt;1,"Review - duplicate record, see Supporter_Duplicates tab",""))</f>
        <v/>
      </c>
      <c r="AB89" s="21" t="str">
        <f>IF(tb1_supporters[[#This Row],[Communication_Preference]]="Do Not Contact","DO NOT CONTACT","")</f>
        <v/>
      </c>
      <c r="AE89"/>
    </row>
    <row r="90" spans="1:31" x14ac:dyDescent="0.25">
      <c r="A90" s="3" t="s">
        <v>790</v>
      </c>
      <c r="B90" s="2"/>
      <c r="C90" s="2" t="s">
        <v>791</v>
      </c>
      <c r="D90" s="2" t="s">
        <v>489</v>
      </c>
      <c r="E90" s="2" t="s">
        <v>4869</v>
      </c>
      <c r="F90" s="2" t="s">
        <v>792</v>
      </c>
      <c r="G90" s="2" t="str">
        <f>TRIM(SUBSTITUTE(SUBSTITUTE(SUBSTITUTE(SUBSTITUTE(tb1_supporters[[#This Row],[Phone_Raw]],"(",""),")","")," ",""),"+44",))</f>
        <v>07424757175</v>
      </c>
      <c r="H90" s="15">
        <v>27528</v>
      </c>
      <c r="I90" s="36">
        <f ca="1">IF(OR(tb1_supporters[[#This Row],[Date_of_Birth]]="",tb1_supporters[[#This Row],[Date_of_Birth]]&gt;TODAY()),"",DATEDIF(tb1_supporters[[#This Row],[Date_of_Birth]],TODAY(),"Y"))</f>
        <v>51</v>
      </c>
      <c r="J9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90" s="2" t="s">
        <v>794</v>
      </c>
      <c r="L90" s="2" t="s">
        <v>693</v>
      </c>
      <c r="M90" s="2" t="s">
        <v>694</v>
      </c>
      <c r="N90" s="2" t="s">
        <v>695</v>
      </c>
      <c r="O90" s="2" t="s">
        <v>242</v>
      </c>
      <c r="P90" s="2" t="s">
        <v>49</v>
      </c>
      <c r="Q90" s="2" t="s">
        <v>154</v>
      </c>
      <c r="R90" s="15">
        <v>45359</v>
      </c>
      <c r="S90" s="2" t="s">
        <v>4</v>
      </c>
      <c r="T90" s="2" t="s">
        <v>37</v>
      </c>
      <c r="U90" s="2" t="s">
        <v>36</v>
      </c>
      <c r="V90" s="2" t="s">
        <v>36</v>
      </c>
      <c r="W90" s="4" t="s">
        <v>37</v>
      </c>
      <c r="X9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90" s="2" t="str">
        <f>IF(ISNUMBER(SEARCH("onal",tb1_supporters[[#This Row],[Phone_Clean]])),"Review - corrupt phone number", IF(LEN(tb1_supporters[[#This Row],[Phone_Clean]])&gt;11,"Review - too many digits",""))</f>
        <v/>
      </c>
      <c r="Z9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90" s="2" t="str">
        <f>IF(tb1_supporters[[#This Row],[Email]]="","",IF(COUNTIF(tb1_supporters[Email],tb1_supporters[[#This Row],[Email]])&gt;1,"Review - duplicate record, see Supporter_Duplicates tab",""))</f>
        <v/>
      </c>
      <c r="AB90" s="21" t="str">
        <f>IF(tb1_supporters[[#This Row],[Communication_Preference]]="Do Not Contact","DO NOT CONTACT","")</f>
        <v/>
      </c>
      <c r="AE90"/>
    </row>
    <row r="91" spans="1:31" x14ac:dyDescent="0.25">
      <c r="A91" s="3" t="s">
        <v>796</v>
      </c>
      <c r="B91" s="2" t="s">
        <v>402</v>
      </c>
      <c r="C91" s="2" t="s">
        <v>224</v>
      </c>
      <c r="D91" s="2" t="s">
        <v>56</v>
      </c>
      <c r="E91" s="2" t="s">
        <v>797</v>
      </c>
      <c r="F91" s="2" t="s">
        <v>798</v>
      </c>
      <c r="G91" s="2" t="str">
        <f>TRIM(SUBSTITUTE(SUBSTITUTE(SUBSTITUTE(SUBSTITUTE(tb1_supporters[[#This Row],[Phone_Raw]],"(",""),")","")," ",""),"+44",))</f>
        <v>07631390966</v>
      </c>
      <c r="H91" s="15">
        <v>33170</v>
      </c>
      <c r="I91" s="36">
        <f ca="1">IF(OR(tb1_supporters[[#This Row],[Date_of_Birth]]="",tb1_supporters[[#This Row],[Date_of_Birth]]&gt;TODAY()),"",DATEDIF(tb1_supporters[[#This Row],[Date_of_Birth]],TODAY(),"Y"))</f>
        <v>35</v>
      </c>
      <c r="J9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91" s="2" t="s">
        <v>800</v>
      </c>
      <c r="L91" s="2" t="s">
        <v>219</v>
      </c>
      <c r="M91" s="2" t="s">
        <v>220</v>
      </c>
      <c r="N91" s="2" t="s">
        <v>221</v>
      </c>
      <c r="O91" s="2" t="s">
        <v>242</v>
      </c>
      <c r="P91" s="2" t="s">
        <v>33</v>
      </c>
      <c r="Q91" s="2" t="s">
        <v>4888</v>
      </c>
      <c r="R91" s="15">
        <v>45357</v>
      </c>
      <c r="S91" s="2" t="s">
        <v>105</v>
      </c>
      <c r="T91" s="2" t="s">
        <v>37</v>
      </c>
      <c r="U91" s="2" t="s">
        <v>37</v>
      </c>
      <c r="V91" s="2" t="s">
        <v>37</v>
      </c>
      <c r="W91" s="4" t="s">
        <v>37</v>
      </c>
      <c r="X9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91" s="2" t="str">
        <f>IF(ISNUMBER(SEARCH("onal",tb1_supporters[[#This Row],[Phone_Clean]])),"Review - corrupt phone number", IF(LEN(tb1_supporters[[#This Row],[Phone_Clean]])&gt;11,"Review - too many digits",""))</f>
        <v/>
      </c>
      <c r="Z9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91" s="2" t="str">
        <f>IF(tb1_supporters[[#This Row],[Email]]="","",IF(COUNTIF(tb1_supporters[Email],tb1_supporters[[#This Row],[Email]])&gt;1,"Review - duplicate record, see Supporter_Duplicates tab",""))</f>
        <v/>
      </c>
      <c r="AB91" s="21" t="str">
        <f>IF(tb1_supporters[[#This Row],[Communication_Preference]]="Do Not Contact","DO NOT CONTACT","")</f>
        <v>DO NOT CONTACT</v>
      </c>
      <c r="AE91"/>
    </row>
    <row r="92" spans="1:31" x14ac:dyDescent="0.25">
      <c r="A92" s="3" t="s">
        <v>802</v>
      </c>
      <c r="B92" s="2" t="s">
        <v>402</v>
      </c>
      <c r="C92" s="2" t="s">
        <v>265</v>
      </c>
      <c r="D92" s="2" t="s">
        <v>425</v>
      </c>
      <c r="E92" s="2" t="s">
        <v>803</v>
      </c>
      <c r="F92" s="2" t="s">
        <v>804</v>
      </c>
      <c r="G92" s="2" t="str">
        <f>TRIM(SUBSTITUTE(SUBSTITUTE(SUBSTITUTE(SUBSTITUTE(tb1_supporters[[#This Row],[Phone_Raw]],"(",""),")","")," ",""),"+44",))</f>
        <v>07183146756</v>
      </c>
      <c r="H92" s="15">
        <v>31491</v>
      </c>
      <c r="I92" s="36">
        <f ca="1">IF(OR(tb1_supporters[[#This Row],[Date_of_Birth]]="",tb1_supporters[[#This Row],[Date_of_Birth]]&gt;TODAY()),"",DATEDIF(tb1_supporters[[#This Row],[Date_of_Birth]],TODAY(),"Y"))</f>
        <v>40</v>
      </c>
      <c r="J9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92" s="2" t="s">
        <v>806</v>
      </c>
      <c r="L92" s="2" t="s">
        <v>429</v>
      </c>
      <c r="M92" s="2" t="s">
        <v>430</v>
      </c>
      <c r="N92" s="2" t="s">
        <v>431</v>
      </c>
      <c r="O92" s="2" t="s">
        <v>242</v>
      </c>
      <c r="P92" s="2" t="s">
        <v>33</v>
      </c>
      <c r="Q92" s="2" t="s">
        <v>243</v>
      </c>
      <c r="R92" s="15">
        <v>45297</v>
      </c>
      <c r="S92" s="2" t="s">
        <v>52</v>
      </c>
      <c r="T92" s="2" t="s">
        <v>36</v>
      </c>
      <c r="U92" s="2" t="s">
        <v>37</v>
      </c>
      <c r="V92" s="2" t="s">
        <v>37</v>
      </c>
      <c r="W92" s="4" t="s">
        <v>36</v>
      </c>
      <c r="X9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92" s="2" t="str">
        <f>IF(ISNUMBER(SEARCH("onal",tb1_supporters[[#This Row],[Phone_Clean]])),"Review - corrupt phone number", IF(LEN(tb1_supporters[[#This Row],[Phone_Clean]])&gt;11,"Review - too many digits",""))</f>
        <v/>
      </c>
      <c r="Z9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92" s="2" t="str">
        <f>IF(tb1_supporters[[#This Row],[Email]]="","",IF(COUNTIF(tb1_supporters[Email],tb1_supporters[[#This Row],[Email]])&gt;1,"Review - duplicate record, see Supporter_Duplicates tab",""))</f>
        <v/>
      </c>
      <c r="AB92" s="21" t="str">
        <f>IF(tb1_supporters[[#This Row],[Communication_Preference]]="Do Not Contact","DO NOT CONTACT","")</f>
        <v/>
      </c>
      <c r="AE92"/>
    </row>
    <row r="93" spans="1:31" x14ac:dyDescent="0.25">
      <c r="A93" s="3" t="s">
        <v>808</v>
      </c>
      <c r="B93" s="2"/>
      <c r="C93" s="2" t="s">
        <v>809</v>
      </c>
      <c r="D93" s="2" t="s">
        <v>810</v>
      </c>
      <c r="E93" s="2" t="s">
        <v>811</v>
      </c>
      <c r="F93" s="2" t="s">
        <v>812</v>
      </c>
      <c r="G93" s="2" t="str">
        <f>TRIM(SUBSTITUTE(SUBSTITUTE(SUBSTITUTE(SUBSTITUTE(tb1_supporters[[#This Row],[Phone_Raw]],"(",""),")","")," ",""),"+44",))</f>
        <v>01318051981</v>
      </c>
      <c r="H93" s="15">
        <v>21414</v>
      </c>
      <c r="I93" s="36">
        <f ca="1">IF(OR(tb1_supporters[[#This Row],[Date_of_Birth]]="",tb1_supporters[[#This Row],[Date_of_Birth]]&gt;TODAY()),"",DATEDIF(tb1_supporters[[#This Row],[Date_of_Birth]],TODAY(),"Y"))</f>
        <v>67</v>
      </c>
      <c r="J9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93" s="2" t="s">
        <v>814</v>
      </c>
      <c r="L93" s="2" t="s">
        <v>370</v>
      </c>
      <c r="M93" s="2" t="s">
        <v>371</v>
      </c>
      <c r="N93" s="2" t="s">
        <v>602</v>
      </c>
      <c r="O93" s="2" t="s">
        <v>242</v>
      </c>
      <c r="P93" s="2" t="s">
        <v>4887</v>
      </c>
      <c r="Q93" s="2" t="s">
        <v>66</v>
      </c>
      <c r="R93" s="15">
        <v>45003</v>
      </c>
      <c r="S93" s="2" t="s">
        <v>5</v>
      </c>
      <c r="T93" s="2" t="s">
        <v>816</v>
      </c>
      <c r="U93" s="2" t="s">
        <v>36</v>
      </c>
      <c r="V93" s="2" t="s">
        <v>37</v>
      </c>
      <c r="W93" s="4" t="s">
        <v>36</v>
      </c>
      <c r="X9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93" s="2" t="str">
        <f>IF(ISNUMBER(SEARCH("onal",tb1_supporters[[#This Row],[Phone_Clean]])),"Review - corrupt phone number", IF(LEN(tb1_supporters[[#This Row],[Phone_Clean]])&gt;11,"Review - too many digits",""))</f>
        <v/>
      </c>
      <c r="Z9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93" s="2" t="str">
        <f>IF(tb1_supporters[[#This Row],[Email]]="","",IF(COUNTIF(tb1_supporters[Email],tb1_supporters[[#This Row],[Email]])&gt;1,"Review - duplicate record, see Supporter_Duplicates tab",""))</f>
        <v/>
      </c>
      <c r="AB93" s="21" t="str">
        <f>IF(tb1_supporters[[#This Row],[Communication_Preference]]="Do Not Contact","DO NOT CONTACT","")</f>
        <v/>
      </c>
      <c r="AE93"/>
    </row>
    <row r="94" spans="1:31" x14ac:dyDescent="0.25">
      <c r="A94" s="3" t="s">
        <v>817</v>
      </c>
      <c r="B94" s="2"/>
      <c r="C94" s="2" t="s">
        <v>818</v>
      </c>
      <c r="D94" s="2" t="s">
        <v>819</v>
      </c>
      <c r="E94" s="2" t="s">
        <v>820</v>
      </c>
      <c r="F94" s="2" t="s">
        <v>821</v>
      </c>
      <c r="G94" s="2" t="str">
        <f>TRIM(SUBSTITUTE(SUBSTITUTE(SUBSTITUTE(SUBSTITUTE(tb1_supporters[[#This Row],[Phone_Raw]],"(",""),")","")," ",""),"+44",))</f>
        <v>07347577225</v>
      </c>
      <c r="H94" s="15">
        <v>11902</v>
      </c>
      <c r="I94" s="36">
        <f ca="1">IF(OR(tb1_supporters[[#This Row],[Date_of_Birth]]="",tb1_supporters[[#This Row],[Date_of_Birth]]&gt;TODAY()),"",DATEDIF(tb1_supporters[[#This Row],[Date_of_Birth]],TODAY(),"Y"))</f>
        <v>93</v>
      </c>
      <c r="J9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94" s="2" t="s">
        <v>823</v>
      </c>
      <c r="L94" s="2" t="s">
        <v>278</v>
      </c>
      <c r="M94" s="2" t="s">
        <v>279</v>
      </c>
      <c r="N94" s="2" t="s">
        <v>280</v>
      </c>
      <c r="O94" s="2" t="s">
        <v>242</v>
      </c>
      <c r="P94" s="2" t="s">
        <v>33</v>
      </c>
      <c r="Q94" s="2" t="s">
        <v>154</v>
      </c>
      <c r="R94" s="15">
        <v>43467</v>
      </c>
      <c r="S94" s="2" t="s">
        <v>52</v>
      </c>
      <c r="T94" s="2" t="s">
        <v>36</v>
      </c>
      <c r="U94" s="2" t="s">
        <v>36</v>
      </c>
      <c r="V94" s="2" t="s">
        <v>37</v>
      </c>
      <c r="W94" s="4" t="s">
        <v>37</v>
      </c>
      <c r="X9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94" s="2" t="str">
        <f>IF(ISNUMBER(SEARCH("onal",tb1_supporters[[#This Row],[Phone_Clean]])),"Review - corrupt phone number", IF(LEN(tb1_supporters[[#This Row],[Phone_Clean]])&gt;11,"Review - too many digits",""))</f>
        <v/>
      </c>
      <c r="Z9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94" s="2" t="str">
        <f>IF(tb1_supporters[[#This Row],[Email]]="","",IF(COUNTIF(tb1_supporters[Email],tb1_supporters[[#This Row],[Email]])&gt;1,"Review - duplicate record, see Supporter_Duplicates tab",""))</f>
        <v/>
      </c>
      <c r="AB94" s="21" t="str">
        <f>IF(tb1_supporters[[#This Row],[Communication_Preference]]="Do Not Contact","DO NOT CONTACT","")</f>
        <v/>
      </c>
      <c r="AE94"/>
    </row>
    <row r="95" spans="1:31" x14ac:dyDescent="0.25">
      <c r="A95" s="3" t="s">
        <v>825</v>
      </c>
      <c r="B95" s="2" t="s">
        <v>54</v>
      </c>
      <c r="C95" s="2" t="s">
        <v>107</v>
      </c>
      <c r="D95" s="2" t="s">
        <v>449</v>
      </c>
      <c r="E95" s="2" t="s">
        <v>826</v>
      </c>
      <c r="F95" s="2" t="s">
        <v>827</v>
      </c>
      <c r="G95" s="2" t="str">
        <f>TRIM(SUBSTITUTE(SUBSTITUTE(SUBSTITUTE(SUBSTITUTE(tb1_supporters[[#This Row],[Phone_Raw]],"(",""),")","")," ",""),"+44",))</f>
        <v>7578610415</v>
      </c>
      <c r="H95" s="15">
        <v>27113</v>
      </c>
      <c r="I95" s="36">
        <f ca="1">IF(OR(tb1_supporters[[#This Row],[Date_of_Birth]]="",tb1_supporters[[#This Row],[Date_of_Birth]]&gt;TODAY()),"",DATEDIF(tb1_supporters[[#This Row],[Date_of_Birth]],TODAY(),"Y"))</f>
        <v>52</v>
      </c>
      <c r="J9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95" s="2" t="s">
        <v>829</v>
      </c>
      <c r="L95" s="2" t="s">
        <v>660</v>
      </c>
      <c r="M95" s="2" t="s">
        <v>230</v>
      </c>
      <c r="N95" s="2" t="s">
        <v>661</v>
      </c>
      <c r="O95" s="2" t="s">
        <v>166</v>
      </c>
      <c r="P95" s="2" t="s">
        <v>65</v>
      </c>
      <c r="Q95" s="2" t="s">
        <v>66</v>
      </c>
      <c r="R95" s="15">
        <v>45171</v>
      </c>
      <c r="S95" s="2" t="s">
        <v>5</v>
      </c>
      <c r="T95" s="2" t="s">
        <v>36</v>
      </c>
      <c r="U95" s="2" t="s">
        <v>36</v>
      </c>
      <c r="V95" s="2" t="s">
        <v>36</v>
      </c>
      <c r="W95" s="4" t="s">
        <v>37</v>
      </c>
      <c r="X9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95" s="2" t="str">
        <f>IF(ISNUMBER(SEARCH("onal",tb1_supporters[[#This Row],[Phone_Clean]])),"Review - corrupt phone number", IF(LEN(tb1_supporters[[#This Row],[Phone_Clean]])&gt;11,"Review - too many digits",""))</f>
        <v/>
      </c>
      <c r="Z9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95" s="2" t="str">
        <f>IF(tb1_supporters[[#This Row],[Email]]="","",IF(COUNTIF(tb1_supporters[Email],tb1_supporters[[#This Row],[Email]])&gt;1,"Review - duplicate record, see Supporter_Duplicates tab",""))</f>
        <v/>
      </c>
      <c r="AB95" s="21" t="str">
        <f>IF(tb1_supporters[[#This Row],[Communication_Preference]]="Do Not Contact","DO NOT CONTACT","")</f>
        <v/>
      </c>
      <c r="AE95"/>
    </row>
    <row r="96" spans="1:31" x14ac:dyDescent="0.25">
      <c r="A96" s="3" t="s">
        <v>831</v>
      </c>
      <c r="B96" s="2" t="s">
        <v>54</v>
      </c>
      <c r="C96" s="2" t="s">
        <v>55</v>
      </c>
      <c r="D96" s="2" t="s">
        <v>365</v>
      </c>
      <c r="E96" s="2" t="s">
        <v>832</v>
      </c>
      <c r="F96" s="2" t="s">
        <v>833</v>
      </c>
      <c r="G96" s="2" t="str">
        <f>TRIM(SUBSTITUTE(SUBSTITUTE(SUBSTITUTE(SUBSTITUTE(tb1_supporters[[#This Row],[Phone_Raw]],"(",""),")","")," ",""),"+44",))</f>
        <v>01413706992</v>
      </c>
      <c r="H96" s="15">
        <v>21964</v>
      </c>
      <c r="I96" s="36">
        <f ca="1">IF(OR(tb1_supporters[[#This Row],[Date_of_Birth]]="",tb1_supporters[[#This Row],[Date_of_Birth]]&gt;TODAY()),"",DATEDIF(tb1_supporters[[#This Row],[Date_of_Birth]],TODAY(),"Y"))</f>
        <v>66</v>
      </c>
      <c r="J9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96" s="2" t="s">
        <v>835</v>
      </c>
      <c r="L96" s="2" t="s">
        <v>370</v>
      </c>
      <c r="M96" s="2" t="s">
        <v>371</v>
      </c>
      <c r="N96" s="2" t="s">
        <v>4869</v>
      </c>
      <c r="O96" s="2" t="s">
        <v>166</v>
      </c>
      <c r="P96" s="2" t="s">
        <v>49</v>
      </c>
      <c r="Q96" s="2" t="s">
        <v>192</v>
      </c>
      <c r="R96" s="15">
        <v>44741</v>
      </c>
      <c r="S96" s="2" t="s">
        <v>5</v>
      </c>
      <c r="T96" s="2" t="s">
        <v>36</v>
      </c>
      <c r="U96" s="2" t="s">
        <v>37</v>
      </c>
      <c r="V96" s="2" t="s">
        <v>37</v>
      </c>
      <c r="W96" s="4" t="s">
        <v>36</v>
      </c>
      <c r="X9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96" s="2" t="str">
        <f>IF(ISNUMBER(SEARCH("onal",tb1_supporters[[#This Row],[Phone_Clean]])),"Review - corrupt phone number", IF(LEN(tb1_supporters[[#This Row],[Phone_Clean]])&gt;11,"Review - too many digits",""))</f>
        <v/>
      </c>
      <c r="Z9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96" s="2" t="str">
        <f>IF(tb1_supporters[[#This Row],[Email]]="","",IF(COUNTIF(tb1_supporters[Email],tb1_supporters[[#This Row],[Email]])&gt;1,"Review - duplicate record, see Supporter_Duplicates tab",""))</f>
        <v/>
      </c>
      <c r="AB96" s="21" t="str">
        <f>IF(tb1_supporters[[#This Row],[Communication_Preference]]="Do Not Contact","DO NOT CONTACT","")</f>
        <v/>
      </c>
      <c r="AE96"/>
    </row>
    <row r="97" spans="1:31" x14ac:dyDescent="0.25">
      <c r="A97" s="3" t="s">
        <v>837</v>
      </c>
      <c r="B97" s="2" t="s">
        <v>4866</v>
      </c>
      <c r="C97" s="2" t="s">
        <v>838</v>
      </c>
      <c r="D97" s="2" t="s">
        <v>325</v>
      </c>
      <c r="E97" s="2" t="s">
        <v>839</v>
      </c>
      <c r="F97" s="2" t="s">
        <v>840</v>
      </c>
      <c r="G97" s="2" t="str">
        <f>TRIM(SUBSTITUTE(SUBSTITUTE(SUBSTITUTE(SUBSTITUTE(tb1_supporters[[#This Row],[Phone_Raw]],"(",""),")","")," ",""),"+44",))</f>
        <v>07503482913</v>
      </c>
      <c r="H97" s="15">
        <v>23654</v>
      </c>
      <c r="I97" s="36">
        <f ca="1">IF(OR(tb1_supporters[[#This Row],[Date_of_Birth]]="",tb1_supporters[[#This Row],[Date_of_Birth]]&gt;TODAY()),"",DATEDIF(tb1_supporters[[#This Row],[Date_of_Birth]],TODAY(),"Y"))</f>
        <v>61</v>
      </c>
      <c r="J9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97" s="2" t="s">
        <v>842</v>
      </c>
      <c r="L97" s="2" t="s">
        <v>252</v>
      </c>
      <c r="M97" s="2" t="s">
        <v>253</v>
      </c>
      <c r="N97" s="2" t="s">
        <v>254</v>
      </c>
      <c r="O97" s="2" t="s">
        <v>242</v>
      </c>
      <c r="P97" s="2" t="s">
        <v>117</v>
      </c>
      <c r="Q97" s="2" t="s">
        <v>154</v>
      </c>
      <c r="R97" s="15">
        <v>45568</v>
      </c>
      <c r="S97" s="2" t="s">
        <v>4</v>
      </c>
      <c r="T97" s="2" t="s">
        <v>37</v>
      </c>
      <c r="U97" s="2" t="s">
        <v>36</v>
      </c>
      <c r="V97" s="2" t="s">
        <v>37</v>
      </c>
      <c r="W97" s="4" t="s">
        <v>36</v>
      </c>
      <c r="X9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97" s="2" t="str">
        <f>IF(ISNUMBER(SEARCH("onal",tb1_supporters[[#This Row],[Phone_Clean]])),"Review - corrupt phone number", IF(LEN(tb1_supporters[[#This Row],[Phone_Clean]])&gt;11,"Review - too many digits",""))</f>
        <v/>
      </c>
      <c r="Z9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97" s="2" t="str">
        <f>IF(tb1_supporters[[#This Row],[Email]]="","",IF(COUNTIF(tb1_supporters[Email],tb1_supporters[[#This Row],[Email]])&gt;1,"Review - duplicate record, see Supporter_Duplicates tab",""))</f>
        <v/>
      </c>
      <c r="AB97" s="21" t="str">
        <f>IF(tb1_supporters[[#This Row],[Communication_Preference]]="Do Not Contact","DO NOT CONTACT","")</f>
        <v/>
      </c>
      <c r="AE97"/>
    </row>
    <row r="98" spans="1:31" x14ac:dyDescent="0.25">
      <c r="A98" s="3" t="s">
        <v>844</v>
      </c>
      <c r="B98" s="2" t="s">
        <v>69</v>
      </c>
      <c r="C98" s="2" t="s">
        <v>673</v>
      </c>
      <c r="D98" s="2" t="s">
        <v>247</v>
      </c>
      <c r="E98" s="2" t="s">
        <v>845</v>
      </c>
      <c r="F98" s="2" t="s">
        <v>846</v>
      </c>
      <c r="G98" s="2" t="str">
        <f>TRIM(SUBSTITUTE(SUBSTITUTE(SUBSTITUTE(SUBSTITUTE(tb1_supporters[[#This Row],[Phone_Raw]],"(",""),")","")," ",""),"+44",))</f>
        <v>7426266502</v>
      </c>
      <c r="H98" s="15">
        <v>24255</v>
      </c>
      <c r="I98" s="36">
        <f ca="1">IF(OR(tb1_supporters[[#This Row],[Date_of_Birth]]="",tb1_supporters[[#This Row],[Date_of_Birth]]&gt;TODAY()),"",DATEDIF(tb1_supporters[[#This Row],[Date_of_Birth]],TODAY(),"Y"))</f>
        <v>60</v>
      </c>
      <c r="J9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98" s="2" t="s">
        <v>848</v>
      </c>
      <c r="L98" s="2" t="s">
        <v>429</v>
      </c>
      <c r="M98" s="2" t="s">
        <v>430</v>
      </c>
      <c r="N98" s="2" t="s">
        <v>431</v>
      </c>
      <c r="O98" s="2" t="s">
        <v>166</v>
      </c>
      <c r="P98" s="2" t="s">
        <v>91</v>
      </c>
      <c r="Q98" s="2" t="s">
        <v>50</v>
      </c>
      <c r="R98" s="15">
        <v>44478</v>
      </c>
      <c r="S98" s="2" t="s">
        <v>4</v>
      </c>
      <c r="T98" s="2" t="s">
        <v>37</v>
      </c>
      <c r="U98" s="2" t="s">
        <v>37</v>
      </c>
      <c r="V98" s="2" t="s">
        <v>37</v>
      </c>
      <c r="W98" s="4" t="s">
        <v>37</v>
      </c>
      <c r="X9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98" s="2" t="str">
        <f>IF(ISNUMBER(SEARCH("onal",tb1_supporters[[#This Row],[Phone_Clean]])),"Review - corrupt phone number", IF(LEN(tb1_supporters[[#This Row],[Phone_Clean]])&gt;11,"Review - too many digits",""))</f>
        <v/>
      </c>
      <c r="Z9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98" s="2" t="str">
        <f>IF(tb1_supporters[[#This Row],[Email]]="","",IF(COUNTIF(tb1_supporters[Email],tb1_supporters[[#This Row],[Email]])&gt;1,"Review - duplicate record, see Supporter_Duplicates tab",""))</f>
        <v/>
      </c>
      <c r="AB98" s="21" t="str">
        <f>IF(tb1_supporters[[#This Row],[Communication_Preference]]="Do Not Contact","DO NOT CONTACT","")</f>
        <v/>
      </c>
      <c r="AE98"/>
    </row>
    <row r="99" spans="1:31" x14ac:dyDescent="0.25">
      <c r="A99" s="3" t="s">
        <v>850</v>
      </c>
      <c r="B99" s="2" t="s">
        <v>22</v>
      </c>
      <c r="C99" s="2" t="s">
        <v>851</v>
      </c>
      <c r="D99" s="2" t="s">
        <v>449</v>
      </c>
      <c r="E99" s="2" t="s">
        <v>852</v>
      </c>
      <c r="F99" s="2" t="s">
        <v>853</v>
      </c>
      <c r="G99" s="2" t="str">
        <f>TRIM(SUBSTITUTE(SUBSTITUTE(SUBSTITUTE(SUBSTITUTE(tb1_supporters[[#This Row],[Phone_Raw]],"(",""),")","")," ",""),"+44",))</f>
        <v>7585371771</v>
      </c>
      <c r="H99" s="15">
        <v>38189</v>
      </c>
      <c r="I99" s="36">
        <f ca="1">IF(OR(tb1_supporters[[#This Row],[Date_of_Birth]]="",tb1_supporters[[#This Row],[Date_of_Birth]]&gt;TODAY()),"",DATEDIF(tb1_supporters[[#This Row],[Date_of_Birth]],TODAY(),"Y"))</f>
        <v>21</v>
      </c>
      <c r="J9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99" s="2" t="s">
        <v>855</v>
      </c>
      <c r="L99" s="2" t="s">
        <v>100</v>
      </c>
      <c r="M99" s="2" t="s">
        <v>101</v>
      </c>
      <c r="N99" s="2" t="s">
        <v>343</v>
      </c>
      <c r="O99" s="2" t="s">
        <v>242</v>
      </c>
      <c r="P99" s="2" t="s">
        <v>181</v>
      </c>
      <c r="Q99" s="2" t="s">
        <v>50</v>
      </c>
      <c r="R99" s="15">
        <v>45068</v>
      </c>
      <c r="S99" s="2" t="s">
        <v>93</v>
      </c>
      <c r="T99" s="2" t="s">
        <v>36</v>
      </c>
      <c r="U99" s="2" t="s">
        <v>37</v>
      </c>
      <c r="V99" s="2" t="s">
        <v>37</v>
      </c>
      <c r="W99" s="4" t="s">
        <v>37</v>
      </c>
      <c r="X9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99" s="2" t="str">
        <f>IF(ISNUMBER(SEARCH("onal",tb1_supporters[[#This Row],[Phone_Clean]])),"Review - corrupt phone number", IF(LEN(tb1_supporters[[#This Row],[Phone_Clean]])&gt;11,"Review - too many digits",""))</f>
        <v/>
      </c>
      <c r="Z9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99" s="2" t="str">
        <f>IF(tb1_supporters[[#This Row],[Email]]="","",IF(COUNTIF(tb1_supporters[Email],tb1_supporters[[#This Row],[Email]])&gt;1,"Review - duplicate record, see Supporter_Duplicates tab",""))</f>
        <v/>
      </c>
      <c r="AB99" s="21" t="str">
        <f>IF(tb1_supporters[[#This Row],[Communication_Preference]]="Do Not Contact","DO NOT CONTACT","")</f>
        <v/>
      </c>
      <c r="AE99"/>
    </row>
    <row r="100" spans="1:31" x14ac:dyDescent="0.25">
      <c r="A100" s="3" t="s">
        <v>857</v>
      </c>
      <c r="B100" s="2" t="s">
        <v>22</v>
      </c>
      <c r="C100" s="2" t="s">
        <v>488</v>
      </c>
      <c r="D100" s="2" t="s">
        <v>449</v>
      </c>
      <c r="E100" s="2" t="s">
        <v>858</v>
      </c>
      <c r="F100" s="2" t="s">
        <v>859</v>
      </c>
      <c r="G100" s="2" t="str">
        <f>TRIM(SUBSTITUTE(SUBSTITUTE(SUBSTITUTE(SUBSTITUTE(tb1_supporters[[#This Row],[Phone_Raw]],"(",""),")","")," ",""),"+44",))</f>
        <v>01715283481</v>
      </c>
      <c r="H100" s="15">
        <v>20822</v>
      </c>
      <c r="I100" s="36">
        <f ca="1">IF(OR(tb1_supporters[[#This Row],[Date_of_Birth]]="",tb1_supporters[[#This Row],[Date_of_Birth]]&gt;TODAY()),"",DATEDIF(tb1_supporters[[#This Row],[Date_of_Birth]],TODAY(),"Y"))</f>
        <v>69</v>
      </c>
      <c r="J10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00" s="2" t="s">
        <v>861</v>
      </c>
      <c r="L100" s="2" t="s">
        <v>61</v>
      </c>
      <c r="M100" s="2" t="s">
        <v>62</v>
      </c>
      <c r="N100" s="2" t="s">
        <v>63</v>
      </c>
      <c r="O100" s="2" t="s">
        <v>242</v>
      </c>
      <c r="P100" s="2" t="s">
        <v>4887</v>
      </c>
      <c r="Q100" s="2" t="s">
        <v>50</v>
      </c>
      <c r="R100" s="15">
        <v>45605</v>
      </c>
      <c r="S100" s="2" t="s">
        <v>4</v>
      </c>
      <c r="T100" s="2" t="s">
        <v>36</v>
      </c>
      <c r="U100" s="2" t="s">
        <v>36</v>
      </c>
      <c r="V100" s="2" t="s">
        <v>37</v>
      </c>
      <c r="W100" s="4" t="s">
        <v>36</v>
      </c>
      <c r="X10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00" s="2" t="str">
        <f>IF(ISNUMBER(SEARCH("onal",tb1_supporters[[#This Row],[Phone_Clean]])),"Review - corrupt phone number", IF(LEN(tb1_supporters[[#This Row],[Phone_Clean]])&gt;11,"Review - too many digits",""))</f>
        <v/>
      </c>
      <c r="Z10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00" s="2" t="str">
        <f>IF(tb1_supporters[[#This Row],[Email]]="","",IF(COUNTIF(tb1_supporters[Email],tb1_supporters[[#This Row],[Email]])&gt;1,"Review - duplicate record, see Supporter_Duplicates tab",""))</f>
        <v/>
      </c>
      <c r="AB100" s="21" t="str">
        <f>IF(tb1_supporters[[#This Row],[Communication_Preference]]="Do Not Contact","DO NOT CONTACT","")</f>
        <v/>
      </c>
      <c r="AE100"/>
    </row>
    <row r="101" spans="1:31" x14ac:dyDescent="0.25">
      <c r="A101" s="3" t="s">
        <v>863</v>
      </c>
      <c r="B101" s="2" t="s">
        <v>54</v>
      </c>
      <c r="C101" s="2" t="s">
        <v>864</v>
      </c>
      <c r="D101" s="2" t="s">
        <v>186</v>
      </c>
      <c r="E101" s="2" t="s">
        <v>865</v>
      </c>
      <c r="F101" s="2" t="s">
        <v>866</v>
      </c>
      <c r="G101" s="2" t="str">
        <f>TRIM(SUBSTITUTE(SUBSTITUTE(SUBSTITUTE(SUBSTITUTE(tb1_supporters[[#This Row],[Phone_Raw]],"(",""),")","")," ",""),"+44",))</f>
        <v>019853318932</v>
      </c>
      <c r="H101" s="15"/>
      <c r="I101" s="36" t="str">
        <f ca="1">IF(OR(tb1_supporters[[#This Row],[Date_of_Birth]]="",tb1_supporters[[#This Row],[Date_of_Birth]]&gt;TODAY()),"",DATEDIF(tb1_supporters[[#This Row],[Date_of_Birth]],TODAY(),"Y"))</f>
        <v/>
      </c>
      <c r="J10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101" s="2" t="s">
        <v>867</v>
      </c>
      <c r="L101" s="2" t="s">
        <v>660</v>
      </c>
      <c r="M101" s="2" t="s">
        <v>230</v>
      </c>
      <c r="N101" s="2" t="s">
        <v>661</v>
      </c>
      <c r="O101" s="2" t="s">
        <v>166</v>
      </c>
      <c r="P101" s="2" t="s">
        <v>91</v>
      </c>
      <c r="Q101" s="2" t="s">
        <v>50</v>
      </c>
      <c r="R101" s="15">
        <v>44382</v>
      </c>
      <c r="S101" s="2" t="s">
        <v>4</v>
      </c>
      <c r="T101" s="2" t="s">
        <v>36</v>
      </c>
      <c r="U101" s="2" t="s">
        <v>36</v>
      </c>
      <c r="V101" s="2" t="s">
        <v>36</v>
      </c>
      <c r="W101" s="4" t="s">
        <v>36</v>
      </c>
      <c r="X10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01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0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101" s="2" t="str">
        <f>IF(tb1_supporters[[#This Row],[Email]]="","",IF(COUNTIF(tb1_supporters[Email],tb1_supporters[[#This Row],[Email]])&gt;1,"Review - duplicate record, see Supporter_Duplicates tab",""))</f>
        <v/>
      </c>
      <c r="AB101" s="21" t="str">
        <f>IF(tb1_supporters[[#This Row],[Communication_Preference]]="Do Not Contact","DO NOT CONTACT","")</f>
        <v/>
      </c>
      <c r="AE101"/>
    </row>
    <row r="102" spans="1:31" x14ac:dyDescent="0.25">
      <c r="A102" s="3" t="s">
        <v>869</v>
      </c>
      <c r="B102" s="2" t="s">
        <v>22</v>
      </c>
      <c r="C102" s="2" t="s">
        <v>818</v>
      </c>
      <c r="D102" s="2" t="s">
        <v>870</v>
      </c>
      <c r="E102" s="2" t="s">
        <v>871</v>
      </c>
      <c r="F102" s="2" t="s">
        <v>872</v>
      </c>
      <c r="G102" s="2" t="str">
        <f>TRIM(SUBSTITUTE(SUBSTITUTE(SUBSTITUTE(SUBSTITUTE(tb1_supporters[[#This Row],[Phone_Raw]],"(",""),")","")," ",""),"+44",))</f>
        <v>07891923249</v>
      </c>
      <c r="H102" s="15">
        <v>26903</v>
      </c>
      <c r="I102" s="36">
        <f ca="1">IF(OR(tb1_supporters[[#This Row],[Date_of_Birth]]="",tb1_supporters[[#This Row],[Date_of_Birth]]&gt;TODAY()),"",DATEDIF(tb1_supporters[[#This Row],[Date_of_Birth]],TODAY(),"Y"))</f>
        <v>52</v>
      </c>
      <c r="J10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02" s="2" t="s">
        <v>874</v>
      </c>
      <c r="L102" s="2" t="s">
        <v>625</v>
      </c>
      <c r="M102" s="2" t="s">
        <v>626</v>
      </c>
      <c r="N102" s="2" t="s">
        <v>627</v>
      </c>
      <c r="O102" s="2" t="s">
        <v>242</v>
      </c>
      <c r="P102" s="2" t="s">
        <v>91</v>
      </c>
      <c r="Q102" s="2" t="s">
        <v>4888</v>
      </c>
      <c r="R102" s="15">
        <v>43424</v>
      </c>
      <c r="S102" s="2" t="s">
        <v>4</v>
      </c>
      <c r="T102" s="2" t="s">
        <v>36</v>
      </c>
      <c r="U102" s="2" t="s">
        <v>36</v>
      </c>
      <c r="V102" s="2" t="s">
        <v>37</v>
      </c>
      <c r="W102" s="4" t="s">
        <v>37</v>
      </c>
      <c r="X10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02" s="2" t="str">
        <f>IF(ISNUMBER(SEARCH("onal",tb1_supporters[[#This Row],[Phone_Clean]])),"Review - corrupt phone number", IF(LEN(tb1_supporters[[#This Row],[Phone_Clean]])&gt;11,"Review - too many digits",""))</f>
        <v/>
      </c>
      <c r="Z10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02" s="2" t="str">
        <f>IF(tb1_supporters[[#This Row],[Email]]="","",IF(COUNTIF(tb1_supporters[Email],tb1_supporters[[#This Row],[Email]])&gt;1,"Review - duplicate record, see Supporter_Duplicates tab",""))</f>
        <v/>
      </c>
      <c r="AB102" s="21" t="str">
        <f>IF(tb1_supporters[[#This Row],[Communication_Preference]]="Do Not Contact","DO NOT CONTACT","")</f>
        <v/>
      </c>
      <c r="AE102"/>
    </row>
    <row r="103" spans="1:31" x14ac:dyDescent="0.25">
      <c r="A103" s="3" t="s">
        <v>876</v>
      </c>
      <c r="B103" s="2" t="s">
        <v>22</v>
      </c>
      <c r="C103" s="2" t="s">
        <v>877</v>
      </c>
      <c r="D103" s="2" t="s">
        <v>449</v>
      </c>
      <c r="E103" s="2" t="s">
        <v>878</v>
      </c>
      <c r="F103" s="2" t="s">
        <v>879</v>
      </c>
      <c r="G103" s="2" t="str">
        <f>TRIM(SUBSTITUTE(SUBSTITUTE(SUBSTITUTE(SUBSTITUTE(tb1_supporters[[#This Row],[Phone_Raw]],"(",""),")","")," ",""),"+44",))</f>
        <v>07785643331</v>
      </c>
      <c r="H103" s="15">
        <v>22741</v>
      </c>
      <c r="I103" s="36">
        <f ca="1">IF(OR(tb1_supporters[[#This Row],[Date_of_Birth]]="",tb1_supporters[[#This Row],[Date_of_Birth]]&gt;TODAY()),"",DATEDIF(tb1_supporters[[#This Row],[Date_of_Birth]],TODAY(),"Y"))</f>
        <v>64</v>
      </c>
      <c r="J10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03" s="2" t="s">
        <v>881</v>
      </c>
      <c r="L103" s="2" t="s">
        <v>252</v>
      </c>
      <c r="M103" s="2" t="s">
        <v>253</v>
      </c>
      <c r="N103" s="2" t="s">
        <v>254</v>
      </c>
      <c r="O103" s="2" t="s">
        <v>242</v>
      </c>
      <c r="P103" s="2" t="s">
        <v>181</v>
      </c>
      <c r="Q103" s="2" t="s">
        <v>192</v>
      </c>
      <c r="R103" s="15">
        <v>44793</v>
      </c>
      <c r="S103" s="2" t="s">
        <v>4</v>
      </c>
      <c r="T103" s="2" t="s">
        <v>36</v>
      </c>
      <c r="U103" s="2" t="s">
        <v>36</v>
      </c>
      <c r="V103" s="2" t="s">
        <v>36</v>
      </c>
      <c r="W103" s="4" t="s">
        <v>36</v>
      </c>
      <c r="X10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03" s="2" t="str">
        <f>IF(ISNUMBER(SEARCH("onal",tb1_supporters[[#This Row],[Phone_Clean]])),"Review - corrupt phone number", IF(LEN(tb1_supporters[[#This Row],[Phone_Clean]])&gt;11,"Review - too many digits",""))</f>
        <v/>
      </c>
      <c r="Z10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03" s="2" t="str">
        <f>IF(tb1_supporters[[#This Row],[Email]]="","",IF(COUNTIF(tb1_supporters[Email],tb1_supporters[[#This Row],[Email]])&gt;1,"Review - duplicate record, see Supporter_Duplicates tab",""))</f>
        <v/>
      </c>
      <c r="AB103" s="21" t="str">
        <f>IF(tb1_supporters[[#This Row],[Communication_Preference]]="Do Not Contact","DO NOT CONTACT","")</f>
        <v/>
      </c>
      <c r="AE103"/>
    </row>
    <row r="104" spans="1:31" x14ac:dyDescent="0.25">
      <c r="A104" s="3" t="s">
        <v>883</v>
      </c>
      <c r="B104" s="2" t="s">
        <v>22</v>
      </c>
      <c r="C104" s="2" t="s">
        <v>413</v>
      </c>
      <c r="D104" s="2" t="s">
        <v>158</v>
      </c>
      <c r="E104" s="2" t="s">
        <v>884</v>
      </c>
      <c r="F104" s="2" t="s">
        <v>885</v>
      </c>
      <c r="G104" s="2" t="str">
        <f>TRIM(SUBSTITUTE(SUBSTITUTE(SUBSTITUTE(SUBSTITUTE(tb1_supporters[[#This Row],[Phone_Raw]],"(",""),")","")," ",""),"+44",))</f>
        <v>07761160887</v>
      </c>
      <c r="H104" s="15">
        <v>20960</v>
      </c>
      <c r="I104" s="36">
        <f ca="1">IF(OR(tb1_supporters[[#This Row],[Date_of_Birth]]="",tb1_supporters[[#This Row],[Date_of_Birth]]&gt;TODAY()),"",DATEDIF(tb1_supporters[[#This Row],[Date_of_Birth]],TODAY(),"Y"))</f>
        <v>69</v>
      </c>
      <c r="J10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04" s="2" t="s">
        <v>887</v>
      </c>
      <c r="L104" s="2" t="s">
        <v>370</v>
      </c>
      <c r="M104" s="2" t="s">
        <v>371</v>
      </c>
      <c r="N104" s="2" t="s">
        <v>602</v>
      </c>
      <c r="O104" s="2" t="s">
        <v>242</v>
      </c>
      <c r="P104" s="2" t="s">
        <v>181</v>
      </c>
      <c r="Q104" s="2" t="s">
        <v>154</v>
      </c>
      <c r="R104" s="15">
        <v>44812</v>
      </c>
      <c r="S104" s="2" t="s">
        <v>93</v>
      </c>
      <c r="T104" s="2" t="s">
        <v>36</v>
      </c>
      <c r="U104" s="2" t="s">
        <v>36</v>
      </c>
      <c r="V104" s="2" t="s">
        <v>37</v>
      </c>
      <c r="W104" s="4" t="s">
        <v>37</v>
      </c>
      <c r="X10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04" s="2" t="str">
        <f>IF(ISNUMBER(SEARCH("onal",tb1_supporters[[#This Row],[Phone_Clean]])),"Review - corrupt phone number", IF(LEN(tb1_supporters[[#This Row],[Phone_Clean]])&gt;11,"Review - too many digits",""))</f>
        <v/>
      </c>
      <c r="Z10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04" s="2" t="str">
        <f>IF(tb1_supporters[[#This Row],[Email]]="","",IF(COUNTIF(tb1_supporters[Email],tb1_supporters[[#This Row],[Email]])&gt;1,"Review - duplicate record, see Supporter_Duplicates tab",""))</f>
        <v/>
      </c>
      <c r="AB104" s="21" t="str">
        <f>IF(tb1_supporters[[#This Row],[Communication_Preference]]="Do Not Contact","DO NOT CONTACT","")</f>
        <v/>
      </c>
      <c r="AE104"/>
    </row>
    <row r="105" spans="1:31" x14ac:dyDescent="0.25">
      <c r="A105" s="3" t="s">
        <v>889</v>
      </c>
      <c r="B105" s="2" t="s">
        <v>235</v>
      </c>
      <c r="C105" s="2" t="s">
        <v>382</v>
      </c>
      <c r="D105" s="2" t="s">
        <v>121</v>
      </c>
      <c r="E105" s="2" t="s">
        <v>890</v>
      </c>
      <c r="F105" s="2" t="s">
        <v>891</v>
      </c>
      <c r="G105" s="2" t="str">
        <f>TRIM(SUBSTITUTE(SUBSTITUTE(SUBSTITUTE(SUBSTITUTE(tb1_supporters[[#This Row],[Phone_Raw]],"(",""),")","")," ",""),"+44",))</f>
        <v>01onal6569590</v>
      </c>
      <c r="H105" s="15">
        <v>36746</v>
      </c>
      <c r="I105" s="36">
        <f ca="1">IF(OR(tb1_supporters[[#This Row],[Date_of_Birth]]="",tb1_supporters[[#This Row],[Date_of_Birth]]&gt;TODAY()),"",DATEDIF(tb1_supporters[[#This Row],[Date_of_Birth]],TODAY(),"Y"))</f>
        <v>25</v>
      </c>
      <c r="J10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05" s="2" t="s">
        <v>893</v>
      </c>
      <c r="L105" s="2" t="s">
        <v>61</v>
      </c>
      <c r="M105" s="2" t="s">
        <v>62</v>
      </c>
      <c r="N105" s="2" t="s">
        <v>63</v>
      </c>
      <c r="O105" s="2" t="s">
        <v>242</v>
      </c>
      <c r="P105" s="2" t="s">
        <v>153</v>
      </c>
      <c r="Q105" s="2" t="s">
        <v>141</v>
      </c>
      <c r="R105" s="15">
        <v>43890</v>
      </c>
      <c r="S105" s="2" t="s">
        <v>4</v>
      </c>
      <c r="T105" s="2" t="s">
        <v>36</v>
      </c>
      <c r="U105" s="2" t="s">
        <v>36</v>
      </c>
      <c r="V105" s="2" t="s">
        <v>36</v>
      </c>
      <c r="W105" s="4" t="s">
        <v>37</v>
      </c>
      <c r="X10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05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10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05" s="2" t="str">
        <f>IF(tb1_supporters[[#This Row],[Email]]="","",IF(COUNTIF(tb1_supporters[Email],tb1_supporters[[#This Row],[Email]])&gt;1,"Review - duplicate record, see Supporter_Duplicates tab",""))</f>
        <v/>
      </c>
      <c r="AB105" s="21" t="str">
        <f>IF(tb1_supporters[[#This Row],[Communication_Preference]]="Do Not Contact","DO NOT CONTACT","")</f>
        <v/>
      </c>
      <c r="AE105"/>
    </row>
    <row r="106" spans="1:31" x14ac:dyDescent="0.25">
      <c r="A106" s="3" t="s">
        <v>895</v>
      </c>
      <c r="B106" s="2" t="s">
        <v>54</v>
      </c>
      <c r="C106" s="2" t="s">
        <v>754</v>
      </c>
      <c r="D106" s="2" t="s">
        <v>414</v>
      </c>
      <c r="E106" s="2" t="s">
        <v>896</v>
      </c>
      <c r="F106" s="2" t="s">
        <v>897</v>
      </c>
      <c r="G106" s="2" t="str">
        <f>TRIM(SUBSTITUTE(SUBSTITUTE(SUBSTITUTE(SUBSTITUTE(tb1_supporters[[#This Row],[Phone_Raw]],"(",""),")","")," ",""),"+44",))</f>
        <v>7976754515</v>
      </c>
      <c r="H106" s="15">
        <v>19957</v>
      </c>
      <c r="I106" s="36">
        <f ca="1">IF(OR(tb1_supporters[[#This Row],[Date_of_Birth]]="",tb1_supporters[[#This Row],[Date_of_Birth]]&gt;TODAY()),"",DATEDIF(tb1_supporters[[#This Row],[Date_of_Birth]],TODAY(),"Y"))</f>
        <v>71</v>
      </c>
      <c r="J10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06" s="2" t="s">
        <v>899</v>
      </c>
      <c r="L106" s="2" t="s">
        <v>61</v>
      </c>
      <c r="M106" s="2" t="s">
        <v>62</v>
      </c>
      <c r="N106" s="2" t="s">
        <v>63</v>
      </c>
      <c r="O106" s="2" t="s">
        <v>166</v>
      </c>
      <c r="P106" s="2" t="s">
        <v>49</v>
      </c>
      <c r="Q106" s="2" t="s">
        <v>192</v>
      </c>
      <c r="R106" s="15">
        <v>44742</v>
      </c>
      <c r="S106" s="2" t="s">
        <v>5</v>
      </c>
      <c r="T106" s="2" t="s">
        <v>36</v>
      </c>
      <c r="U106" s="2" t="s">
        <v>36</v>
      </c>
      <c r="V106" s="2" t="s">
        <v>36</v>
      </c>
      <c r="W106" s="4" t="s">
        <v>37</v>
      </c>
      <c r="X10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06" s="2" t="str">
        <f>IF(ISNUMBER(SEARCH("onal",tb1_supporters[[#This Row],[Phone_Clean]])),"Review - corrupt phone number", IF(LEN(tb1_supporters[[#This Row],[Phone_Clean]])&gt;11,"Review - too many digits",""))</f>
        <v/>
      </c>
      <c r="Z10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06" s="2" t="str">
        <f>IF(tb1_supporters[[#This Row],[Email]]="","",IF(COUNTIF(tb1_supporters[Email],tb1_supporters[[#This Row],[Email]])&gt;1,"Review - duplicate record, see Supporter_Duplicates tab",""))</f>
        <v/>
      </c>
      <c r="AB106" s="21" t="str">
        <f>IF(tb1_supporters[[#This Row],[Communication_Preference]]="Do Not Contact","DO NOT CONTACT","")</f>
        <v/>
      </c>
      <c r="AE106"/>
    </row>
    <row r="107" spans="1:31" x14ac:dyDescent="0.25">
      <c r="A107" s="3" t="s">
        <v>901</v>
      </c>
      <c r="B107" s="2" t="s">
        <v>402</v>
      </c>
      <c r="C107" s="2" t="s">
        <v>40</v>
      </c>
      <c r="D107" s="2" t="s">
        <v>902</v>
      </c>
      <c r="E107" s="2" t="s">
        <v>903</v>
      </c>
      <c r="F107" s="2" t="s">
        <v>904</v>
      </c>
      <c r="G107" s="2" t="str">
        <f>TRIM(SUBSTITUTE(SUBSTITUTE(SUBSTITUTE(SUBSTITUTE(tb1_supporters[[#This Row],[Phone_Raw]],"(",""),")","")," ",""),"+44",))</f>
        <v>014648712017</v>
      </c>
      <c r="H107" s="15">
        <v>26085</v>
      </c>
      <c r="I107" s="36">
        <f ca="1">IF(OR(tb1_supporters[[#This Row],[Date_of_Birth]]="",tb1_supporters[[#This Row],[Date_of_Birth]]&gt;TODAY()),"",DATEDIF(tb1_supporters[[#This Row],[Date_of_Birth]],TODAY(),"Y"))</f>
        <v>54</v>
      </c>
      <c r="J10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07" s="2" t="s">
        <v>906</v>
      </c>
      <c r="L107" s="2" t="s">
        <v>252</v>
      </c>
      <c r="M107" s="2" t="s">
        <v>253</v>
      </c>
      <c r="N107" s="2" t="s">
        <v>254</v>
      </c>
      <c r="O107" s="2" t="s">
        <v>242</v>
      </c>
      <c r="P107" s="2" t="s">
        <v>153</v>
      </c>
      <c r="Q107" s="2" t="s">
        <v>141</v>
      </c>
      <c r="R107" s="15">
        <v>43755</v>
      </c>
      <c r="S107" s="2" t="s">
        <v>4</v>
      </c>
      <c r="T107" s="2" t="s">
        <v>36</v>
      </c>
      <c r="U107" s="2" t="s">
        <v>37</v>
      </c>
      <c r="V107" s="2" t="s">
        <v>37</v>
      </c>
      <c r="W107" s="4" t="s">
        <v>37</v>
      </c>
      <c r="X10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07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0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07" s="2" t="str">
        <f>IF(tb1_supporters[[#This Row],[Email]]="","",IF(COUNTIF(tb1_supporters[Email],tb1_supporters[[#This Row],[Email]])&gt;1,"Review - duplicate record, see Supporter_Duplicates tab",""))</f>
        <v/>
      </c>
      <c r="AB107" s="21" t="str">
        <f>IF(tb1_supporters[[#This Row],[Communication_Preference]]="Do Not Contact","DO NOT CONTACT","")</f>
        <v/>
      </c>
      <c r="AE107"/>
    </row>
    <row r="108" spans="1:31" x14ac:dyDescent="0.25">
      <c r="A108" s="3" t="s">
        <v>908</v>
      </c>
      <c r="B108" s="2" t="s">
        <v>69</v>
      </c>
      <c r="C108" s="2" t="s">
        <v>55</v>
      </c>
      <c r="D108" s="2" t="s">
        <v>614</v>
      </c>
      <c r="E108" s="2" t="s">
        <v>909</v>
      </c>
      <c r="F108" s="2" t="s">
        <v>910</v>
      </c>
      <c r="G108" s="2" t="str">
        <f>TRIM(SUBSTITUTE(SUBSTITUTE(SUBSTITUTE(SUBSTITUTE(tb1_supporters[[#This Row],[Phone_Raw]],"(",""),")","")," ",""),"+44",))</f>
        <v>01onal5829806</v>
      </c>
      <c r="H108" s="15">
        <v>21821</v>
      </c>
      <c r="I108" s="36">
        <f ca="1">IF(OR(tb1_supporters[[#This Row],[Date_of_Birth]]="",tb1_supporters[[#This Row],[Date_of_Birth]]&gt;TODAY()),"",DATEDIF(tb1_supporters[[#This Row],[Date_of_Birth]],TODAY(),"Y"))</f>
        <v>66</v>
      </c>
      <c r="J10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08" s="2" t="s">
        <v>912</v>
      </c>
      <c r="L108" s="2" t="s">
        <v>29</v>
      </c>
      <c r="M108" s="2" t="s">
        <v>30</v>
      </c>
      <c r="N108" s="2" t="s">
        <v>31</v>
      </c>
      <c r="O108" s="2" t="s">
        <v>166</v>
      </c>
      <c r="P108" s="2" t="s">
        <v>33</v>
      </c>
      <c r="Q108" s="2" t="s">
        <v>243</v>
      </c>
      <c r="R108" s="15">
        <v>44114</v>
      </c>
      <c r="S108" s="2" t="s">
        <v>4</v>
      </c>
      <c r="T108" s="2" t="s">
        <v>37</v>
      </c>
      <c r="U108" s="2" t="s">
        <v>36</v>
      </c>
      <c r="V108" s="2" t="s">
        <v>37</v>
      </c>
      <c r="W108" s="4" t="s">
        <v>37</v>
      </c>
      <c r="X10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108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10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08" s="2" t="str">
        <f>IF(tb1_supporters[[#This Row],[Email]]="","",IF(COUNTIF(tb1_supporters[Email],tb1_supporters[[#This Row],[Email]])&gt;1,"Review - duplicate record, see Supporter_Duplicates tab",""))</f>
        <v/>
      </c>
      <c r="AB108" s="21" t="str">
        <f>IF(tb1_supporters[[#This Row],[Communication_Preference]]="Do Not Contact","DO NOT CONTACT","")</f>
        <v/>
      </c>
      <c r="AE108"/>
    </row>
    <row r="109" spans="1:31" x14ac:dyDescent="0.25">
      <c r="A109" s="3" t="s">
        <v>914</v>
      </c>
      <c r="B109" s="2" t="s">
        <v>22</v>
      </c>
      <c r="C109" s="2" t="s">
        <v>838</v>
      </c>
      <c r="D109" s="2" t="s">
        <v>83</v>
      </c>
      <c r="E109" s="2" t="s">
        <v>915</v>
      </c>
      <c r="F109" s="2" t="s">
        <v>916</v>
      </c>
      <c r="G109" s="2" t="str">
        <f>TRIM(SUBSTITUTE(SUBSTITUTE(SUBSTITUTE(SUBSTITUTE(tb1_supporters[[#This Row],[Phone_Raw]],"(",""),")","")," ",""),"+44",))</f>
        <v>07974632552</v>
      </c>
      <c r="H109" s="15">
        <v>22632</v>
      </c>
      <c r="I109" s="36">
        <f ca="1">IF(OR(tb1_supporters[[#This Row],[Date_of_Birth]]="",tb1_supporters[[#This Row],[Date_of_Birth]]&gt;TODAY()),"",DATEDIF(tb1_supporters[[#This Row],[Date_of_Birth]],TODAY(),"Y"))</f>
        <v>64</v>
      </c>
      <c r="J10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09" s="2" t="s">
        <v>918</v>
      </c>
      <c r="L109" s="2" t="s">
        <v>585</v>
      </c>
      <c r="M109" s="2" t="s">
        <v>586</v>
      </c>
      <c r="N109" s="2" t="s">
        <v>587</v>
      </c>
      <c r="O109" s="2" t="s">
        <v>242</v>
      </c>
      <c r="P109" s="2" t="s">
        <v>153</v>
      </c>
      <c r="Q109" s="2" t="s">
        <v>192</v>
      </c>
      <c r="R109" s="15">
        <v>45191</v>
      </c>
      <c r="S109" s="2" t="s">
        <v>4</v>
      </c>
      <c r="T109" s="2" t="s">
        <v>36</v>
      </c>
      <c r="U109" s="2" t="s">
        <v>36</v>
      </c>
      <c r="V109" s="2" t="s">
        <v>37</v>
      </c>
      <c r="W109" s="4" t="s">
        <v>36</v>
      </c>
      <c r="X10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09" s="2" t="str">
        <f>IF(ISNUMBER(SEARCH("onal",tb1_supporters[[#This Row],[Phone_Clean]])),"Review - corrupt phone number", IF(LEN(tb1_supporters[[#This Row],[Phone_Clean]])&gt;11,"Review - too many digits",""))</f>
        <v/>
      </c>
      <c r="Z10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09" s="2" t="str">
        <f>IF(tb1_supporters[[#This Row],[Email]]="","",IF(COUNTIF(tb1_supporters[Email],tb1_supporters[[#This Row],[Email]])&gt;1,"Review - duplicate record, see Supporter_Duplicates tab",""))</f>
        <v/>
      </c>
      <c r="AB109" s="21" t="str">
        <f>IF(tb1_supporters[[#This Row],[Communication_Preference]]="Do Not Contact","DO NOT CONTACT","")</f>
        <v/>
      </c>
      <c r="AE109"/>
    </row>
    <row r="110" spans="1:31" x14ac:dyDescent="0.25">
      <c r="A110" s="3" t="s">
        <v>920</v>
      </c>
      <c r="B110" s="2" t="s">
        <v>54</v>
      </c>
      <c r="C110" s="2" t="s">
        <v>597</v>
      </c>
      <c r="D110" s="2" t="s">
        <v>145</v>
      </c>
      <c r="E110" s="2" t="s">
        <v>921</v>
      </c>
      <c r="F110" s="2" t="s">
        <v>922</v>
      </c>
      <c r="G110" s="2" t="str">
        <f>TRIM(SUBSTITUTE(SUBSTITUTE(SUBSTITUTE(SUBSTITUTE(tb1_supporters[[#This Row],[Phone_Raw]],"(",""),")","")," ",""),"+44",))</f>
        <v>07863323692</v>
      </c>
      <c r="H110" s="15">
        <v>22684</v>
      </c>
      <c r="I110" s="36">
        <f ca="1">IF(OR(tb1_supporters[[#This Row],[Date_of_Birth]]="",tb1_supporters[[#This Row],[Date_of_Birth]]&gt;TODAY()),"",DATEDIF(tb1_supporters[[#This Row],[Date_of_Birth]],TODAY(),"Y"))</f>
        <v>64</v>
      </c>
      <c r="J11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10" s="2" t="s">
        <v>924</v>
      </c>
      <c r="L110" s="2" t="s">
        <v>219</v>
      </c>
      <c r="M110" s="2" t="s">
        <v>220</v>
      </c>
      <c r="N110" s="2" t="s">
        <v>925</v>
      </c>
      <c r="O110" s="2" t="s">
        <v>166</v>
      </c>
      <c r="P110" s="2" t="s">
        <v>4887</v>
      </c>
      <c r="Q110" s="2" t="s">
        <v>141</v>
      </c>
      <c r="R110" s="15">
        <v>43362</v>
      </c>
      <c r="S110" s="2" t="s">
        <v>4</v>
      </c>
      <c r="T110" s="2" t="s">
        <v>37</v>
      </c>
      <c r="U110" s="2" t="s">
        <v>36</v>
      </c>
      <c r="V110" s="2" t="s">
        <v>36</v>
      </c>
      <c r="W110" s="4" t="s">
        <v>37</v>
      </c>
      <c r="X11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110" s="2" t="str">
        <f>IF(ISNUMBER(SEARCH("onal",tb1_supporters[[#This Row],[Phone_Clean]])),"Review - corrupt phone number", IF(LEN(tb1_supporters[[#This Row],[Phone_Clean]])&gt;11,"Review - too many digits",""))</f>
        <v/>
      </c>
      <c r="Z11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10" s="2" t="str">
        <f>IF(tb1_supporters[[#This Row],[Email]]="","",IF(COUNTIF(tb1_supporters[Email],tb1_supporters[[#This Row],[Email]])&gt;1,"Review - duplicate record, see Supporter_Duplicates tab",""))</f>
        <v/>
      </c>
      <c r="AB110" s="21" t="str">
        <f>IF(tb1_supporters[[#This Row],[Communication_Preference]]="Do Not Contact","DO NOT CONTACT","")</f>
        <v/>
      </c>
      <c r="AE110"/>
    </row>
    <row r="111" spans="1:31" x14ac:dyDescent="0.25">
      <c r="A111" s="3" t="s">
        <v>927</v>
      </c>
      <c r="B111" s="2" t="s">
        <v>69</v>
      </c>
      <c r="C111" s="2" t="s">
        <v>754</v>
      </c>
      <c r="D111" s="2" t="s">
        <v>258</v>
      </c>
      <c r="E111" s="2" t="s">
        <v>928</v>
      </c>
      <c r="F111" s="2" t="s">
        <v>929</v>
      </c>
      <c r="G111" s="2" t="str">
        <f>TRIM(SUBSTITUTE(SUBSTITUTE(SUBSTITUTE(SUBSTITUTE(tb1_supporters[[#This Row],[Phone_Raw]],"(",""),")","")," ",""),"+44",))</f>
        <v>01811829835</v>
      </c>
      <c r="H111" s="15">
        <v>32555</v>
      </c>
      <c r="I111" s="36">
        <f ca="1">IF(OR(tb1_supporters[[#This Row],[Date_of_Birth]]="",tb1_supporters[[#This Row],[Date_of_Birth]]&gt;TODAY()),"",DATEDIF(tb1_supporters[[#This Row],[Date_of_Birth]],TODAY(),"Y"))</f>
        <v>37</v>
      </c>
      <c r="J11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11" s="2" t="s">
        <v>931</v>
      </c>
      <c r="L111" s="2" t="s">
        <v>531</v>
      </c>
      <c r="M111" s="2" t="s">
        <v>532</v>
      </c>
      <c r="N111" s="2" t="s">
        <v>533</v>
      </c>
      <c r="O111" s="2" t="s">
        <v>166</v>
      </c>
      <c r="P111" s="2" t="s">
        <v>49</v>
      </c>
      <c r="Q111" s="2" t="s">
        <v>192</v>
      </c>
      <c r="R111" s="15">
        <v>43832</v>
      </c>
      <c r="S111" s="2" t="s">
        <v>4</v>
      </c>
      <c r="T111" s="2" t="s">
        <v>37</v>
      </c>
      <c r="U111" s="2" t="s">
        <v>36</v>
      </c>
      <c r="V111" s="2" t="s">
        <v>37</v>
      </c>
      <c r="W111" s="4" t="s">
        <v>36</v>
      </c>
      <c r="X11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111" s="2" t="str">
        <f>IF(ISNUMBER(SEARCH("onal",tb1_supporters[[#This Row],[Phone_Clean]])),"Review - corrupt phone number", IF(LEN(tb1_supporters[[#This Row],[Phone_Clean]])&gt;11,"Review - too many digits",""))</f>
        <v/>
      </c>
      <c r="Z11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11" s="2" t="str">
        <f>IF(tb1_supporters[[#This Row],[Email]]="","",IF(COUNTIF(tb1_supporters[Email],tb1_supporters[[#This Row],[Email]])&gt;1,"Review - duplicate record, see Supporter_Duplicates tab",""))</f>
        <v/>
      </c>
      <c r="AB111" s="21" t="str">
        <f>IF(tb1_supporters[[#This Row],[Communication_Preference]]="Do Not Contact","DO NOT CONTACT","")</f>
        <v/>
      </c>
      <c r="AE111"/>
    </row>
    <row r="112" spans="1:31" x14ac:dyDescent="0.25">
      <c r="A112" s="3" t="s">
        <v>933</v>
      </c>
      <c r="B112" s="2" t="s">
        <v>402</v>
      </c>
      <c r="C112" s="2" t="s">
        <v>40</v>
      </c>
      <c r="D112" s="2" t="s">
        <v>41</v>
      </c>
      <c r="E112" s="2" t="s">
        <v>934</v>
      </c>
      <c r="F112" s="2" t="s">
        <v>935</v>
      </c>
      <c r="G112" s="2" t="str">
        <f>TRIM(SUBSTITUTE(SUBSTITUTE(SUBSTITUTE(SUBSTITUTE(tb1_supporters[[#This Row],[Phone_Raw]],"(",""),")","")," ",""),"+44",))</f>
        <v>07353571454</v>
      </c>
      <c r="H112" s="15">
        <v>37476</v>
      </c>
      <c r="I112" s="36">
        <f ca="1">IF(OR(tb1_supporters[[#This Row],[Date_of_Birth]]="",tb1_supporters[[#This Row],[Date_of_Birth]]&gt;TODAY()),"",DATEDIF(tb1_supporters[[#This Row],[Date_of_Birth]],TODAY(),"Y"))</f>
        <v>23</v>
      </c>
      <c r="J11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12" s="2" t="s">
        <v>937</v>
      </c>
      <c r="L112" s="2" t="s">
        <v>296</v>
      </c>
      <c r="M112" s="2" t="s">
        <v>297</v>
      </c>
      <c r="N112" s="2" t="s">
        <v>298</v>
      </c>
      <c r="O112" s="2" t="s">
        <v>242</v>
      </c>
      <c r="P112" s="2" t="s">
        <v>33</v>
      </c>
      <c r="Q112" s="2" t="s">
        <v>4888</v>
      </c>
      <c r="R112" s="15">
        <v>43563</v>
      </c>
      <c r="S112" s="2" t="s">
        <v>93</v>
      </c>
      <c r="T112" s="2" t="s">
        <v>36</v>
      </c>
      <c r="U112" s="2" t="s">
        <v>36</v>
      </c>
      <c r="V112" s="2" t="s">
        <v>37</v>
      </c>
      <c r="W112" s="4" t="s">
        <v>36</v>
      </c>
      <c r="X11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12" s="2" t="str">
        <f>IF(ISNUMBER(SEARCH("onal",tb1_supporters[[#This Row],[Phone_Clean]])),"Review - corrupt phone number", IF(LEN(tb1_supporters[[#This Row],[Phone_Clean]])&gt;11,"Review - too many digits",""))</f>
        <v/>
      </c>
      <c r="Z11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12" s="2" t="str">
        <f>IF(tb1_supporters[[#This Row],[Email]]="","",IF(COUNTIF(tb1_supporters[Email],tb1_supporters[[#This Row],[Email]])&gt;1,"Review - duplicate record, see Supporter_Duplicates tab",""))</f>
        <v/>
      </c>
      <c r="AB112" s="21" t="str">
        <f>IF(tb1_supporters[[#This Row],[Communication_Preference]]="Do Not Contact","DO NOT CONTACT","")</f>
        <v/>
      </c>
      <c r="AE112"/>
    </row>
    <row r="113" spans="1:31" x14ac:dyDescent="0.25">
      <c r="A113" s="3" t="s">
        <v>939</v>
      </c>
      <c r="B113" s="2"/>
      <c r="C113" s="2" t="s">
        <v>237</v>
      </c>
      <c r="D113" s="2" t="s">
        <v>940</v>
      </c>
      <c r="E113" s="2" t="s">
        <v>941</v>
      </c>
      <c r="F113" s="2" t="s">
        <v>942</v>
      </c>
      <c r="G113" s="2" t="str">
        <f>TRIM(SUBSTITUTE(SUBSTITUTE(SUBSTITUTE(SUBSTITUTE(tb1_supporters[[#This Row],[Phone_Raw]],"(",""),")","")," ",""),"+44",))</f>
        <v>01516524559</v>
      </c>
      <c r="H113" s="15">
        <v>36957</v>
      </c>
      <c r="I113" s="36">
        <f ca="1">IF(OR(tb1_supporters[[#This Row],[Date_of_Birth]]="",tb1_supporters[[#This Row],[Date_of_Birth]]&gt;TODAY()),"",DATEDIF(tb1_supporters[[#This Row],[Date_of_Birth]],TODAY(),"Y"))</f>
        <v>25</v>
      </c>
      <c r="J11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13" s="2" t="s">
        <v>944</v>
      </c>
      <c r="L113" s="2" t="s">
        <v>945</v>
      </c>
      <c r="M113" s="2" t="s">
        <v>946</v>
      </c>
      <c r="N113" s="2" t="s">
        <v>947</v>
      </c>
      <c r="O113" s="2" t="s">
        <v>166</v>
      </c>
      <c r="P113" s="2" t="s">
        <v>181</v>
      </c>
      <c r="Q113" s="2" t="s">
        <v>154</v>
      </c>
      <c r="R113" s="15">
        <v>45164</v>
      </c>
      <c r="S113" s="2" t="s">
        <v>5</v>
      </c>
      <c r="T113" s="2" t="s">
        <v>36</v>
      </c>
      <c r="U113" s="2" t="s">
        <v>36</v>
      </c>
      <c r="V113" s="2" t="s">
        <v>37</v>
      </c>
      <c r="W113" s="4" t="s">
        <v>37</v>
      </c>
      <c r="X11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113" s="2" t="str">
        <f>IF(ISNUMBER(SEARCH("onal",tb1_supporters[[#This Row],[Phone_Clean]])),"Review - corrupt phone number", IF(LEN(tb1_supporters[[#This Row],[Phone_Clean]])&gt;11,"Review - too many digits",""))</f>
        <v/>
      </c>
      <c r="Z11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13" s="2" t="str">
        <f>IF(tb1_supporters[[#This Row],[Email]]="","",IF(COUNTIF(tb1_supporters[Email],tb1_supporters[[#This Row],[Email]])&gt;1,"Review - duplicate record, see Supporter_Duplicates tab",""))</f>
        <v/>
      </c>
      <c r="AB113" s="21" t="str">
        <f>IF(tb1_supporters[[#This Row],[Communication_Preference]]="Do Not Contact","DO NOT CONTACT","")</f>
        <v/>
      </c>
      <c r="AE113"/>
    </row>
    <row r="114" spans="1:31" x14ac:dyDescent="0.25">
      <c r="A114" s="3" t="s">
        <v>949</v>
      </c>
      <c r="B114" s="2" t="s">
        <v>235</v>
      </c>
      <c r="C114" s="2" t="s">
        <v>590</v>
      </c>
      <c r="D114" s="2" t="s">
        <v>449</v>
      </c>
      <c r="E114" s="2" t="s">
        <v>950</v>
      </c>
      <c r="F114" s="2" t="s">
        <v>951</v>
      </c>
      <c r="G114" s="2" t="str">
        <f>TRIM(SUBSTITUTE(SUBSTITUTE(SUBSTITUTE(SUBSTITUTE(tb1_supporters[[#This Row],[Phone_Raw]],"(",""),")","")," ",""),"+44",))</f>
        <v>07381162670</v>
      </c>
      <c r="H114" s="15">
        <v>27619</v>
      </c>
      <c r="I114" s="36">
        <f ca="1">IF(OR(tb1_supporters[[#This Row],[Date_of_Birth]]="",tb1_supporters[[#This Row],[Date_of_Birth]]&gt;TODAY()),"",DATEDIF(tb1_supporters[[#This Row],[Date_of_Birth]],TODAY(),"Y"))</f>
        <v>50</v>
      </c>
      <c r="J11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14" s="2" t="s">
        <v>953</v>
      </c>
      <c r="L114" s="2" t="s">
        <v>429</v>
      </c>
      <c r="M114" s="2" t="s">
        <v>430</v>
      </c>
      <c r="N114" s="2" t="s">
        <v>4869</v>
      </c>
      <c r="O114" s="2" t="s">
        <v>242</v>
      </c>
      <c r="P114" s="2" t="s">
        <v>4887</v>
      </c>
      <c r="Q114" s="2" t="s">
        <v>50</v>
      </c>
      <c r="R114" s="15">
        <v>45131</v>
      </c>
      <c r="S114" s="2" t="s">
        <v>93</v>
      </c>
      <c r="T114" s="2" t="s">
        <v>36</v>
      </c>
      <c r="U114" s="2" t="s">
        <v>36</v>
      </c>
      <c r="V114" s="2" t="s">
        <v>37</v>
      </c>
      <c r="W114" s="4" t="s">
        <v>37</v>
      </c>
      <c r="X11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14" s="2" t="str">
        <f>IF(ISNUMBER(SEARCH("onal",tb1_supporters[[#This Row],[Phone_Clean]])),"Review - corrupt phone number", IF(LEN(tb1_supporters[[#This Row],[Phone_Clean]])&gt;11,"Review - too many digits",""))</f>
        <v/>
      </c>
      <c r="Z11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14" s="2" t="str">
        <f>IF(tb1_supporters[[#This Row],[Email]]="","",IF(COUNTIF(tb1_supporters[Email],tb1_supporters[[#This Row],[Email]])&gt;1,"Review - duplicate record, see Supporter_Duplicates tab",""))</f>
        <v/>
      </c>
      <c r="AB114" s="21" t="str">
        <f>IF(tb1_supporters[[#This Row],[Communication_Preference]]="Do Not Contact","DO NOT CONTACT","")</f>
        <v/>
      </c>
      <c r="AE114"/>
    </row>
    <row r="115" spans="1:31" x14ac:dyDescent="0.25">
      <c r="A115" s="3" t="s">
        <v>955</v>
      </c>
      <c r="B115" s="2"/>
      <c r="C115" s="2" t="s">
        <v>246</v>
      </c>
      <c r="D115" s="2" t="s">
        <v>158</v>
      </c>
      <c r="E115" s="2" t="s">
        <v>956</v>
      </c>
      <c r="F115" s="2" t="s">
        <v>957</v>
      </c>
      <c r="G115" s="2" t="str">
        <f>TRIM(SUBSTITUTE(SUBSTITUTE(SUBSTITUTE(SUBSTITUTE(tb1_supporters[[#This Row],[Phone_Raw]],"(",""),")","")," ",""),"+44",))</f>
        <v>07407978824</v>
      </c>
      <c r="H115" s="15">
        <v>31961</v>
      </c>
      <c r="I115" s="36">
        <f ca="1">IF(OR(tb1_supporters[[#This Row],[Date_of_Birth]]="",tb1_supporters[[#This Row],[Date_of_Birth]]&gt;TODAY()),"",DATEDIF(tb1_supporters[[#This Row],[Date_of_Birth]],TODAY(),"Y"))</f>
        <v>38</v>
      </c>
      <c r="J11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15" s="2" t="s">
        <v>959</v>
      </c>
      <c r="L115" s="2" t="s">
        <v>609</v>
      </c>
      <c r="M115" s="2" t="s">
        <v>610</v>
      </c>
      <c r="N115" s="2" t="s">
        <v>611</v>
      </c>
      <c r="O115" s="2" t="s">
        <v>242</v>
      </c>
      <c r="P115" s="2" t="s">
        <v>181</v>
      </c>
      <c r="Q115" s="2" t="s">
        <v>50</v>
      </c>
      <c r="R115" s="15">
        <v>44791</v>
      </c>
      <c r="S115" s="2" t="s">
        <v>52</v>
      </c>
      <c r="T115" s="2" t="s">
        <v>36</v>
      </c>
      <c r="U115" s="2" t="s">
        <v>37</v>
      </c>
      <c r="V115" s="2" t="s">
        <v>37</v>
      </c>
      <c r="W115" s="4" t="s">
        <v>36</v>
      </c>
      <c r="X11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15" s="2" t="str">
        <f>IF(ISNUMBER(SEARCH("onal",tb1_supporters[[#This Row],[Phone_Clean]])),"Review - corrupt phone number", IF(LEN(tb1_supporters[[#This Row],[Phone_Clean]])&gt;11,"Review - too many digits",""))</f>
        <v/>
      </c>
      <c r="Z11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15" s="2" t="str">
        <f>IF(tb1_supporters[[#This Row],[Email]]="","",IF(COUNTIF(tb1_supporters[Email],tb1_supporters[[#This Row],[Email]])&gt;1,"Review - duplicate record, see Supporter_Duplicates tab",""))</f>
        <v/>
      </c>
      <c r="AB115" s="21" t="str">
        <f>IF(tb1_supporters[[#This Row],[Communication_Preference]]="Do Not Contact","DO NOT CONTACT","")</f>
        <v/>
      </c>
      <c r="AE115"/>
    </row>
    <row r="116" spans="1:31" x14ac:dyDescent="0.25">
      <c r="A116" s="3" t="s">
        <v>961</v>
      </c>
      <c r="B116" s="2" t="s">
        <v>54</v>
      </c>
      <c r="C116" s="2" t="s">
        <v>82</v>
      </c>
      <c r="D116" s="2" t="s">
        <v>375</v>
      </c>
      <c r="E116" s="2" t="s">
        <v>962</v>
      </c>
      <c r="F116" s="2" t="s">
        <v>963</v>
      </c>
      <c r="G116" s="2" t="str">
        <f>TRIM(SUBSTITUTE(SUBSTITUTE(SUBSTITUTE(SUBSTITUTE(tb1_supporters[[#This Row],[Phone_Raw]],"(",""),")","")," ",""),"+44",))</f>
        <v>07486789719</v>
      </c>
      <c r="H116" s="15">
        <v>21338</v>
      </c>
      <c r="I116" s="36">
        <f ca="1">IF(OR(tb1_supporters[[#This Row],[Date_of_Birth]]="",tb1_supporters[[#This Row],[Date_of_Birth]]&gt;TODAY()),"",DATEDIF(tb1_supporters[[#This Row],[Date_of_Birth]],TODAY(),"Y"))</f>
        <v>67</v>
      </c>
      <c r="J11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16" s="2" t="s">
        <v>965</v>
      </c>
      <c r="L116" s="2" t="s">
        <v>766</v>
      </c>
      <c r="M116" s="2" t="s">
        <v>767</v>
      </c>
      <c r="N116" s="2" t="s">
        <v>768</v>
      </c>
      <c r="O116" s="2" t="s">
        <v>166</v>
      </c>
      <c r="P116" s="2" t="s">
        <v>65</v>
      </c>
      <c r="Q116" s="2" t="s">
        <v>154</v>
      </c>
      <c r="R116" s="15">
        <v>45507</v>
      </c>
      <c r="S116" s="2" t="s">
        <v>93</v>
      </c>
      <c r="T116" s="2" t="s">
        <v>37</v>
      </c>
      <c r="U116" s="2" t="s">
        <v>36</v>
      </c>
      <c r="V116" s="2" t="s">
        <v>37</v>
      </c>
      <c r="W116" s="4" t="s">
        <v>36</v>
      </c>
      <c r="X11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16" s="2" t="str">
        <f>IF(ISNUMBER(SEARCH("onal",tb1_supporters[[#This Row],[Phone_Clean]])),"Review - corrupt phone number", IF(LEN(tb1_supporters[[#This Row],[Phone_Clean]])&gt;11,"Review - too many digits",""))</f>
        <v/>
      </c>
      <c r="Z11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16" s="2" t="str">
        <f>IF(tb1_supporters[[#This Row],[Email]]="","",IF(COUNTIF(tb1_supporters[Email],tb1_supporters[[#This Row],[Email]])&gt;1,"Review - duplicate record, see Supporter_Duplicates tab",""))</f>
        <v/>
      </c>
      <c r="AB116" s="21" t="str">
        <f>IF(tb1_supporters[[#This Row],[Communication_Preference]]="Do Not Contact","DO NOT CONTACT","")</f>
        <v/>
      </c>
      <c r="AE116"/>
    </row>
    <row r="117" spans="1:31" x14ac:dyDescent="0.25">
      <c r="A117" s="3" t="s">
        <v>967</v>
      </c>
      <c r="B117" s="2" t="s">
        <v>4866</v>
      </c>
      <c r="C117" s="2" t="s">
        <v>968</v>
      </c>
      <c r="D117" s="2" t="s">
        <v>83</v>
      </c>
      <c r="E117" s="2" t="s">
        <v>969</v>
      </c>
      <c r="F117" s="2" t="s">
        <v>970</v>
      </c>
      <c r="G117" s="2" t="str">
        <f>TRIM(SUBSTITUTE(SUBSTITUTE(SUBSTITUTE(SUBSTITUTE(tb1_supporters[[#This Row],[Phone_Raw]],"(",""),")","")," ",""),"+44",))</f>
        <v>017743507498</v>
      </c>
      <c r="H117" s="15">
        <v>38261</v>
      </c>
      <c r="I117" s="36">
        <f ca="1">IF(OR(tb1_supporters[[#This Row],[Date_of_Birth]]="",tb1_supporters[[#This Row],[Date_of_Birth]]&gt;TODAY()),"",DATEDIF(tb1_supporters[[#This Row],[Date_of_Birth]],TODAY(),"Y"))</f>
        <v>21</v>
      </c>
      <c r="J11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17" s="2" t="s">
        <v>972</v>
      </c>
      <c r="L117" s="2" t="s">
        <v>100</v>
      </c>
      <c r="M117" s="2" t="s">
        <v>101</v>
      </c>
      <c r="N117" s="2" t="s">
        <v>343</v>
      </c>
      <c r="O117" s="2" t="s">
        <v>242</v>
      </c>
      <c r="P117" s="2" t="s">
        <v>91</v>
      </c>
      <c r="Q117" s="2" t="s">
        <v>66</v>
      </c>
      <c r="R117" s="15">
        <v>45010</v>
      </c>
      <c r="S117" s="2" t="s">
        <v>5</v>
      </c>
      <c r="T117" s="2" t="s">
        <v>37</v>
      </c>
      <c r="U117" s="2" t="s">
        <v>36</v>
      </c>
      <c r="V117" s="2" t="s">
        <v>36</v>
      </c>
      <c r="W117" s="4" t="s">
        <v>37</v>
      </c>
      <c r="X11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17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1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17" s="2" t="str">
        <f>IF(tb1_supporters[[#This Row],[Email]]="","",IF(COUNTIF(tb1_supporters[Email],tb1_supporters[[#This Row],[Email]])&gt;1,"Review - duplicate record, see Supporter_Duplicates tab",""))</f>
        <v/>
      </c>
      <c r="AB117" s="21" t="str">
        <f>IF(tb1_supporters[[#This Row],[Communication_Preference]]="Do Not Contact","DO NOT CONTACT","")</f>
        <v/>
      </c>
      <c r="AE117"/>
    </row>
    <row r="118" spans="1:31" x14ac:dyDescent="0.25">
      <c r="A118" s="3" t="s">
        <v>974</v>
      </c>
      <c r="B118" s="2" t="s">
        <v>235</v>
      </c>
      <c r="C118" s="2" t="s">
        <v>308</v>
      </c>
      <c r="D118" s="2" t="s">
        <v>108</v>
      </c>
      <c r="E118" s="2" t="s">
        <v>4869</v>
      </c>
      <c r="F118" s="2" t="s">
        <v>975</v>
      </c>
      <c r="G118" s="2" t="str">
        <f>TRIM(SUBSTITUTE(SUBSTITUTE(SUBSTITUTE(SUBSTITUTE(tb1_supporters[[#This Row],[Phone_Raw]],"(",""),")","")," ",""),"+44",))</f>
        <v>07676984326</v>
      </c>
      <c r="H118" s="15">
        <v>33738</v>
      </c>
      <c r="I118" s="36">
        <f ca="1">IF(OR(tb1_supporters[[#This Row],[Date_of_Birth]]="",tb1_supporters[[#This Row],[Date_of_Birth]]&gt;TODAY()),"",DATEDIF(tb1_supporters[[#This Row],[Date_of_Birth]],TODAY(),"Y"))</f>
        <v>34</v>
      </c>
      <c r="J11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18" s="2" t="s">
        <v>977</v>
      </c>
      <c r="L118" s="2" t="s">
        <v>660</v>
      </c>
      <c r="M118" s="2" t="s">
        <v>230</v>
      </c>
      <c r="N118" s="2" t="s">
        <v>661</v>
      </c>
      <c r="O118" s="2" t="s">
        <v>242</v>
      </c>
      <c r="P118" s="2" t="s">
        <v>181</v>
      </c>
      <c r="Q118" s="2" t="s">
        <v>141</v>
      </c>
      <c r="R118" s="15">
        <v>45367</v>
      </c>
      <c r="S118" s="2" t="s">
        <v>5</v>
      </c>
      <c r="T118" s="2" t="s">
        <v>37</v>
      </c>
      <c r="U118" s="2" t="s">
        <v>37</v>
      </c>
      <c r="V118" s="2" t="s">
        <v>37</v>
      </c>
      <c r="W118" s="4" t="s">
        <v>37</v>
      </c>
      <c r="X11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118" s="2" t="str">
        <f>IF(ISNUMBER(SEARCH("onal",tb1_supporters[[#This Row],[Phone_Clean]])),"Review - corrupt phone number", IF(LEN(tb1_supporters[[#This Row],[Phone_Clean]])&gt;11,"Review - too many digits",""))</f>
        <v/>
      </c>
      <c r="Z11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18" s="2" t="str">
        <f>IF(tb1_supporters[[#This Row],[Email]]="","",IF(COUNTIF(tb1_supporters[Email],tb1_supporters[[#This Row],[Email]])&gt;1,"Review - duplicate record, see Supporter_Duplicates tab",""))</f>
        <v/>
      </c>
      <c r="AB118" s="21" t="str">
        <f>IF(tb1_supporters[[#This Row],[Communication_Preference]]="Do Not Contact","DO NOT CONTACT","")</f>
        <v/>
      </c>
      <c r="AE118"/>
    </row>
    <row r="119" spans="1:31" x14ac:dyDescent="0.25">
      <c r="A119" s="3" t="s">
        <v>979</v>
      </c>
      <c r="B119" s="2" t="s">
        <v>54</v>
      </c>
      <c r="C119" s="2" t="s">
        <v>673</v>
      </c>
      <c r="D119" s="2" t="s">
        <v>496</v>
      </c>
      <c r="E119" s="2" t="s">
        <v>980</v>
      </c>
      <c r="F119" s="2" t="s">
        <v>981</v>
      </c>
      <c r="G119" s="2" t="str">
        <f>TRIM(SUBSTITUTE(SUBSTITUTE(SUBSTITUTE(SUBSTITUTE(tb1_supporters[[#This Row],[Phone_Raw]],"(",""),")","")," ",""),"+44",))</f>
        <v>01onal8579037</v>
      </c>
      <c r="H119" s="15">
        <v>26276</v>
      </c>
      <c r="I119" s="36">
        <f ca="1">IF(OR(tb1_supporters[[#This Row],[Date_of_Birth]]="",tb1_supporters[[#This Row],[Date_of_Birth]]&gt;TODAY()),"",DATEDIF(tb1_supporters[[#This Row],[Date_of_Birth]],TODAY(),"Y"))</f>
        <v>54</v>
      </c>
      <c r="J11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19" s="2" t="s">
        <v>983</v>
      </c>
      <c r="L119" s="2" t="s">
        <v>984</v>
      </c>
      <c r="M119" s="2" t="s">
        <v>62</v>
      </c>
      <c r="N119" s="2" t="s">
        <v>985</v>
      </c>
      <c r="O119" s="2" t="s">
        <v>166</v>
      </c>
      <c r="P119" s="2" t="s">
        <v>49</v>
      </c>
      <c r="Q119" s="2" t="s">
        <v>154</v>
      </c>
      <c r="R119" s="15">
        <v>43674</v>
      </c>
      <c r="S119" s="2" t="s">
        <v>4</v>
      </c>
      <c r="T119" s="2" t="s">
        <v>37</v>
      </c>
      <c r="U119" s="2" t="s">
        <v>36</v>
      </c>
      <c r="V119" s="2" t="s">
        <v>36</v>
      </c>
      <c r="W119" s="4" t="s">
        <v>37</v>
      </c>
      <c r="X11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119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11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19" s="2" t="str">
        <f>IF(tb1_supporters[[#This Row],[Email]]="","",IF(COUNTIF(tb1_supporters[Email],tb1_supporters[[#This Row],[Email]])&gt;1,"Review - duplicate record, see Supporter_Duplicates tab",""))</f>
        <v/>
      </c>
      <c r="AB119" s="21" t="str">
        <f>IF(tb1_supporters[[#This Row],[Communication_Preference]]="Do Not Contact","DO NOT CONTACT","")</f>
        <v/>
      </c>
      <c r="AE119"/>
    </row>
    <row r="120" spans="1:31" x14ac:dyDescent="0.25">
      <c r="A120" s="3" t="s">
        <v>987</v>
      </c>
      <c r="B120" s="2" t="s">
        <v>22</v>
      </c>
      <c r="C120" s="2" t="s">
        <v>988</v>
      </c>
      <c r="D120" s="2" t="s">
        <v>435</v>
      </c>
      <c r="E120" s="2" t="s">
        <v>989</v>
      </c>
      <c r="F120" s="2" t="s">
        <v>990</v>
      </c>
      <c r="G120" s="2" t="str">
        <f>TRIM(SUBSTITUTE(SUBSTITUTE(SUBSTITUTE(SUBSTITUTE(tb1_supporters[[#This Row],[Phone_Raw]],"(",""),")","")," ",""),"+44",))</f>
        <v>012921133474</v>
      </c>
      <c r="H120" s="15">
        <v>18245</v>
      </c>
      <c r="I120" s="36">
        <f ca="1">IF(OR(tb1_supporters[[#This Row],[Date_of_Birth]]="",tb1_supporters[[#This Row],[Date_of_Birth]]&gt;TODAY()),"",DATEDIF(tb1_supporters[[#This Row],[Date_of_Birth]],TODAY(),"Y"))</f>
        <v>76</v>
      </c>
      <c r="J12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20" s="2" t="s">
        <v>992</v>
      </c>
      <c r="L120" s="2" t="s">
        <v>945</v>
      </c>
      <c r="M120" s="2" t="s">
        <v>946</v>
      </c>
      <c r="N120" s="2" t="s">
        <v>947</v>
      </c>
      <c r="O120" s="2" t="s">
        <v>242</v>
      </c>
      <c r="P120" s="2" t="s">
        <v>153</v>
      </c>
      <c r="Q120" s="2" t="s">
        <v>141</v>
      </c>
      <c r="R120" s="15">
        <v>43348</v>
      </c>
      <c r="S120" s="2" t="s">
        <v>4</v>
      </c>
      <c r="T120" s="2" t="s">
        <v>37</v>
      </c>
      <c r="U120" s="2" t="s">
        <v>37</v>
      </c>
      <c r="V120" s="2" t="s">
        <v>37</v>
      </c>
      <c r="W120" s="4" t="s">
        <v>37</v>
      </c>
      <c r="X12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120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2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20" s="2" t="str">
        <f>IF(tb1_supporters[[#This Row],[Email]]="","",IF(COUNTIF(tb1_supporters[Email],tb1_supporters[[#This Row],[Email]])&gt;1,"Review - duplicate record, see Supporter_Duplicates tab",""))</f>
        <v/>
      </c>
      <c r="AB120" s="21" t="str">
        <f>IF(tb1_supporters[[#This Row],[Communication_Preference]]="Do Not Contact","DO NOT CONTACT","")</f>
        <v/>
      </c>
      <c r="AE120"/>
    </row>
    <row r="121" spans="1:31" x14ac:dyDescent="0.25">
      <c r="A121" s="3" t="s">
        <v>994</v>
      </c>
      <c r="B121" s="2" t="s">
        <v>54</v>
      </c>
      <c r="C121" s="2" t="s">
        <v>185</v>
      </c>
      <c r="D121" s="2" t="s">
        <v>158</v>
      </c>
      <c r="E121" s="2" t="s">
        <v>995</v>
      </c>
      <c r="F121" s="2" t="s">
        <v>996</v>
      </c>
      <c r="G121" s="2" t="str">
        <f>TRIM(SUBSTITUTE(SUBSTITUTE(SUBSTITUTE(SUBSTITUTE(tb1_supporters[[#This Row],[Phone_Raw]],"(",""),")","")," ",""),"+44",))</f>
        <v>07209198636</v>
      </c>
      <c r="H121" s="15">
        <v>38087</v>
      </c>
      <c r="I121" s="36">
        <f ca="1">IF(OR(tb1_supporters[[#This Row],[Date_of_Birth]]="",tb1_supporters[[#This Row],[Date_of_Birth]]&gt;TODAY()),"",DATEDIF(tb1_supporters[[#This Row],[Date_of_Birth]],TODAY(),"Y"))</f>
        <v>22</v>
      </c>
      <c r="J12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21" s="2" t="s">
        <v>998</v>
      </c>
      <c r="L121" s="2" t="s">
        <v>252</v>
      </c>
      <c r="M121" s="2" t="s">
        <v>253</v>
      </c>
      <c r="N121" s="2" t="s">
        <v>254</v>
      </c>
      <c r="O121" s="2" t="s">
        <v>166</v>
      </c>
      <c r="P121" s="2" t="s">
        <v>33</v>
      </c>
      <c r="Q121" s="2" t="s">
        <v>50</v>
      </c>
      <c r="R121" s="15">
        <v>45257</v>
      </c>
      <c r="S121" s="2" t="s">
        <v>4</v>
      </c>
      <c r="T121" s="2" t="s">
        <v>36</v>
      </c>
      <c r="U121" s="2" t="s">
        <v>36</v>
      </c>
      <c r="V121" s="2" t="s">
        <v>36</v>
      </c>
      <c r="W121" s="4" t="s">
        <v>37</v>
      </c>
      <c r="X12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21" s="2" t="str">
        <f>IF(ISNUMBER(SEARCH("onal",tb1_supporters[[#This Row],[Phone_Clean]])),"Review - corrupt phone number", IF(LEN(tb1_supporters[[#This Row],[Phone_Clean]])&gt;11,"Review - too many digits",""))</f>
        <v/>
      </c>
      <c r="Z12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21" s="2" t="str">
        <f>IF(tb1_supporters[[#This Row],[Email]]="","",IF(COUNTIF(tb1_supporters[Email],tb1_supporters[[#This Row],[Email]])&gt;1,"Review - duplicate record, see Supporter_Duplicates tab",""))</f>
        <v/>
      </c>
      <c r="AB121" s="21" t="str">
        <f>IF(tb1_supporters[[#This Row],[Communication_Preference]]="Do Not Contact","DO NOT CONTACT","")</f>
        <v/>
      </c>
      <c r="AE121"/>
    </row>
    <row r="122" spans="1:31" x14ac:dyDescent="0.25">
      <c r="A122" s="3" t="s">
        <v>1000</v>
      </c>
      <c r="B122" s="2" t="s">
        <v>54</v>
      </c>
      <c r="C122" s="2" t="s">
        <v>1001</v>
      </c>
      <c r="D122" s="2" t="s">
        <v>108</v>
      </c>
      <c r="E122" s="2" t="s">
        <v>1002</v>
      </c>
      <c r="F122" s="2" t="s">
        <v>1003</v>
      </c>
      <c r="G122" s="2" t="str">
        <f>TRIM(SUBSTITUTE(SUBSTITUTE(SUBSTITUTE(SUBSTITUTE(tb1_supporters[[#This Row],[Phone_Raw]],"(",""),")","")," ",""),"+44",))</f>
        <v>07515488486</v>
      </c>
      <c r="H122" s="15">
        <v>22307</v>
      </c>
      <c r="I122" s="36">
        <f ca="1">IF(OR(tb1_supporters[[#This Row],[Date_of_Birth]]="",tb1_supporters[[#This Row],[Date_of_Birth]]&gt;TODAY()),"",DATEDIF(tb1_supporters[[#This Row],[Date_of_Birth]],TODAY(),"Y"))</f>
        <v>65</v>
      </c>
      <c r="J12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22" s="2" t="s">
        <v>1005</v>
      </c>
      <c r="L122" s="2" t="s">
        <v>387</v>
      </c>
      <c r="M122" s="2" t="s">
        <v>388</v>
      </c>
      <c r="N122" s="2" t="s">
        <v>389</v>
      </c>
      <c r="O122" s="2" t="s">
        <v>166</v>
      </c>
      <c r="P122" s="2" t="s">
        <v>181</v>
      </c>
      <c r="Q122" s="2" t="s">
        <v>4888</v>
      </c>
      <c r="R122" s="15">
        <v>43139</v>
      </c>
      <c r="S122" s="2" t="s">
        <v>4</v>
      </c>
      <c r="T122" s="2" t="s">
        <v>36</v>
      </c>
      <c r="U122" s="2" t="s">
        <v>36</v>
      </c>
      <c r="V122" s="2" t="s">
        <v>37</v>
      </c>
      <c r="W122" s="4" t="s">
        <v>37</v>
      </c>
      <c r="X12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22" s="2" t="str">
        <f>IF(ISNUMBER(SEARCH("onal",tb1_supporters[[#This Row],[Phone_Clean]])),"Review - corrupt phone number", IF(LEN(tb1_supporters[[#This Row],[Phone_Clean]])&gt;11,"Review - too many digits",""))</f>
        <v/>
      </c>
      <c r="Z12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22" s="2" t="str">
        <f>IF(tb1_supporters[[#This Row],[Email]]="","",IF(COUNTIF(tb1_supporters[Email],tb1_supporters[[#This Row],[Email]])&gt;1,"Review - duplicate record, see Supporter_Duplicates tab",""))</f>
        <v/>
      </c>
      <c r="AB122" s="21" t="str">
        <f>IF(tb1_supporters[[#This Row],[Communication_Preference]]="Do Not Contact","DO NOT CONTACT","")</f>
        <v/>
      </c>
      <c r="AE122"/>
    </row>
    <row r="123" spans="1:31" x14ac:dyDescent="0.25">
      <c r="A123" s="3" t="s">
        <v>1007</v>
      </c>
      <c r="B123" s="2" t="s">
        <v>22</v>
      </c>
      <c r="C123" s="2" t="s">
        <v>655</v>
      </c>
      <c r="D123" s="2" t="s">
        <v>1008</v>
      </c>
      <c r="E123" s="2" t="s">
        <v>1009</v>
      </c>
      <c r="F123" s="2" t="s">
        <v>1010</v>
      </c>
      <c r="G123" s="2" t="str">
        <f>TRIM(SUBSTITUTE(SUBSTITUTE(SUBSTITUTE(SUBSTITUTE(tb1_supporters[[#This Row],[Phone_Raw]],"(",""),")","")," ",""),"+44",))</f>
        <v>07176800387</v>
      </c>
      <c r="H123" s="15">
        <v>12538</v>
      </c>
      <c r="I123" s="36">
        <f ca="1">IF(OR(tb1_supporters[[#This Row],[Date_of_Birth]]="",tb1_supporters[[#This Row],[Date_of_Birth]]&gt;TODAY()),"",DATEDIF(tb1_supporters[[#This Row],[Date_of_Birth]],TODAY(),"Y"))</f>
        <v>92</v>
      </c>
      <c r="J12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23" s="2" t="s">
        <v>1012</v>
      </c>
      <c r="L123" s="2" t="s">
        <v>229</v>
      </c>
      <c r="M123" s="2" t="s">
        <v>230</v>
      </c>
      <c r="N123" s="2" t="s">
        <v>231</v>
      </c>
      <c r="O123" s="2" t="s">
        <v>242</v>
      </c>
      <c r="P123" s="2" t="s">
        <v>117</v>
      </c>
      <c r="Q123" s="2" t="s">
        <v>243</v>
      </c>
      <c r="R123" s="15">
        <v>44389</v>
      </c>
      <c r="S123" s="2" t="s">
        <v>93</v>
      </c>
      <c r="T123" s="2" t="s">
        <v>36</v>
      </c>
      <c r="U123" s="2" t="s">
        <v>36</v>
      </c>
      <c r="V123" s="2" t="s">
        <v>37</v>
      </c>
      <c r="W123" s="4" t="s">
        <v>36</v>
      </c>
      <c r="X12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23" s="2" t="str">
        <f>IF(ISNUMBER(SEARCH("onal",tb1_supporters[[#This Row],[Phone_Clean]])),"Review - corrupt phone number", IF(LEN(tb1_supporters[[#This Row],[Phone_Clean]])&gt;11,"Review - too many digits",""))</f>
        <v/>
      </c>
      <c r="Z12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23" s="2" t="str">
        <f>IF(tb1_supporters[[#This Row],[Email]]="","",IF(COUNTIF(tb1_supporters[Email],tb1_supporters[[#This Row],[Email]])&gt;1,"Review - duplicate record, see Supporter_Duplicates tab",""))</f>
        <v/>
      </c>
      <c r="AB123" s="21" t="str">
        <f>IF(tb1_supporters[[#This Row],[Communication_Preference]]="Do Not Contact","DO NOT CONTACT","")</f>
        <v/>
      </c>
      <c r="AE123"/>
    </row>
    <row r="124" spans="1:31" x14ac:dyDescent="0.25">
      <c r="A124" s="3" t="s">
        <v>1014</v>
      </c>
      <c r="B124" s="2" t="s">
        <v>4866</v>
      </c>
      <c r="C124" s="2" t="s">
        <v>573</v>
      </c>
      <c r="D124" s="2" t="s">
        <v>133</v>
      </c>
      <c r="E124" s="2" t="s">
        <v>1015</v>
      </c>
      <c r="F124" s="2" t="s">
        <v>1016</v>
      </c>
      <c r="G124" s="2" t="str">
        <f>TRIM(SUBSTITUTE(SUBSTITUTE(SUBSTITUTE(SUBSTITUTE(tb1_supporters[[#This Row],[Phone_Raw]],"(",""),")","")," ",""),"+44",))</f>
        <v>01419092284</v>
      </c>
      <c r="H124" s="15">
        <v>34625</v>
      </c>
      <c r="I124" s="36">
        <f ca="1">IF(OR(tb1_supporters[[#This Row],[Date_of_Birth]]="",tb1_supporters[[#This Row],[Date_of_Birth]]&gt;TODAY()),"",DATEDIF(tb1_supporters[[#This Row],[Date_of_Birth]],TODAY(),"Y"))</f>
        <v>31</v>
      </c>
      <c r="J12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24" s="2" t="s">
        <v>1018</v>
      </c>
      <c r="L124" s="2" t="s">
        <v>61</v>
      </c>
      <c r="M124" s="2" t="s">
        <v>62</v>
      </c>
      <c r="N124" s="2" t="s">
        <v>925</v>
      </c>
      <c r="O124" s="2" t="s">
        <v>242</v>
      </c>
      <c r="P124" s="2" t="s">
        <v>181</v>
      </c>
      <c r="Q124" s="2" t="s">
        <v>192</v>
      </c>
      <c r="R124" s="15">
        <v>44891</v>
      </c>
      <c r="S124" s="2" t="s">
        <v>93</v>
      </c>
      <c r="T124" s="2" t="s">
        <v>36</v>
      </c>
      <c r="U124" s="2" t="s">
        <v>36</v>
      </c>
      <c r="V124" s="2" t="s">
        <v>36</v>
      </c>
      <c r="W124" s="4" t="s">
        <v>37</v>
      </c>
      <c r="X12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24" s="2" t="str">
        <f>IF(ISNUMBER(SEARCH("onal",tb1_supporters[[#This Row],[Phone_Clean]])),"Review - corrupt phone number", IF(LEN(tb1_supporters[[#This Row],[Phone_Clean]])&gt;11,"Review - too many digits",""))</f>
        <v/>
      </c>
      <c r="Z12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24" s="2" t="str">
        <f>IF(tb1_supporters[[#This Row],[Email]]="","",IF(COUNTIF(tb1_supporters[Email],tb1_supporters[[#This Row],[Email]])&gt;1,"Review - duplicate record, see Supporter_Duplicates tab",""))</f>
        <v/>
      </c>
      <c r="AB124" s="21" t="str">
        <f>IF(tb1_supporters[[#This Row],[Communication_Preference]]="Do Not Contact","DO NOT CONTACT","")</f>
        <v/>
      </c>
      <c r="AE124"/>
    </row>
    <row r="125" spans="1:31" x14ac:dyDescent="0.25">
      <c r="A125" s="3" t="s">
        <v>1020</v>
      </c>
      <c r="B125" s="2" t="s">
        <v>235</v>
      </c>
      <c r="C125" s="2" t="s">
        <v>1021</v>
      </c>
      <c r="D125" s="2" t="s">
        <v>197</v>
      </c>
      <c r="E125" s="2" t="s">
        <v>1022</v>
      </c>
      <c r="F125" s="2" t="s">
        <v>1023</v>
      </c>
      <c r="G125" s="2" t="str">
        <f>TRIM(SUBSTITUTE(SUBSTITUTE(SUBSTITUTE(SUBSTITUTE(tb1_supporters[[#This Row],[Phone_Raw]],"(",""),")","")," ",""),"+44",))</f>
        <v>07464666484</v>
      </c>
      <c r="H125" s="15">
        <v>13006</v>
      </c>
      <c r="I125" s="36">
        <f ca="1">IF(OR(tb1_supporters[[#This Row],[Date_of_Birth]]="",tb1_supporters[[#This Row],[Date_of_Birth]]&gt;TODAY()),"",DATEDIF(tb1_supporters[[#This Row],[Date_of_Birth]],TODAY(),"Y"))</f>
        <v>90</v>
      </c>
      <c r="J12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25" s="2" t="s">
        <v>1025</v>
      </c>
      <c r="L125" s="2" t="s">
        <v>1026</v>
      </c>
      <c r="M125" s="2" t="s">
        <v>1027</v>
      </c>
      <c r="N125" s="2" t="s">
        <v>1028</v>
      </c>
      <c r="O125" s="2" t="s">
        <v>242</v>
      </c>
      <c r="P125" s="2" t="s">
        <v>4887</v>
      </c>
      <c r="Q125" s="2" t="s">
        <v>192</v>
      </c>
      <c r="R125" s="15">
        <v>45516</v>
      </c>
      <c r="S125" s="2" t="s">
        <v>4</v>
      </c>
      <c r="T125" s="2" t="s">
        <v>36</v>
      </c>
      <c r="U125" s="2" t="s">
        <v>36</v>
      </c>
      <c r="V125" s="2" t="s">
        <v>37</v>
      </c>
      <c r="W125" s="4" t="s">
        <v>36</v>
      </c>
      <c r="X12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25" s="2" t="str">
        <f>IF(ISNUMBER(SEARCH("onal",tb1_supporters[[#This Row],[Phone_Clean]])),"Review - corrupt phone number", IF(LEN(tb1_supporters[[#This Row],[Phone_Clean]])&gt;11,"Review - too many digits",""))</f>
        <v/>
      </c>
      <c r="Z12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25" s="2" t="str">
        <f>IF(tb1_supporters[[#This Row],[Email]]="","",IF(COUNTIF(tb1_supporters[Email],tb1_supporters[[#This Row],[Email]])&gt;1,"Review - duplicate record, see Supporter_Duplicates tab",""))</f>
        <v/>
      </c>
      <c r="AB125" s="21" t="str">
        <f>IF(tb1_supporters[[#This Row],[Communication_Preference]]="Do Not Contact","DO NOT CONTACT","")</f>
        <v/>
      </c>
      <c r="AE125"/>
    </row>
    <row r="126" spans="1:31" x14ac:dyDescent="0.25">
      <c r="A126" s="3" t="s">
        <v>1030</v>
      </c>
      <c r="B126" s="2" t="s">
        <v>54</v>
      </c>
      <c r="C126" s="2" t="s">
        <v>1031</v>
      </c>
      <c r="D126" s="2" t="s">
        <v>674</v>
      </c>
      <c r="E126" s="2" t="s">
        <v>1032</v>
      </c>
      <c r="F126" s="2" t="s">
        <v>1033</v>
      </c>
      <c r="G126" s="2" t="str">
        <f>TRIM(SUBSTITUTE(SUBSTITUTE(SUBSTITUTE(SUBSTITUTE(tb1_supporters[[#This Row],[Phone_Raw]],"(",""),")","")," ",""),"+44",))</f>
        <v>07415555468</v>
      </c>
      <c r="H126" s="15">
        <v>19300</v>
      </c>
      <c r="I126" s="36">
        <f ca="1">IF(OR(tb1_supporters[[#This Row],[Date_of_Birth]]="",tb1_supporters[[#This Row],[Date_of_Birth]]&gt;TODAY()),"",DATEDIF(tb1_supporters[[#This Row],[Date_of_Birth]],TODAY(),"Y"))</f>
        <v>73</v>
      </c>
      <c r="J12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26" s="2" t="s">
        <v>1035</v>
      </c>
      <c r="L126" s="2" t="s">
        <v>319</v>
      </c>
      <c r="M126" s="2" t="s">
        <v>320</v>
      </c>
      <c r="N126" s="2" t="s">
        <v>321</v>
      </c>
      <c r="O126" s="2" t="s">
        <v>166</v>
      </c>
      <c r="P126" s="2" t="s">
        <v>65</v>
      </c>
      <c r="Q126" s="2" t="s">
        <v>154</v>
      </c>
      <c r="R126" s="15">
        <v>43458</v>
      </c>
      <c r="S126" s="2" t="s">
        <v>4</v>
      </c>
      <c r="T126" s="2" t="s">
        <v>36</v>
      </c>
      <c r="U126" s="2" t="s">
        <v>36</v>
      </c>
      <c r="V126" s="2" t="s">
        <v>37</v>
      </c>
      <c r="W126" s="4" t="s">
        <v>37</v>
      </c>
      <c r="X12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26" s="2" t="str">
        <f>IF(ISNUMBER(SEARCH("onal",tb1_supporters[[#This Row],[Phone_Clean]])),"Review - corrupt phone number", IF(LEN(tb1_supporters[[#This Row],[Phone_Clean]])&gt;11,"Review - too many digits",""))</f>
        <v/>
      </c>
      <c r="Z12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26" s="2" t="str">
        <f>IF(tb1_supporters[[#This Row],[Email]]="","",IF(COUNTIF(tb1_supporters[Email],tb1_supporters[[#This Row],[Email]])&gt;1,"Review - duplicate record, see Supporter_Duplicates tab",""))</f>
        <v/>
      </c>
      <c r="AB126" s="21" t="str">
        <f>IF(tb1_supporters[[#This Row],[Communication_Preference]]="Do Not Contact","DO NOT CONTACT","")</f>
        <v/>
      </c>
      <c r="AE126"/>
    </row>
    <row r="127" spans="1:31" x14ac:dyDescent="0.25">
      <c r="A127" s="3" t="s">
        <v>1037</v>
      </c>
      <c r="B127" s="2" t="s">
        <v>402</v>
      </c>
      <c r="C127" s="2" t="s">
        <v>1038</v>
      </c>
      <c r="D127" s="2" t="s">
        <v>1039</v>
      </c>
      <c r="E127" s="2" t="s">
        <v>1040</v>
      </c>
      <c r="F127" s="2" t="s">
        <v>1041</v>
      </c>
      <c r="G127" s="2" t="str">
        <f>TRIM(SUBSTITUTE(SUBSTITUTE(SUBSTITUTE(SUBSTITUTE(tb1_supporters[[#This Row],[Phone_Raw]],"(",""),")","")," ",""),"+44",))</f>
        <v>07398523497</v>
      </c>
      <c r="H127" s="15">
        <v>34060</v>
      </c>
      <c r="I127" s="36">
        <f ca="1">IF(OR(tb1_supporters[[#This Row],[Date_of_Birth]]="",tb1_supporters[[#This Row],[Date_of_Birth]]&gt;TODAY()),"",DATEDIF(tb1_supporters[[#This Row],[Date_of_Birth]],TODAY(),"Y"))</f>
        <v>33</v>
      </c>
      <c r="J12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27" s="2" t="s">
        <v>1043</v>
      </c>
      <c r="L127" s="2" t="s">
        <v>509</v>
      </c>
      <c r="M127" s="2" t="s">
        <v>510</v>
      </c>
      <c r="N127" s="2" t="s">
        <v>511</v>
      </c>
      <c r="O127" s="2" t="s">
        <v>242</v>
      </c>
      <c r="P127" s="2" t="s">
        <v>33</v>
      </c>
      <c r="Q127" s="2" t="s">
        <v>50</v>
      </c>
      <c r="R127" s="15">
        <v>45057</v>
      </c>
      <c r="S127" s="2" t="s">
        <v>5</v>
      </c>
      <c r="T127" s="2" t="s">
        <v>36</v>
      </c>
      <c r="U127" s="2" t="s">
        <v>36</v>
      </c>
      <c r="V127" s="2" t="s">
        <v>36</v>
      </c>
      <c r="W127" s="4" t="s">
        <v>36</v>
      </c>
      <c r="X12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27" s="2" t="str">
        <f>IF(ISNUMBER(SEARCH("onal",tb1_supporters[[#This Row],[Phone_Clean]])),"Review - corrupt phone number", IF(LEN(tb1_supporters[[#This Row],[Phone_Clean]])&gt;11,"Review - too many digits",""))</f>
        <v/>
      </c>
      <c r="Z12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27" s="2" t="str">
        <f>IF(tb1_supporters[[#This Row],[Email]]="","",IF(COUNTIF(tb1_supporters[Email],tb1_supporters[[#This Row],[Email]])&gt;1,"Review - duplicate record, see Supporter_Duplicates tab",""))</f>
        <v/>
      </c>
      <c r="AB127" s="21" t="str">
        <f>IF(tb1_supporters[[#This Row],[Communication_Preference]]="Do Not Contact","DO NOT CONTACT","")</f>
        <v/>
      </c>
      <c r="AE127"/>
    </row>
    <row r="128" spans="1:31" x14ac:dyDescent="0.25">
      <c r="A128" s="3" t="s">
        <v>1045</v>
      </c>
      <c r="B128" s="2" t="s">
        <v>54</v>
      </c>
      <c r="C128" s="2" t="s">
        <v>1046</v>
      </c>
      <c r="D128" s="2" t="s">
        <v>1047</v>
      </c>
      <c r="E128" s="2" t="s">
        <v>1048</v>
      </c>
      <c r="F128" s="2" t="s">
        <v>1049</v>
      </c>
      <c r="G128" s="2" t="str">
        <f>TRIM(SUBSTITUTE(SUBSTITUTE(SUBSTITUTE(SUBSTITUTE(tb1_supporters[[#This Row],[Phone_Raw]],"(",""),")","")," ",""),"+44",))</f>
        <v>07357352838</v>
      </c>
      <c r="H128" s="15">
        <v>34851</v>
      </c>
      <c r="I128" s="36">
        <f ca="1">IF(OR(tb1_supporters[[#This Row],[Date_of_Birth]]="",tb1_supporters[[#This Row],[Date_of_Birth]]&gt;TODAY()),"",DATEDIF(tb1_supporters[[#This Row],[Date_of_Birth]],TODAY(),"Y"))</f>
        <v>30</v>
      </c>
      <c r="J12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28" s="2" t="s">
        <v>1051</v>
      </c>
      <c r="L128" s="2" t="s">
        <v>252</v>
      </c>
      <c r="M128" s="2" t="s">
        <v>253</v>
      </c>
      <c r="N128" s="2" t="s">
        <v>254</v>
      </c>
      <c r="O128" s="2" t="s">
        <v>166</v>
      </c>
      <c r="P128" s="2" t="s">
        <v>33</v>
      </c>
      <c r="Q128" s="2" t="s">
        <v>66</v>
      </c>
      <c r="R128" s="15">
        <v>43539</v>
      </c>
      <c r="S128" s="2" t="s">
        <v>5</v>
      </c>
      <c r="T128" s="2" t="s">
        <v>36</v>
      </c>
      <c r="U128" s="2" t="s">
        <v>36</v>
      </c>
      <c r="V128" s="2" t="s">
        <v>36</v>
      </c>
      <c r="W128" s="4" t="s">
        <v>37</v>
      </c>
      <c r="X12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28" s="2" t="str">
        <f>IF(ISNUMBER(SEARCH("onal",tb1_supporters[[#This Row],[Phone_Clean]])),"Review - corrupt phone number", IF(LEN(tb1_supporters[[#This Row],[Phone_Clean]])&gt;11,"Review - too many digits",""))</f>
        <v/>
      </c>
      <c r="Z12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28" s="2" t="str">
        <f>IF(tb1_supporters[[#This Row],[Email]]="","",IF(COUNTIF(tb1_supporters[Email],tb1_supporters[[#This Row],[Email]])&gt;1,"Review - duplicate record, see Supporter_Duplicates tab",""))</f>
        <v/>
      </c>
      <c r="AB128" s="21" t="str">
        <f>IF(tb1_supporters[[#This Row],[Communication_Preference]]="Do Not Contact","DO NOT CONTACT","")</f>
        <v/>
      </c>
      <c r="AE128"/>
    </row>
    <row r="129" spans="1:31" x14ac:dyDescent="0.25">
      <c r="A129" s="3" t="s">
        <v>1053</v>
      </c>
      <c r="B129" s="2" t="s">
        <v>4866</v>
      </c>
      <c r="C129" s="2" t="s">
        <v>346</v>
      </c>
      <c r="D129" s="2" t="s">
        <v>247</v>
      </c>
      <c r="E129" s="2" t="s">
        <v>1054</v>
      </c>
      <c r="F129" s="2" t="s">
        <v>1055</v>
      </c>
      <c r="G129" s="2" t="str">
        <f>TRIM(SUBSTITUTE(SUBSTITUTE(SUBSTITUTE(SUBSTITUTE(tb1_supporters[[#This Row],[Phone_Raw]],"(",""),")","")," ",""),"+44",))</f>
        <v>07717811305</v>
      </c>
      <c r="H129" s="15">
        <v>17328</v>
      </c>
      <c r="I129" s="36">
        <f ca="1">IF(OR(tb1_supporters[[#This Row],[Date_of_Birth]]="",tb1_supporters[[#This Row],[Date_of_Birth]]&gt;TODAY()),"",DATEDIF(tb1_supporters[[#This Row],[Date_of_Birth]],TODAY(),"Y"))</f>
        <v>78</v>
      </c>
      <c r="J12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29" s="2" t="s">
        <v>1057</v>
      </c>
      <c r="L129" s="2" t="s">
        <v>150</v>
      </c>
      <c r="M129" s="2" t="s">
        <v>151</v>
      </c>
      <c r="N129" s="2" t="s">
        <v>152</v>
      </c>
      <c r="O129" s="2" t="s">
        <v>242</v>
      </c>
      <c r="P129" s="2" t="s">
        <v>117</v>
      </c>
      <c r="Q129" s="2" t="s">
        <v>66</v>
      </c>
      <c r="R129" s="15">
        <v>44408</v>
      </c>
      <c r="S129" s="2" t="s">
        <v>5</v>
      </c>
      <c r="T129" s="2" t="s">
        <v>36</v>
      </c>
      <c r="U129" s="2" t="s">
        <v>36</v>
      </c>
      <c r="V129" s="2" t="s">
        <v>37</v>
      </c>
      <c r="W129" s="4" t="s">
        <v>36</v>
      </c>
      <c r="X12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129" s="2" t="str">
        <f>IF(ISNUMBER(SEARCH("onal",tb1_supporters[[#This Row],[Phone_Clean]])),"Review - corrupt phone number", IF(LEN(tb1_supporters[[#This Row],[Phone_Clean]])&gt;11,"Review - too many digits",""))</f>
        <v/>
      </c>
      <c r="Z12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29" s="2" t="str">
        <f>IF(tb1_supporters[[#This Row],[Email]]="","",IF(COUNTIF(tb1_supporters[Email],tb1_supporters[[#This Row],[Email]])&gt;1,"Review - duplicate record, see Supporter_Duplicates tab",""))</f>
        <v/>
      </c>
      <c r="AB129" s="21" t="str">
        <f>IF(tb1_supporters[[#This Row],[Communication_Preference]]="Do Not Contact","DO NOT CONTACT","")</f>
        <v/>
      </c>
      <c r="AE129"/>
    </row>
    <row r="130" spans="1:31" x14ac:dyDescent="0.25">
      <c r="A130" s="3" t="s">
        <v>1059</v>
      </c>
      <c r="B130" s="2" t="s">
        <v>54</v>
      </c>
      <c r="C130" s="2" t="s">
        <v>1001</v>
      </c>
      <c r="D130" s="2" t="s">
        <v>614</v>
      </c>
      <c r="E130" s="2" t="s">
        <v>1060</v>
      </c>
      <c r="F130" s="2" t="s">
        <v>1061</v>
      </c>
      <c r="G130" s="2" t="str">
        <f>TRIM(SUBSTITUTE(SUBSTITUTE(SUBSTITUTE(SUBSTITUTE(tb1_supporters[[#This Row],[Phone_Raw]],"(",""),")","")," ",""),"+44",))</f>
        <v>015944348183</v>
      </c>
      <c r="H130" s="15">
        <v>32960</v>
      </c>
      <c r="I130" s="36">
        <f ca="1">IF(OR(tb1_supporters[[#This Row],[Date_of_Birth]]="",tb1_supporters[[#This Row],[Date_of_Birth]]&gt;TODAY()),"",DATEDIF(tb1_supporters[[#This Row],[Date_of_Birth]],TODAY(),"Y"))</f>
        <v>36</v>
      </c>
      <c r="J13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30" s="2" t="s">
        <v>1063</v>
      </c>
      <c r="L130" s="2" t="s">
        <v>138</v>
      </c>
      <c r="M130" s="2" t="s">
        <v>139</v>
      </c>
      <c r="N130" s="2" t="s">
        <v>140</v>
      </c>
      <c r="O130" s="2" t="s">
        <v>166</v>
      </c>
      <c r="P130" s="2" t="s">
        <v>65</v>
      </c>
      <c r="Q130" s="2" t="s">
        <v>243</v>
      </c>
      <c r="R130" s="15">
        <v>44776</v>
      </c>
      <c r="S130" s="2" t="s">
        <v>93</v>
      </c>
      <c r="T130" s="2" t="s">
        <v>36</v>
      </c>
      <c r="U130" s="2" t="s">
        <v>36</v>
      </c>
      <c r="V130" s="2" t="s">
        <v>37</v>
      </c>
      <c r="W130" s="4" t="s">
        <v>37</v>
      </c>
      <c r="X13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30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3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30" s="2" t="str">
        <f>IF(tb1_supporters[[#This Row],[Email]]="","",IF(COUNTIF(tb1_supporters[Email],tb1_supporters[[#This Row],[Email]])&gt;1,"Review - duplicate record, see Supporter_Duplicates tab",""))</f>
        <v/>
      </c>
      <c r="AB130" s="21" t="str">
        <f>IF(tb1_supporters[[#This Row],[Communication_Preference]]="Do Not Contact","DO NOT CONTACT","")</f>
        <v/>
      </c>
      <c r="AE130"/>
    </row>
    <row r="131" spans="1:31" x14ac:dyDescent="0.25">
      <c r="A131" s="3" t="s">
        <v>1065</v>
      </c>
      <c r="B131" s="2" t="s">
        <v>4866</v>
      </c>
      <c r="C131" s="2" t="s">
        <v>337</v>
      </c>
      <c r="D131" s="2" t="s">
        <v>674</v>
      </c>
      <c r="E131" s="2" t="s">
        <v>1066</v>
      </c>
      <c r="F131" s="2" t="s">
        <v>1067</v>
      </c>
      <c r="G131" s="2" t="str">
        <f>TRIM(SUBSTITUTE(SUBSTITUTE(SUBSTITUTE(SUBSTITUTE(tb1_supporters[[#This Row],[Phone_Raw]],"(",""),")","")," ",""),"+44",))</f>
        <v>7618990808</v>
      </c>
      <c r="H131" s="15">
        <v>25390</v>
      </c>
      <c r="I131" s="36">
        <f ca="1">IF(OR(tb1_supporters[[#This Row],[Date_of_Birth]]="",tb1_supporters[[#This Row],[Date_of_Birth]]&gt;TODAY()),"",DATEDIF(tb1_supporters[[#This Row],[Date_of_Birth]],TODAY(),"Y"))</f>
        <v>56</v>
      </c>
      <c r="J13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31" s="2" t="s">
        <v>1069</v>
      </c>
      <c r="L131" s="2" t="s">
        <v>76</v>
      </c>
      <c r="M131" s="2" t="s">
        <v>77</v>
      </c>
      <c r="N131" s="2" t="s">
        <v>78</v>
      </c>
      <c r="O131" s="2" t="s">
        <v>166</v>
      </c>
      <c r="P131" s="2" t="s">
        <v>181</v>
      </c>
      <c r="Q131" s="2" t="s">
        <v>243</v>
      </c>
      <c r="R131" s="15">
        <v>44573</v>
      </c>
      <c r="S131" s="2" t="s">
        <v>4</v>
      </c>
      <c r="T131" s="2" t="s">
        <v>37</v>
      </c>
      <c r="U131" s="2" t="s">
        <v>37</v>
      </c>
      <c r="V131" s="2" t="s">
        <v>37</v>
      </c>
      <c r="W131" s="4" t="s">
        <v>36</v>
      </c>
      <c r="X13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131" s="2" t="str">
        <f>IF(ISNUMBER(SEARCH("onal",tb1_supporters[[#This Row],[Phone_Clean]])),"Review - corrupt phone number", IF(LEN(tb1_supporters[[#This Row],[Phone_Clean]])&gt;11,"Review - too many digits",""))</f>
        <v/>
      </c>
      <c r="Z13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31" s="2" t="str">
        <f>IF(tb1_supporters[[#This Row],[Email]]="","",IF(COUNTIF(tb1_supporters[Email],tb1_supporters[[#This Row],[Email]])&gt;1,"Review - duplicate record, see Supporter_Duplicates tab",""))</f>
        <v/>
      </c>
      <c r="AB131" s="21" t="str">
        <f>IF(tb1_supporters[[#This Row],[Communication_Preference]]="Do Not Contact","DO NOT CONTACT","")</f>
        <v/>
      </c>
      <c r="AE131"/>
    </row>
    <row r="132" spans="1:31" x14ac:dyDescent="0.25">
      <c r="A132" s="3" t="s">
        <v>1071</v>
      </c>
      <c r="B132" s="2" t="s">
        <v>22</v>
      </c>
      <c r="C132" s="2" t="s">
        <v>548</v>
      </c>
      <c r="D132" s="2" t="s">
        <v>186</v>
      </c>
      <c r="E132" s="2" t="s">
        <v>1072</v>
      </c>
      <c r="F132" s="2" t="s">
        <v>1073</v>
      </c>
      <c r="G132" s="2" t="str">
        <f>TRIM(SUBSTITUTE(SUBSTITUTE(SUBSTITUTE(SUBSTITUTE(tb1_supporters[[#This Row],[Phone_Raw]],"(",""),")","")," ",""),"+44",))</f>
        <v>01311102615</v>
      </c>
      <c r="H132" s="15">
        <v>26712</v>
      </c>
      <c r="I132" s="36">
        <f ca="1">IF(OR(tb1_supporters[[#This Row],[Date_of_Birth]]="",tb1_supporters[[#This Row],[Date_of_Birth]]&gt;TODAY()),"",DATEDIF(tb1_supporters[[#This Row],[Date_of_Birth]],TODAY(),"Y"))</f>
        <v>53</v>
      </c>
      <c r="J13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32" s="2" t="s">
        <v>1075</v>
      </c>
      <c r="L132" s="2" t="s">
        <v>668</v>
      </c>
      <c r="M132" s="2" t="s">
        <v>669</v>
      </c>
      <c r="N132" s="2" t="s">
        <v>670</v>
      </c>
      <c r="O132" s="2" t="s">
        <v>242</v>
      </c>
      <c r="P132" s="2" t="s">
        <v>33</v>
      </c>
      <c r="Q132" s="2" t="s">
        <v>66</v>
      </c>
      <c r="R132" s="15">
        <v>44633</v>
      </c>
      <c r="S132" s="2" t="s">
        <v>4</v>
      </c>
      <c r="T132" s="2" t="s">
        <v>36</v>
      </c>
      <c r="U132" s="2" t="s">
        <v>36</v>
      </c>
      <c r="V132" s="2" t="s">
        <v>37</v>
      </c>
      <c r="W132" s="4" t="s">
        <v>37</v>
      </c>
      <c r="X13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32" s="2" t="str">
        <f>IF(ISNUMBER(SEARCH("onal",tb1_supporters[[#This Row],[Phone_Clean]])),"Review - corrupt phone number", IF(LEN(tb1_supporters[[#This Row],[Phone_Clean]])&gt;11,"Review - too many digits",""))</f>
        <v/>
      </c>
      <c r="Z13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32" s="2" t="str">
        <f>IF(tb1_supporters[[#This Row],[Email]]="","",IF(COUNTIF(tb1_supporters[Email],tb1_supporters[[#This Row],[Email]])&gt;1,"Review - duplicate record, see Supporter_Duplicates tab",""))</f>
        <v/>
      </c>
      <c r="AB132" s="21" t="str">
        <f>IF(tb1_supporters[[#This Row],[Communication_Preference]]="Do Not Contact","DO NOT CONTACT","")</f>
        <v/>
      </c>
      <c r="AE132"/>
    </row>
    <row r="133" spans="1:31" x14ac:dyDescent="0.25">
      <c r="A133" s="3" t="s">
        <v>1077</v>
      </c>
      <c r="B133" s="2"/>
      <c r="C133" s="2" t="s">
        <v>1078</v>
      </c>
      <c r="D133" s="2" t="s">
        <v>1039</v>
      </c>
      <c r="E133" s="2" t="s">
        <v>1079</v>
      </c>
      <c r="F133" s="2" t="s">
        <v>1080</v>
      </c>
      <c r="G133" s="2" t="str">
        <f>TRIM(SUBSTITUTE(SUBSTITUTE(SUBSTITUTE(SUBSTITUTE(tb1_supporters[[#This Row],[Phone_Raw]],"(",""),")","")," ",""),"+44",))</f>
        <v>07451566903</v>
      </c>
      <c r="H133" s="15">
        <v>23972</v>
      </c>
      <c r="I133" s="36">
        <f ca="1">IF(OR(tb1_supporters[[#This Row],[Date_of_Birth]]="",tb1_supporters[[#This Row],[Date_of_Birth]]&gt;TODAY()),"",DATEDIF(tb1_supporters[[#This Row],[Date_of_Birth]],TODAY(),"Y"))</f>
        <v>60</v>
      </c>
      <c r="J13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33" s="2" t="s">
        <v>1082</v>
      </c>
      <c r="L133" s="2" t="s">
        <v>531</v>
      </c>
      <c r="M133" s="2" t="s">
        <v>532</v>
      </c>
      <c r="N133" s="2" t="s">
        <v>533</v>
      </c>
      <c r="O133" s="2" t="s">
        <v>242</v>
      </c>
      <c r="P133" s="2" t="s">
        <v>49</v>
      </c>
      <c r="Q133" s="2" t="s">
        <v>66</v>
      </c>
      <c r="R133" s="15">
        <v>43500</v>
      </c>
      <c r="S133" s="2" t="s">
        <v>5</v>
      </c>
      <c r="T133" s="2" t="s">
        <v>36</v>
      </c>
      <c r="U133" s="2" t="s">
        <v>36</v>
      </c>
      <c r="V133" s="2" t="s">
        <v>36</v>
      </c>
      <c r="W133" s="4" t="s">
        <v>36</v>
      </c>
      <c r="X13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33" s="2" t="str">
        <f>IF(ISNUMBER(SEARCH("onal",tb1_supporters[[#This Row],[Phone_Clean]])),"Review - corrupt phone number", IF(LEN(tb1_supporters[[#This Row],[Phone_Clean]])&gt;11,"Review - too many digits",""))</f>
        <v/>
      </c>
      <c r="Z13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33" s="2" t="str">
        <f>IF(tb1_supporters[[#This Row],[Email]]="","",IF(COUNTIF(tb1_supporters[Email],tb1_supporters[[#This Row],[Email]])&gt;1,"Review - duplicate record, see Supporter_Duplicates tab",""))</f>
        <v/>
      </c>
      <c r="AB133" s="21" t="str">
        <f>IF(tb1_supporters[[#This Row],[Communication_Preference]]="Do Not Contact","DO NOT CONTACT","")</f>
        <v/>
      </c>
      <c r="AE133"/>
    </row>
    <row r="134" spans="1:31" x14ac:dyDescent="0.25">
      <c r="A134" s="3" t="s">
        <v>1084</v>
      </c>
      <c r="B134" s="2" t="s">
        <v>4866</v>
      </c>
      <c r="C134" s="2" t="s">
        <v>1085</v>
      </c>
      <c r="D134" s="2" t="s">
        <v>1039</v>
      </c>
      <c r="E134" s="2" t="s">
        <v>4869</v>
      </c>
      <c r="F134" s="2" t="s">
        <v>1086</v>
      </c>
      <c r="G134" s="2" t="str">
        <f>TRIM(SUBSTITUTE(SUBSTITUTE(SUBSTITUTE(SUBSTITUTE(tb1_supporters[[#This Row],[Phone_Raw]],"(",""),")","")," ",""),"+44",))</f>
        <v>7278665263</v>
      </c>
      <c r="H134" s="15">
        <v>17587</v>
      </c>
      <c r="I134" s="36">
        <f ca="1">IF(OR(tb1_supporters[[#This Row],[Date_of_Birth]]="",tb1_supporters[[#This Row],[Date_of_Birth]]&gt;TODAY()),"",DATEDIF(tb1_supporters[[#This Row],[Date_of_Birth]],TODAY(),"Y"))</f>
        <v>78</v>
      </c>
      <c r="J13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34" s="2" t="s">
        <v>1088</v>
      </c>
      <c r="L134" s="2" t="s">
        <v>163</v>
      </c>
      <c r="M134" s="2" t="s">
        <v>164</v>
      </c>
      <c r="N134" s="2" t="s">
        <v>165</v>
      </c>
      <c r="O134" s="2" t="s">
        <v>166</v>
      </c>
      <c r="P134" s="2" t="s">
        <v>4887</v>
      </c>
      <c r="Q134" s="2" t="s">
        <v>66</v>
      </c>
      <c r="R134" s="15">
        <v>44050</v>
      </c>
      <c r="S134" s="2" t="s">
        <v>52</v>
      </c>
      <c r="T134" s="2" t="s">
        <v>36</v>
      </c>
      <c r="U134" s="2" t="s">
        <v>36</v>
      </c>
      <c r="V134" s="2" t="s">
        <v>36</v>
      </c>
      <c r="W134" s="4" t="s">
        <v>37</v>
      </c>
      <c r="X13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34" s="2" t="str">
        <f>IF(ISNUMBER(SEARCH("onal",tb1_supporters[[#This Row],[Phone_Clean]])),"Review - corrupt phone number", IF(LEN(tb1_supporters[[#This Row],[Phone_Clean]])&gt;11,"Review - too many digits",""))</f>
        <v/>
      </c>
      <c r="Z13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34" s="2" t="str">
        <f>IF(tb1_supporters[[#This Row],[Email]]="","",IF(COUNTIF(tb1_supporters[Email],tb1_supporters[[#This Row],[Email]])&gt;1,"Review - duplicate record, see Supporter_Duplicates tab",""))</f>
        <v/>
      </c>
      <c r="AB134" s="21" t="str">
        <f>IF(tb1_supporters[[#This Row],[Communication_Preference]]="Do Not Contact","DO NOT CONTACT","")</f>
        <v/>
      </c>
      <c r="AE134"/>
    </row>
    <row r="135" spans="1:31" x14ac:dyDescent="0.25">
      <c r="A135" s="3" t="s">
        <v>1090</v>
      </c>
      <c r="B135" s="2" t="s">
        <v>54</v>
      </c>
      <c r="C135" s="2" t="s">
        <v>1091</v>
      </c>
      <c r="D135" s="2" t="s">
        <v>121</v>
      </c>
      <c r="E135" s="2" t="s">
        <v>1092</v>
      </c>
      <c r="F135" s="2" t="s">
        <v>1093</v>
      </c>
      <c r="G135" s="2" t="str">
        <f>TRIM(SUBSTITUTE(SUBSTITUTE(SUBSTITUTE(SUBSTITUTE(tb1_supporters[[#This Row],[Phone_Raw]],"(",""),")","")," ",""),"+44",))</f>
        <v>07870820928</v>
      </c>
      <c r="H135" s="15">
        <v>30390</v>
      </c>
      <c r="I135" s="36">
        <f ca="1">IF(OR(tb1_supporters[[#This Row],[Date_of_Birth]]="",tb1_supporters[[#This Row],[Date_of_Birth]]&gt;TODAY()),"",DATEDIF(tb1_supporters[[#This Row],[Date_of_Birth]],TODAY(),"Y"))</f>
        <v>43</v>
      </c>
      <c r="J13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35" s="2" t="s">
        <v>1095</v>
      </c>
      <c r="L135" s="2" t="s">
        <v>46</v>
      </c>
      <c r="M135" s="2" t="s">
        <v>47</v>
      </c>
      <c r="N135" s="2" t="s">
        <v>48</v>
      </c>
      <c r="O135" s="2" t="s">
        <v>166</v>
      </c>
      <c r="P135" s="2" t="s">
        <v>65</v>
      </c>
      <c r="Q135" s="2" t="s">
        <v>243</v>
      </c>
      <c r="R135" s="15">
        <v>45536</v>
      </c>
      <c r="S135" s="2" t="s">
        <v>52</v>
      </c>
      <c r="T135" s="2" t="s">
        <v>36</v>
      </c>
      <c r="U135" s="2" t="s">
        <v>36</v>
      </c>
      <c r="V135" s="2" t="s">
        <v>36</v>
      </c>
      <c r="W135" s="4" t="s">
        <v>36</v>
      </c>
      <c r="X13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35" s="2" t="str">
        <f>IF(ISNUMBER(SEARCH("onal",tb1_supporters[[#This Row],[Phone_Clean]])),"Review - corrupt phone number", IF(LEN(tb1_supporters[[#This Row],[Phone_Clean]])&gt;11,"Review - too many digits",""))</f>
        <v/>
      </c>
      <c r="Z13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35" s="2" t="str">
        <f>IF(tb1_supporters[[#This Row],[Email]]="","",IF(COUNTIF(tb1_supporters[Email],tb1_supporters[[#This Row],[Email]])&gt;1,"Review - duplicate record, see Supporter_Duplicates tab",""))</f>
        <v/>
      </c>
      <c r="AB135" s="21" t="str">
        <f>IF(tb1_supporters[[#This Row],[Communication_Preference]]="Do Not Contact","DO NOT CONTACT","")</f>
        <v/>
      </c>
      <c r="AE135"/>
    </row>
    <row r="136" spans="1:31" x14ac:dyDescent="0.25">
      <c r="A136" s="3" t="s">
        <v>1097</v>
      </c>
      <c r="B136" s="2" t="s">
        <v>54</v>
      </c>
      <c r="C136" s="2" t="s">
        <v>1098</v>
      </c>
      <c r="D136" s="2" t="s">
        <v>536</v>
      </c>
      <c r="E136" s="2" t="s">
        <v>1099</v>
      </c>
      <c r="F136" s="2" t="s">
        <v>1100</v>
      </c>
      <c r="G136" s="2" t="str">
        <f>TRIM(SUBSTITUTE(SUBSTITUTE(SUBSTITUTE(SUBSTITUTE(tb1_supporters[[#This Row],[Phone_Raw]],"(",""),")","")," ",""),"+44",))</f>
        <v>07460965568</v>
      </c>
      <c r="H136" s="15">
        <v>23796</v>
      </c>
      <c r="I136" s="36">
        <f ca="1">IF(OR(tb1_supporters[[#This Row],[Date_of_Birth]]="",tb1_supporters[[#This Row],[Date_of_Birth]]&gt;TODAY()),"",DATEDIF(tb1_supporters[[#This Row],[Date_of_Birth]],TODAY(),"Y"))</f>
        <v>61</v>
      </c>
      <c r="J13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36" s="2" t="s">
        <v>1102</v>
      </c>
      <c r="L136" s="2" t="s">
        <v>660</v>
      </c>
      <c r="M136" s="2" t="s">
        <v>230</v>
      </c>
      <c r="N136" s="2" t="s">
        <v>661</v>
      </c>
      <c r="O136" s="2" t="s">
        <v>166</v>
      </c>
      <c r="P136" s="2" t="s">
        <v>91</v>
      </c>
      <c r="Q136" s="2" t="s">
        <v>50</v>
      </c>
      <c r="R136" s="15">
        <v>45518</v>
      </c>
      <c r="S136" s="2" t="s">
        <v>105</v>
      </c>
      <c r="T136" s="2" t="s">
        <v>37</v>
      </c>
      <c r="U136" s="2" t="s">
        <v>37</v>
      </c>
      <c r="V136" s="2" t="s">
        <v>37</v>
      </c>
      <c r="W136" s="4" t="s">
        <v>37</v>
      </c>
      <c r="X13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36" s="2" t="str">
        <f>IF(ISNUMBER(SEARCH("onal",tb1_supporters[[#This Row],[Phone_Clean]])),"Review - corrupt phone number", IF(LEN(tb1_supporters[[#This Row],[Phone_Clean]])&gt;11,"Review - too many digits",""))</f>
        <v/>
      </c>
      <c r="Z13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36" s="2" t="str">
        <f>IF(tb1_supporters[[#This Row],[Email]]="","",IF(COUNTIF(tb1_supporters[Email],tb1_supporters[[#This Row],[Email]])&gt;1,"Review - duplicate record, see Supporter_Duplicates tab",""))</f>
        <v/>
      </c>
      <c r="AB136" s="21" t="str">
        <f>IF(tb1_supporters[[#This Row],[Communication_Preference]]="Do Not Contact","DO NOT CONTACT","")</f>
        <v>DO NOT CONTACT</v>
      </c>
      <c r="AE136"/>
    </row>
    <row r="137" spans="1:31" x14ac:dyDescent="0.25">
      <c r="A137" s="3" t="s">
        <v>1104</v>
      </c>
      <c r="B137" s="2" t="s">
        <v>69</v>
      </c>
      <c r="C137" s="2" t="s">
        <v>754</v>
      </c>
      <c r="D137" s="2" t="s">
        <v>614</v>
      </c>
      <c r="E137" s="2" t="s">
        <v>1105</v>
      </c>
      <c r="F137" s="2" t="s">
        <v>1106</v>
      </c>
      <c r="G137" s="2" t="str">
        <f>TRIM(SUBSTITUTE(SUBSTITUTE(SUBSTITUTE(SUBSTITUTE(tb1_supporters[[#This Row],[Phone_Raw]],"(",""),")","")," ",""),"+44",))</f>
        <v>01415989804</v>
      </c>
      <c r="H137" s="15">
        <v>20577</v>
      </c>
      <c r="I137" s="36">
        <f ca="1">IF(OR(tb1_supporters[[#This Row],[Date_of_Birth]]="",tb1_supporters[[#This Row],[Date_of_Birth]]&gt;TODAY()),"",DATEDIF(tb1_supporters[[#This Row],[Date_of_Birth]],TODAY(),"Y"))</f>
        <v>70</v>
      </c>
      <c r="J13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37" s="2" t="s">
        <v>1108</v>
      </c>
      <c r="L137" s="2" t="s">
        <v>319</v>
      </c>
      <c r="M137" s="2" t="s">
        <v>320</v>
      </c>
      <c r="N137" s="2" t="s">
        <v>321</v>
      </c>
      <c r="O137" s="2" t="s">
        <v>166</v>
      </c>
      <c r="P137" s="2" t="s">
        <v>117</v>
      </c>
      <c r="Q137" s="2" t="s">
        <v>50</v>
      </c>
      <c r="R137" s="15">
        <v>43784</v>
      </c>
      <c r="S137" s="2" t="s">
        <v>5</v>
      </c>
      <c r="T137" s="2" t="s">
        <v>36</v>
      </c>
      <c r="U137" s="2" t="s">
        <v>36</v>
      </c>
      <c r="V137" s="2" t="s">
        <v>36</v>
      </c>
      <c r="W137" s="4" t="s">
        <v>36</v>
      </c>
      <c r="X13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37" s="2" t="str">
        <f>IF(ISNUMBER(SEARCH("onal",tb1_supporters[[#This Row],[Phone_Clean]])),"Review - corrupt phone number", IF(LEN(tb1_supporters[[#This Row],[Phone_Clean]])&gt;11,"Review - too many digits",""))</f>
        <v/>
      </c>
      <c r="Z13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37" s="2" t="str">
        <f>IF(tb1_supporters[[#This Row],[Email]]="","",IF(COUNTIF(tb1_supporters[Email],tb1_supporters[[#This Row],[Email]])&gt;1,"Review - duplicate record, see Supporter_Duplicates tab",""))</f>
        <v/>
      </c>
      <c r="AB137" s="21" t="str">
        <f>IF(tb1_supporters[[#This Row],[Communication_Preference]]="Do Not Contact","DO NOT CONTACT","")</f>
        <v/>
      </c>
      <c r="AE137"/>
    </row>
    <row r="138" spans="1:31" x14ac:dyDescent="0.25">
      <c r="A138" s="3" t="s">
        <v>1110</v>
      </c>
      <c r="B138" s="2"/>
      <c r="C138" s="2" t="s">
        <v>1111</v>
      </c>
      <c r="D138" s="2" t="s">
        <v>145</v>
      </c>
      <c r="E138" s="2" t="s">
        <v>1112</v>
      </c>
      <c r="F138" s="2" t="s">
        <v>1113</v>
      </c>
      <c r="G138" s="2" t="str">
        <f>TRIM(SUBSTITUTE(SUBSTITUTE(SUBSTITUTE(SUBSTITUTE(tb1_supporters[[#This Row],[Phone_Raw]],"(",""),")","")," ",""),"+44",))</f>
        <v>01onal6037809</v>
      </c>
      <c r="H138" s="15">
        <v>17184</v>
      </c>
      <c r="I138" s="36">
        <f ca="1">IF(OR(tb1_supporters[[#This Row],[Date_of_Birth]]="",tb1_supporters[[#This Row],[Date_of_Birth]]&gt;TODAY()),"",DATEDIF(tb1_supporters[[#This Row],[Date_of_Birth]],TODAY(),"Y"))</f>
        <v>79</v>
      </c>
      <c r="J13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38" s="2" t="s">
        <v>1115</v>
      </c>
      <c r="L138" s="2" t="s">
        <v>984</v>
      </c>
      <c r="M138" s="2" t="s">
        <v>62</v>
      </c>
      <c r="N138" s="2" t="s">
        <v>985</v>
      </c>
      <c r="O138" s="2" t="s">
        <v>242</v>
      </c>
      <c r="P138" s="2" t="s">
        <v>153</v>
      </c>
      <c r="Q138" s="2" t="s">
        <v>154</v>
      </c>
      <c r="R138" s="15">
        <v>43439</v>
      </c>
      <c r="S138" s="2" t="s">
        <v>4</v>
      </c>
      <c r="T138" s="2" t="s">
        <v>37</v>
      </c>
      <c r="U138" s="2" t="s">
        <v>36</v>
      </c>
      <c r="V138" s="2" t="s">
        <v>36</v>
      </c>
      <c r="W138" s="4" t="s">
        <v>37</v>
      </c>
      <c r="X13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138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13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38" s="2" t="str">
        <f>IF(tb1_supporters[[#This Row],[Email]]="","",IF(COUNTIF(tb1_supporters[Email],tb1_supporters[[#This Row],[Email]])&gt;1,"Review - duplicate record, see Supporter_Duplicates tab",""))</f>
        <v/>
      </c>
      <c r="AB138" s="21" t="str">
        <f>IF(tb1_supporters[[#This Row],[Communication_Preference]]="Do Not Contact","DO NOT CONTACT","")</f>
        <v/>
      </c>
      <c r="AE138"/>
    </row>
    <row r="139" spans="1:31" x14ac:dyDescent="0.25">
      <c r="A139" s="3" t="s">
        <v>1117</v>
      </c>
      <c r="B139" s="2"/>
      <c r="C139" s="2" t="s">
        <v>1118</v>
      </c>
      <c r="D139" s="2" t="s">
        <v>810</v>
      </c>
      <c r="E139" s="2" t="s">
        <v>1119</v>
      </c>
      <c r="F139" s="2" t="s">
        <v>1120</v>
      </c>
      <c r="G139" s="2" t="str">
        <f>TRIM(SUBSTITUTE(SUBSTITUTE(SUBSTITUTE(SUBSTITUTE(tb1_supporters[[#This Row],[Phone_Raw]],"(",""),")","")," ",""),"+44",))</f>
        <v>7216374893</v>
      </c>
      <c r="H139" s="15">
        <v>31554</v>
      </c>
      <c r="I139" s="36">
        <f ca="1">IF(OR(tb1_supporters[[#This Row],[Date_of_Birth]]="",tb1_supporters[[#This Row],[Date_of_Birth]]&gt;TODAY()),"",DATEDIF(tb1_supporters[[#This Row],[Date_of_Birth]],TODAY(),"Y"))</f>
        <v>40</v>
      </c>
      <c r="J13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39" s="2" t="s">
        <v>1122</v>
      </c>
      <c r="L139" s="2" t="s">
        <v>61</v>
      </c>
      <c r="M139" s="2" t="s">
        <v>62</v>
      </c>
      <c r="N139" s="2" t="s">
        <v>63</v>
      </c>
      <c r="O139" s="2" t="s">
        <v>166</v>
      </c>
      <c r="P139" s="2" t="s">
        <v>49</v>
      </c>
      <c r="Q139" s="2" t="s">
        <v>50</v>
      </c>
      <c r="R139" s="15">
        <v>43271</v>
      </c>
      <c r="S139" s="2" t="s">
        <v>4</v>
      </c>
      <c r="T139" s="2" t="s">
        <v>36</v>
      </c>
      <c r="U139" s="2" t="s">
        <v>37</v>
      </c>
      <c r="V139" s="2" t="s">
        <v>36</v>
      </c>
      <c r="W139" s="4" t="s">
        <v>37</v>
      </c>
      <c r="X13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39" s="2" t="str">
        <f>IF(ISNUMBER(SEARCH("onal",tb1_supporters[[#This Row],[Phone_Clean]])),"Review - corrupt phone number", IF(LEN(tb1_supporters[[#This Row],[Phone_Clean]])&gt;11,"Review - too many digits",""))</f>
        <v/>
      </c>
      <c r="Z13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39" s="2" t="str">
        <f>IF(tb1_supporters[[#This Row],[Email]]="","",IF(COUNTIF(tb1_supporters[Email],tb1_supporters[[#This Row],[Email]])&gt;1,"Review - duplicate record, see Supporter_Duplicates tab",""))</f>
        <v/>
      </c>
      <c r="AB139" s="21" t="str">
        <f>IF(tb1_supporters[[#This Row],[Communication_Preference]]="Do Not Contact","DO NOT CONTACT","")</f>
        <v/>
      </c>
      <c r="AE139"/>
    </row>
    <row r="140" spans="1:31" x14ac:dyDescent="0.25">
      <c r="A140" s="3" t="s">
        <v>1124</v>
      </c>
      <c r="B140" s="2" t="s">
        <v>4866</v>
      </c>
      <c r="C140" s="2" t="s">
        <v>283</v>
      </c>
      <c r="D140" s="2" t="s">
        <v>41</v>
      </c>
      <c r="E140" s="2" t="s">
        <v>1125</v>
      </c>
      <c r="F140" s="2" t="s">
        <v>1126</v>
      </c>
      <c r="G140" s="2" t="str">
        <f>TRIM(SUBSTITUTE(SUBSTITUTE(SUBSTITUTE(SUBSTITUTE(tb1_supporters[[#This Row],[Phone_Raw]],"(",""),")","")," ",""),"+44",))</f>
        <v>07894931342</v>
      </c>
      <c r="H140" s="15"/>
      <c r="I140" s="36" t="str">
        <f ca="1">IF(OR(tb1_supporters[[#This Row],[Date_of_Birth]]="",tb1_supporters[[#This Row],[Date_of_Birth]]&gt;TODAY()),"",DATEDIF(tb1_supporters[[#This Row],[Date_of_Birth]],TODAY(),"Y"))</f>
        <v/>
      </c>
      <c r="J14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140" s="2" t="s">
        <v>1127</v>
      </c>
      <c r="L140" s="2" t="s">
        <v>408</v>
      </c>
      <c r="M140" s="2" t="s">
        <v>409</v>
      </c>
      <c r="N140" s="2" t="s">
        <v>410</v>
      </c>
      <c r="O140" s="2" t="s">
        <v>242</v>
      </c>
      <c r="P140" s="2" t="s">
        <v>4887</v>
      </c>
      <c r="Q140" s="2" t="s">
        <v>154</v>
      </c>
      <c r="R140" s="15">
        <v>45624</v>
      </c>
      <c r="S140" s="2" t="s">
        <v>4</v>
      </c>
      <c r="T140" s="2" t="s">
        <v>36</v>
      </c>
      <c r="U140" s="2" t="s">
        <v>36</v>
      </c>
      <c r="V140" s="2" t="s">
        <v>36</v>
      </c>
      <c r="W140" s="4" t="s">
        <v>36</v>
      </c>
      <c r="X14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40" s="2" t="str">
        <f>IF(ISNUMBER(SEARCH("onal",tb1_supporters[[#This Row],[Phone_Clean]])),"Review - corrupt phone number", IF(LEN(tb1_supporters[[#This Row],[Phone_Clean]])&gt;11,"Review - too many digits",""))</f>
        <v/>
      </c>
      <c r="Z14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140" s="2" t="str">
        <f>IF(tb1_supporters[[#This Row],[Email]]="","",IF(COUNTIF(tb1_supporters[Email],tb1_supporters[[#This Row],[Email]])&gt;1,"Review - duplicate record, see Supporter_Duplicates tab",""))</f>
        <v/>
      </c>
      <c r="AB140" s="21" t="str">
        <f>IF(tb1_supporters[[#This Row],[Communication_Preference]]="Do Not Contact","DO NOT CONTACT","")</f>
        <v/>
      </c>
      <c r="AE140"/>
    </row>
    <row r="141" spans="1:31" x14ac:dyDescent="0.25">
      <c r="A141" s="3" t="s">
        <v>1129</v>
      </c>
      <c r="B141" s="2" t="s">
        <v>54</v>
      </c>
      <c r="C141" s="2" t="s">
        <v>70</v>
      </c>
      <c r="D141" s="2" t="s">
        <v>940</v>
      </c>
      <c r="E141" s="2" t="s">
        <v>1130</v>
      </c>
      <c r="F141" s="2" t="s">
        <v>1131</v>
      </c>
      <c r="G141" s="2" t="str">
        <f>TRIM(SUBSTITUTE(SUBSTITUTE(SUBSTITUTE(SUBSTITUTE(tb1_supporters[[#This Row],[Phone_Raw]],"(",""),")","")," ",""),"+44",))</f>
        <v>07868904521</v>
      </c>
      <c r="H141" s="15">
        <v>22774</v>
      </c>
      <c r="I141" s="36">
        <f ca="1">IF(OR(tb1_supporters[[#This Row],[Date_of_Birth]]="",tb1_supporters[[#This Row],[Date_of_Birth]]&gt;TODAY()),"",DATEDIF(tb1_supporters[[#This Row],[Date_of_Birth]],TODAY(),"Y"))</f>
        <v>64</v>
      </c>
      <c r="J14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41" s="2" t="s">
        <v>1133</v>
      </c>
      <c r="L141" s="2" t="s">
        <v>625</v>
      </c>
      <c r="M141" s="2" t="s">
        <v>626</v>
      </c>
      <c r="N141" s="2" t="s">
        <v>4869</v>
      </c>
      <c r="O141" s="2" t="s">
        <v>166</v>
      </c>
      <c r="P141" s="2" t="s">
        <v>117</v>
      </c>
      <c r="Q141" s="2" t="s">
        <v>4888</v>
      </c>
      <c r="R141" s="15">
        <v>43644</v>
      </c>
      <c r="S141" s="2" t="s">
        <v>93</v>
      </c>
      <c r="T141" s="2" t="s">
        <v>36</v>
      </c>
      <c r="U141" s="2" t="s">
        <v>36</v>
      </c>
      <c r="V141" s="2" t="s">
        <v>37</v>
      </c>
      <c r="W141" s="4" t="s">
        <v>37</v>
      </c>
      <c r="X14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41" s="2" t="str">
        <f>IF(ISNUMBER(SEARCH("onal",tb1_supporters[[#This Row],[Phone_Clean]])),"Review - corrupt phone number", IF(LEN(tb1_supporters[[#This Row],[Phone_Clean]])&gt;11,"Review - too many digits",""))</f>
        <v/>
      </c>
      <c r="Z14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41" s="2" t="str">
        <f>IF(tb1_supporters[[#This Row],[Email]]="","",IF(COUNTIF(tb1_supporters[Email],tb1_supporters[[#This Row],[Email]])&gt;1,"Review - duplicate record, see Supporter_Duplicates tab",""))</f>
        <v/>
      </c>
      <c r="AB141" s="21" t="str">
        <f>IF(tb1_supporters[[#This Row],[Communication_Preference]]="Do Not Contact","DO NOT CONTACT","")</f>
        <v/>
      </c>
      <c r="AE141"/>
    </row>
    <row r="142" spans="1:31" x14ac:dyDescent="0.25">
      <c r="A142" s="3" t="s">
        <v>1135</v>
      </c>
      <c r="B142" s="2" t="s">
        <v>54</v>
      </c>
      <c r="C142" s="2" t="s">
        <v>503</v>
      </c>
      <c r="D142" s="2" t="s">
        <v>197</v>
      </c>
      <c r="E142" s="2" t="s">
        <v>1136</v>
      </c>
      <c r="F142" s="2" t="s">
        <v>1137</v>
      </c>
      <c r="G142" s="2" t="str">
        <f>TRIM(SUBSTITUTE(SUBSTITUTE(SUBSTITUTE(SUBSTITUTE(tb1_supporters[[#This Row],[Phone_Raw]],"(",""),")","")," ",""),"+44",))</f>
        <v>07748913887</v>
      </c>
      <c r="H142" s="15">
        <v>23828</v>
      </c>
      <c r="I142" s="36">
        <f ca="1">IF(OR(tb1_supporters[[#This Row],[Date_of_Birth]]="",tb1_supporters[[#This Row],[Date_of_Birth]]&gt;TODAY()),"",DATEDIF(tb1_supporters[[#This Row],[Date_of_Birth]],TODAY(),"Y"))</f>
        <v>61</v>
      </c>
      <c r="J14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42" s="2" t="s">
        <v>1139</v>
      </c>
      <c r="L142" s="2" t="s">
        <v>252</v>
      </c>
      <c r="M142" s="2" t="s">
        <v>253</v>
      </c>
      <c r="N142" s="2" t="s">
        <v>254</v>
      </c>
      <c r="O142" s="2" t="s">
        <v>166</v>
      </c>
      <c r="P142" s="2" t="s">
        <v>91</v>
      </c>
      <c r="Q142" s="2" t="s">
        <v>4888</v>
      </c>
      <c r="R142" s="15">
        <v>44612</v>
      </c>
      <c r="S142" s="2" t="s">
        <v>4</v>
      </c>
      <c r="T142" s="2" t="s">
        <v>36</v>
      </c>
      <c r="U142" s="2" t="s">
        <v>36</v>
      </c>
      <c r="V142" s="2" t="s">
        <v>36</v>
      </c>
      <c r="W142" s="4" t="s">
        <v>37</v>
      </c>
      <c r="X14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42" s="2" t="str">
        <f>IF(ISNUMBER(SEARCH("onal",tb1_supporters[[#This Row],[Phone_Clean]])),"Review - corrupt phone number", IF(LEN(tb1_supporters[[#This Row],[Phone_Clean]])&gt;11,"Review - too many digits",""))</f>
        <v/>
      </c>
      <c r="Z14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42" s="2" t="str">
        <f>IF(tb1_supporters[[#This Row],[Email]]="","",IF(COUNTIF(tb1_supporters[Email],tb1_supporters[[#This Row],[Email]])&gt;1,"Review - duplicate record, see Supporter_Duplicates tab",""))</f>
        <v/>
      </c>
      <c r="AB142" s="21" t="str">
        <f>IF(tb1_supporters[[#This Row],[Communication_Preference]]="Do Not Contact","DO NOT CONTACT","")</f>
        <v/>
      </c>
      <c r="AE142"/>
    </row>
    <row r="143" spans="1:31" x14ac:dyDescent="0.25">
      <c r="A143" s="3" t="s">
        <v>1141</v>
      </c>
      <c r="B143" s="2" t="s">
        <v>402</v>
      </c>
      <c r="C143" s="2" t="s">
        <v>791</v>
      </c>
      <c r="D143" s="2" t="s">
        <v>819</v>
      </c>
      <c r="E143" s="2" t="s">
        <v>1142</v>
      </c>
      <c r="F143" s="2" t="s">
        <v>1143</v>
      </c>
      <c r="G143" s="2" t="str">
        <f>TRIM(SUBSTITUTE(SUBSTITUTE(SUBSTITUTE(SUBSTITUTE(tb1_supporters[[#This Row],[Phone_Raw]],"(",""),")","")," ",""),"+44",))</f>
        <v>01516065399</v>
      </c>
      <c r="H143" s="15">
        <v>12542</v>
      </c>
      <c r="I143" s="36">
        <f ca="1">IF(OR(tb1_supporters[[#This Row],[Date_of_Birth]]="",tb1_supporters[[#This Row],[Date_of_Birth]]&gt;TODAY()),"",DATEDIF(tb1_supporters[[#This Row],[Date_of_Birth]],TODAY(),"Y"))</f>
        <v>92</v>
      </c>
      <c r="J14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43" s="2" t="s">
        <v>1145</v>
      </c>
      <c r="L143" s="2" t="s">
        <v>650</v>
      </c>
      <c r="M143" s="2" t="s">
        <v>651</v>
      </c>
      <c r="N143" s="2" t="s">
        <v>652</v>
      </c>
      <c r="O143" s="2" t="s">
        <v>242</v>
      </c>
      <c r="P143" s="2" t="s">
        <v>49</v>
      </c>
      <c r="Q143" s="2" t="s">
        <v>50</v>
      </c>
      <c r="R143" s="15">
        <v>45468</v>
      </c>
      <c r="S143" s="2" t="s">
        <v>4</v>
      </c>
      <c r="T143" s="2" t="s">
        <v>36</v>
      </c>
      <c r="U143" s="2" t="s">
        <v>37</v>
      </c>
      <c r="V143" s="2" t="s">
        <v>37</v>
      </c>
      <c r="W143" s="4" t="s">
        <v>37</v>
      </c>
      <c r="X14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43" s="2" t="str">
        <f>IF(ISNUMBER(SEARCH("onal",tb1_supporters[[#This Row],[Phone_Clean]])),"Review - corrupt phone number", IF(LEN(tb1_supporters[[#This Row],[Phone_Clean]])&gt;11,"Review - too many digits",""))</f>
        <v/>
      </c>
      <c r="Z14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43" s="2" t="str">
        <f>IF(tb1_supporters[[#This Row],[Email]]="","",IF(COUNTIF(tb1_supporters[Email],tb1_supporters[[#This Row],[Email]])&gt;1,"Review - duplicate record, see Supporter_Duplicates tab",""))</f>
        <v/>
      </c>
      <c r="AB143" s="21" t="str">
        <f>IF(tb1_supporters[[#This Row],[Communication_Preference]]="Do Not Contact","DO NOT CONTACT","")</f>
        <v/>
      </c>
      <c r="AE143"/>
    </row>
    <row r="144" spans="1:31" x14ac:dyDescent="0.25">
      <c r="A144" s="3" t="s">
        <v>1147</v>
      </c>
      <c r="B144" s="2" t="s">
        <v>235</v>
      </c>
      <c r="C144" s="2" t="s">
        <v>481</v>
      </c>
      <c r="D144" s="2" t="s">
        <v>172</v>
      </c>
      <c r="E144" s="2" t="s">
        <v>1148</v>
      </c>
      <c r="F144" s="2" t="s">
        <v>1149</v>
      </c>
      <c r="G144" s="2" t="str">
        <f>TRIM(SUBSTITUTE(SUBSTITUTE(SUBSTITUTE(SUBSTITUTE(tb1_supporters[[#This Row],[Phone_Raw]],"(",""),")","")," ",""),"+44",))</f>
        <v>01215384314</v>
      </c>
      <c r="H144" s="15">
        <v>21698</v>
      </c>
      <c r="I144" s="36">
        <f ca="1">IF(OR(tb1_supporters[[#This Row],[Date_of_Birth]]="",tb1_supporters[[#This Row],[Date_of_Birth]]&gt;TODAY()),"",DATEDIF(tb1_supporters[[#This Row],[Date_of_Birth]],TODAY(),"Y"))</f>
        <v>67</v>
      </c>
      <c r="J14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44" s="2" t="s">
        <v>1151</v>
      </c>
      <c r="L144" s="2" t="s">
        <v>1026</v>
      </c>
      <c r="M144" s="2" t="s">
        <v>1027</v>
      </c>
      <c r="N144" s="2" t="s">
        <v>1028</v>
      </c>
      <c r="O144" s="2" t="s">
        <v>242</v>
      </c>
      <c r="P144" s="2" t="s">
        <v>91</v>
      </c>
      <c r="Q144" s="2" t="s">
        <v>154</v>
      </c>
      <c r="R144" s="15">
        <v>44223</v>
      </c>
      <c r="S144" s="2" t="s">
        <v>5</v>
      </c>
      <c r="T144" s="2" t="s">
        <v>36</v>
      </c>
      <c r="U144" s="2" t="s">
        <v>36</v>
      </c>
      <c r="V144" s="2" t="s">
        <v>36</v>
      </c>
      <c r="W144" s="4" t="s">
        <v>36</v>
      </c>
      <c r="X14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44" s="2" t="str">
        <f>IF(ISNUMBER(SEARCH("onal",tb1_supporters[[#This Row],[Phone_Clean]])),"Review - corrupt phone number", IF(LEN(tb1_supporters[[#This Row],[Phone_Clean]])&gt;11,"Review - too many digits",""))</f>
        <v/>
      </c>
      <c r="Z14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44" s="2" t="str">
        <f>IF(tb1_supporters[[#This Row],[Email]]="","",IF(COUNTIF(tb1_supporters[Email],tb1_supporters[[#This Row],[Email]])&gt;1,"Review - duplicate record, see Supporter_Duplicates tab",""))</f>
        <v/>
      </c>
      <c r="AB144" s="21" t="str">
        <f>IF(tb1_supporters[[#This Row],[Communication_Preference]]="Do Not Contact","DO NOT CONTACT","")</f>
        <v/>
      </c>
      <c r="AE144"/>
    </row>
    <row r="145" spans="1:31" x14ac:dyDescent="0.25">
      <c r="A145" s="3" t="s">
        <v>1153</v>
      </c>
      <c r="B145" s="2"/>
      <c r="C145" s="2" t="s">
        <v>283</v>
      </c>
      <c r="D145" s="2" t="s">
        <v>1154</v>
      </c>
      <c r="E145" s="2" t="s">
        <v>1155</v>
      </c>
      <c r="F145" s="2" t="s">
        <v>1156</v>
      </c>
      <c r="G145" s="2" t="str">
        <f>TRIM(SUBSTITUTE(SUBSTITUTE(SUBSTITUTE(SUBSTITUTE(tb1_supporters[[#This Row],[Phone_Raw]],"(",""),")","")," ",""),"+44",))</f>
        <v>011125591017</v>
      </c>
      <c r="H145" s="15">
        <v>35483</v>
      </c>
      <c r="I145" s="36">
        <f ca="1">IF(OR(tb1_supporters[[#This Row],[Date_of_Birth]]="",tb1_supporters[[#This Row],[Date_of_Birth]]&gt;TODAY()),"",DATEDIF(tb1_supporters[[#This Row],[Date_of_Birth]],TODAY(),"Y"))</f>
        <v>29</v>
      </c>
      <c r="J14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45" s="2" t="s">
        <v>1158</v>
      </c>
      <c r="L145" s="2" t="s">
        <v>219</v>
      </c>
      <c r="M145" s="2" t="s">
        <v>220</v>
      </c>
      <c r="N145" s="2" t="s">
        <v>221</v>
      </c>
      <c r="O145" s="2" t="s">
        <v>242</v>
      </c>
      <c r="P145" s="2" t="s">
        <v>65</v>
      </c>
      <c r="Q145" s="2" t="s">
        <v>154</v>
      </c>
      <c r="R145" s="15">
        <v>45532</v>
      </c>
      <c r="S145" s="2" t="s">
        <v>4</v>
      </c>
      <c r="T145" s="2" t="s">
        <v>36</v>
      </c>
      <c r="U145" s="2" t="s">
        <v>37</v>
      </c>
      <c r="V145" s="2" t="s">
        <v>37</v>
      </c>
      <c r="W145" s="4" t="s">
        <v>37</v>
      </c>
      <c r="X14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45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4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45" s="2" t="str">
        <f>IF(tb1_supporters[[#This Row],[Email]]="","",IF(COUNTIF(tb1_supporters[Email],tb1_supporters[[#This Row],[Email]])&gt;1,"Review - duplicate record, see Supporter_Duplicates tab",""))</f>
        <v/>
      </c>
      <c r="AB145" s="21" t="str">
        <f>IF(tb1_supporters[[#This Row],[Communication_Preference]]="Do Not Contact","DO NOT CONTACT","")</f>
        <v/>
      </c>
      <c r="AE145"/>
    </row>
    <row r="146" spans="1:31" x14ac:dyDescent="0.25">
      <c r="A146" s="3" t="s">
        <v>1161</v>
      </c>
      <c r="B146" s="2" t="s">
        <v>54</v>
      </c>
      <c r="C146" s="2" t="s">
        <v>673</v>
      </c>
      <c r="D146" s="2" t="s">
        <v>449</v>
      </c>
      <c r="E146" s="2" t="s">
        <v>1162</v>
      </c>
      <c r="F146" s="2" t="s">
        <v>1163</v>
      </c>
      <c r="G146" s="2" t="str">
        <f>TRIM(SUBSTITUTE(SUBSTITUTE(SUBSTITUTE(SUBSTITUTE(tb1_supporters[[#This Row],[Phone_Raw]],"(",""),")","")," ",""),"+44",))</f>
        <v>07848925204</v>
      </c>
      <c r="H146" s="15">
        <v>33032</v>
      </c>
      <c r="I146" s="36">
        <f ca="1">IF(OR(tb1_supporters[[#This Row],[Date_of_Birth]]="",tb1_supporters[[#This Row],[Date_of_Birth]]&gt;TODAY()),"",DATEDIF(tb1_supporters[[#This Row],[Date_of_Birth]],TODAY(),"Y"))</f>
        <v>35</v>
      </c>
      <c r="J14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46" s="2" t="s">
        <v>1165</v>
      </c>
      <c r="L146" s="2" t="s">
        <v>29</v>
      </c>
      <c r="M146" s="2" t="s">
        <v>30</v>
      </c>
      <c r="N146" s="2" t="s">
        <v>210</v>
      </c>
      <c r="O146" s="2" t="s">
        <v>166</v>
      </c>
      <c r="P146" s="2" t="s">
        <v>49</v>
      </c>
      <c r="Q146" s="2" t="s">
        <v>141</v>
      </c>
      <c r="R146" s="15">
        <v>43662</v>
      </c>
      <c r="S146" s="2" t="s">
        <v>4</v>
      </c>
      <c r="T146" s="2" t="s">
        <v>36</v>
      </c>
      <c r="U146" s="2" t="s">
        <v>36</v>
      </c>
      <c r="V146" s="2" t="s">
        <v>37</v>
      </c>
      <c r="W146" s="4" t="s">
        <v>36</v>
      </c>
      <c r="X14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46" s="2" t="str">
        <f>IF(ISNUMBER(SEARCH("onal",tb1_supporters[[#This Row],[Phone_Clean]])),"Review - corrupt phone number", IF(LEN(tb1_supporters[[#This Row],[Phone_Clean]])&gt;11,"Review - too many digits",""))</f>
        <v/>
      </c>
      <c r="Z14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46" s="2" t="str">
        <f>IF(tb1_supporters[[#This Row],[Email]]="","",IF(COUNTIF(tb1_supporters[Email],tb1_supporters[[#This Row],[Email]])&gt;1,"Review - duplicate record, see Supporter_Duplicates tab",""))</f>
        <v/>
      </c>
      <c r="AB146" s="21" t="str">
        <f>IF(tb1_supporters[[#This Row],[Communication_Preference]]="Do Not Contact","DO NOT CONTACT","")</f>
        <v/>
      </c>
      <c r="AE146"/>
    </row>
    <row r="147" spans="1:31" x14ac:dyDescent="0.25">
      <c r="A147" s="3" t="s">
        <v>1167</v>
      </c>
      <c r="B147" s="2" t="s">
        <v>402</v>
      </c>
      <c r="C147" s="2" t="s">
        <v>40</v>
      </c>
      <c r="D147" s="2" t="s">
        <v>291</v>
      </c>
      <c r="E147" s="2" t="s">
        <v>1168</v>
      </c>
      <c r="F147" s="2" t="s">
        <v>1169</v>
      </c>
      <c r="G147" s="2" t="str">
        <f>TRIM(SUBSTITUTE(SUBSTITUTE(SUBSTITUTE(SUBSTITUTE(tb1_supporters[[#This Row],[Phone_Raw]],"(",""),")","")," ",""),"+44",))</f>
        <v>7803553980</v>
      </c>
      <c r="H147" s="15">
        <v>21007</v>
      </c>
      <c r="I147" s="36">
        <f ca="1">IF(OR(tb1_supporters[[#This Row],[Date_of_Birth]]="",tb1_supporters[[#This Row],[Date_of_Birth]]&gt;TODAY()),"",DATEDIF(tb1_supporters[[#This Row],[Date_of_Birth]],TODAY(),"Y"))</f>
        <v>68</v>
      </c>
      <c r="J14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47" s="2" t="s">
        <v>1171</v>
      </c>
      <c r="L147" s="2" t="s">
        <v>650</v>
      </c>
      <c r="M147" s="2" t="s">
        <v>651</v>
      </c>
      <c r="N147" s="2" t="s">
        <v>652</v>
      </c>
      <c r="O147" s="2" t="s">
        <v>242</v>
      </c>
      <c r="P147" s="2" t="s">
        <v>65</v>
      </c>
      <c r="Q147" s="2" t="s">
        <v>154</v>
      </c>
      <c r="R147" s="15">
        <v>43605</v>
      </c>
      <c r="S147" s="2" t="s">
        <v>5</v>
      </c>
      <c r="T147" s="2" t="s">
        <v>37</v>
      </c>
      <c r="U147" s="2" t="s">
        <v>36</v>
      </c>
      <c r="V147" s="2" t="s">
        <v>36</v>
      </c>
      <c r="W147" s="4" t="s">
        <v>37</v>
      </c>
      <c r="X14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47" s="2" t="str">
        <f>IF(ISNUMBER(SEARCH("onal",tb1_supporters[[#This Row],[Phone_Clean]])),"Review - corrupt phone number", IF(LEN(tb1_supporters[[#This Row],[Phone_Clean]])&gt;11,"Review - too many digits",""))</f>
        <v/>
      </c>
      <c r="Z14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47" s="2" t="str">
        <f>IF(tb1_supporters[[#This Row],[Email]]="","",IF(COUNTIF(tb1_supporters[Email],tb1_supporters[[#This Row],[Email]])&gt;1,"Review - duplicate record, see Supporter_Duplicates tab",""))</f>
        <v/>
      </c>
      <c r="AB147" s="21" t="str">
        <f>IF(tb1_supporters[[#This Row],[Communication_Preference]]="Do Not Contact","DO NOT CONTACT","")</f>
        <v/>
      </c>
      <c r="AE147"/>
    </row>
    <row r="148" spans="1:31" x14ac:dyDescent="0.25">
      <c r="A148" s="3" t="s">
        <v>1173</v>
      </c>
      <c r="B148" s="2" t="s">
        <v>22</v>
      </c>
      <c r="C148" s="2" t="s">
        <v>196</v>
      </c>
      <c r="D148" s="2" t="s">
        <v>1174</v>
      </c>
      <c r="E148" s="2" t="s">
        <v>1175</v>
      </c>
      <c r="F148" s="2" t="s">
        <v>1176</v>
      </c>
      <c r="G148" s="2" t="str">
        <f>TRIM(SUBSTITUTE(SUBSTITUTE(SUBSTITUTE(SUBSTITUTE(tb1_supporters[[#This Row],[Phone_Raw]],"(",""),")","")," ",""),"+44",))</f>
        <v>013843669482</v>
      </c>
      <c r="H148" s="15">
        <v>21441</v>
      </c>
      <c r="I148" s="36">
        <f ca="1">IF(OR(tb1_supporters[[#This Row],[Date_of_Birth]]="",tb1_supporters[[#This Row],[Date_of_Birth]]&gt;TODAY()),"",DATEDIF(tb1_supporters[[#This Row],[Date_of_Birth]],TODAY(),"Y"))</f>
        <v>67</v>
      </c>
      <c r="J14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48" s="2" t="s">
        <v>1178</v>
      </c>
      <c r="L148" s="2" t="s">
        <v>585</v>
      </c>
      <c r="M148" s="2" t="s">
        <v>586</v>
      </c>
      <c r="N148" s="2" t="s">
        <v>587</v>
      </c>
      <c r="O148" s="2" t="s">
        <v>242</v>
      </c>
      <c r="P148" s="2" t="s">
        <v>4887</v>
      </c>
      <c r="Q148" s="2" t="s">
        <v>141</v>
      </c>
      <c r="R148" s="15">
        <v>43324</v>
      </c>
      <c r="S148" s="2" t="s">
        <v>93</v>
      </c>
      <c r="T148" s="2" t="s">
        <v>36</v>
      </c>
      <c r="U148" s="2" t="s">
        <v>36</v>
      </c>
      <c r="V148" s="2" t="s">
        <v>37</v>
      </c>
      <c r="W148" s="4" t="s">
        <v>36</v>
      </c>
      <c r="X14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4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4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48" s="2" t="str">
        <f>IF(tb1_supporters[[#This Row],[Email]]="","",IF(COUNTIF(tb1_supporters[Email],tb1_supporters[[#This Row],[Email]])&gt;1,"Review - duplicate record, see Supporter_Duplicates tab",""))</f>
        <v/>
      </c>
      <c r="AB148" s="21" t="str">
        <f>IF(tb1_supporters[[#This Row],[Communication_Preference]]="Do Not Contact","DO NOT CONTACT","")</f>
        <v/>
      </c>
      <c r="AE148"/>
    </row>
    <row r="149" spans="1:31" x14ac:dyDescent="0.25">
      <c r="A149" s="3" t="s">
        <v>1180</v>
      </c>
      <c r="B149" s="2"/>
      <c r="C149" s="2" t="s">
        <v>1021</v>
      </c>
      <c r="D149" s="2" t="s">
        <v>489</v>
      </c>
      <c r="E149" s="2" t="s">
        <v>1181</v>
      </c>
      <c r="F149" s="2" t="s">
        <v>1182</v>
      </c>
      <c r="G149" s="2" t="str">
        <f>TRIM(SUBSTITUTE(SUBSTITUTE(SUBSTITUTE(SUBSTITUTE(tb1_supporters[[#This Row],[Phone_Raw]],"(",""),")","")," ",""),"+44",))</f>
        <v>07659799276</v>
      </c>
      <c r="H149" s="15">
        <v>23682</v>
      </c>
      <c r="I149" s="36">
        <f ca="1">IF(OR(tb1_supporters[[#This Row],[Date_of_Birth]]="",tb1_supporters[[#This Row],[Date_of_Birth]]&gt;TODAY()),"",DATEDIF(tb1_supporters[[#This Row],[Date_of_Birth]],TODAY(),"Y"))</f>
        <v>61</v>
      </c>
      <c r="J14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49" s="2" t="s">
        <v>1184</v>
      </c>
      <c r="L149" s="2" t="s">
        <v>766</v>
      </c>
      <c r="M149" s="2" t="s">
        <v>767</v>
      </c>
      <c r="N149" s="2" t="s">
        <v>768</v>
      </c>
      <c r="O149" s="2" t="s">
        <v>242</v>
      </c>
      <c r="P149" s="2" t="s">
        <v>65</v>
      </c>
      <c r="Q149" s="2" t="s">
        <v>192</v>
      </c>
      <c r="R149" s="15">
        <v>45506</v>
      </c>
      <c r="S149" s="2" t="s">
        <v>4</v>
      </c>
      <c r="T149" s="2" t="s">
        <v>36</v>
      </c>
      <c r="U149" s="2" t="s">
        <v>36</v>
      </c>
      <c r="V149" s="2" t="s">
        <v>36</v>
      </c>
      <c r="W149" s="4" t="s">
        <v>36</v>
      </c>
      <c r="X14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49" s="2" t="str">
        <f>IF(ISNUMBER(SEARCH("onal",tb1_supporters[[#This Row],[Phone_Clean]])),"Review - corrupt phone number", IF(LEN(tb1_supporters[[#This Row],[Phone_Clean]])&gt;11,"Review - too many digits",""))</f>
        <v/>
      </c>
      <c r="Z14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49" s="2" t="str">
        <f>IF(tb1_supporters[[#This Row],[Email]]="","",IF(COUNTIF(tb1_supporters[Email],tb1_supporters[[#This Row],[Email]])&gt;1,"Review - duplicate record, see Supporter_Duplicates tab",""))</f>
        <v/>
      </c>
      <c r="AB149" s="21" t="str">
        <f>IF(tb1_supporters[[#This Row],[Communication_Preference]]="Do Not Contact","DO NOT CONTACT","")</f>
        <v/>
      </c>
      <c r="AE149"/>
    </row>
    <row r="150" spans="1:31" x14ac:dyDescent="0.25">
      <c r="A150" s="3" t="s">
        <v>1186</v>
      </c>
      <c r="B150" s="2" t="s">
        <v>235</v>
      </c>
      <c r="C150" s="2" t="s">
        <v>573</v>
      </c>
      <c r="D150" s="2" t="s">
        <v>96</v>
      </c>
      <c r="E150" s="2" t="s">
        <v>1187</v>
      </c>
      <c r="F150" s="2" t="s">
        <v>1188</v>
      </c>
      <c r="G150" s="2" t="str">
        <f>TRIM(SUBSTITUTE(SUBSTITUTE(SUBSTITUTE(SUBSTITUTE(tb1_supporters[[#This Row],[Phone_Raw]],"(",""),")","")," ",""),"+44",))</f>
        <v>07755649650</v>
      </c>
      <c r="H150" s="15">
        <v>28139</v>
      </c>
      <c r="I150" s="36">
        <f ca="1">IF(OR(tb1_supporters[[#This Row],[Date_of_Birth]]="",tb1_supporters[[#This Row],[Date_of_Birth]]&gt;TODAY()),"",DATEDIF(tb1_supporters[[#This Row],[Date_of_Birth]],TODAY(),"Y"))</f>
        <v>49</v>
      </c>
      <c r="J15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50" s="2" t="s">
        <v>1190</v>
      </c>
      <c r="L150" s="2" t="s">
        <v>113</v>
      </c>
      <c r="M150" s="2" t="s">
        <v>114</v>
      </c>
      <c r="N150" s="2" t="s">
        <v>115</v>
      </c>
      <c r="O150" s="2" t="s">
        <v>242</v>
      </c>
      <c r="P150" s="2" t="s">
        <v>91</v>
      </c>
      <c r="Q150" s="2" t="s">
        <v>192</v>
      </c>
      <c r="R150" s="15">
        <v>44370</v>
      </c>
      <c r="S150" s="2" t="s">
        <v>4</v>
      </c>
      <c r="T150" s="2" t="s">
        <v>36</v>
      </c>
      <c r="U150" s="2" t="s">
        <v>37</v>
      </c>
      <c r="V150" s="2" t="s">
        <v>36</v>
      </c>
      <c r="W150" s="4" t="s">
        <v>36</v>
      </c>
      <c r="X15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50" s="2" t="str">
        <f>IF(ISNUMBER(SEARCH("onal",tb1_supporters[[#This Row],[Phone_Clean]])),"Review - corrupt phone number", IF(LEN(tb1_supporters[[#This Row],[Phone_Clean]])&gt;11,"Review - too many digits",""))</f>
        <v/>
      </c>
      <c r="Z15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50" s="2" t="str">
        <f>IF(tb1_supporters[[#This Row],[Email]]="","",IF(COUNTIF(tb1_supporters[Email],tb1_supporters[[#This Row],[Email]])&gt;1,"Review - duplicate record, see Supporter_Duplicates tab",""))</f>
        <v/>
      </c>
      <c r="AB150" s="21" t="str">
        <f>IF(tb1_supporters[[#This Row],[Communication_Preference]]="Do Not Contact","DO NOT CONTACT","")</f>
        <v/>
      </c>
      <c r="AE150"/>
    </row>
    <row r="151" spans="1:31" x14ac:dyDescent="0.25">
      <c r="A151" s="3" t="s">
        <v>1192</v>
      </c>
      <c r="B151" s="2" t="s">
        <v>54</v>
      </c>
      <c r="C151" s="2" t="s">
        <v>1193</v>
      </c>
      <c r="D151" s="2" t="s">
        <v>309</v>
      </c>
      <c r="E151" s="2" t="s">
        <v>1194</v>
      </c>
      <c r="F151" s="2" t="s">
        <v>1195</v>
      </c>
      <c r="G151" s="2" t="str">
        <f>TRIM(SUBSTITUTE(SUBSTITUTE(SUBSTITUTE(SUBSTITUTE(tb1_supporters[[#This Row],[Phone_Raw]],"(",""),")","")," ",""),"+44",))</f>
        <v>07350188544</v>
      </c>
      <c r="H151" s="15">
        <v>19046</v>
      </c>
      <c r="I151" s="36">
        <f ca="1">IF(OR(tb1_supporters[[#This Row],[Date_of_Birth]]="",tb1_supporters[[#This Row],[Date_of_Birth]]&gt;TODAY()),"",DATEDIF(tb1_supporters[[#This Row],[Date_of_Birth]],TODAY(),"Y"))</f>
        <v>74</v>
      </c>
      <c r="J15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51" s="2" t="s">
        <v>1197</v>
      </c>
      <c r="L151" s="2" t="s">
        <v>76</v>
      </c>
      <c r="M151" s="2" t="s">
        <v>77</v>
      </c>
      <c r="N151" s="2" t="s">
        <v>78</v>
      </c>
      <c r="O151" s="2" t="s">
        <v>166</v>
      </c>
      <c r="P151" s="2" t="s">
        <v>181</v>
      </c>
      <c r="Q151" s="2" t="s">
        <v>141</v>
      </c>
      <c r="R151" s="15">
        <v>43820</v>
      </c>
      <c r="S151" s="2" t="s">
        <v>4</v>
      </c>
      <c r="T151" s="2" t="s">
        <v>36</v>
      </c>
      <c r="U151" s="2" t="s">
        <v>36</v>
      </c>
      <c r="V151" s="2" t="s">
        <v>37</v>
      </c>
      <c r="W151" s="4" t="s">
        <v>36</v>
      </c>
      <c r="X15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51" s="2" t="str">
        <f>IF(ISNUMBER(SEARCH("onal",tb1_supporters[[#This Row],[Phone_Clean]])),"Review - corrupt phone number", IF(LEN(tb1_supporters[[#This Row],[Phone_Clean]])&gt;11,"Review - too many digits",""))</f>
        <v/>
      </c>
      <c r="Z15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51" s="2" t="str">
        <f>IF(tb1_supporters[[#This Row],[Email]]="","",IF(COUNTIF(tb1_supporters[Email],tb1_supporters[[#This Row],[Email]])&gt;1,"Review - duplicate record, see Supporter_Duplicates tab",""))</f>
        <v/>
      </c>
      <c r="AB151" s="21" t="str">
        <f>IF(tb1_supporters[[#This Row],[Communication_Preference]]="Do Not Contact","DO NOT CONTACT","")</f>
        <v/>
      </c>
      <c r="AE151"/>
    </row>
    <row r="152" spans="1:31" x14ac:dyDescent="0.25">
      <c r="A152" s="3" t="s">
        <v>1199</v>
      </c>
      <c r="B152" s="2" t="s">
        <v>4866</v>
      </c>
      <c r="C152" s="2" t="s">
        <v>1046</v>
      </c>
      <c r="D152" s="2" t="s">
        <v>554</v>
      </c>
      <c r="E152" s="2" t="s">
        <v>1200</v>
      </c>
      <c r="F152" s="2" t="s">
        <v>1201</v>
      </c>
      <c r="G152" s="2" t="str">
        <f>TRIM(SUBSTITUTE(SUBSTITUTE(SUBSTITUTE(SUBSTITUTE(tb1_supporters[[#This Row],[Phone_Raw]],"(",""),")","")," ",""),"+44",))</f>
        <v>07443926539</v>
      </c>
      <c r="H152" s="15">
        <v>23261</v>
      </c>
      <c r="I152" s="36">
        <f ca="1">IF(OR(tb1_supporters[[#This Row],[Date_of_Birth]]="",tb1_supporters[[#This Row],[Date_of_Birth]]&gt;TODAY()),"",DATEDIF(tb1_supporters[[#This Row],[Date_of_Birth]],TODAY(),"Y"))</f>
        <v>62</v>
      </c>
      <c r="J15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52" s="2" t="s">
        <v>1203</v>
      </c>
      <c r="L152" s="2" t="s">
        <v>1204</v>
      </c>
      <c r="M152" s="2" t="s">
        <v>114</v>
      </c>
      <c r="N152" s="2" t="s">
        <v>1205</v>
      </c>
      <c r="O152" s="2" t="s">
        <v>166</v>
      </c>
      <c r="P152" s="2" t="s">
        <v>65</v>
      </c>
      <c r="Q152" s="2" t="s">
        <v>141</v>
      </c>
      <c r="R152" s="15">
        <v>45462</v>
      </c>
      <c r="S152" s="2" t="s">
        <v>5</v>
      </c>
      <c r="T152" s="2" t="s">
        <v>36</v>
      </c>
      <c r="U152" s="2" t="s">
        <v>36</v>
      </c>
      <c r="V152" s="2" t="s">
        <v>37</v>
      </c>
      <c r="W152" s="4" t="s">
        <v>37</v>
      </c>
      <c r="X15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152" s="2" t="str">
        <f>IF(ISNUMBER(SEARCH("onal",tb1_supporters[[#This Row],[Phone_Clean]])),"Review - corrupt phone number", IF(LEN(tb1_supporters[[#This Row],[Phone_Clean]])&gt;11,"Review - too many digits",""))</f>
        <v/>
      </c>
      <c r="Z15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52" s="2" t="str">
        <f>IF(tb1_supporters[[#This Row],[Email]]="","",IF(COUNTIF(tb1_supporters[Email],tb1_supporters[[#This Row],[Email]])&gt;1,"Review - duplicate record, see Supporter_Duplicates tab",""))</f>
        <v/>
      </c>
      <c r="AB152" s="21" t="str">
        <f>IF(tb1_supporters[[#This Row],[Communication_Preference]]="Do Not Contact","DO NOT CONTACT","")</f>
        <v/>
      </c>
      <c r="AE152"/>
    </row>
    <row r="153" spans="1:31" x14ac:dyDescent="0.25">
      <c r="A153" s="3" t="s">
        <v>1207</v>
      </c>
      <c r="B153" s="2"/>
      <c r="C153" s="2" t="s">
        <v>597</v>
      </c>
      <c r="D153" s="2" t="s">
        <v>1154</v>
      </c>
      <c r="E153" s="2" t="s">
        <v>1208</v>
      </c>
      <c r="F153" s="2" t="s">
        <v>1209</v>
      </c>
      <c r="G153" s="2" t="str">
        <f>TRIM(SUBSTITUTE(SUBSTITUTE(SUBSTITUTE(SUBSTITUTE(tb1_supporters[[#This Row],[Phone_Raw]],"(",""),")","")," ",""),"+44",))</f>
        <v>016510421721</v>
      </c>
      <c r="H153" s="15">
        <v>26548</v>
      </c>
      <c r="I153" s="36">
        <f ca="1">IF(OR(tb1_supporters[[#This Row],[Date_of_Birth]]="",tb1_supporters[[#This Row],[Date_of_Birth]]&gt;TODAY()),"",DATEDIF(tb1_supporters[[#This Row],[Date_of_Birth]],TODAY(),"Y"))</f>
        <v>53</v>
      </c>
      <c r="J15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53" s="2" t="s">
        <v>1211</v>
      </c>
      <c r="L153" s="2" t="s">
        <v>163</v>
      </c>
      <c r="M153" s="2" t="s">
        <v>164</v>
      </c>
      <c r="N153" s="2" t="s">
        <v>165</v>
      </c>
      <c r="O153" s="2" t="s">
        <v>166</v>
      </c>
      <c r="P153" s="2" t="s">
        <v>181</v>
      </c>
      <c r="Q153" s="2" t="s">
        <v>154</v>
      </c>
      <c r="R153" s="15">
        <v>43319</v>
      </c>
      <c r="S153" s="2" t="s">
        <v>93</v>
      </c>
      <c r="T153" s="2" t="s">
        <v>36</v>
      </c>
      <c r="U153" s="2" t="s">
        <v>36</v>
      </c>
      <c r="V153" s="2" t="s">
        <v>37</v>
      </c>
      <c r="W153" s="4" t="s">
        <v>36</v>
      </c>
      <c r="X15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53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5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53" s="2" t="str">
        <f>IF(tb1_supporters[[#This Row],[Email]]="","",IF(COUNTIF(tb1_supporters[Email],tb1_supporters[[#This Row],[Email]])&gt;1,"Review - duplicate record, see Supporter_Duplicates tab",""))</f>
        <v/>
      </c>
      <c r="AB153" s="21" t="str">
        <f>IF(tb1_supporters[[#This Row],[Communication_Preference]]="Do Not Contact","DO NOT CONTACT","")</f>
        <v/>
      </c>
      <c r="AE153"/>
    </row>
    <row r="154" spans="1:31" x14ac:dyDescent="0.25">
      <c r="A154" s="3" t="s">
        <v>1213</v>
      </c>
      <c r="B154" s="2" t="s">
        <v>4866</v>
      </c>
      <c r="C154" s="2" t="s">
        <v>481</v>
      </c>
      <c r="D154" s="2" t="s">
        <v>711</v>
      </c>
      <c r="E154" s="2" t="s">
        <v>1214</v>
      </c>
      <c r="F154" s="2" t="s">
        <v>1215</v>
      </c>
      <c r="G154" s="2" t="str">
        <f>TRIM(SUBSTITUTE(SUBSTITUTE(SUBSTITUTE(SUBSTITUTE(tb1_supporters[[#This Row],[Phone_Raw]],"(",""),")","")," ",""),"+44",))</f>
        <v>014054442276</v>
      </c>
      <c r="H154" s="15">
        <v>18678</v>
      </c>
      <c r="I154" s="36">
        <f ca="1">IF(OR(tb1_supporters[[#This Row],[Date_of_Birth]]="",tb1_supporters[[#This Row],[Date_of_Birth]]&gt;TODAY()),"",DATEDIF(tb1_supporters[[#This Row],[Date_of_Birth]],TODAY(),"Y"))</f>
        <v>75</v>
      </c>
      <c r="J15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54" s="2" t="s">
        <v>1217</v>
      </c>
      <c r="L154" s="2" t="s">
        <v>531</v>
      </c>
      <c r="M154" s="2" t="s">
        <v>532</v>
      </c>
      <c r="N154" s="2" t="s">
        <v>533</v>
      </c>
      <c r="O154" s="2" t="s">
        <v>242</v>
      </c>
      <c r="P154" s="2" t="s">
        <v>65</v>
      </c>
      <c r="Q154" s="2" t="s">
        <v>50</v>
      </c>
      <c r="R154" s="15">
        <v>43316</v>
      </c>
      <c r="S154" s="2" t="s">
        <v>52</v>
      </c>
      <c r="T154" s="2" t="s">
        <v>36</v>
      </c>
      <c r="U154" s="2" t="s">
        <v>36</v>
      </c>
      <c r="V154" s="2" t="s">
        <v>37</v>
      </c>
      <c r="W154" s="4" t="s">
        <v>36</v>
      </c>
      <c r="X15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54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5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54" s="2" t="str">
        <f>IF(tb1_supporters[[#This Row],[Email]]="","",IF(COUNTIF(tb1_supporters[Email],tb1_supporters[[#This Row],[Email]])&gt;1,"Review - duplicate record, see Supporter_Duplicates tab",""))</f>
        <v/>
      </c>
      <c r="AB154" s="21" t="str">
        <f>IF(tb1_supporters[[#This Row],[Communication_Preference]]="Do Not Contact","DO NOT CONTACT","")</f>
        <v/>
      </c>
      <c r="AE154"/>
    </row>
    <row r="155" spans="1:31" x14ac:dyDescent="0.25">
      <c r="A155" s="3" t="s">
        <v>1219</v>
      </c>
      <c r="B155" s="2" t="s">
        <v>54</v>
      </c>
      <c r="C155" s="2" t="s">
        <v>1220</v>
      </c>
      <c r="D155" s="2" t="s">
        <v>536</v>
      </c>
      <c r="E155" s="2" t="s">
        <v>1221</v>
      </c>
      <c r="F155" s="2" t="s">
        <v>1222</v>
      </c>
      <c r="G155" s="2" t="str">
        <f>TRIM(SUBSTITUTE(SUBSTITUTE(SUBSTITUTE(SUBSTITUTE(tb1_supporters[[#This Row],[Phone_Raw]],"(",""),")","")," ",""),"+44",))</f>
        <v>07305398677</v>
      </c>
      <c r="H155" s="15">
        <v>28344</v>
      </c>
      <c r="I155" s="36">
        <f ca="1">IF(OR(tb1_supporters[[#This Row],[Date_of_Birth]]="",tb1_supporters[[#This Row],[Date_of_Birth]]&gt;TODAY()),"",DATEDIF(tb1_supporters[[#This Row],[Date_of_Birth]],TODAY(),"Y"))</f>
        <v>48</v>
      </c>
      <c r="J15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55" s="2" t="s">
        <v>1224</v>
      </c>
      <c r="L155" s="2" t="s">
        <v>660</v>
      </c>
      <c r="M155" s="2" t="s">
        <v>230</v>
      </c>
      <c r="N155" s="2" t="s">
        <v>661</v>
      </c>
      <c r="O155" s="2" t="s">
        <v>166</v>
      </c>
      <c r="P155" s="2" t="s">
        <v>33</v>
      </c>
      <c r="Q155" s="2" t="s">
        <v>66</v>
      </c>
      <c r="R155" s="15">
        <v>44609</v>
      </c>
      <c r="S155" s="2" t="s">
        <v>93</v>
      </c>
      <c r="T155" s="2" t="s">
        <v>37</v>
      </c>
      <c r="U155" s="2" t="s">
        <v>36</v>
      </c>
      <c r="V155" s="2" t="s">
        <v>36</v>
      </c>
      <c r="W155" s="4" t="s">
        <v>37</v>
      </c>
      <c r="X15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55" s="2" t="str">
        <f>IF(ISNUMBER(SEARCH("onal",tb1_supporters[[#This Row],[Phone_Clean]])),"Review - corrupt phone number", IF(LEN(tb1_supporters[[#This Row],[Phone_Clean]])&gt;11,"Review - too many digits",""))</f>
        <v/>
      </c>
      <c r="Z15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55" s="2" t="str">
        <f>IF(tb1_supporters[[#This Row],[Email]]="","",IF(COUNTIF(tb1_supporters[Email],tb1_supporters[[#This Row],[Email]])&gt;1,"Review - duplicate record, see Supporter_Duplicates tab",""))</f>
        <v/>
      </c>
      <c r="AB155" s="21" t="str">
        <f>IF(tb1_supporters[[#This Row],[Communication_Preference]]="Do Not Contact","DO NOT CONTACT","")</f>
        <v/>
      </c>
      <c r="AE155"/>
    </row>
    <row r="156" spans="1:31" x14ac:dyDescent="0.25">
      <c r="A156" s="3" t="s">
        <v>1226</v>
      </c>
      <c r="B156" s="2" t="s">
        <v>402</v>
      </c>
      <c r="C156" s="2" t="s">
        <v>488</v>
      </c>
      <c r="D156" s="2" t="s">
        <v>414</v>
      </c>
      <c r="E156" s="2" t="s">
        <v>1227</v>
      </c>
      <c r="F156" s="2" t="s">
        <v>1228</v>
      </c>
      <c r="G156" s="2" t="str">
        <f>TRIM(SUBSTITUTE(SUBSTITUTE(SUBSTITUTE(SUBSTITUTE(tb1_supporters[[#This Row],[Phone_Raw]],"(",""),")","")," ",""),"+44",))</f>
        <v>07877773485</v>
      </c>
      <c r="H156" s="15">
        <v>14986</v>
      </c>
      <c r="I156" s="36">
        <f ca="1">IF(OR(tb1_supporters[[#This Row],[Date_of_Birth]]="",tb1_supporters[[#This Row],[Date_of_Birth]]&gt;TODAY()),"",DATEDIF(tb1_supporters[[#This Row],[Date_of_Birth]],TODAY(),"Y"))</f>
        <v>85</v>
      </c>
      <c r="J15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56" s="2" t="s">
        <v>1230</v>
      </c>
      <c r="L156" s="2" t="s">
        <v>387</v>
      </c>
      <c r="M156" s="2" t="s">
        <v>388</v>
      </c>
      <c r="N156" s="2" t="s">
        <v>389</v>
      </c>
      <c r="O156" s="2" t="s">
        <v>242</v>
      </c>
      <c r="P156" s="2" t="s">
        <v>65</v>
      </c>
      <c r="Q156" s="2" t="s">
        <v>154</v>
      </c>
      <c r="R156" s="15">
        <v>45271</v>
      </c>
      <c r="S156" s="2" t="s">
        <v>93</v>
      </c>
      <c r="T156" s="2" t="s">
        <v>36</v>
      </c>
      <c r="U156" s="2" t="s">
        <v>36</v>
      </c>
      <c r="V156" s="2" t="s">
        <v>37</v>
      </c>
      <c r="W156" s="4" t="s">
        <v>36</v>
      </c>
      <c r="X15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56" s="2" t="str">
        <f>IF(ISNUMBER(SEARCH("onal",tb1_supporters[[#This Row],[Phone_Clean]])),"Review - corrupt phone number", IF(LEN(tb1_supporters[[#This Row],[Phone_Clean]])&gt;11,"Review - too many digits",""))</f>
        <v/>
      </c>
      <c r="Z15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56" s="2" t="str">
        <f>IF(tb1_supporters[[#This Row],[Email]]="","",IF(COUNTIF(tb1_supporters[Email],tb1_supporters[[#This Row],[Email]])&gt;1,"Review - duplicate record, see Supporter_Duplicates tab",""))</f>
        <v/>
      </c>
      <c r="AB156" s="21" t="str">
        <f>IF(tb1_supporters[[#This Row],[Communication_Preference]]="Do Not Contact","DO NOT CONTACT","")</f>
        <v/>
      </c>
      <c r="AE156"/>
    </row>
    <row r="157" spans="1:31" x14ac:dyDescent="0.25">
      <c r="A157" s="3" t="s">
        <v>1232</v>
      </c>
      <c r="B157" s="2" t="s">
        <v>170</v>
      </c>
      <c r="C157" s="2" t="s">
        <v>1233</v>
      </c>
      <c r="D157" s="2" t="s">
        <v>435</v>
      </c>
      <c r="E157" s="2" t="s">
        <v>1234</v>
      </c>
      <c r="F157" s="2" t="s">
        <v>1235</v>
      </c>
      <c r="G157" s="2" t="str">
        <f>TRIM(SUBSTITUTE(SUBSTITUTE(SUBSTITUTE(SUBSTITUTE(tb1_supporters[[#This Row],[Phone_Raw]],"(",""),")","")," ",""),"+44",))</f>
        <v>011025659280</v>
      </c>
      <c r="H157" s="15">
        <v>15097</v>
      </c>
      <c r="I157" s="36">
        <f ca="1">IF(OR(tb1_supporters[[#This Row],[Date_of_Birth]]="",tb1_supporters[[#This Row],[Date_of_Birth]]&gt;TODAY()),"",DATEDIF(tb1_supporters[[#This Row],[Date_of_Birth]],TODAY(),"Y"))</f>
        <v>85</v>
      </c>
      <c r="J15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57" s="2" t="s">
        <v>1237</v>
      </c>
      <c r="L157" s="2" t="s">
        <v>531</v>
      </c>
      <c r="M157" s="2" t="s">
        <v>532</v>
      </c>
      <c r="N157" s="2" t="s">
        <v>533</v>
      </c>
      <c r="O157" s="2" t="s">
        <v>242</v>
      </c>
      <c r="P157" s="2" t="s">
        <v>65</v>
      </c>
      <c r="Q157" s="2" t="s">
        <v>50</v>
      </c>
      <c r="R157" s="15">
        <v>45426</v>
      </c>
      <c r="S157" s="2" t="s">
        <v>93</v>
      </c>
      <c r="T157" s="2" t="s">
        <v>36</v>
      </c>
      <c r="U157" s="2" t="s">
        <v>36</v>
      </c>
      <c r="V157" s="2" t="s">
        <v>37</v>
      </c>
      <c r="W157" s="4" t="s">
        <v>36</v>
      </c>
      <c r="X15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57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5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57" s="2" t="str">
        <f>IF(tb1_supporters[[#This Row],[Email]]="","",IF(COUNTIF(tb1_supporters[Email],tb1_supporters[[#This Row],[Email]])&gt;1,"Review - duplicate record, see Supporter_Duplicates tab",""))</f>
        <v/>
      </c>
      <c r="AB157" s="21" t="str">
        <f>IF(tb1_supporters[[#This Row],[Communication_Preference]]="Do Not Contact","DO NOT CONTACT","")</f>
        <v/>
      </c>
      <c r="AE157"/>
    </row>
    <row r="158" spans="1:31" x14ac:dyDescent="0.25">
      <c r="A158" s="3" t="s">
        <v>1239</v>
      </c>
      <c r="B158" s="2" t="s">
        <v>4866</v>
      </c>
      <c r="C158" s="2" t="s">
        <v>864</v>
      </c>
      <c r="D158" s="2" t="s">
        <v>133</v>
      </c>
      <c r="E158" s="2" t="s">
        <v>4869</v>
      </c>
      <c r="F158" s="2" t="s">
        <v>1240</v>
      </c>
      <c r="G158" s="2" t="str">
        <f>TRIM(SUBSTITUTE(SUBSTITUTE(SUBSTITUTE(SUBSTITUTE(tb1_supporters[[#This Row],[Phone_Raw]],"(",""),")","")," ",""),"+44",))</f>
        <v>07307239898</v>
      </c>
      <c r="H158" s="15">
        <v>18655</v>
      </c>
      <c r="I158" s="36">
        <f ca="1">IF(OR(tb1_supporters[[#This Row],[Date_of_Birth]]="",tb1_supporters[[#This Row],[Date_of_Birth]]&gt;TODAY()),"",DATEDIF(tb1_supporters[[#This Row],[Date_of_Birth]],TODAY(),"Y"))</f>
        <v>75</v>
      </c>
      <c r="J15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58" s="2" t="s">
        <v>1242</v>
      </c>
      <c r="L158" s="2" t="s">
        <v>660</v>
      </c>
      <c r="M158" s="2" t="s">
        <v>230</v>
      </c>
      <c r="N158" s="2" t="s">
        <v>661</v>
      </c>
      <c r="O158" s="2" t="s">
        <v>166</v>
      </c>
      <c r="P158" s="2" t="s">
        <v>65</v>
      </c>
      <c r="Q158" s="2" t="s">
        <v>154</v>
      </c>
      <c r="R158" s="15">
        <v>43711</v>
      </c>
      <c r="S158" s="2" t="s">
        <v>52</v>
      </c>
      <c r="T158" s="2" t="s">
        <v>36</v>
      </c>
      <c r="U158" s="2" t="s">
        <v>36</v>
      </c>
      <c r="V158" s="2" t="s">
        <v>37</v>
      </c>
      <c r="W158" s="4" t="s">
        <v>37</v>
      </c>
      <c r="X15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58" s="2" t="str">
        <f>IF(ISNUMBER(SEARCH("onal",tb1_supporters[[#This Row],[Phone_Clean]])),"Review - corrupt phone number", IF(LEN(tb1_supporters[[#This Row],[Phone_Clean]])&gt;11,"Review - too many digits",""))</f>
        <v/>
      </c>
      <c r="Z15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58" s="2" t="str">
        <f>IF(tb1_supporters[[#This Row],[Email]]="","",IF(COUNTIF(tb1_supporters[Email],tb1_supporters[[#This Row],[Email]])&gt;1,"Review - duplicate record, see Supporter_Duplicates tab",""))</f>
        <v/>
      </c>
      <c r="AB158" s="21" t="str">
        <f>IF(tb1_supporters[[#This Row],[Communication_Preference]]="Do Not Contact","DO NOT CONTACT","")</f>
        <v/>
      </c>
      <c r="AE158"/>
    </row>
    <row r="159" spans="1:31" x14ac:dyDescent="0.25">
      <c r="A159" s="3" t="s">
        <v>1244</v>
      </c>
      <c r="B159" s="2" t="s">
        <v>69</v>
      </c>
      <c r="C159" s="2" t="s">
        <v>514</v>
      </c>
      <c r="D159" s="2" t="s">
        <v>258</v>
      </c>
      <c r="E159" s="2" t="s">
        <v>1245</v>
      </c>
      <c r="F159" s="2" t="s">
        <v>1246</v>
      </c>
      <c r="G159" s="2" t="str">
        <f>TRIM(SUBSTITUTE(SUBSTITUTE(SUBSTITUTE(SUBSTITUTE(tb1_supporters[[#This Row],[Phone_Raw]],"(",""),")","")," ",""),"+44",))</f>
        <v>07926802411</v>
      </c>
      <c r="H159" s="15">
        <v>30171</v>
      </c>
      <c r="I159" s="36">
        <f ca="1">IF(OR(tb1_supporters[[#This Row],[Date_of_Birth]]="",tb1_supporters[[#This Row],[Date_of_Birth]]&gt;TODAY()),"",DATEDIF(tb1_supporters[[#This Row],[Date_of_Birth]],TODAY(),"Y"))</f>
        <v>43</v>
      </c>
      <c r="J15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59" s="2" t="s">
        <v>1248</v>
      </c>
      <c r="L159" s="2" t="s">
        <v>296</v>
      </c>
      <c r="M159" s="2" t="s">
        <v>297</v>
      </c>
      <c r="N159" s="2" t="s">
        <v>298</v>
      </c>
      <c r="O159" s="2" t="s">
        <v>166</v>
      </c>
      <c r="P159" s="2" t="s">
        <v>181</v>
      </c>
      <c r="Q159" s="2" t="s">
        <v>154</v>
      </c>
      <c r="R159" s="15">
        <v>44443</v>
      </c>
      <c r="S159" s="2" t="s">
        <v>5</v>
      </c>
      <c r="T159" s="2" t="s">
        <v>36</v>
      </c>
      <c r="U159" s="2" t="s">
        <v>36</v>
      </c>
      <c r="V159" s="2" t="s">
        <v>37</v>
      </c>
      <c r="W159" s="4" t="s">
        <v>36</v>
      </c>
      <c r="X15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159" s="2" t="str">
        <f>IF(ISNUMBER(SEARCH("onal",tb1_supporters[[#This Row],[Phone_Clean]])),"Review - corrupt phone number", IF(LEN(tb1_supporters[[#This Row],[Phone_Clean]])&gt;11,"Review - too many digits",""))</f>
        <v/>
      </c>
      <c r="Z15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59" s="2" t="str">
        <f>IF(tb1_supporters[[#This Row],[Email]]="","",IF(COUNTIF(tb1_supporters[Email],tb1_supporters[[#This Row],[Email]])&gt;1,"Review - duplicate record, see Supporter_Duplicates tab",""))</f>
        <v/>
      </c>
      <c r="AB159" s="21" t="str">
        <f>IF(tb1_supporters[[#This Row],[Communication_Preference]]="Do Not Contact","DO NOT CONTACT","")</f>
        <v/>
      </c>
      <c r="AE159"/>
    </row>
    <row r="160" spans="1:31" x14ac:dyDescent="0.25">
      <c r="A160" s="3" t="s">
        <v>1250</v>
      </c>
      <c r="B160" s="2" t="s">
        <v>54</v>
      </c>
      <c r="C160" s="2" t="s">
        <v>566</v>
      </c>
      <c r="D160" s="2" t="s">
        <v>771</v>
      </c>
      <c r="E160" s="2" t="s">
        <v>1251</v>
      </c>
      <c r="F160" s="2" t="s">
        <v>1252</v>
      </c>
      <c r="G160" s="2" t="str">
        <f>TRIM(SUBSTITUTE(SUBSTITUTE(SUBSTITUTE(SUBSTITUTE(tb1_supporters[[#This Row],[Phone_Raw]],"(",""),")","")," ",""),"+44",))</f>
        <v>07573204923</v>
      </c>
      <c r="H160" s="15">
        <v>28049</v>
      </c>
      <c r="I160" s="36">
        <f ca="1">IF(OR(tb1_supporters[[#This Row],[Date_of_Birth]]="",tb1_supporters[[#This Row],[Date_of_Birth]]&gt;TODAY()),"",DATEDIF(tb1_supporters[[#This Row],[Date_of_Birth]],TODAY(),"Y"))</f>
        <v>49</v>
      </c>
      <c r="J16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60" s="2" t="s">
        <v>1254</v>
      </c>
      <c r="L160" s="2" t="s">
        <v>1026</v>
      </c>
      <c r="M160" s="2" t="s">
        <v>1027</v>
      </c>
      <c r="N160" s="2" t="s">
        <v>1028</v>
      </c>
      <c r="O160" s="2" t="s">
        <v>166</v>
      </c>
      <c r="P160" s="2" t="s">
        <v>65</v>
      </c>
      <c r="Q160" s="2" t="s">
        <v>192</v>
      </c>
      <c r="R160" s="15">
        <v>43382</v>
      </c>
      <c r="S160" s="2" t="s">
        <v>5</v>
      </c>
      <c r="T160" s="2" t="s">
        <v>36</v>
      </c>
      <c r="U160" s="2" t="s">
        <v>36</v>
      </c>
      <c r="V160" s="2" t="s">
        <v>36</v>
      </c>
      <c r="W160" s="4" t="s">
        <v>37</v>
      </c>
      <c r="X16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60" s="2" t="str">
        <f>IF(ISNUMBER(SEARCH("onal",tb1_supporters[[#This Row],[Phone_Clean]])),"Review - corrupt phone number", IF(LEN(tb1_supporters[[#This Row],[Phone_Clean]])&gt;11,"Review - too many digits",""))</f>
        <v/>
      </c>
      <c r="Z16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60" s="2" t="str">
        <f>IF(tb1_supporters[[#This Row],[Email]]="","",IF(COUNTIF(tb1_supporters[Email],tb1_supporters[[#This Row],[Email]])&gt;1,"Review - duplicate record, see Supporter_Duplicates tab",""))</f>
        <v/>
      </c>
      <c r="AB160" s="21" t="str">
        <f>IF(tb1_supporters[[#This Row],[Communication_Preference]]="Do Not Contact","DO NOT CONTACT","")</f>
        <v/>
      </c>
      <c r="AE160"/>
    </row>
    <row r="161" spans="1:31" x14ac:dyDescent="0.25">
      <c r="A161" s="3" t="s">
        <v>1255</v>
      </c>
      <c r="B161" s="2" t="s">
        <v>4866</v>
      </c>
      <c r="C161" s="2" t="s">
        <v>283</v>
      </c>
      <c r="D161" s="2" t="s">
        <v>225</v>
      </c>
      <c r="E161" s="2" t="s">
        <v>1256</v>
      </c>
      <c r="F161" s="2" t="s">
        <v>1257</v>
      </c>
      <c r="G161" s="2" t="str">
        <f>TRIM(SUBSTITUTE(SUBSTITUTE(SUBSTITUTE(SUBSTITUTE(tb1_supporters[[#This Row],[Phone_Raw]],"(",""),")","")," ",""),"+44",))</f>
        <v>07194967949</v>
      </c>
      <c r="H161" s="15">
        <v>22106</v>
      </c>
      <c r="I161" s="36">
        <f ca="1">IF(OR(tb1_supporters[[#This Row],[Date_of_Birth]]="",tb1_supporters[[#This Row],[Date_of_Birth]]&gt;TODAY()),"",DATEDIF(tb1_supporters[[#This Row],[Date_of_Birth]],TODAY(),"Y"))</f>
        <v>65</v>
      </c>
      <c r="J16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61" s="2" t="s">
        <v>1259</v>
      </c>
      <c r="L161" s="2" t="s">
        <v>76</v>
      </c>
      <c r="M161" s="2" t="s">
        <v>77</v>
      </c>
      <c r="N161" s="2" t="s">
        <v>78</v>
      </c>
      <c r="O161" s="2" t="s">
        <v>242</v>
      </c>
      <c r="P161" s="2" t="s">
        <v>65</v>
      </c>
      <c r="Q161" s="2" t="s">
        <v>192</v>
      </c>
      <c r="R161" s="15">
        <v>44989</v>
      </c>
      <c r="S161" s="2" t="s">
        <v>93</v>
      </c>
      <c r="T161" s="2" t="s">
        <v>36</v>
      </c>
      <c r="U161" s="2" t="s">
        <v>36</v>
      </c>
      <c r="V161" s="2" t="s">
        <v>37</v>
      </c>
      <c r="W161" s="4" t="s">
        <v>37</v>
      </c>
      <c r="X16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61" s="2" t="str">
        <f>IF(ISNUMBER(SEARCH("onal",tb1_supporters[[#This Row],[Phone_Clean]])),"Review - corrupt phone number", IF(LEN(tb1_supporters[[#This Row],[Phone_Clean]])&gt;11,"Review - too many digits",""))</f>
        <v/>
      </c>
      <c r="Z16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61" s="2" t="str">
        <f>IF(tb1_supporters[[#This Row],[Email]]="","",IF(COUNTIF(tb1_supporters[Email],tb1_supporters[[#This Row],[Email]])&gt;1,"Review - duplicate record, see Supporter_Duplicates tab",""))</f>
        <v/>
      </c>
      <c r="AB161" s="21" t="str">
        <f>IF(tb1_supporters[[#This Row],[Communication_Preference]]="Do Not Contact","DO NOT CONTACT","")</f>
        <v/>
      </c>
      <c r="AE161"/>
    </row>
    <row r="162" spans="1:31" x14ac:dyDescent="0.25">
      <c r="A162" s="3" t="s">
        <v>1261</v>
      </c>
      <c r="B162" s="2" t="s">
        <v>22</v>
      </c>
      <c r="C162" s="2" t="s">
        <v>308</v>
      </c>
      <c r="D162" s="2" t="s">
        <v>1039</v>
      </c>
      <c r="E162" s="2" t="s">
        <v>1262</v>
      </c>
      <c r="F162" s="2" t="s">
        <v>1263</v>
      </c>
      <c r="G162" s="2" t="str">
        <f>TRIM(SUBSTITUTE(SUBSTITUTE(SUBSTITUTE(SUBSTITUTE(tb1_supporters[[#This Row],[Phone_Raw]],"(",""),")","")," ",""),"+44",))</f>
        <v>07556252135</v>
      </c>
      <c r="H162" s="15"/>
      <c r="I162" s="36" t="str">
        <f ca="1">IF(OR(tb1_supporters[[#This Row],[Date_of_Birth]]="",tb1_supporters[[#This Row],[Date_of_Birth]]&gt;TODAY()),"",DATEDIF(tb1_supporters[[#This Row],[Date_of_Birth]],TODAY(),"Y"))</f>
        <v/>
      </c>
      <c r="J16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162" s="2" t="s">
        <v>1264</v>
      </c>
      <c r="L162" s="2" t="s">
        <v>609</v>
      </c>
      <c r="M162" s="2" t="s">
        <v>610</v>
      </c>
      <c r="N162" s="2" t="s">
        <v>611</v>
      </c>
      <c r="O162" s="2" t="s">
        <v>242</v>
      </c>
      <c r="P162" s="2" t="s">
        <v>91</v>
      </c>
      <c r="Q162" s="2" t="s">
        <v>66</v>
      </c>
      <c r="R162" s="15">
        <v>44788</v>
      </c>
      <c r="S162" s="2" t="s">
        <v>5</v>
      </c>
      <c r="T162" s="2" t="s">
        <v>37</v>
      </c>
      <c r="U162" s="2" t="s">
        <v>36</v>
      </c>
      <c r="V162" s="2" t="s">
        <v>36</v>
      </c>
      <c r="W162" s="4" t="s">
        <v>36</v>
      </c>
      <c r="X16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62" s="2" t="str">
        <f>IF(ISNUMBER(SEARCH("onal",tb1_supporters[[#This Row],[Phone_Clean]])),"Review - corrupt phone number", IF(LEN(tb1_supporters[[#This Row],[Phone_Clean]])&gt;11,"Review - too many digits",""))</f>
        <v/>
      </c>
      <c r="Z16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162" s="2" t="str">
        <f>IF(tb1_supporters[[#This Row],[Email]]="","",IF(COUNTIF(tb1_supporters[Email],tb1_supporters[[#This Row],[Email]])&gt;1,"Review - duplicate record, see Supporter_Duplicates tab",""))</f>
        <v/>
      </c>
      <c r="AB162" s="21" t="str">
        <f>IF(tb1_supporters[[#This Row],[Communication_Preference]]="Do Not Contact","DO NOT CONTACT","")</f>
        <v/>
      </c>
      <c r="AE162"/>
    </row>
    <row r="163" spans="1:31" x14ac:dyDescent="0.25">
      <c r="A163" s="3" t="s">
        <v>1266</v>
      </c>
      <c r="B163" s="2" t="s">
        <v>54</v>
      </c>
      <c r="C163" s="2" t="s">
        <v>1267</v>
      </c>
      <c r="D163" s="2" t="s">
        <v>1268</v>
      </c>
      <c r="E163" s="2" t="s">
        <v>1269</v>
      </c>
      <c r="F163" s="2" t="s">
        <v>1270</v>
      </c>
      <c r="G163" s="2" t="str">
        <f>TRIM(SUBSTITUTE(SUBSTITUTE(SUBSTITUTE(SUBSTITUTE(tb1_supporters[[#This Row],[Phone_Raw]],"(",""),")","")," ",""),"+44",))</f>
        <v>014588599921</v>
      </c>
      <c r="H163" s="15">
        <v>21299</v>
      </c>
      <c r="I163" s="36">
        <f ca="1">IF(OR(tb1_supporters[[#This Row],[Date_of_Birth]]="",tb1_supporters[[#This Row],[Date_of_Birth]]&gt;TODAY()),"",DATEDIF(tb1_supporters[[#This Row],[Date_of_Birth]],TODAY(),"Y"))</f>
        <v>68</v>
      </c>
      <c r="J16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63" s="2" t="s">
        <v>1272</v>
      </c>
      <c r="L163" s="2" t="s">
        <v>126</v>
      </c>
      <c r="M163" s="2" t="s">
        <v>127</v>
      </c>
      <c r="N163" s="2" t="s">
        <v>128</v>
      </c>
      <c r="O163" s="2" t="s">
        <v>166</v>
      </c>
      <c r="P163" s="2" t="s">
        <v>49</v>
      </c>
      <c r="Q163" s="2" t="s">
        <v>50</v>
      </c>
      <c r="R163" s="15">
        <v>45158</v>
      </c>
      <c r="S163" s="2" t="s">
        <v>4</v>
      </c>
      <c r="T163" s="2" t="s">
        <v>36</v>
      </c>
      <c r="U163" s="2" t="s">
        <v>36</v>
      </c>
      <c r="V163" s="2" t="s">
        <v>36</v>
      </c>
      <c r="W163" s="4" t="s">
        <v>36</v>
      </c>
      <c r="X16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63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6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63" s="2" t="str">
        <f>IF(tb1_supporters[[#This Row],[Email]]="","",IF(COUNTIF(tb1_supporters[Email],tb1_supporters[[#This Row],[Email]])&gt;1,"Review - duplicate record, see Supporter_Duplicates tab",""))</f>
        <v/>
      </c>
      <c r="AB163" s="21" t="str">
        <f>IF(tb1_supporters[[#This Row],[Communication_Preference]]="Do Not Contact","DO NOT CONTACT","")</f>
        <v/>
      </c>
      <c r="AE163"/>
    </row>
    <row r="164" spans="1:31" x14ac:dyDescent="0.25">
      <c r="A164" s="3" t="s">
        <v>1274</v>
      </c>
      <c r="B164" s="2" t="s">
        <v>54</v>
      </c>
      <c r="C164" s="2" t="s">
        <v>424</v>
      </c>
      <c r="D164" s="2" t="s">
        <v>1039</v>
      </c>
      <c r="E164" s="2" t="s">
        <v>1275</v>
      </c>
      <c r="F164" s="2" t="s">
        <v>1276</v>
      </c>
      <c r="G164" s="2" t="str">
        <f>TRIM(SUBSTITUTE(SUBSTITUTE(SUBSTITUTE(SUBSTITUTE(tb1_supporters[[#This Row],[Phone_Raw]],"(",""),")","")," ",""),"+44",))</f>
        <v>07202353772</v>
      </c>
      <c r="H164" s="15">
        <v>16315</v>
      </c>
      <c r="I164" s="36">
        <f ca="1">IF(OR(tb1_supporters[[#This Row],[Date_of_Birth]]="",tb1_supporters[[#This Row],[Date_of_Birth]]&gt;TODAY()),"",DATEDIF(tb1_supporters[[#This Row],[Date_of_Birth]],TODAY(),"Y"))</f>
        <v>81</v>
      </c>
      <c r="J16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64" s="2" t="s">
        <v>1278</v>
      </c>
      <c r="L164" s="2" t="s">
        <v>945</v>
      </c>
      <c r="M164" s="2" t="s">
        <v>946</v>
      </c>
      <c r="N164" s="2" t="s">
        <v>947</v>
      </c>
      <c r="O164" s="2" t="s">
        <v>166</v>
      </c>
      <c r="P164" s="2" t="s">
        <v>181</v>
      </c>
      <c r="Q164" s="2" t="s">
        <v>243</v>
      </c>
      <c r="R164" s="15">
        <v>43999</v>
      </c>
      <c r="S164" s="2" t="s">
        <v>93</v>
      </c>
      <c r="T164" s="2" t="s">
        <v>37</v>
      </c>
      <c r="U164" s="2" t="s">
        <v>36</v>
      </c>
      <c r="V164" s="2" t="s">
        <v>36</v>
      </c>
      <c r="W164" s="4" t="s">
        <v>36</v>
      </c>
      <c r="X16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64" s="2" t="str">
        <f>IF(ISNUMBER(SEARCH("onal",tb1_supporters[[#This Row],[Phone_Clean]])),"Review - corrupt phone number", IF(LEN(tb1_supporters[[#This Row],[Phone_Clean]])&gt;11,"Review - too many digits",""))</f>
        <v/>
      </c>
      <c r="Z16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64" s="2" t="str">
        <f>IF(tb1_supporters[[#This Row],[Email]]="","",IF(COUNTIF(tb1_supporters[Email],tb1_supporters[[#This Row],[Email]])&gt;1,"Review - duplicate record, see Supporter_Duplicates tab",""))</f>
        <v/>
      </c>
      <c r="AB164" s="21" t="str">
        <f>IF(tb1_supporters[[#This Row],[Communication_Preference]]="Do Not Contact","DO NOT CONTACT","")</f>
        <v/>
      </c>
      <c r="AE164"/>
    </row>
    <row r="165" spans="1:31" x14ac:dyDescent="0.25">
      <c r="A165" s="3" t="s">
        <v>1280</v>
      </c>
      <c r="B165" s="2" t="s">
        <v>4866</v>
      </c>
      <c r="C165" s="2" t="s">
        <v>864</v>
      </c>
      <c r="D165" s="2" t="s">
        <v>247</v>
      </c>
      <c r="E165" s="2" t="s">
        <v>1281</v>
      </c>
      <c r="F165" s="2" t="s">
        <v>1282</v>
      </c>
      <c r="G165" s="2" t="str">
        <f>TRIM(SUBSTITUTE(SUBSTITUTE(SUBSTITUTE(SUBSTITUTE(tb1_supporters[[#This Row],[Phone_Raw]],"(",""),")","")," ",""),"+44",))</f>
        <v>7292956929</v>
      </c>
      <c r="H165" s="15">
        <v>19925</v>
      </c>
      <c r="I165" s="36">
        <f ca="1">IF(OR(tb1_supporters[[#This Row],[Date_of_Birth]]="",tb1_supporters[[#This Row],[Date_of_Birth]]&gt;TODAY()),"",DATEDIF(tb1_supporters[[#This Row],[Date_of_Birth]],TODAY(),"Y"))</f>
        <v>71</v>
      </c>
      <c r="J16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65" s="2" t="s">
        <v>1284</v>
      </c>
      <c r="L165" s="2" t="s">
        <v>1285</v>
      </c>
      <c r="M165" s="2" t="s">
        <v>1286</v>
      </c>
      <c r="N165" s="2" t="s">
        <v>1287</v>
      </c>
      <c r="O165" s="2" t="s">
        <v>166</v>
      </c>
      <c r="P165" s="2" t="s">
        <v>91</v>
      </c>
      <c r="Q165" s="2" t="s">
        <v>154</v>
      </c>
      <c r="R165" s="15">
        <v>45109</v>
      </c>
      <c r="S165" s="2" t="s">
        <v>4</v>
      </c>
      <c r="T165" s="2" t="s">
        <v>36</v>
      </c>
      <c r="U165" s="2" t="s">
        <v>36</v>
      </c>
      <c r="V165" s="2" t="s">
        <v>36</v>
      </c>
      <c r="W165" s="4" t="s">
        <v>36</v>
      </c>
      <c r="X16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65" s="2" t="str">
        <f>IF(ISNUMBER(SEARCH("onal",tb1_supporters[[#This Row],[Phone_Clean]])),"Review - corrupt phone number", IF(LEN(tb1_supporters[[#This Row],[Phone_Clean]])&gt;11,"Review - too many digits",""))</f>
        <v/>
      </c>
      <c r="Z16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65" s="2" t="str">
        <f>IF(tb1_supporters[[#This Row],[Email]]="","",IF(COUNTIF(tb1_supporters[Email],tb1_supporters[[#This Row],[Email]])&gt;1,"Review - duplicate record, see Supporter_Duplicates tab",""))</f>
        <v/>
      </c>
      <c r="AB165" s="21" t="str">
        <f>IF(tb1_supporters[[#This Row],[Communication_Preference]]="Do Not Contact","DO NOT CONTACT","")</f>
        <v/>
      </c>
      <c r="AE165"/>
    </row>
    <row r="166" spans="1:31" x14ac:dyDescent="0.25">
      <c r="A166" s="3" t="s">
        <v>1289</v>
      </c>
      <c r="B166" s="2" t="s">
        <v>54</v>
      </c>
      <c r="C166" s="2" t="s">
        <v>1290</v>
      </c>
      <c r="D166" s="2" t="s">
        <v>870</v>
      </c>
      <c r="E166" s="2" t="s">
        <v>1291</v>
      </c>
      <c r="F166" s="2" t="s">
        <v>1292</v>
      </c>
      <c r="G166" s="2" t="str">
        <f>TRIM(SUBSTITUTE(SUBSTITUTE(SUBSTITUTE(SUBSTITUTE(tb1_supporters[[#This Row],[Phone_Raw]],"(",""),")","")," ",""),"+44",))</f>
        <v>07122251700</v>
      </c>
      <c r="H166" s="15">
        <v>38774</v>
      </c>
      <c r="I166" s="36">
        <f ca="1">IF(OR(tb1_supporters[[#This Row],[Date_of_Birth]]="",tb1_supporters[[#This Row],[Date_of_Birth]]&gt;TODAY()),"",DATEDIF(tb1_supporters[[#This Row],[Date_of_Birth]],TODAY(),"Y"))</f>
        <v>20</v>
      </c>
      <c r="J16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66" s="2" t="s">
        <v>1294</v>
      </c>
      <c r="L166" s="2" t="s">
        <v>138</v>
      </c>
      <c r="M166" s="2" t="s">
        <v>139</v>
      </c>
      <c r="N166" s="2" t="s">
        <v>140</v>
      </c>
      <c r="O166" s="2" t="s">
        <v>166</v>
      </c>
      <c r="P166" s="2" t="s">
        <v>65</v>
      </c>
      <c r="Q166" s="2" t="s">
        <v>243</v>
      </c>
      <c r="R166" s="15">
        <v>45256</v>
      </c>
      <c r="S166" s="2" t="s">
        <v>4</v>
      </c>
      <c r="T166" s="2" t="s">
        <v>36</v>
      </c>
      <c r="U166" s="2" t="s">
        <v>36</v>
      </c>
      <c r="V166" s="2" t="s">
        <v>36</v>
      </c>
      <c r="W166" s="4" t="s">
        <v>37</v>
      </c>
      <c r="X16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66" s="2" t="str">
        <f>IF(ISNUMBER(SEARCH("onal",tb1_supporters[[#This Row],[Phone_Clean]])),"Review - corrupt phone number", IF(LEN(tb1_supporters[[#This Row],[Phone_Clean]])&gt;11,"Review - too many digits",""))</f>
        <v/>
      </c>
      <c r="Z16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66" s="2" t="str">
        <f>IF(tb1_supporters[[#This Row],[Email]]="","",IF(COUNTIF(tb1_supporters[Email],tb1_supporters[[#This Row],[Email]])&gt;1,"Review - duplicate record, see Supporter_Duplicates tab",""))</f>
        <v/>
      </c>
      <c r="AB166" s="21" t="str">
        <f>IF(tb1_supporters[[#This Row],[Communication_Preference]]="Do Not Contact","DO NOT CONTACT","")</f>
        <v/>
      </c>
      <c r="AE166"/>
    </row>
    <row r="167" spans="1:31" x14ac:dyDescent="0.25">
      <c r="A167" s="3" t="s">
        <v>1296</v>
      </c>
      <c r="B167" s="2" t="s">
        <v>4866</v>
      </c>
      <c r="C167" s="2" t="s">
        <v>1297</v>
      </c>
      <c r="D167" s="2" t="s">
        <v>205</v>
      </c>
      <c r="E167" s="2" t="s">
        <v>1298</v>
      </c>
      <c r="F167" s="2" t="s">
        <v>1299</v>
      </c>
      <c r="G167" s="2" t="str">
        <f>TRIM(SUBSTITUTE(SUBSTITUTE(SUBSTITUTE(SUBSTITUTE(tb1_supporters[[#This Row],[Phone_Raw]],"(",""),")","")," ",""),"+44",))</f>
        <v>017168464657</v>
      </c>
      <c r="H167" s="15">
        <v>32438</v>
      </c>
      <c r="I167" s="36">
        <f ca="1">IF(OR(tb1_supporters[[#This Row],[Date_of_Birth]]="",tb1_supporters[[#This Row],[Date_of_Birth]]&gt;TODAY()),"",DATEDIF(tb1_supporters[[#This Row],[Date_of_Birth]],TODAY(),"Y"))</f>
        <v>37</v>
      </c>
      <c r="J16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67" s="2" t="s">
        <v>1301</v>
      </c>
      <c r="L167" s="2" t="s">
        <v>46</v>
      </c>
      <c r="M167" s="2" t="s">
        <v>47</v>
      </c>
      <c r="N167" s="2" t="s">
        <v>48</v>
      </c>
      <c r="O167" s="2" t="s">
        <v>166</v>
      </c>
      <c r="P167" s="2" t="s">
        <v>117</v>
      </c>
      <c r="Q167" s="2" t="s">
        <v>66</v>
      </c>
      <c r="R167" s="15">
        <v>44357</v>
      </c>
      <c r="S167" s="2" t="s">
        <v>4</v>
      </c>
      <c r="T167" s="2" t="s">
        <v>36</v>
      </c>
      <c r="U167" s="2" t="s">
        <v>36</v>
      </c>
      <c r="V167" s="2" t="s">
        <v>36</v>
      </c>
      <c r="W167" s="4" t="s">
        <v>36</v>
      </c>
      <c r="X16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67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6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67" s="2" t="str">
        <f>IF(tb1_supporters[[#This Row],[Email]]="","",IF(COUNTIF(tb1_supporters[Email],tb1_supporters[[#This Row],[Email]])&gt;1,"Review - duplicate record, see Supporter_Duplicates tab",""))</f>
        <v/>
      </c>
      <c r="AB167" s="21" t="str">
        <f>IF(tb1_supporters[[#This Row],[Communication_Preference]]="Do Not Contact","DO NOT CONTACT","")</f>
        <v/>
      </c>
      <c r="AE167"/>
    </row>
    <row r="168" spans="1:31" x14ac:dyDescent="0.25">
      <c r="A168" s="3" t="s">
        <v>1303</v>
      </c>
      <c r="B168" s="2" t="s">
        <v>4866</v>
      </c>
      <c r="C168" s="2" t="s">
        <v>573</v>
      </c>
      <c r="D168" s="2" t="s">
        <v>1008</v>
      </c>
      <c r="E168" s="2" t="s">
        <v>1304</v>
      </c>
      <c r="F168" s="2" t="s">
        <v>1305</v>
      </c>
      <c r="G168" s="2" t="str">
        <f>TRIM(SUBSTITUTE(SUBSTITUTE(SUBSTITUTE(SUBSTITUTE(tb1_supporters[[#This Row],[Phone_Raw]],"(",""),")","")," ",""),"+44",))</f>
        <v>017227059129</v>
      </c>
      <c r="H168" s="15">
        <v>11423</v>
      </c>
      <c r="I168" s="36">
        <f ca="1">IF(OR(tb1_supporters[[#This Row],[Date_of_Birth]]="",tb1_supporters[[#This Row],[Date_of_Birth]]&gt;TODAY()),"",DATEDIF(tb1_supporters[[#This Row],[Date_of_Birth]],TODAY(),"Y"))</f>
        <v>95</v>
      </c>
      <c r="J16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68" s="2" t="s">
        <v>1307</v>
      </c>
      <c r="L168" s="2" t="s">
        <v>229</v>
      </c>
      <c r="M168" s="2" t="s">
        <v>230</v>
      </c>
      <c r="N168" s="2" t="s">
        <v>231</v>
      </c>
      <c r="O168" s="2" t="s">
        <v>242</v>
      </c>
      <c r="P168" s="2" t="s">
        <v>65</v>
      </c>
      <c r="Q168" s="2" t="s">
        <v>154</v>
      </c>
      <c r="R168" s="15">
        <v>44521</v>
      </c>
      <c r="S168" s="2" t="s">
        <v>93</v>
      </c>
      <c r="T168" s="2" t="s">
        <v>36</v>
      </c>
      <c r="U168" s="2" t="s">
        <v>36</v>
      </c>
      <c r="V168" s="2" t="s">
        <v>37</v>
      </c>
      <c r="W168" s="4" t="s">
        <v>36</v>
      </c>
      <c r="X16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6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6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68" s="2" t="str">
        <f>IF(tb1_supporters[[#This Row],[Email]]="","",IF(COUNTIF(tb1_supporters[Email],tb1_supporters[[#This Row],[Email]])&gt;1,"Review - duplicate record, see Supporter_Duplicates tab",""))</f>
        <v/>
      </c>
      <c r="AB168" s="21" t="str">
        <f>IF(tb1_supporters[[#This Row],[Communication_Preference]]="Do Not Contact","DO NOT CONTACT","")</f>
        <v/>
      </c>
      <c r="AE168"/>
    </row>
    <row r="169" spans="1:31" x14ac:dyDescent="0.25">
      <c r="A169" s="3" t="s">
        <v>1309</v>
      </c>
      <c r="B169" s="2" t="s">
        <v>22</v>
      </c>
      <c r="C169" s="2" t="s">
        <v>1310</v>
      </c>
      <c r="D169" s="2" t="s">
        <v>819</v>
      </c>
      <c r="E169" s="2" t="s">
        <v>1311</v>
      </c>
      <c r="F169" s="2" t="s">
        <v>1312</v>
      </c>
      <c r="G169" s="2" t="str">
        <f>TRIM(SUBSTITUTE(SUBSTITUTE(SUBSTITUTE(SUBSTITUTE(tb1_supporters[[#This Row],[Phone_Raw]],"(",""),")","")," ",""),"+44",))</f>
        <v>07362905210</v>
      </c>
      <c r="H169" s="15">
        <v>16595</v>
      </c>
      <c r="I169" s="36">
        <f ca="1">IF(OR(tb1_supporters[[#This Row],[Date_of_Birth]]="",tb1_supporters[[#This Row],[Date_of_Birth]]&gt;TODAY()),"",DATEDIF(tb1_supporters[[#This Row],[Date_of_Birth]],TODAY(),"Y"))</f>
        <v>80</v>
      </c>
      <c r="J16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69" s="2" t="s">
        <v>1314</v>
      </c>
      <c r="L169" s="2" t="s">
        <v>177</v>
      </c>
      <c r="M169" s="2" t="s">
        <v>178</v>
      </c>
      <c r="N169" s="2" t="s">
        <v>179</v>
      </c>
      <c r="O169" s="2" t="s">
        <v>242</v>
      </c>
      <c r="P169" s="2" t="s">
        <v>181</v>
      </c>
      <c r="Q169" s="2" t="s">
        <v>66</v>
      </c>
      <c r="R169" s="15">
        <v>44895</v>
      </c>
      <c r="S169" s="2" t="s">
        <v>52</v>
      </c>
      <c r="T169" s="2" t="s">
        <v>36</v>
      </c>
      <c r="U169" s="2" t="s">
        <v>36</v>
      </c>
      <c r="V169" s="2" t="s">
        <v>37</v>
      </c>
      <c r="W169" s="4" t="s">
        <v>37</v>
      </c>
      <c r="X16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69" s="2" t="str">
        <f>IF(ISNUMBER(SEARCH("onal",tb1_supporters[[#This Row],[Phone_Clean]])),"Review - corrupt phone number", IF(LEN(tb1_supporters[[#This Row],[Phone_Clean]])&gt;11,"Review - too many digits",""))</f>
        <v/>
      </c>
      <c r="Z16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69" s="2" t="str">
        <f>IF(tb1_supporters[[#This Row],[Email]]="","",IF(COUNTIF(tb1_supporters[Email],tb1_supporters[[#This Row],[Email]])&gt;1,"Review - duplicate record, see Supporter_Duplicates tab",""))</f>
        <v/>
      </c>
      <c r="AB169" s="21" t="str">
        <f>IF(tb1_supporters[[#This Row],[Communication_Preference]]="Do Not Contact","DO NOT CONTACT","")</f>
        <v/>
      </c>
      <c r="AE169"/>
    </row>
    <row r="170" spans="1:31" x14ac:dyDescent="0.25">
      <c r="A170" s="3" t="s">
        <v>1316</v>
      </c>
      <c r="B170" s="2" t="s">
        <v>54</v>
      </c>
      <c r="C170" s="2" t="s">
        <v>1031</v>
      </c>
      <c r="D170" s="2" t="s">
        <v>172</v>
      </c>
      <c r="E170" s="2" t="s">
        <v>1317</v>
      </c>
      <c r="F170" s="2" t="s">
        <v>1318</v>
      </c>
      <c r="G170" s="2" t="str">
        <f>TRIM(SUBSTITUTE(SUBSTITUTE(SUBSTITUTE(SUBSTITUTE(tb1_supporters[[#This Row],[Phone_Raw]],"(",""),")","")," ",""),"+44",))</f>
        <v>07120426367</v>
      </c>
      <c r="H170" s="15">
        <v>18353</v>
      </c>
      <c r="I170" s="36">
        <f ca="1">IF(OR(tb1_supporters[[#This Row],[Date_of_Birth]]="",tb1_supporters[[#This Row],[Date_of_Birth]]&gt;TODAY()),"",DATEDIF(tb1_supporters[[#This Row],[Date_of_Birth]],TODAY(),"Y"))</f>
        <v>76</v>
      </c>
      <c r="J17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70" s="2" t="s">
        <v>1320</v>
      </c>
      <c r="L170" s="2" t="s">
        <v>387</v>
      </c>
      <c r="M170" s="2" t="s">
        <v>388</v>
      </c>
      <c r="N170" s="2" t="s">
        <v>389</v>
      </c>
      <c r="O170" s="2" t="s">
        <v>166</v>
      </c>
      <c r="P170" s="2" t="s">
        <v>49</v>
      </c>
      <c r="Q170" s="2" t="s">
        <v>154</v>
      </c>
      <c r="R170" s="15">
        <v>44638</v>
      </c>
      <c r="S170" s="2" t="s">
        <v>5</v>
      </c>
      <c r="T170" s="2" t="s">
        <v>36</v>
      </c>
      <c r="U170" s="2" t="s">
        <v>36</v>
      </c>
      <c r="V170" s="2" t="s">
        <v>37</v>
      </c>
      <c r="W170" s="4" t="s">
        <v>36</v>
      </c>
      <c r="X17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170" s="2" t="str">
        <f>IF(ISNUMBER(SEARCH("onal",tb1_supporters[[#This Row],[Phone_Clean]])),"Review - corrupt phone number", IF(LEN(tb1_supporters[[#This Row],[Phone_Clean]])&gt;11,"Review - too many digits",""))</f>
        <v/>
      </c>
      <c r="Z17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70" s="2" t="str">
        <f>IF(tb1_supporters[[#This Row],[Email]]="","",IF(COUNTIF(tb1_supporters[Email],tb1_supporters[[#This Row],[Email]])&gt;1,"Review - duplicate record, see Supporter_Duplicates tab",""))</f>
        <v/>
      </c>
      <c r="AB170" s="21" t="str">
        <f>IF(tb1_supporters[[#This Row],[Communication_Preference]]="Do Not Contact","DO NOT CONTACT","")</f>
        <v/>
      </c>
      <c r="AE170"/>
    </row>
    <row r="171" spans="1:31" x14ac:dyDescent="0.25">
      <c r="A171" s="3" t="s">
        <v>1322</v>
      </c>
      <c r="B171" s="2" t="s">
        <v>170</v>
      </c>
      <c r="C171" s="2" t="s">
        <v>1111</v>
      </c>
      <c r="D171" s="2" t="s">
        <v>1323</v>
      </c>
      <c r="E171" s="2" t="s">
        <v>1324</v>
      </c>
      <c r="F171" s="2" t="s">
        <v>1325</v>
      </c>
      <c r="G171" s="2" t="str">
        <f>TRIM(SUBSTITUTE(SUBSTITUTE(SUBSTITUTE(SUBSTITUTE(tb1_supporters[[#This Row],[Phone_Raw]],"(",""),")","")," ",""),"+44",))</f>
        <v>07203439310</v>
      </c>
      <c r="H171" s="15">
        <v>24108</v>
      </c>
      <c r="I171" s="36">
        <f ca="1">IF(OR(tb1_supporters[[#This Row],[Date_of_Birth]]="",tb1_supporters[[#This Row],[Date_of_Birth]]&gt;TODAY()),"",DATEDIF(tb1_supporters[[#This Row],[Date_of_Birth]],TODAY(),"Y"))</f>
        <v>60</v>
      </c>
      <c r="J17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71" s="2" t="s">
        <v>1327</v>
      </c>
      <c r="L171" s="2" t="s">
        <v>46</v>
      </c>
      <c r="M171" s="2" t="s">
        <v>47</v>
      </c>
      <c r="N171" s="2" t="s">
        <v>48</v>
      </c>
      <c r="O171" s="2" t="s">
        <v>242</v>
      </c>
      <c r="P171" s="2" t="s">
        <v>91</v>
      </c>
      <c r="Q171" s="2" t="s">
        <v>4888</v>
      </c>
      <c r="R171" s="15">
        <v>44254</v>
      </c>
      <c r="S171" s="2" t="s">
        <v>52</v>
      </c>
      <c r="T171" s="2" t="s">
        <v>36</v>
      </c>
      <c r="U171" s="2" t="s">
        <v>36</v>
      </c>
      <c r="V171" s="2" t="s">
        <v>36</v>
      </c>
      <c r="W171" s="4" t="s">
        <v>36</v>
      </c>
      <c r="X17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71" s="2" t="str">
        <f>IF(ISNUMBER(SEARCH("onal",tb1_supporters[[#This Row],[Phone_Clean]])),"Review - corrupt phone number", IF(LEN(tb1_supporters[[#This Row],[Phone_Clean]])&gt;11,"Review - too many digits",""))</f>
        <v/>
      </c>
      <c r="Z17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71" s="2" t="str">
        <f>IF(tb1_supporters[[#This Row],[Email]]="","",IF(COUNTIF(tb1_supporters[Email],tb1_supporters[[#This Row],[Email]])&gt;1,"Review - duplicate record, see Supporter_Duplicates tab",""))</f>
        <v/>
      </c>
      <c r="AB171" s="21" t="str">
        <f>IF(tb1_supporters[[#This Row],[Communication_Preference]]="Do Not Contact","DO NOT CONTACT","")</f>
        <v/>
      </c>
      <c r="AE171"/>
    </row>
    <row r="172" spans="1:31" x14ac:dyDescent="0.25">
      <c r="A172" s="3" t="s">
        <v>1329</v>
      </c>
      <c r="B172" s="2" t="s">
        <v>402</v>
      </c>
      <c r="C172" s="2" t="s">
        <v>308</v>
      </c>
      <c r="D172" s="2" t="s">
        <v>1047</v>
      </c>
      <c r="E172" s="2" t="s">
        <v>1330</v>
      </c>
      <c r="F172" s="2" t="s">
        <v>1331</v>
      </c>
      <c r="G172" s="2" t="str">
        <f>TRIM(SUBSTITUTE(SUBSTITUTE(SUBSTITUTE(SUBSTITUTE(tb1_supporters[[#This Row],[Phone_Raw]],"(",""),")","")," ",""),"+44",))</f>
        <v>07126311274</v>
      </c>
      <c r="H172" s="15">
        <v>35802</v>
      </c>
      <c r="I172" s="36">
        <f ca="1">IF(OR(tb1_supporters[[#This Row],[Date_of_Birth]]="",tb1_supporters[[#This Row],[Date_of_Birth]]&gt;TODAY()),"",DATEDIF(tb1_supporters[[#This Row],[Date_of_Birth]],TODAY(),"Y"))</f>
        <v>28</v>
      </c>
      <c r="J17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172" s="2" t="s">
        <v>1333</v>
      </c>
      <c r="L172" s="2" t="s">
        <v>46</v>
      </c>
      <c r="M172" s="2" t="s">
        <v>47</v>
      </c>
      <c r="N172" s="2" t="s">
        <v>48</v>
      </c>
      <c r="O172" s="2" t="s">
        <v>242</v>
      </c>
      <c r="P172" s="2" t="s">
        <v>65</v>
      </c>
      <c r="Q172" s="2" t="s">
        <v>66</v>
      </c>
      <c r="R172" s="15">
        <v>43574</v>
      </c>
      <c r="S172" s="2" t="s">
        <v>4</v>
      </c>
      <c r="T172" s="2" t="s">
        <v>36</v>
      </c>
      <c r="U172" s="2" t="s">
        <v>36</v>
      </c>
      <c r="V172" s="2" t="s">
        <v>37</v>
      </c>
      <c r="W172" s="4" t="s">
        <v>37</v>
      </c>
      <c r="X17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72" s="2" t="str">
        <f>IF(ISNUMBER(SEARCH("onal",tb1_supporters[[#This Row],[Phone_Clean]])),"Review - corrupt phone number", IF(LEN(tb1_supporters[[#This Row],[Phone_Clean]])&gt;11,"Review - too many digits",""))</f>
        <v/>
      </c>
      <c r="Z17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72" s="2" t="str">
        <f>IF(tb1_supporters[[#This Row],[Email]]="","",IF(COUNTIF(tb1_supporters[Email],tb1_supporters[[#This Row],[Email]])&gt;1,"Review - duplicate record, see Supporter_Duplicates tab",""))</f>
        <v/>
      </c>
      <c r="AB172" s="21" t="str">
        <f>IF(tb1_supporters[[#This Row],[Communication_Preference]]="Do Not Contact","DO NOT CONTACT","")</f>
        <v/>
      </c>
      <c r="AE172"/>
    </row>
    <row r="173" spans="1:31" x14ac:dyDescent="0.25">
      <c r="A173" s="3" t="s">
        <v>1335</v>
      </c>
      <c r="B173" s="2"/>
      <c r="C173" s="2" t="s">
        <v>213</v>
      </c>
      <c r="D173" s="2" t="s">
        <v>755</v>
      </c>
      <c r="E173" s="2" t="s">
        <v>1336</v>
      </c>
      <c r="F173" s="2" t="s">
        <v>1337</v>
      </c>
      <c r="G173" s="2" t="str">
        <f>TRIM(SUBSTITUTE(SUBSTITUTE(SUBSTITUTE(SUBSTITUTE(tb1_supporters[[#This Row],[Phone_Raw]],"(",""),")","")," ",""),"+44",))</f>
        <v>07550576369</v>
      </c>
      <c r="H173" s="15">
        <v>26124</v>
      </c>
      <c r="I173" s="36">
        <f ca="1">IF(OR(tb1_supporters[[#This Row],[Date_of_Birth]]="",tb1_supporters[[#This Row],[Date_of_Birth]]&gt;TODAY()),"",DATEDIF(tb1_supporters[[#This Row],[Date_of_Birth]],TODAY(),"Y"))</f>
        <v>54</v>
      </c>
      <c r="J17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73" s="2" t="s">
        <v>1339</v>
      </c>
      <c r="L173" s="2" t="s">
        <v>319</v>
      </c>
      <c r="M173" s="2" t="s">
        <v>320</v>
      </c>
      <c r="N173" s="2" t="s">
        <v>1340</v>
      </c>
      <c r="O173" s="2" t="s">
        <v>166</v>
      </c>
      <c r="P173" s="2" t="s">
        <v>91</v>
      </c>
      <c r="Q173" s="2" t="s">
        <v>50</v>
      </c>
      <c r="R173" s="15">
        <v>43353</v>
      </c>
      <c r="S173" s="2" t="s">
        <v>93</v>
      </c>
      <c r="T173" s="2" t="s">
        <v>36</v>
      </c>
      <c r="U173" s="2" t="s">
        <v>36</v>
      </c>
      <c r="V173" s="2" t="s">
        <v>36</v>
      </c>
      <c r="W173" s="4" t="s">
        <v>37</v>
      </c>
      <c r="X17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73" s="2" t="str">
        <f>IF(ISNUMBER(SEARCH("onal",tb1_supporters[[#This Row],[Phone_Clean]])),"Review - corrupt phone number", IF(LEN(tb1_supporters[[#This Row],[Phone_Clean]])&gt;11,"Review - too many digits",""))</f>
        <v/>
      </c>
      <c r="Z17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73" s="2" t="str">
        <f>IF(tb1_supporters[[#This Row],[Email]]="","",IF(COUNTIF(tb1_supporters[Email],tb1_supporters[[#This Row],[Email]])&gt;1,"Review - duplicate record, see Supporter_Duplicates tab",""))</f>
        <v/>
      </c>
      <c r="AB173" s="21" t="str">
        <f>IF(tb1_supporters[[#This Row],[Communication_Preference]]="Do Not Contact","DO NOT CONTACT","")</f>
        <v/>
      </c>
      <c r="AE173"/>
    </row>
    <row r="174" spans="1:31" x14ac:dyDescent="0.25">
      <c r="A174" s="3" t="s">
        <v>1342</v>
      </c>
      <c r="B174" s="2" t="s">
        <v>22</v>
      </c>
      <c r="C174" s="2" t="s">
        <v>472</v>
      </c>
      <c r="D174" s="2" t="s">
        <v>496</v>
      </c>
      <c r="E174" s="2" t="s">
        <v>1343</v>
      </c>
      <c r="F174" s="2" t="s">
        <v>1344</v>
      </c>
      <c r="G174" s="2" t="str">
        <f>TRIM(SUBSTITUTE(SUBSTITUTE(SUBSTITUTE(SUBSTITUTE(tb1_supporters[[#This Row],[Phone_Raw]],"(",""),")","")," ",""),"+44",))</f>
        <v>01611807468</v>
      </c>
      <c r="H174" s="15">
        <v>22830</v>
      </c>
      <c r="I174" s="36">
        <f ca="1">IF(OR(tb1_supporters[[#This Row],[Date_of_Birth]]="",tb1_supporters[[#This Row],[Date_of_Birth]]&gt;TODAY()),"",DATEDIF(tb1_supporters[[#This Row],[Date_of_Birth]],TODAY(),"Y"))</f>
        <v>63</v>
      </c>
      <c r="J17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74" s="2" t="s">
        <v>1346</v>
      </c>
      <c r="L174" s="2" t="s">
        <v>693</v>
      </c>
      <c r="M174" s="2" t="s">
        <v>694</v>
      </c>
      <c r="N174" s="2" t="s">
        <v>695</v>
      </c>
      <c r="O174" s="2" t="s">
        <v>242</v>
      </c>
      <c r="P174" s="2" t="s">
        <v>117</v>
      </c>
      <c r="Q174" s="2" t="s">
        <v>192</v>
      </c>
      <c r="R174" s="15">
        <v>44940</v>
      </c>
      <c r="S174" s="2" t="s">
        <v>93</v>
      </c>
      <c r="T174" s="2" t="s">
        <v>36</v>
      </c>
      <c r="U174" s="2" t="s">
        <v>36</v>
      </c>
      <c r="V174" s="2" t="s">
        <v>36</v>
      </c>
      <c r="W174" s="4" t="s">
        <v>36</v>
      </c>
      <c r="X17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74" s="2" t="str">
        <f>IF(ISNUMBER(SEARCH("onal",tb1_supporters[[#This Row],[Phone_Clean]])),"Review - corrupt phone number", IF(LEN(tb1_supporters[[#This Row],[Phone_Clean]])&gt;11,"Review - too many digits",""))</f>
        <v/>
      </c>
      <c r="Z17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74" s="2" t="str">
        <f>IF(tb1_supporters[[#This Row],[Email]]="","",IF(COUNTIF(tb1_supporters[Email],tb1_supporters[[#This Row],[Email]])&gt;1,"Review - duplicate record, see Supporter_Duplicates tab",""))</f>
        <v/>
      </c>
      <c r="AB174" s="21" t="str">
        <f>IF(tb1_supporters[[#This Row],[Communication_Preference]]="Do Not Contact","DO NOT CONTACT","")</f>
        <v/>
      </c>
      <c r="AE174"/>
    </row>
    <row r="175" spans="1:31" x14ac:dyDescent="0.25">
      <c r="A175" s="3" t="s">
        <v>1348</v>
      </c>
      <c r="B175" s="2" t="s">
        <v>54</v>
      </c>
      <c r="C175" s="2" t="s">
        <v>3255</v>
      </c>
      <c r="D175" s="2" t="s">
        <v>771</v>
      </c>
      <c r="E175" s="2" t="s">
        <v>1350</v>
      </c>
      <c r="F175" s="2" t="s">
        <v>1351</v>
      </c>
      <c r="G175" s="2" t="str">
        <f>TRIM(SUBSTITUTE(SUBSTITUTE(SUBSTITUTE(SUBSTITUTE(tb1_supporters[[#This Row],[Phone_Raw]],"(",""),")","")," ",""),"+44",))</f>
        <v>07497669506</v>
      </c>
      <c r="H175" s="15">
        <v>24897</v>
      </c>
      <c r="I175" s="36">
        <f ca="1">IF(OR(tb1_supporters[[#This Row],[Date_of_Birth]]="",tb1_supporters[[#This Row],[Date_of_Birth]]&gt;TODAY()),"",DATEDIF(tb1_supporters[[#This Row],[Date_of_Birth]],TODAY(),"Y"))</f>
        <v>58</v>
      </c>
      <c r="J17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75" s="2" t="s">
        <v>1353</v>
      </c>
      <c r="L175" s="2" t="s">
        <v>429</v>
      </c>
      <c r="M175" s="2" t="s">
        <v>430</v>
      </c>
      <c r="N175" s="2" t="s">
        <v>431</v>
      </c>
      <c r="O175" s="2" t="s">
        <v>166</v>
      </c>
      <c r="P175" s="2" t="s">
        <v>91</v>
      </c>
      <c r="Q175" s="2" t="s">
        <v>50</v>
      </c>
      <c r="R175" s="15">
        <v>44977</v>
      </c>
      <c r="S175" s="2" t="s">
        <v>93</v>
      </c>
      <c r="T175" s="2" t="s">
        <v>36</v>
      </c>
      <c r="U175" s="2" t="s">
        <v>37</v>
      </c>
      <c r="V175" s="2" t="s">
        <v>37</v>
      </c>
      <c r="W175" s="4" t="s">
        <v>37</v>
      </c>
      <c r="X17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175" s="2" t="str">
        <f>IF(ISNUMBER(SEARCH("onal",tb1_supporters[[#This Row],[Phone_Clean]])),"Review - corrupt phone number", IF(LEN(tb1_supporters[[#This Row],[Phone_Clean]])&gt;11,"Review - too many digits",""))</f>
        <v/>
      </c>
      <c r="Z17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75" s="2" t="str">
        <f>IF(tb1_supporters[[#This Row],[Email]]="","",IF(COUNTIF(tb1_supporters[Email],tb1_supporters[[#This Row],[Email]])&gt;1,"Review - duplicate record, see Supporter_Duplicates tab",""))</f>
        <v/>
      </c>
      <c r="AB175" s="21" t="str">
        <f>IF(tb1_supporters[[#This Row],[Communication_Preference]]="Do Not Contact","DO NOT CONTACT","")</f>
        <v/>
      </c>
      <c r="AE175"/>
    </row>
    <row r="176" spans="1:31" x14ac:dyDescent="0.25">
      <c r="A176" s="3" t="s">
        <v>1355</v>
      </c>
      <c r="B176" s="2" t="s">
        <v>54</v>
      </c>
      <c r="C176" s="2" t="s">
        <v>1267</v>
      </c>
      <c r="D176" s="2" t="s">
        <v>1047</v>
      </c>
      <c r="E176" s="2" t="s">
        <v>1358</v>
      </c>
      <c r="F176" s="2" t="s">
        <v>1359</v>
      </c>
      <c r="G176" s="2" t="str">
        <f>TRIM(SUBSTITUTE(SUBSTITUTE(SUBSTITUTE(SUBSTITUTE(tb1_supporters[[#This Row],[Phone_Raw]],"(",""),")","")," ",""),"+44",))</f>
        <v>07988648452</v>
      </c>
      <c r="H176" s="15">
        <v>31852</v>
      </c>
      <c r="I176" s="36">
        <f ca="1">IF(OR(tb1_supporters[[#This Row],[Date_of_Birth]]="",tb1_supporters[[#This Row],[Date_of_Birth]]&gt;TODAY()),"",DATEDIF(tb1_supporters[[#This Row],[Date_of_Birth]],TODAY(),"Y"))</f>
        <v>39</v>
      </c>
      <c r="J17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76" s="2" t="s">
        <v>1361</v>
      </c>
      <c r="L176" s="2" t="s">
        <v>1285</v>
      </c>
      <c r="M176" s="2" t="s">
        <v>1286</v>
      </c>
      <c r="N176" s="2" t="s">
        <v>1287</v>
      </c>
      <c r="O176" s="2" t="s">
        <v>166</v>
      </c>
      <c r="P176" s="2" t="s">
        <v>4887</v>
      </c>
      <c r="Q176" s="2" t="s">
        <v>4888</v>
      </c>
      <c r="R176" s="15">
        <v>45266</v>
      </c>
      <c r="S176" s="2" t="s">
        <v>93</v>
      </c>
      <c r="T176" s="2" t="s">
        <v>37</v>
      </c>
      <c r="U176" s="2" t="s">
        <v>37</v>
      </c>
      <c r="V176" s="2" t="s">
        <v>37</v>
      </c>
      <c r="W176" s="4" t="s">
        <v>36</v>
      </c>
      <c r="X17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176" s="2" t="str">
        <f>IF(ISNUMBER(SEARCH("onal",tb1_supporters[[#This Row],[Phone_Clean]])),"Review - corrupt phone number", IF(LEN(tb1_supporters[[#This Row],[Phone_Clean]])&gt;11,"Review - too many digits",""))</f>
        <v/>
      </c>
      <c r="Z17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76" s="2" t="str">
        <f>IF(tb1_supporters[[#This Row],[Email]]="","",IF(COUNTIF(tb1_supporters[Email],tb1_supporters[[#This Row],[Email]])&gt;1,"Review - duplicate record, see Supporter_Duplicates tab",""))</f>
        <v/>
      </c>
      <c r="AB176" s="21" t="str">
        <f>IF(tb1_supporters[[#This Row],[Communication_Preference]]="Do Not Contact","DO NOT CONTACT","")</f>
        <v/>
      </c>
      <c r="AE176"/>
    </row>
    <row r="177" spans="1:31" x14ac:dyDescent="0.25">
      <c r="A177" s="3" t="s">
        <v>1363</v>
      </c>
      <c r="B177" s="2" t="s">
        <v>54</v>
      </c>
      <c r="C177" s="2" t="s">
        <v>337</v>
      </c>
      <c r="D177" s="2" t="s">
        <v>291</v>
      </c>
      <c r="E177" s="2" t="s">
        <v>1364</v>
      </c>
      <c r="F177" s="2" t="s">
        <v>1365</v>
      </c>
      <c r="G177" s="2" t="str">
        <f>TRIM(SUBSTITUTE(SUBSTITUTE(SUBSTITUTE(SUBSTITUTE(tb1_supporters[[#This Row],[Phone_Raw]],"(",""),")","")," ",""),"+44",))</f>
        <v>07863586375</v>
      </c>
      <c r="H177" s="15">
        <v>21578</v>
      </c>
      <c r="I177" s="36">
        <f ca="1">IF(OR(tb1_supporters[[#This Row],[Date_of_Birth]]="",tb1_supporters[[#This Row],[Date_of_Birth]]&gt;TODAY()),"",DATEDIF(tb1_supporters[[#This Row],[Date_of_Birth]],TODAY(),"Y"))</f>
        <v>67</v>
      </c>
      <c r="J17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77" s="2" t="s">
        <v>1367</v>
      </c>
      <c r="L177" s="2" t="s">
        <v>278</v>
      </c>
      <c r="M177" s="2" t="s">
        <v>279</v>
      </c>
      <c r="N177" s="2" t="s">
        <v>280</v>
      </c>
      <c r="O177" s="2" t="s">
        <v>166</v>
      </c>
      <c r="P177" s="2" t="s">
        <v>49</v>
      </c>
      <c r="Q177" s="2" t="s">
        <v>243</v>
      </c>
      <c r="R177" s="15">
        <v>44342</v>
      </c>
      <c r="S177" s="2" t="s">
        <v>93</v>
      </c>
      <c r="T177" s="2" t="s">
        <v>36</v>
      </c>
      <c r="U177" s="2" t="s">
        <v>36</v>
      </c>
      <c r="V177" s="2" t="s">
        <v>37</v>
      </c>
      <c r="W177" s="4" t="s">
        <v>36</v>
      </c>
      <c r="X17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77" s="2" t="str">
        <f>IF(ISNUMBER(SEARCH("onal",tb1_supporters[[#This Row],[Phone_Clean]])),"Review - corrupt phone number", IF(LEN(tb1_supporters[[#This Row],[Phone_Clean]])&gt;11,"Review - too many digits",""))</f>
        <v/>
      </c>
      <c r="Z17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77" s="2" t="str">
        <f>IF(tb1_supporters[[#This Row],[Email]]="","",IF(COUNTIF(tb1_supporters[Email],tb1_supporters[[#This Row],[Email]])&gt;1,"Review - duplicate record, see Supporter_Duplicates tab",""))</f>
        <v/>
      </c>
      <c r="AB177" s="21" t="str">
        <f>IF(tb1_supporters[[#This Row],[Communication_Preference]]="Do Not Contact","DO NOT CONTACT","")</f>
        <v/>
      </c>
      <c r="AE177"/>
    </row>
    <row r="178" spans="1:31" x14ac:dyDescent="0.25">
      <c r="A178" s="3" t="s">
        <v>1369</v>
      </c>
      <c r="B178" s="2" t="s">
        <v>54</v>
      </c>
      <c r="C178" s="2" t="s">
        <v>1297</v>
      </c>
      <c r="D178" s="2" t="s">
        <v>24</v>
      </c>
      <c r="E178" s="2" t="s">
        <v>1370</v>
      </c>
      <c r="F178" s="2" t="s">
        <v>1371</v>
      </c>
      <c r="G178" s="2" t="str">
        <f>TRIM(SUBSTITUTE(SUBSTITUTE(SUBSTITUTE(SUBSTITUTE(tb1_supporters[[#This Row],[Phone_Raw]],"(",""),")","")," ",""),"+44",))</f>
        <v>01519437671</v>
      </c>
      <c r="H178" s="15">
        <v>24689</v>
      </c>
      <c r="I178" s="36">
        <f ca="1">IF(OR(tb1_supporters[[#This Row],[Date_of_Birth]]="",tb1_supporters[[#This Row],[Date_of_Birth]]&gt;TODAY()),"",DATEDIF(tb1_supporters[[#This Row],[Date_of_Birth]],TODAY(),"Y"))</f>
        <v>58</v>
      </c>
      <c r="J17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78" s="2" t="s">
        <v>1373</v>
      </c>
      <c r="L178" s="2" t="s">
        <v>252</v>
      </c>
      <c r="M178" s="2" t="s">
        <v>253</v>
      </c>
      <c r="N178" s="2" t="s">
        <v>254</v>
      </c>
      <c r="O178" s="2" t="s">
        <v>166</v>
      </c>
      <c r="P178" s="2" t="s">
        <v>49</v>
      </c>
      <c r="Q178" s="2" t="s">
        <v>243</v>
      </c>
      <c r="R178" s="15">
        <v>43331</v>
      </c>
      <c r="S178" s="2" t="s">
        <v>4</v>
      </c>
      <c r="T178" s="2" t="s">
        <v>37</v>
      </c>
      <c r="U178" s="2" t="s">
        <v>36</v>
      </c>
      <c r="V178" s="2" t="s">
        <v>36</v>
      </c>
      <c r="W178" s="4" t="s">
        <v>37</v>
      </c>
      <c r="X17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178" s="2" t="str">
        <f>IF(ISNUMBER(SEARCH("onal",tb1_supporters[[#This Row],[Phone_Clean]])),"Review - corrupt phone number", IF(LEN(tb1_supporters[[#This Row],[Phone_Clean]])&gt;11,"Review - too many digits",""))</f>
        <v/>
      </c>
      <c r="Z17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78" s="2" t="str">
        <f>IF(tb1_supporters[[#This Row],[Email]]="","",IF(COUNTIF(tb1_supporters[Email],tb1_supporters[[#This Row],[Email]])&gt;1,"Review - duplicate record, see Supporter_Duplicates tab",""))</f>
        <v/>
      </c>
      <c r="AB178" s="21" t="str">
        <f>IF(tb1_supporters[[#This Row],[Communication_Preference]]="Do Not Contact","DO NOT CONTACT","")</f>
        <v/>
      </c>
      <c r="AE178"/>
    </row>
    <row r="179" spans="1:31" x14ac:dyDescent="0.25">
      <c r="A179" s="3" t="s">
        <v>1375</v>
      </c>
      <c r="B179" s="2" t="s">
        <v>22</v>
      </c>
      <c r="C179" s="2" t="s">
        <v>95</v>
      </c>
      <c r="D179" s="2" t="s">
        <v>258</v>
      </c>
      <c r="E179" s="2" t="s">
        <v>1376</v>
      </c>
      <c r="F179" s="2" t="s">
        <v>1377</v>
      </c>
      <c r="G179" s="2" t="str">
        <f>TRIM(SUBSTITUTE(SUBSTITUTE(SUBSTITUTE(SUBSTITUTE(tb1_supporters[[#This Row],[Phone_Raw]],"(",""),")","")," ",""),"+44",))</f>
        <v>07133567151</v>
      </c>
      <c r="H179" s="15">
        <v>17627</v>
      </c>
      <c r="I179" s="36">
        <f ca="1">IF(OR(tb1_supporters[[#This Row],[Date_of_Birth]]="",tb1_supporters[[#This Row],[Date_of_Birth]]&gt;TODAY()),"",DATEDIF(tb1_supporters[[#This Row],[Date_of_Birth]],TODAY(),"Y"))</f>
        <v>78</v>
      </c>
      <c r="J17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79" s="2" t="s">
        <v>530</v>
      </c>
      <c r="L179" s="2" t="s">
        <v>1026</v>
      </c>
      <c r="M179" s="2" t="s">
        <v>1027</v>
      </c>
      <c r="N179" s="2" t="s">
        <v>1028</v>
      </c>
      <c r="O179" s="2" t="s">
        <v>242</v>
      </c>
      <c r="P179" s="2" t="s">
        <v>91</v>
      </c>
      <c r="Q179" s="2" t="s">
        <v>141</v>
      </c>
      <c r="R179" s="15">
        <v>45002</v>
      </c>
      <c r="S179" s="2" t="s">
        <v>4</v>
      </c>
      <c r="T179" s="2" t="s">
        <v>37</v>
      </c>
      <c r="U179" s="2" t="s">
        <v>36</v>
      </c>
      <c r="V179" s="2" t="s">
        <v>37</v>
      </c>
      <c r="W179" s="4" t="s">
        <v>36</v>
      </c>
      <c r="X17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179" s="2" t="str">
        <f>IF(ISNUMBER(SEARCH("onal",tb1_supporters[[#This Row],[Phone_Clean]])),"Review - corrupt phone number", IF(LEN(tb1_supporters[[#This Row],[Phone_Clean]])&gt;11,"Review - too many digits",""))</f>
        <v/>
      </c>
      <c r="Z17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79" s="2" t="str">
        <f>IF(tb1_supporters[[#This Row],[Email]]="","",IF(COUNTIF(tb1_supporters[Email],tb1_supporters[[#This Row],[Email]])&gt;1,"Review - duplicate record, see Supporter_Duplicates tab",""))</f>
        <v/>
      </c>
      <c r="AB179" s="21" t="str">
        <f>IF(tb1_supporters[[#This Row],[Communication_Preference]]="Do Not Contact","DO NOT CONTACT","")</f>
        <v/>
      </c>
      <c r="AE179"/>
    </row>
    <row r="180" spans="1:31" x14ac:dyDescent="0.25">
      <c r="A180" s="3" t="s">
        <v>1380</v>
      </c>
      <c r="B180" s="2" t="s">
        <v>69</v>
      </c>
      <c r="C180" s="2" t="s">
        <v>120</v>
      </c>
      <c r="D180" s="2" t="s">
        <v>365</v>
      </c>
      <c r="E180" s="2" t="s">
        <v>1381</v>
      </c>
      <c r="F180" s="2" t="s">
        <v>1382</v>
      </c>
      <c r="G180" s="2" t="str">
        <f>TRIM(SUBSTITUTE(SUBSTITUTE(SUBSTITUTE(SUBSTITUTE(tb1_supporters[[#This Row],[Phone_Raw]],"(",""),")","")," ",""),"+44",))</f>
        <v>07957364866</v>
      </c>
      <c r="H180" s="15">
        <v>22208</v>
      </c>
      <c r="I180" s="36">
        <f ca="1">IF(OR(tb1_supporters[[#This Row],[Date_of_Birth]]="",tb1_supporters[[#This Row],[Date_of_Birth]]&gt;TODAY()),"",DATEDIF(tb1_supporters[[#This Row],[Date_of_Birth]],TODAY(),"Y"))</f>
        <v>65</v>
      </c>
      <c r="J18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80" s="2" t="s">
        <v>1384</v>
      </c>
      <c r="L180" s="2" t="s">
        <v>370</v>
      </c>
      <c r="M180" s="2" t="s">
        <v>371</v>
      </c>
      <c r="N180" s="2" t="s">
        <v>602</v>
      </c>
      <c r="O180" s="2" t="s">
        <v>166</v>
      </c>
      <c r="P180" s="2" t="s">
        <v>65</v>
      </c>
      <c r="Q180" s="2" t="s">
        <v>141</v>
      </c>
      <c r="R180" s="15">
        <v>43213</v>
      </c>
      <c r="S180" s="2" t="s">
        <v>105</v>
      </c>
      <c r="T180" s="2" t="s">
        <v>37</v>
      </c>
      <c r="U180" s="2" t="s">
        <v>37</v>
      </c>
      <c r="V180" s="2" t="s">
        <v>37</v>
      </c>
      <c r="W180" s="4" t="s">
        <v>37</v>
      </c>
      <c r="X18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80" s="2" t="str">
        <f>IF(ISNUMBER(SEARCH("onal",tb1_supporters[[#This Row],[Phone_Clean]])),"Review - corrupt phone number", IF(LEN(tb1_supporters[[#This Row],[Phone_Clean]])&gt;11,"Review - too many digits",""))</f>
        <v/>
      </c>
      <c r="Z18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80" s="2" t="str">
        <f>IF(tb1_supporters[[#This Row],[Email]]="","",IF(COUNTIF(tb1_supporters[Email],tb1_supporters[[#This Row],[Email]])&gt;1,"Review - duplicate record, see Supporter_Duplicates tab",""))</f>
        <v/>
      </c>
      <c r="AB180" s="21" t="str">
        <f>IF(tb1_supporters[[#This Row],[Communication_Preference]]="Do Not Contact","DO NOT CONTACT","")</f>
        <v>DO NOT CONTACT</v>
      </c>
      <c r="AE180"/>
    </row>
    <row r="181" spans="1:31" x14ac:dyDescent="0.25">
      <c r="A181" s="3" t="s">
        <v>1386</v>
      </c>
      <c r="B181" s="2" t="s">
        <v>22</v>
      </c>
      <c r="C181" s="2" t="s">
        <v>403</v>
      </c>
      <c r="D181" s="2" t="s">
        <v>425</v>
      </c>
      <c r="E181" s="2" t="s">
        <v>1387</v>
      </c>
      <c r="F181" s="2" t="s">
        <v>1388</v>
      </c>
      <c r="G181" s="2" t="str">
        <f>TRIM(SUBSTITUTE(SUBSTITUTE(SUBSTITUTE(SUBSTITUTE(tb1_supporters[[#This Row],[Phone_Raw]],"(",""),")","")," ",""),"+44",))</f>
        <v>01417623837</v>
      </c>
      <c r="H181" s="15">
        <v>29858</v>
      </c>
      <c r="I181" s="36">
        <f ca="1">IF(OR(tb1_supporters[[#This Row],[Date_of_Birth]]="",tb1_supporters[[#This Row],[Date_of_Birth]]&gt;TODAY()),"",DATEDIF(tb1_supporters[[#This Row],[Date_of_Birth]],TODAY(),"Y"))</f>
        <v>44</v>
      </c>
      <c r="J18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81" s="2" t="s">
        <v>1390</v>
      </c>
      <c r="L181" s="2" t="s">
        <v>252</v>
      </c>
      <c r="M181" s="2" t="s">
        <v>253</v>
      </c>
      <c r="N181" s="2" t="s">
        <v>254</v>
      </c>
      <c r="O181" s="2" t="s">
        <v>242</v>
      </c>
      <c r="P181" s="2" t="s">
        <v>33</v>
      </c>
      <c r="Q181" s="2" t="s">
        <v>141</v>
      </c>
      <c r="R181" s="15">
        <v>45592</v>
      </c>
      <c r="S181" s="2" t="s">
        <v>93</v>
      </c>
      <c r="T181" s="2" t="s">
        <v>36</v>
      </c>
      <c r="U181" s="2" t="s">
        <v>36</v>
      </c>
      <c r="V181" s="2" t="s">
        <v>37</v>
      </c>
      <c r="W181" s="4" t="s">
        <v>37</v>
      </c>
      <c r="X18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81" s="2" t="str">
        <f>IF(ISNUMBER(SEARCH("onal",tb1_supporters[[#This Row],[Phone_Clean]])),"Review - corrupt phone number", IF(LEN(tb1_supporters[[#This Row],[Phone_Clean]])&gt;11,"Review - too many digits",""))</f>
        <v/>
      </c>
      <c r="Z18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81" s="2" t="str">
        <f>IF(tb1_supporters[[#This Row],[Email]]="","",IF(COUNTIF(tb1_supporters[Email],tb1_supporters[[#This Row],[Email]])&gt;1,"Review - duplicate record, see Supporter_Duplicates tab",""))</f>
        <v/>
      </c>
      <c r="AB181" s="21" t="str">
        <f>IF(tb1_supporters[[#This Row],[Communication_Preference]]="Do Not Contact","DO NOT CONTACT","")</f>
        <v/>
      </c>
      <c r="AE181"/>
    </row>
    <row r="182" spans="1:31" x14ac:dyDescent="0.25">
      <c r="A182" s="3" t="s">
        <v>1392</v>
      </c>
      <c r="B182" s="2" t="s">
        <v>4866</v>
      </c>
      <c r="C182" s="2" t="s">
        <v>778</v>
      </c>
      <c r="D182" s="2" t="s">
        <v>1393</v>
      </c>
      <c r="E182" s="2" t="s">
        <v>1394</v>
      </c>
      <c r="F182" s="2" t="s">
        <v>1395</v>
      </c>
      <c r="G182" s="2" t="str">
        <f>TRIM(SUBSTITUTE(SUBSTITUTE(SUBSTITUTE(SUBSTITUTE(tb1_supporters[[#This Row],[Phone_Raw]],"(",""),")","")," ",""),"+44",))</f>
        <v>7778963959</v>
      </c>
      <c r="H182" s="15">
        <v>24142</v>
      </c>
      <c r="I182" s="36">
        <f ca="1">IF(OR(tb1_supporters[[#This Row],[Date_of_Birth]]="",tb1_supporters[[#This Row],[Date_of_Birth]]&gt;TODAY()),"",DATEDIF(tb1_supporters[[#This Row],[Date_of_Birth]],TODAY(),"Y"))</f>
        <v>60</v>
      </c>
      <c r="J18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82" s="2" t="s">
        <v>1397</v>
      </c>
      <c r="L182" s="2" t="s">
        <v>693</v>
      </c>
      <c r="M182" s="2" t="s">
        <v>694</v>
      </c>
      <c r="N182" s="2" t="s">
        <v>695</v>
      </c>
      <c r="O182" s="2" t="s">
        <v>166</v>
      </c>
      <c r="P182" s="2" t="s">
        <v>91</v>
      </c>
      <c r="Q182" s="2" t="s">
        <v>141</v>
      </c>
      <c r="R182" s="15">
        <v>43543</v>
      </c>
      <c r="S182" s="2" t="s">
        <v>4</v>
      </c>
      <c r="T182" s="2" t="s">
        <v>816</v>
      </c>
      <c r="U182" s="2" t="s">
        <v>36</v>
      </c>
      <c r="V182" s="2" t="s">
        <v>36</v>
      </c>
      <c r="W182" s="4" t="s">
        <v>37</v>
      </c>
      <c r="X18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82" s="2" t="str">
        <f>IF(ISNUMBER(SEARCH("onal",tb1_supporters[[#This Row],[Phone_Clean]])),"Review - corrupt phone number", IF(LEN(tb1_supporters[[#This Row],[Phone_Clean]])&gt;11,"Review - too many digits",""))</f>
        <v/>
      </c>
      <c r="Z18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82" s="2" t="str">
        <f>IF(tb1_supporters[[#This Row],[Email]]="","",IF(COUNTIF(tb1_supporters[Email],tb1_supporters[[#This Row],[Email]])&gt;1,"Review - duplicate record, see Supporter_Duplicates tab",""))</f>
        <v/>
      </c>
      <c r="AB182" s="21" t="str">
        <f>IF(tb1_supporters[[#This Row],[Communication_Preference]]="Do Not Contact","DO NOT CONTACT","")</f>
        <v/>
      </c>
      <c r="AE182"/>
    </row>
    <row r="183" spans="1:31" x14ac:dyDescent="0.25">
      <c r="A183" s="3" t="s">
        <v>1399</v>
      </c>
      <c r="B183" s="2" t="s">
        <v>54</v>
      </c>
      <c r="C183" s="2" t="s">
        <v>70</v>
      </c>
      <c r="D183" s="2" t="s">
        <v>902</v>
      </c>
      <c r="E183" s="2" t="s">
        <v>1400</v>
      </c>
      <c r="F183" s="2" t="s">
        <v>1401</v>
      </c>
      <c r="G183" s="2" t="str">
        <f>TRIM(SUBSTITUTE(SUBSTITUTE(SUBSTITUTE(SUBSTITUTE(tb1_supporters[[#This Row],[Phone_Raw]],"(",""),")","")," ",""),"+44",))</f>
        <v>7513776427</v>
      </c>
      <c r="H183" s="15">
        <v>20870</v>
      </c>
      <c r="I183" s="36">
        <f ca="1">IF(OR(tb1_supporters[[#This Row],[Date_of_Birth]]="",tb1_supporters[[#This Row],[Date_of_Birth]]&gt;TODAY()),"",DATEDIF(tb1_supporters[[#This Row],[Date_of_Birth]],TODAY(),"Y"))</f>
        <v>69</v>
      </c>
      <c r="J18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83" s="2" t="s">
        <v>1403</v>
      </c>
      <c r="L183" s="2" t="s">
        <v>219</v>
      </c>
      <c r="M183" s="2" t="s">
        <v>220</v>
      </c>
      <c r="N183" s="2" t="s">
        <v>221</v>
      </c>
      <c r="O183" s="2" t="s">
        <v>166</v>
      </c>
      <c r="P183" s="2" t="s">
        <v>181</v>
      </c>
      <c r="Q183" s="2" t="s">
        <v>4888</v>
      </c>
      <c r="R183" s="15">
        <v>45138</v>
      </c>
      <c r="S183" s="2" t="s">
        <v>52</v>
      </c>
      <c r="T183" s="2" t="s">
        <v>36</v>
      </c>
      <c r="U183" s="2" t="s">
        <v>36</v>
      </c>
      <c r="V183" s="2" t="s">
        <v>37</v>
      </c>
      <c r="W183" s="4" t="s">
        <v>37</v>
      </c>
      <c r="X18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83" s="2" t="str">
        <f>IF(ISNUMBER(SEARCH("onal",tb1_supporters[[#This Row],[Phone_Clean]])),"Review - corrupt phone number", IF(LEN(tb1_supporters[[#This Row],[Phone_Clean]])&gt;11,"Review - too many digits",""))</f>
        <v/>
      </c>
      <c r="Z18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83" s="2" t="str">
        <f>IF(tb1_supporters[[#This Row],[Email]]="","",IF(COUNTIF(tb1_supporters[Email],tb1_supporters[[#This Row],[Email]])&gt;1,"Review - duplicate record, see Supporter_Duplicates tab",""))</f>
        <v/>
      </c>
      <c r="AB183" s="21" t="str">
        <f>IF(tb1_supporters[[#This Row],[Communication_Preference]]="Do Not Contact","DO NOT CONTACT","")</f>
        <v/>
      </c>
      <c r="AE183"/>
    </row>
    <row r="184" spans="1:31" x14ac:dyDescent="0.25">
      <c r="A184" s="3" t="s">
        <v>1405</v>
      </c>
      <c r="B184" s="2" t="s">
        <v>235</v>
      </c>
      <c r="C184" s="2" t="s">
        <v>472</v>
      </c>
      <c r="D184" s="2" t="s">
        <v>674</v>
      </c>
      <c r="E184" s="2" t="s">
        <v>1406</v>
      </c>
      <c r="F184" s="2" t="s">
        <v>1407</v>
      </c>
      <c r="G184" s="2" t="str">
        <f>TRIM(SUBSTITUTE(SUBSTITUTE(SUBSTITUTE(SUBSTITUTE(tb1_supporters[[#This Row],[Phone_Raw]],"(",""),")","")," ",""),"+44",))</f>
        <v>014593115918</v>
      </c>
      <c r="H184" s="15">
        <v>11251</v>
      </c>
      <c r="I184" s="36">
        <f ca="1">IF(OR(tb1_supporters[[#This Row],[Date_of_Birth]]="",tb1_supporters[[#This Row],[Date_of_Birth]]&gt;TODAY()),"",DATEDIF(tb1_supporters[[#This Row],[Date_of_Birth]],TODAY(),"Y"))</f>
        <v>95</v>
      </c>
      <c r="J18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84" s="2" t="s">
        <v>1158</v>
      </c>
      <c r="L184" s="2" t="s">
        <v>150</v>
      </c>
      <c r="M184" s="2" t="s">
        <v>151</v>
      </c>
      <c r="N184" s="2" t="s">
        <v>152</v>
      </c>
      <c r="O184" s="2" t="s">
        <v>242</v>
      </c>
      <c r="P184" s="2" t="s">
        <v>117</v>
      </c>
      <c r="Q184" s="2" t="s">
        <v>141</v>
      </c>
      <c r="R184" s="15">
        <v>43500</v>
      </c>
      <c r="S184" s="2" t="s">
        <v>4</v>
      </c>
      <c r="T184" s="2" t="s">
        <v>36</v>
      </c>
      <c r="U184" s="2" t="s">
        <v>36</v>
      </c>
      <c r="V184" s="2" t="s">
        <v>37</v>
      </c>
      <c r="W184" s="4" t="s">
        <v>37</v>
      </c>
      <c r="X18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84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8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84" s="2" t="str">
        <f>IF(tb1_supporters[[#This Row],[Email]]="","",IF(COUNTIF(tb1_supporters[Email],tb1_supporters[[#This Row],[Email]])&gt;1,"Review - duplicate record, see Supporter_Duplicates tab",""))</f>
        <v/>
      </c>
      <c r="AB184" s="21" t="str">
        <f>IF(tb1_supporters[[#This Row],[Communication_Preference]]="Do Not Contact","DO NOT CONTACT","")</f>
        <v/>
      </c>
      <c r="AE184"/>
    </row>
    <row r="185" spans="1:31" x14ac:dyDescent="0.25">
      <c r="A185" s="3" t="s">
        <v>1410</v>
      </c>
      <c r="B185" s="2" t="s">
        <v>402</v>
      </c>
      <c r="C185" s="2" t="s">
        <v>1411</v>
      </c>
      <c r="D185" s="2" t="s">
        <v>771</v>
      </c>
      <c r="E185" s="2" t="s">
        <v>1412</v>
      </c>
      <c r="F185" s="2" t="s">
        <v>1413</v>
      </c>
      <c r="G185" s="2" t="str">
        <f>TRIM(SUBSTITUTE(SUBSTITUTE(SUBSTITUTE(SUBSTITUTE(tb1_supporters[[#This Row],[Phone_Raw]],"(",""),")","")," ",""),"+44",))</f>
        <v>01714805269</v>
      </c>
      <c r="H185" s="15">
        <v>15758</v>
      </c>
      <c r="I185" s="36">
        <f ca="1">IF(OR(tb1_supporters[[#This Row],[Date_of_Birth]]="",tb1_supporters[[#This Row],[Date_of_Birth]]&gt;TODAY()),"",DATEDIF(tb1_supporters[[#This Row],[Date_of_Birth]],TODAY(),"Y"))</f>
        <v>83</v>
      </c>
      <c r="J18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85" s="2" t="s">
        <v>1415</v>
      </c>
      <c r="L185" s="2" t="s">
        <v>509</v>
      </c>
      <c r="M185" s="2" t="s">
        <v>510</v>
      </c>
      <c r="N185" s="2" t="s">
        <v>511</v>
      </c>
      <c r="O185" s="2" t="s">
        <v>242</v>
      </c>
      <c r="P185" s="2" t="s">
        <v>153</v>
      </c>
      <c r="Q185" s="2" t="s">
        <v>243</v>
      </c>
      <c r="R185" s="15">
        <v>43583</v>
      </c>
      <c r="S185" s="2" t="s">
        <v>4</v>
      </c>
      <c r="T185" s="2" t="s">
        <v>36</v>
      </c>
      <c r="U185" s="2" t="s">
        <v>36</v>
      </c>
      <c r="V185" s="2" t="s">
        <v>37</v>
      </c>
      <c r="W185" s="4" t="s">
        <v>37</v>
      </c>
      <c r="X18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85" s="2" t="str">
        <f>IF(ISNUMBER(SEARCH("onal",tb1_supporters[[#This Row],[Phone_Clean]])),"Review - corrupt phone number", IF(LEN(tb1_supporters[[#This Row],[Phone_Clean]])&gt;11,"Review - too many digits",""))</f>
        <v/>
      </c>
      <c r="Z18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85" s="2" t="str">
        <f>IF(tb1_supporters[[#This Row],[Email]]="","",IF(COUNTIF(tb1_supporters[Email],tb1_supporters[[#This Row],[Email]])&gt;1,"Review - duplicate record, see Supporter_Duplicates tab",""))</f>
        <v/>
      </c>
      <c r="AB185" s="21" t="str">
        <f>IF(tb1_supporters[[#This Row],[Communication_Preference]]="Do Not Contact","DO NOT CONTACT","")</f>
        <v/>
      </c>
      <c r="AE185"/>
    </row>
    <row r="186" spans="1:31" x14ac:dyDescent="0.25">
      <c r="A186" s="3" t="s">
        <v>1417</v>
      </c>
      <c r="B186" s="2" t="s">
        <v>22</v>
      </c>
      <c r="C186" s="2" t="s">
        <v>838</v>
      </c>
      <c r="D186" s="2" t="s">
        <v>870</v>
      </c>
      <c r="E186" s="2" t="s">
        <v>1418</v>
      </c>
      <c r="F186" s="2" t="s">
        <v>1419</v>
      </c>
      <c r="G186" s="2" t="str">
        <f>TRIM(SUBSTITUTE(SUBSTITUTE(SUBSTITUTE(SUBSTITUTE(tb1_supporters[[#This Row],[Phone_Raw]],"(",""),")","")," ",""),"+44",))</f>
        <v>07991974254</v>
      </c>
      <c r="H186" s="15">
        <v>16202</v>
      </c>
      <c r="I186" s="36">
        <f ca="1">IF(OR(tb1_supporters[[#This Row],[Date_of_Birth]]="",tb1_supporters[[#This Row],[Date_of_Birth]]&gt;TODAY()),"",DATEDIF(tb1_supporters[[#This Row],[Date_of_Birth]],TODAY(),"Y"))</f>
        <v>82</v>
      </c>
      <c r="J18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86" s="2" t="s">
        <v>1421</v>
      </c>
      <c r="L186" s="2" t="s">
        <v>100</v>
      </c>
      <c r="M186" s="2" t="s">
        <v>101</v>
      </c>
      <c r="N186" s="2" t="s">
        <v>343</v>
      </c>
      <c r="O186" s="2" t="s">
        <v>242</v>
      </c>
      <c r="P186" s="2" t="s">
        <v>49</v>
      </c>
      <c r="Q186" s="2" t="s">
        <v>66</v>
      </c>
      <c r="R186" s="15">
        <v>45433</v>
      </c>
      <c r="S186" s="2" t="s">
        <v>93</v>
      </c>
      <c r="T186" s="2" t="s">
        <v>36</v>
      </c>
      <c r="U186" s="2" t="s">
        <v>36</v>
      </c>
      <c r="V186" s="2" t="s">
        <v>36</v>
      </c>
      <c r="W186" s="4" t="s">
        <v>36</v>
      </c>
      <c r="X18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86" s="2" t="str">
        <f>IF(ISNUMBER(SEARCH("onal",tb1_supporters[[#This Row],[Phone_Clean]])),"Review - corrupt phone number", IF(LEN(tb1_supporters[[#This Row],[Phone_Clean]])&gt;11,"Review - too many digits",""))</f>
        <v/>
      </c>
      <c r="Z18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86" s="2" t="str">
        <f>IF(tb1_supporters[[#This Row],[Email]]="","",IF(COUNTIF(tb1_supporters[Email],tb1_supporters[[#This Row],[Email]])&gt;1,"Review - duplicate record, see Supporter_Duplicates tab",""))</f>
        <v/>
      </c>
      <c r="AB186" s="21" t="str">
        <f>IF(tb1_supporters[[#This Row],[Communication_Preference]]="Do Not Contact","DO NOT CONTACT","")</f>
        <v/>
      </c>
      <c r="AE186"/>
    </row>
    <row r="187" spans="1:31" x14ac:dyDescent="0.25">
      <c r="A187" s="3" t="s">
        <v>1423</v>
      </c>
      <c r="B187" s="2"/>
      <c r="C187" s="2" t="s">
        <v>673</v>
      </c>
      <c r="D187" s="2" t="s">
        <v>309</v>
      </c>
      <c r="E187" s="2" t="s">
        <v>1424</v>
      </c>
      <c r="F187" s="2" t="s">
        <v>1425</v>
      </c>
      <c r="G187" s="2" t="str">
        <f>TRIM(SUBSTITUTE(SUBSTITUTE(SUBSTITUTE(SUBSTITUTE(tb1_supporters[[#This Row],[Phone_Raw]],"(",""),")","")," ",""),"+44",))</f>
        <v>07690882262</v>
      </c>
      <c r="H187" s="15"/>
      <c r="I187" s="36" t="str">
        <f ca="1">IF(OR(tb1_supporters[[#This Row],[Date_of_Birth]]="",tb1_supporters[[#This Row],[Date_of_Birth]]&gt;TODAY()),"",DATEDIF(tb1_supporters[[#This Row],[Date_of_Birth]],TODAY(),"Y"))</f>
        <v/>
      </c>
      <c r="J18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187" s="2" t="s">
        <v>1426</v>
      </c>
      <c r="L187" s="2" t="s">
        <v>945</v>
      </c>
      <c r="M187" s="2" t="s">
        <v>946</v>
      </c>
      <c r="N187" s="2" t="s">
        <v>947</v>
      </c>
      <c r="O187" s="2" t="s">
        <v>166</v>
      </c>
      <c r="P187" s="2" t="s">
        <v>65</v>
      </c>
      <c r="Q187" s="2" t="s">
        <v>154</v>
      </c>
      <c r="R187" s="15">
        <v>45617</v>
      </c>
      <c r="S187" s="2" t="s">
        <v>52</v>
      </c>
      <c r="T187" s="2" t="s">
        <v>36</v>
      </c>
      <c r="U187" s="2" t="s">
        <v>36</v>
      </c>
      <c r="V187" s="2" t="s">
        <v>37</v>
      </c>
      <c r="W187" s="4" t="s">
        <v>37</v>
      </c>
      <c r="X18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87" s="2" t="str">
        <f>IF(ISNUMBER(SEARCH("onal",tb1_supporters[[#This Row],[Phone_Clean]])),"Review - corrupt phone number", IF(LEN(tb1_supporters[[#This Row],[Phone_Clean]])&gt;11,"Review - too many digits",""))</f>
        <v/>
      </c>
      <c r="Z18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187" s="2" t="str">
        <f>IF(tb1_supporters[[#This Row],[Email]]="","",IF(COUNTIF(tb1_supporters[Email],tb1_supporters[[#This Row],[Email]])&gt;1,"Review - duplicate record, see Supporter_Duplicates tab",""))</f>
        <v/>
      </c>
      <c r="AB187" s="21" t="str">
        <f>IF(tb1_supporters[[#This Row],[Communication_Preference]]="Do Not Contact","DO NOT CONTACT","")</f>
        <v/>
      </c>
      <c r="AE187"/>
    </row>
    <row r="188" spans="1:31" x14ac:dyDescent="0.25">
      <c r="A188" s="3" t="s">
        <v>1428</v>
      </c>
      <c r="B188" s="2" t="s">
        <v>54</v>
      </c>
      <c r="C188" s="2" t="s">
        <v>1429</v>
      </c>
      <c r="D188" s="2" t="s">
        <v>755</v>
      </c>
      <c r="E188" s="2" t="s">
        <v>1430</v>
      </c>
      <c r="F188" s="2" t="s">
        <v>1431</v>
      </c>
      <c r="G188" s="2" t="str">
        <f>TRIM(SUBSTITUTE(SUBSTITUTE(SUBSTITUTE(SUBSTITUTE(tb1_supporters[[#This Row],[Phone_Raw]],"(",""),")","")," ",""),"+44",))</f>
        <v>010050764707</v>
      </c>
      <c r="H188" s="15">
        <v>30502</v>
      </c>
      <c r="I188" s="36">
        <f ca="1">IF(OR(tb1_supporters[[#This Row],[Date_of_Birth]]="",tb1_supporters[[#This Row],[Date_of_Birth]]&gt;TODAY()),"",DATEDIF(tb1_supporters[[#This Row],[Date_of_Birth]],TODAY(),"Y"))</f>
        <v>42</v>
      </c>
      <c r="J18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88" s="2" t="s">
        <v>1433</v>
      </c>
      <c r="L188" s="2" t="s">
        <v>177</v>
      </c>
      <c r="M188" s="2" t="s">
        <v>178</v>
      </c>
      <c r="N188" s="2" t="s">
        <v>179</v>
      </c>
      <c r="O188" s="2" t="s">
        <v>166</v>
      </c>
      <c r="P188" s="2" t="s">
        <v>91</v>
      </c>
      <c r="Q188" s="2" t="s">
        <v>154</v>
      </c>
      <c r="R188" s="15">
        <v>43521</v>
      </c>
      <c r="S188" s="2" t="s">
        <v>93</v>
      </c>
      <c r="T188" s="2" t="s">
        <v>36</v>
      </c>
      <c r="U188" s="2" t="s">
        <v>37</v>
      </c>
      <c r="V188" s="2" t="s">
        <v>37</v>
      </c>
      <c r="W188" s="4" t="s">
        <v>37</v>
      </c>
      <c r="X18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18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8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88" s="2" t="str">
        <f>IF(tb1_supporters[[#This Row],[Email]]="","",IF(COUNTIF(tb1_supporters[Email],tb1_supporters[[#This Row],[Email]])&gt;1,"Review - duplicate record, see Supporter_Duplicates tab",""))</f>
        <v/>
      </c>
      <c r="AB188" s="21" t="str">
        <f>IF(tb1_supporters[[#This Row],[Communication_Preference]]="Do Not Contact","DO NOT CONTACT","")</f>
        <v/>
      </c>
      <c r="AE188"/>
    </row>
    <row r="189" spans="1:31" x14ac:dyDescent="0.25">
      <c r="A189" s="3" t="s">
        <v>1435</v>
      </c>
      <c r="B189" s="2"/>
      <c r="C189" s="2" t="s">
        <v>1429</v>
      </c>
      <c r="D189" s="2" t="s">
        <v>273</v>
      </c>
      <c r="E189" s="2" t="s">
        <v>1436</v>
      </c>
      <c r="F189" s="2" t="s">
        <v>1437</v>
      </c>
      <c r="G189" s="2" t="str">
        <f>TRIM(SUBSTITUTE(SUBSTITUTE(SUBSTITUTE(SUBSTITUTE(tb1_supporters[[#This Row],[Phone_Raw]],"(",""),")","")," ",""),"+44",))</f>
        <v>011766159031</v>
      </c>
      <c r="H189" s="15">
        <v>14400</v>
      </c>
      <c r="I189" s="36">
        <f ca="1">IF(OR(tb1_supporters[[#This Row],[Date_of_Birth]]="",tb1_supporters[[#This Row],[Date_of_Birth]]&gt;TODAY()),"",DATEDIF(tb1_supporters[[#This Row],[Date_of_Birth]],TODAY(),"Y"))</f>
        <v>86</v>
      </c>
      <c r="J18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89" s="2" t="s">
        <v>667</v>
      </c>
      <c r="L189" s="2" t="s">
        <v>693</v>
      </c>
      <c r="M189" s="2" t="s">
        <v>694</v>
      </c>
      <c r="N189" s="2" t="s">
        <v>695</v>
      </c>
      <c r="O189" s="2" t="s">
        <v>166</v>
      </c>
      <c r="P189" s="2" t="s">
        <v>33</v>
      </c>
      <c r="Q189" s="2" t="s">
        <v>154</v>
      </c>
      <c r="R189" s="15">
        <v>44753</v>
      </c>
      <c r="S189" s="2" t="s">
        <v>93</v>
      </c>
      <c r="T189" s="2" t="s">
        <v>36</v>
      </c>
      <c r="U189" s="2" t="s">
        <v>36</v>
      </c>
      <c r="V189" s="2" t="s">
        <v>36</v>
      </c>
      <c r="W189" s="4" t="s">
        <v>36</v>
      </c>
      <c r="X18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89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8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89" s="2" t="str">
        <f>IF(tb1_supporters[[#This Row],[Email]]="","",IF(COUNTIF(tb1_supporters[Email],tb1_supporters[[#This Row],[Email]])&gt;1,"Review - duplicate record, see Supporter_Duplicates tab",""))</f>
        <v/>
      </c>
      <c r="AB189" s="21" t="str">
        <f>IF(tb1_supporters[[#This Row],[Communication_Preference]]="Do Not Contact","DO NOT CONTACT","")</f>
        <v/>
      </c>
      <c r="AE189"/>
    </row>
    <row r="190" spans="1:31" x14ac:dyDescent="0.25">
      <c r="A190" s="3" t="s">
        <v>1440</v>
      </c>
      <c r="B190" s="2" t="s">
        <v>22</v>
      </c>
      <c r="C190" s="2" t="s">
        <v>472</v>
      </c>
      <c r="D190" s="2" t="s">
        <v>96</v>
      </c>
      <c r="E190" s="2" t="s">
        <v>1441</v>
      </c>
      <c r="F190" s="2" t="s">
        <v>1442</v>
      </c>
      <c r="G190" s="2" t="str">
        <f>TRIM(SUBSTITUTE(SUBSTITUTE(SUBSTITUTE(SUBSTITUTE(tb1_supporters[[#This Row],[Phone_Raw]],"(",""),")","")," ",""),"+44",))</f>
        <v>7149777210</v>
      </c>
      <c r="H190" s="15">
        <v>31601</v>
      </c>
      <c r="I190" s="36">
        <f ca="1">IF(OR(tb1_supporters[[#This Row],[Date_of_Birth]]="",tb1_supporters[[#This Row],[Date_of_Birth]]&gt;TODAY()),"",DATEDIF(tb1_supporters[[#This Row],[Date_of_Birth]],TODAY(),"Y"))</f>
        <v>39</v>
      </c>
      <c r="J19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90" s="2" t="s">
        <v>1444</v>
      </c>
      <c r="L190" s="2" t="s">
        <v>229</v>
      </c>
      <c r="M190" s="2" t="s">
        <v>230</v>
      </c>
      <c r="N190" s="2" t="s">
        <v>231</v>
      </c>
      <c r="O190" s="2" t="s">
        <v>242</v>
      </c>
      <c r="P190" s="2" t="s">
        <v>181</v>
      </c>
      <c r="Q190" s="2" t="s">
        <v>4888</v>
      </c>
      <c r="R190" s="15">
        <v>43575</v>
      </c>
      <c r="S190" s="2" t="s">
        <v>4</v>
      </c>
      <c r="T190" s="2" t="s">
        <v>36</v>
      </c>
      <c r="U190" s="2" t="s">
        <v>36</v>
      </c>
      <c r="V190" s="2" t="s">
        <v>37</v>
      </c>
      <c r="W190" s="4" t="s">
        <v>36</v>
      </c>
      <c r="X19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90" s="2" t="str">
        <f>IF(ISNUMBER(SEARCH("onal",tb1_supporters[[#This Row],[Phone_Clean]])),"Review - corrupt phone number", IF(LEN(tb1_supporters[[#This Row],[Phone_Clean]])&gt;11,"Review - too many digits",""))</f>
        <v/>
      </c>
      <c r="Z19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90" s="2" t="str">
        <f>IF(tb1_supporters[[#This Row],[Email]]="","",IF(COUNTIF(tb1_supporters[Email],tb1_supporters[[#This Row],[Email]])&gt;1,"Review - duplicate record, see Supporter_Duplicates tab",""))</f>
        <v/>
      </c>
      <c r="AB190" s="21" t="str">
        <f>IF(tb1_supporters[[#This Row],[Communication_Preference]]="Do Not Contact","DO NOT CONTACT","")</f>
        <v/>
      </c>
      <c r="AE190"/>
    </row>
    <row r="191" spans="1:31" x14ac:dyDescent="0.25">
      <c r="A191" s="3" t="s">
        <v>1446</v>
      </c>
      <c r="B191" s="2"/>
      <c r="C191" s="2" t="s">
        <v>459</v>
      </c>
      <c r="D191" s="2" t="s">
        <v>1047</v>
      </c>
      <c r="E191" s="2" t="s">
        <v>1447</v>
      </c>
      <c r="F191" s="2" t="s">
        <v>1448</v>
      </c>
      <c r="G191" s="2" t="str">
        <f>TRIM(SUBSTITUTE(SUBSTITUTE(SUBSTITUTE(SUBSTITUTE(tb1_supporters[[#This Row],[Phone_Raw]],"(",""),")","")," ",""),"+44",))</f>
        <v>7720817240</v>
      </c>
      <c r="H191" s="15">
        <v>29977</v>
      </c>
      <c r="I191" s="36">
        <f ca="1">IF(OR(tb1_supporters[[#This Row],[Date_of_Birth]]="",tb1_supporters[[#This Row],[Date_of_Birth]]&gt;TODAY()),"",DATEDIF(tb1_supporters[[#This Row],[Date_of_Birth]],TODAY(),"Y"))</f>
        <v>44</v>
      </c>
      <c r="J19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91" s="2" t="s">
        <v>1450</v>
      </c>
      <c r="L191" s="2" t="s">
        <v>177</v>
      </c>
      <c r="M191" s="2" t="s">
        <v>178</v>
      </c>
      <c r="N191" s="2" t="s">
        <v>179</v>
      </c>
      <c r="O191" s="2" t="s">
        <v>166</v>
      </c>
      <c r="P191" s="2" t="s">
        <v>65</v>
      </c>
      <c r="Q191" s="2" t="s">
        <v>50</v>
      </c>
      <c r="R191" s="15">
        <v>45631</v>
      </c>
      <c r="S191" s="2" t="s">
        <v>52</v>
      </c>
      <c r="T191" s="2" t="s">
        <v>36</v>
      </c>
      <c r="U191" s="2" t="s">
        <v>36</v>
      </c>
      <c r="V191" s="2" t="s">
        <v>36</v>
      </c>
      <c r="W191" s="4" t="s">
        <v>36</v>
      </c>
      <c r="X19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91" s="2" t="str">
        <f>IF(ISNUMBER(SEARCH("onal",tb1_supporters[[#This Row],[Phone_Clean]])),"Review - corrupt phone number", IF(LEN(tb1_supporters[[#This Row],[Phone_Clean]])&gt;11,"Review - too many digits",""))</f>
        <v/>
      </c>
      <c r="Z19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91" s="2" t="str">
        <f>IF(tb1_supporters[[#This Row],[Email]]="","",IF(COUNTIF(tb1_supporters[Email],tb1_supporters[[#This Row],[Email]])&gt;1,"Review - duplicate record, see Supporter_Duplicates tab",""))</f>
        <v/>
      </c>
      <c r="AB191" s="21" t="str">
        <f>IF(tb1_supporters[[#This Row],[Communication_Preference]]="Do Not Contact","DO NOT CONTACT","")</f>
        <v/>
      </c>
      <c r="AE191"/>
    </row>
    <row r="192" spans="1:31" x14ac:dyDescent="0.25">
      <c r="A192" s="3" t="s">
        <v>1452</v>
      </c>
      <c r="B192" s="2" t="s">
        <v>69</v>
      </c>
      <c r="C192" s="2" t="s">
        <v>1453</v>
      </c>
      <c r="D192" s="2" t="s">
        <v>258</v>
      </c>
      <c r="E192" s="2" t="s">
        <v>1454</v>
      </c>
      <c r="F192" s="2" t="s">
        <v>1455</v>
      </c>
      <c r="G192" s="2" t="str">
        <f>TRIM(SUBSTITUTE(SUBSTITUTE(SUBSTITUTE(SUBSTITUTE(tb1_supporters[[#This Row],[Phone_Raw]],"(",""),")","")," ",""),"+44",))</f>
        <v>07140661608</v>
      </c>
      <c r="H192" s="15"/>
      <c r="I192" s="36" t="str">
        <f ca="1">IF(OR(tb1_supporters[[#This Row],[Date_of_Birth]]="",tb1_supporters[[#This Row],[Date_of_Birth]]&gt;TODAY()),"",DATEDIF(tb1_supporters[[#This Row],[Date_of_Birth]],TODAY(),"Y"))</f>
        <v/>
      </c>
      <c r="J19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192" s="2" t="s">
        <v>1456</v>
      </c>
      <c r="L192" s="2" t="s">
        <v>138</v>
      </c>
      <c r="M192" s="2" t="s">
        <v>139</v>
      </c>
      <c r="N192" s="2" t="s">
        <v>140</v>
      </c>
      <c r="O192" s="2" t="s">
        <v>166</v>
      </c>
      <c r="P192" s="2" t="s">
        <v>153</v>
      </c>
      <c r="Q192" s="2" t="s">
        <v>141</v>
      </c>
      <c r="R192" s="15">
        <v>44061</v>
      </c>
      <c r="S192" s="2" t="s">
        <v>4</v>
      </c>
      <c r="T192" s="2" t="s">
        <v>36</v>
      </c>
      <c r="U192" s="2" t="s">
        <v>36</v>
      </c>
      <c r="V192" s="2" t="s">
        <v>37</v>
      </c>
      <c r="W192" s="4" t="s">
        <v>36</v>
      </c>
      <c r="X19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92" s="2" t="str">
        <f>IF(ISNUMBER(SEARCH("onal",tb1_supporters[[#This Row],[Phone_Clean]])),"Review - corrupt phone number", IF(LEN(tb1_supporters[[#This Row],[Phone_Clean]])&gt;11,"Review - too many digits",""))</f>
        <v/>
      </c>
      <c r="Z19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192" s="2" t="str">
        <f>IF(tb1_supporters[[#This Row],[Email]]="","",IF(COUNTIF(tb1_supporters[Email],tb1_supporters[[#This Row],[Email]])&gt;1,"Review - duplicate record, see Supporter_Duplicates tab",""))</f>
        <v/>
      </c>
      <c r="AB192" s="21" t="str">
        <f>IF(tb1_supporters[[#This Row],[Communication_Preference]]="Do Not Contact","DO NOT CONTACT","")</f>
        <v/>
      </c>
      <c r="AE192"/>
    </row>
    <row r="193" spans="1:31" x14ac:dyDescent="0.25">
      <c r="A193" s="3" t="s">
        <v>1458</v>
      </c>
      <c r="B193" s="2"/>
      <c r="C193" s="2" t="s">
        <v>548</v>
      </c>
      <c r="D193" s="2" t="s">
        <v>365</v>
      </c>
      <c r="E193" s="2" t="s">
        <v>1459</v>
      </c>
      <c r="F193" s="2" t="s">
        <v>1460</v>
      </c>
      <c r="G193" s="2" t="str">
        <f>TRIM(SUBSTITUTE(SUBSTITUTE(SUBSTITUTE(SUBSTITUTE(tb1_supporters[[#This Row],[Phone_Raw]],"(",""),")","")," ",""),"+44",))</f>
        <v>012984835850</v>
      </c>
      <c r="H193" s="15">
        <v>32107</v>
      </c>
      <c r="I193" s="36">
        <f ca="1">IF(OR(tb1_supporters[[#This Row],[Date_of_Birth]]="",tb1_supporters[[#This Row],[Date_of_Birth]]&gt;TODAY()),"",DATEDIF(tb1_supporters[[#This Row],[Date_of_Birth]],TODAY(),"Y"))</f>
        <v>38</v>
      </c>
      <c r="J19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193" s="2" t="s">
        <v>1462</v>
      </c>
      <c r="L193" s="2" t="s">
        <v>113</v>
      </c>
      <c r="M193" s="2" t="s">
        <v>114</v>
      </c>
      <c r="N193" s="2" t="s">
        <v>115</v>
      </c>
      <c r="O193" s="2" t="s">
        <v>242</v>
      </c>
      <c r="P193" s="2" t="s">
        <v>181</v>
      </c>
      <c r="Q193" s="2" t="s">
        <v>192</v>
      </c>
      <c r="R193" s="15">
        <v>43816</v>
      </c>
      <c r="S193" s="2" t="s">
        <v>52</v>
      </c>
      <c r="T193" s="2" t="s">
        <v>36</v>
      </c>
      <c r="U193" s="2" t="s">
        <v>36</v>
      </c>
      <c r="V193" s="2" t="s">
        <v>36</v>
      </c>
      <c r="W193" s="4" t="s">
        <v>37</v>
      </c>
      <c r="X19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93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9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93" s="2" t="str">
        <f>IF(tb1_supporters[[#This Row],[Email]]="","",IF(COUNTIF(tb1_supporters[Email],tb1_supporters[[#This Row],[Email]])&gt;1,"Review - duplicate record, see Supporter_Duplicates tab",""))</f>
        <v/>
      </c>
      <c r="AB193" s="21" t="str">
        <f>IF(tb1_supporters[[#This Row],[Communication_Preference]]="Do Not Contact","DO NOT CONTACT","")</f>
        <v/>
      </c>
      <c r="AE193"/>
    </row>
    <row r="194" spans="1:31" x14ac:dyDescent="0.25">
      <c r="A194" s="3" t="s">
        <v>1464</v>
      </c>
      <c r="B194" s="2" t="s">
        <v>402</v>
      </c>
      <c r="C194" s="2" t="s">
        <v>1038</v>
      </c>
      <c r="D194" s="2" t="s">
        <v>1008</v>
      </c>
      <c r="E194" s="2" t="s">
        <v>1465</v>
      </c>
      <c r="F194" s="2" t="s">
        <v>1466</v>
      </c>
      <c r="G194" s="2" t="str">
        <f>TRIM(SUBSTITUTE(SUBSTITUTE(SUBSTITUTE(SUBSTITUTE(tb1_supporters[[#This Row],[Phone_Raw]],"(",""),")","")," ",""),"+44",))</f>
        <v>07548736374</v>
      </c>
      <c r="H194" s="15">
        <v>19720</v>
      </c>
      <c r="I194" s="36">
        <f ca="1">IF(OR(tb1_supporters[[#This Row],[Date_of_Birth]]="",tb1_supporters[[#This Row],[Date_of_Birth]]&gt;TODAY()),"",DATEDIF(tb1_supporters[[#This Row],[Date_of_Birth]],TODAY(),"Y"))</f>
        <v>72</v>
      </c>
      <c r="J19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94" s="2" t="s">
        <v>1468</v>
      </c>
      <c r="L194" s="2" t="s">
        <v>177</v>
      </c>
      <c r="M194" s="2" t="s">
        <v>178</v>
      </c>
      <c r="N194" s="2" t="s">
        <v>179</v>
      </c>
      <c r="O194" s="2" t="s">
        <v>242</v>
      </c>
      <c r="P194" s="2" t="s">
        <v>49</v>
      </c>
      <c r="Q194" s="2" t="s">
        <v>243</v>
      </c>
      <c r="R194" s="15">
        <v>44504</v>
      </c>
      <c r="S194" s="2" t="s">
        <v>52</v>
      </c>
      <c r="T194" s="2" t="s">
        <v>36</v>
      </c>
      <c r="U194" s="2" t="s">
        <v>36</v>
      </c>
      <c r="V194" s="2" t="s">
        <v>37</v>
      </c>
      <c r="W194" s="4" t="s">
        <v>37</v>
      </c>
      <c r="X19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94" s="2" t="str">
        <f>IF(ISNUMBER(SEARCH("onal",tb1_supporters[[#This Row],[Phone_Clean]])),"Review - corrupt phone number", IF(LEN(tb1_supporters[[#This Row],[Phone_Clean]])&gt;11,"Review - too many digits",""))</f>
        <v/>
      </c>
      <c r="Z19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94" s="2" t="str">
        <f>IF(tb1_supporters[[#This Row],[Email]]="","",IF(COUNTIF(tb1_supporters[Email],tb1_supporters[[#This Row],[Email]])&gt;1,"Review - duplicate record, see Supporter_Duplicates tab",""))</f>
        <v/>
      </c>
      <c r="AB194" s="21" t="str">
        <f>IF(tb1_supporters[[#This Row],[Communication_Preference]]="Do Not Contact","DO NOT CONTACT","")</f>
        <v/>
      </c>
      <c r="AE194"/>
    </row>
    <row r="195" spans="1:31" x14ac:dyDescent="0.25">
      <c r="A195" s="3" t="s">
        <v>1470</v>
      </c>
      <c r="B195" s="2" t="s">
        <v>4866</v>
      </c>
      <c r="C195" s="2" t="s">
        <v>1031</v>
      </c>
      <c r="D195" s="2" t="s">
        <v>71</v>
      </c>
      <c r="E195" s="2" t="s">
        <v>1471</v>
      </c>
      <c r="F195" s="2" t="s">
        <v>1472</v>
      </c>
      <c r="G195" s="2" t="str">
        <f>TRIM(SUBSTITUTE(SUBSTITUTE(SUBSTITUTE(SUBSTITUTE(tb1_supporters[[#This Row],[Phone_Raw]],"(",""),")","")," ",""),"+44",))</f>
        <v>07526704594</v>
      </c>
      <c r="H195" s="15">
        <v>17703</v>
      </c>
      <c r="I195" s="36">
        <f ca="1">IF(OR(tb1_supporters[[#This Row],[Date_of_Birth]]="",tb1_supporters[[#This Row],[Date_of_Birth]]&gt;TODAY()),"",DATEDIF(tb1_supporters[[#This Row],[Date_of_Birth]],TODAY(),"Y"))</f>
        <v>77</v>
      </c>
      <c r="J19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95" s="2" t="s">
        <v>1474</v>
      </c>
      <c r="L195" s="2" t="s">
        <v>1204</v>
      </c>
      <c r="M195" s="2" t="s">
        <v>114</v>
      </c>
      <c r="N195" s="2" t="s">
        <v>4869</v>
      </c>
      <c r="O195" s="2" t="s">
        <v>166</v>
      </c>
      <c r="P195" s="2" t="s">
        <v>153</v>
      </c>
      <c r="Q195" s="2" t="s">
        <v>154</v>
      </c>
      <c r="R195" s="15">
        <v>45604</v>
      </c>
      <c r="S195" s="2" t="s">
        <v>93</v>
      </c>
      <c r="T195" s="2" t="s">
        <v>36</v>
      </c>
      <c r="U195" s="2" t="s">
        <v>36</v>
      </c>
      <c r="V195" s="2" t="s">
        <v>37</v>
      </c>
      <c r="W195" s="4" t="s">
        <v>36</v>
      </c>
      <c r="X19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95" s="2" t="str">
        <f>IF(ISNUMBER(SEARCH("onal",tb1_supporters[[#This Row],[Phone_Clean]])),"Review - corrupt phone number", IF(LEN(tb1_supporters[[#This Row],[Phone_Clean]])&gt;11,"Review - too many digits",""))</f>
        <v/>
      </c>
      <c r="Z19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95" s="2" t="str">
        <f>IF(tb1_supporters[[#This Row],[Email]]="","",IF(COUNTIF(tb1_supporters[Email],tb1_supporters[[#This Row],[Email]])&gt;1,"Review - duplicate record, see Supporter_Duplicates tab",""))</f>
        <v/>
      </c>
      <c r="AB195" s="21" t="str">
        <f>IF(tb1_supporters[[#This Row],[Communication_Preference]]="Do Not Contact","DO NOT CONTACT","")</f>
        <v/>
      </c>
      <c r="AE195"/>
    </row>
    <row r="196" spans="1:31" x14ac:dyDescent="0.25">
      <c r="A196" s="3" t="s">
        <v>1476</v>
      </c>
      <c r="B196" s="2" t="s">
        <v>22</v>
      </c>
      <c r="C196" s="2" t="s">
        <v>95</v>
      </c>
      <c r="D196" s="2" t="s">
        <v>870</v>
      </c>
      <c r="E196" s="2" t="s">
        <v>1477</v>
      </c>
      <c r="F196" s="2" t="s">
        <v>1478</v>
      </c>
      <c r="G196" s="2" t="str">
        <f>TRIM(SUBSTITUTE(SUBSTITUTE(SUBSTITUTE(SUBSTITUTE(tb1_supporters[[#This Row],[Phone_Raw]],"(",""),")","")," ",""),"+44",))</f>
        <v>014012029598</v>
      </c>
      <c r="H196" s="15"/>
      <c r="I196" s="36" t="str">
        <f ca="1">IF(OR(tb1_supporters[[#This Row],[Date_of_Birth]]="",tb1_supporters[[#This Row],[Date_of_Birth]]&gt;TODAY()),"",DATEDIF(tb1_supporters[[#This Row],[Date_of_Birth]],TODAY(),"Y"))</f>
        <v/>
      </c>
      <c r="J19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196" s="2" t="s">
        <v>1479</v>
      </c>
      <c r="L196" s="2" t="s">
        <v>531</v>
      </c>
      <c r="M196" s="2" t="s">
        <v>532</v>
      </c>
      <c r="N196" s="2" t="s">
        <v>533</v>
      </c>
      <c r="O196" s="2" t="s">
        <v>242</v>
      </c>
      <c r="P196" s="2" t="s">
        <v>49</v>
      </c>
      <c r="Q196" s="2" t="s">
        <v>50</v>
      </c>
      <c r="R196" s="15">
        <v>45243</v>
      </c>
      <c r="S196" s="2" t="s">
        <v>52</v>
      </c>
      <c r="T196" s="2" t="s">
        <v>37</v>
      </c>
      <c r="U196" s="2" t="s">
        <v>36</v>
      </c>
      <c r="V196" s="2" t="s">
        <v>37</v>
      </c>
      <c r="W196" s="4" t="s">
        <v>36</v>
      </c>
      <c r="X19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96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19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196" s="2" t="str">
        <f>IF(tb1_supporters[[#This Row],[Email]]="","",IF(COUNTIF(tb1_supporters[Email],tb1_supporters[[#This Row],[Email]])&gt;1,"Review - duplicate record, see Supporter_Duplicates tab",""))</f>
        <v/>
      </c>
      <c r="AB196" s="21" t="str">
        <f>IF(tb1_supporters[[#This Row],[Communication_Preference]]="Do Not Contact","DO NOT CONTACT","")</f>
        <v/>
      </c>
      <c r="AE196"/>
    </row>
    <row r="197" spans="1:31" x14ac:dyDescent="0.25">
      <c r="A197" s="3" t="s">
        <v>1481</v>
      </c>
      <c r="B197" s="2" t="s">
        <v>54</v>
      </c>
      <c r="C197" s="2" t="s">
        <v>503</v>
      </c>
      <c r="D197" s="2" t="s">
        <v>425</v>
      </c>
      <c r="E197" s="2" t="s">
        <v>1482</v>
      </c>
      <c r="F197" s="2" t="s">
        <v>1483</v>
      </c>
      <c r="G197" s="2" t="str">
        <f>TRIM(SUBSTITUTE(SUBSTITUTE(SUBSTITUTE(SUBSTITUTE(tb1_supporters[[#This Row],[Phone_Raw]],"(",""),")","")," ",""),"+44",))</f>
        <v>01411769055</v>
      </c>
      <c r="H197" s="15">
        <v>26028</v>
      </c>
      <c r="I197" s="36">
        <f ca="1">IF(OR(tb1_supporters[[#This Row],[Date_of_Birth]]="",tb1_supporters[[#This Row],[Date_of_Birth]]&gt;TODAY()),"",DATEDIF(tb1_supporters[[#This Row],[Date_of_Birth]],TODAY(),"Y"))</f>
        <v>55</v>
      </c>
      <c r="J19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97" s="2" t="s">
        <v>1485</v>
      </c>
      <c r="L197" s="2" t="s">
        <v>668</v>
      </c>
      <c r="M197" s="2" t="s">
        <v>669</v>
      </c>
      <c r="N197" s="2" t="s">
        <v>670</v>
      </c>
      <c r="O197" s="2" t="s">
        <v>166</v>
      </c>
      <c r="P197" s="2" t="s">
        <v>49</v>
      </c>
      <c r="Q197" s="2" t="s">
        <v>141</v>
      </c>
      <c r="R197" s="15">
        <v>43307</v>
      </c>
      <c r="S197" s="2" t="s">
        <v>52</v>
      </c>
      <c r="T197" s="2" t="s">
        <v>37</v>
      </c>
      <c r="U197" s="2" t="s">
        <v>36</v>
      </c>
      <c r="V197" s="2" t="s">
        <v>37</v>
      </c>
      <c r="W197" s="4" t="s">
        <v>37</v>
      </c>
      <c r="X19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197" s="2" t="str">
        <f>IF(ISNUMBER(SEARCH("onal",tb1_supporters[[#This Row],[Phone_Clean]])),"Review - corrupt phone number", IF(LEN(tb1_supporters[[#This Row],[Phone_Clean]])&gt;11,"Review - too many digits",""))</f>
        <v/>
      </c>
      <c r="Z19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97" s="2" t="str">
        <f>IF(tb1_supporters[[#This Row],[Email]]="","",IF(COUNTIF(tb1_supporters[Email],tb1_supporters[[#This Row],[Email]])&gt;1,"Review - duplicate record, see Supporter_Duplicates tab",""))</f>
        <v/>
      </c>
      <c r="AB197" s="21" t="str">
        <f>IF(tb1_supporters[[#This Row],[Communication_Preference]]="Do Not Contact","DO NOT CONTACT","")</f>
        <v/>
      </c>
      <c r="AE197"/>
    </row>
    <row r="198" spans="1:31" x14ac:dyDescent="0.25">
      <c r="A198" s="3" t="s">
        <v>1487</v>
      </c>
      <c r="B198" s="2" t="s">
        <v>22</v>
      </c>
      <c r="C198" s="2" t="s">
        <v>791</v>
      </c>
      <c r="D198" s="2" t="s">
        <v>108</v>
      </c>
      <c r="E198" s="2" t="s">
        <v>1488</v>
      </c>
      <c r="F198" s="2" t="s">
        <v>1489</v>
      </c>
      <c r="G198" s="2" t="str">
        <f>TRIM(SUBSTITUTE(SUBSTITUTE(SUBSTITUTE(SUBSTITUTE(tb1_supporters[[#This Row],[Phone_Raw]],"(",""),")","")," ",""),"+44",))</f>
        <v>07221609863</v>
      </c>
      <c r="H198" s="15">
        <v>24560</v>
      </c>
      <c r="I198" s="36">
        <f ca="1">IF(OR(tb1_supporters[[#This Row],[Date_of_Birth]]="",tb1_supporters[[#This Row],[Date_of_Birth]]&gt;TODAY()),"",DATEDIF(tb1_supporters[[#This Row],[Date_of_Birth]],TODAY(),"Y"))</f>
        <v>59</v>
      </c>
      <c r="J19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198" s="2" t="s">
        <v>1491</v>
      </c>
      <c r="L198" s="2" t="s">
        <v>408</v>
      </c>
      <c r="M198" s="2" t="s">
        <v>409</v>
      </c>
      <c r="N198" s="2" t="s">
        <v>410</v>
      </c>
      <c r="O198" s="2" t="s">
        <v>242</v>
      </c>
      <c r="P198" s="2" t="s">
        <v>65</v>
      </c>
      <c r="Q198" s="2" t="s">
        <v>66</v>
      </c>
      <c r="R198" s="15">
        <v>44789</v>
      </c>
      <c r="S198" s="2" t="s">
        <v>93</v>
      </c>
      <c r="T198" s="2" t="s">
        <v>36</v>
      </c>
      <c r="U198" s="2" t="s">
        <v>37</v>
      </c>
      <c r="V198" s="2" t="s">
        <v>37</v>
      </c>
      <c r="W198" s="4" t="s">
        <v>36</v>
      </c>
      <c r="X19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198" s="2" t="str">
        <f>IF(ISNUMBER(SEARCH("onal",tb1_supporters[[#This Row],[Phone_Clean]])),"Review - corrupt phone number", IF(LEN(tb1_supporters[[#This Row],[Phone_Clean]])&gt;11,"Review - too many digits",""))</f>
        <v/>
      </c>
      <c r="Z19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98" s="2" t="str">
        <f>IF(tb1_supporters[[#This Row],[Email]]="","",IF(COUNTIF(tb1_supporters[Email],tb1_supporters[[#This Row],[Email]])&gt;1,"Review - duplicate record, see Supporter_Duplicates tab",""))</f>
        <v/>
      </c>
      <c r="AB198" s="21" t="str">
        <f>IF(tb1_supporters[[#This Row],[Communication_Preference]]="Do Not Contact","DO NOT CONTACT","")</f>
        <v/>
      </c>
      <c r="AE198"/>
    </row>
    <row r="199" spans="1:31" x14ac:dyDescent="0.25">
      <c r="A199" s="3" t="s">
        <v>1493</v>
      </c>
      <c r="B199" s="2"/>
      <c r="C199" s="2" t="s">
        <v>434</v>
      </c>
      <c r="D199" s="2" t="s">
        <v>291</v>
      </c>
      <c r="E199" s="2" t="s">
        <v>1494</v>
      </c>
      <c r="F199" s="2" t="s">
        <v>1495</v>
      </c>
      <c r="G199" s="2" t="str">
        <f>TRIM(SUBSTITUTE(SUBSTITUTE(SUBSTITUTE(SUBSTITUTE(tb1_supporters[[#This Row],[Phone_Raw]],"(",""),")","")," ",""),"+44",))</f>
        <v>07945155936</v>
      </c>
      <c r="H199" s="15">
        <v>21308</v>
      </c>
      <c r="I199" s="36">
        <f ca="1">IF(OR(tb1_supporters[[#This Row],[Date_of_Birth]]="",tb1_supporters[[#This Row],[Date_of_Birth]]&gt;TODAY()),"",DATEDIF(tb1_supporters[[#This Row],[Date_of_Birth]],TODAY(),"Y"))</f>
        <v>68</v>
      </c>
      <c r="J19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199" s="2" t="s">
        <v>1497</v>
      </c>
      <c r="L199" s="2" t="s">
        <v>585</v>
      </c>
      <c r="M199" s="2" t="s">
        <v>586</v>
      </c>
      <c r="N199" s="2" t="s">
        <v>587</v>
      </c>
      <c r="O199" s="2" t="s">
        <v>166</v>
      </c>
      <c r="P199" s="2" t="s">
        <v>153</v>
      </c>
      <c r="Q199" s="2" t="s">
        <v>141</v>
      </c>
      <c r="R199" s="15">
        <v>45395</v>
      </c>
      <c r="S199" s="2" t="s">
        <v>4</v>
      </c>
      <c r="T199" s="2" t="s">
        <v>37</v>
      </c>
      <c r="U199" s="2" t="s">
        <v>37</v>
      </c>
      <c r="V199" s="2" t="s">
        <v>37</v>
      </c>
      <c r="W199" s="4" t="s">
        <v>37</v>
      </c>
      <c r="X19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199" s="2" t="str">
        <f>IF(ISNUMBER(SEARCH("onal",tb1_supporters[[#This Row],[Phone_Clean]])),"Review - corrupt phone number", IF(LEN(tb1_supporters[[#This Row],[Phone_Clean]])&gt;11,"Review - too many digits",""))</f>
        <v/>
      </c>
      <c r="Z19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199" s="2" t="str">
        <f>IF(tb1_supporters[[#This Row],[Email]]="","",IF(COUNTIF(tb1_supporters[Email],tb1_supporters[[#This Row],[Email]])&gt;1,"Review - duplicate record, see Supporter_Duplicates tab",""))</f>
        <v/>
      </c>
      <c r="AB199" s="21" t="str">
        <f>IF(tb1_supporters[[#This Row],[Communication_Preference]]="Do Not Contact","DO NOT CONTACT","")</f>
        <v/>
      </c>
      <c r="AE199"/>
    </row>
    <row r="200" spans="1:31" x14ac:dyDescent="0.25">
      <c r="A200" s="3" t="s">
        <v>1499</v>
      </c>
      <c r="B200" s="2" t="s">
        <v>235</v>
      </c>
      <c r="C200" s="2" t="s">
        <v>1038</v>
      </c>
      <c r="D200" s="2" t="s">
        <v>41</v>
      </c>
      <c r="E200" s="2" t="s">
        <v>1500</v>
      </c>
      <c r="F200" s="2" t="s">
        <v>1501</v>
      </c>
      <c r="G200" s="2" t="str">
        <f>TRIM(SUBSTITUTE(SUBSTITUTE(SUBSTITUTE(SUBSTITUTE(tb1_supporters[[#This Row],[Phone_Raw]],"(",""),")","")," ",""),"+44",))</f>
        <v>011317503689</v>
      </c>
      <c r="H200" s="15">
        <v>21202</v>
      </c>
      <c r="I200" s="36">
        <f ca="1">IF(OR(tb1_supporters[[#This Row],[Date_of_Birth]]="",tb1_supporters[[#This Row],[Date_of_Birth]]&gt;TODAY()),"",DATEDIF(tb1_supporters[[#This Row],[Date_of_Birth]],TODAY(),"Y"))</f>
        <v>68</v>
      </c>
      <c r="J20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00" s="2" t="s">
        <v>1503</v>
      </c>
      <c r="L200" s="2" t="s">
        <v>150</v>
      </c>
      <c r="M200" s="2" t="s">
        <v>151</v>
      </c>
      <c r="N200" s="2" t="s">
        <v>152</v>
      </c>
      <c r="O200" s="2" t="s">
        <v>242</v>
      </c>
      <c r="P200" s="2" t="s">
        <v>4887</v>
      </c>
      <c r="Q200" s="2" t="s">
        <v>192</v>
      </c>
      <c r="R200" s="15">
        <v>44142</v>
      </c>
      <c r="S200" s="2" t="s">
        <v>93</v>
      </c>
      <c r="T200" s="2" t="s">
        <v>37</v>
      </c>
      <c r="U200" s="2" t="s">
        <v>36</v>
      </c>
      <c r="V200" s="2" t="s">
        <v>36</v>
      </c>
      <c r="W200" s="4" t="s">
        <v>36</v>
      </c>
      <c r="X20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00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0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00" s="2" t="str">
        <f>IF(tb1_supporters[[#This Row],[Email]]="","",IF(COUNTIF(tb1_supporters[Email],tb1_supporters[[#This Row],[Email]])&gt;1,"Review - duplicate record, see Supporter_Duplicates tab",""))</f>
        <v/>
      </c>
      <c r="AB200" s="21" t="str">
        <f>IF(tb1_supporters[[#This Row],[Communication_Preference]]="Do Not Contact","DO NOT CONTACT","")</f>
        <v/>
      </c>
      <c r="AE200"/>
    </row>
    <row r="201" spans="1:31" x14ac:dyDescent="0.25">
      <c r="A201" s="3" t="s">
        <v>1505</v>
      </c>
      <c r="B201" s="2" t="s">
        <v>54</v>
      </c>
      <c r="C201" s="2" t="s">
        <v>1220</v>
      </c>
      <c r="D201" s="2" t="s">
        <v>449</v>
      </c>
      <c r="E201" s="2" t="s">
        <v>1506</v>
      </c>
      <c r="F201" s="2" t="s">
        <v>1507</v>
      </c>
      <c r="G201" s="2" t="str">
        <f>TRIM(SUBSTITUTE(SUBSTITUTE(SUBSTITUTE(SUBSTITUTE(tb1_supporters[[#This Row],[Phone_Raw]],"(",""),")","")," ",""),"+44",))</f>
        <v>01917749260</v>
      </c>
      <c r="H201" s="15">
        <v>19205</v>
      </c>
      <c r="I201" s="36">
        <f ca="1">IF(OR(tb1_supporters[[#This Row],[Date_of_Birth]]="",tb1_supporters[[#This Row],[Date_of_Birth]]&gt;TODAY()),"",DATEDIF(tb1_supporters[[#This Row],[Date_of_Birth]],TODAY(),"Y"))</f>
        <v>73</v>
      </c>
      <c r="J20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01" s="2" t="s">
        <v>1509</v>
      </c>
      <c r="L201" s="2" t="s">
        <v>163</v>
      </c>
      <c r="M201" s="2" t="s">
        <v>164</v>
      </c>
      <c r="N201" s="2" t="s">
        <v>165</v>
      </c>
      <c r="O201" s="2" t="s">
        <v>166</v>
      </c>
      <c r="P201" s="2" t="s">
        <v>181</v>
      </c>
      <c r="Q201" s="2" t="s">
        <v>50</v>
      </c>
      <c r="R201" s="15">
        <v>43299</v>
      </c>
      <c r="S201" s="2" t="s">
        <v>4</v>
      </c>
      <c r="T201" s="2" t="s">
        <v>37</v>
      </c>
      <c r="U201" s="2" t="s">
        <v>36</v>
      </c>
      <c r="V201" s="2" t="s">
        <v>37</v>
      </c>
      <c r="W201" s="4" t="s">
        <v>37</v>
      </c>
      <c r="X20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201" s="2" t="str">
        <f>IF(ISNUMBER(SEARCH("onal",tb1_supporters[[#This Row],[Phone_Clean]])),"Review - corrupt phone number", IF(LEN(tb1_supporters[[#This Row],[Phone_Clean]])&gt;11,"Review - too many digits",""))</f>
        <v/>
      </c>
      <c r="Z20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01" s="2" t="str">
        <f>IF(tb1_supporters[[#This Row],[Email]]="","",IF(COUNTIF(tb1_supporters[Email],tb1_supporters[[#This Row],[Email]])&gt;1,"Review - duplicate record, see Supporter_Duplicates tab",""))</f>
        <v/>
      </c>
      <c r="AB201" s="21" t="str">
        <f>IF(tb1_supporters[[#This Row],[Communication_Preference]]="Do Not Contact","DO NOT CONTACT","")</f>
        <v/>
      </c>
      <c r="AE201"/>
    </row>
    <row r="202" spans="1:31" x14ac:dyDescent="0.25">
      <c r="A202" s="3" t="s">
        <v>1511</v>
      </c>
      <c r="B202" s="2" t="s">
        <v>170</v>
      </c>
      <c r="C202" s="2" t="s">
        <v>1411</v>
      </c>
      <c r="D202" s="2" t="s">
        <v>71</v>
      </c>
      <c r="E202" s="2" t="s">
        <v>1512</v>
      </c>
      <c r="F202" s="2" t="s">
        <v>1513</v>
      </c>
      <c r="G202" s="2" t="str">
        <f>TRIM(SUBSTITUTE(SUBSTITUTE(SUBSTITUTE(SUBSTITUTE(tb1_supporters[[#This Row],[Phone_Raw]],"(",""),")","")," ",""),"+44",))</f>
        <v>0208095067</v>
      </c>
      <c r="H202" s="15">
        <v>22598</v>
      </c>
      <c r="I202" s="36">
        <f ca="1">IF(OR(tb1_supporters[[#This Row],[Date_of_Birth]]="",tb1_supporters[[#This Row],[Date_of_Birth]]&gt;TODAY()),"",DATEDIF(tb1_supporters[[#This Row],[Date_of_Birth]],TODAY(),"Y"))</f>
        <v>64</v>
      </c>
      <c r="J20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02" s="2" t="s">
        <v>1515</v>
      </c>
      <c r="L202" s="2" t="s">
        <v>163</v>
      </c>
      <c r="M202" s="2" t="s">
        <v>164</v>
      </c>
      <c r="N202" s="2" t="s">
        <v>4869</v>
      </c>
      <c r="O202" s="2" t="s">
        <v>242</v>
      </c>
      <c r="P202" s="2" t="s">
        <v>49</v>
      </c>
      <c r="Q202" s="2" t="s">
        <v>141</v>
      </c>
      <c r="R202" s="15">
        <v>44955</v>
      </c>
      <c r="S202" s="2" t="s">
        <v>4</v>
      </c>
      <c r="T202" s="2" t="s">
        <v>36</v>
      </c>
      <c r="U202" s="2" t="s">
        <v>36</v>
      </c>
      <c r="V202" s="2" t="s">
        <v>37</v>
      </c>
      <c r="W202" s="4" t="s">
        <v>37</v>
      </c>
      <c r="X20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02" s="2" t="str">
        <f>IF(ISNUMBER(SEARCH("onal",tb1_supporters[[#This Row],[Phone_Clean]])),"Review - corrupt phone number", IF(LEN(tb1_supporters[[#This Row],[Phone_Clean]])&gt;11,"Review - too many digits",""))</f>
        <v/>
      </c>
      <c r="Z20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02" s="2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202" s="21" t="str">
        <f>IF(tb1_supporters[[#This Row],[Communication_Preference]]="Do Not Contact","DO NOT CONTACT","")</f>
        <v/>
      </c>
      <c r="AE202"/>
    </row>
    <row r="203" spans="1:31" x14ac:dyDescent="0.25">
      <c r="A203" s="3" t="s">
        <v>1517</v>
      </c>
      <c r="B203" s="2" t="s">
        <v>4866</v>
      </c>
      <c r="C203" s="2" t="s">
        <v>265</v>
      </c>
      <c r="D203" s="2" t="s">
        <v>273</v>
      </c>
      <c r="E203" s="2" t="s">
        <v>274</v>
      </c>
      <c r="F203" s="2" t="s">
        <v>1518</v>
      </c>
      <c r="G203" s="2" t="str">
        <f>TRIM(SUBSTITUTE(SUBSTITUTE(SUBSTITUTE(SUBSTITUTE(tb1_supporters[[#This Row],[Phone_Raw]],"(",""),")","")," ",""),"+44",))</f>
        <v>07739831397</v>
      </c>
      <c r="H203" s="15">
        <v>17638</v>
      </c>
      <c r="I203" s="36">
        <f ca="1">IF(OR(tb1_supporters[[#This Row],[Date_of_Birth]]="",tb1_supporters[[#This Row],[Date_of_Birth]]&gt;TODAY()),"",DATEDIF(tb1_supporters[[#This Row],[Date_of_Birth]],TODAY(),"Y"))</f>
        <v>78</v>
      </c>
      <c r="J20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03" s="2" t="s">
        <v>1520</v>
      </c>
      <c r="L203" s="2" t="s">
        <v>660</v>
      </c>
      <c r="M203" s="2" t="s">
        <v>230</v>
      </c>
      <c r="N203" s="2" t="s">
        <v>661</v>
      </c>
      <c r="O203" s="2" t="s">
        <v>242</v>
      </c>
      <c r="P203" s="2" t="s">
        <v>117</v>
      </c>
      <c r="Q203" s="2" t="s">
        <v>4888</v>
      </c>
      <c r="R203" s="15">
        <v>43829</v>
      </c>
      <c r="S203" s="2" t="s">
        <v>4</v>
      </c>
      <c r="T203" s="2" t="s">
        <v>37</v>
      </c>
      <c r="U203" s="2" t="s">
        <v>37</v>
      </c>
      <c r="V203" s="2" t="s">
        <v>37</v>
      </c>
      <c r="W203" s="4" t="s">
        <v>37</v>
      </c>
      <c r="X20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203" s="2" t="str">
        <f>IF(ISNUMBER(SEARCH("onal",tb1_supporters[[#This Row],[Phone_Clean]])),"Review - corrupt phone number", IF(LEN(tb1_supporters[[#This Row],[Phone_Clean]])&gt;11,"Review - too many digits",""))</f>
        <v/>
      </c>
      <c r="Z20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03" s="2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203" s="21" t="str">
        <f>IF(tb1_supporters[[#This Row],[Communication_Preference]]="Do Not Contact","DO NOT CONTACT","")</f>
        <v/>
      </c>
      <c r="AE203"/>
    </row>
    <row r="204" spans="1:31" x14ac:dyDescent="0.25">
      <c r="A204" s="3" t="s">
        <v>1522</v>
      </c>
      <c r="B204" s="2" t="s">
        <v>54</v>
      </c>
      <c r="C204" s="2" t="s">
        <v>514</v>
      </c>
      <c r="D204" s="2" t="s">
        <v>711</v>
      </c>
      <c r="E204" s="2" t="s">
        <v>4869</v>
      </c>
      <c r="F204" s="2" t="s">
        <v>1523</v>
      </c>
      <c r="G204" s="2" t="str">
        <f>TRIM(SUBSTITUTE(SUBSTITUTE(SUBSTITUTE(SUBSTITUTE(tb1_supporters[[#This Row],[Phone_Raw]],"(",""),")","")," ",""),"+44",))</f>
        <v>07635209125</v>
      </c>
      <c r="H204" s="15">
        <v>23831</v>
      </c>
      <c r="I204" s="36">
        <f ca="1">IF(OR(tb1_supporters[[#This Row],[Date_of_Birth]]="",tb1_supporters[[#This Row],[Date_of_Birth]]&gt;TODAY()),"",DATEDIF(tb1_supporters[[#This Row],[Date_of_Birth]],TODAY(),"Y"))</f>
        <v>61</v>
      </c>
      <c r="J20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04" s="2" t="s">
        <v>937</v>
      </c>
      <c r="L204" s="2" t="s">
        <v>531</v>
      </c>
      <c r="M204" s="2" t="s">
        <v>532</v>
      </c>
      <c r="N204" s="2" t="s">
        <v>533</v>
      </c>
      <c r="O204" s="2" t="s">
        <v>166</v>
      </c>
      <c r="P204" s="2" t="s">
        <v>181</v>
      </c>
      <c r="Q204" s="2" t="s">
        <v>4888</v>
      </c>
      <c r="R204" s="15">
        <v>43332</v>
      </c>
      <c r="S204" s="2" t="s">
        <v>4</v>
      </c>
      <c r="T204" s="2" t="s">
        <v>36</v>
      </c>
      <c r="U204" s="2" t="s">
        <v>36</v>
      </c>
      <c r="V204" s="2" t="s">
        <v>36</v>
      </c>
      <c r="W204" s="4" t="s">
        <v>37</v>
      </c>
      <c r="X20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04" s="2" t="str">
        <f>IF(ISNUMBER(SEARCH("onal",tb1_supporters[[#This Row],[Phone_Clean]])),"Review - corrupt phone number", IF(LEN(tb1_supporters[[#This Row],[Phone_Clean]])&gt;11,"Review - too many digits",""))</f>
        <v/>
      </c>
      <c r="Z20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04" s="2" t="str">
        <f>IF(tb1_supporters[[#This Row],[Email]]="","",IF(COUNTIF(tb1_supporters[Email],tb1_supporters[[#This Row],[Email]])&gt;1,"Review - duplicate record, see Supporter_Duplicates tab",""))</f>
        <v/>
      </c>
      <c r="AB204" s="21" t="str">
        <f>IF(tb1_supporters[[#This Row],[Communication_Preference]]="Do Not Contact","DO NOT CONTACT","")</f>
        <v/>
      </c>
      <c r="AE204"/>
    </row>
    <row r="205" spans="1:31" x14ac:dyDescent="0.25">
      <c r="A205" s="3" t="s">
        <v>1526</v>
      </c>
      <c r="B205" s="2"/>
      <c r="C205" s="2" t="s">
        <v>566</v>
      </c>
      <c r="D205" s="2" t="s">
        <v>71</v>
      </c>
      <c r="E205" s="2" t="s">
        <v>1527</v>
      </c>
      <c r="F205" s="2" t="s">
        <v>1528</v>
      </c>
      <c r="G205" s="2" t="str">
        <f>TRIM(SUBSTITUTE(SUBSTITUTE(SUBSTITUTE(SUBSTITUTE(tb1_supporters[[#This Row],[Phone_Raw]],"(",""),")","")," ",""),"+44",))</f>
        <v>7988791857</v>
      </c>
      <c r="H205" s="15">
        <v>19274</v>
      </c>
      <c r="I205" s="36">
        <f ca="1">IF(OR(tb1_supporters[[#This Row],[Date_of_Birth]]="",tb1_supporters[[#This Row],[Date_of_Birth]]&gt;TODAY()),"",DATEDIF(tb1_supporters[[#This Row],[Date_of_Birth]],TODAY(),"Y"))</f>
        <v>73</v>
      </c>
      <c r="J20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05" s="2" t="s">
        <v>1530</v>
      </c>
      <c r="L205" s="2" t="s">
        <v>454</v>
      </c>
      <c r="M205" s="2" t="s">
        <v>455</v>
      </c>
      <c r="N205" s="2" t="s">
        <v>456</v>
      </c>
      <c r="O205" s="2" t="s">
        <v>166</v>
      </c>
      <c r="P205" s="2" t="s">
        <v>33</v>
      </c>
      <c r="Q205" s="2" t="s">
        <v>4888</v>
      </c>
      <c r="R205" s="15">
        <v>45399</v>
      </c>
      <c r="S205" s="2" t="s">
        <v>4</v>
      </c>
      <c r="T205" s="2" t="s">
        <v>36</v>
      </c>
      <c r="U205" s="2" t="s">
        <v>36</v>
      </c>
      <c r="V205" s="2" t="s">
        <v>37</v>
      </c>
      <c r="W205" s="4" t="s">
        <v>37</v>
      </c>
      <c r="X20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05" s="2" t="str">
        <f>IF(ISNUMBER(SEARCH("onal",tb1_supporters[[#This Row],[Phone_Clean]])),"Review - corrupt phone number", IF(LEN(tb1_supporters[[#This Row],[Phone_Clean]])&gt;11,"Review - too many digits",""))</f>
        <v/>
      </c>
      <c r="Z20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05" s="2" t="str">
        <f>IF(tb1_supporters[[#This Row],[Email]]="","",IF(COUNTIF(tb1_supporters[Email],tb1_supporters[[#This Row],[Email]])&gt;1,"Review - duplicate record, see Supporter_Duplicates tab",""))</f>
        <v/>
      </c>
      <c r="AB205" s="21" t="str">
        <f>IF(tb1_supporters[[#This Row],[Communication_Preference]]="Do Not Contact","DO NOT CONTACT","")</f>
        <v/>
      </c>
      <c r="AE205"/>
    </row>
    <row r="206" spans="1:31" x14ac:dyDescent="0.25">
      <c r="A206" s="3" t="s">
        <v>1532</v>
      </c>
      <c r="B206" s="2"/>
      <c r="C206" s="2" t="s">
        <v>346</v>
      </c>
      <c r="D206" s="2" t="s">
        <v>325</v>
      </c>
      <c r="E206" s="2" t="s">
        <v>1533</v>
      </c>
      <c r="F206" s="2" t="s">
        <v>1534</v>
      </c>
      <c r="G206" s="2" t="str">
        <f>TRIM(SUBSTITUTE(SUBSTITUTE(SUBSTITUTE(SUBSTITUTE(tb1_supporters[[#This Row],[Phone_Raw]],"(",""),")","")," ",""),"+44",))</f>
        <v>07735989899</v>
      </c>
      <c r="H206" s="15">
        <v>25233</v>
      </c>
      <c r="I206" s="36">
        <f ca="1">IF(OR(tb1_supporters[[#This Row],[Date_of_Birth]]="",tb1_supporters[[#This Row],[Date_of_Birth]]&gt;TODAY()),"",DATEDIF(tb1_supporters[[#This Row],[Date_of_Birth]],TODAY(),"Y"))</f>
        <v>57</v>
      </c>
      <c r="J20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06" s="2" t="s">
        <v>1536</v>
      </c>
      <c r="L206" s="2" t="s">
        <v>660</v>
      </c>
      <c r="M206" s="2" t="s">
        <v>230</v>
      </c>
      <c r="N206" s="2" t="s">
        <v>661</v>
      </c>
      <c r="O206" s="2" t="s">
        <v>242</v>
      </c>
      <c r="P206" s="2" t="s">
        <v>33</v>
      </c>
      <c r="Q206" s="2" t="s">
        <v>4888</v>
      </c>
      <c r="R206" s="15">
        <v>44607</v>
      </c>
      <c r="S206" s="2" t="s">
        <v>93</v>
      </c>
      <c r="T206" s="2" t="s">
        <v>37</v>
      </c>
      <c r="U206" s="2" t="s">
        <v>37</v>
      </c>
      <c r="V206" s="2" t="s">
        <v>37</v>
      </c>
      <c r="W206" s="4" t="s">
        <v>37</v>
      </c>
      <c r="X20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206" s="2" t="str">
        <f>IF(ISNUMBER(SEARCH("onal",tb1_supporters[[#This Row],[Phone_Clean]])),"Review - corrupt phone number", IF(LEN(tb1_supporters[[#This Row],[Phone_Clean]])&gt;11,"Review - too many digits",""))</f>
        <v/>
      </c>
      <c r="Z20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06" s="2" t="str">
        <f>IF(tb1_supporters[[#This Row],[Email]]="","",IF(COUNTIF(tb1_supporters[Email],tb1_supporters[[#This Row],[Email]])&gt;1,"Review - duplicate record, see Supporter_Duplicates tab",""))</f>
        <v/>
      </c>
      <c r="AB206" s="21" t="str">
        <f>IF(tb1_supporters[[#This Row],[Communication_Preference]]="Do Not Contact","DO NOT CONTACT","")</f>
        <v/>
      </c>
      <c r="AE206"/>
    </row>
    <row r="207" spans="1:31" x14ac:dyDescent="0.25">
      <c r="A207" s="3" t="s">
        <v>1538</v>
      </c>
      <c r="B207" s="2" t="s">
        <v>235</v>
      </c>
      <c r="C207" s="2" t="s">
        <v>877</v>
      </c>
      <c r="D207" s="2" t="s">
        <v>810</v>
      </c>
      <c r="E207" s="2" t="s">
        <v>1539</v>
      </c>
      <c r="F207" s="2" t="s">
        <v>1540</v>
      </c>
      <c r="G207" s="2" t="str">
        <f>TRIM(SUBSTITUTE(SUBSTITUTE(SUBSTITUTE(SUBSTITUTE(tb1_supporters[[#This Row],[Phone_Raw]],"(",""),")","")," ",""),"+44",))</f>
        <v>07538385669</v>
      </c>
      <c r="H207" s="15">
        <v>24504</v>
      </c>
      <c r="I207" s="36">
        <f ca="1">IF(OR(tb1_supporters[[#This Row],[Date_of_Birth]]="",tb1_supporters[[#This Row],[Date_of_Birth]]&gt;TODAY()),"",DATEDIF(tb1_supporters[[#This Row],[Date_of_Birth]],TODAY(),"Y"))</f>
        <v>59</v>
      </c>
      <c r="J20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07" s="2" t="s">
        <v>1542</v>
      </c>
      <c r="L207" s="2" t="s">
        <v>76</v>
      </c>
      <c r="M207" s="2" t="s">
        <v>77</v>
      </c>
      <c r="N207" s="2" t="s">
        <v>4869</v>
      </c>
      <c r="O207" s="2" t="s">
        <v>242</v>
      </c>
      <c r="P207" s="2" t="s">
        <v>117</v>
      </c>
      <c r="Q207" s="2" t="s">
        <v>50</v>
      </c>
      <c r="R207" s="15">
        <v>44145</v>
      </c>
      <c r="S207" s="2" t="s">
        <v>4</v>
      </c>
      <c r="T207" s="2" t="s">
        <v>36</v>
      </c>
      <c r="U207" s="2" t="s">
        <v>37</v>
      </c>
      <c r="V207" s="2" t="s">
        <v>37</v>
      </c>
      <c r="W207" s="4" t="s">
        <v>36</v>
      </c>
      <c r="X20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07" s="2" t="str">
        <f>IF(ISNUMBER(SEARCH("onal",tb1_supporters[[#This Row],[Phone_Clean]])),"Review - corrupt phone number", IF(LEN(tb1_supporters[[#This Row],[Phone_Clean]])&gt;11,"Review - too many digits",""))</f>
        <v/>
      </c>
      <c r="Z20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07" s="2" t="str">
        <f>IF(tb1_supporters[[#This Row],[Email]]="","",IF(COUNTIF(tb1_supporters[Email],tb1_supporters[[#This Row],[Email]])&gt;1,"Review - duplicate record, see Supporter_Duplicates tab",""))</f>
        <v/>
      </c>
      <c r="AB207" s="21" t="str">
        <f>IF(tb1_supporters[[#This Row],[Communication_Preference]]="Do Not Contact","DO NOT CONTACT","")</f>
        <v/>
      </c>
      <c r="AE207"/>
    </row>
    <row r="208" spans="1:31" x14ac:dyDescent="0.25">
      <c r="A208" s="3" t="s">
        <v>1544</v>
      </c>
      <c r="B208" s="2" t="s">
        <v>54</v>
      </c>
      <c r="C208" s="2" t="s">
        <v>864</v>
      </c>
      <c r="D208" s="2" t="s">
        <v>940</v>
      </c>
      <c r="E208" s="2" t="s">
        <v>1545</v>
      </c>
      <c r="F208" s="2" t="s">
        <v>1546</v>
      </c>
      <c r="G208" s="2" t="str">
        <f>TRIM(SUBSTITUTE(SUBSTITUTE(SUBSTITUTE(SUBSTITUTE(tb1_supporters[[#This Row],[Phone_Raw]],"(",""),")","")," ",""),"+44",))</f>
        <v>07902824425</v>
      </c>
      <c r="H208" s="15">
        <v>35483</v>
      </c>
      <c r="I208" s="36">
        <f ca="1">IF(OR(tb1_supporters[[#This Row],[Date_of_Birth]]="",tb1_supporters[[#This Row],[Date_of_Birth]]&gt;TODAY()),"",DATEDIF(tb1_supporters[[#This Row],[Date_of_Birth]],TODAY(),"Y"))</f>
        <v>29</v>
      </c>
      <c r="J20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08" s="2" t="s">
        <v>1548</v>
      </c>
      <c r="L208" s="2" t="s">
        <v>668</v>
      </c>
      <c r="M208" s="2" t="s">
        <v>669</v>
      </c>
      <c r="N208" s="2" t="s">
        <v>670</v>
      </c>
      <c r="O208" s="2" t="s">
        <v>166</v>
      </c>
      <c r="P208" s="2" t="s">
        <v>117</v>
      </c>
      <c r="Q208" s="2" t="s">
        <v>50</v>
      </c>
      <c r="R208" s="15">
        <v>43291</v>
      </c>
      <c r="S208" s="2" t="s">
        <v>4</v>
      </c>
      <c r="T208" s="2" t="s">
        <v>37</v>
      </c>
      <c r="U208" s="2" t="s">
        <v>36</v>
      </c>
      <c r="V208" s="2" t="s">
        <v>37</v>
      </c>
      <c r="W208" s="4" t="s">
        <v>37</v>
      </c>
      <c r="X20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208" s="2" t="str">
        <f>IF(ISNUMBER(SEARCH("onal",tb1_supporters[[#This Row],[Phone_Clean]])),"Review - corrupt phone number", IF(LEN(tb1_supporters[[#This Row],[Phone_Clean]])&gt;11,"Review - too many digits",""))</f>
        <v/>
      </c>
      <c r="Z20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08" s="2" t="str">
        <f>IF(tb1_supporters[[#This Row],[Email]]="","",IF(COUNTIF(tb1_supporters[Email],tb1_supporters[[#This Row],[Email]])&gt;1,"Review - duplicate record, see Supporter_Duplicates tab",""))</f>
        <v/>
      </c>
      <c r="AB208" s="21" t="str">
        <f>IF(tb1_supporters[[#This Row],[Communication_Preference]]="Do Not Contact","DO NOT CONTACT","")</f>
        <v/>
      </c>
      <c r="AE208"/>
    </row>
    <row r="209" spans="1:31" x14ac:dyDescent="0.25">
      <c r="A209" s="3" t="s">
        <v>1550</v>
      </c>
      <c r="B209" s="2"/>
      <c r="C209" s="2" t="s">
        <v>514</v>
      </c>
      <c r="D209" s="2" t="s">
        <v>496</v>
      </c>
      <c r="E209" s="2" t="s">
        <v>1551</v>
      </c>
      <c r="F209" s="2" t="s">
        <v>1552</v>
      </c>
      <c r="G209" s="2" t="str">
        <f>TRIM(SUBSTITUTE(SUBSTITUTE(SUBSTITUTE(SUBSTITUTE(tb1_supporters[[#This Row],[Phone_Raw]],"(",""),")","")," ",""),"+44",))</f>
        <v>7643586674</v>
      </c>
      <c r="H209" s="15"/>
      <c r="I209" s="36" t="str">
        <f ca="1">IF(OR(tb1_supporters[[#This Row],[Date_of_Birth]]="",tb1_supporters[[#This Row],[Date_of_Birth]]&gt;TODAY()),"",DATEDIF(tb1_supporters[[#This Row],[Date_of_Birth]],TODAY(),"Y"))</f>
        <v/>
      </c>
      <c r="J20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209" s="2" t="s">
        <v>1553</v>
      </c>
      <c r="L209" s="2" t="s">
        <v>150</v>
      </c>
      <c r="M209" s="2" t="s">
        <v>151</v>
      </c>
      <c r="N209" s="2" t="s">
        <v>152</v>
      </c>
      <c r="O209" s="2" t="s">
        <v>166</v>
      </c>
      <c r="P209" s="2" t="s">
        <v>181</v>
      </c>
      <c r="Q209" s="2" t="s">
        <v>192</v>
      </c>
      <c r="R209" s="15">
        <v>44518</v>
      </c>
      <c r="S209" s="2" t="s">
        <v>4</v>
      </c>
      <c r="T209" s="2" t="s">
        <v>36</v>
      </c>
      <c r="U209" s="2" t="s">
        <v>36</v>
      </c>
      <c r="V209" s="2" t="s">
        <v>37</v>
      </c>
      <c r="W209" s="4" t="s">
        <v>37</v>
      </c>
      <c r="X20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09" s="2" t="str">
        <f>IF(ISNUMBER(SEARCH("onal",tb1_supporters[[#This Row],[Phone_Clean]])),"Review - corrupt phone number", IF(LEN(tb1_supporters[[#This Row],[Phone_Clean]])&gt;11,"Review - too many digits",""))</f>
        <v/>
      </c>
      <c r="Z20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209" s="2" t="str">
        <f>IF(tb1_supporters[[#This Row],[Email]]="","",IF(COUNTIF(tb1_supporters[Email],tb1_supporters[[#This Row],[Email]])&gt;1,"Review - duplicate record, see Supporter_Duplicates tab",""))</f>
        <v/>
      </c>
      <c r="AB209" s="21" t="str">
        <f>IF(tb1_supporters[[#This Row],[Communication_Preference]]="Do Not Contact","DO NOT CONTACT","")</f>
        <v/>
      </c>
      <c r="AE209"/>
    </row>
    <row r="210" spans="1:31" x14ac:dyDescent="0.25">
      <c r="A210" s="3" t="s">
        <v>1555</v>
      </c>
      <c r="B210" s="2"/>
      <c r="C210" s="2" t="s">
        <v>1429</v>
      </c>
      <c r="D210" s="2" t="s">
        <v>771</v>
      </c>
      <c r="E210" s="2" t="s">
        <v>1556</v>
      </c>
      <c r="F210" s="2" t="s">
        <v>1557</v>
      </c>
      <c r="G210" s="2" t="str">
        <f>TRIM(SUBSTITUTE(SUBSTITUTE(SUBSTITUTE(SUBSTITUTE(tb1_supporters[[#This Row],[Phone_Raw]],"(",""),")","")," ",""),"+44",))</f>
        <v>7941888483</v>
      </c>
      <c r="H210" s="15">
        <v>16628</v>
      </c>
      <c r="I210" s="36">
        <f ca="1">IF(OR(tb1_supporters[[#This Row],[Date_of_Birth]]="",tb1_supporters[[#This Row],[Date_of_Birth]]&gt;TODAY()),"",DATEDIF(tb1_supporters[[#This Row],[Date_of_Birth]],TODAY(),"Y"))</f>
        <v>80</v>
      </c>
      <c r="J21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10" s="2" t="s">
        <v>1559</v>
      </c>
      <c r="L210" s="2" t="s">
        <v>100</v>
      </c>
      <c r="M210" s="2" t="s">
        <v>101</v>
      </c>
      <c r="N210" s="2" t="s">
        <v>343</v>
      </c>
      <c r="O210" s="2" t="s">
        <v>166</v>
      </c>
      <c r="P210" s="2" t="s">
        <v>153</v>
      </c>
      <c r="Q210" s="2" t="s">
        <v>66</v>
      </c>
      <c r="R210" s="15">
        <v>43280</v>
      </c>
      <c r="S210" s="2" t="s">
        <v>4</v>
      </c>
      <c r="T210" s="2" t="s">
        <v>36</v>
      </c>
      <c r="U210" s="2" t="s">
        <v>36</v>
      </c>
      <c r="V210" s="2" t="s">
        <v>36</v>
      </c>
      <c r="W210" s="4" t="s">
        <v>37</v>
      </c>
      <c r="X21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10" s="2" t="str">
        <f>IF(ISNUMBER(SEARCH("onal",tb1_supporters[[#This Row],[Phone_Clean]])),"Review - corrupt phone number", IF(LEN(tb1_supporters[[#This Row],[Phone_Clean]])&gt;11,"Review - too many digits",""))</f>
        <v/>
      </c>
      <c r="Z21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10" s="2" t="str">
        <f>IF(tb1_supporters[[#This Row],[Email]]="","",IF(COUNTIF(tb1_supporters[Email],tb1_supporters[[#This Row],[Email]])&gt;1,"Review - duplicate record, see Supporter_Duplicates tab",""))</f>
        <v/>
      </c>
      <c r="AB210" s="21" t="str">
        <f>IF(tb1_supporters[[#This Row],[Communication_Preference]]="Do Not Contact","DO NOT CONTACT","")</f>
        <v/>
      </c>
      <c r="AE210"/>
    </row>
    <row r="211" spans="1:31" x14ac:dyDescent="0.25">
      <c r="A211" s="3" t="s">
        <v>1561</v>
      </c>
      <c r="B211" s="2" t="s">
        <v>170</v>
      </c>
      <c r="C211" s="2" t="s">
        <v>413</v>
      </c>
      <c r="D211" s="2" t="s">
        <v>258</v>
      </c>
      <c r="E211" s="2" t="s">
        <v>1562</v>
      </c>
      <c r="F211" s="2" t="s">
        <v>1563</v>
      </c>
      <c r="G211" s="2" t="str">
        <f>TRIM(SUBSTITUTE(SUBSTITUTE(SUBSTITUTE(SUBSTITUTE(tb1_supporters[[#This Row],[Phone_Raw]],"(",""),")","")," ",""),"+44",))</f>
        <v>07310650948</v>
      </c>
      <c r="H211" s="15">
        <v>23025</v>
      </c>
      <c r="I211" s="36">
        <f ca="1">IF(OR(tb1_supporters[[#This Row],[Date_of_Birth]]="",tb1_supporters[[#This Row],[Date_of_Birth]]&gt;TODAY()),"",DATEDIF(tb1_supporters[[#This Row],[Date_of_Birth]],TODAY(),"Y"))</f>
        <v>63</v>
      </c>
      <c r="J21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11" s="2" t="s">
        <v>1565</v>
      </c>
      <c r="L211" s="2" t="s">
        <v>76</v>
      </c>
      <c r="M211" s="2" t="s">
        <v>77</v>
      </c>
      <c r="N211" s="2" t="s">
        <v>78</v>
      </c>
      <c r="O211" s="2" t="s">
        <v>242</v>
      </c>
      <c r="P211" s="2" t="s">
        <v>65</v>
      </c>
      <c r="Q211" s="2" t="s">
        <v>4888</v>
      </c>
      <c r="R211" s="15">
        <v>43730</v>
      </c>
      <c r="S211" s="2" t="s">
        <v>4</v>
      </c>
      <c r="T211" s="2" t="s">
        <v>36</v>
      </c>
      <c r="U211" s="2" t="s">
        <v>37</v>
      </c>
      <c r="V211" s="2" t="s">
        <v>37</v>
      </c>
      <c r="W211" s="4" t="s">
        <v>37</v>
      </c>
      <c r="X21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11" s="2" t="str">
        <f>IF(ISNUMBER(SEARCH("onal",tb1_supporters[[#This Row],[Phone_Clean]])),"Review - corrupt phone number", IF(LEN(tb1_supporters[[#This Row],[Phone_Clean]])&gt;11,"Review - too many digits",""))</f>
        <v/>
      </c>
      <c r="Z21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11" s="2" t="str">
        <f>IF(tb1_supporters[[#This Row],[Email]]="","",IF(COUNTIF(tb1_supporters[Email],tb1_supporters[[#This Row],[Email]])&gt;1,"Review - duplicate record, see Supporter_Duplicates tab",""))</f>
        <v/>
      </c>
      <c r="AB211" s="21" t="str">
        <f>IF(tb1_supporters[[#This Row],[Communication_Preference]]="Do Not Contact","DO NOT CONTACT","")</f>
        <v/>
      </c>
      <c r="AE211"/>
    </row>
    <row r="212" spans="1:31" x14ac:dyDescent="0.25">
      <c r="A212" s="3" t="s">
        <v>1567</v>
      </c>
      <c r="B212" s="2" t="s">
        <v>54</v>
      </c>
      <c r="C212" s="2" t="s">
        <v>566</v>
      </c>
      <c r="D212" s="2" t="s">
        <v>630</v>
      </c>
      <c r="E212" s="2" t="s">
        <v>1568</v>
      </c>
      <c r="F212" s="2" t="s">
        <v>1569</v>
      </c>
      <c r="G212" s="2" t="str">
        <f>TRIM(SUBSTITUTE(SUBSTITUTE(SUBSTITUTE(SUBSTITUTE(tb1_supporters[[#This Row],[Phone_Raw]],"(",""),")","")," ",""),"+44",))</f>
        <v>01815617626</v>
      </c>
      <c r="H212" s="15">
        <v>18728</v>
      </c>
      <c r="I212" s="36">
        <f ca="1">IF(OR(tb1_supporters[[#This Row],[Date_of_Birth]]="",tb1_supporters[[#This Row],[Date_of_Birth]]&gt;TODAY()),"",DATEDIF(tb1_supporters[[#This Row],[Date_of_Birth]],TODAY(),"Y"))</f>
        <v>75</v>
      </c>
      <c r="J21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12" s="2" t="s">
        <v>1571</v>
      </c>
      <c r="L212" s="2" t="s">
        <v>76</v>
      </c>
      <c r="M212" s="2" t="s">
        <v>77</v>
      </c>
      <c r="N212" s="2" t="s">
        <v>78</v>
      </c>
      <c r="O212" s="2" t="s">
        <v>166</v>
      </c>
      <c r="P212" s="2" t="s">
        <v>181</v>
      </c>
      <c r="Q212" s="2" t="s">
        <v>66</v>
      </c>
      <c r="R212" s="15">
        <v>43585</v>
      </c>
      <c r="S212" s="2" t="s">
        <v>4</v>
      </c>
      <c r="T212" s="2" t="s">
        <v>37</v>
      </c>
      <c r="U212" s="2" t="s">
        <v>36</v>
      </c>
      <c r="V212" s="2" t="s">
        <v>37</v>
      </c>
      <c r="W212" s="4" t="s">
        <v>37</v>
      </c>
      <c r="X21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212" s="2" t="str">
        <f>IF(ISNUMBER(SEARCH("onal",tb1_supporters[[#This Row],[Phone_Clean]])),"Review - corrupt phone number", IF(LEN(tb1_supporters[[#This Row],[Phone_Clean]])&gt;11,"Review - too many digits",""))</f>
        <v/>
      </c>
      <c r="Z21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12" s="2" t="str">
        <f>IF(tb1_supporters[[#This Row],[Email]]="","",IF(COUNTIF(tb1_supporters[Email],tb1_supporters[[#This Row],[Email]])&gt;1,"Review - duplicate record, see Supporter_Duplicates tab",""))</f>
        <v/>
      </c>
      <c r="AB212" s="21" t="str">
        <f>IF(tb1_supporters[[#This Row],[Communication_Preference]]="Do Not Contact","DO NOT CONTACT","")</f>
        <v/>
      </c>
      <c r="AE212"/>
    </row>
    <row r="213" spans="1:31" x14ac:dyDescent="0.25">
      <c r="A213" s="3" t="s">
        <v>1573</v>
      </c>
      <c r="B213" s="2" t="s">
        <v>170</v>
      </c>
      <c r="C213" s="2" t="s">
        <v>472</v>
      </c>
      <c r="D213" s="2" t="s">
        <v>435</v>
      </c>
      <c r="E213" s="2" t="s">
        <v>1574</v>
      </c>
      <c r="F213" s="2" t="s">
        <v>1575</v>
      </c>
      <c r="G213" s="2" t="str">
        <f>TRIM(SUBSTITUTE(SUBSTITUTE(SUBSTITUTE(SUBSTITUTE(tb1_supporters[[#This Row],[Phone_Raw]],"(",""),")","")," ",""),"+44",))</f>
        <v>7188388883</v>
      </c>
      <c r="H213" s="15">
        <v>20436</v>
      </c>
      <c r="I213" s="36">
        <f ca="1">IF(OR(tb1_supporters[[#This Row],[Date_of_Birth]]="",tb1_supporters[[#This Row],[Date_of_Birth]]&gt;TODAY()),"",DATEDIF(tb1_supporters[[#This Row],[Date_of_Birth]],TODAY(),"Y"))</f>
        <v>70</v>
      </c>
      <c r="J21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13" s="2" t="s">
        <v>1577</v>
      </c>
      <c r="L213" s="2" t="s">
        <v>650</v>
      </c>
      <c r="M213" s="2" t="s">
        <v>651</v>
      </c>
      <c r="N213" s="2" t="s">
        <v>652</v>
      </c>
      <c r="O213" s="2" t="s">
        <v>242</v>
      </c>
      <c r="P213" s="2" t="s">
        <v>4887</v>
      </c>
      <c r="Q213" s="2" t="s">
        <v>243</v>
      </c>
      <c r="R213" s="15">
        <v>43227</v>
      </c>
      <c r="S213" s="2" t="s">
        <v>93</v>
      </c>
      <c r="T213" s="2" t="s">
        <v>36</v>
      </c>
      <c r="U213" s="2" t="s">
        <v>36</v>
      </c>
      <c r="V213" s="2" t="s">
        <v>37</v>
      </c>
      <c r="W213" s="4" t="s">
        <v>36</v>
      </c>
      <c r="X21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13" s="2" t="str">
        <f>IF(ISNUMBER(SEARCH("onal",tb1_supporters[[#This Row],[Phone_Clean]])),"Review - corrupt phone number", IF(LEN(tb1_supporters[[#This Row],[Phone_Clean]])&gt;11,"Review - too many digits",""))</f>
        <v/>
      </c>
      <c r="Z21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13" s="2" t="str">
        <f>IF(tb1_supporters[[#This Row],[Email]]="","",IF(COUNTIF(tb1_supporters[Email],tb1_supporters[[#This Row],[Email]])&gt;1,"Review - duplicate record, see Supporter_Duplicates tab",""))</f>
        <v/>
      </c>
      <c r="AB213" s="21" t="str">
        <f>IF(tb1_supporters[[#This Row],[Communication_Preference]]="Do Not Contact","DO NOT CONTACT","")</f>
        <v/>
      </c>
      <c r="AE213"/>
    </row>
    <row r="214" spans="1:31" x14ac:dyDescent="0.25">
      <c r="A214" s="3" t="s">
        <v>1579</v>
      </c>
      <c r="B214" s="2" t="s">
        <v>22</v>
      </c>
      <c r="C214" s="2" t="s">
        <v>809</v>
      </c>
      <c r="D214" s="2" t="s">
        <v>810</v>
      </c>
      <c r="E214" s="2" t="s">
        <v>1580</v>
      </c>
      <c r="F214" s="2" t="s">
        <v>1581</v>
      </c>
      <c r="G214" s="2" t="str">
        <f>TRIM(SUBSTITUTE(SUBSTITUTE(SUBSTITUTE(SUBSTITUTE(tb1_supporters[[#This Row],[Phone_Raw]],"(",""),")","")," ",""),"+44",))</f>
        <v>7995668244</v>
      </c>
      <c r="H214" s="15">
        <v>13830</v>
      </c>
      <c r="I214" s="36">
        <f ca="1">IF(OR(tb1_supporters[[#This Row],[Date_of_Birth]]="",tb1_supporters[[#This Row],[Date_of_Birth]]&gt;TODAY()),"",DATEDIF(tb1_supporters[[#This Row],[Date_of_Birth]],TODAY(),"Y"))</f>
        <v>88</v>
      </c>
      <c r="J21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14" s="2" t="s">
        <v>1583</v>
      </c>
      <c r="L214" s="2" t="s">
        <v>219</v>
      </c>
      <c r="M214" s="2" t="s">
        <v>220</v>
      </c>
      <c r="N214" s="2" t="s">
        <v>221</v>
      </c>
      <c r="O214" s="2" t="s">
        <v>242</v>
      </c>
      <c r="P214" s="2" t="s">
        <v>181</v>
      </c>
      <c r="Q214" s="2" t="s">
        <v>50</v>
      </c>
      <c r="R214" s="15">
        <v>45544</v>
      </c>
      <c r="S214" s="2" t="s">
        <v>5</v>
      </c>
      <c r="T214" s="2" t="s">
        <v>36</v>
      </c>
      <c r="U214" s="2" t="s">
        <v>37</v>
      </c>
      <c r="V214" s="2" t="s">
        <v>37</v>
      </c>
      <c r="W214" s="4" t="s">
        <v>36</v>
      </c>
      <c r="X21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214" s="2" t="str">
        <f>IF(ISNUMBER(SEARCH("onal",tb1_supporters[[#This Row],[Phone_Clean]])),"Review - corrupt phone number", IF(LEN(tb1_supporters[[#This Row],[Phone_Clean]])&gt;11,"Review - too many digits",""))</f>
        <v/>
      </c>
      <c r="Z21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14" s="2" t="str">
        <f>IF(tb1_supporters[[#This Row],[Email]]="","",IF(COUNTIF(tb1_supporters[Email],tb1_supporters[[#This Row],[Email]])&gt;1,"Review - duplicate record, see Supporter_Duplicates tab",""))</f>
        <v/>
      </c>
      <c r="AB214" s="21" t="str">
        <f>IF(tb1_supporters[[#This Row],[Communication_Preference]]="Do Not Contact","DO NOT CONTACT","")</f>
        <v/>
      </c>
      <c r="AE214"/>
    </row>
    <row r="215" spans="1:31" x14ac:dyDescent="0.25">
      <c r="A215" s="3" t="s">
        <v>1585</v>
      </c>
      <c r="B215" s="2" t="s">
        <v>54</v>
      </c>
      <c r="C215" s="2" t="s">
        <v>514</v>
      </c>
      <c r="D215" s="2" t="s">
        <v>1393</v>
      </c>
      <c r="E215" s="2" t="s">
        <v>1586</v>
      </c>
      <c r="F215" s="2" t="s">
        <v>1587</v>
      </c>
      <c r="G215" s="2" t="str">
        <f>TRIM(SUBSTITUTE(SUBSTITUTE(SUBSTITUTE(SUBSTITUTE(tb1_supporters[[#This Row],[Phone_Raw]],"(",""),")","")," ",""),"+44",))</f>
        <v>7954358298</v>
      </c>
      <c r="H215" s="15">
        <v>25253</v>
      </c>
      <c r="I215" s="36">
        <f ca="1">IF(OR(tb1_supporters[[#This Row],[Date_of_Birth]]="",tb1_supporters[[#This Row],[Date_of_Birth]]&gt;TODAY()),"",DATEDIF(tb1_supporters[[#This Row],[Date_of_Birth]],TODAY(),"Y"))</f>
        <v>57</v>
      </c>
      <c r="J21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15" s="2" t="s">
        <v>1589</v>
      </c>
      <c r="L215" s="2" t="s">
        <v>113</v>
      </c>
      <c r="M215" s="2" t="s">
        <v>114</v>
      </c>
      <c r="N215" s="2" t="s">
        <v>115</v>
      </c>
      <c r="O215" s="2" t="s">
        <v>166</v>
      </c>
      <c r="P215" s="2" t="s">
        <v>181</v>
      </c>
      <c r="Q215" s="2" t="s">
        <v>243</v>
      </c>
      <c r="R215" s="15">
        <v>45349</v>
      </c>
      <c r="S215" s="2" t="s">
        <v>4</v>
      </c>
      <c r="T215" s="2" t="s">
        <v>36</v>
      </c>
      <c r="U215" s="2" t="s">
        <v>37</v>
      </c>
      <c r="V215" s="2" t="s">
        <v>36</v>
      </c>
      <c r="W215" s="4" t="s">
        <v>37</v>
      </c>
      <c r="X21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15" s="2" t="str">
        <f>IF(ISNUMBER(SEARCH("onal",tb1_supporters[[#This Row],[Phone_Clean]])),"Review - corrupt phone number", IF(LEN(tb1_supporters[[#This Row],[Phone_Clean]])&gt;11,"Review - too many digits",""))</f>
        <v/>
      </c>
      <c r="Z21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15" s="2" t="str">
        <f>IF(tb1_supporters[[#This Row],[Email]]="","",IF(COUNTIF(tb1_supporters[Email],tb1_supporters[[#This Row],[Email]])&gt;1,"Review - duplicate record, see Supporter_Duplicates tab",""))</f>
        <v/>
      </c>
      <c r="AB215" s="21" t="str">
        <f>IF(tb1_supporters[[#This Row],[Communication_Preference]]="Do Not Contact","DO NOT CONTACT","")</f>
        <v/>
      </c>
      <c r="AE215"/>
    </row>
    <row r="216" spans="1:31" x14ac:dyDescent="0.25">
      <c r="A216" s="3" t="s">
        <v>1591</v>
      </c>
      <c r="B216" s="2" t="s">
        <v>54</v>
      </c>
      <c r="C216" s="2" t="s">
        <v>237</v>
      </c>
      <c r="D216" s="2" t="s">
        <v>1268</v>
      </c>
      <c r="E216" s="2" t="s">
        <v>1592</v>
      </c>
      <c r="F216" s="2" t="s">
        <v>1593</v>
      </c>
      <c r="G216" s="2" t="str">
        <f>TRIM(SUBSTITUTE(SUBSTITUTE(SUBSTITUTE(SUBSTITUTE(tb1_supporters[[#This Row],[Phone_Raw]],"(",""),")","")," ",""),"+44",))</f>
        <v>07734171298</v>
      </c>
      <c r="H216" s="15">
        <v>19859</v>
      </c>
      <c r="I216" s="36">
        <f ca="1">IF(OR(tb1_supporters[[#This Row],[Date_of_Birth]]="",tb1_supporters[[#This Row],[Date_of_Birth]]&gt;TODAY()),"",DATEDIF(tb1_supporters[[#This Row],[Date_of_Birth]],TODAY(),"Y"))</f>
        <v>72</v>
      </c>
      <c r="J21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16" s="2" t="s">
        <v>1595</v>
      </c>
      <c r="L216" s="2" t="s">
        <v>150</v>
      </c>
      <c r="M216" s="2" t="s">
        <v>151</v>
      </c>
      <c r="N216" s="2" t="s">
        <v>152</v>
      </c>
      <c r="O216" s="2" t="s">
        <v>166</v>
      </c>
      <c r="P216" s="2" t="s">
        <v>153</v>
      </c>
      <c r="Q216" s="2" t="s">
        <v>141</v>
      </c>
      <c r="R216" s="15">
        <v>45625</v>
      </c>
      <c r="S216" s="2" t="s">
        <v>4</v>
      </c>
      <c r="T216" s="2" t="s">
        <v>36</v>
      </c>
      <c r="U216" s="2" t="s">
        <v>37</v>
      </c>
      <c r="V216" s="2" t="s">
        <v>36</v>
      </c>
      <c r="W216" s="4" t="s">
        <v>37</v>
      </c>
      <c r="X21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16" s="2" t="str">
        <f>IF(ISNUMBER(SEARCH("onal",tb1_supporters[[#This Row],[Phone_Clean]])),"Review - corrupt phone number", IF(LEN(tb1_supporters[[#This Row],[Phone_Clean]])&gt;11,"Review - too many digits",""))</f>
        <v/>
      </c>
      <c r="Z21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16" s="2" t="str">
        <f>IF(tb1_supporters[[#This Row],[Email]]="","",IF(COUNTIF(tb1_supporters[Email],tb1_supporters[[#This Row],[Email]])&gt;1,"Review - duplicate record, see Supporter_Duplicates tab",""))</f>
        <v/>
      </c>
      <c r="AB216" s="21" t="str">
        <f>IF(tb1_supporters[[#This Row],[Communication_Preference]]="Do Not Contact","DO NOT CONTACT","")</f>
        <v/>
      </c>
      <c r="AE216"/>
    </row>
    <row r="217" spans="1:31" x14ac:dyDescent="0.25">
      <c r="A217" s="3" t="s">
        <v>1597</v>
      </c>
      <c r="B217" s="2" t="s">
        <v>54</v>
      </c>
      <c r="C217" s="2" t="s">
        <v>864</v>
      </c>
      <c r="D217" s="2" t="s">
        <v>574</v>
      </c>
      <c r="E217" s="2" t="s">
        <v>1598</v>
      </c>
      <c r="F217" s="2" t="s">
        <v>1599</v>
      </c>
      <c r="G217" s="2" t="str">
        <f>TRIM(SUBSTITUTE(SUBSTITUTE(SUBSTITUTE(SUBSTITUTE(tb1_supporters[[#This Row],[Phone_Raw]],"(",""),")","")," ",""),"+44",))</f>
        <v>07237795850</v>
      </c>
      <c r="H217" s="15">
        <v>31628</v>
      </c>
      <c r="I217" s="36">
        <f ca="1">IF(OR(tb1_supporters[[#This Row],[Date_of_Birth]]="",tb1_supporters[[#This Row],[Date_of_Birth]]&gt;TODAY()),"",DATEDIF(tb1_supporters[[#This Row],[Date_of_Birth]],TODAY(),"Y"))</f>
        <v>39</v>
      </c>
      <c r="J21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17" s="2" t="s">
        <v>1601</v>
      </c>
      <c r="L217" s="2" t="s">
        <v>126</v>
      </c>
      <c r="M217" s="2" t="s">
        <v>127</v>
      </c>
      <c r="N217" s="2" t="s">
        <v>128</v>
      </c>
      <c r="O217" s="2" t="s">
        <v>166</v>
      </c>
      <c r="P217" s="2" t="s">
        <v>153</v>
      </c>
      <c r="Q217" s="2" t="s">
        <v>66</v>
      </c>
      <c r="R217" s="15">
        <v>44570</v>
      </c>
      <c r="S217" s="2" t="s">
        <v>93</v>
      </c>
      <c r="T217" s="2" t="s">
        <v>36</v>
      </c>
      <c r="U217" s="2" t="s">
        <v>36</v>
      </c>
      <c r="V217" s="2" t="s">
        <v>37</v>
      </c>
      <c r="W217" s="4" t="s">
        <v>36</v>
      </c>
      <c r="X21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17" s="2" t="str">
        <f>IF(ISNUMBER(SEARCH("onal",tb1_supporters[[#This Row],[Phone_Clean]])),"Review - corrupt phone number", IF(LEN(tb1_supporters[[#This Row],[Phone_Clean]])&gt;11,"Review - too many digits",""))</f>
        <v/>
      </c>
      <c r="Z21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17" s="2" t="str">
        <f>IF(tb1_supporters[[#This Row],[Email]]="","",IF(COUNTIF(tb1_supporters[Email],tb1_supporters[[#This Row],[Email]])&gt;1,"Review - duplicate record, see Supporter_Duplicates tab",""))</f>
        <v/>
      </c>
      <c r="AB217" s="21" t="str">
        <f>IF(tb1_supporters[[#This Row],[Communication_Preference]]="Do Not Contact","DO NOT CONTACT","")</f>
        <v/>
      </c>
      <c r="AE217"/>
    </row>
    <row r="218" spans="1:31" x14ac:dyDescent="0.25">
      <c r="A218" s="3" t="s">
        <v>1603</v>
      </c>
      <c r="B218" s="2" t="s">
        <v>170</v>
      </c>
      <c r="C218" s="2" t="s">
        <v>791</v>
      </c>
      <c r="D218" s="2" t="s">
        <v>56</v>
      </c>
      <c r="E218" s="2" t="s">
        <v>4869</v>
      </c>
      <c r="F218" s="2" t="s">
        <v>1604</v>
      </c>
      <c r="G218" s="2" t="str">
        <f>TRIM(SUBSTITUTE(SUBSTITUTE(SUBSTITUTE(SUBSTITUTE(tb1_supporters[[#This Row],[Phone_Raw]],"(",""),")","")," ",""),"+44",))</f>
        <v>07969619746</v>
      </c>
      <c r="H218" s="15">
        <v>28432</v>
      </c>
      <c r="I218" s="36">
        <f ca="1">IF(OR(tb1_supporters[[#This Row],[Date_of_Birth]]="",tb1_supporters[[#This Row],[Date_of_Birth]]&gt;TODAY()),"",DATEDIF(tb1_supporters[[#This Row],[Date_of_Birth]],TODAY(),"Y"))</f>
        <v>48</v>
      </c>
      <c r="J21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18" s="2" t="s">
        <v>1606</v>
      </c>
      <c r="L218" s="2" t="s">
        <v>454</v>
      </c>
      <c r="M218" s="2" t="s">
        <v>455</v>
      </c>
      <c r="N218" s="2" t="s">
        <v>456</v>
      </c>
      <c r="O218" s="2" t="s">
        <v>242</v>
      </c>
      <c r="P218" s="2" t="s">
        <v>33</v>
      </c>
      <c r="Q218" s="2" t="s">
        <v>192</v>
      </c>
      <c r="R218" s="15">
        <v>45360</v>
      </c>
      <c r="S218" s="2" t="s">
        <v>4</v>
      </c>
      <c r="T218" s="2" t="s">
        <v>36</v>
      </c>
      <c r="U218" s="2" t="s">
        <v>37</v>
      </c>
      <c r="V218" s="2" t="s">
        <v>37</v>
      </c>
      <c r="W218" s="4" t="s">
        <v>37</v>
      </c>
      <c r="X21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18" s="2" t="str">
        <f>IF(ISNUMBER(SEARCH("onal",tb1_supporters[[#This Row],[Phone_Clean]])),"Review - corrupt phone number", IF(LEN(tb1_supporters[[#This Row],[Phone_Clean]])&gt;11,"Review - too many digits",""))</f>
        <v/>
      </c>
      <c r="Z21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18" s="2" t="str">
        <f>IF(tb1_supporters[[#This Row],[Email]]="","",IF(COUNTIF(tb1_supporters[Email],tb1_supporters[[#This Row],[Email]])&gt;1,"Review - duplicate record, see Supporter_Duplicates tab",""))</f>
        <v/>
      </c>
      <c r="AB218" s="21" t="str">
        <f>IF(tb1_supporters[[#This Row],[Communication_Preference]]="Do Not Contact","DO NOT CONTACT","")</f>
        <v/>
      </c>
      <c r="AE218"/>
    </row>
    <row r="219" spans="1:31" x14ac:dyDescent="0.25">
      <c r="A219" s="3" t="s">
        <v>1608</v>
      </c>
      <c r="B219" s="2" t="s">
        <v>235</v>
      </c>
      <c r="C219" s="2" t="s">
        <v>710</v>
      </c>
      <c r="D219" s="2" t="s">
        <v>197</v>
      </c>
      <c r="E219" s="2" t="s">
        <v>1609</v>
      </c>
      <c r="F219" s="2" t="s">
        <v>1610</v>
      </c>
      <c r="G219" s="2" t="str">
        <f>TRIM(SUBSTITUTE(SUBSTITUTE(SUBSTITUTE(SUBSTITUTE(tb1_supporters[[#This Row],[Phone_Raw]],"(",""),")","")," ",""),"+44",))</f>
        <v>07614110778</v>
      </c>
      <c r="H219" s="15"/>
      <c r="I219" s="36" t="str">
        <f ca="1">IF(OR(tb1_supporters[[#This Row],[Date_of_Birth]]="",tb1_supporters[[#This Row],[Date_of_Birth]]&gt;TODAY()),"",DATEDIF(tb1_supporters[[#This Row],[Date_of_Birth]],TODAY(),"Y"))</f>
        <v/>
      </c>
      <c r="J21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219" s="2" t="s">
        <v>1611</v>
      </c>
      <c r="L219" s="2" t="s">
        <v>625</v>
      </c>
      <c r="M219" s="2" t="s">
        <v>626</v>
      </c>
      <c r="N219" s="2" t="s">
        <v>627</v>
      </c>
      <c r="O219" s="2" t="s">
        <v>242</v>
      </c>
      <c r="P219" s="2" t="s">
        <v>117</v>
      </c>
      <c r="Q219" s="2" t="s">
        <v>66</v>
      </c>
      <c r="R219" s="15">
        <v>43753</v>
      </c>
      <c r="S219" s="2" t="s">
        <v>4</v>
      </c>
      <c r="T219" s="2" t="s">
        <v>36</v>
      </c>
      <c r="U219" s="2" t="s">
        <v>37</v>
      </c>
      <c r="V219" s="2" t="s">
        <v>37</v>
      </c>
      <c r="W219" s="4" t="s">
        <v>36</v>
      </c>
      <c r="X21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19" s="2" t="str">
        <f>IF(ISNUMBER(SEARCH("onal",tb1_supporters[[#This Row],[Phone_Clean]])),"Review - corrupt phone number", IF(LEN(tb1_supporters[[#This Row],[Phone_Clean]])&gt;11,"Review - too many digits",""))</f>
        <v/>
      </c>
      <c r="Z21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219" s="2" t="str">
        <f>IF(tb1_supporters[[#This Row],[Email]]="","",IF(COUNTIF(tb1_supporters[Email],tb1_supporters[[#This Row],[Email]])&gt;1,"Review - duplicate record, see Supporter_Duplicates tab",""))</f>
        <v/>
      </c>
      <c r="AB219" s="21" t="str">
        <f>IF(tb1_supporters[[#This Row],[Communication_Preference]]="Do Not Contact","DO NOT CONTACT","")</f>
        <v/>
      </c>
      <c r="AE219"/>
    </row>
    <row r="220" spans="1:31" x14ac:dyDescent="0.25">
      <c r="A220" s="3" t="s">
        <v>1613</v>
      </c>
      <c r="B220" s="2" t="s">
        <v>4866</v>
      </c>
      <c r="C220" s="2" t="s">
        <v>1078</v>
      </c>
      <c r="D220" s="2" t="s">
        <v>435</v>
      </c>
      <c r="E220" s="2" t="s">
        <v>1614</v>
      </c>
      <c r="F220" s="2" t="s">
        <v>1615</v>
      </c>
      <c r="G220" s="2" t="str">
        <f>TRIM(SUBSTITUTE(SUBSTITUTE(SUBSTITUTE(SUBSTITUTE(tb1_supporters[[#This Row],[Phone_Raw]],"(",""),")","")," ",""),"+44",))</f>
        <v>07784311630</v>
      </c>
      <c r="H220" s="15">
        <v>29714</v>
      </c>
      <c r="I220" s="36">
        <f ca="1">IF(OR(tb1_supporters[[#This Row],[Date_of_Birth]]="",tb1_supporters[[#This Row],[Date_of_Birth]]&gt;TODAY()),"",DATEDIF(tb1_supporters[[#This Row],[Date_of_Birth]],TODAY(),"Y"))</f>
        <v>45</v>
      </c>
      <c r="J22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20" s="2" t="s">
        <v>1617</v>
      </c>
      <c r="L220" s="2" t="s">
        <v>387</v>
      </c>
      <c r="M220" s="2" t="s">
        <v>388</v>
      </c>
      <c r="N220" s="2" t="s">
        <v>389</v>
      </c>
      <c r="O220" s="2" t="s">
        <v>242</v>
      </c>
      <c r="P220" s="2" t="s">
        <v>4887</v>
      </c>
      <c r="Q220" s="2" t="s">
        <v>66</v>
      </c>
      <c r="R220" s="15">
        <v>44963</v>
      </c>
      <c r="S220" s="2" t="s">
        <v>4</v>
      </c>
      <c r="T220" s="2" t="s">
        <v>36</v>
      </c>
      <c r="U220" s="2" t="s">
        <v>36</v>
      </c>
      <c r="V220" s="2" t="s">
        <v>37</v>
      </c>
      <c r="W220" s="4" t="s">
        <v>37</v>
      </c>
      <c r="X22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20" s="2" t="str">
        <f>IF(ISNUMBER(SEARCH("onal",tb1_supporters[[#This Row],[Phone_Clean]])),"Review - corrupt phone number", IF(LEN(tb1_supporters[[#This Row],[Phone_Clean]])&gt;11,"Review - too many digits",""))</f>
        <v/>
      </c>
      <c r="Z22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20" s="2" t="str">
        <f>IF(tb1_supporters[[#This Row],[Email]]="","",IF(COUNTIF(tb1_supporters[Email],tb1_supporters[[#This Row],[Email]])&gt;1,"Review - duplicate record, see Supporter_Duplicates tab",""))</f>
        <v/>
      </c>
      <c r="AB220" s="21" t="str">
        <f>IF(tb1_supporters[[#This Row],[Communication_Preference]]="Do Not Contact","DO NOT CONTACT","")</f>
        <v/>
      </c>
      <c r="AE220"/>
    </row>
    <row r="221" spans="1:31" x14ac:dyDescent="0.25">
      <c r="A221" s="3" t="s">
        <v>1619</v>
      </c>
      <c r="B221" s="2" t="s">
        <v>402</v>
      </c>
      <c r="C221" s="2" t="s">
        <v>988</v>
      </c>
      <c r="D221" s="2" t="s">
        <v>309</v>
      </c>
      <c r="E221" s="2" t="s">
        <v>1620</v>
      </c>
      <c r="F221" s="2" t="s">
        <v>1621</v>
      </c>
      <c r="G221" s="2" t="str">
        <f>TRIM(SUBSTITUTE(SUBSTITUTE(SUBSTITUTE(SUBSTITUTE(tb1_supporters[[#This Row],[Phone_Raw]],"(",""),")","")," ",""),"+44",))</f>
        <v>014869852275</v>
      </c>
      <c r="H221" s="15">
        <v>18514</v>
      </c>
      <c r="I221" s="36">
        <f ca="1">IF(OR(tb1_supporters[[#This Row],[Date_of_Birth]]="",tb1_supporters[[#This Row],[Date_of_Birth]]&gt;TODAY()),"",DATEDIF(tb1_supporters[[#This Row],[Date_of_Birth]],TODAY(),"Y"))</f>
        <v>75</v>
      </c>
      <c r="J22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21" s="2" t="s">
        <v>1623</v>
      </c>
      <c r="L221" s="2" t="s">
        <v>1285</v>
      </c>
      <c r="M221" s="2" t="s">
        <v>1286</v>
      </c>
      <c r="N221" s="2" t="s">
        <v>1287</v>
      </c>
      <c r="O221" s="2" t="s">
        <v>242</v>
      </c>
      <c r="P221" s="2" t="s">
        <v>4887</v>
      </c>
      <c r="Q221" s="2" t="s">
        <v>154</v>
      </c>
      <c r="R221" s="15">
        <v>45216</v>
      </c>
      <c r="S221" s="2" t="s">
        <v>93</v>
      </c>
      <c r="T221" s="2" t="s">
        <v>36</v>
      </c>
      <c r="U221" s="2" t="s">
        <v>36</v>
      </c>
      <c r="V221" s="2" t="s">
        <v>36</v>
      </c>
      <c r="W221" s="4" t="s">
        <v>37</v>
      </c>
      <c r="X22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21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2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21" s="2" t="str">
        <f>IF(tb1_supporters[[#This Row],[Email]]="","",IF(COUNTIF(tb1_supporters[Email],tb1_supporters[[#This Row],[Email]])&gt;1,"Review - duplicate record, see Supporter_Duplicates tab",""))</f>
        <v/>
      </c>
      <c r="AB221" s="21" t="str">
        <f>IF(tb1_supporters[[#This Row],[Communication_Preference]]="Do Not Contact","DO NOT CONTACT","")</f>
        <v/>
      </c>
      <c r="AE221"/>
    </row>
    <row r="222" spans="1:31" x14ac:dyDescent="0.25">
      <c r="A222" s="3" t="s">
        <v>1625</v>
      </c>
      <c r="B222" s="2" t="s">
        <v>402</v>
      </c>
      <c r="C222" s="2" t="s">
        <v>1021</v>
      </c>
      <c r="D222" s="2" t="s">
        <v>414</v>
      </c>
      <c r="E222" s="2" t="s">
        <v>1626</v>
      </c>
      <c r="F222" s="2" t="s">
        <v>1627</v>
      </c>
      <c r="G222" s="2" t="str">
        <f>TRIM(SUBSTITUTE(SUBSTITUTE(SUBSTITUTE(SUBSTITUTE(tb1_supporters[[#This Row],[Phone_Raw]],"(",""),")","")," ",""),"+44",))</f>
        <v>07253291261</v>
      </c>
      <c r="H222" s="15">
        <v>23687</v>
      </c>
      <c r="I222" s="36">
        <f ca="1">IF(OR(tb1_supporters[[#This Row],[Date_of_Birth]]="",tb1_supporters[[#This Row],[Date_of_Birth]]&gt;TODAY()),"",DATEDIF(tb1_supporters[[#This Row],[Date_of_Birth]],TODAY(),"Y"))</f>
        <v>61</v>
      </c>
      <c r="J22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22" s="2" t="s">
        <v>1629</v>
      </c>
      <c r="L222" s="2" t="s">
        <v>408</v>
      </c>
      <c r="M222" s="2" t="s">
        <v>409</v>
      </c>
      <c r="N222" s="2" t="s">
        <v>410</v>
      </c>
      <c r="O222" s="2" t="s">
        <v>242</v>
      </c>
      <c r="P222" s="2" t="s">
        <v>33</v>
      </c>
      <c r="Q222" s="2" t="s">
        <v>66</v>
      </c>
      <c r="R222" s="15">
        <v>44453</v>
      </c>
      <c r="S222" s="2" t="s">
        <v>52</v>
      </c>
      <c r="T222" s="2" t="s">
        <v>36</v>
      </c>
      <c r="U222" s="2" t="s">
        <v>36</v>
      </c>
      <c r="V222" s="2" t="s">
        <v>37</v>
      </c>
      <c r="W222" s="4" t="s">
        <v>37</v>
      </c>
      <c r="X22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22" s="2" t="str">
        <f>IF(ISNUMBER(SEARCH("onal",tb1_supporters[[#This Row],[Phone_Clean]])),"Review - corrupt phone number", IF(LEN(tb1_supporters[[#This Row],[Phone_Clean]])&gt;11,"Review - too many digits",""))</f>
        <v/>
      </c>
      <c r="Z22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22" s="2" t="str">
        <f>IF(tb1_supporters[[#This Row],[Email]]="","",IF(COUNTIF(tb1_supporters[Email],tb1_supporters[[#This Row],[Email]])&gt;1,"Review - duplicate record, see Supporter_Duplicates tab",""))</f>
        <v/>
      </c>
      <c r="AB222" s="21" t="str">
        <f>IF(tb1_supporters[[#This Row],[Communication_Preference]]="Do Not Contact","DO NOT CONTACT","")</f>
        <v/>
      </c>
      <c r="AE222"/>
    </row>
    <row r="223" spans="1:31" x14ac:dyDescent="0.25">
      <c r="A223" s="3" t="s">
        <v>1631</v>
      </c>
      <c r="B223" s="2" t="s">
        <v>54</v>
      </c>
      <c r="C223" s="2" t="s">
        <v>107</v>
      </c>
      <c r="D223" s="2" t="s">
        <v>425</v>
      </c>
      <c r="E223" s="2" t="s">
        <v>1632</v>
      </c>
      <c r="F223" s="2" t="s">
        <v>1633</v>
      </c>
      <c r="G223" s="2" t="str">
        <f>TRIM(SUBSTITUTE(SUBSTITUTE(SUBSTITUTE(SUBSTITUTE(tb1_supporters[[#This Row],[Phone_Raw]],"(",""),")","")," ",""),"+44",))</f>
        <v>016516423406</v>
      </c>
      <c r="H223" s="15">
        <v>18272</v>
      </c>
      <c r="I223" s="36">
        <f ca="1">IF(OR(tb1_supporters[[#This Row],[Date_of_Birth]]="",tb1_supporters[[#This Row],[Date_of_Birth]]&gt;TODAY()),"",DATEDIF(tb1_supporters[[#This Row],[Date_of_Birth]],TODAY(),"Y"))</f>
        <v>76</v>
      </c>
      <c r="J22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23" s="2" t="s">
        <v>1635</v>
      </c>
      <c r="L223" s="2" t="s">
        <v>126</v>
      </c>
      <c r="M223" s="2" t="s">
        <v>127</v>
      </c>
      <c r="N223" s="2" t="s">
        <v>128</v>
      </c>
      <c r="O223" s="2" t="s">
        <v>166</v>
      </c>
      <c r="P223" s="2" t="s">
        <v>91</v>
      </c>
      <c r="Q223" s="2" t="s">
        <v>154</v>
      </c>
      <c r="R223" s="15">
        <v>45217</v>
      </c>
      <c r="S223" s="2" t="s">
        <v>4</v>
      </c>
      <c r="T223" s="2" t="s">
        <v>36</v>
      </c>
      <c r="U223" s="2" t="s">
        <v>37</v>
      </c>
      <c r="V223" s="2" t="s">
        <v>37</v>
      </c>
      <c r="W223" s="4" t="s">
        <v>36</v>
      </c>
      <c r="X22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23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2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23" s="2" t="str">
        <f>IF(tb1_supporters[[#This Row],[Email]]="","",IF(COUNTIF(tb1_supporters[Email],tb1_supporters[[#This Row],[Email]])&gt;1,"Review - duplicate record, see Supporter_Duplicates tab",""))</f>
        <v/>
      </c>
      <c r="AB223" s="21" t="str">
        <f>IF(tb1_supporters[[#This Row],[Communication_Preference]]="Do Not Contact","DO NOT CONTACT","")</f>
        <v/>
      </c>
      <c r="AE223"/>
    </row>
    <row r="224" spans="1:31" x14ac:dyDescent="0.25">
      <c r="A224" s="3" t="s">
        <v>1637</v>
      </c>
      <c r="B224" s="2" t="s">
        <v>235</v>
      </c>
      <c r="C224" s="2" t="s">
        <v>382</v>
      </c>
      <c r="D224" s="2" t="s">
        <v>225</v>
      </c>
      <c r="E224" s="2" t="s">
        <v>1638</v>
      </c>
      <c r="F224" s="2" t="s">
        <v>1639</v>
      </c>
      <c r="G224" s="2" t="str">
        <f>TRIM(SUBSTITUTE(SUBSTITUTE(SUBSTITUTE(SUBSTITUTE(tb1_supporters[[#This Row],[Phone_Raw]],"(",""),")","")," ",""),"+44",))</f>
        <v>7246913696</v>
      </c>
      <c r="H224" s="15">
        <v>29653</v>
      </c>
      <c r="I224" s="36">
        <f ca="1">IF(OR(tb1_supporters[[#This Row],[Date_of_Birth]]="",tb1_supporters[[#This Row],[Date_of_Birth]]&gt;TODAY()),"",DATEDIF(tb1_supporters[[#This Row],[Date_of_Birth]],TODAY(),"Y"))</f>
        <v>45</v>
      </c>
      <c r="J22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24" s="2" t="s">
        <v>1641</v>
      </c>
      <c r="L224" s="2" t="s">
        <v>370</v>
      </c>
      <c r="M224" s="2" t="s">
        <v>371</v>
      </c>
      <c r="N224" s="2" t="s">
        <v>602</v>
      </c>
      <c r="O224" s="2" t="s">
        <v>242</v>
      </c>
      <c r="P224" s="2" t="s">
        <v>91</v>
      </c>
      <c r="Q224" s="2" t="s">
        <v>154</v>
      </c>
      <c r="R224" s="15">
        <v>44504</v>
      </c>
      <c r="S224" s="2" t="s">
        <v>93</v>
      </c>
      <c r="T224" s="2" t="s">
        <v>36</v>
      </c>
      <c r="U224" s="2" t="s">
        <v>37</v>
      </c>
      <c r="V224" s="2" t="s">
        <v>37</v>
      </c>
      <c r="W224" s="4" t="s">
        <v>36</v>
      </c>
      <c r="X22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224" s="2" t="str">
        <f>IF(ISNUMBER(SEARCH("onal",tb1_supporters[[#This Row],[Phone_Clean]])),"Review - corrupt phone number", IF(LEN(tb1_supporters[[#This Row],[Phone_Clean]])&gt;11,"Review - too many digits",""))</f>
        <v/>
      </c>
      <c r="Z22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24" s="2" t="str">
        <f>IF(tb1_supporters[[#This Row],[Email]]="","",IF(COUNTIF(tb1_supporters[Email],tb1_supporters[[#This Row],[Email]])&gt;1,"Review - duplicate record, see Supporter_Duplicates tab",""))</f>
        <v/>
      </c>
      <c r="AB224" s="21" t="str">
        <f>IF(tb1_supporters[[#This Row],[Communication_Preference]]="Do Not Contact","DO NOT CONTACT","")</f>
        <v/>
      </c>
      <c r="AE224"/>
    </row>
    <row r="225" spans="1:31" x14ac:dyDescent="0.25">
      <c r="A225" s="3" t="s">
        <v>1643</v>
      </c>
      <c r="B225" s="2"/>
      <c r="C225" s="2" t="s">
        <v>1644</v>
      </c>
      <c r="D225" s="2" t="s">
        <v>172</v>
      </c>
      <c r="E225" s="2" t="s">
        <v>1645</v>
      </c>
      <c r="F225" s="2" t="s">
        <v>1646</v>
      </c>
      <c r="G225" s="2" t="str">
        <f>TRIM(SUBSTITUTE(SUBSTITUTE(SUBSTITUTE(SUBSTITUTE(tb1_supporters[[#This Row],[Phone_Raw]],"(",""),")","")," ",""),"+44",))</f>
        <v>07587729714</v>
      </c>
      <c r="H225" s="15">
        <v>38091</v>
      </c>
      <c r="I225" s="36">
        <f ca="1">IF(OR(tb1_supporters[[#This Row],[Date_of_Birth]]="",tb1_supporters[[#This Row],[Date_of_Birth]]&gt;TODAY()),"",DATEDIF(tb1_supporters[[#This Row],[Date_of_Birth]],TODAY(),"Y"))</f>
        <v>22</v>
      </c>
      <c r="J22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25" s="2" t="s">
        <v>1648</v>
      </c>
      <c r="L225" s="2" t="s">
        <v>113</v>
      </c>
      <c r="M225" s="2" t="s">
        <v>114</v>
      </c>
      <c r="N225" s="2" t="s">
        <v>115</v>
      </c>
      <c r="O225" s="2" t="s">
        <v>166</v>
      </c>
      <c r="P225" s="2" t="s">
        <v>65</v>
      </c>
      <c r="Q225" s="2" t="s">
        <v>192</v>
      </c>
      <c r="R225" s="15">
        <v>45076</v>
      </c>
      <c r="S225" s="2" t="s">
        <v>105</v>
      </c>
      <c r="T225" s="2" t="s">
        <v>37</v>
      </c>
      <c r="U225" s="2" t="s">
        <v>37</v>
      </c>
      <c r="V225" s="2" t="s">
        <v>37</v>
      </c>
      <c r="W225" s="4" t="s">
        <v>37</v>
      </c>
      <c r="X22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25" s="2" t="str">
        <f>IF(ISNUMBER(SEARCH("onal",tb1_supporters[[#This Row],[Phone_Clean]])),"Review - corrupt phone number", IF(LEN(tb1_supporters[[#This Row],[Phone_Clean]])&gt;11,"Review - too many digits",""))</f>
        <v/>
      </c>
      <c r="Z22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25" s="2" t="str">
        <f>IF(tb1_supporters[[#This Row],[Email]]="","",IF(COUNTIF(tb1_supporters[Email],tb1_supporters[[#This Row],[Email]])&gt;1,"Review - duplicate record, see Supporter_Duplicates tab",""))</f>
        <v/>
      </c>
      <c r="AB225" s="21" t="str">
        <f>IF(tb1_supporters[[#This Row],[Communication_Preference]]="Do Not Contact","DO NOT CONTACT","")</f>
        <v>DO NOT CONTACT</v>
      </c>
      <c r="AE225"/>
    </row>
    <row r="226" spans="1:31" x14ac:dyDescent="0.25">
      <c r="A226" s="3" t="s">
        <v>1650</v>
      </c>
      <c r="B226" s="2" t="s">
        <v>402</v>
      </c>
      <c r="C226" s="2" t="s">
        <v>236</v>
      </c>
      <c r="D226" s="2" t="s">
        <v>214</v>
      </c>
      <c r="E226" s="2" t="s">
        <v>1651</v>
      </c>
      <c r="F226" s="2" t="s">
        <v>1652</v>
      </c>
      <c r="G226" s="2" t="str">
        <f>TRIM(SUBSTITUTE(SUBSTITUTE(SUBSTITUTE(SUBSTITUTE(tb1_supporters[[#This Row],[Phone_Raw]],"(",""),")","")," ",""),"+44",))</f>
        <v>07703923859</v>
      </c>
      <c r="H226" s="15">
        <v>25561</v>
      </c>
      <c r="I226" s="36">
        <f ca="1">IF(OR(tb1_supporters[[#This Row],[Date_of_Birth]]="",tb1_supporters[[#This Row],[Date_of_Birth]]&gt;TODAY()),"",DATEDIF(tb1_supporters[[#This Row],[Date_of_Birth]],TODAY(),"Y"))</f>
        <v>56</v>
      </c>
      <c r="J22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26" s="2" t="s">
        <v>1654</v>
      </c>
      <c r="L226" s="2" t="s">
        <v>693</v>
      </c>
      <c r="M226" s="2" t="s">
        <v>694</v>
      </c>
      <c r="N226" s="2" t="s">
        <v>695</v>
      </c>
      <c r="O226" s="2" t="s">
        <v>242</v>
      </c>
      <c r="P226" s="2" t="s">
        <v>4887</v>
      </c>
      <c r="Q226" s="2" t="s">
        <v>154</v>
      </c>
      <c r="R226" s="15">
        <v>44143</v>
      </c>
      <c r="S226" s="2" t="s">
        <v>4</v>
      </c>
      <c r="T226" s="2" t="s">
        <v>36</v>
      </c>
      <c r="U226" s="2" t="s">
        <v>36</v>
      </c>
      <c r="V226" s="2" t="s">
        <v>36</v>
      </c>
      <c r="W226" s="4" t="s">
        <v>37</v>
      </c>
      <c r="X22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26" s="2" t="str">
        <f>IF(ISNUMBER(SEARCH("onal",tb1_supporters[[#This Row],[Phone_Clean]])),"Review - corrupt phone number", IF(LEN(tb1_supporters[[#This Row],[Phone_Clean]])&gt;11,"Review - too many digits",""))</f>
        <v/>
      </c>
      <c r="Z22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26" s="2" t="str">
        <f>IF(tb1_supporters[[#This Row],[Email]]="","",IF(COUNTIF(tb1_supporters[Email],tb1_supporters[[#This Row],[Email]])&gt;1,"Review - duplicate record, see Supporter_Duplicates tab",""))</f>
        <v/>
      </c>
      <c r="AB226" s="21" t="str">
        <f>IF(tb1_supporters[[#This Row],[Communication_Preference]]="Do Not Contact","DO NOT CONTACT","")</f>
        <v/>
      </c>
      <c r="AE226"/>
    </row>
    <row r="227" spans="1:31" x14ac:dyDescent="0.25">
      <c r="A227" s="3" t="s">
        <v>1656</v>
      </c>
      <c r="B227" s="2" t="s">
        <v>4866</v>
      </c>
      <c r="C227" s="2" t="s">
        <v>246</v>
      </c>
      <c r="D227" s="2" t="s">
        <v>902</v>
      </c>
      <c r="E227" s="2" t="s">
        <v>1657</v>
      </c>
      <c r="F227" s="2" t="s">
        <v>1658</v>
      </c>
      <c r="G227" s="2" t="str">
        <f>TRIM(SUBSTITUTE(SUBSTITUTE(SUBSTITUTE(SUBSTITUTE(tb1_supporters[[#This Row],[Phone_Raw]],"(",""),")","")," ",""),"+44",))</f>
        <v>01onal3106175</v>
      </c>
      <c r="H227" s="15">
        <v>30695</v>
      </c>
      <c r="I227" s="36">
        <f ca="1">IF(OR(tb1_supporters[[#This Row],[Date_of_Birth]]="",tb1_supporters[[#This Row],[Date_of_Birth]]&gt;TODAY()),"",DATEDIF(tb1_supporters[[#This Row],[Date_of_Birth]],TODAY(),"Y"))</f>
        <v>42</v>
      </c>
      <c r="J22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27" s="2" t="s">
        <v>1660</v>
      </c>
      <c r="L227" s="2" t="s">
        <v>177</v>
      </c>
      <c r="M227" s="2" t="s">
        <v>178</v>
      </c>
      <c r="N227" s="2" t="s">
        <v>179</v>
      </c>
      <c r="O227" s="2" t="s">
        <v>242</v>
      </c>
      <c r="P227" s="2" t="s">
        <v>65</v>
      </c>
      <c r="Q227" s="2" t="s">
        <v>154</v>
      </c>
      <c r="R227" s="15">
        <v>44846</v>
      </c>
      <c r="S227" s="2" t="s">
        <v>52</v>
      </c>
      <c r="T227" s="2" t="s">
        <v>37</v>
      </c>
      <c r="U227" s="2" t="s">
        <v>37</v>
      </c>
      <c r="V227" s="2" t="s">
        <v>36</v>
      </c>
      <c r="W227" s="4" t="s">
        <v>37</v>
      </c>
      <c r="X22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27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22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27" s="2" t="str">
        <f>IF(tb1_supporters[[#This Row],[Email]]="","",IF(COUNTIF(tb1_supporters[Email],tb1_supporters[[#This Row],[Email]])&gt;1,"Review - duplicate record, see Supporter_Duplicates tab",""))</f>
        <v/>
      </c>
      <c r="AB227" s="21" t="str">
        <f>IF(tb1_supporters[[#This Row],[Communication_Preference]]="Do Not Contact","DO NOT CONTACT","")</f>
        <v/>
      </c>
      <c r="AE227"/>
    </row>
    <row r="228" spans="1:31" x14ac:dyDescent="0.25">
      <c r="A228" s="3" t="s">
        <v>1663</v>
      </c>
      <c r="B228" s="2" t="s">
        <v>402</v>
      </c>
      <c r="C228" s="2" t="s">
        <v>1111</v>
      </c>
      <c r="D228" s="2" t="s">
        <v>1174</v>
      </c>
      <c r="E228" s="2" t="s">
        <v>1664</v>
      </c>
      <c r="F228" s="2" t="s">
        <v>1665</v>
      </c>
      <c r="G228" s="2" t="str">
        <f>TRIM(SUBSTITUTE(SUBSTITUTE(SUBSTITUTE(SUBSTITUTE(tb1_supporters[[#This Row],[Phone_Raw]],"(",""),")","")," ",""),"+44",))</f>
        <v>07672668595</v>
      </c>
      <c r="H228" s="15">
        <v>11510</v>
      </c>
      <c r="I228" s="36">
        <f ca="1">IF(OR(tb1_supporters[[#This Row],[Date_of_Birth]]="",tb1_supporters[[#This Row],[Date_of_Birth]]&gt;TODAY()),"",DATEDIF(tb1_supporters[[#This Row],[Date_of_Birth]],TODAY(),"Y"))</f>
        <v>94</v>
      </c>
      <c r="J22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28" s="2" t="s">
        <v>1667</v>
      </c>
      <c r="L228" s="2" t="s">
        <v>88</v>
      </c>
      <c r="M228" s="2" t="s">
        <v>89</v>
      </c>
      <c r="N228" s="2" t="s">
        <v>90</v>
      </c>
      <c r="O228" s="2" t="s">
        <v>242</v>
      </c>
      <c r="P228" s="2" t="s">
        <v>49</v>
      </c>
      <c r="Q228" s="2" t="s">
        <v>243</v>
      </c>
      <c r="R228" s="15">
        <v>44731</v>
      </c>
      <c r="S228" s="2" t="s">
        <v>52</v>
      </c>
      <c r="T228" s="2" t="s">
        <v>36</v>
      </c>
      <c r="U228" s="2" t="s">
        <v>36</v>
      </c>
      <c r="V228" s="2" t="s">
        <v>37</v>
      </c>
      <c r="W228" s="4" t="s">
        <v>36</v>
      </c>
      <c r="X22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28" s="2" t="str">
        <f>IF(ISNUMBER(SEARCH("onal",tb1_supporters[[#This Row],[Phone_Clean]])),"Review - corrupt phone number", IF(LEN(tb1_supporters[[#This Row],[Phone_Clean]])&gt;11,"Review - too many digits",""))</f>
        <v/>
      </c>
      <c r="Z22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28" s="2" t="str">
        <f>IF(tb1_supporters[[#This Row],[Email]]="","",IF(COUNTIF(tb1_supporters[Email],tb1_supporters[[#This Row],[Email]])&gt;1,"Review - duplicate record, see Supporter_Duplicates tab",""))</f>
        <v/>
      </c>
      <c r="AB228" s="21" t="str">
        <f>IF(tb1_supporters[[#This Row],[Communication_Preference]]="Do Not Contact","DO NOT CONTACT","")</f>
        <v/>
      </c>
      <c r="AE228"/>
    </row>
    <row r="229" spans="1:31" x14ac:dyDescent="0.25">
      <c r="A229" s="3" t="s">
        <v>1669</v>
      </c>
      <c r="B229" s="2" t="s">
        <v>235</v>
      </c>
      <c r="C229" s="2" t="s">
        <v>413</v>
      </c>
      <c r="D229" s="2" t="s">
        <v>172</v>
      </c>
      <c r="E229" s="2" t="s">
        <v>1670</v>
      </c>
      <c r="F229" s="2" t="s">
        <v>1671</v>
      </c>
      <c r="G229" s="2" t="str">
        <f>TRIM(SUBSTITUTE(SUBSTITUTE(SUBSTITUTE(SUBSTITUTE(tb1_supporters[[#This Row],[Phone_Raw]],"(",""),")","")," ",""),"+44",))</f>
        <v>01onal1052492</v>
      </c>
      <c r="H229" s="15">
        <v>30123</v>
      </c>
      <c r="I229" s="36">
        <f ca="1">IF(OR(tb1_supporters[[#This Row],[Date_of_Birth]]="",tb1_supporters[[#This Row],[Date_of_Birth]]&gt;TODAY()),"",DATEDIF(tb1_supporters[[#This Row],[Date_of_Birth]],TODAY(),"Y"))</f>
        <v>43</v>
      </c>
      <c r="J22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29" s="2" t="s">
        <v>1673</v>
      </c>
      <c r="L229" s="2" t="s">
        <v>150</v>
      </c>
      <c r="M229" s="2" t="s">
        <v>151</v>
      </c>
      <c r="N229" s="2" t="s">
        <v>152</v>
      </c>
      <c r="O229" s="2" t="s">
        <v>242</v>
      </c>
      <c r="P229" s="2" t="s">
        <v>153</v>
      </c>
      <c r="Q229" s="2" t="s">
        <v>50</v>
      </c>
      <c r="R229" s="15">
        <v>44884</v>
      </c>
      <c r="S229" s="2" t="s">
        <v>5</v>
      </c>
      <c r="T229" s="2" t="s">
        <v>36</v>
      </c>
      <c r="U229" s="2" t="s">
        <v>36</v>
      </c>
      <c r="V229" s="2" t="s">
        <v>36</v>
      </c>
      <c r="W229" s="4" t="s">
        <v>36</v>
      </c>
      <c r="X22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29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22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29" s="2" t="str">
        <f>IF(tb1_supporters[[#This Row],[Email]]="","",IF(COUNTIF(tb1_supporters[Email],tb1_supporters[[#This Row],[Email]])&gt;1,"Review - duplicate record, see Supporter_Duplicates tab",""))</f>
        <v/>
      </c>
      <c r="AB229" s="21" t="str">
        <f>IF(tb1_supporters[[#This Row],[Communication_Preference]]="Do Not Contact","DO NOT CONTACT","")</f>
        <v/>
      </c>
      <c r="AE229"/>
    </row>
    <row r="230" spans="1:31" x14ac:dyDescent="0.25">
      <c r="A230" s="3" t="s">
        <v>1675</v>
      </c>
      <c r="B230" s="2" t="s">
        <v>54</v>
      </c>
      <c r="C230" s="2" t="s">
        <v>1429</v>
      </c>
      <c r="D230" s="2" t="s">
        <v>819</v>
      </c>
      <c r="E230" s="2" t="s">
        <v>1676</v>
      </c>
      <c r="F230" s="2" t="s">
        <v>1677</v>
      </c>
      <c r="G230" s="2" t="str">
        <f>TRIM(SUBSTITUTE(SUBSTITUTE(SUBSTITUTE(SUBSTITUTE(tb1_supporters[[#This Row],[Phone_Raw]],"(",""),")","")," ",""),"+44",))</f>
        <v>07755606549</v>
      </c>
      <c r="H230" s="15">
        <v>26108</v>
      </c>
      <c r="I230" s="36">
        <f ca="1">IF(OR(tb1_supporters[[#This Row],[Date_of_Birth]]="",tb1_supporters[[#This Row],[Date_of_Birth]]&gt;TODAY()),"",DATEDIF(tb1_supporters[[#This Row],[Date_of_Birth]],TODAY(),"Y"))</f>
        <v>54</v>
      </c>
      <c r="J23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30" s="2" t="s">
        <v>1679</v>
      </c>
      <c r="L230" s="2" t="s">
        <v>668</v>
      </c>
      <c r="M230" s="2" t="s">
        <v>669</v>
      </c>
      <c r="N230" s="2" t="s">
        <v>670</v>
      </c>
      <c r="O230" s="2" t="s">
        <v>166</v>
      </c>
      <c r="P230" s="2" t="s">
        <v>91</v>
      </c>
      <c r="Q230" s="2" t="s">
        <v>154</v>
      </c>
      <c r="R230" s="15">
        <v>43238</v>
      </c>
      <c r="S230" s="2" t="s">
        <v>4</v>
      </c>
      <c r="T230" s="2" t="s">
        <v>37</v>
      </c>
      <c r="U230" s="2" t="s">
        <v>37</v>
      </c>
      <c r="V230" s="2" t="s">
        <v>37</v>
      </c>
      <c r="W230" s="4" t="s">
        <v>36</v>
      </c>
      <c r="X23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230" s="2" t="str">
        <f>IF(ISNUMBER(SEARCH("onal",tb1_supporters[[#This Row],[Phone_Clean]])),"Review - corrupt phone number", IF(LEN(tb1_supporters[[#This Row],[Phone_Clean]])&gt;11,"Review - too many digits",""))</f>
        <v/>
      </c>
      <c r="Z23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30" s="2" t="str">
        <f>IF(tb1_supporters[[#This Row],[Email]]="","",IF(COUNTIF(tb1_supporters[Email],tb1_supporters[[#This Row],[Email]])&gt;1,"Review - duplicate record, see Supporter_Duplicates tab",""))</f>
        <v/>
      </c>
      <c r="AB230" s="21" t="str">
        <f>IF(tb1_supporters[[#This Row],[Communication_Preference]]="Do Not Contact","DO NOT CONTACT","")</f>
        <v/>
      </c>
      <c r="AE230"/>
    </row>
    <row r="231" spans="1:31" x14ac:dyDescent="0.25">
      <c r="A231" s="3" t="s">
        <v>1681</v>
      </c>
      <c r="B231" s="2" t="s">
        <v>54</v>
      </c>
      <c r="C231" s="2" t="s">
        <v>1429</v>
      </c>
      <c r="D231" s="2" t="s">
        <v>614</v>
      </c>
      <c r="E231" s="2" t="s">
        <v>1683</v>
      </c>
      <c r="F231" s="2" t="s">
        <v>1684</v>
      </c>
      <c r="G231" s="2" t="str">
        <f>TRIM(SUBSTITUTE(SUBSTITUTE(SUBSTITUTE(SUBSTITUTE(tb1_supporters[[#This Row],[Phone_Raw]],"(",""),")","")," ",""),"+44",))</f>
        <v>015076424281</v>
      </c>
      <c r="H231" s="15">
        <v>29233</v>
      </c>
      <c r="I231" s="36">
        <f ca="1">IF(OR(tb1_supporters[[#This Row],[Date_of_Birth]]="",tb1_supporters[[#This Row],[Date_of_Birth]]&gt;TODAY()),"",DATEDIF(tb1_supporters[[#This Row],[Date_of_Birth]],TODAY(),"Y"))</f>
        <v>46</v>
      </c>
      <c r="J23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31" s="2" t="s">
        <v>1686</v>
      </c>
      <c r="L231" s="2" t="s">
        <v>1204</v>
      </c>
      <c r="M231" s="2" t="s">
        <v>114</v>
      </c>
      <c r="N231" s="2" t="s">
        <v>1205</v>
      </c>
      <c r="O231" s="2" t="s">
        <v>166</v>
      </c>
      <c r="P231" s="2" t="s">
        <v>65</v>
      </c>
      <c r="Q231" s="2" t="s">
        <v>192</v>
      </c>
      <c r="R231" s="15">
        <v>45352</v>
      </c>
      <c r="S231" s="2" t="s">
        <v>5</v>
      </c>
      <c r="T231" s="2" t="s">
        <v>36</v>
      </c>
      <c r="U231" s="2" t="s">
        <v>37</v>
      </c>
      <c r="V231" s="2" t="s">
        <v>37</v>
      </c>
      <c r="W231" s="4" t="s">
        <v>37</v>
      </c>
      <c r="X23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231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3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31" s="2" t="str">
        <f>IF(tb1_supporters[[#This Row],[Email]]="","",IF(COUNTIF(tb1_supporters[Email],tb1_supporters[[#This Row],[Email]])&gt;1,"Review - duplicate record, see Supporter_Duplicates tab",""))</f>
        <v/>
      </c>
      <c r="AB231" s="21" t="str">
        <f>IF(tb1_supporters[[#This Row],[Communication_Preference]]="Do Not Contact","DO NOT CONTACT","")</f>
        <v/>
      </c>
      <c r="AE231"/>
    </row>
    <row r="232" spans="1:31" x14ac:dyDescent="0.25">
      <c r="A232" s="3" t="s">
        <v>1688</v>
      </c>
      <c r="B232" s="2" t="s">
        <v>402</v>
      </c>
      <c r="C232" s="2" t="s">
        <v>1689</v>
      </c>
      <c r="D232" s="2" t="s">
        <v>496</v>
      </c>
      <c r="E232" s="2" t="s">
        <v>1690</v>
      </c>
      <c r="F232" s="2" t="s">
        <v>1691</v>
      </c>
      <c r="G232" s="2" t="str">
        <f>TRIM(SUBSTITUTE(SUBSTITUTE(SUBSTITUTE(SUBSTITUTE(tb1_supporters[[#This Row],[Phone_Raw]],"(",""),")","")," ",""),"+44",))</f>
        <v>07516618209</v>
      </c>
      <c r="H232" s="15">
        <v>21834</v>
      </c>
      <c r="I232" s="36">
        <f ca="1">IF(OR(tb1_supporters[[#This Row],[Date_of_Birth]]="",tb1_supporters[[#This Row],[Date_of_Birth]]&gt;TODAY()),"",DATEDIF(tb1_supporters[[#This Row],[Date_of_Birth]],TODAY(),"Y"))</f>
        <v>66</v>
      </c>
      <c r="J23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32" s="2" t="s">
        <v>1693</v>
      </c>
      <c r="L232" s="2" t="s">
        <v>296</v>
      </c>
      <c r="M232" s="2" t="s">
        <v>297</v>
      </c>
      <c r="N232" s="2" t="s">
        <v>298</v>
      </c>
      <c r="O232" s="2" t="s">
        <v>242</v>
      </c>
      <c r="P232" s="2" t="s">
        <v>91</v>
      </c>
      <c r="Q232" s="2" t="s">
        <v>141</v>
      </c>
      <c r="R232" s="15">
        <v>43580</v>
      </c>
      <c r="S232" s="2" t="s">
        <v>5</v>
      </c>
      <c r="T232" s="2" t="s">
        <v>37</v>
      </c>
      <c r="U232" s="2" t="s">
        <v>36</v>
      </c>
      <c r="V232" s="2" t="s">
        <v>37</v>
      </c>
      <c r="W232" s="4" t="s">
        <v>37</v>
      </c>
      <c r="X23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232" s="2" t="str">
        <f>IF(ISNUMBER(SEARCH("onal",tb1_supporters[[#This Row],[Phone_Clean]])),"Review - corrupt phone number", IF(LEN(tb1_supporters[[#This Row],[Phone_Clean]])&gt;11,"Review - too many digits",""))</f>
        <v/>
      </c>
      <c r="Z23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32" s="2" t="str">
        <f>IF(tb1_supporters[[#This Row],[Email]]="","",IF(COUNTIF(tb1_supporters[Email],tb1_supporters[[#This Row],[Email]])&gt;1,"Review - duplicate record, see Supporter_Duplicates tab",""))</f>
        <v/>
      </c>
      <c r="AB232" s="21" t="str">
        <f>IF(tb1_supporters[[#This Row],[Communication_Preference]]="Do Not Contact","DO NOT CONTACT","")</f>
        <v/>
      </c>
      <c r="AE232"/>
    </row>
    <row r="233" spans="1:31" x14ac:dyDescent="0.25">
      <c r="A233" s="3" t="s">
        <v>1695</v>
      </c>
      <c r="B233" s="2" t="s">
        <v>22</v>
      </c>
      <c r="C233" s="2" t="s">
        <v>346</v>
      </c>
      <c r="D233" s="2" t="s">
        <v>1696</v>
      </c>
      <c r="E233" s="2" t="s">
        <v>1697</v>
      </c>
      <c r="F233" s="2" t="s">
        <v>1698</v>
      </c>
      <c r="G233" s="2" t="str">
        <f>TRIM(SUBSTITUTE(SUBSTITUTE(SUBSTITUTE(SUBSTITUTE(tb1_supporters[[#This Row],[Phone_Raw]],"(",""),")","")," ",""),"+44",))</f>
        <v>01313642106</v>
      </c>
      <c r="H233" s="15">
        <v>23999</v>
      </c>
      <c r="I233" s="36">
        <f ca="1">IF(OR(tb1_supporters[[#This Row],[Date_of_Birth]]="",tb1_supporters[[#This Row],[Date_of_Birth]]&gt;TODAY()),"",DATEDIF(tb1_supporters[[#This Row],[Date_of_Birth]],TODAY(),"Y"))</f>
        <v>60</v>
      </c>
      <c r="J23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33" s="2" t="s">
        <v>1700</v>
      </c>
      <c r="L233" s="2" t="s">
        <v>150</v>
      </c>
      <c r="M233" s="2" t="s">
        <v>151</v>
      </c>
      <c r="N233" s="2" t="s">
        <v>152</v>
      </c>
      <c r="O233" s="2" t="s">
        <v>242</v>
      </c>
      <c r="P233" s="2" t="s">
        <v>33</v>
      </c>
      <c r="Q233" s="2" t="s">
        <v>243</v>
      </c>
      <c r="R233" s="15">
        <v>44394</v>
      </c>
      <c r="S233" s="2" t="s">
        <v>4</v>
      </c>
      <c r="T233" s="2" t="s">
        <v>36</v>
      </c>
      <c r="U233" s="2" t="s">
        <v>36</v>
      </c>
      <c r="V233" s="2" t="s">
        <v>37</v>
      </c>
      <c r="W233" s="4" t="s">
        <v>37</v>
      </c>
      <c r="X23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33" s="2" t="str">
        <f>IF(ISNUMBER(SEARCH("onal",tb1_supporters[[#This Row],[Phone_Clean]])),"Review - corrupt phone number", IF(LEN(tb1_supporters[[#This Row],[Phone_Clean]])&gt;11,"Review - too many digits",""))</f>
        <v/>
      </c>
      <c r="Z23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33" s="2" t="str">
        <f>IF(tb1_supporters[[#This Row],[Email]]="","",IF(COUNTIF(tb1_supporters[Email],tb1_supporters[[#This Row],[Email]])&gt;1,"Review - duplicate record, see Supporter_Duplicates tab",""))</f>
        <v/>
      </c>
      <c r="AB233" s="21" t="str">
        <f>IF(tb1_supporters[[#This Row],[Communication_Preference]]="Do Not Contact","DO NOT CONTACT","")</f>
        <v/>
      </c>
      <c r="AE233"/>
    </row>
    <row r="234" spans="1:31" x14ac:dyDescent="0.25">
      <c r="A234" s="3" t="s">
        <v>1702</v>
      </c>
      <c r="B234" s="2" t="s">
        <v>235</v>
      </c>
      <c r="C234" s="2" t="s">
        <v>1703</v>
      </c>
      <c r="D234" s="2" t="s">
        <v>338</v>
      </c>
      <c r="E234" s="2" t="s">
        <v>4869</v>
      </c>
      <c r="F234" s="2" t="s">
        <v>1704</v>
      </c>
      <c r="G234" s="2" t="str">
        <f>TRIM(SUBSTITUTE(SUBSTITUTE(SUBSTITUTE(SUBSTITUTE(tb1_supporters[[#This Row],[Phone_Raw]],"(",""),")","")," ",""),"+44",))</f>
        <v>07462323687</v>
      </c>
      <c r="H234" s="15">
        <v>28299</v>
      </c>
      <c r="I234" s="36">
        <f ca="1">IF(OR(tb1_supporters[[#This Row],[Date_of_Birth]]="",tb1_supporters[[#This Row],[Date_of_Birth]]&gt;TODAY()),"",DATEDIF(tb1_supporters[[#This Row],[Date_of_Birth]],TODAY(),"Y"))</f>
        <v>48</v>
      </c>
      <c r="J23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34" s="2" t="s">
        <v>1706</v>
      </c>
      <c r="L234" s="2" t="s">
        <v>150</v>
      </c>
      <c r="M234" s="2" t="s">
        <v>151</v>
      </c>
      <c r="N234" s="2" t="s">
        <v>152</v>
      </c>
      <c r="O234" s="2" t="s">
        <v>242</v>
      </c>
      <c r="P234" s="2" t="s">
        <v>33</v>
      </c>
      <c r="Q234" s="2" t="s">
        <v>66</v>
      </c>
      <c r="R234" s="15">
        <v>43918</v>
      </c>
      <c r="S234" s="2" t="s">
        <v>93</v>
      </c>
      <c r="T234" s="2" t="s">
        <v>36</v>
      </c>
      <c r="U234" s="2" t="s">
        <v>36</v>
      </c>
      <c r="V234" s="2" t="s">
        <v>36</v>
      </c>
      <c r="W234" s="4" t="s">
        <v>36</v>
      </c>
      <c r="X23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34" s="2" t="str">
        <f>IF(ISNUMBER(SEARCH("onal",tb1_supporters[[#This Row],[Phone_Clean]])),"Review - corrupt phone number", IF(LEN(tb1_supporters[[#This Row],[Phone_Clean]])&gt;11,"Review - too many digits",""))</f>
        <v/>
      </c>
      <c r="Z23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34" s="2" t="str">
        <f>IF(tb1_supporters[[#This Row],[Email]]="","",IF(COUNTIF(tb1_supporters[Email],tb1_supporters[[#This Row],[Email]])&gt;1,"Review - duplicate record, see Supporter_Duplicates tab",""))</f>
        <v/>
      </c>
      <c r="AB234" s="21" t="str">
        <f>IF(tb1_supporters[[#This Row],[Communication_Preference]]="Do Not Contact","DO NOT CONTACT","")</f>
        <v/>
      </c>
      <c r="AE234"/>
    </row>
    <row r="235" spans="1:31" x14ac:dyDescent="0.25">
      <c r="A235" s="3" t="s">
        <v>1708</v>
      </c>
      <c r="B235" s="2" t="s">
        <v>54</v>
      </c>
      <c r="C235" s="2" t="s">
        <v>301</v>
      </c>
      <c r="D235" s="2" t="s">
        <v>56</v>
      </c>
      <c r="E235" s="2" t="s">
        <v>1709</v>
      </c>
      <c r="F235" s="2" t="s">
        <v>1710</v>
      </c>
      <c r="G235" s="2" t="str">
        <f>TRIM(SUBSTITUTE(SUBSTITUTE(SUBSTITUTE(SUBSTITUTE(tb1_supporters[[#This Row],[Phone_Raw]],"(",""),")","")," ",""),"+44",))</f>
        <v>7106882977</v>
      </c>
      <c r="H235" s="15">
        <v>21854</v>
      </c>
      <c r="I235" s="36">
        <f ca="1">IF(OR(tb1_supporters[[#This Row],[Date_of_Birth]]="",tb1_supporters[[#This Row],[Date_of_Birth]]&gt;TODAY()),"",DATEDIF(tb1_supporters[[#This Row],[Date_of_Birth]],TODAY(),"Y"))</f>
        <v>66</v>
      </c>
      <c r="J23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35" s="2" t="s">
        <v>1712</v>
      </c>
      <c r="L235" s="2" t="s">
        <v>163</v>
      </c>
      <c r="M235" s="2" t="s">
        <v>164</v>
      </c>
      <c r="N235" s="2" t="s">
        <v>165</v>
      </c>
      <c r="O235" s="2" t="s">
        <v>166</v>
      </c>
      <c r="P235" s="2" t="s">
        <v>153</v>
      </c>
      <c r="Q235" s="2" t="s">
        <v>141</v>
      </c>
      <c r="R235" s="15">
        <v>45643</v>
      </c>
      <c r="S235" s="2" t="s">
        <v>52</v>
      </c>
      <c r="T235" s="2" t="s">
        <v>36</v>
      </c>
      <c r="U235" s="2" t="s">
        <v>36</v>
      </c>
      <c r="V235" s="2" t="s">
        <v>37</v>
      </c>
      <c r="W235" s="4" t="s">
        <v>37</v>
      </c>
      <c r="X23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35" s="2" t="str">
        <f>IF(ISNUMBER(SEARCH("onal",tb1_supporters[[#This Row],[Phone_Clean]])),"Review - corrupt phone number", IF(LEN(tb1_supporters[[#This Row],[Phone_Clean]])&gt;11,"Review - too many digits",""))</f>
        <v/>
      </c>
      <c r="Z23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35" s="2" t="str">
        <f>IF(tb1_supporters[[#This Row],[Email]]="","",IF(COUNTIF(tb1_supporters[Email],tb1_supporters[[#This Row],[Email]])&gt;1,"Review - duplicate record, see Supporter_Duplicates tab",""))</f>
        <v/>
      </c>
      <c r="AB235" s="21" t="str">
        <f>IF(tb1_supporters[[#This Row],[Communication_Preference]]="Do Not Contact","DO NOT CONTACT","")</f>
        <v/>
      </c>
      <c r="AE235"/>
    </row>
    <row r="236" spans="1:31" x14ac:dyDescent="0.25">
      <c r="A236" s="3" t="s">
        <v>1714</v>
      </c>
      <c r="B236" s="2"/>
      <c r="C236" s="2" t="s">
        <v>448</v>
      </c>
      <c r="D236" s="2" t="s">
        <v>1174</v>
      </c>
      <c r="E236" s="2" t="s">
        <v>1715</v>
      </c>
      <c r="F236" s="2" t="s">
        <v>1716</v>
      </c>
      <c r="G236" s="2" t="str">
        <f>TRIM(SUBSTITUTE(SUBSTITUTE(SUBSTITUTE(SUBSTITUTE(tb1_supporters[[#This Row],[Phone_Raw]],"(",""),")","")," ",""),"+44",))</f>
        <v>7133614455</v>
      </c>
      <c r="H236" s="15">
        <v>25653</v>
      </c>
      <c r="I236" s="36">
        <f ca="1">IF(OR(tb1_supporters[[#This Row],[Date_of_Birth]]="",tb1_supporters[[#This Row],[Date_of_Birth]]&gt;TODAY()),"",DATEDIF(tb1_supporters[[#This Row],[Date_of_Birth]],TODAY(),"Y"))</f>
        <v>56</v>
      </c>
      <c r="J23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36" s="2" t="s">
        <v>1718</v>
      </c>
      <c r="L236" s="2" t="s">
        <v>29</v>
      </c>
      <c r="M236" s="2" t="s">
        <v>30</v>
      </c>
      <c r="N236" s="2" t="s">
        <v>31</v>
      </c>
      <c r="O236" s="2" t="s">
        <v>166</v>
      </c>
      <c r="P236" s="2" t="s">
        <v>117</v>
      </c>
      <c r="Q236" s="2" t="s">
        <v>66</v>
      </c>
      <c r="R236" s="15">
        <v>43594</v>
      </c>
      <c r="S236" s="2" t="s">
        <v>4</v>
      </c>
      <c r="T236" s="2" t="s">
        <v>37</v>
      </c>
      <c r="U236" s="2" t="s">
        <v>36</v>
      </c>
      <c r="V236" s="2" t="s">
        <v>36</v>
      </c>
      <c r="W236" s="4" t="s">
        <v>36</v>
      </c>
      <c r="X23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236" s="2" t="str">
        <f>IF(ISNUMBER(SEARCH("onal",tb1_supporters[[#This Row],[Phone_Clean]])),"Review - corrupt phone number", IF(LEN(tb1_supporters[[#This Row],[Phone_Clean]])&gt;11,"Review - too many digits",""))</f>
        <v/>
      </c>
      <c r="Z23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36" s="2" t="str">
        <f>IF(tb1_supporters[[#This Row],[Email]]="","",IF(COUNTIF(tb1_supporters[Email],tb1_supporters[[#This Row],[Email]])&gt;1,"Review - duplicate record, see Supporter_Duplicates tab",""))</f>
        <v/>
      </c>
      <c r="AB236" s="21" t="str">
        <f>IF(tb1_supporters[[#This Row],[Communication_Preference]]="Do Not Contact","DO NOT CONTACT","")</f>
        <v/>
      </c>
      <c r="AE236"/>
    </row>
    <row r="237" spans="1:31" x14ac:dyDescent="0.25">
      <c r="A237" s="3" t="s">
        <v>1720</v>
      </c>
      <c r="B237" s="2" t="s">
        <v>235</v>
      </c>
      <c r="C237" s="2" t="s">
        <v>346</v>
      </c>
      <c r="D237" s="2" t="s">
        <v>473</v>
      </c>
      <c r="E237" s="2" t="s">
        <v>1721</v>
      </c>
      <c r="F237" s="2" t="s">
        <v>1722</v>
      </c>
      <c r="G237" s="2" t="str">
        <f>TRIM(SUBSTITUTE(SUBSTITUTE(SUBSTITUTE(SUBSTITUTE(tb1_supporters[[#This Row],[Phone_Raw]],"(",""),")","")," ",""),"+44",))</f>
        <v>07582727451</v>
      </c>
      <c r="H237" s="15">
        <v>33793</v>
      </c>
      <c r="I237" s="36">
        <f ca="1">IF(OR(tb1_supporters[[#This Row],[Date_of_Birth]]="",tb1_supporters[[#This Row],[Date_of_Birth]]&gt;TODAY()),"",DATEDIF(tb1_supporters[[#This Row],[Date_of_Birth]],TODAY(),"Y"))</f>
        <v>33</v>
      </c>
      <c r="J23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37" s="2" t="s">
        <v>1724</v>
      </c>
      <c r="L237" s="2" t="s">
        <v>668</v>
      </c>
      <c r="M237" s="2" t="s">
        <v>669</v>
      </c>
      <c r="N237" s="2" t="s">
        <v>670</v>
      </c>
      <c r="O237" s="2" t="s">
        <v>242</v>
      </c>
      <c r="P237" s="2" t="s">
        <v>153</v>
      </c>
      <c r="Q237" s="2" t="s">
        <v>66</v>
      </c>
      <c r="R237" s="15">
        <v>43963</v>
      </c>
      <c r="S237" s="2" t="s">
        <v>5</v>
      </c>
      <c r="T237" s="2" t="s">
        <v>36</v>
      </c>
      <c r="U237" s="2" t="s">
        <v>36</v>
      </c>
      <c r="V237" s="2" t="s">
        <v>36</v>
      </c>
      <c r="W237" s="4" t="s">
        <v>37</v>
      </c>
      <c r="X23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37" s="2" t="str">
        <f>IF(ISNUMBER(SEARCH("onal",tb1_supporters[[#This Row],[Phone_Clean]])),"Review - corrupt phone number", IF(LEN(tb1_supporters[[#This Row],[Phone_Clean]])&gt;11,"Review - too many digits",""))</f>
        <v/>
      </c>
      <c r="Z23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37" s="2" t="str">
        <f>IF(tb1_supporters[[#This Row],[Email]]="","",IF(COUNTIF(tb1_supporters[Email],tb1_supporters[[#This Row],[Email]])&gt;1,"Review - duplicate record, see Supporter_Duplicates tab",""))</f>
        <v/>
      </c>
      <c r="AB237" s="21" t="str">
        <f>IF(tb1_supporters[[#This Row],[Communication_Preference]]="Do Not Contact","DO NOT CONTACT","")</f>
        <v/>
      </c>
      <c r="AE237"/>
    </row>
    <row r="238" spans="1:31" x14ac:dyDescent="0.25">
      <c r="A238" s="3" t="s">
        <v>1726</v>
      </c>
      <c r="B238" s="2" t="s">
        <v>235</v>
      </c>
      <c r="C238" s="2" t="s">
        <v>655</v>
      </c>
      <c r="D238" s="2" t="s">
        <v>237</v>
      </c>
      <c r="E238" s="2" t="s">
        <v>1727</v>
      </c>
      <c r="F238" s="2" t="s">
        <v>1728</v>
      </c>
      <c r="G238" s="2" t="str">
        <f>TRIM(SUBSTITUTE(SUBSTITUTE(SUBSTITUTE(SUBSTITUTE(tb1_supporters[[#This Row],[Phone_Raw]],"(",""),")","")," ",""),"+44",))</f>
        <v>7542976490</v>
      </c>
      <c r="H238" s="15">
        <v>12092</v>
      </c>
      <c r="I238" s="36">
        <f ca="1">IF(OR(tb1_supporters[[#This Row],[Date_of_Birth]]="",tb1_supporters[[#This Row],[Date_of_Birth]]&gt;TODAY()),"",DATEDIF(tb1_supporters[[#This Row],[Date_of_Birth]],TODAY(),"Y"))</f>
        <v>93</v>
      </c>
      <c r="J23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38" s="2" t="s">
        <v>1730</v>
      </c>
      <c r="L238" s="2" t="s">
        <v>387</v>
      </c>
      <c r="M238" s="2" t="s">
        <v>388</v>
      </c>
      <c r="N238" s="2" t="s">
        <v>389</v>
      </c>
      <c r="O238" s="2" t="s">
        <v>242</v>
      </c>
      <c r="P238" s="2" t="s">
        <v>117</v>
      </c>
      <c r="Q238" s="2" t="s">
        <v>66</v>
      </c>
      <c r="R238" s="15">
        <v>43140</v>
      </c>
      <c r="S238" s="2" t="s">
        <v>93</v>
      </c>
      <c r="T238" s="2" t="s">
        <v>36</v>
      </c>
      <c r="U238" s="2" t="s">
        <v>36</v>
      </c>
      <c r="V238" s="2" t="s">
        <v>37</v>
      </c>
      <c r="W238" s="4" t="s">
        <v>36</v>
      </c>
      <c r="X23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38" s="2" t="str">
        <f>IF(ISNUMBER(SEARCH("onal",tb1_supporters[[#This Row],[Phone_Clean]])),"Review - corrupt phone number", IF(LEN(tb1_supporters[[#This Row],[Phone_Clean]])&gt;11,"Review - too many digits",""))</f>
        <v/>
      </c>
      <c r="Z23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38" s="2" t="str">
        <f>IF(tb1_supporters[[#This Row],[Email]]="","",IF(COUNTIF(tb1_supporters[Email],tb1_supporters[[#This Row],[Email]])&gt;1,"Review - duplicate record, see Supporter_Duplicates tab",""))</f>
        <v/>
      </c>
      <c r="AB238" s="21" t="str">
        <f>IF(tb1_supporters[[#This Row],[Communication_Preference]]="Do Not Contact","DO NOT CONTACT","")</f>
        <v/>
      </c>
      <c r="AE238"/>
    </row>
    <row r="239" spans="1:31" x14ac:dyDescent="0.25">
      <c r="A239" s="3" t="s">
        <v>1732</v>
      </c>
      <c r="B239" s="2" t="s">
        <v>402</v>
      </c>
      <c r="C239" s="2" t="s">
        <v>809</v>
      </c>
      <c r="D239" s="2" t="s">
        <v>819</v>
      </c>
      <c r="E239" s="2" t="s">
        <v>1733</v>
      </c>
      <c r="F239" s="2" t="s">
        <v>1734</v>
      </c>
      <c r="G239" s="2" t="str">
        <f>TRIM(SUBSTITUTE(SUBSTITUTE(SUBSTITUTE(SUBSTITUTE(tb1_supporters[[#This Row],[Phone_Raw]],"(",""),")","")," ",""),"+44",))</f>
        <v>07807267161</v>
      </c>
      <c r="H239" s="15">
        <v>27672</v>
      </c>
      <c r="I239" s="36">
        <f ca="1">IF(OR(tb1_supporters[[#This Row],[Date_of_Birth]]="",tb1_supporters[[#This Row],[Date_of_Birth]]&gt;TODAY()),"",DATEDIF(tb1_supporters[[#This Row],[Date_of_Birth]],TODAY(),"Y"))</f>
        <v>50</v>
      </c>
      <c r="J23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39" s="2" t="s">
        <v>1736</v>
      </c>
      <c r="L239" s="2" t="s">
        <v>219</v>
      </c>
      <c r="M239" s="2" t="s">
        <v>220</v>
      </c>
      <c r="N239" s="2" t="s">
        <v>221</v>
      </c>
      <c r="O239" s="2" t="s">
        <v>242</v>
      </c>
      <c r="P239" s="2" t="s">
        <v>153</v>
      </c>
      <c r="Q239" s="2" t="s">
        <v>243</v>
      </c>
      <c r="R239" s="15">
        <v>45680</v>
      </c>
      <c r="S239" s="2" t="s">
        <v>5</v>
      </c>
      <c r="T239" s="2" t="s">
        <v>36</v>
      </c>
      <c r="U239" s="2" t="s">
        <v>36</v>
      </c>
      <c r="V239" s="2" t="s">
        <v>37</v>
      </c>
      <c r="W239" s="4" t="s">
        <v>37</v>
      </c>
      <c r="X23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239" s="2" t="str">
        <f>IF(ISNUMBER(SEARCH("onal",tb1_supporters[[#This Row],[Phone_Clean]])),"Review - corrupt phone number", IF(LEN(tb1_supporters[[#This Row],[Phone_Clean]])&gt;11,"Review - too many digits",""))</f>
        <v/>
      </c>
      <c r="Z23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39" s="2" t="str">
        <f>IF(tb1_supporters[[#This Row],[Email]]="","",IF(COUNTIF(tb1_supporters[Email],tb1_supporters[[#This Row],[Email]])&gt;1,"Review - duplicate record, see Supporter_Duplicates tab",""))</f>
        <v/>
      </c>
      <c r="AB239" s="21" t="str">
        <f>IF(tb1_supporters[[#This Row],[Communication_Preference]]="Do Not Contact","DO NOT CONTACT","")</f>
        <v/>
      </c>
      <c r="AE239"/>
    </row>
    <row r="240" spans="1:31" x14ac:dyDescent="0.25">
      <c r="A240" s="3" t="s">
        <v>1738</v>
      </c>
      <c r="B240" s="2"/>
      <c r="C240" s="2" t="s">
        <v>185</v>
      </c>
      <c r="D240" s="2" t="s">
        <v>711</v>
      </c>
      <c r="E240" s="2" t="s">
        <v>1739</v>
      </c>
      <c r="F240" s="2" t="s">
        <v>1740</v>
      </c>
      <c r="G240" s="2" t="str">
        <f>TRIM(SUBSTITUTE(SUBSTITUTE(SUBSTITUTE(SUBSTITUTE(tb1_supporters[[#This Row],[Phone_Raw]],"(",""),")","")," ",""),"+44",))</f>
        <v>017742599821</v>
      </c>
      <c r="H240" s="15">
        <v>15232</v>
      </c>
      <c r="I240" s="36">
        <f ca="1">IF(OR(tb1_supporters[[#This Row],[Date_of_Birth]]="",tb1_supporters[[#This Row],[Date_of_Birth]]&gt;TODAY()),"",DATEDIF(tb1_supporters[[#This Row],[Date_of_Birth]],TODAY(),"Y"))</f>
        <v>84</v>
      </c>
      <c r="J24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40" s="2" t="s">
        <v>1742</v>
      </c>
      <c r="L240" s="2" t="s">
        <v>650</v>
      </c>
      <c r="M240" s="2" t="s">
        <v>651</v>
      </c>
      <c r="N240" s="2" t="s">
        <v>652</v>
      </c>
      <c r="O240" s="2" t="s">
        <v>166</v>
      </c>
      <c r="P240" s="2" t="s">
        <v>91</v>
      </c>
      <c r="Q240" s="2" t="s">
        <v>141</v>
      </c>
      <c r="R240" s="15">
        <v>44432</v>
      </c>
      <c r="S240" s="2" t="s">
        <v>4</v>
      </c>
      <c r="T240" s="2" t="s">
        <v>37</v>
      </c>
      <c r="U240" s="2" t="s">
        <v>36</v>
      </c>
      <c r="V240" s="2" t="s">
        <v>37</v>
      </c>
      <c r="W240" s="4" t="s">
        <v>37</v>
      </c>
      <c r="X24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240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4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40" s="2" t="str">
        <f>IF(tb1_supporters[[#This Row],[Email]]="","",IF(COUNTIF(tb1_supporters[Email],tb1_supporters[[#This Row],[Email]])&gt;1,"Review - duplicate record, see Supporter_Duplicates tab",""))</f>
        <v/>
      </c>
      <c r="AB240" s="21" t="str">
        <f>IF(tb1_supporters[[#This Row],[Communication_Preference]]="Do Not Contact","DO NOT CONTACT","")</f>
        <v/>
      </c>
      <c r="AE240"/>
    </row>
    <row r="241" spans="1:31" x14ac:dyDescent="0.25">
      <c r="A241" s="3" t="s">
        <v>1744</v>
      </c>
      <c r="B241" s="2" t="s">
        <v>54</v>
      </c>
      <c r="C241" s="2" t="s">
        <v>55</v>
      </c>
      <c r="D241" s="2" t="s">
        <v>108</v>
      </c>
      <c r="E241" s="2" t="s">
        <v>1745</v>
      </c>
      <c r="F241" s="2" t="s">
        <v>1746</v>
      </c>
      <c r="G241" s="2" t="str">
        <f>TRIM(SUBSTITUTE(SUBSTITUTE(SUBSTITUTE(SUBSTITUTE(tb1_supporters[[#This Row],[Phone_Raw]],"(",""),")","")," ",""),"+44",))</f>
        <v>017876312168</v>
      </c>
      <c r="H241" s="15"/>
      <c r="I241" s="36" t="str">
        <f ca="1">IF(OR(tb1_supporters[[#This Row],[Date_of_Birth]]="",tb1_supporters[[#This Row],[Date_of_Birth]]&gt;TODAY()),"",DATEDIF(tb1_supporters[[#This Row],[Date_of_Birth]],TODAY(),"Y"))</f>
        <v/>
      </c>
      <c r="J24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241" s="2" t="s">
        <v>1747</v>
      </c>
      <c r="L241" s="2" t="s">
        <v>1204</v>
      </c>
      <c r="M241" s="2" t="s">
        <v>114</v>
      </c>
      <c r="N241" s="2" t="s">
        <v>1205</v>
      </c>
      <c r="O241" s="2" t="s">
        <v>166</v>
      </c>
      <c r="P241" s="2" t="s">
        <v>49</v>
      </c>
      <c r="Q241" s="2" t="s">
        <v>154</v>
      </c>
      <c r="R241" s="15">
        <v>44385</v>
      </c>
      <c r="S241" s="2" t="s">
        <v>4</v>
      </c>
      <c r="T241" s="2" t="s">
        <v>36</v>
      </c>
      <c r="U241" s="2" t="s">
        <v>36</v>
      </c>
      <c r="V241" s="2" t="s">
        <v>37</v>
      </c>
      <c r="W241" s="4" t="s">
        <v>37</v>
      </c>
      <c r="X24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41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4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241" s="2" t="str">
        <f>IF(tb1_supporters[[#This Row],[Email]]="","",IF(COUNTIF(tb1_supporters[Email],tb1_supporters[[#This Row],[Email]])&gt;1,"Review - duplicate record, see Supporter_Duplicates tab",""))</f>
        <v/>
      </c>
      <c r="AB241" s="21" t="str">
        <f>IF(tb1_supporters[[#This Row],[Communication_Preference]]="Do Not Contact","DO NOT CONTACT","")</f>
        <v/>
      </c>
      <c r="AE241"/>
    </row>
    <row r="242" spans="1:31" x14ac:dyDescent="0.25">
      <c r="A242" s="3" t="s">
        <v>1749</v>
      </c>
      <c r="B242" s="2" t="s">
        <v>22</v>
      </c>
      <c r="C242" s="2" t="s">
        <v>1689</v>
      </c>
      <c r="D242" s="2" t="s">
        <v>121</v>
      </c>
      <c r="E242" s="2" t="s">
        <v>1750</v>
      </c>
      <c r="F242" s="2" t="s">
        <v>1751</v>
      </c>
      <c r="G242" s="2" t="str">
        <f>TRIM(SUBSTITUTE(SUBSTITUTE(SUBSTITUTE(SUBSTITUTE(tb1_supporters[[#This Row],[Phone_Raw]],"(",""),")","")," ",""),"+44",))</f>
        <v>07974123228</v>
      </c>
      <c r="H242" s="15">
        <v>24668</v>
      </c>
      <c r="I242" s="36">
        <f ca="1">IF(OR(tb1_supporters[[#This Row],[Date_of_Birth]]="",tb1_supporters[[#This Row],[Date_of_Birth]]&gt;TODAY()),"",DATEDIF(tb1_supporters[[#This Row],[Date_of_Birth]],TODAY(),"Y"))</f>
        <v>58</v>
      </c>
      <c r="J24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42" s="2" t="s">
        <v>1753</v>
      </c>
      <c r="L242" s="2" t="s">
        <v>1285</v>
      </c>
      <c r="M242" s="2" t="s">
        <v>1286</v>
      </c>
      <c r="N242" s="2" t="s">
        <v>1287</v>
      </c>
      <c r="O242" s="2" t="s">
        <v>242</v>
      </c>
      <c r="P242" s="2" t="s">
        <v>91</v>
      </c>
      <c r="Q242" s="2" t="s">
        <v>4888</v>
      </c>
      <c r="R242" s="15">
        <v>43428</v>
      </c>
      <c r="S242" s="2" t="s">
        <v>4</v>
      </c>
      <c r="T242" s="2" t="s">
        <v>36</v>
      </c>
      <c r="U242" s="2" t="s">
        <v>36</v>
      </c>
      <c r="V242" s="2" t="s">
        <v>37</v>
      </c>
      <c r="W242" s="4" t="s">
        <v>36</v>
      </c>
      <c r="X24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42" s="2" t="str">
        <f>IF(ISNUMBER(SEARCH("onal",tb1_supporters[[#This Row],[Phone_Clean]])),"Review - corrupt phone number", IF(LEN(tb1_supporters[[#This Row],[Phone_Clean]])&gt;11,"Review - too many digits",""))</f>
        <v/>
      </c>
      <c r="Z24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42" s="2" t="str">
        <f>IF(tb1_supporters[[#This Row],[Email]]="","",IF(COUNTIF(tb1_supporters[Email],tb1_supporters[[#This Row],[Email]])&gt;1,"Review - duplicate record, see Supporter_Duplicates tab",""))</f>
        <v/>
      </c>
      <c r="AB242" s="21" t="str">
        <f>IF(tb1_supporters[[#This Row],[Communication_Preference]]="Do Not Contact","DO NOT CONTACT","")</f>
        <v/>
      </c>
      <c r="AE242"/>
    </row>
    <row r="243" spans="1:31" x14ac:dyDescent="0.25">
      <c r="A243" s="3" t="s">
        <v>1755</v>
      </c>
      <c r="B243" s="2" t="s">
        <v>54</v>
      </c>
      <c r="C243" s="2" t="s">
        <v>290</v>
      </c>
      <c r="D243" s="2" t="s">
        <v>711</v>
      </c>
      <c r="E243" s="2" t="s">
        <v>1756</v>
      </c>
      <c r="F243" s="2" t="s">
        <v>1757</v>
      </c>
      <c r="G243" s="2" t="str">
        <f>TRIM(SUBSTITUTE(SUBSTITUTE(SUBSTITUTE(SUBSTITUTE(tb1_supporters[[#This Row],[Phone_Raw]],"(",""),")","")," ",""),"+44",))</f>
        <v>7259186770</v>
      </c>
      <c r="H243" s="15">
        <v>35600</v>
      </c>
      <c r="I243" s="36">
        <f ca="1">IF(OR(tb1_supporters[[#This Row],[Date_of_Birth]]="",tb1_supporters[[#This Row],[Date_of_Birth]]&gt;TODAY()),"",DATEDIF(tb1_supporters[[#This Row],[Date_of_Birth]],TODAY(),"Y"))</f>
        <v>28</v>
      </c>
      <c r="J24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43" s="2" t="s">
        <v>1759</v>
      </c>
      <c r="L243" s="2" t="s">
        <v>693</v>
      </c>
      <c r="M243" s="2" t="s">
        <v>694</v>
      </c>
      <c r="N243" s="2" t="s">
        <v>695</v>
      </c>
      <c r="O243" s="2" t="s">
        <v>166</v>
      </c>
      <c r="P243" s="2" t="s">
        <v>33</v>
      </c>
      <c r="Q243" s="2" t="s">
        <v>154</v>
      </c>
      <c r="R243" s="15">
        <v>44442</v>
      </c>
      <c r="S243" s="2" t="s">
        <v>93</v>
      </c>
      <c r="T243" s="2" t="s">
        <v>36</v>
      </c>
      <c r="U243" s="2" t="s">
        <v>36</v>
      </c>
      <c r="V243" s="2" t="s">
        <v>36</v>
      </c>
      <c r="W243" s="4" t="s">
        <v>37</v>
      </c>
      <c r="X24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43" s="2" t="str">
        <f>IF(ISNUMBER(SEARCH("onal",tb1_supporters[[#This Row],[Phone_Clean]])),"Review - corrupt phone number", IF(LEN(tb1_supporters[[#This Row],[Phone_Clean]])&gt;11,"Review - too many digits",""))</f>
        <v/>
      </c>
      <c r="Z24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43" s="2" t="str">
        <f>IF(tb1_supporters[[#This Row],[Email]]="","",IF(COUNTIF(tb1_supporters[Email],tb1_supporters[[#This Row],[Email]])&gt;1,"Review - duplicate record, see Supporter_Duplicates tab",""))</f>
        <v/>
      </c>
      <c r="AB243" s="21" t="str">
        <f>IF(tb1_supporters[[#This Row],[Communication_Preference]]="Do Not Contact","DO NOT CONTACT","")</f>
        <v/>
      </c>
      <c r="AE243"/>
    </row>
    <row r="244" spans="1:31" x14ac:dyDescent="0.25">
      <c r="A244" s="3" t="s">
        <v>1761</v>
      </c>
      <c r="B244" s="2" t="s">
        <v>4866</v>
      </c>
      <c r="C244" s="2" t="s">
        <v>1429</v>
      </c>
      <c r="D244" s="2" t="s">
        <v>186</v>
      </c>
      <c r="E244" s="2" t="s">
        <v>1762</v>
      </c>
      <c r="F244" s="2" t="s">
        <v>1763</v>
      </c>
      <c r="G244" s="2" t="str">
        <f>TRIM(SUBSTITUTE(SUBSTITUTE(SUBSTITUTE(SUBSTITUTE(tb1_supporters[[#This Row],[Phone_Raw]],"(",""),")","")," ",""),"+44",))</f>
        <v>07814652281</v>
      </c>
      <c r="H244" s="15">
        <v>26306</v>
      </c>
      <c r="I244" s="36">
        <f ca="1">IF(OR(tb1_supporters[[#This Row],[Date_of_Birth]]="",tb1_supporters[[#This Row],[Date_of_Birth]]&gt;TODAY()),"",DATEDIF(tb1_supporters[[#This Row],[Date_of_Birth]],TODAY(),"Y"))</f>
        <v>54</v>
      </c>
      <c r="J24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44" s="2" t="s">
        <v>1765</v>
      </c>
      <c r="L244" s="2" t="s">
        <v>370</v>
      </c>
      <c r="M244" s="2" t="s">
        <v>371</v>
      </c>
      <c r="N244" s="2" t="s">
        <v>602</v>
      </c>
      <c r="O244" s="2" t="s">
        <v>166</v>
      </c>
      <c r="P244" s="2" t="s">
        <v>153</v>
      </c>
      <c r="Q244" s="2" t="s">
        <v>4888</v>
      </c>
      <c r="R244" s="15">
        <v>45411</v>
      </c>
      <c r="S244" s="2" t="s">
        <v>5</v>
      </c>
      <c r="T244" s="2" t="s">
        <v>36</v>
      </c>
      <c r="U244" s="2" t="s">
        <v>37</v>
      </c>
      <c r="V244" s="2" t="s">
        <v>37</v>
      </c>
      <c r="W244" s="4" t="s">
        <v>37</v>
      </c>
      <c r="X24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244" s="2" t="str">
        <f>IF(ISNUMBER(SEARCH("onal",tb1_supporters[[#This Row],[Phone_Clean]])),"Review - corrupt phone number", IF(LEN(tb1_supporters[[#This Row],[Phone_Clean]])&gt;11,"Review - too many digits",""))</f>
        <v/>
      </c>
      <c r="Z24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44" s="2" t="str">
        <f>IF(tb1_supporters[[#This Row],[Email]]="","",IF(COUNTIF(tb1_supporters[Email],tb1_supporters[[#This Row],[Email]])&gt;1,"Review - duplicate record, see Supporter_Duplicates tab",""))</f>
        <v/>
      </c>
      <c r="AB244" s="21" t="str">
        <f>IF(tb1_supporters[[#This Row],[Communication_Preference]]="Do Not Contact","DO NOT CONTACT","")</f>
        <v/>
      </c>
      <c r="AE244"/>
    </row>
    <row r="245" spans="1:31" x14ac:dyDescent="0.25">
      <c r="A245" s="3" t="s">
        <v>1767</v>
      </c>
      <c r="B245" s="2" t="s">
        <v>235</v>
      </c>
      <c r="C245" s="2" t="s">
        <v>851</v>
      </c>
      <c r="D245" s="2" t="s">
        <v>755</v>
      </c>
      <c r="E245" s="2" t="s">
        <v>1768</v>
      </c>
      <c r="F245" s="2" t="s">
        <v>1769</v>
      </c>
      <c r="G245" s="2" t="str">
        <f>TRIM(SUBSTITUTE(SUBSTITUTE(SUBSTITUTE(SUBSTITUTE(tb1_supporters[[#This Row],[Phone_Raw]],"(",""),")","")," ",""),"+44",))</f>
        <v>07410110100</v>
      </c>
      <c r="H245" s="15">
        <v>29553</v>
      </c>
      <c r="I245" s="36">
        <f ca="1">IF(OR(tb1_supporters[[#This Row],[Date_of_Birth]]="",tb1_supporters[[#This Row],[Date_of_Birth]]&gt;TODAY()),"",DATEDIF(tb1_supporters[[#This Row],[Date_of_Birth]],TODAY(),"Y"))</f>
        <v>45</v>
      </c>
      <c r="J24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45" s="2" t="s">
        <v>1771</v>
      </c>
      <c r="L245" s="2" t="s">
        <v>408</v>
      </c>
      <c r="M245" s="2" t="s">
        <v>409</v>
      </c>
      <c r="N245" s="2" t="s">
        <v>410</v>
      </c>
      <c r="O245" s="2" t="s">
        <v>242</v>
      </c>
      <c r="P245" s="2" t="s">
        <v>49</v>
      </c>
      <c r="Q245" s="2" t="s">
        <v>141</v>
      </c>
      <c r="R245" s="15">
        <v>45022</v>
      </c>
      <c r="S245" s="2" t="s">
        <v>93</v>
      </c>
      <c r="T245" s="2" t="s">
        <v>37</v>
      </c>
      <c r="U245" s="2" t="s">
        <v>36</v>
      </c>
      <c r="V245" s="2" t="s">
        <v>37</v>
      </c>
      <c r="W245" s="4" t="s">
        <v>37</v>
      </c>
      <c r="X24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45" s="2" t="str">
        <f>IF(ISNUMBER(SEARCH("onal",tb1_supporters[[#This Row],[Phone_Clean]])),"Review - corrupt phone number", IF(LEN(tb1_supporters[[#This Row],[Phone_Clean]])&gt;11,"Review - too many digits",""))</f>
        <v/>
      </c>
      <c r="Z24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45" s="2" t="str">
        <f>IF(tb1_supporters[[#This Row],[Email]]="","",IF(COUNTIF(tb1_supporters[Email],tb1_supporters[[#This Row],[Email]])&gt;1,"Review - duplicate record, see Supporter_Duplicates tab",""))</f>
        <v/>
      </c>
      <c r="AB245" s="21" t="str">
        <f>IF(tb1_supporters[[#This Row],[Communication_Preference]]="Do Not Contact","DO NOT CONTACT","")</f>
        <v/>
      </c>
      <c r="AE245"/>
    </row>
    <row r="246" spans="1:31" x14ac:dyDescent="0.25">
      <c r="A246" s="3" t="s">
        <v>1773</v>
      </c>
      <c r="B246" s="2" t="s">
        <v>22</v>
      </c>
      <c r="C246" s="2" t="s">
        <v>40</v>
      </c>
      <c r="D246" s="2" t="s">
        <v>258</v>
      </c>
      <c r="E246" s="2" t="s">
        <v>1774</v>
      </c>
      <c r="F246" s="2" t="s">
        <v>1775</v>
      </c>
      <c r="G246" s="2" t="str">
        <f>TRIM(SUBSTITUTE(SUBSTITUTE(SUBSTITUTE(SUBSTITUTE(tb1_supporters[[#This Row],[Phone_Raw]],"(",""),")","")," ",""),"+44",))</f>
        <v>07521674547</v>
      </c>
      <c r="H246" s="15"/>
      <c r="I246" s="36" t="str">
        <f ca="1">IF(OR(tb1_supporters[[#This Row],[Date_of_Birth]]="",tb1_supporters[[#This Row],[Date_of_Birth]]&gt;TODAY()),"",DATEDIF(tb1_supporters[[#This Row],[Date_of_Birth]],TODAY(),"Y"))</f>
        <v/>
      </c>
      <c r="J24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246" s="2" t="s">
        <v>1776</v>
      </c>
      <c r="L246" s="2" t="s">
        <v>419</v>
      </c>
      <c r="M246" s="2" t="s">
        <v>420</v>
      </c>
      <c r="N246" s="2" t="s">
        <v>421</v>
      </c>
      <c r="O246" s="2" t="s">
        <v>242</v>
      </c>
      <c r="P246" s="2" t="s">
        <v>117</v>
      </c>
      <c r="Q246" s="2" t="s">
        <v>4888</v>
      </c>
      <c r="R246" s="15">
        <v>44697</v>
      </c>
      <c r="S246" s="2" t="s">
        <v>52</v>
      </c>
      <c r="T246" s="2" t="s">
        <v>36</v>
      </c>
      <c r="U246" s="2" t="s">
        <v>36</v>
      </c>
      <c r="V246" s="2" t="s">
        <v>36</v>
      </c>
      <c r="W246" s="4" t="s">
        <v>36</v>
      </c>
      <c r="X24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46" s="2" t="str">
        <f>IF(ISNUMBER(SEARCH("onal",tb1_supporters[[#This Row],[Phone_Clean]])),"Review - corrupt phone number", IF(LEN(tb1_supporters[[#This Row],[Phone_Clean]])&gt;11,"Review - too many digits",""))</f>
        <v/>
      </c>
      <c r="Z24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246" s="2" t="str">
        <f>IF(tb1_supporters[[#This Row],[Email]]="","",IF(COUNTIF(tb1_supporters[Email],tb1_supporters[[#This Row],[Email]])&gt;1,"Review - duplicate record, see Supporter_Duplicates tab",""))</f>
        <v/>
      </c>
      <c r="AB246" s="21" t="str">
        <f>IF(tb1_supporters[[#This Row],[Communication_Preference]]="Do Not Contact","DO NOT CONTACT","")</f>
        <v/>
      </c>
      <c r="AE246"/>
    </row>
    <row r="247" spans="1:31" x14ac:dyDescent="0.25">
      <c r="A247" s="3" t="s">
        <v>1778</v>
      </c>
      <c r="B247" s="2" t="s">
        <v>402</v>
      </c>
      <c r="C247" s="2" t="s">
        <v>988</v>
      </c>
      <c r="D247" s="2" t="s">
        <v>41</v>
      </c>
      <c r="E247" s="2" t="s">
        <v>1779</v>
      </c>
      <c r="F247" s="2" t="s">
        <v>1780</v>
      </c>
      <c r="G247" s="2" t="str">
        <f>TRIM(SUBSTITUTE(SUBSTITUTE(SUBSTITUTE(SUBSTITUTE(tb1_supporters[[#This Row],[Phone_Raw]],"(",""),")","")," ",""),"+44",))</f>
        <v>07973170286</v>
      </c>
      <c r="H247" s="15">
        <v>18700</v>
      </c>
      <c r="I247" s="36">
        <f ca="1">IF(OR(tb1_supporters[[#This Row],[Date_of_Birth]]="",tb1_supporters[[#This Row],[Date_of_Birth]]&gt;TODAY()),"",DATEDIF(tb1_supporters[[#This Row],[Date_of_Birth]],TODAY(),"Y"))</f>
        <v>75</v>
      </c>
      <c r="J24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47" s="2" t="s">
        <v>1782</v>
      </c>
      <c r="L247" s="2" t="s">
        <v>252</v>
      </c>
      <c r="M247" s="2" t="s">
        <v>253</v>
      </c>
      <c r="N247" s="2" t="s">
        <v>254</v>
      </c>
      <c r="O247" s="2" t="s">
        <v>242</v>
      </c>
      <c r="P247" s="2" t="s">
        <v>65</v>
      </c>
      <c r="Q247" s="2" t="s">
        <v>4888</v>
      </c>
      <c r="R247" s="15">
        <v>45171</v>
      </c>
      <c r="S247" s="2" t="s">
        <v>52</v>
      </c>
      <c r="T247" s="2" t="s">
        <v>37</v>
      </c>
      <c r="U247" s="2" t="s">
        <v>36</v>
      </c>
      <c r="V247" s="2" t="s">
        <v>36</v>
      </c>
      <c r="W247" s="4" t="s">
        <v>37</v>
      </c>
      <c r="X24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47" s="2" t="str">
        <f>IF(ISNUMBER(SEARCH("onal",tb1_supporters[[#This Row],[Phone_Clean]])),"Review - corrupt phone number", IF(LEN(tb1_supporters[[#This Row],[Phone_Clean]])&gt;11,"Review - too many digits",""))</f>
        <v/>
      </c>
      <c r="Z24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47" s="2" t="str">
        <f>IF(tb1_supporters[[#This Row],[Email]]="","",IF(COUNTIF(tb1_supporters[Email],tb1_supporters[[#This Row],[Email]])&gt;1,"Review - duplicate record, see Supporter_Duplicates tab",""))</f>
        <v/>
      </c>
      <c r="AB247" s="21" t="str">
        <f>IF(tb1_supporters[[#This Row],[Communication_Preference]]="Do Not Contact","DO NOT CONTACT","")</f>
        <v/>
      </c>
      <c r="AE247"/>
    </row>
    <row r="248" spans="1:31" x14ac:dyDescent="0.25">
      <c r="A248" s="3" t="s">
        <v>1784</v>
      </c>
      <c r="B248" s="2" t="s">
        <v>54</v>
      </c>
      <c r="C248" s="2" t="s">
        <v>324</v>
      </c>
      <c r="D248" s="2" t="s">
        <v>1047</v>
      </c>
      <c r="E248" s="2" t="s">
        <v>1785</v>
      </c>
      <c r="F248" s="2" t="s">
        <v>1786</v>
      </c>
      <c r="G248" s="2" t="str">
        <f>TRIM(SUBSTITUTE(SUBSTITUTE(SUBSTITUTE(SUBSTITUTE(tb1_supporters[[#This Row],[Phone_Raw]],"(",""),")","")," ",""),"+44",))</f>
        <v>07832548844</v>
      </c>
      <c r="H248" s="15">
        <v>35895</v>
      </c>
      <c r="I248" s="36">
        <f ca="1">IF(OR(tb1_supporters[[#This Row],[Date_of_Birth]]="",tb1_supporters[[#This Row],[Date_of_Birth]]&gt;TODAY()),"",DATEDIF(tb1_supporters[[#This Row],[Date_of_Birth]],TODAY(),"Y"))</f>
        <v>28</v>
      </c>
      <c r="J24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48" s="2" t="s">
        <v>1788</v>
      </c>
      <c r="L248" s="2" t="s">
        <v>1026</v>
      </c>
      <c r="M248" s="2" t="s">
        <v>1027</v>
      </c>
      <c r="N248" s="2" t="s">
        <v>1028</v>
      </c>
      <c r="O248" s="2" t="s">
        <v>166</v>
      </c>
      <c r="P248" s="2" t="s">
        <v>65</v>
      </c>
      <c r="Q248" s="2" t="s">
        <v>154</v>
      </c>
      <c r="R248" s="15">
        <v>43161</v>
      </c>
      <c r="S248" s="2" t="s">
        <v>5</v>
      </c>
      <c r="T248" s="2" t="s">
        <v>36</v>
      </c>
      <c r="U248" s="2" t="s">
        <v>36</v>
      </c>
      <c r="V248" s="2" t="s">
        <v>36</v>
      </c>
      <c r="W248" s="4" t="s">
        <v>37</v>
      </c>
      <c r="X24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48" s="2" t="str">
        <f>IF(ISNUMBER(SEARCH("onal",tb1_supporters[[#This Row],[Phone_Clean]])),"Review - corrupt phone number", IF(LEN(tb1_supporters[[#This Row],[Phone_Clean]])&gt;11,"Review - too many digits",""))</f>
        <v/>
      </c>
      <c r="Z24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48" s="2" t="str">
        <f>IF(tb1_supporters[[#This Row],[Email]]="","",IF(COUNTIF(tb1_supporters[Email],tb1_supporters[[#This Row],[Email]])&gt;1,"Review - duplicate record, see Supporter_Duplicates tab",""))</f>
        <v/>
      </c>
      <c r="AB248" s="21" t="str">
        <f>IF(tb1_supporters[[#This Row],[Communication_Preference]]="Do Not Contact","DO NOT CONTACT","")</f>
        <v/>
      </c>
      <c r="AE248"/>
    </row>
    <row r="249" spans="1:31" x14ac:dyDescent="0.25">
      <c r="A249" s="3" t="s">
        <v>1790</v>
      </c>
      <c r="B249" s="2"/>
      <c r="C249" s="2" t="s">
        <v>308</v>
      </c>
      <c r="D249" s="2" t="s">
        <v>614</v>
      </c>
      <c r="E249" s="2" t="s">
        <v>1791</v>
      </c>
      <c r="F249" s="2" t="s">
        <v>1792</v>
      </c>
      <c r="G249" s="2" t="str">
        <f>TRIM(SUBSTITUTE(SUBSTITUTE(SUBSTITUTE(SUBSTITUTE(tb1_supporters[[#This Row],[Phone_Raw]],"(",""),")","")," ",""),"+44",))</f>
        <v>07894501173</v>
      </c>
      <c r="H249" s="15">
        <v>24472</v>
      </c>
      <c r="I249" s="36">
        <f ca="1">IF(OR(tb1_supporters[[#This Row],[Date_of_Birth]]="",tb1_supporters[[#This Row],[Date_of_Birth]]&gt;TODAY()),"",DATEDIF(tb1_supporters[[#This Row],[Date_of_Birth]],TODAY(),"Y"))</f>
        <v>59</v>
      </c>
      <c r="J24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49" s="2" t="s">
        <v>1794</v>
      </c>
      <c r="L249" s="2" t="s">
        <v>150</v>
      </c>
      <c r="M249" s="2" t="s">
        <v>151</v>
      </c>
      <c r="N249" s="2" t="s">
        <v>152</v>
      </c>
      <c r="O249" s="2" t="s">
        <v>242</v>
      </c>
      <c r="P249" s="2" t="s">
        <v>117</v>
      </c>
      <c r="Q249" s="2" t="s">
        <v>154</v>
      </c>
      <c r="R249" s="15">
        <v>44125</v>
      </c>
      <c r="S249" s="2" t="s">
        <v>52</v>
      </c>
      <c r="T249" s="2" t="s">
        <v>36</v>
      </c>
      <c r="U249" s="2" t="s">
        <v>36</v>
      </c>
      <c r="V249" s="2" t="s">
        <v>36</v>
      </c>
      <c r="W249" s="4" t="s">
        <v>36</v>
      </c>
      <c r="X24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49" s="2" t="str">
        <f>IF(ISNUMBER(SEARCH("onal",tb1_supporters[[#This Row],[Phone_Clean]])),"Review - corrupt phone number", IF(LEN(tb1_supporters[[#This Row],[Phone_Clean]])&gt;11,"Review - too many digits",""))</f>
        <v/>
      </c>
      <c r="Z24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49" s="2" t="str">
        <f>IF(tb1_supporters[[#This Row],[Email]]="","",IF(COUNTIF(tb1_supporters[Email],tb1_supporters[[#This Row],[Email]])&gt;1,"Review - duplicate record, see Supporter_Duplicates tab",""))</f>
        <v/>
      </c>
      <c r="AB249" s="21" t="str">
        <f>IF(tb1_supporters[[#This Row],[Communication_Preference]]="Do Not Contact","DO NOT CONTACT","")</f>
        <v/>
      </c>
      <c r="AE249"/>
    </row>
    <row r="250" spans="1:31" x14ac:dyDescent="0.25">
      <c r="A250" s="3" t="s">
        <v>1796</v>
      </c>
      <c r="B250" s="2" t="s">
        <v>235</v>
      </c>
      <c r="C250" s="2" t="s">
        <v>392</v>
      </c>
      <c r="D250" s="2" t="s">
        <v>338</v>
      </c>
      <c r="E250" s="2" t="s">
        <v>1797</v>
      </c>
      <c r="F250" s="2" t="s">
        <v>1798</v>
      </c>
      <c r="G250" s="2" t="str">
        <f>TRIM(SUBSTITUTE(SUBSTITUTE(SUBSTITUTE(SUBSTITUTE(tb1_supporters[[#This Row],[Phone_Raw]],"(",""),")","")," ",""),"+44",))</f>
        <v>01817976113</v>
      </c>
      <c r="H250" s="15">
        <v>20091</v>
      </c>
      <c r="I250" s="36">
        <f ca="1">IF(OR(tb1_supporters[[#This Row],[Date_of_Birth]]="",tb1_supporters[[#This Row],[Date_of_Birth]]&gt;TODAY()),"",DATEDIF(tb1_supporters[[#This Row],[Date_of_Birth]],TODAY(),"Y"))</f>
        <v>71</v>
      </c>
      <c r="J25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50" s="2" t="s">
        <v>1800</v>
      </c>
      <c r="L250" s="2" t="s">
        <v>138</v>
      </c>
      <c r="M250" s="2" t="s">
        <v>139</v>
      </c>
      <c r="N250" s="2" t="s">
        <v>140</v>
      </c>
      <c r="O250" s="2" t="s">
        <v>242</v>
      </c>
      <c r="P250" s="2" t="s">
        <v>181</v>
      </c>
      <c r="Q250" s="2" t="s">
        <v>4888</v>
      </c>
      <c r="R250" s="15">
        <v>45352</v>
      </c>
      <c r="S250" s="2" t="s">
        <v>4</v>
      </c>
      <c r="T250" s="2" t="s">
        <v>37</v>
      </c>
      <c r="U250" s="2" t="s">
        <v>36</v>
      </c>
      <c r="V250" s="2" t="s">
        <v>36</v>
      </c>
      <c r="W250" s="4" t="s">
        <v>37</v>
      </c>
      <c r="X25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250" s="2" t="str">
        <f>IF(ISNUMBER(SEARCH("onal",tb1_supporters[[#This Row],[Phone_Clean]])),"Review - corrupt phone number", IF(LEN(tb1_supporters[[#This Row],[Phone_Clean]])&gt;11,"Review - too many digits",""))</f>
        <v/>
      </c>
      <c r="Z25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50" s="2" t="str">
        <f>IF(tb1_supporters[[#This Row],[Email]]="","",IF(COUNTIF(tb1_supporters[Email],tb1_supporters[[#This Row],[Email]])&gt;1,"Review - duplicate record, see Supporter_Duplicates tab",""))</f>
        <v/>
      </c>
      <c r="AB250" s="21" t="str">
        <f>IF(tb1_supporters[[#This Row],[Communication_Preference]]="Do Not Contact","DO NOT CONTACT","")</f>
        <v/>
      </c>
      <c r="AE250"/>
    </row>
    <row r="251" spans="1:31" x14ac:dyDescent="0.25">
      <c r="A251" s="3" t="s">
        <v>1802</v>
      </c>
      <c r="B251" s="2" t="s">
        <v>54</v>
      </c>
      <c r="C251" s="2" t="s">
        <v>120</v>
      </c>
      <c r="D251" s="2" t="s">
        <v>121</v>
      </c>
      <c r="E251" s="2" t="s">
        <v>1803</v>
      </c>
      <c r="F251" s="2" t="s">
        <v>1804</v>
      </c>
      <c r="G251" s="2" t="str">
        <f>TRIM(SUBSTITUTE(SUBSTITUTE(SUBSTITUTE(SUBSTITUTE(tb1_supporters[[#This Row],[Phone_Raw]],"(",""),")","")," ",""),"+44",))</f>
        <v>07271913382</v>
      </c>
      <c r="H251" s="15">
        <v>35462</v>
      </c>
      <c r="I251" s="36">
        <f ca="1">IF(OR(tb1_supporters[[#This Row],[Date_of_Birth]]="",tb1_supporters[[#This Row],[Date_of_Birth]]&gt;TODAY()),"",DATEDIF(tb1_supporters[[#This Row],[Date_of_Birth]],TODAY(),"Y"))</f>
        <v>29</v>
      </c>
      <c r="J25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51" s="2" t="s">
        <v>1806</v>
      </c>
      <c r="L251" s="2" t="s">
        <v>88</v>
      </c>
      <c r="M251" s="2" t="s">
        <v>89</v>
      </c>
      <c r="N251" s="2" t="s">
        <v>90</v>
      </c>
      <c r="O251" s="2" t="s">
        <v>166</v>
      </c>
      <c r="P251" s="2" t="s">
        <v>4887</v>
      </c>
      <c r="Q251" s="2" t="s">
        <v>243</v>
      </c>
      <c r="R251" s="15">
        <v>44096</v>
      </c>
      <c r="S251" s="2" t="s">
        <v>4</v>
      </c>
      <c r="T251" s="2" t="s">
        <v>36</v>
      </c>
      <c r="U251" s="2" t="s">
        <v>36</v>
      </c>
      <c r="V251" s="2" t="s">
        <v>37</v>
      </c>
      <c r="W251" s="4" t="s">
        <v>37</v>
      </c>
      <c r="X25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51" s="2" t="str">
        <f>IF(ISNUMBER(SEARCH("onal",tb1_supporters[[#This Row],[Phone_Clean]])),"Review - corrupt phone number", IF(LEN(tb1_supporters[[#This Row],[Phone_Clean]])&gt;11,"Review - too many digits",""))</f>
        <v/>
      </c>
      <c r="Z25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51" s="2" t="str">
        <f>IF(tb1_supporters[[#This Row],[Email]]="","",IF(COUNTIF(tb1_supporters[Email],tb1_supporters[[#This Row],[Email]])&gt;1,"Review - duplicate record, see Supporter_Duplicates tab",""))</f>
        <v/>
      </c>
      <c r="AB251" s="21" t="str">
        <f>IF(tb1_supporters[[#This Row],[Communication_Preference]]="Do Not Contact","DO NOT CONTACT","")</f>
        <v/>
      </c>
      <c r="AE251"/>
    </row>
    <row r="252" spans="1:31" x14ac:dyDescent="0.25">
      <c r="A252" s="3" t="s">
        <v>1808</v>
      </c>
      <c r="B252" s="2" t="s">
        <v>402</v>
      </c>
      <c r="C252" s="2" t="s">
        <v>710</v>
      </c>
      <c r="D252" s="2" t="s">
        <v>258</v>
      </c>
      <c r="E252" s="2" t="s">
        <v>1809</v>
      </c>
      <c r="F252" s="2" t="s">
        <v>1810</v>
      </c>
      <c r="G252" s="2" t="str">
        <f>TRIM(SUBSTITUTE(SUBSTITUTE(SUBSTITUTE(SUBSTITUTE(tb1_supporters[[#This Row],[Phone_Raw]],"(",""),")","")," ",""),"+44",))</f>
        <v>07464760257</v>
      </c>
      <c r="H252" s="15">
        <v>46063</v>
      </c>
      <c r="I252" s="36">
        <f ca="1">IF(OR(tb1_supporters[[#This Row],[Date_of_Birth]]="",tb1_supporters[[#This Row],[Date_of_Birth]]&gt;TODAY()),"",DATEDIF(tb1_supporters[[#This Row],[Date_of_Birth]],TODAY(),"Y"))</f>
        <v>0</v>
      </c>
      <c r="J25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Under 18</v>
      </c>
      <c r="K252" s="2" t="s">
        <v>1812</v>
      </c>
      <c r="L252" s="2" t="s">
        <v>984</v>
      </c>
      <c r="M252" s="2" t="s">
        <v>62</v>
      </c>
      <c r="N252" s="2" t="s">
        <v>985</v>
      </c>
      <c r="O252" s="2" t="s">
        <v>242</v>
      </c>
      <c r="P252" s="2" t="s">
        <v>117</v>
      </c>
      <c r="Q252" s="2" t="s">
        <v>66</v>
      </c>
      <c r="R252" s="15">
        <v>44054</v>
      </c>
      <c r="S252" s="2" t="s">
        <v>93</v>
      </c>
      <c r="T252" s="2" t="s">
        <v>36</v>
      </c>
      <c r="U252" s="2" t="s">
        <v>37</v>
      </c>
      <c r="V252" s="2" t="s">
        <v>37</v>
      </c>
      <c r="W252" s="4" t="s">
        <v>37</v>
      </c>
      <c r="X25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252" s="2" t="str">
        <f>IF(ISNUMBER(SEARCH("onal",tb1_supporters[[#This Row],[Phone_Clean]])),"Review - corrupt phone number", IF(LEN(tb1_supporters[[#This Row],[Phone_Clean]])&gt;11,"Review - too many digits",""))</f>
        <v/>
      </c>
      <c r="Z25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Z9potential entry error (age 0)</v>
      </c>
      <c r="AA252" s="2" t="str">
        <f>IF(tb1_supporters[[#This Row],[Email]]="","",IF(COUNTIF(tb1_supporters[Email],tb1_supporters[[#This Row],[Email]])&gt;1,"Review - duplicate record, see Supporter_Duplicates tab",""))</f>
        <v/>
      </c>
      <c r="AB252" s="21" t="str">
        <f>IF(tb1_supporters[[#This Row],[Communication_Preference]]="Do Not Contact","DO NOT CONTACT","")</f>
        <v/>
      </c>
      <c r="AE252"/>
    </row>
    <row r="253" spans="1:31" x14ac:dyDescent="0.25">
      <c r="A253" s="3" t="s">
        <v>1814</v>
      </c>
      <c r="B253" s="2"/>
      <c r="C253" s="2" t="s">
        <v>877</v>
      </c>
      <c r="D253" s="2" t="s">
        <v>1039</v>
      </c>
      <c r="E253" s="2" t="s">
        <v>1815</v>
      </c>
      <c r="F253" s="2" t="s">
        <v>1816</v>
      </c>
      <c r="G253" s="2" t="str">
        <f>TRIM(SUBSTITUTE(SUBSTITUTE(SUBSTITUTE(SUBSTITUTE(tb1_supporters[[#This Row],[Phone_Raw]],"(",""),")","")," ",""),"+44",))</f>
        <v>015658289892</v>
      </c>
      <c r="H253" s="15">
        <v>20655</v>
      </c>
      <c r="I253" s="36">
        <f ca="1">IF(OR(tb1_supporters[[#This Row],[Date_of_Birth]]="",tb1_supporters[[#This Row],[Date_of_Birth]]&gt;TODAY()),"",DATEDIF(tb1_supporters[[#This Row],[Date_of_Birth]],TODAY(),"Y"))</f>
        <v>69</v>
      </c>
      <c r="J25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53" s="2" t="s">
        <v>1818</v>
      </c>
      <c r="L253" s="2" t="s">
        <v>29</v>
      </c>
      <c r="M253" s="2" t="s">
        <v>30</v>
      </c>
      <c r="N253" s="2" t="s">
        <v>31</v>
      </c>
      <c r="O253" s="2" t="s">
        <v>242</v>
      </c>
      <c r="P253" s="2" t="s">
        <v>33</v>
      </c>
      <c r="Q253" s="2" t="s">
        <v>50</v>
      </c>
      <c r="R253" s="15">
        <v>43865</v>
      </c>
      <c r="S253" s="2" t="s">
        <v>5</v>
      </c>
      <c r="T253" s="2" t="s">
        <v>37</v>
      </c>
      <c r="U253" s="2" t="s">
        <v>36</v>
      </c>
      <c r="V253" s="2" t="s">
        <v>36</v>
      </c>
      <c r="W253" s="4" t="s">
        <v>37</v>
      </c>
      <c r="X25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53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5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53" s="2" t="str">
        <f>IF(tb1_supporters[[#This Row],[Email]]="","",IF(COUNTIF(tb1_supporters[Email],tb1_supporters[[#This Row],[Email]])&gt;1,"Review - duplicate record, see Supporter_Duplicates tab",""))</f>
        <v/>
      </c>
      <c r="AB253" s="21" t="str">
        <f>IF(tb1_supporters[[#This Row],[Communication_Preference]]="Do Not Contact","DO NOT CONTACT","")</f>
        <v/>
      </c>
      <c r="AE253"/>
    </row>
    <row r="254" spans="1:31" x14ac:dyDescent="0.25">
      <c r="A254" s="3" t="s">
        <v>1820</v>
      </c>
      <c r="B254" s="2" t="s">
        <v>170</v>
      </c>
      <c r="C254" s="2" t="s">
        <v>1021</v>
      </c>
      <c r="D254" s="2" t="s">
        <v>83</v>
      </c>
      <c r="E254" s="2" t="s">
        <v>1821</v>
      </c>
      <c r="F254" s="2" t="s">
        <v>1822</v>
      </c>
      <c r="G254" s="2" t="str">
        <f>TRIM(SUBSTITUTE(SUBSTITUTE(SUBSTITUTE(SUBSTITUTE(tb1_supporters[[#This Row],[Phone_Raw]],"(",""),")","")," ",""),"+44",))</f>
        <v>07654475564</v>
      </c>
      <c r="H254" s="15">
        <v>17471</v>
      </c>
      <c r="I254" s="36">
        <f ca="1">IF(OR(tb1_supporters[[#This Row],[Date_of_Birth]]="",tb1_supporters[[#This Row],[Date_of_Birth]]&gt;TODAY()),"",DATEDIF(tb1_supporters[[#This Row],[Date_of_Birth]],TODAY(),"Y"))</f>
        <v>78</v>
      </c>
      <c r="J25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54" s="2" t="s">
        <v>1824</v>
      </c>
      <c r="L254" s="2" t="s">
        <v>76</v>
      </c>
      <c r="M254" s="2" t="s">
        <v>77</v>
      </c>
      <c r="N254" s="2" t="s">
        <v>78</v>
      </c>
      <c r="O254" s="2" t="s">
        <v>242</v>
      </c>
      <c r="P254" s="2" t="s">
        <v>117</v>
      </c>
      <c r="Q254" s="2" t="s">
        <v>192</v>
      </c>
      <c r="R254" s="15">
        <v>45639</v>
      </c>
      <c r="S254" s="2" t="s">
        <v>4</v>
      </c>
      <c r="T254" s="2" t="s">
        <v>36</v>
      </c>
      <c r="U254" s="2" t="s">
        <v>37</v>
      </c>
      <c r="V254" s="2" t="s">
        <v>36</v>
      </c>
      <c r="W254" s="4" t="s">
        <v>37</v>
      </c>
      <c r="X25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54" s="2" t="str">
        <f>IF(ISNUMBER(SEARCH("onal",tb1_supporters[[#This Row],[Phone_Clean]])),"Review - corrupt phone number", IF(LEN(tb1_supporters[[#This Row],[Phone_Clean]])&gt;11,"Review - too many digits",""))</f>
        <v/>
      </c>
      <c r="Z25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54" s="2" t="str">
        <f>IF(tb1_supporters[[#This Row],[Email]]="","",IF(COUNTIF(tb1_supporters[Email],tb1_supporters[[#This Row],[Email]])&gt;1,"Review - duplicate record, see Supporter_Duplicates tab",""))</f>
        <v/>
      </c>
      <c r="AB254" s="21" t="str">
        <f>IF(tb1_supporters[[#This Row],[Communication_Preference]]="Do Not Contact","DO NOT CONTACT","")</f>
        <v/>
      </c>
      <c r="AE254"/>
    </row>
    <row r="255" spans="1:31" x14ac:dyDescent="0.25">
      <c r="A255" s="3" t="s">
        <v>1826</v>
      </c>
      <c r="B255" s="2" t="s">
        <v>54</v>
      </c>
      <c r="C255" s="2" t="s">
        <v>1118</v>
      </c>
      <c r="D255" s="2" t="s">
        <v>449</v>
      </c>
      <c r="E255" s="2" t="s">
        <v>1827</v>
      </c>
      <c r="F255" s="2" t="s">
        <v>1828</v>
      </c>
      <c r="G255" s="2" t="str">
        <f>TRIM(SUBSTITUTE(SUBSTITUTE(SUBSTITUTE(SUBSTITUTE(tb1_supporters[[#This Row],[Phone_Raw]],"(",""),")","")," ",""),"+44",))</f>
        <v>07519756429</v>
      </c>
      <c r="H255" s="15">
        <v>26045</v>
      </c>
      <c r="I255" s="36">
        <f ca="1">IF(OR(tb1_supporters[[#This Row],[Date_of_Birth]]="",tb1_supporters[[#This Row],[Date_of_Birth]]&gt;TODAY()),"",DATEDIF(tb1_supporters[[#This Row],[Date_of_Birth]],TODAY(),"Y"))</f>
        <v>55</v>
      </c>
      <c r="J25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55" s="2" t="s">
        <v>1830</v>
      </c>
      <c r="L255" s="2" t="s">
        <v>984</v>
      </c>
      <c r="M255" s="2" t="s">
        <v>62</v>
      </c>
      <c r="N255" s="2" t="s">
        <v>985</v>
      </c>
      <c r="O255" s="2" t="s">
        <v>166</v>
      </c>
      <c r="P255" s="2" t="s">
        <v>65</v>
      </c>
      <c r="Q255" s="2" t="s">
        <v>192</v>
      </c>
      <c r="R255" s="15">
        <v>43632</v>
      </c>
      <c r="S255" s="2" t="s">
        <v>52</v>
      </c>
      <c r="T255" s="2" t="s">
        <v>36</v>
      </c>
      <c r="U255" s="2" t="s">
        <v>36</v>
      </c>
      <c r="V255" s="2" t="s">
        <v>36</v>
      </c>
      <c r="W255" s="4" t="s">
        <v>36</v>
      </c>
      <c r="X25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55" s="2" t="str">
        <f>IF(ISNUMBER(SEARCH("onal",tb1_supporters[[#This Row],[Phone_Clean]])),"Review - corrupt phone number", IF(LEN(tb1_supporters[[#This Row],[Phone_Clean]])&gt;11,"Review - too many digits",""))</f>
        <v/>
      </c>
      <c r="Z25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55" s="2" t="str">
        <f>IF(tb1_supporters[[#This Row],[Email]]="","",IF(COUNTIF(tb1_supporters[Email],tb1_supporters[[#This Row],[Email]])&gt;1,"Review - duplicate record, see Supporter_Duplicates tab",""))</f>
        <v/>
      </c>
      <c r="AB255" s="21" t="str">
        <f>IF(tb1_supporters[[#This Row],[Communication_Preference]]="Do Not Contact","DO NOT CONTACT","")</f>
        <v/>
      </c>
      <c r="AE255"/>
    </row>
    <row r="256" spans="1:31" x14ac:dyDescent="0.25">
      <c r="A256" s="3" t="s">
        <v>1832</v>
      </c>
      <c r="B256" s="2" t="s">
        <v>54</v>
      </c>
      <c r="C256" s="2" t="s">
        <v>1429</v>
      </c>
      <c r="D256" s="2" t="s">
        <v>1696</v>
      </c>
      <c r="E256" s="2" t="s">
        <v>1833</v>
      </c>
      <c r="F256" s="2" t="s">
        <v>1834</v>
      </c>
      <c r="G256" s="2" t="str">
        <f>TRIM(SUBSTITUTE(SUBSTITUTE(SUBSTITUTE(SUBSTITUTE(tb1_supporters[[#This Row],[Phone_Raw]],"(",""),")","")," ",""),"+44",))</f>
        <v>07326720835</v>
      </c>
      <c r="H256" s="15">
        <v>21370</v>
      </c>
      <c r="I256" s="36">
        <f ca="1">IF(OR(tb1_supporters[[#This Row],[Date_of_Birth]]="",tb1_supporters[[#This Row],[Date_of_Birth]]&gt;TODAY()),"",DATEDIF(tb1_supporters[[#This Row],[Date_of_Birth]],TODAY(),"Y"))</f>
        <v>67</v>
      </c>
      <c r="J25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56" s="2" t="s">
        <v>1836</v>
      </c>
      <c r="L256" s="2" t="s">
        <v>984</v>
      </c>
      <c r="M256" s="2" t="s">
        <v>62</v>
      </c>
      <c r="N256" s="2" t="s">
        <v>985</v>
      </c>
      <c r="O256" s="2" t="s">
        <v>166</v>
      </c>
      <c r="P256" s="2" t="s">
        <v>33</v>
      </c>
      <c r="Q256" s="2" t="s">
        <v>4888</v>
      </c>
      <c r="R256" s="15">
        <v>45084</v>
      </c>
      <c r="S256" s="2" t="s">
        <v>5</v>
      </c>
      <c r="T256" s="2" t="s">
        <v>36</v>
      </c>
      <c r="U256" s="2" t="s">
        <v>36</v>
      </c>
      <c r="V256" s="2" t="s">
        <v>37</v>
      </c>
      <c r="W256" s="4" t="s">
        <v>36</v>
      </c>
      <c r="X25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256" s="2" t="str">
        <f>IF(ISNUMBER(SEARCH("onal",tb1_supporters[[#This Row],[Phone_Clean]])),"Review - corrupt phone number", IF(LEN(tb1_supporters[[#This Row],[Phone_Clean]])&gt;11,"Review - too many digits",""))</f>
        <v/>
      </c>
      <c r="Z25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56" s="2" t="str">
        <f>IF(tb1_supporters[[#This Row],[Email]]="","",IF(COUNTIF(tb1_supporters[Email],tb1_supporters[[#This Row],[Email]])&gt;1,"Review - duplicate record, see Supporter_Duplicates tab",""))</f>
        <v/>
      </c>
      <c r="AB256" s="21" t="str">
        <f>IF(tb1_supporters[[#This Row],[Communication_Preference]]="Do Not Contact","DO NOT CONTACT","")</f>
        <v/>
      </c>
      <c r="AE256"/>
    </row>
    <row r="257" spans="1:31" x14ac:dyDescent="0.25">
      <c r="A257" s="3" t="s">
        <v>1838</v>
      </c>
      <c r="B257" s="2" t="s">
        <v>402</v>
      </c>
      <c r="C257" s="2" t="s">
        <v>246</v>
      </c>
      <c r="D257" s="2" t="s">
        <v>449</v>
      </c>
      <c r="E257" s="2" t="s">
        <v>1839</v>
      </c>
      <c r="F257" s="2" t="s">
        <v>1840</v>
      </c>
      <c r="G257" s="2" t="str">
        <f>TRIM(SUBSTITUTE(SUBSTITUTE(SUBSTITUTE(SUBSTITUTE(tb1_supporters[[#This Row],[Phone_Raw]],"(",""),")","")," ",""),"+44",))</f>
        <v>07179321631</v>
      </c>
      <c r="H257" s="15">
        <v>26316</v>
      </c>
      <c r="I257" s="36">
        <f ca="1">IF(OR(tb1_supporters[[#This Row],[Date_of_Birth]]="",tb1_supporters[[#This Row],[Date_of_Birth]]&gt;TODAY()),"",DATEDIF(tb1_supporters[[#This Row],[Date_of_Birth]],TODAY(),"Y"))</f>
        <v>54</v>
      </c>
      <c r="J25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57" s="2" t="s">
        <v>1842</v>
      </c>
      <c r="L257" s="2" t="s">
        <v>945</v>
      </c>
      <c r="M257" s="2" t="s">
        <v>946</v>
      </c>
      <c r="N257" s="2" t="s">
        <v>947</v>
      </c>
      <c r="O257" s="2" t="s">
        <v>242</v>
      </c>
      <c r="P257" s="2" t="s">
        <v>33</v>
      </c>
      <c r="Q257" s="2" t="s">
        <v>50</v>
      </c>
      <c r="R257" s="15">
        <v>44679</v>
      </c>
      <c r="S257" s="2" t="s">
        <v>4</v>
      </c>
      <c r="T257" s="2" t="s">
        <v>36</v>
      </c>
      <c r="U257" s="2" t="s">
        <v>36</v>
      </c>
      <c r="V257" s="2" t="s">
        <v>37</v>
      </c>
      <c r="W257" s="4" t="s">
        <v>36</v>
      </c>
      <c r="X25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57" s="2" t="str">
        <f>IF(ISNUMBER(SEARCH("onal",tb1_supporters[[#This Row],[Phone_Clean]])),"Review - corrupt phone number", IF(LEN(tb1_supporters[[#This Row],[Phone_Clean]])&gt;11,"Review - too many digits",""))</f>
        <v/>
      </c>
      <c r="Z25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57" s="2" t="str">
        <f>IF(tb1_supporters[[#This Row],[Email]]="","",IF(COUNTIF(tb1_supporters[Email],tb1_supporters[[#This Row],[Email]])&gt;1,"Review - duplicate record, see Supporter_Duplicates tab",""))</f>
        <v/>
      </c>
      <c r="AB257" s="21" t="str">
        <f>IF(tb1_supporters[[#This Row],[Communication_Preference]]="Do Not Contact","DO NOT CONTACT","")</f>
        <v/>
      </c>
      <c r="AE257"/>
    </row>
    <row r="258" spans="1:31" x14ac:dyDescent="0.25">
      <c r="A258" s="3" t="s">
        <v>1844</v>
      </c>
      <c r="B258" s="2" t="s">
        <v>235</v>
      </c>
      <c r="C258" s="2" t="s">
        <v>1411</v>
      </c>
      <c r="D258" s="2" t="s">
        <v>711</v>
      </c>
      <c r="E258" s="2" t="s">
        <v>4869</v>
      </c>
      <c r="F258" s="2" t="s">
        <v>1846</v>
      </c>
      <c r="G258" s="2" t="str">
        <f>TRIM(SUBSTITUTE(SUBSTITUTE(SUBSTITUTE(SUBSTITUTE(tb1_supporters[[#This Row],[Phone_Raw]],"(",""),")","")," ",""),"+44",))</f>
        <v>018579972705</v>
      </c>
      <c r="H258" s="15">
        <v>19531</v>
      </c>
      <c r="I258" s="36">
        <f ca="1">IF(OR(tb1_supporters[[#This Row],[Date_of_Birth]]="",tb1_supporters[[#This Row],[Date_of_Birth]]&gt;TODAY()),"",DATEDIF(tb1_supporters[[#This Row],[Date_of_Birth]],TODAY(),"Y"))</f>
        <v>72</v>
      </c>
      <c r="J25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58" s="2" t="s">
        <v>1848</v>
      </c>
      <c r="L258" s="2" t="s">
        <v>163</v>
      </c>
      <c r="M258" s="2" t="s">
        <v>164</v>
      </c>
      <c r="N258" s="2" t="s">
        <v>165</v>
      </c>
      <c r="O258" s="2" t="s">
        <v>242</v>
      </c>
      <c r="P258" s="2" t="s">
        <v>4887</v>
      </c>
      <c r="Q258" s="2" t="s">
        <v>50</v>
      </c>
      <c r="R258" s="15">
        <v>44483</v>
      </c>
      <c r="S258" s="2" t="s">
        <v>5</v>
      </c>
      <c r="T258" s="2" t="s">
        <v>36</v>
      </c>
      <c r="U258" s="2" t="s">
        <v>37</v>
      </c>
      <c r="V258" s="2" t="s">
        <v>37</v>
      </c>
      <c r="W258" s="4" t="s">
        <v>37</v>
      </c>
      <c r="X25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25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5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58" s="2" t="str">
        <f>IF(tb1_supporters[[#This Row],[Email]]="","",IF(COUNTIF(tb1_supporters[Email],tb1_supporters[[#This Row],[Email]])&gt;1,"Review - duplicate record, see Supporter_Duplicates tab",""))</f>
        <v/>
      </c>
      <c r="AB258" s="21" t="str">
        <f>IF(tb1_supporters[[#This Row],[Communication_Preference]]="Do Not Contact","DO NOT CONTACT","")</f>
        <v/>
      </c>
      <c r="AE258"/>
    </row>
    <row r="259" spans="1:31" x14ac:dyDescent="0.25">
      <c r="A259" s="3" t="s">
        <v>1850</v>
      </c>
      <c r="B259" s="2"/>
      <c r="C259" s="2" t="s">
        <v>171</v>
      </c>
      <c r="D259" s="2" t="s">
        <v>205</v>
      </c>
      <c r="E259" s="2" t="s">
        <v>4869</v>
      </c>
      <c r="F259" s="2" t="s">
        <v>1851</v>
      </c>
      <c r="G259" s="2" t="str">
        <f>TRIM(SUBSTITUTE(SUBSTITUTE(SUBSTITUTE(SUBSTITUTE(tb1_supporters[[#This Row],[Phone_Raw]],"(",""),")","")," ",""),"+44",))</f>
        <v>01onal8625162</v>
      </c>
      <c r="H259" s="15">
        <v>17707</v>
      </c>
      <c r="I259" s="36">
        <f ca="1">IF(OR(tb1_supporters[[#This Row],[Date_of_Birth]]="",tb1_supporters[[#This Row],[Date_of_Birth]]&gt;TODAY()),"",DATEDIF(tb1_supporters[[#This Row],[Date_of_Birth]],TODAY(),"Y"))</f>
        <v>77</v>
      </c>
      <c r="J25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59" s="2" t="s">
        <v>1853</v>
      </c>
      <c r="L259" s="2" t="s">
        <v>46</v>
      </c>
      <c r="M259" s="2" t="s">
        <v>47</v>
      </c>
      <c r="N259" s="2" t="s">
        <v>48</v>
      </c>
      <c r="O259" s="2" t="s">
        <v>242</v>
      </c>
      <c r="P259" s="2" t="s">
        <v>153</v>
      </c>
      <c r="Q259" s="2" t="s">
        <v>66</v>
      </c>
      <c r="R259" s="15">
        <v>43101</v>
      </c>
      <c r="S259" s="2" t="s">
        <v>4</v>
      </c>
      <c r="T259" s="2" t="s">
        <v>36</v>
      </c>
      <c r="U259" s="2" t="s">
        <v>36</v>
      </c>
      <c r="V259" s="2" t="s">
        <v>37</v>
      </c>
      <c r="W259" s="4" t="s">
        <v>36</v>
      </c>
      <c r="X25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59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25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59" s="2" t="str">
        <f>IF(tb1_supporters[[#This Row],[Email]]="","",IF(COUNTIF(tb1_supporters[Email],tb1_supporters[[#This Row],[Email]])&gt;1,"Review - duplicate record, see Supporter_Duplicates tab",""))</f>
        <v/>
      </c>
      <c r="AB259" s="21" t="str">
        <f>IF(tb1_supporters[[#This Row],[Communication_Preference]]="Do Not Contact","DO NOT CONTACT","")</f>
        <v/>
      </c>
      <c r="AE259"/>
    </row>
    <row r="260" spans="1:31" x14ac:dyDescent="0.25">
      <c r="A260" s="3" t="s">
        <v>1855</v>
      </c>
      <c r="B260" s="2" t="s">
        <v>54</v>
      </c>
      <c r="C260" s="2" t="s">
        <v>1297</v>
      </c>
      <c r="D260" s="2" t="s">
        <v>414</v>
      </c>
      <c r="E260" s="2" t="s">
        <v>1856</v>
      </c>
      <c r="F260" s="2" t="s">
        <v>1857</v>
      </c>
      <c r="G260" s="2" t="str">
        <f>TRIM(SUBSTITUTE(SUBSTITUTE(SUBSTITUTE(SUBSTITUTE(tb1_supporters[[#This Row],[Phone_Raw]],"(",""),")","")," ",""),"+44",))</f>
        <v>07138571464</v>
      </c>
      <c r="H260" s="15">
        <v>28025</v>
      </c>
      <c r="I260" s="36">
        <f ca="1">IF(OR(tb1_supporters[[#This Row],[Date_of_Birth]]="",tb1_supporters[[#This Row],[Date_of_Birth]]&gt;TODAY()),"",DATEDIF(tb1_supporters[[#This Row],[Date_of_Birth]],TODAY(),"Y"))</f>
        <v>49</v>
      </c>
      <c r="J26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60" s="2" t="s">
        <v>1859</v>
      </c>
      <c r="L260" s="2" t="s">
        <v>88</v>
      </c>
      <c r="M260" s="2" t="s">
        <v>89</v>
      </c>
      <c r="N260" s="2" t="s">
        <v>90</v>
      </c>
      <c r="O260" s="2" t="s">
        <v>166</v>
      </c>
      <c r="P260" s="2" t="s">
        <v>91</v>
      </c>
      <c r="Q260" s="2" t="s">
        <v>141</v>
      </c>
      <c r="R260" s="15">
        <v>45485</v>
      </c>
      <c r="S260" s="2" t="s">
        <v>4</v>
      </c>
      <c r="T260" s="2" t="s">
        <v>36</v>
      </c>
      <c r="U260" s="2" t="s">
        <v>36</v>
      </c>
      <c r="V260" s="2" t="s">
        <v>36</v>
      </c>
      <c r="W260" s="4" t="s">
        <v>37</v>
      </c>
      <c r="X26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60" s="2" t="str">
        <f>IF(ISNUMBER(SEARCH("onal",tb1_supporters[[#This Row],[Phone_Clean]])),"Review - corrupt phone number", IF(LEN(tb1_supporters[[#This Row],[Phone_Clean]])&gt;11,"Review - too many digits",""))</f>
        <v/>
      </c>
      <c r="Z26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60" s="2" t="str">
        <f>IF(tb1_supporters[[#This Row],[Email]]="","",IF(COUNTIF(tb1_supporters[Email],tb1_supporters[[#This Row],[Email]])&gt;1,"Review - duplicate record, see Supporter_Duplicates tab",""))</f>
        <v/>
      </c>
      <c r="AB260" s="21" t="str">
        <f>IF(tb1_supporters[[#This Row],[Communication_Preference]]="Do Not Contact","DO NOT CONTACT","")</f>
        <v/>
      </c>
      <c r="AE260"/>
    </row>
    <row r="261" spans="1:31" x14ac:dyDescent="0.25">
      <c r="A261" s="3" t="s">
        <v>1861</v>
      </c>
      <c r="B261" s="2" t="s">
        <v>170</v>
      </c>
      <c r="C261" s="2" t="s">
        <v>655</v>
      </c>
      <c r="D261" s="2" t="s">
        <v>83</v>
      </c>
      <c r="E261" s="2" t="s">
        <v>1862</v>
      </c>
      <c r="F261" s="2" t="s">
        <v>1863</v>
      </c>
      <c r="G261" s="2" t="str">
        <f>TRIM(SUBSTITUTE(SUBSTITUTE(SUBSTITUTE(SUBSTITUTE(tb1_supporters[[#This Row],[Phone_Raw]],"(",""),")","")," ",""),"+44",))</f>
        <v>7757407138</v>
      </c>
      <c r="H261" s="15">
        <v>29924</v>
      </c>
      <c r="I261" s="36">
        <f ca="1">IF(OR(tb1_supporters[[#This Row],[Date_of_Birth]]="",tb1_supporters[[#This Row],[Date_of_Birth]]&gt;TODAY()),"",DATEDIF(tb1_supporters[[#This Row],[Date_of_Birth]],TODAY(),"Y"))</f>
        <v>44</v>
      </c>
      <c r="J26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61" s="2" t="s">
        <v>1641</v>
      </c>
      <c r="L261" s="2" t="s">
        <v>660</v>
      </c>
      <c r="M261" s="2" t="s">
        <v>230</v>
      </c>
      <c r="N261" s="2" t="s">
        <v>661</v>
      </c>
      <c r="O261" s="2" t="s">
        <v>242</v>
      </c>
      <c r="P261" s="2" t="s">
        <v>65</v>
      </c>
      <c r="Q261" s="2" t="s">
        <v>243</v>
      </c>
      <c r="R261" s="15">
        <v>43330</v>
      </c>
      <c r="S261" s="2" t="s">
        <v>93</v>
      </c>
      <c r="T261" s="2" t="s">
        <v>36</v>
      </c>
      <c r="U261" s="2" t="s">
        <v>36</v>
      </c>
      <c r="V261" s="2" t="s">
        <v>37</v>
      </c>
      <c r="W261" s="4" t="s">
        <v>37</v>
      </c>
      <c r="X26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61" s="2" t="str">
        <f>IF(ISNUMBER(SEARCH("onal",tb1_supporters[[#This Row],[Phone_Clean]])),"Review - corrupt phone number", IF(LEN(tb1_supporters[[#This Row],[Phone_Clean]])&gt;11,"Review - too many digits",""))</f>
        <v/>
      </c>
      <c r="Z26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61" s="2" t="str">
        <f>IF(tb1_supporters[[#This Row],[Email]]="","",IF(COUNTIF(tb1_supporters[Email],tb1_supporters[[#This Row],[Email]])&gt;1,"Review - duplicate record, see Supporter_Duplicates tab",""))</f>
        <v/>
      </c>
      <c r="AB261" s="21" t="str">
        <f>IF(tb1_supporters[[#This Row],[Communication_Preference]]="Do Not Contact","DO NOT CONTACT","")</f>
        <v/>
      </c>
      <c r="AE261"/>
    </row>
    <row r="262" spans="1:31" x14ac:dyDescent="0.25">
      <c r="A262" s="3" t="s">
        <v>1866</v>
      </c>
      <c r="B262" s="2" t="s">
        <v>4866</v>
      </c>
      <c r="C262" s="2" t="s">
        <v>424</v>
      </c>
      <c r="D262" s="2" t="s">
        <v>24</v>
      </c>
      <c r="E262" s="2" t="s">
        <v>1867</v>
      </c>
      <c r="F262" s="2" t="s">
        <v>1868</v>
      </c>
      <c r="G262" s="2" t="str">
        <f>TRIM(SUBSTITUTE(SUBSTITUTE(SUBSTITUTE(SUBSTITUTE(tb1_supporters[[#This Row],[Phone_Raw]],"(",""),")","")," ",""),"+44",))</f>
        <v>07636142426</v>
      </c>
      <c r="H262" s="15">
        <v>20895</v>
      </c>
      <c r="I262" s="36">
        <f ca="1">IF(OR(tb1_supporters[[#This Row],[Date_of_Birth]]="",tb1_supporters[[#This Row],[Date_of_Birth]]&gt;TODAY()),"",DATEDIF(tb1_supporters[[#This Row],[Date_of_Birth]],TODAY(),"Y"))</f>
        <v>69</v>
      </c>
      <c r="J26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62" s="2" t="s">
        <v>1870</v>
      </c>
      <c r="L262" s="2" t="s">
        <v>177</v>
      </c>
      <c r="M262" s="2" t="s">
        <v>178</v>
      </c>
      <c r="N262" s="2" t="s">
        <v>179</v>
      </c>
      <c r="O262" s="2" t="s">
        <v>166</v>
      </c>
      <c r="P262" s="2" t="s">
        <v>117</v>
      </c>
      <c r="Q262" s="2" t="s">
        <v>141</v>
      </c>
      <c r="R262" s="15">
        <v>45158</v>
      </c>
      <c r="S262" s="2" t="s">
        <v>52</v>
      </c>
      <c r="T262" s="2" t="s">
        <v>36</v>
      </c>
      <c r="U262" s="2" t="s">
        <v>36</v>
      </c>
      <c r="V262" s="2" t="s">
        <v>36</v>
      </c>
      <c r="W262" s="4" t="s">
        <v>37</v>
      </c>
      <c r="X26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62" s="2" t="str">
        <f>IF(ISNUMBER(SEARCH("onal",tb1_supporters[[#This Row],[Phone_Clean]])),"Review - corrupt phone number", IF(LEN(tb1_supporters[[#This Row],[Phone_Clean]])&gt;11,"Review - too many digits",""))</f>
        <v/>
      </c>
      <c r="Z26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62" s="2" t="str">
        <f>IF(tb1_supporters[[#This Row],[Email]]="","",IF(COUNTIF(tb1_supporters[Email],tb1_supporters[[#This Row],[Email]])&gt;1,"Review - duplicate record, see Supporter_Duplicates tab",""))</f>
        <v/>
      </c>
      <c r="AB262" s="21" t="str">
        <f>IF(tb1_supporters[[#This Row],[Communication_Preference]]="Do Not Contact","DO NOT CONTACT","")</f>
        <v/>
      </c>
      <c r="AE262"/>
    </row>
    <row r="263" spans="1:31" x14ac:dyDescent="0.25">
      <c r="A263" s="3" t="s">
        <v>1872</v>
      </c>
      <c r="B263" s="2" t="s">
        <v>170</v>
      </c>
      <c r="C263" s="2" t="s">
        <v>655</v>
      </c>
      <c r="D263" s="2" t="s">
        <v>96</v>
      </c>
      <c r="E263" s="2" t="s">
        <v>1873</v>
      </c>
      <c r="F263" s="2" t="s">
        <v>1874</v>
      </c>
      <c r="G263" s="2" t="str">
        <f>TRIM(SUBSTITUTE(SUBSTITUTE(SUBSTITUTE(SUBSTITUTE(tb1_supporters[[#This Row],[Phone_Raw]],"(",""),")","")," ",""),"+44",))</f>
        <v>07587685863</v>
      </c>
      <c r="H263" s="15">
        <v>34122</v>
      </c>
      <c r="I263" s="36">
        <f ca="1">IF(OR(tb1_supporters[[#This Row],[Date_of_Birth]]="",tb1_supporters[[#This Row],[Date_of_Birth]]&gt;TODAY()),"",DATEDIF(tb1_supporters[[#This Row],[Date_of_Birth]],TODAY(),"Y"))</f>
        <v>32</v>
      </c>
      <c r="J26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63" s="2" t="s">
        <v>1876</v>
      </c>
      <c r="L263" s="2" t="s">
        <v>625</v>
      </c>
      <c r="M263" s="2" t="s">
        <v>626</v>
      </c>
      <c r="N263" s="2" t="s">
        <v>627</v>
      </c>
      <c r="O263" s="2" t="s">
        <v>242</v>
      </c>
      <c r="P263" s="2" t="s">
        <v>91</v>
      </c>
      <c r="Q263" s="2" t="s">
        <v>192</v>
      </c>
      <c r="R263" s="15">
        <v>44733</v>
      </c>
      <c r="S263" s="2" t="s">
        <v>93</v>
      </c>
      <c r="T263" s="2" t="s">
        <v>37</v>
      </c>
      <c r="U263" s="2" t="s">
        <v>36</v>
      </c>
      <c r="V263" s="2" t="s">
        <v>37</v>
      </c>
      <c r="W263" s="4" t="s">
        <v>36</v>
      </c>
      <c r="X26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63" s="2" t="str">
        <f>IF(ISNUMBER(SEARCH("onal",tb1_supporters[[#This Row],[Phone_Clean]])),"Review - corrupt phone number", IF(LEN(tb1_supporters[[#This Row],[Phone_Clean]])&gt;11,"Review - too many digits",""))</f>
        <v/>
      </c>
      <c r="Z26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63" s="2" t="str">
        <f>IF(tb1_supporters[[#This Row],[Email]]="","",IF(COUNTIF(tb1_supporters[Email],tb1_supporters[[#This Row],[Email]])&gt;1,"Review - duplicate record, see Supporter_Duplicates tab",""))</f>
        <v/>
      </c>
      <c r="AB263" s="21" t="str">
        <f>IF(tb1_supporters[[#This Row],[Communication_Preference]]="Do Not Contact","DO NOT CONTACT","")</f>
        <v/>
      </c>
      <c r="AE263"/>
    </row>
    <row r="264" spans="1:31" x14ac:dyDescent="0.25">
      <c r="A264" s="3" t="s">
        <v>1878</v>
      </c>
      <c r="B264" s="2" t="s">
        <v>69</v>
      </c>
      <c r="C264" s="2" t="s">
        <v>185</v>
      </c>
      <c r="D264" s="2" t="s">
        <v>1268</v>
      </c>
      <c r="E264" s="2" t="s">
        <v>1879</v>
      </c>
      <c r="F264" s="2" t="s">
        <v>1880</v>
      </c>
      <c r="G264" s="2" t="str">
        <f>TRIM(SUBSTITUTE(SUBSTITUTE(SUBSTITUTE(SUBSTITUTE(tb1_supporters[[#This Row],[Phone_Raw]],"(",""),")","")," ",""),"+44",))</f>
        <v>07372895540</v>
      </c>
      <c r="H264" s="15">
        <v>23790</v>
      </c>
      <c r="I264" s="36">
        <f ca="1">IF(OR(tb1_supporters[[#This Row],[Date_of_Birth]]="",tb1_supporters[[#This Row],[Date_of_Birth]]&gt;TODAY()),"",DATEDIF(tb1_supporters[[#This Row],[Date_of_Birth]],TODAY(),"Y"))</f>
        <v>61</v>
      </c>
      <c r="J26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64" s="2" t="s">
        <v>1882</v>
      </c>
      <c r="L264" s="2" t="s">
        <v>61</v>
      </c>
      <c r="M264" s="2" t="s">
        <v>62</v>
      </c>
      <c r="N264" s="2" t="s">
        <v>63</v>
      </c>
      <c r="O264" s="2" t="s">
        <v>166</v>
      </c>
      <c r="P264" s="2" t="s">
        <v>65</v>
      </c>
      <c r="Q264" s="2" t="s">
        <v>192</v>
      </c>
      <c r="R264" s="15">
        <v>44795</v>
      </c>
      <c r="S264" s="2" t="s">
        <v>5</v>
      </c>
      <c r="T264" s="2" t="s">
        <v>36</v>
      </c>
      <c r="U264" s="2" t="s">
        <v>36</v>
      </c>
      <c r="V264" s="2" t="s">
        <v>36</v>
      </c>
      <c r="W264" s="4" t="s">
        <v>36</v>
      </c>
      <c r="X26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64" s="2" t="str">
        <f>IF(ISNUMBER(SEARCH("onal",tb1_supporters[[#This Row],[Phone_Clean]])),"Review - corrupt phone number", IF(LEN(tb1_supporters[[#This Row],[Phone_Clean]])&gt;11,"Review - too many digits",""))</f>
        <v/>
      </c>
      <c r="Z26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64" s="2" t="str">
        <f>IF(tb1_supporters[[#This Row],[Email]]="","",IF(COUNTIF(tb1_supporters[Email],tb1_supporters[[#This Row],[Email]])&gt;1,"Review - duplicate record, see Supporter_Duplicates tab",""))</f>
        <v/>
      </c>
      <c r="AB264" s="21" t="str">
        <f>IF(tb1_supporters[[#This Row],[Communication_Preference]]="Do Not Contact","DO NOT CONTACT","")</f>
        <v/>
      </c>
      <c r="AE264"/>
    </row>
    <row r="265" spans="1:31" x14ac:dyDescent="0.25">
      <c r="A265" s="3" t="s">
        <v>1884</v>
      </c>
      <c r="B265" s="2" t="s">
        <v>69</v>
      </c>
      <c r="C265" s="2" t="s">
        <v>213</v>
      </c>
      <c r="D265" s="2" t="s">
        <v>1039</v>
      </c>
      <c r="E265" s="2" t="s">
        <v>1885</v>
      </c>
      <c r="F265" s="2" t="s">
        <v>1886</v>
      </c>
      <c r="G265" s="2" t="str">
        <f>TRIM(SUBSTITUTE(SUBSTITUTE(SUBSTITUTE(SUBSTITUTE(tb1_supporters[[#This Row],[Phone_Raw]],"(",""),")","")," ",""),"+44",))</f>
        <v>01219374825</v>
      </c>
      <c r="H265" s="15">
        <v>19292</v>
      </c>
      <c r="I265" s="36">
        <f ca="1">IF(OR(tb1_supporters[[#This Row],[Date_of_Birth]]="",tb1_supporters[[#This Row],[Date_of_Birth]]&gt;TODAY()),"",DATEDIF(tb1_supporters[[#This Row],[Date_of_Birth]],TODAY(),"Y"))</f>
        <v>73</v>
      </c>
      <c r="J26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65" s="2" t="s">
        <v>1888</v>
      </c>
      <c r="L265" s="2" t="s">
        <v>650</v>
      </c>
      <c r="M265" s="2" t="s">
        <v>651</v>
      </c>
      <c r="N265" s="2" t="s">
        <v>652</v>
      </c>
      <c r="O265" s="2" t="s">
        <v>166</v>
      </c>
      <c r="P265" s="2" t="s">
        <v>49</v>
      </c>
      <c r="Q265" s="2" t="s">
        <v>154</v>
      </c>
      <c r="R265" s="15">
        <v>43452</v>
      </c>
      <c r="S265" s="2" t="s">
        <v>93</v>
      </c>
      <c r="T265" s="2" t="s">
        <v>36</v>
      </c>
      <c r="U265" s="2" t="s">
        <v>36</v>
      </c>
      <c r="V265" s="2" t="s">
        <v>36</v>
      </c>
      <c r="W265" s="4" t="s">
        <v>37</v>
      </c>
      <c r="X26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65" s="2" t="str">
        <f>IF(ISNUMBER(SEARCH("onal",tb1_supporters[[#This Row],[Phone_Clean]])),"Review - corrupt phone number", IF(LEN(tb1_supporters[[#This Row],[Phone_Clean]])&gt;11,"Review - too many digits",""))</f>
        <v/>
      </c>
      <c r="Z26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65" s="2" t="str">
        <f>IF(tb1_supporters[[#This Row],[Email]]="","",IF(COUNTIF(tb1_supporters[Email],tb1_supporters[[#This Row],[Email]])&gt;1,"Review - duplicate record, see Supporter_Duplicates tab",""))</f>
        <v/>
      </c>
      <c r="AB265" s="21" t="str">
        <f>IF(tb1_supporters[[#This Row],[Communication_Preference]]="Do Not Contact","DO NOT CONTACT","")</f>
        <v/>
      </c>
      <c r="AE265"/>
    </row>
    <row r="266" spans="1:31" x14ac:dyDescent="0.25">
      <c r="A266" s="3" t="s">
        <v>1890</v>
      </c>
      <c r="B266" s="2" t="s">
        <v>402</v>
      </c>
      <c r="C266" s="2" t="s">
        <v>382</v>
      </c>
      <c r="D266" s="2" t="s">
        <v>414</v>
      </c>
      <c r="E266" s="2" t="s">
        <v>1892</v>
      </c>
      <c r="F266" s="2" t="s">
        <v>1893</v>
      </c>
      <c r="G266" s="2" t="str">
        <f>TRIM(SUBSTITUTE(SUBSTITUTE(SUBSTITUTE(SUBSTITUTE(tb1_supporters[[#This Row],[Phone_Raw]],"(",""),")","")," ",""),"+44",))</f>
        <v>07857650316</v>
      </c>
      <c r="H266" s="15">
        <v>26987</v>
      </c>
      <c r="I266" s="36">
        <f ca="1">IF(OR(tb1_supporters[[#This Row],[Date_of_Birth]]="",tb1_supporters[[#This Row],[Date_of_Birth]]&gt;TODAY()),"",DATEDIF(tb1_supporters[[#This Row],[Date_of_Birth]],TODAY(),"Y"))</f>
        <v>52</v>
      </c>
      <c r="J26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66" s="2" t="s">
        <v>1895</v>
      </c>
      <c r="L266" s="2" t="s">
        <v>219</v>
      </c>
      <c r="M266" s="2" t="s">
        <v>220</v>
      </c>
      <c r="N266" s="2" t="s">
        <v>221</v>
      </c>
      <c r="O266" s="2" t="s">
        <v>242</v>
      </c>
      <c r="P266" s="2" t="s">
        <v>153</v>
      </c>
      <c r="Q266" s="2" t="s">
        <v>50</v>
      </c>
      <c r="R266" s="15">
        <v>43679</v>
      </c>
      <c r="S266" s="2" t="s">
        <v>4</v>
      </c>
      <c r="T266" s="2" t="s">
        <v>36</v>
      </c>
      <c r="U266" s="2" t="s">
        <v>36</v>
      </c>
      <c r="V266" s="2" t="s">
        <v>37</v>
      </c>
      <c r="W266" s="4" t="s">
        <v>37</v>
      </c>
      <c r="X26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66" s="2" t="str">
        <f>IF(ISNUMBER(SEARCH("onal",tb1_supporters[[#This Row],[Phone_Clean]])),"Review - corrupt phone number", IF(LEN(tb1_supporters[[#This Row],[Phone_Clean]])&gt;11,"Review - too many digits",""))</f>
        <v/>
      </c>
      <c r="Z26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66" s="2" t="str">
        <f>IF(tb1_supporters[[#This Row],[Email]]="","",IF(COUNTIF(tb1_supporters[Email],tb1_supporters[[#This Row],[Email]])&gt;1,"Review - duplicate record, see Supporter_Duplicates tab",""))</f>
        <v/>
      </c>
      <c r="AB266" s="21" t="str">
        <f>IF(tb1_supporters[[#This Row],[Communication_Preference]]="Do Not Contact","DO NOT CONTACT","")</f>
        <v/>
      </c>
      <c r="AE266"/>
    </row>
    <row r="267" spans="1:31" x14ac:dyDescent="0.25">
      <c r="A267" s="3" t="s">
        <v>1897</v>
      </c>
      <c r="B267" s="2"/>
      <c r="C267" s="2" t="s">
        <v>566</v>
      </c>
      <c r="D267" s="2" t="s">
        <v>810</v>
      </c>
      <c r="E267" s="2" t="s">
        <v>1898</v>
      </c>
      <c r="F267" s="2" t="s">
        <v>1899</v>
      </c>
      <c r="G267" s="2" t="str">
        <f>TRIM(SUBSTITUTE(SUBSTITUTE(SUBSTITUTE(SUBSTITUTE(tb1_supporters[[#This Row],[Phone_Raw]],"(",""),")","")," ",""),"+44",))</f>
        <v>07497776377</v>
      </c>
      <c r="H267" s="15">
        <v>30337</v>
      </c>
      <c r="I267" s="36">
        <f ca="1">IF(OR(tb1_supporters[[#This Row],[Date_of_Birth]]="",tb1_supporters[[#This Row],[Date_of_Birth]]&gt;TODAY()),"",DATEDIF(tb1_supporters[[#This Row],[Date_of_Birth]],TODAY(),"Y"))</f>
        <v>43</v>
      </c>
      <c r="J26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67" s="2" t="s">
        <v>1901</v>
      </c>
      <c r="L267" s="2" t="s">
        <v>668</v>
      </c>
      <c r="M267" s="2" t="s">
        <v>669</v>
      </c>
      <c r="N267" s="2" t="s">
        <v>670</v>
      </c>
      <c r="O267" s="2" t="s">
        <v>166</v>
      </c>
      <c r="P267" s="2" t="s">
        <v>49</v>
      </c>
      <c r="Q267" s="2" t="s">
        <v>243</v>
      </c>
      <c r="R267" s="15">
        <v>43542</v>
      </c>
      <c r="S267" s="2" t="s">
        <v>93</v>
      </c>
      <c r="T267" s="2" t="s">
        <v>36</v>
      </c>
      <c r="U267" s="2" t="s">
        <v>36</v>
      </c>
      <c r="V267" s="2" t="s">
        <v>37</v>
      </c>
      <c r="W267" s="4" t="s">
        <v>37</v>
      </c>
      <c r="X26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67" s="2" t="str">
        <f>IF(ISNUMBER(SEARCH("onal",tb1_supporters[[#This Row],[Phone_Clean]])),"Review - corrupt phone number", IF(LEN(tb1_supporters[[#This Row],[Phone_Clean]])&gt;11,"Review - too many digits",""))</f>
        <v/>
      </c>
      <c r="Z26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67" s="2" t="str">
        <f>IF(tb1_supporters[[#This Row],[Email]]="","",IF(COUNTIF(tb1_supporters[Email],tb1_supporters[[#This Row],[Email]])&gt;1,"Review - duplicate record, see Supporter_Duplicates tab",""))</f>
        <v/>
      </c>
      <c r="AB267" s="21" t="str">
        <f>IF(tb1_supporters[[#This Row],[Communication_Preference]]="Do Not Contact","DO NOT CONTACT","")</f>
        <v/>
      </c>
      <c r="AE267"/>
    </row>
    <row r="268" spans="1:31" x14ac:dyDescent="0.25">
      <c r="A268" s="3" t="s">
        <v>1903</v>
      </c>
      <c r="B268" s="2" t="s">
        <v>22</v>
      </c>
      <c r="C268" s="2" t="s">
        <v>265</v>
      </c>
      <c r="D268" s="2" t="s">
        <v>674</v>
      </c>
      <c r="E268" s="2" t="s">
        <v>1904</v>
      </c>
      <c r="F268" s="2" t="s">
        <v>1905</v>
      </c>
      <c r="G268" s="2" t="str">
        <f>TRIM(SUBSTITUTE(SUBSTITUTE(SUBSTITUTE(SUBSTITUTE(tb1_supporters[[#This Row],[Phone_Raw]],"(",""),")","")," ",""),"+44",))</f>
        <v>07612568674</v>
      </c>
      <c r="H268" s="15">
        <v>33817</v>
      </c>
      <c r="I268" s="36">
        <f ca="1">IF(OR(tb1_supporters[[#This Row],[Date_of_Birth]]="",tb1_supporters[[#This Row],[Date_of_Birth]]&gt;TODAY()),"",DATEDIF(tb1_supporters[[#This Row],[Date_of_Birth]],TODAY(),"Y"))</f>
        <v>33</v>
      </c>
      <c r="J26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68" s="2" t="s">
        <v>1907</v>
      </c>
      <c r="L268" s="2" t="s">
        <v>984</v>
      </c>
      <c r="M268" s="2" t="s">
        <v>62</v>
      </c>
      <c r="N268" s="2" t="s">
        <v>985</v>
      </c>
      <c r="O268" s="2" t="s">
        <v>242</v>
      </c>
      <c r="P268" s="2" t="s">
        <v>181</v>
      </c>
      <c r="Q268" s="2" t="s">
        <v>154</v>
      </c>
      <c r="R268" s="15">
        <v>45269</v>
      </c>
      <c r="S268" s="2" t="s">
        <v>4</v>
      </c>
      <c r="T268" s="2" t="s">
        <v>36</v>
      </c>
      <c r="U268" s="2" t="s">
        <v>36</v>
      </c>
      <c r="V268" s="2" t="s">
        <v>37</v>
      </c>
      <c r="W268" s="4" t="s">
        <v>37</v>
      </c>
      <c r="X26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68" s="2" t="str">
        <f>IF(ISNUMBER(SEARCH("onal",tb1_supporters[[#This Row],[Phone_Clean]])),"Review - corrupt phone number", IF(LEN(tb1_supporters[[#This Row],[Phone_Clean]])&gt;11,"Review - too many digits",""))</f>
        <v/>
      </c>
      <c r="Z26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68" s="2" t="str">
        <f>IF(tb1_supporters[[#This Row],[Email]]="","",IF(COUNTIF(tb1_supporters[Email],tb1_supporters[[#This Row],[Email]])&gt;1,"Review - duplicate record, see Supporter_Duplicates tab",""))</f>
        <v/>
      </c>
      <c r="AB268" s="21" t="str">
        <f>IF(tb1_supporters[[#This Row],[Communication_Preference]]="Do Not Contact","DO NOT CONTACT","")</f>
        <v/>
      </c>
      <c r="AE268"/>
    </row>
    <row r="269" spans="1:31" x14ac:dyDescent="0.25">
      <c r="A269" s="3" t="s">
        <v>1909</v>
      </c>
      <c r="B269" s="2" t="s">
        <v>54</v>
      </c>
      <c r="C269" s="2" t="s">
        <v>514</v>
      </c>
      <c r="D269" s="2" t="s">
        <v>771</v>
      </c>
      <c r="E269" s="2" t="s">
        <v>1911</v>
      </c>
      <c r="F269" s="2" t="s">
        <v>1912</v>
      </c>
      <c r="G269" s="2" t="str">
        <f>TRIM(SUBSTITUTE(SUBSTITUTE(SUBSTITUTE(SUBSTITUTE(tb1_supporters[[#This Row],[Phone_Raw]],"(",""),")","")," ",""),"+44",))</f>
        <v>013273431482</v>
      </c>
      <c r="H269" s="15">
        <v>26723</v>
      </c>
      <c r="I269" s="36">
        <f ca="1">IF(OR(tb1_supporters[[#This Row],[Date_of_Birth]]="",tb1_supporters[[#This Row],[Date_of_Birth]]&gt;TODAY()),"",DATEDIF(tb1_supporters[[#This Row],[Date_of_Birth]],TODAY(),"Y"))</f>
        <v>53</v>
      </c>
      <c r="J26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69" s="2" t="s">
        <v>1914</v>
      </c>
      <c r="L269" s="2" t="s">
        <v>219</v>
      </c>
      <c r="M269" s="2" t="s">
        <v>220</v>
      </c>
      <c r="N269" s="2" t="s">
        <v>4869</v>
      </c>
      <c r="O269" s="2" t="s">
        <v>166</v>
      </c>
      <c r="P269" s="2" t="s">
        <v>33</v>
      </c>
      <c r="Q269" s="2" t="s">
        <v>154</v>
      </c>
      <c r="R269" s="15">
        <v>44500</v>
      </c>
      <c r="S269" s="2" t="s">
        <v>105</v>
      </c>
      <c r="T269" s="2" t="s">
        <v>37</v>
      </c>
      <c r="U269" s="2" t="s">
        <v>37</v>
      </c>
      <c r="V269" s="2" t="s">
        <v>37</v>
      </c>
      <c r="W269" s="4" t="s">
        <v>37</v>
      </c>
      <c r="X26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69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6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69" s="2" t="str">
        <f>IF(tb1_supporters[[#This Row],[Email]]="","",IF(COUNTIF(tb1_supporters[Email],tb1_supporters[[#This Row],[Email]])&gt;1,"Review - duplicate record, see Supporter_Duplicates tab",""))</f>
        <v/>
      </c>
      <c r="AB269" s="21" t="str">
        <f>IF(tb1_supporters[[#This Row],[Communication_Preference]]="Do Not Contact","DO NOT CONTACT","")</f>
        <v>DO NOT CONTACT</v>
      </c>
      <c r="AE269"/>
    </row>
    <row r="270" spans="1:31" x14ac:dyDescent="0.25">
      <c r="A270" s="3" t="s">
        <v>1916</v>
      </c>
      <c r="B270" s="2" t="s">
        <v>235</v>
      </c>
      <c r="C270" s="2" t="s">
        <v>1111</v>
      </c>
      <c r="D270" s="2" t="s">
        <v>536</v>
      </c>
      <c r="E270" s="2" t="s">
        <v>1917</v>
      </c>
      <c r="F270" s="2" t="s">
        <v>1918</v>
      </c>
      <c r="G270" s="2" t="str">
        <f>TRIM(SUBSTITUTE(SUBSTITUTE(SUBSTITUTE(SUBSTITUTE(tb1_supporters[[#This Row],[Phone_Raw]],"(",""),")","")," ",""),"+44",))</f>
        <v>07719437559</v>
      </c>
      <c r="H270" s="15">
        <v>21817</v>
      </c>
      <c r="I270" s="36">
        <f ca="1">IF(OR(tb1_supporters[[#This Row],[Date_of_Birth]]="",tb1_supporters[[#This Row],[Date_of_Birth]]&gt;TODAY()),"",DATEDIF(tb1_supporters[[#This Row],[Date_of_Birth]],TODAY(),"Y"))</f>
        <v>66</v>
      </c>
      <c r="J27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70" s="2" t="s">
        <v>1018</v>
      </c>
      <c r="L270" s="2" t="s">
        <v>531</v>
      </c>
      <c r="M270" s="2" t="s">
        <v>532</v>
      </c>
      <c r="N270" s="2" t="s">
        <v>533</v>
      </c>
      <c r="O270" s="2" t="s">
        <v>242</v>
      </c>
      <c r="P270" s="2" t="s">
        <v>33</v>
      </c>
      <c r="Q270" s="2" t="s">
        <v>4888</v>
      </c>
      <c r="R270" s="15">
        <v>43668</v>
      </c>
      <c r="S270" s="2" t="s">
        <v>93</v>
      </c>
      <c r="T270" s="2" t="s">
        <v>37</v>
      </c>
      <c r="U270" s="2" t="s">
        <v>37</v>
      </c>
      <c r="V270" s="2" t="s">
        <v>37</v>
      </c>
      <c r="W270" s="4" t="s">
        <v>36</v>
      </c>
      <c r="X27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270" s="2" t="str">
        <f>IF(ISNUMBER(SEARCH("onal",tb1_supporters[[#This Row],[Phone_Clean]])),"Review - corrupt phone number", IF(LEN(tb1_supporters[[#This Row],[Phone_Clean]])&gt;11,"Review - too many digits",""))</f>
        <v/>
      </c>
      <c r="Z27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70" s="2" t="str">
        <f>IF(tb1_supporters[[#This Row],[Email]]="","",IF(COUNTIF(tb1_supporters[Email],tb1_supporters[[#This Row],[Email]])&gt;1,"Review - duplicate record, see Supporter_Duplicates tab",""))</f>
        <v/>
      </c>
      <c r="AB270" s="21" t="str">
        <f>IF(tb1_supporters[[#This Row],[Communication_Preference]]="Do Not Contact","DO NOT CONTACT","")</f>
        <v/>
      </c>
      <c r="AE270"/>
    </row>
    <row r="271" spans="1:31" x14ac:dyDescent="0.25">
      <c r="A271" s="3" t="s">
        <v>1921</v>
      </c>
      <c r="B271" s="2" t="s">
        <v>54</v>
      </c>
      <c r="C271" s="2" t="s">
        <v>459</v>
      </c>
      <c r="D271" s="2" t="s">
        <v>674</v>
      </c>
      <c r="E271" s="2" t="s">
        <v>1922</v>
      </c>
      <c r="F271" s="2" t="s">
        <v>1923</v>
      </c>
      <c r="G271" s="2" t="str">
        <f>TRIM(SUBSTITUTE(SUBSTITUTE(SUBSTITUTE(SUBSTITUTE(tb1_supporters[[#This Row],[Phone_Raw]],"(",""),")","")," ",""),"+44",))</f>
        <v>07670645836</v>
      </c>
      <c r="H271" s="15">
        <v>16024</v>
      </c>
      <c r="I271" s="36">
        <f ca="1">IF(OR(tb1_supporters[[#This Row],[Date_of_Birth]]="",tb1_supporters[[#This Row],[Date_of_Birth]]&gt;TODAY()),"",DATEDIF(tb1_supporters[[#This Row],[Date_of_Birth]],TODAY(),"Y"))</f>
        <v>82</v>
      </c>
      <c r="J27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71" s="2" t="s">
        <v>1925</v>
      </c>
      <c r="L271" s="2" t="s">
        <v>46</v>
      </c>
      <c r="M271" s="2" t="s">
        <v>47</v>
      </c>
      <c r="N271" s="2" t="s">
        <v>48</v>
      </c>
      <c r="O271" s="2" t="s">
        <v>166</v>
      </c>
      <c r="P271" s="2" t="s">
        <v>49</v>
      </c>
      <c r="Q271" s="2" t="s">
        <v>243</v>
      </c>
      <c r="R271" s="15">
        <v>43697</v>
      </c>
      <c r="S271" s="2" t="s">
        <v>5</v>
      </c>
      <c r="T271" s="2" t="s">
        <v>36</v>
      </c>
      <c r="U271" s="2" t="s">
        <v>36</v>
      </c>
      <c r="V271" s="2" t="s">
        <v>37</v>
      </c>
      <c r="W271" s="4" t="s">
        <v>37</v>
      </c>
      <c r="X27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271" s="2" t="str">
        <f>IF(ISNUMBER(SEARCH("onal",tb1_supporters[[#This Row],[Phone_Clean]])),"Review - corrupt phone number", IF(LEN(tb1_supporters[[#This Row],[Phone_Clean]])&gt;11,"Review - too many digits",""))</f>
        <v/>
      </c>
      <c r="Z27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71" s="2" t="str">
        <f>IF(tb1_supporters[[#This Row],[Email]]="","",IF(COUNTIF(tb1_supporters[Email],tb1_supporters[[#This Row],[Email]])&gt;1,"Review - duplicate record, see Supporter_Duplicates tab",""))</f>
        <v/>
      </c>
      <c r="AB271" s="21" t="str">
        <f>IF(tb1_supporters[[#This Row],[Communication_Preference]]="Do Not Contact","DO NOT CONTACT","")</f>
        <v/>
      </c>
      <c r="AE271"/>
    </row>
    <row r="272" spans="1:31" x14ac:dyDescent="0.25">
      <c r="A272" s="3" t="s">
        <v>1927</v>
      </c>
      <c r="B272" s="2" t="s">
        <v>4866</v>
      </c>
      <c r="C272" s="2" t="s">
        <v>144</v>
      </c>
      <c r="D272" s="2" t="s">
        <v>133</v>
      </c>
      <c r="E272" s="2" t="s">
        <v>1928</v>
      </c>
      <c r="F272" s="2" t="s">
        <v>1929</v>
      </c>
      <c r="G272" s="2" t="str">
        <f>TRIM(SUBSTITUTE(SUBSTITUTE(SUBSTITUTE(SUBSTITUTE(tb1_supporters[[#This Row],[Phone_Raw]],"(",""),")","")," ",""),"+44",))</f>
        <v>7731373720</v>
      </c>
      <c r="H272" s="15">
        <v>20031</v>
      </c>
      <c r="I272" s="36">
        <f ca="1">IF(OR(tb1_supporters[[#This Row],[Date_of_Birth]]="",tb1_supporters[[#This Row],[Date_of_Birth]]&gt;TODAY()),"",DATEDIF(tb1_supporters[[#This Row],[Date_of_Birth]],TODAY(),"Y"))</f>
        <v>71</v>
      </c>
      <c r="J27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72" s="2" t="s">
        <v>1931</v>
      </c>
      <c r="L272" s="2" t="s">
        <v>138</v>
      </c>
      <c r="M272" s="2" t="s">
        <v>139</v>
      </c>
      <c r="N272" s="2" t="s">
        <v>140</v>
      </c>
      <c r="O272" s="2" t="s">
        <v>166</v>
      </c>
      <c r="P272" s="2" t="s">
        <v>33</v>
      </c>
      <c r="Q272" s="2" t="s">
        <v>50</v>
      </c>
      <c r="R272" s="15">
        <v>44052</v>
      </c>
      <c r="S272" s="2" t="s">
        <v>4</v>
      </c>
      <c r="T272" s="2" t="s">
        <v>36</v>
      </c>
      <c r="U272" s="2" t="s">
        <v>36</v>
      </c>
      <c r="V272" s="2" t="s">
        <v>36</v>
      </c>
      <c r="W272" s="4" t="s">
        <v>36</v>
      </c>
      <c r="X27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72" s="2" t="str">
        <f>IF(ISNUMBER(SEARCH("onal",tb1_supporters[[#This Row],[Phone_Clean]])),"Review - corrupt phone number", IF(LEN(tb1_supporters[[#This Row],[Phone_Clean]])&gt;11,"Review - too many digits",""))</f>
        <v/>
      </c>
      <c r="Z27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72" s="2" t="str">
        <f>IF(tb1_supporters[[#This Row],[Email]]="","",IF(COUNTIF(tb1_supporters[Email],tb1_supporters[[#This Row],[Email]])&gt;1,"Review - duplicate record, see Supporter_Duplicates tab",""))</f>
        <v/>
      </c>
      <c r="AB272" s="21" t="str">
        <f>IF(tb1_supporters[[#This Row],[Communication_Preference]]="Do Not Contact","DO NOT CONTACT","")</f>
        <v/>
      </c>
      <c r="AE272"/>
    </row>
    <row r="273" spans="1:31" x14ac:dyDescent="0.25">
      <c r="A273" s="3" t="s">
        <v>1933</v>
      </c>
      <c r="B273" s="2" t="s">
        <v>22</v>
      </c>
      <c r="C273" s="2" t="s">
        <v>95</v>
      </c>
      <c r="D273" s="2" t="s">
        <v>96</v>
      </c>
      <c r="E273" s="2" t="s">
        <v>1934</v>
      </c>
      <c r="F273" s="2" t="s">
        <v>1935</v>
      </c>
      <c r="G273" s="2" t="str">
        <f>TRIM(SUBSTITUTE(SUBSTITUTE(SUBSTITUTE(SUBSTITUTE(tb1_supporters[[#This Row],[Phone_Raw]],"(",""),")","")," ",""),"+44",))</f>
        <v>01412674166</v>
      </c>
      <c r="H273" s="15">
        <v>17678</v>
      </c>
      <c r="I273" s="36">
        <f ca="1">IF(OR(tb1_supporters[[#This Row],[Date_of_Birth]]="",tb1_supporters[[#This Row],[Date_of_Birth]]&gt;TODAY()),"",DATEDIF(tb1_supporters[[#This Row],[Date_of_Birth]],TODAY(),"Y"))</f>
        <v>78</v>
      </c>
      <c r="J27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73" s="2" t="s">
        <v>1937</v>
      </c>
      <c r="L273" s="2" t="s">
        <v>766</v>
      </c>
      <c r="M273" s="2" t="s">
        <v>767</v>
      </c>
      <c r="N273" s="2" t="s">
        <v>768</v>
      </c>
      <c r="O273" s="2" t="s">
        <v>242</v>
      </c>
      <c r="P273" s="2" t="s">
        <v>4887</v>
      </c>
      <c r="Q273" s="2" t="s">
        <v>243</v>
      </c>
      <c r="R273" s="15">
        <v>43162</v>
      </c>
      <c r="S273" s="2" t="s">
        <v>93</v>
      </c>
      <c r="T273" s="2" t="s">
        <v>36</v>
      </c>
      <c r="U273" s="2" t="s">
        <v>36</v>
      </c>
      <c r="V273" s="2" t="s">
        <v>36</v>
      </c>
      <c r="W273" s="4" t="s">
        <v>36</v>
      </c>
      <c r="X27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73" s="2" t="str">
        <f>IF(ISNUMBER(SEARCH("onal",tb1_supporters[[#This Row],[Phone_Clean]])),"Review - corrupt phone number", IF(LEN(tb1_supporters[[#This Row],[Phone_Clean]])&gt;11,"Review - too many digits",""))</f>
        <v/>
      </c>
      <c r="Z27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73" s="2" t="str">
        <f>IF(tb1_supporters[[#This Row],[Email]]="","",IF(COUNTIF(tb1_supporters[Email],tb1_supporters[[#This Row],[Email]])&gt;1,"Review - duplicate record, see Supporter_Duplicates tab",""))</f>
        <v/>
      </c>
      <c r="AB273" s="21" t="str">
        <f>IF(tb1_supporters[[#This Row],[Communication_Preference]]="Do Not Contact","DO NOT CONTACT","")</f>
        <v/>
      </c>
      <c r="AE273"/>
    </row>
    <row r="274" spans="1:31" x14ac:dyDescent="0.25">
      <c r="A274" s="3" t="s">
        <v>1939</v>
      </c>
      <c r="B274" s="2" t="s">
        <v>4866</v>
      </c>
      <c r="C274" s="2" t="s">
        <v>754</v>
      </c>
      <c r="D274" s="2" t="s">
        <v>133</v>
      </c>
      <c r="E274" s="2" t="s">
        <v>1940</v>
      </c>
      <c r="F274" s="2" t="s">
        <v>1941</v>
      </c>
      <c r="G274" s="2" t="str">
        <f>TRIM(SUBSTITUTE(SUBSTITUTE(SUBSTITUTE(SUBSTITUTE(tb1_supporters[[#This Row],[Phone_Raw]],"(",""),")","")," ",""),"+44",))</f>
        <v>07537514894</v>
      </c>
      <c r="H274" s="15">
        <v>14044</v>
      </c>
      <c r="I274" s="36">
        <f ca="1">IF(OR(tb1_supporters[[#This Row],[Date_of_Birth]]="",tb1_supporters[[#This Row],[Date_of_Birth]]&gt;TODAY()),"",DATEDIF(tb1_supporters[[#This Row],[Date_of_Birth]],TODAY(),"Y"))</f>
        <v>87</v>
      </c>
      <c r="J27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74" s="2" t="s">
        <v>1943</v>
      </c>
      <c r="L274" s="2" t="s">
        <v>668</v>
      </c>
      <c r="M274" s="2" t="s">
        <v>669</v>
      </c>
      <c r="N274" s="2" t="s">
        <v>670</v>
      </c>
      <c r="O274" s="2" t="s">
        <v>166</v>
      </c>
      <c r="P274" s="2" t="s">
        <v>4887</v>
      </c>
      <c r="Q274" s="2" t="s">
        <v>4888</v>
      </c>
      <c r="R274" s="15">
        <v>44323</v>
      </c>
      <c r="S274" s="2" t="s">
        <v>4</v>
      </c>
      <c r="T274" s="2" t="s">
        <v>36</v>
      </c>
      <c r="U274" s="2" t="s">
        <v>37</v>
      </c>
      <c r="V274" s="2" t="s">
        <v>37</v>
      </c>
      <c r="W274" s="4" t="s">
        <v>37</v>
      </c>
      <c r="X27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74" s="2" t="str">
        <f>IF(ISNUMBER(SEARCH("onal",tb1_supporters[[#This Row],[Phone_Clean]])),"Review - corrupt phone number", IF(LEN(tb1_supporters[[#This Row],[Phone_Clean]])&gt;11,"Review - too many digits",""))</f>
        <v/>
      </c>
      <c r="Z27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74" s="2" t="str">
        <f>IF(tb1_supporters[[#This Row],[Email]]="","",IF(COUNTIF(tb1_supporters[Email],tb1_supporters[[#This Row],[Email]])&gt;1,"Review - duplicate record, see Supporter_Duplicates tab",""))</f>
        <v/>
      </c>
      <c r="AB274" s="21" t="str">
        <f>IF(tb1_supporters[[#This Row],[Communication_Preference]]="Do Not Contact","DO NOT CONTACT","")</f>
        <v/>
      </c>
      <c r="AE274"/>
    </row>
    <row r="275" spans="1:31" x14ac:dyDescent="0.25">
      <c r="A275" s="3" t="s">
        <v>1945</v>
      </c>
      <c r="B275" s="2" t="s">
        <v>22</v>
      </c>
      <c r="C275" s="2" t="s">
        <v>283</v>
      </c>
      <c r="D275" s="2" t="s">
        <v>121</v>
      </c>
      <c r="E275" s="2" t="s">
        <v>1946</v>
      </c>
      <c r="F275" s="2" t="s">
        <v>1947</v>
      </c>
      <c r="G275" s="2" t="str">
        <f>TRIM(SUBSTITUTE(SUBSTITUTE(SUBSTITUTE(SUBSTITUTE(tb1_supporters[[#This Row],[Phone_Raw]],"(",""),")","")," ",""),"+44",))</f>
        <v>07631650505</v>
      </c>
      <c r="H275" s="15">
        <v>20454</v>
      </c>
      <c r="I275" s="36">
        <f ca="1">IF(OR(tb1_supporters[[#This Row],[Date_of_Birth]]="",tb1_supporters[[#This Row],[Date_of_Birth]]&gt;TODAY()),"",DATEDIF(tb1_supporters[[#This Row],[Date_of_Birth]],TODAY(),"Y"))</f>
        <v>70</v>
      </c>
      <c r="J27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75" s="2" t="s">
        <v>1949</v>
      </c>
      <c r="L275" s="2" t="s">
        <v>693</v>
      </c>
      <c r="M275" s="2" t="s">
        <v>694</v>
      </c>
      <c r="N275" s="2" t="s">
        <v>695</v>
      </c>
      <c r="O275" s="2" t="s">
        <v>242</v>
      </c>
      <c r="P275" s="2" t="s">
        <v>4887</v>
      </c>
      <c r="Q275" s="2" t="s">
        <v>50</v>
      </c>
      <c r="R275" s="15">
        <v>45684</v>
      </c>
      <c r="S275" s="2" t="s">
        <v>52</v>
      </c>
      <c r="T275" s="2" t="s">
        <v>36</v>
      </c>
      <c r="U275" s="2" t="s">
        <v>36</v>
      </c>
      <c r="V275" s="2" t="s">
        <v>36</v>
      </c>
      <c r="W275" s="4" t="s">
        <v>37</v>
      </c>
      <c r="X27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75" s="2" t="str">
        <f>IF(ISNUMBER(SEARCH("onal",tb1_supporters[[#This Row],[Phone_Clean]])),"Review - corrupt phone number", IF(LEN(tb1_supporters[[#This Row],[Phone_Clean]])&gt;11,"Review - too many digits",""))</f>
        <v/>
      </c>
      <c r="Z27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75" s="2" t="str">
        <f>IF(tb1_supporters[[#This Row],[Email]]="","",IF(COUNTIF(tb1_supporters[Email],tb1_supporters[[#This Row],[Email]])&gt;1,"Review - duplicate record, see Supporter_Duplicates tab",""))</f>
        <v/>
      </c>
      <c r="AB275" s="21" t="str">
        <f>IF(tb1_supporters[[#This Row],[Communication_Preference]]="Do Not Contact","DO NOT CONTACT","")</f>
        <v/>
      </c>
      <c r="AE275"/>
    </row>
    <row r="276" spans="1:31" x14ac:dyDescent="0.25">
      <c r="A276" s="3" t="s">
        <v>1951</v>
      </c>
      <c r="B276" s="2" t="s">
        <v>235</v>
      </c>
      <c r="C276" s="2" t="s">
        <v>382</v>
      </c>
      <c r="D276" s="2" t="s">
        <v>108</v>
      </c>
      <c r="E276" s="2" t="s">
        <v>1952</v>
      </c>
      <c r="F276" s="2" t="s">
        <v>1953</v>
      </c>
      <c r="G276" s="2" t="str">
        <f>TRIM(SUBSTITUTE(SUBSTITUTE(SUBSTITUTE(SUBSTITUTE(tb1_supporters[[#This Row],[Phone_Raw]],"(",""),")","")," ",""),"+44",))</f>
        <v>015724819202</v>
      </c>
      <c r="H276" s="15">
        <v>31638</v>
      </c>
      <c r="I276" s="36">
        <f ca="1">IF(OR(tb1_supporters[[#This Row],[Date_of_Birth]]="",tb1_supporters[[#This Row],[Date_of_Birth]]&gt;TODAY()),"",DATEDIF(tb1_supporters[[#This Row],[Date_of_Birth]],TODAY(),"Y"))</f>
        <v>39</v>
      </c>
      <c r="J27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76" s="2" t="s">
        <v>1955</v>
      </c>
      <c r="L276" s="2" t="s">
        <v>668</v>
      </c>
      <c r="M276" s="2" t="s">
        <v>669</v>
      </c>
      <c r="N276" s="2" t="s">
        <v>670</v>
      </c>
      <c r="O276" s="2" t="s">
        <v>242</v>
      </c>
      <c r="P276" s="2" t="s">
        <v>117</v>
      </c>
      <c r="Q276" s="2" t="s">
        <v>66</v>
      </c>
      <c r="R276" s="15">
        <v>44794</v>
      </c>
      <c r="S276" s="2" t="s">
        <v>52</v>
      </c>
      <c r="T276" s="2" t="s">
        <v>36</v>
      </c>
      <c r="U276" s="2" t="s">
        <v>36</v>
      </c>
      <c r="V276" s="2" t="s">
        <v>36</v>
      </c>
      <c r="W276" s="4" t="s">
        <v>36</v>
      </c>
      <c r="X27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76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7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76" s="2" t="str">
        <f>IF(tb1_supporters[[#This Row],[Email]]="","",IF(COUNTIF(tb1_supporters[Email],tb1_supporters[[#This Row],[Email]])&gt;1,"Review - duplicate record, see Supporter_Duplicates tab",""))</f>
        <v/>
      </c>
      <c r="AB276" s="21" t="str">
        <f>IF(tb1_supporters[[#This Row],[Communication_Preference]]="Do Not Contact","DO NOT CONTACT","")</f>
        <v/>
      </c>
      <c r="AE276"/>
    </row>
    <row r="277" spans="1:31" x14ac:dyDescent="0.25">
      <c r="A277" s="3" t="s">
        <v>1957</v>
      </c>
      <c r="B277" s="2" t="s">
        <v>4866</v>
      </c>
      <c r="C277" s="2" t="s">
        <v>877</v>
      </c>
      <c r="D277" s="2" t="s">
        <v>121</v>
      </c>
      <c r="E277" s="2" t="s">
        <v>1958</v>
      </c>
      <c r="F277" s="2" t="s">
        <v>1959</v>
      </c>
      <c r="G277" s="2" t="str">
        <f>TRIM(SUBSTITUTE(SUBSTITUTE(SUBSTITUTE(SUBSTITUTE(tb1_supporters[[#This Row],[Phone_Raw]],"(",""),")","")," ",""),"+44",))</f>
        <v>07216823560</v>
      </c>
      <c r="H277" s="15">
        <v>24725</v>
      </c>
      <c r="I277" s="36">
        <f ca="1">IF(OR(tb1_supporters[[#This Row],[Date_of_Birth]]="",tb1_supporters[[#This Row],[Date_of_Birth]]&gt;TODAY()),"",DATEDIF(tb1_supporters[[#This Row],[Date_of_Birth]],TODAY(),"Y"))</f>
        <v>58</v>
      </c>
      <c r="J27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77" s="2" t="s">
        <v>1961</v>
      </c>
      <c r="L277" s="2" t="s">
        <v>660</v>
      </c>
      <c r="M277" s="2" t="s">
        <v>230</v>
      </c>
      <c r="N277" s="2" t="s">
        <v>661</v>
      </c>
      <c r="O277" s="2" t="s">
        <v>242</v>
      </c>
      <c r="P277" s="2" t="s">
        <v>65</v>
      </c>
      <c r="Q277" s="2" t="s">
        <v>50</v>
      </c>
      <c r="R277" s="15">
        <v>44674</v>
      </c>
      <c r="S277" s="2" t="s">
        <v>4</v>
      </c>
      <c r="T277" s="2" t="s">
        <v>37</v>
      </c>
      <c r="U277" s="2" t="s">
        <v>37</v>
      </c>
      <c r="V277" s="2" t="s">
        <v>36</v>
      </c>
      <c r="W277" s="4" t="s">
        <v>37</v>
      </c>
      <c r="X27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277" s="2" t="str">
        <f>IF(ISNUMBER(SEARCH("onal",tb1_supporters[[#This Row],[Phone_Clean]])),"Review - corrupt phone number", IF(LEN(tb1_supporters[[#This Row],[Phone_Clean]])&gt;11,"Review - too many digits",""))</f>
        <v/>
      </c>
      <c r="Z27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77" s="2" t="str">
        <f>IF(tb1_supporters[[#This Row],[Email]]="","",IF(COUNTIF(tb1_supporters[Email],tb1_supporters[[#This Row],[Email]])&gt;1,"Review - duplicate record, see Supporter_Duplicates tab",""))</f>
        <v/>
      </c>
      <c r="AB277" s="21" t="str">
        <f>IF(tb1_supporters[[#This Row],[Communication_Preference]]="Do Not Contact","DO NOT CONTACT","")</f>
        <v/>
      </c>
      <c r="AE277"/>
    </row>
    <row r="278" spans="1:31" x14ac:dyDescent="0.25">
      <c r="A278" s="3" t="s">
        <v>1963</v>
      </c>
      <c r="B278" s="2" t="s">
        <v>69</v>
      </c>
      <c r="C278" s="2" t="s">
        <v>107</v>
      </c>
      <c r="D278" s="2" t="s">
        <v>83</v>
      </c>
      <c r="E278" s="2" t="s">
        <v>1964</v>
      </c>
      <c r="F278" s="2" t="s">
        <v>1965</v>
      </c>
      <c r="G278" s="2" t="str">
        <f>TRIM(SUBSTITUTE(SUBSTITUTE(SUBSTITUTE(SUBSTITUTE(tb1_supporters[[#This Row],[Phone_Raw]],"(",""),")","")," ",""),"+44",))</f>
        <v>010678746047</v>
      </c>
      <c r="H278" s="15">
        <v>27071</v>
      </c>
      <c r="I278" s="36">
        <f ca="1">IF(OR(tb1_supporters[[#This Row],[Date_of_Birth]]="",tb1_supporters[[#This Row],[Date_of_Birth]]&gt;TODAY()),"",DATEDIF(tb1_supporters[[#This Row],[Date_of_Birth]],TODAY(),"Y"))</f>
        <v>52</v>
      </c>
      <c r="J27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78" s="2" t="s">
        <v>1967</v>
      </c>
      <c r="L278" s="2" t="s">
        <v>429</v>
      </c>
      <c r="M278" s="2" t="s">
        <v>430</v>
      </c>
      <c r="N278" s="2" t="s">
        <v>431</v>
      </c>
      <c r="O278" s="2" t="s">
        <v>166</v>
      </c>
      <c r="P278" s="2" t="s">
        <v>153</v>
      </c>
      <c r="Q278" s="2" t="s">
        <v>141</v>
      </c>
      <c r="R278" s="15">
        <v>45666</v>
      </c>
      <c r="S278" s="2" t="s">
        <v>4</v>
      </c>
      <c r="T278" s="2" t="s">
        <v>36</v>
      </c>
      <c r="U278" s="2" t="s">
        <v>36</v>
      </c>
      <c r="V278" s="2" t="s">
        <v>36</v>
      </c>
      <c r="W278" s="4" t="s">
        <v>36</v>
      </c>
      <c r="X27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7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7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78" s="2" t="str">
        <f>IF(tb1_supporters[[#This Row],[Email]]="","",IF(COUNTIF(tb1_supporters[Email],tb1_supporters[[#This Row],[Email]])&gt;1,"Review - duplicate record, see Supporter_Duplicates tab",""))</f>
        <v/>
      </c>
      <c r="AB278" s="21" t="str">
        <f>IF(tb1_supporters[[#This Row],[Communication_Preference]]="Do Not Contact","DO NOT CONTACT","")</f>
        <v/>
      </c>
      <c r="AE278"/>
    </row>
    <row r="279" spans="1:31" x14ac:dyDescent="0.25">
      <c r="A279" s="3" t="s">
        <v>1969</v>
      </c>
      <c r="B279" s="2" t="s">
        <v>170</v>
      </c>
      <c r="C279" s="2" t="s">
        <v>1703</v>
      </c>
      <c r="D279" s="2" t="s">
        <v>414</v>
      </c>
      <c r="E279" s="2" t="s">
        <v>1970</v>
      </c>
      <c r="F279" s="2" t="s">
        <v>1971</v>
      </c>
      <c r="G279" s="2" t="str">
        <f>TRIM(SUBSTITUTE(SUBSTITUTE(SUBSTITUTE(SUBSTITUTE(tb1_supporters[[#This Row],[Phone_Raw]],"(",""),")","")," ",""),"+44",))</f>
        <v>07702775587</v>
      </c>
      <c r="H279" s="15">
        <v>24233</v>
      </c>
      <c r="I279" s="36">
        <f ca="1">IF(OR(tb1_supporters[[#This Row],[Date_of_Birth]]="",tb1_supporters[[#This Row],[Date_of_Birth]]&gt;TODAY()),"",DATEDIF(tb1_supporters[[#This Row],[Date_of_Birth]],TODAY(),"Y"))</f>
        <v>60</v>
      </c>
      <c r="J27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79" s="2" t="s">
        <v>1973</v>
      </c>
      <c r="L279" s="2" t="s">
        <v>454</v>
      </c>
      <c r="M279" s="2" t="s">
        <v>455</v>
      </c>
      <c r="N279" s="2" t="s">
        <v>1974</v>
      </c>
      <c r="O279" s="2" t="s">
        <v>242</v>
      </c>
      <c r="P279" s="2" t="s">
        <v>153</v>
      </c>
      <c r="Q279" s="2" t="s">
        <v>192</v>
      </c>
      <c r="R279" s="15">
        <v>45563</v>
      </c>
      <c r="S279" s="2" t="s">
        <v>5</v>
      </c>
      <c r="T279" s="2" t="s">
        <v>37</v>
      </c>
      <c r="U279" s="2" t="s">
        <v>36</v>
      </c>
      <c r="V279" s="2" t="s">
        <v>36</v>
      </c>
      <c r="W279" s="4" t="s">
        <v>37</v>
      </c>
      <c r="X27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79" s="2" t="str">
        <f>IF(ISNUMBER(SEARCH("onal",tb1_supporters[[#This Row],[Phone_Clean]])),"Review - corrupt phone number", IF(LEN(tb1_supporters[[#This Row],[Phone_Clean]])&gt;11,"Review - too many digits",""))</f>
        <v/>
      </c>
      <c r="Z27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79" s="2" t="str">
        <f>IF(tb1_supporters[[#This Row],[Email]]="","",IF(COUNTIF(tb1_supporters[Email],tb1_supporters[[#This Row],[Email]])&gt;1,"Review - duplicate record, see Supporter_Duplicates tab",""))</f>
        <v/>
      </c>
      <c r="AB279" s="21" t="str">
        <f>IF(tb1_supporters[[#This Row],[Communication_Preference]]="Do Not Contact","DO NOT CONTACT","")</f>
        <v/>
      </c>
      <c r="AE279"/>
    </row>
    <row r="280" spans="1:31" x14ac:dyDescent="0.25">
      <c r="A280" s="3" t="s">
        <v>1976</v>
      </c>
      <c r="B280" s="2" t="s">
        <v>402</v>
      </c>
      <c r="C280" s="2" t="s">
        <v>171</v>
      </c>
      <c r="D280" s="2" t="s">
        <v>449</v>
      </c>
      <c r="E280" s="2" t="s">
        <v>1977</v>
      </c>
      <c r="F280" s="2" t="s">
        <v>1978</v>
      </c>
      <c r="G280" s="2" t="str">
        <f>TRIM(SUBSTITUTE(SUBSTITUTE(SUBSTITUTE(SUBSTITUTE(tb1_supporters[[#This Row],[Phone_Raw]],"(",""),")","")," ",""),"+44",))</f>
        <v>07974133783</v>
      </c>
      <c r="H280" s="15">
        <v>18623</v>
      </c>
      <c r="I280" s="36">
        <f ca="1">IF(OR(tb1_supporters[[#This Row],[Date_of_Birth]]="",tb1_supporters[[#This Row],[Date_of_Birth]]&gt;TODAY()),"",DATEDIF(tb1_supporters[[#This Row],[Date_of_Birth]],TODAY(),"Y"))</f>
        <v>75</v>
      </c>
      <c r="J28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80" s="2" t="s">
        <v>1980</v>
      </c>
      <c r="L280" s="2" t="s">
        <v>609</v>
      </c>
      <c r="M280" s="2" t="s">
        <v>610</v>
      </c>
      <c r="N280" s="2" t="s">
        <v>611</v>
      </c>
      <c r="O280" s="2" t="s">
        <v>242</v>
      </c>
      <c r="P280" s="2" t="s">
        <v>49</v>
      </c>
      <c r="Q280" s="2" t="s">
        <v>192</v>
      </c>
      <c r="R280" s="15">
        <v>43301</v>
      </c>
      <c r="S280" s="2" t="s">
        <v>4</v>
      </c>
      <c r="T280" s="2" t="s">
        <v>36</v>
      </c>
      <c r="U280" s="2" t="s">
        <v>36</v>
      </c>
      <c r="V280" s="2" t="s">
        <v>36</v>
      </c>
      <c r="W280" s="4" t="s">
        <v>36</v>
      </c>
      <c r="X28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80" s="2" t="str">
        <f>IF(ISNUMBER(SEARCH("onal",tb1_supporters[[#This Row],[Phone_Clean]])),"Review - corrupt phone number", IF(LEN(tb1_supporters[[#This Row],[Phone_Clean]])&gt;11,"Review - too many digits",""))</f>
        <v/>
      </c>
      <c r="Z28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80" s="2" t="str">
        <f>IF(tb1_supporters[[#This Row],[Email]]="","",IF(COUNTIF(tb1_supporters[Email],tb1_supporters[[#This Row],[Email]])&gt;1,"Review - duplicate record, see Supporter_Duplicates tab",""))</f>
        <v/>
      </c>
      <c r="AB280" s="21" t="str">
        <f>IF(tb1_supporters[[#This Row],[Communication_Preference]]="Do Not Contact","DO NOT CONTACT","")</f>
        <v/>
      </c>
      <c r="AE280"/>
    </row>
    <row r="281" spans="1:31" x14ac:dyDescent="0.25">
      <c r="A281" s="3" t="s">
        <v>1982</v>
      </c>
      <c r="B281" s="2" t="s">
        <v>54</v>
      </c>
      <c r="C281" s="2" t="s">
        <v>1098</v>
      </c>
      <c r="D281" s="2" t="s">
        <v>71</v>
      </c>
      <c r="E281" s="2" t="s">
        <v>1983</v>
      </c>
      <c r="F281" s="2" t="s">
        <v>1984</v>
      </c>
      <c r="G281" s="2" t="str">
        <f>TRIM(SUBSTITUTE(SUBSTITUTE(SUBSTITUTE(SUBSTITUTE(tb1_supporters[[#This Row],[Phone_Raw]],"(",""),")","")," ",""),"+44",))</f>
        <v>07886406430</v>
      </c>
      <c r="H281" s="15">
        <v>20180</v>
      </c>
      <c r="I281" s="36">
        <f ca="1">IF(OR(tb1_supporters[[#This Row],[Date_of_Birth]]="",tb1_supporters[[#This Row],[Date_of_Birth]]&gt;TODAY()),"",DATEDIF(tb1_supporters[[#This Row],[Date_of_Birth]],TODAY(),"Y"))</f>
        <v>71</v>
      </c>
      <c r="J28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81" s="2" t="s">
        <v>1986</v>
      </c>
      <c r="L281" s="2" t="s">
        <v>585</v>
      </c>
      <c r="M281" s="2" t="s">
        <v>586</v>
      </c>
      <c r="N281" s="2" t="s">
        <v>587</v>
      </c>
      <c r="O281" s="2" t="s">
        <v>166</v>
      </c>
      <c r="P281" s="2" t="s">
        <v>65</v>
      </c>
      <c r="Q281" s="2" t="s">
        <v>243</v>
      </c>
      <c r="R281" s="15">
        <v>44851</v>
      </c>
      <c r="S281" s="2" t="s">
        <v>93</v>
      </c>
      <c r="T281" s="2" t="s">
        <v>37</v>
      </c>
      <c r="U281" s="2" t="s">
        <v>36</v>
      </c>
      <c r="V281" s="2" t="s">
        <v>36</v>
      </c>
      <c r="W281" s="4" t="s">
        <v>37</v>
      </c>
      <c r="X28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81" s="2" t="str">
        <f>IF(ISNUMBER(SEARCH("onal",tb1_supporters[[#This Row],[Phone_Clean]])),"Review - corrupt phone number", IF(LEN(tb1_supporters[[#This Row],[Phone_Clean]])&gt;11,"Review - too many digits",""))</f>
        <v/>
      </c>
      <c r="Z28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81" s="2" t="str">
        <f>IF(tb1_supporters[[#This Row],[Email]]="","",IF(COUNTIF(tb1_supporters[Email],tb1_supporters[[#This Row],[Email]])&gt;1,"Review - duplicate record, see Supporter_Duplicates tab",""))</f>
        <v/>
      </c>
      <c r="AB281" s="21" t="str">
        <f>IF(tb1_supporters[[#This Row],[Communication_Preference]]="Do Not Contact","DO NOT CONTACT","")</f>
        <v/>
      </c>
      <c r="AE281"/>
    </row>
    <row r="282" spans="1:31" x14ac:dyDescent="0.25">
      <c r="A282" s="3" t="s">
        <v>1988</v>
      </c>
      <c r="B282" s="2" t="s">
        <v>54</v>
      </c>
      <c r="C282" s="2" t="s">
        <v>70</v>
      </c>
      <c r="D282" s="2" t="s">
        <v>375</v>
      </c>
      <c r="E282" s="2" t="s">
        <v>1989</v>
      </c>
      <c r="F282" s="2" t="s">
        <v>1990</v>
      </c>
      <c r="G282" s="2" t="str">
        <f>TRIM(SUBSTITUTE(SUBSTITUTE(SUBSTITUTE(SUBSTITUTE(tb1_supporters[[#This Row],[Phone_Raw]],"(",""),")","")," ",""),"+44",))</f>
        <v>7847744641</v>
      </c>
      <c r="H282" s="15">
        <v>23125</v>
      </c>
      <c r="I282" s="36">
        <f ca="1">IF(OR(tb1_supporters[[#This Row],[Date_of_Birth]]="",tb1_supporters[[#This Row],[Date_of_Birth]]&gt;TODAY()),"",DATEDIF(tb1_supporters[[#This Row],[Date_of_Birth]],TODAY(),"Y"))</f>
        <v>63</v>
      </c>
      <c r="J28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82" s="2" t="s">
        <v>1992</v>
      </c>
      <c r="L282" s="2" t="s">
        <v>88</v>
      </c>
      <c r="M282" s="2" t="s">
        <v>89</v>
      </c>
      <c r="N282" s="2" t="s">
        <v>90</v>
      </c>
      <c r="O282" s="2" t="s">
        <v>166</v>
      </c>
      <c r="P282" s="2" t="s">
        <v>91</v>
      </c>
      <c r="Q282" s="2" t="s">
        <v>66</v>
      </c>
      <c r="R282" s="15">
        <v>45594</v>
      </c>
      <c r="S282" s="2" t="s">
        <v>4</v>
      </c>
      <c r="T282" s="2" t="s">
        <v>36</v>
      </c>
      <c r="U282" s="2" t="s">
        <v>36</v>
      </c>
      <c r="V282" s="2" t="s">
        <v>37</v>
      </c>
      <c r="W282" s="4" t="s">
        <v>37</v>
      </c>
      <c r="X28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82" s="2" t="str">
        <f>IF(ISNUMBER(SEARCH("onal",tb1_supporters[[#This Row],[Phone_Clean]])),"Review - corrupt phone number", IF(LEN(tb1_supporters[[#This Row],[Phone_Clean]])&gt;11,"Review - too many digits",""))</f>
        <v/>
      </c>
      <c r="Z28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82" s="2" t="str">
        <f>IF(tb1_supporters[[#This Row],[Email]]="","",IF(COUNTIF(tb1_supporters[Email],tb1_supporters[[#This Row],[Email]])&gt;1,"Review - duplicate record, see Supporter_Duplicates tab",""))</f>
        <v/>
      </c>
      <c r="AB282" s="21" t="str">
        <f>IF(tb1_supporters[[#This Row],[Communication_Preference]]="Do Not Contact","DO NOT CONTACT","")</f>
        <v/>
      </c>
      <c r="AE282"/>
    </row>
    <row r="283" spans="1:31" x14ac:dyDescent="0.25">
      <c r="A283" s="3" t="s">
        <v>1994</v>
      </c>
      <c r="B283" s="2" t="s">
        <v>54</v>
      </c>
      <c r="C283" s="2" t="s">
        <v>1644</v>
      </c>
      <c r="D283" s="2" t="s">
        <v>291</v>
      </c>
      <c r="E283" s="2" t="s">
        <v>1995</v>
      </c>
      <c r="F283" s="2" t="s">
        <v>1996</v>
      </c>
      <c r="G283" s="2" t="str">
        <f>TRIM(SUBSTITUTE(SUBSTITUTE(SUBSTITUTE(SUBSTITUTE(tb1_supporters[[#This Row],[Phone_Raw]],"(",""),")","")," ",""),"+44",))</f>
        <v>013741711025</v>
      </c>
      <c r="H283" s="15">
        <v>22397</v>
      </c>
      <c r="I283" s="36">
        <f ca="1">IF(OR(tb1_supporters[[#This Row],[Date_of_Birth]]="",tb1_supporters[[#This Row],[Date_of_Birth]]&gt;TODAY()),"",DATEDIF(tb1_supporters[[#This Row],[Date_of_Birth]],TODAY(),"Y"))</f>
        <v>65</v>
      </c>
      <c r="J28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83" s="2" t="s">
        <v>1998</v>
      </c>
      <c r="L283" s="2" t="s">
        <v>984</v>
      </c>
      <c r="M283" s="2" t="s">
        <v>62</v>
      </c>
      <c r="N283" s="2" t="s">
        <v>985</v>
      </c>
      <c r="O283" s="2" t="s">
        <v>166</v>
      </c>
      <c r="P283" s="2" t="s">
        <v>153</v>
      </c>
      <c r="Q283" s="2" t="s">
        <v>4888</v>
      </c>
      <c r="R283" s="15">
        <v>43584</v>
      </c>
      <c r="S283" s="2" t="s">
        <v>4</v>
      </c>
      <c r="T283" s="2" t="s">
        <v>36</v>
      </c>
      <c r="U283" s="2" t="s">
        <v>37</v>
      </c>
      <c r="V283" s="2" t="s">
        <v>37</v>
      </c>
      <c r="W283" s="4" t="s">
        <v>37</v>
      </c>
      <c r="X28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83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28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83" s="2" t="str">
        <f>IF(tb1_supporters[[#This Row],[Email]]="","",IF(COUNTIF(tb1_supporters[Email],tb1_supporters[[#This Row],[Email]])&gt;1,"Review - duplicate record, see Supporter_Duplicates tab",""))</f>
        <v/>
      </c>
      <c r="AB283" s="21" t="str">
        <f>IF(tb1_supporters[[#This Row],[Communication_Preference]]="Do Not Contact","DO NOT CONTACT","")</f>
        <v/>
      </c>
      <c r="AE283"/>
    </row>
    <row r="284" spans="1:31" x14ac:dyDescent="0.25">
      <c r="A284" s="3" t="s">
        <v>2000</v>
      </c>
      <c r="B284" s="2"/>
      <c r="C284" s="2" t="s">
        <v>185</v>
      </c>
      <c r="D284" s="2" t="s">
        <v>247</v>
      </c>
      <c r="E284" s="2" t="s">
        <v>2001</v>
      </c>
      <c r="F284" s="2" t="s">
        <v>2002</v>
      </c>
      <c r="G284" s="2" t="str">
        <f>TRIM(SUBSTITUTE(SUBSTITUTE(SUBSTITUTE(SUBSTITUTE(tb1_supporters[[#This Row],[Phone_Raw]],"(",""),")","")," ",""),"+44",))</f>
        <v>07407618663</v>
      </c>
      <c r="H284" s="15">
        <v>21563</v>
      </c>
      <c r="I284" s="36">
        <f ca="1">IF(OR(tb1_supporters[[#This Row],[Date_of_Birth]]="",tb1_supporters[[#This Row],[Date_of_Birth]]&gt;TODAY()),"",DATEDIF(tb1_supporters[[#This Row],[Date_of_Birth]],TODAY(),"Y"))</f>
        <v>67</v>
      </c>
      <c r="J28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84" s="2" t="s">
        <v>2004</v>
      </c>
      <c r="L284" s="2" t="s">
        <v>138</v>
      </c>
      <c r="M284" s="2" t="s">
        <v>139</v>
      </c>
      <c r="N284" s="2" t="s">
        <v>140</v>
      </c>
      <c r="O284" s="2" t="s">
        <v>166</v>
      </c>
      <c r="P284" s="2" t="s">
        <v>181</v>
      </c>
      <c r="Q284" s="2" t="s">
        <v>192</v>
      </c>
      <c r="R284" s="15">
        <v>44466</v>
      </c>
      <c r="S284" s="2" t="s">
        <v>4</v>
      </c>
      <c r="T284" s="2" t="s">
        <v>36</v>
      </c>
      <c r="U284" s="2" t="s">
        <v>36</v>
      </c>
      <c r="V284" s="2" t="s">
        <v>37</v>
      </c>
      <c r="W284" s="4" t="s">
        <v>37</v>
      </c>
      <c r="X28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84" s="2" t="str">
        <f>IF(ISNUMBER(SEARCH("onal",tb1_supporters[[#This Row],[Phone_Clean]])),"Review - corrupt phone number", IF(LEN(tb1_supporters[[#This Row],[Phone_Clean]])&gt;11,"Review - too many digits",""))</f>
        <v/>
      </c>
      <c r="Z28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84" s="2" t="str">
        <f>IF(tb1_supporters[[#This Row],[Email]]="","",IF(COUNTIF(tb1_supporters[Email],tb1_supporters[[#This Row],[Email]])&gt;1,"Review - duplicate record, see Supporter_Duplicates tab",""))</f>
        <v/>
      </c>
      <c r="AB284" s="21" t="str">
        <f>IF(tb1_supporters[[#This Row],[Communication_Preference]]="Do Not Contact","DO NOT CONTACT","")</f>
        <v/>
      </c>
      <c r="AE284"/>
    </row>
    <row r="285" spans="1:31" x14ac:dyDescent="0.25">
      <c r="A285" s="3" t="s">
        <v>2006</v>
      </c>
      <c r="B285" s="2" t="s">
        <v>4866</v>
      </c>
      <c r="C285" s="2" t="s">
        <v>1411</v>
      </c>
      <c r="D285" s="2" t="s">
        <v>1268</v>
      </c>
      <c r="E285" s="2" t="s">
        <v>4869</v>
      </c>
      <c r="F285" s="2" t="s">
        <v>2007</v>
      </c>
      <c r="G285" s="2" t="str">
        <f>TRIM(SUBSTITUTE(SUBSTITUTE(SUBSTITUTE(SUBSTITUTE(tb1_supporters[[#This Row],[Phone_Raw]],"(",""),")","")," ",""),"+44",))</f>
        <v>01417428546</v>
      </c>
      <c r="H285" s="15">
        <v>27235</v>
      </c>
      <c r="I285" s="36">
        <f ca="1">IF(OR(tb1_supporters[[#This Row],[Date_of_Birth]]="",tb1_supporters[[#This Row],[Date_of_Birth]]&gt;TODAY()),"",DATEDIF(tb1_supporters[[#This Row],[Date_of_Birth]],TODAY(),"Y"))</f>
        <v>51</v>
      </c>
      <c r="J28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85" s="2" t="s">
        <v>2009</v>
      </c>
      <c r="L285" s="2" t="s">
        <v>370</v>
      </c>
      <c r="M285" s="2" t="s">
        <v>371</v>
      </c>
      <c r="N285" s="2" t="s">
        <v>602</v>
      </c>
      <c r="O285" s="2" t="s">
        <v>242</v>
      </c>
      <c r="P285" s="2" t="s">
        <v>153</v>
      </c>
      <c r="Q285" s="2" t="s">
        <v>243</v>
      </c>
      <c r="R285" s="15">
        <v>44796</v>
      </c>
      <c r="S285" s="2" t="s">
        <v>4</v>
      </c>
      <c r="T285" s="2" t="s">
        <v>36</v>
      </c>
      <c r="U285" s="2" t="s">
        <v>37</v>
      </c>
      <c r="V285" s="2" t="s">
        <v>36</v>
      </c>
      <c r="W285" s="4" t="s">
        <v>37</v>
      </c>
      <c r="X28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85" s="2" t="str">
        <f>IF(ISNUMBER(SEARCH("onal",tb1_supporters[[#This Row],[Phone_Clean]])),"Review - corrupt phone number", IF(LEN(tb1_supporters[[#This Row],[Phone_Clean]])&gt;11,"Review - too many digits",""))</f>
        <v/>
      </c>
      <c r="Z28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85" s="2" t="str">
        <f>IF(tb1_supporters[[#This Row],[Email]]="","",IF(COUNTIF(tb1_supporters[Email],tb1_supporters[[#This Row],[Email]])&gt;1,"Review - duplicate record, see Supporter_Duplicates tab",""))</f>
        <v/>
      </c>
      <c r="AB285" s="21" t="str">
        <f>IF(tb1_supporters[[#This Row],[Communication_Preference]]="Do Not Contact","DO NOT CONTACT","")</f>
        <v/>
      </c>
      <c r="AE285"/>
    </row>
    <row r="286" spans="1:31" x14ac:dyDescent="0.25">
      <c r="A286" s="3" t="s">
        <v>2011</v>
      </c>
      <c r="B286" s="2" t="s">
        <v>235</v>
      </c>
      <c r="C286" s="2" t="s">
        <v>171</v>
      </c>
      <c r="D286" s="2" t="s">
        <v>755</v>
      </c>
      <c r="E286" s="2" t="s">
        <v>2012</v>
      </c>
      <c r="F286" s="2" t="s">
        <v>2013</v>
      </c>
      <c r="G286" s="2" t="str">
        <f>TRIM(SUBSTITUTE(SUBSTITUTE(SUBSTITUTE(SUBSTITUTE(tb1_supporters[[#This Row],[Phone_Raw]],"(",""),")","")," ",""),"+44",))</f>
        <v>07447484741</v>
      </c>
      <c r="H286" s="15">
        <v>37698</v>
      </c>
      <c r="I286" s="36">
        <f ca="1">IF(OR(tb1_supporters[[#This Row],[Date_of_Birth]]="",tb1_supporters[[#This Row],[Date_of_Birth]]&gt;TODAY()),"",DATEDIF(tb1_supporters[[#This Row],[Date_of_Birth]],TODAY(),"Y"))</f>
        <v>23</v>
      </c>
      <c r="J28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86" s="2" t="s">
        <v>2015</v>
      </c>
      <c r="L286" s="2" t="s">
        <v>150</v>
      </c>
      <c r="M286" s="2" t="s">
        <v>151</v>
      </c>
      <c r="N286" s="2" t="s">
        <v>152</v>
      </c>
      <c r="O286" s="2" t="s">
        <v>242</v>
      </c>
      <c r="P286" s="2" t="s">
        <v>4887</v>
      </c>
      <c r="Q286" s="2" t="s">
        <v>154</v>
      </c>
      <c r="R286" s="15">
        <v>45360</v>
      </c>
      <c r="S286" s="2" t="s">
        <v>4</v>
      </c>
      <c r="T286" s="2" t="s">
        <v>36</v>
      </c>
      <c r="U286" s="2" t="s">
        <v>36</v>
      </c>
      <c r="V286" s="2" t="s">
        <v>37</v>
      </c>
      <c r="W286" s="4" t="s">
        <v>37</v>
      </c>
      <c r="X28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86" s="2" t="str">
        <f>IF(ISNUMBER(SEARCH("onal",tb1_supporters[[#This Row],[Phone_Clean]])),"Review - corrupt phone number", IF(LEN(tb1_supporters[[#This Row],[Phone_Clean]])&gt;11,"Review - too many digits",""))</f>
        <v/>
      </c>
      <c r="Z28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86" s="2" t="str">
        <f>IF(tb1_supporters[[#This Row],[Email]]="","",IF(COUNTIF(tb1_supporters[Email],tb1_supporters[[#This Row],[Email]])&gt;1,"Review - duplicate record, see Supporter_Duplicates tab",""))</f>
        <v/>
      </c>
      <c r="AB286" s="21" t="str">
        <f>IF(tb1_supporters[[#This Row],[Communication_Preference]]="Do Not Contact","DO NOT CONTACT","")</f>
        <v/>
      </c>
      <c r="AE286"/>
    </row>
    <row r="287" spans="1:31" x14ac:dyDescent="0.25">
      <c r="A287" s="3" t="s">
        <v>2016</v>
      </c>
      <c r="B287" s="2"/>
      <c r="C287" s="2" t="s">
        <v>1267</v>
      </c>
      <c r="D287" s="2" t="s">
        <v>225</v>
      </c>
      <c r="E287" s="2" t="s">
        <v>2017</v>
      </c>
      <c r="F287" s="2" t="s">
        <v>2018</v>
      </c>
      <c r="G287" s="2" t="str">
        <f>TRIM(SUBSTITUTE(SUBSTITUTE(SUBSTITUTE(SUBSTITUTE(tb1_supporters[[#This Row],[Phone_Raw]],"(",""),")","")," ",""),"+44",))</f>
        <v>7409279214</v>
      </c>
      <c r="H287" s="15">
        <v>23637</v>
      </c>
      <c r="I287" s="36">
        <f ca="1">IF(OR(tb1_supporters[[#This Row],[Date_of_Birth]]="",tb1_supporters[[#This Row],[Date_of_Birth]]&gt;TODAY()),"",DATEDIF(tb1_supporters[[#This Row],[Date_of_Birth]],TODAY(),"Y"))</f>
        <v>61</v>
      </c>
      <c r="J28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87" s="2" t="s">
        <v>2020</v>
      </c>
      <c r="L287" s="2" t="s">
        <v>766</v>
      </c>
      <c r="M287" s="2" t="s">
        <v>767</v>
      </c>
      <c r="N287" s="2" t="s">
        <v>768</v>
      </c>
      <c r="O287" s="2" t="s">
        <v>166</v>
      </c>
      <c r="P287" s="2" t="s">
        <v>181</v>
      </c>
      <c r="Q287" s="2" t="s">
        <v>243</v>
      </c>
      <c r="R287" s="15">
        <v>43928</v>
      </c>
      <c r="S287" s="2" t="s">
        <v>93</v>
      </c>
      <c r="T287" s="2" t="s">
        <v>36</v>
      </c>
      <c r="U287" s="2" t="s">
        <v>36</v>
      </c>
      <c r="V287" s="2" t="s">
        <v>37</v>
      </c>
      <c r="W287" s="4" t="s">
        <v>36</v>
      </c>
      <c r="X28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87" s="2" t="str">
        <f>IF(ISNUMBER(SEARCH("onal",tb1_supporters[[#This Row],[Phone_Clean]])),"Review - corrupt phone number", IF(LEN(tb1_supporters[[#This Row],[Phone_Clean]])&gt;11,"Review - too many digits",""))</f>
        <v/>
      </c>
      <c r="Z28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87" s="2" t="str">
        <f>IF(tb1_supporters[[#This Row],[Email]]="","",IF(COUNTIF(tb1_supporters[Email],tb1_supporters[[#This Row],[Email]])&gt;1,"Review - duplicate record, see Supporter_Duplicates tab",""))</f>
        <v/>
      </c>
      <c r="AB287" s="21" t="str">
        <f>IF(tb1_supporters[[#This Row],[Communication_Preference]]="Do Not Contact","DO NOT CONTACT","")</f>
        <v/>
      </c>
      <c r="AE287"/>
    </row>
    <row r="288" spans="1:31" x14ac:dyDescent="0.25">
      <c r="A288" s="3" t="s">
        <v>2022</v>
      </c>
      <c r="B288" s="2" t="s">
        <v>22</v>
      </c>
      <c r="C288" s="2" t="s">
        <v>265</v>
      </c>
      <c r="D288" s="2" t="s">
        <v>1047</v>
      </c>
      <c r="E288" s="2" t="s">
        <v>2023</v>
      </c>
      <c r="F288" s="2" t="s">
        <v>2024</v>
      </c>
      <c r="G288" s="2" t="str">
        <f>TRIM(SUBSTITUTE(SUBSTITUTE(SUBSTITUTE(SUBSTITUTE(tb1_supporters[[#This Row],[Phone_Raw]],"(",""),")","")," ",""),"+44",))</f>
        <v>07941628792</v>
      </c>
      <c r="H288" s="15">
        <v>30930</v>
      </c>
      <c r="I288" s="36">
        <f ca="1">IF(OR(tb1_supporters[[#This Row],[Date_of_Birth]]="",tb1_supporters[[#This Row],[Date_of_Birth]]&gt;TODAY()),"",DATEDIF(tb1_supporters[[#This Row],[Date_of_Birth]],TODAY(),"Y"))</f>
        <v>41</v>
      </c>
      <c r="J28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88" s="2" t="s">
        <v>2026</v>
      </c>
      <c r="L288" s="2" t="s">
        <v>693</v>
      </c>
      <c r="M288" s="2" t="s">
        <v>694</v>
      </c>
      <c r="N288" s="2" t="s">
        <v>4869</v>
      </c>
      <c r="O288" s="2" t="s">
        <v>242</v>
      </c>
      <c r="P288" s="2" t="s">
        <v>181</v>
      </c>
      <c r="Q288" s="2" t="s">
        <v>66</v>
      </c>
      <c r="R288" s="15">
        <v>44688</v>
      </c>
      <c r="S288" s="2" t="s">
        <v>4</v>
      </c>
      <c r="T288" s="2" t="s">
        <v>37</v>
      </c>
      <c r="U288" s="2" t="s">
        <v>36</v>
      </c>
      <c r="V288" s="2" t="s">
        <v>36</v>
      </c>
      <c r="W288" s="4" t="s">
        <v>37</v>
      </c>
      <c r="X28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288" s="2" t="str">
        <f>IF(ISNUMBER(SEARCH("onal",tb1_supporters[[#This Row],[Phone_Clean]])),"Review - corrupt phone number", IF(LEN(tb1_supporters[[#This Row],[Phone_Clean]])&gt;11,"Review - too many digits",""))</f>
        <v/>
      </c>
      <c r="Z28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88" s="2" t="str">
        <f>IF(tb1_supporters[[#This Row],[Email]]="","",IF(COUNTIF(tb1_supporters[Email],tb1_supporters[[#This Row],[Email]])&gt;1,"Review - duplicate record, see Supporter_Duplicates tab",""))</f>
        <v/>
      </c>
      <c r="AB288" s="21" t="str">
        <f>IF(tb1_supporters[[#This Row],[Communication_Preference]]="Do Not Contact","DO NOT CONTACT","")</f>
        <v/>
      </c>
      <c r="AE288"/>
    </row>
    <row r="289" spans="1:31" x14ac:dyDescent="0.25">
      <c r="A289" s="3" t="s">
        <v>2028</v>
      </c>
      <c r="B289" s="2" t="s">
        <v>4866</v>
      </c>
      <c r="C289" s="2" t="s">
        <v>1021</v>
      </c>
      <c r="D289" s="2" t="s">
        <v>536</v>
      </c>
      <c r="E289" s="2" t="s">
        <v>2029</v>
      </c>
      <c r="F289" s="2" t="s">
        <v>2030</v>
      </c>
      <c r="G289" s="2" t="str">
        <f>TRIM(SUBSTITUTE(SUBSTITUTE(SUBSTITUTE(SUBSTITUTE(tb1_supporters[[#This Row],[Phone_Raw]],"(",""),")","")," ",""),"+44",))</f>
        <v>7876419754</v>
      </c>
      <c r="H289" s="15">
        <v>34104</v>
      </c>
      <c r="I289" s="36">
        <f ca="1">IF(OR(tb1_supporters[[#This Row],[Date_of_Birth]]="",tb1_supporters[[#This Row],[Date_of_Birth]]&gt;TODAY()),"",DATEDIF(tb1_supporters[[#This Row],[Date_of_Birth]],TODAY(),"Y"))</f>
        <v>33</v>
      </c>
      <c r="J28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89" s="2" t="s">
        <v>2032</v>
      </c>
      <c r="L289" s="2" t="s">
        <v>229</v>
      </c>
      <c r="M289" s="2" t="s">
        <v>230</v>
      </c>
      <c r="N289" s="2" t="s">
        <v>231</v>
      </c>
      <c r="O289" s="2" t="s">
        <v>242</v>
      </c>
      <c r="P289" s="2" t="s">
        <v>33</v>
      </c>
      <c r="Q289" s="2" t="s">
        <v>154</v>
      </c>
      <c r="R289" s="15">
        <v>44274</v>
      </c>
      <c r="S289" s="2" t="s">
        <v>4</v>
      </c>
      <c r="T289" s="2" t="s">
        <v>36</v>
      </c>
      <c r="U289" s="2" t="s">
        <v>37</v>
      </c>
      <c r="V289" s="2" t="s">
        <v>36</v>
      </c>
      <c r="W289" s="4" t="s">
        <v>37</v>
      </c>
      <c r="X28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89" s="2" t="str">
        <f>IF(ISNUMBER(SEARCH("onal",tb1_supporters[[#This Row],[Phone_Clean]])),"Review - corrupt phone number", IF(LEN(tb1_supporters[[#This Row],[Phone_Clean]])&gt;11,"Review - too many digits",""))</f>
        <v/>
      </c>
      <c r="Z28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89" s="2" t="str">
        <f>IF(tb1_supporters[[#This Row],[Email]]="","",IF(COUNTIF(tb1_supporters[Email],tb1_supporters[[#This Row],[Email]])&gt;1,"Review - duplicate record, see Supporter_Duplicates tab",""))</f>
        <v/>
      </c>
      <c r="AB289" s="21" t="str">
        <f>IF(tb1_supporters[[#This Row],[Communication_Preference]]="Do Not Contact","DO NOT CONTACT","")</f>
        <v/>
      </c>
      <c r="AE289"/>
    </row>
    <row r="290" spans="1:31" x14ac:dyDescent="0.25">
      <c r="A290" s="3" t="s">
        <v>2034</v>
      </c>
      <c r="B290" s="2" t="s">
        <v>54</v>
      </c>
      <c r="C290" s="2" t="s">
        <v>337</v>
      </c>
      <c r="D290" s="2" t="s">
        <v>1154</v>
      </c>
      <c r="E290" s="2" t="s">
        <v>2035</v>
      </c>
      <c r="F290" s="2" t="s">
        <v>2036</v>
      </c>
      <c r="G290" s="2" t="str">
        <f>TRIM(SUBSTITUTE(SUBSTITUTE(SUBSTITUTE(SUBSTITUTE(tb1_supporters[[#This Row],[Phone_Raw]],"(",""),")","")," ",""),"+44",))</f>
        <v>7458662426</v>
      </c>
      <c r="H290" s="15">
        <v>28496</v>
      </c>
      <c r="I290" s="36">
        <f ca="1">IF(OR(tb1_supporters[[#This Row],[Date_of_Birth]]="",tb1_supporters[[#This Row],[Date_of_Birth]]&gt;TODAY()),"",DATEDIF(tb1_supporters[[#This Row],[Date_of_Birth]],TODAY(),"Y"))</f>
        <v>48</v>
      </c>
      <c r="J29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90" s="2" t="s">
        <v>2038</v>
      </c>
      <c r="L290" s="2" t="s">
        <v>668</v>
      </c>
      <c r="M290" s="2" t="s">
        <v>669</v>
      </c>
      <c r="N290" s="2" t="s">
        <v>670</v>
      </c>
      <c r="O290" s="2" t="s">
        <v>166</v>
      </c>
      <c r="P290" s="2" t="s">
        <v>91</v>
      </c>
      <c r="Q290" s="2" t="s">
        <v>50</v>
      </c>
      <c r="R290" s="15">
        <v>44103</v>
      </c>
      <c r="S290" s="2" t="s">
        <v>5</v>
      </c>
      <c r="T290" s="2" t="s">
        <v>36</v>
      </c>
      <c r="U290" s="2" t="s">
        <v>36</v>
      </c>
      <c r="V290" s="2" t="s">
        <v>36</v>
      </c>
      <c r="W290" s="4" t="s">
        <v>37</v>
      </c>
      <c r="X29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90" s="2" t="str">
        <f>IF(ISNUMBER(SEARCH("onal",tb1_supporters[[#This Row],[Phone_Clean]])),"Review - corrupt phone number", IF(LEN(tb1_supporters[[#This Row],[Phone_Clean]])&gt;11,"Review - too many digits",""))</f>
        <v/>
      </c>
      <c r="Z29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90" s="2" t="str">
        <f>IF(tb1_supporters[[#This Row],[Email]]="","",IF(COUNTIF(tb1_supporters[Email],tb1_supporters[[#This Row],[Email]])&gt;1,"Review - duplicate record, see Supporter_Duplicates tab",""))</f>
        <v/>
      </c>
      <c r="AB290" s="21" t="str">
        <f>IF(tb1_supporters[[#This Row],[Communication_Preference]]="Do Not Contact","DO NOT CONTACT","")</f>
        <v/>
      </c>
      <c r="AE290"/>
    </row>
    <row r="291" spans="1:31" x14ac:dyDescent="0.25">
      <c r="A291" s="3" t="s">
        <v>2040</v>
      </c>
      <c r="B291" s="2" t="s">
        <v>4866</v>
      </c>
      <c r="C291" s="2" t="s">
        <v>224</v>
      </c>
      <c r="D291" s="2" t="s">
        <v>237</v>
      </c>
      <c r="E291" s="2" t="s">
        <v>2041</v>
      </c>
      <c r="F291" s="2" t="s">
        <v>2042</v>
      </c>
      <c r="G291" s="2" t="str">
        <f>TRIM(SUBSTITUTE(SUBSTITUTE(SUBSTITUTE(SUBSTITUTE(tb1_supporters[[#This Row],[Phone_Raw]],"(",""),")","")," ",""),"+44",))</f>
        <v>01812838304</v>
      </c>
      <c r="H291" s="15">
        <v>36918</v>
      </c>
      <c r="I291" s="36">
        <f ca="1">IF(OR(tb1_supporters[[#This Row],[Date_of_Birth]]="",tb1_supporters[[#This Row],[Date_of_Birth]]&gt;TODAY()),"",DATEDIF(tb1_supporters[[#This Row],[Date_of_Birth]],TODAY(),"Y"))</f>
        <v>25</v>
      </c>
      <c r="J29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91" s="2" t="s">
        <v>2044</v>
      </c>
      <c r="L291" s="2" t="s">
        <v>945</v>
      </c>
      <c r="M291" s="2" t="s">
        <v>946</v>
      </c>
      <c r="N291" s="2" t="s">
        <v>947</v>
      </c>
      <c r="O291" s="2" t="s">
        <v>242</v>
      </c>
      <c r="P291" s="2" t="s">
        <v>91</v>
      </c>
      <c r="Q291" s="2" t="s">
        <v>141</v>
      </c>
      <c r="R291" s="15">
        <v>43912</v>
      </c>
      <c r="S291" s="2" t="s">
        <v>93</v>
      </c>
      <c r="T291" s="2" t="s">
        <v>37</v>
      </c>
      <c r="U291" s="2" t="s">
        <v>36</v>
      </c>
      <c r="V291" s="2" t="s">
        <v>37</v>
      </c>
      <c r="W291" s="4" t="s">
        <v>37</v>
      </c>
      <c r="X29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91" s="2" t="str">
        <f>IF(ISNUMBER(SEARCH("onal",tb1_supporters[[#This Row],[Phone_Clean]])),"Review - corrupt phone number", IF(LEN(tb1_supporters[[#This Row],[Phone_Clean]])&gt;11,"Review - too many digits",""))</f>
        <v/>
      </c>
      <c r="Z29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91" s="2" t="str">
        <f>IF(tb1_supporters[[#This Row],[Email]]="","",IF(COUNTIF(tb1_supporters[Email],tb1_supporters[[#This Row],[Email]])&gt;1,"Review - duplicate record, see Supporter_Duplicates tab",""))</f>
        <v/>
      </c>
      <c r="AB291" s="21" t="str">
        <f>IF(tb1_supporters[[#This Row],[Communication_Preference]]="Do Not Contact","DO NOT CONTACT","")</f>
        <v/>
      </c>
      <c r="AE291"/>
    </row>
    <row r="292" spans="1:31" x14ac:dyDescent="0.25">
      <c r="A292" s="3" t="s">
        <v>2046</v>
      </c>
      <c r="B292" s="2" t="s">
        <v>69</v>
      </c>
      <c r="C292" s="2" t="s">
        <v>459</v>
      </c>
      <c r="D292" s="2" t="s">
        <v>2047</v>
      </c>
      <c r="E292" s="2" t="s">
        <v>2048</v>
      </c>
      <c r="F292" s="2" t="s">
        <v>2049</v>
      </c>
      <c r="G292" s="2" t="str">
        <f>TRIM(SUBSTITUTE(SUBSTITUTE(SUBSTITUTE(SUBSTITUTE(tb1_supporters[[#This Row],[Phone_Raw]],"(",""),")","")," ",""),"+44",))</f>
        <v>7364472501</v>
      </c>
      <c r="H292" s="15">
        <v>33702</v>
      </c>
      <c r="I292" s="36">
        <f ca="1">IF(OR(tb1_supporters[[#This Row],[Date_of_Birth]]="",tb1_supporters[[#This Row],[Date_of_Birth]]&gt;TODAY()),"",DATEDIF(tb1_supporters[[#This Row],[Date_of_Birth]],TODAY(),"Y"))</f>
        <v>34</v>
      </c>
      <c r="J29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92" s="2" t="s">
        <v>2051</v>
      </c>
      <c r="L292" s="2" t="s">
        <v>296</v>
      </c>
      <c r="M292" s="2" t="s">
        <v>297</v>
      </c>
      <c r="N292" s="2" t="s">
        <v>298</v>
      </c>
      <c r="O292" s="2" t="s">
        <v>166</v>
      </c>
      <c r="P292" s="2" t="s">
        <v>49</v>
      </c>
      <c r="Q292" s="2" t="s">
        <v>243</v>
      </c>
      <c r="R292" s="15">
        <v>44431</v>
      </c>
      <c r="S292" s="2" t="s">
        <v>52</v>
      </c>
      <c r="T292" s="2" t="s">
        <v>36</v>
      </c>
      <c r="U292" s="2" t="s">
        <v>36</v>
      </c>
      <c r="V292" s="2" t="s">
        <v>36</v>
      </c>
      <c r="W292" s="4" t="s">
        <v>36</v>
      </c>
      <c r="X29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92" s="2" t="str">
        <f>IF(ISNUMBER(SEARCH("onal",tb1_supporters[[#This Row],[Phone_Clean]])),"Review - corrupt phone number", IF(LEN(tb1_supporters[[#This Row],[Phone_Clean]])&gt;11,"Review - too many digits",""))</f>
        <v/>
      </c>
      <c r="Z29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92" s="2" t="str">
        <f>IF(tb1_supporters[[#This Row],[Email]]="","",IF(COUNTIF(tb1_supporters[Email],tb1_supporters[[#This Row],[Email]])&gt;1,"Review - duplicate record, see Supporter_Duplicates tab",""))</f>
        <v/>
      </c>
      <c r="AB292" s="21" t="str">
        <f>IF(tb1_supporters[[#This Row],[Communication_Preference]]="Do Not Contact","DO NOT CONTACT","")</f>
        <v/>
      </c>
      <c r="AE292"/>
    </row>
    <row r="293" spans="1:31" x14ac:dyDescent="0.25">
      <c r="A293" s="3" t="s">
        <v>2053</v>
      </c>
      <c r="B293" s="2" t="s">
        <v>54</v>
      </c>
      <c r="C293" s="2" t="s">
        <v>290</v>
      </c>
      <c r="D293" s="2" t="s">
        <v>108</v>
      </c>
      <c r="E293" s="2" t="s">
        <v>2054</v>
      </c>
      <c r="F293" s="2" t="s">
        <v>2055</v>
      </c>
      <c r="G293" s="2" t="str">
        <f>TRIM(SUBSTITUTE(SUBSTITUTE(SUBSTITUTE(SUBSTITUTE(tb1_supporters[[#This Row],[Phone_Raw]],"(",""),")","")," ",""),"+44",))</f>
        <v>01314332162</v>
      </c>
      <c r="H293" s="15">
        <v>17774</v>
      </c>
      <c r="I293" s="36">
        <f ca="1">IF(OR(tb1_supporters[[#This Row],[Date_of_Birth]]="",tb1_supporters[[#This Row],[Date_of_Birth]]&gt;TODAY()),"",DATEDIF(tb1_supporters[[#This Row],[Date_of_Birth]],TODAY(),"Y"))</f>
        <v>77</v>
      </c>
      <c r="J29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293" s="2" t="s">
        <v>2057</v>
      </c>
      <c r="L293" s="2" t="s">
        <v>650</v>
      </c>
      <c r="M293" s="2" t="s">
        <v>651</v>
      </c>
      <c r="N293" s="2" t="s">
        <v>652</v>
      </c>
      <c r="O293" s="2" t="s">
        <v>166</v>
      </c>
      <c r="P293" s="2" t="s">
        <v>153</v>
      </c>
      <c r="Q293" s="2" t="s">
        <v>66</v>
      </c>
      <c r="R293" s="15">
        <v>45519</v>
      </c>
      <c r="S293" s="2" t="s">
        <v>4</v>
      </c>
      <c r="T293" s="2" t="s">
        <v>36</v>
      </c>
      <c r="U293" s="2" t="s">
        <v>36</v>
      </c>
      <c r="V293" s="2" t="s">
        <v>37</v>
      </c>
      <c r="W293" s="4" t="s">
        <v>36</v>
      </c>
      <c r="X29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93" s="2" t="str">
        <f>IF(ISNUMBER(SEARCH("onal",tb1_supporters[[#This Row],[Phone_Clean]])),"Review - corrupt phone number", IF(LEN(tb1_supporters[[#This Row],[Phone_Clean]])&gt;11,"Review - too many digits",""))</f>
        <v/>
      </c>
      <c r="Z29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93" s="2" t="str">
        <f>IF(tb1_supporters[[#This Row],[Email]]="","",IF(COUNTIF(tb1_supporters[Email],tb1_supporters[[#This Row],[Email]])&gt;1,"Review - duplicate record, see Supporter_Duplicates tab",""))</f>
        <v/>
      </c>
      <c r="AB293" s="21" t="str">
        <f>IF(tb1_supporters[[#This Row],[Communication_Preference]]="Do Not Contact","DO NOT CONTACT","")</f>
        <v/>
      </c>
      <c r="AE293"/>
    </row>
    <row r="294" spans="1:31" x14ac:dyDescent="0.25">
      <c r="A294" s="3" t="s">
        <v>2059</v>
      </c>
      <c r="B294" s="2" t="s">
        <v>69</v>
      </c>
      <c r="C294" s="2" t="s">
        <v>290</v>
      </c>
      <c r="D294" s="2" t="s">
        <v>325</v>
      </c>
      <c r="E294" s="2" t="s">
        <v>4869</v>
      </c>
      <c r="F294" s="2" t="s">
        <v>2060</v>
      </c>
      <c r="G294" s="2" t="str">
        <f>TRIM(SUBSTITUTE(SUBSTITUTE(SUBSTITUTE(SUBSTITUTE(tb1_supporters[[#This Row],[Phone_Raw]],"(",""),")","")," ",""),"+44",))</f>
        <v>7810341277</v>
      </c>
      <c r="H294" s="15">
        <v>34967</v>
      </c>
      <c r="I294" s="36">
        <f ca="1">IF(OR(tb1_supporters[[#This Row],[Date_of_Birth]]="",tb1_supporters[[#This Row],[Date_of_Birth]]&gt;TODAY()),"",DATEDIF(tb1_supporters[[#This Row],[Date_of_Birth]],TODAY(),"Y"))</f>
        <v>30</v>
      </c>
      <c r="J29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294" s="2" t="s">
        <v>2062</v>
      </c>
      <c r="L294" s="2" t="s">
        <v>1285</v>
      </c>
      <c r="M294" s="2" t="s">
        <v>1286</v>
      </c>
      <c r="N294" s="2" t="s">
        <v>1287</v>
      </c>
      <c r="O294" s="2" t="s">
        <v>166</v>
      </c>
      <c r="P294" s="2" t="s">
        <v>65</v>
      </c>
      <c r="Q294" s="2" t="s">
        <v>4888</v>
      </c>
      <c r="R294" s="15">
        <v>45452</v>
      </c>
      <c r="S294" s="2" t="s">
        <v>52</v>
      </c>
      <c r="T294" s="2" t="s">
        <v>36</v>
      </c>
      <c r="U294" s="2" t="s">
        <v>36</v>
      </c>
      <c r="V294" s="2" t="s">
        <v>37</v>
      </c>
      <c r="W294" s="4" t="s">
        <v>37</v>
      </c>
      <c r="X29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94" s="2" t="str">
        <f>IF(ISNUMBER(SEARCH("onal",tb1_supporters[[#This Row],[Phone_Clean]])),"Review - corrupt phone number", IF(LEN(tb1_supporters[[#This Row],[Phone_Clean]])&gt;11,"Review - too many digits",""))</f>
        <v/>
      </c>
      <c r="Z29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94" s="2" t="str">
        <f>IF(tb1_supporters[[#This Row],[Email]]="","",IF(COUNTIF(tb1_supporters[Email],tb1_supporters[[#This Row],[Email]])&gt;1,"Review - duplicate record, see Supporter_Duplicates tab",""))</f>
        <v/>
      </c>
      <c r="AB294" s="21" t="str">
        <f>IF(tb1_supporters[[#This Row],[Communication_Preference]]="Do Not Contact","DO NOT CONTACT","")</f>
        <v/>
      </c>
      <c r="AE294"/>
    </row>
    <row r="295" spans="1:31" x14ac:dyDescent="0.25">
      <c r="A295" s="3" t="s">
        <v>2064</v>
      </c>
      <c r="B295" s="2" t="s">
        <v>54</v>
      </c>
      <c r="C295" s="2" t="s">
        <v>237</v>
      </c>
      <c r="D295" s="2" t="s">
        <v>449</v>
      </c>
      <c r="E295" s="2" t="s">
        <v>2065</v>
      </c>
      <c r="F295" s="2" t="s">
        <v>2066</v>
      </c>
      <c r="G295" s="2" t="str">
        <f>TRIM(SUBSTITUTE(SUBSTITUTE(SUBSTITUTE(SUBSTITUTE(tb1_supporters[[#This Row],[Phone_Raw]],"(",""),")","")," ",""),"+44",))</f>
        <v>07606760776</v>
      </c>
      <c r="H295" s="15">
        <v>24696</v>
      </c>
      <c r="I295" s="36">
        <f ca="1">IF(OR(tb1_supporters[[#This Row],[Date_of_Birth]]="",tb1_supporters[[#This Row],[Date_of_Birth]]&gt;TODAY()),"",DATEDIF(tb1_supporters[[#This Row],[Date_of_Birth]],TODAY(),"Y"))</f>
        <v>58</v>
      </c>
      <c r="J29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95" s="2" t="s">
        <v>2068</v>
      </c>
      <c r="L295" s="2" t="s">
        <v>278</v>
      </c>
      <c r="M295" s="2" t="s">
        <v>279</v>
      </c>
      <c r="N295" s="2" t="s">
        <v>280</v>
      </c>
      <c r="O295" s="2" t="s">
        <v>166</v>
      </c>
      <c r="P295" s="2" t="s">
        <v>33</v>
      </c>
      <c r="Q295" s="2" t="s">
        <v>243</v>
      </c>
      <c r="R295" s="15">
        <v>43670</v>
      </c>
      <c r="S295" s="2" t="s">
        <v>52</v>
      </c>
      <c r="T295" s="2" t="s">
        <v>37</v>
      </c>
      <c r="U295" s="2" t="s">
        <v>36</v>
      </c>
      <c r="V295" s="2" t="s">
        <v>36</v>
      </c>
      <c r="W295" s="4" t="s">
        <v>36</v>
      </c>
      <c r="X29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95" s="2" t="str">
        <f>IF(ISNUMBER(SEARCH("onal",tb1_supporters[[#This Row],[Phone_Clean]])),"Review - corrupt phone number", IF(LEN(tb1_supporters[[#This Row],[Phone_Clean]])&gt;11,"Review - too many digits",""))</f>
        <v/>
      </c>
      <c r="Z29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95" s="2" t="str">
        <f>IF(tb1_supporters[[#This Row],[Email]]="","",IF(COUNTIF(tb1_supporters[Email],tb1_supporters[[#This Row],[Email]])&gt;1,"Review - duplicate record, see Supporter_Duplicates tab",""))</f>
        <v/>
      </c>
      <c r="AB295" s="21" t="str">
        <f>IF(tb1_supporters[[#This Row],[Communication_Preference]]="Do Not Contact","DO NOT CONTACT","")</f>
        <v/>
      </c>
      <c r="AE295"/>
    </row>
    <row r="296" spans="1:31" x14ac:dyDescent="0.25">
      <c r="A296" s="3" t="s">
        <v>2070</v>
      </c>
      <c r="B296" s="2" t="s">
        <v>4866</v>
      </c>
      <c r="C296" s="2" t="s">
        <v>346</v>
      </c>
      <c r="D296" s="2" t="s">
        <v>291</v>
      </c>
      <c r="E296" s="2" t="s">
        <v>2071</v>
      </c>
      <c r="F296" s="2" t="s">
        <v>2072</v>
      </c>
      <c r="G296" s="2" t="str">
        <f>TRIM(SUBSTITUTE(SUBSTITUTE(SUBSTITUTE(SUBSTITUTE(tb1_supporters[[#This Row],[Phone_Raw]],"(",""),")","")," ",""),"+44",))</f>
        <v>7913795411</v>
      </c>
      <c r="H296" s="15">
        <v>22563</v>
      </c>
      <c r="I296" s="36">
        <f ca="1">IF(OR(tb1_supporters[[#This Row],[Date_of_Birth]]="",tb1_supporters[[#This Row],[Date_of_Birth]]&gt;TODAY()),"",DATEDIF(tb1_supporters[[#This Row],[Date_of_Birth]],TODAY(),"Y"))</f>
        <v>64</v>
      </c>
      <c r="J29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96" s="2" t="s">
        <v>2074</v>
      </c>
      <c r="L296" s="2" t="s">
        <v>88</v>
      </c>
      <c r="M296" s="2" t="s">
        <v>89</v>
      </c>
      <c r="N296" s="2" t="s">
        <v>90</v>
      </c>
      <c r="O296" s="2" t="s">
        <v>242</v>
      </c>
      <c r="P296" s="2" t="s">
        <v>65</v>
      </c>
      <c r="Q296" s="2" t="s">
        <v>50</v>
      </c>
      <c r="R296" s="15">
        <v>43134</v>
      </c>
      <c r="S296" s="2" t="s">
        <v>93</v>
      </c>
      <c r="T296" s="2" t="s">
        <v>37</v>
      </c>
      <c r="U296" s="2" t="s">
        <v>37</v>
      </c>
      <c r="V296" s="2" t="s">
        <v>37</v>
      </c>
      <c r="W296" s="4" t="s">
        <v>36</v>
      </c>
      <c r="X29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296" s="2" t="str">
        <f>IF(ISNUMBER(SEARCH("onal",tb1_supporters[[#This Row],[Phone_Clean]])),"Review - corrupt phone number", IF(LEN(tb1_supporters[[#This Row],[Phone_Clean]])&gt;11,"Review - too many digits",""))</f>
        <v/>
      </c>
      <c r="Z29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96" s="2" t="str">
        <f>IF(tb1_supporters[[#This Row],[Email]]="","",IF(COUNTIF(tb1_supporters[Email],tb1_supporters[[#This Row],[Email]])&gt;1,"Review - duplicate record, see Supporter_Duplicates tab",""))</f>
        <v/>
      </c>
      <c r="AB296" s="21" t="str">
        <f>IF(tb1_supporters[[#This Row],[Communication_Preference]]="Do Not Contact","DO NOT CONTACT","")</f>
        <v/>
      </c>
      <c r="AE296"/>
    </row>
    <row r="297" spans="1:31" x14ac:dyDescent="0.25">
      <c r="A297" s="3" t="s">
        <v>2076</v>
      </c>
      <c r="B297" s="2" t="s">
        <v>69</v>
      </c>
      <c r="C297" s="2" t="s">
        <v>120</v>
      </c>
      <c r="D297" s="2" t="s">
        <v>1323</v>
      </c>
      <c r="E297" s="2" t="s">
        <v>2077</v>
      </c>
      <c r="F297" s="2" t="s">
        <v>2078</v>
      </c>
      <c r="G297" s="2" t="str">
        <f>TRIM(SUBSTITUTE(SUBSTITUTE(SUBSTITUTE(SUBSTITUTE(tb1_supporters[[#This Row],[Phone_Raw]],"(",""),")","")," ",""),"+44",))</f>
        <v>07986131340</v>
      </c>
      <c r="H297" s="15">
        <v>23001</v>
      </c>
      <c r="I297" s="36">
        <f ca="1">IF(OR(tb1_supporters[[#This Row],[Date_of_Birth]]="",tb1_supporters[[#This Row],[Date_of_Birth]]&gt;TODAY()),"",DATEDIF(tb1_supporters[[#This Row],[Date_of_Birth]],TODAY(),"Y"))</f>
        <v>63</v>
      </c>
      <c r="J29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97" s="2" t="s">
        <v>2080</v>
      </c>
      <c r="L297" s="2" t="s">
        <v>177</v>
      </c>
      <c r="M297" s="2" t="s">
        <v>178</v>
      </c>
      <c r="N297" s="2" t="s">
        <v>179</v>
      </c>
      <c r="O297" s="2" t="s">
        <v>166</v>
      </c>
      <c r="P297" s="2" t="s">
        <v>4887</v>
      </c>
      <c r="Q297" s="2" t="s">
        <v>4888</v>
      </c>
      <c r="R297" s="15">
        <v>44404</v>
      </c>
      <c r="S297" s="2" t="s">
        <v>4</v>
      </c>
      <c r="T297" s="2" t="s">
        <v>816</v>
      </c>
      <c r="U297" s="2" t="s">
        <v>36</v>
      </c>
      <c r="V297" s="2" t="s">
        <v>37</v>
      </c>
      <c r="W297" s="4" t="s">
        <v>37</v>
      </c>
      <c r="X29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97" s="2" t="str">
        <f>IF(ISNUMBER(SEARCH("onal",tb1_supporters[[#This Row],[Phone_Clean]])),"Review - corrupt phone number", IF(LEN(tb1_supporters[[#This Row],[Phone_Clean]])&gt;11,"Review - too many digits",""))</f>
        <v/>
      </c>
      <c r="Z29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97" s="2" t="str">
        <f>IF(tb1_supporters[[#This Row],[Email]]="","",IF(COUNTIF(tb1_supporters[Email],tb1_supporters[[#This Row],[Email]])&gt;1,"Review - duplicate record, see Supporter_Duplicates tab",""))</f>
        <v/>
      </c>
      <c r="AB297" s="21" t="str">
        <f>IF(tb1_supporters[[#This Row],[Communication_Preference]]="Do Not Contact","DO NOT CONTACT","")</f>
        <v/>
      </c>
      <c r="AE297"/>
    </row>
    <row r="298" spans="1:31" x14ac:dyDescent="0.25">
      <c r="A298" s="3" t="s">
        <v>2082</v>
      </c>
      <c r="B298" s="2" t="s">
        <v>54</v>
      </c>
      <c r="C298" s="2" t="s">
        <v>754</v>
      </c>
      <c r="D298" s="2" t="s">
        <v>870</v>
      </c>
      <c r="E298" s="2" t="s">
        <v>2083</v>
      </c>
      <c r="F298" s="2" t="s">
        <v>2084</v>
      </c>
      <c r="G298" s="2" t="str">
        <f>TRIM(SUBSTITUTE(SUBSTITUTE(SUBSTITUTE(SUBSTITUTE(tb1_supporters[[#This Row],[Phone_Raw]],"(",""),")","")," ",""),"+44",))</f>
        <v>07993786228</v>
      </c>
      <c r="H298" s="15">
        <v>32234</v>
      </c>
      <c r="I298" s="36">
        <f ca="1">IF(OR(tb1_supporters[[#This Row],[Date_of_Birth]]="",tb1_supporters[[#This Row],[Date_of_Birth]]&gt;TODAY()),"",DATEDIF(tb1_supporters[[#This Row],[Date_of_Birth]],TODAY(),"Y"))</f>
        <v>38</v>
      </c>
      <c r="J29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298" s="2" t="s">
        <v>2086</v>
      </c>
      <c r="L298" s="2" t="s">
        <v>319</v>
      </c>
      <c r="M298" s="2" t="s">
        <v>320</v>
      </c>
      <c r="N298" s="2" t="s">
        <v>321</v>
      </c>
      <c r="O298" s="2" t="s">
        <v>166</v>
      </c>
      <c r="P298" s="2" t="s">
        <v>65</v>
      </c>
      <c r="Q298" s="2" t="s">
        <v>4888</v>
      </c>
      <c r="R298" s="15">
        <v>43165</v>
      </c>
      <c r="S298" s="2" t="s">
        <v>93</v>
      </c>
      <c r="T298" s="2" t="s">
        <v>36</v>
      </c>
      <c r="U298" s="2" t="s">
        <v>36</v>
      </c>
      <c r="V298" s="2" t="s">
        <v>37</v>
      </c>
      <c r="W298" s="4" t="s">
        <v>37</v>
      </c>
      <c r="X29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98" s="2" t="str">
        <f>IF(ISNUMBER(SEARCH("onal",tb1_supporters[[#This Row],[Phone_Clean]])),"Review - corrupt phone number", IF(LEN(tb1_supporters[[#This Row],[Phone_Clean]])&gt;11,"Review - too many digits",""))</f>
        <v/>
      </c>
      <c r="Z29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98" s="2" t="str">
        <f>IF(tb1_supporters[[#This Row],[Email]]="","",IF(COUNTIF(tb1_supporters[Email],tb1_supporters[[#This Row],[Email]])&gt;1,"Review - duplicate record, see Supporter_Duplicates tab",""))</f>
        <v/>
      </c>
      <c r="AB298" s="21" t="str">
        <f>IF(tb1_supporters[[#This Row],[Communication_Preference]]="Do Not Contact","DO NOT CONTACT","")</f>
        <v/>
      </c>
      <c r="AE298"/>
    </row>
    <row r="299" spans="1:31" x14ac:dyDescent="0.25">
      <c r="A299" s="3" t="s">
        <v>2088</v>
      </c>
      <c r="B299" s="2" t="s">
        <v>54</v>
      </c>
      <c r="C299" s="2" t="s">
        <v>213</v>
      </c>
      <c r="D299" s="2" t="s">
        <v>247</v>
      </c>
      <c r="E299" s="2" t="s">
        <v>2089</v>
      </c>
      <c r="F299" s="2" t="s">
        <v>2090</v>
      </c>
      <c r="G299" s="2" t="str">
        <f>TRIM(SUBSTITUTE(SUBSTITUTE(SUBSTITUTE(SUBSTITUTE(tb1_supporters[[#This Row],[Phone_Raw]],"(",""),")","")," ",""),"+44",))</f>
        <v>7534665939</v>
      </c>
      <c r="H299" s="15">
        <v>25350</v>
      </c>
      <c r="I299" s="36">
        <f ca="1">IF(OR(tb1_supporters[[#This Row],[Date_of_Birth]]="",tb1_supporters[[#This Row],[Date_of_Birth]]&gt;TODAY()),"",DATEDIF(tb1_supporters[[#This Row],[Date_of_Birth]],TODAY(),"Y"))</f>
        <v>57</v>
      </c>
      <c r="J29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299" s="2" t="s">
        <v>2092</v>
      </c>
      <c r="L299" s="2" t="s">
        <v>419</v>
      </c>
      <c r="M299" s="2" t="s">
        <v>420</v>
      </c>
      <c r="N299" s="2" t="s">
        <v>421</v>
      </c>
      <c r="O299" s="2" t="s">
        <v>166</v>
      </c>
      <c r="P299" s="2" t="s">
        <v>49</v>
      </c>
      <c r="Q299" s="2" t="s">
        <v>154</v>
      </c>
      <c r="R299" s="15">
        <v>43832</v>
      </c>
      <c r="S299" s="2" t="s">
        <v>52</v>
      </c>
      <c r="T299" s="2" t="s">
        <v>36</v>
      </c>
      <c r="U299" s="2" t="s">
        <v>37</v>
      </c>
      <c r="V299" s="2" t="s">
        <v>36</v>
      </c>
      <c r="W299" s="4" t="s">
        <v>37</v>
      </c>
      <c r="X29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299" s="2" t="str">
        <f>IF(ISNUMBER(SEARCH("onal",tb1_supporters[[#This Row],[Phone_Clean]])),"Review - corrupt phone number", IF(LEN(tb1_supporters[[#This Row],[Phone_Clean]])&gt;11,"Review - too many digits",""))</f>
        <v/>
      </c>
      <c r="Z29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299" s="2" t="str">
        <f>IF(tb1_supporters[[#This Row],[Email]]="","",IF(COUNTIF(tb1_supporters[Email],tb1_supporters[[#This Row],[Email]])&gt;1,"Review - duplicate record, see Supporter_Duplicates tab",""))</f>
        <v/>
      </c>
      <c r="AB299" s="21" t="str">
        <f>IF(tb1_supporters[[#This Row],[Communication_Preference]]="Do Not Contact","DO NOT CONTACT","")</f>
        <v/>
      </c>
      <c r="AE299"/>
    </row>
    <row r="300" spans="1:31" x14ac:dyDescent="0.25">
      <c r="A300" s="3" t="s">
        <v>2094</v>
      </c>
      <c r="B300" s="2"/>
      <c r="C300" s="2" t="s">
        <v>196</v>
      </c>
      <c r="D300" s="2" t="s">
        <v>674</v>
      </c>
      <c r="E300" s="2" t="s">
        <v>2095</v>
      </c>
      <c r="F300" s="2" t="s">
        <v>2096</v>
      </c>
      <c r="G300" s="2" t="str">
        <f>TRIM(SUBSTITUTE(SUBSTITUTE(SUBSTITUTE(SUBSTITUTE(tb1_supporters[[#This Row],[Phone_Raw]],"(",""),")","")," ",""),"+44",))</f>
        <v>7594821477</v>
      </c>
      <c r="H300" s="15">
        <v>23548</v>
      </c>
      <c r="I300" s="36">
        <f ca="1">IF(OR(tb1_supporters[[#This Row],[Date_of_Birth]]="",tb1_supporters[[#This Row],[Date_of_Birth]]&gt;TODAY()),"",DATEDIF(tb1_supporters[[#This Row],[Date_of_Birth]],TODAY(),"Y"))</f>
        <v>61</v>
      </c>
      <c r="J30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00" s="2" t="s">
        <v>2098</v>
      </c>
      <c r="L300" s="2" t="s">
        <v>454</v>
      </c>
      <c r="M300" s="2" t="s">
        <v>455</v>
      </c>
      <c r="N300" s="2" t="s">
        <v>456</v>
      </c>
      <c r="O300" s="2" t="s">
        <v>242</v>
      </c>
      <c r="P300" s="2" t="s">
        <v>65</v>
      </c>
      <c r="Q300" s="2" t="s">
        <v>154</v>
      </c>
      <c r="R300" s="15">
        <v>45257</v>
      </c>
      <c r="S300" s="2" t="s">
        <v>4</v>
      </c>
      <c r="T300" s="2" t="s">
        <v>36</v>
      </c>
      <c r="U300" s="2" t="s">
        <v>36</v>
      </c>
      <c r="V300" s="2" t="s">
        <v>37</v>
      </c>
      <c r="W300" s="4" t="s">
        <v>36</v>
      </c>
      <c r="X30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00" s="2" t="str">
        <f>IF(ISNUMBER(SEARCH("onal",tb1_supporters[[#This Row],[Phone_Clean]])),"Review - corrupt phone number", IF(LEN(tb1_supporters[[#This Row],[Phone_Clean]])&gt;11,"Review - too many digits",""))</f>
        <v/>
      </c>
      <c r="Z30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00" s="2" t="str">
        <f>IF(tb1_supporters[[#This Row],[Email]]="","",IF(COUNTIF(tb1_supporters[Email],tb1_supporters[[#This Row],[Email]])&gt;1,"Review - duplicate record, see Supporter_Duplicates tab",""))</f>
        <v/>
      </c>
      <c r="AB300" s="21" t="str">
        <f>IF(tb1_supporters[[#This Row],[Communication_Preference]]="Do Not Contact","DO NOT CONTACT","")</f>
        <v/>
      </c>
      <c r="AE300"/>
    </row>
    <row r="301" spans="1:31" x14ac:dyDescent="0.25">
      <c r="A301" s="3" t="s">
        <v>2100</v>
      </c>
      <c r="B301" s="2"/>
      <c r="C301" s="2" t="s">
        <v>791</v>
      </c>
      <c r="D301" s="2" t="s">
        <v>338</v>
      </c>
      <c r="E301" s="2" t="s">
        <v>2101</v>
      </c>
      <c r="F301" s="2" t="s">
        <v>2102</v>
      </c>
      <c r="G301" s="2" t="str">
        <f>TRIM(SUBSTITUTE(SUBSTITUTE(SUBSTITUTE(SUBSTITUTE(tb1_supporters[[#This Row],[Phone_Raw]],"(",""),")","")," ",""),"+44",))</f>
        <v>07647897111</v>
      </c>
      <c r="H301" s="15">
        <v>24149</v>
      </c>
      <c r="I301" s="36">
        <f ca="1">IF(OR(tb1_supporters[[#This Row],[Date_of_Birth]]="",tb1_supporters[[#This Row],[Date_of_Birth]]&gt;TODAY()),"",DATEDIF(tb1_supporters[[#This Row],[Date_of_Birth]],TODAY(),"Y"))</f>
        <v>60</v>
      </c>
      <c r="J30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01" s="2" t="s">
        <v>2104</v>
      </c>
      <c r="L301" s="2" t="s">
        <v>76</v>
      </c>
      <c r="M301" s="2" t="s">
        <v>77</v>
      </c>
      <c r="N301" s="2" t="s">
        <v>78</v>
      </c>
      <c r="O301" s="2" t="s">
        <v>242</v>
      </c>
      <c r="P301" s="2" t="s">
        <v>153</v>
      </c>
      <c r="Q301" s="2" t="s">
        <v>50</v>
      </c>
      <c r="R301" s="15">
        <v>44458</v>
      </c>
      <c r="S301" s="2" t="s">
        <v>93</v>
      </c>
      <c r="T301" s="2" t="s">
        <v>36</v>
      </c>
      <c r="U301" s="2" t="s">
        <v>36</v>
      </c>
      <c r="V301" s="2" t="s">
        <v>36</v>
      </c>
      <c r="W301" s="4" t="s">
        <v>37</v>
      </c>
      <c r="X30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01" s="2" t="str">
        <f>IF(ISNUMBER(SEARCH("onal",tb1_supporters[[#This Row],[Phone_Clean]])),"Review - corrupt phone number", IF(LEN(tb1_supporters[[#This Row],[Phone_Clean]])&gt;11,"Review - too many digits",""))</f>
        <v/>
      </c>
      <c r="Z30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01" s="2" t="str">
        <f>IF(tb1_supporters[[#This Row],[Email]]="","",IF(COUNTIF(tb1_supporters[Email],tb1_supporters[[#This Row],[Email]])&gt;1,"Review - duplicate record, see Supporter_Duplicates tab",""))</f>
        <v/>
      </c>
      <c r="AB301" s="21" t="str">
        <f>IF(tb1_supporters[[#This Row],[Communication_Preference]]="Do Not Contact","DO NOT CONTACT","")</f>
        <v/>
      </c>
      <c r="AE301"/>
    </row>
    <row r="302" spans="1:31" x14ac:dyDescent="0.25">
      <c r="A302" s="3" t="s">
        <v>2106</v>
      </c>
      <c r="B302" s="2" t="s">
        <v>69</v>
      </c>
      <c r="C302" s="2" t="s">
        <v>434</v>
      </c>
      <c r="D302" s="2" t="s">
        <v>24</v>
      </c>
      <c r="E302" s="2" t="s">
        <v>2107</v>
      </c>
      <c r="F302" s="2" t="s">
        <v>2108</v>
      </c>
      <c r="G302" s="2" t="str">
        <f>TRIM(SUBSTITUTE(SUBSTITUTE(SUBSTITUTE(SUBSTITUTE(tb1_supporters[[#This Row],[Phone_Raw]],"(",""),")","")," ",""),"+44",))</f>
        <v>7152772398</v>
      </c>
      <c r="H302" s="15">
        <v>27850</v>
      </c>
      <c r="I302" s="36">
        <f ca="1">IF(OR(tb1_supporters[[#This Row],[Date_of_Birth]]="",tb1_supporters[[#This Row],[Date_of_Birth]]&gt;TODAY()),"",DATEDIF(tb1_supporters[[#This Row],[Date_of_Birth]],TODAY(),"Y"))</f>
        <v>50</v>
      </c>
      <c r="J30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02" s="2" t="s">
        <v>2110</v>
      </c>
      <c r="L302" s="2" t="s">
        <v>397</v>
      </c>
      <c r="M302" s="2" t="s">
        <v>220</v>
      </c>
      <c r="N302" s="2" t="s">
        <v>398</v>
      </c>
      <c r="O302" s="2" t="s">
        <v>166</v>
      </c>
      <c r="P302" s="2" t="s">
        <v>181</v>
      </c>
      <c r="Q302" s="2" t="s">
        <v>141</v>
      </c>
      <c r="R302" s="15">
        <v>45086</v>
      </c>
      <c r="S302" s="2" t="s">
        <v>93</v>
      </c>
      <c r="T302" s="2" t="s">
        <v>36</v>
      </c>
      <c r="U302" s="2" t="s">
        <v>36</v>
      </c>
      <c r="V302" s="2" t="s">
        <v>37</v>
      </c>
      <c r="W302" s="4" t="s">
        <v>36</v>
      </c>
      <c r="X30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02" s="2" t="str">
        <f>IF(ISNUMBER(SEARCH("onal",tb1_supporters[[#This Row],[Phone_Clean]])),"Review - corrupt phone number", IF(LEN(tb1_supporters[[#This Row],[Phone_Clean]])&gt;11,"Review - too many digits",""))</f>
        <v/>
      </c>
      <c r="Z30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02" s="2" t="str">
        <f>IF(tb1_supporters[[#This Row],[Email]]="","",IF(COUNTIF(tb1_supporters[Email],tb1_supporters[[#This Row],[Email]])&gt;1,"Review - duplicate record, see Supporter_Duplicates tab",""))</f>
        <v/>
      </c>
      <c r="AB302" s="21" t="str">
        <f>IF(tb1_supporters[[#This Row],[Communication_Preference]]="Do Not Contact","DO NOT CONTACT","")</f>
        <v/>
      </c>
      <c r="AE302"/>
    </row>
    <row r="303" spans="1:31" x14ac:dyDescent="0.25">
      <c r="A303" s="3" t="s">
        <v>2112</v>
      </c>
      <c r="B303" s="2" t="s">
        <v>4866</v>
      </c>
      <c r="C303" s="2" t="s">
        <v>1703</v>
      </c>
      <c r="D303" s="2" t="s">
        <v>237</v>
      </c>
      <c r="E303" s="2" t="s">
        <v>2113</v>
      </c>
      <c r="F303" s="2" t="s">
        <v>2114</v>
      </c>
      <c r="G303" s="2" t="str">
        <f>TRIM(SUBSTITUTE(SUBSTITUTE(SUBSTITUTE(SUBSTITUTE(tb1_supporters[[#This Row],[Phone_Raw]],"(",""),")","")," ",""),"+44",))</f>
        <v>7856254774</v>
      </c>
      <c r="H303" s="15">
        <v>21793</v>
      </c>
      <c r="I303" s="36">
        <f ca="1">IF(OR(tb1_supporters[[#This Row],[Date_of_Birth]]="",tb1_supporters[[#This Row],[Date_of_Birth]]&gt;TODAY()),"",DATEDIF(tb1_supporters[[#This Row],[Date_of_Birth]],TODAY(),"Y"))</f>
        <v>66</v>
      </c>
      <c r="J30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03" s="2" t="s">
        <v>2116</v>
      </c>
      <c r="L303" s="2" t="s">
        <v>397</v>
      </c>
      <c r="M303" s="2" t="s">
        <v>220</v>
      </c>
      <c r="N303" s="2" t="s">
        <v>398</v>
      </c>
      <c r="O303" s="2" t="s">
        <v>242</v>
      </c>
      <c r="P303" s="2" t="s">
        <v>117</v>
      </c>
      <c r="Q303" s="2" t="s">
        <v>141</v>
      </c>
      <c r="R303" s="15">
        <v>44068</v>
      </c>
      <c r="S303" s="2" t="s">
        <v>5</v>
      </c>
      <c r="T303" s="2" t="s">
        <v>36</v>
      </c>
      <c r="U303" s="2" t="s">
        <v>36</v>
      </c>
      <c r="V303" s="2" t="s">
        <v>37</v>
      </c>
      <c r="W303" s="4" t="s">
        <v>36</v>
      </c>
      <c r="X30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303" s="2" t="str">
        <f>IF(ISNUMBER(SEARCH("onal",tb1_supporters[[#This Row],[Phone_Clean]])),"Review - corrupt phone number", IF(LEN(tb1_supporters[[#This Row],[Phone_Clean]])&gt;11,"Review - too many digits",""))</f>
        <v/>
      </c>
      <c r="Z30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03" s="2" t="str">
        <f>IF(tb1_supporters[[#This Row],[Email]]="","",IF(COUNTIF(tb1_supporters[Email],tb1_supporters[[#This Row],[Email]])&gt;1,"Review - duplicate record, see Supporter_Duplicates tab",""))</f>
        <v/>
      </c>
      <c r="AB303" s="21" t="str">
        <f>IF(tb1_supporters[[#This Row],[Communication_Preference]]="Do Not Contact","DO NOT CONTACT","")</f>
        <v/>
      </c>
      <c r="AE303"/>
    </row>
    <row r="304" spans="1:31" x14ac:dyDescent="0.25">
      <c r="A304" s="3" t="s">
        <v>2118</v>
      </c>
      <c r="B304" s="2" t="s">
        <v>4866</v>
      </c>
      <c r="C304" s="2" t="s">
        <v>488</v>
      </c>
      <c r="D304" s="2" t="s">
        <v>940</v>
      </c>
      <c r="E304" s="2" t="s">
        <v>2119</v>
      </c>
      <c r="F304" s="2" t="s">
        <v>2120</v>
      </c>
      <c r="G304" s="2" t="str">
        <f>TRIM(SUBSTITUTE(SUBSTITUTE(SUBSTITUTE(SUBSTITUTE(tb1_supporters[[#This Row],[Phone_Raw]],"(",""),")","")," ",""),"+44",))</f>
        <v>015637404454</v>
      </c>
      <c r="H304" s="15">
        <v>14920</v>
      </c>
      <c r="I304" s="36">
        <f ca="1">IF(OR(tb1_supporters[[#This Row],[Date_of_Birth]]="",tb1_supporters[[#This Row],[Date_of_Birth]]&gt;TODAY()),"",DATEDIF(tb1_supporters[[#This Row],[Date_of_Birth]],TODAY(),"Y"))</f>
        <v>85</v>
      </c>
      <c r="J30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04" s="2" t="s">
        <v>2122</v>
      </c>
      <c r="L304" s="2" t="s">
        <v>984</v>
      </c>
      <c r="M304" s="2" t="s">
        <v>62</v>
      </c>
      <c r="N304" s="2" t="s">
        <v>985</v>
      </c>
      <c r="O304" s="2" t="s">
        <v>242</v>
      </c>
      <c r="P304" s="2" t="s">
        <v>181</v>
      </c>
      <c r="Q304" s="2" t="s">
        <v>4888</v>
      </c>
      <c r="R304" s="15">
        <v>44183</v>
      </c>
      <c r="S304" s="2" t="s">
        <v>52</v>
      </c>
      <c r="T304" s="2" t="s">
        <v>36</v>
      </c>
      <c r="U304" s="2" t="s">
        <v>36</v>
      </c>
      <c r="V304" s="2" t="s">
        <v>36</v>
      </c>
      <c r="W304" s="4" t="s">
        <v>37</v>
      </c>
      <c r="X30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04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0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04" s="2" t="str">
        <f>IF(tb1_supporters[[#This Row],[Email]]="","",IF(COUNTIF(tb1_supporters[Email],tb1_supporters[[#This Row],[Email]])&gt;1,"Review - duplicate record, see Supporter_Duplicates tab",""))</f>
        <v/>
      </c>
      <c r="AB304" s="21" t="str">
        <f>IF(tb1_supporters[[#This Row],[Communication_Preference]]="Do Not Contact","DO NOT CONTACT","")</f>
        <v/>
      </c>
      <c r="AE304"/>
    </row>
    <row r="305" spans="1:31" x14ac:dyDescent="0.25">
      <c r="A305" s="3" t="s">
        <v>2124</v>
      </c>
      <c r="B305" s="2" t="s">
        <v>22</v>
      </c>
      <c r="C305" s="2" t="s">
        <v>851</v>
      </c>
      <c r="D305" s="2" t="s">
        <v>24</v>
      </c>
      <c r="E305" s="2" t="s">
        <v>2125</v>
      </c>
      <c r="F305" s="2" t="s">
        <v>2126</v>
      </c>
      <c r="G305" s="2" t="str">
        <f>TRIM(SUBSTITUTE(SUBSTITUTE(SUBSTITUTE(SUBSTITUTE(tb1_supporters[[#This Row],[Phone_Raw]],"(",""),")","")," ",""),"+44",))</f>
        <v>07248643991</v>
      </c>
      <c r="H305" s="15">
        <v>14361</v>
      </c>
      <c r="I305" s="36">
        <f ca="1">IF(OR(tb1_supporters[[#This Row],[Date_of_Birth]]="",tb1_supporters[[#This Row],[Date_of_Birth]]&gt;TODAY()),"",DATEDIF(tb1_supporters[[#This Row],[Date_of_Birth]],TODAY(),"Y"))</f>
        <v>87</v>
      </c>
      <c r="J30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05" s="2" t="s">
        <v>2128</v>
      </c>
      <c r="L305" s="2" t="s">
        <v>387</v>
      </c>
      <c r="M305" s="2" t="s">
        <v>388</v>
      </c>
      <c r="N305" s="2" t="s">
        <v>389</v>
      </c>
      <c r="O305" s="2" t="s">
        <v>242</v>
      </c>
      <c r="P305" s="2" t="s">
        <v>91</v>
      </c>
      <c r="Q305" s="2" t="s">
        <v>243</v>
      </c>
      <c r="R305" s="15">
        <v>44939</v>
      </c>
      <c r="S305" s="2" t="s">
        <v>4</v>
      </c>
      <c r="T305" s="2" t="s">
        <v>36</v>
      </c>
      <c r="U305" s="2" t="s">
        <v>36</v>
      </c>
      <c r="V305" s="2" t="s">
        <v>37</v>
      </c>
      <c r="W305" s="4" t="s">
        <v>36</v>
      </c>
      <c r="X30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05" s="2" t="str">
        <f>IF(ISNUMBER(SEARCH("onal",tb1_supporters[[#This Row],[Phone_Clean]])),"Review - corrupt phone number", IF(LEN(tb1_supporters[[#This Row],[Phone_Clean]])&gt;11,"Review - too many digits",""))</f>
        <v/>
      </c>
      <c r="Z30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05" s="2" t="str">
        <f>IF(tb1_supporters[[#This Row],[Email]]="","",IF(COUNTIF(tb1_supporters[Email],tb1_supporters[[#This Row],[Email]])&gt;1,"Review - duplicate record, see Supporter_Duplicates tab",""))</f>
        <v/>
      </c>
      <c r="AB305" s="21" t="str">
        <f>IF(tb1_supporters[[#This Row],[Communication_Preference]]="Do Not Contact","DO NOT CONTACT","")</f>
        <v/>
      </c>
      <c r="AE305"/>
    </row>
    <row r="306" spans="1:31" x14ac:dyDescent="0.25">
      <c r="A306" s="3" t="s">
        <v>2130</v>
      </c>
      <c r="B306" s="2" t="s">
        <v>170</v>
      </c>
      <c r="C306" s="2" t="s">
        <v>1310</v>
      </c>
      <c r="D306" s="2" t="s">
        <v>554</v>
      </c>
      <c r="E306" s="2" t="s">
        <v>2131</v>
      </c>
      <c r="F306" s="2" t="s">
        <v>2132</v>
      </c>
      <c r="G306" s="2" t="str">
        <f>TRIM(SUBSTITUTE(SUBSTITUTE(SUBSTITUTE(SUBSTITUTE(tb1_supporters[[#This Row],[Phone_Raw]],"(",""),")","")," ",""),"+44",))</f>
        <v>07373921200</v>
      </c>
      <c r="H306" s="15">
        <v>13682</v>
      </c>
      <c r="I306" s="36">
        <f ca="1">IF(OR(tb1_supporters[[#This Row],[Date_of_Birth]]="",tb1_supporters[[#This Row],[Date_of_Birth]]&gt;TODAY()),"",DATEDIF(tb1_supporters[[#This Row],[Date_of_Birth]],TODAY(),"Y"))</f>
        <v>88</v>
      </c>
      <c r="J30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06" s="2" t="s">
        <v>2134</v>
      </c>
      <c r="L306" s="2" t="s">
        <v>668</v>
      </c>
      <c r="M306" s="2" t="s">
        <v>669</v>
      </c>
      <c r="N306" s="2" t="s">
        <v>670</v>
      </c>
      <c r="O306" s="2" t="s">
        <v>242</v>
      </c>
      <c r="P306" s="2" t="s">
        <v>153</v>
      </c>
      <c r="Q306" s="2" t="s">
        <v>243</v>
      </c>
      <c r="R306" s="15">
        <v>44091</v>
      </c>
      <c r="S306" s="2" t="s">
        <v>4</v>
      </c>
      <c r="T306" s="2" t="s">
        <v>37</v>
      </c>
      <c r="U306" s="2" t="s">
        <v>36</v>
      </c>
      <c r="V306" s="2" t="s">
        <v>37</v>
      </c>
      <c r="W306" s="4" t="s">
        <v>37</v>
      </c>
      <c r="X30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306" s="2" t="str">
        <f>IF(ISNUMBER(SEARCH("onal",tb1_supporters[[#This Row],[Phone_Clean]])),"Review - corrupt phone number", IF(LEN(tb1_supporters[[#This Row],[Phone_Clean]])&gt;11,"Review - too many digits",""))</f>
        <v/>
      </c>
      <c r="Z30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06" s="2" t="str">
        <f>IF(tb1_supporters[[#This Row],[Email]]="","",IF(COUNTIF(tb1_supporters[Email],tb1_supporters[[#This Row],[Email]])&gt;1,"Review - duplicate record, see Supporter_Duplicates tab",""))</f>
        <v/>
      </c>
      <c r="AB306" s="21" t="str">
        <f>IF(tb1_supporters[[#This Row],[Communication_Preference]]="Do Not Contact","DO NOT CONTACT","")</f>
        <v/>
      </c>
      <c r="AE306"/>
    </row>
    <row r="307" spans="1:31" x14ac:dyDescent="0.25">
      <c r="A307" s="3" t="s">
        <v>2136</v>
      </c>
      <c r="B307" s="2" t="s">
        <v>22</v>
      </c>
      <c r="C307" s="2" t="s">
        <v>1411</v>
      </c>
      <c r="D307" s="2" t="s">
        <v>205</v>
      </c>
      <c r="E307" s="2" t="s">
        <v>2137</v>
      </c>
      <c r="F307" s="2" t="s">
        <v>2138</v>
      </c>
      <c r="G307" s="2" t="str">
        <f>TRIM(SUBSTITUTE(SUBSTITUTE(SUBSTITUTE(SUBSTITUTE(tb1_supporters[[#This Row],[Phone_Raw]],"(",""),")","")," ",""),"+44",))</f>
        <v>7206801556</v>
      </c>
      <c r="H307" s="15">
        <v>22829</v>
      </c>
      <c r="I307" s="36">
        <f ca="1">IF(OR(tb1_supporters[[#This Row],[Date_of_Birth]]="",tb1_supporters[[#This Row],[Date_of_Birth]]&gt;TODAY()),"",DATEDIF(tb1_supporters[[#This Row],[Date_of_Birth]],TODAY(),"Y"))</f>
        <v>63</v>
      </c>
      <c r="J30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07" s="2" t="s">
        <v>2140</v>
      </c>
      <c r="L307" s="2" t="s">
        <v>177</v>
      </c>
      <c r="M307" s="2" t="s">
        <v>178</v>
      </c>
      <c r="N307" s="2" t="s">
        <v>1028</v>
      </c>
      <c r="O307" s="2" t="s">
        <v>242</v>
      </c>
      <c r="P307" s="2" t="s">
        <v>91</v>
      </c>
      <c r="Q307" s="2" t="s">
        <v>141</v>
      </c>
      <c r="R307" s="15">
        <v>43891</v>
      </c>
      <c r="S307" s="2" t="s">
        <v>4</v>
      </c>
      <c r="T307" s="2" t="s">
        <v>36</v>
      </c>
      <c r="U307" s="2" t="s">
        <v>36</v>
      </c>
      <c r="V307" s="2" t="s">
        <v>37</v>
      </c>
      <c r="W307" s="4" t="s">
        <v>36</v>
      </c>
      <c r="X30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07" s="2" t="str">
        <f>IF(ISNUMBER(SEARCH("onal",tb1_supporters[[#This Row],[Phone_Clean]])),"Review - corrupt phone number", IF(LEN(tb1_supporters[[#This Row],[Phone_Clean]])&gt;11,"Review - too many digits",""))</f>
        <v/>
      </c>
      <c r="Z30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07" s="2" t="str">
        <f>IF(tb1_supporters[[#This Row],[Email]]="","",IF(COUNTIF(tb1_supporters[Email],tb1_supporters[[#This Row],[Email]])&gt;1,"Review - duplicate record, see Supporter_Duplicates tab",""))</f>
        <v/>
      </c>
      <c r="AB307" s="21" t="str">
        <f>IF(tb1_supporters[[#This Row],[Communication_Preference]]="Do Not Contact","DO NOT CONTACT","")</f>
        <v/>
      </c>
      <c r="AE307"/>
    </row>
    <row r="308" spans="1:31" x14ac:dyDescent="0.25">
      <c r="A308" s="3" t="s">
        <v>2142</v>
      </c>
      <c r="B308" s="2" t="s">
        <v>235</v>
      </c>
      <c r="C308" s="2" t="s">
        <v>548</v>
      </c>
      <c r="D308" s="2" t="s">
        <v>1323</v>
      </c>
      <c r="E308" s="2" t="s">
        <v>2143</v>
      </c>
      <c r="F308" s="2" t="s">
        <v>2144</v>
      </c>
      <c r="G308" s="2" t="str">
        <f>TRIM(SUBSTITUTE(SUBSTITUTE(SUBSTITUTE(SUBSTITUTE(tb1_supporters[[#This Row],[Phone_Raw]],"(",""),")","")," ",""),"+44",))</f>
        <v>01onal8824027</v>
      </c>
      <c r="H308" s="15">
        <v>17977</v>
      </c>
      <c r="I308" s="36">
        <f ca="1">IF(OR(tb1_supporters[[#This Row],[Date_of_Birth]]="",tb1_supporters[[#This Row],[Date_of_Birth]]&gt;TODAY()),"",DATEDIF(tb1_supporters[[#This Row],[Date_of_Birth]],TODAY(),"Y"))</f>
        <v>77</v>
      </c>
      <c r="J30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08" s="2" t="s">
        <v>2146</v>
      </c>
      <c r="L308" s="2" t="s">
        <v>100</v>
      </c>
      <c r="M308" s="2" t="s">
        <v>101</v>
      </c>
      <c r="N308" s="2" t="s">
        <v>343</v>
      </c>
      <c r="O308" s="2" t="s">
        <v>242</v>
      </c>
      <c r="P308" s="2" t="s">
        <v>91</v>
      </c>
      <c r="Q308" s="2" t="s">
        <v>141</v>
      </c>
      <c r="R308" s="15">
        <v>45013</v>
      </c>
      <c r="S308" s="2" t="s">
        <v>4</v>
      </c>
      <c r="T308" s="2" t="s">
        <v>36</v>
      </c>
      <c r="U308" s="2" t="s">
        <v>36</v>
      </c>
      <c r="V308" s="2" t="s">
        <v>36</v>
      </c>
      <c r="W308" s="4" t="s">
        <v>37</v>
      </c>
      <c r="X30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08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30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08" s="2" t="str">
        <f>IF(tb1_supporters[[#This Row],[Email]]="","",IF(COUNTIF(tb1_supporters[Email],tb1_supporters[[#This Row],[Email]])&gt;1,"Review - duplicate record, see Supporter_Duplicates tab",""))</f>
        <v/>
      </c>
      <c r="AB308" s="21" t="str">
        <f>IF(tb1_supporters[[#This Row],[Communication_Preference]]="Do Not Contact","DO NOT CONTACT","")</f>
        <v/>
      </c>
      <c r="AE308"/>
    </row>
    <row r="309" spans="1:31" x14ac:dyDescent="0.25">
      <c r="A309" s="3" t="s">
        <v>2148</v>
      </c>
      <c r="B309" s="2" t="s">
        <v>235</v>
      </c>
      <c r="C309" s="2" t="s">
        <v>818</v>
      </c>
      <c r="D309" s="2" t="s">
        <v>902</v>
      </c>
      <c r="E309" s="2" t="s">
        <v>2149</v>
      </c>
      <c r="F309" s="2" t="s">
        <v>2150</v>
      </c>
      <c r="G309" s="2" t="str">
        <f>TRIM(SUBSTITUTE(SUBSTITUTE(SUBSTITUTE(SUBSTITUTE(tb1_supporters[[#This Row],[Phone_Raw]],"(",""),")","")," ",""),"+44",))</f>
        <v>07161364932</v>
      </c>
      <c r="H309" s="15">
        <v>31751</v>
      </c>
      <c r="I309" s="36">
        <f ca="1">IF(OR(tb1_supporters[[#This Row],[Date_of_Birth]]="",tb1_supporters[[#This Row],[Date_of_Birth]]&gt;TODAY()),"",DATEDIF(tb1_supporters[[#This Row],[Date_of_Birth]],TODAY(),"Y"))</f>
        <v>39</v>
      </c>
      <c r="J30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09" s="2" t="s">
        <v>2152</v>
      </c>
      <c r="L309" s="2" t="s">
        <v>252</v>
      </c>
      <c r="M309" s="2" t="s">
        <v>253</v>
      </c>
      <c r="N309" s="2" t="s">
        <v>254</v>
      </c>
      <c r="O309" s="2" t="s">
        <v>242</v>
      </c>
      <c r="P309" s="2" t="s">
        <v>153</v>
      </c>
      <c r="Q309" s="2" t="s">
        <v>192</v>
      </c>
      <c r="R309" s="15">
        <v>45115</v>
      </c>
      <c r="S309" s="2" t="s">
        <v>4</v>
      </c>
      <c r="T309" s="2" t="s">
        <v>36</v>
      </c>
      <c r="U309" s="2" t="s">
        <v>37</v>
      </c>
      <c r="V309" s="2" t="s">
        <v>37</v>
      </c>
      <c r="W309" s="4" t="s">
        <v>36</v>
      </c>
      <c r="X30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09" s="2" t="str">
        <f>IF(ISNUMBER(SEARCH("onal",tb1_supporters[[#This Row],[Phone_Clean]])),"Review - corrupt phone number", IF(LEN(tb1_supporters[[#This Row],[Phone_Clean]])&gt;11,"Review - too many digits",""))</f>
        <v/>
      </c>
      <c r="Z30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09" s="2" t="str">
        <f>IF(tb1_supporters[[#This Row],[Email]]="","",IF(COUNTIF(tb1_supporters[Email],tb1_supporters[[#This Row],[Email]])&gt;1,"Review - duplicate record, see Supporter_Duplicates tab",""))</f>
        <v/>
      </c>
      <c r="AB309" s="21" t="str">
        <f>IF(tb1_supporters[[#This Row],[Communication_Preference]]="Do Not Contact","DO NOT CONTACT","")</f>
        <v/>
      </c>
      <c r="AE309"/>
    </row>
    <row r="310" spans="1:31" x14ac:dyDescent="0.25">
      <c r="A310" s="3" t="s">
        <v>2154</v>
      </c>
      <c r="B310" s="2" t="s">
        <v>402</v>
      </c>
      <c r="C310" s="2" t="s">
        <v>488</v>
      </c>
      <c r="D310" s="2" t="s">
        <v>755</v>
      </c>
      <c r="E310" s="2" t="s">
        <v>2155</v>
      </c>
      <c r="F310" s="2" t="s">
        <v>2156</v>
      </c>
      <c r="G310" s="2" t="str">
        <f>TRIM(SUBSTITUTE(SUBSTITUTE(SUBSTITUTE(SUBSTITUTE(tb1_supporters[[#This Row],[Phone_Raw]],"(",""),")","")," ",""),"+44",))</f>
        <v>07135174172</v>
      </c>
      <c r="H310" s="15"/>
      <c r="I310" s="36" t="str">
        <f ca="1">IF(OR(tb1_supporters[[#This Row],[Date_of_Birth]]="",tb1_supporters[[#This Row],[Date_of_Birth]]&gt;TODAY()),"",DATEDIF(tb1_supporters[[#This Row],[Date_of_Birth]],TODAY(),"Y"))</f>
        <v/>
      </c>
      <c r="J31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310" s="2" t="s">
        <v>2157</v>
      </c>
      <c r="L310" s="2" t="s">
        <v>668</v>
      </c>
      <c r="M310" s="2" t="s">
        <v>669</v>
      </c>
      <c r="N310" s="2" t="s">
        <v>670</v>
      </c>
      <c r="O310" s="2" t="s">
        <v>242</v>
      </c>
      <c r="P310" s="2" t="s">
        <v>153</v>
      </c>
      <c r="Q310" s="2" t="s">
        <v>192</v>
      </c>
      <c r="R310" s="15">
        <v>45139</v>
      </c>
      <c r="S310" s="2" t="s">
        <v>5</v>
      </c>
      <c r="T310" s="2" t="s">
        <v>36</v>
      </c>
      <c r="U310" s="2" t="s">
        <v>36</v>
      </c>
      <c r="V310" s="2" t="s">
        <v>36</v>
      </c>
      <c r="W310" s="4" t="s">
        <v>37</v>
      </c>
      <c r="X31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10" s="2" t="str">
        <f>IF(ISNUMBER(SEARCH("onal",tb1_supporters[[#This Row],[Phone_Clean]])),"Review - corrupt phone number", IF(LEN(tb1_supporters[[#This Row],[Phone_Clean]])&gt;11,"Review - too many digits",""))</f>
        <v/>
      </c>
      <c r="Z31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310" s="2" t="str">
        <f>IF(tb1_supporters[[#This Row],[Email]]="","",IF(COUNTIF(tb1_supporters[Email],tb1_supporters[[#This Row],[Email]])&gt;1,"Review - duplicate record, see Supporter_Duplicates tab",""))</f>
        <v/>
      </c>
      <c r="AB310" s="21" t="str">
        <f>IF(tb1_supporters[[#This Row],[Communication_Preference]]="Do Not Contact","DO NOT CONTACT","")</f>
        <v/>
      </c>
      <c r="AE310"/>
    </row>
    <row r="311" spans="1:31" x14ac:dyDescent="0.25">
      <c r="A311" s="3" t="s">
        <v>2159</v>
      </c>
      <c r="B311" s="2" t="s">
        <v>54</v>
      </c>
      <c r="C311" s="2" t="s">
        <v>673</v>
      </c>
      <c r="D311" s="2" t="s">
        <v>1323</v>
      </c>
      <c r="E311" s="2" t="s">
        <v>4869</v>
      </c>
      <c r="F311" s="2" t="s">
        <v>2160</v>
      </c>
      <c r="G311" s="2" t="str">
        <f>TRIM(SUBSTITUTE(SUBSTITUTE(SUBSTITUTE(SUBSTITUTE(tb1_supporters[[#This Row],[Phone_Raw]],"(",""),")","")," ",""),"+44",))</f>
        <v>01819642148</v>
      </c>
      <c r="H311" s="15"/>
      <c r="I311" s="36" t="str">
        <f ca="1">IF(OR(tb1_supporters[[#This Row],[Date_of_Birth]]="",tb1_supporters[[#This Row],[Date_of_Birth]]&gt;TODAY()),"",DATEDIF(tb1_supporters[[#This Row],[Date_of_Birth]],TODAY(),"Y"))</f>
        <v/>
      </c>
      <c r="J31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311" s="2" t="s">
        <v>2161</v>
      </c>
      <c r="L311" s="2" t="s">
        <v>113</v>
      </c>
      <c r="M311" s="2" t="s">
        <v>114</v>
      </c>
      <c r="N311" s="2" t="s">
        <v>115</v>
      </c>
      <c r="O311" s="2" t="s">
        <v>166</v>
      </c>
      <c r="P311" s="2" t="s">
        <v>181</v>
      </c>
      <c r="Q311" s="2" t="s">
        <v>66</v>
      </c>
      <c r="R311" s="15">
        <v>45075</v>
      </c>
      <c r="S311" s="2" t="s">
        <v>5</v>
      </c>
      <c r="T311" s="2" t="s">
        <v>36</v>
      </c>
      <c r="U311" s="2" t="s">
        <v>37</v>
      </c>
      <c r="V311" s="2" t="s">
        <v>37</v>
      </c>
      <c r="W311" s="4" t="s">
        <v>37</v>
      </c>
      <c r="X31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311" s="2" t="str">
        <f>IF(ISNUMBER(SEARCH("onal",tb1_supporters[[#This Row],[Phone_Clean]])),"Review - corrupt phone number", IF(LEN(tb1_supporters[[#This Row],[Phone_Clean]])&gt;11,"Review - too many digits",""))</f>
        <v/>
      </c>
      <c r="Z31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311" s="2" t="str">
        <f>IF(tb1_supporters[[#This Row],[Email]]="","",IF(COUNTIF(tb1_supporters[Email],tb1_supporters[[#This Row],[Email]])&gt;1,"Review - duplicate record, see Supporter_Duplicates tab",""))</f>
        <v/>
      </c>
      <c r="AB311" s="21" t="str">
        <f>IF(tb1_supporters[[#This Row],[Communication_Preference]]="Do Not Contact","DO NOT CONTACT","")</f>
        <v/>
      </c>
      <c r="AE311"/>
    </row>
    <row r="312" spans="1:31" x14ac:dyDescent="0.25">
      <c r="A312" s="3" t="s">
        <v>2163</v>
      </c>
      <c r="B312" s="2" t="s">
        <v>22</v>
      </c>
      <c r="C312" s="2" t="s">
        <v>573</v>
      </c>
      <c r="D312" s="2" t="s">
        <v>145</v>
      </c>
      <c r="E312" s="2" t="s">
        <v>2164</v>
      </c>
      <c r="F312" s="2" t="s">
        <v>2165</v>
      </c>
      <c r="G312" s="2" t="str">
        <f>TRIM(SUBSTITUTE(SUBSTITUTE(SUBSTITUTE(SUBSTITUTE(tb1_supporters[[#This Row],[Phone_Raw]],"(",""),")","")," ",""),"+44",))</f>
        <v>01617634327</v>
      </c>
      <c r="H312" s="15">
        <v>21237</v>
      </c>
      <c r="I312" s="36">
        <f ca="1">IF(OR(tb1_supporters[[#This Row],[Date_of_Birth]]="",tb1_supporters[[#This Row],[Date_of_Birth]]&gt;TODAY()),"",DATEDIF(tb1_supporters[[#This Row],[Date_of_Birth]],TODAY(),"Y"))</f>
        <v>68</v>
      </c>
      <c r="J31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12" s="2" t="s">
        <v>2167</v>
      </c>
      <c r="L312" s="2" t="s">
        <v>509</v>
      </c>
      <c r="M312" s="2" t="s">
        <v>510</v>
      </c>
      <c r="N312" s="2" t="s">
        <v>511</v>
      </c>
      <c r="O312" s="2" t="s">
        <v>242</v>
      </c>
      <c r="P312" s="2" t="s">
        <v>4887</v>
      </c>
      <c r="Q312" s="2" t="s">
        <v>4888</v>
      </c>
      <c r="R312" s="15">
        <v>43883</v>
      </c>
      <c r="S312" s="2" t="s">
        <v>52</v>
      </c>
      <c r="T312" s="2" t="s">
        <v>36</v>
      </c>
      <c r="U312" s="2" t="s">
        <v>36</v>
      </c>
      <c r="V312" s="2" t="s">
        <v>36</v>
      </c>
      <c r="W312" s="4" t="s">
        <v>37</v>
      </c>
      <c r="X31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12" s="2" t="str">
        <f>IF(ISNUMBER(SEARCH("onal",tb1_supporters[[#This Row],[Phone_Clean]])),"Review - corrupt phone number", IF(LEN(tb1_supporters[[#This Row],[Phone_Clean]])&gt;11,"Review - too many digits",""))</f>
        <v/>
      </c>
      <c r="Z31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12" s="2" t="str">
        <f>IF(tb1_supporters[[#This Row],[Email]]="","",IF(COUNTIF(tb1_supporters[Email],tb1_supporters[[#This Row],[Email]])&gt;1,"Review - duplicate record, see Supporter_Duplicates tab",""))</f>
        <v/>
      </c>
      <c r="AB312" s="21" t="str">
        <f>IF(tb1_supporters[[#This Row],[Communication_Preference]]="Do Not Contact","DO NOT CONTACT","")</f>
        <v/>
      </c>
      <c r="AE312"/>
    </row>
    <row r="313" spans="1:31" x14ac:dyDescent="0.25">
      <c r="A313" s="3" t="s">
        <v>2169</v>
      </c>
      <c r="B313" s="2" t="s">
        <v>54</v>
      </c>
      <c r="C313" s="2" t="s">
        <v>144</v>
      </c>
      <c r="D313" s="2" t="s">
        <v>2290</v>
      </c>
      <c r="E313" s="2" t="s">
        <v>2171</v>
      </c>
      <c r="F313" s="2" t="s">
        <v>2172</v>
      </c>
      <c r="G313" s="2" t="str">
        <f>TRIM(SUBSTITUTE(SUBSTITUTE(SUBSTITUTE(SUBSTITUTE(tb1_supporters[[#This Row],[Phone_Raw]],"(",""),")","")," ",""),"+44",))</f>
        <v>01319119856</v>
      </c>
      <c r="H313" s="15">
        <v>20037</v>
      </c>
      <c r="I313" s="36">
        <f ca="1">IF(OR(tb1_supporters[[#This Row],[Date_of_Birth]]="",tb1_supporters[[#This Row],[Date_of_Birth]]&gt;TODAY()),"",DATEDIF(tb1_supporters[[#This Row],[Date_of_Birth]],TODAY(),"Y"))</f>
        <v>71</v>
      </c>
      <c r="J31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13" s="2" t="s">
        <v>2174</v>
      </c>
      <c r="L313" s="2" t="s">
        <v>229</v>
      </c>
      <c r="M313" s="2" t="s">
        <v>230</v>
      </c>
      <c r="N313" s="2" t="s">
        <v>231</v>
      </c>
      <c r="O313" s="2" t="s">
        <v>166</v>
      </c>
      <c r="P313" s="2" t="s">
        <v>153</v>
      </c>
      <c r="Q313" s="2" t="s">
        <v>50</v>
      </c>
      <c r="R313" s="15">
        <v>44941</v>
      </c>
      <c r="S313" s="2" t="s">
        <v>5</v>
      </c>
      <c r="T313" s="2" t="s">
        <v>36</v>
      </c>
      <c r="U313" s="2" t="s">
        <v>36</v>
      </c>
      <c r="V313" s="2" t="s">
        <v>36</v>
      </c>
      <c r="W313" s="4" t="s">
        <v>36</v>
      </c>
      <c r="X31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13" s="2" t="str">
        <f>IF(ISNUMBER(SEARCH("onal",tb1_supporters[[#This Row],[Phone_Clean]])),"Review - corrupt phone number", IF(LEN(tb1_supporters[[#This Row],[Phone_Clean]])&gt;11,"Review - too many digits",""))</f>
        <v/>
      </c>
      <c r="Z31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13" s="2" t="str">
        <f>IF(tb1_supporters[[#This Row],[Email]]="","",IF(COUNTIF(tb1_supporters[Email],tb1_supporters[[#This Row],[Email]])&gt;1,"Review - duplicate record, see Supporter_Duplicates tab",""))</f>
        <v/>
      </c>
      <c r="AB313" s="21" t="str">
        <f>IF(tb1_supporters[[#This Row],[Communication_Preference]]="Do Not Contact","DO NOT CONTACT","")</f>
        <v/>
      </c>
      <c r="AE313"/>
    </row>
    <row r="314" spans="1:31" x14ac:dyDescent="0.25">
      <c r="A314" s="3" t="s">
        <v>2176</v>
      </c>
      <c r="B314" s="2" t="s">
        <v>22</v>
      </c>
      <c r="C314" s="2" t="s">
        <v>481</v>
      </c>
      <c r="D314" s="2" t="s">
        <v>197</v>
      </c>
      <c r="E314" s="2" t="s">
        <v>2177</v>
      </c>
      <c r="F314" s="2" t="s">
        <v>2178</v>
      </c>
      <c r="G314" s="2" t="str">
        <f>TRIM(SUBSTITUTE(SUBSTITUTE(SUBSTITUTE(SUBSTITUTE(tb1_supporters[[#This Row],[Phone_Raw]],"(",""),")","")," ",""),"+44",))</f>
        <v>07137853244</v>
      </c>
      <c r="H314" s="15">
        <v>32914</v>
      </c>
      <c r="I314" s="36">
        <f ca="1">IF(OR(tb1_supporters[[#This Row],[Date_of_Birth]]="",tb1_supporters[[#This Row],[Date_of_Birth]]&gt;TODAY()),"",DATEDIF(tb1_supporters[[#This Row],[Date_of_Birth]],TODAY(),"Y"))</f>
        <v>36</v>
      </c>
      <c r="J31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14" s="2" t="s">
        <v>2180</v>
      </c>
      <c r="L314" s="2" t="s">
        <v>693</v>
      </c>
      <c r="M314" s="2" t="s">
        <v>694</v>
      </c>
      <c r="N314" s="2" t="s">
        <v>695</v>
      </c>
      <c r="O314" s="2" t="s">
        <v>242</v>
      </c>
      <c r="P314" s="2" t="s">
        <v>153</v>
      </c>
      <c r="Q314" s="2" t="s">
        <v>50</v>
      </c>
      <c r="R314" s="15">
        <v>43288</v>
      </c>
      <c r="S314" s="2" t="s">
        <v>105</v>
      </c>
      <c r="T314" s="2" t="s">
        <v>37</v>
      </c>
      <c r="U314" s="2" t="s">
        <v>37</v>
      </c>
      <c r="V314" s="2" t="s">
        <v>37</v>
      </c>
      <c r="W314" s="4" t="s">
        <v>37</v>
      </c>
      <c r="X31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14" s="2" t="str">
        <f>IF(ISNUMBER(SEARCH("onal",tb1_supporters[[#This Row],[Phone_Clean]])),"Review - corrupt phone number", IF(LEN(tb1_supporters[[#This Row],[Phone_Clean]])&gt;11,"Review - too many digits",""))</f>
        <v/>
      </c>
      <c r="Z31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14" s="2" t="str">
        <f>IF(tb1_supporters[[#This Row],[Email]]="","",IF(COUNTIF(tb1_supporters[Email],tb1_supporters[[#This Row],[Email]])&gt;1,"Review - duplicate record, see Supporter_Duplicates tab",""))</f>
        <v/>
      </c>
      <c r="AB314" s="21" t="str">
        <f>IF(tb1_supporters[[#This Row],[Communication_Preference]]="Do Not Contact","DO NOT CONTACT","")</f>
        <v>DO NOT CONTACT</v>
      </c>
      <c r="AE314"/>
    </row>
    <row r="315" spans="1:31" x14ac:dyDescent="0.25">
      <c r="A315" s="3" t="s">
        <v>2182</v>
      </c>
      <c r="B315" s="2" t="s">
        <v>54</v>
      </c>
      <c r="C315" s="2" t="s">
        <v>1297</v>
      </c>
      <c r="D315" s="2" t="s">
        <v>449</v>
      </c>
      <c r="E315" s="2" t="s">
        <v>2183</v>
      </c>
      <c r="F315" s="2" t="s">
        <v>2184</v>
      </c>
      <c r="G315" s="2" t="str">
        <f>TRIM(SUBSTITUTE(SUBSTITUTE(SUBSTITUTE(SUBSTITUTE(tb1_supporters[[#This Row],[Phone_Raw]],"(",""),")","")," ",""),"+44",))</f>
        <v>07609709918</v>
      </c>
      <c r="H315" s="15">
        <v>18780</v>
      </c>
      <c r="I315" s="36">
        <f ca="1">IF(OR(tb1_supporters[[#This Row],[Date_of_Birth]]="",tb1_supporters[[#This Row],[Date_of_Birth]]&gt;TODAY()),"",DATEDIF(tb1_supporters[[#This Row],[Date_of_Birth]],TODAY(),"Y"))</f>
        <v>74</v>
      </c>
      <c r="J31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15" s="2" t="s">
        <v>2186</v>
      </c>
      <c r="L315" s="2" t="s">
        <v>668</v>
      </c>
      <c r="M315" s="2" t="s">
        <v>669</v>
      </c>
      <c r="N315" s="2" t="s">
        <v>670</v>
      </c>
      <c r="O315" s="2" t="s">
        <v>166</v>
      </c>
      <c r="P315" s="2" t="s">
        <v>65</v>
      </c>
      <c r="Q315" s="2" t="s">
        <v>243</v>
      </c>
      <c r="R315" s="15">
        <v>43931</v>
      </c>
      <c r="S315" s="2" t="s">
        <v>5</v>
      </c>
      <c r="T315" s="2" t="s">
        <v>36</v>
      </c>
      <c r="U315" s="2" t="s">
        <v>36</v>
      </c>
      <c r="V315" s="2" t="s">
        <v>37</v>
      </c>
      <c r="W315" s="4" t="s">
        <v>37</v>
      </c>
      <c r="X31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315" s="2" t="str">
        <f>IF(ISNUMBER(SEARCH("onal",tb1_supporters[[#This Row],[Phone_Clean]])),"Review - corrupt phone number", IF(LEN(tb1_supporters[[#This Row],[Phone_Clean]])&gt;11,"Review - too many digits",""))</f>
        <v/>
      </c>
      <c r="Z31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15" s="2" t="str">
        <f>IF(tb1_supporters[[#This Row],[Email]]="","",IF(COUNTIF(tb1_supporters[Email],tb1_supporters[[#This Row],[Email]])&gt;1,"Review - duplicate record, see Supporter_Duplicates tab",""))</f>
        <v/>
      </c>
      <c r="AB315" s="21" t="str">
        <f>IF(tb1_supporters[[#This Row],[Communication_Preference]]="Do Not Contact","DO NOT CONTACT","")</f>
        <v/>
      </c>
      <c r="AE315"/>
    </row>
    <row r="316" spans="1:31" x14ac:dyDescent="0.25">
      <c r="A316" s="3" t="s">
        <v>2188</v>
      </c>
      <c r="B316" s="2" t="s">
        <v>54</v>
      </c>
      <c r="C316" s="2" t="s">
        <v>503</v>
      </c>
      <c r="D316" s="2" t="s">
        <v>1696</v>
      </c>
      <c r="E316" s="2" t="s">
        <v>2189</v>
      </c>
      <c r="F316" s="2" t="s">
        <v>2190</v>
      </c>
      <c r="G316" s="2" t="str">
        <f>TRIM(SUBSTITUTE(SUBSTITUTE(SUBSTITUTE(SUBSTITUTE(tb1_supporters[[#This Row],[Phone_Raw]],"(",""),")","")," ",""),"+44",))</f>
        <v>07223380244</v>
      </c>
      <c r="H316" s="15">
        <v>22864</v>
      </c>
      <c r="I316" s="36">
        <f ca="1">IF(OR(tb1_supporters[[#This Row],[Date_of_Birth]]="",tb1_supporters[[#This Row],[Date_of_Birth]]&gt;TODAY()),"",DATEDIF(tb1_supporters[[#This Row],[Date_of_Birth]],TODAY(),"Y"))</f>
        <v>63</v>
      </c>
      <c r="J31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16" s="2" t="s">
        <v>2192</v>
      </c>
      <c r="L316" s="2" t="s">
        <v>88</v>
      </c>
      <c r="M316" s="2" t="s">
        <v>89</v>
      </c>
      <c r="N316" s="2" t="s">
        <v>90</v>
      </c>
      <c r="O316" s="2" t="s">
        <v>166</v>
      </c>
      <c r="P316" s="2" t="s">
        <v>117</v>
      </c>
      <c r="Q316" s="2" t="s">
        <v>4888</v>
      </c>
      <c r="R316" s="15">
        <v>44616</v>
      </c>
      <c r="S316" s="2" t="s">
        <v>4</v>
      </c>
      <c r="T316" s="2" t="s">
        <v>37</v>
      </c>
      <c r="U316" s="2" t="s">
        <v>36</v>
      </c>
      <c r="V316" s="2" t="s">
        <v>37</v>
      </c>
      <c r="W316" s="4" t="s">
        <v>36</v>
      </c>
      <c r="X31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316" s="2" t="str">
        <f>IF(ISNUMBER(SEARCH("onal",tb1_supporters[[#This Row],[Phone_Clean]])),"Review - corrupt phone number", IF(LEN(tb1_supporters[[#This Row],[Phone_Clean]])&gt;11,"Review - too many digits",""))</f>
        <v/>
      </c>
      <c r="Z31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16" s="2" t="str">
        <f>IF(tb1_supporters[[#This Row],[Email]]="","",IF(COUNTIF(tb1_supporters[Email],tb1_supporters[[#This Row],[Email]])&gt;1,"Review - duplicate record, see Supporter_Duplicates tab",""))</f>
        <v/>
      </c>
      <c r="AB316" s="21" t="str">
        <f>IF(tb1_supporters[[#This Row],[Communication_Preference]]="Do Not Contact","DO NOT CONTACT","")</f>
        <v/>
      </c>
      <c r="AE316"/>
    </row>
    <row r="317" spans="1:31" x14ac:dyDescent="0.25">
      <c r="A317" s="3" t="s">
        <v>2194</v>
      </c>
      <c r="B317" s="2" t="s">
        <v>69</v>
      </c>
      <c r="C317" s="2" t="s">
        <v>237</v>
      </c>
      <c r="D317" s="2" t="s">
        <v>504</v>
      </c>
      <c r="E317" s="2" t="s">
        <v>2195</v>
      </c>
      <c r="F317" s="2" t="s">
        <v>2196</v>
      </c>
      <c r="G317" s="2" t="str">
        <f>TRIM(SUBSTITUTE(SUBSTITUTE(SUBSTITUTE(SUBSTITUTE(tb1_supporters[[#This Row],[Phone_Raw]],"(",""),")","")," ",""),"+44",))</f>
        <v>07106107283</v>
      </c>
      <c r="H317" s="15">
        <v>17605</v>
      </c>
      <c r="I317" s="36">
        <f ca="1">IF(OR(tb1_supporters[[#This Row],[Date_of_Birth]]="",tb1_supporters[[#This Row],[Date_of_Birth]]&gt;TODAY()),"",DATEDIF(tb1_supporters[[#This Row],[Date_of_Birth]],TODAY(),"Y"))</f>
        <v>78</v>
      </c>
      <c r="J31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17" s="2" t="s">
        <v>2198</v>
      </c>
      <c r="L317" s="2" t="s">
        <v>319</v>
      </c>
      <c r="M317" s="2" t="s">
        <v>320</v>
      </c>
      <c r="N317" s="2" t="s">
        <v>321</v>
      </c>
      <c r="O317" s="2" t="s">
        <v>166</v>
      </c>
      <c r="P317" s="2" t="s">
        <v>91</v>
      </c>
      <c r="Q317" s="2" t="s">
        <v>66</v>
      </c>
      <c r="R317" s="15">
        <v>45050</v>
      </c>
      <c r="S317" s="2" t="s">
        <v>4</v>
      </c>
      <c r="T317" s="2" t="s">
        <v>36</v>
      </c>
      <c r="U317" s="2" t="s">
        <v>36</v>
      </c>
      <c r="V317" s="2" t="s">
        <v>36</v>
      </c>
      <c r="W317" s="4" t="s">
        <v>37</v>
      </c>
      <c r="X31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17" s="2" t="str">
        <f>IF(ISNUMBER(SEARCH("onal",tb1_supporters[[#This Row],[Phone_Clean]])),"Review - corrupt phone number", IF(LEN(tb1_supporters[[#This Row],[Phone_Clean]])&gt;11,"Review - too many digits",""))</f>
        <v/>
      </c>
      <c r="Z31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17" s="2" t="str">
        <f>IF(tb1_supporters[[#This Row],[Email]]="","",IF(COUNTIF(tb1_supporters[Email],tb1_supporters[[#This Row],[Email]])&gt;1,"Review - duplicate record, see Supporter_Duplicates tab",""))</f>
        <v/>
      </c>
      <c r="AB317" s="21" t="str">
        <f>IF(tb1_supporters[[#This Row],[Communication_Preference]]="Do Not Contact","DO NOT CONTACT","")</f>
        <v/>
      </c>
      <c r="AE317"/>
    </row>
    <row r="318" spans="1:31" x14ac:dyDescent="0.25">
      <c r="A318" s="3" t="s">
        <v>2200</v>
      </c>
      <c r="B318" s="2" t="s">
        <v>22</v>
      </c>
      <c r="C318" s="2" t="s">
        <v>196</v>
      </c>
      <c r="D318" s="2" t="s">
        <v>630</v>
      </c>
      <c r="E318" s="2" t="s">
        <v>2201</v>
      </c>
      <c r="F318" s="2" t="s">
        <v>2202</v>
      </c>
      <c r="G318" s="2" t="str">
        <f>TRIM(SUBSTITUTE(SUBSTITUTE(SUBSTITUTE(SUBSTITUTE(tb1_supporters[[#This Row],[Phone_Raw]],"(",""),")","")," ",""),"+44",))</f>
        <v>013866997861</v>
      </c>
      <c r="H318" s="15">
        <v>21914</v>
      </c>
      <c r="I318" s="36">
        <f ca="1">IF(OR(tb1_supporters[[#This Row],[Date_of_Birth]]="",tb1_supporters[[#This Row],[Date_of_Birth]]&gt;TODAY()),"",DATEDIF(tb1_supporters[[#This Row],[Date_of_Birth]],TODAY(),"Y"))</f>
        <v>66</v>
      </c>
      <c r="J31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18" s="2" t="s">
        <v>2204</v>
      </c>
      <c r="L318" s="2" t="s">
        <v>419</v>
      </c>
      <c r="M318" s="2" t="s">
        <v>420</v>
      </c>
      <c r="N318" s="2" t="s">
        <v>4869</v>
      </c>
      <c r="O318" s="2" t="s">
        <v>242</v>
      </c>
      <c r="P318" s="2" t="s">
        <v>33</v>
      </c>
      <c r="Q318" s="2" t="s">
        <v>192</v>
      </c>
      <c r="R318" s="15">
        <v>45272</v>
      </c>
      <c r="S318" s="2" t="s">
        <v>4</v>
      </c>
      <c r="T318" s="2" t="s">
        <v>36</v>
      </c>
      <c r="U318" s="2" t="s">
        <v>37</v>
      </c>
      <c r="V318" s="2" t="s">
        <v>36</v>
      </c>
      <c r="W318" s="4" t="s">
        <v>37</v>
      </c>
      <c r="X31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1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1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18" s="2" t="str">
        <f>IF(tb1_supporters[[#This Row],[Email]]="","",IF(COUNTIF(tb1_supporters[Email],tb1_supporters[[#This Row],[Email]])&gt;1,"Review - duplicate record, see Supporter_Duplicates tab",""))</f>
        <v/>
      </c>
      <c r="AB318" s="21" t="str">
        <f>IF(tb1_supporters[[#This Row],[Communication_Preference]]="Do Not Contact","DO NOT CONTACT","")</f>
        <v/>
      </c>
      <c r="AE318"/>
    </row>
    <row r="319" spans="1:31" x14ac:dyDescent="0.25">
      <c r="A319" s="3" t="s">
        <v>2206</v>
      </c>
      <c r="B319" s="2" t="s">
        <v>69</v>
      </c>
      <c r="C319" s="2" t="s">
        <v>144</v>
      </c>
      <c r="D319" s="2" t="s">
        <v>186</v>
      </c>
      <c r="E319" s="2" t="s">
        <v>2207</v>
      </c>
      <c r="F319" s="2" t="s">
        <v>2208</v>
      </c>
      <c r="G319" s="2" t="str">
        <f>TRIM(SUBSTITUTE(SUBSTITUTE(SUBSTITUTE(SUBSTITUTE(tb1_supporters[[#This Row],[Phone_Raw]],"(",""),")","")," ",""),"+44",))</f>
        <v>01412631706</v>
      </c>
      <c r="H319" s="15">
        <v>30301</v>
      </c>
      <c r="I319" s="36">
        <f ca="1">IF(OR(tb1_supporters[[#This Row],[Date_of_Birth]]="",tb1_supporters[[#This Row],[Date_of_Birth]]&gt;TODAY()),"",DATEDIF(tb1_supporters[[#This Row],[Date_of_Birth]],TODAY(),"Y"))</f>
        <v>43</v>
      </c>
      <c r="J31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19" s="2" t="s">
        <v>2210</v>
      </c>
      <c r="L319" s="2" t="s">
        <v>138</v>
      </c>
      <c r="M319" s="2" t="s">
        <v>139</v>
      </c>
      <c r="N319" s="2" t="s">
        <v>140</v>
      </c>
      <c r="O319" s="2" t="s">
        <v>166</v>
      </c>
      <c r="P319" s="2" t="s">
        <v>49</v>
      </c>
      <c r="Q319" s="2" t="s">
        <v>141</v>
      </c>
      <c r="R319" s="15">
        <v>43959</v>
      </c>
      <c r="S319" s="2" t="s">
        <v>93</v>
      </c>
      <c r="T319" s="2" t="s">
        <v>36</v>
      </c>
      <c r="U319" s="2" t="s">
        <v>37</v>
      </c>
      <c r="V319" s="2" t="s">
        <v>36</v>
      </c>
      <c r="W319" s="4" t="s">
        <v>37</v>
      </c>
      <c r="X31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319" s="2" t="str">
        <f>IF(ISNUMBER(SEARCH("onal",tb1_supporters[[#This Row],[Phone_Clean]])),"Review - corrupt phone number", IF(LEN(tb1_supporters[[#This Row],[Phone_Clean]])&gt;11,"Review - too many digits",""))</f>
        <v/>
      </c>
      <c r="Z31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19" s="2" t="str">
        <f>IF(tb1_supporters[[#This Row],[Email]]="","",IF(COUNTIF(tb1_supporters[Email],tb1_supporters[[#This Row],[Email]])&gt;1,"Review - duplicate record, see Supporter_Duplicates tab",""))</f>
        <v/>
      </c>
      <c r="AB319" s="21" t="str">
        <f>IF(tb1_supporters[[#This Row],[Communication_Preference]]="Do Not Contact","DO NOT CONTACT","")</f>
        <v/>
      </c>
      <c r="AE319"/>
    </row>
    <row r="320" spans="1:31" x14ac:dyDescent="0.25">
      <c r="A320" s="3" t="s">
        <v>2212</v>
      </c>
      <c r="B320" s="2"/>
      <c r="C320" s="2" t="s">
        <v>204</v>
      </c>
      <c r="D320" s="2" t="s">
        <v>435</v>
      </c>
      <c r="E320" s="2" t="s">
        <v>2213</v>
      </c>
      <c r="F320" s="2" t="s">
        <v>2214</v>
      </c>
      <c r="G320" s="2" t="str">
        <f>TRIM(SUBSTITUTE(SUBSTITUTE(SUBSTITUTE(SUBSTITUTE(tb1_supporters[[#This Row],[Phone_Raw]],"(",""),")","")," ",""),"+44",))</f>
        <v>7218172340</v>
      </c>
      <c r="H320" s="15">
        <v>33587</v>
      </c>
      <c r="I320" s="36">
        <f ca="1">IF(OR(tb1_supporters[[#This Row],[Date_of_Birth]]="",tb1_supporters[[#This Row],[Date_of_Birth]]&gt;TODAY()),"",DATEDIF(tb1_supporters[[#This Row],[Date_of_Birth]],TODAY(),"Y"))</f>
        <v>34</v>
      </c>
      <c r="J32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20" s="2" t="s">
        <v>2216</v>
      </c>
      <c r="L320" s="2" t="s">
        <v>454</v>
      </c>
      <c r="M320" s="2" t="s">
        <v>455</v>
      </c>
      <c r="N320" s="2" t="s">
        <v>456</v>
      </c>
      <c r="O320" s="2" t="s">
        <v>242</v>
      </c>
      <c r="P320" s="2" t="s">
        <v>49</v>
      </c>
      <c r="Q320" s="2" t="s">
        <v>66</v>
      </c>
      <c r="R320" s="15">
        <v>43915</v>
      </c>
      <c r="S320" s="2" t="s">
        <v>93</v>
      </c>
      <c r="T320" s="2" t="s">
        <v>36</v>
      </c>
      <c r="U320" s="2" t="s">
        <v>36</v>
      </c>
      <c r="V320" s="2" t="s">
        <v>36</v>
      </c>
      <c r="W320" s="4" t="s">
        <v>37</v>
      </c>
      <c r="X32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20" s="2" t="str">
        <f>IF(ISNUMBER(SEARCH("onal",tb1_supporters[[#This Row],[Phone_Clean]])),"Review - corrupt phone number", IF(LEN(tb1_supporters[[#This Row],[Phone_Clean]])&gt;11,"Review - too many digits",""))</f>
        <v/>
      </c>
      <c r="Z32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20" s="2" t="str">
        <f>IF(tb1_supporters[[#This Row],[Email]]="","",IF(COUNTIF(tb1_supporters[Email],tb1_supporters[[#This Row],[Email]])&gt;1,"Review - duplicate record, see Supporter_Duplicates tab",""))</f>
        <v/>
      </c>
      <c r="AB320" s="21" t="str">
        <f>IF(tb1_supporters[[#This Row],[Communication_Preference]]="Do Not Contact","DO NOT CONTACT","")</f>
        <v/>
      </c>
      <c r="AE320"/>
    </row>
    <row r="321" spans="1:31" x14ac:dyDescent="0.25">
      <c r="A321" s="3" t="s">
        <v>2218</v>
      </c>
      <c r="B321" s="2" t="s">
        <v>54</v>
      </c>
      <c r="C321" s="2" t="s">
        <v>1267</v>
      </c>
      <c r="D321" s="2" t="s">
        <v>536</v>
      </c>
      <c r="E321" s="2" t="s">
        <v>2219</v>
      </c>
      <c r="F321" s="2" t="s">
        <v>2220</v>
      </c>
      <c r="G321" s="2" t="str">
        <f>TRIM(SUBSTITUTE(SUBSTITUTE(SUBSTITUTE(SUBSTITUTE(tb1_supporters[[#This Row],[Phone_Raw]],"(",""),")","")," ",""),"+44",))</f>
        <v>01413218454</v>
      </c>
      <c r="H321" s="15">
        <v>30581</v>
      </c>
      <c r="I321" s="36">
        <f ca="1">IF(OR(tb1_supporters[[#This Row],[Date_of_Birth]]="",tb1_supporters[[#This Row],[Date_of_Birth]]&gt;TODAY()),"",DATEDIF(tb1_supporters[[#This Row],[Date_of_Birth]],TODAY(),"Y"))</f>
        <v>42</v>
      </c>
      <c r="J32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21" s="2" t="s">
        <v>2222</v>
      </c>
      <c r="L321" s="2" t="s">
        <v>76</v>
      </c>
      <c r="M321" s="2" t="s">
        <v>77</v>
      </c>
      <c r="N321" s="2" t="s">
        <v>78</v>
      </c>
      <c r="O321" s="2" t="s">
        <v>166</v>
      </c>
      <c r="P321" s="2" t="s">
        <v>49</v>
      </c>
      <c r="Q321" s="2" t="s">
        <v>154</v>
      </c>
      <c r="R321" s="15">
        <v>44975</v>
      </c>
      <c r="S321" s="2" t="s">
        <v>5</v>
      </c>
      <c r="T321" s="2" t="s">
        <v>36</v>
      </c>
      <c r="U321" s="2" t="s">
        <v>36</v>
      </c>
      <c r="V321" s="2" t="s">
        <v>36</v>
      </c>
      <c r="W321" s="4" t="s">
        <v>36</v>
      </c>
      <c r="X32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21" s="2" t="str">
        <f>IF(ISNUMBER(SEARCH("onal",tb1_supporters[[#This Row],[Phone_Clean]])),"Review - corrupt phone number", IF(LEN(tb1_supporters[[#This Row],[Phone_Clean]])&gt;11,"Review - too many digits",""))</f>
        <v/>
      </c>
      <c r="Z32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21" s="2" t="str">
        <f>IF(tb1_supporters[[#This Row],[Email]]="","",IF(COUNTIF(tb1_supporters[Email],tb1_supporters[[#This Row],[Email]])&gt;1,"Review - duplicate record, see Supporter_Duplicates tab",""))</f>
        <v/>
      </c>
      <c r="AB321" s="21" t="str">
        <f>IF(tb1_supporters[[#This Row],[Communication_Preference]]="Do Not Contact","DO NOT CONTACT","")</f>
        <v/>
      </c>
      <c r="AE321"/>
    </row>
    <row r="322" spans="1:31" x14ac:dyDescent="0.25">
      <c r="A322" s="3" t="s">
        <v>2224</v>
      </c>
      <c r="B322" s="2"/>
      <c r="C322" s="2" t="s">
        <v>459</v>
      </c>
      <c r="D322" s="2" t="s">
        <v>1696</v>
      </c>
      <c r="E322" s="2" t="s">
        <v>2225</v>
      </c>
      <c r="F322" s="2" t="s">
        <v>2226</v>
      </c>
      <c r="G322" s="2" t="str">
        <f>TRIM(SUBSTITUTE(SUBSTITUTE(SUBSTITUTE(SUBSTITUTE(tb1_supporters[[#This Row],[Phone_Raw]],"(",""),")","")," ",""),"+44",))</f>
        <v>07325402718</v>
      </c>
      <c r="H322" s="15">
        <v>35369</v>
      </c>
      <c r="I322" s="36">
        <f ca="1">IF(OR(tb1_supporters[[#This Row],[Date_of_Birth]]="",tb1_supporters[[#This Row],[Date_of_Birth]]&gt;TODAY()),"",DATEDIF(tb1_supporters[[#This Row],[Date_of_Birth]],TODAY(),"Y"))</f>
        <v>29</v>
      </c>
      <c r="J32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22" s="2" t="s">
        <v>2228</v>
      </c>
      <c r="L322" s="2" t="s">
        <v>100</v>
      </c>
      <c r="M322" s="2" t="s">
        <v>101</v>
      </c>
      <c r="N322" s="2" t="s">
        <v>343</v>
      </c>
      <c r="O322" s="2" t="s">
        <v>166</v>
      </c>
      <c r="P322" s="2" t="s">
        <v>117</v>
      </c>
      <c r="Q322" s="2" t="s">
        <v>50</v>
      </c>
      <c r="R322" s="15">
        <v>45365</v>
      </c>
      <c r="S322" s="2" t="s">
        <v>52</v>
      </c>
      <c r="T322" s="2" t="s">
        <v>36</v>
      </c>
      <c r="U322" s="2" t="s">
        <v>36</v>
      </c>
      <c r="V322" s="2" t="s">
        <v>37</v>
      </c>
      <c r="W322" s="4" t="s">
        <v>37</v>
      </c>
      <c r="X32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22" s="2" t="str">
        <f>IF(ISNUMBER(SEARCH("onal",tb1_supporters[[#This Row],[Phone_Clean]])),"Review - corrupt phone number", IF(LEN(tb1_supporters[[#This Row],[Phone_Clean]])&gt;11,"Review - too many digits",""))</f>
        <v/>
      </c>
      <c r="Z32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22" s="2" t="str">
        <f>IF(tb1_supporters[[#This Row],[Email]]="","",IF(COUNTIF(tb1_supporters[Email],tb1_supporters[[#This Row],[Email]])&gt;1,"Review - duplicate record, see Supporter_Duplicates tab",""))</f>
        <v/>
      </c>
      <c r="AB322" s="21" t="str">
        <f>IF(tb1_supporters[[#This Row],[Communication_Preference]]="Do Not Contact","DO NOT CONTACT","")</f>
        <v/>
      </c>
      <c r="AE322"/>
    </row>
    <row r="323" spans="1:31" x14ac:dyDescent="0.25">
      <c r="A323" s="3" t="s">
        <v>2230</v>
      </c>
      <c r="B323" s="2" t="s">
        <v>235</v>
      </c>
      <c r="C323" s="2" t="s">
        <v>132</v>
      </c>
      <c r="D323" s="2" t="s">
        <v>473</v>
      </c>
      <c r="E323" s="2" t="s">
        <v>2231</v>
      </c>
      <c r="F323" s="2" t="s">
        <v>2232</v>
      </c>
      <c r="G323" s="2" t="str">
        <f>TRIM(SUBSTITUTE(SUBSTITUTE(SUBSTITUTE(SUBSTITUTE(tb1_supporters[[#This Row],[Phone_Raw]],"(",""),")","")," ",""),"+44",))</f>
        <v>07435544693</v>
      </c>
      <c r="H323" s="15">
        <v>24252</v>
      </c>
      <c r="I323" s="36">
        <f ca="1">IF(OR(tb1_supporters[[#This Row],[Date_of_Birth]]="",tb1_supporters[[#This Row],[Date_of_Birth]]&gt;TODAY()),"",DATEDIF(tb1_supporters[[#This Row],[Date_of_Birth]],TODAY(),"Y"))</f>
        <v>60</v>
      </c>
      <c r="J32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23" s="2" t="s">
        <v>2116</v>
      </c>
      <c r="L323" s="2" t="s">
        <v>252</v>
      </c>
      <c r="M323" s="2" t="s">
        <v>253</v>
      </c>
      <c r="N323" s="2" t="s">
        <v>254</v>
      </c>
      <c r="O323" s="2" t="s">
        <v>242</v>
      </c>
      <c r="P323" s="2" t="s">
        <v>181</v>
      </c>
      <c r="Q323" s="2" t="s">
        <v>66</v>
      </c>
      <c r="R323" s="15">
        <v>43282</v>
      </c>
      <c r="S323" s="2" t="s">
        <v>4</v>
      </c>
      <c r="T323" s="2" t="s">
        <v>36</v>
      </c>
      <c r="U323" s="2" t="s">
        <v>36</v>
      </c>
      <c r="V323" s="2" t="s">
        <v>37</v>
      </c>
      <c r="W323" s="4" t="s">
        <v>37</v>
      </c>
      <c r="X32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23" s="2" t="str">
        <f>IF(ISNUMBER(SEARCH("onal",tb1_supporters[[#This Row],[Phone_Clean]])),"Review - corrupt phone number", IF(LEN(tb1_supporters[[#This Row],[Phone_Clean]])&gt;11,"Review - too many digits",""))</f>
        <v/>
      </c>
      <c r="Z32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23" s="2" t="str">
        <f>IF(tb1_supporters[[#This Row],[Email]]="","",IF(COUNTIF(tb1_supporters[Email],tb1_supporters[[#This Row],[Email]])&gt;1,"Review - duplicate record, see Supporter_Duplicates tab",""))</f>
        <v/>
      </c>
      <c r="AB323" s="21" t="str">
        <f>IF(tb1_supporters[[#This Row],[Communication_Preference]]="Do Not Contact","DO NOT CONTACT","")</f>
        <v/>
      </c>
      <c r="AE323"/>
    </row>
    <row r="324" spans="1:31" x14ac:dyDescent="0.25">
      <c r="A324" s="3" t="s">
        <v>2235</v>
      </c>
      <c r="B324" s="2" t="s">
        <v>54</v>
      </c>
      <c r="C324" s="2" t="s">
        <v>1001</v>
      </c>
      <c r="D324" s="2" t="s">
        <v>870</v>
      </c>
      <c r="E324" s="2" t="s">
        <v>2236</v>
      </c>
      <c r="F324" s="2" t="s">
        <v>2237</v>
      </c>
      <c r="G324" s="2" t="str">
        <f>TRIM(SUBSTITUTE(SUBSTITUTE(SUBSTITUTE(SUBSTITUTE(tb1_supporters[[#This Row],[Phone_Raw]],"(",""),")","")," ",""),"+44",))</f>
        <v>7871112809</v>
      </c>
      <c r="H324" s="15">
        <v>18292</v>
      </c>
      <c r="I324" s="36">
        <f ca="1">IF(OR(tb1_supporters[[#This Row],[Date_of_Birth]]="",tb1_supporters[[#This Row],[Date_of_Birth]]&gt;TODAY()),"",DATEDIF(tb1_supporters[[#This Row],[Date_of_Birth]],TODAY(),"Y"))</f>
        <v>76</v>
      </c>
      <c r="J32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24" s="2" t="s">
        <v>1895</v>
      </c>
      <c r="L324" s="2" t="s">
        <v>163</v>
      </c>
      <c r="M324" s="2" t="s">
        <v>164</v>
      </c>
      <c r="N324" s="2" t="s">
        <v>165</v>
      </c>
      <c r="O324" s="2" t="s">
        <v>166</v>
      </c>
      <c r="P324" s="2" t="s">
        <v>33</v>
      </c>
      <c r="Q324" s="2" t="s">
        <v>154</v>
      </c>
      <c r="R324" s="15">
        <v>44569</v>
      </c>
      <c r="S324" s="2" t="s">
        <v>4</v>
      </c>
      <c r="T324" s="2" t="s">
        <v>36</v>
      </c>
      <c r="U324" s="2" t="s">
        <v>36</v>
      </c>
      <c r="V324" s="2" t="s">
        <v>37</v>
      </c>
      <c r="W324" s="4" t="s">
        <v>36</v>
      </c>
      <c r="X32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24" s="2" t="str">
        <f>IF(ISNUMBER(SEARCH("onal",tb1_supporters[[#This Row],[Phone_Clean]])),"Review - corrupt phone number", IF(LEN(tb1_supporters[[#This Row],[Phone_Clean]])&gt;11,"Review - too many digits",""))</f>
        <v/>
      </c>
      <c r="Z32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24" s="2" t="str">
        <f>IF(tb1_supporters[[#This Row],[Email]]="","",IF(COUNTIF(tb1_supporters[Email],tb1_supporters[[#This Row],[Email]])&gt;1,"Review - duplicate record, see Supporter_Duplicates tab",""))</f>
        <v/>
      </c>
      <c r="AB324" s="21" t="str">
        <f>IF(tb1_supporters[[#This Row],[Communication_Preference]]="Do Not Contact","DO NOT CONTACT","")</f>
        <v/>
      </c>
      <c r="AE324"/>
    </row>
    <row r="325" spans="1:31" x14ac:dyDescent="0.25">
      <c r="A325" s="3" t="s">
        <v>2240</v>
      </c>
      <c r="B325" s="2"/>
      <c r="C325" s="2" t="s">
        <v>968</v>
      </c>
      <c r="D325" s="2" t="s">
        <v>1154</v>
      </c>
      <c r="E325" s="2" t="s">
        <v>2241</v>
      </c>
      <c r="F325" s="2" t="s">
        <v>2242</v>
      </c>
      <c r="G325" s="2" t="str">
        <f>TRIM(SUBSTITUTE(SUBSTITUTE(SUBSTITUTE(SUBSTITUTE(tb1_supporters[[#This Row],[Phone_Raw]],"(",""),")","")," ",""),"+44",))</f>
        <v>015140307068</v>
      </c>
      <c r="H325" s="15">
        <v>20181</v>
      </c>
      <c r="I325" s="36">
        <f ca="1">IF(OR(tb1_supporters[[#This Row],[Date_of_Birth]]="",tb1_supporters[[#This Row],[Date_of_Birth]]&gt;TODAY()),"",DATEDIF(tb1_supporters[[#This Row],[Date_of_Birth]],TODAY(),"Y"))</f>
        <v>71</v>
      </c>
      <c r="J32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25" s="2" t="s">
        <v>2244</v>
      </c>
      <c r="L325" s="2" t="s">
        <v>1285</v>
      </c>
      <c r="M325" s="2" t="s">
        <v>1286</v>
      </c>
      <c r="N325" s="2" t="s">
        <v>1287</v>
      </c>
      <c r="O325" s="2" t="s">
        <v>242</v>
      </c>
      <c r="P325" s="2" t="s">
        <v>181</v>
      </c>
      <c r="Q325" s="2" t="s">
        <v>243</v>
      </c>
      <c r="R325" s="15">
        <v>45670</v>
      </c>
      <c r="S325" s="2" t="s">
        <v>4</v>
      </c>
      <c r="T325" s="2" t="s">
        <v>36</v>
      </c>
      <c r="U325" s="2" t="s">
        <v>36</v>
      </c>
      <c r="V325" s="2" t="s">
        <v>37</v>
      </c>
      <c r="W325" s="4" t="s">
        <v>37</v>
      </c>
      <c r="X32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25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2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25" s="2" t="str">
        <f>IF(tb1_supporters[[#This Row],[Email]]="","",IF(COUNTIF(tb1_supporters[Email],tb1_supporters[[#This Row],[Email]])&gt;1,"Review - duplicate record, see Supporter_Duplicates tab",""))</f>
        <v/>
      </c>
      <c r="AB325" s="21" t="str">
        <f>IF(tb1_supporters[[#This Row],[Communication_Preference]]="Do Not Contact","DO NOT CONTACT","")</f>
        <v/>
      </c>
      <c r="AE325"/>
    </row>
    <row r="326" spans="1:31" x14ac:dyDescent="0.25">
      <c r="A326" s="3" t="s">
        <v>2246</v>
      </c>
      <c r="B326" s="2" t="s">
        <v>69</v>
      </c>
      <c r="C326" s="2" t="s">
        <v>157</v>
      </c>
      <c r="D326" s="2" t="s">
        <v>41</v>
      </c>
      <c r="E326" s="2" t="s">
        <v>2247</v>
      </c>
      <c r="F326" s="2" t="s">
        <v>2248</v>
      </c>
      <c r="G326" s="2" t="str">
        <f>TRIM(SUBSTITUTE(SUBSTITUTE(SUBSTITUTE(SUBSTITUTE(tb1_supporters[[#This Row],[Phone_Raw]],"(",""),")","")," ",""),"+44",))</f>
        <v>7443853156</v>
      </c>
      <c r="H326" s="15">
        <v>28555</v>
      </c>
      <c r="I326" s="36">
        <f ca="1">IF(OR(tb1_supporters[[#This Row],[Date_of_Birth]]="",tb1_supporters[[#This Row],[Date_of_Birth]]&gt;TODAY()),"",DATEDIF(tb1_supporters[[#This Row],[Date_of_Birth]],TODAY(),"Y"))</f>
        <v>48</v>
      </c>
      <c r="J32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26" s="2" t="s">
        <v>2250</v>
      </c>
      <c r="L326" s="2" t="s">
        <v>454</v>
      </c>
      <c r="M326" s="2" t="s">
        <v>455</v>
      </c>
      <c r="N326" s="2" t="s">
        <v>456</v>
      </c>
      <c r="O326" s="2" t="s">
        <v>166</v>
      </c>
      <c r="P326" s="2" t="s">
        <v>49</v>
      </c>
      <c r="Q326" s="2" t="s">
        <v>192</v>
      </c>
      <c r="R326" s="15">
        <v>43555</v>
      </c>
      <c r="S326" s="2" t="s">
        <v>4</v>
      </c>
      <c r="T326" s="2" t="s">
        <v>36</v>
      </c>
      <c r="U326" s="2" t="s">
        <v>36</v>
      </c>
      <c r="V326" s="2" t="s">
        <v>37</v>
      </c>
      <c r="W326" s="4" t="s">
        <v>37</v>
      </c>
      <c r="X32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26" s="2" t="str">
        <f>IF(ISNUMBER(SEARCH("onal",tb1_supporters[[#This Row],[Phone_Clean]])),"Review - corrupt phone number", IF(LEN(tb1_supporters[[#This Row],[Phone_Clean]])&gt;11,"Review - too many digits",""))</f>
        <v/>
      </c>
      <c r="Z32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26" s="2" t="str">
        <f>IF(tb1_supporters[[#This Row],[Email]]="","",IF(COUNTIF(tb1_supporters[Email],tb1_supporters[[#This Row],[Email]])&gt;1,"Review - duplicate record, see Supporter_Duplicates tab",""))</f>
        <v/>
      </c>
      <c r="AB326" s="21" t="str">
        <f>IF(tb1_supporters[[#This Row],[Communication_Preference]]="Do Not Contact","DO NOT CONTACT","")</f>
        <v/>
      </c>
      <c r="AE326"/>
    </row>
    <row r="327" spans="1:31" x14ac:dyDescent="0.25">
      <c r="A327" s="3" t="s">
        <v>2252</v>
      </c>
      <c r="B327" s="2" t="s">
        <v>54</v>
      </c>
      <c r="C327" s="2" t="s">
        <v>754</v>
      </c>
      <c r="D327" s="2" t="s">
        <v>425</v>
      </c>
      <c r="E327" s="2" t="s">
        <v>2253</v>
      </c>
      <c r="F327" s="2" t="s">
        <v>2254</v>
      </c>
      <c r="G327" s="2" t="str">
        <f>TRIM(SUBSTITUTE(SUBSTITUTE(SUBSTITUTE(SUBSTITUTE(tb1_supporters[[#This Row],[Phone_Raw]],"(",""),")","")," ",""),"+44",))</f>
        <v>07344652216</v>
      </c>
      <c r="H327" s="15">
        <v>22994</v>
      </c>
      <c r="I327" s="36">
        <f ca="1">IF(OR(tb1_supporters[[#This Row],[Date_of_Birth]]="",tb1_supporters[[#This Row],[Date_of_Birth]]&gt;TODAY()),"",DATEDIF(tb1_supporters[[#This Row],[Date_of_Birth]],TODAY(),"Y"))</f>
        <v>63</v>
      </c>
      <c r="J32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27" s="2" t="s">
        <v>2161</v>
      </c>
      <c r="L327" s="2" t="s">
        <v>585</v>
      </c>
      <c r="M327" s="2" t="s">
        <v>586</v>
      </c>
      <c r="N327" s="2" t="s">
        <v>587</v>
      </c>
      <c r="O327" s="2" t="s">
        <v>166</v>
      </c>
      <c r="P327" s="2" t="s">
        <v>33</v>
      </c>
      <c r="Q327" s="2" t="s">
        <v>243</v>
      </c>
      <c r="R327" s="15">
        <v>44024</v>
      </c>
      <c r="S327" s="2" t="s">
        <v>4</v>
      </c>
      <c r="T327" s="2" t="s">
        <v>36</v>
      </c>
      <c r="U327" s="2" t="s">
        <v>36</v>
      </c>
      <c r="V327" s="2" t="s">
        <v>36</v>
      </c>
      <c r="W327" s="4" t="s">
        <v>37</v>
      </c>
      <c r="X32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27" s="2" t="str">
        <f>IF(ISNUMBER(SEARCH("onal",tb1_supporters[[#This Row],[Phone_Clean]])),"Review - corrupt phone number", IF(LEN(tb1_supporters[[#This Row],[Phone_Clean]])&gt;11,"Review - too many digits",""))</f>
        <v/>
      </c>
      <c r="Z32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27" s="2" t="str">
        <f>IF(tb1_supporters[[#This Row],[Email]]="","",IF(COUNTIF(tb1_supporters[Email],tb1_supporters[[#This Row],[Email]])&gt;1,"Review - duplicate record, see Supporter_Duplicates tab",""))</f>
        <v/>
      </c>
      <c r="AB327" s="21" t="str">
        <f>IF(tb1_supporters[[#This Row],[Communication_Preference]]="Do Not Contact","DO NOT CONTACT","")</f>
        <v/>
      </c>
      <c r="AE327"/>
    </row>
    <row r="328" spans="1:31" x14ac:dyDescent="0.25">
      <c r="A328" s="3" t="s">
        <v>2257</v>
      </c>
      <c r="B328" s="2" t="s">
        <v>4866</v>
      </c>
      <c r="C328" s="2" t="s">
        <v>566</v>
      </c>
      <c r="D328" s="2" t="s">
        <v>489</v>
      </c>
      <c r="E328" s="2" t="s">
        <v>2258</v>
      </c>
      <c r="F328" s="2" t="s">
        <v>2259</v>
      </c>
      <c r="G328" s="2" t="str">
        <f>TRIM(SUBSTITUTE(SUBSTITUTE(SUBSTITUTE(SUBSTITUTE(tb1_supporters[[#This Row],[Phone_Raw]],"(",""),")","")," ",""),"+44",))</f>
        <v>016897305788</v>
      </c>
      <c r="H328" s="15">
        <v>26447</v>
      </c>
      <c r="I328" s="36">
        <f ca="1">IF(OR(tb1_supporters[[#This Row],[Date_of_Birth]]="",tb1_supporters[[#This Row],[Date_of_Birth]]&gt;TODAY()),"",DATEDIF(tb1_supporters[[#This Row],[Date_of_Birth]],TODAY(),"Y"))</f>
        <v>54</v>
      </c>
      <c r="J32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28" s="2" t="s">
        <v>2261</v>
      </c>
      <c r="L328" s="2" t="s">
        <v>984</v>
      </c>
      <c r="M328" s="2" t="s">
        <v>62</v>
      </c>
      <c r="N328" s="2" t="s">
        <v>985</v>
      </c>
      <c r="O328" s="2" t="s">
        <v>166</v>
      </c>
      <c r="P328" s="2" t="s">
        <v>49</v>
      </c>
      <c r="Q328" s="2" t="s">
        <v>243</v>
      </c>
      <c r="R328" s="15">
        <v>43369</v>
      </c>
      <c r="S328" s="2" t="s">
        <v>52</v>
      </c>
      <c r="T328" s="2" t="s">
        <v>36</v>
      </c>
      <c r="U328" s="2" t="s">
        <v>36</v>
      </c>
      <c r="V328" s="2" t="s">
        <v>36</v>
      </c>
      <c r="W328" s="4" t="s">
        <v>36</v>
      </c>
      <c r="X32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2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2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28" s="2" t="str">
        <f>IF(tb1_supporters[[#This Row],[Email]]="","",IF(COUNTIF(tb1_supporters[Email],tb1_supporters[[#This Row],[Email]])&gt;1,"Review - duplicate record, see Supporter_Duplicates tab",""))</f>
        <v/>
      </c>
      <c r="AB328" s="21" t="str">
        <f>IF(tb1_supporters[[#This Row],[Communication_Preference]]="Do Not Contact","DO NOT CONTACT","")</f>
        <v/>
      </c>
      <c r="AE328"/>
    </row>
    <row r="329" spans="1:31" x14ac:dyDescent="0.25">
      <c r="A329" s="3" t="s">
        <v>2263</v>
      </c>
      <c r="B329" s="2" t="s">
        <v>170</v>
      </c>
      <c r="C329" s="2" t="s">
        <v>382</v>
      </c>
      <c r="D329" s="2" t="s">
        <v>489</v>
      </c>
      <c r="E329" s="2" t="s">
        <v>2264</v>
      </c>
      <c r="F329" s="2" t="s">
        <v>2265</v>
      </c>
      <c r="G329" s="2" t="str">
        <f>TRIM(SUBSTITUTE(SUBSTITUTE(SUBSTITUTE(SUBSTITUTE(tb1_supporters[[#This Row],[Phone_Raw]],"(",""),")","")," ",""),"+44",))</f>
        <v>07633742123</v>
      </c>
      <c r="H329" s="15">
        <v>33472</v>
      </c>
      <c r="I329" s="36">
        <f ca="1">IF(OR(tb1_supporters[[#This Row],[Date_of_Birth]]="",tb1_supporters[[#This Row],[Date_of_Birth]]&gt;TODAY()),"",DATEDIF(tb1_supporters[[#This Row],[Date_of_Birth]],TODAY(),"Y"))</f>
        <v>34</v>
      </c>
      <c r="J32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29" s="2" t="s">
        <v>2267</v>
      </c>
      <c r="L329" s="2" t="s">
        <v>100</v>
      </c>
      <c r="M329" s="2" t="s">
        <v>101</v>
      </c>
      <c r="N329" s="2" t="s">
        <v>343</v>
      </c>
      <c r="O329" s="2" t="s">
        <v>242</v>
      </c>
      <c r="P329" s="2" t="s">
        <v>117</v>
      </c>
      <c r="Q329" s="2" t="s">
        <v>66</v>
      </c>
      <c r="R329" s="15">
        <v>44521</v>
      </c>
      <c r="S329" s="2" t="s">
        <v>5</v>
      </c>
      <c r="T329" s="2" t="s">
        <v>36</v>
      </c>
      <c r="U329" s="2" t="s">
        <v>36</v>
      </c>
      <c r="V329" s="2" t="s">
        <v>37</v>
      </c>
      <c r="W329" s="4" t="s">
        <v>36</v>
      </c>
      <c r="X32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329" s="2" t="str">
        <f>IF(ISNUMBER(SEARCH("onal",tb1_supporters[[#This Row],[Phone_Clean]])),"Review - corrupt phone number", IF(LEN(tb1_supporters[[#This Row],[Phone_Clean]])&gt;11,"Review - too many digits",""))</f>
        <v/>
      </c>
      <c r="Z32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29" s="2" t="str">
        <f>IF(tb1_supporters[[#This Row],[Email]]="","",IF(COUNTIF(tb1_supporters[Email],tb1_supporters[[#This Row],[Email]])&gt;1,"Review - duplicate record, see Supporter_Duplicates tab",""))</f>
        <v/>
      </c>
      <c r="AB329" s="21" t="str">
        <f>IF(tb1_supporters[[#This Row],[Communication_Preference]]="Do Not Contact","DO NOT CONTACT","")</f>
        <v/>
      </c>
      <c r="AE329"/>
    </row>
    <row r="330" spans="1:31" x14ac:dyDescent="0.25">
      <c r="A330" s="3" t="s">
        <v>2268</v>
      </c>
      <c r="B330" s="2" t="s">
        <v>4866</v>
      </c>
      <c r="C330" s="2" t="s">
        <v>324</v>
      </c>
      <c r="D330" s="2" t="s">
        <v>536</v>
      </c>
      <c r="E330" s="2" t="s">
        <v>4869</v>
      </c>
      <c r="F330" s="2" t="s">
        <v>2269</v>
      </c>
      <c r="G330" s="2" t="str">
        <f>TRIM(SUBSTITUTE(SUBSTITUTE(SUBSTITUTE(SUBSTITUTE(tb1_supporters[[#This Row],[Phone_Raw]],"(",""),")","")," ",""),"+44",))</f>
        <v>0207819686</v>
      </c>
      <c r="H330" s="15"/>
      <c r="I330" s="36" t="str">
        <f ca="1">IF(OR(tb1_supporters[[#This Row],[Date_of_Birth]]="",tb1_supporters[[#This Row],[Date_of_Birth]]&gt;TODAY()),"",DATEDIF(tb1_supporters[[#This Row],[Date_of_Birth]],TODAY(),"Y"))</f>
        <v/>
      </c>
      <c r="J33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330" s="2" t="s">
        <v>2270</v>
      </c>
      <c r="L330" s="2" t="s">
        <v>150</v>
      </c>
      <c r="M330" s="2" t="s">
        <v>151</v>
      </c>
      <c r="N330" s="2" t="s">
        <v>152</v>
      </c>
      <c r="O330" s="2" t="s">
        <v>166</v>
      </c>
      <c r="P330" s="2" t="s">
        <v>153</v>
      </c>
      <c r="Q330" s="2" t="s">
        <v>66</v>
      </c>
      <c r="R330" s="15">
        <v>44346</v>
      </c>
      <c r="S330" s="2" t="s">
        <v>93</v>
      </c>
      <c r="T330" s="2" t="s">
        <v>37</v>
      </c>
      <c r="U330" s="2" t="s">
        <v>36</v>
      </c>
      <c r="V330" s="2" t="s">
        <v>36</v>
      </c>
      <c r="W330" s="4" t="s">
        <v>36</v>
      </c>
      <c r="X33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30" s="2" t="str">
        <f>IF(ISNUMBER(SEARCH("onal",tb1_supporters[[#This Row],[Phone_Clean]])),"Review - corrupt phone number", IF(LEN(tb1_supporters[[#This Row],[Phone_Clean]])&gt;11,"Review - too many digits",""))</f>
        <v/>
      </c>
      <c r="Z33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330" s="2" t="str">
        <f>IF(tb1_supporters[[#This Row],[Email]]="","",IF(COUNTIF(tb1_supporters[Email],tb1_supporters[[#This Row],[Email]])&gt;1,"Review - duplicate record, see Supporter_Duplicates tab",""))</f>
        <v/>
      </c>
      <c r="AB330" s="21" t="str">
        <f>IF(tb1_supporters[[#This Row],[Communication_Preference]]="Do Not Contact","DO NOT CONTACT","")</f>
        <v/>
      </c>
      <c r="AE330"/>
    </row>
    <row r="331" spans="1:31" x14ac:dyDescent="0.25">
      <c r="A331" s="3" t="s">
        <v>2272</v>
      </c>
      <c r="B331" s="2" t="s">
        <v>54</v>
      </c>
      <c r="C331" s="2" t="s">
        <v>290</v>
      </c>
      <c r="D331" s="2" t="s">
        <v>614</v>
      </c>
      <c r="E331" s="2" t="s">
        <v>2273</v>
      </c>
      <c r="F331" s="2" t="s">
        <v>2274</v>
      </c>
      <c r="G331" s="2" t="str">
        <f>TRIM(SUBSTITUTE(SUBSTITUTE(SUBSTITUTE(SUBSTITUTE(tb1_supporters[[#This Row],[Phone_Raw]],"(",""),")","")," ",""),"+44",))</f>
        <v>7264828648</v>
      </c>
      <c r="H331" s="15">
        <v>13149</v>
      </c>
      <c r="I331" s="36">
        <f ca="1">IF(OR(tb1_supporters[[#This Row],[Date_of_Birth]]="",tb1_supporters[[#This Row],[Date_of_Birth]]&gt;TODAY()),"",DATEDIF(tb1_supporters[[#This Row],[Date_of_Birth]],TODAY(),"Y"))</f>
        <v>90</v>
      </c>
      <c r="J33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31" s="2" t="s">
        <v>2276</v>
      </c>
      <c r="L331" s="2" t="s">
        <v>429</v>
      </c>
      <c r="M331" s="2" t="s">
        <v>430</v>
      </c>
      <c r="N331" s="2" t="s">
        <v>431</v>
      </c>
      <c r="O331" s="2" t="s">
        <v>166</v>
      </c>
      <c r="P331" s="2" t="s">
        <v>117</v>
      </c>
      <c r="Q331" s="2" t="s">
        <v>243</v>
      </c>
      <c r="R331" s="15">
        <v>43729</v>
      </c>
      <c r="S331" s="2" t="s">
        <v>5</v>
      </c>
      <c r="T331" s="2" t="s">
        <v>36</v>
      </c>
      <c r="U331" s="2" t="s">
        <v>36</v>
      </c>
      <c r="V331" s="2" t="s">
        <v>36</v>
      </c>
      <c r="W331" s="4" t="s">
        <v>36</v>
      </c>
      <c r="X33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31" s="2" t="str">
        <f>IF(ISNUMBER(SEARCH("onal",tb1_supporters[[#This Row],[Phone_Clean]])),"Review - corrupt phone number", IF(LEN(tb1_supporters[[#This Row],[Phone_Clean]])&gt;11,"Review - too many digits",""))</f>
        <v/>
      </c>
      <c r="Z33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31" s="2" t="str">
        <f>IF(tb1_supporters[[#This Row],[Email]]="","",IF(COUNTIF(tb1_supporters[Email],tb1_supporters[[#This Row],[Email]])&gt;1,"Review - duplicate record, see Supporter_Duplicates tab",""))</f>
        <v/>
      </c>
      <c r="AB331" s="21" t="str">
        <f>IF(tb1_supporters[[#This Row],[Communication_Preference]]="Do Not Contact","DO NOT CONTACT","")</f>
        <v/>
      </c>
      <c r="AE331"/>
    </row>
    <row r="332" spans="1:31" x14ac:dyDescent="0.25">
      <c r="A332" s="3" t="s">
        <v>2278</v>
      </c>
      <c r="B332" s="2" t="s">
        <v>402</v>
      </c>
      <c r="C332" s="2" t="s">
        <v>392</v>
      </c>
      <c r="D332" s="2" t="s">
        <v>902</v>
      </c>
      <c r="E332" s="2" t="s">
        <v>2279</v>
      </c>
      <c r="F332" s="2" t="s">
        <v>2280</v>
      </c>
      <c r="G332" s="2" t="str">
        <f>TRIM(SUBSTITUTE(SUBSTITUTE(SUBSTITUTE(SUBSTITUTE(tb1_supporters[[#This Row],[Phone_Raw]],"(",""),")","")," ",""),"+44",))</f>
        <v>07481559652</v>
      </c>
      <c r="H332" s="15">
        <v>26573</v>
      </c>
      <c r="I332" s="36">
        <f ca="1">IF(OR(tb1_supporters[[#This Row],[Date_of_Birth]]="",tb1_supporters[[#This Row],[Date_of_Birth]]&gt;TODAY()),"",DATEDIF(tb1_supporters[[#This Row],[Date_of_Birth]],TODAY(),"Y"))</f>
        <v>53</v>
      </c>
      <c r="J33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32" s="2" t="s">
        <v>2282</v>
      </c>
      <c r="L332" s="2" t="s">
        <v>585</v>
      </c>
      <c r="M332" s="2" t="s">
        <v>586</v>
      </c>
      <c r="N332" s="2" t="s">
        <v>587</v>
      </c>
      <c r="O332" s="2" t="s">
        <v>242</v>
      </c>
      <c r="P332" s="2" t="s">
        <v>65</v>
      </c>
      <c r="Q332" s="2" t="s">
        <v>192</v>
      </c>
      <c r="R332" s="15">
        <v>44758</v>
      </c>
      <c r="S332" s="2" t="s">
        <v>93</v>
      </c>
      <c r="T332" s="2" t="s">
        <v>36</v>
      </c>
      <c r="U332" s="2" t="s">
        <v>36</v>
      </c>
      <c r="V332" s="2" t="s">
        <v>37</v>
      </c>
      <c r="W332" s="4" t="s">
        <v>37</v>
      </c>
      <c r="X33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32" s="2" t="str">
        <f>IF(ISNUMBER(SEARCH("onal",tb1_supporters[[#This Row],[Phone_Clean]])),"Review - corrupt phone number", IF(LEN(tb1_supporters[[#This Row],[Phone_Clean]])&gt;11,"Review - too many digits",""))</f>
        <v/>
      </c>
      <c r="Z33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32" s="2" t="str">
        <f>IF(tb1_supporters[[#This Row],[Email]]="","",IF(COUNTIF(tb1_supporters[Email],tb1_supporters[[#This Row],[Email]])&gt;1,"Review - duplicate record, see Supporter_Duplicates tab",""))</f>
        <v/>
      </c>
      <c r="AB332" s="21" t="str">
        <f>IF(tb1_supporters[[#This Row],[Communication_Preference]]="Do Not Contact","DO NOT CONTACT","")</f>
        <v/>
      </c>
      <c r="AE332"/>
    </row>
    <row r="333" spans="1:31" x14ac:dyDescent="0.25">
      <c r="A333" s="3" t="s">
        <v>2284</v>
      </c>
      <c r="B333" s="2" t="s">
        <v>54</v>
      </c>
      <c r="C333" s="2" t="s">
        <v>1118</v>
      </c>
      <c r="D333" s="2" t="s">
        <v>96</v>
      </c>
      <c r="E333" s="2" t="s">
        <v>2285</v>
      </c>
      <c r="F333" s="2" t="s">
        <v>2286</v>
      </c>
      <c r="G333" s="2" t="str">
        <f>TRIM(SUBSTITUTE(SUBSTITUTE(SUBSTITUTE(SUBSTITUTE(tb1_supporters[[#This Row],[Phone_Raw]],"(",""),")","")," ",""),"+44",))</f>
        <v>7846552446</v>
      </c>
      <c r="H333" s="15"/>
      <c r="I333" s="36" t="str">
        <f ca="1">IF(OR(tb1_supporters[[#This Row],[Date_of_Birth]]="",tb1_supporters[[#This Row],[Date_of_Birth]]&gt;TODAY()),"",DATEDIF(tb1_supporters[[#This Row],[Date_of_Birth]],TODAY(),"Y"))</f>
        <v/>
      </c>
      <c r="J33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333" s="2" t="s">
        <v>2287</v>
      </c>
      <c r="L333" s="2" t="s">
        <v>625</v>
      </c>
      <c r="M333" s="2" t="s">
        <v>626</v>
      </c>
      <c r="N333" s="2" t="s">
        <v>627</v>
      </c>
      <c r="O333" s="2" t="s">
        <v>166</v>
      </c>
      <c r="P333" s="2" t="s">
        <v>153</v>
      </c>
      <c r="Q333" s="2" t="s">
        <v>192</v>
      </c>
      <c r="R333" s="15">
        <v>43672</v>
      </c>
      <c r="S333" s="2" t="s">
        <v>52</v>
      </c>
      <c r="T333" s="2" t="s">
        <v>37</v>
      </c>
      <c r="U333" s="2" t="s">
        <v>36</v>
      </c>
      <c r="V333" s="2" t="s">
        <v>36</v>
      </c>
      <c r="W333" s="4" t="s">
        <v>36</v>
      </c>
      <c r="X33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33" s="2" t="str">
        <f>IF(ISNUMBER(SEARCH("onal",tb1_supporters[[#This Row],[Phone_Clean]])),"Review - corrupt phone number", IF(LEN(tb1_supporters[[#This Row],[Phone_Clean]])&gt;11,"Review - too many digits",""))</f>
        <v/>
      </c>
      <c r="Z33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333" s="2" t="str">
        <f>IF(tb1_supporters[[#This Row],[Email]]="","",IF(COUNTIF(tb1_supporters[Email],tb1_supporters[[#This Row],[Email]])&gt;1,"Review - duplicate record, see Supporter_Duplicates tab",""))</f>
        <v/>
      </c>
      <c r="AB333" s="21" t="str">
        <f>IF(tb1_supporters[[#This Row],[Communication_Preference]]="Do Not Contact","DO NOT CONTACT","")</f>
        <v/>
      </c>
      <c r="AE333"/>
    </row>
    <row r="334" spans="1:31" x14ac:dyDescent="0.25">
      <c r="A334" s="3" t="s">
        <v>2289</v>
      </c>
      <c r="B334" s="2"/>
      <c r="C334" s="2" t="s">
        <v>403</v>
      </c>
      <c r="D334" s="2" t="s">
        <v>2290</v>
      </c>
      <c r="E334" s="2" t="s">
        <v>2291</v>
      </c>
      <c r="F334" s="2" t="s">
        <v>2292</v>
      </c>
      <c r="G334" s="2" t="str">
        <f>TRIM(SUBSTITUTE(SUBSTITUTE(SUBSTITUTE(SUBSTITUTE(tb1_supporters[[#This Row],[Phone_Raw]],"(",""),")","")," ",""),"+44",))</f>
        <v>07300123185</v>
      </c>
      <c r="H334" s="15">
        <v>26511</v>
      </c>
      <c r="I334" s="36">
        <f ca="1">IF(OR(tb1_supporters[[#This Row],[Date_of_Birth]]="",tb1_supporters[[#This Row],[Date_of_Birth]]&gt;TODAY()),"",DATEDIF(tb1_supporters[[#This Row],[Date_of_Birth]],TODAY(),"Y"))</f>
        <v>53</v>
      </c>
      <c r="J33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34" s="2" t="s">
        <v>75</v>
      </c>
      <c r="L334" s="2" t="s">
        <v>945</v>
      </c>
      <c r="M334" s="2" t="s">
        <v>946</v>
      </c>
      <c r="N334" s="2" t="s">
        <v>947</v>
      </c>
      <c r="O334" s="2" t="s">
        <v>242</v>
      </c>
      <c r="P334" s="2" t="s">
        <v>65</v>
      </c>
      <c r="Q334" s="2" t="s">
        <v>50</v>
      </c>
      <c r="R334" s="15">
        <v>44716</v>
      </c>
      <c r="S334" s="2" t="s">
        <v>4</v>
      </c>
      <c r="T334" s="2" t="s">
        <v>36</v>
      </c>
      <c r="U334" s="2" t="s">
        <v>36</v>
      </c>
      <c r="V334" s="2" t="s">
        <v>36</v>
      </c>
      <c r="W334" s="4" t="s">
        <v>37</v>
      </c>
      <c r="X33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34" s="2" t="str">
        <f>IF(ISNUMBER(SEARCH("onal",tb1_supporters[[#This Row],[Phone_Clean]])),"Review - corrupt phone number", IF(LEN(tb1_supporters[[#This Row],[Phone_Clean]])&gt;11,"Review - too many digits",""))</f>
        <v/>
      </c>
      <c r="Z33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34" s="2" t="str">
        <f>IF(tb1_supporters[[#This Row],[Email]]="","",IF(COUNTIF(tb1_supporters[Email],tb1_supporters[[#This Row],[Email]])&gt;1,"Review - duplicate record, see Supporter_Duplicates tab",""))</f>
        <v/>
      </c>
      <c r="AB334" s="21" t="str">
        <f>IF(tb1_supporters[[#This Row],[Communication_Preference]]="Do Not Contact","DO NOT CONTACT","")</f>
        <v/>
      </c>
      <c r="AE334"/>
    </row>
    <row r="335" spans="1:31" x14ac:dyDescent="0.25">
      <c r="A335" s="3" t="s">
        <v>2295</v>
      </c>
      <c r="B335" s="2" t="s">
        <v>4866</v>
      </c>
      <c r="C335" s="2" t="s">
        <v>224</v>
      </c>
      <c r="D335" s="2" t="s">
        <v>83</v>
      </c>
      <c r="E335" s="2" t="s">
        <v>2298</v>
      </c>
      <c r="F335" s="2" t="s">
        <v>2299</v>
      </c>
      <c r="G335" s="2" t="str">
        <f>TRIM(SUBSTITUTE(SUBSTITUTE(SUBSTITUTE(SUBSTITUTE(tb1_supporters[[#This Row],[Phone_Raw]],"(",""),")","")," ",""),"+44",))</f>
        <v>01711125663</v>
      </c>
      <c r="H335" s="15">
        <v>21000</v>
      </c>
      <c r="I335" s="36">
        <f ca="1">IF(OR(tb1_supporters[[#This Row],[Date_of_Birth]]="",tb1_supporters[[#This Row],[Date_of_Birth]]&gt;TODAY()),"",DATEDIF(tb1_supporters[[#This Row],[Date_of_Birth]],TODAY(),"Y"))</f>
        <v>68</v>
      </c>
      <c r="J33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35" s="2" t="s">
        <v>2301</v>
      </c>
      <c r="L335" s="2" t="s">
        <v>429</v>
      </c>
      <c r="M335" s="2" t="s">
        <v>430</v>
      </c>
      <c r="N335" s="2" t="s">
        <v>431</v>
      </c>
      <c r="O335" s="2" t="s">
        <v>242</v>
      </c>
      <c r="P335" s="2" t="s">
        <v>91</v>
      </c>
      <c r="Q335" s="2" t="s">
        <v>66</v>
      </c>
      <c r="R335" s="15">
        <v>45398</v>
      </c>
      <c r="S335" s="2" t="s">
        <v>4</v>
      </c>
      <c r="T335" s="2" t="s">
        <v>36</v>
      </c>
      <c r="U335" s="2" t="s">
        <v>36</v>
      </c>
      <c r="V335" s="2" t="s">
        <v>37</v>
      </c>
      <c r="W335" s="4" t="s">
        <v>37</v>
      </c>
      <c r="X33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35" s="2" t="str">
        <f>IF(ISNUMBER(SEARCH("onal",tb1_supporters[[#This Row],[Phone_Clean]])),"Review - corrupt phone number", IF(LEN(tb1_supporters[[#This Row],[Phone_Clean]])&gt;11,"Review - too many digits",""))</f>
        <v/>
      </c>
      <c r="Z33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35" s="2" t="str">
        <f>IF(tb1_supporters[[#This Row],[Email]]="","",IF(COUNTIF(tb1_supporters[Email],tb1_supporters[[#This Row],[Email]])&gt;1,"Review - duplicate record, see Supporter_Duplicates tab",""))</f>
        <v/>
      </c>
      <c r="AB335" s="21" t="str">
        <f>IF(tb1_supporters[[#This Row],[Communication_Preference]]="Do Not Contact","DO NOT CONTACT","")</f>
        <v/>
      </c>
      <c r="AE335"/>
    </row>
    <row r="336" spans="1:31" x14ac:dyDescent="0.25">
      <c r="A336" s="3" t="s">
        <v>2303</v>
      </c>
      <c r="B336" s="2" t="s">
        <v>4866</v>
      </c>
      <c r="C336" s="2" t="s">
        <v>392</v>
      </c>
      <c r="D336" s="2" t="s">
        <v>810</v>
      </c>
      <c r="E336" s="2" t="s">
        <v>2305</v>
      </c>
      <c r="F336" s="2" t="s">
        <v>2306</v>
      </c>
      <c r="G336" s="2" t="str">
        <f>TRIM(SUBSTITUTE(SUBSTITUTE(SUBSTITUTE(SUBSTITUTE(tb1_supporters[[#This Row],[Phone_Raw]],"(",""),")","")," ",""),"+44",))</f>
        <v>07410586988</v>
      </c>
      <c r="H336" s="15"/>
      <c r="I336" s="36" t="str">
        <f ca="1">IF(OR(tb1_supporters[[#This Row],[Date_of_Birth]]="",tb1_supporters[[#This Row],[Date_of_Birth]]&gt;TODAY()),"",DATEDIF(tb1_supporters[[#This Row],[Date_of_Birth]],TODAY(),"Y"))</f>
        <v/>
      </c>
      <c r="J33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336" s="2" t="s">
        <v>2307</v>
      </c>
      <c r="L336" s="2" t="s">
        <v>531</v>
      </c>
      <c r="M336" s="2" t="s">
        <v>532</v>
      </c>
      <c r="N336" s="2" t="s">
        <v>533</v>
      </c>
      <c r="O336" s="2" t="s">
        <v>242</v>
      </c>
      <c r="P336" s="2" t="s">
        <v>65</v>
      </c>
      <c r="Q336" s="2" t="s">
        <v>50</v>
      </c>
      <c r="R336" s="15">
        <v>44640</v>
      </c>
      <c r="S336" s="2" t="s">
        <v>52</v>
      </c>
      <c r="T336" s="2" t="s">
        <v>36</v>
      </c>
      <c r="U336" s="2" t="s">
        <v>36</v>
      </c>
      <c r="V336" s="2" t="s">
        <v>37</v>
      </c>
      <c r="W336" s="4" t="s">
        <v>37</v>
      </c>
      <c r="X33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36" s="2" t="str">
        <f>IF(ISNUMBER(SEARCH("onal",tb1_supporters[[#This Row],[Phone_Clean]])),"Review - corrupt phone number", IF(LEN(tb1_supporters[[#This Row],[Phone_Clean]])&gt;11,"Review - too many digits",""))</f>
        <v/>
      </c>
      <c r="Z33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336" s="2" t="str">
        <f>IF(tb1_supporters[[#This Row],[Email]]="","",IF(COUNTIF(tb1_supporters[Email],tb1_supporters[[#This Row],[Email]])&gt;1,"Review - duplicate record, see Supporter_Duplicates tab",""))</f>
        <v/>
      </c>
      <c r="AB336" s="21" t="str">
        <f>IF(tb1_supporters[[#This Row],[Communication_Preference]]="Do Not Contact","DO NOT CONTACT","")</f>
        <v/>
      </c>
      <c r="AE336"/>
    </row>
    <row r="337" spans="1:31" x14ac:dyDescent="0.25">
      <c r="A337" s="3" t="s">
        <v>2309</v>
      </c>
      <c r="B337" s="2" t="s">
        <v>54</v>
      </c>
      <c r="C337" s="2" t="s">
        <v>1220</v>
      </c>
      <c r="D337" s="2" t="s">
        <v>674</v>
      </c>
      <c r="E337" s="2" t="s">
        <v>2310</v>
      </c>
      <c r="F337" s="2" t="s">
        <v>2311</v>
      </c>
      <c r="G337" s="2" t="str">
        <f>TRIM(SUBSTITUTE(SUBSTITUTE(SUBSTITUTE(SUBSTITUTE(tb1_supporters[[#This Row],[Phone_Raw]],"(",""),")","")," ",""),"+44",))</f>
        <v>7602143942</v>
      </c>
      <c r="H337" s="15">
        <v>22504</v>
      </c>
      <c r="I337" s="36">
        <f ca="1">IF(OR(tb1_supporters[[#This Row],[Date_of_Birth]]="",tb1_supporters[[#This Row],[Date_of_Birth]]&gt;TODAY()),"",DATEDIF(tb1_supporters[[#This Row],[Date_of_Birth]],TODAY(),"Y"))</f>
        <v>64</v>
      </c>
      <c r="J33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37" s="2" t="s">
        <v>2313</v>
      </c>
      <c r="L337" s="2" t="s">
        <v>138</v>
      </c>
      <c r="M337" s="2" t="s">
        <v>139</v>
      </c>
      <c r="N337" s="2" t="s">
        <v>140</v>
      </c>
      <c r="O337" s="2" t="s">
        <v>166</v>
      </c>
      <c r="P337" s="2" t="s">
        <v>91</v>
      </c>
      <c r="Q337" s="2" t="s">
        <v>66</v>
      </c>
      <c r="R337" s="15">
        <v>45391</v>
      </c>
      <c r="S337" s="2" t="s">
        <v>93</v>
      </c>
      <c r="T337" s="2" t="s">
        <v>36</v>
      </c>
      <c r="U337" s="2" t="s">
        <v>36</v>
      </c>
      <c r="V337" s="2" t="s">
        <v>36</v>
      </c>
      <c r="W337" s="4" t="s">
        <v>36</v>
      </c>
      <c r="X33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37" s="2" t="str">
        <f>IF(ISNUMBER(SEARCH("onal",tb1_supporters[[#This Row],[Phone_Clean]])),"Review - corrupt phone number", IF(LEN(tb1_supporters[[#This Row],[Phone_Clean]])&gt;11,"Review - too many digits",""))</f>
        <v/>
      </c>
      <c r="Z33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37" s="2" t="str">
        <f>IF(tb1_supporters[[#This Row],[Email]]="","",IF(COUNTIF(tb1_supporters[Email],tb1_supporters[[#This Row],[Email]])&gt;1,"Review - duplicate record, see Supporter_Duplicates tab",""))</f>
        <v/>
      </c>
      <c r="AB337" s="21" t="str">
        <f>IF(tb1_supporters[[#This Row],[Communication_Preference]]="Do Not Contact","DO NOT CONTACT","")</f>
        <v/>
      </c>
      <c r="AE337"/>
    </row>
    <row r="338" spans="1:31" x14ac:dyDescent="0.25">
      <c r="A338" s="3" t="s">
        <v>2315</v>
      </c>
      <c r="B338" s="2" t="s">
        <v>54</v>
      </c>
      <c r="C338" s="2" t="s">
        <v>144</v>
      </c>
      <c r="D338" s="2" t="s">
        <v>56</v>
      </c>
      <c r="E338" s="2" t="s">
        <v>2316</v>
      </c>
      <c r="F338" s="2" t="s">
        <v>2317</v>
      </c>
      <c r="G338" s="2" t="str">
        <f>TRIM(SUBSTITUTE(SUBSTITUTE(SUBSTITUTE(SUBSTITUTE(tb1_supporters[[#This Row],[Phone_Raw]],"(",""),")","")," ",""),"+44",))</f>
        <v>07222883383</v>
      </c>
      <c r="H338" s="15">
        <v>21505</v>
      </c>
      <c r="I338" s="36">
        <f ca="1">IF(OR(tb1_supporters[[#This Row],[Date_of_Birth]]="",tb1_supporters[[#This Row],[Date_of_Birth]]&gt;TODAY()),"",DATEDIF(tb1_supporters[[#This Row],[Date_of_Birth]],TODAY(),"Y"))</f>
        <v>67</v>
      </c>
      <c r="J33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38" s="2" t="s">
        <v>2319</v>
      </c>
      <c r="L338" s="2" t="s">
        <v>625</v>
      </c>
      <c r="M338" s="2" t="s">
        <v>626</v>
      </c>
      <c r="N338" s="2" t="s">
        <v>627</v>
      </c>
      <c r="O338" s="2" t="s">
        <v>166</v>
      </c>
      <c r="P338" s="2" t="s">
        <v>49</v>
      </c>
      <c r="Q338" s="2" t="s">
        <v>50</v>
      </c>
      <c r="R338" s="15">
        <v>45069</v>
      </c>
      <c r="S338" s="2" t="s">
        <v>4</v>
      </c>
      <c r="T338" s="2" t="s">
        <v>37</v>
      </c>
      <c r="U338" s="2" t="s">
        <v>36</v>
      </c>
      <c r="V338" s="2" t="s">
        <v>36</v>
      </c>
      <c r="W338" s="4" t="s">
        <v>37</v>
      </c>
      <c r="X33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338" s="2" t="str">
        <f>IF(ISNUMBER(SEARCH("onal",tb1_supporters[[#This Row],[Phone_Clean]])),"Review - corrupt phone number", IF(LEN(tb1_supporters[[#This Row],[Phone_Clean]])&gt;11,"Review - too many digits",""))</f>
        <v/>
      </c>
      <c r="Z33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38" s="2" t="str">
        <f>IF(tb1_supporters[[#This Row],[Email]]="","",IF(COUNTIF(tb1_supporters[Email],tb1_supporters[[#This Row],[Email]])&gt;1,"Review - duplicate record, see Supporter_Duplicates tab",""))</f>
        <v/>
      </c>
      <c r="AB338" s="21" t="str">
        <f>IF(tb1_supporters[[#This Row],[Communication_Preference]]="Do Not Contact","DO NOT CONTACT","")</f>
        <v/>
      </c>
      <c r="AE338"/>
    </row>
    <row r="339" spans="1:31" x14ac:dyDescent="0.25">
      <c r="A339" s="3" t="s">
        <v>2321</v>
      </c>
      <c r="B339" s="2" t="s">
        <v>4866</v>
      </c>
      <c r="C339" s="2" t="s">
        <v>710</v>
      </c>
      <c r="D339" s="2" t="s">
        <v>96</v>
      </c>
      <c r="E339" s="2" t="s">
        <v>2322</v>
      </c>
      <c r="F339" s="2" t="s">
        <v>2323</v>
      </c>
      <c r="G339" s="2" t="str">
        <f>TRIM(SUBSTITUTE(SUBSTITUTE(SUBSTITUTE(SUBSTITUTE(tb1_supporters[[#This Row],[Phone_Raw]],"(",""),")","")," ",""),"+44",))</f>
        <v>07572999809</v>
      </c>
      <c r="H339" s="15">
        <v>20100</v>
      </c>
      <c r="I339" s="36">
        <f ca="1">IF(OR(tb1_supporters[[#This Row],[Date_of_Birth]]="",tb1_supporters[[#This Row],[Date_of_Birth]]&gt;TODAY()),"",DATEDIF(tb1_supporters[[#This Row],[Date_of_Birth]],TODAY(),"Y"))</f>
        <v>71</v>
      </c>
      <c r="J33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39" s="2" t="s">
        <v>2325</v>
      </c>
      <c r="L339" s="2" t="s">
        <v>397</v>
      </c>
      <c r="M339" s="2" t="s">
        <v>220</v>
      </c>
      <c r="N339" s="2" t="s">
        <v>398</v>
      </c>
      <c r="O339" s="2" t="s">
        <v>242</v>
      </c>
      <c r="P339" s="2" t="s">
        <v>117</v>
      </c>
      <c r="Q339" s="2" t="s">
        <v>192</v>
      </c>
      <c r="R339" s="15">
        <v>44217</v>
      </c>
      <c r="S339" s="2" t="s">
        <v>4</v>
      </c>
      <c r="T339" s="2" t="s">
        <v>36</v>
      </c>
      <c r="U339" s="2" t="s">
        <v>36</v>
      </c>
      <c r="V339" s="2" t="s">
        <v>37</v>
      </c>
      <c r="W339" s="4" t="s">
        <v>37</v>
      </c>
      <c r="X33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39" s="2" t="str">
        <f>IF(ISNUMBER(SEARCH("onal",tb1_supporters[[#This Row],[Phone_Clean]])),"Review - corrupt phone number", IF(LEN(tb1_supporters[[#This Row],[Phone_Clean]])&gt;11,"Review - too many digits",""))</f>
        <v/>
      </c>
      <c r="Z33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39" s="2" t="str">
        <f>IF(tb1_supporters[[#This Row],[Email]]="","",IF(COUNTIF(tb1_supporters[Email],tb1_supporters[[#This Row],[Email]])&gt;1,"Review - duplicate record, see Supporter_Duplicates tab",""))</f>
        <v/>
      </c>
      <c r="AB339" s="21" t="str">
        <f>IF(tb1_supporters[[#This Row],[Communication_Preference]]="Do Not Contact","DO NOT CONTACT","")</f>
        <v/>
      </c>
      <c r="AE339"/>
    </row>
    <row r="340" spans="1:31" x14ac:dyDescent="0.25">
      <c r="A340" s="3" t="s">
        <v>2327</v>
      </c>
      <c r="B340" s="2"/>
      <c r="C340" s="2" t="s">
        <v>1290</v>
      </c>
      <c r="D340" s="2" t="s">
        <v>309</v>
      </c>
      <c r="E340" s="2" t="s">
        <v>2328</v>
      </c>
      <c r="F340" s="2" t="s">
        <v>2329</v>
      </c>
      <c r="G340" s="2" t="str">
        <f>TRIM(SUBSTITUTE(SUBSTITUTE(SUBSTITUTE(SUBSTITUTE(tb1_supporters[[#This Row],[Phone_Raw]],"(",""),")","")," ",""),"+44",))</f>
        <v>7870271656</v>
      </c>
      <c r="H340" s="15">
        <v>14735</v>
      </c>
      <c r="I340" s="36">
        <f ca="1">IF(OR(tb1_supporters[[#This Row],[Date_of_Birth]]="",tb1_supporters[[#This Row],[Date_of_Birth]]&gt;TODAY()),"",DATEDIF(tb1_supporters[[#This Row],[Date_of_Birth]],TODAY(),"Y"))</f>
        <v>86</v>
      </c>
      <c r="J34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40" s="2" t="s">
        <v>1848</v>
      </c>
      <c r="L340" s="2" t="s">
        <v>138</v>
      </c>
      <c r="M340" s="2" t="s">
        <v>139</v>
      </c>
      <c r="N340" s="2" t="s">
        <v>140</v>
      </c>
      <c r="O340" s="2" t="s">
        <v>166</v>
      </c>
      <c r="P340" s="2" t="s">
        <v>49</v>
      </c>
      <c r="Q340" s="2" t="s">
        <v>243</v>
      </c>
      <c r="R340" s="15">
        <v>44334</v>
      </c>
      <c r="S340" s="2" t="s">
        <v>4</v>
      </c>
      <c r="T340" s="2" t="s">
        <v>36</v>
      </c>
      <c r="U340" s="2" t="s">
        <v>36</v>
      </c>
      <c r="V340" s="2" t="s">
        <v>36</v>
      </c>
      <c r="W340" s="4" t="s">
        <v>37</v>
      </c>
      <c r="X34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40" s="2" t="str">
        <f>IF(ISNUMBER(SEARCH("onal",tb1_supporters[[#This Row],[Phone_Clean]])),"Review - corrupt phone number", IF(LEN(tb1_supporters[[#This Row],[Phone_Clean]])&gt;11,"Review - too many digits",""))</f>
        <v/>
      </c>
      <c r="Z34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40" s="2" t="str">
        <f>IF(tb1_supporters[[#This Row],[Email]]="","",IF(COUNTIF(tb1_supporters[Email],tb1_supporters[[#This Row],[Email]])&gt;1,"Review - duplicate record, see Supporter_Duplicates tab",""))</f>
        <v/>
      </c>
      <c r="AB340" s="21" t="str">
        <f>IF(tb1_supporters[[#This Row],[Communication_Preference]]="Do Not Contact","DO NOT CONTACT","")</f>
        <v/>
      </c>
      <c r="AE340"/>
    </row>
    <row r="341" spans="1:31" x14ac:dyDescent="0.25">
      <c r="A341" s="3" t="s">
        <v>2332</v>
      </c>
      <c r="B341" s="2" t="s">
        <v>54</v>
      </c>
      <c r="C341" s="2" t="s">
        <v>337</v>
      </c>
      <c r="D341" s="2" t="s">
        <v>414</v>
      </c>
      <c r="E341" s="2" t="s">
        <v>2333</v>
      </c>
      <c r="F341" s="2" t="s">
        <v>2334</v>
      </c>
      <c r="G341" s="2" t="str">
        <f>TRIM(SUBSTITUTE(SUBSTITUTE(SUBSTITUTE(SUBSTITUTE(tb1_supporters[[#This Row],[Phone_Raw]],"(",""),")","")," ",""),"+44",))</f>
        <v>07204323258</v>
      </c>
      <c r="H341" s="15">
        <v>32374</v>
      </c>
      <c r="I341" s="36">
        <f ca="1">IF(OR(tb1_supporters[[#This Row],[Date_of_Birth]]="",tb1_supporters[[#This Row],[Date_of_Birth]]&gt;TODAY()),"",DATEDIF(tb1_supporters[[#This Row],[Date_of_Birth]],TODAY(),"Y"))</f>
        <v>37</v>
      </c>
      <c r="J34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41" s="2" t="s">
        <v>2336</v>
      </c>
      <c r="L341" s="2" t="s">
        <v>766</v>
      </c>
      <c r="M341" s="2" t="s">
        <v>767</v>
      </c>
      <c r="N341" s="2" t="s">
        <v>768</v>
      </c>
      <c r="O341" s="2" t="s">
        <v>166</v>
      </c>
      <c r="P341" s="2" t="s">
        <v>33</v>
      </c>
      <c r="Q341" s="2" t="s">
        <v>243</v>
      </c>
      <c r="R341" s="15">
        <v>45389</v>
      </c>
      <c r="S341" s="2" t="s">
        <v>4</v>
      </c>
      <c r="T341" s="2" t="s">
        <v>37</v>
      </c>
      <c r="U341" s="2" t="s">
        <v>37</v>
      </c>
      <c r="V341" s="2" t="s">
        <v>37</v>
      </c>
      <c r="W341" s="4" t="s">
        <v>37</v>
      </c>
      <c r="X34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341" s="2" t="str">
        <f>IF(ISNUMBER(SEARCH("onal",tb1_supporters[[#This Row],[Phone_Clean]])),"Review - corrupt phone number", IF(LEN(tb1_supporters[[#This Row],[Phone_Clean]])&gt;11,"Review - too many digits",""))</f>
        <v/>
      </c>
      <c r="Z34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41" s="2" t="str">
        <f>IF(tb1_supporters[[#This Row],[Email]]="","",IF(COUNTIF(tb1_supporters[Email],tb1_supporters[[#This Row],[Email]])&gt;1,"Review - duplicate record, see Supporter_Duplicates tab",""))</f>
        <v/>
      </c>
      <c r="AB341" s="21" t="str">
        <f>IF(tb1_supporters[[#This Row],[Communication_Preference]]="Do Not Contact","DO NOT CONTACT","")</f>
        <v/>
      </c>
      <c r="AE341"/>
    </row>
    <row r="342" spans="1:31" x14ac:dyDescent="0.25">
      <c r="A342" s="3" t="s">
        <v>2338</v>
      </c>
      <c r="B342" s="2"/>
      <c r="C342" s="2" t="s">
        <v>645</v>
      </c>
      <c r="D342" s="2" t="s">
        <v>158</v>
      </c>
      <c r="E342" s="2" t="s">
        <v>2339</v>
      </c>
      <c r="F342" s="2" t="s">
        <v>2340</v>
      </c>
      <c r="G342" s="2" t="str">
        <f>TRIM(SUBSTITUTE(SUBSTITUTE(SUBSTITUTE(SUBSTITUTE(tb1_supporters[[#This Row],[Phone_Raw]],"(",""),")","")," ",""),"+44",))</f>
        <v>07419807471</v>
      </c>
      <c r="H342" s="15">
        <v>24449</v>
      </c>
      <c r="I342" s="36">
        <f ca="1">IF(OR(tb1_supporters[[#This Row],[Date_of_Birth]]="",tb1_supporters[[#This Row],[Date_of_Birth]]&gt;TODAY()),"",DATEDIF(tb1_supporters[[#This Row],[Date_of_Birth]],TODAY(),"Y"))</f>
        <v>59</v>
      </c>
      <c r="J34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42" s="2" t="s">
        <v>2342</v>
      </c>
      <c r="L342" s="2" t="s">
        <v>100</v>
      </c>
      <c r="M342" s="2" t="s">
        <v>101</v>
      </c>
      <c r="N342" s="2" t="s">
        <v>343</v>
      </c>
      <c r="O342" s="2" t="s">
        <v>242</v>
      </c>
      <c r="P342" s="2" t="s">
        <v>49</v>
      </c>
      <c r="Q342" s="2" t="s">
        <v>154</v>
      </c>
      <c r="R342" s="15">
        <v>44348</v>
      </c>
      <c r="S342" s="2" t="s">
        <v>93</v>
      </c>
      <c r="T342" s="2" t="s">
        <v>36</v>
      </c>
      <c r="U342" s="2" t="s">
        <v>36</v>
      </c>
      <c r="V342" s="2" t="s">
        <v>36</v>
      </c>
      <c r="W342" s="4" t="s">
        <v>36</v>
      </c>
      <c r="X34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42" s="2" t="str">
        <f>IF(ISNUMBER(SEARCH("onal",tb1_supporters[[#This Row],[Phone_Clean]])),"Review - corrupt phone number", IF(LEN(tb1_supporters[[#This Row],[Phone_Clean]])&gt;11,"Review - too many digits",""))</f>
        <v/>
      </c>
      <c r="Z34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42" s="2" t="str">
        <f>IF(tb1_supporters[[#This Row],[Email]]="","",IF(COUNTIF(tb1_supporters[Email],tb1_supporters[[#This Row],[Email]])&gt;1,"Review - duplicate record, see Supporter_Duplicates tab",""))</f>
        <v/>
      </c>
      <c r="AB342" s="21" t="str">
        <f>IF(tb1_supporters[[#This Row],[Communication_Preference]]="Do Not Contact","DO NOT CONTACT","")</f>
        <v/>
      </c>
      <c r="AE342"/>
    </row>
    <row r="343" spans="1:31" x14ac:dyDescent="0.25">
      <c r="A343" s="3" t="s">
        <v>2344</v>
      </c>
      <c r="B343" s="2" t="s">
        <v>22</v>
      </c>
      <c r="C343" s="2" t="s">
        <v>403</v>
      </c>
      <c r="D343" s="2" t="s">
        <v>273</v>
      </c>
      <c r="E343" s="2" t="s">
        <v>2345</v>
      </c>
      <c r="F343" s="2" t="s">
        <v>2346</v>
      </c>
      <c r="G343" s="2" t="str">
        <f>TRIM(SUBSTITUTE(SUBSTITUTE(SUBSTITUTE(SUBSTITUTE(tb1_supporters[[#This Row],[Phone_Raw]],"(",""),")","")," ",""),"+44",))</f>
        <v>07893595875</v>
      </c>
      <c r="H343" s="15">
        <v>32817</v>
      </c>
      <c r="I343" s="36">
        <f ca="1">IF(OR(tb1_supporters[[#This Row],[Date_of_Birth]]="",tb1_supporters[[#This Row],[Date_of_Birth]]&gt;TODAY()),"",DATEDIF(tb1_supporters[[#This Row],[Date_of_Birth]],TODAY(),"Y"))</f>
        <v>36</v>
      </c>
      <c r="J34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43" s="2" t="s">
        <v>2348</v>
      </c>
      <c r="L343" s="2" t="s">
        <v>509</v>
      </c>
      <c r="M343" s="2" t="s">
        <v>510</v>
      </c>
      <c r="N343" s="2" t="s">
        <v>511</v>
      </c>
      <c r="O343" s="2" t="s">
        <v>242</v>
      </c>
      <c r="P343" s="2" t="s">
        <v>33</v>
      </c>
      <c r="Q343" s="2" t="s">
        <v>192</v>
      </c>
      <c r="R343" s="15">
        <v>43235</v>
      </c>
      <c r="S343" s="2" t="s">
        <v>4</v>
      </c>
      <c r="T343" s="2" t="s">
        <v>37</v>
      </c>
      <c r="U343" s="2" t="s">
        <v>37</v>
      </c>
      <c r="V343" s="2" t="s">
        <v>36</v>
      </c>
      <c r="W343" s="4" t="s">
        <v>37</v>
      </c>
      <c r="X34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343" s="2" t="str">
        <f>IF(ISNUMBER(SEARCH("onal",tb1_supporters[[#This Row],[Phone_Clean]])),"Review - corrupt phone number", IF(LEN(tb1_supporters[[#This Row],[Phone_Clean]])&gt;11,"Review - too many digits",""))</f>
        <v/>
      </c>
      <c r="Z34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43" s="2" t="str">
        <f>IF(tb1_supporters[[#This Row],[Email]]="","",IF(COUNTIF(tb1_supporters[Email],tb1_supporters[[#This Row],[Email]])&gt;1,"Review - duplicate record, see Supporter_Duplicates tab",""))</f>
        <v/>
      </c>
      <c r="AB343" s="21" t="str">
        <f>IF(tb1_supporters[[#This Row],[Communication_Preference]]="Do Not Contact","DO NOT CONTACT","")</f>
        <v/>
      </c>
      <c r="AE343"/>
    </row>
    <row r="344" spans="1:31" x14ac:dyDescent="0.25">
      <c r="A344" s="3" t="s">
        <v>2350</v>
      </c>
      <c r="B344" s="2" t="s">
        <v>235</v>
      </c>
      <c r="C344" s="2" t="s">
        <v>481</v>
      </c>
      <c r="D344" s="2" t="s">
        <v>489</v>
      </c>
      <c r="E344" s="2" t="s">
        <v>2351</v>
      </c>
      <c r="F344" s="2" t="s">
        <v>2352</v>
      </c>
      <c r="G344" s="2" t="str">
        <f>TRIM(SUBSTITUTE(SUBSTITUTE(SUBSTITUTE(SUBSTITUTE(tb1_supporters[[#This Row],[Phone_Raw]],"(",""),")","")," ",""),"+44",))</f>
        <v>07786459129</v>
      </c>
      <c r="H344" s="15">
        <v>28338</v>
      </c>
      <c r="I344" s="36">
        <f ca="1">IF(OR(tb1_supporters[[#This Row],[Date_of_Birth]]="",tb1_supporters[[#This Row],[Date_of_Birth]]&gt;TODAY()),"",DATEDIF(tb1_supporters[[#This Row],[Date_of_Birth]],TODAY(),"Y"))</f>
        <v>48</v>
      </c>
      <c r="J34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44" s="2" t="s">
        <v>1151</v>
      </c>
      <c r="L344" s="2" t="s">
        <v>163</v>
      </c>
      <c r="M344" s="2" t="s">
        <v>164</v>
      </c>
      <c r="N344" s="2" t="s">
        <v>165</v>
      </c>
      <c r="O344" s="2" t="s">
        <v>242</v>
      </c>
      <c r="P344" s="2" t="s">
        <v>91</v>
      </c>
      <c r="Q344" s="2" t="s">
        <v>50</v>
      </c>
      <c r="R344" s="15">
        <v>44525</v>
      </c>
      <c r="S344" s="2" t="s">
        <v>93</v>
      </c>
      <c r="T344" s="2" t="s">
        <v>36</v>
      </c>
      <c r="U344" s="2" t="s">
        <v>36</v>
      </c>
      <c r="V344" s="2" t="s">
        <v>37</v>
      </c>
      <c r="W344" s="4" t="s">
        <v>37</v>
      </c>
      <c r="X34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44" s="2" t="str">
        <f>IF(ISNUMBER(SEARCH("onal",tb1_supporters[[#This Row],[Phone_Clean]])),"Review - corrupt phone number", IF(LEN(tb1_supporters[[#This Row],[Phone_Clean]])&gt;11,"Review - too many digits",""))</f>
        <v/>
      </c>
      <c r="Z34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44" s="2" t="str">
        <f>IF(tb1_supporters[[#This Row],[Email]]="","",IF(COUNTIF(tb1_supporters[Email],tb1_supporters[[#This Row],[Email]])&gt;1,"Review - duplicate record, see Supporter_Duplicates tab",""))</f>
        <v/>
      </c>
      <c r="AB344" s="21" t="str">
        <f>IF(tb1_supporters[[#This Row],[Communication_Preference]]="Do Not Contact","DO NOT CONTACT","")</f>
        <v/>
      </c>
      <c r="AE344"/>
    </row>
    <row r="345" spans="1:31" x14ac:dyDescent="0.25">
      <c r="A345" s="3" t="s">
        <v>2355</v>
      </c>
      <c r="B345" s="2" t="s">
        <v>402</v>
      </c>
      <c r="C345" s="2" t="s">
        <v>838</v>
      </c>
      <c r="D345" s="2" t="s">
        <v>172</v>
      </c>
      <c r="E345" s="2" t="s">
        <v>2356</v>
      </c>
      <c r="F345" s="2" t="s">
        <v>2357</v>
      </c>
      <c r="G345" s="2" t="str">
        <f>TRIM(SUBSTITUTE(SUBSTITUTE(SUBSTITUTE(SUBSTITUTE(tb1_supporters[[#This Row],[Phone_Raw]],"(",""),")","")," ",""),"+44",))</f>
        <v>07872650104</v>
      </c>
      <c r="H345" s="15">
        <v>18641</v>
      </c>
      <c r="I345" s="36">
        <f ca="1">IF(OR(tb1_supporters[[#This Row],[Date_of_Birth]]="",tb1_supporters[[#This Row],[Date_of_Birth]]&gt;TODAY()),"",DATEDIF(tb1_supporters[[#This Row],[Date_of_Birth]],TODAY(),"Y"))</f>
        <v>75</v>
      </c>
      <c r="J34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45" s="2" t="s">
        <v>2359</v>
      </c>
      <c r="L345" s="2" t="s">
        <v>693</v>
      </c>
      <c r="M345" s="2" t="s">
        <v>694</v>
      </c>
      <c r="N345" s="2" t="s">
        <v>695</v>
      </c>
      <c r="O345" s="2" t="s">
        <v>242</v>
      </c>
      <c r="P345" s="2" t="s">
        <v>33</v>
      </c>
      <c r="Q345" s="2" t="s">
        <v>50</v>
      </c>
      <c r="R345" s="15">
        <v>45045</v>
      </c>
      <c r="S345" s="2" t="s">
        <v>4</v>
      </c>
      <c r="T345" s="2" t="s">
        <v>36</v>
      </c>
      <c r="U345" s="2" t="s">
        <v>37</v>
      </c>
      <c r="V345" s="2" t="s">
        <v>36</v>
      </c>
      <c r="W345" s="4" t="s">
        <v>37</v>
      </c>
      <c r="X34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45" s="2" t="str">
        <f>IF(ISNUMBER(SEARCH("onal",tb1_supporters[[#This Row],[Phone_Clean]])),"Review - corrupt phone number", IF(LEN(tb1_supporters[[#This Row],[Phone_Clean]])&gt;11,"Review - too many digits",""))</f>
        <v/>
      </c>
      <c r="Z34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45" s="2" t="str">
        <f>IF(tb1_supporters[[#This Row],[Email]]="","",IF(COUNTIF(tb1_supporters[Email],tb1_supporters[[#This Row],[Email]])&gt;1,"Review - duplicate record, see Supporter_Duplicates tab",""))</f>
        <v/>
      </c>
      <c r="AB345" s="21" t="str">
        <f>IF(tb1_supporters[[#This Row],[Communication_Preference]]="Do Not Contact","DO NOT CONTACT","")</f>
        <v/>
      </c>
      <c r="AE345"/>
    </row>
    <row r="346" spans="1:31" x14ac:dyDescent="0.25">
      <c r="A346" s="3" t="s">
        <v>2361</v>
      </c>
      <c r="B346" s="2" t="s">
        <v>402</v>
      </c>
      <c r="C346" s="2" t="s">
        <v>1411</v>
      </c>
      <c r="D346" s="2" t="s">
        <v>56</v>
      </c>
      <c r="E346" s="2" t="s">
        <v>2362</v>
      </c>
      <c r="F346" s="2" t="s">
        <v>2363</v>
      </c>
      <c r="G346" s="2" t="str">
        <f>TRIM(SUBSTITUTE(SUBSTITUTE(SUBSTITUTE(SUBSTITUTE(tb1_supporters[[#This Row],[Phone_Raw]],"(",""),")","")," ",""),"+44",))</f>
        <v>07879421226</v>
      </c>
      <c r="H346" s="15">
        <v>26849</v>
      </c>
      <c r="I346" s="36">
        <f ca="1">IF(OR(tb1_supporters[[#This Row],[Date_of_Birth]]="",tb1_supporters[[#This Row],[Date_of_Birth]]&gt;TODAY()),"",DATEDIF(tb1_supporters[[#This Row],[Date_of_Birth]],TODAY(),"Y"))</f>
        <v>52</v>
      </c>
      <c r="J34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46" s="2" t="s">
        <v>2365</v>
      </c>
      <c r="L346" s="2" t="s">
        <v>46</v>
      </c>
      <c r="M346" s="2" t="s">
        <v>47</v>
      </c>
      <c r="N346" s="2" t="s">
        <v>48</v>
      </c>
      <c r="O346" s="2" t="s">
        <v>242</v>
      </c>
      <c r="P346" s="2" t="s">
        <v>117</v>
      </c>
      <c r="Q346" s="2" t="s">
        <v>66</v>
      </c>
      <c r="R346" s="15">
        <v>44580</v>
      </c>
      <c r="S346" s="2" t="s">
        <v>4</v>
      </c>
      <c r="T346" s="2" t="s">
        <v>36</v>
      </c>
      <c r="U346" s="2" t="s">
        <v>37</v>
      </c>
      <c r="V346" s="2" t="s">
        <v>37</v>
      </c>
      <c r="W346" s="4" t="s">
        <v>36</v>
      </c>
      <c r="X34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46" s="2" t="str">
        <f>IF(ISNUMBER(SEARCH("onal",tb1_supporters[[#This Row],[Phone_Clean]])),"Review - corrupt phone number", IF(LEN(tb1_supporters[[#This Row],[Phone_Clean]])&gt;11,"Review - too many digits",""))</f>
        <v/>
      </c>
      <c r="Z34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46" s="2" t="str">
        <f>IF(tb1_supporters[[#This Row],[Email]]="","",IF(COUNTIF(tb1_supporters[Email],tb1_supporters[[#This Row],[Email]])&gt;1,"Review - duplicate record, see Supporter_Duplicates tab",""))</f>
        <v/>
      </c>
      <c r="AB346" s="21" t="str">
        <f>IF(tb1_supporters[[#This Row],[Communication_Preference]]="Do Not Contact","DO NOT CONTACT","")</f>
        <v/>
      </c>
      <c r="AE346"/>
    </row>
    <row r="347" spans="1:31" x14ac:dyDescent="0.25">
      <c r="A347" s="3" t="s">
        <v>2367</v>
      </c>
      <c r="B347" s="2" t="s">
        <v>54</v>
      </c>
      <c r="C347" s="2" t="s">
        <v>1085</v>
      </c>
      <c r="D347" s="2" t="s">
        <v>325</v>
      </c>
      <c r="E347" s="2" t="s">
        <v>2368</v>
      </c>
      <c r="F347" s="2" t="s">
        <v>2369</v>
      </c>
      <c r="G347" s="2" t="str">
        <f>TRIM(SUBSTITUTE(SUBSTITUTE(SUBSTITUTE(SUBSTITUTE(tb1_supporters[[#This Row],[Phone_Raw]],"(",""),")","")," ",""),"+44",))</f>
        <v>7517397975</v>
      </c>
      <c r="H347" s="15">
        <v>28196</v>
      </c>
      <c r="I347" s="36">
        <f ca="1">IF(OR(tb1_supporters[[#This Row],[Date_of_Birth]]="",tb1_supporters[[#This Row],[Date_of_Birth]]&gt;TODAY()),"",DATEDIF(tb1_supporters[[#This Row],[Date_of_Birth]],TODAY(),"Y"))</f>
        <v>49</v>
      </c>
      <c r="J34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47" s="2" t="s">
        <v>2371</v>
      </c>
      <c r="L347" s="2" t="s">
        <v>219</v>
      </c>
      <c r="M347" s="2" t="s">
        <v>220</v>
      </c>
      <c r="N347" s="2" t="s">
        <v>221</v>
      </c>
      <c r="O347" s="2" t="s">
        <v>166</v>
      </c>
      <c r="P347" s="2" t="s">
        <v>65</v>
      </c>
      <c r="Q347" s="2" t="s">
        <v>243</v>
      </c>
      <c r="R347" s="15">
        <v>45049</v>
      </c>
      <c r="S347" s="2" t="s">
        <v>4</v>
      </c>
      <c r="T347" s="2" t="s">
        <v>36</v>
      </c>
      <c r="U347" s="2" t="s">
        <v>36</v>
      </c>
      <c r="V347" s="2" t="s">
        <v>36</v>
      </c>
      <c r="W347" s="4" t="s">
        <v>37</v>
      </c>
      <c r="X34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47" s="2" t="str">
        <f>IF(ISNUMBER(SEARCH("onal",tb1_supporters[[#This Row],[Phone_Clean]])),"Review - corrupt phone number", IF(LEN(tb1_supporters[[#This Row],[Phone_Clean]])&gt;11,"Review - too many digits",""))</f>
        <v/>
      </c>
      <c r="Z34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47" s="2" t="str">
        <f>IF(tb1_supporters[[#This Row],[Email]]="","",IF(COUNTIF(tb1_supporters[Email],tb1_supporters[[#This Row],[Email]])&gt;1,"Review - duplicate record, see Supporter_Duplicates tab",""))</f>
        <v/>
      </c>
      <c r="AB347" s="21" t="str">
        <f>IF(tb1_supporters[[#This Row],[Communication_Preference]]="Do Not Contact","DO NOT CONTACT","")</f>
        <v/>
      </c>
      <c r="AE347"/>
    </row>
    <row r="348" spans="1:31" x14ac:dyDescent="0.25">
      <c r="A348" s="3" t="s">
        <v>2373</v>
      </c>
      <c r="B348" s="2" t="s">
        <v>54</v>
      </c>
      <c r="C348" s="2" t="s">
        <v>2374</v>
      </c>
      <c r="D348" s="2" t="s">
        <v>214</v>
      </c>
      <c r="E348" s="2" t="s">
        <v>2375</v>
      </c>
      <c r="F348" s="2" t="s">
        <v>2376</v>
      </c>
      <c r="G348" s="2" t="str">
        <f>TRIM(SUBSTITUTE(SUBSTITUTE(SUBSTITUTE(SUBSTITUTE(tb1_supporters[[#This Row],[Phone_Raw]],"(",""),")","")," ",""),"+44",))</f>
        <v>012120606959</v>
      </c>
      <c r="H348" s="15">
        <v>21160</v>
      </c>
      <c r="I348" s="36">
        <f ca="1">IF(OR(tb1_supporters[[#This Row],[Date_of_Birth]]="",tb1_supporters[[#This Row],[Date_of_Birth]]&gt;TODAY()),"",DATEDIF(tb1_supporters[[#This Row],[Date_of_Birth]],TODAY(),"Y"))</f>
        <v>68</v>
      </c>
      <c r="J34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48" s="2" t="s">
        <v>2378</v>
      </c>
      <c r="L348" s="2" t="s">
        <v>100</v>
      </c>
      <c r="M348" s="2" t="s">
        <v>101</v>
      </c>
      <c r="N348" s="2" t="s">
        <v>343</v>
      </c>
      <c r="O348" s="2" t="s">
        <v>166</v>
      </c>
      <c r="P348" s="2" t="s">
        <v>33</v>
      </c>
      <c r="Q348" s="2" t="s">
        <v>50</v>
      </c>
      <c r="R348" s="15">
        <v>44756</v>
      </c>
      <c r="S348" s="2" t="s">
        <v>5</v>
      </c>
      <c r="T348" s="2" t="s">
        <v>36</v>
      </c>
      <c r="U348" s="2" t="s">
        <v>36</v>
      </c>
      <c r="V348" s="2" t="s">
        <v>37</v>
      </c>
      <c r="W348" s="4" t="s">
        <v>37</v>
      </c>
      <c r="X34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34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4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48" s="2" t="str">
        <f>IF(tb1_supporters[[#This Row],[Email]]="","",IF(COUNTIF(tb1_supporters[Email],tb1_supporters[[#This Row],[Email]])&gt;1,"Review - duplicate record, see Supporter_Duplicates tab",""))</f>
        <v/>
      </c>
      <c r="AB348" s="21" t="str">
        <f>IF(tb1_supporters[[#This Row],[Communication_Preference]]="Do Not Contact","DO NOT CONTACT","")</f>
        <v/>
      </c>
      <c r="AE348"/>
    </row>
    <row r="349" spans="1:31" x14ac:dyDescent="0.25">
      <c r="A349" s="3" t="s">
        <v>2380</v>
      </c>
      <c r="B349" s="2" t="s">
        <v>402</v>
      </c>
      <c r="C349" s="2" t="s">
        <v>472</v>
      </c>
      <c r="D349" s="2" t="s">
        <v>473</v>
      </c>
      <c r="E349" s="2" t="s">
        <v>2381</v>
      </c>
      <c r="F349" s="2" t="s">
        <v>2382</v>
      </c>
      <c r="G349" s="2" t="str">
        <f>TRIM(SUBSTITUTE(SUBSTITUTE(SUBSTITUTE(SUBSTITUTE(tb1_supporters[[#This Row],[Phone_Raw]],"(",""),")","")," ",""),"+44",))</f>
        <v>7385250886</v>
      </c>
      <c r="H349" s="15">
        <v>28174</v>
      </c>
      <c r="I349" s="36">
        <f ca="1">IF(OR(tb1_supporters[[#This Row],[Date_of_Birth]]="",tb1_supporters[[#This Row],[Date_of_Birth]]&gt;TODAY()),"",DATEDIF(tb1_supporters[[#This Row],[Date_of_Birth]],TODAY(),"Y"))</f>
        <v>49</v>
      </c>
      <c r="J34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49" s="2" t="s">
        <v>2384</v>
      </c>
      <c r="L349" s="2" t="s">
        <v>278</v>
      </c>
      <c r="M349" s="2" t="s">
        <v>279</v>
      </c>
      <c r="N349" s="2" t="s">
        <v>280</v>
      </c>
      <c r="O349" s="2" t="s">
        <v>242</v>
      </c>
      <c r="P349" s="2" t="s">
        <v>65</v>
      </c>
      <c r="Q349" s="2" t="s">
        <v>141</v>
      </c>
      <c r="R349" s="15">
        <v>45105</v>
      </c>
      <c r="S349" s="2" t="s">
        <v>4</v>
      </c>
      <c r="T349" s="2" t="s">
        <v>36</v>
      </c>
      <c r="U349" s="2" t="s">
        <v>36</v>
      </c>
      <c r="V349" s="2" t="s">
        <v>37</v>
      </c>
      <c r="W349" s="4" t="s">
        <v>36</v>
      </c>
      <c r="X34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49" s="2" t="str">
        <f>IF(ISNUMBER(SEARCH("onal",tb1_supporters[[#This Row],[Phone_Clean]])),"Review - corrupt phone number", IF(LEN(tb1_supporters[[#This Row],[Phone_Clean]])&gt;11,"Review - too many digits",""))</f>
        <v/>
      </c>
      <c r="Z34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49" s="2" t="str">
        <f>IF(tb1_supporters[[#This Row],[Email]]="","",IF(COUNTIF(tb1_supporters[Email],tb1_supporters[[#This Row],[Email]])&gt;1,"Review - duplicate record, see Supporter_Duplicates tab",""))</f>
        <v/>
      </c>
      <c r="AB349" s="21" t="str">
        <f>IF(tb1_supporters[[#This Row],[Communication_Preference]]="Do Not Contact","DO NOT CONTACT","")</f>
        <v/>
      </c>
      <c r="AE349"/>
    </row>
    <row r="350" spans="1:31" x14ac:dyDescent="0.25">
      <c r="A350" s="3" t="s">
        <v>2386</v>
      </c>
      <c r="B350" s="2" t="s">
        <v>54</v>
      </c>
      <c r="C350" s="2" t="s">
        <v>566</v>
      </c>
      <c r="D350" s="2" t="s">
        <v>56</v>
      </c>
      <c r="E350" s="2" t="s">
        <v>4869</v>
      </c>
      <c r="F350" s="2" t="s">
        <v>2388</v>
      </c>
      <c r="G350" s="2" t="str">
        <f>TRIM(SUBSTITUTE(SUBSTITUTE(SUBSTITUTE(SUBSTITUTE(tb1_supporters[[#This Row],[Phone_Raw]],"(",""),")","")," ",""),"+44",))</f>
        <v>07736738198</v>
      </c>
      <c r="H350" s="15">
        <v>34361</v>
      </c>
      <c r="I350" s="36">
        <f ca="1">IF(OR(tb1_supporters[[#This Row],[Date_of_Birth]]="",tb1_supporters[[#This Row],[Date_of_Birth]]&gt;TODAY()),"",DATEDIF(tb1_supporters[[#This Row],[Date_of_Birth]],TODAY(),"Y"))</f>
        <v>32</v>
      </c>
      <c r="J35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50" s="2" t="s">
        <v>2390</v>
      </c>
      <c r="L350" s="2" t="s">
        <v>1026</v>
      </c>
      <c r="M350" s="2" t="s">
        <v>1027</v>
      </c>
      <c r="N350" s="2" t="s">
        <v>1028</v>
      </c>
      <c r="O350" s="2" t="s">
        <v>166</v>
      </c>
      <c r="P350" s="2" t="s">
        <v>153</v>
      </c>
      <c r="Q350" s="2" t="s">
        <v>243</v>
      </c>
      <c r="R350" s="15">
        <v>45009</v>
      </c>
      <c r="S350" s="2" t="s">
        <v>52</v>
      </c>
      <c r="T350" s="2" t="s">
        <v>36</v>
      </c>
      <c r="U350" s="2" t="s">
        <v>2392</v>
      </c>
      <c r="V350" s="2" t="s">
        <v>37</v>
      </c>
      <c r="W350" s="4" t="s">
        <v>37</v>
      </c>
      <c r="X35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50" s="2" t="str">
        <f>IF(ISNUMBER(SEARCH("onal",tb1_supporters[[#This Row],[Phone_Clean]])),"Review - corrupt phone number", IF(LEN(tb1_supporters[[#This Row],[Phone_Clean]])&gt;11,"Review - too many digits",""))</f>
        <v/>
      </c>
      <c r="Z35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50" s="2" t="str">
        <f>IF(tb1_supporters[[#This Row],[Email]]="","",IF(COUNTIF(tb1_supporters[Email],tb1_supporters[[#This Row],[Email]])&gt;1,"Review - duplicate record, see Supporter_Duplicates tab",""))</f>
        <v/>
      </c>
      <c r="AB350" s="21" t="str">
        <f>IF(tb1_supporters[[#This Row],[Communication_Preference]]="Do Not Contact","DO NOT CONTACT","")</f>
        <v/>
      </c>
      <c r="AE350"/>
    </row>
    <row r="351" spans="1:31" x14ac:dyDescent="0.25">
      <c r="A351" s="3" t="s">
        <v>2393</v>
      </c>
      <c r="B351" s="2" t="s">
        <v>170</v>
      </c>
      <c r="C351" s="2" t="s">
        <v>809</v>
      </c>
      <c r="D351" s="2" t="s">
        <v>375</v>
      </c>
      <c r="E351" s="2" t="s">
        <v>2394</v>
      </c>
      <c r="F351" s="2" t="s">
        <v>2395</v>
      </c>
      <c r="G351" s="2" t="str">
        <f>TRIM(SUBSTITUTE(SUBSTITUTE(SUBSTITUTE(SUBSTITUTE(tb1_supporters[[#This Row],[Phone_Raw]],"(",""),")","")," ",""),"+44",))</f>
        <v>07492560422</v>
      </c>
      <c r="H351" s="15">
        <v>18372</v>
      </c>
      <c r="I351" s="36">
        <f ca="1">IF(OR(tb1_supporters[[#This Row],[Date_of_Birth]]="",tb1_supporters[[#This Row],[Date_of_Birth]]&gt;TODAY()),"",DATEDIF(tb1_supporters[[#This Row],[Date_of_Birth]],TODAY(),"Y"))</f>
        <v>76</v>
      </c>
      <c r="J35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51" s="2" t="s">
        <v>2397</v>
      </c>
      <c r="L351" s="2" t="s">
        <v>454</v>
      </c>
      <c r="M351" s="2" t="s">
        <v>455</v>
      </c>
      <c r="N351" s="2" t="s">
        <v>456</v>
      </c>
      <c r="O351" s="2" t="s">
        <v>242</v>
      </c>
      <c r="P351" s="2" t="s">
        <v>153</v>
      </c>
      <c r="Q351" s="2" t="s">
        <v>66</v>
      </c>
      <c r="R351" s="15">
        <v>43248</v>
      </c>
      <c r="S351" s="2" t="s">
        <v>4</v>
      </c>
      <c r="T351" s="2" t="s">
        <v>36</v>
      </c>
      <c r="U351" s="2" t="s">
        <v>36</v>
      </c>
      <c r="V351" s="2" t="s">
        <v>37</v>
      </c>
      <c r="W351" s="4" t="s">
        <v>37</v>
      </c>
      <c r="X35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51" s="2" t="str">
        <f>IF(ISNUMBER(SEARCH("onal",tb1_supporters[[#This Row],[Phone_Clean]])),"Review - corrupt phone number", IF(LEN(tb1_supporters[[#This Row],[Phone_Clean]])&gt;11,"Review - too many digits",""))</f>
        <v/>
      </c>
      <c r="Z35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51" s="2" t="str">
        <f>IF(tb1_supporters[[#This Row],[Email]]="","",IF(COUNTIF(tb1_supporters[Email],tb1_supporters[[#This Row],[Email]])&gt;1,"Review - duplicate record, see Supporter_Duplicates tab",""))</f>
        <v/>
      </c>
      <c r="AB351" s="21" t="str">
        <f>IF(tb1_supporters[[#This Row],[Communication_Preference]]="Do Not Contact","DO NOT CONTACT","")</f>
        <v/>
      </c>
      <c r="AE351"/>
    </row>
    <row r="352" spans="1:31" x14ac:dyDescent="0.25">
      <c r="A352" s="3" t="s">
        <v>2399</v>
      </c>
      <c r="B352" s="2" t="s">
        <v>54</v>
      </c>
      <c r="C352" s="2" t="s">
        <v>157</v>
      </c>
      <c r="D352" s="2" t="s">
        <v>237</v>
      </c>
      <c r="E352" s="2" t="s">
        <v>2400</v>
      </c>
      <c r="F352" s="2" t="s">
        <v>2401</v>
      </c>
      <c r="G352" s="2" t="str">
        <f>TRIM(SUBSTITUTE(SUBSTITUTE(SUBSTITUTE(SUBSTITUTE(tb1_supporters[[#This Row],[Phone_Raw]],"(",""),")","")," ",""),"+44",))</f>
        <v>01onal9743560</v>
      </c>
      <c r="H352" s="15">
        <v>27574</v>
      </c>
      <c r="I352" s="36">
        <f ca="1">IF(OR(tb1_supporters[[#This Row],[Date_of_Birth]]="",tb1_supporters[[#This Row],[Date_of_Birth]]&gt;TODAY()),"",DATEDIF(tb1_supporters[[#This Row],[Date_of_Birth]],TODAY(),"Y"))</f>
        <v>50</v>
      </c>
      <c r="J35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52" s="2" t="s">
        <v>2403</v>
      </c>
      <c r="L352" s="2" t="s">
        <v>984</v>
      </c>
      <c r="M352" s="2" t="s">
        <v>62</v>
      </c>
      <c r="N352" s="2" t="s">
        <v>985</v>
      </c>
      <c r="O352" s="2" t="s">
        <v>166</v>
      </c>
      <c r="P352" s="2" t="s">
        <v>4887</v>
      </c>
      <c r="Q352" s="2" t="s">
        <v>141</v>
      </c>
      <c r="R352" s="15">
        <v>45127</v>
      </c>
      <c r="S352" s="2" t="s">
        <v>93</v>
      </c>
      <c r="T352" s="2" t="s">
        <v>37</v>
      </c>
      <c r="U352" s="2" t="s">
        <v>36</v>
      </c>
      <c r="V352" s="2" t="s">
        <v>37</v>
      </c>
      <c r="W352" s="4" t="s">
        <v>37</v>
      </c>
      <c r="X35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52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35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52" s="2" t="str">
        <f>IF(tb1_supporters[[#This Row],[Email]]="","",IF(COUNTIF(tb1_supporters[Email],tb1_supporters[[#This Row],[Email]])&gt;1,"Review - duplicate record, see Supporter_Duplicates tab",""))</f>
        <v/>
      </c>
      <c r="AB352" s="21" t="str">
        <f>IF(tb1_supporters[[#This Row],[Communication_Preference]]="Do Not Contact","DO NOT CONTACT","")</f>
        <v/>
      </c>
      <c r="AE352"/>
    </row>
    <row r="353" spans="1:31" x14ac:dyDescent="0.25">
      <c r="A353" s="3" t="s">
        <v>2405</v>
      </c>
      <c r="B353" s="2" t="s">
        <v>170</v>
      </c>
      <c r="C353" s="2" t="s">
        <v>818</v>
      </c>
      <c r="D353" s="2" t="s">
        <v>145</v>
      </c>
      <c r="E353" s="2" t="s">
        <v>2406</v>
      </c>
      <c r="F353" s="2" t="s">
        <v>2407</v>
      </c>
      <c r="G353" s="2" t="str">
        <f>TRIM(SUBSTITUTE(SUBSTITUTE(SUBSTITUTE(SUBSTITUTE(tb1_supporters[[#This Row],[Phone_Raw]],"(",""),")","")," ",""),"+44",))</f>
        <v>01315386654</v>
      </c>
      <c r="H353" s="15">
        <v>37605</v>
      </c>
      <c r="I353" s="36">
        <f ca="1">IF(OR(tb1_supporters[[#This Row],[Date_of_Birth]]="",tb1_supporters[[#This Row],[Date_of_Birth]]&gt;TODAY()),"",DATEDIF(tb1_supporters[[#This Row],[Date_of_Birth]],TODAY(),"Y"))</f>
        <v>23</v>
      </c>
      <c r="J35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53" s="2" t="s">
        <v>2409</v>
      </c>
      <c r="L353" s="2" t="s">
        <v>29</v>
      </c>
      <c r="M353" s="2" t="s">
        <v>30</v>
      </c>
      <c r="N353" s="2" t="s">
        <v>31</v>
      </c>
      <c r="O353" s="2" t="s">
        <v>242</v>
      </c>
      <c r="P353" s="2" t="s">
        <v>49</v>
      </c>
      <c r="Q353" s="2" t="s">
        <v>192</v>
      </c>
      <c r="R353" s="15">
        <v>44101</v>
      </c>
      <c r="S353" s="2" t="s">
        <v>4</v>
      </c>
      <c r="T353" s="2" t="s">
        <v>36</v>
      </c>
      <c r="U353" s="2" t="s">
        <v>36</v>
      </c>
      <c r="V353" s="2" t="s">
        <v>37</v>
      </c>
      <c r="W353" s="4" t="s">
        <v>37</v>
      </c>
      <c r="X35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53" s="2" t="str">
        <f>IF(ISNUMBER(SEARCH("onal",tb1_supporters[[#This Row],[Phone_Clean]])),"Review - corrupt phone number", IF(LEN(tb1_supporters[[#This Row],[Phone_Clean]])&gt;11,"Review - too many digits",""))</f>
        <v/>
      </c>
      <c r="Z35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53" s="2" t="str">
        <f>IF(tb1_supporters[[#This Row],[Email]]="","",IF(COUNTIF(tb1_supporters[Email],tb1_supporters[[#This Row],[Email]])&gt;1,"Review - duplicate record, see Supporter_Duplicates tab",""))</f>
        <v/>
      </c>
      <c r="AB353" s="21" t="str">
        <f>IF(tb1_supporters[[#This Row],[Communication_Preference]]="Do Not Contact","DO NOT CONTACT","")</f>
        <v/>
      </c>
      <c r="AE353"/>
    </row>
    <row r="354" spans="1:31" x14ac:dyDescent="0.25">
      <c r="A354" s="3" t="s">
        <v>2411</v>
      </c>
      <c r="B354" s="2" t="s">
        <v>4866</v>
      </c>
      <c r="C354" s="2" t="s">
        <v>459</v>
      </c>
      <c r="D354" s="2" t="s">
        <v>489</v>
      </c>
      <c r="E354" s="2" t="s">
        <v>2412</v>
      </c>
      <c r="F354" s="2" t="s">
        <v>2413</v>
      </c>
      <c r="G354" s="2" t="str">
        <f>TRIM(SUBSTITUTE(SUBSTITUTE(SUBSTITUTE(SUBSTITUTE(tb1_supporters[[#This Row],[Phone_Raw]],"(",""),")","")," ",""),"+44",))</f>
        <v>01onal9847921</v>
      </c>
      <c r="H354" s="15">
        <v>17130</v>
      </c>
      <c r="I354" s="36">
        <f ca="1">IF(OR(tb1_supporters[[#This Row],[Date_of_Birth]]="",tb1_supporters[[#This Row],[Date_of_Birth]]&gt;TODAY()),"",DATEDIF(tb1_supporters[[#This Row],[Date_of_Birth]],TODAY(),"Y"))</f>
        <v>79</v>
      </c>
      <c r="J35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54" s="2" t="s">
        <v>2415</v>
      </c>
      <c r="L354" s="2" t="s">
        <v>150</v>
      </c>
      <c r="M354" s="2" t="s">
        <v>151</v>
      </c>
      <c r="N354" s="2" t="s">
        <v>152</v>
      </c>
      <c r="O354" s="2" t="s">
        <v>166</v>
      </c>
      <c r="P354" s="2" t="s">
        <v>4887</v>
      </c>
      <c r="Q354" s="2" t="s">
        <v>141</v>
      </c>
      <c r="R354" s="15">
        <v>43184</v>
      </c>
      <c r="S354" s="2" t="s">
        <v>52</v>
      </c>
      <c r="T354" s="2" t="s">
        <v>36</v>
      </c>
      <c r="U354" s="2" t="s">
        <v>37</v>
      </c>
      <c r="V354" s="2" t="s">
        <v>36</v>
      </c>
      <c r="W354" s="4" t="s">
        <v>37</v>
      </c>
      <c r="X35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54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35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54" s="2" t="str">
        <f>IF(tb1_supporters[[#This Row],[Email]]="","",IF(COUNTIF(tb1_supporters[Email],tb1_supporters[[#This Row],[Email]])&gt;1,"Review - duplicate record, see Supporter_Duplicates tab",""))</f>
        <v/>
      </c>
      <c r="AB354" s="21" t="str">
        <f>IF(tb1_supporters[[#This Row],[Communication_Preference]]="Do Not Contact","DO NOT CONTACT","")</f>
        <v/>
      </c>
      <c r="AE354"/>
    </row>
    <row r="355" spans="1:31" x14ac:dyDescent="0.25">
      <c r="A355" s="3" t="s">
        <v>2417</v>
      </c>
      <c r="B355" s="2" t="s">
        <v>402</v>
      </c>
      <c r="C355" s="2" t="s">
        <v>818</v>
      </c>
      <c r="D355" s="2" t="s">
        <v>1696</v>
      </c>
      <c r="E355" s="2" t="s">
        <v>2418</v>
      </c>
      <c r="F355" s="2" t="s">
        <v>2419</v>
      </c>
      <c r="G355" s="2" t="str">
        <f>TRIM(SUBSTITUTE(SUBSTITUTE(SUBSTITUTE(SUBSTITUTE(tb1_supporters[[#This Row],[Phone_Raw]],"(",""),")","")," ",""),"+44",))</f>
        <v>01onal9306563</v>
      </c>
      <c r="H355" s="15">
        <v>33728</v>
      </c>
      <c r="I355" s="36">
        <f ca="1">IF(OR(tb1_supporters[[#This Row],[Date_of_Birth]]="",tb1_supporters[[#This Row],[Date_of_Birth]]&gt;TODAY()),"",DATEDIF(tb1_supporters[[#This Row],[Date_of_Birth]],TODAY(),"Y"))</f>
        <v>34</v>
      </c>
      <c r="J35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55" s="2" t="s">
        <v>2421</v>
      </c>
      <c r="L355" s="2" t="s">
        <v>163</v>
      </c>
      <c r="M355" s="2" t="s">
        <v>164</v>
      </c>
      <c r="N355" s="2" t="s">
        <v>165</v>
      </c>
      <c r="O355" s="2" t="s">
        <v>242</v>
      </c>
      <c r="P355" s="2" t="s">
        <v>49</v>
      </c>
      <c r="Q355" s="2" t="s">
        <v>66</v>
      </c>
      <c r="R355" s="15">
        <v>43927</v>
      </c>
      <c r="S355" s="2" t="s">
        <v>5</v>
      </c>
      <c r="T355" s="2" t="s">
        <v>36</v>
      </c>
      <c r="U355" s="2" t="s">
        <v>36</v>
      </c>
      <c r="V355" s="2" t="s">
        <v>37</v>
      </c>
      <c r="W355" s="4" t="s">
        <v>36</v>
      </c>
      <c r="X35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355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35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55" s="2" t="str">
        <f>IF(tb1_supporters[[#This Row],[Email]]="","",IF(COUNTIF(tb1_supporters[Email],tb1_supporters[[#This Row],[Email]])&gt;1,"Review - duplicate record, see Supporter_Duplicates tab",""))</f>
        <v/>
      </c>
      <c r="AB355" s="21" t="str">
        <f>IF(tb1_supporters[[#This Row],[Communication_Preference]]="Do Not Contact","DO NOT CONTACT","")</f>
        <v/>
      </c>
      <c r="AE355"/>
    </row>
    <row r="356" spans="1:31" x14ac:dyDescent="0.25">
      <c r="A356" s="3" t="s">
        <v>2423</v>
      </c>
      <c r="B356" s="2" t="s">
        <v>54</v>
      </c>
      <c r="C356" s="2" t="s">
        <v>1297</v>
      </c>
      <c r="D356" s="2" t="s">
        <v>1696</v>
      </c>
      <c r="E356" s="2" t="s">
        <v>2424</v>
      </c>
      <c r="F356" s="2" t="s">
        <v>2425</v>
      </c>
      <c r="G356" s="2" t="str">
        <f>TRIM(SUBSTITUTE(SUBSTITUTE(SUBSTITUTE(SUBSTITUTE(tb1_supporters[[#This Row],[Phone_Raw]],"(",""),")","")," ",""),"+44",))</f>
        <v>07168680920</v>
      </c>
      <c r="H356" s="15"/>
      <c r="I356" s="36" t="str">
        <f ca="1">IF(OR(tb1_supporters[[#This Row],[Date_of_Birth]]="",tb1_supporters[[#This Row],[Date_of_Birth]]&gt;TODAY()),"",DATEDIF(tb1_supporters[[#This Row],[Date_of_Birth]],TODAY(),"Y"))</f>
        <v/>
      </c>
      <c r="J35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356" s="2" t="s">
        <v>570</v>
      </c>
      <c r="L356" s="2" t="s">
        <v>668</v>
      </c>
      <c r="M356" s="2" t="s">
        <v>669</v>
      </c>
      <c r="N356" s="2" t="s">
        <v>670</v>
      </c>
      <c r="O356" s="2" t="s">
        <v>166</v>
      </c>
      <c r="P356" s="2" t="s">
        <v>4887</v>
      </c>
      <c r="Q356" s="2" t="s">
        <v>154</v>
      </c>
      <c r="R356" s="15">
        <v>44523</v>
      </c>
      <c r="S356" s="2" t="s">
        <v>52</v>
      </c>
      <c r="T356" s="2" t="s">
        <v>36</v>
      </c>
      <c r="U356" s="2" t="s">
        <v>36</v>
      </c>
      <c r="V356" s="2" t="s">
        <v>37</v>
      </c>
      <c r="W356" s="4" t="s">
        <v>37</v>
      </c>
      <c r="X35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56" s="2" t="str">
        <f>IF(ISNUMBER(SEARCH("onal",tb1_supporters[[#This Row],[Phone_Clean]])),"Review - corrupt phone number", IF(LEN(tb1_supporters[[#This Row],[Phone_Clean]])&gt;11,"Review - too many digits",""))</f>
        <v/>
      </c>
      <c r="Z35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356" s="2" t="str">
        <f>IF(tb1_supporters[[#This Row],[Email]]="","",IF(COUNTIF(tb1_supporters[Email],tb1_supporters[[#This Row],[Email]])&gt;1,"Review - duplicate record, see Supporter_Duplicates tab",""))</f>
        <v/>
      </c>
      <c r="AB356" s="21" t="str">
        <f>IF(tb1_supporters[[#This Row],[Communication_Preference]]="Do Not Contact","DO NOT CONTACT","")</f>
        <v/>
      </c>
      <c r="AE356"/>
    </row>
    <row r="357" spans="1:31" x14ac:dyDescent="0.25">
      <c r="A357" s="3" t="s">
        <v>2427</v>
      </c>
      <c r="B357" s="2"/>
      <c r="C357" s="2" t="s">
        <v>818</v>
      </c>
      <c r="D357" s="2" t="s">
        <v>1268</v>
      </c>
      <c r="E357" s="2" t="s">
        <v>2428</v>
      </c>
      <c r="F357" s="2" t="s">
        <v>2429</v>
      </c>
      <c r="G357" s="2" t="str">
        <f>TRIM(SUBSTITUTE(SUBSTITUTE(SUBSTITUTE(SUBSTITUTE(tb1_supporters[[#This Row],[Phone_Raw]],"(",""),")","")," ",""),"+44",))</f>
        <v>019094574056</v>
      </c>
      <c r="H357" s="15">
        <v>25455</v>
      </c>
      <c r="I357" s="36">
        <f ca="1">IF(OR(tb1_supporters[[#This Row],[Date_of_Birth]]="",tb1_supporters[[#This Row],[Date_of_Birth]]&gt;TODAY()),"",DATEDIF(tb1_supporters[[#This Row],[Date_of_Birth]],TODAY(),"Y"))</f>
        <v>56</v>
      </c>
      <c r="J35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57" s="2" t="s">
        <v>2431</v>
      </c>
      <c r="L357" s="2" t="s">
        <v>668</v>
      </c>
      <c r="M357" s="2" t="s">
        <v>669</v>
      </c>
      <c r="N357" s="2" t="s">
        <v>670</v>
      </c>
      <c r="O357" s="2" t="s">
        <v>242</v>
      </c>
      <c r="P357" s="2" t="s">
        <v>33</v>
      </c>
      <c r="Q357" s="2" t="s">
        <v>4888</v>
      </c>
      <c r="R357" s="15">
        <v>45015</v>
      </c>
      <c r="S357" s="2" t="s">
        <v>4</v>
      </c>
      <c r="T357" s="2" t="s">
        <v>36</v>
      </c>
      <c r="U357" s="2" t="s">
        <v>37</v>
      </c>
      <c r="V357" s="2" t="s">
        <v>37</v>
      </c>
      <c r="W357" s="4" t="s">
        <v>37</v>
      </c>
      <c r="X35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57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5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57" s="2" t="str">
        <f>IF(tb1_supporters[[#This Row],[Email]]="","",IF(COUNTIF(tb1_supporters[Email],tb1_supporters[[#This Row],[Email]])&gt;1,"Review - duplicate record, see Supporter_Duplicates tab",""))</f>
        <v/>
      </c>
      <c r="AB357" s="21" t="str">
        <f>IF(tb1_supporters[[#This Row],[Communication_Preference]]="Do Not Contact","DO NOT CONTACT","")</f>
        <v/>
      </c>
      <c r="AE357"/>
    </row>
    <row r="358" spans="1:31" x14ac:dyDescent="0.25">
      <c r="A358" s="3" t="s">
        <v>2433</v>
      </c>
      <c r="B358" s="2" t="s">
        <v>22</v>
      </c>
      <c r="C358" s="2" t="s">
        <v>224</v>
      </c>
      <c r="D358" s="2" t="s">
        <v>214</v>
      </c>
      <c r="E358" s="2" t="s">
        <v>2434</v>
      </c>
      <c r="F358" s="2" t="s">
        <v>2435</v>
      </c>
      <c r="G358" s="2" t="str">
        <f>TRIM(SUBSTITUTE(SUBSTITUTE(SUBSTITUTE(SUBSTITUTE(tb1_supporters[[#This Row],[Phone_Raw]],"(",""),")","")," ",""),"+44",))</f>
        <v>01719802055</v>
      </c>
      <c r="H358" s="15">
        <v>30457</v>
      </c>
      <c r="I358" s="36">
        <f ca="1">IF(OR(tb1_supporters[[#This Row],[Date_of_Birth]]="",tb1_supporters[[#This Row],[Date_of_Birth]]&gt;TODAY()),"",DATEDIF(tb1_supporters[[#This Row],[Date_of_Birth]],TODAY(),"Y"))</f>
        <v>43</v>
      </c>
      <c r="J35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58" s="2" t="s">
        <v>2437</v>
      </c>
      <c r="L358" s="2" t="s">
        <v>429</v>
      </c>
      <c r="M358" s="2" t="s">
        <v>430</v>
      </c>
      <c r="N358" s="2" t="s">
        <v>431</v>
      </c>
      <c r="O358" s="2" t="s">
        <v>242</v>
      </c>
      <c r="P358" s="2" t="s">
        <v>4887</v>
      </c>
      <c r="Q358" s="2" t="s">
        <v>141</v>
      </c>
      <c r="R358" s="15">
        <v>44276</v>
      </c>
      <c r="S358" s="2" t="s">
        <v>105</v>
      </c>
      <c r="T358" s="2" t="s">
        <v>37</v>
      </c>
      <c r="U358" s="2" t="s">
        <v>37</v>
      </c>
      <c r="V358" s="2" t="s">
        <v>37</v>
      </c>
      <c r="W358" s="4" t="s">
        <v>37</v>
      </c>
      <c r="X35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58" s="2" t="str">
        <f>IF(ISNUMBER(SEARCH("onal",tb1_supporters[[#This Row],[Phone_Clean]])),"Review - corrupt phone number", IF(LEN(tb1_supporters[[#This Row],[Phone_Clean]])&gt;11,"Review - too many digits",""))</f>
        <v/>
      </c>
      <c r="Z35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58" s="2" t="str">
        <f>IF(tb1_supporters[[#This Row],[Email]]="","",IF(COUNTIF(tb1_supporters[Email],tb1_supporters[[#This Row],[Email]])&gt;1,"Review - duplicate record, see Supporter_Duplicates tab",""))</f>
        <v/>
      </c>
      <c r="AB358" s="21" t="str">
        <f>IF(tb1_supporters[[#This Row],[Communication_Preference]]="Do Not Contact","DO NOT CONTACT","")</f>
        <v>DO NOT CONTACT</v>
      </c>
      <c r="AE358"/>
    </row>
    <row r="359" spans="1:31" x14ac:dyDescent="0.25">
      <c r="A359" s="3" t="s">
        <v>2439</v>
      </c>
      <c r="B359" s="2" t="s">
        <v>54</v>
      </c>
      <c r="C359" s="2" t="s">
        <v>1085</v>
      </c>
      <c r="D359" s="2" t="s">
        <v>1047</v>
      </c>
      <c r="E359" s="2" t="s">
        <v>2440</v>
      </c>
      <c r="F359" s="2" t="s">
        <v>2441</v>
      </c>
      <c r="G359" s="2" t="str">
        <f>TRIM(SUBSTITUTE(SUBSTITUTE(SUBSTITUTE(SUBSTITUTE(tb1_supporters[[#This Row],[Phone_Raw]],"(",""),")","")," ",""),"+44",))</f>
        <v>010443093610</v>
      </c>
      <c r="H359" s="15">
        <v>30933</v>
      </c>
      <c r="I359" s="36">
        <f ca="1">IF(OR(tb1_supporters[[#This Row],[Date_of_Birth]]="",tb1_supporters[[#This Row],[Date_of_Birth]]&gt;TODAY()),"",DATEDIF(tb1_supporters[[#This Row],[Date_of_Birth]],TODAY(),"Y"))</f>
        <v>41</v>
      </c>
      <c r="J35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59" s="2" t="s">
        <v>2443</v>
      </c>
      <c r="L359" s="2" t="s">
        <v>219</v>
      </c>
      <c r="M359" s="2" t="s">
        <v>220</v>
      </c>
      <c r="N359" s="2" t="s">
        <v>221</v>
      </c>
      <c r="O359" s="2" t="s">
        <v>166</v>
      </c>
      <c r="P359" s="2" t="s">
        <v>181</v>
      </c>
      <c r="Q359" s="2" t="s">
        <v>141</v>
      </c>
      <c r="R359" s="15">
        <v>44238</v>
      </c>
      <c r="S359" s="2" t="s">
        <v>4</v>
      </c>
      <c r="T359" s="2" t="s">
        <v>37</v>
      </c>
      <c r="U359" s="2" t="s">
        <v>36</v>
      </c>
      <c r="V359" s="2" t="s">
        <v>37</v>
      </c>
      <c r="W359" s="4" t="s">
        <v>36</v>
      </c>
      <c r="X35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359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5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59" s="2" t="str">
        <f>IF(tb1_supporters[[#This Row],[Email]]="","",IF(COUNTIF(tb1_supporters[Email],tb1_supporters[[#This Row],[Email]])&gt;1,"Review - duplicate record, see Supporter_Duplicates tab",""))</f>
        <v/>
      </c>
      <c r="AB359" s="21" t="str">
        <f>IF(tb1_supporters[[#This Row],[Communication_Preference]]="Do Not Contact","DO NOT CONTACT","")</f>
        <v/>
      </c>
      <c r="AE359"/>
    </row>
    <row r="360" spans="1:31" x14ac:dyDescent="0.25">
      <c r="A360" s="3" t="s">
        <v>2445</v>
      </c>
      <c r="B360" s="2" t="s">
        <v>235</v>
      </c>
      <c r="C360" s="2" t="s">
        <v>23</v>
      </c>
      <c r="D360" s="2" t="s">
        <v>145</v>
      </c>
      <c r="E360" s="2" t="s">
        <v>2446</v>
      </c>
      <c r="F360" s="2" t="s">
        <v>2447</v>
      </c>
      <c r="G360" s="2" t="str">
        <f>TRIM(SUBSTITUTE(SUBSTITUTE(SUBSTITUTE(SUBSTITUTE(tb1_supporters[[#This Row],[Phone_Raw]],"(",""),")","")," ",""),"+44",))</f>
        <v>07787773192</v>
      </c>
      <c r="H360" s="15">
        <v>17452</v>
      </c>
      <c r="I360" s="36">
        <f ca="1">IF(OR(tb1_supporters[[#This Row],[Date_of_Birth]]="",tb1_supporters[[#This Row],[Date_of_Birth]]&gt;TODAY()),"",DATEDIF(tb1_supporters[[#This Row],[Date_of_Birth]],TODAY(),"Y"))</f>
        <v>78</v>
      </c>
      <c r="J36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60" s="2" t="s">
        <v>2449</v>
      </c>
      <c r="L360" s="2" t="s">
        <v>660</v>
      </c>
      <c r="M360" s="2" t="s">
        <v>230</v>
      </c>
      <c r="N360" s="2" t="s">
        <v>661</v>
      </c>
      <c r="O360" s="2" t="s">
        <v>242</v>
      </c>
      <c r="P360" s="2" t="s">
        <v>33</v>
      </c>
      <c r="Q360" s="2" t="s">
        <v>192</v>
      </c>
      <c r="R360" s="15">
        <v>45439</v>
      </c>
      <c r="S360" s="2" t="s">
        <v>93</v>
      </c>
      <c r="T360" s="2" t="s">
        <v>37</v>
      </c>
      <c r="U360" s="2" t="s">
        <v>36</v>
      </c>
      <c r="V360" s="2" t="s">
        <v>37</v>
      </c>
      <c r="W360" s="4" t="s">
        <v>37</v>
      </c>
      <c r="X36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60" s="2" t="str">
        <f>IF(ISNUMBER(SEARCH("onal",tb1_supporters[[#This Row],[Phone_Clean]])),"Review - corrupt phone number", IF(LEN(tb1_supporters[[#This Row],[Phone_Clean]])&gt;11,"Review - too many digits",""))</f>
        <v/>
      </c>
      <c r="Z36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60" s="2" t="str">
        <f>IF(tb1_supporters[[#This Row],[Email]]="","",IF(COUNTIF(tb1_supporters[Email],tb1_supporters[[#This Row],[Email]])&gt;1,"Review - duplicate record, see Supporter_Duplicates tab",""))</f>
        <v/>
      </c>
      <c r="AB360" s="21" t="str">
        <f>IF(tb1_supporters[[#This Row],[Communication_Preference]]="Do Not Contact","DO NOT CONTACT","")</f>
        <v/>
      </c>
      <c r="AE360"/>
    </row>
    <row r="361" spans="1:31" x14ac:dyDescent="0.25">
      <c r="A361" s="3" t="s">
        <v>2451</v>
      </c>
      <c r="B361" s="2" t="s">
        <v>22</v>
      </c>
      <c r="C361" s="2" t="s">
        <v>1703</v>
      </c>
      <c r="D361" s="2" t="s">
        <v>365</v>
      </c>
      <c r="E361" s="2" t="s">
        <v>2452</v>
      </c>
      <c r="F361" s="2" t="s">
        <v>2453</v>
      </c>
      <c r="G361" s="2" t="str">
        <f>TRIM(SUBSTITUTE(SUBSTITUTE(SUBSTITUTE(SUBSTITUTE(tb1_supporters[[#This Row],[Phone_Raw]],"(",""),")","")," ",""),"+44",))</f>
        <v>7854499925</v>
      </c>
      <c r="H361" s="15">
        <v>16702</v>
      </c>
      <c r="I361" s="36">
        <f ca="1">IF(OR(tb1_supporters[[#This Row],[Date_of_Birth]]="",tb1_supporters[[#This Row],[Date_of_Birth]]&gt;TODAY()),"",DATEDIF(tb1_supporters[[#This Row],[Date_of_Birth]],TODAY(),"Y"))</f>
        <v>80</v>
      </c>
      <c r="J36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61" s="2" t="s">
        <v>2455</v>
      </c>
      <c r="L361" s="2" t="s">
        <v>419</v>
      </c>
      <c r="M361" s="2" t="s">
        <v>420</v>
      </c>
      <c r="N361" s="2" t="s">
        <v>421</v>
      </c>
      <c r="O361" s="2" t="s">
        <v>242</v>
      </c>
      <c r="P361" s="2" t="s">
        <v>4887</v>
      </c>
      <c r="Q361" s="2" t="s">
        <v>154</v>
      </c>
      <c r="R361" s="15">
        <v>43691</v>
      </c>
      <c r="S361" s="2" t="s">
        <v>52</v>
      </c>
      <c r="T361" s="2" t="s">
        <v>36</v>
      </c>
      <c r="U361" s="2" t="s">
        <v>36</v>
      </c>
      <c r="V361" s="2" t="s">
        <v>36</v>
      </c>
      <c r="W361" s="4" t="s">
        <v>37</v>
      </c>
      <c r="X36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61" s="2" t="str">
        <f>IF(ISNUMBER(SEARCH("onal",tb1_supporters[[#This Row],[Phone_Clean]])),"Review - corrupt phone number", IF(LEN(tb1_supporters[[#This Row],[Phone_Clean]])&gt;11,"Review - too many digits",""))</f>
        <v/>
      </c>
      <c r="Z36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61" s="2" t="str">
        <f>IF(tb1_supporters[[#This Row],[Email]]="","",IF(COUNTIF(tb1_supporters[Email],tb1_supporters[[#This Row],[Email]])&gt;1,"Review - duplicate record, see Supporter_Duplicates tab",""))</f>
        <v/>
      </c>
      <c r="AB361" s="21" t="str">
        <f>IF(tb1_supporters[[#This Row],[Communication_Preference]]="Do Not Contact","DO NOT CONTACT","")</f>
        <v/>
      </c>
      <c r="AE361"/>
    </row>
    <row r="362" spans="1:31" x14ac:dyDescent="0.25">
      <c r="A362" s="3" t="s">
        <v>2457</v>
      </c>
      <c r="B362" s="2" t="s">
        <v>54</v>
      </c>
      <c r="C362" s="2" t="s">
        <v>1193</v>
      </c>
      <c r="D362" s="2" t="s">
        <v>145</v>
      </c>
      <c r="E362" s="2" t="s">
        <v>2458</v>
      </c>
      <c r="F362" s="2" t="s">
        <v>2459</v>
      </c>
      <c r="G362" s="2" t="str">
        <f>TRIM(SUBSTITUTE(SUBSTITUTE(SUBSTITUTE(SUBSTITUTE(tb1_supporters[[#This Row],[Phone_Raw]],"(",""),")","")," ",""),"+44",))</f>
        <v>013155503374</v>
      </c>
      <c r="H362" s="15">
        <v>23992</v>
      </c>
      <c r="I362" s="36">
        <f ca="1">IF(OR(tb1_supporters[[#This Row],[Date_of_Birth]]="",tb1_supporters[[#This Row],[Date_of_Birth]]&gt;TODAY()),"",DATEDIF(tb1_supporters[[#This Row],[Date_of_Birth]],TODAY(),"Y"))</f>
        <v>60</v>
      </c>
      <c r="J36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62" s="2" t="s">
        <v>2461</v>
      </c>
      <c r="L362" s="2" t="s">
        <v>100</v>
      </c>
      <c r="M362" s="2" t="s">
        <v>101</v>
      </c>
      <c r="N362" s="2" t="s">
        <v>343</v>
      </c>
      <c r="O362" s="2" t="s">
        <v>166</v>
      </c>
      <c r="P362" s="2" t="s">
        <v>49</v>
      </c>
      <c r="Q362" s="2" t="s">
        <v>243</v>
      </c>
      <c r="R362" s="15">
        <v>44363</v>
      </c>
      <c r="S362" s="2" t="s">
        <v>4</v>
      </c>
      <c r="T362" s="2" t="s">
        <v>36</v>
      </c>
      <c r="U362" s="2" t="s">
        <v>37</v>
      </c>
      <c r="V362" s="2" t="s">
        <v>36</v>
      </c>
      <c r="W362" s="4" t="s">
        <v>36</v>
      </c>
      <c r="X36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62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6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62" s="2" t="str">
        <f>IF(tb1_supporters[[#This Row],[Email]]="","",IF(COUNTIF(tb1_supporters[Email],tb1_supporters[[#This Row],[Email]])&gt;1,"Review - duplicate record, see Supporter_Duplicates tab",""))</f>
        <v/>
      </c>
      <c r="AB362" s="21" t="str">
        <f>IF(tb1_supporters[[#This Row],[Communication_Preference]]="Do Not Contact","DO NOT CONTACT","")</f>
        <v/>
      </c>
      <c r="AE362"/>
    </row>
    <row r="363" spans="1:31" x14ac:dyDescent="0.25">
      <c r="A363" s="3" t="s">
        <v>2463</v>
      </c>
      <c r="B363" s="2" t="s">
        <v>170</v>
      </c>
      <c r="C363" s="2" t="s">
        <v>548</v>
      </c>
      <c r="D363" s="2" t="s">
        <v>338</v>
      </c>
      <c r="E363" s="2" t="s">
        <v>2464</v>
      </c>
      <c r="F363" s="2" t="s">
        <v>2465</v>
      </c>
      <c r="G363" s="2" t="str">
        <f>TRIM(SUBSTITUTE(SUBSTITUTE(SUBSTITUTE(SUBSTITUTE(tb1_supporters[[#This Row],[Phone_Raw]],"(",""),")","")," ",""),"+44",))</f>
        <v>7987342978</v>
      </c>
      <c r="H363" s="15">
        <v>29037</v>
      </c>
      <c r="I363" s="36">
        <f ca="1">IF(OR(tb1_supporters[[#This Row],[Date_of_Birth]]="",tb1_supporters[[#This Row],[Date_of_Birth]]&gt;TODAY()),"",DATEDIF(tb1_supporters[[#This Row],[Date_of_Birth]],TODAY(),"Y"))</f>
        <v>46</v>
      </c>
      <c r="J36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63" s="2" t="s">
        <v>2467</v>
      </c>
      <c r="L363" s="2" t="s">
        <v>219</v>
      </c>
      <c r="M363" s="2" t="s">
        <v>220</v>
      </c>
      <c r="N363" s="2" t="s">
        <v>221</v>
      </c>
      <c r="O363" s="2" t="s">
        <v>242</v>
      </c>
      <c r="P363" s="2" t="s">
        <v>181</v>
      </c>
      <c r="Q363" s="2" t="s">
        <v>66</v>
      </c>
      <c r="R363" s="15">
        <v>44147</v>
      </c>
      <c r="S363" s="2" t="s">
        <v>93</v>
      </c>
      <c r="T363" s="2" t="s">
        <v>36</v>
      </c>
      <c r="U363" s="2" t="s">
        <v>36</v>
      </c>
      <c r="V363" s="2" t="s">
        <v>36</v>
      </c>
      <c r="W363" s="4" t="s">
        <v>37</v>
      </c>
      <c r="X36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63" s="2" t="str">
        <f>IF(ISNUMBER(SEARCH("onal",tb1_supporters[[#This Row],[Phone_Clean]])),"Review - corrupt phone number", IF(LEN(tb1_supporters[[#This Row],[Phone_Clean]])&gt;11,"Review - too many digits",""))</f>
        <v/>
      </c>
      <c r="Z36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63" s="2" t="str">
        <f>IF(tb1_supporters[[#This Row],[Email]]="","",IF(COUNTIF(tb1_supporters[Email],tb1_supporters[[#This Row],[Email]])&gt;1,"Review - duplicate record, see Supporter_Duplicates tab",""))</f>
        <v/>
      </c>
      <c r="AB363" s="21" t="str">
        <f>IF(tb1_supporters[[#This Row],[Communication_Preference]]="Do Not Contact","DO NOT CONTACT","")</f>
        <v/>
      </c>
      <c r="AE363"/>
    </row>
    <row r="364" spans="1:31" x14ac:dyDescent="0.25">
      <c r="A364" s="3" t="s">
        <v>2469</v>
      </c>
      <c r="B364" s="2" t="s">
        <v>170</v>
      </c>
      <c r="C364" s="2" t="s">
        <v>413</v>
      </c>
      <c r="D364" s="2" t="s">
        <v>83</v>
      </c>
      <c r="E364" s="2" t="s">
        <v>2470</v>
      </c>
      <c r="F364" s="2" t="s">
        <v>2471</v>
      </c>
      <c r="G364" s="2" t="str">
        <f>TRIM(SUBSTITUTE(SUBSTITUTE(SUBSTITUTE(SUBSTITUTE(tb1_supporters[[#This Row],[Phone_Raw]],"(",""),")","")," ",""),"+44",))</f>
        <v>01819616451</v>
      </c>
      <c r="H364" s="15">
        <v>25056</v>
      </c>
      <c r="I364" s="36">
        <f ca="1">IF(OR(tb1_supporters[[#This Row],[Date_of_Birth]]="",tb1_supporters[[#This Row],[Date_of_Birth]]&gt;TODAY()),"",DATEDIF(tb1_supporters[[#This Row],[Date_of_Birth]],TODAY(),"Y"))</f>
        <v>57</v>
      </c>
      <c r="J36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64" s="2" t="s">
        <v>2473</v>
      </c>
      <c r="L364" s="2" t="s">
        <v>531</v>
      </c>
      <c r="M364" s="2" t="s">
        <v>532</v>
      </c>
      <c r="N364" s="2" t="s">
        <v>533</v>
      </c>
      <c r="O364" s="2" t="s">
        <v>242</v>
      </c>
      <c r="P364" s="2" t="s">
        <v>65</v>
      </c>
      <c r="Q364" s="2" t="s">
        <v>243</v>
      </c>
      <c r="R364" s="15">
        <v>43757</v>
      </c>
      <c r="S364" s="2" t="s">
        <v>52</v>
      </c>
      <c r="T364" s="2" t="s">
        <v>36</v>
      </c>
      <c r="U364" s="2" t="s">
        <v>37</v>
      </c>
      <c r="V364" s="2" t="s">
        <v>36</v>
      </c>
      <c r="W364" s="4" t="s">
        <v>37</v>
      </c>
      <c r="X36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64" s="2" t="str">
        <f>IF(ISNUMBER(SEARCH("onal",tb1_supporters[[#This Row],[Phone_Clean]])),"Review - corrupt phone number", IF(LEN(tb1_supporters[[#This Row],[Phone_Clean]])&gt;11,"Review - too many digits",""))</f>
        <v/>
      </c>
      <c r="Z36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64" s="2" t="str">
        <f>IF(tb1_supporters[[#This Row],[Email]]="","",IF(COUNTIF(tb1_supporters[Email],tb1_supporters[[#This Row],[Email]])&gt;1,"Review - duplicate record, see Supporter_Duplicates tab",""))</f>
        <v/>
      </c>
      <c r="AB364" s="21" t="str">
        <f>IF(tb1_supporters[[#This Row],[Communication_Preference]]="Do Not Contact","DO NOT CONTACT","")</f>
        <v/>
      </c>
      <c r="AE364"/>
    </row>
    <row r="365" spans="1:31" x14ac:dyDescent="0.25">
      <c r="A365" s="3" t="s">
        <v>2475</v>
      </c>
      <c r="B365" s="2" t="s">
        <v>402</v>
      </c>
      <c r="C365" s="2" t="s">
        <v>171</v>
      </c>
      <c r="D365" s="2" t="s">
        <v>24</v>
      </c>
      <c r="E365" s="2" t="s">
        <v>4869</v>
      </c>
      <c r="F365" s="2" t="s">
        <v>2476</v>
      </c>
      <c r="G365" s="2" t="str">
        <f>TRIM(SUBSTITUTE(SUBSTITUTE(SUBSTITUTE(SUBSTITUTE(tb1_supporters[[#This Row],[Phone_Raw]],"(",""),")","")," ",""),"+44",))</f>
        <v>011710507564</v>
      </c>
      <c r="H365" s="15">
        <v>27053</v>
      </c>
      <c r="I365" s="36">
        <f ca="1">IF(OR(tb1_supporters[[#This Row],[Date_of_Birth]]="",tb1_supporters[[#This Row],[Date_of_Birth]]&gt;TODAY()),"",DATEDIF(tb1_supporters[[#This Row],[Date_of_Birth]],TODAY(),"Y"))</f>
        <v>52</v>
      </c>
      <c r="J36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65" s="2" t="s">
        <v>2192</v>
      </c>
      <c r="L365" s="2" t="s">
        <v>1026</v>
      </c>
      <c r="M365" s="2" t="s">
        <v>1027</v>
      </c>
      <c r="N365" s="2" t="s">
        <v>1028</v>
      </c>
      <c r="O365" s="2" t="s">
        <v>242</v>
      </c>
      <c r="P365" s="2" t="s">
        <v>49</v>
      </c>
      <c r="Q365" s="2" t="s">
        <v>50</v>
      </c>
      <c r="R365" s="15">
        <v>43437</v>
      </c>
      <c r="S365" s="2" t="s">
        <v>4</v>
      </c>
      <c r="T365" s="2" t="s">
        <v>36</v>
      </c>
      <c r="U365" s="2" t="s">
        <v>36</v>
      </c>
      <c r="V365" s="2" t="s">
        <v>36</v>
      </c>
      <c r="W365" s="4" t="s">
        <v>37</v>
      </c>
      <c r="X36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65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6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65" s="2" t="str">
        <f>IF(tb1_supporters[[#This Row],[Email]]="","",IF(COUNTIF(tb1_supporters[Email],tb1_supporters[[#This Row],[Email]])&gt;1,"Review - duplicate record, see Supporter_Duplicates tab",""))</f>
        <v/>
      </c>
      <c r="AB365" s="21" t="str">
        <f>IF(tb1_supporters[[#This Row],[Communication_Preference]]="Do Not Contact","DO NOT CONTACT","")</f>
        <v/>
      </c>
      <c r="AE365"/>
    </row>
    <row r="366" spans="1:31" x14ac:dyDescent="0.25">
      <c r="A366" s="3" t="s">
        <v>2479</v>
      </c>
      <c r="B366" s="2" t="s">
        <v>4866</v>
      </c>
      <c r="C366" s="2" t="s">
        <v>283</v>
      </c>
      <c r="D366" s="2" t="s">
        <v>41</v>
      </c>
      <c r="E366" s="2" t="s">
        <v>4869</v>
      </c>
      <c r="F366" s="2" t="s">
        <v>2480</v>
      </c>
      <c r="G366" s="2" t="str">
        <f>TRIM(SUBSTITUTE(SUBSTITUTE(SUBSTITUTE(SUBSTITUTE(tb1_supporters[[#This Row],[Phone_Raw]],"(",""),")","")," ",""),"+44",))</f>
        <v>07277803707</v>
      </c>
      <c r="H366" s="15">
        <v>32579</v>
      </c>
      <c r="I366" s="36">
        <f ca="1">IF(OR(tb1_supporters[[#This Row],[Date_of_Birth]]="",tb1_supporters[[#This Row],[Date_of_Birth]]&gt;TODAY()),"",DATEDIF(tb1_supporters[[#This Row],[Date_of_Birth]],TODAY(),"Y"))</f>
        <v>37</v>
      </c>
      <c r="J36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66" s="2" t="s">
        <v>1242</v>
      </c>
      <c r="L366" s="2" t="s">
        <v>531</v>
      </c>
      <c r="M366" s="2" t="s">
        <v>532</v>
      </c>
      <c r="N366" s="2" t="s">
        <v>533</v>
      </c>
      <c r="O366" s="2" t="s">
        <v>242</v>
      </c>
      <c r="P366" s="2" t="s">
        <v>91</v>
      </c>
      <c r="Q366" s="2" t="s">
        <v>154</v>
      </c>
      <c r="R366" s="15">
        <v>43446</v>
      </c>
      <c r="S366" s="2" t="s">
        <v>52</v>
      </c>
      <c r="T366" s="2" t="s">
        <v>36</v>
      </c>
      <c r="U366" s="2" t="s">
        <v>36</v>
      </c>
      <c r="V366" s="2" t="s">
        <v>36</v>
      </c>
      <c r="W366" s="4" t="s">
        <v>37</v>
      </c>
      <c r="X36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66" s="2" t="str">
        <f>IF(ISNUMBER(SEARCH("onal",tb1_supporters[[#This Row],[Phone_Clean]])),"Review - corrupt phone number", IF(LEN(tb1_supporters[[#This Row],[Phone_Clean]])&gt;11,"Review - too many digits",""))</f>
        <v/>
      </c>
      <c r="Z36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66" s="2" t="str">
        <f>IF(tb1_supporters[[#This Row],[Email]]="","",IF(COUNTIF(tb1_supporters[Email],tb1_supporters[[#This Row],[Email]])&gt;1,"Review - duplicate record, see Supporter_Duplicates tab",""))</f>
        <v/>
      </c>
      <c r="AB366" s="21" t="str">
        <f>IF(tb1_supporters[[#This Row],[Communication_Preference]]="Do Not Contact","DO NOT CONTACT","")</f>
        <v/>
      </c>
      <c r="AE366"/>
    </row>
    <row r="367" spans="1:31" x14ac:dyDescent="0.25">
      <c r="A367" s="3" t="s">
        <v>2483</v>
      </c>
      <c r="B367" s="2" t="s">
        <v>170</v>
      </c>
      <c r="C367" s="2" t="s">
        <v>655</v>
      </c>
      <c r="D367" s="2" t="s">
        <v>496</v>
      </c>
      <c r="E367" s="2" t="s">
        <v>2484</v>
      </c>
      <c r="F367" s="2" t="s">
        <v>2485</v>
      </c>
      <c r="G367" s="2" t="str">
        <f>TRIM(SUBSTITUTE(SUBSTITUTE(SUBSTITUTE(SUBSTITUTE(tb1_supporters[[#This Row],[Phone_Raw]],"(",""),")","")," ",""),"+44",))</f>
        <v>01513683764</v>
      </c>
      <c r="H367" s="15">
        <v>37982</v>
      </c>
      <c r="I367" s="36">
        <f ca="1">IF(OR(tb1_supporters[[#This Row],[Date_of_Birth]]="",tb1_supporters[[#This Row],[Date_of_Birth]]&gt;TODAY()),"",DATEDIF(tb1_supporters[[#This Row],[Date_of_Birth]],TODAY(),"Y"))</f>
        <v>22</v>
      </c>
      <c r="J36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67" s="2" t="s">
        <v>2487</v>
      </c>
      <c r="L367" s="2" t="s">
        <v>585</v>
      </c>
      <c r="M367" s="2" t="s">
        <v>586</v>
      </c>
      <c r="N367" s="2" t="s">
        <v>587</v>
      </c>
      <c r="O367" s="2" t="s">
        <v>242</v>
      </c>
      <c r="P367" s="2" t="s">
        <v>4887</v>
      </c>
      <c r="Q367" s="2" t="s">
        <v>50</v>
      </c>
      <c r="R367" s="15">
        <v>44166</v>
      </c>
      <c r="S367" s="2" t="s">
        <v>4</v>
      </c>
      <c r="T367" s="2" t="s">
        <v>36</v>
      </c>
      <c r="U367" s="2" t="s">
        <v>36</v>
      </c>
      <c r="V367" s="2" t="s">
        <v>36</v>
      </c>
      <c r="W367" s="4" t="s">
        <v>36</v>
      </c>
      <c r="X36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67" s="2" t="str">
        <f>IF(ISNUMBER(SEARCH("onal",tb1_supporters[[#This Row],[Phone_Clean]])),"Review - corrupt phone number", IF(LEN(tb1_supporters[[#This Row],[Phone_Clean]])&gt;11,"Review - too many digits",""))</f>
        <v/>
      </c>
      <c r="Z36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67" s="2" t="str">
        <f>IF(tb1_supporters[[#This Row],[Email]]="","",IF(COUNTIF(tb1_supporters[Email],tb1_supporters[[#This Row],[Email]])&gt;1,"Review - duplicate record, see Supporter_Duplicates tab",""))</f>
        <v/>
      </c>
      <c r="AB367" s="21" t="str">
        <f>IF(tb1_supporters[[#This Row],[Communication_Preference]]="Do Not Contact","DO NOT CONTACT","")</f>
        <v/>
      </c>
      <c r="AE367"/>
    </row>
    <row r="368" spans="1:31" x14ac:dyDescent="0.25">
      <c r="A368" s="3" t="s">
        <v>2489</v>
      </c>
      <c r="B368" s="2" t="s">
        <v>54</v>
      </c>
      <c r="C368" s="2" t="s">
        <v>1290</v>
      </c>
      <c r="D368" s="2" t="s">
        <v>574</v>
      </c>
      <c r="E368" s="2" t="s">
        <v>2490</v>
      </c>
      <c r="F368" s="2" t="s">
        <v>2491</v>
      </c>
      <c r="G368" s="2" t="str">
        <f>TRIM(SUBSTITUTE(SUBSTITUTE(SUBSTITUTE(SUBSTITUTE(tb1_supporters[[#This Row],[Phone_Raw]],"(",""),")","")," ",""),"+44",))</f>
        <v>07394864606</v>
      </c>
      <c r="H368" s="15">
        <v>19146</v>
      </c>
      <c r="I368" s="36">
        <f ca="1">IF(OR(tb1_supporters[[#This Row],[Date_of_Birth]]="",tb1_supporters[[#This Row],[Date_of_Birth]]&gt;TODAY()),"",DATEDIF(tb1_supporters[[#This Row],[Date_of_Birth]],TODAY(),"Y"))</f>
        <v>73</v>
      </c>
      <c r="J36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68" s="2" t="s">
        <v>2493</v>
      </c>
      <c r="L368" s="2" t="s">
        <v>984</v>
      </c>
      <c r="M368" s="2" t="s">
        <v>62</v>
      </c>
      <c r="N368" s="2" t="s">
        <v>985</v>
      </c>
      <c r="O368" s="2" t="s">
        <v>166</v>
      </c>
      <c r="P368" s="2" t="s">
        <v>4887</v>
      </c>
      <c r="Q368" s="2" t="s">
        <v>243</v>
      </c>
      <c r="R368" s="15">
        <v>43947</v>
      </c>
      <c r="S368" s="2" t="s">
        <v>52</v>
      </c>
      <c r="T368" s="2" t="s">
        <v>37</v>
      </c>
      <c r="U368" s="2" t="s">
        <v>36</v>
      </c>
      <c r="V368" s="2" t="s">
        <v>36</v>
      </c>
      <c r="W368" s="4" t="s">
        <v>36</v>
      </c>
      <c r="X36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68" s="2" t="str">
        <f>IF(ISNUMBER(SEARCH("onal",tb1_supporters[[#This Row],[Phone_Clean]])),"Review - corrupt phone number", IF(LEN(tb1_supporters[[#This Row],[Phone_Clean]])&gt;11,"Review - too many digits",""))</f>
        <v/>
      </c>
      <c r="Z36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68" s="2" t="str">
        <f>IF(tb1_supporters[[#This Row],[Email]]="","",IF(COUNTIF(tb1_supporters[Email],tb1_supporters[[#This Row],[Email]])&gt;1,"Review - duplicate record, see Supporter_Duplicates tab",""))</f>
        <v/>
      </c>
      <c r="AB368" s="21" t="str">
        <f>IF(tb1_supporters[[#This Row],[Communication_Preference]]="Do Not Contact","DO NOT CONTACT","")</f>
        <v/>
      </c>
      <c r="AE368"/>
    </row>
    <row r="369" spans="1:31" x14ac:dyDescent="0.25">
      <c r="A369" s="3" t="s">
        <v>2495</v>
      </c>
      <c r="B369" s="2" t="s">
        <v>54</v>
      </c>
      <c r="C369" s="2" t="s">
        <v>337</v>
      </c>
      <c r="D369" s="2" t="s">
        <v>1039</v>
      </c>
      <c r="E369" s="2" t="s">
        <v>2497</v>
      </c>
      <c r="F369" s="2" t="s">
        <v>2498</v>
      </c>
      <c r="G369" s="2" t="str">
        <f>TRIM(SUBSTITUTE(SUBSTITUTE(SUBSTITUTE(SUBSTITUTE(tb1_supporters[[#This Row],[Phone_Raw]],"(",""),")","")," ",""),"+44",))</f>
        <v>7800762569</v>
      </c>
      <c r="H369" s="15">
        <v>28004</v>
      </c>
      <c r="I369" s="36">
        <f ca="1">IF(OR(tb1_supporters[[#This Row],[Date_of_Birth]]="",tb1_supporters[[#This Row],[Date_of_Birth]]&gt;TODAY()),"",DATEDIF(tb1_supporters[[#This Row],[Date_of_Birth]],TODAY(),"Y"))</f>
        <v>49</v>
      </c>
      <c r="J36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69" s="2" t="s">
        <v>2500</v>
      </c>
      <c r="L369" s="2" t="s">
        <v>126</v>
      </c>
      <c r="M369" s="2" t="s">
        <v>127</v>
      </c>
      <c r="N369" s="2" t="s">
        <v>128</v>
      </c>
      <c r="O369" s="2" t="s">
        <v>166</v>
      </c>
      <c r="P369" s="2" t="s">
        <v>153</v>
      </c>
      <c r="Q369" s="2" t="s">
        <v>154</v>
      </c>
      <c r="R369" s="15">
        <v>44425</v>
      </c>
      <c r="S369" s="2" t="s">
        <v>4</v>
      </c>
      <c r="T369" s="2" t="s">
        <v>36</v>
      </c>
      <c r="U369" s="2" t="s">
        <v>36</v>
      </c>
      <c r="V369" s="2" t="s">
        <v>37</v>
      </c>
      <c r="W369" s="4" t="s">
        <v>37</v>
      </c>
      <c r="X36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69" s="2" t="str">
        <f>IF(ISNUMBER(SEARCH("onal",tb1_supporters[[#This Row],[Phone_Clean]])),"Review - corrupt phone number", IF(LEN(tb1_supporters[[#This Row],[Phone_Clean]])&gt;11,"Review - too many digits",""))</f>
        <v/>
      </c>
      <c r="Z36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69" s="2" t="str">
        <f>IF(tb1_supporters[[#This Row],[Email]]="","",IF(COUNTIF(tb1_supporters[Email],tb1_supporters[[#This Row],[Email]])&gt;1,"Review - duplicate record, see Supporter_Duplicates tab",""))</f>
        <v/>
      </c>
      <c r="AB369" s="21" t="str">
        <f>IF(tb1_supporters[[#This Row],[Communication_Preference]]="Do Not Contact","DO NOT CONTACT","")</f>
        <v/>
      </c>
      <c r="AE369"/>
    </row>
    <row r="370" spans="1:31" x14ac:dyDescent="0.25">
      <c r="A370" s="3" t="s">
        <v>2502</v>
      </c>
      <c r="B370" s="2" t="s">
        <v>69</v>
      </c>
      <c r="C370" s="2" t="s">
        <v>434</v>
      </c>
      <c r="D370" s="2" t="s">
        <v>902</v>
      </c>
      <c r="E370" s="2" t="s">
        <v>2503</v>
      </c>
      <c r="F370" s="2" t="s">
        <v>2504</v>
      </c>
      <c r="G370" s="2" t="str">
        <f>TRIM(SUBSTITUTE(SUBSTITUTE(SUBSTITUTE(SUBSTITUTE(tb1_supporters[[#This Row],[Phone_Raw]],"(",""),")","")," ",""),"+44",))</f>
        <v>07720786921</v>
      </c>
      <c r="H370" s="15">
        <v>34423</v>
      </c>
      <c r="I370" s="36">
        <f ca="1">IF(OR(tb1_supporters[[#This Row],[Date_of_Birth]]="",tb1_supporters[[#This Row],[Date_of_Birth]]&gt;TODAY()),"",DATEDIF(tb1_supporters[[#This Row],[Date_of_Birth]],TODAY(),"Y"))</f>
        <v>32</v>
      </c>
      <c r="J37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70" s="2" t="s">
        <v>2506</v>
      </c>
      <c r="L370" s="2" t="s">
        <v>945</v>
      </c>
      <c r="M370" s="2" t="s">
        <v>946</v>
      </c>
      <c r="N370" s="2" t="s">
        <v>947</v>
      </c>
      <c r="O370" s="2" t="s">
        <v>166</v>
      </c>
      <c r="P370" s="2" t="s">
        <v>181</v>
      </c>
      <c r="Q370" s="2" t="s">
        <v>192</v>
      </c>
      <c r="R370" s="15">
        <v>44139</v>
      </c>
      <c r="S370" s="2" t="s">
        <v>52</v>
      </c>
      <c r="T370" s="2" t="s">
        <v>37</v>
      </c>
      <c r="U370" s="2" t="s">
        <v>37</v>
      </c>
      <c r="V370" s="2" t="s">
        <v>37</v>
      </c>
      <c r="W370" s="4" t="s">
        <v>37</v>
      </c>
      <c r="X37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70" s="2" t="str">
        <f>IF(ISNUMBER(SEARCH("onal",tb1_supporters[[#This Row],[Phone_Clean]])),"Review - corrupt phone number", IF(LEN(tb1_supporters[[#This Row],[Phone_Clean]])&gt;11,"Review - too many digits",""))</f>
        <v/>
      </c>
      <c r="Z37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70" s="2" t="str">
        <f>IF(tb1_supporters[[#This Row],[Email]]="","",IF(COUNTIF(tb1_supporters[Email],tb1_supporters[[#This Row],[Email]])&gt;1,"Review - duplicate record, see Supporter_Duplicates tab",""))</f>
        <v/>
      </c>
      <c r="AB370" s="21" t="str">
        <f>IF(tb1_supporters[[#This Row],[Communication_Preference]]="Do Not Contact","DO NOT CONTACT","")</f>
        <v/>
      </c>
      <c r="AE370"/>
    </row>
    <row r="371" spans="1:31" x14ac:dyDescent="0.25">
      <c r="A371" s="3" t="s">
        <v>2508</v>
      </c>
      <c r="B371" s="2" t="s">
        <v>170</v>
      </c>
      <c r="C371" s="2" t="s">
        <v>95</v>
      </c>
      <c r="D371" s="2" t="s">
        <v>1323</v>
      </c>
      <c r="E371" s="2" t="s">
        <v>2509</v>
      </c>
      <c r="F371" s="2" t="s">
        <v>2510</v>
      </c>
      <c r="G371" s="2" t="str">
        <f>TRIM(SUBSTITUTE(SUBSTITUTE(SUBSTITUTE(SUBSTITUTE(tb1_supporters[[#This Row],[Phone_Raw]],"(",""),")","")," ",""),"+44",))</f>
        <v>01411916198</v>
      </c>
      <c r="H371" s="15">
        <v>22366</v>
      </c>
      <c r="I371" s="36">
        <f ca="1">IF(OR(tb1_supporters[[#This Row],[Date_of_Birth]]="",tb1_supporters[[#This Row],[Date_of_Birth]]&gt;TODAY()),"",DATEDIF(tb1_supporters[[#This Row],[Date_of_Birth]],TODAY(),"Y"))</f>
        <v>65</v>
      </c>
      <c r="J37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71" s="2" t="s">
        <v>1724</v>
      </c>
      <c r="L371" s="2" t="s">
        <v>609</v>
      </c>
      <c r="M371" s="2" t="s">
        <v>610</v>
      </c>
      <c r="N371" s="2" t="s">
        <v>611</v>
      </c>
      <c r="O371" s="2" t="s">
        <v>242</v>
      </c>
      <c r="P371" s="2" t="s">
        <v>117</v>
      </c>
      <c r="Q371" s="2" t="s">
        <v>141</v>
      </c>
      <c r="R371" s="15">
        <v>43579</v>
      </c>
      <c r="S371" s="2" t="s">
        <v>93</v>
      </c>
      <c r="T371" s="2" t="s">
        <v>36</v>
      </c>
      <c r="U371" s="2" t="s">
        <v>36</v>
      </c>
      <c r="V371" s="2" t="s">
        <v>36</v>
      </c>
      <c r="W371" s="4" t="s">
        <v>37</v>
      </c>
      <c r="X37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71" s="2" t="str">
        <f>IF(ISNUMBER(SEARCH("onal",tb1_supporters[[#This Row],[Phone_Clean]])),"Review - corrupt phone number", IF(LEN(tb1_supporters[[#This Row],[Phone_Clean]])&gt;11,"Review - too many digits",""))</f>
        <v/>
      </c>
      <c r="Z37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71" s="2" t="str">
        <f>IF(tb1_supporters[[#This Row],[Email]]="","",IF(COUNTIF(tb1_supporters[Email],tb1_supporters[[#This Row],[Email]])&gt;1,"Review - duplicate record, see Supporter_Duplicates tab",""))</f>
        <v/>
      </c>
      <c r="AB371" s="21" t="str">
        <f>IF(tb1_supporters[[#This Row],[Communication_Preference]]="Do Not Contact","DO NOT CONTACT","")</f>
        <v/>
      </c>
      <c r="AE371"/>
    </row>
    <row r="372" spans="1:31" x14ac:dyDescent="0.25">
      <c r="A372" s="3" t="s">
        <v>2513</v>
      </c>
      <c r="B372" s="2" t="s">
        <v>235</v>
      </c>
      <c r="C372" s="2" t="s">
        <v>1689</v>
      </c>
      <c r="D372" s="2" t="s">
        <v>24</v>
      </c>
      <c r="E372" s="2" t="s">
        <v>2514</v>
      </c>
      <c r="F372" s="2" t="s">
        <v>2515</v>
      </c>
      <c r="G372" s="2" t="str">
        <f>TRIM(SUBSTITUTE(SUBSTITUTE(SUBSTITUTE(SUBSTITUTE(tb1_supporters[[#This Row],[Phone_Raw]],"(",""),")","")," ",""),"+44",))</f>
        <v>01414239049</v>
      </c>
      <c r="H372" s="15">
        <v>26458</v>
      </c>
      <c r="I372" s="36">
        <f ca="1">IF(OR(tb1_supporters[[#This Row],[Date_of_Birth]]="",tb1_supporters[[#This Row],[Date_of_Birth]]&gt;TODAY()),"",DATEDIF(tb1_supporters[[#This Row],[Date_of_Birth]],TODAY(),"Y"))</f>
        <v>53</v>
      </c>
      <c r="J37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72" s="2" t="s">
        <v>2517</v>
      </c>
      <c r="L372" s="2" t="s">
        <v>625</v>
      </c>
      <c r="M372" s="2" t="s">
        <v>626</v>
      </c>
      <c r="N372" s="2" t="s">
        <v>627</v>
      </c>
      <c r="O372" s="2" t="s">
        <v>242</v>
      </c>
      <c r="P372" s="2" t="s">
        <v>153</v>
      </c>
      <c r="Q372" s="2" t="s">
        <v>192</v>
      </c>
      <c r="R372" s="15">
        <v>43874</v>
      </c>
      <c r="S372" s="2" t="s">
        <v>4</v>
      </c>
      <c r="T372" s="2" t="s">
        <v>36</v>
      </c>
      <c r="U372" s="2" t="s">
        <v>36</v>
      </c>
      <c r="V372" s="2" t="s">
        <v>36</v>
      </c>
      <c r="W372" s="4" t="s">
        <v>36</v>
      </c>
      <c r="X37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72" s="2" t="str">
        <f>IF(ISNUMBER(SEARCH("onal",tb1_supporters[[#This Row],[Phone_Clean]])),"Review - corrupt phone number", IF(LEN(tb1_supporters[[#This Row],[Phone_Clean]])&gt;11,"Review - too many digits",""))</f>
        <v/>
      </c>
      <c r="Z37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72" s="2" t="str">
        <f>IF(tb1_supporters[[#This Row],[Email]]="","",IF(COUNTIF(tb1_supporters[Email],tb1_supporters[[#This Row],[Email]])&gt;1,"Review - duplicate record, see Supporter_Duplicates tab",""))</f>
        <v/>
      </c>
      <c r="AB372" s="21" t="str">
        <f>IF(tb1_supporters[[#This Row],[Communication_Preference]]="Do Not Contact","DO NOT CONTACT","")</f>
        <v/>
      </c>
      <c r="AE372"/>
    </row>
    <row r="373" spans="1:31" x14ac:dyDescent="0.25">
      <c r="A373" s="3" t="s">
        <v>2519</v>
      </c>
      <c r="B373" s="2" t="s">
        <v>4866</v>
      </c>
      <c r="C373" s="2" t="s">
        <v>413</v>
      </c>
      <c r="D373" s="2" t="s">
        <v>674</v>
      </c>
      <c r="E373" s="2" t="s">
        <v>2520</v>
      </c>
      <c r="F373" s="2" t="s">
        <v>2521</v>
      </c>
      <c r="G373" s="2" t="str">
        <f>TRIM(SUBSTITUTE(SUBSTITUTE(SUBSTITUTE(SUBSTITUTE(tb1_supporters[[#This Row],[Phone_Raw]],"(",""),")","")," ",""),"+44",))</f>
        <v>01912153425</v>
      </c>
      <c r="H373" s="15">
        <v>24429</v>
      </c>
      <c r="I373" s="36">
        <f ca="1">IF(OR(tb1_supporters[[#This Row],[Date_of_Birth]]="",tb1_supporters[[#This Row],[Date_of_Birth]]&gt;TODAY()),"",DATEDIF(tb1_supporters[[#This Row],[Date_of_Birth]],TODAY(),"Y"))</f>
        <v>59</v>
      </c>
      <c r="J37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73" s="2" t="s">
        <v>2523</v>
      </c>
      <c r="L373" s="2" t="s">
        <v>984</v>
      </c>
      <c r="M373" s="2" t="s">
        <v>62</v>
      </c>
      <c r="N373" s="2" t="s">
        <v>985</v>
      </c>
      <c r="O373" s="2" t="s">
        <v>242</v>
      </c>
      <c r="P373" s="2" t="s">
        <v>65</v>
      </c>
      <c r="Q373" s="2" t="s">
        <v>154</v>
      </c>
      <c r="R373" s="15">
        <v>44264</v>
      </c>
      <c r="S373" s="2" t="s">
        <v>93</v>
      </c>
      <c r="T373" s="2" t="s">
        <v>36</v>
      </c>
      <c r="U373" s="2" t="s">
        <v>36</v>
      </c>
      <c r="V373" s="2" t="s">
        <v>37</v>
      </c>
      <c r="W373" s="4" t="s">
        <v>37</v>
      </c>
      <c r="X37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73" s="2" t="str">
        <f>IF(ISNUMBER(SEARCH("onal",tb1_supporters[[#This Row],[Phone_Clean]])),"Review - corrupt phone number", IF(LEN(tb1_supporters[[#This Row],[Phone_Clean]])&gt;11,"Review - too many digits",""))</f>
        <v/>
      </c>
      <c r="Z37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73" s="2" t="str">
        <f>IF(tb1_supporters[[#This Row],[Email]]="","",IF(COUNTIF(tb1_supporters[Email],tb1_supporters[[#This Row],[Email]])&gt;1,"Review - duplicate record, see Supporter_Duplicates tab",""))</f>
        <v/>
      </c>
      <c r="AB373" s="21" t="str">
        <f>IF(tb1_supporters[[#This Row],[Communication_Preference]]="Do Not Contact","DO NOT CONTACT","")</f>
        <v/>
      </c>
      <c r="AE373"/>
    </row>
    <row r="374" spans="1:31" x14ac:dyDescent="0.25">
      <c r="A374" s="3" t="s">
        <v>2525</v>
      </c>
      <c r="B374" s="2" t="s">
        <v>54</v>
      </c>
      <c r="C374" s="2" t="s">
        <v>1098</v>
      </c>
      <c r="D374" s="2" t="s">
        <v>473</v>
      </c>
      <c r="E374" s="2" t="s">
        <v>2526</v>
      </c>
      <c r="F374" s="2" t="s">
        <v>2527</v>
      </c>
      <c r="G374" s="2" t="str">
        <f>TRIM(SUBSTITUTE(SUBSTITUTE(SUBSTITUTE(SUBSTITUTE(tb1_supporters[[#This Row],[Phone_Raw]],"(",""),")","")," ",""),"+44",))</f>
        <v>07352886610</v>
      </c>
      <c r="H374" s="15">
        <v>30326</v>
      </c>
      <c r="I374" s="36">
        <f ca="1">IF(OR(tb1_supporters[[#This Row],[Date_of_Birth]]="",tb1_supporters[[#This Row],[Date_of_Birth]]&gt;TODAY()),"",DATEDIF(tb1_supporters[[#This Row],[Date_of_Birth]],TODAY(),"Y"))</f>
        <v>43</v>
      </c>
      <c r="J37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74" s="2" t="s">
        <v>2529</v>
      </c>
      <c r="L374" s="2" t="s">
        <v>693</v>
      </c>
      <c r="M374" s="2" t="s">
        <v>694</v>
      </c>
      <c r="N374" s="2" t="s">
        <v>695</v>
      </c>
      <c r="O374" s="2" t="s">
        <v>166</v>
      </c>
      <c r="P374" s="2" t="s">
        <v>49</v>
      </c>
      <c r="Q374" s="2" t="s">
        <v>192</v>
      </c>
      <c r="R374" s="15">
        <v>44265</v>
      </c>
      <c r="S374" s="2" t="s">
        <v>4</v>
      </c>
      <c r="T374" s="2" t="s">
        <v>36</v>
      </c>
      <c r="U374" s="2" t="s">
        <v>36</v>
      </c>
      <c r="V374" s="2" t="s">
        <v>36</v>
      </c>
      <c r="W374" s="4" t="s">
        <v>37</v>
      </c>
      <c r="X37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74" s="2" t="str">
        <f>IF(ISNUMBER(SEARCH("onal",tb1_supporters[[#This Row],[Phone_Clean]])),"Review - corrupt phone number", IF(LEN(tb1_supporters[[#This Row],[Phone_Clean]])&gt;11,"Review - too many digits",""))</f>
        <v/>
      </c>
      <c r="Z37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74" s="2" t="str">
        <f>IF(tb1_supporters[[#This Row],[Email]]="","",IF(COUNTIF(tb1_supporters[Email],tb1_supporters[[#This Row],[Email]])&gt;1,"Review - duplicate record, see Supporter_Duplicates tab",""))</f>
        <v/>
      </c>
      <c r="AB374" s="21" t="str">
        <f>IF(tb1_supporters[[#This Row],[Communication_Preference]]="Do Not Contact","DO NOT CONTACT","")</f>
        <v/>
      </c>
      <c r="AE374"/>
    </row>
    <row r="375" spans="1:31" x14ac:dyDescent="0.25">
      <c r="A375" s="3" t="s">
        <v>2531</v>
      </c>
      <c r="B375" s="2" t="s">
        <v>4866</v>
      </c>
      <c r="C375" s="2" t="s">
        <v>488</v>
      </c>
      <c r="D375" s="2" t="s">
        <v>1039</v>
      </c>
      <c r="E375" s="2" t="s">
        <v>2533</v>
      </c>
      <c r="F375" s="2" t="s">
        <v>2534</v>
      </c>
      <c r="G375" s="2" t="str">
        <f>TRIM(SUBSTITUTE(SUBSTITUTE(SUBSTITUTE(SUBSTITUTE(tb1_supporters[[#This Row],[Phone_Raw]],"(",""),")","")," ",""),"+44",))</f>
        <v>07144771737</v>
      </c>
      <c r="H375" s="15">
        <v>34304</v>
      </c>
      <c r="I375" s="36">
        <f ca="1">IF(OR(tb1_supporters[[#This Row],[Date_of_Birth]]="",tb1_supporters[[#This Row],[Date_of_Birth]]&gt;TODAY()),"",DATEDIF(tb1_supporters[[#This Row],[Date_of_Birth]],TODAY(),"Y"))</f>
        <v>32</v>
      </c>
      <c r="J37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75" s="2" t="s">
        <v>2536</v>
      </c>
      <c r="L375" s="2" t="s">
        <v>370</v>
      </c>
      <c r="M375" s="2" t="s">
        <v>371</v>
      </c>
      <c r="N375" s="2" t="s">
        <v>602</v>
      </c>
      <c r="O375" s="2" t="s">
        <v>242</v>
      </c>
      <c r="P375" s="2" t="s">
        <v>117</v>
      </c>
      <c r="Q375" s="2" t="s">
        <v>154</v>
      </c>
      <c r="R375" s="15">
        <v>43300</v>
      </c>
      <c r="S375" s="2" t="s">
        <v>4</v>
      </c>
      <c r="T375" s="2" t="s">
        <v>36</v>
      </c>
      <c r="U375" s="2" t="s">
        <v>36</v>
      </c>
      <c r="V375" s="2" t="s">
        <v>36</v>
      </c>
      <c r="W375" s="4" t="s">
        <v>36</v>
      </c>
      <c r="X37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75" s="2" t="str">
        <f>IF(ISNUMBER(SEARCH("onal",tb1_supporters[[#This Row],[Phone_Clean]])),"Review - corrupt phone number", IF(LEN(tb1_supporters[[#This Row],[Phone_Clean]])&gt;11,"Review - too many digits",""))</f>
        <v/>
      </c>
      <c r="Z37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75" s="2" t="str">
        <f>IF(tb1_supporters[[#This Row],[Email]]="","",IF(COUNTIF(tb1_supporters[Email],tb1_supporters[[#This Row],[Email]])&gt;1,"Review - duplicate record, see Supporter_Duplicates tab",""))</f>
        <v/>
      </c>
      <c r="AB375" s="21" t="str">
        <f>IF(tb1_supporters[[#This Row],[Communication_Preference]]="Do Not Contact","DO NOT CONTACT","")</f>
        <v/>
      </c>
      <c r="AE375"/>
    </row>
    <row r="376" spans="1:31" x14ac:dyDescent="0.25">
      <c r="A376" s="3" t="s">
        <v>2538</v>
      </c>
      <c r="B376" s="2" t="s">
        <v>170</v>
      </c>
      <c r="C376" s="2" t="s">
        <v>346</v>
      </c>
      <c r="D376" s="2" t="s">
        <v>225</v>
      </c>
      <c r="E376" s="2" t="s">
        <v>2539</v>
      </c>
      <c r="F376" s="2" t="s">
        <v>2540</v>
      </c>
      <c r="G376" s="2" t="str">
        <f>TRIM(SUBSTITUTE(SUBSTITUTE(SUBSTITUTE(SUBSTITUTE(tb1_supporters[[#This Row],[Phone_Raw]],"(",""),")","")," ",""),"+44",))</f>
        <v>07972313266</v>
      </c>
      <c r="H376" s="15">
        <v>25857</v>
      </c>
      <c r="I376" s="36">
        <f ca="1">IF(OR(tb1_supporters[[#This Row],[Date_of_Birth]]="",tb1_supporters[[#This Row],[Date_of_Birth]]&gt;TODAY()),"",DATEDIF(tb1_supporters[[#This Row],[Date_of_Birth]],TODAY(),"Y"))</f>
        <v>55</v>
      </c>
      <c r="J37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76" s="2" t="s">
        <v>2542</v>
      </c>
      <c r="L376" s="2" t="s">
        <v>126</v>
      </c>
      <c r="M376" s="2" t="s">
        <v>127</v>
      </c>
      <c r="N376" s="2" t="s">
        <v>128</v>
      </c>
      <c r="O376" s="2" t="s">
        <v>242</v>
      </c>
      <c r="P376" s="2" t="s">
        <v>91</v>
      </c>
      <c r="Q376" s="2" t="s">
        <v>4888</v>
      </c>
      <c r="R376" s="15">
        <v>43732</v>
      </c>
      <c r="S376" s="2" t="s">
        <v>4</v>
      </c>
      <c r="T376" s="2" t="s">
        <v>36</v>
      </c>
      <c r="U376" s="2" t="s">
        <v>36</v>
      </c>
      <c r="V376" s="2" t="s">
        <v>37</v>
      </c>
      <c r="W376" s="4" t="s">
        <v>37</v>
      </c>
      <c r="X37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76" s="2" t="str">
        <f>IF(ISNUMBER(SEARCH("onal",tb1_supporters[[#This Row],[Phone_Clean]])),"Review - corrupt phone number", IF(LEN(tb1_supporters[[#This Row],[Phone_Clean]])&gt;11,"Review - too many digits",""))</f>
        <v/>
      </c>
      <c r="Z37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76" s="2" t="str">
        <f>IF(tb1_supporters[[#This Row],[Email]]="","",IF(COUNTIF(tb1_supporters[Email],tb1_supporters[[#This Row],[Email]])&gt;1,"Review - duplicate record, see Supporter_Duplicates tab",""))</f>
        <v/>
      </c>
      <c r="AB376" s="21" t="str">
        <f>IF(tb1_supporters[[#This Row],[Communication_Preference]]="Do Not Contact","DO NOT CONTACT","")</f>
        <v/>
      </c>
      <c r="AE376"/>
    </row>
    <row r="377" spans="1:31" x14ac:dyDescent="0.25">
      <c r="A377" s="3" t="s">
        <v>2544</v>
      </c>
      <c r="B377" s="2" t="s">
        <v>170</v>
      </c>
      <c r="C377" s="2" t="s">
        <v>968</v>
      </c>
      <c r="D377" s="2" t="s">
        <v>1323</v>
      </c>
      <c r="E377" s="2" t="s">
        <v>2545</v>
      </c>
      <c r="F377" s="2" t="s">
        <v>2546</v>
      </c>
      <c r="G377" s="2" t="str">
        <f>TRIM(SUBSTITUTE(SUBSTITUTE(SUBSTITUTE(SUBSTITUTE(tb1_supporters[[#This Row],[Phone_Raw]],"(",""),")","")," ",""),"+44",))</f>
        <v>01914978805</v>
      </c>
      <c r="H377" s="15">
        <v>20771</v>
      </c>
      <c r="I377" s="36">
        <f ca="1">IF(OR(tb1_supporters[[#This Row],[Date_of_Birth]]="",tb1_supporters[[#This Row],[Date_of_Birth]]&gt;TODAY()),"",DATEDIF(tb1_supporters[[#This Row],[Date_of_Birth]],TODAY(),"Y"))</f>
        <v>69</v>
      </c>
      <c r="J37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77" s="2" t="s">
        <v>2548</v>
      </c>
      <c r="L377" s="2" t="s">
        <v>650</v>
      </c>
      <c r="M377" s="2" t="s">
        <v>651</v>
      </c>
      <c r="N377" s="2" t="s">
        <v>652</v>
      </c>
      <c r="O377" s="2" t="s">
        <v>242</v>
      </c>
      <c r="P377" s="2" t="s">
        <v>65</v>
      </c>
      <c r="Q377" s="2" t="s">
        <v>243</v>
      </c>
      <c r="R377" s="15">
        <v>44831</v>
      </c>
      <c r="S377" s="2" t="s">
        <v>4</v>
      </c>
      <c r="T377" s="2" t="s">
        <v>36</v>
      </c>
      <c r="U377" s="2" t="s">
        <v>37</v>
      </c>
      <c r="V377" s="2" t="s">
        <v>36</v>
      </c>
      <c r="W377" s="4" t="s">
        <v>37</v>
      </c>
      <c r="X37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77" s="2" t="str">
        <f>IF(ISNUMBER(SEARCH("onal",tb1_supporters[[#This Row],[Phone_Clean]])),"Review - corrupt phone number", IF(LEN(tb1_supporters[[#This Row],[Phone_Clean]])&gt;11,"Review - too many digits",""))</f>
        <v/>
      </c>
      <c r="Z37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77" s="2" t="str">
        <f>IF(tb1_supporters[[#This Row],[Email]]="","",IF(COUNTIF(tb1_supporters[Email],tb1_supporters[[#This Row],[Email]])&gt;1,"Review - duplicate record, see Supporter_Duplicates tab",""))</f>
        <v/>
      </c>
      <c r="AB377" s="21" t="str">
        <f>IF(tb1_supporters[[#This Row],[Communication_Preference]]="Do Not Contact","DO NOT CONTACT","")</f>
        <v/>
      </c>
      <c r="AE377"/>
    </row>
    <row r="378" spans="1:31" x14ac:dyDescent="0.25">
      <c r="A378" s="3" t="s">
        <v>2550</v>
      </c>
      <c r="B378" s="2" t="s">
        <v>54</v>
      </c>
      <c r="C378" s="2" t="s">
        <v>1429</v>
      </c>
      <c r="D378" s="2" t="s">
        <v>96</v>
      </c>
      <c r="E378" s="2" t="s">
        <v>2551</v>
      </c>
      <c r="F378" s="2" t="s">
        <v>2552</v>
      </c>
      <c r="G378" s="2" t="str">
        <f>TRIM(SUBSTITUTE(SUBSTITUTE(SUBSTITUTE(SUBSTITUTE(tb1_supporters[[#This Row],[Phone_Raw]],"(",""),")","")," ",""),"+44",))</f>
        <v>7744762637</v>
      </c>
      <c r="H378" s="15">
        <v>26806</v>
      </c>
      <c r="I378" s="36">
        <f ca="1">IF(OR(tb1_supporters[[#This Row],[Date_of_Birth]]="",tb1_supporters[[#This Row],[Date_of_Birth]]&gt;TODAY()),"",DATEDIF(tb1_supporters[[#This Row],[Date_of_Birth]],TODAY(),"Y"))</f>
        <v>53</v>
      </c>
      <c r="J37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78" s="2" t="s">
        <v>2554</v>
      </c>
      <c r="L378" s="2" t="s">
        <v>387</v>
      </c>
      <c r="M378" s="2" t="s">
        <v>388</v>
      </c>
      <c r="N378" s="2" t="s">
        <v>389</v>
      </c>
      <c r="O378" s="2" t="s">
        <v>166</v>
      </c>
      <c r="P378" s="2" t="s">
        <v>153</v>
      </c>
      <c r="Q378" s="2" t="s">
        <v>66</v>
      </c>
      <c r="R378" s="15">
        <v>43425</v>
      </c>
      <c r="S378" s="2" t="s">
        <v>4</v>
      </c>
      <c r="T378" s="2" t="s">
        <v>36</v>
      </c>
      <c r="U378" s="2" t="s">
        <v>36</v>
      </c>
      <c r="V378" s="2" t="s">
        <v>36</v>
      </c>
      <c r="W378" s="4" t="s">
        <v>36</v>
      </c>
      <c r="X37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78" s="2" t="str">
        <f>IF(ISNUMBER(SEARCH("onal",tb1_supporters[[#This Row],[Phone_Clean]])),"Review - corrupt phone number", IF(LEN(tb1_supporters[[#This Row],[Phone_Clean]])&gt;11,"Review - too many digits",""))</f>
        <v/>
      </c>
      <c r="Z37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78" s="2" t="str">
        <f>IF(tb1_supporters[[#This Row],[Email]]="","",IF(COUNTIF(tb1_supporters[Email],tb1_supporters[[#This Row],[Email]])&gt;1,"Review - duplicate record, see Supporter_Duplicates tab",""))</f>
        <v/>
      </c>
      <c r="AB378" s="21" t="str">
        <f>IF(tb1_supporters[[#This Row],[Communication_Preference]]="Do Not Contact","DO NOT CONTACT","")</f>
        <v/>
      </c>
      <c r="AE378"/>
    </row>
    <row r="379" spans="1:31" x14ac:dyDescent="0.25">
      <c r="A379" s="3" t="s">
        <v>2556</v>
      </c>
      <c r="B379" s="2" t="s">
        <v>402</v>
      </c>
      <c r="C379" s="2" t="s">
        <v>196</v>
      </c>
      <c r="D379" s="2" t="s">
        <v>214</v>
      </c>
      <c r="E379" s="2" t="s">
        <v>2557</v>
      </c>
      <c r="F379" s="2" t="s">
        <v>2558</v>
      </c>
      <c r="G379" s="2" t="str">
        <f>TRIM(SUBSTITUTE(SUBSTITUTE(SUBSTITUTE(SUBSTITUTE(tb1_supporters[[#This Row],[Phone_Raw]],"(",""),")","")," ",""),"+44",))</f>
        <v>7535522196</v>
      </c>
      <c r="H379" s="15">
        <v>24927</v>
      </c>
      <c r="I379" s="36">
        <f ca="1">IF(OR(tb1_supporters[[#This Row],[Date_of_Birth]]="",tb1_supporters[[#This Row],[Date_of_Birth]]&gt;TODAY()),"",DATEDIF(tb1_supporters[[#This Row],[Date_of_Birth]],TODAY(),"Y"))</f>
        <v>58</v>
      </c>
      <c r="J37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79" s="2" t="s">
        <v>2560</v>
      </c>
      <c r="L379" s="2" t="s">
        <v>945</v>
      </c>
      <c r="M379" s="2" t="s">
        <v>946</v>
      </c>
      <c r="N379" s="2" t="s">
        <v>947</v>
      </c>
      <c r="O379" s="2" t="s">
        <v>242</v>
      </c>
      <c r="P379" s="2" t="s">
        <v>49</v>
      </c>
      <c r="Q379" s="2" t="s">
        <v>141</v>
      </c>
      <c r="R379" s="15">
        <v>45499</v>
      </c>
      <c r="S379" s="2" t="s">
        <v>4</v>
      </c>
      <c r="T379" s="2" t="s">
        <v>36</v>
      </c>
      <c r="U379" s="2" t="s">
        <v>37</v>
      </c>
      <c r="V379" s="2" t="s">
        <v>36</v>
      </c>
      <c r="W379" s="4" t="s">
        <v>36</v>
      </c>
      <c r="X37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79" s="2" t="str">
        <f>IF(ISNUMBER(SEARCH("onal",tb1_supporters[[#This Row],[Phone_Clean]])),"Review - corrupt phone number", IF(LEN(tb1_supporters[[#This Row],[Phone_Clean]])&gt;11,"Review - too many digits",""))</f>
        <v/>
      </c>
      <c r="Z37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79" s="2" t="str">
        <f>IF(tb1_supporters[[#This Row],[Email]]="","",IF(COUNTIF(tb1_supporters[Email],tb1_supporters[[#This Row],[Email]])&gt;1,"Review - duplicate record, see Supporter_Duplicates tab",""))</f>
        <v/>
      </c>
      <c r="AB379" s="21" t="str">
        <f>IF(tb1_supporters[[#This Row],[Communication_Preference]]="Do Not Contact","DO NOT CONTACT","")</f>
        <v/>
      </c>
      <c r="AE379"/>
    </row>
    <row r="380" spans="1:31" x14ac:dyDescent="0.25">
      <c r="A380" s="3" t="s">
        <v>2562</v>
      </c>
      <c r="B380" s="2"/>
      <c r="C380" s="2" t="s">
        <v>1411</v>
      </c>
      <c r="D380" s="2" t="s">
        <v>504</v>
      </c>
      <c r="E380" s="2" t="s">
        <v>2563</v>
      </c>
      <c r="F380" s="2" t="s">
        <v>2564</v>
      </c>
      <c r="G380" s="2" t="str">
        <f>TRIM(SUBSTITUTE(SUBSTITUTE(SUBSTITUTE(SUBSTITUTE(tb1_supporters[[#This Row],[Phone_Raw]],"(",""),")","")," ",""),"+44",))</f>
        <v>7841565875</v>
      </c>
      <c r="H380" s="15">
        <v>30857</v>
      </c>
      <c r="I380" s="36">
        <f ca="1">IF(OR(tb1_supporters[[#This Row],[Date_of_Birth]]="",tb1_supporters[[#This Row],[Date_of_Birth]]&gt;TODAY()),"",DATEDIF(tb1_supporters[[#This Row],[Date_of_Birth]],TODAY(),"Y"))</f>
        <v>41</v>
      </c>
      <c r="J38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80" s="2" t="s">
        <v>2566</v>
      </c>
      <c r="L380" s="2" t="s">
        <v>229</v>
      </c>
      <c r="M380" s="2" t="s">
        <v>230</v>
      </c>
      <c r="N380" s="2" t="s">
        <v>231</v>
      </c>
      <c r="O380" s="2" t="s">
        <v>242</v>
      </c>
      <c r="P380" s="2" t="s">
        <v>91</v>
      </c>
      <c r="Q380" s="2" t="s">
        <v>141</v>
      </c>
      <c r="R380" s="15">
        <v>43867</v>
      </c>
      <c r="S380" s="2" t="s">
        <v>5</v>
      </c>
      <c r="T380" s="2" t="s">
        <v>36</v>
      </c>
      <c r="U380" s="2" t="s">
        <v>36</v>
      </c>
      <c r="V380" s="2" t="s">
        <v>36</v>
      </c>
      <c r="W380" s="4" t="s">
        <v>37</v>
      </c>
      <c r="X38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80" s="2" t="str">
        <f>IF(ISNUMBER(SEARCH("onal",tb1_supporters[[#This Row],[Phone_Clean]])),"Review - corrupt phone number", IF(LEN(tb1_supporters[[#This Row],[Phone_Clean]])&gt;11,"Review - too many digits",""))</f>
        <v/>
      </c>
      <c r="Z38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80" s="2" t="str">
        <f>IF(tb1_supporters[[#This Row],[Email]]="","",IF(COUNTIF(tb1_supporters[Email],tb1_supporters[[#This Row],[Email]])&gt;1,"Review - duplicate record, see Supporter_Duplicates tab",""))</f>
        <v/>
      </c>
      <c r="AB380" s="21" t="str">
        <f>IF(tb1_supporters[[#This Row],[Communication_Preference]]="Do Not Contact","DO NOT CONTACT","")</f>
        <v/>
      </c>
      <c r="AE380"/>
    </row>
    <row r="381" spans="1:31" x14ac:dyDescent="0.25">
      <c r="A381" s="3" t="s">
        <v>2568</v>
      </c>
      <c r="B381" s="2" t="s">
        <v>4866</v>
      </c>
      <c r="C381" s="2" t="s">
        <v>1038</v>
      </c>
      <c r="D381" s="2" t="s">
        <v>574</v>
      </c>
      <c r="E381" s="2" t="s">
        <v>2569</v>
      </c>
      <c r="F381" s="2" t="s">
        <v>2570</v>
      </c>
      <c r="G381" s="2" t="str">
        <f>TRIM(SUBSTITUTE(SUBSTITUTE(SUBSTITUTE(SUBSTITUTE(tb1_supporters[[#This Row],[Phone_Raw]],"(",""),")","")," ",""),"+44",))</f>
        <v>01819898974</v>
      </c>
      <c r="H381" s="15">
        <v>23391</v>
      </c>
      <c r="I381" s="36">
        <f ca="1">IF(OR(tb1_supporters[[#This Row],[Date_of_Birth]]="",tb1_supporters[[#This Row],[Date_of_Birth]]&gt;TODAY()),"",DATEDIF(tb1_supporters[[#This Row],[Date_of_Birth]],TODAY(),"Y"))</f>
        <v>62</v>
      </c>
      <c r="J38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81" s="2" t="s">
        <v>2572</v>
      </c>
      <c r="L381" s="2" t="s">
        <v>278</v>
      </c>
      <c r="M381" s="2" t="s">
        <v>279</v>
      </c>
      <c r="N381" s="2" t="s">
        <v>280</v>
      </c>
      <c r="O381" s="2" t="s">
        <v>242</v>
      </c>
      <c r="P381" s="2" t="s">
        <v>4887</v>
      </c>
      <c r="Q381" s="2" t="s">
        <v>243</v>
      </c>
      <c r="R381" s="15">
        <v>44340</v>
      </c>
      <c r="S381" s="2" t="s">
        <v>93</v>
      </c>
      <c r="T381" s="2" t="s">
        <v>36</v>
      </c>
      <c r="U381" s="2" t="s">
        <v>36</v>
      </c>
      <c r="V381" s="2" t="s">
        <v>36</v>
      </c>
      <c r="W381" s="4" t="s">
        <v>36</v>
      </c>
      <c r="X38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81" s="2" t="str">
        <f>IF(ISNUMBER(SEARCH("onal",tb1_supporters[[#This Row],[Phone_Clean]])),"Review - corrupt phone number", IF(LEN(tb1_supporters[[#This Row],[Phone_Clean]])&gt;11,"Review - too many digits",""))</f>
        <v/>
      </c>
      <c r="Z38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81" s="2" t="str">
        <f>IF(tb1_supporters[[#This Row],[Email]]="","",IF(COUNTIF(tb1_supporters[Email],tb1_supporters[[#This Row],[Email]])&gt;1,"Review - duplicate record, see Supporter_Duplicates tab",""))</f>
        <v/>
      </c>
      <c r="AB381" s="21" t="str">
        <f>IF(tb1_supporters[[#This Row],[Communication_Preference]]="Do Not Contact","DO NOT CONTACT","")</f>
        <v/>
      </c>
      <c r="AE381"/>
    </row>
    <row r="382" spans="1:31" x14ac:dyDescent="0.25">
      <c r="A382" s="3" t="s">
        <v>2574</v>
      </c>
      <c r="B382" s="2" t="s">
        <v>54</v>
      </c>
      <c r="C382" s="2" t="s">
        <v>324</v>
      </c>
      <c r="D382" s="2" t="s">
        <v>71</v>
      </c>
      <c r="E382" s="2" t="s">
        <v>2575</v>
      </c>
      <c r="F382" s="2" t="s">
        <v>2576</v>
      </c>
      <c r="G382" s="2" t="str">
        <f>TRIM(SUBSTITUTE(SUBSTITUTE(SUBSTITUTE(SUBSTITUTE(tb1_supporters[[#This Row],[Phone_Raw]],"(",""),")","")," ",""),"+44",))</f>
        <v>01onal9789824</v>
      </c>
      <c r="H382" s="15">
        <v>13160</v>
      </c>
      <c r="I382" s="36">
        <f ca="1">IF(OR(tb1_supporters[[#This Row],[Date_of_Birth]]="",tb1_supporters[[#This Row],[Date_of_Birth]]&gt;TODAY()),"",DATEDIF(tb1_supporters[[#This Row],[Date_of_Birth]],TODAY(),"Y"))</f>
        <v>90</v>
      </c>
      <c r="J38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82" s="2" t="s">
        <v>2578</v>
      </c>
      <c r="L382" s="2" t="s">
        <v>88</v>
      </c>
      <c r="M382" s="2" t="s">
        <v>89</v>
      </c>
      <c r="N382" s="2" t="s">
        <v>4869</v>
      </c>
      <c r="O382" s="2" t="s">
        <v>166</v>
      </c>
      <c r="P382" s="2" t="s">
        <v>91</v>
      </c>
      <c r="Q382" s="2" t="s">
        <v>243</v>
      </c>
      <c r="R382" s="15">
        <v>44999</v>
      </c>
      <c r="S382" s="2" t="s">
        <v>4</v>
      </c>
      <c r="T382" s="2" t="s">
        <v>36</v>
      </c>
      <c r="U382" s="2" t="s">
        <v>36</v>
      </c>
      <c r="V382" s="2" t="s">
        <v>37</v>
      </c>
      <c r="W382" s="4" t="s">
        <v>36</v>
      </c>
      <c r="X38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82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38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82" s="2" t="str">
        <f>IF(tb1_supporters[[#This Row],[Email]]="","",IF(COUNTIF(tb1_supporters[Email],tb1_supporters[[#This Row],[Email]])&gt;1,"Review - duplicate record, see Supporter_Duplicates tab",""))</f>
        <v/>
      </c>
      <c r="AB382" s="21" t="str">
        <f>IF(tb1_supporters[[#This Row],[Communication_Preference]]="Do Not Contact","DO NOT CONTACT","")</f>
        <v/>
      </c>
      <c r="AE382"/>
    </row>
    <row r="383" spans="1:31" x14ac:dyDescent="0.25">
      <c r="A383" s="3" t="s">
        <v>2580</v>
      </c>
      <c r="B383" s="2" t="s">
        <v>54</v>
      </c>
      <c r="C383" s="2" t="s">
        <v>337</v>
      </c>
      <c r="D383" s="2" t="s">
        <v>24</v>
      </c>
      <c r="E383" s="2" t="s">
        <v>2581</v>
      </c>
      <c r="F383" s="2" t="s">
        <v>2582</v>
      </c>
      <c r="G383" s="2" t="str">
        <f>TRIM(SUBSTITUTE(SUBSTITUTE(SUBSTITUTE(SUBSTITUTE(tb1_supporters[[#This Row],[Phone_Raw]],"(",""),")","")," ",""),"+44",))</f>
        <v>07401683949</v>
      </c>
      <c r="H383" s="15">
        <v>20225</v>
      </c>
      <c r="I383" s="36">
        <f ca="1">IF(OR(tb1_supporters[[#This Row],[Date_of_Birth]]="",tb1_supporters[[#This Row],[Date_of_Birth]]&gt;TODAY()),"",DATEDIF(tb1_supporters[[#This Row],[Date_of_Birth]],TODAY(),"Y"))</f>
        <v>71</v>
      </c>
      <c r="J38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83" s="2" t="s">
        <v>2584</v>
      </c>
      <c r="L383" s="2" t="s">
        <v>370</v>
      </c>
      <c r="M383" s="2" t="s">
        <v>371</v>
      </c>
      <c r="N383" s="2" t="s">
        <v>4869</v>
      </c>
      <c r="O383" s="2" t="s">
        <v>166</v>
      </c>
      <c r="P383" s="2" t="s">
        <v>181</v>
      </c>
      <c r="Q383" s="2" t="s">
        <v>141</v>
      </c>
      <c r="R383" s="15">
        <v>43133</v>
      </c>
      <c r="S383" s="2" t="s">
        <v>4</v>
      </c>
      <c r="T383" s="2" t="s">
        <v>36</v>
      </c>
      <c r="U383" s="2" t="s">
        <v>36</v>
      </c>
      <c r="V383" s="2" t="s">
        <v>37</v>
      </c>
      <c r="W383" s="4" t="s">
        <v>37</v>
      </c>
      <c r="X38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83" s="2" t="str">
        <f>IF(ISNUMBER(SEARCH("onal",tb1_supporters[[#This Row],[Phone_Clean]])),"Review - corrupt phone number", IF(LEN(tb1_supporters[[#This Row],[Phone_Clean]])&gt;11,"Review - too many digits",""))</f>
        <v/>
      </c>
      <c r="Z38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83" s="2" t="str">
        <f>IF(tb1_supporters[[#This Row],[Email]]="","",IF(COUNTIF(tb1_supporters[Email],tb1_supporters[[#This Row],[Email]])&gt;1,"Review - duplicate record, see Supporter_Duplicates tab",""))</f>
        <v/>
      </c>
      <c r="AB383" s="21" t="str">
        <f>IF(tb1_supporters[[#This Row],[Communication_Preference]]="Do Not Contact","DO NOT CONTACT","")</f>
        <v/>
      </c>
      <c r="AE383"/>
    </row>
    <row r="384" spans="1:31" x14ac:dyDescent="0.25">
      <c r="A384" s="3" t="s">
        <v>2586</v>
      </c>
      <c r="B384" s="2" t="s">
        <v>4866</v>
      </c>
      <c r="C384" s="2" t="s">
        <v>171</v>
      </c>
      <c r="D384" s="2" t="s">
        <v>810</v>
      </c>
      <c r="E384" s="2" t="s">
        <v>2587</v>
      </c>
      <c r="F384" s="2" t="s">
        <v>2588</v>
      </c>
      <c r="G384" s="2" t="str">
        <f>TRIM(SUBSTITUTE(SUBSTITUTE(SUBSTITUTE(SUBSTITUTE(tb1_supporters[[#This Row],[Phone_Raw]],"(",""),")","")," ",""),"+44",))</f>
        <v>010796551311</v>
      </c>
      <c r="H384" s="15">
        <v>36694</v>
      </c>
      <c r="I384" s="36">
        <f ca="1">IF(OR(tb1_supporters[[#This Row],[Date_of_Birth]]="",tb1_supporters[[#This Row],[Date_of_Birth]]&gt;TODAY()),"",DATEDIF(tb1_supporters[[#This Row],[Date_of_Birth]],TODAY(),"Y"))</f>
        <v>25</v>
      </c>
      <c r="J38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84" s="2" t="s">
        <v>2590</v>
      </c>
      <c r="L384" s="2" t="s">
        <v>984</v>
      </c>
      <c r="M384" s="2" t="s">
        <v>62</v>
      </c>
      <c r="N384" s="2" t="s">
        <v>985</v>
      </c>
      <c r="O384" s="2" t="s">
        <v>242</v>
      </c>
      <c r="P384" s="2" t="s">
        <v>65</v>
      </c>
      <c r="Q384" s="2" t="s">
        <v>141</v>
      </c>
      <c r="R384" s="15">
        <v>44809</v>
      </c>
      <c r="S384" s="2" t="s">
        <v>4</v>
      </c>
      <c r="T384" s="2" t="s">
        <v>36</v>
      </c>
      <c r="U384" s="2" t="s">
        <v>36</v>
      </c>
      <c r="V384" s="2" t="s">
        <v>37</v>
      </c>
      <c r="W384" s="4" t="s">
        <v>37</v>
      </c>
      <c r="X38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84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8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84" s="2" t="str">
        <f>IF(tb1_supporters[[#This Row],[Email]]="","",IF(COUNTIF(tb1_supporters[Email],tb1_supporters[[#This Row],[Email]])&gt;1,"Review - duplicate record, see Supporter_Duplicates tab",""))</f>
        <v/>
      </c>
      <c r="AB384" s="21" t="str">
        <f>IF(tb1_supporters[[#This Row],[Communication_Preference]]="Do Not Contact","DO NOT CONTACT","")</f>
        <v/>
      </c>
      <c r="AE384"/>
    </row>
    <row r="385" spans="1:31" x14ac:dyDescent="0.25">
      <c r="A385" s="3" t="s">
        <v>2592</v>
      </c>
      <c r="B385" s="2" t="s">
        <v>4866</v>
      </c>
      <c r="C385" s="2" t="s">
        <v>459</v>
      </c>
      <c r="D385" s="2" t="s">
        <v>574</v>
      </c>
      <c r="E385" s="2" t="s">
        <v>2593</v>
      </c>
      <c r="F385" s="2" t="s">
        <v>2594</v>
      </c>
      <c r="G385" s="2" t="str">
        <f>TRIM(SUBSTITUTE(SUBSTITUTE(SUBSTITUTE(SUBSTITUTE(tb1_supporters[[#This Row],[Phone_Raw]],"(",""),")","")," ",""),"+44",))</f>
        <v>7324701801</v>
      </c>
      <c r="H385" s="15">
        <v>37846</v>
      </c>
      <c r="I385" s="36">
        <f ca="1">IF(OR(tb1_supporters[[#This Row],[Date_of_Birth]]="",tb1_supporters[[#This Row],[Date_of_Birth]]&gt;TODAY()),"",DATEDIF(tb1_supporters[[#This Row],[Date_of_Birth]],TODAY(),"Y"))</f>
        <v>22</v>
      </c>
      <c r="J38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85" s="2" t="s">
        <v>2596</v>
      </c>
      <c r="L385" s="2" t="s">
        <v>138</v>
      </c>
      <c r="M385" s="2" t="s">
        <v>139</v>
      </c>
      <c r="N385" s="2" t="s">
        <v>140</v>
      </c>
      <c r="O385" s="2" t="s">
        <v>166</v>
      </c>
      <c r="P385" s="2" t="s">
        <v>153</v>
      </c>
      <c r="Q385" s="2" t="s">
        <v>154</v>
      </c>
      <c r="R385" s="15">
        <v>44302</v>
      </c>
      <c r="S385" s="2" t="s">
        <v>93</v>
      </c>
      <c r="T385" s="2" t="s">
        <v>36</v>
      </c>
      <c r="U385" s="2" t="s">
        <v>36</v>
      </c>
      <c r="V385" s="2" t="s">
        <v>37</v>
      </c>
      <c r="W385" s="4" t="s">
        <v>37</v>
      </c>
      <c r="X38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85" s="2" t="str">
        <f>IF(ISNUMBER(SEARCH("onal",tb1_supporters[[#This Row],[Phone_Clean]])),"Review - corrupt phone number", IF(LEN(tb1_supporters[[#This Row],[Phone_Clean]])&gt;11,"Review - too many digits",""))</f>
        <v/>
      </c>
      <c r="Z38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85" s="2" t="str">
        <f>IF(tb1_supporters[[#This Row],[Email]]="","",IF(COUNTIF(tb1_supporters[Email],tb1_supporters[[#This Row],[Email]])&gt;1,"Review - duplicate record, see Supporter_Duplicates tab",""))</f>
        <v/>
      </c>
      <c r="AB385" s="21" t="str">
        <f>IF(tb1_supporters[[#This Row],[Communication_Preference]]="Do Not Contact","DO NOT CONTACT","")</f>
        <v/>
      </c>
      <c r="AE385"/>
    </row>
    <row r="386" spans="1:31" x14ac:dyDescent="0.25">
      <c r="A386" s="3" t="s">
        <v>2598</v>
      </c>
      <c r="B386" s="2" t="s">
        <v>170</v>
      </c>
      <c r="C386" s="2" t="s">
        <v>413</v>
      </c>
      <c r="D386" s="2" t="s">
        <v>291</v>
      </c>
      <c r="E386" s="2" t="s">
        <v>4869</v>
      </c>
      <c r="F386" s="2" t="s">
        <v>2599</v>
      </c>
      <c r="G386" s="2" t="str">
        <f>TRIM(SUBSTITUTE(SUBSTITUTE(SUBSTITUTE(SUBSTITUTE(tb1_supporters[[#This Row],[Phone_Raw]],"(",""),")","")," ",""),"+44",))</f>
        <v>07260720603</v>
      </c>
      <c r="H386" s="15">
        <v>29975</v>
      </c>
      <c r="I386" s="36">
        <f ca="1">IF(OR(tb1_supporters[[#This Row],[Date_of_Birth]]="",tb1_supporters[[#This Row],[Date_of_Birth]]&gt;TODAY()),"",DATEDIF(tb1_supporters[[#This Row],[Date_of_Birth]],TODAY(),"Y"))</f>
        <v>44</v>
      </c>
      <c r="J38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86" s="2" t="s">
        <v>2601</v>
      </c>
      <c r="L386" s="2" t="s">
        <v>509</v>
      </c>
      <c r="M386" s="2" t="s">
        <v>510</v>
      </c>
      <c r="N386" s="2" t="s">
        <v>511</v>
      </c>
      <c r="O386" s="2" t="s">
        <v>242</v>
      </c>
      <c r="P386" s="2" t="s">
        <v>153</v>
      </c>
      <c r="Q386" s="2" t="s">
        <v>141</v>
      </c>
      <c r="R386" s="15">
        <v>44062</v>
      </c>
      <c r="S386" s="2" t="s">
        <v>5</v>
      </c>
      <c r="T386" s="2" t="s">
        <v>36</v>
      </c>
      <c r="U386" s="2" t="s">
        <v>37</v>
      </c>
      <c r="V386" s="2" t="s">
        <v>36</v>
      </c>
      <c r="W386" s="4" t="s">
        <v>36</v>
      </c>
      <c r="X38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86" s="2" t="str">
        <f>IF(ISNUMBER(SEARCH("onal",tb1_supporters[[#This Row],[Phone_Clean]])),"Review - corrupt phone number", IF(LEN(tb1_supporters[[#This Row],[Phone_Clean]])&gt;11,"Review - too many digits",""))</f>
        <v/>
      </c>
      <c r="Z38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86" s="2" t="str">
        <f>IF(tb1_supporters[[#This Row],[Email]]="","",IF(COUNTIF(tb1_supporters[Email],tb1_supporters[[#This Row],[Email]])&gt;1,"Review - duplicate record, see Supporter_Duplicates tab",""))</f>
        <v/>
      </c>
      <c r="AB386" s="21" t="str">
        <f>IF(tb1_supporters[[#This Row],[Communication_Preference]]="Do Not Contact","DO NOT CONTACT","")</f>
        <v/>
      </c>
      <c r="AE386"/>
    </row>
    <row r="387" spans="1:31" x14ac:dyDescent="0.25">
      <c r="A387" s="3" t="s">
        <v>2603</v>
      </c>
      <c r="B387" s="2"/>
      <c r="C387" s="2" t="s">
        <v>1078</v>
      </c>
      <c r="D387" s="2" t="s">
        <v>771</v>
      </c>
      <c r="E387" s="2" t="s">
        <v>2604</v>
      </c>
      <c r="F387" s="2" t="s">
        <v>2605</v>
      </c>
      <c r="G387" s="2" t="str">
        <f>TRIM(SUBSTITUTE(SUBSTITUTE(SUBSTITUTE(SUBSTITUTE(tb1_supporters[[#This Row],[Phone_Raw]],"(",""),")","")," ",""),"+44",))</f>
        <v>7332223675</v>
      </c>
      <c r="H387" s="15">
        <v>31531</v>
      </c>
      <c r="I387" s="36">
        <f ca="1">IF(OR(tb1_supporters[[#This Row],[Date_of_Birth]]="",tb1_supporters[[#This Row],[Date_of_Birth]]&gt;TODAY()),"",DATEDIF(tb1_supporters[[#This Row],[Date_of_Birth]],TODAY(),"Y"))</f>
        <v>40</v>
      </c>
      <c r="J38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87" s="2" t="s">
        <v>2607</v>
      </c>
      <c r="L387" s="2" t="s">
        <v>229</v>
      </c>
      <c r="M387" s="2" t="s">
        <v>230</v>
      </c>
      <c r="N387" s="2" t="s">
        <v>231</v>
      </c>
      <c r="O387" s="2" t="s">
        <v>242</v>
      </c>
      <c r="P387" s="2" t="s">
        <v>91</v>
      </c>
      <c r="Q387" s="2" t="s">
        <v>141</v>
      </c>
      <c r="R387" s="15">
        <v>44556</v>
      </c>
      <c r="S387" s="2" t="s">
        <v>93</v>
      </c>
      <c r="T387" s="2" t="s">
        <v>36</v>
      </c>
      <c r="U387" s="2" t="s">
        <v>37</v>
      </c>
      <c r="V387" s="2" t="s">
        <v>36</v>
      </c>
      <c r="W387" s="4" t="s">
        <v>36</v>
      </c>
      <c r="X38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387" s="2" t="str">
        <f>IF(ISNUMBER(SEARCH("onal",tb1_supporters[[#This Row],[Phone_Clean]])),"Review - corrupt phone number", IF(LEN(tb1_supporters[[#This Row],[Phone_Clean]])&gt;11,"Review - too many digits",""))</f>
        <v/>
      </c>
      <c r="Z38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87" s="2" t="str">
        <f>IF(tb1_supporters[[#This Row],[Email]]="","",IF(COUNTIF(tb1_supporters[Email],tb1_supporters[[#This Row],[Email]])&gt;1,"Review - duplicate record, see Supporter_Duplicates tab",""))</f>
        <v/>
      </c>
      <c r="AB387" s="21" t="str">
        <f>IF(tb1_supporters[[#This Row],[Communication_Preference]]="Do Not Contact","DO NOT CONTACT","")</f>
        <v/>
      </c>
      <c r="AE387"/>
    </row>
    <row r="388" spans="1:31" x14ac:dyDescent="0.25">
      <c r="A388" s="3" t="s">
        <v>2609</v>
      </c>
      <c r="B388" s="2" t="s">
        <v>402</v>
      </c>
      <c r="C388" s="2" t="s">
        <v>265</v>
      </c>
      <c r="D388" s="2" t="s">
        <v>940</v>
      </c>
      <c r="E388" s="2" t="s">
        <v>2610</v>
      </c>
      <c r="F388" s="2" t="s">
        <v>2611</v>
      </c>
      <c r="G388" s="2" t="str">
        <f>TRIM(SUBSTITUTE(SUBSTITUTE(SUBSTITUTE(SUBSTITUTE(tb1_supporters[[#This Row],[Phone_Raw]],"(",""),")","")," ",""),"+44",))</f>
        <v>07900725724</v>
      </c>
      <c r="H388" s="15">
        <v>20842</v>
      </c>
      <c r="I388" s="36">
        <f ca="1">IF(OR(tb1_supporters[[#This Row],[Date_of_Birth]]="",tb1_supporters[[#This Row],[Date_of_Birth]]&gt;TODAY()),"",DATEDIF(tb1_supporters[[#This Row],[Date_of_Birth]],TODAY(),"Y"))</f>
        <v>69</v>
      </c>
      <c r="J38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88" s="2" t="s">
        <v>2613</v>
      </c>
      <c r="L388" s="2" t="s">
        <v>945</v>
      </c>
      <c r="M388" s="2" t="s">
        <v>946</v>
      </c>
      <c r="N388" s="2" t="s">
        <v>947</v>
      </c>
      <c r="O388" s="2" t="s">
        <v>242</v>
      </c>
      <c r="P388" s="2" t="s">
        <v>181</v>
      </c>
      <c r="Q388" s="2" t="s">
        <v>50</v>
      </c>
      <c r="R388" s="15">
        <v>43532</v>
      </c>
      <c r="S388" s="2" t="s">
        <v>93</v>
      </c>
      <c r="T388" s="2" t="s">
        <v>36</v>
      </c>
      <c r="U388" s="2" t="s">
        <v>36</v>
      </c>
      <c r="V388" s="2" t="s">
        <v>36</v>
      </c>
      <c r="W388" s="4" t="s">
        <v>37</v>
      </c>
      <c r="X38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88" s="2" t="str">
        <f>IF(ISNUMBER(SEARCH("onal",tb1_supporters[[#This Row],[Phone_Clean]])),"Review - corrupt phone number", IF(LEN(tb1_supporters[[#This Row],[Phone_Clean]])&gt;11,"Review - too many digits",""))</f>
        <v/>
      </c>
      <c r="Z38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88" s="2" t="str">
        <f>IF(tb1_supporters[[#This Row],[Email]]="","",IF(COUNTIF(tb1_supporters[Email],tb1_supporters[[#This Row],[Email]])&gt;1,"Review - duplicate record, see Supporter_Duplicates tab",""))</f>
        <v/>
      </c>
      <c r="AB388" s="21" t="str">
        <f>IF(tb1_supporters[[#This Row],[Communication_Preference]]="Do Not Contact","DO NOT CONTACT","")</f>
        <v/>
      </c>
      <c r="AE388"/>
    </row>
    <row r="389" spans="1:31" x14ac:dyDescent="0.25">
      <c r="A389" s="3" t="s">
        <v>2615</v>
      </c>
      <c r="B389" s="2" t="s">
        <v>22</v>
      </c>
      <c r="C389" s="2" t="s">
        <v>392</v>
      </c>
      <c r="D389" s="2" t="s">
        <v>41</v>
      </c>
      <c r="E389" s="2" t="s">
        <v>2616</v>
      </c>
      <c r="F389" s="2" t="s">
        <v>2617</v>
      </c>
      <c r="G389" s="2" t="str">
        <f>TRIM(SUBSTITUTE(SUBSTITUTE(SUBSTITUTE(SUBSTITUTE(tb1_supporters[[#This Row],[Phone_Raw]],"(",""),")","")," ",""),"+44",))</f>
        <v>07968306549</v>
      </c>
      <c r="H389" s="15">
        <v>23708</v>
      </c>
      <c r="I389" s="36">
        <f ca="1">IF(OR(tb1_supporters[[#This Row],[Date_of_Birth]]="",tb1_supporters[[#This Row],[Date_of_Birth]]&gt;TODAY()),"",DATEDIF(tb1_supporters[[#This Row],[Date_of_Birth]],TODAY(),"Y"))</f>
        <v>61</v>
      </c>
      <c r="J38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89" s="2" t="s">
        <v>2619</v>
      </c>
      <c r="L389" s="2" t="s">
        <v>429</v>
      </c>
      <c r="M389" s="2" t="s">
        <v>430</v>
      </c>
      <c r="N389" s="2" t="s">
        <v>925</v>
      </c>
      <c r="O389" s="2" t="s">
        <v>242</v>
      </c>
      <c r="P389" s="2" t="s">
        <v>33</v>
      </c>
      <c r="Q389" s="2" t="s">
        <v>243</v>
      </c>
      <c r="R389" s="15">
        <v>45041</v>
      </c>
      <c r="S389" s="2" t="s">
        <v>4</v>
      </c>
      <c r="T389" s="2" t="s">
        <v>36</v>
      </c>
      <c r="U389" s="2" t="s">
        <v>36</v>
      </c>
      <c r="V389" s="2" t="s">
        <v>37</v>
      </c>
      <c r="W389" s="4" t="s">
        <v>36</v>
      </c>
      <c r="X38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89" s="2" t="str">
        <f>IF(ISNUMBER(SEARCH("onal",tb1_supporters[[#This Row],[Phone_Clean]])),"Review - corrupt phone number", IF(LEN(tb1_supporters[[#This Row],[Phone_Clean]])&gt;11,"Review - too many digits",""))</f>
        <v/>
      </c>
      <c r="Z38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89" s="2" t="str">
        <f>IF(tb1_supporters[[#This Row],[Email]]="","",IF(COUNTIF(tb1_supporters[Email],tb1_supporters[[#This Row],[Email]])&gt;1,"Review - duplicate record, see Supporter_Duplicates tab",""))</f>
        <v/>
      </c>
      <c r="AB389" s="21" t="str">
        <f>IF(tb1_supporters[[#This Row],[Communication_Preference]]="Do Not Contact","DO NOT CONTACT","")</f>
        <v/>
      </c>
      <c r="AE389"/>
    </row>
    <row r="390" spans="1:31" x14ac:dyDescent="0.25">
      <c r="A390" s="3" t="s">
        <v>2621</v>
      </c>
      <c r="B390" s="2" t="s">
        <v>54</v>
      </c>
      <c r="C390" s="2" t="s">
        <v>1267</v>
      </c>
      <c r="D390" s="2" t="s">
        <v>614</v>
      </c>
      <c r="E390" s="2" t="s">
        <v>2622</v>
      </c>
      <c r="F390" s="2" t="s">
        <v>2623</v>
      </c>
      <c r="G390" s="2" t="str">
        <f>TRIM(SUBSTITUTE(SUBSTITUTE(SUBSTITUTE(SUBSTITUTE(tb1_supporters[[#This Row],[Phone_Raw]],"(",""),")","")," ",""),"+44",))</f>
        <v>07921539523</v>
      </c>
      <c r="H390" s="15">
        <v>21443</v>
      </c>
      <c r="I390" s="36">
        <f ca="1">IF(OR(tb1_supporters[[#This Row],[Date_of_Birth]]="",tb1_supporters[[#This Row],[Date_of_Birth]]&gt;TODAY()),"",DATEDIF(tb1_supporters[[#This Row],[Date_of_Birth]],TODAY(),"Y"))</f>
        <v>67</v>
      </c>
      <c r="J39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90" s="2" t="s">
        <v>2625</v>
      </c>
      <c r="L390" s="2" t="s">
        <v>429</v>
      </c>
      <c r="M390" s="2" t="s">
        <v>430</v>
      </c>
      <c r="N390" s="2" t="s">
        <v>431</v>
      </c>
      <c r="O390" s="2" t="s">
        <v>166</v>
      </c>
      <c r="P390" s="2" t="s">
        <v>49</v>
      </c>
      <c r="Q390" s="2" t="s">
        <v>192</v>
      </c>
      <c r="R390" s="15">
        <v>44913</v>
      </c>
      <c r="S390" s="2" t="s">
        <v>4</v>
      </c>
      <c r="T390" s="2" t="s">
        <v>36</v>
      </c>
      <c r="U390" s="2" t="s">
        <v>36</v>
      </c>
      <c r="V390" s="2" t="s">
        <v>37</v>
      </c>
      <c r="W390" s="4" t="s">
        <v>37</v>
      </c>
      <c r="X39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90" s="2" t="str">
        <f>IF(ISNUMBER(SEARCH("onal",tb1_supporters[[#This Row],[Phone_Clean]])),"Review - corrupt phone number", IF(LEN(tb1_supporters[[#This Row],[Phone_Clean]])&gt;11,"Review - too many digits",""))</f>
        <v/>
      </c>
      <c r="Z39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90" s="2" t="str">
        <f>IF(tb1_supporters[[#This Row],[Email]]="","",IF(COUNTIF(tb1_supporters[Email],tb1_supporters[[#This Row],[Email]])&gt;1,"Review - duplicate record, see Supporter_Duplicates tab",""))</f>
        <v/>
      </c>
      <c r="AB390" s="21" t="str">
        <f>IF(tb1_supporters[[#This Row],[Communication_Preference]]="Do Not Contact","DO NOT CONTACT","")</f>
        <v/>
      </c>
      <c r="AE390"/>
    </row>
    <row r="391" spans="1:31" x14ac:dyDescent="0.25">
      <c r="A391" s="3" t="s">
        <v>2627</v>
      </c>
      <c r="B391" s="2" t="s">
        <v>69</v>
      </c>
      <c r="C391" s="2" t="s">
        <v>864</v>
      </c>
      <c r="D391" s="2" t="s">
        <v>197</v>
      </c>
      <c r="E391" s="2" t="s">
        <v>2628</v>
      </c>
      <c r="F391" s="2" t="s">
        <v>2629</v>
      </c>
      <c r="G391" s="2" t="str">
        <f>TRIM(SUBSTITUTE(SUBSTITUTE(SUBSTITUTE(SUBSTITUTE(tb1_supporters[[#This Row],[Phone_Raw]],"(",""),")","")," ",""),"+44",))</f>
        <v>7159746830</v>
      </c>
      <c r="H391" s="15">
        <v>12359</v>
      </c>
      <c r="I391" s="36">
        <f ca="1">IF(OR(tb1_supporters[[#This Row],[Date_of_Birth]]="",tb1_supporters[[#This Row],[Date_of_Birth]]&gt;TODAY()),"",DATEDIF(tb1_supporters[[#This Row],[Date_of_Birth]],TODAY(),"Y"))</f>
        <v>92</v>
      </c>
      <c r="J39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91" s="2" t="s">
        <v>162</v>
      </c>
      <c r="L391" s="2" t="s">
        <v>46</v>
      </c>
      <c r="M391" s="2" t="s">
        <v>47</v>
      </c>
      <c r="N391" s="2" t="s">
        <v>48</v>
      </c>
      <c r="O391" s="2" t="s">
        <v>166</v>
      </c>
      <c r="P391" s="2" t="s">
        <v>91</v>
      </c>
      <c r="Q391" s="2" t="s">
        <v>66</v>
      </c>
      <c r="R391" s="15">
        <v>44747</v>
      </c>
      <c r="S391" s="2" t="s">
        <v>5</v>
      </c>
      <c r="T391" s="2" t="s">
        <v>37</v>
      </c>
      <c r="U391" s="2" t="s">
        <v>36</v>
      </c>
      <c r="V391" s="2" t="s">
        <v>37</v>
      </c>
      <c r="W391" s="4" t="s">
        <v>37</v>
      </c>
      <c r="X39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391" s="2" t="str">
        <f>IF(ISNUMBER(SEARCH("onal",tb1_supporters[[#This Row],[Phone_Clean]])),"Review - corrupt phone number", IF(LEN(tb1_supporters[[#This Row],[Phone_Clean]])&gt;11,"Review - too many digits",""))</f>
        <v/>
      </c>
      <c r="Z39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91" s="2" t="str">
        <f>IF(tb1_supporters[[#This Row],[Email]]="","",IF(COUNTIF(tb1_supporters[Email],tb1_supporters[[#This Row],[Email]])&gt;1,"Review - duplicate record, see Supporter_Duplicates tab",""))</f>
        <v/>
      </c>
      <c r="AB391" s="21" t="str">
        <f>IF(tb1_supporters[[#This Row],[Communication_Preference]]="Do Not Contact","DO NOT CONTACT","")</f>
        <v/>
      </c>
      <c r="AE391"/>
    </row>
    <row r="392" spans="1:31" x14ac:dyDescent="0.25">
      <c r="A392" s="3" t="s">
        <v>2632</v>
      </c>
      <c r="B392" s="2" t="s">
        <v>54</v>
      </c>
      <c r="C392" s="2" t="s">
        <v>70</v>
      </c>
      <c r="D392" s="2" t="s">
        <v>1323</v>
      </c>
      <c r="E392" s="2" t="s">
        <v>2633</v>
      </c>
      <c r="F392" s="2" t="s">
        <v>2634</v>
      </c>
      <c r="G392" s="2" t="str">
        <f>TRIM(SUBSTITUTE(SUBSTITUTE(SUBSTITUTE(SUBSTITUTE(tb1_supporters[[#This Row],[Phone_Raw]],"(",""),")","")," ",""),"+44",))</f>
        <v>014476274232</v>
      </c>
      <c r="H392" s="15">
        <v>23318</v>
      </c>
      <c r="I392" s="36">
        <f ca="1">IF(OR(tb1_supporters[[#This Row],[Date_of_Birth]]="",tb1_supporters[[#This Row],[Date_of_Birth]]&gt;TODAY()),"",DATEDIF(tb1_supporters[[#This Row],[Date_of_Birth]],TODAY(),"Y"))</f>
        <v>62</v>
      </c>
      <c r="J39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92" s="2" t="s">
        <v>2636</v>
      </c>
      <c r="L392" s="2" t="s">
        <v>278</v>
      </c>
      <c r="M392" s="2" t="s">
        <v>279</v>
      </c>
      <c r="N392" s="2" t="s">
        <v>280</v>
      </c>
      <c r="O392" s="2" t="s">
        <v>166</v>
      </c>
      <c r="P392" s="2" t="s">
        <v>181</v>
      </c>
      <c r="Q392" s="2" t="s">
        <v>50</v>
      </c>
      <c r="R392" s="15">
        <v>44471</v>
      </c>
      <c r="S392" s="2" t="s">
        <v>5</v>
      </c>
      <c r="T392" s="2" t="s">
        <v>36</v>
      </c>
      <c r="U392" s="2" t="s">
        <v>36</v>
      </c>
      <c r="V392" s="2" t="s">
        <v>37</v>
      </c>
      <c r="W392" s="4" t="s">
        <v>37</v>
      </c>
      <c r="X39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392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9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92" s="2" t="str">
        <f>IF(tb1_supporters[[#This Row],[Email]]="","",IF(COUNTIF(tb1_supporters[Email],tb1_supporters[[#This Row],[Email]])&gt;1,"Review - duplicate record, see Supporter_Duplicates tab",""))</f>
        <v/>
      </c>
      <c r="AB392" s="21" t="str">
        <f>IF(tb1_supporters[[#This Row],[Communication_Preference]]="Do Not Contact","DO NOT CONTACT","")</f>
        <v/>
      </c>
      <c r="AE392"/>
    </row>
    <row r="393" spans="1:31" x14ac:dyDescent="0.25">
      <c r="A393" s="3" t="s">
        <v>2638</v>
      </c>
      <c r="B393" s="2" t="s">
        <v>69</v>
      </c>
      <c r="C393" s="2" t="s">
        <v>448</v>
      </c>
      <c r="D393" s="2" t="s">
        <v>711</v>
      </c>
      <c r="E393" s="2" t="s">
        <v>2639</v>
      </c>
      <c r="F393" s="2" t="s">
        <v>2640</v>
      </c>
      <c r="G393" s="2" t="str">
        <f>TRIM(SUBSTITUTE(SUBSTITUTE(SUBSTITUTE(SUBSTITUTE(tb1_supporters[[#This Row],[Phone_Raw]],"(",""),")","")," ",""),"+44",))</f>
        <v>07843532617</v>
      </c>
      <c r="H393" s="15">
        <v>27599</v>
      </c>
      <c r="I393" s="36">
        <f ca="1">IF(OR(tb1_supporters[[#This Row],[Date_of_Birth]]="",tb1_supporters[[#This Row],[Date_of_Birth]]&gt;TODAY()),"",DATEDIF(tb1_supporters[[#This Row],[Date_of_Birth]],TODAY(),"Y"))</f>
        <v>50</v>
      </c>
      <c r="J39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93" s="2" t="s">
        <v>2642</v>
      </c>
      <c r="L393" s="2" t="s">
        <v>1204</v>
      </c>
      <c r="M393" s="2" t="s">
        <v>114</v>
      </c>
      <c r="N393" s="2" t="s">
        <v>1205</v>
      </c>
      <c r="O393" s="2" t="s">
        <v>166</v>
      </c>
      <c r="P393" s="2" t="s">
        <v>181</v>
      </c>
      <c r="Q393" s="2" t="s">
        <v>243</v>
      </c>
      <c r="R393" s="15">
        <v>44628</v>
      </c>
      <c r="S393" s="2" t="s">
        <v>4</v>
      </c>
      <c r="T393" s="2" t="s">
        <v>36</v>
      </c>
      <c r="U393" s="2" t="s">
        <v>37</v>
      </c>
      <c r="V393" s="2" t="s">
        <v>36</v>
      </c>
      <c r="W393" s="4" t="s">
        <v>36</v>
      </c>
      <c r="X39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93" s="2" t="str">
        <f>IF(ISNUMBER(SEARCH("onal",tb1_supporters[[#This Row],[Phone_Clean]])),"Review - corrupt phone number", IF(LEN(tb1_supporters[[#This Row],[Phone_Clean]])&gt;11,"Review - too many digits",""))</f>
        <v/>
      </c>
      <c r="Z39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93" s="2" t="str">
        <f>IF(tb1_supporters[[#This Row],[Email]]="","",IF(COUNTIF(tb1_supporters[Email],tb1_supporters[[#This Row],[Email]])&gt;1,"Review - duplicate record, see Supporter_Duplicates tab",""))</f>
        <v/>
      </c>
      <c r="AB393" s="21" t="str">
        <f>IF(tb1_supporters[[#This Row],[Communication_Preference]]="Do Not Contact","DO NOT CONTACT","")</f>
        <v/>
      </c>
      <c r="AE393"/>
    </row>
    <row r="394" spans="1:31" x14ac:dyDescent="0.25">
      <c r="A394" s="3" t="s">
        <v>2644</v>
      </c>
      <c r="B394" s="2" t="s">
        <v>235</v>
      </c>
      <c r="C394" s="2" t="s">
        <v>645</v>
      </c>
      <c r="D394" s="2" t="s">
        <v>2290</v>
      </c>
      <c r="E394" s="2" t="s">
        <v>2645</v>
      </c>
      <c r="F394" s="2" t="s">
        <v>2646</v>
      </c>
      <c r="G394" s="2" t="str">
        <f>TRIM(SUBSTITUTE(SUBSTITUTE(SUBSTITUTE(SUBSTITUTE(tb1_supporters[[#This Row],[Phone_Raw]],"(",""),")","")," ",""),"+44",))</f>
        <v>07391782903</v>
      </c>
      <c r="H394" s="15">
        <v>28136</v>
      </c>
      <c r="I394" s="36">
        <f ca="1">IF(OR(tb1_supporters[[#This Row],[Date_of_Birth]]="",tb1_supporters[[#This Row],[Date_of_Birth]]&gt;TODAY()),"",DATEDIF(tb1_supporters[[#This Row],[Date_of_Birth]],TODAY(),"Y"))</f>
        <v>49</v>
      </c>
      <c r="J39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394" s="2" t="s">
        <v>2648</v>
      </c>
      <c r="L394" s="2" t="s">
        <v>296</v>
      </c>
      <c r="M394" s="2" t="s">
        <v>297</v>
      </c>
      <c r="N394" s="2" t="s">
        <v>298</v>
      </c>
      <c r="O394" s="2" t="s">
        <v>242</v>
      </c>
      <c r="P394" s="2" t="s">
        <v>4887</v>
      </c>
      <c r="Q394" s="2" t="s">
        <v>50</v>
      </c>
      <c r="R394" s="15">
        <v>44115</v>
      </c>
      <c r="S394" s="2" t="s">
        <v>93</v>
      </c>
      <c r="T394" s="2" t="s">
        <v>36</v>
      </c>
      <c r="U394" s="2" t="s">
        <v>36</v>
      </c>
      <c r="V394" s="2" t="s">
        <v>37</v>
      </c>
      <c r="W394" s="4" t="s">
        <v>37</v>
      </c>
      <c r="X39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94" s="2" t="str">
        <f>IF(ISNUMBER(SEARCH("onal",tb1_supporters[[#This Row],[Phone_Clean]])),"Review - corrupt phone number", IF(LEN(tb1_supporters[[#This Row],[Phone_Clean]])&gt;11,"Review - too many digits",""))</f>
        <v/>
      </c>
      <c r="Z39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94" s="2" t="str">
        <f>IF(tb1_supporters[[#This Row],[Email]]="","",IF(COUNTIF(tb1_supporters[Email],tb1_supporters[[#This Row],[Email]])&gt;1,"Review - duplicate record, see Supporter_Duplicates tab",""))</f>
        <v/>
      </c>
      <c r="AB394" s="21" t="str">
        <f>IF(tb1_supporters[[#This Row],[Communication_Preference]]="Do Not Contact","DO NOT CONTACT","")</f>
        <v/>
      </c>
      <c r="AE394"/>
    </row>
    <row r="395" spans="1:31" x14ac:dyDescent="0.25">
      <c r="A395" s="3" t="s">
        <v>2650</v>
      </c>
      <c r="B395" s="2" t="s">
        <v>402</v>
      </c>
      <c r="C395" s="2" t="s">
        <v>710</v>
      </c>
      <c r="D395" s="2" t="s">
        <v>108</v>
      </c>
      <c r="E395" s="2" t="s">
        <v>2652</v>
      </c>
      <c r="F395" s="2" t="s">
        <v>2653</v>
      </c>
      <c r="G395" s="2" t="str">
        <f>TRIM(SUBSTITUTE(SUBSTITUTE(SUBSTITUTE(SUBSTITUTE(tb1_supporters[[#This Row],[Phone_Raw]],"(",""),")","")," ",""),"+44",))</f>
        <v>01415874519</v>
      </c>
      <c r="H395" s="15">
        <v>33614</v>
      </c>
      <c r="I395" s="36">
        <f ca="1">IF(OR(tb1_supporters[[#This Row],[Date_of_Birth]]="",tb1_supporters[[#This Row],[Date_of_Birth]]&gt;TODAY()),"",DATEDIF(tb1_supporters[[#This Row],[Date_of_Birth]],TODAY(),"Y"))</f>
        <v>34</v>
      </c>
      <c r="J39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95" s="2" t="s">
        <v>2655</v>
      </c>
      <c r="L395" s="2" t="s">
        <v>46</v>
      </c>
      <c r="M395" s="2" t="s">
        <v>47</v>
      </c>
      <c r="N395" s="2" t="s">
        <v>48</v>
      </c>
      <c r="O395" s="2" t="s">
        <v>242</v>
      </c>
      <c r="P395" s="2" t="s">
        <v>49</v>
      </c>
      <c r="Q395" s="2" t="s">
        <v>4888</v>
      </c>
      <c r="R395" s="15">
        <v>45256</v>
      </c>
      <c r="S395" s="2" t="s">
        <v>93</v>
      </c>
      <c r="T395" s="2" t="s">
        <v>36</v>
      </c>
      <c r="U395" s="2" t="s">
        <v>37</v>
      </c>
      <c r="V395" s="2" t="s">
        <v>37</v>
      </c>
      <c r="W395" s="4" t="s">
        <v>37</v>
      </c>
      <c r="X39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395" s="2" t="str">
        <f>IF(ISNUMBER(SEARCH("onal",tb1_supporters[[#This Row],[Phone_Clean]])),"Review - corrupt phone number", IF(LEN(tb1_supporters[[#This Row],[Phone_Clean]])&gt;11,"Review - too many digits",""))</f>
        <v/>
      </c>
      <c r="Z39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95" s="2" t="str">
        <f>IF(tb1_supporters[[#This Row],[Email]]="","",IF(COUNTIF(tb1_supporters[Email],tb1_supporters[[#This Row],[Email]])&gt;1,"Review - duplicate record, see Supporter_Duplicates tab",""))</f>
        <v/>
      </c>
      <c r="AB395" s="21" t="str">
        <f>IF(tb1_supporters[[#This Row],[Communication_Preference]]="Do Not Contact","DO NOT CONTACT","")</f>
        <v/>
      </c>
      <c r="AE395"/>
    </row>
    <row r="396" spans="1:31" x14ac:dyDescent="0.25">
      <c r="A396" s="3" t="s">
        <v>2657</v>
      </c>
      <c r="B396" s="2" t="s">
        <v>69</v>
      </c>
      <c r="C396" s="2" t="s">
        <v>778</v>
      </c>
      <c r="D396" s="2" t="s">
        <v>473</v>
      </c>
      <c r="E396" s="2" t="s">
        <v>2658</v>
      </c>
      <c r="F396" s="2" t="s">
        <v>2659</v>
      </c>
      <c r="G396" s="2" t="str">
        <f>TRIM(SUBSTITUTE(SUBSTITUTE(SUBSTITUTE(SUBSTITUTE(tb1_supporters[[#This Row],[Phone_Raw]],"(",""),")","")," ",""),"+44",))</f>
        <v>07247617230</v>
      </c>
      <c r="H396" s="15">
        <v>23542</v>
      </c>
      <c r="I396" s="36">
        <f ca="1">IF(OR(tb1_supporters[[#This Row],[Date_of_Birth]]="",tb1_supporters[[#This Row],[Date_of_Birth]]&gt;TODAY()),"",DATEDIF(tb1_supporters[[#This Row],[Date_of_Birth]],TODAY(),"Y"))</f>
        <v>61</v>
      </c>
      <c r="J39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96" s="2" t="s">
        <v>642</v>
      </c>
      <c r="L396" s="2" t="s">
        <v>408</v>
      </c>
      <c r="M396" s="2" t="s">
        <v>409</v>
      </c>
      <c r="N396" s="2" t="s">
        <v>410</v>
      </c>
      <c r="O396" s="2" t="s">
        <v>166</v>
      </c>
      <c r="P396" s="2" t="s">
        <v>153</v>
      </c>
      <c r="Q396" s="2" t="s">
        <v>154</v>
      </c>
      <c r="R396" s="15">
        <v>45203</v>
      </c>
      <c r="S396" s="2" t="s">
        <v>52</v>
      </c>
      <c r="T396" s="2" t="s">
        <v>37</v>
      </c>
      <c r="U396" s="2" t="s">
        <v>36</v>
      </c>
      <c r="V396" s="2" t="s">
        <v>37</v>
      </c>
      <c r="W396" s="4" t="s">
        <v>36</v>
      </c>
      <c r="X39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96" s="2" t="str">
        <f>IF(ISNUMBER(SEARCH("onal",tb1_supporters[[#This Row],[Phone_Clean]])),"Review - corrupt phone number", IF(LEN(tb1_supporters[[#This Row],[Phone_Clean]])&gt;11,"Review - too many digits",""))</f>
        <v/>
      </c>
      <c r="Z39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96" s="2" t="str">
        <f>IF(tb1_supporters[[#This Row],[Email]]="","",IF(COUNTIF(tb1_supporters[Email],tb1_supporters[[#This Row],[Email]])&gt;1,"Review - duplicate record, see Supporter_Duplicates tab",""))</f>
        <v/>
      </c>
      <c r="AB396" s="21" t="str">
        <f>IF(tb1_supporters[[#This Row],[Communication_Preference]]="Do Not Contact","DO NOT CONTACT","")</f>
        <v/>
      </c>
      <c r="AE396"/>
    </row>
    <row r="397" spans="1:31" x14ac:dyDescent="0.25">
      <c r="A397" s="3" t="s">
        <v>2662</v>
      </c>
      <c r="B397" s="2" t="s">
        <v>402</v>
      </c>
      <c r="C397" s="2" t="s">
        <v>413</v>
      </c>
      <c r="D397" s="2" t="s">
        <v>711</v>
      </c>
      <c r="E397" s="2" t="s">
        <v>2663</v>
      </c>
      <c r="F397" s="2" t="s">
        <v>2664</v>
      </c>
      <c r="G397" s="2" t="str">
        <f>TRIM(SUBSTITUTE(SUBSTITUTE(SUBSTITUTE(SUBSTITUTE(tb1_supporters[[#This Row],[Phone_Raw]],"(",""),")","")," ",""),"+44",))</f>
        <v>7396141635</v>
      </c>
      <c r="H397" s="15">
        <v>26618</v>
      </c>
      <c r="I397" s="36">
        <f ca="1">IF(OR(tb1_supporters[[#This Row],[Date_of_Birth]]="",tb1_supporters[[#This Row],[Date_of_Birth]]&gt;TODAY()),"",DATEDIF(tb1_supporters[[#This Row],[Date_of_Birth]],TODAY(),"Y"))</f>
        <v>53</v>
      </c>
      <c r="J39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397" s="2" t="s">
        <v>2666</v>
      </c>
      <c r="L397" s="2" t="s">
        <v>419</v>
      </c>
      <c r="M397" s="2" t="s">
        <v>420</v>
      </c>
      <c r="N397" s="2" t="s">
        <v>421</v>
      </c>
      <c r="O397" s="2" t="s">
        <v>242</v>
      </c>
      <c r="P397" s="2" t="s">
        <v>49</v>
      </c>
      <c r="Q397" s="2" t="s">
        <v>141</v>
      </c>
      <c r="R397" s="15">
        <v>44634</v>
      </c>
      <c r="S397" s="2" t="s">
        <v>93</v>
      </c>
      <c r="T397" s="2" t="s">
        <v>36</v>
      </c>
      <c r="U397" s="2" t="s">
        <v>36</v>
      </c>
      <c r="V397" s="2" t="s">
        <v>37</v>
      </c>
      <c r="W397" s="4" t="s">
        <v>36</v>
      </c>
      <c r="X39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97" s="2" t="str">
        <f>IF(ISNUMBER(SEARCH("onal",tb1_supporters[[#This Row],[Phone_Clean]])),"Review - corrupt phone number", IF(LEN(tb1_supporters[[#This Row],[Phone_Clean]])&gt;11,"Review - too many digits",""))</f>
        <v/>
      </c>
      <c r="Z39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97" s="2" t="str">
        <f>IF(tb1_supporters[[#This Row],[Email]]="","",IF(COUNTIF(tb1_supporters[Email],tb1_supporters[[#This Row],[Email]])&gt;1,"Review - duplicate record, see Supporter_Duplicates tab",""))</f>
        <v/>
      </c>
      <c r="AB397" s="21" t="str">
        <f>IF(tb1_supporters[[#This Row],[Communication_Preference]]="Do Not Contact","DO NOT CONTACT","")</f>
        <v/>
      </c>
      <c r="AE397"/>
    </row>
    <row r="398" spans="1:31" x14ac:dyDescent="0.25">
      <c r="A398" s="3" t="s">
        <v>2668</v>
      </c>
      <c r="B398" s="2" t="s">
        <v>54</v>
      </c>
      <c r="C398" s="2" t="s">
        <v>1193</v>
      </c>
      <c r="D398" s="2" t="s">
        <v>158</v>
      </c>
      <c r="E398" s="2" t="s">
        <v>2669</v>
      </c>
      <c r="F398" s="2" t="s">
        <v>2670</v>
      </c>
      <c r="G398" s="2" t="str">
        <f>TRIM(SUBSTITUTE(SUBSTITUTE(SUBSTITUTE(SUBSTITUTE(tb1_supporters[[#This Row],[Phone_Raw]],"(",""),")","")," ",""),"+44",))</f>
        <v>07660457169</v>
      </c>
      <c r="H398" s="15">
        <v>36012</v>
      </c>
      <c r="I398" s="36">
        <f ca="1">IF(OR(tb1_supporters[[#This Row],[Date_of_Birth]]="",tb1_supporters[[#This Row],[Date_of_Birth]]&gt;TODAY()),"",DATEDIF(tb1_supporters[[#This Row],[Date_of_Birth]],TODAY(),"Y"))</f>
        <v>27</v>
      </c>
      <c r="J39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398" s="2" t="s">
        <v>2672</v>
      </c>
      <c r="L398" s="2" t="s">
        <v>625</v>
      </c>
      <c r="M398" s="2" t="s">
        <v>626</v>
      </c>
      <c r="N398" s="2" t="s">
        <v>627</v>
      </c>
      <c r="O398" s="2" t="s">
        <v>166</v>
      </c>
      <c r="P398" s="2" t="s">
        <v>4887</v>
      </c>
      <c r="Q398" s="2" t="s">
        <v>66</v>
      </c>
      <c r="R398" s="15">
        <v>45448</v>
      </c>
      <c r="S398" s="2" t="s">
        <v>93</v>
      </c>
      <c r="T398" s="2" t="s">
        <v>36</v>
      </c>
      <c r="U398" s="2" t="s">
        <v>37</v>
      </c>
      <c r="V398" s="2" t="s">
        <v>37</v>
      </c>
      <c r="W398" s="4" t="s">
        <v>37</v>
      </c>
      <c r="X39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398" s="2" t="str">
        <f>IF(ISNUMBER(SEARCH("onal",tb1_supporters[[#This Row],[Phone_Clean]])),"Review - corrupt phone number", IF(LEN(tb1_supporters[[#This Row],[Phone_Clean]])&gt;11,"Review - too many digits",""))</f>
        <v/>
      </c>
      <c r="Z39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98" s="2" t="str">
        <f>IF(tb1_supporters[[#This Row],[Email]]="","",IF(COUNTIF(tb1_supporters[Email],tb1_supporters[[#This Row],[Email]])&gt;1,"Review - duplicate record, see Supporter_Duplicates tab",""))</f>
        <v/>
      </c>
      <c r="AB398" s="21" t="str">
        <f>IF(tb1_supporters[[#This Row],[Communication_Preference]]="Do Not Contact","DO NOT CONTACT","")</f>
        <v/>
      </c>
      <c r="AE398"/>
    </row>
    <row r="399" spans="1:31" x14ac:dyDescent="0.25">
      <c r="A399" s="3" t="s">
        <v>2674</v>
      </c>
      <c r="B399" s="2" t="s">
        <v>54</v>
      </c>
      <c r="C399" s="2" t="s">
        <v>434</v>
      </c>
      <c r="D399" s="2" t="s">
        <v>237</v>
      </c>
      <c r="E399" s="2" t="s">
        <v>2675</v>
      </c>
      <c r="F399" s="2" t="s">
        <v>2676</v>
      </c>
      <c r="G399" s="2" t="str">
        <f>TRIM(SUBSTITUTE(SUBSTITUTE(SUBSTITUTE(SUBSTITUTE(tb1_supporters[[#This Row],[Phone_Raw]],"(",""),")","")," ",""),"+44",))</f>
        <v>014124637711</v>
      </c>
      <c r="H399" s="15">
        <v>19485</v>
      </c>
      <c r="I399" s="36">
        <f ca="1">IF(OR(tb1_supporters[[#This Row],[Date_of_Birth]]="",tb1_supporters[[#This Row],[Date_of_Birth]]&gt;TODAY()),"",DATEDIF(tb1_supporters[[#This Row],[Date_of_Birth]],TODAY(),"Y"))</f>
        <v>73</v>
      </c>
      <c r="J39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399" s="2" t="s">
        <v>2678</v>
      </c>
      <c r="L399" s="2" t="s">
        <v>296</v>
      </c>
      <c r="M399" s="2" t="s">
        <v>297</v>
      </c>
      <c r="N399" s="2" t="s">
        <v>298</v>
      </c>
      <c r="O399" s="2" t="s">
        <v>166</v>
      </c>
      <c r="P399" s="2" t="s">
        <v>4887</v>
      </c>
      <c r="Q399" s="2" t="s">
        <v>141</v>
      </c>
      <c r="R399" s="15">
        <v>45316</v>
      </c>
      <c r="S399" s="2" t="s">
        <v>4</v>
      </c>
      <c r="T399" s="2" t="s">
        <v>36</v>
      </c>
      <c r="U399" s="2" t="s">
        <v>36</v>
      </c>
      <c r="V399" s="2" t="s">
        <v>37</v>
      </c>
      <c r="W399" s="4" t="s">
        <v>37</v>
      </c>
      <c r="X39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399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39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399" s="2" t="str">
        <f>IF(tb1_supporters[[#This Row],[Email]]="","",IF(COUNTIF(tb1_supporters[Email],tb1_supporters[[#This Row],[Email]])&gt;1,"Review - duplicate record, see Supporter_Duplicates tab",""))</f>
        <v/>
      </c>
      <c r="AB399" s="21" t="str">
        <f>IF(tb1_supporters[[#This Row],[Communication_Preference]]="Do Not Contact","DO NOT CONTACT","")</f>
        <v/>
      </c>
      <c r="AE399"/>
    </row>
    <row r="400" spans="1:31" x14ac:dyDescent="0.25">
      <c r="A400" s="3" t="s">
        <v>2680</v>
      </c>
      <c r="B400" s="2" t="s">
        <v>54</v>
      </c>
      <c r="C400" s="2" t="s">
        <v>107</v>
      </c>
      <c r="D400" s="2" t="s">
        <v>674</v>
      </c>
      <c r="E400" s="2" t="s">
        <v>2681</v>
      </c>
      <c r="F400" s="2" t="s">
        <v>2682</v>
      </c>
      <c r="G400" s="2" t="str">
        <f>TRIM(SUBSTITUTE(SUBSTITUTE(SUBSTITUTE(SUBSTITUTE(tb1_supporters[[#This Row],[Phone_Raw]],"(",""),")","")," ",""),"+44",))</f>
        <v>07733654690</v>
      </c>
      <c r="H400" s="15">
        <v>37306</v>
      </c>
      <c r="I400" s="36">
        <f ca="1">IF(OR(tb1_supporters[[#This Row],[Date_of_Birth]]="",tb1_supporters[[#This Row],[Date_of_Birth]]&gt;TODAY()),"",DATEDIF(tb1_supporters[[#This Row],[Date_of_Birth]],TODAY(),"Y"))</f>
        <v>24</v>
      </c>
      <c r="J40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00" s="2" t="s">
        <v>2684</v>
      </c>
      <c r="L400" s="2" t="s">
        <v>219</v>
      </c>
      <c r="M400" s="2" t="s">
        <v>220</v>
      </c>
      <c r="N400" s="2" t="s">
        <v>760</v>
      </c>
      <c r="O400" s="2" t="s">
        <v>166</v>
      </c>
      <c r="P400" s="2" t="s">
        <v>33</v>
      </c>
      <c r="Q400" s="2" t="s">
        <v>243</v>
      </c>
      <c r="R400" s="15">
        <v>45050</v>
      </c>
      <c r="S400" s="2" t="s">
        <v>93</v>
      </c>
      <c r="T400" s="2" t="s">
        <v>37</v>
      </c>
      <c r="U400" s="2" t="s">
        <v>36</v>
      </c>
      <c r="V400" s="2" t="s">
        <v>36</v>
      </c>
      <c r="W400" s="4" t="s">
        <v>37</v>
      </c>
      <c r="X40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00" s="2" t="str">
        <f>IF(ISNUMBER(SEARCH("onal",tb1_supporters[[#This Row],[Phone_Clean]])),"Review - corrupt phone number", IF(LEN(tb1_supporters[[#This Row],[Phone_Clean]])&gt;11,"Review - too many digits",""))</f>
        <v/>
      </c>
      <c r="Z40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00" s="2" t="str">
        <f>IF(tb1_supporters[[#This Row],[Email]]="","",IF(COUNTIF(tb1_supporters[Email],tb1_supporters[[#This Row],[Email]])&gt;1,"Review - duplicate record, see Supporter_Duplicates tab",""))</f>
        <v/>
      </c>
      <c r="AB400" s="21" t="str">
        <f>IF(tb1_supporters[[#This Row],[Communication_Preference]]="Do Not Contact","DO NOT CONTACT","")</f>
        <v/>
      </c>
      <c r="AE400"/>
    </row>
    <row r="401" spans="1:31" x14ac:dyDescent="0.25">
      <c r="A401" s="3" t="s">
        <v>2686</v>
      </c>
      <c r="B401" s="2" t="s">
        <v>4866</v>
      </c>
      <c r="C401" s="2" t="s">
        <v>1689</v>
      </c>
      <c r="D401" s="2" t="s">
        <v>504</v>
      </c>
      <c r="E401" s="2" t="s">
        <v>2687</v>
      </c>
      <c r="F401" s="2" t="s">
        <v>2688</v>
      </c>
      <c r="G401" s="2" t="str">
        <f>TRIM(SUBSTITUTE(SUBSTITUTE(SUBSTITUTE(SUBSTITUTE(tb1_supporters[[#This Row],[Phone_Raw]],"(",""),")","")," ",""),"+44",))</f>
        <v>7146603982</v>
      </c>
      <c r="H401" s="15">
        <v>29967</v>
      </c>
      <c r="I401" s="36">
        <f ca="1">IF(OR(tb1_supporters[[#This Row],[Date_of_Birth]]="",tb1_supporters[[#This Row],[Date_of_Birth]]&gt;TODAY()),"",DATEDIF(tb1_supporters[[#This Row],[Date_of_Birth]],TODAY(),"Y"))</f>
        <v>44</v>
      </c>
      <c r="J40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01" s="2" t="s">
        <v>2690</v>
      </c>
      <c r="L401" s="2" t="s">
        <v>1285</v>
      </c>
      <c r="M401" s="2" t="s">
        <v>1286</v>
      </c>
      <c r="N401" s="2" t="s">
        <v>1287</v>
      </c>
      <c r="O401" s="2" t="s">
        <v>242</v>
      </c>
      <c r="P401" s="2" t="s">
        <v>4887</v>
      </c>
      <c r="Q401" s="2" t="s">
        <v>154</v>
      </c>
      <c r="R401" s="15">
        <v>44800</v>
      </c>
      <c r="S401" s="2" t="s">
        <v>5</v>
      </c>
      <c r="T401" s="2" t="s">
        <v>36</v>
      </c>
      <c r="U401" s="2" t="s">
        <v>37</v>
      </c>
      <c r="V401" s="2" t="s">
        <v>36</v>
      </c>
      <c r="W401" s="4" t="s">
        <v>37</v>
      </c>
      <c r="X40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01" s="2" t="str">
        <f>IF(ISNUMBER(SEARCH("onal",tb1_supporters[[#This Row],[Phone_Clean]])),"Review - corrupt phone number", IF(LEN(tb1_supporters[[#This Row],[Phone_Clean]])&gt;11,"Review - too many digits",""))</f>
        <v/>
      </c>
      <c r="Z40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01" s="2" t="str">
        <f>IF(tb1_supporters[[#This Row],[Email]]="","",IF(COUNTIF(tb1_supporters[Email],tb1_supporters[[#This Row],[Email]])&gt;1,"Review - duplicate record, see Supporter_Duplicates tab",""))</f>
        <v/>
      </c>
      <c r="AB401" s="21" t="str">
        <f>IF(tb1_supporters[[#This Row],[Communication_Preference]]="Do Not Contact","DO NOT CONTACT","")</f>
        <v/>
      </c>
      <c r="AE401"/>
    </row>
    <row r="402" spans="1:31" x14ac:dyDescent="0.25">
      <c r="A402" s="3" t="s">
        <v>2692</v>
      </c>
      <c r="B402" s="2" t="s">
        <v>4866</v>
      </c>
      <c r="C402" s="2" t="s">
        <v>237</v>
      </c>
      <c r="D402" s="2" t="s">
        <v>755</v>
      </c>
      <c r="E402" s="2" t="s">
        <v>2693</v>
      </c>
      <c r="F402" s="2" t="s">
        <v>2694</v>
      </c>
      <c r="G402" s="2" t="str">
        <f>TRIM(SUBSTITUTE(SUBSTITUTE(SUBSTITUTE(SUBSTITUTE(tb1_supporters[[#This Row],[Phone_Raw]],"(",""),")","")," ",""),"+44",))</f>
        <v>07517794273</v>
      </c>
      <c r="H402" s="15">
        <v>31715</v>
      </c>
      <c r="I402" s="36">
        <f ca="1">IF(OR(tb1_supporters[[#This Row],[Date_of_Birth]]="",tb1_supporters[[#This Row],[Date_of_Birth]]&gt;TODAY()),"",DATEDIF(tb1_supporters[[#This Row],[Date_of_Birth]],TODAY(),"Y"))</f>
        <v>39</v>
      </c>
      <c r="J40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02" s="2" t="s">
        <v>2696</v>
      </c>
      <c r="L402" s="2" t="s">
        <v>609</v>
      </c>
      <c r="M402" s="2" t="s">
        <v>610</v>
      </c>
      <c r="N402" s="2" t="s">
        <v>611</v>
      </c>
      <c r="O402" s="2" t="s">
        <v>166</v>
      </c>
      <c r="P402" s="2" t="s">
        <v>49</v>
      </c>
      <c r="Q402" s="2" t="s">
        <v>154</v>
      </c>
      <c r="R402" s="15">
        <v>43212</v>
      </c>
      <c r="S402" s="2" t="s">
        <v>5</v>
      </c>
      <c r="T402" s="2" t="s">
        <v>36</v>
      </c>
      <c r="U402" s="2" t="s">
        <v>36</v>
      </c>
      <c r="V402" s="2" t="s">
        <v>37</v>
      </c>
      <c r="W402" s="4" t="s">
        <v>36</v>
      </c>
      <c r="X40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402" s="2" t="str">
        <f>IF(ISNUMBER(SEARCH("onal",tb1_supporters[[#This Row],[Phone_Clean]])),"Review - corrupt phone number", IF(LEN(tb1_supporters[[#This Row],[Phone_Clean]])&gt;11,"Review - too many digits",""))</f>
        <v/>
      </c>
      <c r="Z40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02" s="2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402" s="21" t="str">
        <f>IF(tb1_supporters[[#This Row],[Communication_Preference]]="Do Not Contact","DO NOT CONTACT","")</f>
        <v/>
      </c>
      <c r="AE402"/>
    </row>
    <row r="403" spans="1:31" x14ac:dyDescent="0.25">
      <c r="A403" s="3" t="s">
        <v>2698</v>
      </c>
      <c r="B403" s="2" t="s">
        <v>54</v>
      </c>
      <c r="C403" s="2" t="s">
        <v>864</v>
      </c>
      <c r="D403" s="2" t="s">
        <v>902</v>
      </c>
      <c r="E403" s="2" t="s">
        <v>2699</v>
      </c>
      <c r="F403" s="2" t="s">
        <v>2700</v>
      </c>
      <c r="G403" s="2" t="str">
        <f>TRIM(SUBSTITUTE(SUBSTITUTE(SUBSTITUTE(SUBSTITUTE(tb1_supporters[[#This Row],[Phone_Raw]],"(",""),")","")," ",""),"+44",))</f>
        <v>7870616494</v>
      </c>
      <c r="H403" s="15">
        <v>26252</v>
      </c>
      <c r="I403" s="36">
        <f ca="1">IF(OR(tb1_supporters[[#This Row],[Date_of_Birth]]="",tb1_supporters[[#This Row],[Date_of_Birth]]&gt;TODAY()),"",DATEDIF(tb1_supporters[[#This Row],[Date_of_Birth]],TODAY(),"Y"))</f>
        <v>54</v>
      </c>
      <c r="J40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03" s="2" t="s">
        <v>2702</v>
      </c>
      <c r="L403" s="2" t="s">
        <v>945</v>
      </c>
      <c r="M403" s="2" t="s">
        <v>946</v>
      </c>
      <c r="N403" s="2" t="s">
        <v>947</v>
      </c>
      <c r="O403" s="2" t="s">
        <v>166</v>
      </c>
      <c r="P403" s="2" t="s">
        <v>181</v>
      </c>
      <c r="Q403" s="2" t="s">
        <v>141</v>
      </c>
      <c r="R403" s="15">
        <v>45004</v>
      </c>
      <c r="S403" s="2" t="s">
        <v>105</v>
      </c>
      <c r="T403" s="2" t="s">
        <v>37</v>
      </c>
      <c r="U403" s="2" t="s">
        <v>37</v>
      </c>
      <c r="V403" s="2" t="s">
        <v>37</v>
      </c>
      <c r="W403" s="4" t="s">
        <v>37</v>
      </c>
      <c r="X40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03" s="2" t="str">
        <f>IF(ISNUMBER(SEARCH("onal",tb1_supporters[[#This Row],[Phone_Clean]])),"Review - corrupt phone number", IF(LEN(tb1_supporters[[#This Row],[Phone_Clean]])&gt;11,"Review - too many digits",""))</f>
        <v/>
      </c>
      <c r="Z40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03" s="2" t="str">
        <f>IF(tb1_supporters[[#This Row],[Email]]="","",IF(COUNTIF(tb1_supporters[Email],tb1_supporters[[#This Row],[Email]])&gt;1,"Review - duplicate record, see Supporter_Duplicates tab",""))</f>
        <v/>
      </c>
      <c r="AB403" s="21" t="str">
        <f>IF(tb1_supporters[[#This Row],[Communication_Preference]]="Do Not Contact","DO NOT CONTACT","")</f>
        <v>DO NOT CONTACT</v>
      </c>
      <c r="AE403"/>
    </row>
    <row r="404" spans="1:31" x14ac:dyDescent="0.25">
      <c r="A404" s="3" t="s">
        <v>2704</v>
      </c>
      <c r="B404" s="2" t="s">
        <v>4866</v>
      </c>
      <c r="C404" s="2" t="s">
        <v>424</v>
      </c>
      <c r="D404" s="2" t="s">
        <v>83</v>
      </c>
      <c r="E404" s="2" t="s">
        <v>2706</v>
      </c>
      <c r="F404" s="2" t="s">
        <v>2707</v>
      </c>
      <c r="G404" s="2" t="str">
        <f>TRIM(SUBSTITUTE(SUBSTITUTE(SUBSTITUTE(SUBSTITUTE(tb1_supporters[[#This Row],[Phone_Raw]],"(",""),")","")," ",""),"+44",))</f>
        <v>7767904228</v>
      </c>
      <c r="H404" s="15">
        <v>16686</v>
      </c>
      <c r="I404" s="36">
        <f ca="1">IF(OR(tb1_supporters[[#This Row],[Date_of_Birth]]="",tb1_supporters[[#This Row],[Date_of_Birth]]&gt;TODAY()),"",DATEDIF(tb1_supporters[[#This Row],[Date_of_Birth]],TODAY(),"Y"))</f>
        <v>80</v>
      </c>
      <c r="J40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04" s="2" t="s">
        <v>2709</v>
      </c>
      <c r="L404" s="2" t="s">
        <v>585</v>
      </c>
      <c r="M404" s="2" t="s">
        <v>586</v>
      </c>
      <c r="N404" s="2" t="s">
        <v>587</v>
      </c>
      <c r="O404" s="2" t="s">
        <v>166</v>
      </c>
      <c r="P404" s="2" t="s">
        <v>4887</v>
      </c>
      <c r="Q404" s="2" t="s">
        <v>66</v>
      </c>
      <c r="R404" s="15">
        <v>43444</v>
      </c>
      <c r="S404" s="2" t="s">
        <v>4</v>
      </c>
      <c r="T404" s="2" t="s">
        <v>37</v>
      </c>
      <c r="U404" s="2" t="s">
        <v>36</v>
      </c>
      <c r="V404" s="2" t="s">
        <v>36</v>
      </c>
      <c r="W404" s="4" t="s">
        <v>37</v>
      </c>
      <c r="X40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04" s="2" t="str">
        <f>IF(ISNUMBER(SEARCH("onal",tb1_supporters[[#This Row],[Phone_Clean]])),"Review - corrupt phone number", IF(LEN(tb1_supporters[[#This Row],[Phone_Clean]])&gt;11,"Review - too many digits",""))</f>
        <v/>
      </c>
      <c r="Z40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04" s="2" t="str">
        <f>IF(tb1_supporters[[#This Row],[Email]]="","",IF(COUNTIF(tb1_supporters[Email],tb1_supporters[[#This Row],[Email]])&gt;1,"Review - duplicate record, see Supporter_Duplicates tab",""))</f>
        <v/>
      </c>
      <c r="AB404" s="21" t="str">
        <f>IF(tb1_supporters[[#This Row],[Communication_Preference]]="Do Not Contact","DO NOT CONTACT","")</f>
        <v/>
      </c>
      <c r="AE404"/>
    </row>
    <row r="405" spans="1:31" x14ac:dyDescent="0.25">
      <c r="A405" s="3" t="s">
        <v>2711</v>
      </c>
      <c r="B405" s="2" t="s">
        <v>402</v>
      </c>
      <c r="C405" s="2" t="s">
        <v>196</v>
      </c>
      <c r="D405" s="2" t="s">
        <v>755</v>
      </c>
      <c r="E405" s="2" t="s">
        <v>2712</v>
      </c>
      <c r="F405" s="2" t="s">
        <v>2713</v>
      </c>
      <c r="G405" s="2" t="str">
        <f>TRIM(SUBSTITUTE(SUBSTITUTE(SUBSTITUTE(SUBSTITUTE(tb1_supporters[[#This Row],[Phone_Raw]],"(",""),")","")," ",""),"+44",))</f>
        <v>012110081985</v>
      </c>
      <c r="H405" s="15">
        <v>13984</v>
      </c>
      <c r="I405" s="36">
        <f ca="1">IF(OR(tb1_supporters[[#This Row],[Date_of_Birth]]="",tb1_supporters[[#This Row],[Date_of_Birth]]&gt;TODAY()),"",DATEDIF(tb1_supporters[[#This Row],[Date_of_Birth]],TODAY(),"Y"))</f>
        <v>88</v>
      </c>
      <c r="J40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05" s="2" t="s">
        <v>2715</v>
      </c>
      <c r="L405" s="2" t="s">
        <v>408</v>
      </c>
      <c r="M405" s="2" t="s">
        <v>409</v>
      </c>
      <c r="N405" s="2" t="s">
        <v>410</v>
      </c>
      <c r="O405" s="2" t="s">
        <v>242</v>
      </c>
      <c r="P405" s="2" t="s">
        <v>91</v>
      </c>
      <c r="Q405" s="2" t="s">
        <v>243</v>
      </c>
      <c r="R405" s="15">
        <v>44658</v>
      </c>
      <c r="S405" s="2" t="s">
        <v>5</v>
      </c>
      <c r="T405" s="2" t="s">
        <v>36</v>
      </c>
      <c r="U405" s="2" t="s">
        <v>36</v>
      </c>
      <c r="V405" s="2" t="s">
        <v>37</v>
      </c>
      <c r="W405" s="4" t="s">
        <v>37</v>
      </c>
      <c r="X40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405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0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05" s="2" t="str">
        <f>IF(tb1_supporters[[#This Row],[Email]]="","",IF(COUNTIF(tb1_supporters[Email],tb1_supporters[[#This Row],[Email]])&gt;1,"Review - duplicate record, see Supporter_Duplicates tab",""))</f>
        <v/>
      </c>
      <c r="AB405" s="21" t="str">
        <f>IF(tb1_supporters[[#This Row],[Communication_Preference]]="Do Not Contact","DO NOT CONTACT","")</f>
        <v/>
      </c>
      <c r="AE405"/>
    </row>
    <row r="406" spans="1:31" x14ac:dyDescent="0.25">
      <c r="A406" s="3" t="s">
        <v>2717</v>
      </c>
      <c r="B406" s="2" t="s">
        <v>54</v>
      </c>
      <c r="C406" s="2" t="s">
        <v>1118</v>
      </c>
      <c r="D406" s="2" t="s">
        <v>1696</v>
      </c>
      <c r="E406" s="2" t="s">
        <v>2718</v>
      </c>
      <c r="F406" s="2" t="s">
        <v>2719</v>
      </c>
      <c r="G406" s="2" t="str">
        <f>TRIM(SUBSTITUTE(SUBSTITUTE(SUBSTITUTE(SUBSTITUTE(tb1_supporters[[#This Row],[Phone_Raw]],"(",""),")","")," ",""),"+44",))</f>
        <v>01517259270</v>
      </c>
      <c r="H406" s="15">
        <v>34663</v>
      </c>
      <c r="I406" s="36">
        <f ca="1">IF(OR(tb1_supporters[[#This Row],[Date_of_Birth]]="",tb1_supporters[[#This Row],[Date_of_Birth]]&gt;TODAY()),"",DATEDIF(tb1_supporters[[#This Row],[Date_of_Birth]],TODAY(),"Y"))</f>
        <v>31</v>
      </c>
      <c r="J40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06" s="2" t="s">
        <v>2721</v>
      </c>
      <c r="L406" s="2" t="s">
        <v>278</v>
      </c>
      <c r="M406" s="2" t="s">
        <v>279</v>
      </c>
      <c r="N406" s="2" t="s">
        <v>280</v>
      </c>
      <c r="O406" s="2" t="s">
        <v>166</v>
      </c>
      <c r="P406" s="2" t="s">
        <v>49</v>
      </c>
      <c r="Q406" s="2" t="s">
        <v>4888</v>
      </c>
      <c r="R406" s="15">
        <v>44171</v>
      </c>
      <c r="S406" s="2" t="s">
        <v>5</v>
      </c>
      <c r="T406" s="2" t="s">
        <v>36</v>
      </c>
      <c r="U406" s="2" t="s">
        <v>36</v>
      </c>
      <c r="V406" s="2" t="s">
        <v>36</v>
      </c>
      <c r="W406" s="4" t="s">
        <v>37</v>
      </c>
      <c r="X40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06" s="2" t="str">
        <f>IF(ISNUMBER(SEARCH("onal",tb1_supporters[[#This Row],[Phone_Clean]])),"Review - corrupt phone number", IF(LEN(tb1_supporters[[#This Row],[Phone_Clean]])&gt;11,"Review - too many digits",""))</f>
        <v/>
      </c>
      <c r="Z40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06" s="2" t="str">
        <f>IF(tb1_supporters[[#This Row],[Email]]="","",IF(COUNTIF(tb1_supporters[Email],tb1_supporters[[#This Row],[Email]])&gt;1,"Review - duplicate record, see Supporter_Duplicates tab",""))</f>
        <v/>
      </c>
      <c r="AB406" s="21" t="str">
        <f>IF(tb1_supporters[[#This Row],[Communication_Preference]]="Do Not Contact","DO NOT CONTACT","")</f>
        <v/>
      </c>
      <c r="AE406"/>
    </row>
    <row r="407" spans="1:31" x14ac:dyDescent="0.25">
      <c r="A407" s="3" t="s">
        <v>2723</v>
      </c>
      <c r="B407" s="2" t="s">
        <v>4866</v>
      </c>
      <c r="C407" s="2" t="s">
        <v>434</v>
      </c>
      <c r="D407" s="2" t="s">
        <v>375</v>
      </c>
      <c r="E407" s="2" t="s">
        <v>2724</v>
      </c>
      <c r="F407" s="2" t="s">
        <v>2725</v>
      </c>
      <c r="G407" s="2" t="str">
        <f>TRIM(SUBSTITUTE(SUBSTITUTE(SUBSTITUTE(SUBSTITUTE(tb1_supporters[[#This Row],[Phone_Raw]],"(",""),")","")," ",""),"+44",))</f>
        <v>07109788277</v>
      </c>
      <c r="H407" s="15">
        <v>38004</v>
      </c>
      <c r="I407" s="36">
        <f ca="1">IF(OR(tb1_supporters[[#This Row],[Date_of_Birth]]="",tb1_supporters[[#This Row],[Date_of_Birth]]&gt;TODAY()),"",DATEDIF(tb1_supporters[[#This Row],[Date_of_Birth]],TODAY(),"Y"))</f>
        <v>22</v>
      </c>
      <c r="J40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07" s="2" t="s">
        <v>2727</v>
      </c>
      <c r="L407" s="2" t="s">
        <v>29</v>
      </c>
      <c r="M407" s="2" t="s">
        <v>30</v>
      </c>
      <c r="N407" s="2" t="s">
        <v>31</v>
      </c>
      <c r="O407" s="2" t="s">
        <v>166</v>
      </c>
      <c r="P407" s="2" t="s">
        <v>153</v>
      </c>
      <c r="Q407" s="2" t="s">
        <v>243</v>
      </c>
      <c r="R407" s="15">
        <v>44709</v>
      </c>
      <c r="S407" s="2" t="s">
        <v>4</v>
      </c>
      <c r="T407" s="2" t="s">
        <v>37</v>
      </c>
      <c r="U407" s="2" t="s">
        <v>36</v>
      </c>
      <c r="V407" s="2" t="s">
        <v>37</v>
      </c>
      <c r="W407" s="4" t="s">
        <v>36</v>
      </c>
      <c r="X40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07" s="2" t="str">
        <f>IF(ISNUMBER(SEARCH("onal",tb1_supporters[[#This Row],[Phone_Clean]])),"Review - corrupt phone number", IF(LEN(tb1_supporters[[#This Row],[Phone_Clean]])&gt;11,"Review - too many digits",""))</f>
        <v/>
      </c>
      <c r="Z40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07" s="2" t="str">
        <f>IF(tb1_supporters[[#This Row],[Email]]="","",IF(COUNTIF(tb1_supporters[Email],tb1_supporters[[#This Row],[Email]])&gt;1,"Review - duplicate record, see Supporter_Duplicates tab",""))</f>
        <v/>
      </c>
      <c r="AB407" s="21" t="str">
        <f>IF(tb1_supporters[[#This Row],[Communication_Preference]]="Do Not Contact","DO NOT CONTACT","")</f>
        <v/>
      </c>
      <c r="AE407"/>
    </row>
    <row r="408" spans="1:31" x14ac:dyDescent="0.25">
      <c r="A408" s="3" t="s">
        <v>2729</v>
      </c>
      <c r="B408" s="2" t="s">
        <v>54</v>
      </c>
      <c r="C408" s="2" t="s">
        <v>1098</v>
      </c>
      <c r="D408" s="2" t="s">
        <v>2290</v>
      </c>
      <c r="E408" s="2" t="s">
        <v>2730</v>
      </c>
      <c r="F408" s="2" t="s">
        <v>2731</v>
      </c>
      <c r="G408" s="2" t="str">
        <f>TRIM(SUBSTITUTE(SUBSTITUTE(SUBSTITUTE(SUBSTITUTE(tb1_supporters[[#This Row],[Phone_Raw]],"(",""),")","")," ",""),"+44",))</f>
        <v>010130448580</v>
      </c>
      <c r="H408" s="15">
        <v>21023</v>
      </c>
      <c r="I408" s="36">
        <f ca="1">IF(OR(tb1_supporters[[#This Row],[Date_of_Birth]]="",tb1_supporters[[#This Row],[Date_of_Birth]]&gt;TODAY()),"",DATEDIF(tb1_supporters[[#This Row],[Date_of_Birth]],TODAY(),"Y"))</f>
        <v>68</v>
      </c>
      <c r="J40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08" s="2" t="s">
        <v>2733</v>
      </c>
      <c r="L408" s="2" t="s">
        <v>319</v>
      </c>
      <c r="M408" s="2" t="s">
        <v>320</v>
      </c>
      <c r="N408" s="2" t="s">
        <v>321</v>
      </c>
      <c r="O408" s="2" t="s">
        <v>166</v>
      </c>
      <c r="P408" s="2" t="s">
        <v>153</v>
      </c>
      <c r="Q408" s="2" t="s">
        <v>192</v>
      </c>
      <c r="R408" s="15">
        <v>44008</v>
      </c>
      <c r="S408" s="2" t="s">
        <v>93</v>
      </c>
      <c r="T408" s="2" t="s">
        <v>36</v>
      </c>
      <c r="U408" s="2" t="s">
        <v>36</v>
      </c>
      <c r="V408" s="2" t="s">
        <v>37</v>
      </c>
      <c r="W408" s="4" t="s">
        <v>37</v>
      </c>
      <c r="X40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0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0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08" s="2" t="str">
        <f>IF(tb1_supporters[[#This Row],[Email]]="","",IF(COUNTIF(tb1_supporters[Email],tb1_supporters[[#This Row],[Email]])&gt;1,"Review - duplicate record, see Supporter_Duplicates tab",""))</f>
        <v/>
      </c>
      <c r="AB408" s="21" t="str">
        <f>IF(tb1_supporters[[#This Row],[Communication_Preference]]="Do Not Contact","DO NOT CONTACT","")</f>
        <v/>
      </c>
      <c r="AE408"/>
    </row>
    <row r="409" spans="1:31" x14ac:dyDescent="0.25">
      <c r="A409" s="3" t="s">
        <v>2735</v>
      </c>
      <c r="B409" s="2"/>
      <c r="C409" s="2" t="s">
        <v>1091</v>
      </c>
      <c r="D409" s="2" t="s">
        <v>309</v>
      </c>
      <c r="E409" s="2" t="s">
        <v>2736</v>
      </c>
      <c r="F409" s="2" t="s">
        <v>2737</v>
      </c>
      <c r="G409" s="2" t="str">
        <f>TRIM(SUBSTITUTE(SUBSTITUTE(SUBSTITUTE(SUBSTITUTE(tb1_supporters[[#This Row],[Phone_Raw]],"(",""),")","")," ",""),"+44",))</f>
        <v>0203141116</v>
      </c>
      <c r="H409" s="15">
        <v>28025</v>
      </c>
      <c r="I409" s="36">
        <f ca="1">IF(OR(tb1_supporters[[#This Row],[Date_of_Birth]]="",tb1_supporters[[#This Row],[Date_of_Birth]]&gt;TODAY()),"",DATEDIF(tb1_supporters[[#This Row],[Date_of_Birth]],TODAY(),"Y"))</f>
        <v>49</v>
      </c>
      <c r="J40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09" s="2" t="s">
        <v>2739</v>
      </c>
      <c r="L409" s="2" t="s">
        <v>387</v>
      </c>
      <c r="M409" s="2" t="s">
        <v>388</v>
      </c>
      <c r="N409" s="2" t="s">
        <v>389</v>
      </c>
      <c r="O409" s="2" t="s">
        <v>166</v>
      </c>
      <c r="P409" s="2" t="s">
        <v>4887</v>
      </c>
      <c r="Q409" s="2" t="s">
        <v>192</v>
      </c>
      <c r="R409" s="15">
        <v>44237</v>
      </c>
      <c r="S409" s="2" t="s">
        <v>4</v>
      </c>
      <c r="T409" s="2" t="s">
        <v>37</v>
      </c>
      <c r="U409" s="2" t="s">
        <v>37</v>
      </c>
      <c r="V409" s="2" t="s">
        <v>37</v>
      </c>
      <c r="W409" s="4" t="s">
        <v>36</v>
      </c>
      <c r="X40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09" s="2" t="str">
        <f>IF(ISNUMBER(SEARCH("onal",tb1_supporters[[#This Row],[Phone_Clean]])),"Review - corrupt phone number", IF(LEN(tb1_supporters[[#This Row],[Phone_Clean]])&gt;11,"Review - too many digits",""))</f>
        <v/>
      </c>
      <c r="Z40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09" s="2" t="str">
        <f>IF(tb1_supporters[[#This Row],[Email]]="","",IF(COUNTIF(tb1_supporters[Email],tb1_supporters[[#This Row],[Email]])&gt;1,"Review - duplicate record, see Supporter_Duplicates tab",""))</f>
        <v/>
      </c>
      <c r="AB409" s="21" t="str">
        <f>IF(tb1_supporters[[#This Row],[Communication_Preference]]="Do Not Contact","DO NOT CONTACT","")</f>
        <v/>
      </c>
      <c r="AE409"/>
    </row>
    <row r="410" spans="1:31" x14ac:dyDescent="0.25">
      <c r="A410" s="3" t="s">
        <v>2741</v>
      </c>
      <c r="B410" s="2" t="s">
        <v>4866</v>
      </c>
      <c r="C410" s="2" t="s">
        <v>597</v>
      </c>
      <c r="D410" s="2" t="s">
        <v>771</v>
      </c>
      <c r="E410" s="2" t="s">
        <v>2742</v>
      </c>
      <c r="F410" s="2" t="s">
        <v>2743</v>
      </c>
      <c r="G410" s="2" t="str">
        <f>TRIM(SUBSTITUTE(SUBSTITUTE(SUBSTITUTE(SUBSTITUTE(tb1_supporters[[#This Row],[Phone_Raw]],"(",""),")","")," ",""),"+44",))</f>
        <v>07365683976</v>
      </c>
      <c r="H410" s="15">
        <v>20549</v>
      </c>
      <c r="I410" s="36">
        <f ca="1">IF(OR(tb1_supporters[[#This Row],[Date_of_Birth]]="",tb1_supporters[[#This Row],[Date_of_Birth]]&gt;TODAY()),"",DATEDIF(tb1_supporters[[#This Row],[Date_of_Birth]],TODAY(),"Y"))</f>
        <v>70</v>
      </c>
      <c r="J41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10" s="2" t="s">
        <v>2745</v>
      </c>
      <c r="L410" s="2" t="s">
        <v>609</v>
      </c>
      <c r="M410" s="2" t="s">
        <v>610</v>
      </c>
      <c r="N410" s="2" t="s">
        <v>611</v>
      </c>
      <c r="O410" s="2" t="s">
        <v>166</v>
      </c>
      <c r="P410" s="2" t="s">
        <v>91</v>
      </c>
      <c r="Q410" s="2" t="s">
        <v>154</v>
      </c>
      <c r="R410" s="15">
        <v>43195</v>
      </c>
      <c r="S410" s="2" t="s">
        <v>52</v>
      </c>
      <c r="T410" s="2" t="s">
        <v>37</v>
      </c>
      <c r="U410" s="2" t="s">
        <v>37</v>
      </c>
      <c r="V410" s="2" t="s">
        <v>36</v>
      </c>
      <c r="W410" s="4" t="s">
        <v>37</v>
      </c>
      <c r="X41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10" s="2" t="str">
        <f>IF(ISNUMBER(SEARCH("onal",tb1_supporters[[#This Row],[Phone_Clean]])),"Review - corrupt phone number", IF(LEN(tb1_supporters[[#This Row],[Phone_Clean]])&gt;11,"Review - too many digits",""))</f>
        <v/>
      </c>
      <c r="Z41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10" s="2" t="str">
        <f>IF(tb1_supporters[[#This Row],[Email]]="","",IF(COUNTIF(tb1_supporters[Email],tb1_supporters[[#This Row],[Email]])&gt;1,"Review - duplicate record, see Supporter_Duplicates tab",""))</f>
        <v/>
      </c>
      <c r="AB410" s="21" t="str">
        <f>IF(tb1_supporters[[#This Row],[Communication_Preference]]="Do Not Contact","DO NOT CONTACT","")</f>
        <v/>
      </c>
      <c r="AE410"/>
    </row>
    <row r="411" spans="1:31" x14ac:dyDescent="0.25">
      <c r="A411" s="3" t="s">
        <v>2747</v>
      </c>
      <c r="B411" s="2" t="s">
        <v>54</v>
      </c>
      <c r="C411" s="2" t="s">
        <v>157</v>
      </c>
      <c r="D411" s="2" t="s">
        <v>425</v>
      </c>
      <c r="E411" s="2" t="s">
        <v>2748</v>
      </c>
      <c r="F411" s="2" t="s">
        <v>2749</v>
      </c>
      <c r="G411" s="2" t="str">
        <f>TRIM(SUBSTITUTE(SUBSTITUTE(SUBSTITUTE(SUBSTITUTE(tb1_supporters[[#This Row],[Phone_Raw]],"(",""),")","")," ",""),"+44",))</f>
        <v>07796630577</v>
      </c>
      <c r="H411" s="15">
        <v>20506</v>
      </c>
      <c r="I411" s="36">
        <f ca="1">IF(OR(tb1_supporters[[#This Row],[Date_of_Birth]]="",tb1_supporters[[#This Row],[Date_of_Birth]]&gt;TODAY()),"",DATEDIF(tb1_supporters[[#This Row],[Date_of_Birth]],TODAY(),"Y"))</f>
        <v>70</v>
      </c>
      <c r="J41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11" s="2" t="s">
        <v>2751</v>
      </c>
      <c r="L411" s="2" t="s">
        <v>945</v>
      </c>
      <c r="M411" s="2" t="s">
        <v>946</v>
      </c>
      <c r="N411" s="2" t="s">
        <v>947</v>
      </c>
      <c r="O411" s="2" t="s">
        <v>166</v>
      </c>
      <c r="P411" s="2" t="s">
        <v>181</v>
      </c>
      <c r="Q411" s="2" t="s">
        <v>4888</v>
      </c>
      <c r="R411" s="15">
        <v>44020</v>
      </c>
      <c r="S411" s="2" t="s">
        <v>52</v>
      </c>
      <c r="T411" s="2" t="s">
        <v>36</v>
      </c>
      <c r="U411" s="2" t="s">
        <v>36</v>
      </c>
      <c r="V411" s="2" t="s">
        <v>37</v>
      </c>
      <c r="W411" s="4" t="s">
        <v>37</v>
      </c>
      <c r="X41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11" s="2" t="str">
        <f>IF(ISNUMBER(SEARCH("onal",tb1_supporters[[#This Row],[Phone_Clean]])),"Review - corrupt phone number", IF(LEN(tb1_supporters[[#This Row],[Phone_Clean]])&gt;11,"Review - too many digits",""))</f>
        <v/>
      </c>
      <c r="Z41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11" s="2" t="str">
        <f>IF(tb1_supporters[[#This Row],[Email]]="","",IF(COUNTIF(tb1_supporters[Email],tb1_supporters[[#This Row],[Email]])&gt;1,"Review - duplicate record, see Supporter_Duplicates tab",""))</f>
        <v/>
      </c>
      <c r="AB411" s="21" t="str">
        <f>IF(tb1_supporters[[#This Row],[Communication_Preference]]="Do Not Contact","DO NOT CONTACT","")</f>
        <v/>
      </c>
      <c r="AE411"/>
    </row>
    <row r="412" spans="1:31" x14ac:dyDescent="0.25">
      <c r="A412" s="3" t="s">
        <v>2753</v>
      </c>
      <c r="B412" s="2" t="s">
        <v>54</v>
      </c>
      <c r="C412" s="2" t="s">
        <v>1001</v>
      </c>
      <c r="D412" s="2" t="s">
        <v>1268</v>
      </c>
      <c r="E412" s="2" t="s">
        <v>2754</v>
      </c>
      <c r="F412" s="2" t="s">
        <v>2755</v>
      </c>
      <c r="G412" s="2" t="str">
        <f>TRIM(SUBSTITUTE(SUBSTITUTE(SUBSTITUTE(SUBSTITUTE(tb1_supporters[[#This Row],[Phone_Raw]],"(",""),")","")," ",""),"+44",))</f>
        <v>07301268437</v>
      </c>
      <c r="H412" s="15">
        <v>27116</v>
      </c>
      <c r="I412" s="36">
        <f ca="1">IF(OR(tb1_supporters[[#This Row],[Date_of_Birth]]="",tb1_supporters[[#This Row],[Date_of_Birth]]&gt;TODAY()),"",DATEDIF(tb1_supporters[[#This Row],[Date_of_Birth]],TODAY(),"Y"))</f>
        <v>52</v>
      </c>
      <c r="J41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12" s="2" t="s">
        <v>2757</v>
      </c>
      <c r="L412" s="2" t="s">
        <v>1026</v>
      </c>
      <c r="M412" s="2" t="s">
        <v>1027</v>
      </c>
      <c r="N412" s="2" t="s">
        <v>1028</v>
      </c>
      <c r="O412" s="2" t="s">
        <v>166</v>
      </c>
      <c r="P412" s="2" t="s">
        <v>65</v>
      </c>
      <c r="Q412" s="2" t="s">
        <v>192</v>
      </c>
      <c r="R412" s="15">
        <v>45066</v>
      </c>
      <c r="S412" s="2" t="s">
        <v>93</v>
      </c>
      <c r="T412" s="2" t="s">
        <v>36</v>
      </c>
      <c r="U412" s="2" t="s">
        <v>36</v>
      </c>
      <c r="V412" s="2" t="s">
        <v>37</v>
      </c>
      <c r="W412" s="4" t="s">
        <v>37</v>
      </c>
      <c r="X41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12" s="2" t="str">
        <f>IF(ISNUMBER(SEARCH("onal",tb1_supporters[[#This Row],[Phone_Clean]])),"Review - corrupt phone number", IF(LEN(tb1_supporters[[#This Row],[Phone_Clean]])&gt;11,"Review - too many digits",""))</f>
        <v/>
      </c>
      <c r="Z41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12" s="2" t="str">
        <f>IF(tb1_supporters[[#This Row],[Email]]="","",IF(COUNTIF(tb1_supporters[Email],tb1_supporters[[#This Row],[Email]])&gt;1,"Review - duplicate record, see Supporter_Duplicates tab",""))</f>
        <v/>
      </c>
      <c r="AB412" s="21" t="str">
        <f>IF(tb1_supporters[[#This Row],[Communication_Preference]]="Do Not Contact","DO NOT CONTACT","")</f>
        <v/>
      </c>
      <c r="AE412"/>
    </row>
    <row r="413" spans="1:31" x14ac:dyDescent="0.25">
      <c r="A413" s="3" t="s">
        <v>2759</v>
      </c>
      <c r="B413" s="2" t="s">
        <v>69</v>
      </c>
      <c r="C413" s="2" t="s">
        <v>237</v>
      </c>
      <c r="D413" s="2" t="s">
        <v>870</v>
      </c>
      <c r="E413" s="2" t="s">
        <v>2760</v>
      </c>
      <c r="F413" s="2" t="s">
        <v>2761</v>
      </c>
      <c r="G413" s="2" t="str">
        <f>TRIM(SUBSTITUTE(SUBSTITUTE(SUBSTITUTE(SUBSTITUTE(tb1_supporters[[#This Row],[Phone_Raw]],"(",""),")","")," ",""),"+44",))</f>
        <v>7734549882</v>
      </c>
      <c r="H413" s="15"/>
      <c r="I413" s="36" t="str">
        <f ca="1">IF(OR(tb1_supporters[[#This Row],[Date_of_Birth]]="",tb1_supporters[[#This Row],[Date_of_Birth]]&gt;TODAY()),"",DATEDIF(tb1_supporters[[#This Row],[Date_of_Birth]],TODAY(),"Y"))</f>
        <v/>
      </c>
      <c r="J41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413" s="2" t="s">
        <v>2762</v>
      </c>
      <c r="L413" s="2" t="s">
        <v>945</v>
      </c>
      <c r="M413" s="2" t="s">
        <v>946</v>
      </c>
      <c r="N413" s="2" t="s">
        <v>947</v>
      </c>
      <c r="O413" s="2" t="s">
        <v>166</v>
      </c>
      <c r="P413" s="2" t="s">
        <v>153</v>
      </c>
      <c r="Q413" s="2" t="s">
        <v>50</v>
      </c>
      <c r="R413" s="15">
        <v>43612</v>
      </c>
      <c r="S413" s="2" t="s">
        <v>5</v>
      </c>
      <c r="T413" s="2" t="s">
        <v>36</v>
      </c>
      <c r="U413" s="2" t="s">
        <v>36</v>
      </c>
      <c r="V413" s="2" t="s">
        <v>36</v>
      </c>
      <c r="W413" s="4" t="s">
        <v>37</v>
      </c>
      <c r="X41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13" s="2" t="str">
        <f>IF(ISNUMBER(SEARCH("onal",tb1_supporters[[#This Row],[Phone_Clean]])),"Review - corrupt phone number", IF(LEN(tb1_supporters[[#This Row],[Phone_Clean]])&gt;11,"Review - too many digits",""))</f>
        <v/>
      </c>
      <c r="Z41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413" s="2" t="str">
        <f>IF(tb1_supporters[[#This Row],[Email]]="","",IF(COUNTIF(tb1_supporters[Email],tb1_supporters[[#This Row],[Email]])&gt;1,"Review - duplicate record, see Supporter_Duplicates tab",""))</f>
        <v/>
      </c>
      <c r="AB413" s="21" t="str">
        <f>IF(tb1_supporters[[#This Row],[Communication_Preference]]="Do Not Contact","DO NOT CONTACT","")</f>
        <v/>
      </c>
      <c r="AE413"/>
    </row>
    <row r="414" spans="1:31" x14ac:dyDescent="0.25">
      <c r="A414" s="3" t="s">
        <v>2764</v>
      </c>
      <c r="B414" s="2" t="s">
        <v>402</v>
      </c>
      <c r="C414" s="2" t="s">
        <v>838</v>
      </c>
      <c r="D414" s="2" t="s">
        <v>504</v>
      </c>
      <c r="E414" s="2" t="s">
        <v>2765</v>
      </c>
      <c r="F414" s="2" t="s">
        <v>2766</v>
      </c>
      <c r="G414" s="2" t="str">
        <f>TRIM(SUBSTITUTE(SUBSTITUTE(SUBSTITUTE(SUBSTITUTE(tb1_supporters[[#This Row],[Phone_Raw]],"(",""),")","")," ",""),"+44",))</f>
        <v>07793157672</v>
      </c>
      <c r="H414" s="15">
        <v>32657</v>
      </c>
      <c r="I414" s="36">
        <f ca="1">IF(OR(tb1_supporters[[#This Row],[Date_of_Birth]]="",tb1_supporters[[#This Row],[Date_of_Birth]]&gt;TODAY()),"",DATEDIF(tb1_supporters[[#This Row],[Date_of_Birth]],TODAY(),"Y"))</f>
        <v>37</v>
      </c>
      <c r="J41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14" s="2" t="s">
        <v>2768</v>
      </c>
      <c r="L414" s="2" t="s">
        <v>945</v>
      </c>
      <c r="M414" s="2" t="s">
        <v>946</v>
      </c>
      <c r="N414" s="2" t="s">
        <v>947</v>
      </c>
      <c r="O414" s="2" t="s">
        <v>242</v>
      </c>
      <c r="P414" s="2" t="s">
        <v>4887</v>
      </c>
      <c r="Q414" s="2" t="s">
        <v>66</v>
      </c>
      <c r="R414" s="15">
        <v>43493</v>
      </c>
      <c r="S414" s="2" t="s">
        <v>93</v>
      </c>
      <c r="T414" s="2" t="s">
        <v>37</v>
      </c>
      <c r="U414" s="2" t="s">
        <v>36</v>
      </c>
      <c r="V414" s="2" t="s">
        <v>36</v>
      </c>
      <c r="W414" s="4" t="s">
        <v>37</v>
      </c>
      <c r="X41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14" s="2" t="str">
        <f>IF(ISNUMBER(SEARCH("onal",tb1_supporters[[#This Row],[Phone_Clean]])),"Review - corrupt phone number", IF(LEN(tb1_supporters[[#This Row],[Phone_Clean]])&gt;11,"Review - too many digits",""))</f>
        <v/>
      </c>
      <c r="Z41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14" s="2" t="str">
        <f>IF(tb1_supporters[[#This Row],[Email]]="","",IF(COUNTIF(tb1_supporters[Email],tb1_supporters[[#This Row],[Email]])&gt;1,"Review - duplicate record, see Supporter_Duplicates tab",""))</f>
        <v/>
      </c>
      <c r="AB414" s="21" t="str">
        <f>IF(tb1_supporters[[#This Row],[Communication_Preference]]="Do Not Contact","DO NOT CONTACT","")</f>
        <v/>
      </c>
      <c r="AE414"/>
    </row>
    <row r="415" spans="1:31" x14ac:dyDescent="0.25">
      <c r="A415" s="3" t="s">
        <v>2770</v>
      </c>
      <c r="B415" s="2" t="s">
        <v>402</v>
      </c>
      <c r="C415" s="2" t="s">
        <v>40</v>
      </c>
      <c r="D415" s="2" t="s">
        <v>108</v>
      </c>
      <c r="E415" s="2" t="s">
        <v>2773</v>
      </c>
      <c r="F415" s="2" t="s">
        <v>2774</v>
      </c>
      <c r="G415" s="2" t="str">
        <f>TRIM(SUBSTITUTE(SUBSTITUTE(SUBSTITUTE(SUBSTITUTE(tb1_supporters[[#This Row],[Phone_Raw]],"(",""),")","")," ",""),"+44",))</f>
        <v>01onal4364153</v>
      </c>
      <c r="H415" s="15">
        <v>26094</v>
      </c>
      <c r="I415" s="36">
        <f ca="1">IF(OR(tb1_supporters[[#This Row],[Date_of_Birth]]="",tb1_supporters[[#This Row],[Date_of_Birth]]&gt;TODAY()),"",DATEDIF(tb1_supporters[[#This Row],[Date_of_Birth]],TODAY(),"Y"))</f>
        <v>54</v>
      </c>
      <c r="J41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15" s="2" t="s">
        <v>2776</v>
      </c>
      <c r="L415" s="2" t="s">
        <v>668</v>
      </c>
      <c r="M415" s="2" t="s">
        <v>669</v>
      </c>
      <c r="N415" s="2" t="s">
        <v>670</v>
      </c>
      <c r="O415" s="2" t="s">
        <v>242</v>
      </c>
      <c r="P415" s="2" t="s">
        <v>181</v>
      </c>
      <c r="Q415" s="2" t="s">
        <v>50</v>
      </c>
      <c r="R415" s="15">
        <v>43377</v>
      </c>
      <c r="S415" s="2" t="s">
        <v>4</v>
      </c>
      <c r="T415" s="2" t="s">
        <v>37</v>
      </c>
      <c r="U415" s="2" t="s">
        <v>36</v>
      </c>
      <c r="V415" s="2" t="s">
        <v>37</v>
      </c>
      <c r="W415" s="4" t="s">
        <v>36</v>
      </c>
      <c r="X41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15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41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15" s="2" t="str">
        <f>IF(tb1_supporters[[#This Row],[Email]]="","",IF(COUNTIF(tb1_supporters[Email],tb1_supporters[[#This Row],[Email]])&gt;1,"Review - duplicate record, see Supporter_Duplicates tab",""))</f>
        <v/>
      </c>
      <c r="AB415" s="21" t="str">
        <f>IF(tb1_supporters[[#This Row],[Communication_Preference]]="Do Not Contact","DO NOT CONTACT","")</f>
        <v/>
      </c>
      <c r="AE415"/>
    </row>
    <row r="416" spans="1:31" x14ac:dyDescent="0.25">
      <c r="A416" s="3" t="s">
        <v>2778</v>
      </c>
      <c r="B416" s="2" t="s">
        <v>4866</v>
      </c>
      <c r="C416" s="2" t="s">
        <v>1078</v>
      </c>
      <c r="D416" s="2" t="s">
        <v>158</v>
      </c>
      <c r="E416" s="2" t="s">
        <v>2779</v>
      </c>
      <c r="F416" s="2" t="s">
        <v>2780</v>
      </c>
      <c r="G416" s="2" t="str">
        <f>TRIM(SUBSTITUTE(SUBSTITUTE(SUBSTITUTE(SUBSTITUTE(tb1_supporters[[#This Row],[Phone_Raw]],"(",""),")","")," ",""),"+44",))</f>
        <v>07230419698</v>
      </c>
      <c r="H416" s="15">
        <v>23806</v>
      </c>
      <c r="I416" s="36">
        <f ca="1">IF(OR(tb1_supporters[[#This Row],[Date_of_Birth]]="",tb1_supporters[[#This Row],[Date_of_Birth]]&gt;TODAY()),"",DATEDIF(tb1_supporters[[#This Row],[Date_of_Birth]],TODAY(),"Y"))</f>
        <v>61</v>
      </c>
      <c r="J41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16" s="2" t="s">
        <v>2782</v>
      </c>
      <c r="L416" s="2" t="s">
        <v>408</v>
      </c>
      <c r="M416" s="2" t="s">
        <v>409</v>
      </c>
      <c r="N416" s="2" t="s">
        <v>410</v>
      </c>
      <c r="O416" s="2" t="s">
        <v>242</v>
      </c>
      <c r="P416" s="2" t="s">
        <v>91</v>
      </c>
      <c r="Q416" s="2" t="s">
        <v>50</v>
      </c>
      <c r="R416" s="15">
        <v>45317</v>
      </c>
      <c r="S416" s="2" t="s">
        <v>4</v>
      </c>
      <c r="T416" s="2" t="s">
        <v>36</v>
      </c>
      <c r="U416" s="2" t="s">
        <v>36</v>
      </c>
      <c r="V416" s="2" t="s">
        <v>37</v>
      </c>
      <c r="W416" s="4" t="s">
        <v>37</v>
      </c>
      <c r="X41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16" s="2" t="str">
        <f>IF(ISNUMBER(SEARCH("onal",tb1_supporters[[#This Row],[Phone_Clean]])),"Review - corrupt phone number", IF(LEN(tb1_supporters[[#This Row],[Phone_Clean]])&gt;11,"Review - too many digits",""))</f>
        <v/>
      </c>
      <c r="Z41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16" s="2" t="str">
        <f>IF(tb1_supporters[[#This Row],[Email]]="","",IF(COUNTIF(tb1_supporters[Email],tb1_supporters[[#This Row],[Email]])&gt;1,"Review - duplicate record, see Supporter_Duplicates tab",""))</f>
        <v/>
      </c>
      <c r="AB416" s="21" t="str">
        <f>IF(tb1_supporters[[#This Row],[Communication_Preference]]="Do Not Contact","DO NOT CONTACT","")</f>
        <v/>
      </c>
      <c r="AE416"/>
    </row>
    <row r="417" spans="1:31" x14ac:dyDescent="0.25">
      <c r="A417" s="3" t="s">
        <v>2784</v>
      </c>
      <c r="B417" s="2"/>
      <c r="C417" s="2" t="s">
        <v>120</v>
      </c>
      <c r="D417" s="2" t="s">
        <v>414</v>
      </c>
      <c r="E417" s="2" t="s">
        <v>2785</v>
      </c>
      <c r="F417" s="2" t="s">
        <v>2786</v>
      </c>
      <c r="G417" s="2" t="str">
        <f>TRIM(SUBSTITUTE(SUBSTITUTE(SUBSTITUTE(SUBSTITUTE(tb1_supporters[[#This Row],[Phone_Raw]],"(",""),")","")," ",""),"+44",))</f>
        <v>07300305755</v>
      </c>
      <c r="H417" s="15">
        <v>23057</v>
      </c>
      <c r="I417" s="36">
        <f ca="1">IF(OR(tb1_supporters[[#This Row],[Date_of_Birth]]="",tb1_supporters[[#This Row],[Date_of_Birth]]&gt;TODAY()),"",DATEDIF(tb1_supporters[[#This Row],[Date_of_Birth]],TODAY(),"Y"))</f>
        <v>63</v>
      </c>
      <c r="J41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17" s="2" t="s">
        <v>125</v>
      </c>
      <c r="L417" s="2" t="s">
        <v>429</v>
      </c>
      <c r="M417" s="2" t="s">
        <v>430</v>
      </c>
      <c r="N417" s="2" t="s">
        <v>431</v>
      </c>
      <c r="O417" s="2" t="s">
        <v>166</v>
      </c>
      <c r="P417" s="2" t="s">
        <v>65</v>
      </c>
      <c r="Q417" s="2" t="s">
        <v>141</v>
      </c>
      <c r="R417" s="15">
        <v>43876</v>
      </c>
      <c r="S417" s="2" t="s">
        <v>93</v>
      </c>
      <c r="T417" s="2" t="s">
        <v>36</v>
      </c>
      <c r="U417" s="2" t="s">
        <v>36</v>
      </c>
      <c r="V417" s="2" t="s">
        <v>37</v>
      </c>
      <c r="W417" s="4" t="s">
        <v>37</v>
      </c>
      <c r="X41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17" s="2" t="str">
        <f>IF(ISNUMBER(SEARCH("onal",tb1_supporters[[#This Row],[Phone_Clean]])),"Review - corrupt phone number", IF(LEN(tb1_supporters[[#This Row],[Phone_Clean]])&gt;11,"Review - too many digits",""))</f>
        <v/>
      </c>
      <c r="Z41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17" s="2" t="str">
        <f>IF(tb1_supporters[[#This Row],[Email]]="","",IF(COUNTIF(tb1_supporters[Email],tb1_supporters[[#This Row],[Email]])&gt;1,"Review - duplicate record, see Supporter_Duplicates tab",""))</f>
        <v/>
      </c>
      <c r="AB417" s="21" t="str">
        <f>IF(tb1_supporters[[#This Row],[Communication_Preference]]="Do Not Contact","DO NOT CONTACT","")</f>
        <v/>
      </c>
      <c r="AE417"/>
    </row>
    <row r="418" spans="1:31" x14ac:dyDescent="0.25">
      <c r="A418" s="3" t="s">
        <v>2789</v>
      </c>
      <c r="B418" s="2" t="s">
        <v>22</v>
      </c>
      <c r="C418" s="2" t="s">
        <v>2790</v>
      </c>
      <c r="D418" s="2" t="s">
        <v>291</v>
      </c>
      <c r="E418" s="2" t="s">
        <v>2791</v>
      </c>
      <c r="F418" s="2" t="s">
        <v>2792</v>
      </c>
      <c r="G418" s="2" t="str">
        <f>TRIM(SUBSTITUTE(SUBSTITUTE(SUBSTITUTE(SUBSTITUTE(tb1_supporters[[#This Row],[Phone_Raw]],"(",""),")","")," ",""),"+44",))</f>
        <v>07103754328</v>
      </c>
      <c r="H418" s="15">
        <v>27970</v>
      </c>
      <c r="I418" s="36">
        <f ca="1">IF(OR(tb1_supporters[[#This Row],[Date_of_Birth]]="",tb1_supporters[[#This Row],[Date_of_Birth]]&gt;TODAY()),"",DATEDIF(tb1_supporters[[#This Row],[Date_of_Birth]],TODAY(),"Y"))</f>
        <v>49</v>
      </c>
      <c r="J41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18" s="2" t="s">
        <v>2794</v>
      </c>
      <c r="L418" s="2" t="s">
        <v>1204</v>
      </c>
      <c r="M418" s="2" t="s">
        <v>114</v>
      </c>
      <c r="N418" s="2" t="s">
        <v>1205</v>
      </c>
      <c r="O418" s="2" t="s">
        <v>242</v>
      </c>
      <c r="P418" s="2" t="s">
        <v>153</v>
      </c>
      <c r="Q418" s="2" t="s">
        <v>50</v>
      </c>
      <c r="R418" s="15">
        <v>43974</v>
      </c>
      <c r="S418" s="2" t="s">
        <v>93</v>
      </c>
      <c r="T418" s="2" t="s">
        <v>36</v>
      </c>
      <c r="U418" s="2" t="s">
        <v>36</v>
      </c>
      <c r="V418" s="2" t="s">
        <v>37</v>
      </c>
      <c r="W418" s="4" t="s">
        <v>37</v>
      </c>
      <c r="X41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18" s="2" t="str">
        <f>IF(ISNUMBER(SEARCH("onal",tb1_supporters[[#This Row],[Phone_Clean]])),"Review - corrupt phone number", IF(LEN(tb1_supporters[[#This Row],[Phone_Clean]])&gt;11,"Review - too many digits",""))</f>
        <v/>
      </c>
      <c r="Z41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18" s="2" t="str">
        <f>IF(tb1_supporters[[#This Row],[Email]]="","",IF(COUNTIF(tb1_supporters[Email],tb1_supporters[[#This Row],[Email]])&gt;1,"Review - duplicate record, see Supporter_Duplicates tab",""))</f>
        <v/>
      </c>
      <c r="AB418" s="21" t="str">
        <f>IF(tb1_supporters[[#This Row],[Communication_Preference]]="Do Not Contact","DO NOT CONTACT","")</f>
        <v/>
      </c>
      <c r="AE418"/>
    </row>
    <row r="419" spans="1:31" x14ac:dyDescent="0.25">
      <c r="A419" s="3" t="s">
        <v>2796</v>
      </c>
      <c r="B419" s="2" t="s">
        <v>22</v>
      </c>
      <c r="C419" s="2" t="s">
        <v>132</v>
      </c>
      <c r="D419" s="2" t="s">
        <v>197</v>
      </c>
      <c r="E419" s="2" t="s">
        <v>2797</v>
      </c>
      <c r="F419" s="2" t="s">
        <v>2798</v>
      </c>
      <c r="G419" s="2" t="str">
        <f>TRIM(SUBSTITUTE(SUBSTITUTE(SUBSTITUTE(SUBSTITUTE(tb1_supporters[[#This Row],[Phone_Raw]],"(",""),")","")," ",""),"+44",))</f>
        <v>7217245397</v>
      </c>
      <c r="H419" s="15">
        <v>31055</v>
      </c>
      <c r="I419" s="36">
        <f ca="1">IF(OR(tb1_supporters[[#This Row],[Date_of_Birth]]="",tb1_supporters[[#This Row],[Date_of_Birth]]&gt;TODAY()),"",DATEDIF(tb1_supporters[[#This Row],[Date_of_Birth]],TODAY(),"Y"))</f>
        <v>41</v>
      </c>
      <c r="J41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19" s="2" t="s">
        <v>2800</v>
      </c>
      <c r="L419" s="2" t="s">
        <v>766</v>
      </c>
      <c r="M419" s="2" t="s">
        <v>767</v>
      </c>
      <c r="N419" s="2" t="s">
        <v>768</v>
      </c>
      <c r="O419" s="2" t="s">
        <v>242</v>
      </c>
      <c r="P419" s="2" t="s">
        <v>49</v>
      </c>
      <c r="Q419" s="2" t="s">
        <v>192</v>
      </c>
      <c r="R419" s="15">
        <v>43222</v>
      </c>
      <c r="S419" s="2" t="s">
        <v>93</v>
      </c>
      <c r="T419" s="2" t="s">
        <v>36</v>
      </c>
      <c r="U419" s="2" t="s">
        <v>36</v>
      </c>
      <c r="V419" s="2" t="s">
        <v>36</v>
      </c>
      <c r="W419" s="4" t="s">
        <v>36</v>
      </c>
      <c r="X41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19" s="2" t="str">
        <f>IF(ISNUMBER(SEARCH("onal",tb1_supporters[[#This Row],[Phone_Clean]])),"Review - corrupt phone number", IF(LEN(tb1_supporters[[#This Row],[Phone_Clean]])&gt;11,"Review - too many digits",""))</f>
        <v/>
      </c>
      <c r="Z41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19" s="2" t="str">
        <f>IF(tb1_supporters[[#This Row],[Email]]="","",IF(COUNTIF(tb1_supporters[Email],tb1_supporters[[#This Row],[Email]])&gt;1,"Review - duplicate record, see Supporter_Duplicates tab",""))</f>
        <v/>
      </c>
      <c r="AB419" s="21" t="str">
        <f>IF(tb1_supporters[[#This Row],[Communication_Preference]]="Do Not Contact","DO NOT CONTACT","")</f>
        <v/>
      </c>
      <c r="AE419"/>
    </row>
    <row r="420" spans="1:31" x14ac:dyDescent="0.25">
      <c r="A420" s="3" t="s">
        <v>2802</v>
      </c>
      <c r="B420" s="2" t="s">
        <v>170</v>
      </c>
      <c r="C420" s="2" t="s">
        <v>1411</v>
      </c>
      <c r="D420" s="2" t="s">
        <v>375</v>
      </c>
      <c r="E420" s="2" t="s">
        <v>2803</v>
      </c>
      <c r="F420" s="2" t="s">
        <v>2804</v>
      </c>
      <c r="G420" s="2" t="str">
        <f>TRIM(SUBSTITUTE(SUBSTITUTE(SUBSTITUTE(SUBSTITUTE(tb1_supporters[[#This Row],[Phone_Raw]],"(",""),")","")," ",""),"+44",))</f>
        <v>07121951793</v>
      </c>
      <c r="H420" s="15"/>
      <c r="I420" s="36" t="str">
        <f ca="1">IF(OR(tb1_supporters[[#This Row],[Date_of_Birth]]="",tb1_supporters[[#This Row],[Date_of_Birth]]&gt;TODAY()),"",DATEDIF(tb1_supporters[[#This Row],[Date_of_Birth]],TODAY(),"Y"))</f>
        <v/>
      </c>
      <c r="J42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420" s="2" t="s">
        <v>2805</v>
      </c>
      <c r="L420" s="2" t="s">
        <v>609</v>
      </c>
      <c r="M420" s="2" t="s">
        <v>610</v>
      </c>
      <c r="N420" s="2" t="s">
        <v>611</v>
      </c>
      <c r="O420" s="2" t="s">
        <v>242</v>
      </c>
      <c r="P420" s="2" t="s">
        <v>65</v>
      </c>
      <c r="Q420" s="2" t="s">
        <v>141</v>
      </c>
      <c r="R420" s="15">
        <v>43962</v>
      </c>
      <c r="S420" s="2" t="s">
        <v>93</v>
      </c>
      <c r="T420" s="2" t="s">
        <v>36</v>
      </c>
      <c r="U420" s="2" t="s">
        <v>36</v>
      </c>
      <c r="V420" s="2" t="s">
        <v>36</v>
      </c>
      <c r="W420" s="4" t="s">
        <v>37</v>
      </c>
      <c r="X42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20" s="2" t="str">
        <f>IF(ISNUMBER(SEARCH("onal",tb1_supporters[[#This Row],[Phone_Clean]])),"Review - corrupt phone number", IF(LEN(tb1_supporters[[#This Row],[Phone_Clean]])&gt;11,"Review - too many digits",""))</f>
        <v/>
      </c>
      <c r="Z42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420" s="2" t="str">
        <f>IF(tb1_supporters[[#This Row],[Email]]="","",IF(COUNTIF(tb1_supporters[Email],tb1_supporters[[#This Row],[Email]])&gt;1,"Review - duplicate record, see Supporter_Duplicates tab",""))</f>
        <v/>
      </c>
      <c r="AB420" s="21" t="str">
        <f>IF(tb1_supporters[[#This Row],[Communication_Preference]]="Do Not Contact","DO NOT CONTACT","")</f>
        <v/>
      </c>
      <c r="AE420"/>
    </row>
    <row r="421" spans="1:31" x14ac:dyDescent="0.25">
      <c r="A421" s="3" t="s">
        <v>2807</v>
      </c>
      <c r="B421" s="2" t="s">
        <v>54</v>
      </c>
      <c r="C421" s="2" t="s">
        <v>107</v>
      </c>
      <c r="D421" s="2" t="s">
        <v>214</v>
      </c>
      <c r="E421" s="2" t="s">
        <v>2808</v>
      </c>
      <c r="F421" s="2" t="s">
        <v>2809</v>
      </c>
      <c r="G421" s="2" t="str">
        <f>TRIM(SUBSTITUTE(SUBSTITUTE(SUBSTITUTE(SUBSTITUTE(tb1_supporters[[#This Row],[Phone_Raw]],"(",""),")","")," ",""),"+44",))</f>
        <v>07913294296</v>
      </c>
      <c r="H421" s="15">
        <v>12489</v>
      </c>
      <c r="I421" s="36">
        <f ca="1">IF(OR(tb1_supporters[[#This Row],[Date_of_Birth]]="",tb1_supporters[[#This Row],[Date_of_Birth]]&gt;TODAY()),"",DATEDIF(tb1_supporters[[#This Row],[Date_of_Birth]],TODAY(),"Y"))</f>
        <v>92</v>
      </c>
      <c r="J42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21" s="2" t="s">
        <v>2811</v>
      </c>
      <c r="L421" s="2" t="s">
        <v>46</v>
      </c>
      <c r="M421" s="2" t="s">
        <v>47</v>
      </c>
      <c r="N421" s="2" t="s">
        <v>48</v>
      </c>
      <c r="O421" s="2" t="s">
        <v>166</v>
      </c>
      <c r="P421" s="2" t="s">
        <v>49</v>
      </c>
      <c r="Q421" s="2" t="s">
        <v>141</v>
      </c>
      <c r="R421" s="15">
        <v>45556</v>
      </c>
      <c r="S421" s="2" t="s">
        <v>4</v>
      </c>
      <c r="T421" s="2" t="s">
        <v>36</v>
      </c>
      <c r="U421" s="2" t="s">
        <v>36</v>
      </c>
      <c r="V421" s="2" t="s">
        <v>36</v>
      </c>
      <c r="W421" s="4" t="s">
        <v>37</v>
      </c>
      <c r="X42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21" s="2" t="str">
        <f>IF(ISNUMBER(SEARCH("onal",tb1_supporters[[#This Row],[Phone_Clean]])),"Review - corrupt phone number", IF(LEN(tb1_supporters[[#This Row],[Phone_Clean]])&gt;11,"Review - too many digits",""))</f>
        <v/>
      </c>
      <c r="Z42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21" s="2" t="str">
        <f>IF(tb1_supporters[[#This Row],[Email]]="","",IF(COUNTIF(tb1_supporters[Email],tb1_supporters[[#This Row],[Email]])&gt;1,"Review - duplicate record, see Supporter_Duplicates tab",""))</f>
        <v/>
      </c>
      <c r="AB421" s="21" t="str">
        <f>IF(tb1_supporters[[#This Row],[Communication_Preference]]="Do Not Contact","DO NOT CONTACT","")</f>
        <v/>
      </c>
      <c r="AE421"/>
    </row>
    <row r="422" spans="1:31" x14ac:dyDescent="0.25">
      <c r="A422" s="3" t="s">
        <v>2813</v>
      </c>
      <c r="B422" s="2" t="s">
        <v>54</v>
      </c>
      <c r="C422" s="2" t="s">
        <v>1118</v>
      </c>
      <c r="D422" s="2" t="s">
        <v>810</v>
      </c>
      <c r="E422" s="2" t="s">
        <v>2814</v>
      </c>
      <c r="F422" s="2" t="s">
        <v>2815</v>
      </c>
      <c r="G422" s="2" t="str">
        <f>TRIM(SUBSTITUTE(SUBSTITUTE(SUBSTITUTE(SUBSTITUTE(tb1_supporters[[#This Row],[Phone_Raw]],"(",""),")","")," ",""),"+44",))</f>
        <v>7698600314</v>
      </c>
      <c r="H422" s="15">
        <v>18846</v>
      </c>
      <c r="I422" s="36">
        <f ca="1">IF(OR(tb1_supporters[[#This Row],[Date_of_Birth]]="",tb1_supporters[[#This Row],[Date_of_Birth]]&gt;TODAY()),"",DATEDIF(tb1_supporters[[#This Row],[Date_of_Birth]],TODAY(),"Y"))</f>
        <v>74</v>
      </c>
      <c r="J42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22" s="2" t="s">
        <v>2817</v>
      </c>
      <c r="L422" s="2" t="s">
        <v>126</v>
      </c>
      <c r="M422" s="2" t="s">
        <v>127</v>
      </c>
      <c r="N422" s="2" t="s">
        <v>128</v>
      </c>
      <c r="O422" s="2" t="s">
        <v>166</v>
      </c>
      <c r="P422" s="2" t="s">
        <v>153</v>
      </c>
      <c r="Q422" s="2" t="s">
        <v>243</v>
      </c>
      <c r="R422" s="15">
        <v>45619</v>
      </c>
      <c r="S422" s="2" t="s">
        <v>93</v>
      </c>
      <c r="T422" s="2" t="s">
        <v>36</v>
      </c>
      <c r="U422" s="2" t="s">
        <v>36</v>
      </c>
      <c r="V422" s="2" t="s">
        <v>37</v>
      </c>
      <c r="W422" s="4" t="s">
        <v>37</v>
      </c>
      <c r="X42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22" s="2" t="str">
        <f>IF(ISNUMBER(SEARCH("onal",tb1_supporters[[#This Row],[Phone_Clean]])),"Review - corrupt phone number", IF(LEN(tb1_supporters[[#This Row],[Phone_Clean]])&gt;11,"Review - too many digits",""))</f>
        <v/>
      </c>
      <c r="Z42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22" s="2" t="str">
        <f>IF(tb1_supporters[[#This Row],[Email]]="","",IF(COUNTIF(tb1_supporters[Email],tb1_supporters[[#This Row],[Email]])&gt;1,"Review - duplicate record, see Supporter_Duplicates tab",""))</f>
        <v/>
      </c>
      <c r="AB422" s="21" t="str">
        <f>IF(tb1_supporters[[#This Row],[Communication_Preference]]="Do Not Contact","DO NOT CONTACT","")</f>
        <v/>
      </c>
      <c r="AE422"/>
    </row>
    <row r="423" spans="1:31" x14ac:dyDescent="0.25">
      <c r="A423" s="3" t="s">
        <v>2819</v>
      </c>
      <c r="B423" s="2" t="s">
        <v>170</v>
      </c>
      <c r="C423" s="2" t="s">
        <v>265</v>
      </c>
      <c r="D423" s="2" t="s">
        <v>614</v>
      </c>
      <c r="E423" s="2" t="s">
        <v>2820</v>
      </c>
      <c r="F423" s="2" t="s">
        <v>2821</v>
      </c>
      <c r="G423" s="2" t="str">
        <f>TRIM(SUBSTITUTE(SUBSTITUTE(SUBSTITUTE(SUBSTITUTE(tb1_supporters[[#This Row],[Phone_Raw]],"(",""),")","")," ",""),"+44",))</f>
        <v>016387625396</v>
      </c>
      <c r="H423" s="15">
        <v>23521</v>
      </c>
      <c r="I423" s="36">
        <f ca="1">IF(OR(tb1_supporters[[#This Row],[Date_of_Birth]]="",tb1_supporters[[#This Row],[Date_of_Birth]]&gt;TODAY()),"",DATEDIF(tb1_supporters[[#This Row],[Date_of_Birth]],TODAY(),"Y"))</f>
        <v>62</v>
      </c>
      <c r="J42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23" s="2" t="s">
        <v>2823</v>
      </c>
      <c r="L423" s="2" t="s">
        <v>609</v>
      </c>
      <c r="M423" s="2" t="s">
        <v>610</v>
      </c>
      <c r="N423" s="2" t="s">
        <v>4869</v>
      </c>
      <c r="O423" s="2" t="s">
        <v>242</v>
      </c>
      <c r="P423" s="2" t="s">
        <v>181</v>
      </c>
      <c r="Q423" s="2" t="s">
        <v>154</v>
      </c>
      <c r="R423" s="15">
        <v>44000</v>
      </c>
      <c r="S423" s="2" t="s">
        <v>93</v>
      </c>
      <c r="T423" s="2" t="s">
        <v>36</v>
      </c>
      <c r="U423" s="2" t="s">
        <v>36</v>
      </c>
      <c r="V423" s="2" t="s">
        <v>36</v>
      </c>
      <c r="W423" s="4" t="s">
        <v>37</v>
      </c>
      <c r="X42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23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2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23" s="2" t="str">
        <f>IF(tb1_supporters[[#This Row],[Email]]="","",IF(COUNTIF(tb1_supporters[Email],tb1_supporters[[#This Row],[Email]])&gt;1,"Review - duplicate record, see Supporter_Duplicates tab",""))</f>
        <v/>
      </c>
      <c r="AB423" s="21" t="str">
        <f>IF(tb1_supporters[[#This Row],[Communication_Preference]]="Do Not Contact","DO NOT CONTACT","")</f>
        <v/>
      </c>
      <c r="AE423"/>
    </row>
    <row r="424" spans="1:31" x14ac:dyDescent="0.25">
      <c r="A424" s="3" t="s">
        <v>2825</v>
      </c>
      <c r="B424" s="2" t="s">
        <v>4866</v>
      </c>
      <c r="C424" s="2" t="s">
        <v>1031</v>
      </c>
      <c r="D424" s="2" t="s">
        <v>1696</v>
      </c>
      <c r="E424" s="2" t="s">
        <v>2826</v>
      </c>
      <c r="F424" s="2" t="s">
        <v>2827</v>
      </c>
      <c r="G424" s="2" t="str">
        <f>TRIM(SUBSTITUTE(SUBSTITUTE(SUBSTITUTE(SUBSTITUTE(tb1_supporters[[#This Row],[Phone_Raw]],"(",""),")","")," ",""),"+44",))</f>
        <v>07555631460</v>
      </c>
      <c r="H424" s="15">
        <v>31962</v>
      </c>
      <c r="I424" s="36">
        <f ca="1">IF(OR(tb1_supporters[[#This Row],[Date_of_Birth]]="",tb1_supporters[[#This Row],[Date_of_Birth]]&gt;TODAY()),"",DATEDIF(tb1_supporters[[#This Row],[Date_of_Birth]],TODAY(),"Y"))</f>
        <v>38</v>
      </c>
      <c r="J42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24" s="2" t="s">
        <v>2829</v>
      </c>
      <c r="L424" s="2" t="s">
        <v>397</v>
      </c>
      <c r="M424" s="2" t="s">
        <v>220</v>
      </c>
      <c r="N424" s="2" t="s">
        <v>398</v>
      </c>
      <c r="O424" s="2" t="s">
        <v>166</v>
      </c>
      <c r="P424" s="2" t="s">
        <v>181</v>
      </c>
      <c r="Q424" s="2" t="s">
        <v>66</v>
      </c>
      <c r="R424" s="15">
        <v>45199</v>
      </c>
      <c r="S424" s="2" t="s">
        <v>52</v>
      </c>
      <c r="T424" s="2" t="s">
        <v>37</v>
      </c>
      <c r="U424" s="2" t="s">
        <v>36</v>
      </c>
      <c r="V424" s="2" t="s">
        <v>37</v>
      </c>
      <c r="W424" s="4" t="s">
        <v>37</v>
      </c>
      <c r="X42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24" s="2" t="str">
        <f>IF(ISNUMBER(SEARCH("onal",tb1_supporters[[#This Row],[Phone_Clean]])),"Review - corrupt phone number", IF(LEN(tb1_supporters[[#This Row],[Phone_Clean]])&gt;11,"Review - too many digits",""))</f>
        <v/>
      </c>
      <c r="Z42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24" s="2" t="str">
        <f>IF(tb1_supporters[[#This Row],[Email]]="","",IF(COUNTIF(tb1_supporters[Email],tb1_supporters[[#This Row],[Email]])&gt;1,"Review - duplicate record, see Supporter_Duplicates tab",""))</f>
        <v/>
      </c>
      <c r="AB424" s="21" t="str">
        <f>IF(tb1_supporters[[#This Row],[Communication_Preference]]="Do Not Contact","DO NOT CONTACT","")</f>
        <v/>
      </c>
      <c r="AE424"/>
    </row>
    <row r="425" spans="1:31" x14ac:dyDescent="0.25">
      <c r="A425" s="3" t="s">
        <v>2831</v>
      </c>
      <c r="B425" s="2" t="s">
        <v>54</v>
      </c>
      <c r="C425" s="2" t="s">
        <v>120</v>
      </c>
      <c r="D425" s="2" t="s">
        <v>247</v>
      </c>
      <c r="E425" s="2" t="s">
        <v>2832</v>
      </c>
      <c r="F425" s="2" t="s">
        <v>2833</v>
      </c>
      <c r="G425" s="2" t="str">
        <f>TRIM(SUBSTITUTE(SUBSTITUTE(SUBSTITUTE(SUBSTITUTE(tb1_supporters[[#This Row],[Phone_Raw]],"(",""),")","")," ",""),"+44",))</f>
        <v>07760177467</v>
      </c>
      <c r="H425" s="15"/>
      <c r="I425" s="36" t="str">
        <f ca="1">IF(OR(tb1_supporters[[#This Row],[Date_of_Birth]]="",tb1_supporters[[#This Row],[Date_of_Birth]]&gt;TODAY()),"",DATEDIF(tb1_supporters[[#This Row],[Date_of_Birth]],TODAY(),"Y"))</f>
        <v/>
      </c>
      <c r="J42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/>
      </c>
      <c r="K425" s="2" t="s">
        <v>2834</v>
      </c>
      <c r="L425" s="2" t="s">
        <v>319</v>
      </c>
      <c r="M425" s="2" t="s">
        <v>320</v>
      </c>
      <c r="N425" s="2" t="s">
        <v>321</v>
      </c>
      <c r="O425" s="2" t="s">
        <v>166</v>
      </c>
      <c r="P425" s="2" t="s">
        <v>65</v>
      </c>
      <c r="Q425" s="2" t="s">
        <v>243</v>
      </c>
      <c r="R425" s="15">
        <v>44233</v>
      </c>
      <c r="S425" s="2" t="s">
        <v>5</v>
      </c>
      <c r="T425" s="2" t="s">
        <v>36</v>
      </c>
      <c r="U425" s="2" t="s">
        <v>36</v>
      </c>
      <c r="V425" s="2" t="s">
        <v>36</v>
      </c>
      <c r="W425" s="4" t="s">
        <v>36</v>
      </c>
      <c r="X42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25" s="2" t="str">
        <f>IF(ISNUMBER(SEARCH("onal",tb1_supporters[[#This Row],[Phone_Clean]])),"Review - corrupt phone number", IF(LEN(tb1_supporters[[#This Row],[Phone_Clean]])&gt;11,"Review - too many digits",""))</f>
        <v/>
      </c>
      <c r="Z42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missing DOB</v>
      </c>
      <c r="AA425" s="2" t="str">
        <f>IF(tb1_supporters[[#This Row],[Email]]="","",IF(COUNTIF(tb1_supporters[Email],tb1_supporters[[#This Row],[Email]])&gt;1,"Review - duplicate record, see Supporter_Duplicates tab",""))</f>
        <v/>
      </c>
      <c r="AB425" s="21" t="str">
        <f>IF(tb1_supporters[[#This Row],[Communication_Preference]]="Do Not Contact","DO NOT CONTACT","")</f>
        <v/>
      </c>
      <c r="AE425"/>
    </row>
    <row r="426" spans="1:31" x14ac:dyDescent="0.25">
      <c r="A426" s="3" t="s">
        <v>2836</v>
      </c>
      <c r="B426" s="2" t="s">
        <v>54</v>
      </c>
      <c r="C426" s="2" t="s">
        <v>1453</v>
      </c>
      <c r="D426" s="2" t="s">
        <v>375</v>
      </c>
      <c r="E426" s="2" t="s">
        <v>4869</v>
      </c>
      <c r="F426" s="2" t="s">
        <v>2837</v>
      </c>
      <c r="G426" s="2" t="str">
        <f>TRIM(SUBSTITUTE(SUBSTITUTE(SUBSTITUTE(SUBSTITUTE(tb1_supporters[[#This Row],[Phone_Raw]],"(",""),")","")," ",""),"+44",))</f>
        <v>017732589898</v>
      </c>
      <c r="H426" s="15">
        <v>30525</v>
      </c>
      <c r="I426" s="36">
        <f ca="1">IF(OR(tb1_supporters[[#This Row],[Date_of_Birth]]="",tb1_supporters[[#This Row],[Date_of_Birth]]&gt;TODAY()),"",DATEDIF(tb1_supporters[[#This Row],[Date_of_Birth]],TODAY(),"Y"))</f>
        <v>42</v>
      </c>
      <c r="J42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26" s="2" t="s">
        <v>2839</v>
      </c>
      <c r="L426" s="2" t="s">
        <v>397</v>
      </c>
      <c r="M426" s="2" t="s">
        <v>220</v>
      </c>
      <c r="N426" s="2" t="s">
        <v>398</v>
      </c>
      <c r="O426" s="2" t="s">
        <v>166</v>
      </c>
      <c r="P426" s="2" t="s">
        <v>91</v>
      </c>
      <c r="Q426" s="2" t="s">
        <v>141</v>
      </c>
      <c r="R426" s="15">
        <v>44520</v>
      </c>
      <c r="S426" s="2" t="s">
        <v>52</v>
      </c>
      <c r="T426" s="2" t="s">
        <v>36</v>
      </c>
      <c r="U426" s="2" t="s">
        <v>36</v>
      </c>
      <c r="V426" s="2" t="s">
        <v>37</v>
      </c>
      <c r="W426" s="4" t="s">
        <v>36</v>
      </c>
      <c r="X42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26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2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26" s="2" t="str">
        <f>IF(tb1_supporters[[#This Row],[Email]]="","",IF(COUNTIF(tb1_supporters[Email],tb1_supporters[[#This Row],[Email]])&gt;1,"Review - duplicate record, see Supporter_Duplicates tab",""))</f>
        <v/>
      </c>
      <c r="AB426" s="21" t="str">
        <f>IF(tb1_supporters[[#This Row],[Communication_Preference]]="Do Not Contact","DO NOT CONTACT","")</f>
        <v/>
      </c>
      <c r="AE426"/>
    </row>
    <row r="427" spans="1:31" x14ac:dyDescent="0.25">
      <c r="A427" s="3" t="s">
        <v>2841</v>
      </c>
      <c r="B427" s="2" t="s">
        <v>22</v>
      </c>
      <c r="C427" s="2" t="s">
        <v>488</v>
      </c>
      <c r="D427" s="2" t="s">
        <v>536</v>
      </c>
      <c r="E427" s="2" t="s">
        <v>2842</v>
      </c>
      <c r="F427" s="2" t="s">
        <v>2843</v>
      </c>
      <c r="G427" s="2" t="str">
        <f>TRIM(SUBSTITUTE(SUBSTITUTE(SUBSTITUTE(SUBSTITUTE(tb1_supporters[[#This Row],[Phone_Raw]],"(",""),")","")," ",""),"+44",))</f>
        <v>07910187420</v>
      </c>
      <c r="H427" s="15">
        <v>25832</v>
      </c>
      <c r="I427" s="36">
        <f ca="1">IF(OR(tb1_supporters[[#This Row],[Date_of_Birth]]="",tb1_supporters[[#This Row],[Date_of_Birth]]&gt;TODAY()),"",DATEDIF(tb1_supporters[[#This Row],[Date_of_Birth]],TODAY(),"Y"))</f>
        <v>55</v>
      </c>
      <c r="J42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27" s="2" t="s">
        <v>2845</v>
      </c>
      <c r="L427" s="2" t="s">
        <v>88</v>
      </c>
      <c r="M427" s="2" t="s">
        <v>89</v>
      </c>
      <c r="N427" s="2" t="s">
        <v>90</v>
      </c>
      <c r="O427" s="2" t="s">
        <v>242</v>
      </c>
      <c r="P427" s="2" t="s">
        <v>4887</v>
      </c>
      <c r="Q427" s="2" t="s">
        <v>243</v>
      </c>
      <c r="R427" s="15">
        <v>44811</v>
      </c>
      <c r="S427" s="2" t="s">
        <v>4</v>
      </c>
      <c r="T427" s="2" t="s">
        <v>36</v>
      </c>
      <c r="U427" s="2" t="s">
        <v>36</v>
      </c>
      <c r="V427" s="2" t="s">
        <v>37</v>
      </c>
      <c r="W427" s="4" t="s">
        <v>37</v>
      </c>
      <c r="X42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27" s="2" t="str">
        <f>IF(ISNUMBER(SEARCH("onal",tb1_supporters[[#This Row],[Phone_Clean]])),"Review - corrupt phone number", IF(LEN(tb1_supporters[[#This Row],[Phone_Clean]])&gt;11,"Review - too many digits",""))</f>
        <v/>
      </c>
      <c r="Z42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27" s="2" t="str">
        <f>IF(tb1_supporters[[#This Row],[Email]]="","",IF(COUNTIF(tb1_supporters[Email],tb1_supporters[[#This Row],[Email]])&gt;1,"Review - duplicate record, see Supporter_Duplicates tab",""))</f>
        <v/>
      </c>
      <c r="AB427" s="21" t="str">
        <f>IF(tb1_supporters[[#This Row],[Communication_Preference]]="Do Not Contact","DO NOT CONTACT","")</f>
        <v/>
      </c>
      <c r="AE427"/>
    </row>
    <row r="428" spans="1:31" x14ac:dyDescent="0.25">
      <c r="A428" s="3" t="s">
        <v>2847</v>
      </c>
      <c r="B428" s="2" t="s">
        <v>54</v>
      </c>
      <c r="C428" s="2" t="s">
        <v>597</v>
      </c>
      <c r="D428" s="2" t="s">
        <v>536</v>
      </c>
      <c r="E428" s="2" t="s">
        <v>4869</v>
      </c>
      <c r="F428" s="2" t="s">
        <v>2848</v>
      </c>
      <c r="G428" s="2" t="str">
        <f>TRIM(SUBSTITUTE(SUBSTITUTE(SUBSTITUTE(SUBSTITUTE(tb1_supporters[[#This Row],[Phone_Raw]],"(",""),")","")," ",""),"+44",))</f>
        <v>07529535802</v>
      </c>
      <c r="H428" s="15">
        <v>32879</v>
      </c>
      <c r="I428" s="36">
        <f ca="1">IF(OR(tb1_supporters[[#This Row],[Date_of_Birth]]="",tb1_supporters[[#This Row],[Date_of_Birth]]&gt;TODAY()),"",DATEDIF(tb1_supporters[[#This Row],[Date_of_Birth]],TODAY(),"Y"))</f>
        <v>36</v>
      </c>
      <c r="J42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28" s="2" t="s">
        <v>2850</v>
      </c>
      <c r="L428" s="2" t="s">
        <v>984</v>
      </c>
      <c r="M428" s="2" t="s">
        <v>62</v>
      </c>
      <c r="N428" s="2" t="s">
        <v>985</v>
      </c>
      <c r="O428" s="2" t="s">
        <v>166</v>
      </c>
      <c r="P428" s="2" t="s">
        <v>91</v>
      </c>
      <c r="Q428" s="2" t="s">
        <v>141</v>
      </c>
      <c r="R428" s="15">
        <v>45505</v>
      </c>
      <c r="S428" s="2" t="s">
        <v>93</v>
      </c>
      <c r="T428" s="2" t="s">
        <v>36</v>
      </c>
      <c r="U428" s="2" t="s">
        <v>37</v>
      </c>
      <c r="V428" s="2" t="s">
        <v>36</v>
      </c>
      <c r="W428" s="4" t="s">
        <v>36</v>
      </c>
      <c r="X42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428" s="2" t="str">
        <f>IF(ISNUMBER(SEARCH("onal",tb1_supporters[[#This Row],[Phone_Clean]])),"Review - corrupt phone number", IF(LEN(tb1_supporters[[#This Row],[Phone_Clean]])&gt;11,"Review - too many digits",""))</f>
        <v/>
      </c>
      <c r="Z42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28" s="2" t="str">
        <f>IF(tb1_supporters[[#This Row],[Email]]="","",IF(COUNTIF(tb1_supporters[Email],tb1_supporters[[#This Row],[Email]])&gt;1,"Review - duplicate record, see Supporter_Duplicates tab",""))</f>
        <v/>
      </c>
      <c r="AB428" s="21" t="str">
        <f>IF(tb1_supporters[[#This Row],[Communication_Preference]]="Do Not Contact","DO NOT CONTACT","")</f>
        <v/>
      </c>
      <c r="AE428"/>
    </row>
    <row r="429" spans="1:31" x14ac:dyDescent="0.25">
      <c r="A429" s="3" t="s">
        <v>2852</v>
      </c>
      <c r="B429" s="2" t="s">
        <v>22</v>
      </c>
      <c r="C429" s="2" t="s">
        <v>2790</v>
      </c>
      <c r="D429" s="2" t="s">
        <v>1696</v>
      </c>
      <c r="E429" s="2" t="s">
        <v>2853</v>
      </c>
      <c r="F429" s="2" t="s">
        <v>2854</v>
      </c>
      <c r="G429" s="2" t="str">
        <f>TRIM(SUBSTITUTE(SUBSTITUTE(SUBSTITUTE(SUBSTITUTE(tb1_supporters[[#This Row],[Phone_Raw]],"(",""),")","")," ",""),"+44",))</f>
        <v>07500165647</v>
      </c>
      <c r="H429" s="15">
        <v>21260</v>
      </c>
      <c r="I429" s="36">
        <f ca="1">IF(OR(tb1_supporters[[#This Row],[Date_of_Birth]]="",tb1_supporters[[#This Row],[Date_of_Birth]]&gt;TODAY()),"",DATEDIF(tb1_supporters[[#This Row],[Date_of_Birth]],TODAY(),"Y"))</f>
        <v>68</v>
      </c>
      <c r="J42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29" s="2" t="s">
        <v>2856</v>
      </c>
      <c r="L429" s="2" t="s">
        <v>419</v>
      </c>
      <c r="M429" s="2" t="s">
        <v>420</v>
      </c>
      <c r="N429" s="2" t="s">
        <v>421</v>
      </c>
      <c r="O429" s="2" t="s">
        <v>242</v>
      </c>
      <c r="P429" s="2" t="s">
        <v>153</v>
      </c>
      <c r="Q429" s="2" t="s">
        <v>192</v>
      </c>
      <c r="R429" s="15">
        <v>44447</v>
      </c>
      <c r="S429" s="2" t="s">
        <v>4</v>
      </c>
      <c r="T429" s="2" t="s">
        <v>37</v>
      </c>
      <c r="U429" s="2" t="s">
        <v>36</v>
      </c>
      <c r="V429" s="2" t="s">
        <v>37</v>
      </c>
      <c r="W429" s="4" t="s">
        <v>37</v>
      </c>
      <c r="X42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29" s="2" t="str">
        <f>IF(ISNUMBER(SEARCH("onal",tb1_supporters[[#This Row],[Phone_Clean]])),"Review - corrupt phone number", IF(LEN(tb1_supporters[[#This Row],[Phone_Clean]])&gt;11,"Review - too many digits",""))</f>
        <v/>
      </c>
      <c r="Z42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29" s="2" t="str">
        <f>IF(tb1_supporters[[#This Row],[Email]]="","",IF(COUNTIF(tb1_supporters[Email],tb1_supporters[[#This Row],[Email]])&gt;1,"Review - duplicate record, see Supporter_Duplicates tab",""))</f>
        <v/>
      </c>
      <c r="AB429" s="21" t="str">
        <f>IF(tb1_supporters[[#This Row],[Communication_Preference]]="Do Not Contact","DO NOT CONTACT","")</f>
        <v/>
      </c>
      <c r="AE429"/>
    </row>
    <row r="430" spans="1:31" x14ac:dyDescent="0.25">
      <c r="A430" s="3" t="s">
        <v>2858</v>
      </c>
      <c r="B430" s="2" t="s">
        <v>54</v>
      </c>
      <c r="C430" s="2" t="s">
        <v>503</v>
      </c>
      <c r="D430" s="2" t="s">
        <v>711</v>
      </c>
      <c r="E430" s="2" t="s">
        <v>2859</v>
      </c>
      <c r="F430" s="2" t="s">
        <v>2860</v>
      </c>
      <c r="G430" s="2" t="str">
        <f>TRIM(SUBSTITUTE(SUBSTITUTE(SUBSTITUTE(SUBSTITUTE(tb1_supporters[[#This Row],[Phone_Raw]],"(",""),")","")," ",""),"+44",))</f>
        <v>07495390310</v>
      </c>
      <c r="H430" s="15">
        <v>31071</v>
      </c>
      <c r="I430" s="36">
        <f ca="1">IF(OR(tb1_supporters[[#This Row],[Date_of_Birth]]="",tb1_supporters[[#This Row],[Date_of_Birth]]&gt;TODAY()),"",DATEDIF(tb1_supporters[[#This Row],[Date_of_Birth]],TODAY(),"Y"))</f>
        <v>41</v>
      </c>
      <c r="J43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30" s="2" t="s">
        <v>2862</v>
      </c>
      <c r="L430" s="2" t="s">
        <v>419</v>
      </c>
      <c r="M430" s="2" t="s">
        <v>420</v>
      </c>
      <c r="N430" s="2" t="s">
        <v>421</v>
      </c>
      <c r="O430" s="2" t="s">
        <v>166</v>
      </c>
      <c r="P430" s="2" t="s">
        <v>65</v>
      </c>
      <c r="Q430" s="2" t="s">
        <v>66</v>
      </c>
      <c r="R430" s="15">
        <v>43336</v>
      </c>
      <c r="S430" s="2" t="s">
        <v>5</v>
      </c>
      <c r="T430" s="2" t="s">
        <v>36</v>
      </c>
      <c r="U430" s="2" t="s">
        <v>37</v>
      </c>
      <c r="V430" s="2" t="s">
        <v>36</v>
      </c>
      <c r="W430" s="4" t="s">
        <v>36</v>
      </c>
      <c r="X43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30" s="2" t="str">
        <f>IF(ISNUMBER(SEARCH("onal",tb1_supporters[[#This Row],[Phone_Clean]])),"Review - corrupt phone number", IF(LEN(tb1_supporters[[#This Row],[Phone_Clean]])&gt;11,"Review - too many digits",""))</f>
        <v/>
      </c>
      <c r="Z43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30" s="2" t="str">
        <f>IF(tb1_supporters[[#This Row],[Email]]="","",IF(COUNTIF(tb1_supporters[Email],tb1_supporters[[#This Row],[Email]])&gt;1,"Review - duplicate record, see Supporter_Duplicates tab",""))</f>
        <v/>
      </c>
      <c r="AB430" s="21" t="str">
        <f>IF(tb1_supporters[[#This Row],[Communication_Preference]]="Do Not Contact","DO NOT CONTACT","")</f>
        <v/>
      </c>
      <c r="AE430"/>
    </row>
    <row r="431" spans="1:31" x14ac:dyDescent="0.25">
      <c r="A431" s="3" t="s">
        <v>2864</v>
      </c>
      <c r="B431" s="2" t="s">
        <v>170</v>
      </c>
      <c r="C431" s="2" t="s">
        <v>246</v>
      </c>
      <c r="D431" s="2" t="s">
        <v>197</v>
      </c>
      <c r="E431" s="2" t="s">
        <v>2865</v>
      </c>
      <c r="F431" s="2" t="s">
        <v>2866</v>
      </c>
      <c r="G431" s="2" t="str">
        <f>TRIM(SUBSTITUTE(SUBSTITUTE(SUBSTITUTE(SUBSTITUTE(tb1_supporters[[#This Row],[Phone_Raw]],"(",""),")","")," ",""),"+44",))</f>
        <v>01512334369</v>
      </c>
      <c r="H431" s="15">
        <v>32097</v>
      </c>
      <c r="I431" s="36">
        <f ca="1">IF(OR(tb1_supporters[[#This Row],[Date_of_Birth]]="",tb1_supporters[[#This Row],[Date_of_Birth]]&gt;TODAY()),"",DATEDIF(tb1_supporters[[#This Row],[Date_of_Birth]],TODAY(),"Y"))</f>
        <v>38</v>
      </c>
      <c r="J43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31" s="2" t="s">
        <v>2868</v>
      </c>
      <c r="L431" s="2" t="s">
        <v>29</v>
      </c>
      <c r="M431" s="2" t="s">
        <v>30</v>
      </c>
      <c r="N431" s="2" t="s">
        <v>31</v>
      </c>
      <c r="O431" s="2" t="s">
        <v>242</v>
      </c>
      <c r="P431" s="2" t="s">
        <v>153</v>
      </c>
      <c r="Q431" s="2" t="s">
        <v>154</v>
      </c>
      <c r="R431" s="15">
        <v>45573</v>
      </c>
      <c r="S431" s="2" t="s">
        <v>4</v>
      </c>
      <c r="T431" s="2" t="s">
        <v>37</v>
      </c>
      <c r="U431" s="2" t="s">
        <v>36</v>
      </c>
      <c r="V431" s="2" t="s">
        <v>37</v>
      </c>
      <c r="W431" s="4" t="s">
        <v>36</v>
      </c>
      <c r="X43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31" s="2" t="str">
        <f>IF(ISNUMBER(SEARCH("onal",tb1_supporters[[#This Row],[Phone_Clean]])),"Review - corrupt phone number", IF(LEN(tb1_supporters[[#This Row],[Phone_Clean]])&gt;11,"Review - too many digits",""))</f>
        <v/>
      </c>
      <c r="Z43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31" s="2" t="str">
        <f>IF(tb1_supporters[[#This Row],[Email]]="","",IF(COUNTIF(tb1_supporters[Email],tb1_supporters[[#This Row],[Email]])&gt;1,"Review - duplicate record, see Supporter_Duplicates tab",""))</f>
        <v/>
      </c>
      <c r="AB431" s="21" t="str">
        <f>IF(tb1_supporters[[#This Row],[Communication_Preference]]="Do Not Contact","DO NOT CONTACT","")</f>
        <v/>
      </c>
      <c r="AE431"/>
    </row>
    <row r="432" spans="1:31" x14ac:dyDescent="0.25">
      <c r="A432" s="3" t="s">
        <v>2870</v>
      </c>
      <c r="B432" s="2"/>
      <c r="C432" s="2" t="s">
        <v>204</v>
      </c>
      <c r="D432" s="2" t="s">
        <v>1174</v>
      </c>
      <c r="E432" s="2" t="s">
        <v>2871</v>
      </c>
      <c r="F432" s="2" t="s">
        <v>2872</v>
      </c>
      <c r="G432" s="2" t="str">
        <f>TRIM(SUBSTITUTE(SUBSTITUTE(SUBSTITUTE(SUBSTITUTE(tb1_supporters[[#This Row],[Phone_Raw]],"(",""),")","")," ",""),"+44",))</f>
        <v>7436682602</v>
      </c>
      <c r="H432" s="15">
        <v>46056</v>
      </c>
      <c r="I432" s="36">
        <f ca="1">IF(OR(tb1_supporters[[#This Row],[Date_of_Birth]]="",tb1_supporters[[#This Row],[Date_of_Birth]]&gt;TODAY()),"",DATEDIF(tb1_supporters[[#This Row],[Date_of_Birth]],TODAY(),"Y"))</f>
        <v>0</v>
      </c>
      <c r="J43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Under 18</v>
      </c>
      <c r="K432" s="2" t="s">
        <v>2874</v>
      </c>
      <c r="L432" s="2" t="s">
        <v>408</v>
      </c>
      <c r="M432" s="2" t="s">
        <v>409</v>
      </c>
      <c r="N432" s="2" t="s">
        <v>410</v>
      </c>
      <c r="O432" s="2" t="s">
        <v>242</v>
      </c>
      <c r="P432" s="2" t="s">
        <v>181</v>
      </c>
      <c r="Q432" s="2" t="s">
        <v>4888</v>
      </c>
      <c r="R432" s="15">
        <v>43474</v>
      </c>
      <c r="S432" s="2" t="s">
        <v>52</v>
      </c>
      <c r="T432" s="2" t="s">
        <v>36</v>
      </c>
      <c r="U432" s="2" t="s">
        <v>36</v>
      </c>
      <c r="V432" s="2" t="s">
        <v>36</v>
      </c>
      <c r="W432" s="4" t="s">
        <v>37</v>
      </c>
      <c r="X43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32" s="2" t="str">
        <f>IF(ISNUMBER(SEARCH("onal",tb1_supporters[[#This Row],[Phone_Clean]])),"Review - corrupt phone number", IF(LEN(tb1_supporters[[#This Row],[Phone_Clean]])&gt;11,"Review - too many digits",""))</f>
        <v/>
      </c>
      <c r="Z43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>Review - Z9potential entry error (age 0)</v>
      </c>
      <c r="AA432" s="2" t="str">
        <f>IF(tb1_supporters[[#This Row],[Email]]="","",IF(COUNTIF(tb1_supporters[Email],tb1_supporters[[#This Row],[Email]])&gt;1,"Review - duplicate record, see Supporter_Duplicates tab",""))</f>
        <v/>
      </c>
      <c r="AB432" s="21" t="str">
        <f>IF(tb1_supporters[[#This Row],[Communication_Preference]]="Do Not Contact","DO NOT CONTACT","")</f>
        <v/>
      </c>
      <c r="AE432"/>
    </row>
    <row r="433" spans="1:31" x14ac:dyDescent="0.25">
      <c r="A433" s="3" t="s">
        <v>2876</v>
      </c>
      <c r="B433" s="2" t="s">
        <v>402</v>
      </c>
      <c r="C433" s="2" t="s">
        <v>1411</v>
      </c>
      <c r="D433" s="2" t="s">
        <v>158</v>
      </c>
      <c r="E433" s="2" t="s">
        <v>2877</v>
      </c>
      <c r="F433" s="2" t="s">
        <v>2878</v>
      </c>
      <c r="G433" s="2" t="str">
        <f>TRIM(SUBSTITUTE(SUBSTITUTE(SUBSTITUTE(SUBSTITUTE(tb1_supporters[[#This Row],[Phone_Raw]],"(",""),")","")," ",""),"+44",))</f>
        <v>01213453587</v>
      </c>
      <c r="H433" s="15">
        <v>28917</v>
      </c>
      <c r="I433" s="36">
        <f ca="1">IF(OR(tb1_supporters[[#This Row],[Date_of_Birth]]="",tb1_supporters[[#This Row],[Date_of_Birth]]&gt;TODAY()),"",DATEDIF(tb1_supporters[[#This Row],[Date_of_Birth]],TODAY(),"Y"))</f>
        <v>47</v>
      </c>
      <c r="J43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33" s="2" t="s">
        <v>2880</v>
      </c>
      <c r="L433" s="2" t="s">
        <v>46</v>
      </c>
      <c r="M433" s="2" t="s">
        <v>47</v>
      </c>
      <c r="N433" s="2" t="s">
        <v>48</v>
      </c>
      <c r="O433" s="2" t="s">
        <v>242</v>
      </c>
      <c r="P433" s="2" t="s">
        <v>65</v>
      </c>
      <c r="Q433" s="2" t="s">
        <v>4888</v>
      </c>
      <c r="R433" s="15">
        <v>44049</v>
      </c>
      <c r="S433" s="2" t="s">
        <v>5</v>
      </c>
      <c r="T433" s="2" t="s">
        <v>36</v>
      </c>
      <c r="U433" s="2" t="s">
        <v>36</v>
      </c>
      <c r="V433" s="2" t="s">
        <v>37</v>
      </c>
      <c r="W433" s="4" t="s">
        <v>36</v>
      </c>
      <c r="X43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433" s="2" t="str">
        <f>IF(ISNUMBER(SEARCH("onal",tb1_supporters[[#This Row],[Phone_Clean]])),"Review - corrupt phone number", IF(LEN(tb1_supporters[[#This Row],[Phone_Clean]])&gt;11,"Review - too many digits",""))</f>
        <v/>
      </c>
      <c r="Z43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33" s="2" t="str">
        <f>IF(tb1_supporters[[#This Row],[Email]]="","",IF(COUNTIF(tb1_supporters[Email],tb1_supporters[[#This Row],[Email]])&gt;1,"Review - duplicate record, see Supporter_Duplicates tab",""))</f>
        <v/>
      </c>
      <c r="AB433" s="21" t="str">
        <f>IF(tb1_supporters[[#This Row],[Communication_Preference]]="Do Not Contact","DO NOT CONTACT","")</f>
        <v/>
      </c>
      <c r="AE433"/>
    </row>
    <row r="434" spans="1:31" x14ac:dyDescent="0.25">
      <c r="A434" s="3" t="s">
        <v>2882</v>
      </c>
      <c r="B434" s="2" t="s">
        <v>69</v>
      </c>
      <c r="C434" s="2" t="s">
        <v>237</v>
      </c>
      <c r="D434" s="2" t="s">
        <v>96</v>
      </c>
      <c r="E434" s="2" t="s">
        <v>2883</v>
      </c>
      <c r="F434" s="2" t="s">
        <v>2884</v>
      </c>
      <c r="G434" s="2" t="str">
        <f>TRIM(SUBSTITUTE(SUBSTITUTE(SUBSTITUTE(SUBSTITUTE(tb1_supporters[[#This Row],[Phone_Raw]],"(",""),")","")," ",""),"+44",))</f>
        <v>7145573127</v>
      </c>
      <c r="H434" s="15">
        <v>19212</v>
      </c>
      <c r="I434" s="36">
        <f ca="1">IF(OR(tb1_supporters[[#This Row],[Date_of_Birth]]="",tb1_supporters[[#This Row],[Date_of_Birth]]&gt;TODAY()),"",DATEDIF(tb1_supporters[[#This Row],[Date_of_Birth]],TODAY(),"Y"))</f>
        <v>73</v>
      </c>
      <c r="J43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34" s="2" t="s">
        <v>2886</v>
      </c>
      <c r="L434" s="2" t="s">
        <v>531</v>
      </c>
      <c r="M434" s="2" t="s">
        <v>532</v>
      </c>
      <c r="N434" s="2" t="s">
        <v>533</v>
      </c>
      <c r="O434" s="2" t="s">
        <v>166</v>
      </c>
      <c r="P434" s="2" t="s">
        <v>153</v>
      </c>
      <c r="Q434" s="2" t="s">
        <v>66</v>
      </c>
      <c r="R434" s="15">
        <v>44508</v>
      </c>
      <c r="S434" s="2" t="s">
        <v>4</v>
      </c>
      <c r="T434" s="2" t="s">
        <v>36</v>
      </c>
      <c r="U434" s="2" t="s">
        <v>36</v>
      </c>
      <c r="V434" s="2" t="s">
        <v>37</v>
      </c>
      <c r="W434" s="4" t="s">
        <v>36</v>
      </c>
      <c r="X43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34" s="2" t="str">
        <f>IF(ISNUMBER(SEARCH("onal",tb1_supporters[[#This Row],[Phone_Clean]])),"Review - corrupt phone number", IF(LEN(tb1_supporters[[#This Row],[Phone_Clean]])&gt;11,"Review - too many digits",""))</f>
        <v/>
      </c>
      <c r="Z43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34" s="2" t="str">
        <f>IF(tb1_supporters[[#This Row],[Email]]="","",IF(COUNTIF(tb1_supporters[Email],tb1_supporters[[#This Row],[Email]])&gt;1,"Review - duplicate record, see Supporter_Duplicates tab",""))</f>
        <v/>
      </c>
      <c r="AB434" s="21" t="str">
        <f>IF(tb1_supporters[[#This Row],[Communication_Preference]]="Do Not Contact","DO NOT CONTACT","")</f>
        <v/>
      </c>
      <c r="AE434"/>
    </row>
    <row r="435" spans="1:31" x14ac:dyDescent="0.25">
      <c r="A435" s="3" t="s">
        <v>2888</v>
      </c>
      <c r="B435" s="2" t="s">
        <v>54</v>
      </c>
      <c r="C435" s="2" t="s">
        <v>1644</v>
      </c>
      <c r="D435" s="2" t="s">
        <v>205</v>
      </c>
      <c r="E435" s="2" t="s">
        <v>2889</v>
      </c>
      <c r="F435" s="2" t="s">
        <v>2890</v>
      </c>
      <c r="G435" s="2" t="str">
        <f>TRIM(SUBSTITUTE(SUBSTITUTE(SUBSTITUTE(SUBSTITUTE(tb1_supporters[[#This Row],[Phone_Raw]],"(",""),")","")," ",""),"+44",))</f>
        <v>015632978713</v>
      </c>
      <c r="H435" s="15">
        <v>20966</v>
      </c>
      <c r="I435" s="36">
        <f ca="1">IF(OR(tb1_supporters[[#This Row],[Date_of_Birth]]="",tb1_supporters[[#This Row],[Date_of_Birth]]&gt;TODAY()),"",DATEDIF(tb1_supporters[[#This Row],[Date_of_Birth]],TODAY(),"Y"))</f>
        <v>69</v>
      </c>
      <c r="J43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35" s="2" t="s">
        <v>2892</v>
      </c>
      <c r="L435" s="2" t="s">
        <v>984</v>
      </c>
      <c r="M435" s="2" t="s">
        <v>62</v>
      </c>
      <c r="N435" s="2" t="s">
        <v>210</v>
      </c>
      <c r="O435" s="2" t="s">
        <v>166</v>
      </c>
      <c r="P435" s="2" t="s">
        <v>117</v>
      </c>
      <c r="Q435" s="2" t="s">
        <v>154</v>
      </c>
      <c r="R435" s="15">
        <v>43174</v>
      </c>
      <c r="S435" s="2" t="s">
        <v>4</v>
      </c>
      <c r="T435" s="2" t="s">
        <v>37</v>
      </c>
      <c r="U435" s="2" t="s">
        <v>36</v>
      </c>
      <c r="V435" s="2" t="s">
        <v>36</v>
      </c>
      <c r="W435" s="4" t="s">
        <v>37</v>
      </c>
      <c r="X43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35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3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35" s="2" t="str">
        <f>IF(tb1_supporters[[#This Row],[Email]]="","",IF(COUNTIF(tb1_supporters[Email],tb1_supporters[[#This Row],[Email]])&gt;1,"Review - duplicate record, see Supporter_Duplicates tab",""))</f>
        <v/>
      </c>
      <c r="AB435" s="21" t="str">
        <f>IF(tb1_supporters[[#This Row],[Communication_Preference]]="Do Not Contact","DO NOT CONTACT","")</f>
        <v/>
      </c>
      <c r="AE435"/>
    </row>
    <row r="436" spans="1:31" x14ac:dyDescent="0.25">
      <c r="A436" s="3" t="s">
        <v>2894</v>
      </c>
      <c r="B436" s="2" t="s">
        <v>22</v>
      </c>
      <c r="C436" s="2" t="s">
        <v>573</v>
      </c>
      <c r="D436" s="2" t="s">
        <v>1154</v>
      </c>
      <c r="E436" s="2" t="s">
        <v>2895</v>
      </c>
      <c r="F436" s="2" t="s">
        <v>2896</v>
      </c>
      <c r="G436" s="2" t="str">
        <f>TRIM(SUBSTITUTE(SUBSTITUTE(SUBSTITUTE(SUBSTITUTE(tb1_supporters[[#This Row],[Phone_Raw]],"(",""),")","")," ",""),"+44",))</f>
        <v>07831135791</v>
      </c>
      <c r="H436" s="15">
        <v>34790</v>
      </c>
      <c r="I436" s="36">
        <f ca="1">IF(OR(tb1_supporters[[#This Row],[Date_of_Birth]]="",tb1_supporters[[#This Row],[Date_of_Birth]]&gt;TODAY()),"",DATEDIF(tb1_supporters[[#This Row],[Date_of_Birth]],TODAY(),"Y"))</f>
        <v>31</v>
      </c>
      <c r="J43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36" s="2" t="s">
        <v>2898</v>
      </c>
      <c r="L436" s="2" t="s">
        <v>252</v>
      </c>
      <c r="M436" s="2" t="s">
        <v>253</v>
      </c>
      <c r="N436" s="2" t="s">
        <v>254</v>
      </c>
      <c r="O436" s="2" t="s">
        <v>242</v>
      </c>
      <c r="P436" s="2" t="s">
        <v>153</v>
      </c>
      <c r="Q436" s="2" t="s">
        <v>4888</v>
      </c>
      <c r="R436" s="15">
        <v>43296</v>
      </c>
      <c r="S436" s="2" t="s">
        <v>52</v>
      </c>
      <c r="T436" s="2" t="s">
        <v>37</v>
      </c>
      <c r="U436" s="2" t="s">
        <v>36</v>
      </c>
      <c r="V436" s="2" t="s">
        <v>37</v>
      </c>
      <c r="W436" s="4" t="s">
        <v>37</v>
      </c>
      <c r="X43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36" s="2" t="str">
        <f>IF(ISNUMBER(SEARCH("onal",tb1_supporters[[#This Row],[Phone_Clean]])),"Review - corrupt phone number", IF(LEN(tb1_supporters[[#This Row],[Phone_Clean]])&gt;11,"Review - too many digits",""))</f>
        <v/>
      </c>
      <c r="Z43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36" s="2" t="str">
        <f>IF(tb1_supporters[[#This Row],[Email]]="","",IF(COUNTIF(tb1_supporters[Email],tb1_supporters[[#This Row],[Email]])&gt;1,"Review - duplicate record, see Supporter_Duplicates tab",""))</f>
        <v/>
      </c>
      <c r="AB436" s="21" t="str">
        <f>IF(tb1_supporters[[#This Row],[Communication_Preference]]="Do Not Contact","DO NOT CONTACT","")</f>
        <v/>
      </c>
      <c r="AE436"/>
    </row>
    <row r="437" spans="1:31" x14ac:dyDescent="0.25">
      <c r="A437" s="3" t="s">
        <v>2900</v>
      </c>
      <c r="B437" s="2" t="s">
        <v>54</v>
      </c>
      <c r="C437" s="2" t="s">
        <v>574</v>
      </c>
      <c r="D437" s="2" t="s">
        <v>145</v>
      </c>
      <c r="E437" s="2" t="s">
        <v>2901</v>
      </c>
      <c r="F437" s="2" t="s">
        <v>2902</v>
      </c>
      <c r="G437" s="2" t="str">
        <f>TRIM(SUBSTITUTE(SUBSTITUTE(SUBSTITUTE(SUBSTITUTE(tb1_supporters[[#This Row],[Phone_Raw]],"(",""),")","")," ",""),"+44",))</f>
        <v>07116531128</v>
      </c>
      <c r="H437" s="15">
        <v>19275</v>
      </c>
      <c r="I437" s="36">
        <f ca="1">IF(OR(tb1_supporters[[#This Row],[Date_of_Birth]]="",tb1_supporters[[#This Row],[Date_of_Birth]]&gt;TODAY()),"",DATEDIF(tb1_supporters[[#This Row],[Date_of_Birth]],TODAY(),"Y"))</f>
        <v>73</v>
      </c>
      <c r="J43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37" s="2" t="s">
        <v>2904</v>
      </c>
      <c r="L437" s="2" t="s">
        <v>126</v>
      </c>
      <c r="M437" s="2" t="s">
        <v>127</v>
      </c>
      <c r="N437" s="2" t="s">
        <v>128</v>
      </c>
      <c r="O437" s="2" t="s">
        <v>166</v>
      </c>
      <c r="P437" s="2" t="s">
        <v>33</v>
      </c>
      <c r="Q437" s="2" t="s">
        <v>4888</v>
      </c>
      <c r="R437" s="15">
        <v>43359</v>
      </c>
      <c r="S437" s="2" t="s">
        <v>4</v>
      </c>
      <c r="T437" s="2" t="s">
        <v>36</v>
      </c>
      <c r="U437" s="2" t="s">
        <v>36</v>
      </c>
      <c r="V437" s="2" t="s">
        <v>37</v>
      </c>
      <c r="W437" s="4" t="s">
        <v>36</v>
      </c>
      <c r="X43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37" s="2" t="str">
        <f>IF(ISNUMBER(SEARCH("onal",tb1_supporters[[#This Row],[Phone_Clean]])),"Review - corrupt phone number", IF(LEN(tb1_supporters[[#This Row],[Phone_Clean]])&gt;11,"Review - too many digits",""))</f>
        <v/>
      </c>
      <c r="Z43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37" s="2" t="str">
        <f>IF(tb1_supporters[[#This Row],[Email]]="","",IF(COUNTIF(tb1_supporters[Email],tb1_supporters[[#This Row],[Email]])&gt;1,"Review - duplicate record, see Supporter_Duplicates tab",""))</f>
        <v/>
      </c>
      <c r="AB437" s="21" t="str">
        <f>IF(tb1_supporters[[#This Row],[Communication_Preference]]="Do Not Contact","DO NOT CONTACT","")</f>
        <v/>
      </c>
      <c r="AE437"/>
    </row>
    <row r="438" spans="1:31" x14ac:dyDescent="0.25">
      <c r="A438" s="3" t="s">
        <v>2906</v>
      </c>
      <c r="B438" s="2" t="s">
        <v>54</v>
      </c>
      <c r="C438" s="2" t="s">
        <v>1267</v>
      </c>
      <c r="D438" s="2" t="s">
        <v>96</v>
      </c>
      <c r="E438" s="2" t="s">
        <v>2907</v>
      </c>
      <c r="F438" s="2" t="s">
        <v>2908</v>
      </c>
      <c r="G438" s="2" t="str">
        <f>TRIM(SUBSTITUTE(SUBSTITUTE(SUBSTITUTE(SUBSTITUTE(tb1_supporters[[#This Row],[Phone_Raw]],"(",""),")","")," ",""),"+44",))</f>
        <v>7504538223</v>
      </c>
      <c r="H438" s="15">
        <v>33446</v>
      </c>
      <c r="I438" s="36">
        <f ca="1">IF(OR(tb1_supporters[[#This Row],[Date_of_Birth]]="",tb1_supporters[[#This Row],[Date_of_Birth]]&gt;TODAY()),"",DATEDIF(tb1_supporters[[#This Row],[Date_of_Birth]],TODAY(),"Y"))</f>
        <v>34</v>
      </c>
      <c r="J43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38" s="2" t="s">
        <v>2684</v>
      </c>
      <c r="L438" s="2" t="s">
        <v>660</v>
      </c>
      <c r="M438" s="2" t="s">
        <v>230</v>
      </c>
      <c r="N438" s="2" t="s">
        <v>661</v>
      </c>
      <c r="O438" s="2" t="s">
        <v>166</v>
      </c>
      <c r="P438" s="2" t="s">
        <v>65</v>
      </c>
      <c r="Q438" s="2" t="s">
        <v>141</v>
      </c>
      <c r="R438" s="15">
        <v>44425</v>
      </c>
      <c r="S438" s="2" t="s">
        <v>4</v>
      </c>
      <c r="T438" s="2" t="s">
        <v>36</v>
      </c>
      <c r="U438" s="2" t="s">
        <v>36</v>
      </c>
      <c r="V438" s="2" t="s">
        <v>37</v>
      </c>
      <c r="W438" s="4" t="s">
        <v>37</v>
      </c>
      <c r="X43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38" s="2" t="str">
        <f>IF(ISNUMBER(SEARCH("onal",tb1_supporters[[#This Row],[Phone_Clean]])),"Review - corrupt phone number", IF(LEN(tb1_supporters[[#This Row],[Phone_Clean]])&gt;11,"Review - too many digits",""))</f>
        <v/>
      </c>
      <c r="Z43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38" s="2" t="str">
        <f>IF(tb1_supporters[[#This Row],[Email]]="","",IF(COUNTIF(tb1_supporters[Email],tb1_supporters[[#This Row],[Email]])&gt;1,"Review - duplicate record, see Supporter_Duplicates tab",""))</f>
        <v/>
      </c>
      <c r="AB438" s="21" t="str">
        <f>IF(tb1_supporters[[#This Row],[Communication_Preference]]="Do Not Contact","DO NOT CONTACT","")</f>
        <v/>
      </c>
      <c r="AE438"/>
    </row>
    <row r="439" spans="1:31" x14ac:dyDescent="0.25">
      <c r="A439" s="3" t="s">
        <v>2911</v>
      </c>
      <c r="B439" s="2" t="s">
        <v>69</v>
      </c>
      <c r="C439" s="2" t="s">
        <v>1220</v>
      </c>
      <c r="D439" s="2" t="s">
        <v>496</v>
      </c>
      <c r="E439" s="2" t="s">
        <v>2912</v>
      </c>
      <c r="F439" s="2" t="s">
        <v>2913</v>
      </c>
      <c r="G439" s="2" t="str">
        <f>TRIM(SUBSTITUTE(SUBSTITUTE(SUBSTITUTE(SUBSTITUTE(tb1_supporters[[#This Row],[Phone_Raw]],"(",""),")","")," ",""),"+44",))</f>
        <v>01618859185</v>
      </c>
      <c r="H439" s="15">
        <v>34931</v>
      </c>
      <c r="I439" s="36">
        <f ca="1">IF(OR(tb1_supporters[[#This Row],[Date_of_Birth]]="",tb1_supporters[[#This Row],[Date_of_Birth]]&gt;TODAY()),"",DATEDIF(tb1_supporters[[#This Row],[Date_of_Birth]],TODAY(),"Y"))</f>
        <v>30</v>
      </c>
      <c r="J43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39" s="2" t="s">
        <v>2915</v>
      </c>
      <c r="L439" s="2" t="s">
        <v>668</v>
      </c>
      <c r="M439" s="2" t="s">
        <v>669</v>
      </c>
      <c r="N439" s="2" t="s">
        <v>670</v>
      </c>
      <c r="O439" s="2" t="s">
        <v>166</v>
      </c>
      <c r="P439" s="2" t="s">
        <v>117</v>
      </c>
      <c r="Q439" s="2" t="s">
        <v>141</v>
      </c>
      <c r="R439" s="15">
        <v>43489</v>
      </c>
      <c r="S439" s="2" t="s">
        <v>4</v>
      </c>
      <c r="T439" s="2" t="s">
        <v>37</v>
      </c>
      <c r="U439" s="2" t="s">
        <v>36</v>
      </c>
      <c r="V439" s="2" t="s">
        <v>37</v>
      </c>
      <c r="W439" s="4" t="s">
        <v>37</v>
      </c>
      <c r="X43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39" s="2" t="str">
        <f>IF(ISNUMBER(SEARCH("onal",tb1_supporters[[#This Row],[Phone_Clean]])),"Review - corrupt phone number", IF(LEN(tb1_supporters[[#This Row],[Phone_Clean]])&gt;11,"Review - too many digits",""))</f>
        <v/>
      </c>
      <c r="Z43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39" s="2" t="str">
        <f>IF(tb1_supporters[[#This Row],[Email]]="","",IF(COUNTIF(tb1_supporters[Email],tb1_supporters[[#This Row],[Email]])&gt;1,"Review - duplicate record, see Supporter_Duplicates tab",""))</f>
        <v/>
      </c>
      <c r="AB439" s="21" t="str">
        <f>IF(tb1_supporters[[#This Row],[Communication_Preference]]="Do Not Contact","DO NOT CONTACT","")</f>
        <v/>
      </c>
      <c r="AE439"/>
    </row>
    <row r="440" spans="1:31" x14ac:dyDescent="0.25">
      <c r="A440" s="3" t="s">
        <v>2917</v>
      </c>
      <c r="B440" s="2" t="s">
        <v>22</v>
      </c>
      <c r="C440" s="2" t="s">
        <v>95</v>
      </c>
      <c r="D440" s="2" t="s">
        <v>375</v>
      </c>
      <c r="E440" s="2" t="s">
        <v>2918</v>
      </c>
      <c r="F440" s="2" t="s">
        <v>2919</v>
      </c>
      <c r="G440" s="2" t="str">
        <f>TRIM(SUBSTITUTE(SUBSTITUTE(SUBSTITUTE(SUBSTITUTE(tb1_supporters[[#This Row],[Phone_Raw]],"(",""),")","")," ",""),"+44",))</f>
        <v>07723699559</v>
      </c>
      <c r="H440" s="15">
        <v>31071</v>
      </c>
      <c r="I440" s="36">
        <f ca="1">IF(OR(tb1_supporters[[#This Row],[Date_of_Birth]]="",tb1_supporters[[#This Row],[Date_of_Birth]]&gt;TODAY()),"",DATEDIF(tb1_supporters[[#This Row],[Date_of_Birth]],TODAY(),"Y"))</f>
        <v>41</v>
      </c>
      <c r="J44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40" s="2" t="s">
        <v>2601</v>
      </c>
      <c r="L440" s="2" t="s">
        <v>660</v>
      </c>
      <c r="M440" s="2" t="s">
        <v>230</v>
      </c>
      <c r="N440" s="2" t="s">
        <v>661</v>
      </c>
      <c r="O440" s="2" t="s">
        <v>242</v>
      </c>
      <c r="P440" s="2" t="s">
        <v>181</v>
      </c>
      <c r="Q440" s="2" t="s">
        <v>154</v>
      </c>
      <c r="R440" s="15">
        <v>43187</v>
      </c>
      <c r="S440" s="2" t="s">
        <v>4</v>
      </c>
      <c r="T440" s="2" t="s">
        <v>37</v>
      </c>
      <c r="U440" s="2" t="s">
        <v>37</v>
      </c>
      <c r="V440" s="2" t="s">
        <v>36</v>
      </c>
      <c r="W440" s="4" t="s">
        <v>36</v>
      </c>
      <c r="X44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40" s="2" t="str">
        <f>IF(ISNUMBER(SEARCH("onal",tb1_supporters[[#This Row],[Phone_Clean]])),"Review - corrupt phone number", IF(LEN(tb1_supporters[[#This Row],[Phone_Clean]])&gt;11,"Review - too many digits",""))</f>
        <v/>
      </c>
      <c r="Z44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40" s="2" t="str">
        <f>IF(tb1_supporters[[#This Row],[Email]]="","",IF(COUNTIF(tb1_supporters[Email],tb1_supporters[[#This Row],[Email]])&gt;1,"Review - duplicate record, see Supporter_Duplicates tab",""))</f>
        <v/>
      </c>
      <c r="AB440" s="21" t="str">
        <f>IF(tb1_supporters[[#This Row],[Communication_Preference]]="Do Not Contact","DO NOT CONTACT","")</f>
        <v/>
      </c>
      <c r="AE440"/>
    </row>
    <row r="441" spans="1:31" x14ac:dyDescent="0.25">
      <c r="A441" s="3" t="s">
        <v>2922</v>
      </c>
      <c r="B441" s="2" t="s">
        <v>69</v>
      </c>
      <c r="C441" s="2" t="s">
        <v>301</v>
      </c>
      <c r="D441" s="2" t="s">
        <v>291</v>
      </c>
      <c r="E441" s="2" t="s">
        <v>2923</v>
      </c>
      <c r="F441" s="2" t="s">
        <v>2924</v>
      </c>
      <c r="G441" s="2" t="str">
        <f>TRIM(SUBSTITUTE(SUBSTITUTE(SUBSTITUTE(SUBSTITUTE(tb1_supporters[[#This Row],[Phone_Raw]],"(",""),")","")," ",""),"+44",))</f>
        <v>01517571621</v>
      </c>
      <c r="H441" s="15">
        <v>34273</v>
      </c>
      <c r="I441" s="36">
        <f ca="1">IF(OR(tb1_supporters[[#This Row],[Date_of_Birth]]="",tb1_supporters[[#This Row],[Date_of_Birth]]&gt;TODAY()),"",DATEDIF(tb1_supporters[[#This Row],[Date_of_Birth]],TODAY(),"Y"))</f>
        <v>32</v>
      </c>
      <c r="J44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41" s="2" t="s">
        <v>2926</v>
      </c>
      <c r="L441" s="2" t="s">
        <v>766</v>
      </c>
      <c r="M441" s="2" t="s">
        <v>767</v>
      </c>
      <c r="N441" s="2" t="s">
        <v>768</v>
      </c>
      <c r="O441" s="2" t="s">
        <v>166</v>
      </c>
      <c r="P441" s="2" t="s">
        <v>153</v>
      </c>
      <c r="Q441" s="2" t="s">
        <v>4888</v>
      </c>
      <c r="R441" s="15">
        <v>44447</v>
      </c>
      <c r="S441" s="2" t="s">
        <v>4</v>
      </c>
      <c r="T441" s="2" t="s">
        <v>36</v>
      </c>
      <c r="U441" s="2" t="s">
        <v>36</v>
      </c>
      <c r="V441" s="2" t="s">
        <v>36</v>
      </c>
      <c r="W441" s="4" t="s">
        <v>36</v>
      </c>
      <c r="X44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41" s="2" t="str">
        <f>IF(ISNUMBER(SEARCH("onal",tb1_supporters[[#This Row],[Phone_Clean]])),"Review - corrupt phone number", IF(LEN(tb1_supporters[[#This Row],[Phone_Clean]])&gt;11,"Review - too many digits",""))</f>
        <v/>
      </c>
      <c r="Z44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41" s="2" t="str">
        <f>IF(tb1_supporters[[#This Row],[Email]]="","",IF(COUNTIF(tb1_supporters[Email],tb1_supporters[[#This Row],[Email]])&gt;1,"Review - duplicate record, see Supporter_Duplicates tab",""))</f>
        <v/>
      </c>
      <c r="AB441" s="21" t="str">
        <f>IF(tb1_supporters[[#This Row],[Communication_Preference]]="Do Not Contact","DO NOT CONTACT","")</f>
        <v/>
      </c>
      <c r="AE441"/>
    </row>
    <row r="442" spans="1:31" x14ac:dyDescent="0.25">
      <c r="A442" s="3" t="s">
        <v>2928</v>
      </c>
      <c r="B442" s="2" t="s">
        <v>22</v>
      </c>
      <c r="C442" s="2" t="s">
        <v>246</v>
      </c>
      <c r="D442" s="2" t="s">
        <v>425</v>
      </c>
      <c r="E442" s="2" t="s">
        <v>2929</v>
      </c>
      <c r="F442" s="2" t="s">
        <v>2930</v>
      </c>
      <c r="G442" s="2" t="str">
        <f>TRIM(SUBSTITUTE(SUBSTITUTE(SUBSTITUTE(SUBSTITUTE(tb1_supporters[[#This Row],[Phone_Raw]],"(",""),")","")," ",""),"+44",))</f>
        <v>07652155780</v>
      </c>
      <c r="H442" s="15">
        <v>18636</v>
      </c>
      <c r="I442" s="36">
        <f ca="1">IF(OR(tb1_supporters[[#This Row],[Date_of_Birth]]="",tb1_supporters[[#This Row],[Date_of_Birth]]&gt;TODAY()),"",DATEDIF(tb1_supporters[[#This Row],[Date_of_Birth]],TODAY(),"Y"))</f>
        <v>75</v>
      </c>
      <c r="J44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42" s="2" t="s">
        <v>2932</v>
      </c>
      <c r="L442" s="2" t="s">
        <v>387</v>
      </c>
      <c r="M442" s="2" t="s">
        <v>388</v>
      </c>
      <c r="N442" s="2" t="s">
        <v>389</v>
      </c>
      <c r="O442" s="2" t="s">
        <v>242</v>
      </c>
      <c r="P442" s="2" t="s">
        <v>4887</v>
      </c>
      <c r="Q442" s="2" t="s">
        <v>50</v>
      </c>
      <c r="R442" s="15">
        <v>44418</v>
      </c>
      <c r="S442" s="2" t="s">
        <v>4</v>
      </c>
      <c r="T442" s="2" t="s">
        <v>36</v>
      </c>
      <c r="U442" s="2" t="s">
        <v>36</v>
      </c>
      <c r="V442" s="2" t="s">
        <v>37</v>
      </c>
      <c r="W442" s="4" t="s">
        <v>36</v>
      </c>
      <c r="X44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42" s="2" t="str">
        <f>IF(ISNUMBER(SEARCH("onal",tb1_supporters[[#This Row],[Phone_Clean]])),"Review - corrupt phone number", IF(LEN(tb1_supporters[[#This Row],[Phone_Clean]])&gt;11,"Review - too many digits",""))</f>
        <v/>
      </c>
      <c r="Z44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42" s="2" t="str">
        <f>IF(tb1_supporters[[#This Row],[Email]]="","",IF(COUNTIF(tb1_supporters[Email],tb1_supporters[[#This Row],[Email]])&gt;1,"Review - duplicate record, see Supporter_Duplicates tab",""))</f>
        <v/>
      </c>
      <c r="AB442" s="21" t="str">
        <f>IF(tb1_supporters[[#This Row],[Communication_Preference]]="Do Not Contact","DO NOT CONTACT","")</f>
        <v/>
      </c>
      <c r="AE442"/>
    </row>
    <row r="443" spans="1:31" x14ac:dyDescent="0.25">
      <c r="A443" s="3" t="s">
        <v>2934</v>
      </c>
      <c r="B443" s="2"/>
      <c r="C443" s="2" t="s">
        <v>838</v>
      </c>
      <c r="D443" s="2" t="s">
        <v>1268</v>
      </c>
      <c r="E443" s="2" t="s">
        <v>2935</v>
      </c>
      <c r="F443" s="2" t="s">
        <v>2936</v>
      </c>
      <c r="G443" s="2" t="str">
        <f>TRIM(SUBSTITUTE(SUBSTITUTE(SUBSTITUTE(SUBSTITUTE(tb1_supporters[[#This Row],[Phone_Raw]],"(",""),")","")," ",""),"+44",))</f>
        <v>07619180536</v>
      </c>
      <c r="H443" s="15">
        <v>35731</v>
      </c>
      <c r="I443" s="36">
        <f ca="1">IF(OR(tb1_supporters[[#This Row],[Date_of_Birth]]="",tb1_supporters[[#This Row],[Date_of_Birth]]&gt;TODAY()),"",DATEDIF(tb1_supporters[[#This Row],[Date_of_Birth]],TODAY(),"Y"))</f>
        <v>28</v>
      </c>
      <c r="J44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43" s="2" t="s">
        <v>2938</v>
      </c>
      <c r="L443" s="2" t="s">
        <v>88</v>
      </c>
      <c r="M443" s="2" t="s">
        <v>89</v>
      </c>
      <c r="N443" s="2" t="s">
        <v>90</v>
      </c>
      <c r="O443" s="2" t="s">
        <v>242</v>
      </c>
      <c r="P443" s="2" t="s">
        <v>91</v>
      </c>
      <c r="Q443" s="2" t="s">
        <v>154</v>
      </c>
      <c r="R443" s="15">
        <v>43910</v>
      </c>
      <c r="S443" s="2" t="s">
        <v>93</v>
      </c>
      <c r="T443" s="2" t="s">
        <v>36</v>
      </c>
      <c r="U443" s="2" t="s">
        <v>36</v>
      </c>
      <c r="V443" s="2" t="s">
        <v>36</v>
      </c>
      <c r="W443" s="4" t="s">
        <v>37</v>
      </c>
      <c r="X44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43" s="2" t="str">
        <f>IF(ISNUMBER(SEARCH("onal",tb1_supporters[[#This Row],[Phone_Clean]])),"Review - corrupt phone number", IF(LEN(tb1_supporters[[#This Row],[Phone_Clean]])&gt;11,"Review - too many digits",""))</f>
        <v/>
      </c>
      <c r="Z44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43" s="2" t="str">
        <f>IF(tb1_supporters[[#This Row],[Email]]="","",IF(COUNTIF(tb1_supporters[Email],tb1_supporters[[#This Row],[Email]])&gt;1,"Review - duplicate record, see Supporter_Duplicates tab",""))</f>
        <v/>
      </c>
      <c r="AB443" s="21" t="str">
        <f>IF(tb1_supporters[[#This Row],[Communication_Preference]]="Do Not Contact","DO NOT CONTACT","")</f>
        <v/>
      </c>
      <c r="AE443"/>
    </row>
    <row r="444" spans="1:31" x14ac:dyDescent="0.25">
      <c r="A444" s="3" t="s">
        <v>2940</v>
      </c>
      <c r="B444" s="2" t="s">
        <v>4866</v>
      </c>
      <c r="C444" s="2" t="s">
        <v>597</v>
      </c>
      <c r="D444" s="2" t="s">
        <v>2290</v>
      </c>
      <c r="E444" s="2" t="s">
        <v>2941</v>
      </c>
      <c r="F444" s="2" t="s">
        <v>2942</v>
      </c>
      <c r="G444" s="2" t="str">
        <f>TRIM(SUBSTITUTE(SUBSTITUTE(SUBSTITUTE(SUBSTITUTE(tb1_supporters[[#This Row],[Phone_Raw]],"(",""),")","")," ",""),"+44",))</f>
        <v>01415828231</v>
      </c>
      <c r="H444" s="15">
        <v>13070</v>
      </c>
      <c r="I444" s="36">
        <f ca="1">IF(OR(tb1_supporters[[#This Row],[Date_of_Birth]]="",tb1_supporters[[#This Row],[Date_of_Birth]]&gt;TODAY()),"",DATEDIF(tb1_supporters[[#This Row],[Date_of_Birth]],TODAY(),"Y"))</f>
        <v>90</v>
      </c>
      <c r="J44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44" s="2" t="s">
        <v>2944</v>
      </c>
      <c r="L444" s="2" t="s">
        <v>252</v>
      </c>
      <c r="M444" s="2" t="s">
        <v>253</v>
      </c>
      <c r="N444" s="2" t="s">
        <v>254</v>
      </c>
      <c r="O444" s="2" t="s">
        <v>166</v>
      </c>
      <c r="P444" s="2" t="s">
        <v>4887</v>
      </c>
      <c r="Q444" s="2" t="s">
        <v>243</v>
      </c>
      <c r="R444" s="15">
        <v>43739</v>
      </c>
      <c r="S444" s="2" t="s">
        <v>93</v>
      </c>
      <c r="T444" s="2" t="s">
        <v>36</v>
      </c>
      <c r="U444" s="2" t="s">
        <v>36</v>
      </c>
      <c r="V444" s="2" t="s">
        <v>37</v>
      </c>
      <c r="W444" s="4" t="s">
        <v>37</v>
      </c>
      <c r="X44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44" s="2" t="str">
        <f>IF(ISNUMBER(SEARCH("onal",tb1_supporters[[#This Row],[Phone_Clean]])),"Review - corrupt phone number", IF(LEN(tb1_supporters[[#This Row],[Phone_Clean]])&gt;11,"Review - too many digits",""))</f>
        <v/>
      </c>
      <c r="Z44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44" s="2" t="str">
        <f>IF(tb1_supporters[[#This Row],[Email]]="","",IF(COUNTIF(tb1_supporters[Email],tb1_supporters[[#This Row],[Email]])&gt;1,"Review - duplicate record, see Supporter_Duplicates tab",""))</f>
        <v/>
      </c>
      <c r="AB444" s="21" t="str">
        <f>IF(tb1_supporters[[#This Row],[Communication_Preference]]="Do Not Contact","DO NOT CONTACT","")</f>
        <v/>
      </c>
      <c r="AE444"/>
    </row>
    <row r="445" spans="1:31" x14ac:dyDescent="0.25">
      <c r="A445" s="3" t="s">
        <v>2946</v>
      </c>
      <c r="B445" s="2" t="s">
        <v>54</v>
      </c>
      <c r="C445" s="2" t="s">
        <v>1297</v>
      </c>
      <c r="D445" s="2" t="s">
        <v>940</v>
      </c>
      <c r="E445" s="2" t="s">
        <v>2947</v>
      </c>
      <c r="F445" s="2" t="s">
        <v>2948</v>
      </c>
      <c r="G445" s="2" t="str">
        <f>TRIM(SUBSTITUTE(SUBSTITUTE(SUBSTITUTE(SUBSTITUTE(tb1_supporters[[#This Row],[Phone_Raw]],"(",""),")","")," ",""),"+44",))</f>
        <v>01614848878</v>
      </c>
      <c r="H445" s="15">
        <v>22745</v>
      </c>
      <c r="I445" s="36">
        <f ca="1">IF(OR(tb1_supporters[[#This Row],[Date_of_Birth]]="",tb1_supporters[[#This Row],[Date_of_Birth]]&gt;TODAY()),"",DATEDIF(tb1_supporters[[#This Row],[Date_of_Birth]],TODAY(),"Y"))</f>
        <v>64</v>
      </c>
      <c r="J44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45" s="2" t="s">
        <v>2950</v>
      </c>
      <c r="L445" s="2" t="s">
        <v>609</v>
      </c>
      <c r="M445" s="2" t="s">
        <v>610</v>
      </c>
      <c r="N445" s="2" t="s">
        <v>611</v>
      </c>
      <c r="O445" s="2" t="s">
        <v>166</v>
      </c>
      <c r="P445" s="2" t="s">
        <v>117</v>
      </c>
      <c r="Q445" s="2" t="s">
        <v>4888</v>
      </c>
      <c r="R445" s="15">
        <v>45023</v>
      </c>
      <c r="S445" s="2" t="s">
        <v>4</v>
      </c>
      <c r="T445" s="2" t="s">
        <v>36</v>
      </c>
      <c r="U445" s="2" t="s">
        <v>36</v>
      </c>
      <c r="V445" s="2" t="s">
        <v>36</v>
      </c>
      <c r="W445" s="4" t="s">
        <v>36</v>
      </c>
      <c r="X44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45" s="2" t="str">
        <f>IF(ISNUMBER(SEARCH("onal",tb1_supporters[[#This Row],[Phone_Clean]])),"Review - corrupt phone number", IF(LEN(tb1_supporters[[#This Row],[Phone_Clean]])&gt;11,"Review - too many digits",""))</f>
        <v/>
      </c>
      <c r="Z44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45" s="2" t="str">
        <f>IF(tb1_supporters[[#This Row],[Email]]="","",IF(COUNTIF(tb1_supporters[Email],tb1_supporters[[#This Row],[Email]])&gt;1,"Review - duplicate record, see Supporter_Duplicates tab",""))</f>
        <v/>
      </c>
      <c r="AB445" s="21" t="str">
        <f>IF(tb1_supporters[[#This Row],[Communication_Preference]]="Do Not Contact","DO NOT CONTACT","")</f>
        <v/>
      </c>
      <c r="AE445"/>
    </row>
    <row r="446" spans="1:31" x14ac:dyDescent="0.25">
      <c r="A446" s="3" t="s">
        <v>2952</v>
      </c>
      <c r="B446" s="2" t="s">
        <v>22</v>
      </c>
      <c r="C446" s="2" t="s">
        <v>710</v>
      </c>
      <c r="D446" s="2" t="s">
        <v>365</v>
      </c>
      <c r="E446" s="2" t="s">
        <v>2953</v>
      </c>
      <c r="F446" s="2" t="s">
        <v>2954</v>
      </c>
      <c r="G446" s="2" t="str">
        <f>TRIM(SUBSTITUTE(SUBSTITUTE(SUBSTITUTE(SUBSTITUTE(tb1_supporters[[#This Row],[Phone_Raw]],"(",""),")","")," ",""),"+44",))</f>
        <v>07756702172</v>
      </c>
      <c r="H446" s="15">
        <v>25736</v>
      </c>
      <c r="I446" s="36">
        <f ca="1">IF(OR(tb1_supporters[[#This Row],[Date_of_Birth]]="",tb1_supporters[[#This Row],[Date_of_Birth]]&gt;TODAY()),"",DATEDIF(tb1_supporters[[#This Row],[Date_of_Birth]],TODAY(),"Y"))</f>
        <v>55</v>
      </c>
      <c r="J44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46" s="2" t="s">
        <v>2956</v>
      </c>
      <c r="L446" s="2" t="s">
        <v>278</v>
      </c>
      <c r="M446" s="2" t="s">
        <v>279</v>
      </c>
      <c r="N446" s="2" t="s">
        <v>280</v>
      </c>
      <c r="O446" s="2" t="s">
        <v>242</v>
      </c>
      <c r="P446" s="2" t="s">
        <v>65</v>
      </c>
      <c r="Q446" s="2" t="s">
        <v>66</v>
      </c>
      <c r="R446" s="15">
        <v>45417</v>
      </c>
      <c r="S446" s="2" t="s">
        <v>93</v>
      </c>
      <c r="T446" s="2" t="s">
        <v>36</v>
      </c>
      <c r="U446" s="2" t="s">
        <v>36</v>
      </c>
      <c r="V446" s="2" t="s">
        <v>37</v>
      </c>
      <c r="W446" s="4" t="s">
        <v>37</v>
      </c>
      <c r="X44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46" s="2" t="str">
        <f>IF(ISNUMBER(SEARCH("onal",tb1_supporters[[#This Row],[Phone_Clean]])),"Review - corrupt phone number", IF(LEN(tb1_supporters[[#This Row],[Phone_Clean]])&gt;11,"Review - too many digits",""))</f>
        <v/>
      </c>
      <c r="Z44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46" s="2" t="str">
        <f>IF(tb1_supporters[[#This Row],[Email]]="","",IF(COUNTIF(tb1_supporters[Email],tb1_supporters[[#This Row],[Email]])&gt;1,"Review - duplicate record, see Supporter_Duplicates tab",""))</f>
        <v/>
      </c>
      <c r="AB446" s="21" t="str">
        <f>IF(tb1_supporters[[#This Row],[Communication_Preference]]="Do Not Contact","DO NOT CONTACT","")</f>
        <v/>
      </c>
      <c r="AE446"/>
    </row>
    <row r="447" spans="1:31" x14ac:dyDescent="0.25">
      <c r="A447" s="3" t="s">
        <v>2958</v>
      </c>
      <c r="B447" s="2" t="s">
        <v>4866</v>
      </c>
      <c r="C447" s="2" t="s">
        <v>1078</v>
      </c>
      <c r="D447" s="2" t="s">
        <v>96</v>
      </c>
      <c r="E447" s="2" t="s">
        <v>2959</v>
      </c>
      <c r="F447" s="2" t="s">
        <v>2960</v>
      </c>
      <c r="G447" s="2" t="str">
        <f>TRIM(SUBSTITUTE(SUBSTITUTE(SUBSTITUTE(SUBSTITUTE(tb1_supporters[[#This Row],[Phone_Raw]],"(",""),")","")," ",""),"+44",))</f>
        <v>013149708827</v>
      </c>
      <c r="H447" s="15">
        <v>20148</v>
      </c>
      <c r="I447" s="36">
        <f ca="1">IF(OR(tb1_supporters[[#This Row],[Date_of_Birth]]="",tb1_supporters[[#This Row],[Date_of_Birth]]&gt;TODAY()),"",DATEDIF(tb1_supporters[[#This Row],[Date_of_Birth]],TODAY(),"Y"))</f>
        <v>71</v>
      </c>
      <c r="J44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47" s="2" t="s">
        <v>2962</v>
      </c>
      <c r="L447" s="2" t="s">
        <v>766</v>
      </c>
      <c r="M447" s="2" t="s">
        <v>767</v>
      </c>
      <c r="N447" s="2" t="s">
        <v>768</v>
      </c>
      <c r="O447" s="2" t="s">
        <v>242</v>
      </c>
      <c r="P447" s="2" t="s">
        <v>181</v>
      </c>
      <c r="Q447" s="2" t="s">
        <v>4888</v>
      </c>
      <c r="R447" s="15">
        <v>43706</v>
      </c>
      <c r="S447" s="2" t="s">
        <v>105</v>
      </c>
      <c r="T447" s="2" t="s">
        <v>37</v>
      </c>
      <c r="U447" s="2" t="s">
        <v>37</v>
      </c>
      <c r="V447" s="2" t="s">
        <v>37</v>
      </c>
      <c r="W447" s="4" t="s">
        <v>37</v>
      </c>
      <c r="X44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47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4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47" s="2" t="str">
        <f>IF(tb1_supporters[[#This Row],[Email]]="","",IF(COUNTIF(tb1_supporters[Email],tb1_supporters[[#This Row],[Email]])&gt;1,"Review - duplicate record, see Supporter_Duplicates tab",""))</f>
        <v/>
      </c>
      <c r="AB447" s="21" t="str">
        <f>IF(tb1_supporters[[#This Row],[Communication_Preference]]="Do Not Contact","DO NOT CONTACT","")</f>
        <v>DO NOT CONTACT</v>
      </c>
      <c r="AE447"/>
    </row>
    <row r="448" spans="1:31" x14ac:dyDescent="0.25">
      <c r="A448" s="3" t="s">
        <v>2964</v>
      </c>
      <c r="B448" s="2" t="s">
        <v>54</v>
      </c>
      <c r="C448" s="2" t="s">
        <v>1193</v>
      </c>
      <c r="D448" s="2" t="s">
        <v>186</v>
      </c>
      <c r="E448" s="2" t="s">
        <v>2965</v>
      </c>
      <c r="F448" s="2" t="s">
        <v>2966</v>
      </c>
      <c r="G448" s="2" t="str">
        <f>TRIM(SUBSTITUTE(SUBSTITUTE(SUBSTITUTE(SUBSTITUTE(tb1_supporters[[#This Row],[Phone_Raw]],"(",""),")","")," ",""),"+44",))</f>
        <v>017523169495</v>
      </c>
      <c r="H448" s="15">
        <v>18277</v>
      </c>
      <c r="I448" s="36">
        <f ca="1">IF(OR(tb1_supporters[[#This Row],[Date_of_Birth]]="",tb1_supporters[[#This Row],[Date_of_Birth]]&gt;TODAY()),"",DATEDIF(tb1_supporters[[#This Row],[Date_of_Birth]],TODAY(),"Y"))</f>
        <v>76</v>
      </c>
      <c r="J44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48" s="2" t="s">
        <v>2968</v>
      </c>
      <c r="L448" s="2" t="s">
        <v>100</v>
      </c>
      <c r="M448" s="2" t="s">
        <v>101</v>
      </c>
      <c r="N448" s="2" t="s">
        <v>343</v>
      </c>
      <c r="O448" s="2" t="s">
        <v>166</v>
      </c>
      <c r="P448" s="2" t="s">
        <v>117</v>
      </c>
      <c r="Q448" s="2" t="s">
        <v>243</v>
      </c>
      <c r="R448" s="15">
        <v>44849</v>
      </c>
      <c r="S448" s="2" t="s">
        <v>4</v>
      </c>
      <c r="T448" s="2" t="s">
        <v>36</v>
      </c>
      <c r="U448" s="2" t="s">
        <v>36</v>
      </c>
      <c r="V448" s="2" t="s">
        <v>37</v>
      </c>
      <c r="W448" s="4" t="s">
        <v>37</v>
      </c>
      <c r="X44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4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4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48" s="2" t="str">
        <f>IF(tb1_supporters[[#This Row],[Email]]="","",IF(COUNTIF(tb1_supporters[Email],tb1_supporters[[#This Row],[Email]])&gt;1,"Review - duplicate record, see Supporter_Duplicates tab",""))</f>
        <v/>
      </c>
      <c r="AB448" s="21" t="str">
        <f>IF(tb1_supporters[[#This Row],[Communication_Preference]]="Do Not Contact","DO NOT CONTACT","")</f>
        <v/>
      </c>
      <c r="AE448"/>
    </row>
    <row r="449" spans="1:31" x14ac:dyDescent="0.25">
      <c r="A449" s="3" t="s">
        <v>2970</v>
      </c>
      <c r="B449" s="2" t="s">
        <v>402</v>
      </c>
      <c r="C449" s="2" t="s">
        <v>472</v>
      </c>
      <c r="D449" s="2" t="s">
        <v>273</v>
      </c>
      <c r="E449" s="2" t="s">
        <v>2971</v>
      </c>
      <c r="F449" s="2" t="s">
        <v>2972</v>
      </c>
      <c r="G449" s="2" t="str">
        <f>TRIM(SUBSTITUTE(SUBSTITUTE(SUBSTITUTE(SUBSTITUTE(tb1_supporters[[#This Row],[Phone_Raw]],"(",""),")","")," ",""),"+44",))</f>
        <v>07866314866</v>
      </c>
      <c r="H449" s="15">
        <v>20063</v>
      </c>
      <c r="I449" s="36">
        <f ca="1">IF(OR(tb1_supporters[[#This Row],[Date_of_Birth]]="",tb1_supporters[[#This Row],[Date_of_Birth]]&gt;TODAY()),"",DATEDIF(tb1_supporters[[#This Row],[Date_of_Birth]],TODAY(),"Y"))</f>
        <v>71</v>
      </c>
      <c r="J44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49" s="2" t="s">
        <v>2974</v>
      </c>
      <c r="L449" s="2" t="s">
        <v>163</v>
      </c>
      <c r="M449" s="2" t="s">
        <v>164</v>
      </c>
      <c r="N449" s="2" t="s">
        <v>165</v>
      </c>
      <c r="O449" s="2" t="s">
        <v>242</v>
      </c>
      <c r="P449" s="2" t="s">
        <v>181</v>
      </c>
      <c r="Q449" s="2" t="s">
        <v>154</v>
      </c>
      <c r="R449" s="15">
        <v>45115</v>
      </c>
      <c r="S449" s="2" t="s">
        <v>4</v>
      </c>
      <c r="T449" s="2" t="s">
        <v>36</v>
      </c>
      <c r="U449" s="2" t="s">
        <v>36</v>
      </c>
      <c r="V449" s="2" t="s">
        <v>36</v>
      </c>
      <c r="W449" s="4" t="s">
        <v>37</v>
      </c>
      <c r="X44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49" s="2" t="str">
        <f>IF(ISNUMBER(SEARCH("onal",tb1_supporters[[#This Row],[Phone_Clean]])),"Review - corrupt phone number", IF(LEN(tb1_supporters[[#This Row],[Phone_Clean]])&gt;11,"Review - too many digits",""))</f>
        <v/>
      </c>
      <c r="Z44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49" s="2" t="str">
        <f>IF(tb1_supporters[[#This Row],[Email]]="","",IF(COUNTIF(tb1_supporters[Email],tb1_supporters[[#This Row],[Email]])&gt;1,"Review - duplicate record, see Supporter_Duplicates tab",""))</f>
        <v/>
      </c>
      <c r="AB449" s="21" t="str">
        <f>IF(tb1_supporters[[#This Row],[Communication_Preference]]="Do Not Contact","DO NOT CONTACT","")</f>
        <v/>
      </c>
      <c r="AE449"/>
    </row>
    <row r="450" spans="1:31" x14ac:dyDescent="0.25">
      <c r="A450" s="3" t="s">
        <v>2976</v>
      </c>
      <c r="B450" s="2" t="s">
        <v>4866</v>
      </c>
      <c r="C450" s="2" t="s">
        <v>55</v>
      </c>
      <c r="D450" s="2" t="s">
        <v>819</v>
      </c>
      <c r="E450" s="2" t="s">
        <v>4869</v>
      </c>
      <c r="F450" s="2" t="s">
        <v>2977</v>
      </c>
      <c r="G450" s="2" t="str">
        <f>TRIM(SUBSTITUTE(SUBSTITUTE(SUBSTITUTE(SUBSTITUTE(tb1_supporters[[#This Row],[Phone_Raw]],"(",""),")","")," ",""),"+44",))</f>
        <v>01416142806</v>
      </c>
      <c r="H450" s="15">
        <v>25128</v>
      </c>
      <c r="I450" s="36">
        <f ca="1">IF(OR(tb1_supporters[[#This Row],[Date_of_Birth]]="",tb1_supporters[[#This Row],[Date_of_Birth]]&gt;TODAY()),"",DATEDIF(tb1_supporters[[#This Row],[Date_of_Birth]],TODAY(),"Y"))</f>
        <v>57</v>
      </c>
      <c r="J45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50" s="2" t="s">
        <v>2979</v>
      </c>
      <c r="L450" s="2" t="s">
        <v>766</v>
      </c>
      <c r="M450" s="2" t="s">
        <v>767</v>
      </c>
      <c r="N450" s="2" t="s">
        <v>768</v>
      </c>
      <c r="O450" s="2" t="s">
        <v>166</v>
      </c>
      <c r="P450" s="2" t="s">
        <v>33</v>
      </c>
      <c r="Q450" s="2" t="s">
        <v>154</v>
      </c>
      <c r="R450" s="15">
        <v>43894</v>
      </c>
      <c r="S450" s="2" t="s">
        <v>93</v>
      </c>
      <c r="T450" s="2" t="s">
        <v>36</v>
      </c>
      <c r="U450" s="2" t="s">
        <v>36</v>
      </c>
      <c r="V450" s="2" t="s">
        <v>36</v>
      </c>
      <c r="W450" s="4" t="s">
        <v>37</v>
      </c>
      <c r="X45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50" s="2" t="str">
        <f>IF(ISNUMBER(SEARCH("onal",tb1_supporters[[#This Row],[Phone_Clean]])),"Review - corrupt phone number", IF(LEN(tb1_supporters[[#This Row],[Phone_Clean]])&gt;11,"Review - too many digits",""))</f>
        <v/>
      </c>
      <c r="Z45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50" s="2" t="str">
        <f>IF(tb1_supporters[[#This Row],[Email]]="","",IF(COUNTIF(tb1_supporters[Email],tb1_supporters[[#This Row],[Email]])&gt;1,"Review - duplicate record, see Supporter_Duplicates tab",""))</f>
        <v/>
      </c>
      <c r="AB450" s="21" t="str">
        <f>IF(tb1_supporters[[#This Row],[Communication_Preference]]="Do Not Contact","DO NOT CONTACT","")</f>
        <v/>
      </c>
      <c r="AE450"/>
    </row>
    <row r="451" spans="1:31" x14ac:dyDescent="0.25">
      <c r="A451" s="3" t="s">
        <v>2981</v>
      </c>
      <c r="B451" s="2" t="s">
        <v>4866</v>
      </c>
      <c r="C451" s="2" t="s">
        <v>144</v>
      </c>
      <c r="D451" s="2" t="s">
        <v>83</v>
      </c>
      <c r="E451" s="2" t="s">
        <v>2982</v>
      </c>
      <c r="F451" s="2" t="s">
        <v>2983</v>
      </c>
      <c r="G451" s="2" t="str">
        <f>TRIM(SUBSTITUTE(SUBSTITUTE(SUBSTITUTE(SUBSTITUTE(tb1_supporters[[#This Row],[Phone_Raw]],"(",""),")","")," ",""),"+44",))</f>
        <v>07383165450</v>
      </c>
      <c r="H451" s="15">
        <v>21608</v>
      </c>
      <c r="I451" s="36">
        <f ca="1">IF(OR(tb1_supporters[[#This Row],[Date_of_Birth]]="",tb1_supporters[[#This Row],[Date_of_Birth]]&gt;TODAY()),"",DATEDIF(tb1_supporters[[#This Row],[Date_of_Birth]],TODAY(),"Y"))</f>
        <v>67</v>
      </c>
      <c r="J45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51" s="2" t="s">
        <v>2985</v>
      </c>
      <c r="L451" s="2" t="s">
        <v>1204</v>
      </c>
      <c r="M451" s="2" t="s">
        <v>114</v>
      </c>
      <c r="N451" s="2" t="s">
        <v>1205</v>
      </c>
      <c r="O451" s="2" t="s">
        <v>166</v>
      </c>
      <c r="P451" s="2" t="s">
        <v>33</v>
      </c>
      <c r="Q451" s="2" t="s">
        <v>66</v>
      </c>
      <c r="R451" s="15">
        <v>45088</v>
      </c>
      <c r="S451" s="2" t="s">
        <v>93</v>
      </c>
      <c r="T451" s="2" t="s">
        <v>36</v>
      </c>
      <c r="U451" s="2" t="s">
        <v>36</v>
      </c>
      <c r="V451" s="2" t="s">
        <v>36</v>
      </c>
      <c r="W451" s="4" t="s">
        <v>37</v>
      </c>
      <c r="X45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51" s="2" t="str">
        <f>IF(ISNUMBER(SEARCH("onal",tb1_supporters[[#This Row],[Phone_Clean]])),"Review - corrupt phone number", IF(LEN(tb1_supporters[[#This Row],[Phone_Clean]])&gt;11,"Review - too many digits",""))</f>
        <v/>
      </c>
      <c r="Z45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51" s="2" t="str">
        <f>IF(tb1_supporters[[#This Row],[Email]]="","",IF(COUNTIF(tb1_supporters[Email],tb1_supporters[[#This Row],[Email]])&gt;1,"Review - duplicate record, see Supporter_Duplicates tab",""))</f>
        <v/>
      </c>
      <c r="AB451" s="21" t="str">
        <f>IF(tb1_supporters[[#This Row],[Communication_Preference]]="Do Not Contact","DO NOT CONTACT","")</f>
        <v/>
      </c>
      <c r="AE451"/>
    </row>
    <row r="452" spans="1:31" x14ac:dyDescent="0.25">
      <c r="A452" s="3" t="s">
        <v>2987</v>
      </c>
      <c r="B452" s="2"/>
      <c r="C452" s="2" t="s">
        <v>548</v>
      </c>
      <c r="D452" s="2" t="s">
        <v>473</v>
      </c>
      <c r="E452" s="2" t="s">
        <v>2988</v>
      </c>
      <c r="F452" s="2" t="s">
        <v>2989</v>
      </c>
      <c r="G452" s="2" t="str">
        <f>TRIM(SUBSTITUTE(SUBSTITUTE(SUBSTITUTE(SUBSTITUTE(tb1_supporters[[#This Row],[Phone_Raw]],"(",""),")","")," ",""),"+44",))</f>
        <v>7632879372</v>
      </c>
      <c r="H452" s="15">
        <v>18992</v>
      </c>
      <c r="I452" s="36">
        <f ca="1">IF(OR(tb1_supporters[[#This Row],[Date_of_Birth]]="",tb1_supporters[[#This Row],[Date_of_Birth]]&gt;TODAY()),"",DATEDIF(tb1_supporters[[#This Row],[Date_of_Birth]],TODAY(),"Y"))</f>
        <v>74</v>
      </c>
      <c r="J45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52" s="2" t="s">
        <v>2365</v>
      </c>
      <c r="L452" s="2" t="s">
        <v>163</v>
      </c>
      <c r="M452" s="2" t="s">
        <v>164</v>
      </c>
      <c r="N452" s="2" t="s">
        <v>165</v>
      </c>
      <c r="O452" s="2" t="s">
        <v>242</v>
      </c>
      <c r="P452" s="2" t="s">
        <v>49</v>
      </c>
      <c r="Q452" s="2" t="s">
        <v>50</v>
      </c>
      <c r="R452" s="15">
        <v>44860</v>
      </c>
      <c r="S452" s="2" t="s">
        <v>5</v>
      </c>
      <c r="T452" s="2" t="s">
        <v>36</v>
      </c>
      <c r="U452" s="2" t="s">
        <v>36</v>
      </c>
      <c r="V452" s="2" t="s">
        <v>37</v>
      </c>
      <c r="W452" s="4" t="s">
        <v>37</v>
      </c>
      <c r="X45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452" s="2" t="str">
        <f>IF(ISNUMBER(SEARCH("onal",tb1_supporters[[#This Row],[Phone_Clean]])),"Review - corrupt phone number", IF(LEN(tb1_supporters[[#This Row],[Phone_Clean]])&gt;11,"Review - too many digits",""))</f>
        <v/>
      </c>
      <c r="Z45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52" s="2" t="str">
        <f>IF(tb1_supporters[[#This Row],[Email]]="","",IF(COUNTIF(tb1_supporters[Email],tb1_supporters[[#This Row],[Email]])&gt;1,"Review - duplicate record, see Supporter_Duplicates tab",""))</f>
        <v/>
      </c>
      <c r="AB452" s="21" t="str">
        <f>IF(tb1_supporters[[#This Row],[Communication_Preference]]="Do Not Contact","DO NOT CONTACT","")</f>
        <v/>
      </c>
      <c r="AE452"/>
    </row>
    <row r="453" spans="1:31" x14ac:dyDescent="0.25">
      <c r="A453" s="3" t="s">
        <v>2992</v>
      </c>
      <c r="B453" s="2" t="s">
        <v>235</v>
      </c>
      <c r="C453" s="2" t="s">
        <v>710</v>
      </c>
      <c r="D453" s="2" t="s">
        <v>186</v>
      </c>
      <c r="E453" s="2" t="s">
        <v>4869</v>
      </c>
      <c r="F453" s="2" t="s">
        <v>2993</v>
      </c>
      <c r="G453" s="2" t="str">
        <f>TRIM(SUBSTITUTE(SUBSTITUTE(SUBSTITUTE(SUBSTITUTE(tb1_supporters[[#This Row],[Phone_Raw]],"(",""),")","")," ",""),"+44",))</f>
        <v>07567991815</v>
      </c>
      <c r="H453" s="15">
        <v>25636</v>
      </c>
      <c r="I453" s="36">
        <f ca="1">IF(OR(tb1_supporters[[#This Row],[Date_of_Birth]]="",tb1_supporters[[#This Row],[Date_of_Birth]]&gt;TODAY()),"",DATEDIF(tb1_supporters[[#This Row],[Date_of_Birth]],TODAY(),"Y"))</f>
        <v>56</v>
      </c>
      <c r="J45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53" s="2" t="s">
        <v>2995</v>
      </c>
      <c r="L453" s="2" t="s">
        <v>945</v>
      </c>
      <c r="M453" s="2" t="s">
        <v>946</v>
      </c>
      <c r="N453" s="2" t="s">
        <v>947</v>
      </c>
      <c r="O453" s="2" t="s">
        <v>242</v>
      </c>
      <c r="P453" s="2" t="s">
        <v>181</v>
      </c>
      <c r="Q453" s="2" t="s">
        <v>50</v>
      </c>
      <c r="R453" s="15">
        <v>43604</v>
      </c>
      <c r="S453" s="2" t="s">
        <v>5</v>
      </c>
      <c r="T453" s="2" t="s">
        <v>37</v>
      </c>
      <c r="U453" s="2" t="s">
        <v>36</v>
      </c>
      <c r="V453" s="2" t="s">
        <v>37</v>
      </c>
      <c r="W453" s="4" t="s">
        <v>36</v>
      </c>
      <c r="X45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453" s="2" t="str">
        <f>IF(ISNUMBER(SEARCH("onal",tb1_supporters[[#This Row],[Phone_Clean]])),"Review - corrupt phone number", IF(LEN(tb1_supporters[[#This Row],[Phone_Clean]])&gt;11,"Review - too many digits",""))</f>
        <v/>
      </c>
      <c r="Z45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53" s="2" t="str">
        <f>IF(tb1_supporters[[#This Row],[Email]]="","",IF(COUNTIF(tb1_supporters[Email],tb1_supporters[[#This Row],[Email]])&gt;1,"Review - duplicate record, see Supporter_Duplicates tab",""))</f>
        <v/>
      </c>
      <c r="AB453" s="21" t="str">
        <f>IF(tb1_supporters[[#This Row],[Communication_Preference]]="Do Not Contact","DO NOT CONTACT","")</f>
        <v/>
      </c>
      <c r="AE453"/>
    </row>
    <row r="454" spans="1:31" x14ac:dyDescent="0.25">
      <c r="A454" s="3" t="s">
        <v>2997</v>
      </c>
      <c r="B454" s="2" t="s">
        <v>4866</v>
      </c>
      <c r="C454" s="2" t="s">
        <v>590</v>
      </c>
      <c r="D454" s="2" t="s">
        <v>186</v>
      </c>
      <c r="E454" s="2" t="s">
        <v>2998</v>
      </c>
      <c r="F454" s="2" t="s">
        <v>2999</v>
      </c>
      <c r="G454" s="2" t="str">
        <f>TRIM(SUBSTITUTE(SUBSTITUTE(SUBSTITUTE(SUBSTITUTE(tb1_supporters[[#This Row],[Phone_Raw]],"(",""),")","")," ",""),"+44",))</f>
        <v>07748468994</v>
      </c>
      <c r="H454" s="15">
        <v>16925</v>
      </c>
      <c r="I454" s="36">
        <f ca="1">IF(OR(tb1_supporters[[#This Row],[Date_of_Birth]]="",tb1_supporters[[#This Row],[Date_of_Birth]]&gt;TODAY()),"",DATEDIF(tb1_supporters[[#This Row],[Date_of_Birth]],TODAY(),"Y"))</f>
        <v>80</v>
      </c>
      <c r="J45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54" s="2" t="s">
        <v>3001</v>
      </c>
      <c r="L454" s="2" t="s">
        <v>531</v>
      </c>
      <c r="M454" s="2" t="s">
        <v>532</v>
      </c>
      <c r="N454" s="2" t="s">
        <v>533</v>
      </c>
      <c r="O454" s="2" t="s">
        <v>242</v>
      </c>
      <c r="P454" s="2" t="s">
        <v>153</v>
      </c>
      <c r="Q454" s="2" t="s">
        <v>154</v>
      </c>
      <c r="R454" s="15">
        <v>45586</v>
      </c>
      <c r="S454" s="2" t="s">
        <v>93</v>
      </c>
      <c r="T454" s="2" t="s">
        <v>36</v>
      </c>
      <c r="U454" s="2" t="s">
        <v>36</v>
      </c>
      <c r="V454" s="2" t="s">
        <v>37</v>
      </c>
      <c r="W454" s="4" t="s">
        <v>37</v>
      </c>
      <c r="X45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54" s="2" t="str">
        <f>IF(ISNUMBER(SEARCH("onal",tb1_supporters[[#This Row],[Phone_Clean]])),"Review - corrupt phone number", IF(LEN(tb1_supporters[[#This Row],[Phone_Clean]])&gt;11,"Review - too many digits",""))</f>
        <v/>
      </c>
      <c r="Z45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54" s="2" t="str">
        <f>IF(tb1_supporters[[#This Row],[Email]]="","",IF(COUNTIF(tb1_supporters[Email],tb1_supporters[[#This Row],[Email]])&gt;1,"Review - duplicate record, see Supporter_Duplicates tab",""))</f>
        <v/>
      </c>
      <c r="AB454" s="21" t="str">
        <f>IF(tb1_supporters[[#This Row],[Communication_Preference]]="Do Not Contact","DO NOT CONTACT","")</f>
        <v/>
      </c>
      <c r="AE454"/>
    </row>
    <row r="455" spans="1:31" x14ac:dyDescent="0.25">
      <c r="A455" s="3" t="s">
        <v>3003</v>
      </c>
      <c r="B455" s="2" t="s">
        <v>54</v>
      </c>
      <c r="C455" s="2" t="s">
        <v>157</v>
      </c>
      <c r="D455" s="2" t="s">
        <v>133</v>
      </c>
      <c r="E455" s="2" t="s">
        <v>3004</v>
      </c>
      <c r="F455" s="2" t="s">
        <v>3005</v>
      </c>
      <c r="G455" s="2" t="str">
        <f>TRIM(SUBSTITUTE(SUBSTITUTE(SUBSTITUTE(SUBSTITUTE(tb1_supporters[[#This Row],[Phone_Raw]],"(",""),")","")," ",""),"+44",))</f>
        <v>011895209267</v>
      </c>
      <c r="H455" s="15">
        <v>14755</v>
      </c>
      <c r="I455" s="36">
        <f ca="1">IF(OR(tb1_supporters[[#This Row],[Date_of_Birth]]="",tb1_supporters[[#This Row],[Date_of_Birth]]&gt;TODAY()),"",DATEDIF(tb1_supporters[[#This Row],[Date_of_Birth]],TODAY(),"Y"))</f>
        <v>86</v>
      </c>
      <c r="J45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55" s="2" t="s">
        <v>3007</v>
      </c>
      <c r="L455" s="2" t="s">
        <v>163</v>
      </c>
      <c r="M455" s="2" t="s">
        <v>164</v>
      </c>
      <c r="N455" s="2" t="s">
        <v>165</v>
      </c>
      <c r="O455" s="2" t="s">
        <v>166</v>
      </c>
      <c r="P455" s="2" t="s">
        <v>153</v>
      </c>
      <c r="Q455" s="2" t="s">
        <v>243</v>
      </c>
      <c r="R455" s="15">
        <v>43457</v>
      </c>
      <c r="S455" s="2" t="s">
        <v>52</v>
      </c>
      <c r="T455" s="2" t="s">
        <v>36</v>
      </c>
      <c r="U455" s="2" t="s">
        <v>37</v>
      </c>
      <c r="V455" s="2" t="s">
        <v>37</v>
      </c>
      <c r="W455" s="4" t="s">
        <v>36</v>
      </c>
      <c r="X45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55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5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55" s="2" t="str">
        <f>IF(tb1_supporters[[#This Row],[Email]]="","",IF(COUNTIF(tb1_supporters[Email],tb1_supporters[[#This Row],[Email]])&gt;1,"Review - duplicate record, see Supporter_Duplicates tab",""))</f>
        <v/>
      </c>
      <c r="AB455" s="21" t="str">
        <f>IF(tb1_supporters[[#This Row],[Communication_Preference]]="Do Not Contact","DO NOT CONTACT","")</f>
        <v/>
      </c>
      <c r="AE455"/>
    </row>
    <row r="456" spans="1:31" x14ac:dyDescent="0.25">
      <c r="A456" s="3" t="s">
        <v>3009</v>
      </c>
      <c r="B456" s="2" t="s">
        <v>402</v>
      </c>
      <c r="C456" s="2" t="s">
        <v>851</v>
      </c>
      <c r="D456" s="2" t="s">
        <v>186</v>
      </c>
      <c r="E456" s="2" t="s">
        <v>3010</v>
      </c>
      <c r="F456" s="2" t="s">
        <v>3011</v>
      </c>
      <c r="G456" s="2" t="str">
        <f>TRIM(SUBSTITUTE(SUBSTITUTE(SUBSTITUTE(SUBSTITUTE(tb1_supporters[[#This Row],[Phone_Raw]],"(",""),")","")," ",""),"+44",))</f>
        <v>01212646349</v>
      </c>
      <c r="H456" s="15">
        <v>22904</v>
      </c>
      <c r="I456" s="36">
        <f ca="1">IF(OR(tb1_supporters[[#This Row],[Date_of_Birth]]="",tb1_supporters[[#This Row],[Date_of_Birth]]&gt;TODAY()),"",DATEDIF(tb1_supporters[[#This Row],[Date_of_Birth]],TODAY(),"Y"))</f>
        <v>63</v>
      </c>
      <c r="J45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56" s="2" t="s">
        <v>3013</v>
      </c>
      <c r="L456" s="2" t="s">
        <v>88</v>
      </c>
      <c r="M456" s="2" t="s">
        <v>89</v>
      </c>
      <c r="N456" s="2" t="s">
        <v>90</v>
      </c>
      <c r="O456" s="2" t="s">
        <v>242</v>
      </c>
      <c r="P456" s="2" t="s">
        <v>33</v>
      </c>
      <c r="Q456" s="2" t="s">
        <v>4888</v>
      </c>
      <c r="R456" s="15">
        <v>44156</v>
      </c>
      <c r="S456" s="2" t="s">
        <v>4</v>
      </c>
      <c r="T456" s="2" t="s">
        <v>36</v>
      </c>
      <c r="U456" s="2" t="s">
        <v>36</v>
      </c>
      <c r="V456" s="2" t="s">
        <v>37</v>
      </c>
      <c r="W456" s="4" t="s">
        <v>36</v>
      </c>
      <c r="X45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56" s="2" t="str">
        <f>IF(ISNUMBER(SEARCH("onal",tb1_supporters[[#This Row],[Phone_Clean]])),"Review - corrupt phone number", IF(LEN(tb1_supporters[[#This Row],[Phone_Clean]])&gt;11,"Review - too many digits",""))</f>
        <v/>
      </c>
      <c r="Z45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56" s="2" t="str">
        <f>IF(tb1_supporters[[#This Row],[Email]]="","",IF(COUNTIF(tb1_supporters[Email],tb1_supporters[[#This Row],[Email]])&gt;1,"Review - duplicate record, see Supporter_Duplicates tab",""))</f>
        <v/>
      </c>
      <c r="AB456" s="21" t="str">
        <f>IF(tb1_supporters[[#This Row],[Communication_Preference]]="Do Not Contact","DO NOT CONTACT","")</f>
        <v/>
      </c>
      <c r="AE456"/>
    </row>
    <row r="457" spans="1:31" x14ac:dyDescent="0.25">
      <c r="A457" s="3" t="s">
        <v>3015</v>
      </c>
      <c r="B457" s="2" t="s">
        <v>22</v>
      </c>
      <c r="C457" s="2" t="s">
        <v>308</v>
      </c>
      <c r="D457" s="2" t="s">
        <v>225</v>
      </c>
      <c r="E457" s="2" t="s">
        <v>3016</v>
      </c>
      <c r="F457" s="2" t="s">
        <v>3017</v>
      </c>
      <c r="G457" s="2" t="str">
        <f>TRIM(SUBSTITUTE(SUBSTITUTE(SUBSTITUTE(SUBSTITUTE(tb1_supporters[[#This Row],[Phone_Raw]],"(",""),")","")," ",""),"+44",))</f>
        <v>01817698159</v>
      </c>
      <c r="H457" s="15">
        <v>18843</v>
      </c>
      <c r="I457" s="36">
        <f ca="1">IF(OR(tb1_supporters[[#This Row],[Date_of_Birth]]="",tb1_supporters[[#This Row],[Date_of_Birth]]&gt;TODAY()),"",DATEDIF(tb1_supporters[[#This Row],[Date_of_Birth]],TODAY(),"Y"))</f>
        <v>74</v>
      </c>
      <c r="J45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57" s="2" t="s">
        <v>3019</v>
      </c>
      <c r="L457" s="2" t="s">
        <v>387</v>
      </c>
      <c r="M457" s="2" t="s">
        <v>388</v>
      </c>
      <c r="N457" s="2" t="s">
        <v>389</v>
      </c>
      <c r="O457" s="2" t="s">
        <v>242</v>
      </c>
      <c r="P457" s="2" t="s">
        <v>33</v>
      </c>
      <c r="Q457" s="2" t="s">
        <v>141</v>
      </c>
      <c r="R457" s="15">
        <v>43574</v>
      </c>
      <c r="S457" s="2" t="s">
        <v>5</v>
      </c>
      <c r="T457" s="2" t="s">
        <v>36</v>
      </c>
      <c r="U457" s="2" t="s">
        <v>36</v>
      </c>
      <c r="V457" s="2" t="s">
        <v>36</v>
      </c>
      <c r="W457" s="4" t="s">
        <v>36</v>
      </c>
      <c r="X45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57" s="2" t="str">
        <f>IF(ISNUMBER(SEARCH("onal",tb1_supporters[[#This Row],[Phone_Clean]])),"Review - corrupt phone number", IF(LEN(tb1_supporters[[#This Row],[Phone_Clean]])&gt;11,"Review - too many digits",""))</f>
        <v/>
      </c>
      <c r="Z45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57" s="2" t="str">
        <f>IF(tb1_supporters[[#This Row],[Email]]="","",IF(COUNTIF(tb1_supporters[Email],tb1_supporters[[#This Row],[Email]])&gt;1,"Review - duplicate record, see Supporter_Duplicates tab",""))</f>
        <v/>
      </c>
      <c r="AB457" s="21" t="str">
        <f>IF(tb1_supporters[[#This Row],[Communication_Preference]]="Do Not Contact","DO NOT CONTACT","")</f>
        <v/>
      </c>
      <c r="AE457"/>
    </row>
    <row r="458" spans="1:31" x14ac:dyDescent="0.25">
      <c r="A458" s="3" t="s">
        <v>3021</v>
      </c>
      <c r="B458" s="2" t="s">
        <v>22</v>
      </c>
      <c r="C458" s="2" t="s">
        <v>877</v>
      </c>
      <c r="D458" s="2" t="s">
        <v>24</v>
      </c>
      <c r="E458" s="2" t="s">
        <v>3022</v>
      </c>
      <c r="F458" s="2" t="s">
        <v>3023</v>
      </c>
      <c r="G458" s="2" t="str">
        <f>TRIM(SUBSTITUTE(SUBSTITUTE(SUBSTITUTE(SUBSTITUTE(tb1_supporters[[#This Row],[Phone_Raw]],"(",""),")","")," ",""),"+44",))</f>
        <v>7854101418</v>
      </c>
      <c r="H458" s="15">
        <v>14705</v>
      </c>
      <c r="I458" s="36">
        <f ca="1">IF(OR(tb1_supporters[[#This Row],[Date_of_Birth]]="",tb1_supporters[[#This Row],[Date_of_Birth]]&gt;TODAY()),"",DATEDIF(tb1_supporters[[#This Row],[Date_of_Birth]],TODAY(),"Y"))</f>
        <v>86</v>
      </c>
      <c r="J45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58" s="2" t="s">
        <v>3025</v>
      </c>
      <c r="L458" s="2" t="s">
        <v>766</v>
      </c>
      <c r="M458" s="2" t="s">
        <v>767</v>
      </c>
      <c r="N458" s="2" t="s">
        <v>768</v>
      </c>
      <c r="O458" s="2" t="s">
        <v>242</v>
      </c>
      <c r="P458" s="2" t="s">
        <v>4887</v>
      </c>
      <c r="Q458" s="2" t="s">
        <v>66</v>
      </c>
      <c r="R458" s="15">
        <v>44410</v>
      </c>
      <c r="S458" s="2" t="s">
        <v>4</v>
      </c>
      <c r="T458" s="2" t="s">
        <v>36</v>
      </c>
      <c r="U458" s="2" t="s">
        <v>36</v>
      </c>
      <c r="V458" s="2" t="s">
        <v>37</v>
      </c>
      <c r="W458" s="4" t="s">
        <v>37</v>
      </c>
      <c r="X45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58" s="2" t="str">
        <f>IF(ISNUMBER(SEARCH("onal",tb1_supporters[[#This Row],[Phone_Clean]])),"Review - corrupt phone number", IF(LEN(tb1_supporters[[#This Row],[Phone_Clean]])&gt;11,"Review - too many digits",""))</f>
        <v/>
      </c>
      <c r="Z45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58" s="2" t="str">
        <f>IF(tb1_supporters[[#This Row],[Email]]="","",IF(COUNTIF(tb1_supporters[Email],tb1_supporters[[#This Row],[Email]])&gt;1,"Review - duplicate record, see Supporter_Duplicates tab",""))</f>
        <v/>
      </c>
      <c r="AB458" s="21" t="str">
        <f>IF(tb1_supporters[[#This Row],[Communication_Preference]]="Do Not Contact","DO NOT CONTACT","")</f>
        <v/>
      </c>
      <c r="AE458"/>
    </row>
    <row r="459" spans="1:31" x14ac:dyDescent="0.25">
      <c r="A459" s="3" t="s">
        <v>3026</v>
      </c>
      <c r="B459" s="2" t="s">
        <v>54</v>
      </c>
      <c r="C459" s="2" t="s">
        <v>1001</v>
      </c>
      <c r="D459" s="2" t="s">
        <v>414</v>
      </c>
      <c r="E459" s="2" t="s">
        <v>3027</v>
      </c>
      <c r="F459" s="2" t="s">
        <v>3028</v>
      </c>
      <c r="G459" s="2" t="str">
        <f>TRIM(SUBSTITUTE(SUBSTITUTE(SUBSTITUTE(SUBSTITUTE(tb1_supporters[[#This Row],[Phone_Raw]],"(",""),")","")," ",""),"+44",))</f>
        <v>01onal5663415</v>
      </c>
      <c r="H459" s="15">
        <v>22793</v>
      </c>
      <c r="I459" s="36">
        <f ca="1">IF(OR(tb1_supporters[[#This Row],[Date_of_Birth]]="",tb1_supporters[[#This Row],[Date_of_Birth]]&gt;TODAY()),"",DATEDIF(tb1_supporters[[#This Row],[Date_of_Birth]],TODAY(),"Y"))</f>
        <v>64</v>
      </c>
      <c r="J45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59" s="2" t="s">
        <v>3030</v>
      </c>
      <c r="L459" s="2" t="s">
        <v>660</v>
      </c>
      <c r="M459" s="2" t="s">
        <v>230</v>
      </c>
      <c r="N459" s="2" t="s">
        <v>661</v>
      </c>
      <c r="O459" s="2" t="s">
        <v>166</v>
      </c>
      <c r="P459" s="2" t="s">
        <v>117</v>
      </c>
      <c r="Q459" s="2" t="s">
        <v>4888</v>
      </c>
      <c r="R459" s="15">
        <v>43241</v>
      </c>
      <c r="S459" s="2" t="s">
        <v>4</v>
      </c>
      <c r="T459" s="2" t="s">
        <v>37</v>
      </c>
      <c r="U459" s="2" t="s">
        <v>36</v>
      </c>
      <c r="V459" s="2" t="s">
        <v>36</v>
      </c>
      <c r="W459" s="4" t="s">
        <v>37</v>
      </c>
      <c r="X45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59" s="2" t="str">
        <f>IF(ISNUMBER(SEARCH("onal",tb1_supporters[[#This Row],[Phone_Clean]])),"Review - corrupt phone number", IF(LEN(tb1_supporters[[#This Row],[Phone_Clean]])&gt;11,"Review - too many digits",""))</f>
        <v>Review - corrupt phone number</v>
      </c>
      <c r="Z45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59" s="2" t="str">
        <f>IF(tb1_supporters[[#This Row],[Email]]="","",IF(COUNTIF(tb1_supporters[Email],tb1_supporters[[#This Row],[Email]])&gt;1,"Review - duplicate record, see Supporter_Duplicates tab",""))</f>
        <v/>
      </c>
      <c r="AB459" s="21" t="str">
        <f>IF(tb1_supporters[[#This Row],[Communication_Preference]]="Do Not Contact","DO NOT CONTACT","")</f>
        <v/>
      </c>
      <c r="AE459"/>
    </row>
    <row r="460" spans="1:31" x14ac:dyDescent="0.25">
      <c r="A460" s="3" t="s">
        <v>3032</v>
      </c>
      <c r="B460" s="2"/>
      <c r="C460" s="2" t="s">
        <v>597</v>
      </c>
      <c r="D460" s="2" t="s">
        <v>870</v>
      </c>
      <c r="E460" s="2" t="s">
        <v>3033</v>
      </c>
      <c r="F460" s="2" t="s">
        <v>3034</v>
      </c>
      <c r="G460" s="2" t="str">
        <f>TRIM(SUBSTITUTE(SUBSTITUTE(SUBSTITUTE(SUBSTITUTE(tb1_supporters[[#This Row],[Phone_Raw]],"(",""),")","")," ",""),"+44",))</f>
        <v>07256947833</v>
      </c>
      <c r="H460" s="15">
        <v>21458</v>
      </c>
      <c r="I460" s="36">
        <f ca="1">IF(OR(tb1_supporters[[#This Row],[Date_of_Birth]]="",tb1_supporters[[#This Row],[Date_of_Birth]]&gt;TODAY()),"",DATEDIF(tb1_supporters[[#This Row],[Date_of_Birth]],TODAY(),"Y"))</f>
        <v>67</v>
      </c>
      <c r="J46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60" s="2" t="s">
        <v>3036</v>
      </c>
      <c r="L460" s="2" t="s">
        <v>984</v>
      </c>
      <c r="M460" s="2" t="s">
        <v>62</v>
      </c>
      <c r="N460" s="2" t="s">
        <v>985</v>
      </c>
      <c r="O460" s="2" t="s">
        <v>166</v>
      </c>
      <c r="P460" s="2" t="s">
        <v>33</v>
      </c>
      <c r="Q460" s="2" t="s">
        <v>4888</v>
      </c>
      <c r="R460" s="15">
        <v>43316</v>
      </c>
      <c r="S460" s="2" t="s">
        <v>5</v>
      </c>
      <c r="T460" s="2" t="s">
        <v>36</v>
      </c>
      <c r="U460" s="2" t="s">
        <v>36</v>
      </c>
      <c r="V460" s="2" t="s">
        <v>37</v>
      </c>
      <c r="W460" s="4" t="s">
        <v>37</v>
      </c>
      <c r="X46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460" s="2" t="str">
        <f>IF(ISNUMBER(SEARCH("onal",tb1_supporters[[#This Row],[Phone_Clean]])),"Review - corrupt phone number", IF(LEN(tb1_supporters[[#This Row],[Phone_Clean]])&gt;11,"Review - too many digits",""))</f>
        <v/>
      </c>
      <c r="Z46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60" s="2" t="str">
        <f>IF(tb1_supporters[[#This Row],[Email]]="","",IF(COUNTIF(tb1_supporters[Email],tb1_supporters[[#This Row],[Email]])&gt;1,"Review - duplicate record, see Supporter_Duplicates tab",""))</f>
        <v/>
      </c>
      <c r="AB460" s="21" t="str">
        <f>IF(tb1_supporters[[#This Row],[Communication_Preference]]="Do Not Contact","DO NOT CONTACT","")</f>
        <v/>
      </c>
      <c r="AE460"/>
    </row>
    <row r="461" spans="1:31" x14ac:dyDescent="0.25">
      <c r="A461" s="3" t="s">
        <v>3037</v>
      </c>
      <c r="B461" s="2" t="s">
        <v>402</v>
      </c>
      <c r="C461" s="2" t="s">
        <v>548</v>
      </c>
      <c r="D461" s="2" t="s">
        <v>83</v>
      </c>
      <c r="E461" s="2" t="s">
        <v>3038</v>
      </c>
      <c r="F461" s="2" t="s">
        <v>3039</v>
      </c>
      <c r="G461" s="2" t="str">
        <f>TRIM(SUBSTITUTE(SUBSTITUTE(SUBSTITUTE(SUBSTITUTE(tb1_supporters[[#This Row],[Phone_Raw]],"(",""),")","")," ",""),"+44",))</f>
        <v>07875500500</v>
      </c>
      <c r="H461" s="15">
        <v>17907</v>
      </c>
      <c r="I461" s="36">
        <f ca="1">IF(OR(tb1_supporters[[#This Row],[Date_of_Birth]]="",tb1_supporters[[#This Row],[Date_of_Birth]]&gt;TODAY()),"",DATEDIF(tb1_supporters[[#This Row],[Date_of_Birth]],TODAY(),"Y"))</f>
        <v>77</v>
      </c>
      <c r="J46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61" s="2" t="s">
        <v>3041</v>
      </c>
      <c r="L461" s="2" t="s">
        <v>585</v>
      </c>
      <c r="M461" s="2" t="s">
        <v>586</v>
      </c>
      <c r="N461" s="2" t="s">
        <v>587</v>
      </c>
      <c r="O461" s="2" t="s">
        <v>242</v>
      </c>
      <c r="P461" s="2" t="s">
        <v>91</v>
      </c>
      <c r="Q461" s="2" t="s">
        <v>4888</v>
      </c>
      <c r="R461" s="15">
        <v>43900</v>
      </c>
      <c r="S461" s="2" t="s">
        <v>5</v>
      </c>
      <c r="T461" s="2" t="s">
        <v>37</v>
      </c>
      <c r="U461" s="2" t="s">
        <v>36</v>
      </c>
      <c r="V461" s="2" t="s">
        <v>36</v>
      </c>
      <c r="W461" s="4" t="s">
        <v>36</v>
      </c>
      <c r="X46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61" s="2" t="str">
        <f>IF(ISNUMBER(SEARCH("onal",tb1_supporters[[#This Row],[Phone_Clean]])),"Review - corrupt phone number", IF(LEN(tb1_supporters[[#This Row],[Phone_Clean]])&gt;11,"Review - too many digits",""))</f>
        <v/>
      </c>
      <c r="Z46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61" s="2" t="str">
        <f>IF(tb1_supporters[[#This Row],[Email]]="","",IF(COUNTIF(tb1_supporters[Email],tb1_supporters[[#This Row],[Email]])&gt;1,"Review - duplicate record, see Supporter_Duplicates tab",""))</f>
        <v/>
      </c>
      <c r="AB461" s="21" t="str">
        <f>IF(tb1_supporters[[#This Row],[Communication_Preference]]="Do Not Contact","DO NOT CONTACT","")</f>
        <v/>
      </c>
      <c r="AE461"/>
    </row>
    <row r="462" spans="1:31" x14ac:dyDescent="0.25">
      <c r="A462" s="3" t="s">
        <v>3043</v>
      </c>
      <c r="B462" s="2" t="s">
        <v>22</v>
      </c>
      <c r="C462" s="2" t="s">
        <v>472</v>
      </c>
      <c r="D462" s="2" t="s">
        <v>536</v>
      </c>
      <c r="E462" s="2" t="s">
        <v>3044</v>
      </c>
      <c r="F462" s="2" t="s">
        <v>3045</v>
      </c>
      <c r="G462" s="2" t="str">
        <f>TRIM(SUBSTITUTE(SUBSTITUTE(SUBSTITUTE(SUBSTITUTE(tb1_supporters[[#This Row],[Phone_Raw]],"(",""),")","")," ",""),"+44",))</f>
        <v>01913983372</v>
      </c>
      <c r="H462" s="15">
        <v>18650</v>
      </c>
      <c r="I462" s="36">
        <f ca="1">IF(OR(tb1_supporters[[#This Row],[Date_of_Birth]]="",tb1_supporters[[#This Row],[Date_of_Birth]]&gt;TODAY()),"",DATEDIF(tb1_supporters[[#This Row],[Date_of_Birth]],TODAY(),"Y"))</f>
        <v>75</v>
      </c>
      <c r="J46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62" s="2" t="s">
        <v>3047</v>
      </c>
      <c r="L462" s="2" t="s">
        <v>219</v>
      </c>
      <c r="M462" s="2" t="s">
        <v>220</v>
      </c>
      <c r="N462" s="2" t="s">
        <v>221</v>
      </c>
      <c r="O462" s="2" t="s">
        <v>242</v>
      </c>
      <c r="P462" s="2" t="s">
        <v>33</v>
      </c>
      <c r="Q462" s="2" t="s">
        <v>4888</v>
      </c>
      <c r="R462" s="15">
        <v>43138</v>
      </c>
      <c r="S462" s="2" t="s">
        <v>52</v>
      </c>
      <c r="T462" s="2" t="s">
        <v>36</v>
      </c>
      <c r="U462" s="2" t="s">
        <v>37</v>
      </c>
      <c r="V462" s="2" t="s">
        <v>36</v>
      </c>
      <c r="W462" s="4" t="s">
        <v>36</v>
      </c>
      <c r="X46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62" s="2" t="str">
        <f>IF(ISNUMBER(SEARCH("onal",tb1_supporters[[#This Row],[Phone_Clean]])),"Review - corrupt phone number", IF(LEN(tb1_supporters[[#This Row],[Phone_Clean]])&gt;11,"Review - too many digits",""))</f>
        <v/>
      </c>
      <c r="Z46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62" s="2" t="str">
        <f>IF(tb1_supporters[[#This Row],[Email]]="","",IF(COUNTIF(tb1_supporters[Email],tb1_supporters[[#This Row],[Email]])&gt;1,"Review - duplicate record, see Supporter_Duplicates tab",""))</f>
        <v/>
      </c>
      <c r="AB462" s="21" t="str">
        <f>IF(tb1_supporters[[#This Row],[Communication_Preference]]="Do Not Contact","DO NOT CONTACT","")</f>
        <v/>
      </c>
      <c r="AE462"/>
    </row>
    <row r="463" spans="1:31" x14ac:dyDescent="0.25">
      <c r="A463" s="3" t="s">
        <v>3049</v>
      </c>
      <c r="B463" s="2" t="s">
        <v>170</v>
      </c>
      <c r="C463" s="2" t="s">
        <v>236</v>
      </c>
      <c r="D463" s="2" t="s">
        <v>771</v>
      </c>
      <c r="E463" s="2" t="s">
        <v>3050</v>
      </c>
      <c r="F463" s="2" t="s">
        <v>3051</v>
      </c>
      <c r="G463" s="2" t="str">
        <f>TRIM(SUBSTITUTE(SUBSTITUTE(SUBSTITUTE(SUBSTITUTE(tb1_supporters[[#This Row],[Phone_Raw]],"(",""),")","")," ",""),"+44",))</f>
        <v>07627765446</v>
      </c>
      <c r="H463" s="15">
        <v>18255</v>
      </c>
      <c r="I463" s="36">
        <f ca="1">IF(OR(tb1_supporters[[#This Row],[Date_of_Birth]]="",tb1_supporters[[#This Row],[Date_of_Birth]]&gt;TODAY()),"",DATEDIF(tb1_supporters[[#This Row],[Date_of_Birth]],TODAY(),"Y"))</f>
        <v>76</v>
      </c>
      <c r="J46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63" s="2" t="s">
        <v>2384</v>
      </c>
      <c r="L463" s="2" t="s">
        <v>163</v>
      </c>
      <c r="M463" s="2" t="s">
        <v>164</v>
      </c>
      <c r="N463" s="2" t="s">
        <v>165</v>
      </c>
      <c r="O463" s="2" t="s">
        <v>242</v>
      </c>
      <c r="P463" s="2" t="s">
        <v>117</v>
      </c>
      <c r="Q463" s="2" t="s">
        <v>4888</v>
      </c>
      <c r="R463" s="15">
        <v>44755</v>
      </c>
      <c r="S463" s="2" t="s">
        <v>52</v>
      </c>
      <c r="T463" s="2" t="s">
        <v>36</v>
      </c>
      <c r="U463" s="2" t="s">
        <v>36</v>
      </c>
      <c r="V463" s="2" t="s">
        <v>36</v>
      </c>
      <c r="W463" s="4" t="s">
        <v>36</v>
      </c>
      <c r="X46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63" s="2" t="str">
        <f>IF(ISNUMBER(SEARCH("onal",tb1_supporters[[#This Row],[Phone_Clean]])),"Review - corrupt phone number", IF(LEN(tb1_supporters[[#This Row],[Phone_Clean]])&gt;11,"Review - too many digits",""))</f>
        <v/>
      </c>
      <c r="Z46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63" s="2" t="str">
        <f>IF(tb1_supporters[[#This Row],[Email]]="","",IF(COUNTIF(tb1_supporters[Email],tb1_supporters[[#This Row],[Email]])&gt;1,"Review - duplicate record, see Supporter_Duplicates tab",""))</f>
        <v/>
      </c>
      <c r="AB463" s="21" t="str">
        <f>IF(tb1_supporters[[#This Row],[Communication_Preference]]="Do Not Contact","DO NOT CONTACT","")</f>
        <v/>
      </c>
      <c r="AE463"/>
    </row>
    <row r="464" spans="1:31" x14ac:dyDescent="0.25">
      <c r="A464" s="3" t="s">
        <v>3054</v>
      </c>
      <c r="B464" s="2" t="s">
        <v>402</v>
      </c>
      <c r="C464" s="2" t="s">
        <v>1021</v>
      </c>
      <c r="D464" s="2" t="s">
        <v>630</v>
      </c>
      <c r="E464" s="2" t="s">
        <v>3055</v>
      </c>
      <c r="F464" s="2" t="s">
        <v>3056</v>
      </c>
      <c r="G464" s="2" t="str">
        <f>TRIM(SUBSTITUTE(SUBSTITUTE(SUBSTITUTE(SUBSTITUTE(tb1_supporters[[#This Row],[Phone_Raw]],"(",""),")","")," ",""),"+44",))</f>
        <v>018382927018</v>
      </c>
      <c r="H464" s="15">
        <v>21011</v>
      </c>
      <c r="I464" s="36">
        <f ca="1">IF(OR(tb1_supporters[[#This Row],[Date_of_Birth]]="",tb1_supporters[[#This Row],[Date_of_Birth]]&gt;TODAY()),"",DATEDIF(tb1_supporters[[#This Row],[Date_of_Birth]],TODAY(),"Y"))</f>
        <v>68</v>
      </c>
      <c r="J46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64" s="2" t="s">
        <v>3058</v>
      </c>
      <c r="L464" s="2" t="s">
        <v>509</v>
      </c>
      <c r="M464" s="2" t="s">
        <v>510</v>
      </c>
      <c r="N464" s="2" t="s">
        <v>511</v>
      </c>
      <c r="O464" s="2" t="s">
        <v>242</v>
      </c>
      <c r="P464" s="2" t="s">
        <v>65</v>
      </c>
      <c r="Q464" s="2" t="s">
        <v>192</v>
      </c>
      <c r="R464" s="15">
        <v>43600</v>
      </c>
      <c r="S464" s="2" t="s">
        <v>4</v>
      </c>
      <c r="T464" s="2" t="s">
        <v>36</v>
      </c>
      <c r="U464" s="2" t="s">
        <v>37</v>
      </c>
      <c r="V464" s="2" t="s">
        <v>36</v>
      </c>
      <c r="W464" s="4" t="s">
        <v>36</v>
      </c>
      <c r="X46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64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6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64" s="2" t="str">
        <f>IF(tb1_supporters[[#This Row],[Email]]="","",IF(COUNTIF(tb1_supporters[Email],tb1_supporters[[#This Row],[Email]])&gt;1,"Review - duplicate record, see Supporter_Duplicates tab",""))</f>
        <v/>
      </c>
      <c r="AB464" s="21" t="str">
        <f>IF(tb1_supporters[[#This Row],[Communication_Preference]]="Do Not Contact","DO NOT CONTACT","")</f>
        <v/>
      </c>
      <c r="AE464"/>
    </row>
    <row r="465" spans="1:31" x14ac:dyDescent="0.25">
      <c r="A465" s="3" t="s">
        <v>3060</v>
      </c>
      <c r="B465" s="2" t="s">
        <v>402</v>
      </c>
      <c r="C465" s="2" t="s">
        <v>655</v>
      </c>
      <c r="D465" s="2" t="s">
        <v>870</v>
      </c>
      <c r="E465" s="2" t="s">
        <v>3061</v>
      </c>
      <c r="F465" s="2" t="s">
        <v>3062</v>
      </c>
      <c r="G465" s="2" t="str">
        <f>TRIM(SUBSTITUTE(SUBSTITUTE(SUBSTITUTE(SUBSTITUTE(tb1_supporters[[#This Row],[Phone_Raw]],"(",""),")","")," ",""),"+44",))</f>
        <v>07685228201</v>
      </c>
      <c r="H465" s="15">
        <v>28455</v>
      </c>
      <c r="I465" s="36">
        <f ca="1">IF(OR(tb1_supporters[[#This Row],[Date_of_Birth]]="",tb1_supporters[[#This Row],[Date_of_Birth]]&gt;TODAY()),"",DATEDIF(tb1_supporters[[#This Row],[Date_of_Birth]],TODAY(),"Y"))</f>
        <v>48</v>
      </c>
      <c r="J46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65" s="2" t="s">
        <v>3064</v>
      </c>
      <c r="L465" s="2" t="s">
        <v>1285</v>
      </c>
      <c r="M465" s="2" t="s">
        <v>1286</v>
      </c>
      <c r="N465" s="2" t="s">
        <v>1287</v>
      </c>
      <c r="O465" s="2" t="s">
        <v>242</v>
      </c>
      <c r="P465" s="2" t="s">
        <v>117</v>
      </c>
      <c r="Q465" s="2" t="s">
        <v>66</v>
      </c>
      <c r="R465" s="15">
        <v>43181</v>
      </c>
      <c r="S465" s="2" t="s">
        <v>52</v>
      </c>
      <c r="T465" s="2" t="s">
        <v>36</v>
      </c>
      <c r="U465" s="2" t="s">
        <v>37</v>
      </c>
      <c r="V465" s="2" t="s">
        <v>37</v>
      </c>
      <c r="W465" s="4" t="s">
        <v>37</v>
      </c>
      <c r="X46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65" s="2" t="str">
        <f>IF(ISNUMBER(SEARCH("onal",tb1_supporters[[#This Row],[Phone_Clean]])),"Review - corrupt phone number", IF(LEN(tb1_supporters[[#This Row],[Phone_Clean]])&gt;11,"Review - too many digits",""))</f>
        <v/>
      </c>
      <c r="Z46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65" s="2" t="str">
        <f>IF(tb1_supporters[[#This Row],[Email]]="","",IF(COUNTIF(tb1_supporters[Email],tb1_supporters[[#This Row],[Email]])&gt;1,"Review - duplicate record, see Supporter_Duplicates tab",""))</f>
        <v/>
      </c>
      <c r="AB465" s="21" t="str">
        <f>IF(tb1_supporters[[#This Row],[Communication_Preference]]="Do Not Contact","DO NOT CONTACT","")</f>
        <v/>
      </c>
      <c r="AE465"/>
    </row>
    <row r="466" spans="1:31" x14ac:dyDescent="0.25">
      <c r="A466" s="3" t="s">
        <v>3066</v>
      </c>
      <c r="B466" s="2" t="s">
        <v>54</v>
      </c>
      <c r="C466" s="2" t="s">
        <v>1193</v>
      </c>
      <c r="D466" s="2" t="s">
        <v>755</v>
      </c>
      <c r="E466" s="2" t="s">
        <v>3067</v>
      </c>
      <c r="F466" s="2" t="s">
        <v>3068</v>
      </c>
      <c r="G466" s="2" t="str">
        <f>TRIM(SUBSTITUTE(SUBSTITUTE(SUBSTITUTE(SUBSTITUTE(tb1_supporters[[#This Row],[Phone_Raw]],"(",""),")","")," ",""),"+44",))</f>
        <v>07982713811</v>
      </c>
      <c r="H466" s="15">
        <v>20140</v>
      </c>
      <c r="I466" s="36">
        <f ca="1">IF(OR(tb1_supporters[[#This Row],[Date_of_Birth]]="",tb1_supporters[[#This Row],[Date_of_Birth]]&gt;TODAY()),"",DATEDIF(tb1_supporters[[#This Row],[Date_of_Birth]],TODAY(),"Y"))</f>
        <v>71</v>
      </c>
      <c r="J46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66" s="2" t="s">
        <v>2625</v>
      </c>
      <c r="L466" s="2" t="s">
        <v>100</v>
      </c>
      <c r="M466" s="2" t="s">
        <v>101</v>
      </c>
      <c r="N466" s="2" t="s">
        <v>343</v>
      </c>
      <c r="O466" s="2" t="s">
        <v>166</v>
      </c>
      <c r="P466" s="2" t="s">
        <v>153</v>
      </c>
      <c r="Q466" s="2" t="s">
        <v>243</v>
      </c>
      <c r="R466" s="15">
        <v>44388</v>
      </c>
      <c r="S466" s="2" t="s">
        <v>93</v>
      </c>
      <c r="T466" s="2" t="s">
        <v>36</v>
      </c>
      <c r="U466" s="2" t="s">
        <v>36</v>
      </c>
      <c r="V466" s="2" t="s">
        <v>36</v>
      </c>
      <c r="W466" s="4" t="s">
        <v>37</v>
      </c>
      <c r="X46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66" s="2" t="str">
        <f>IF(ISNUMBER(SEARCH("onal",tb1_supporters[[#This Row],[Phone_Clean]])),"Review - corrupt phone number", IF(LEN(tb1_supporters[[#This Row],[Phone_Clean]])&gt;11,"Review - too many digits",""))</f>
        <v/>
      </c>
      <c r="Z46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66" s="2" t="str">
        <f>IF(tb1_supporters[[#This Row],[Email]]="","",IF(COUNTIF(tb1_supporters[Email],tb1_supporters[[#This Row],[Email]])&gt;1,"Review - duplicate record, see Supporter_Duplicates tab",""))</f>
        <v/>
      </c>
      <c r="AB466" s="21" t="str">
        <f>IF(tb1_supporters[[#This Row],[Communication_Preference]]="Do Not Contact","DO NOT CONTACT","")</f>
        <v/>
      </c>
      <c r="AE466"/>
    </row>
    <row r="467" spans="1:31" x14ac:dyDescent="0.25">
      <c r="A467" s="3" t="s">
        <v>3071</v>
      </c>
      <c r="B467" s="2" t="s">
        <v>22</v>
      </c>
      <c r="C467" s="2" t="s">
        <v>791</v>
      </c>
      <c r="D467" s="2" t="s">
        <v>711</v>
      </c>
      <c r="E467" s="2" t="s">
        <v>3072</v>
      </c>
      <c r="F467" s="2" t="s">
        <v>3073</v>
      </c>
      <c r="G467" s="2" t="str">
        <f>TRIM(SUBSTITUTE(SUBSTITUTE(SUBSTITUTE(SUBSTITUTE(tb1_supporters[[#This Row],[Phone_Raw]],"(",""),")","")," ",""),"+44",))</f>
        <v>7275533773</v>
      </c>
      <c r="H467" s="15">
        <v>28851</v>
      </c>
      <c r="I467" s="36">
        <f ca="1">IF(OR(tb1_supporters[[#This Row],[Date_of_Birth]]="",tb1_supporters[[#This Row],[Date_of_Birth]]&gt;TODAY()),"",DATEDIF(tb1_supporters[[#This Row],[Date_of_Birth]],TODAY(),"Y"))</f>
        <v>47</v>
      </c>
      <c r="J46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67" s="2" t="s">
        <v>3075</v>
      </c>
      <c r="L467" s="2" t="s">
        <v>509</v>
      </c>
      <c r="M467" s="2" t="s">
        <v>510</v>
      </c>
      <c r="N467" s="2" t="s">
        <v>925</v>
      </c>
      <c r="O467" s="2" t="s">
        <v>242</v>
      </c>
      <c r="P467" s="2" t="s">
        <v>91</v>
      </c>
      <c r="Q467" s="2" t="s">
        <v>192</v>
      </c>
      <c r="R467" s="15">
        <v>45228</v>
      </c>
      <c r="S467" s="2" t="s">
        <v>4</v>
      </c>
      <c r="T467" s="2" t="s">
        <v>36</v>
      </c>
      <c r="U467" s="2" t="s">
        <v>37</v>
      </c>
      <c r="V467" s="2" t="s">
        <v>37</v>
      </c>
      <c r="W467" s="4" t="s">
        <v>36</v>
      </c>
      <c r="X46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67" s="2" t="str">
        <f>IF(ISNUMBER(SEARCH("onal",tb1_supporters[[#This Row],[Phone_Clean]])),"Review - corrupt phone number", IF(LEN(tb1_supporters[[#This Row],[Phone_Clean]])&gt;11,"Review - too many digits",""))</f>
        <v/>
      </c>
      <c r="Z46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67" s="2" t="str">
        <f>IF(tb1_supporters[[#This Row],[Email]]="","",IF(COUNTIF(tb1_supporters[Email],tb1_supporters[[#This Row],[Email]])&gt;1,"Review - duplicate record, see Supporter_Duplicates tab",""))</f>
        <v/>
      </c>
      <c r="AB467" s="21" t="str">
        <f>IF(tb1_supporters[[#This Row],[Communication_Preference]]="Do Not Contact","DO NOT CONTACT","")</f>
        <v/>
      </c>
      <c r="AE467"/>
    </row>
    <row r="468" spans="1:31" x14ac:dyDescent="0.25">
      <c r="A468" s="3" t="s">
        <v>3077</v>
      </c>
      <c r="B468" s="2" t="s">
        <v>235</v>
      </c>
      <c r="C468" s="2" t="s">
        <v>818</v>
      </c>
      <c r="D468" s="2" t="s">
        <v>214</v>
      </c>
      <c r="E468" s="2" t="s">
        <v>3078</v>
      </c>
      <c r="F468" s="2" t="s">
        <v>3079</v>
      </c>
      <c r="G468" s="2" t="str">
        <f>TRIM(SUBSTITUTE(SUBSTITUTE(SUBSTITUTE(SUBSTITUTE(tb1_supporters[[#This Row],[Phone_Raw]],"(",""),")","")," ",""),"+44",))</f>
        <v>010548841601</v>
      </c>
      <c r="H468" s="15">
        <v>15548</v>
      </c>
      <c r="I468" s="36">
        <f ca="1">IF(OR(tb1_supporters[[#This Row],[Date_of_Birth]]="",tb1_supporters[[#This Row],[Date_of_Birth]]&gt;TODAY()),"",DATEDIF(tb1_supporters[[#This Row],[Date_of_Birth]],TODAY(),"Y"))</f>
        <v>83</v>
      </c>
      <c r="J46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68" s="2" t="s">
        <v>3081</v>
      </c>
      <c r="L468" s="2" t="s">
        <v>419</v>
      </c>
      <c r="M468" s="2" t="s">
        <v>420</v>
      </c>
      <c r="N468" s="2" t="s">
        <v>421</v>
      </c>
      <c r="O468" s="2" t="s">
        <v>242</v>
      </c>
      <c r="P468" s="2" t="s">
        <v>91</v>
      </c>
      <c r="Q468" s="2" t="s">
        <v>243</v>
      </c>
      <c r="R468" s="15">
        <v>43982</v>
      </c>
      <c r="S468" s="2" t="s">
        <v>4</v>
      </c>
      <c r="T468" s="2" t="s">
        <v>36</v>
      </c>
      <c r="U468" s="2" t="s">
        <v>37</v>
      </c>
      <c r="V468" s="2" t="s">
        <v>37</v>
      </c>
      <c r="W468" s="4" t="s">
        <v>36</v>
      </c>
      <c r="X46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68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6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68" s="2" t="str">
        <f>IF(tb1_supporters[[#This Row],[Email]]="","",IF(COUNTIF(tb1_supporters[Email],tb1_supporters[[#This Row],[Email]])&gt;1,"Review - duplicate record, see Supporter_Duplicates tab",""))</f>
        <v/>
      </c>
      <c r="AB468" s="21" t="str">
        <f>IF(tb1_supporters[[#This Row],[Communication_Preference]]="Do Not Contact","DO NOT CONTACT","")</f>
        <v/>
      </c>
      <c r="AE468"/>
    </row>
    <row r="469" spans="1:31" x14ac:dyDescent="0.25">
      <c r="A469" s="3" t="s">
        <v>3083</v>
      </c>
      <c r="B469" s="2" t="s">
        <v>54</v>
      </c>
      <c r="C469" s="2" t="s">
        <v>1644</v>
      </c>
      <c r="D469" s="2" t="s">
        <v>819</v>
      </c>
      <c r="E469" s="2" t="s">
        <v>3084</v>
      </c>
      <c r="F469" s="2" t="s">
        <v>3085</v>
      </c>
      <c r="G469" s="2" t="str">
        <f>TRIM(SUBSTITUTE(SUBSTITUTE(SUBSTITUTE(SUBSTITUTE(tb1_supporters[[#This Row],[Phone_Raw]],"(",""),")","")," ",""),"+44",))</f>
        <v>01911855164</v>
      </c>
      <c r="H469" s="15">
        <v>21895</v>
      </c>
      <c r="I469" s="36">
        <f ca="1">IF(OR(tb1_supporters[[#This Row],[Date_of_Birth]]="",tb1_supporters[[#This Row],[Date_of_Birth]]&gt;TODAY()),"",DATEDIF(tb1_supporters[[#This Row],[Date_of_Birth]],TODAY(),"Y"))</f>
        <v>66</v>
      </c>
      <c r="J46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69" s="2" t="s">
        <v>3087</v>
      </c>
      <c r="L469" s="2" t="s">
        <v>585</v>
      </c>
      <c r="M469" s="2" t="s">
        <v>586</v>
      </c>
      <c r="N469" s="2" t="s">
        <v>587</v>
      </c>
      <c r="O469" s="2" t="s">
        <v>166</v>
      </c>
      <c r="P469" s="2" t="s">
        <v>117</v>
      </c>
      <c r="Q469" s="2" t="s">
        <v>50</v>
      </c>
      <c r="R469" s="15">
        <v>43935</v>
      </c>
      <c r="S469" s="2" t="s">
        <v>4</v>
      </c>
      <c r="T469" s="2" t="s">
        <v>36</v>
      </c>
      <c r="U469" s="2" t="s">
        <v>36</v>
      </c>
      <c r="V469" s="2" t="s">
        <v>37</v>
      </c>
      <c r="W469" s="4" t="s">
        <v>36</v>
      </c>
      <c r="X46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69" s="2" t="str">
        <f>IF(ISNUMBER(SEARCH("onal",tb1_supporters[[#This Row],[Phone_Clean]])),"Review - corrupt phone number", IF(LEN(tb1_supporters[[#This Row],[Phone_Clean]])&gt;11,"Review - too many digits",""))</f>
        <v/>
      </c>
      <c r="Z46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69" s="2" t="str">
        <f>IF(tb1_supporters[[#This Row],[Email]]="","",IF(COUNTIF(tb1_supporters[Email],tb1_supporters[[#This Row],[Email]])&gt;1,"Review - duplicate record, see Supporter_Duplicates tab",""))</f>
        <v/>
      </c>
      <c r="AB469" s="21" t="str">
        <f>IF(tb1_supporters[[#This Row],[Communication_Preference]]="Do Not Contact","DO NOT CONTACT","")</f>
        <v/>
      </c>
      <c r="AE469"/>
    </row>
    <row r="470" spans="1:31" x14ac:dyDescent="0.25">
      <c r="A470" s="3" t="s">
        <v>3089</v>
      </c>
      <c r="B470" s="2" t="s">
        <v>54</v>
      </c>
      <c r="C470" s="2" t="s">
        <v>1098</v>
      </c>
      <c r="D470" s="2" t="s">
        <v>425</v>
      </c>
      <c r="E470" s="2" t="s">
        <v>3090</v>
      </c>
      <c r="F470" s="2" t="s">
        <v>3091</v>
      </c>
      <c r="G470" s="2" t="str">
        <f>TRIM(SUBSTITUTE(SUBSTITUTE(SUBSTITUTE(SUBSTITUTE(tb1_supporters[[#This Row],[Phone_Raw]],"(",""),")","")," ",""),"+44",))</f>
        <v>01811265055</v>
      </c>
      <c r="H470" s="15">
        <v>18339</v>
      </c>
      <c r="I470" s="36">
        <f ca="1">IF(OR(tb1_supporters[[#This Row],[Date_of_Birth]]="",tb1_supporters[[#This Row],[Date_of_Birth]]&gt;TODAY()),"",DATEDIF(tb1_supporters[[#This Row],[Date_of_Birth]],TODAY(),"Y"))</f>
        <v>76</v>
      </c>
      <c r="J47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70" s="2" t="s">
        <v>3093</v>
      </c>
      <c r="L470" s="2" t="s">
        <v>1204</v>
      </c>
      <c r="M470" s="2" t="s">
        <v>114</v>
      </c>
      <c r="N470" s="2" t="s">
        <v>1205</v>
      </c>
      <c r="O470" s="2" t="s">
        <v>166</v>
      </c>
      <c r="P470" s="2" t="s">
        <v>65</v>
      </c>
      <c r="Q470" s="2" t="s">
        <v>50</v>
      </c>
      <c r="R470" s="15">
        <v>43551</v>
      </c>
      <c r="S470" s="2" t="s">
        <v>4</v>
      </c>
      <c r="T470" s="2" t="s">
        <v>37</v>
      </c>
      <c r="U470" s="2" t="s">
        <v>36</v>
      </c>
      <c r="V470" s="2" t="s">
        <v>36</v>
      </c>
      <c r="W470" s="4" t="s">
        <v>37</v>
      </c>
      <c r="X47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70" s="2" t="str">
        <f>IF(ISNUMBER(SEARCH("onal",tb1_supporters[[#This Row],[Phone_Clean]])),"Review - corrupt phone number", IF(LEN(tb1_supporters[[#This Row],[Phone_Clean]])&gt;11,"Review - too many digits",""))</f>
        <v/>
      </c>
      <c r="Z47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70" s="2" t="str">
        <f>IF(tb1_supporters[[#This Row],[Email]]="","",IF(COUNTIF(tb1_supporters[Email],tb1_supporters[[#This Row],[Email]])&gt;1,"Review - duplicate record, see Supporter_Duplicates tab",""))</f>
        <v/>
      </c>
      <c r="AB470" s="21" t="str">
        <f>IF(tb1_supporters[[#This Row],[Communication_Preference]]="Do Not Contact","DO NOT CONTACT","")</f>
        <v/>
      </c>
      <c r="AE470"/>
    </row>
    <row r="471" spans="1:31" x14ac:dyDescent="0.25">
      <c r="A471" s="3" t="s">
        <v>3095</v>
      </c>
      <c r="B471" s="2" t="s">
        <v>4866</v>
      </c>
      <c r="C471" s="2" t="s">
        <v>673</v>
      </c>
      <c r="D471" s="2" t="s">
        <v>258</v>
      </c>
      <c r="E471" s="2" t="s">
        <v>3096</v>
      </c>
      <c r="F471" s="2" t="s">
        <v>3097</v>
      </c>
      <c r="G471" s="2" t="str">
        <f>TRIM(SUBSTITUTE(SUBSTITUTE(SUBSTITUTE(SUBSTITUTE(tb1_supporters[[#This Row],[Phone_Raw]],"(",""),")","")," ",""),"+44",))</f>
        <v>01319013023</v>
      </c>
      <c r="H471" s="15">
        <v>28388</v>
      </c>
      <c r="I471" s="36">
        <f ca="1">IF(OR(tb1_supporters[[#This Row],[Date_of_Birth]]="",tb1_supporters[[#This Row],[Date_of_Birth]]&gt;TODAY()),"",DATEDIF(tb1_supporters[[#This Row],[Date_of_Birth]],TODAY(),"Y"))</f>
        <v>48</v>
      </c>
      <c r="J47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71" s="2" t="s">
        <v>3099</v>
      </c>
      <c r="L471" s="2" t="s">
        <v>252</v>
      </c>
      <c r="M471" s="2" t="s">
        <v>253</v>
      </c>
      <c r="N471" s="2" t="s">
        <v>254</v>
      </c>
      <c r="O471" s="2" t="s">
        <v>166</v>
      </c>
      <c r="P471" s="2" t="s">
        <v>91</v>
      </c>
      <c r="Q471" s="2" t="s">
        <v>50</v>
      </c>
      <c r="R471" s="15">
        <v>45106</v>
      </c>
      <c r="S471" s="2" t="s">
        <v>93</v>
      </c>
      <c r="T471" s="2" t="s">
        <v>36</v>
      </c>
      <c r="U471" s="2" t="s">
        <v>2392</v>
      </c>
      <c r="V471" s="2" t="s">
        <v>36</v>
      </c>
      <c r="W471" s="4" t="s">
        <v>37</v>
      </c>
      <c r="X47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471" s="2" t="str">
        <f>IF(ISNUMBER(SEARCH("onal",tb1_supporters[[#This Row],[Phone_Clean]])),"Review - corrupt phone number", IF(LEN(tb1_supporters[[#This Row],[Phone_Clean]])&gt;11,"Review - too many digits",""))</f>
        <v/>
      </c>
      <c r="Z47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71" s="2" t="str">
        <f>IF(tb1_supporters[[#This Row],[Email]]="","",IF(COUNTIF(tb1_supporters[Email],tb1_supporters[[#This Row],[Email]])&gt;1,"Review - duplicate record, see Supporter_Duplicates tab",""))</f>
        <v/>
      </c>
      <c r="AB471" s="21" t="str">
        <f>IF(tb1_supporters[[#This Row],[Communication_Preference]]="Do Not Contact","DO NOT CONTACT","")</f>
        <v/>
      </c>
      <c r="AE471"/>
    </row>
    <row r="472" spans="1:31" x14ac:dyDescent="0.25">
      <c r="A472" s="3" t="s">
        <v>3101</v>
      </c>
      <c r="B472" s="2" t="s">
        <v>4866</v>
      </c>
      <c r="C472" s="2" t="s">
        <v>70</v>
      </c>
      <c r="D472" s="2" t="s">
        <v>940</v>
      </c>
      <c r="E472" s="2" t="s">
        <v>4869</v>
      </c>
      <c r="F472" s="2" t="s">
        <v>3102</v>
      </c>
      <c r="G472" s="2" t="str">
        <f>TRIM(SUBSTITUTE(SUBSTITUTE(SUBSTITUTE(SUBSTITUTE(tb1_supporters[[#This Row],[Phone_Raw]],"(",""),")","")," ",""),"+44",))</f>
        <v>07925859794</v>
      </c>
      <c r="H472" s="15">
        <v>33954</v>
      </c>
      <c r="I472" s="36">
        <f ca="1">IF(OR(tb1_supporters[[#This Row],[Date_of_Birth]]="",tb1_supporters[[#This Row],[Date_of_Birth]]&gt;TODAY()),"",DATEDIF(tb1_supporters[[#This Row],[Date_of_Birth]],TODAY(),"Y"))</f>
        <v>33</v>
      </c>
      <c r="J47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72" s="2" t="s">
        <v>3104</v>
      </c>
      <c r="L472" s="2" t="s">
        <v>1204</v>
      </c>
      <c r="M472" s="2" t="s">
        <v>114</v>
      </c>
      <c r="N472" s="2" t="s">
        <v>1205</v>
      </c>
      <c r="O472" s="2" t="s">
        <v>166</v>
      </c>
      <c r="P472" s="2" t="s">
        <v>4887</v>
      </c>
      <c r="Q472" s="2" t="s">
        <v>66</v>
      </c>
      <c r="R472" s="15">
        <v>45527</v>
      </c>
      <c r="S472" s="2" t="s">
        <v>4</v>
      </c>
      <c r="T472" s="2" t="s">
        <v>36</v>
      </c>
      <c r="U472" s="2" t="s">
        <v>36</v>
      </c>
      <c r="V472" s="2" t="s">
        <v>36</v>
      </c>
      <c r="W472" s="4" t="s">
        <v>37</v>
      </c>
      <c r="X47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72" s="2" t="str">
        <f>IF(ISNUMBER(SEARCH("onal",tb1_supporters[[#This Row],[Phone_Clean]])),"Review - corrupt phone number", IF(LEN(tb1_supporters[[#This Row],[Phone_Clean]])&gt;11,"Review - too many digits",""))</f>
        <v/>
      </c>
      <c r="Z47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72" s="2" t="str">
        <f>IF(tb1_supporters[[#This Row],[Email]]="","",IF(COUNTIF(tb1_supporters[Email],tb1_supporters[[#This Row],[Email]])&gt;1,"Review - duplicate record, see Supporter_Duplicates tab",""))</f>
        <v/>
      </c>
      <c r="AB472" s="21" t="str">
        <f>IF(tb1_supporters[[#This Row],[Communication_Preference]]="Do Not Contact","DO NOT CONTACT","")</f>
        <v/>
      </c>
      <c r="AE472"/>
    </row>
    <row r="473" spans="1:31" x14ac:dyDescent="0.25">
      <c r="A473" s="3" t="s">
        <v>3106</v>
      </c>
      <c r="B473" s="2" t="s">
        <v>54</v>
      </c>
      <c r="C473" s="2" t="s">
        <v>1644</v>
      </c>
      <c r="D473" s="2" t="s">
        <v>1047</v>
      </c>
      <c r="E473" s="2" t="s">
        <v>3107</v>
      </c>
      <c r="F473" s="2" t="s">
        <v>3108</v>
      </c>
      <c r="G473" s="2" t="str">
        <f>TRIM(SUBSTITUTE(SUBSTITUTE(SUBSTITUTE(SUBSTITUTE(tb1_supporters[[#This Row],[Phone_Raw]],"(",""),")","")," ",""),"+44",))</f>
        <v>017778528500</v>
      </c>
      <c r="H473" s="15">
        <v>26177</v>
      </c>
      <c r="I473" s="36">
        <f ca="1">IF(OR(tb1_supporters[[#This Row],[Date_of_Birth]]="",tb1_supporters[[#This Row],[Date_of_Birth]]&gt;TODAY()),"",DATEDIF(tb1_supporters[[#This Row],[Date_of_Birth]],TODAY(),"Y"))</f>
        <v>54</v>
      </c>
      <c r="J47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73" s="2" t="s">
        <v>3110</v>
      </c>
      <c r="L473" s="2" t="s">
        <v>945</v>
      </c>
      <c r="M473" s="2" t="s">
        <v>946</v>
      </c>
      <c r="N473" s="2" t="s">
        <v>947</v>
      </c>
      <c r="O473" s="2" t="s">
        <v>166</v>
      </c>
      <c r="P473" s="2" t="s">
        <v>49</v>
      </c>
      <c r="Q473" s="2" t="s">
        <v>243</v>
      </c>
      <c r="R473" s="15">
        <v>45020</v>
      </c>
      <c r="S473" s="2" t="s">
        <v>4</v>
      </c>
      <c r="T473" s="2" t="s">
        <v>37</v>
      </c>
      <c r="U473" s="2" t="s">
        <v>36</v>
      </c>
      <c r="V473" s="2" t="s">
        <v>36</v>
      </c>
      <c r="W473" s="4" t="s">
        <v>37</v>
      </c>
      <c r="X47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73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7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73" s="2" t="str">
        <f>IF(tb1_supporters[[#This Row],[Email]]="","",IF(COUNTIF(tb1_supporters[Email],tb1_supporters[[#This Row],[Email]])&gt;1,"Review - duplicate record, see Supporter_Duplicates tab",""))</f>
        <v/>
      </c>
      <c r="AB473" s="21" t="str">
        <f>IF(tb1_supporters[[#This Row],[Communication_Preference]]="Do Not Contact","DO NOT CONTACT","")</f>
        <v/>
      </c>
      <c r="AE473"/>
    </row>
    <row r="474" spans="1:31" x14ac:dyDescent="0.25">
      <c r="A474" s="3" t="s">
        <v>3112</v>
      </c>
      <c r="B474" s="2" t="s">
        <v>235</v>
      </c>
      <c r="C474" s="2" t="s">
        <v>403</v>
      </c>
      <c r="D474" s="2" t="s">
        <v>273</v>
      </c>
      <c r="E474" s="2" t="s">
        <v>3113</v>
      </c>
      <c r="F474" s="2" t="s">
        <v>3114</v>
      </c>
      <c r="G474" s="2" t="str">
        <f>TRIM(SUBSTITUTE(SUBSTITUTE(SUBSTITUTE(SUBSTITUTE(tb1_supporters[[#This Row],[Phone_Raw]],"(",""),")","")," ",""),"+44",))</f>
        <v>011022564932</v>
      </c>
      <c r="H474" s="15">
        <v>21524</v>
      </c>
      <c r="I474" s="36">
        <f ca="1">IF(OR(tb1_supporters[[#This Row],[Date_of_Birth]]="",tb1_supporters[[#This Row],[Date_of_Birth]]&gt;TODAY()),"",DATEDIF(tb1_supporters[[#This Row],[Date_of_Birth]],TODAY(),"Y"))</f>
        <v>67</v>
      </c>
      <c r="J47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74" s="2" t="s">
        <v>3116</v>
      </c>
      <c r="L474" s="2" t="s">
        <v>219</v>
      </c>
      <c r="M474" s="2" t="s">
        <v>220</v>
      </c>
      <c r="N474" s="2" t="s">
        <v>221</v>
      </c>
      <c r="O474" s="2" t="s">
        <v>242</v>
      </c>
      <c r="P474" s="2" t="s">
        <v>181</v>
      </c>
      <c r="Q474" s="2" t="s">
        <v>192</v>
      </c>
      <c r="R474" s="15">
        <v>44271</v>
      </c>
      <c r="S474" s="2" t="s">
        <v>4</v>
      </c>
      <c r="T474" s="2" t="s">
        <v>37</v>
      </c>
      <c r="U474" s="2" t="s">
        <v>36</v>
      </c>
      <c r="V474" s="2" t="s">
        <v>36</v>
      </c>
      <c r="W474" s="4" t="s">
        <v>37</v>
      </c>
      <c r="X47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74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7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74" s="2" t="str">
        <f>IF(tb1_supporters[[#This Row],[Email]]="","",IF(COUNTIF(tb1_supporters[Email],tb1_supporters[[#This Row],[Email]])&gt;1,"Review - duplicate record, see Supporter_Duplicates tab",""))</f>
        <v/>
      </c>
      <c r="AB474" s="21" t="str">
        <f>IF(tb1_supporters[[#This Row],[Communication_Preference]]="Do Not Contact","DO NOT CONTACT","")</f>
        <v/>
      </c>
      <c r="AE474"/>
    </row>
    <row r="475" spans="1:31" x14ac:dyDescent="0.25">
      <c r="A475" s="3" t="s">
        <v>3118</v>
      </c>
      <c r="B475" s="2" t="s">
        <v>170</v>
      </c>
      <c r="C475" s="2" t="s">
        <v>95</v>
      </c>
      <c r="D475" s="2" t="s">
        <v>870</v>
      </c>
      <c r="E475" s="2" t="s">
        <v>3119</v>
      </c>
      <c r="F475" s="2" t="s">
        <v>3120</v>
      </c>
      <c r="G475" s="2" t="str">
        <f>TRIM(SUBSTITUTE(SUBSTITUTE(SUBSTITUTE(SUBSTITUTE(tb1_supporters[[#This Row],[Phone_Raw]],"(",""),")","")," ",""),"+44",))</f>
        <v>7294951863</v>
      </c>
      <c r="H475" s="15">
        <v>23408</v>
      </c>
      <c r="I475" s="36">
        <f ca="1">IF(OR(tb1_supporters[[#This Row],[Date_of_Birth]]="",tb1_supporters[[#This Row],[Date_of_Birth]]&gt;TODAY()),"",DATEDIF(tb1_supporters[[#This Row],[Date_of_Birth]],TODAY(),"Y"))</f>
        <v>62</v>
      </c>
      <c r="J47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75" s="2" t="s">
        <v>2721</v>
      </c>
      <c r="L475" s="2" t="s">
        <v>454</v>
      </c>
      <c r="M475" s="2" t="s">
        <v>455</v>
      </c>
      <c r="N475" s="2" t="s">
        <v>456</v>
      </c>
      <c r="O475" s="2" t="s">
        <v>242</v>
      </c>
      <c r="P475" s="2" t="s">
        <v>49</v>
      </c>
      <c r="Q475" s="2" t="s">
        <v>154</v>
      </c>
      <c r="R475" s="15">
        <v>45264</v>
      </c>
      <c r="S475" s="2" t="s">
        <v>93</v>
      </c>
      <c r="T475" s="2" t="s">
        <v>37</v>
      </c>
      <c r="U475" s="2" t="s">
        <v>36</v>
      </c>
      <c r="V475" s="2" t="s">
        <v>37</v>
      </c>
      <c r="W475" s="4" t="s">
        <v>37</v>
      </c>
      <c r="X47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75" s="2" t="str">
        <f>IF(ISNUMBER(SEARCH("onal",tb1_supporters[[#This Row],[Phone_Clean]])),"Review - corrupt phone number", IF(LEN(tb1_supporters[[#This Row],[Phone_Clean]])&gt;11,"Review - too many digits",""))</f>
        <v/>
      </c>
      <c r="Z47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75" s="2" t="str">
        <f>IF(tb1_supporters[[#This Row],[Email]]="","",IF(COUNTIF(tb1_supporters[Email],tb1_supporters[[#This Row],[Email]])&gt;1,"Review - duplicate record, see Supporter_Duplicates tab",""))</f>
        <v/>
      </c>
      <c r="AB475" s="21" t="str">
        <f>IF(tb1_supporters[[#This Row],[Communication_Preference]]="Do Not Contact","DO NOT CONTACT","")</f>
        <v/>
      </c>
      <c r="AE475"/>
    </row>
    <row r="476" spans="1:31" x14ac:dyDescent="0.25">
      <c r="A476" s="3" t="s">
        <v>3123</v>
      </c>
      <c r="B476" s="2" t="s">
        <v>402</v>
      </c>
      <c r="C476" s="2" t="s">
        <v>988</v>
      </c>
      <c r="D476" s="2" t="s">
        <v>1323</v>
      </c>
      <c r="E476" s="2" t="s">
        <v>3124</v>
      </c>
      <c r="F476" s="2" t="s">
        <v>3125</v>
      </c>
      <c r="G476" s="2" t="str">
        <f>TRIM(SUBSTITUTE(SUBSTITUTE(SUBSTITUTE(SUBSTITUTE(tb1_supporters[[#This Row],[Phone_Raw]],"(",""),")","")," ",""),"+44",))</f>
        <v>01914883793</v>
      </c>
      <c r="H476" s="15">
        <v>29925</v>
      </c>
      <c r="I476" s="36">
        <f ca="1">IF(OR(tb1_supporters[[#This Row],[Date_of_Birth]]="",tb1_supporters[[#This Row],[Date_of_Birth]]&gt;TODAY()),"",DATEDIF(tb1_supporters[[#This Row],[Date_of_Birth]],TODAY(),"Y"))</f>
        <v>44</v>
      </c>
      <c r="J47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76" s="2" t="s">
        <v>3127</v>
      </c>
      <c r="L476" s="2" t="s">
        <v>766</v>
      </c>
      <c r="M476" s="2" t="s">
        <v>767</v>
      </c>
      <c r="N476" s="2" t="s">
        <v>768</v>
      </c>
      <c r="O476" s="2" t="s">
        <v>242</v>
      </c>
      <c r="P476" s="2" t="s">
        <v>49</v>
      </c>
      <c r="Q476" s="2" t="s">
        <v>4888</v>
      </c>
      <c r="R476" s="15">
        <v>44124</v>
      </c>
      <c r="S476" s="2" t="s">
        <v>52</v>
      </c>
      <c r="T476" s="2" t="s">
        <v>37</v>
      </c>
      <c r="U476" s="2" t="s">
        <v>36</v>
      </c>
      <c r="V476" s="2" t="s">
        <v>36</v>
      </c>
      <c r="W476" s="4" t="s">
        <v>37</v>
      </c>
      <c r="X47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76" s="2" t="str">
        <f>IF(ISNUMBER(SEARCH("onal",tb1_supporters[[#This Row],[Phone_Clean]])),"Review - corrupt phone number", IF(LEN(tb1_supporters[[#This Row],[Phone_Clean]])&gt;11,"Review - too many digits",""))</f>
        <v/>
      </c>
      <c r="Z47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76" s="2" t="str">
        <f>IF(tb1_supporters[[#This Row],[Email]]="","",IF(COUNTIF(tb1_supporters[Email],tb1_supporters[[#This Row],[Email]])&gt;1,"Review - duplicate record, see Supporter_Duplicates tab",""))</f>
        <v/>
      </c>
      <c r="AB476" s="21" t="str">
        <f>IF(tb1_supporters[[#This Row],[Communication_Preference]]="Do Not Contact","DO NOT CONTACT","")</f>
        <v/>
      </c>
      <c r="AE476"/>
    </row>
    <row r="477" spans="1:31" x14ac:dyDescent="0.25">
      <c r="A477" s="3" t="s">
        <v>3129</v>
      </c>
      <c r="B477" s="2" t="s">
        <v>54</v>
      </c>
      <c r="C477" s="2" t="s">
        <v>82</v>
      </c>
      <c r="D477" s="2" t="s">
        <v>414</v>
      </c>
      <c r="E477" s="2" t="s">
        <v>3130</v>
      </c>
      <c r="F477" s="2" t="s">
        <v>3131</v>
      </c>
      <c r="G477" s="2" t="str">
        <f>TRIM(SUBSTITUTE(SUBSTITUTE(SUBSTITUTE(SUBSTITUTE(tb1_supporters[[#This Row],[Phone_Raw]],"(",""),")","")," ",""),"+44",))</f>
        <v>0209688999</v>
      </c>
      <c r="H477" s="15">
        <v>19787</v>
      </c>
      <c r="I477" s="36">
        <f ca="1">IF(OR(tb1_supporters[[#This Row],[Date_of_Birth]]="",tb1_supporters[[#This Row],[Date_of_Birth]]&gt;TODAY()),"",DATEDIF(tb1_supporters[[#This Row],[Date_of_Birth]],TODAY(),"Y"))</f>
        <v>72</v>
      </c>
      <c r="J47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77" s="2" t="s">
        <v>3133</v>
      </c>
      <c r="L477" s="2" t="s">
        <v>278</v>
      </c>
      <c r="M477" s="2" t="s">
        <v>279</v>
      </c>
      <c r="N477" s="2" t="s">
        <v>280</v>
      </c>
      <c r="O477" s="2" t="s">
        <v>166</v>
      </c>
      <c r="P477" s="2" t="s">
        <v>181</v>
      </c>
      <c r="Q477" s="2" t="s">
        <v>50</v>
      </c>
      <c r="R477" s="15">
        <v>44986</v>
      </c>
      <c r="S477" s="2" t="s">
        <v>4</v>
      </c>
      <c r="T477" s="2" t="s">
        <v>36</v>
      </c>
      <c r="U477" s="2" t="s">
        <v>36</v>
      </c>
      <c r="V477" s="2" t="s">
        <v>36</v>
      </c>
      <c r="W477" s="4" t="s">
        <v>36</v>
      </c>
      <c r="X47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77" s="2" t="str">
        <f>IF(ISNUMBER(SEARCH("onal",tb1_supporters[[#This Row],[Phone_Clean]])),"Review - corrupt phone number", IF(LEN(tb1_supporters[[#This Row],[Phone_Clean]])&gt;11,"Review - too many digits",""))</f>
        <v/>
      </c>
      <c r="Z47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77" s="2" t="str">
        <f>IF(tb1_supporters[[#This Row],[Email]]="","",IF(COUNTIF(tb1_supporters[Email],tb1_supporters[[#This Row],[Email]])&gt;1,"Review - duplicate record, see Supporter_Duplicates tab",""))</f>
        <v/>
      </c>
      <c r="AB477" s="21" t="str">
        <f>IF(tb1_supporters[[#This Row],[Communication_Preference]]="Do Not Contact","DO NOT CONTACT","")</f>
        <v/>
      </c>
      <c r="AE477"/>
    </row>
    <row r="478" spans="1:31" x14ac:dyDescent="0.25">
      <c r="A478" s="3" t="s">
        <v>3135</v>
      </c>
      <c r="B478" s="2"/>
      <c r="C478" s="2" t="s">
        <v>754</v>
      </c>
      <c r="D478" s="2" t="s">
        <v>197</v>
      </c>
      <c r="E478" s="2" t="s">
        <v>4869</v>
      </c>
      <c r="F478" s="2" t="s">
        <v>3137</v>
      </c>
      <c r="G478" s="2" t="str">
        <f>TRIM(SUBSTITUTE(SUBSTITUTE(SUBSTITUTE(SUBSTITUTE(tb1_supporters[[#This Row],[Phone_Raw]],"(",""),")","")," ",""),"+44",))</f>
        <v>01315991113</v>
      </c>
      <c r="H478" s="15">
        <v>26992</v>
      </c>
      <c r="I478" s="36">
        <f ca="1">IF(OR(tb1_supporters[[#This Row],[Date_of_Birth]]="",tb1_supporters[[#This Row],[Date_of_Birth]]&gt;TODAY()),"",DATEDIF(tb1_supporters[[#This Row],[Date_of_Birth]],TODAY(),"Y"))</f>
        <v>52</v>
      </c>
      <c r="J47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78" s="2" t="s">
        <v>3139</v>
      </c>
      <c r="L478" s="2" t="s">
        <v>46</v>
      </c>
      <c r="M478" s="2" t="s">
        <v>47</v>
      </c>
      <c r="N478" s="2" t="s">
        <v>48</v>
      </c>
      <c r="O478" s="2" t="s">
        <v>166</v>
      </c>
      <c r="P478" s="2" t="s">
        <v>91</v>
      </c>
      <c r="Q478" s="2" t="s">
        <v>154</v>
      </c>
      <c r="R478" s="15">
        <v>45028</v>
      </c>
      <c r="S478" s="2" t="s">
        <v>52</v>
      </c>
      <c r="T478" s="2" t="s">
        <v>36</v>
      </c>
      <c r="U478" s="2" t="s">
        <v>36</v>
      </c>
      <c r="V478" s="2" t="s">
        <v>36</v>
      </c>
      <c r="W478" s="4" t="s">
        <v>37</v>
      </c>
      <c r="X47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78" s="2" t="str">
        <f>IF(ISNUMBER(SEARCH("onal",tb1_supporters[[#This Row],[Phone_Clean]])),"Review - corrupt phone number", IF(LEN(tb1_supporters[[#This Row],[Phone_Clean]])&gt;11,"Review - too many digits",""))</f>
        <v/>
      </c>
      <c r="Z47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78" s="2" t="str">
        <f>IF(tb1_supporters[[#This Row],[Email]]="","",IF(COUNTIF(tb1_supporters[Email],tb1_supporters[[#This Row],[Email]])&gt;1,"Review - duplicate record, see Supporter_Duplicates tab",""))</f>
        <v/>
      </c>
      <c r="AB478" s="21" t="str">
        <f>IF(tb1_supporters[[#This Row],[Communication_Preference]]="Do Not Contact","DO NOT CONTACT","")</f>
        <v/>
      </c>
      <c r="AE478"/>
    </row>
    <row r="479" spans="1:31" x14ac:dyDescent="0.25">
      <c r="A479" s="3" t="s">
        <v>3141</v>
      </c>
      <c r="B479" s="2" t="s">
        <v>402</v>
      </c>
      <c r="C479" s="2" t="s">
        <v>809</v>
      </c>
      <c r="D479" s="2" t="s">
        <v>247</v>
      </c>
      <c r="E479" s="2" t="s">
        <v>3142</v>
      </c>
      <c r="F479" s="2" t="s">
        <v>3143</v>
      </c>
      <c r="G479" s="2" t="str">
        <f>TRIM(SUBSTITUTE(SUBSTITUTE(SUBSTITUTE(SUBSTITUTE(tb1_supporters[[#This Row],[Phone_Raw]],"(",""),")","")," ",""),"+44",))</f>
        <v>07467991826</v>
      </c>
      <c r="H479" s="15">
        <v>28644</v>
      </c>
      <c r="I479" s="36">
        <f ca="1">IF(OR(tb1_supporters[[#This Row],[Date_of_Birth]]="",tb1_supporters[[#This Row],[Date_of_Birth]]&gt;TODAY()),"",DATEDIF(tb1_supporters[[#This Row],[Date_of_Birth]],TODAY(),"Y"))</f>
        <v>47</v>
      </c>
      <c r="J47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79" s="2" t="s">
        <v>3145</v>
      </c>
      <c r="L479" s="2" t="s">
        <v>408</v>
      </c>
      <c r="M479" s="2" t="s">
        <v>409</v>
      </c>
      <c r="N479" s="2" t="s">
        <v>410</v>
      </c>
      <c r="O479" s="2" t="s">
        <v>242</v>
      </c>
      <c r="P479" s="2" t="s">
        <v>33</v>
      </c>
      <c r="Q479" s="2" t="s">
        <v>141</v>
      </c>
      <c r="R479" s="15">
        <v>43265</v>
      </c>
      <c r="S479" s="2" t="s">
        <v>4</v>
      </c>
      <c r="T479" s="2" t="s">
        <v>36</v>
      </c>
      <c r="U479" s="2" t="s">
        <v>36</v>
      </c>
      <c r="V479" s="2" t="s">
        <v>37</v>
      </c>
      <c r="W479" s="4" t="s">
        <v>37</v>
      </c>
      <c r="X47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79" s="2" t="str">
        <f>IF(ISNUMBER(SEARCH("onal",tb1_supporters[[#This Row],[Phone_Clean]])),"Review - corrupt phone number", IF(LEN(tb1_supporters[[#This Row],[Phone_Clean]])&gt;11,"Review - too many digits",""))</f>
        <v/>
      </c>
      <c r="Z47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79" s="2" t="str">
        <f>IF(tb1_supporters[[#This Row],[Email]]="","",IF(COUNTIF(tb1_supporters[Email],tb1_supporters[[#This Row],[Email]])&gt;1,"Review - duplicate record, see Supporter_Duplicates tab",""))</f>
        <v/>
      </c>
      <c r="AB479" s="21" t="str">
        <f>IF(tb1_supporters[[#This Row],[Communication_Preference]]="Do Not Contact","DO NOT CONTACT","")</f>
        <v/>
      </c>
      <c r="AE479"/>
    </row>
    <row r="480" spans="1:31" x14ac:dyDescent="0.25">
      <c r="A480" s="3" t="s">
        <v>3147</v>
      </c>
      <c r="B480" s="2" t="s">
        <v>4866</v>
      </c>
      <c r="C480" s="2" t="s">
        <v>1453</v>
      </c>
      <c r="D480" s="2" t="s">
        <v>870</v>
      </c>
      <c r="E480" s="2" t="s">
        <v>3148</v>
      </c>
      <c r="F480" s="2" t="s">
        <v>3149</v>
      </c>
      <c r="G480" s="2" t="str">
        <f>TRIM(SUBSTITUTE(SUBSTITUTE(SUBSTITUTE(SUBSTITUTE(tb1_supporters[[#This Row],[Phone_Raw]],"(",""),")","")," ",""),"+44",))</f>
        <v>07869882899</v>
      </c>
      <c r="H480" s="15">
        <v>13767</v>
      </c>
      <c r="I480" s="36">
        <f ca="1">IF(OR(tb1_supporters[[#This Row],[Date_of_Birth]]="",tb1_supporters[[#This Row],[Date_of_Birth]]&gt;TODAY()),"",DATEDIF(tb1_supporters[[#This Row],[Date_of_Birth]],TODAY(),"Y"))</f>
        <v>88</v>
      </c>
      <c r="J48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80" s="2" t="s">
        <v>3151</v>
      </c>
      <c r="L480" s="2" t="s">
        <v>100</v>
      </c>
      <c r="M480" s="2" t="s">
        <v>101</v>
      </c>
      <c r="N480" s="2" t="s">
        <v>343</v>
      </c>
      <c r="O480" s="2" t="s">
        <v>166</v>
      </c>
      <c r="P480" s="2" t="s">
        <v>4887</v>
      </c>
      <c r="Q480" s="2" t="s">
        <v>154</v>
      </c>
      <c r="R480" s="15">
        <v>43550</v>
      </c>
      <c r="S480" s="2" t="s">
        <v>5</v>
      </c>
      <c r="T480" s="2" t="s">
        <v>36</v>
      </c>
      <c r="U480" s="2" t="s">
        <v>36</v>
      </c>
      <c r="V480" s="2" t="s">
        <v>36</v>
      </c>
      <c r="W480" s="4" t="s">
        <v>36</v>
      </c>
      <c r="X48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80" s="2" t="str">
        <f>IF(ISNUMBER(SEARCH("onal",tb1_supporters[[#This Row],[Phone_Clean]])),"Review - corrupt phone number", IF(LEN(tb1_supporters[[#This Row],[Phone_Clean]])&gt;11,"Review - too many digits",""))</f>
        <v/>
      </c>
      <c r="Z48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80" s="2" t="str">
        <f>IF(tb1_supporters[[#This Row],[Email]]="","",IF(COUNTIF(tb1_supporters[Email],tb1_supporters[[#This Row],[Email]])&gt;1,"Review - duplicate record, see Supporter_Duplicates tab",""))</f>
        <v/>
      </c>
      <c r="AB480" s="21" t="str">
        <f>IF(tb1_supporters[[#This Row],[Communication_Preference]]="Do Not Contact","DO NOT CONTACT","")</f>
        <v/>
      </c>
      <c r="AE480"/>
    </row>
    <row r="481" spans="1:31" x14ac:dyDescent="0.25">
      <c r="A481" s="3" t="s">
        <v>3153</v>
      </c>
      <c r="B481" s="2" t="s">
        <v>170</v>
      </c>
      <c r="C481" s="2" t="s">
        <v>590</v>
      </c>
      <c r="D481" s="2" t="s">
        <v>338</v>
      </c>
      <c r="E481" s="2" t="s">
        <v>3154</v>
      </c>
      <c r="F481" s="2" t="s">
        <v>3155</v>
      </c>
      <c r="G481" s="2" t="str">
        <f>TRIM(SUBSTITUTE(SUBSTITUTE(SUBSTITUTE(SUBSTITUTE(tb1_supporters[[#This Row],[Phone_Raw]],"(",""),")","")," ",""),"+44",))</f>
        <v>01613888961</v>
      </c>
      <c r="H481" s="15">
        <v>35628</v>
      </c>
      <c r="I481" s="36">
        <f ca="1">IF(OR(tb1_supporters[[#This Row],[Date_of_Birth]]="",tb1_supporters[[#This Row],[Date_of_Birth]]&gt;TODAY()),"",DATEDIF(tb1_supporters[[#This Row],[Date_of_Birth]],TODAY(),"Y"))</f>
        <v>28</v>
      </c>
      <c r="J48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81" s="2" t="s">
        <v>3157</v>
      </c>
      <c r="L481" s="2" t="s">
        <v>46</v>
      </c>
      <c r="M481" s="2" t="s">
        <v>47</v>
      </c>
      <c r="N481" s="2" t="s">
        <v>48</v>
      </c>
      <c r="O481" s="2" t="s">
        <v>242</v>
      </c>
      <c r="P481" s="2" t="s">
        <v>33</v>
      </c>
      <c r="Q481" s="2" t="s">
        <v>50</v>
      </c>
      <c r="R481" s="15">
        <v>43725</v>
      </c>
      <c r="S481" s="2" t="s">
        <v>93</v>
      </c>
      <c r="T481" s="2" t="s">
        <v>37</v>
      </c>
      <c r="U481" s="2" t="s">
        <v>36</v>
      </c>
      <c r="V481" s="2" t="s">
        <v>36</v>
      </c>
      <c r="W481" s="4" t="s">
        <v>37</v>
      </c>
      <c r="X48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81" s="2" t="str">
        <f>IF(ISNUMBER(SEARCH("onal",tb1_supporters[[#This Row],[Phone_Clean]])),"Review - corrupt phone number", IF(LEN(tb1_supporters[[#This Row],[Phone_Clean]])&gt;11,"Review - too many digits",""))</f>
        <v/>
      </c>
      <c r="Z48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81" s="2" t="str">
        <f>IF(tb1_supporters[[#This Row],[Email]]="","",IF(COUNTIF(tb1_supporters[Email],tb1_supporters[[#This Row],[Email]])&gt;1,"Review - duplicate record, see Supporter_Duplicates tab",""))</f>
        <v/>
      </c>
      <c r="AB481" s="21" t="str">
        <f>IF(tb1_supporters[[#This Row],[Communication_Preference]]="Do Not Contact","DO NOT CONTACT","")</f>
        <v/>
      </c>
      <c r="AE481"/>
    </row>
    <row r="482" spans="1:31" x14ac:dyDescent="0.25">
      <c r="A482" s="3" t="s">
        <v>3159</v>
      </c>
      <c r="B482" s="2" t="s">
        <v>54</v>
      </c>
      <c r="C482" s="2" t="s">
        <v>778</v>
      </c>
      <c r="D482" s="2" t="s">
        <v>71</v>
      </c>
      <c r="E482" s="2" t="s">
        <v>3160</v>
      </c>
      <c r="F482" s="2" t="s">
        <v>3161</v>
      </c>
      <c r="G482" s="2" t="str">
        <f>TRIM(SUBSTITUTE(SUBSTITUTE(SUBSTITUTE(SUBSTITUTE(tb1_supporters[[#This Row],[Phone_Raw]],"(",""),")","")," ",""),"+44",))</f>
        <v>07975705744</v>
      </c>
      <c r="H482" s="15">
        <v>29073</v>
      </c>
      <c r="I482" s="36">
        <f ca="1">IF(OR(tb1_supporters[[#This Row],[Date_of_Birth]]="",tb1_supporters[[#This Row],[Date_of_Birth]]&gt;TODAY()),"",DATEDIF(tb1_supporters[[#This Row],[Date_of_Birth]],TODAY(),"Y"))</f>
        <v>46</v>
      </c>
      <c r="J48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82" s="2" t="s">
        <v>3163</v>
      </c>
      <c r="L482" s="2" t="s">
        <v>138</v>
      </c>
      <c r="M482" s="2" t="s">
        <v>139</v>
      </c>
      <c r="N482" s="2" t="s">
        <v>140</v>
      </c>
      <c r="O482" s="2" t="s">
        <v>166</v>
      </c>
      <c r="P482" s="2" t="s">
        <v>33</v>
      </c>
      <c r="Q482" s="2" t="s">
        <v>192</v>
      </c>
      <c r="R482" s="15">
        <v>43642</v>
      </c>
      <c r="S482" s="2" t="s">
        <v>93</v>
      </c>
      <c r="T482" s="2" t="s">
        <v>36</v>
      </c>
      <c r="U482" s="2" t="s">
        <v>36</v>
      </c>
      <c r="V482" s="2" t="s">
        <v>36</v>
      </c>
      <c r="W482" s="4" t="s">
        <v>36</v>
      </c>
      <c r="X48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82" s="2" t="str">
        <f>IF(ISNUMBER(SEARCH("onal",tb1_supporters[[#This Row],[Phone_Clean]])),"Review - corrupt phone number", IF(LEN(tb1_supporters[[#This Row],[Phone_Clean]])&gt;11,"Review - too many digits",""))</f>
        <v/>
      </c>
      <c r="Z48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82" s="2" t="str">
        <f>IF(tb1_supporters[[#This Row],[Email]]="","",IF(COUNTIF(tb1_supporters[Email],tb1_supporters[[#This Row],[Email]])&gt;1,"Review - duplicate record, see Supporter_Duplicates tab",""))</f>
        <v/>
      </c>
      <c r="AB482" s="21" t="str">
        <f>IF(tb1_supporters[[#This Row],[Communication_Preference]]="Do Not Contact","DO NOT CONTACT","")</f>
        <v/>
      </c>
      <c r="AE482"/>
    </row>
    <row r="483" spans="1:31" x14ac:dyDescent="0.25">
      <c r="A483" s="3" t="s">
        <v>3165</v>
      </c>
      <c r="B483" s="2" t="s">
        <v>4866</v>
      </c>
      <c r="C483" s="2" t="s">
        <v>1091</v>
      </c>
      <c r="D483" s="2" t="s">
        <v>1268</v>
      </c>
      <c r="E483" s="2" t="s">
        <v>3166</v>
      </c>
      <c r="F483" s="2" t="s">
        <v>3167</v>
      </c>
      <c r="G483" s="2" t="str">
        <f>TRIM(SUBSTITUTE(SUBSTITUTE(SUBSTITUTE(SUBSTITUTE(tb1_supporters[[#This Row],[Phone_Raw]],"(",""),")","")," ",""),"+44",))</f>
        <v>07444536590</v>
      </c>
      <c r="H483" s="15">
        <v>33952</v>
      </c>
      <c r="I483" s="36">
        <f ca="1">IF(OR(tb1_supporters[[#This Row],[Date_of_Birth]]="",tb1_supporters[[#This Row],[Date_of_Birth]]&gt;TODAY()),"",DATEDIF(tb1_supporters[[#This Row],[Date_of_Birth]],TODAY(),"Y"))</f>
        <v>33</v>
      </c>
      <c r="J48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83" s="2" t="s">
        <v>3169</v>
      </c>
      <c r="L483" s="2" t="s">
        <v>319</v>
      </c>
      <c r="M483" s="2" t="s">
        <v>320</v>
      </c>
      <c r="N483" s="2" t="s">
        <v>321</v>
      </c>
      <c r="O483" s="2" t="s">
        <v>166</v>
      </c>
      <c r="P483" s="2" t="s">
        <v>4887</v>
      </c>
      <c r="Q483" s="2" t="s">
        <v>4888</v>
      </c>
      <c r="R483" s="15">
        <v>43312</v>
      </c>
      <c r="S483" s="2" t="s">
        <v>5</v>
      </c>
      <c r="T483" s="2" t="s">
        <v>36</v>
      </c>
      <c r="U483" s="2" t="s">
        <v>36</v>
      </c>
      <c r="V483" s="2" t="s">
        <v>36</v>
      </c>
      <c r="W483" s="4" t="s">
        <v>37</v>
      </c>
      <c r="X48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83" s="2" t="str">
        <f>IF(ISNUMBER(SEARCH("onal",tb1_supporters[[#This Row],[Phone_Clean]])),"Review - corrupt phone number", IF(LEN(tb1_supporters[[#This Row],[Phone_Clean]])&gt;11,"Review - too many digits",""))</f>
        <v/>
      </c>
      <c r="Z48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83" s="2" t="str">
        <f>IF(tb1_supporters[[#This Row],[Email]]="","",IF(COUNTIF(tb1_supporters[Email],tb1_supporters[[#This Row],[Email]])&gt;1,"Review - duplicate record, see Supporter_Duplicates tab",""))</f>
        <v/>
      </c>
      <c r="AB483" s="21" t="str">
        <f>IF(tb1_supporters[[#This Row],[Communication_Preference]]="Do Not Contact","DO NOT CONTACT","")</f>
        <v/>
      </c>
      <c r="AE483"/>
    </row>
    <row r="484" spans="1:31" x14ac:dyDescent="0.25">
      <c r="A484" s="3" t="s">
        <v>3171</v>
      </c>
      <c r="B484" s="2" t="s">
        <v>402</v>
      </c>
      <c r="C484" s="2" t="s">
        <v>246</v>
      </c>
      <c r="D484" s="2" t="s">
        <v>338</v>
      </c>
      <c r="E484" s="2" t="s">
        <v>3172</v>
      </c>
      <c r="F484" s="2" t="s">
        <v>3173</v>
      </c>
      <c r="G484" s="2" t="str">
        <f>TRIM(SUBSTITUTE(SUBSTITUTE(SUBSTITUTE(SUBSTITUTE(tb1_supporters[[#This Row],[Phone_Raw]],"(",""),")","")," ",""),"+44",))</f>
        <v>07392583386</v>
      </c>
      <c r="H484" s="15">
        <v>27749</v>
      </c>
      <c r="I484" s="36">
        <f ca="1">IF(OR(tb1_supporters[[#This Row],[Date_of_Birth]]="",tb1_supporters[[#This Row],[Date_of_Birth]]&gt;TODAY()),"",DATEDIF(tb1_supporters[[#This Row],[Date_of_Birth]],TODAY(),"Y"))</f>
        <v>50</v>
      </c>
      <c r="J48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84" s="2" t="s">
        <v>2715</v>
      </c>
      <c r="L484" s="2" t="s">
        <v>609</v>
      </c>
      <c r="M484" s="2" t="s">
        <v>610</v>
      </c>
      <c r="N484" s="2" t="s">
        <v>611</v>
      </c>
      <c r="O484" s="2" t="s">
        <v>242</v>
      </c>
      <c r="P484" s="2" t="s">
        <v>4887</v>
      </c>
      <c r="Q484" s="2" t="s">
        <v>154</v>
      </c>
      <c r="R484" s="15">
        <v>44134</v>
      </c>
      <c r="S484" s="2" t="s">
        <v>4</v>
      </c>
      <c r="T484" s="2" t="s">
        <v>36</v>
      </c>
      <c r="U484" s="2" t="s">
        <v>36</v>
      </c>
      <c r="V484" s="2" t="s">
        <v>36</v>
      </c>
      <c r="W484" s="4" t="s">
        <v>37</v>
      </c>
      <c r="X48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84" s="2" t="str">
        <f>IF(ISNUMBER(SEARCH("onal",tb1_supporters[[#This Row],[Phone_Clean]])),"Review - corrupt phone number", IF(LEN(tb1_supporters[[#This Row],[Phone_Clean]])&gt;11,"Review - too many digits",""))</f>
        <v/>
      </c>
      <c r="Z48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84" s="2" t="str">
        <f>IF(tb1_supporters[[#This Row],[Email]]="","",IF(COUNTIF(tb1_supporters[Email],tb1_supporters[[#This Row],[Email]])&gt;1,"Review - duplicate record, see Supporter_Duplicates tab",""))</f>
        <v/>
      </c>
      <c r="AB484" s="21" t="str">
        <f>IF(tb1_supporters[[#This Row],[Communication_Preference]]="Do Not Contact","DO NOT CONTACT","")</f>
        <v/>
      </c>
      <c r="AE484"/>
    </row>
    <row r="485" spans="1:31" x14ac:dyDescent="0.25">
      <c r="A485" s="3" t="s">
        <v>3176</v>
      </c>
      <c r="B485" s="2" t="s">
        <v>54</v>
      </c>
      <c r="C485" s="2" t="s">
        <v>574</v>
      </c>
      <c r="D485" s="2" t="s">
        <v>771</v>
      </c>
      <c r="E485" s="2" t="s">
        <v>3177</v>
      </c>
      <c r="F485" s="2" t="s">
        <v>3178</v>
      </c>
      <c r="G485" s="2" t="str">
        <f>TRIM(SUBSTITUTE(SUBSTITUTE(SUBSTITUTE(SUBSTITUTE(tb1_supporters[[#This Row],[Phone_Raw]],"(",""),")","")," ",""),"+44",))</f>
        <v>07765382315</v>
      </c>
      <c r="H485" s="15">
        <v>22962</v>
      </c>
      <c r="I485" s="36">
        <f ca="1">IF(OR(tb1_supporters[[#This Row],[Date_of_Birth]]="",tb1_supporters[[#This Row],[Date_of_Birth]]&gt;TODAY()),"",DATEDIF(tb1_supporters[[#This Row],[Date_of_Birth]],TODAY(),"Y"))</f>
        <v>63</v>
      </c>
      <c r="J48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85" s="2" t="s">
        <v>3180</v>
      </c>
      <c r="L485" s="2" t="s">
        <v>150</v>
      </c>
      <c r="M485" s="2" t="s">
        <v>151</v>
      </c>
      <c r="N485" s="2" t="s">
        <v>152</v>
      </c>
      <c r="O485" s="2" t="s">
        <v>166</v>
      </c>
      <c r="P485" s="2" t="s">
        <v>65</v>
      </c>
      <c r="Q485" s="2" t="s">
        <v>192</v>
      </c>
      <c r="R485" s="15">
        <v>43635</v>
      </c>
      <c r="S485" s="2" t="s">
        <v>4</v>
      </c>
      <c r="T485" s="2" t="s">
        <v>37</v>
      </c>
      <c r="U485" s="2" t="s">
        <v>36</v>
      </c>
      <c r="V485" s="2" t="s">
        <v>36</v>
      </c>
      <c r="W485" s="4" t="s">
        <v>37</v>
      </c>
      <c r="X48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85" s="2" t="str">
        <f>IF(ISNUMBER(SEARCH("onal",tb1_supporters[[#This Row],[Phone_Clean]])),"Review - corrupt phone number", IF(LEN(tb1_supporters[[#This Row],[Phone_Clean]])&gt;11,"Review - too many digits",""))</f>
        <v/>
      </c>
      <c r="Z48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85" s="2" t="str">
        <f>IF(tb1_supporters[[#This Row],[Email]]="","",IF(COUNTIF(tb1_supporters[Email],tb1_supporters[[#This Row],[Email]])&gt;1,"Review - duplicate record, see Supporter_Duplicates tab",""))</f>
        <v/>
      </c>
      <c r="AB485" s="21" t="str">
        <f>IF(tb1_supporters[[#This Row],[Communication_Preference]]="Do Not Contact","DO NOT CONTACT","")</f>
        <v/>
      </c>
      <c r="AE485"/>
    </row>
    <row r="486" spans="1:31" x14ac:dyDescent="0.25">
      <c r="A486" s="3" t="s">
        <v>3182</v>
      </c>
      <c r="B486" s="2" t="s">
        <v>235</v>
      </c>
      <c r="C486" s="2" t="s">
        <v>877</v>
      </c>
      <c r="D486" s="2" t="s">
        <v>674</v>
      </c>
      <c r="E486" s="2" t="s">
        <v>3183</v>
      </c>
      <c r="F486" s="2" t="s">
        <v>3184</v>
      </c>
      <c r="G486" s="2" t="str">
        <f>TRIM(SUBSTITUTE(SUBSTITUTE(SUBSTITUTE(SUBSTITUTE(tb1_supporters[[#This Row],[Phone_Raw]],"(",""),")","")," ",""),"+44",))</f>
        <v>016043099741</v>
      </c>
      <c r="H486" s="15">
        <v>24803</v>
      </c>
      <c r="I486" s="36">
        <f ca="1">IF(OR(tb1_supporters[[#This Row],[Date_of_Birth]]="",tb1_supporters[[#This Row],[Date_of_Birth]]&gt;TODAY()),"",DATEDIF(tb1_supporters[[#This Row],[Date_of_Birth]],TODAY(),"Y"))</f>
        <v>58</v>
      </c>
      <c r="J48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86" s="2" t="s">
        <v>3186</v>
      </c>
      <c r="L486" s="2" t="s">
        <v>76</v>
      </c>
      <c r="M486" s="2" t="s">
        <v>77</v>
      </c>
      <c r="N486" s="2" t="s">
        <v>78</v>
      </c>
      <c r="O486" s="2" t="s">
        <v>242</v>
      </c>
      <c r="P486" s="2" t="s">
        <v>181</v>
      </c>
      <c r="Q486" s="2" t="s">
        <v>154</v>
      </c>
      <c r="R486" s="15">
        <v>43886</v>
      </c>
      <c r="S486" s="2" t="s">
        <v>93</v>
      </c>
      <c r="T486" s="2" t="s">
        <v>36</v>
      </c>
      <c r="U486" s="2" t="s">
        <v>37</v>
      </c>
      <c r="V486" s="2" t="s">
        <v>37</v>
      </c>
      <c r="W486" s="4" t="s">
        <v>37</v>
      </c>
      <c r="X48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486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8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86" s="2" t="str">
        <f>IF(tb1_supporters[[#This Row],[Email]]="","",IF(COUNTIF(tb1_supporters[Email],tb1_supporters[[#This Row],[Email]])&gt;1,"Review - duplicate record, see Supporter_Duplicates tab",""))</f>
        <v/>
      </c>
      <c r="AB486" s="21" t="str">
        <f>IF(tb1_supporters[[#This Row],[Communication_Preference]]="Do Not Contact","DO NOT CONTACT","")</f>
        <v/>
      </c>
      <c r="AE486"/>
    </row>
    <row r="487" spans="1:31" x14ac:dyDescent="0.25">
      <c r="A487" s="3" t="s">
        <v>3188</v>
      </c>
      <c r="B487" s="2" t="s">
        <v>402</v>
      </c>
      <c r="C487" s="2" t="s">
        <v>171</v>
      </c>
      <c r="D487" s="2" t="s">
        <v>554</v>
      </c>
      <c r="E487" s="2" t="s">
        <v>4869</v>
      </c>
      <c r="F487" s="2" t="s">
        <v>3189</v>
      </c>
      <c r="G487" s="2" t="str">
        <f>TRIM(SUBSTITUTE(SUBSTITUTE(SUBSTITUTE(SUBSTITUTE(tb1_supporters[[#This Row],[Phone_Raw]],"(",""),")","")," ",""),"+44",))</f>
        <v>7615909122</v>
      </c>
      <c r="H487" s="15">
        <v>16229</v>
      </c>
      <c r="I487" s="36">
        <f ca="1">IF(OR(tb1_supporters[[#This Row],[Date_of_Birth]]="",tb1_supporters[[#This Row],[Date_of_Birth]]&gt;TODAY()),"",DATEDIF(tb1_supporters[[#This Row],[Date_of_Birth]],TODAY(),"Y"))</f>
        <v>81</v>
      </c>
      <c r="J48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87" s="2" t="s">
        <v>3191</v>
      </c>
      <c r="L487" s="2" t="s">
        <v>100</v>
      </c>
      <c r="M487" s="2" t="s">
        <v>101</v>
      </c>
      <c r="N487" s="2" t="s">
        <v>343</v>
      </c>
      <c r="O487" s="2" t="s">
        <v>242</v>
      </c>
      <c r="P487" s="2" t="s">
        <v>117</v>
      </c>
      <c r="Q487" s="2" t="s">
        <v>141</v>
      </c>
      <c r="R487" s="15">
        <v>43287</v>
      </c>
      <c r="S487" s="2" t="s">
        <v>4</v>
      </c>
      <c r="T487" s="2" t="s">
        <v>37</v>
      </c>
      <c r="U487" s="2" t="s">
        <v>36</v>
      </c>
      <c r="V487" s="2" t="s">
        <v>37</v>
      </c>
      <c r="W487" s="4" t="s">
        <v>36</v>
      </c>
      <c r="X48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87" s="2" t="str">
        <f>IF(ISNUMBER(SEARCH("onal",tb1_supporters[[#This Row],[Phone_Clean]])),"Review - corrupt phone number", IF(LEN(tb1_supporters[[#This Row],[Phone_Clean]])&gt;11,"Review - too many digits",""))</f>
        <v/>
      </c>
      <c r="Z48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87" s="2" t="str">
        <f>IF(tb1_supporters[[#This Row],[Email]]="","",IF(COUNTIF(tb1_supporters[Email],tb1_supporters[[#This Row],[Email]])&gt;1,"Review - duplicate record, see Supporter_Duplicates tab",""))</f>
        <v/>
      </c>
      <c r="AB487" s="21" t="str">
        <f>IF(tb1_supporters[[#This Row],[Communication_Preference]]="Do Not Contact","DO NOT CONTACT","")</f>
        <v/>
      </c>
      <c r="AE487"/>
    </row>
    <row r="488" spans="1:31" x14ac:dyDescent="0.25">
      <c r="A488" s="3" t="s">
        <v>3193</v>
      </c>
      <c r="B488" s="2" t="s">
        <v>22</v>
      </c>
      <c r="C488" s="2" t="s">
        <v>308</v>
      </c>
      <c r="D488" s="2" t="s">
        <v>771</v>
      </c>
      <c r="E488" s="2" t="s">
        <v>3194</v>
      </c>
      <c r="F488" s="2" t="s">
        <v>3195</v>
      </c>
      <c r="G488" s="2" t="str">
        <f>TRIM(SUBSTITUTE(SUBSTITUTE(SUBSTITUTE(SUBSTITUTE(tb1_supporters[[#This Row],[Phone_Raw]],"(",""),")","")," ",""),"+44",))</f>
        <v>0203784390</v>
      </c>
      <c r="H488" s="15">
        <v>23131</v>
      </c>
      <c r="I488" s="36">
        <f ca="1">IF(OR(tb1_supporters[[#This Row],[Date_of_Birth]]="",tb1_supporters[[#This Row],[Date_of_Birth]]&gt;TODAY()),"",DATEDIF(tb1_supporters[[#This Row],[Date_of_Birth]],TODAY(),"Y"))</f>
        <v>63</v>
      </c>
      <c r="J48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88" s="2" t="s">
        <v>3197</v>
      </c>
      <c r="L488" s="2" t="s">
        <v>76</v>
      </c>
      <c r="M488" s="2" t="s">
        <v>77</v>
      </c>
      <c r="N488" s="2" t="s">
        <v>4869</v>
      </c>
      <c r="O488" s="2" t="s">
        <v>242</v>
      </c>
      <c r="P488" s="2" t="s">
        <v>117</v>
      </c>
      <c r="Q488" s="2" t="s">
        <v>50</v>
      </c>
      <c r="R488" s="15">
        <v>44141</v>
      </c>
      <c r="S488" s="2" t="s">
        <v>4</v>
      </c>
      <c r="T488" s="2" t="s">
        <v>37</v>
      </c>
      <c r="U488" s="2" t="s">
        <v>36</v>
      </c>
      <c r="V488" s="2" t="s">
        <v>37</v>
      </c>
      <c r="W488" s="4" t="s">
        <v>37</v>
      </c>
      <c r="X48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88" s="2" t="str">
        <f>IF(ISNUMBER(SEARCH("onal",tb1_supporters[[#This Row],[Phone_Clean]])),"Review - corrupt phone number", IF(LEN(tb1_supporters[[#This Row],[Phone_Clean]])&gt;11,"Review - too many digits",""))</f>
        <v/>
      </c>
      <c r="Z48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88" s="2" t="str">
        <f>IF(tb1_supporters[[#This Row],[Email]]="","",IF(COUNTIF(tb1_supporters[Email],tb1_supporters[[#This Row],[Email]])&gt;1,"Review - duplicate record, see Supporter_Duplicates tab",""))</f>
        <v/>
      </c>
      <c r="AB488" s="21" t="str">
        <f>IF(tb1_supporters[[#This Row],[Communication_Preference]]="Do Not Contact","DO NOT CONTACT","")</f>
        <v/>
      </c>
      <c r="AE488"/>
    </row>
    <row r="489" spans="1:31" x14ac:dyDescent="0.25">
      <c r="A489" s="3" t="s">
        <v>3199</v>
      </c>
      <c r="B489" s="2" t="s">
        <v>22</v>
      </c>
      <c r="C489" s="2" t="s">
        <v>988</v>
      </c>
      <c r="D489" s="2" t="s">
        <v>902</v>
      </c>
      <c r="E489" s="2" t="s">
        <v>3200</v>
      </c>
      <c r="F489" s="2" t="s">
        <v>3201</v>
      </c>
      <c r="G489" s="2" t="str">
        <f>TRIM(SUBSTITUTE(SUBSTITUTE(SUBSTITUTE(SUBSTITUTE(tb1_supporters[[#This Row],[Phone_Raw]],"(",""),")","")," ",""),"+44",))</f>
        <v>07146646343</v>
      </c>
      <c r="H489" s="15">
        <v>28026</v>
      </c>
      <c r="I489" s="36">
        <f ca="1">IF(OR(tb1_supporters[[#This Row],[Date_of_Birth]]="",tb1_supporters[[#This Row],[Date_of_Birth]]&gt;TODAY()),"",DATEDIF(tb1_supporters[[#This Row],[Date_of_Birth]],TODAY(),"Y"))</f>
        <v>49</v>
      </c>
      <c r="J48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489" s="2" t="s">
        <v>3203</v>
      </c>
      <c r="L489" s="2" t="s">
        <v>625</v>
      </c>
      <c r="M489" s="2" t="s">
        <v>626</v>
      </c>
      <c r="N489" s="2" t="s">
        <v>627</v>
      </c>
      <c r="O489" s="2" t="s">
        <v>242</v>
      </c>
      <c r="P489" s="2" t="s">
        <v>117</v>
      </c>
      <c r="Q489" s="2" t="s">
        <v>141</v>
      </c>
      <c r="R489" s="15">
        <v>43645</v>
      </c>
      <c r="S489" s="2" t="s">
        <v>93</v>
      </c>
      <c r="T489" s="2" t="s">
        <v>36</v>
      </c>
      <c r="U489" s="2" t="s">
        <v>36</v>
      </c>
      <c r="V489" s="2" t="s">
        <v>37</v>
      </c>
      <c r="W489" s="4" t="s">
        <v>36</v>
      </c>
      <c r="X48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89" s="2" t="str">
        <f>IF(ISNUMBER(SEARCH("onal",tb1_supporters[[#This Row],[Phone_Clean]])),"Review - corrupt phone number", IF(LEN(tb1_supporters[[#This Row],[Phone_Clean]])&gt;11,"Review - too many digits",""))</f>
        <v/>
      </c>
      <c r="Z48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89" s="2" t="str">
        <f>IF(tb1_supporters[[#This Row],[Email]]="","",IF(COUNTIF(tb1_supporters[Email],tb1_supporters[[#This Row],[Email]])&gt;1,"Review - duplicate record, see Supporter_Duplicates tab",""))</f>
        <v/>
      </c>
      <c r="AB489" s="21" t="str">
        <f>IF(tb1_supporters[[#This Row],[Communication_Preference]]="Do Not Contact","DO NOT CONTACT","")</f>
        <v/>
      </c>
      <c r="AE489"/>
    </row>
    <row r="490" spans="1:31" x14ac:dyDescent="0.25">
      <c r="A490" s="3" t="s">
        <v>3205</v>
      </c>
      <c r="B490" s="2" t="s">
        <v>54</v>
      </c>
      <c r="C490" s="2" t="s">
        <v>1085</v>
      </c>
      <c r="D490" s="2" t="s">
        <v>414</v>
      </c>
      <c r="E490" s="2" t="s">
        <v>3206</v>
      </c>
      <c r="F490" s="2" t="s">
        <v>3207</v>
      </c>
      <c r="G490" s="2" t="str">
        <f>TRIM(SUBSTITUTE(SUBSTITUTE(SUBSTITUTE(SUBSTITUTE(tb1_supporters[[#This Row],[Phone_Raw]],"(",""),")","")," ",""),"+44",))</f>
        <v>011776905831</v>
      </c>
      <c r="H490" s="15">
        <v>21188</v>
      </c>
      <c r="I490" s="36">
        <f ca="1">IF(OR(tb1_supporters[[#This Row],[Date_of_Birth]]="",tb1_supporters[[#This Row],[Date_of_Birth]]&gt;TODAY()),"",DATEDIF(tb1_supporters[[#This Row],[Date_of_Birth]],TODAY(),"Y"))</f>
        <v>68</v>
      </c>
      <c r="J49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90" s="2" t="s">
        <v>3209</v>
      </c>
      <c r="L490" s="2" t="s">
        <v>419</v>
      </c>
      <c r="M490" s="2" t="s">
        <v>420</v>
      </c>
      <c r="N490" s="2" t="s">
        <v>421</v>
      </c>
      <c r="O490" s="2" t="s">
        <v>166</v>
      </c>
      <c r="P490" s="2" t="s">
        <v>181</v>
      </c>
      <c r="Q490" s="2" t="s">
        <v>243</v>
      </c>
      <c r="R490" s="15">
        <v>44557</v>
      </c>
      <c r="S490" s="2" t="s">
        <v>105</v>
      </c>
      <c r="T490" s="2" t="s">
        <v>37</v>
      </c>
      <c r="U490" s="2" t="s">
        <v>37</v>
      </c>
      <c r="V490" s="2" t="s">
        <v>37</v>
      </c>
      <c r="W490" s="4" t="s">
        <v>37</v>
      </c>
      <c r="X49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90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49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90" s="2" t="str">
        <f>IF(tb1_supporters[[#This Row],[Email]]="","",IF(COUNTIF(tb1_supporters[Email],tb1_supporters[[#This Row],[Email]])&gt;1,"Review - duplicate record, see Supporter_Duplicates tab",""))</f>
        <v/>
      </c>
      <c r="AB490" s="21" t="str">
        <f>IF(tb1_supporters[[#This Row],[Communication_Preference]]="Do Not Contact","DO NOT CONTACT","")</f>
        <v>DO NOT CONTACT</v>
      </c>
      <c r="AE490"/>
    </row>
    <row r="491" spans="1:31" x14ac:dyDescent="0.25">
      <c r="A491" s="3" t="s">
        <v>3211</v>
      </c>
      <c r="B491" s="2" t="s">
        <v>170</v>
      </c>
      <c r="C491" s="2" t="s">
        <v>472</v>
      </c>
      <c r="D491" s="2" t="s">
        <v>172</v>
      </c>
      <c r="E491" s="2" t="s">
        <v>3212</v>
      </c>
      <c r="F491" s="2" t="s">
        <v>3213</v>
      </c>
      <c r="G491" s="2" t="str">
        <f>TRIM(SUBSTITUTE(SUBSTITUTE(SUBSTITUTE(SUBSTITUTE(tb1_supporters[[#This Row],[Phone_Raw]],"(",""),")","")," ",""),"+44",))</f>
        <v>07432375308</v>
      </c>
      <c r="H491" s="15">
        <v>19726</v>
      </c>
      <c r="I491" s="36">
        <f ca="1">IF(OR(tb1_supporters[[#This Row],[Date_of_Birth]]="",tb1_supporters[[#This Row],[Date_of_Birth]]&gt;TODAY()),"",DATEDIF(tb1_supporters[[#This Row],[Date_of_Birth]],TODAY(),"Y"))</f>
        <v>72</v>
      </c>
      <c r="J49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91" s="2" t="s">
        <v>3215</v>
      </c>
      <c r="L491" s="2" t="s">
        <v>319</v>
      </c>
      <c r="M491" s="2" t="s">
        <v>320</v>
      </c>
      <c r="N491" s="2" t="s">
        <v>321</v>
      </c>
      <c r="O491" s="2" t="s">
        <v>242</v>
      </c>
      <c r="P491" s="2" t="s">
        <v>117</v>
      </c>
      <c r="Q491" s="2" t="s">
        <v>66</v>
      </c>
      <c r="R491" s="15">
        <v>44050</v>
      </c>
      <c r="S491" s="2" t="s">
        <v>4</v>
      </c>
      <c r="T491" s="2" t="s">
        <v>36</v>
      </c>
      <c r="U491" s="2" t="s">
        <v>36</v>
      </c>
      <c r="V491" s="2" t="s">
        <v>36</v>
      </c>
      <c r="W491" s="4" t="s">
        <v>37</v>
      </c>
      <c r="X49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91" s="2" t="str">
        <f>IF(ISNUMBER(SEARCH("onal",tb1_supporters[[#This Row],[Phone_Clean]])),"Review - corrupt phone number", IF(LEN(tb1_supporters[[#This Row],[Phone_Clean]])&gt;11,"Review - too many digits",""))</f>
        <v/>
      </c>
      <c r="Z49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91" s="2" t="str">
        <f>IF(tb1_supporters[[#This Row],[Email]]="","",IF(COUNTIF(tb1_supporters[Email],tb1_supporters[[#This Row],[Email]])&gt;1,"Review - duplicate record, see Supporter_Duplicates tab",""))</f>
        <v/>
      </c>
      <c r="AB491" s="21" t="str">
        <f>IF(tb1_supporters[[#This Row],[Communication_Preference]]="Do Not Contact","DO NOT CONTACT","")</f>
        <v/>
      </c>
      <c r="AE491"/>
    </row>
    <row r="492" spans="1:31" x14ac:dyDescent="0.25">
      <c r="A492" s="3" t="s">
        <v>3217</v>
      </c>
      <c r="B492" s="2" t="s">
        <v>170</v>
      </c>
      <c r="C492" s="2" t="s">
        <v>204</v>
      </c>
      <c r="D492" s="2" t="s">
        <v>630</v>
      </c>
      <c r="E492" s="2" t="s">
        <v>3218</v>
      </c>
      <c r="F492" s="2" t="s">
        <v>3219</v>
      </c>
      <c r="G492" s="2" t="str">
        <f>TRIM(SUBSTITUTE(SUBSTITUTE(SUBSTITUTE(SUBSTITUTE(tb1_supporters[[#This Row],[Phone_Raw]],"(",""),")","")," ",""),"+44",))</f>
        <v>07417266281</v>
      </c>
      <c r="H492" s="15">
        <v>18558</v>
      </c>
      <c r="I492" s="36">
        <f ca="1">IF(OR(tb1_supporters[[#This Row],[Date_of_Birth]]="",tb1_supporters[[#This Row],[Date_of_Birth]]&gt;TODAY()),"",DATEDIF(tb1_supporters[[#This Row],[Date_of_Birth]],TODAY(),"Y"))</f>
        <v>75</v>
      </c>
      <c r="J49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92" s="2" t="s">
        <v>3221</v>
      </c>
      <c r="L492" s="2" t="s">
        <v>138</v>
      </c>
      <c r="M492" s="2" t="s">
        <v>139</v>
      </c>
      <c r="N492" s="2" t="s">
        <v>140</v>
      </c>
      <c r="O492" s="2" t="s">
        <v>242</v>
      </c>
      <c r="P492" s="2" t="s">
        <v>33</v>
      </c>
      <c r="Q492" s="2" t="s">
        <v>192</v>
      </c>
      <c r="R492" s="15">
        <v>43688</v>
      </c>
      <c r="S492" s="2" t="s">
        <v>4</v>
      </c>
      <c r="T492" s="2" t="s">
        <v>36</v>
      </c>
      <c r="U492" s="2" t="s">
        <v>36</v>
      </c>
      <c r="V492" s="2" t="s">
        <v>36</v>
      </c>
      <c r="W492" s="4" t="s">
        <v>37</v>
      </c>
      <c r="X49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92" s="2" t="str">
        <f>IF(ISNUMBER(SEARCH("onal",tb1_supporters[[#This Row],[Phone_Clean]])),"Review - corrupt phone number", IF(LEN(tb1_supporters[[#This Row],[Phone_Clean]])&gt;11,"Review - too many digits",""))</f>
        <v/>
      </c>
      <c r="Z49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92" s="2" t="str">
        <f>IF(tb1_supporters[[#This Row],[Email]]="","",IF(COUNTIF(tb1_supporters[Email],tb1_supporters[[#This Row],[Email]])&gt;1,"Review - duplicate record, see Supporter_Duplicates tab",""))</f>
        <v/>
      </c>
      <c r="AB492" s="21" t="str">
        <f>IF(tb1_supporters[[#This Row],[Communication_Preference]]="Do Not Contact","DO NOT CONTACT","")</f>
        <v/>
      </c>
      <c r="AE492"/>
    </row>
    <row r="493" spans="1:31" x14ac:dyDescent="0.25">
      <c r="A493" s="3" t="s">
        <v>3223</v>
      </c>
      <c r="B493" s="2" t="s">
        <v>22</v>
      </c>
      <c r="C493" s="2" t="s">
        <v>1038</v>
      </c>
      <c r="D493" s="2" t="s">
        <v>819</v>
      </c>
      <c r="E493" s="2" t="s">
        <v>3224</v>
      </c>
      <c r="F493" s="2" t="s">
        <v>3225</v>
      </c>
      <c r="G493" s="2" t="str">
        <f>TRIM(SUBSTITUTE(SUBSTITUTE(SUBSTITUTE(SUBSTITUTE(tb1_supporters[[#This Row],[Phone_Raw]],"(",""),")","")," ",""),"+44",))</f>
        <v>07946113881</v>
      </c>
      <c r="H493" s="15">
        <v>23387</v>
      </c>
      <c r="I493" s="36">
        <f ca="1">IF(OR(tb1_supporters[[#This Row],[Date_of_Birth]]="",tb1_supporters[[#This Row],[Date_of_Birth]]&gt;TODAY()),"",DATEDIF(tb1_supporters[[#This Row],[Date_of_Birth]],TODAY(),"Y"))</f>
        <v>62</v>
      </c>
      <c r="J49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93" s="2" t="s">
        <v>3227</v>
      </c>
      <c r="L493" s="2" t="s">
        <v>419</v>
      </c>
      <c r="M493" s="2" t="s">
        <v>420</v>
      </c>
      <c r="N493" s="2" t="s">
        <v>421</v>
      </c>
      <c r="O493" s="2" t="s">
        <v>242</v>
      </c>
      <c r="P493" s="2" t="s">
        <v>117</v>
      </c>
      <c r="Q493" s="2" t="s">
        <v>154</v>
      </c>
      <c r="R493" s="15">
        <v>43355</v>
      </c>
      <c r="S493" s="2" t="s">
        <v>4</v>
      </c>
      <c r="T493" s="2" t="s">
        <v>36</v>
      </c>
      <c r="U493" s="2" t="s">
        <v>36</v>
      </c>
      <c r="V493" s="2" t="s">
        <v>37</v>
      </c>
      <c r="W493" s="4" t="s">
        <v>37</v>
      </c>
      <c r="X49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93" s="2" t="str">
        <f>IF(ISNUMBER(SEARCH("onal",tb1_supporters[[#This Row],[Phone_Clean]])),"Review - corrupt phone number", IF(LEN(tb1_supporters[[#This Row],[Phone_Clean]])&gt;11,"Review - too many digits",""))</f>
        <v/>
      </c>
      <c r="Z49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93" s="2" t="str">
        <f>IF(tb1_supporters[[#This Row],[Email]]="","",IF(COUNTIF(tb1_supporters[Email],tb1_supporters[[#This Row],[Email]])&gt;1,"Review - duplicate record, see Supporter_Duplicates tab",""))</f>
        <v/>
      </c>
      <c r="AB493" s="21" t="str">
        <f>IF(tb1_supporters[[#This Row],[Communication_Preference]]="Do Not Contact","DO NOT CONTACT","")</f>
        <v/>
      </c>
      <c r="AE493"/>
    </row>
    <row r="494" spans="1:31" x14ac:dyDescent="0.25">
      <c r="A494" s="3" t="s">
        <v>3229</v>
      </c>
      <c r="B494" s="2" t="s">
        <v>22</v>
      </c>
      <c r="C494" s="2" t="s">
        <v>40</v>
      </c>
      <c r="D494" s="2" t="s">
        <v>504</v>
      </c>
      <c r="E494" s="2" t="s">
        <v>3230</v>
      </c>
      <c r="F494" s="2" t="s">
        <v>3231</v>
      </c>
      <c r="G494" s="2" t="str">
        <f>TRIM(SUBSTITUTE(SUBSTITUTE(SUBSTITUTE(SUBSTITUTE(tb1_supporters[[#This Row],[Phone_Raw]],"(",""),")","")," ",""),"+44",))</f>
        <v>07414439590</v>
      </c>
      <c r="H494" s="15">
        <v>33440</v>
      </c>
      <c r="I494" s="36">
        <f ca="1">IF(OR(tb1_supporters[[#This Row],[Date_of_Birth]]="",tb1_supporters[[#This Row],[Date_of_Birth]]&gt;TODAY()),"",DATEDIF(tb1_supporters[[#This Row],[Date_of_Birth]],TODAY(),"Y"))</f>
        <v>34</v>
      </c>
      <c r="J49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94" s="2" t="s">
        <v>3233</v>
      </c>
      <c r="L494" s="2" t="s">
        <v>509</v>
      </c>
      <c r="M494" s="2" t="s">
        <v>510</v>
      </c>
      <c r="N494" s="2" t="s">
        <v>511</v>
      </c>
      <c r="O494" s="2" t="s">
        <v>242</v>
      </c>
      <c r="P494" s="2" t="s">
        <v>181</v>
      </c>
      <c r="Q494" s="2" t="s">
        <v>50</v>
      </c>
      <c r="R494" s="15">
        <v>44196</v>
      </c>
      <c r="S494" s="2" t="s">
        <v>4</v>
      </c>
      <c r="T494" s="2" t="s">
        <v>37</v>
      </c>
      <c r="U494" s="2" t="s">
        <v>36</v>
      </c>
      <c r="V494" s="2" t="s">
        <v>36</v>
      </c>
      <c r="W494" s="4" t="s">
        <v>36</v>
      </c>
      <c r="X49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email but not opted in</v>
      </c>
      <c r="Y494" s="2" t="str">
        <f>IF(ISNUMBER(SEARCH("onal",tb1_supporters[[#This Row],[Phone_Clean]])),"Review - corrupt phone number", IF(LEN(tb1_supporters[[#This Row],[Phone_Clean]])&gt;11,"Review - too many digits",""))</f>
        <v/>
      </c>
      <c r="Z49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94" s="2" t="str">
        <f>IF(tb1_supporters[[#This Row],[Email]]="","",IF(COUNTIF(tb1_supporters[Email],tb1_supporters[[#This Row],[Email]])&gt;1,"Review - duplicate record, see Supporter_Duplicates tab",""))</f>
        <v/>
      </c>
      <c r="AB494" s="21" t="str">
        <f>IF(tb1_supporters[[#This Row],[Communication_Preference]]="Do Not Contact","DO NOT CONTACT","")</f>
        <v/>
      </c>
      <c r="AE494"/>
    </row>
    <row r="495" spans="1:31" x14ac:dyDescent="0.25">
      <c r="A495" s="3" t="s">
        <v>3235</v>
      </c>
      <c r="B495" s="2" t="s">
        <v>402</v>
      </c>
      <c r="C495" s="2" t="s">
        <v>1038</v>
      </c>
      <c r="D495" s="2" t="s">
        <v>96</v>
      </c>
      <c r="E495" s="2" t="s">
        <v>3237</v>
      </c>
      <c r="F495" s="2" t="s">
        <v>3238</v>
      </c>
      <c r="G495" s="2" t="str">
        <f>TRIM(SUBSTITUTE(SUBSTITUTE(SUBSTITUTE(SUBSTITUTE(tb1_supporters[[#This Row],[Phone_Raw]],"(",""),")","")," ",""),"+44",))</f>
        <v>07537494250</v>
      </c>
      <c r="H495" s="15">
        <v>16611</v>
      </c>
      <c r="I495" s="36">
        <f ca="1">IF(OR(tb1_supporters[[#This Row],[Date_of_Birth]]="",tb1_supporters[[#This Row],[Date_of_Birth]]&gt;TODAY()),"",DATEDIF(tb1_supporters[[#This Row],[Date_of_Birth]],TODAY(),"Y"))</f>
        <v>80</v>
      </c>
      <c r="J49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95" s="2" t="s">
        <v>3240</v>
      </c>
      <c r="L495" s="2" t="s">
        <v>429</v>
      </c>
      <c r="M495" s="2" t="s">
        <v>430</v>
      </c>
      <c r="N495" s="2" t="s">
        <v>431</v>
      </c>
      <c r="O495" s="2" t="s">
        <v>242</v>
      </c>
      <c r="P495" s="2" t="s">
        <v>33</v>
      </c>
      <c r="Q495" s="2" t="s">
        <v>4888</v>
      </c>
      <c r="R495" s="15">
        <v>44676</v>
      </c>
      <c r="S495" s="2" t="s">
        <v>93</v>
      </c>
      <c r="T495" s="2" t="s">
        <v>36</v>
      </c>
      <c r="U495" s="2" t="s">
        <v>36</v>
      </c>
      <c r="V495" s="2" t="s">
        <v>36</v>
      </c>
      <c r="W495" s="4" t="s">
        <v>36</v>
      </c>
      <c r="X49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95" s="2" t="str">
        <f>IF(ISNUMBER(SEARCH("onal",tb1_supporters[[#This Row],[Phone_Clean]])),"Review - corrupt phone number", IF(LEN(tb1_supporters[[#This Row],[Phone_Clean]])&gt;11,"Review - too many digits",""))</f>
        <v/>
      </c>
      <c r="Z49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95" s="2" t="str">
        <f>IF(tb1_supporters[[#This Row],[Email]]="","",IF(COUNTIF(tb1_supporters[Email],tb1_supporters[[#This Row],[Email]])&gt;1,"Review - duplicate record, see Supporter_Duplicates tab",""))</f>
        <v/>
      </c>
      <c r="AB495" s="21" t="str">
        <f>IF(tb1_supporters[[#This Row],[Communication_Preference]]="Do Not Contact","DO NOT CONTACT","")</f>
        <v/>
      </c>
      <c r="AE495"/>
    </row>
    <row r="496" spans="1:31" x14ac:dyDescent="0.25">
      <c r="A496" s="3" t="s">
        <v>3242</v>
      </c>
      <c r="B496" s="2" t="s">
        <v>54</v>
      </c>
      <c r="C496" s="2" t="s">
        <v>55</v>
      </c>
      <c r="D496" s="2" t="s">
        <v>554</v>
      </c>
      <c r="E496" s="2" t="s">
        <v>3243</v>
      </c>
      <c r="F496" s="2" t="s">
        <v>3244</v>
      </c>
      <c r="G496" s="2" t="str">
        <f>TRIM(SUBSTITUTE(SUBSTITUTE(SUBSTITUTE(SUBSTITUTE(tb1_supporters[[#This Row],[Phone_Raw]],"(",""),")","")," ",""),"+44",))</f>
        <v>7254282538</v>
      </c>
      <c r="H496" s="15">
        <v>34538</v>
      </c>
      <c r="I496" s="36">
        <f ca="1">IF(OR(tb1_supporters[[#This Row],[Date_of_Birth]]="",tb1_supporters[[#This Row],[Date_of_Birth]]&gt;TODAY()),"",DATEDIF(tb1_supporters[[#This Row],[Date_of_Birth]],TODAY(),"Y"))</f>
        <v>31</v>
      </c>
      <c r="J49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96" s="2" t="s">
        <v>3246</v>
      </c>
      <c r="L496" s="2" t="s">
        <v>100</v>
      </c>
      <c r="M496" s="2" t="s">
        <v>101</v>
      </c>
      <c r="N496" s="2" t="s">
        <v>343</v>
      </c>
      <c r="O496" s="2" t="s">
        <v>166</v>
      </c>
      <c r="P496" s="2" t="s">
        <v>117</v>
      </c>
      <c r="Q496" s="2" t="s">
        <v>4888</v>
      </c>
      <c r="R496" s="15">
        <v>44842</v>
      </c>
      <c r="S496" s="2" t="s">
        <v>5</v>
      </c>
      <c r="T496" s="2" t="s">
        <v>36</v>
      </c>
      <c r="U496" s="2" t="s">
        <v>36</v>
      </c>
      <c r="V496" s="2" t="s">
        <v>37</v>
      </c>
      <c r="W496" s="4" t="s">
        <v>37</v>
      </c>
      <c r="X49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496" s="2" t="str">
        <f>IF(ISNUMBER(SEARCH("onal",tb1_supporters[[#This Row],[Phone_Clean]])),"Review - corrupt phone number", IF(LEN(tb1_supporters[[#This Row],[Phone_Clean]])&gt;11,"Review - too many digits",""))</f>
        <v/>
      </c>
      <c r="Z49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96" s="2" t="str">
        <f>IF(tb1_supporters[[#This Row],[Email]]="","",IF(COUNTIF(tb1_supporters[Email],tb1_supporters[[#This Row],[Email]])&gt;1,"Review - duplicate record, see Supporter_Duplicates tab",""))</f>
        <v/>
      </c>
      <c r="AB496" s="21" t="str">
        <f>IF(tb1_supporters[[#This Row],[Communication_Preference]]="Do Not Contact","DO NOT CONTACT","")</f>
        <v/>
      </c>
      <c r="AE496"/>
    </row>
    <row r="497" spans="1:31" x14ac:dyDescent="0.25">
      <c r="A497" s="3" t="s">
        <v>3248</v>
      </c>
      <c r="B497" s="2" t="s">
        <v>235</v>
      </c>
      <c r="C497" s="2" t="s">
        <v>1689</v>
      </c>
      <c r="D497" s="2" t="s">
        <v>83</v>
      </c>
      <c r="E497" s="2" t="s">
        <v>3249</v>
      </c>
      <c r="F497" s="2" t="s">
        <v>3250</v>
      </c>
      <c r="G497" s="2" t="str">
        <f>TRIM(SUBSTITUTE(SUBSTITUTE(SUBSTITUTE(SUBSTITUTE(tb1_supporters[[#This Row],[Phone_Raw]],"(",""),")","")," ",""),"+44",))</f>
        <v>07896771250</v>
      </c>
      <c r="H497" s="15">
        <v>23570</v>
      </c>
      <c r="I497" s="36">
        <f ca="1">IF(OR(tb1_supporters[[#This Row],[Date_of_Birth]]="",tb1_supporters[[#This Row],[Date_of_Birth]]&gt;TODAY()),"",DATEDIF(tb1_supporters[[#This Row],[Date_of_Birth]],TODAY(),"Y"))</f>
        <v>61</v>
      </c>
      <c r="J49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497" s="2" t="s">
        <v>3252</v>
      </c>
      <c r="L497" s="2" t="s">
        <v>397</v>
      </c>
      <c r="M497" s="2" t="s">
        <v>220</v>
      </c>
      <c r="N497" s="2" t="s">
        <v>398</v>
      </c>
      <c r="O497" s="2" t="s">
        <v>242</v>
      </c>
      <c r="P497" s="2" t="s">
        <v>4887</v>
      </c>
      <c r="Q497" s="2" t="s">
        <v>66</v>
      </c>
      <c r="R497" s="15">
        <v>45060</v>
      </c>
      <c r="S497" s="2" t="s">
        <v>4</v>
      </c>
      <c r="T497" s="2" t="s">
        <v>36</v>
      </c>
      <c r="U497" s="2" t="s">
        <v>36</v>
      </c>
      <c r="V497" s="2" t="s">
        <v>37</v>
      </c>
      <c r="W497" s="4" t="s">
        <v>37</v>
      </c>
      <c r="X49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97" s="2" t="str">
        <f>IF(ISNUMBER(SEARCH("onal",tb1_supporters[[#This Row],[Phone_Clean]])),"Review - corrupt phone number", IF(LEN(tb1_supporters[[#This Row],[Phone_Clean]])&gt;11,"Review - too many digits",""))</f>
        <v/>
      </c>
      <c r="Z49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97" s="2" t="str">
        <f>IF(tb1_supporters[[#This Row],[Email]]="","",IF(COUNTIF(tb1_supporters[Email],tb1_supporters[[#This Row],[Email]])&gt;1,"Review - duplicate record, see Supporter_Duplicates tab",""))</f>
        <v/>
      </c>
      <c r="AB497" s="21" t="str">
        <f>IF(tb1_supporters[[#This Row],[Communication_Preference]]="Do Not Contact","DO NOT CONTACT","")</f>
        <v/>
      </c>
      <c r="AE497"/>
    </row>
    <row r="498" spans="1:31" x14ac:dyDescent="0.25">
      <c r="A498" s="3" t="s">
        <v>3254</v>
      </c>
      <c r="B498" s="2"/>
      <c r="C498" s="2" t="s">
        <v>3255</v>
      </c>
      <c r="D498" s="2" t="s">
        <v>205</v>
      </c>
      <c r="E498" s="2" t="s">
        <v>3256</v>
      </c>
      <c r="F498" s="2" t="s">
        <v>3257</v>
      </c>
      <c r="G498" s="2" t="str">
        <f>TRIM(SUBSTITUTE(SUBSTITUTE(SUBSTITUTE(SUBSTITUTE(tb1_supporters[[#This Row],[Phone_Raw]],"(",""),")","")," ",""),"+44",))</f>
        <v>01817166463</v>
      </c>
      <c r="H498" s="15">
        <v>11255</v>
      </c>
      <c r="I498" s="36">
        <f ca="1">IF(OR(tb1_supporters[[#This Row],[Date_of_Birth]]="",tb1_supporters[[#This Row],[Date_of_Birth]]&gt;TODAY()),"",DATEDIF(tb1_supporters[[#This Row],[Date_of_Birth]],TODAY(),"Y"))</f>
        <v>95</v>
      </c>
      <c r="J49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498" s="2" t="s">
        <v>3259</v>
      </c>
      <c r="L498" s="2" t="s">
        <v>319</v>
      </c>
      <c r="M498" s="2" t="s">
        <v>320</v>
      </c>
      <c r="N498" s="2" t="s">
        <v>321</v>
      </c>
      <c r="O498" s="2" t="s">
        <v>166</v>
      </c>
      <c r="P498" s="2" t="s">
        <v>33</v>
      </c>
      <c r="Q498" s="2" t="s">
        <v>66</v>
      </c>
      <c r="R498" s="15">
        <v>44874</v>
      </c>
      <c r="S498" s="2" t="s">
        <v>52</v>
      </c>
      <c r="T498" s="2" t="s">
        <v>37</v>
      </c>
      <c r="U498" s="2" t="s">
        <v>36</v>
      </c>
      <c r="V498" s="2" t="s">
        <v>37</v>
      </c>
      <c r="W498" s="4" t="s">
        <v>37</v>
      </c>
      <c r="X49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98" s="2" t="str">
        <f>IF(ISNUMBER(SEARCH("onal",tb1_supporters[[#This Row],[Phone_Clean]])),"Review - corrupt phone number", IF(LEN(tb1_supporters[[#This Row],[Phone_Clean]])&gt;11,"Review - too many digits",""))</f>
        <v/>
      </c>
      <c r="Z49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98" s="2" t="str">
        <f>IF(tb1_supporters[[#This Row],[Email]]="","",IF(COUNTIF(tb1_supporters[Email],tb1_supporters[[#This Row],[Email]])&gt;1,"Review - duplicate record, see Supporter_Duplicates tab",""))</f>
        <v/>
      </c>
      <c r="AB498" s="21" t="str">
        <f>IF(tb1_supporters[[#This Row],[Communication_Preference]]="Do Not Contact","DO NOT CONTACT","")</f>
        <v/>
      </c>
      <c r="AE498"/>
    </row>
    <row r="499" spans="1:31" x14ac:dyDescent="0.25">
      <c r="A499" s="3" t="s">
        <v>3261</v>
      </c>
      <c r="B499" s="2" t="s">
        <v>22</v>
      </c>
      <c r="C499" s="2" t="s">
        <v>403</v>
      </c>
      <c r="D499" s="2" t="s">
        <v>325</v>
      </c>
      <c r="E499" s="2" t="s">
        <v>3262</v>
      </c>
      <c r="F499" s="2" t="s">
        <v>3263</v>
      </c>
      <c r="G499" s="2" t="str">
        <f>TRIM(SUBSTITUTE(SUBSTITUTE(SUBSTITUTE(SUBSTITUTE(tb1_supporters[[#This Row],[Phone_Raw]],"(",""),")","")," ",""),"+44",))</f>
        <v>07470102308</v>
      </c>
      <c r="H499" s="15">
        <v>34128</v>
      </c>
      <c r="I499" s="36">
        <f ca="1">IF(OR(tb1_supporters[[#This Row],[Date_of_Birth]]="",tb1_supporters[[#This Row],[Date_of_Birth]]&gt;TODAY()),"",DATEDIF(tb1_supporters[[#This Row],[Date_of_Birth]],TODAY(),"Y"))</f>
        <v>32</v>
      </c>
      <c r="J499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499" s="2" t="s">
        <v>3019</v>
      </c>
      <c r="L499" s="2" t="s">
        <v>693</v>
      </c>
      <c r="M499" s="2" t="s">
        <v>694</v>
      </c>
      <c r="N499" s="2" t="s">
        <v>695</v>
      </c>
      <c r="O499" s="2" t="s">
        <v>242</v>
      </c>
      <c r="P499" s="2" t="s">
        <v>49</v>
      </c>
      <c r="Q499" s="2" t="s">
        <v>50</v>
      </c>
      <c r="R499" s="15">
        <v>45042</v>
      </c>
      <c r="S499" s="2" t="s">
        <v>5</v>
      </c>
      <c r="T499" s="2" t="s">
        <v>36</v>
      </c>
      <c r="U499" s="2" t="s">
        <v>36</v>
      </c>
      <c r="V499" s="2" t="s">
        <v>36</v>
      </c>
      <c r="W499" s="4" t="s">
        <v>37</v>
      </c>
      <c r="X499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499" s="2" t="str">
        <f>IF(ISNUMBER(SEARCH("onal",tb1_supporters[[#This Row],[Phone_Clean]])),"Review - corrupt phone number", IF(LEN(tb1_supporters[[#This Row],[Phone_Clean]])&gt;11,"Review - too many digits",""))</f>
        <v/>
      </c>
      <c r="Z499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499" s="2" t="str">
        <f>IF(tb1_supporters[[#This Row],[Email]]="","",IF(COUNTIF(tb1_supporters[Email],tb1_supporters[[#This Row],[Email]])&gt;1,"Review - duplicate record, see Supporter_Duplicates tab",""))</f>
        <v/>
      </c>
      <c r="AB499" s="21" t="str">
        <f>IF(tb1_supporters[[#This Row],[Communication_Preference]]="Do Not Contact","DO NOT CONTACT","")</f>
        <v/>
      </c>
      <c r="AE499"/>
    </row>
    <row r="500" spans="1:31" x14ac:dyDescent="0.25">
      <c r="A500" s="3" t="s">
        <v>3266</v>
      </c>
      <c r="B500" s="2" t="s">
        <v>22</v>
      </c>
      <c r="C500" s="2" t="s">
        <v>95</v>
      </c>
      <c r="D500" s="2" t="s">
        <v>810</v>
      </c>
      <c r="E500" s="2" t="s">
        <v>3267</v>
      </c>
      <c r="F500" s="2" t="s">
        <v>3268</v>
      </c>
      <c r="G500" s="2" t="str">
        <f>TRIM(SUBSTITUTE(SUBSTITUTE(SUBSTITUTE(SUBSTITUTE(tb1_supporters[[#This Row],[Phone_Raw]],"(",""),")","")," ",""),"+44",))</f>
        <v>011729203344</v>
      </c>
      <c r="H500" s="15">
        <v>24354</v>
      </c>
      <c r="I500" s="36">
        <f ca="1">IF(OR(tb1_supporters[[#This Row],[Date_of_Birth]]="",tb1_supporters[[#This Row],[Date_of_Birth]]&gt;TODAY()),"",DATEDIF(tb1_supporters[[#This Row],[Date_of_Birth]],TODAY(),"Y"))</f>
        <v>59</v>
      </c>
      <c r="J500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500" s="2" t="s">
        <v>3270</v>
      </c>
      <c r="L500" s="2" t="s">
        <v>531</v>
      </c>
      <c r="M500" s="2" t="s">
        <v>532</v>
      </c>
      <c r="N500" s="2" t="s">
        <v>4869</v>
      </c>
      <c r="O500" s="2" t="s">
        <v>242</v>
      </c>
      <c r="P500" s="2" t="s">
        <v>4887</v>
      </c>
      <c r="Q500" s="2" t="s">
        <v>141</v>
      </c>
      <c r="R500" s="15">
        <v>43381</v>
      </c>
      <c r="S500" s="2" t="s">
        <v>93</v>
      </c>
      <c r="T500" s="2" t="s">
        <v>36</v>
      </c>
      <c r="U500" s="2" t="s">
        <v>37</v>
      </c>
      <c r="V500" s="2" t="s">
        <v>36</v>
      </c>
      <c r="W500" s="4" t="s">
        <v>37</v>
      </c>
      <c r="X500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500" s="2" t="str">
        <f>IF(ISNUMBER(SEARCH("onal",tb1_supporters[[#This Row],[Phone_Clean]])),"Review - corrupt phone number", IF(LEN(tb1_supporters[[#This Row],[Phone_Clean]])&gt;11,"Review - too many digits",""))</f>
        <v>Review - too many digits</v>
      </c>
      <c r="Z500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00" s="2" t="str">
        <f>IF(tb1_supporters[[#This Row],[Email]]="","",IF(COUNTIF(tb1_supporters[Email],tb1_supporters[[#This Row],[Email]])&gt;1,"Review - duplicate record, see Supporter_Duplicates tab",""))</f>
        <v/>
      </c>
      <c r="AB500" s="21" t="str">
        <f>IF(tb1_supporters[[#This Row],[Communication_Preference]]="Do Not Contact","DO NOT CONTACT","")</f>
        <v/>
      </c>
      <c r="AE500"/>
    </row>
    <row r="501" spans="1:31" x14ac:dyDescent="0.25">
      <c r="A501" s="3" t="s">
        <v>3272</v>
      </c>
      <c r="B501" s="2" t="s">
        <v>235</v>
      </c>
      <c r="C501" s="2" t="s">
        <v>413</v>
      </c>
      <c r="D501" s="2" t="s">
        <v>1039</v>
      </c>
      <c r="E501" s="2" t="s">
        <v>3273</v>
      </c>
      <c r="F501" s="2" t="s">
        <v>3274</v>
      </c>
      <c r="G501" s="2" t="str">
        <f>TRIM(SUBSTITUTE(SUBSTITUTE(SUBSTITUTE(SUBSTITUTE(tb1_supporters[[#This Row],[Phone_Raw]],"(",""),")","")," ",""),"+44",))</f>
        <v>07883286581</v>
      </c>
      <c r="H501" s="15">
        <v>32446</v>
      </c>
      <c r="I501" s="36">
        <f ca="1">IF(OR(tb1_supporters[[#This Row],[Date_of_Birth]]="",tb1_supporters[[#This Row],[Date_of_Birth]]&gt;TODAY()),"",DATEDIF(tb1_supporters[[#This Row],[Date_of_Birth]],TODAY(),"Y"))</f>
        <v>37</v>
      </c>
      <c r="J501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501" s="2" t="s">
        <v>3276</v>
      </c>
      <c r="L501" s="2" t="s">
        <v>509</v>
      </c>
      <c r="M501" s="2" t="s">
        <v>510</v>
      </c>
      <c r="N501" s="2" t="s">
        <v>4869</v>
      </c>
      <c r="O501" s="2" t="s">
        <v>242</v>
      </c>
      <c r="P501" s="2" t="s">
        <v>91</v>
      </c>
      <c r="Q501" s="2" t="s">
        <v>66</v>
      </c>
      <c r="R501" s="15">
        <v>44786</v>
      </c>
      <c r="S501" s="2" t="s">
        <v>5</v>
      </c>
      <c r="T501" s="2" t="s">
        <v>36</v>
      </c>
      <c r="U501" s="2" t="s">
        <v>36</v>
      </c>
      <c r="V501" s="2" t="s">
        <v>37</v>
      </c>
      <c r="W501" s="4" t="s">
        <v>36</v>
      </c>
      <c r="X501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501" s="2" t="str">
        <f>IF(ISNUMBER(SEARCH("onal",tb1_supporters[[#This Row],[Phone_Clean]])),"Review - corrupt phone number", IF(LEN(tb1_supporters[[#This Row],[Phone_Clean]])&gt;11,"Review - too many digits",""))</f>
        <v/>
      </c>
      <c r="Z501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01" s="2" t="str">
        <f>IF(tb1_supporters[[#This Row],[Email]]="","",IF(COUNTIF(tb1_supporters[Email],tb1_supporters[[#This Row],[Email]])&gt;1,"Review - duplicate record, see Supporter_Duplicates tab",""))</f>
        <v/>
      </c>
      <c r="AB501" s="21" t="str">
        <f>IF(tb1_supporters[[#This Row],[Communication_Preference]]="Do Not Contact","DO NOT CONTACT","")</f>
        <v/>
      </c>
      <c r="AE501"/>
    </row>
    <row r="502" spans="1:31" x14ac:dyDescent="0.25">
      <c r="A502" s="3" t="s">
        <v>3278</v>
      </c>
      <c r="B502" s="2" t="s">
        <v>54</v>
      </c>
      <c r="C502" s="2" t="s">
        <v>3279</v>
      </c>
      <c r="D502" s="2" t="s">
        <v>158</v>
      </c>
      <c r="E502" s="2" t="s">
        <v>159</v>
      </c>
      <c r="F502" s="2"/>
      <c r="G502" s="2" t="str">
        <f>TRIM(SUBSTITUTE(SUBSTITUTE(SUBSTITUTE(SUBSTITUTE(tb1_supporters[[#This Row],[Phone_Raw]],"(",""),")","")," ",""),"+44",))</f>
        <v/>
      </c>
      <c r="H502" s="15">
        <v>24461</v>
      </c>
      <c r="I502" s="36">
        <f ca="1">IF(OR(tb1_supporters[[#This Row],[Date_of_Birth]]="",tb1_supporters[[#This Row],[Date_of_Birth]]&gt;TODAY()),"",DATEDIF(tb1_supporters[[#This Row],[Date_of_Birth]],TODAY(),"Y"))</f>
        <v>59</v>
      </c>
      <c r="J502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502" s="2" t="s">
        <v>162</v>
      </c>
      <c r="L502" s="2" t="s">
        <v>163</v>
      </c>
      <c r="M502" s="2" t="s">
        <v>164</v>
      </c>
      <c r="N502" s="2" t="s">
        <v>165</v>
      </c>
      <c r="O502" s="2" t="s">
        <v>166</v>
      </c>
      <c r="P502" s="2" t="s">
        <v>4887</v>
      </c>
      <c r="Q502" s="2" t="s">
        <v>154</v>
      </c>
      <c r="R502" s="15">
        <v>44561</v>
      </c>
      <c r="S502" s="2" t="s">
        <v>93</v>
      </c>
      <c r="T502" s="2" t="s">
        <v>36</v>
      </c>
      <c r="U502" s="2" t="s">
        <v>36</v>
      </c>
      <c r="V502" s="2" t="s">
        <v>36</v>
      </c>
      <c r="W502" s="4" t="s">
        <v>37</v>
      </c>
      <c r="X502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02" s="2" t="str">
        <f>IF(ISNUMBER(SEARCH("onal",tb1_supporters[[#This Row],[Phone_Clean]])),"Review - corrupt phone number", IF(LEN(tb1_supporters[[#This Row],[Phone_Clean]])&gt;11,"Review - too many digits",""))</f>
        <v/>
      </c>
      <c r="Z502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02" s="2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502" s="21" t="str">
        <f>IF(tb1_supporters[[#This Row],[Communication_Preference]]="Do Not Contact","DO NOT CONTACT","")</f>
        <v/>
      </c>
      <c r="AE502"/>
    </row>
    <row r="503" spans="1:31" x14ac:dyDescent="0.25">
      <c r="A503" s="3" t="s">
        <v>3281</v>
      </c>
      <c r="B503" s="2"/>
      <c r="C503" s="2" t="s">
        <v>472</v>
      </c>
      <c r="D503" s="2" t="s">
        <v>473</v>
      </c>
      <c r="E503" s="2" t="s">
        <v>474</v>
      </c>
      <c r="F503" s="2" t="s">
        <v>475</v>
      </c>
      <c r="G503" s="2" t="str">
        <f>TRIM(SUBSTITUTE(SUBSTITUTE(SUBSTITUTE(SUBSTITUTE(tb1_supporters[[#This Row],[Phone_Raw]],"(",""),")","")," ",""),"+44",))</f>
        <v>07665881656</v>
      </c>
      <c r="H503" s="15">
        <v>11098</v>
      </c>
      <c r="I503" s="36">
        <f ca="1">IF(OR(tb1_supporters[[#This Row],[Date_of_Birth]]="",tb1_supporters[[#This Row],[Date_of_Birth]]&gt;TODAY()),"",DATEDIF(tb1_supporters[[#This Row],[Date_of_Birth]],TODAY(),"Y"))</f>
        <v>96</v>
      </c>
      <c r="J503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503" s="2" t="s">
        <v>477</v>
      </c>
      <c r="L503" s="2" t="s">
        <v>429</v>
      </c>
      <c r="M503" s="2" t="s">
        <v>430</v>
      </c>
      <c r="N503" s="2" t="s">
        <v>431</v>
      </c>
      <c r="O503" s="2" t="s">
        <v>242</v>
      </c>
      <c r="P503" s="2" t="s">
        <v>49</v>
      </c>
      <c r="Q503" s="2" t="s">
        <v>243</v>
      </c>
      <c r="R503" s="15">
        <v>44475</v>
      </c>
      <c r="S503" s="2" t="s">
        <v>93</v>
      </c>
      <c r="T503" s="2" t="s">
        <v>36</v>
      </c>
      <c r="U503" s="2" t="s">
        <v>37</v>
      </c>
      <c r="V503" s="2" t="s">
        <v>37</v>
      </c>
      <c r="W503" s="4" t="s">
        <v>36</v>
      </c>
      <c r="X503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503" s="2" t="str">
        <f>IF(ISNUMBER(SEARCH("onal",tb1_supporters[[#This Row],[Phone_Clean]])),"Review - corrupt phone number", IF(LEN(tb1_supporters[[#This Row],[Phone_Clean]])&gt;11,"Review - too many digits",""))</f>
        <v/>
      </c>
      <c r="Z503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03" s="2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503" s="21" t="str">
        <f>IF(tb1_supporters[[#This Row],[Communication_Preference]]="Do Not Contact","DO NOT CONTACT","")</f>
        <v/>
      </c>
      <c r="AE503"/>
    </row>
    <row r="504" spans="1:31" x14ac:dyDescent="0.25">
      <c r="A504" s="3" t="s">
        <v>3284</v>
      </c>
      <c r="B504" s="2" t="s">
        <v>69</v>
      </c>
      <c r="C504" s="2" t="s">
        <v>337</v>
      </c>
      <c r="D504" s="2" t="s">
        <v>711</v>
      </c>
      <c r="E504" s="2" t="s">
        <v>724</v>
      </c>
      <c r="F504" s="2" t="s">
        <v>725</v>
      </c>
      <c r="G504" s="2" t="str">
        <f>TRIM(SUBSTITUTE(SUBSTITUTE(SUBSTITUTE(SUBSTITUTE(tb1_supporters[[#This Row],[Phone_Raw]],"(",""),")","")," ",""),"+44",))</f>
        <v>07224148344</v>
      </c>
      <c r="H504" s="15">
        <v>14687</v>
      </c>
      <c r="I504" s="36">
        <f ca="1">IF(OR(tb1_supporters[[#This Row],[Date_of_Birth]]="",tb1_supporters[[#This Row],[Date_of_Birth]]&gt;TODAY()),"",DATEDIF(tb1_supporters[[#This Row],[Date_of_Birth]],TODAY(),"Y"))</f>
        <v>86</v>
      </c>
      <c r="J504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504" s="2" t="s">
        <v>727</v>
      </c>
      <c r="L504" s="2" t="s">
        <v>693</v>
      </c>
      <c r="M504" s="2" t="s">
        <v>694</v>
      </c>
      <c r="N504" s="2" t="s">
        <v>695</v>
      </c>
      <c r="O504" s="2" t="s">
        <v>166</v>
      </c>
      <c r="P504" s="2" t="s">
        <v>153</v>
      </c>
      <c r="Q504" s="2" t="s">
        <v>192</v>
      </c>
      <c r="R504" s="15">
        <v>45270</v>
      </c>
      <c r="S504" s="2" t="s">
        <v>4</v>
      </c>
      <c r="T504" s="2" t="s">
        <v>36</v>
      </c>
      <c r="U504" s="2" t="s">
        <v>37</v>
      </c>
      <c r="V504" s="2" t="s">
        <v>37</v>
      </c>
      <c r="W504" s="4" t="s">
        <v>36</v>
      </c>
      <c r="X504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04" s="2" t="str">
        <f>IF(ISNUMBER(SEARCH("onal",tb1_supporters[[#This Row],[Phone_Clean]])),"Review - corrupt phone number", IF(LEN(tb1_supporters[[#This Row],[Phone_Clean]])&gt;11,"Review - too many digits",""))</f>
        <v/>
      </c>
      <c r="Z504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04" s="2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504" s="21" t="str">
        <f>IF(tb1_supporters[[#This Row],[Communication_Preference]]="Do Not Contact","DO NOT CONTACT","")</f>
        <v/>
      </c>
      <c r="AE504"/>
    </row>
    <row r="505" spans="1:31" x14ac:dyDescent="0.25">
      <c r="A505" s="3" t="s">
        <v>3287</v>
      </c>
      <c r="B505" s="2" t="s">
        <v>54</v>
      </c>
      <c r="C505" s="2" t="s">
        <v>1001</v>
      </c>
      <c r="D505" s="2" t="s">
        <v>108</v>
      </c>
      <c r="E505" s="2" t="s">
        <v>3288</v>
      </c>
      <c r="F505" s="2" t="s">
        <v>1003</v>
      </c>
      <c r="G505" s="2" t="str">
        <f>TRIM(SUBSTITUTE(SUBSTITUTE(SUBSTITUTE(SUBSTITUTE(tb1_supporters[[#This Row],[Phone_Raw]],"(",""),")","")," ",""),"+44",))</f>
        <v>07515488486</v>
      </c>
      <c r="H505" s="15">
        <v>22307</v>
      </c>
      <c r="I505" s="36">
        <f ca="1">IF(OR(tb1_supporters[[#This Row],[Date_of_Birth]]="",tb1_supporters[[#This Row],[Date_of_Birth]]&gt;TODAY()),"",DATEDIF(tb1_supporters[[#This Row],[Date_of_Birth]],TODAY(),"Y"))</f>
        <v>65</v>
      </c>
      <c r="J505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505" s="2" t="s">
        <v>1005</v>
      </c>
      <c r="L505" s="2" t="s">
        <v>387</v>
      </c>
      <c r="M505" s="2" t="s">
        <v>388</v>
      </c>
      <c r="N505" s="2" t="s">
        <v>389</v>
      </c>
      <c r="O505" s="2" t="s">
        <v>166</v>
      </c>
      <c r="P505" s="2" t="s">
        <v>181</v>
      </c>
      <c r="Q505" s="2" t="s">
        <v>4888</v>
      </c>
      <c r="R505" s="15">
        <v>44862</v>
      </c>
      <c r="S505" s="2" t="s">
        <v>4</v>
      </c>
      <c r="T505" s="2" t="s">
        <v>36</v>
      </c>
      <c r="U505" s="2" t="s">
        <v>36</v>
      </c>
      <c r="V505" s="2" t="s">
        <v>37</v>
      </c>
      <c r="W505" s="4" t="s">
        <v>37</v>
      </c>
      <c r="X505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05" s="2" t="str">
        <f>IF(ISNUMBER(SEARCH("onal",tb1_supporters[[#This Row],[Phone_Clean]])),"Review - corrupt phone number", IF(LEN(tb1_supporters[[#This Row],[Phone_Clean]])&gt;11,"Review - too many digits",""))</f>
        <v/>
      </c>
      <c r="Z505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05" s="2" t="str">
        <f>IF(tb1_supporters[[#This Row],[Email]]="","",IF(COUNTIF(tb1_supporters[Email],tb1_supporters[[#This Row],[Email]])&gt;1,"Review - duplicate record, see Supporter_Duplicates tab",""))</f>
        <v/>
      </c>
      <c r="AB505" s="21" t="str">
        <f>IF(tb1_supporters[[#This Row],[Communication_Preference]]="Do Not Contact","DO NOT CONTACT","")</f>
        <v/>
      </c>
      <c r="AE505"/>
    </row>
    <row r="506" spans="1:31" x14ac:dyDescent="0.25">
      <c r="A506" s="3" t="s">
        <v>3290</v>
      </c>
      <c r="B506" s="2" t="s">
        <v>170</v>
      </c>
      <c r="C506" s="2" t="s">
        <v>3291</v>
      </c>
      <c r="D506" s="2" t="s">
        <v>71</v>
      </c>
      <c r="E506" s="2" t="s">
        <v>1512</v>
      </c>
      <c r="F506" s="2"/>
      <c r="G506" s="2" t="str">
        <f>TRIM(SUBSTITUTE(SUBSTITUTE(SUBSTITUTE(SUBSTITUTE(tb1_supporters[[#This Row],[Phone_Raw]],"(",""),")","")," ",""),"+44",))</f>
        <v/>
      </c>
      <c r="H506" s="15">
        <v>22598</v>
      </c>
      <c r="I506" s="36">
        <f ca="1">IF(OR(tb1_supporters[[#This Row],[Date_of_Birth]]="",tb1_supporters[[#This Row],[Date_of_Birth]]&gt;TODAY()),"",DATEDIF(tb1_supporters[[#This Row],[Date_of_Birth]],TODAY(),"Y"))</f>
        <v>64</v>
      </c>
      <c r="J506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50-64</v>
      </c>
      <c r="K506" s="2" t="s">
        <v>1515</v>
      </c>
      <c r="L506" s="2" t="s">
        <v>163</v>
      </c>
      <c r="M506" s="2" t="s">
        <v>164</v>
      </c>
      <c r="N506" s="2" t="s">
        <v>4869</v>
      </c>
      <c r="O506" s="2" t="s">
        <v>242</v>
      </c>
      <c r="P506" s="2" t="s">
        <v>49</v>
      </c>
      <c r="Q506" s="2" t="s">
        <v>141</v>
      </c>
      <c r="R506" s="15">
        <v>45033</v>
      </c>
      <c r="S506" s="2" t="s">
        <v>4</v>
      </c>
      <c r="T506" s="2" t="s">
        <v>36</v>
      </c>
      <c r="U506" s="2" t="s">
        <v>36</v>
      </c>
      <c r="V506" s="2" t="s">
        <v>37</v>
      </c>
      <c r="W506" s="4" t="s">
        <v>37</v>
      </c>
      <c r="X506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06" s="2" t="str">
        <f>IF(ISNUMBER(SEARCH("onal",tb1_supporters[[#This Row],[Phone_Clean]])),"Review - corrupt phone number", IF(LEN(tb1_supporters[[#This Row],[Phone_Clean]])&gt;11,"Review - too many digits",""))</f>
        <v/>
      </c>
      <c r="Z506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06" s="2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506" s="21" t="str">
        <f>IF(tb1_supporters[[#This Row],[Communication_Preference]]="Do Not Contact","DO NOT CONTACT","")</f>
        <v/>
      </c>
      <c r="AE506"/>
    </row>
    <row r="507" spans="1:31" x14ac:dyDescent="0.25">
      <c r="A507" s="3" t="s">
        <v>3293</v>
      </c>
      <c r="B507" s="2" t="s">
        <v>402</v>
      </c>
      <c r="C507" s="2" t="s">
        <v>710</v>
      </c>
      <c r="D507" s="2" t="s">
        <v>258</v>
      </c>
      <c r="E507" s="2" t="s">
        <v>3294</v>
      </c>
      <c r="F507" s="2" t="s">
        <v>1810</v>
      </c>
      <c r="G507" s="2" t="str">
        <f>TRIM(SUBSTITUTE(SUBSTITUTE(SUBSTITUTE(SUBSTITUTE(tb1_supporters[[#This Row],[Phone_Raw]],"(",""),")","")," ",""),"+44",))</f>
        <v>07464760257</v>
      </c>
      <c r="H507" s="15">
        <v>34263</v>
      </c>
      <c r="I507" s="36">
        <f ca="1">IF(OR(tb1_supporters[[#This Row],[Date_of_Birth]]="",tb1_supporters[[#This Row],[Date_of_Birth]]&gt;TODAY()),"",DATEDIF(tb1_supporters[[#This Row],[Date_of_Birth]],TODAY(),"Y"))</f>
        <v>32</v>
      </c>
      <c r="J507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18-34</v>
      </c>
      <c r="K507" s="2" t="s">
        <v>1812</v>
      </c>
      <c r="L507" s="2" t="s">
        <v>984</v>
      </c>
      <c r="M507" s="2" t="s">
        <v>62</v>
      </c>
      <c r="N507" s="2" t="s">
        <v>985</v>
      </c>
      <c r="O507" s="2" t="s">
        <v>242</v>
      </c>
      <c r="P507" s="2" t="s">
        <v>117</v>
      </c>
      <c r="Q507" s="2" t="s">
        <v>66</v>
      </c>
      <c r="R507" s="15">
        <v>43907</v>
      </c>
      <c r="S507" s="2" t="s">
        <v>93</v>
      </c>
      <c r="T507" s="2" t="s">
        <v>36</v>
      </c>
      <c r="U507" s="2" t="s">
        <v>37</v>
      </c>
      <c r="V507" s="2" t="s">
        <v>37</v>
      </c>
      <c r="W507" s="4" t="s">
        <v>37</v>
      </c>
      <c r="X507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post but not opted in</v>
      </c>
      <c r="Y507" s="2" t="str">
        <f>IF(ISNUMBER(SEARCH("onal",tb1_supporters[[#This Row],[Phone_Clean]])),"Review - corrupt phone number", IF(LEN(tb1_supporters[[#This Row],[Phone_Clean]])&gt;11,"Review - too many digits",""))</f>
        <v/>
      </c>
      <c r="Z507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07" s="2" t="str">
        <f>IF(tb1_supporters[[#This Row],[Email]]="","",IF(COUNTIF(tb1_supporters[Email],tb1_supporters[[#This Row],[Email]])&gt;1,"Review - duplicate record, see Supporter_Duplicates tab",""))</f>
        <v/>
      </c>
      <c r="AB507" s="21" t="str">
        <f>IF(tb1_supporters[[#This Row],[Communication_Preference]]="Do Not Contact","DO NOT CONTACT","")</f>
        <v/>
      </c>
      <c r="AE507"/>
    </row>
    <row r="508" spans="1:31" x14ac:dyDescent="0.25">
      <c r="A508" s="3" t="s">
        <v>3297</v>
      </c>
      <c r="B508" s="2" t="s">
        <v>22</v>
      </c>
      <c r="C508" s="2" t="s">
        <v>3298</v>
      </c>
      <c r="D508" s="2" t="s">
        <v>145</v>
      </c>
      <c r="E508" s="2" t="s">
        <v>3299</v>
      </c>
      <c r="F508" s="2" t="s">
        <v>2165</v>
      </c>
      <c r="G508" s="2" t="str">
        <f>TRIM(SUBSTITUTE(SUBSTITUTE(SUBSTITUTE(SUBSTITUTE(tb1_supporters[[#This Row],[Phone_Raw]],"(",""),")","")," ",""),"+44",))</f>
        <v>01617634327</v>
      </c>
      <c r="H508" s="15">
        <v>21237</v>
      </c>
      <c r="I508" s="36">
        <f ca="1">IF(OR(tb1_supporters[[#This Row],[Date_of_Birth]]="",tb1_supporters[[#This Row],[Date_of_Birth]]&gt;TODAY()),"",DATEDIF(tb1_supporters[[#This Row],[Date_of_Birth]],TODAY(),"Y"))</f>
        <v>68</v>
      </c>
      <c r="J508" s="36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65+</v>
      </c>
      <c r="K508" s="2" t="s">
        <v>2167</v>
      </c>
      <c r="L508" s="2" t="s">
        <v>509</v>
      </c>
      <c r="M508" s="2" t="s">
        <v>510</v>
      </c>
      <c r="N508" s="2" t="s">
        <v>511</v>
      </c>
      <c r="O508" s="2" t="s">
        <v>242</v>
      </c>
      <c r="P508" s="2" t="s">
        <v>4887</v>
      </c>
      <c r="Q508" s="2" t="s">
        <v>4888</v>
      </c>
      <c r="R508" s="15">
        <v>45643</v>
      </c>
      <c r="S508" s="2" t="s">
        <v>52</v>
      </c>
      <c r="T508" s="2" t="s">
        <v>36</v>
      </c>
      <c r="U508" s="2" t="s">
        <v>36</v>
      </c>
      <c r="V508" s="2" t="s">
        <v>36</v>
      </c>
      <c r="W508" s="4" t="s">
        <v>37</v>
      </c>
      <c r="X508" s="2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/>
      </c>
      <c r="Y508" s="2" t="str">
        <f>IF(ISNUMBER(SEARCH("onal",tb1_supporters[[#This Row],[Phone_Clean]])),"Review - corrupt phone number", IF(LEN(tb1_supporters[[#This Row],[Phone_Clean]])&gt;11,"Review - too many digits",""))</f>
        <v/>
      </c>
      <c r="Z508" s="36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08" s="2" t="str">
        <f>IF(tb1_supporters[[#This Row],[Email]]="","",IF(COUNTIF(tb1_supporters[Email],tb1_supporters[[#This Row],[Email]])&gt;1,"Review - duplicate record, see Supporter_Duplicates tab",""))</f>
        <v/>
      </c>
      <c r="AB508" s="21" t="str">
        <f>IF(tb1_supporters[[#This Row],[Communication_Preference]]="Do Not Contact","DO NOT CONTACT","")</f>
        <v/>
      </c>
      <c r="AE508"/>
    </row>
    <row r="509" spans="1:31" x14ac:dyDescent="0.25">
      <c r="A509" s="8" t="s">
        <v>3302</v>
      </c>
      <c r="B509" s="9" t="s">
        <v>4866</v>
      </c>
      <c r="C509" s="9" t="s">
        <v>237</v>
      </c>
      <c r="D509" s="9" t="s">
        <v>755</v>
      </c>
      <c r="E509" s="9" t="s">
        <v>2693</v>
      </c>
      <c r="F509" s="9"/>
      <c r="G509" s="9" t="str">
        <f>TRIM(SUBSTITUTE(SUBSTITUTE(SUBSTITUTE(SUBSTITUTE(tb1_supporters[[#This Row],[Phone_Raw]],"(",""),")","")," ",""),"+44",))</f>
        <v/>
      </c>
      <c r="H509" s="16">
        <v>31715</v>
      </c>
      <c r="I509" s="37">
        <f ca="1">IF(OR(tb1_supporters[[#This Row],[Date_of_Birth]]="",tb1_supporters[[#This Row],[Date_of_Birth]]&gt;TODAY()),"",DATEDIF(tb1_supporters[[#This Row],[Date_of_Birth]],TODAY(),"Y"))</f>
        <v>39</v>
      </c>
      <c r="J509" s="37" t="str">
        <f ca="1">IF(tb1_supporters[[#This Row],[Age]]="","",IF(tb1_supporters[[#This Row],[Age]]&lt;18,"Under 18",IF(tb1_supporters[[#This Row],[Age]]&lt;35,"18-34",IF(tb1_supporters[[#This Row],[Age]]&lt;50,"35-49",IF(tb1_supporters[[#This Row],[Age]]&lt;65,"50-64","65+")))))</f>
        <v>35-49</v>
      </c>
      <c r="K509" s="9" t="s">
        <v>2696</v>
      </c>
      <c r="L509" s="9" t="s">
        <v>609</v>
      </c>
      <c r="M509" s="9" t="s">
        <v>610</v>
      </c>
      <c r="N509" s="9" t="s">
        <v>611</v>
      </c>
      <c r="O509" s="9" t="s">
        <v>166</v>
      </c>
      <c r="P509" s="9" t="s">
        <v>49</v>
      </c>
      <c r="Q509" s="9" t="s">
        <v>154</v>
      </c>
      <c r="R509" s="16">
        <v>44272</v>
      </c>
      <c r="S509" s="9" t="s">
        <v>5</v>
      </c>
      <c r="T509" s="9" t="s">
        <v>36</v>
      </c>
      <c r="U509" s="9" t="s">
        <v>36</v>
      </c>
      <c r="V509" s="9" t="s">
        <v>37</v>
      </c>
      <c r="W509" s="10" t="s">
        <v>36</v>
      </c>
      <c r="X509" s="9" t="str">
        <f>IF(AND(tb1_supporters[[#This Row],[Communication_Preference]]="Do Not Contact",OR(tb1_supporters[[#This Row],[Email_Opt_In]]="Yes",tb1_supporters[[#This Row],[Mail_Opt_In]]="Yes",tb1_supporters[[#This Row],[Phone_Opt_In]]="Yes",tb1_supporters[[#This Row],[SMS_Opt_In]]="Yes")),"Review - Do Not Contact conflict",
IF(AND(tb1_supporters[[#This Row],[Communication_Preference]]="Email",tb1_supporters[[#This Row],[Email_Opt_In]]="No"),"Review - prefers email but not opted in",
IF(AND(tb1_supporters[[#This Row],[Communication_Preference]]="Phone",tb1_supporters[[#This Row],[Phone_Opt_In]]="No"),"Review - prefers phone but not opted in",
IF(AND(tb1_supporters[[#This Row],[Communication_Preference]]="Post",tb1_supporters[[#This Row],[Mail_Opt_In]]="No"),"Review - prefers post but not opted in",
IF(AND(tb1_supporters[[#This Row],[Communication_Preference]]="SMS",tb1_supporters[[#This Row],[SMS_Opt_In]]="No"),"Review - prefers SMS but not opted in","")))))</f>
        <v>Review - prefers phone but not opted in</v>
      </c>
      <c r="Y509" s="9" t="str">
        <f>IF(ISNUMBER(SEARCH("onal",tb1_supporters[[#This Row],[Phone_Clean]])),"Review - corrupt phone number", IF(LEN(tb1_supporters[[#This Row],[Phone_Clean]])&gt;11,"Review - too many digits",""))</f>
        <v/>
      </c>
      <c r="Z509" s="37" t="str">
        <f ca="1">IF(tb1_supporters[[#This Row],[Date_of_Birth]]="","Review - missing DOB", IF(tb1_supporters[[#This Row],[Date_of_Birth]]&gt;TODAY(),"Review - future DOB", IF(tb1_supporters[[#This Row],[Age]]=0, "Review - Z9potential entry error (age 0)", "")))</f>
        <v/>
      </c>
      <c r="AA509" s="9" t="str">
        <f>IF(tb1_supporters[[#This Row],[Email]]="","",IF(COUNTIF(tb1_supporters[Email],tb1_supporters[[#This Row],[Email]])&gt;1,"Review - duplicate record, see Supporter_Duplicates tab",""))</f>
        <v>Review - duplicate record, see Supporter_Duplicates tab</v>
      </c>
      <c r="AB509" s="21" t="str">
        <f>IF(tb1_supporters[[#This Row],[Communication_Preference]]="Do Not Contact","DO NOT CONTACT","")</f>
        <v/>
      </c>
      <c r="AE509"/>
    </row>
  </sheetData>
  <phoneticPr fontId="6" type="noConversion"/>
  <conditionalFormatting sqref="X2:X509">
    <cfRule type="notContainsBlanks" dxfId="10" priority="4">
      <formula>LEN(TRIM(X2))&gt;0</formula>
    </cfRule>
  </conditionalFormatting>
  <conditionalFormatting sqref="Y2:Y509">
    <cfRule type="notContainsBlanks" dxfId="9" priority="3">
      <formula>LEN(TRIM(Y2))&gt;0</formula>
    </cfRule>
  </conditionalFormatting>
  <conditionalFormatting sqref="Z2:AA509">
    <cfRule type="notContainsBlanks" dxfId="8" priority="2">
      <formula>LEN(TRIM(Z2))&gt;0</formula>
    </cfRule>
  </conditionalFormatting>
  <conditionalFormatting sqref="AB2:AB509">
    <cfRule type="notContainsBlanks" dxfId="7" priority="1">
      <formula>LEN(TRIM(AB2))&gt;0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170C-CD73-4E90-8688-7971E65D91AB}">
  <dimension ref="A1:M909"/>
  <sheetViews>
    <sheetView topLeftCell="G184" workbookViewId="0">
      <selection activeCell="C196" sqref="A196:XFD196"/>
    </sheetView>
  </sheetViews>
  <sheetFormatPr defaultColWidth="8.85546875" defaultRowHeight="15" x14ac:dyDescent="0.25"/>
  <cols>
    <col min="1" max="2" width="19.28515625" bestFit="1" customWidth="1"/>
    <col min="3" max="3" width="28.7109375" bestFit="1" customWidth="1"/>
    <col min="4" max="4" width="22.28515625" bestFit="1" customWidth="1"/>
    <col min="5" max="5" width="14" bestFit="1" customWidth="1"/>
    <col min="6" max="6" width="22" style="17" bestFit="1" customWidth="1"/>
    <col min="7" max="7" width="18.140625" style="23" bestFit="1" customWidth="1"/>
    <col min="8" max="8" width="22.7109375" bestFit="1" customWidth="1"/>
    <col min="9" max="9" width="23.28515625" bestFit="1" customWidth="1"/>
    <col min="10" max="10" width="28.140625" bestFit="1" customWidth="1"/>
    <col min="11" max="11" width="22.7109375" bestFit="1" customWidth="1"/>
    <col min="12" max="12" width="25.85546875" bestFit="1" customWidth="1"/>
  </cols>
  <sheetData>
    <row r="1" spans="1:12" x14ac:dyDescent="0.25">
      <c r="A1" s="5" t="s">
        <v>3305</v>
      </c>
      <c r="B1" s="6" t="s">
        <v>0</v>
      </c>
      <c r="C1" s="6" t="s">
        <v>3306</v>
      </c>
      <c r="D1" s="6" t="s">
        <v>3307</v>
      </c>
      <c r="E1" s="6" t="s">
        <v>3308</v>
      </c>
      <c r="F1" s="14" t="s">
        <v>3309</v>
      </c>
      <c r="G1" s="22" t="s">
        <v>3310</v>
      </c>
      <c r="H1" s="6" t="s">
        <v>3311</v>
      </c>
      <c r="I1" s="7" t="s">
        <v>4907</v>
      </c>
      <c r="J1" s="20" t="s">
        <v>4908</v>
      </c>
      <c r="K1" s="20" t="s">
        <v>4909</v>
      </c>
      <c r="L1" s="20" t="s">
        <v>4912</v>
      </c>
    </row>
    <row r="2" spans="1:12" x14ac:dyDescent="0.25">
      <c r="A2" s="3" t="s">
        <v>3313</v>
      </c>
      <c r="B2" s="2" t="s">
        <v>1464</v>
      </c>
      <c r="C2" s="2" t="s">
        <v>3314</v>
      </c>
      <c r="D2" s="2" t="s">
        <v>3315</v>
      </c>
      <c r="E2" s="2" t="s">
        <v>3316</v>
      </c>
      <c r="F2" s="15">
        <v>45694</v>
      </c>
      <c r="G2" s="25">
        <v>427.04</v>
      </c>
      <c r="H2" s="2" t="s">
        <v>36</v>
      </c>
      <c r="I2" s="4" t="s">
        <v>3318</v>
      </c>
      <c r="J2" s="19" t="str">
        <f>IF(tb2_CampaignResponses[[#This Row],[Gift_Amount]]&lt;0,"Review - negative amount",IF(tb2_CampaignResponses[[#This Row],[Gift_Amount]]&gt;10000,"Review - unusually large donation",""))</f>
        <v/>
      </c>
      <c r="K2" s="21" t="str">
        <f>IF(tb2_CampaignResponses[[#This Row],[Supporter_ID]]="","Review - no supporter ID","")</f>
        <v/>
      </c>
      <c r="L2" s="21" t="str">
        <f ca="1">IF(tb2_CampaignResponses[[#This Row],[Response_Date]]&gt;TODAY(),"Review - future response date","")</f>
        <v/>
      </c>
    </row>
    <row r="3" spans="1:12" x14ac:dyDescent="0.25">
      <c r="A3" s="3" t="s">
        <v>3319</v>
      </c>
      <c r="B3" s="2" t="s">
        <v>1820</v>
      </c>
      <c r="C3" s="2" t="s">
        <v>3320</v>
      </c>
      <c r="D3" s="2" t="s">
        <v>3321</v>
      </c>
      <c r="E3" s="2" t="s">
        <v>65</v>
      </c>
      <c r="F3" s="15">
        <v>45458</v>
      </c>
      <c r="G3" s="25">
        <v>1580.05</v>
      </c>
      <c r="H3" s="2" t="s">
        <v>36</v>
      </c>
      <c r="I3" s="4" t="s">
        <v>3323</v>
      </c>
      <c r="J3" s="2" t="str">
        <f>IF(tb2_CampaignResponses[[#This Row],[Gift_Amount]]&lt;0,"Review - negative amount",IF(tb2_CampaignResponses[[#This Row],[Gift_Amount]]&gt;10000,"Review - unusually large donation",""))</f>
        <v/>
      </c>
      <c r="K3" s="21" t="str">
        <f>IF(tb2_CampaignResponses[[#This Row],[Supporter_ID]]="","Review - no supporter ID","")</f>
        <v/>
      </c>
      <c r="L3" s="21" t="str">
        <f ca="1">IF(tb2_CampaignResponses[[#This Row],[Response_Date]]&gt;TODAY(),"Review - future response date","")</f>
        <v/>
      </c>
    </row>
    <row r="4" spans="1:12" x14ac:dyDescent="0.25">
      <c r="A4" s="3" t="s">
        <v>3324</v>
      </c>
      <c r="B4" s="2" t="s">
        <v>351</v>
      </c>
      <c r="C4" s="2" t="s">
        <v>3325</v>
      </c>
      <c r="D4" s="2" t="s">
        <v>3326</v>
      </c>
      <c r="E4" s="2" t="s">
        <v>65</v>
      </c>
      <c r="F4" s="15">
        <v>45605</v>
      </c>
      <c r="G4" s="25">
        <v>92.05</v>
      </c>
      <c r="H4" s="2" t="s">
        <v>36</v>
      </c>
      <c r="I4" s="4" t="s">
        <v>3328</v>
      </c>
      <c r="J4" s="2" t="str">
        <f>IF(tb2_CampaignResponses[[#This Row],[Gift_Amount]]&lt;0,"Review - negative amount",IF(tb2_CampaignResponses[[#This Row],[Gift_Amount]]&gt;10000,"Review - unusually large donation",""))</f>
        <v/>
      </c>
      <c r="K4" s="21" t="str">
        <f>IF(tb2_CampaignResponses[[#This Row],[Supporter_ID]]="","Review - no supporter ID","")</f>
        <v/>
      </c>
      <c r="L4" s="21" t="str">
        <f ca="1">IF(tb2_CampaignResponses[[#This Row],[Response_Date]]&gt;TODAY(),"Review - future response date","")</f>
        <v/>
      </c>
    </row>
    <row r="5" spans="1:12" x14ac:dyDescent="0.25">
      <c r="A5" s="3" t="s">
        <v>3329</v>
      </c>
      <c r="B5" s="2" t="s">
        <v>762</v>
      </c>
      <c r="C5" s="2" t="s">
        <v>3325</v>
      </c>
      <c r="D5" s="2" t="s">
        <v>3326</v>
      </c>
      <c r="E5" s="2" t="s">
        <v>4</v>
      </c>
      <c r="F5" s="15">
        <v>45637</v>
      </c>
      <c r="G5" s="25">
        <v>40.36</v>
      </c>
      <c r="H5" s="2" t="s">
        <v>36</v>
      </c>
      <c r="I5" s="4" t="s">
        <v>3331</v>
      </c>
      <c r="J5" s="2" t="str">
        <f>IF(tb2_CampaignResponses[[#This Row],[Gift_Amount]]&lt;0,"Review - negative amount",IF(tb2_CampaignResponses[[#This Row],[Gift_Amount]]&gt;10000,"Review - unusually large donation",""))</f>
        <v/>
      </c>
      <c r="K5" s="21" t="str">
        <f>IF(tb2_CampaignResponses[[#This Row],[Supporter_ID]]="","Review - no supporter ID","")</f>
        <v/>
      </c>
      <c r="L5" s="21" t="str">
        <f ca="1">IF(tb2_CampaignResponses[[#This Row],[Response_Date]]&gt;TODAY(),"Review - future response date","")</f>
        <v/>
      </c>
    </row>
    <row r="6" spans="1:12" x14ac:dyDescent="0.25">
      <c r="A6" s="3" t="s">
        <v>3332</v>
      </c>
      <c r="B6" s="2" t="s">
        <v>3009</v>
      </c>
      <c r="C6" s="2" t="s">
        <v>3325</v>
      </c>
      <c r="D6" s="2" t="s">
        <v>3326</v>
      </c>
      <c r="E6" s="2" t="s">
        <v>65</v>
      </c>
      <c r="F6" s="15">
        <v>45653</v>
      </c>
      <c r="G6" s="25">
        <v>34.85</v>
      </c>
      <c r="H6" s="2" t="s">
        <v>36</v>
      </c>
      <c r="I6" s="4" t="s">
        <v>3334</v>
      </c>
      <c r="J6" s="2" t="str">
        <f>IF(tb2_CampaignResponses[[#This Row],[Gift_Amount]]&lt;0,"Review - negative amount",IF(tb2_CampaignResponses[[#This Row],[Gift_Amount]]&gt;10000,"Review - unusually large donation",""))</f>
        <v/>
      </c>
      <c r="K6" s="21" t="str">
        <f>IF(tb2_CampaignResponses[[#This Row],[Supporter_ID]]="","Review - no supporter ID","")</f>
        <v/>
      </c>
      <c r="L6" s="21" t="str">
        <f ca="1">IF(tb2_CampaignResponses[[#This Row],[Response_Date]]&gt;TODAY(),"Review - future response date","")</f>
        <v/>
      </c>
    </row>
    <row r="7" spans="1:12" x14ac:dyDescent="0.25">
      <c r="A7" s="3" t="s">
        <v>3335</v>
      </c>
      <c r="B7" s="2" t="s">
        <v>1476</v>
      </c>
      <c r="C7" s="2" t="s">
        <v>3336</v>
      </c>
      <c r="D7" s="2" t="s">
        <v>3337</v>
      </c>
      <c r="E7" s="2" t="s">
        <v>3338</v>
      </c>
      <c r="F7" s="15">
        <v>45571</v>
      </c>
      <c r="G7" s="25">
        <v>15.74</v>
      </c>
      <c r="H7" s="2" t="s">
        <v>36</v>
      </c>
      <c r="I7" s="4" t="s">
        <v>3331</v>
      </c>
      <c r="J7" s="2" t="str">
        <f>IF(tb2_CampaignResponses[[#This Row],[Gift_Amount]]&lt;0,"Review - negative amount",IF(tb2_CampaignResponses[[#This Row],[Gift_Amount]]&gt;10000,"Review - unusually large donation",""))</f>
        <v/>
      </c>
      <c r="K7" s="21" t="str">
        <f>IF(tb2_CampaignResponses[[#This Row],[Supporter_ID]]="","Review - no supporter ID","")</f>
        <v/>
      </c>
      <c r="L7" s="21" t="str">
        <f ca="1">IF(tb2_CampaignResponses[[#This Row],[Response_Date]]&gt;TODAY(),"Review - future response date","")</f>
        <v/>
      </c>
    </row>
    <row r="8" spans="1:12" x14ac:dyDescent="0.25">
      <c r="A8" s="3" t="s">
        <v>3340</v>
      </c>
      <c r="B8" s="2" t="s">
        <v>1289</v>
      </c>
      <c r="C8" s="2" t="s">
        <v>3341</v>
      </c>
      <c r="D8" s="2" t="s">
        <v>3342</v>
      </c>
      <c r="E8" s="2" t="s">
        <v>3316</v>
      </c>
      <c r="F8" s="15">
        <v>45732</v>
      </c>
      <c r="G8" s="25">
        <v>151.99</v>
      </c>
      <c r="H8" s="2" t="s">
        <v>36</v>
      </c>
      <c r="I8" s="4" t="s">
        <v>3318</v>
      </c>
      <c r="J8" s="2" t="str">
        <f>IF(tb2_CampaignResponses[[#This Row],[Gift_Amount]]&lt;0,"Review - negative amount",IF(tb2_CampaignResponses[[#This Row],[Gift_Amount]]&gt;10000,"Review - unusually large donation",""))</f>
        <v/>
      </c>
      <c r="K8" s="21" t="str">
        <f>IF(tb2_CampaignResponses[[#This Row],[Supporter_ID]]="","Review - no supporter ID","")</f>
        <v/>
      </c>
      <c r="L8" s="21" t="str">
        <f ca="1">IF(tb2_CampaignResponses[[#This Row],[Response_Date]]&gt;TODAY(),"Review - future response date","")</f>
        <v/>
      </c>
    </row>
    <row r="9" spans="1:12" x14ac:dyDescent="0.25">
      <c r="A9" s="3" t="s">
        <v>3344</v>
      </c>
      <c r="B9" s="2" t="s">
        <v>2411</v>
      </c>
      <c r="C9" s="2" t="s">
        <v>3325</v>
      </c>
      <c r="D9" s="2" t="s">
        <v>3326</v>
      </c>
      <c r="E9" s="2" t="s">
        <v>3316</v>
      </c>
      <c r="F9" s="15">
        <v>45652</v>
      </c>
      <c r="G9" s="25">
        <v>156.21</v>
      </c>
      <c r="H9" s="2" t="s">
        <v>37</v>
      </c>
      <c r="I9" s="4" t="s">
        <v>3323</v>
      </c>
      <c r="J9" s="2" t="str">
        <f>IF(tb2_CampaignResponses[[#This Row],[Gift_Amount]]&lt;0,"Review - negative amount",IF(tb2_CampaignResponses[[#This Row],[Gift_Amount]]&gt;10000,"Review - unusually large donation",""))</f>
        <v/>
      </c>
      <c r="K9" s="21" t="str">
        <f>IF(tb2_CampaignResponses[[#This Row],[Supporter_ID]]="","Review - no supporter ID","")</f>
        <v/>
      </c>
      <c r="L9" s="21" t="str">
        <f ca="1">IF(tb2_CampaignResponses[[#This Row],[Response_Date]]&gt;TODAY(),"Review - future response date","")</f>
        <v/>
      </c>
    </row>
    <row r="10" spans="1:12" x14ac:dyDescent="0.25">
      <c r="A10" s="3" t="s">
        <v>3347</v>
      </c>
      <c r="B10" s="2" t="s">
        <v>939</v>
      </c>
      <c r="C10" s="2" t="s">
        <v>3314</v>
      </c>
      <c r="D10" s="2" t="s">
        <v>3315</v>
      </c>
      <c r="E10" s="2" t="s">
        <v>65</v>
      </c>
      <c r="F10" s="15">
        <v>45705</v>
      </c>
      <c r="G10" s="25">
        <v>18.29</v>
      </c>
      <c r="H10" s="2" t="s">
        <v>37</v>
      </c>
      <c r="I10" s="4" t="s">
        <v>3318</v>
      </c>
      <c r="J10" s="2" t="str">
        <f>IF(tb2_CampaignResponses[[#This Row],[Gift_Amount]]&lt;0,"Review - negative amount",IF(tb2_CampaignResponses[[#This Row],[Gift_Amount]]&gt;10000,"Review - unusually large donation",""))</f>
        <v/>
      </c>
      <c r="K10" s="21" t="str">
        <f>IF(tb2_CampaignResponses[[#This Row],[Supporter_ID]]="","Review - no supporter ID","")</f>
        <v/>
      </c>
      <c r="L10" s="21" t="str">
        <f ca="1">IF(tb2_CampaignResponses[[#This Row],[Response_Date]]&gt;TODAY(),"Review - future response date","")</f>
        <v/>
      </c>
    </row>
    <row r="11" spans="1:12" x14ac:dyDescent="0.25">
      <c r="A11" s="3" t="s">
        <v>3349</v>
      </c>
      <c r="B11" s="2" t="s">
        <v>2632</v>
      </c>
      <c r="C11" s="2" t="s">
        <v>3314</v>
      </c>
      <c r="D11" s="2" t="s">
        <v>3315</v>
      </c>
      <c r="E11" s="2" t="s">
        <v>33</v>
      </c>
      <c r="F11" s="15">
        <v>45739</v>
      </c>
      <c r="G11" s="25">
        <v>11.29</v>
      </c>
      <c r="H11" s="2" t="s">
        <v>37</v>
      </c>
      <c r="I11" s="4" t="s">
        <v>3331</v>
      </c>
      <c r="J11" s="2" t="str">
        <f>IF(tb2_CampaignResponses[[#This Row],[Gift_Amount]]&lt;0,"Review - negative amount",IF(tb2_CampaignResponses[[#This Row],[Gift_Amount]]&gt;10000,"Review - unusually large donation",""))</f>
        <v/>
      </c>
      <c r="K11" s="21" t="str">
        <f>IF(tb2_CampaignResponses[[#This Row],[Supporter_ID]]="","Review - no supporter ID","")</f>
        <v/>
      </c>
      <c r="L11" s="21" t="str">
        <f ca="1">IF(tb2_CampaignResponses[[#This Row],[Response_Date]]&gt;TODAY(),"Review - future response date","")</f>
        <v/>
      </c>
    </row>
    <row r="12" spans="1:12" x14ac:dyDescent="0.25">
      <c r="A12" s="3" t="s">
        <v>3351</v>
      </c>
      <c r="B12" s="2" t="s">
        <v>2130</v>
      </c>
      <c r="C12" s="2" t="s">
        <v>3341</v>
      </c>
      <c r="D12" s="2" t="s">
        <v>3342</v>
      </c>
      <c r="E12" s="2" t="s">
        <v>91</v>
      </c>
      <c r="F12" s="15">
        <v>45713</v>
      </c>
      <c r="G12" s="25">
        <v>113.62</v>
      </c>
      <c r="H12" s="2" t="s">
        <v>37</v>
      </c>
      <c r="I12" s="4" t="s">
        <v>3328</v>
      </c>
      <c r="J12" s="2" t="str">
        <f>IF(tb2_CampaignResponses[[#This Row],[Gift_Amount]]&lt;0,"Review - negative amount",IF(tb2_CampaignResponses[[#This Row],[Gift_Amount]]&gt;10000,"Review - unusually large donation",""))</f>
        <v/>
      </c>
      <c r="K12" s="21" t="str">
        <f>IF(tb2_CampaignResponses[[#This Row],[Supporter_ID]]="","Review - no supporter ID","")</f>
        <v/>
      </c>
      <c r="L12" s="21" t="str">
        <f ca="1">IF(tb2_CampaignResponses[[#This Row],[Response_Date]]&gt;TODAY(),"Review - future response date","")</f>
        <v/>
      </c>
    </row>
    <row r="13" spans="1:12" x14ac:dyDescent="0.25">
      <c r="A13" s="3" t="s">
        <v>3353</v>
      </c>
      <c r="B13" s="2" t="s">
        <v>245</v>
      </c>
      <c r="C13" s="2" t="s">
        <v>3354</v>
      </c>
      <c r="D13" s="2" t="s">
        <v>3355</v>
      </c>
      <c r="E13" s="2" t="s">
        <v>65</v>
      </c>
      <c r="F13" s="15">
        <v>45618</v>
      </c>
      <c r="G13" s="25">
        <v>80.349999999999994</v>
      </c>
      <c r="H13" s="2" t="s">
        <v>36</v>
      </c>
      <c r="I13" s="4" t="s">
        <v>3323</v>
      </c>
      <c r="J13" s="2" t="str">
        <f>IF(tb2_CampaignResponses[[#This Row],[Gift_Amount]]&lt;0,"Review - negative amount",IF(tb2_CampaignResponses[[#This Row],[Gift_Amount]]&gt;10000,"Review - unusually large donation",""))</f>
        <v/>
      </c>
      <c r="K13" s="21" t="str">
        <f>IF(tb2_CampaignResponses[[#This Row],[Supporter_ID]]="","Review - no supporter ID","")</f>
        <v/>
      </c>
      <c r="L13" s="21" t="str">
        <f ca="1">IF(tb2_CampaignResponses[[#This Row],[Response_Date]]&gt;TODAY(),"Review - future response date","")</f>
        <v/>
      </c>
    </row>
    <row r="14" spans="1:12" x14ac:dyDescent="0.25">
      <c r="A14" s="3" t="s">
        <v>3357</v>
      </c>
      <c r="B14" s="2" t="s">
        <v>2489</v>
      </c>
      <c r="C14" s="2" t="s">
        <v>3320</v>
      </c>
      <c r="D14" s="2" t="s">
        <v>3321</v>
      </c>
      <c r="E14" s="2" t="s">
        <v>65</v>
      </c>
      <c r="F14" s="15">
        <v>45461</v>
      </c>
      <c r="G14" s="25">
        <v>443.08</v>
      </c>
      <c r="H14" s="2" t="s">
        <v>37</v>
      </c>
      <c r="I14" s="4" t="s">
        <v>3318</v>
      </c>
      <c r="J14" s="2" t="str">
        <f>IF(tb2_CampaignResponses[[#This Row],[Gift_Amount]]&lt;0,"Review - negative amount",IF(tb2_CampaignResponses[[#This Row],[Gift_Amount]]&gt;10000,"Review - unusually large donation",""))</f>
        <v/>
      </c>
      <c r="K14" s="21" t="str">
        <f>IF(tb2_CampaignResponses[[#This Row],[Supporter_ID]]="","Review - no supporter ID","")</f>
        <v/>
      </c>
      <c r="L14" s="21" t="str">
        <f ca="1">IF(tb2_CampaignResponses[[#This Row],[Response_Date]]&gt;TODAY(),"Review - future response date","")</f>
        <v/>
      </c>
    </row>
    <row r="15" spans="1:12" x14ac:dyDescent="0.25">
      <c r="A15" s="3" t="s">
        <v>3359</v>
      </c>
      <c r="B15" s="2" t="s">
        <v>345</v>
      </c>
      <c r="C15" s="2" t="s">
        <v>3341</v>
      </c>
      <c r="D15" s="2" t="s">
        <v>3342</v>
      </c>
      <c r="E15" s="2" t="s">
        <v>4</v>
      </c>
      <c r="F15" s="15">
        <v>45756</v>
      </c>
      <c r="G15" s="25">
        <v>7.27</v>
      </c>
      <c r="H15" s="2" t="s">
        <v>36</v>
      </c>
      <c r="I15" s="4" t="s">
        <v>3328</v>
      </c>
      <c r="J15" s="2" t="str">
        <f>IF(tb2_CampaignResponses[[#This Row],[Gift_Amount]]&lt;0,"Review - negative amount",IF(tb2_CampaignResponses[[#This Row],[Gift_Amount]]&gt;10000,"Review - unusually large donation",""))</f>
        <v/>
      </c>
      <c r="K15" s="21" t="str">
        <f>IF(tb2_CampaignResponses[[#This Row],[Supporter_ID]]="","Review - no supporter ID","")</f>
        <v/>
      </c>
      <c r="L15" s="21" t="str">
        <f ca="1">IF(tb2_CampaignResponses[[#This Row],[Response_Date]]&gt;TODAY(),"Review - future response date","")</f>
        <v/>
      </c>
    </row>
    <row r="16" spans="1:12" x14ac:dyDescent="0.25">
      <c r="A16" s="3" t="s">
        <v>3361</v>
      </c>
      <c r="B16" s="2" t="s">
        <v>883</v>
      </c>
      <c r="C16" s="2" t="s">
        <v>3362</v>
      </c>
      <c r="D16" s="2" t="s">
        <v>3363</v>
      </c>
      <c r="E16" s="2" t="s">
        <v>65</v>
      </c>
      <c r="F16" s="15">
        <v>45577</v>
      </c>
      <c r="G16" s="25">
        <v>-38.659999999999997</v>
      </c>
      <c r="H16" s="2" t="s">
        <v>37</v>
      </c>
      <c r="I16" s="4" t="s">
        <v>3365</v>
      </c>
      <c r="J16" s="2" t="str">
        <f>IF(tb2_CampaignResponses[[#This Row],[Gift_Amount]]&lt;0,"Review - negative amount",IF(tb2_CampaignResponses[[#This Row],[Gift_Amount]]&gt;10000,"Review - unusually large donation",""))</f>
        <v>Review - negative amount</v>
      </c>
      <c r="K16" s="21" t="str">
        <f>IF(tb2_CampaignResponses[[#This Row],[Supporter_ID]]="","Review - no supporter ID","")</f>
        <v/>
      </c>
      <c r="L16" s="21" t="str">
        <f ca="1">IF(tb2_CampaignResponses[[#This Row],[Response_Date]]&gt;TODAY(),"Review - future response date","")</f>
        <v/>
      </c>
    </row>
    <row r="17" spans="1:12" x14ac:dyDescent="0.25">
      <c r="A17" s="3" t="s">
        <v>3366</v>
      </c>
      <c r="B17" s="2" t="s">
        <v>3297</v>
      </c>
      <c r="C17" s="2" t="s">
        <v>3367</v>
      </c>
      <c r="D17" s="2" t="s">
        <v>3368</v>
      </c>
      <c r="E17" s="2" t="s">
        <v>65</v>
      </c>
      <c r="F17" s="15">
        <v>45812</v>
      </c>
      <c r="G17" s="25">
        <v>70.680000000000007</v>
      </c>
      <c r="H17" s="2" t="s">
        <v>37</v>
      </c>
      <c r="I17" s="4" t="s">
        <v>3370</v>
      </c>
      <c r="J17" s="2" t="str">
        <f>IF(tb2_CampaignResponses[[#This Row],[Gift_Amount]]&lt;0,"Review - negative amount",IF(tb2_CampaignResponses[[#This Row],[Gift_Amount]]&gt;10000,"Review - unusually large donation",""))</f>
        <v/>
      </c>
      <c r="K17" s="21" t="str">
        <f>IF(tb2_CampaignResponses[[#This Row],[Supporter_ID]]="","Review - no supporter ID","")</f>
        <v/>
      </c>
      <c r="L17" s="21" t="str">
        <f ca="1">IF(tb2_CampaignResponses[[#This Row],[Response_Date]]&gt;TODAY(),"Review - future response date","")</f>
        <v/>
      </c>
    </row>
    <row r="18" spans="1:12" x14ac:dyDescent="0.25">
      <c r="A18" s="3" t="s">
        <v>3371</v>
      </c>
      <c r="B18" s="2" t="s">
        <v>2958</v>
      </c>
      <c r="C18" s="2" t="s">
        <v>3341</v>
      </c>
      <c r="D18" s="2" t="s">
        <v>3342</v>
      </c>
      <c r="E18" s="2" t="s">
        <v>4</v>
      </c>
      <c r="F18" s="15">
        <v>45776</v>
      </c>
      <c r="G18" s="25">
        <v>55.83</v>
      </c>
      <c r="H18" s="2" t="s">
        <v>36</v>
      </c>
      <c r="I18" s="4" t="s">
        <v>3328</v>
      </c>
      <c r="J18" s="2" t="str">
        <f>IF(tb2_CampaignResponses[[#This Row],[Gift_Amount]]&lt;0,"Review - negative amount",IF(tb2_CampaignResponses[[#This Row],[Gift_Amount]]&gt;10000,"Review - unusually large donation",""))</f>
        <v/>
      </c>
      <c r="K18" s="21" t="str">
        <f>IF(tb2_CampaignResponses[[#This Row],[Supporter_ID]]="","Review - no supporter ID","")</f>
        <v/>
      </c>
      <c r="L18" s="21" t="str">
        <f ca="1">IF(tb2_CampaignResponses[[#This Row],[Response_Date]]&gt;TODAY(),"Review - future response date","")</f>
        <v/>
      </c>
    </row>
    <row r="19" spans="1:12" x14ac:dyDescent="0.25">
      <c r="A19" s="3" t="s">
        <v>3373</v>
      </c>
      <c r="B19" s="2" t="s">
        <v>2747</v>
      </c>
      <c r="C19" s="2" t="s">
        <v>3341</v>
      </c>
      <c r="D19" s="2" t="s">
        <v>3342</v>
      </c>
      <c r="E19" s="2" t="s">
        <v>3316</v>
      </c>
      <c r="F19" s="15">
        <v>45728</v>
      </c>
      <c r="G19" s="25">
        <v>25.61</v>
      </c>
      <c r="H19" s="2" t="s">
        <v>37</v>
      </c>
      <c r="I19" s="4" t="s">
        <v>3331</v>
      </c>
      <c r="J19" s="2" t="str">
        <f>IF(tb2_CampaignResponses[[#This Row],[Gift_Amount]]&lt;0,"Review - negative amount",IF(tb2_CampaignResponses[[#This Row],[Gift_Amount]]&gt;10000,"Review - unusually large donation",""))</f>
        <v/>
      </c>
      <c r="K19" s="21" t="str">
        <f>IF(tb2_CampaignResponses[[#This Row],[Supporter_ID]]="","Review - no supporter ID","")</f>
        <v/>
      </c>
      <c r="L19" s="21" t="str">
        <f ca="1">IF(tb2_CampaignResponses[[#This Row],[Response_Date]]&gt;TODAY(),"Review - future response date","")</f>
        <v/>
      </c>
    </row>
    <row r="20" spans="1:12" x14ac:dyDescent="0.25">
      <c r="A20" s="3" t="s">
        <v>3375</v>
      </c>
      <c r="B20" s="2" t="s">
        <v>3199</v>
      </c>
      <c r="C20" s="2" t="s">
        <v>3314</v>
      </c>
      <c r="D20" s="2" t="s">
        <v>3315</v>
      </c>
      <c r="E20" s="2" t="s">
        <v>3316</v>
      </c>
      <c r="F20" s="15">
        <v>45692</v>
      </c>
      <c r="G20" s="25">
        <v>215.29</v>
      </c>
      <c r="H20" s="2" t="s">
        <v>37</v>
      </c>
      <c r="I20" s="4" t="s">
        <v>3323</v>
      </c>
      <c r="J20" s="2" t="str">
        <f>IF(tb2_CampaignResponses[[#This Row],[Gift_Amount]]&lt;0,"Review - negative amount",IF(tb2_CampaignResponses[[#This Row],[Gift_Amount]]&gt;10000,"Review - unusually large donation",""))</f>
        <v/>
      </c>
      <c r="K20" s="21" t="str">
        <f>IF(tb2_CampaignResponses[[#This Row],[Supporter_ID]]="","Review - no supporter ID","")</f>
        <v/>
      </c>
      <c r="L20" s="21" t="str">
        <f ca="1">IF(tb2_CampaignResponses[[#This Row],[Response_Date]]&gt;TODAY(),"Review - future response date","")</f>
        <v/>
      </c>
    </row>
    <row r="21" spans="1:12" x14ac:dyDescent="0.25">
      <c r="A21" s="3" t="s">
        <v>3377</v>
      </c>
      <c r="B21" s="2" t="s">
        <v>2813</v>
      </c>
      <c r="C21" s="2" t="s">
        <v>3362</v>
      </c>
      <c r="D21" s="2" t="s">
        <v>3363</v>
      </c>
      <c r="E21" s="2" t="s">
        <v>65</v>
      </c>
      <c r="F21" s="15">
        <v>45483</v>
      </c>
      <c r="G21" s="25">
        <v>122.85</v>
      </c>
      <c r="H21" s="2" t="s">
        <v>36</v>
      </c>
      <c r="I21" s="4" t="s">
        <v>3318</v>
      </c>
      <c r="J21" s="2" t="str">
        <f>IF(tb2_CampaignResponses[[#This Row],[Gift_Amount]]&lt;0,"Review - negative amount",IF(tb2_CampaignResponses[[#This Row],[Gift_Amount]]&gt;10000,"Review - unusually large donation",""))</f>
        <v/>
      </c>
      <c r="K21" s="21" t="str">
        <f>IF(tb2_CampaignResponses[[#This Row],[Supporter_ID]]="","Review - no supporter ID","")</f>
        <v/>
      </c>
      <c r="L21" s="21" t="str">
        <f ca="1">IF(tb2_CampaignResponses[[#This Row],[Response_Date]]&gt;TODAY(),"Review - future response date","")</f>
        <v/>
      </c>
    </row>
    <row r="22" spans="1:12" x14ac:dyDescent="0.25">
      <c r="A22" s="3" t="s">
        <v>3379</v>
      </c>
      <c r="B22" s="2" t="s">
        <v>837</v>
      </c>
      <c r="C22" s="2" t="s">
        <v>3320</v>
      </c>
      <c r="D22" s="2" t="s">
        <v>3321</v>
      </c>
      <c r="E22" s="2" t="s">
        <v>4</v>
      </c>
      <c r="F22" s="15">
        <v>45459</v>
      </c>
      <c r="G22" s="25">
        <v>24.58</v>
      </c>
      <c r="H22" s="2" t="s">
        <v>36</v>
      </c>
      <c r="I22" s="4" t="s">
        <v>3365</v>
      </c>
      <c r="J22" s="2" t="str">
        <f>IF(tb2_CampaignResponses[[#This Row],[Gift_Amount]]&lt;0,"Review - negative amount",IF(tb2_CampaignResponses[[#This Row],[Gift_Amount]]&gt;10000,"Review - unusually large donation",""))</f>
        <v/>
      </c>
      <c r="K22" s="21" t="str">
        <f>IF(tb2_CampaignResponses[[#This Row],[Supporter_ID]]="","Review - no supporter ID","")</f>
        <v/>
      </c>
      <c r="L22" s="21" t="str">
        <f ca="1">IF(tb2_CampaignResponses[[#This Row],[Response_Date]]&gt;TODAY(),"Review - future response date","")</f>
        <v/>
      </c>
    </row>
    <row r="23" spans="1:12" x14ac:dyDescent="0.25">
      <c r="A23" s="3" t="s">
        <v>3381</v>
      </c>
      <c r="B23" s="2" t="s">
        <v>1933</v>
      </c>
      <c r="C23" s="2" t="s">
        <v>3336</v>
      </c>
      <c r="D23" s="2" t="s">
        <v>3337</v>
      </c>
      <c r="E23" s="2" t="s">
        <v>4</v>
      </c>
      <c r="F23" s="15">
        <v>45578</v>
      </c>
      <c r="G23" s="25">
        <v>231.44</v>
      </c>
      <c r="H23" s="2" t="s">
        <v>37</v>
      </c>
      <c r="I23" s="4" t="s">
        <v>3323</v>
      </c>
      <c r="J23" s="2" t="str">
        <f>IF(tb2_CampaignResponses[[#This Row],[Gift_Amount]]&lt;0,"Review - negative amount",IF(tb2_CampaignResponses[[#This Row],[Gift_Amount]]&gt;10000,"Review - unusually large donation",""))</f>
        <v/>
      </c>
      <c r="K23" s="21" t="str">
        <f>IF(tb2_CampaignResponses[[#This Row],[Supporter_ID]]="","Review - no supporter ID","")</f>
        <v/>
      </c>
      <c r="L23" s="21" t="str">
        <f ca="1">IF(tb2_CampaignResponses[[#This Row],[Response_Date]]&gt;TODAY(),"Review - future response date","")</f>
        <v/>
      </c>
    </row>
    <row r="24" spans="1:12" x14ac:dyDescent="0.25">
      <c r="A24" s="3" t="s">
        <v>3383</v>
      </c>
      <c r="B24" s="2" t="s">
        <v>2433</v>
      </c>
      <c r="C24" s="2" t="s">
        <v>3325</v>
      </c>
      <c r="D24" s="2" t="s">
        <v>3326</v>
      </c>
      <c r="E24" s="2" t="s">
        <v>4</v>
      </c>
      <c r="F24" s="15">
        <v>45645</v>
      </c>
      <c r="G24" s="25">
        <v>143.19</v>
      </c>
      <c r="H24" s="2" t="s">
        <v>36</v>
      </c>
      <c r="I24" s="4" t="s">
        <v>3385</v>
      </c>
      <c r="J24" s="2" t="str">
        <f>IF(tb2_CampaignResponses[[#This Row],[Gift_Amount]]&lt;0,"Review - negative amount",IF(tb2_CampaignResponses[[#This Row],[Gift_Amount]]&gt;10000,"Review - unusually large donation",""))</f>
        <v/>
      </c>
      <c r="K24" s="21" t="str">
        <f>IF(tb2_CampaignResponses[[#This Row],[Supporter_ID]]="","Review - no supporter ID","")</f>
        <v/>
      </c>
      <c r="L24" s="21" t="str">
        <f ca="1">IF(tb2_CampaignResponses[[#This Row],[Response_Date]]&gt;TODAY(),"Review - future response date","")</f>
        <v/>
      </c>
    </row>
    <row r="25" spans="1:12" x14ac:dyDescent="0.25">
      <c r="A25" s="3" t="s">
        <v>3386</v>
      </c>
      <c r="B25" s="2" t="s">
        <v>1020</v>
      </c>
      <c r="C25" s="2" t="s">
        <v>3320</v>
      </c>
      <c r="D25" s="2" t="s">
        <v>3321</v>
      </c>
      <c r="E25" s="2" t="s">
        <v>65</v>
      </c>
      <c r="F25" s="15">
        <v>45467</v>
      </c>
      <c r="G25" s="25">
        <v>1080.7</v>
      </c>
      <c r="H25" s="2" t="s">
        <v>37</v>
      </c>
      <c r="I25" s="4" t="s">
        <v>3331</v>
      </c>
      <c r="J25" s="2" t="str">
        <f>IF(tb2_CampaignResponses[[#This Row],[Gift_Amount]]&lt;0,"Review - negative amount",IF(tb2_CampaignResponses[[#This Row],[Gift_Amount]]&gt;10000,"Review - unusually large donation",""))</f>
        <v/>
      </c>
      <c r="K25" s="21" t="str">
        <f>IF(tb2_CampaignResponses[[#This Row],[Supporter_ID]]="","Review - no supporter ID","")</f>
        <v/>
      </c>
      <c r="L25" s="21" t="str">
        <f ca="1">IF(tb2_CampaignResponses[[#This Row],[Response_Date]]&gt;TODAY(),"Review - future response date","")</f>
        <v/>
      </c>
    </row>
    <row r="26" spans="1:12" x14ac:dyDescent="0.25">
      <c r="A26" s="3" t="s">
        <v>3388</v>
      </c>
      <c r="B26" s="2" t="s">
        <v>1030</v>
      </c>
      <c r="C26" s="2" t="s">
        <v>3341</v>
      </c>
      <c r="D26" s="2" t="s">
        <v>3342</v>
      </c>
      <c r="E26" s="2" t="s">
        <v>3316</v>
      </c>
      <c r="F26" s="15">
        <v>45713</v>
      </c>
      <c r="G26" s="25">
        <v>48.5</v>
      </c>
      <c r="H26" s="2" t="s">
        <v>37</v>
      </c>
      <c r="I26" s="4" t="s">
        <v>3370</v>
      </c>
      <c r="J26" s="2" t="str">
        <f>IF(tb2_CampaignResponses[[#This Row],[Gift_Amount]]&lt;0,"Review - negative amount",IF(tb2_CampaignResponses[[#This Row],[Gift_Amount]]&gt;10000,"Review - unusually large donation",""))</f>
        <v/>
      </c>
      <c r="K26" s="21" t="str">
        <f>IF(tb2_CampaignResponses[[#This Row],[Supporter_ID]]="","Review - no supporter ID","")</f>
        <v/>
      </c>
      <c r="L26" s="21" t="str">
        <f ca="1">IF(tb2_CampaignResponses[[#This Row],[Response_Date]]&gt;TODAY(),"Review - future response date","")</f>
        <v/>
      </c>
    </row>
    <row r="27" spans="1:12" x14ac:dyDescent="0.25">
      <c r="A27" s="3" t="s">
        <v>3390</v>
      </c>
      <c r="B27" s="2" t="s">
        <v>2802</v>
      </c>
      <c r="C27" s="2" t="s">
        <v>3325</v>
      </c>
      <c r="D27" s="2" t="s">
        <v>3326</v>
      </c>
      <c r="E27" s="2" t="s">
        <v>65</v>
      </c>
      <c r="F27" s="15">
        <v>45644</v>
      </c>
      <c r="G27" s="25">
        <v>153.65</v>
      </c>
      <c r="H27" s="2" t="s">
        <v>36</v>
      </c>
      <c r="I27" s="4" t="s">
        <v>3385</v>
      </c>
      <c r="J27" s="2" t="str">
        <f>IF(tb2_CampaignResponses[[#This Row],[Gift_Amount]]&lt;0,"Review - negative amount",IF(tb2_CampaignResponses[[#This Row],[Gift_Amount]]&gt;10000,"Review - unusually large donation",""))</f>
        <v/>
      </c>
      <c r="K27" s="21" t="str">
        <f>IF(tb2_CampaignResponses[[#This Row],[Supporter_ID]]="","Review - no supporter ID","")</f>
        <v/>
      </c>
      <c r="L27" s="21" t="str">
        <f ca="1">IF(tb2_CampaignResponses[[#This Row],[Response_Date]]&gt;TODAY(),"Review - future response date","")</f>
        <v/>
      </c>
    </row>
    <row r="28" spans="1:12" x14ac:dyDescent="0.25">
      <c r="A28" s="3" t="s">
        <v>3392</v>
      </c>
      <c r="B28" s="2" t="s">
        <v>2852</v>
      </c>
      <c r="C28" s="2" t="s">
        <v>3320</v>
      </c>
      <c r="D28" s="2" t="s">
        <v>3321</v>
      </c>
      <c r="E28" s="2" t="s">
        <v>4</v>
      </c>
      <c r="F28" s="15">
        <v>45457</v>
      </c>
      <c r="G28" s="25">
        <v>3702.46</v>
      </c>
      <c r="H28" s="2" t="s">
        <v>36</v>
      </c>
      <c r="I28" s="4" t="s">
        <v>3385</v>
      </c>
      <c r="J28" s="2" t="str">
        <f>IF(tb2_CampaignResponses[[#This Row],[Gift_Amount]]&lt;0,"Review - negative amount",IF(tb2_CampaignResponses[[#This Row],[Gift_Amount]]&gt;10000,"Review - unusually large donation",""))</f>
        <v/>
      </c>
      <c r="K28" s="21" t="str">
        <f>IF(tb2_CampaignResponses[[#This Row],[Supporter_ID]]="","Review - no supporter ID","")</f>
        <v/>
      </c>
      <c r="L28" s="21" t="str">
        <f ca="1">IF(tb2_CampaignResponses[[#This Row],[Response_Date]]&gt;TODAY(),"Review - future response date","")</f>
        <v/>
      </c>
    </row>
    <row r="29" spans="1:12" x14ac:dyDescent="0.25">
      <c r="A29" s="3" t="s">
        <v>3394</v>
      </c>
      <c r="B29" s="2" t="s">
        <v>1744</v>
      </c>
      <c r="C29" s="2" t="s">
        <v>3341</v>
      </c>
      <c r="D29" s="2" t="s">
        <v>3342</v>
      </c>
      <c r="E29" s="2" t="s">
        <v>91</v>
      </c>
      <c r="F29" s="15">
        <v>45722</v>
      </c>
      <c r="G29" s="25">
        <v>27.49</v>
      </c>
      <c r="H29" s="2" t="s">
        <v>36</v>
      </c>
      <c r="I29" s="4" t="s">
        <v>3328</v>
      </c>
      <c r="J29" s="2" t="str">
        <f>IF(tb2_CampaignResponses[[#This Row],[Gift_Amount]]&lt;0,"Review - negative amount",IF(tb2_CampaignResponses[[#This Row],[Gift_Amount]]&gt;10000,"Review - unusually large donation",""))</f>
        <v/>
      </c>
      <c r="K29" s="21" t="str">
        <f>IF(tb2_CampaignResponses[[#This Row],[Supporter_ID]]="","Review - no supporter ID","")</f>
        <v/>
      </c>
      <c r="L29" s="21" t="str">
        <f ca="1">IF(tb2_CampaignResponses[[#This Row],[Response_Date]]&gt;TODAY(),"Review - future response date","")</f>
        <v/>
      </c>
    </row>
    <row r="30" spans="1:12" x14ac:dyDescent="0.25">
      <c r="A30" s="3" t="s">
        <v>3396</v>
      </c>
      <c r="B30" s="2" t="s">
        <v>2272</v>
      </c>
      <c r="C30" s="2" t="s">
        <v>3325</v>
      </c>
      <c r="D30" s="2" t="s">
        <v>3326</v>
      </c>
      <c r="E30" s="2" t="s">
        <v>4</v>
      </c>
      <c r="F30" s="15">
        <v>45636</v>
      </c>
      <c r="G30" s="25">
        <v>85.01</v>
      </c>
      <c r="H30" s="2" t="s">
        <v>37</v>
      </c>
      <c r="I30" s="4" t="s">
        <v>3385</v>
      </c>
      <c r="J30" s="2" t="str">
        <f>IF(tb2_CampaignResponses[[#This Row],[Gift_Amount]]&lt;0,"Review - negative amount",IF(tb2_CampaignResponses[[#This Row],[Gift_Amount]]&gt;10000,"Review - unusually large donation",""))</f>
        <v/>
      </c>
      <c r="K30" s="21" t="str">
        <f>IF(tb2_CampaignResponses[[#This Row],[Supporter_ID]]="","Review - no supporter ID","")</f>
        <v/>
      </c>
      <c r="L30" s="21" t="str">
        <f ca="1">IF(tb2_CampaignResponses[[#This Row],[Response_Date]]&gt;TODAY(),"Review - future response date","")</f>
        <v/>
      </c>
    </row>
    <row r="31" spans="1:12" x14ac:dyDescent="0.25">
      <c r="A31" s="3" t="s">
        <v>3398</v>
      </c>
      <c r="B31" s="2" t="s">
        <v>2674</v>
      </c>
      <c r="C31" s="2" t="s">
        <v>3341</v>
      </c>
      <c r="D31" s="2" t="s">
        <v>3342</v>
      </c>
      <c r="E31" s="2" t="s">
        <v>91</v>
      </c>
      <c r="F31" s="15">
        <v>45733</v>
      </c>
      <c r="G31" s="25">
        <v>186.62</v>
      </c>
      <c r="H31" s="2" t="s">
        <v>36</v>
      </c>
      <c r="I31" s="4" t="s">
        <v>3318</v>
      </c>
      <c r="J31" s="2" t="str">
        <f>IF(tb2_CampaignResponses[[#This Row],[Gift_Amount]]&lt;0,"Review - negative amount",IF(tb2_CampaignResponses[[#This Row],[Gift_Amount]]&gt;10000,"Review - unusually large donation",""))</f>
        <v/>
      </c>
      <c r="K31" s="21" t="str">
        <f>IF(tb2_CampaignResponses[[#This Row],[Supporter_ID]]="","Review - no supporter ID","")</f>
        <v/>
      </c>
      <c r="L31" s="21" t="str">
        <f ca="1">IF(tb2_CampaignResponses[[#This Row],[Response_Date]]&gt;TODAY(),"Review - future response date","")</f>
        <v/>
      </c>
    </row>
    <row r="32" spans="1:12" x14ac:dyDescent="0.25">
      <c r="A32" s="3" t="s">
        <v>3400</v>
      </c>
      <c r="B32" s="2" t="s">
        <v>2906</v>
      </c>
      <c r="C32" s="2" t="s">
        <v>3325</v>
      </c>
      <c r="D32" s="2" t="s">
        <v>3326</v>
      </c>
      <c r="E32" s="2" t="s">
        <v>3338</v>
      </c>
      <c r="F32" s="15">
        <v>45626</v>
      </c>
      <c r="G32" s="25">
        <v>50.51</v>
      </c>
      <c r="H32" s="2" t="s">
        <v>36</v>
      </c>
      <c r="I32" s="4" t="s">
        <v>3328</v>
      </c>
      <c r="J32" s="2" t="str">
        <f>IF(tb2_CampaignResponses[[#This Row],[Gift_Amount]]&lt;0,"Review - negative amount",IF(tb2_CampaignResponses[[#This Row],[Gift_Amount]]&gt;10000,"Review - unusually large donation",""))</f>
        <v/>
      </c>
      <c r="K32" s="21" t="str">
        <f>IF(tb2_CampaignResponses[[#This Row],[Supporter_ID]]="","Review - no supporter ID","")</f>
        <v/>
      </c>
      <c r="L32" s="21" t="str">
        <f ca="1">IF(tb2_CampaignResponses[[#This Row],[Response_Date]]&gt;TODAY(),"Review - future response date","")</f>
        <v/>
      </c>
    </row>
    <row r="33" spans="1:13" x14ac:dyDescent="0.25">
      <c r="A33" s="3" t="s">
        <v>3402</v>
      </c>
      <c r="B33" s="2" t="s">
        <v>256</v>
      </c>
      <c r="C33" s="2" t="s">
        <v>3403</v>
      </c>
      <c r="D33" s="2" t="s">
        <v>3404</v>
      </c>
      <c r="E33" s="2" t="s">
        <v>4</v>
      </c>
      <c r="F33" s="15">
        <v>45646</v>
      </c>
      <c r="G33" s="25">
        <v>979.64</v>
      </c>
      <c r="H33" s="2" t="s">
        <v>37</v>
      </c>
      <c r="I33" s="4" t="s">
        <v>3334</v>
      </c>
      <c r="J33" s="2" t="str">
        <f>IF(tb2_CampaignResponses[[#This Row],[Gift_Amount]]&lt;0,"Review - negative amount",IF(tb2_CampaignResponses[[#This Row],[Gift_Amount]]&gt;10000,"Review - unusually large donation",""))</f>
        <v/>
      </c>
      <c r="K33" s="21" t="str">
        <f>IF(tb2_CampaignResponses[[#This Row],[Supporter_ID]]="","Review - no supporter ID","")</f>
        <v/>
      </c>
      <c r="L33" s="21" t="str">
        <f ca="1">IF(tb2_CampaignResponses[[#This Row],[Response_Date]]&gt;TODAY(),"Review - future response date","")</f>
        <v/>
      </c>
    </row>
    <row r="34" spans="1:13" x14ac:dyDescent="0.25">
      <c r="A34" s="3" t="s">
        <v>3406</v>
      </c>
      <c r="B34" s="2" t="s">
        <v>2263</v>
      </c>
      <c r="C34" s="2" t="s">
        <v>3367</v>
      </c>
      <c r="D34" s="2" t="s">
        <v>3368</v>
      </c>
      <c r="E34" s="2" t="s">
        <v>65</v>
      </c>
      <c r="F34" s="15">
        <v>45736</v>
      </c>
      <c r="G34" s="25">
        <v>30.12</v>
      </c>
      <c r="H34" s="2" t="s">
        <v>36</v>
      </c>
      <c r="I34" s="4" t="s">
        <v>3331</v>
      </c>
      <c r="J34" s="2" t="str">
        <f>IF(tb2_CampaignResponses[[#This Row],[Gift_Amount]]&lt;0,"Review - negative amount",IF(tb2_CampaignResponses[[#This Row],[Gift_Amount]]&gt;10000,"Review - unusually large donation",""))</f>
        <v/>
      </c>
      <c r="K34" s="21" t="str">
        <f>IF(tb2_CampaignResponses[[#This Row],[Supporter_ID]]="","Review - no supporter ID","")</f>
        <v/>
      </c>
      <c r="L34" s="21" t="str">
        <f ca="1">IF(tb2_CampaignResponses[[#This Row],[Response_Date]]&gt;TODAY(),"Review - future response date","")</f>
        <v/>
      </c>
    </row>
    <row r="35" spans="1:13" x14ac:dyDescent="0.25">
      <c r="A35" s="3" t="s">
        <v>3408</v>
      </c>
      <c r="B35" s="2" t="s">
        <v>680</v>
      </c>
      <c r="C35" s="2" t="s">
        <v>3325</v>
      </c>
      <c r="D35" s="2" t="s">
        <v>3326</v>
      </c>
      <c r="E35" s="2" t="s">
        <v>65</v>
      </c>
      <c r="F35" s="15">
        <v>45600</v>
      </c>
      <c r="G35" s="25">
        <v>6.88</v>
      </c>
      <c r="H35" s="2" t="s">
        <v>37</v>
      </c>
      <c r="I35" s="4" t="s">
        <v>3323</v>
      </c>
      <c r="J35" s="2" t="str">
        <f>IF(tb2_CampaignResponses[[#This Row],[Gift_Amount]]&lt;0,"Review - negative amount",IF(tb2_CampaignResponses[[#This Row],[Gift_Amount]]&gt;10000,"Review - unusually large donation",""))</f>
        <v/>
      </c>
      <c r="K35" s="21" t="str">
        <f>IF(tb2_CampaignResponses[[#This Row],[Supporter_ID]]="","Review - no supporter ID","")</f>
        <v/>
      </c>
      <c r="L35" s="21" t="str">
        <f ca="1">IF(tb2_CampaignResponses[[#This Row],[Response_Date]]&gt;TODAY(),"Review - future response date","")</f>
        <v/>
      </c>
    </row>
    <row r="36" spans="1:13" x14ac:dyDescent="0.25">
      <c r="A36" s="3" t="s">
        <v>3411</v>
      </c>
      <c r="B36" s="2" t="s">
        <v>746</v>
      </c>
      <c r="C36" s="2" t="s">
        <v>3341</v>
      </c>
      <c r="D36" s="2" t="s">
        <v>3342</v>
      </c>
      <c r="E36" s="2" t="s">
        <v>4</v>
      </c>
      <c r="F36" s="15">
        <v>45700</v>
      </c>
      <c r="G36" s="25">
        <v>212.03</v>
      </c>
      <c r="H36" s="2" t="s">
        <v>36</v>
      </c>
      <c r="I36" s="4" t="s">
        <v>3331</v>
      </c>
      <c r="J36" s="2" t="str">
        <f>IF(tb2_CampaignResponses[[#This Row],[Gift_Amount]]&lt;0,"Review - negative amount",IF(tb2_CampaignResponses[[#This Row],[Gift_Amount]]&gt;10000,"Review - unusually large donation",""))</f>
        <v/>
      </c>
      <c r="K36" s="21" t="str">
        <f>IF(tb2_CampaignResponses[[#This Row],[Supporter_ID]]="","Review - no supporter ID","")</f>
        <v/>
      </c>
      <c r="L36" s="21" t="str">
        <f ca="1">IF(tb2_CampaignResponses[[#This Row],[Response_Date]]&gt;TODAY(),"Review - future response date","")</f>
        <v/>
      </c>
    </row>
    <row r="37" spans="1:13" x14ac:dyDescent="0.25">
      <c r="A37" s="3" t="s">
        <v>3413</v>
      </c>
      <c r="B37" s="2" t="s">
        <v>2278</v>
      </c>
      <c r="C37" s="2" t="s">
        <v>3341</v>
      </c>
      <c r="D37" s="2" t="s">
        <v>3342</v>
      </c>
      <c r="E37" s="2" t="s">
        <v>4</v>
      </c>
      <c r="F37" s="15">
        <v>45762</v>
      </c>
      <c r="G37" s="25">
        <v>1097.68</v>
      </c>
      <c r="H37" s="2" t="s">
        <v>36</v>
      </c>
      <c r="I37" s="4" t="s">
        <v>3365</v>
      </c>
      <c r="J37" s="2" t="str">
        <f>IF(tb2_CampaignResponses[[#This Row],[Gift_Amount]]&lt;0,"Review - negative amount",IF(tb2_CampaignResponses[[#This Row],[Gift_Amount]]&gt;10000,"Review - unusually large donation",""))</f>
        <v/>
      </c>
      <c r="K37" s="21" t="str">
        <f>IF(tb2_CampaignResponses[[#This Row],[Supporter_ID]]="","Review - no supporter ID","")</f>
        <v/>
      </c>
      <c r="L37" s="21" t="str">
        <f ca="1">IF(tb2_CampaignResponses[[#This Row],[Response_Date]]&gt;TODAY(),"Review - future response date","")</f>
        <v/>
      </c>
    </row>
    <row r="38" spans="1:13" x14ac:dyDescent="0.25">
      <c r="A38" s="3" t="s">
        <v>3415</v>
      </c>
      <c r="B38" s="2" t="s">
        <v>2159</v>
      </c>
      <c r="C38" s="2" t="s">
        <v>3325</v>
      </c>
      <c r="D38" s="2" t="s">
        <v>3326</v>
      </c>
      <c r="E38" s="2" t="s">
        <v>65</v>
      </c>
      <c r="F38" s="15">
        <v>45602</v>
      </c>
      <c r="G38" s="25">
        <v>39.479999999999997</v>
      </c>
      <c r="H38" s="2" t="s">
        <v>36</v>
      </c>
      <c r="I38" s="4" t="s">
        <v>3385</v>
      </c>
      <c r="J38" s="2" t="str">
        <f>IF(tb2_CampaignResponses[[#This Row],[Gift_Amount]]&lt;0,"Review - negative amount",IF(tb2_CampaignResponses[[#This Row],[Gift_Amount]]&gt;10000,"Review - unusually large donation",""))</f>
        <v/>
      </c>
      <c r="K38" s="21" t="str">
        <f>IF(tb2_CampaignResponses[[#This Row],[Supporter_ID]]="","Review - no supporter ID","")</f>
        <v/>
      </c>
      <c r="L38" s="21" t="str">
        <f ca="1">IF(tb2_CampaignResponses[[#This Row],[Response_Date]]&gt;TODAY(),"Review - future response date","")</f>
        <v/>
      </c>
    </row>
    <row r="39" spans="1:13" x14ac:dyDescent="0.25">
      <c r="A39" s="3" t="s">
        <v>3417</v>
      </c>
      <c r="B39" s="2" t="s">
        <v>2764</v>
      </c>
      <c r="C39" s="2" t="s">
        <v>3354</v>
      </c>
      <c r="D39" s="2" t="s">
        <v>3355</v>
      </c>
      <c r="E39" s="2" t="s">
        <v>65</v>
      </c>
      <c r="F39" s="15">
        <v>45618</v>
      </c>
      <c r="G39" s="25">
        <v>80.83</v>
      </c>
      <c r="H39" s="2" t="s">
        <v>36</v>
      </c>
      <c r="I39" s="4" t="s">
        <v>3365</v>
      </c>
      <c r="J39" s="2" t="str">
        <f>IF(tb2_CampaignResponses[[#This Row],[Gift_Amount]]&lt;0,"Review - negative amount",IF(tb2_CampaignResponses[[#This Row],[Gift_Amount]]&gt;10000,"Review - unusually large donation",""))</f>
        <v/>
      </c>
      <c r="K39" s="21" t="str">
        <f>IF(tb2_CampaignResponses[[#This Row],[Supporter_ID]]="","Review - no supporter ID","")</f>
        <v/>
      </c>
      <c r="L39" s="21" t="str">
        <f ca="1">IF(tb2_CampaignResponses[[#This Row],[Response_Date]]&gt;TODAY(),"Review - future response date","")</f>
        <v/>
      </c>
    </row>
    <row r="40" spans="1:13" x14ac:dyDescent="0.25">
      <c r="A40" s="3" t="s">
        <v>3418</v>
      </c>
      <c r="B40" s="2" t="s">
        <v>553</v>
      </c>
      <c r="C40" s="2" t="s">
        <v>3314</v>
      </c>
      <c r="D40" s="2" t="s">
        <v>3315</v>
      </c>
      <c r="E40" s="2" t="s">
        <v>33</v>
      </c>
      <c r="F40" s="15">
        <v>45666</v>
      </c>
      <c r="G40" s="25">
        <v>11.66</v>
      </c>
      <c r="H40" s="2" t="s">
        <v>36</v>
      </c>
      <c r="I40" s="4" t="s">
        <v>3323</v>
      </c>
      <c r="J40" s="2" t="str">
        <f>IF(tb2_CampaignResponses[[#This Row],[Gift_Amount]]&lt;0,"Review - negative amount",IF(tb2_CampaignResponses[[#This Row],[Gift_Amount]]&gt;10000,"Review - unusually large donation",""))</f>
        <v/>
      </c>
      <c r="K40" s="21" t="str">
        <f>IF(tb2_CampaignResponses[[#This Row],[Supporter_ID]]="","Review - no supporter ID","")</f>
        <v/>
      </c>
      <c r="L40" s="21" t="str">
        <f ca="1">IF(tb2_CampaignResponses[[#This Row],[Response_Date]]&gt;TODAY(),"Review - future response date","")</f>
        <v/>
      </c>
    </row>
    <row r="41" spans="1:13" x14ac:dyDescent="0.25">
      <c r="A41" s="3" t="s">
        <v>3420</v>
      </c>
      <c r="B41" s="2" t="s">
        <v>2163</v>
      </c>
      <c r="C41" s="2" t="s">
        <v>3403</v>
      </c>
      <c r="D41" s="2" t="s">
        <v>3404</v>
      </c>
      <c r="E41" s="2" t="s">
        <v>3316</v>
      </c>
      <c r="F41" s="15">
        <v>45637</v>
      </c>
      <c r="G41" s="25">
        <v>60.91</v>
      </c>
      <c r="H41" s="2" t="s">
        <v>37</v>
      </c>
      <c r="I41" s="4" t="s">
        <v>3385</v>
      </c>
      <c r="J41" s="2" t="str">
        <f>IF(tb2_CampaignResponses[[#This Row],[Gift_Amount]]&lt;0,"Review - negative amount",IF(tb2_CampaignResponses[[#This Row],[Gift_Amount]]&gt;10000,"Review - unusually large donation",""))</f>
        <v/>
      </c>
      <c r="K41" s="21" t="str">
        <f>IF(tb2_CampaignResponses[[#This Row],[Supporter_ID]]="","Review - no supporter ID","")</f>
        <v/>
      </c>
      <c r="L41" s="21" t="str">
        <f ca="1">IF(tb2_CampaignResponses[[#This Row],[Response_Date]]&gt;TODAY(),"Review - future response date","")</f>
        <v/>
      </c>
    </row>
    <row r="42" spans="1:13" x14ac:dyDescent="0.25">
      <c r="A42" s="3" t="s">
        <v>3422</v>
      </c>
      <c r="B42" s="2" t="s">
        <v>458</v>
      </c>
      <c r="C42" s="2" t="s">
        <v>3325</v>
      </c>
      <c r="D42" s="2" t="s">
        <v>3326</v>
      </c>
      <c r="E42" s="2" t="s">
        <v>3316</v>
      </c>
      <c r="F42" s="15">
        <v>45614</v>
      </c>
      <c r="G42" s="25">
        <v>79.34</v>
      </c>
      <c r="H42" s="2" t="s">
        <v>36</v>
      </c>
      <c r="I42" s="4" t="s">
        <v>3334</v>
      </c>
      <c r="J42" s="2" t="str">
        <f>IF(tb2_CampaignResponses[[#This Row],[Gift_Amount]]&lt;0,"Review - negative amount",IF(tb2_CampaignResponses[[#This Row],[Gift_Amount]]&gt;10000,"Review - unusually large donation",""))</f>
        <v/>
      </c>
      <c r="K42" s="21" t="str">
        <f>IF(tb2_CampaignResponses[[#This Row],[Supporter_ID]]="","Review - no supporter ID","")</f>
        <v/>
      </c>
      <c r="L42" s="21" t="str">
        <f ca="1">IF(tb2_CampaignResponses[[#This Row],[Response_Date]]&gt;TODAY(),"Review - future response date","")</f>
        <v/>
      </c>
    </row>
    <row r="43" spans="1:13" x14ac:dyDescent="0.25">
      <c r="A43" s="3" t="s">
        <v>3424</v>
      </c>
      <c r="B43" s="2" t="s">
        <v>119</v>
      </c>
      <c r="C43" s="2" t="s">
        <v>3354</v>
      </c>
      <c r="D43" s="2" t="s">
        <v>3355</v>
      </c>
      <c r="E43" s="2" t="s">
        <v>65</v>
      </c>
      <c r="F43" s="15">
        <v>45618</v>
      </c>
      <c r="G43" s="25">
        <v>48.2</v>
      </c>
      <c r="H43" s="2" t="s">
        <v>37</v>
      </c>
      <c r="I43" s="4" t="s">
        <v>3334</v>
      </c>
      <c r="J43" s="2" t="str">
        <f>IF(tb2_CampaignResponses[[#This Row],[Gift_Amount]]&lt;0,"Review - negative amount",IF(tb2_CampaignResponses[[#This Row],[Gift_Amount]]&gt;10000,"Review - unusually large donation",""))</f>
        <v/>
      </c>
      <c r="K43" s="21" t="str">
        <f>IF(tb2_CampaignResponses[[#This Row],[Supporter_ID]]="","Review - no supporter ID","")</f>
        <v/>
      </c>
      <c r="L43" s="21" t="str">
        <f ca="1">IF(tb2_CampaignResponses[[#This Row],[Response_Date]]&gt;TODAY(),"Review - future response date","")</f>
        <v/>
      </c>
    </row>
    <row r="44" spans="1:13" x14ac:dyDescent="0.25">
      <c r="A44" s="3" t="s">
        <v>3426</v>
      </c>
      <c r="B44" s="2" t="s">
        <v>2309</v>
      </c>
      <c r="C44" s="2" t="s">
        <v>3427</v>
      </c>
      <c r="D44" s="2" t="s">
        <v>3428</v>
      </c>
      <c r="E44" s="2" t="s">
        <v>65</v>
      </c>
      <c r="F44" s="15">
        <v>45488</v>
      </c>
      <c r="G44" s="25">
        <v>23.22</v>
      </c>
      <c r="H44" s="2" t="s">
        <v>37</v>
      </c>
      <c r="I44" s="4" t="s">
        <v>3365</v>
      </c>
      <c r="J44" s="2" t="str">
        <f>IF(tb2_CampaignResponses[[#This Row],[Gift_Amount]]&lt;0,"Review - negative amount",IF(tb2_CampaignResponses[[#This Row],[Gift_Amount]]&gt;10000,"Review - unusually large donation",""))</f>
        <v/>
      </c>
      <c r="K44" s="21" t="str">
        <f>IF(tb2_CampaignResponses[[#This Row],[Supporter_ID]]="","Review - no supporter ID","")</f>
        <v/>
      </c>
      <c r="L44" s="21" t="str">
        <f ca="1">IF(tb2_CampaignResponses[[#This Row],[Response_Date]]&gt;TODAY(),"Review - future response date","")</f>
        <v/>
      </c>
    </row>
    <row r="45" spans="1:13" x14ac:dyDescent="0.25">
      <c r="A45" s="3" t="s">
        <v>3430</v>
      </c>
      <c r="B45" s="2" t="s">
        <v>825</v>
      </c>
      <c r="C45" s="2" t="s">
        <v>3362</v>
      </c>
      <c r="D45" s="2" t="s">
        <v>3363</v>
      </c>
      <c r="E45" s="2" t="s">
        <v>65</v>
      </c>
      <c r="F45" s="15">
        <v>45572</v>
      </c>
      <c r="G45" s="25">
        <v>28.55</v>
      </c>
      <c r="H45" s="2" t="s">
        <v>36</v>
      </c>
      <c r="I45" s="4" t="s">
        <v>3365</v>
      </c>
      <c r="J45" s="2" t="str">
        <f>IF(tb2_CampaignResponses[[#This Row],[Gift_Amount]]&lt;0,"Review - negative amount",IF(tb2_CampaignResponses[[#This Row],[Gift_Amount]]&gt;10000,"Review - unusually large donation",""))</f>
        <v/>
      </c>
      <c r="K45" s="21" t="str">
        <f>IF(tb2_CampaignResponses[[#This Row],[Supporter_ID]]="","Review - no supporter ID","")</f>
        <v/>
      </c>
      <c r="L45" s="21" t="str">
        <f ca="1">IF(tb2_CampaignResponses[[#This Row],[Response_Date]]&gt;TODAY(),"Review - future response date","")</f>
        <v/>
      </c>
      <c r="M45" s="24"/>
    </row>
    <row r="46" spans="1:13" x14ac:dyDescent="0.25">
      <c r="A46" s="3" t="s">
        <v>3432</v>
      </c>
      <c r="B46" s="2" t="s">
        <v>2574</v>
      </c>
      <c r="C46" s="2" t="s">
        <v>3320</v>
      </c>
      <c r="D46" s="2" t="s">
        <v>3321</v>
      </c>
      <c r="E46" s="2" t="s">
        <v>65</v>
      </c>
      <c r="F46" s="15">
        <v>45444</v>
      </c>
      <c r="G46" s="25">
        <v>478.2</v>
      </c>
      <c r="H46" s="2" t="s">
        <v>36</v>
      </c>
      <c r="I46" s="4" t="s">
        <v>3365</v>
      </c>
      <c r="J46" s="2" t="str">
        <f>IF(tb2_CampaignResponses[[#This Row],[Gift_Amount]]&lt;0,"Review - negative amount",IF(tb2_CampaignResponses[[#This Row],[Gift_Amount]]&gt;10000,"Review - unusually large donation",""))</f>
        <v/>
      </c>
      <c r="K46" s="21" t="str">
        <f>IF(tb2_CampaignResponses[[#This Row],[Supporter_ID]]="","Review - no supporter ID","")</f>
        <v/>
      </c>
      <c r="L46" s="21" t="str">
        <f ca="1">IF(tb2_CampaignResponses[[#This Row],[Response_Date]]&gt;TODAY(),"Review - future response date","")</f>
        <v/>
      </c>
    </row>
    <row r="47" spans="1:13" x14ac:dyDescent="0.25">
      <c r="A47" s="3" t="s">
        <v>3434</v>
      </c>
      <c r="B47" s="2" t="s">
        <v>740</v>
      </c>
      <c r="C47" s="2" t="s">
        <v>3325</v>
      </c>
      <c r="D47" s="2" t="s">
        <v>3326</v>
      </c>
      <c r="E47" s="2" t="s">
        <v>3316</v>
      </c>
      <c r="F47" s="15">
        <v>45656</v>
      </c>
      <c r="G47" s="25">
        <v>48.33</v>
      </c>
      <c r="H47" s="2" t="s">
        <v>37</v>
      </c>
      <c r="I47" s="4" t="s">
        <v>3334</v>
      </c>
      <c r="J47" s="2" t="str">
        <f>IF(tb2_CampaignResponses[[#This Row],[Gift_Amount]]&lt;0,"Review - negative amount",IF(tb2_CampaignResponses[[#This Row],[Gift_Amount]]&gt;10000,"Review - unusually large donation",""))</f>
        <v/>
      </c>
      <c r="K47" s="21" t="str">
        <f>IF(tb2_CampaignResponses[[#This Row],[Supporter_ID]]="","Review - no supporter ID","")</f>
        <v/>
      </c>
      <c r="L47" s="21" t="str">
        <f ca="1">IF(tb2_CampaignResponses[[#This Row],[Response_Date]]&gt;TODAY(),"Review - future response date","")</f>
        <v/>
      </c>
    </row>
    <row r="48" spans="1:13" x14ac:dyDescent="0.25">
      <c r="A48" s="3" t="s">
        <v>3436</v>
      </c>
      <c r="B48" s="2" t="s">
        <v>908</v>
      </c>
      <c r="C48" s="2" t="s">
        <v>3341</v>
      </c>
      <c r="D48" s="2" t="s">
        <v>3342</v>
      </c>
      <c r="E48" s="2" t="s">
        <v>3316</v>
      </c>
      <c r="F48" s="15">
        <v>45708</v>
      </c>
      <c r="G48" s="25">
        <v>273.94</v>
      </c>
      <c r="H48" s="2" t="s">
        <v>37</v>
      </c>
      <c r="I48" s="4" t="s">
        <v>3370</v>
      </c>
      <c r="J48" s="2" t="str">
        <f>IF(tb2_CampaignResponses[[#This Row],[Gift_Amount]]&lt;0,"Review - negative amount",IF(tb2_CampaignResponses[[#This Row],[Gift_Amount]]&gt;10000,"Review - unusually large donation",""))</f>
        <v/>
      </c>
      <c r="K48" s="21" t="str">
        <f>IF(tb2_CampaignResponses[[#This Row],[Supporter_ID]]="","Review - no supporter ID","")</f>
        <v/>
      </c>
      <c r="L48" s="21" t="str">
        <f ca="1">IF(tb2_CampaignResponses[[#This Row],[Response_Date]]&gt;TODAY(),"Review - future response date","")</f>
        <v/>
      </c>
    </row>
    <row r="49" spans="1:12" x14ac:dyDescent="0.25">
      <c r="A49" s="3" t="s">
        <v>3438</v>
      </c>
      <c r="B49" s="2" t="s">
        <v>1567</v>
      </c>
      <c r="C49" s="2" t="s">
        <v>3314</v>
      </c>
      <c r="D49" s="2" t="s">
        <v>3315</v>
      </c>
      <c r="E49" s="2" t="s">
        <v>3316</v>
      </c>
      <c r="F49" s="15">
        <v>45725</v>
      </c>
      <c r="G49" s="25">
        <v>46.97</v>
      </c>
      <c r="H49" s="2" t="s">
        <v>37</v>
      </c>
      <c r="I49" s="4" t="s">
        <v>3365</v>
      </c>
      <c r="J49" s="2" t="str">
        <f>IF(tb2_CampaignResponses[[#This Row],[Gift_Amount]]&lt;0,"Review - negative amount",IF(tb2_CampaignResponses[[#This Row],[Gift_Amount]]&gt;10000,"Review - unusually large donation",""))</f>
        <v/>
      </c>
      <c r="K49" s="21" t="str">
        <f>IF(tb2_CampaignResponses[[#This Row],[Supporter_ID]]="","Review - no supporter ID","")</f>
        <v/>
      </c>
      <c r="L49" s="21" t="str">
        <f ca="1">IF(tb2_CampaignResponses[[#This Row],[Response_Date]]&gt;TODAY(),"Review - future response date","")</f>
        <v/>
      </c>
    </row>
    <row r="50" spans="1:12" x14ac:dyDescent="0.25">
      <c r="A50" s="3" t="s">
        <v>3440</v>
      </c>
      <c r="B50" s="2" t="s">
        <v>1316</v>
      </c>
      <c r="C50" s="2" t="s">
        <v>3325</v>
      </c>
      <c r="D50" s="2" t="s">
        <v>3326</v>
      </c>
      <c r="E50" s="2" t="s">
        <v>65</v>
      </c>
      <c r="F50" s="15">
        <v>45627</v>
      </c>
      <c r="G50" s="25">
        <v>48.92</v>
      </c>
      <c r="H50" s="2" t="s">
        <v>36</v>
      </c>
      <c r="I50" s="4" t="s">
        <v>3365</v>
      </c>
      <c r="J50" s="2" t="str">
        <f>IF(tb2_CampaignResponses[[#This Row],[Gift_Amount]]&lt;0,"Review - negative amount",IF(tb2_CampaignResponses[[#This Row],[Gift_Amount]]&gt;10000,"Review - unusually large donation",""))</f>
        <v/>
      </c>
      <c r="K50" s="21" t="str">
        <f>IF(tb2_CampaignResponses[[#This Row],[Supporter_ID]]="","Review - no supporter ID","")</f>
        <v/>
      </c>
      <c r="L50" s="21" t="str">
        <f ca="1">IF(tb2_CampaignResponses[[#This Row],[Response_Date]]&gt;TODAY(),"Review - future response date","")</f>
        <v/>
      </c>
    </row>
    <row r="51" spans="1:12" x14ac:dyDescent="0.25">
      <c r="A51" s="3" t="s">
        <v>3442</v>
      </c>
      <c r="B51" s="2" t="s">
        <v>927</v>
      </c>
      <c r="C51" s="2" t="s">
        <v>3336</v>
      </c>
      <c r="D51" s="2" t="s">
        <v>3337</v>
      </c>
      <c r="E51" s="2" t="s">
        <v>65</v>
      </c>
      <c r="F51" s="15">
        <v>45566</v>
      </c>
      <c r="G51" s="25">
        <v>4744.6000000000004</v>
      </c>
      <c r="H51" s="2" t="s">
        <v>37</v>
      </c>
      <c r="I51" s="4" t="s">
        <v>3385</v>
      </c>
      <c r="J51" s="2" t="str">
        <f>IF(tb2_CampaignResponses[[#This Row],[Gift_Amount]]&lt;0,"Review - negative amount",IF(tb2_CampaignResponses[[#This Row],[Gift_Amount]]&gt;10000,"Review - unusually large donation",""))</f>
        <v/>
      </c>
      <c r="K51" s="21" t="str">
        <f>IF(tb2_CampaignResponses[[#This Row],[Supporter_ID]]="","Review - no supporter ID","")</f>
        <v/>
      </c>
      <c r="L51" s="21" t="str">
        <f ca="1">IF(tb2_CampaignResponses[[#This Row],[Response_Date]]&gt;TODAY(),"Review - future response date","")</f>
        <v/>
      </c>
    </row>
    <row r="52" spans="1:12" x14ac:dyDescent="0.25">
      <c r="A52" s="3" t="s">
        <v>3444</v>
      </c>
      <c r="B52" s="2" t="s">
        <v>2176</v>
      </c>
      <c r="C52" s="2" t="s">
        <v>3314</v>
      </c>
      <c r="D52" s="2" t="s">
        <v>3315</v>
      </c>
      <c r="E52" s="2" t="s">
        <v>65</v>
      </c>
      <c r="F52" s="15">
        <v>45746</v>
      </c>
      <c r="G52" s="25">
        <v>16.64</v>
      </c>
      <c r="H52" s="2" t="s">
        <v>36</v>
      </c>
      <c r="I52" s="4" t="s">
        <v>3370</v>
      </c>
      <c r="J52" s="2" t="str">
        <f>IF(tb2_CampaignResponses[[#This Row],[Gift_Amount]]&lt;0,"Review - negative amount",IF(tb2_CampaignResponses[[#This Row],[Gift_Amount]]&gt;10000,"Review - unusually large donation",""))</f>
        <v/>
      </c>
      <c r="K52" s="21" t="str">
        <f>IF(tb2_CampaignResponses[[#This Row],[Supporter_ID]]="","Review - no supporter ID","")</f>
        <v/>
      </c>
      <c r="L52" s="21" t="str">
        <f ca="1">IF(tb2_CampaignResponses[[#This Row],[Response_Date]]&gt;TODAY(),"Review - future response date","")</f>
        <v/>
      </c>
    </row>
    <row r="53" spans="1:12" x14ac:dyDescent="0.25">
      <c r="A53" s="3" t="s">
        <v>3446</v>
      </c>
      <c r="B53" s="2" t="s">
        <v>1637</v>
      </c>
      <c r="C53" s="2" t="s">
        <v>3336</v>
      </c>
      <c r="D53" s="2" t="s">
        <v>3337</v>
      </c>
      <c r="E53" s="2" t="s">
        <v>3338</v>
      </c>
      <c r="F53" s="15">
        <v>45549</v>
      </c>
      <c r="G53" s="25">
        <v>46.05</v>
      </c>
      <c r="H53" s="2" t="s">
        <v>37</v>
      </c>
      <c r="I53" s="4" t="s">
        <v>3365</v>
      </c>
      <c r="J53" s="2" t="str">
        <f>IF(tb2_CampaignResponses[[#This Row],[Gift_Amount]]&lt;0,"Review - negative amount",IF(tb2_CampaignResponses[[#This Row],[Gift_Amount]]&gt;10000,"Review - unusually large donation",""))</f>
        <v/>
      </c>
      <c r="K53" s="21" t="str">
        <f>IF(tb2_CampaignResponses[[#This Row],[Supporter_ID]]="","Review - no supporter ID","")</f>
        <v/>
      </c>
      <c r="L53" s="21" t="str">
        <f ca="1">IF(tb2_CampaignResponses[[#This Row],[Response_Date]]&gt;TODAY(),"Review - future response date","")</f>
        <v/>
      </c>
    </row>
    <row r="54" spans="1:12" x14ac:dyDescent="0.25">
      <c r="A54" s="3" t="s">
        <v>3448</v>
      </c>
      <c r="B54" s="2" t="s">
        <v>2550</v>
      </c>
      <c r="C54" s="2" t="s">
        <v>3403</v>
      </c>
      <c r="D54" s="2" t="s">
        <v>3404</v>
      </c>
      <c r="E54" s="2" t="s">
        <v>65</v>
      </c>
      <c r="F54" s="15">
        <v>45613</v>
      </c>
      <c r="G54" s="25">
        <v>10.63</v>
      </c>
      <c r="H54" s="2" t="s">
        <v>37</v>
      </c>
      <c r="I54" s="4" t="s">
        <v>3323</v>
      </c>
      <c r="J54" s="2" t="str">
        <f>IF(tb2_CampaignResponses[[#This Row],[Gift_Amount]]&lt;0,"Review - negative amount",IF(tb2_CampaignResponses[[#This Row],[Gift_Amount]]&gt;10000,"Review - unusually large donation",""))</f>
        <v/>
      </c>
      <c r="K54" s="21" t="str">
        <f>IF(tb2_CampaignResponses[[#This Row],[Supporter_ID]]="","Review - no supporter ID","")</f>
        <v/>
      </c>
      <c r="L54" s="21" t="str">
        <f ca="1">IF(tb2_CampaignResponses[[#This Row],[Response_Date]]&gt;TODAY(),"Review - future response date","")</f>
        <v/>
      </c>
    </row>
    <row r="55" spans="1:12" x14ac:dyDescent="0.25">
      <c r="A55" s="3" t="s">
        <v>3450</v>
      </c>
      <c r="B55" s="2" t="s">
        <v>1274</v>
      </c>
      <c r="C55" s="2" t="s">
        <v>3325</v>
      </c>
      <c r="D55" s="2" t="s">
        <v>3326</v>
      </c>
      <c r="E55" s="2" t="s">
        <v>4</v>
      </c>
      <c r="F55" s="15">
        <v>45598</v>
      </c>
      <c r="G55" s="25">
        <v>322.75</v>
      </c>
      <c r="H55" s="2" t="s">
        <v>37</v>
      </c>
      <c r="I55" s="4" t="s">
        <v>3385</v>
      </c>
      <c r="J55" s="2" t="str">
        <f>IF(tb2_CampaignResponses[[#This Row],[Gift_Amount]]&lt;0,"Review - negative amount",IF(tb2_CampaignResponses[[#This Row],[Gift_Amount]]&gt;10000,"Review - unusually large donation",""))</f>
        <v/>
      </c>
      <c r="K55" s="21" t="str">
        <f>IF(tb2_CampaignResponses[[#This Row],[Supporter_ID]]="","Review - no supporter ID","")</f>
        <v/>
      </c>
      <c r="L55" s="21" t="str">
        <f ca="1">IF(tb2_CampaignResponses[[#This Row],[Response_Date]]&gt;TODAY(),"Review - future response date","")</f>
        <v/>
      </c>
    </row>
    <row r="56" spans="1:12" x14ac:dyDescent="0.25">
      <c r="A56" s="3" t="s">
        <v>3452</v>
      </c>
      <c r="B56" s="2" t="s">
        <v>2112</v>
      </c>
      <c r="C56" s="2" t="s">
        <v>3320</v>
      </c>
      <c r="D56" s="2" t="s">
        <v>3321</v>
      </c>
      <c r="E56" s="2" t="s">
        <v>4</v>
      </c>
      <c r="F56" s="15">
        <v>45463</v>
      </c>
      <c r="G56" s="25">
        <v>241.31</v>
      </c>
      <c r="H56" s="2" t="s">
        <v>36</v>
      </c>
      <c r="I56" s="4" t="s">
        <v>3331</v>
      </c>
      <c r="J56" s="2" t="str">
        <f>IF(tb2_CampaignResponses[[#This Row],[Gift_Amount]]&lt;0,"Review - negative amount",IF(tb2_CampaignResponses[[#This Row],[Gift_Amount]]&gt;10000,"Review - unusually large donation",""))</f>
        <v/>
      </c>
      <c r="K56" s="21" t="str">
        <f>IF(tb2_CampaignResponses[[#This Row],[Supporter_ID]]="","Review - no supporter ID","")</f>
        <v/>
      </c>
      <c r="L56" s="21" t="str">
        <f ca="1">IF(tb2_CampaignResponses[[#This Row],[Response_Date]]&gt;TODAY(),"Review - future response date","")</f>
        <v/>
      </c>
    </row>
    <row r="57" spans="1:12" x14ac:dyDescent="0.25">
      <c r="A57" s="3" t="s">
        <v>3454</v>
      </c>
      <c r="B57" s="2" t="s">
        <v>1688</v>
      </c>
      <c r="C57" s="2" t="s">
        <v>3320</v>
      </c>
      <c r="D57" s="2" t="s">
        <v>3321</v>
      </c>
      <c r="E57" s="2" t="s">
        <v>4</v>
      </c>
      <c r="F57" s="15">
        <v>45466</v>
      </c>
      <c r="G57" s="25">
        <v>57.48</v>
      </c>
      <c r="H57" s="2" t="s">
        <v>36</v>
      </c>
      <c r="I57" s="4" t="s">
        <v>3331</v>
      </c>
      <c r="J57" s="2" t="str">
        <f>IF(tb2_CampaignResponses[[#This Row],[Gift_Amount]]&lt;0,"Review - negative amount",IF(tb2_CampaignResponses[[#This Row],[Gift_Amount]]&gt;10000,"Review - unusually large donation",""))</f>
        <v/>
      </c>
      <c r="K57" s="21" t="str">
        <f>IF(tb2_CampaignResponses[[#This Row],[Supporter_ID]]="","Review - no supporter ID","")</f>
        <v/>
      </c>
      <c r="L57" s="21" t="str">
        <f ca="1">IF(tb2_CampaignResponses[[#This Row],[Response_Date]]&gt;TODAY(),"Review - future response date","")</f>
        <v/>
      </c>
    </row>
    <row r="58" spans="1:12" x14ac:dyDescent="0.25">
      <c r="A58" s="3" t="s">
        <v>3456</v>
      </c>
      <c r="B58" s="2" t="s">
        <v>3009</v>
      </c>
      <c r="C58" s="2" t="s">
        <v>3427</v>
      </c>
      <c r="D58" s="2" t="s">
        <v>3428</v>
      </c>
      <c r="E58" s="2" t="s">
        <v>4</v>
      </c>
      <c r="F58" s="15">
        <v>45488</v>
      </c>
      <c r="G58" s="25">
        <v>92.35</v>
      </c>
      <c r="H58" s="2" t="s">
        <v>36</v>
      </c>
      <c r="I58" s="4" t="s">
        <v>3334</v>
      </c>
      <c r="J58" s="2" t="str">
        <f>IF(tb2_CampaignResponses[[#This Row],[Gift_Amount]]&lt;0,"Review - negative amount",IF(tb2_CampaignResponses[[#This Row],[Gift_Amount]]&gt;10000,"Review - unusually large donation",""))</f>
        <v/>
      </c>
      <c r="K58" s="21" t="str">
        <f>IF(tb2_CampaignResponses[[#This Row],[Supporter_ID]]="","Review - no supporter ID","")</f>
        <v/>
      </c>
      <c r="L58" s="21" t="str">
        <f ca="1">IF(tb2_CampaignResponses[[#This Row],[Response_Date]]&gt;TODAY(),"Review - future response date","")</f>
        <v/>
      </c>
    </row>
    <row r="59" spans="1:12" x14ac:dyDescent="0.25">
      <c r="A59" s="3" t="s">
        <v>3457</v>
      </c>
      <c r="B59" s="2" t="s">
        <v>3003</v>
      </c>
      <c r="C59" s="2" t="s">
        <v>3341</v>
      </c>
      <c r="D59" s="2" t="s">
        <v>3342</v>
      </c>
      <c r="E59" s="2" t="s">
        <v>4</v>
      </c>
      <c r="F59" s="15">
        <v>45774</v>
      </c>
      <c r="G59" s="25">
        <v>278.52</v>
      </c>
      <c r="H59" s="2" t="s">
        <v>37</v>
      </c>
      <c r="I59" s="4" t="s">
        <v>3331</v>
      </c>
      <c r="J59" s="2" t="str">
        <f>IF(tb2_CampaignResponses[[#This Row],[Gift_Amount]]&lt;0,"Review - negative amount",IF(tb2_CampaignResponses[[#This Row],[Gift_Amount]]&gt;10000,"Review - unusually large donation",""))</f>
        <v/>
      </c>
      <c r="K59" s="21" t="str">
        <f>IF(tb2_CampaignResponses[[#This Row],[Supporter_ID]]="","Review - no supporter ID","")</f>
        <v/>
      </c>
      <c r="L59" s="21" t="str">
        <f ca="1">IF(tb2_CampaignResponses[[#This Row],[Response_Date]]&gt;TODAY(),"Review - future response date","")</f>
        <v/>
      </c>
    </row>
    <row r="60" spans="1:12" x14ac:dyDescent="0.25">
      <c r="A60" s="3" t="s">
        <v>3460</v>
      </c>
      <c r="B60" s="2" t="s">
        <v>330</v>
      </c>
      <c r="C60" s="2" t="s">
        <v>3354</v>
      </c>
      <c r="D60" s="2" t="s">
        <v>3355</v>
      </c>
      <c r="E60" s="2" t="s">
        <v>65</v>
      </c>
      <c r="F60" s="15">
        <v>45618</v>
      </c>
      <c r="G60" s="25">
        <v>38.14</v>
      </c>
      <c r="H60" s="2" t="s">
        <v>36</v>
      </c>
      <c r="I60" s="4" t="s">
        <v>3334</v>
      </c>
      <c r="J60" s="2" t="str">
        <f>IF(tb2_CampaignResponses[[#This Row],[Gift_Amount]]&lt;0,"Review - negative amount",IF(tb2_CampaignResponses[[#This Row],[Gift_Amount]]&gt;10000,"Review - unusually large donation",""))</f>
        <v/>
      </c>
      <c r="K60" s="21" t="str">
        <f>IF(tb2_CampaignResponses[[#This Row],[Supporter_ID]]="","Review - no supporter ID","")</f>
        <v/>
      </c>
      <c r="L60" s="21" t="str">
        <f ca="1">IF(tb2_CampaignResponses[[#This Row],[Response_Date]]&gt;TODAY(),"Review - future response date","")</f>
        <v/>
      </c>
    </row>
    <row r="61" spans="1:12" x14ac:dyDescent="0.25">
      <c r="A61" s="3" t="s">
        <v>3461</v>
      </c>
      <c r="B61" s="2" t="s">
        <v>3077</v>
      </c>
      <c r="C61" s="2" t="s">
        <v>3320</v>
      </c>
      <c r="D61" s="2" t="s">
        <v>3321</v>
      </c>
      <c r="E61" s="2" t="s">
        <v>4</v>
      </c>
      <c r="F61" s="15">
        <v>45445</v>
      </c>
      <c r="G61" s="25">
        <v>158.62</v>
      </c>
      <c r="H61" s="2" t="s">
        <v>37</v>
      </c>
      <c r="I61" s="4" t="s">
        <v>3370</v>
      </c>
      <c r="J61" s="2" t="str">
        <f>IF(tb2_CampaignResponses[[#This Row],[Gift_Amount]]&lt;0,"Review - negative amount",IF(tb2_CampaignResponses[[#This Row],[Gift_Amount]]&gt;10000,"Review - unusually large donation",""))</f>
        <v/>
      </c>
      <c r="K61" s="21" t="str">
        <f>IF(tb2_CampaignResponses[[#This Row],[Supporter_ID]]="","Review - no supporter ID","")</f>
        <v/>
      </c>
      <c r="L61" s="21" t="str">
        <f ca="1">IF(tb2_CampaignResponses[[#This Row],[Response_Date]]&gt;TODAY(),"Review - future response date","")</f>
        <v/>
      </c>
    </row>
    <row r="62" spans="1:12" x14ac:dyDescent="0.25">
      <c r="A62" s="3" t="s">
        <v>3463</v>
      </c>
      <c r="B62" s="2" t="s">
        <v>272</v>
      </c>
      <c r="C62" s="2" t="s">
        <v>3367</v>
      </c>
      <c r="D62" s="2" t="s">
        <v>3368</v>
      </c>
      <c r="E62" s="2" t="s">
        <v>65</v>
      </c>
      <c r="F62" s="15">
        <v>45741</v>
      </c>
      <c r="G62" s="25">
        <v>18.809999999999999</v>
      </c>
      <c r="H62" s="2" t="s">
        <v>36</v>
      </c>
      <c r="I62" s="4" t="s">
        <v>3328</v>
      </c>
      <c r="J62" s="2" t="str">
        <f>IF(tb2_CampaignResponses[[#This Row],[Gift_Amount]]&lt;0,"Review - negative amount",IF(tb2_CampaignResponses[[#This Row],[Gift_Amount]]&gt;10000,"Review - unusually large donation",""))</f>
        <v/>
      </c>
      <c r="K62" s="21" t="str">
        <f>IF(tb2_CampaignResponses[[#This Row],[Supporter_ID]]="","Review - no supporter ID","")</f>
        <v/>
      </c>
      <c r="L62" s="21" t="str">
        <f ca="1">IF(tb2_CampaignResponses[[#This Row],[Response_Date]]&gt;TODAY(),"Review - future response date","")</f>
        <v/>
      </c>
    </row>
    <row r="63" spans="1:12" x14ac:dyDescent="0.25">
      <c r="A63" s="3" t="s">
        <v>3465</v>
      </c>
      <c r="B63" s="2" t="s">
        <v>1059</v>
      </c>
      <c r="C63" s="2" t="s">
        <v>3427</v>
      </c>
      <c r="D63" s="2" t="s">
        <v>3428</v>
      </c>
      <c r="E63" s="2" t="s">
        <v>65</v>
      </c>
      <c r="F63" s="15">
        <v>45488</v>
      </c>
      <c r="G63" s="25">
        <v>324.07</v>
      </c>
      <c r="H63" s="2" t="s">
        <v>36</v>
      </c>
      <c r="I63" s="4" t="s">
        <v>3370</v>
      </c>
      <c r="J63" s="2" t="str">
        <f>IF(tb2_CampaignResponses[[#This Row],[Gift_Amount]]&lt;0,"Review - negative amount",IF(tb2_CampaignResponses[[#This Row],[Gift_Amount]]&gt;10000,"Review - unusually large donation",""))</f>
        <v/>
      </c>
      <c r="K63" s="21" t="str">
        <f>IF(tb2_CampaignResponses[[#This Row],[Supporter_ID]]="","Review - no supporter ID","")</f>
        <v/>
      </c>
      <c r="L63" s="21" t="str">
        <f ca="1">IF(tb2_CampaignResponses[[#This Row],[Response_Date]]&gt;TODAY(),"Review - future response date","")</f>
        <v/>
      </c>
    </row>
    <row r="64" spans="1:12" x14ac:dyDescent="0.25">
      <c r="A64" s="3" t="s">
        <v>3466</v>
      </c>
      <c r="B64" s="2" t="s">
        <v>688</v>
      </c>
      <c r="C64" s="2" t="s">
        <v>3320</v>
      </c>
      <c r="D64" s="2" t="s">
        <v>3321</v>
      </c>
      <c r="E64" s="2" t="s">
        <v>65</v>
      </c>
      <c r="F64" s="15">
        <v>45459</v>
      </c>
      <c r="G64" s="25">
        <v>40.270000000000003</v>
      </c>
      <c r="H64" s="2" t="s">
        <v>36</v>
      </c>
      <c r="I64" s="4" t="s">
        <v>3370</v>
      </c>
      <c r="J64" s="2" t="str">
        <f>IF(tb2_CampaignResponses[[#This Row],[Gift_Amount]]&lt;0,"Review - negative amount",IF(tb2_CampaignResponses[[#This Row],[Gift_Amount]]&gt;10000,"Review - unusually large donation",""))</f>
        <v/>
      </c>
      <c r="K64" s="21" t="str">
        <f>IF(tb2_CampaignResponses[[#This Row],[Supporter_ID]]="","Review - no supporter ID","")</f>
        <v/>
      </c>
      <c r="L64" s="21" t="str">
        <f ca="1">IF(tb2_CampaignResponses[[#This Row],[Response_Date]]&gt;TODAY(),"Review - future response date","")</f>
        <v/>
      </c>
    </row>
    <row r="65" spans="1:12" x14ac:dyDescent="0.25">
      <c r="A65" s="3" t="s">
        <v>3468</v>
      </c>
      <c r="B65" s="2" t="s">
        <v>2393</v>
      </c>
      <c r="C65" s="2" t="s">
        <v>3314</v>
      </c>
      <c r="D65" s="2" t="s">
        <v>3315</v>
      </c>
      <c r="E65" s="2" t="s">
        <v>3316</v>
      </c>
      <c r="F65" s="15">
        <v>45734</v>
      </c>
      <c r="G65" s="25">
        <v>36.9</v>
      </c>
      <c r="H65" s="2" t="s">
        <v>36</v>
      </c>
      <c r="I65" s="4" t="s">
        <v>3334</v>
      </c>
      <c r="J65" s="2" t="str">
        <f>IF(tb2_CampaignResponses[[#This Row],[Gift_Amount]]&lt;0,"Review - negative amount",IF(tb2_CampaignResponses[[#This Row],[Gift_Amount]]&gt;10000,"Review - unusually large donation",""))</f>
        <v/>
      </c>
      <c r="K65" s="21" t="str">
        <f>IF(tb2_CampaignResponses[[#This Row],[Supporter_ID]]="","Review - no supporter ID","")</f>
        <v/>
      </c>
      <c r="L65" s="21" t="str">
        <f ca="1">IF(tb2_CampaignResponses[[#This Row],[Response_Date]]&gt;TODAY(),"Review - future response date","")</f>
        <v/>
      </c>
    </row>
    <row r="66" spans="1:12" x14ac:dyDescent="0.25">
      <c r="A66" s="3" t="s">
        <v>3470</v>
      </c>
      <c r="B66" s="2" t="s">
        <v>1405</v>
      </c>
      <c r="C66" s="2" t="s">
        <v>3427</v>
      </c>
      <c r="D66" s="2" t="s">
        <v>3428</v>
      </c>
      <c r="E66" s="2" t="s">
        <v>65</v>
      </c>
      <c r="F66" s="15">
        <v>45488</v>
      </c>
      <c r="G66" s="25">
        <v>98.95</v>
      </c>
      <c r="H66" s="2" t="s">
        <v>36</v>
      </c>
      <c r="I66" s="4" t="s">
        <v>3323</v>
      </c>
      <c r="J66" s="2" t="str">
        <f>IF(tb2_CampaignResponses[[#This Row],[Gift_Amount]]&lt;0,"Review - negative amount",IF(tb2_CampaignResponses[[#This Row],[Gift_Amount]]&gt;10000,"Review - unusually large donation",""))</f>
        <v/>
      </c>
      <c r="K66" s="21" t="str">
        <f>IF(tb2_CampaignResponses[[#This Row],[Supporter_ID]]="","Review - no supporter ID","")</f>
        <v/>
      </c>
      <c r="L66" s="21" t="str">
        <f ca="1">IF(tb2_CampaignResponses[[#This Row],[Response_Date]]&gt;TODAY(),"Review - future response date","")</f>
        <v/>
      </c>
    </row>
    <row r="67" spans="1:12" x14ac:dyDescent="0.25">
      <c r="A67" s="3" t="s">
        <v>3472</v>
      </c>
      <c r="B67" s="2" t="s">
        <v>1808</v>
      </c>
      <c r="C67" s="2" t="s">
        <v>3336</v>
      </c>
      <c r="D67" s="2" t="s">
        <v>3337</v>
      </c>
      <c r="E67" s="2" t="s">
        <v>3338</v>
      </c>
      <c r="F67" s="15">
        <v>45554</v>
      </c>
      <c r="G67" s="25">
        <v>60.74</v>
      </c>
      <c r="H67" s="2" t="s">
        <v>36</v>
      </c>
      <c r="I67" s="4" t="s">
        <v>3331</v>
      </c>
      <c r="J67" s="2" t="str">
        <f>IF(tb2_CampaignResponses[[#This Row],[Gift_Amount]]&lt;0,"Review - negative amount",IF(tb2_CampaignResponses[[#This Row],[Gift_Amount]]&gt;10000,"Review - unusually large donation",""))</f>
        <v/>
      </c>
      <c r="K67" s="21" t="str">
        <f>IF(tb2_CampaignResponses[[#This Row],[Supporter_ID]]="","Review - no supporter ID","")</f>
        <v/>
      </c>
      <c r="L67" s="21" t="str">
        <f ca="1">IF(tb2_CampaignResponses[[#This Row],[Response_Date]]&gt;TODAY(),"Review - future response date","")</f>
        <v/>
      </c>
    </row>
    <row r="68" spans="1:12" x14ac:dyDescent="0.25">
      <c r="A68" s="3" t="s">
        <v>3474</v>
      </c>
      <c r="B68" s="2" t="s">
        <v>2439</v>
      </c>
      <c r="C68" s="2" t="s">
        <v>3427</v>
      </c>
      <c r="D68" s="2" t="s">
        <v>3428</v>
      </c>
      <c r="E68" s="2" t="s">
        <v>4</v>
      </c>
      <c r="F68" s="15">
        <v>45488</v>
      </c>
      <c r="G68" s="25">
        <v>166.94</v>
      </c>
      <c r="H68" s="2" t="s">
        <v>37</v>
      </c>
      <c r="I68" s="4" t="s">
        <v>3331</v>
      </c>
      <c r="J68" s="2" t="str">
        <f>IF(tb2_CampaignResponses[[#This Row],[Gift_Amount]]&lt;0,"Review - negative amount",IF(tb2_CampaignResponses[[#This Row],[Gift_Amount]]&gt;10000,"Review - unusually large donation",""))</f>
        <v/>
      </c>
      <c r="K68" s="21" t="str">
        <f>IF(tb2_CampaignResponses[[#This Row],[Supporter_ID]]="","Review - no supporter ID","")</f>
        <v/>
      </c>
      <c r="L68" s="21" t="str">
        <f ca="1">IF(tb2_CampaignResponses[[#This Row],[Response_Date]]&gt;TODAY(),"Review - future response date","")</f>
        <v/>
      </c>
    </row>
    <row r="69" spans="1:12" x14ac:dyDescent="0.25">
      <c r="A69" s="3" t="s">
        <v>3475</v>
      </c>
      <c r="B69" s="2" t="s">
        <v>2106</v>
      </c>
      <c r="C69" s="2" t="s">
        <v>3320</v>
      </c>
      <c r="D69" s="2" t="s">
        <v>3321</v>
      </c>
      <c r="E69" s="2" t="s">
        <v>4</v>
      </c>
      <c r="F69" s="15">
        <v>45450</v>
      </c>
      <c r="G69" s="25">
        <v>149.34</v>
      </c>
      <c r="H69" s="2" t="s">
        <v>37</v>
      </c>
      <c r="I69" s="4" t="s">
        <v>3328</v>
      </c>
      <c r="J69" s="2" t="str">
        <f>IF(tb2_CampaignResponses[[#This Row],[Gift_Amount]]&lt;0,"Review - negative amount",IF(tb2_CampaignResponses[[#This Row],[Gift_Amount]]&gt;10000,"Review - unusually large donation",""))</f>
        <v/>
      </c>
      <c r="K69" s="21" t="str">
        <f>IF(tb2_CampaignResponses[[#This Row],[Supporter_ID]]="","Review - no supporter ID","")</f>
        <v/>
      </c>
      <c r="L69" s="21" t="str">
        <f ca="1">IF(tb2_CampaignResponses[[#This Row],[Response_Date]]&gt;TODAY(),"Review - future response date","")</f>
        <v/>
      </c>
    </row>
    <row r="70" spans="1:12" x14ac:dyDescent="0.25">
      <c r="A70" s="3" t="s">
        <v>3477</v>
      </c>
      <c r="B70" s="2" t="s">
        <v>2519</v>
      </c>
      <c r="C70" s="2" t="s">
        <v>3427</v>
      </c>
      <c r="D70" s="2" t="s">
        <v>3428</v>
      </c>
      <c r="E70" s="2" t="s">
        <v>4</v>
      </c>
      <c r="F70" s="15">
        <v>45488</v>
      </c>
      <c r="G70" s="25">
        <v>33.380000000000003</v>
      </c>
      <c r="H70" s="2" t="s">
        <v>37</v>
      </c>
      <c r="I70" s="4" t="s">
        <v>3334</v>
      </c>
      <c r="J70" s="2" t="str">
        <f>IF(tb2_CampaignResponses[[#This Row],[Gift_Amount]]&lt;0,"Review - negative amount",IF(tb2_CampaignResponses[[#This Row],[Gift_Amount]]&gt;10000,"Review - unusually large donation",""))</f>
        <v/>
      </c>
      <c r="K70" s="21" t="str">
        <f>IF(tb2_CampaignResponses[[#This Row],[Supporter_ID]]="","Review - no supporter ID","")</f>
        <v/>
      </c>
      <c r="L70" s="21" t="str">
        <f ca="1">IF(tb2_CampaignResponses[[#This Row],[Response_Date]]&gt;TODAY(),"Review - future response date","")</f>
        <v/>
      </c>
    </row>
    <row r="71" spans="1:12" x14ac:dyDescent="0.25">
      <c r="A71" s="3" t="s">
        <v>3479</v>
      </c>
      <c r="B71" s="2" t="s">
        <v>541</v>
      </c>
      <c r="C71" s="2" t="s">
        <v>3314</v>
      </c>
      <c r="D71" s="2" t="s">
        <v>3315</v>
      </c>
      <c r="E71" s="2" t="s">
        <v>65</v>
      </c>
      <c r="F71" s="15">
        <v>45703</v>
      </c>
      <c r="G71" s="25">
        <v>18.84</v>
      </c>
      <c r="H71" s="2" t="s">
        <v>36</v>
      </c>
      <c r="I71" s="4" t="s">
        <v>3334</v>
      </c>
      <c r="J71" s="2" t="str">
        <f>IF(tb2_CampaignResponses[[#This Row],[Gift_Amount]]&lt;0,"Review - negative amount",IF(tb2_CampaignResponses[[#This Row],[Gift_Amount]]&gt;10000,"Review - unusually large donation",""))</f>
        <v/>
      </c>
      <c r="K71" s="21" t="str">
        <f>IF(tb2_CampaignResponses[[#This Row],[Supporter_ID]]="","Review - no supporter ID","")</f>
        <v/>
      </c>
      <c r="L71" s="21" t="str">
        <f ca="1">IF(tb2_CampaignResponses[[#This Row],[Response_Date]]&gt;TODAY(),"Review - future response date","")</f>
        <v/>
      </c>
    </row>
    <row r="72" spans="1:12" x14ac:dyDescent="0.25">
      <c r="A72" s="3" t="s">
        <v>3482</v>
      </c>
      <c r="B72" s="2" t="s">
        <v>1405</v>
      </c>
      <c r="C72" s="2" t="s">
        <v>3336</v>
      </c>
      <c r="D72" s="2" t="s">
        <v>3337</v>
      </c>
      <c r="E72" s="2" t="s">
        <v>4</v>
      </c>
      <c r="F72" s="15">
        <v>45574</v>
      </c>
      <c r="G72" s="25">
        <v>181.16</v>
      </c>
      <c r="H72" s="2" t="s">
        <v>37</v>
      </c>
      <c r="I72" s="4" t="s">
        <v>3370</v>
      </c>
      <c r="J72" s="2" t="str">
        <f>IF(tb2_CampaignResponses[[#This Row],[Gift_Amount]]&lt;0,"Review - negative amount",IF(tb2_CampaignResponses[[#This Row],[Gift_Amount]]&gt;10000,"Review - unusually large donation",""))</f>
        <v/>
      </c>
      <c r="K72" s="21" t="str">
        <f>IF(tb2_CampaignResponses[[#This Row],[Supporter_ID]]="","Review - no supporter ID","")</f>
        <v/>
      </c>
      <c r="L72" s="21" t="str">
        <f ca="1">IF(tb2_CampaignResponses[[#This Row],[Response_Date]]&gt;TODAY(),"Review - future response date","")</f>
        <v/>
      </c>
    </row>
    <row r="73" spans="1:12" x14ac:dyDescent="0.25">
      <c r="A73" s="3" t="s">
        <v>3484</v>
      </c>
      <c r="B73" s="2" t="s">
        <v>1921</v>
      </c>
      <c r="C73" s="2" t="s">
        <v>3367</v>
      </c>
      <c r="D73" s="2" t="s">
        <v>3368</v>
      </c>
      <c r="E73" s="2" t="s">
        <v>65</v>
      </c>
      <c r="F73" s="15">
        <v>45755</v>
      </c>
      <c r="G73" s="25">
        <v>274.42</v>
      </c>
      <c r="H73" s="2" t="s">
        <v>36</v>
      </c>
      <c r="I73" s="4" t="s">
        <v>3370</v>
      </c>
      <c r="J73" s="2" t="str">
        <f>IF(tb2_CampaignResponses[[#This Row],[Gift_Amount]]&lt;0,"Review - negative amount",IF(tb2_CampaignResponses[[#This Row],[Gift_Amount]]&gt;10000,"Review - unusually large donation",""))</f>
        <v/>
      </c>
      <c r="K73" s="21" t="str">
        <f>IF(tb2_CampaignResponses[[#This Row],[Supporter_ID]]="","Review - no supporter ID","")</f>
        <v/>
      </c>
      <c r="L73" s="21" t="str">
        <f ca="1">IF(tb2_CampaignResponses[[#This Row],[Response_Date]]&gt;TODAY(),"Review - future response date","")</f>
        <v/>
      </c>
    </row>
    <row r="74" spans="1:12" x14ac:dyDescent="0.25">
      <c r="A74" s="3" t="s">
        <v>3486</v>
      </c>
      <c r="B74" s="2" t="s">
        <v>2580</v>
      </c>
      <c r="C74" s="2" t="s">
        <v>3367</v>
      </c>
      <c r="D74" s="2" t="s">
        <v>3368</v>
      </c>
      <c r="E74" s="2" t="s">
        <v>4</v>
      </c>
      <c r="F74" s="15">
        <v>45741</v>
      </c>
      <c r="G74" s="25">
        <v>40.35</v>
      </c>
      <c r="H74" s="2" t="s">
        <v>37</v>
      </c>
      <c r="I74" s="4" t="s">
        <v>3318</v>
      </c>
      <c r="J74" s="2" t="str">
        <f>IF(tb2_CampaignResponses[[#This Row],[Gift_Amount]]&lt;0,"Review - negative amount",IF(tb2_CampaignResponses[[#This Row],[Gift_Amount]]&gt;10000,"Review - unusually large donation",""))</f>
        <v/>
      </c>
      <c r="K74" s="21" t="str">
        <f>IF(tb2_CampaignResponses[[#This Row],[Supporter_ID]]="","Review - no supporter ID","")</f>
        <v/>
      </c>
      <c r="L74" s="21" t="str">
        <f ca="1">IF(tb2_CampaignResponses[[#This Row],[Response_Date]]&gt;TODAY(),"Review - future response date","")</f>
        <v/>
      </c>
    </row>
    <row r="75" spans="1:12" x14ac:dyDescent="0.25">
      <c r="A75" s="3" t="s">
        <v>3489</v>
      </c>
      <c r="B75" s="2" t="s">
        <v>1180</v>
      </c>
      <c r="C75" s="2" t="s">
        <v>3314</v>
      </c>
      <c r="D75" s="2" t="s">
        <v>3315</v>
      </c>
      <c r="E75" s="2" t="s">
        <v>65</v>
      </c>
      <c r="F75" s="15">
        <v>45704</v>
      </c>
      <c r="G75" s="25">
        <v>4179.5</v>
      </c>
      <c r="H75" s="2" t="s">
        <v>36</v>
      </c>
      <c r="I75" s="4" t="s">
        <v>3328</v>
      </c>
      <c r="J75" s="2" t="str">
        <f>IF(tb2_CampaignResponses[[#This Row],[Gift_Amount]]&lt;0,"Review - negative amount",IF(tb2_CampaignResponses[[#This Row],[Gift_Amount]]&gt;10000,"Review - unusually large donation",""))</f>
        <v/>
      </c>
      <c r="K75" s="21" t="str">
        <f>IF(tb2_CampaignResponses[[#This Row],[Supporter_ID]]="","Review - no supporter ID","")</f>
        <v/>
      </c>
      <c r="L75" s="21" t="str">
        <f ca="1">IF(tb2_CampaignResponses[[#This Row],[Response_Date]]&gt;TODAY(),"Review - future response date","")</f>
        <v/>
      </c>
    </row>
    <row r="76" spans="1:12" x14ac:dyDescent="0.25">
      <c r="A76" s="3" t="s">
        <v>3491</v>
      </c>
      <c r="B76" s="2" t="s">
        <v>3254</v>
      </c>
      <c r="C76" s="2" t="s">
        <v>3336</v>
      </c>
      <c r="D76" s="2" t="s">
        <v>3337</v>
      </c>
      <c r="E76" s="2" t="s">
        <v>3338</v>
      </c>
      <c r="F76" s="15">
        <v>45565</v>
      </c>
      <c r="G76" s="25">
        <v>38.06</v>
      </c>
      <c r="H76" s="2" t="s">
        <v>37</v>
      </c>
      <c r="I76" s="4" t="s">
        <v>3334</v>
      </c>
      <c r="J76" s="2" t="str">
        <f>IF(tb2_CampaignResponses[[#This Row],[Gift_Amount]]&lt;0,"Review - negative amount",IF(tb2_CampaignResponses[[#This Row],[Gift_Amount]]&gt;10000,"Review - unusually large donation",""))</f>
        <v/>
      </c>
      <c r="K76" s="21" t="str">
        <f>IF(tb2_CampaignResponses[[#This Row],[Supporter_ID]]="","Review - no supporter ID","")</f>
        <v/>
      </c>
      <c r="L76" s="21" t="str">
        <f ca="1">IF(tb2_CampaignResponses[[#This Row],[Response_Date]]&gt;TODAY(),"Review - future response date","")</f>
        <v/>
      </c>
    </row>
    <row r="77" spans="1:12" x14ac:dyDescent="0.25">
      <c r="A77" s="3" t="s">
        <v>3493</v>
      </c>
      <c r="B77" s="2" t="s">
        <v>2657</v>
      </c>
      <c r="C77" s="2" t="s">
        <v>3362</v>
      </c>
      <c r="D77" s="2" t="s">
        <v>3363</v>
      </c>
      <c r="E77" s="2" t="s">
        <v>65</v>
      </c>
      <c r="F77" s="15">
        <v>45573</v>
      </c>
      <c r="G77" s="25">
        <v>49.08</v>
      </c>
      <c r="H77" s="2" t="s">
        <v>36</v>
      </c>
      <c r="I77" s="4" t="s">
        <v>3365</v>
      </c>
      <c r="J77" s="2" t="str">
        <f>IF(tb2_CampaignResponses[[#This Row],[Gift_Amount]]&lt;0,"Review - negative amount",IF(tb2_CampaignResponses[[#This Row],[Gift_Amount]]&gt;10000,"Review - unusually large donation",""))</f>
        <v/>
      </c>
      <c r="K77" s="21" t="str">
        <f>IF(tb2_CampaignResponses[[#This Row],[Supporter_ID]]="","Review - no supporter ID","")</f>
        <v/>
      </c>
      <c r="L77" s="21" t="str">
        <f ca="1">IF(tb2_CampaignResponses[[#This Row],[Response_Date]]&gt;TODAY(),"Review - future response date","")</f>
        <v/>
      </c>
    </row>
    <row r="78" spans="1:12" x14ac:dyDescent="0.25">
      <c r="A78" s="3" t="s">
        <v>3495</v>
      </c>
      <c r="B78" s="2" t="s">
        <v>1613</v>
      </c>
      <c r="C78" s="2" t="s">
        <v>3320</v>
      </c>
      <c r="D78" s="2" t="s">
        <v>3321</v>
      </c>
      <c r="E78" s="2" t="s">
        <v>4</v>
      </c>
      <c r="F78" s="15">
        <v>45460</v>
      </c>
      <c r="G78" s="25">
        <v>33.909999999999997</v>
      </c>
      <c r="H78" s="2" t="s">
        <v>36</v>
      </c>
      <c r="I78" s="4" t="s">
        <v>3328</v>
      </c>
      <c r="J78" s="2" t="str">
        <f>IF(tb2_CampaignResponses[[#This Row],[Gift_Amount]]&lt;0,"Review - negative amount",IF(tb2_CampaignResponses[[#This Row],[Gift_Amount]]&gt;10000,"Review - unusually large donation",""))</f>
        <v/>
      </c>
      <c r="K78" s="21" t="str">
        <f>IF(tb2_CampaignResponses[[#This Row],[Supporter_ID]]="","Review - no supporter ID","")</f>
        <v/>
      </c>
      <c r="L78" s="21" t="str">
        <f ca="1">IF(tb2_CampaignResponses[[#This Row],[Response_Date]]&gt;TODAY(),"Review - future response date","")</f>
        <v/>
      </c>
    </row>
    <row r="79" spans="1:12" x14ac:dyDescent="0.25">
      <c r="A79" s="3" t="s">
        <v>3497</v>
      </c>
      <c r="B79" s="2" t="s">
        <v>1135</v>
      </c>
      <c r="C79" s="2" t="s">
        <v>3325</v>
      </c>
      <c r="D79" s="2" t="s">
        <v>3326</v>
      </c>
      <c r="E79" s="2" t="s">
        <v>4</v>
      </c>
      <c r="F79" s="15">
        <v>45610</v>
      </c>
      <c r="G79" s="25">
        <v>78.27</v>
      </c>
      <c r="H79" s="2" t="s">
        <v>36</v>
      </c>
      <c r="I79" s="4" t="s">
        <v>3370</v>
      </c>
      <c r="J79" s="2" t="str">
        <f>IF(tb2_CampaignResponses[[#This Row],[Gift_Amount]]&lt;0,"Review - negative amount",IF(tb2_CampaignResponses[[#This Row],[Gift_Amount]]&gt;10000,"Review - unusually large donation",""))</f>
        <v/>
      </c>
      <c r="K79" s="21" t="str">
        <f>IF(tb2_CampaignResponses[[#This Row],[Supporter_ID]]="","Review - no supporter ID","")</f>
        <v/>
      </c>
      <c r="L79" s="21" t="str">
        <f ca="1">IF(tb2_CampaignResponses[[#This Row],[Response_Date]]&gt;TODAY(),"Review - future response date","")</f>
        <v/>
      </c>
    </row>
    <row r="80" spans="1:12" x14ac:dyDescent="0.25">
      <c r="A80" s="3" t="s">
        <v>3499</v>
      </c>
      <c r="B80" s="2" t="s">
        <v>412</v>
      </c>
      <c r="C80" s="2" t="s">
        <v>3341</v>
      </c>
      <c r="D80" s="2" t="s">
        <v>3342</v>
      </c>
      <c r="E80" s="2" t="s">
        <v>3316</v>
      </c>
      <c r="F80" s="15">
        <v>45770</v>
      </c>
      <c r="G80" s="25">
        <v>143.80000000000001</v>
      </c>
      <c r="H80" s="2" t="s">
        <v>36</v>
      </c>
      <c r="I80" s="4" t="s">
        <v>3318</v>
      </c>
      <c r="J80" s="2" t="str">
        <f>IF(tb2_CampaignResponses[[#This Row],[Gift_Amount]]&lt;0,"Review - negative amount",IF(tb2_CampaignResponses[[#This Row],[Gift_Amount]]&gt;10000,"Review - unusually large donation",""))</f>
        <v/>
      </c>
      <c r="K80" s="21" t="str">
        <f>IF(tb2_CampaignResponses[[#This Row],[Supporter_ID]]="","Review - no supporter ID","")</f>
        <v/>
      </c>
      <c r="L80" s="21" t="str">
        <f ca="1">IF(tb2_CampaignResponses[[#This Row],[Response_Date]]&gt;TODAY(),"Review - future response date","")</f>
        <v/>
      </c>
    </row>
    <row r="81" spans="1:12" x14ac:dyDescent="0.25">
      <c r="A81" s="3" t="s">
        <v>3501</v>
      </c>
      <c r="B81" s="2" t="s">
        <v>613</v>
      </c>
      <c r="C81" s="2" t="s">
        <v>3427</v>
      </c>
      <c r="D81" s="2" t="s">
        <v>3428</v>
      </c>
      <c r="E81" s="2" t="s">
        <v>4</v>
      </c>
      <c r="F81" s="15">
        <v>45488</v>
      </c>
      <c r="G81" s="25">
        <v>34.19</v>
      </c>
      <c r="H81" s="2" t="s">
        <v>36</v>
      </c>
      <c r="I81" s="4" t="s">
        <v>3365</v>
      </c>
      <c r="J81" s="2" t="str">
        <f>IF(tb2_CampaignResponses[[#This Row],[Gift_Amount]]&lt;0,"Review - negative amount",IF(tb2_CampaignResponses[[#This Row],[Gift_Amount]]&gt;10000,"Review - unusually large donation",""))</f>
        <v/>
      </c>
      <c r="K81" s="21" t="str">
        <f>IF(tb2_CampaignResponses[[#This Row],[Supporter_ID]]="","Review - no supporter ID","")</f>
        <v/>
      </c>
      <c r="L81" s="21" t="str">
        <f ca="1">IF(tb2_CampaignResponses[[#This Row],[Response_Date]]&gt;TODAY(),"Review - future response date","")</f>
        <v/>
      </c>
    </row>
    <row r="82" spans="1:12" x14ac:dyDescent="0.25">
      <c r="A82" s="3" t="s">
        <v>3502</v>
      </c>
      <c r="B82" s="2" t="s">
        <v>2870</v>
      </c>
      <c r="C82" s="2" t="s">
        <v>3427</v>
      </c>
      <c r="D82" s="2" t="s">
        <v>3428</v>
      </c>
      <c r="E82" s="2" t="s">
        <v>65</v>
      </c>
      <c r="F82" s="15">
        <v>45488</v>
      </c>
      <c r="G82" s="25">
        <v>93.77</v>
      </c>
      <c r="H82" s="2" t="s">
        <v>36</v>
      </c>
      <c r="I82" s="4" t="s">
        <v>3323</v>
      </c>
      <c r="J82" s="2" t="str">
        <f>IF(tb2_CampaignResponses[[#This Row],[Gift_Amount]]&lt;0,"Review - negative amount",IF(tb2_CampaignResponses[[#This Row],[Gift_Amount]]&gt;10000,"Review - unusually large donation",""))</f>
        <v/>
      </c>
      <c r="K82" s="21" t="str">
        <f>IF(tb2_CampaignResponses[[#This Row],[Supporter_ID]]="","Review - no supporter ID","")</f>
        <v/>
      </c>
      <c r="L82" s="21" t="str">
        <f ca="1">IF(tb2_CampaignResponses[[#This Row],[Response_Date]]&gt;TODAY(),"Review - future response date","")</f>
        <v/>
      </c>
    </row>
    <row r="83" spans="1:12" x14ac:dyDescent="0.25">
      <c r="A83" s="3" t="s">
        <v>3503</v>
      </c>
      <c r="B83" s="2" t="s">
        <v>2609</v>
      </c>
      <c r="C83" s="2" t="s">
        <v>3336</v>
      </c>
      <c r="D83" s="2" t="s">
        <v>3337</v>
      </c>
      <c r="E83" s="2" t="s">
        <v>65</v>
      </c>
      <c r="F83" s="15">
        <v>45553</v>
      </c>
      <c r="G83" s="25">
        <v>27.4</v>
      </c>
      <c r="H83" s="2" t="s">
        <v>36</v>
      </c>
      <c r="I83" s="4" t="s">
        <v>3318</v>
      </c>
      <c r="J83" s="2" t="str">
        <f>IF(tb2_CampaignResponses[[#This Row],[Gift_Amount]]&lt;0,"Review - negative amount",IF(tb2_CampaignResponses[[#This Row],[Gift_Amount]]&gt;10000,"Review - unusually large donation",""))</f>
        <v/>
      </c>
      <c r="K83" s="21" t="str">
        <f>IF(tb2_CampaignResponses[[#This Row],[Supporter_ID]]="","Review - no supporter ID","")</f>
        <v/>
      </c>
      <c r="L83" s="21" t="str">
        <f ca="1">IF(tb2_CampaignResponses[[#This Row],[Response_Date]]&gt;TODAY(),"Review - future response date","")</f>
        <v/>
      </c>
    </row>
    <row r="84" spans="1:12" x14ac:dyDescent="0.25">
      <c r="A84" s="3" t="s">
        <v>3505</v>
      </c>
      <c r="B84" s="2" t="s">
        <v>2439</v>
      </c>
      <c r="C84" s="2" t="s">
        <v>3320</v>
      </c>
      <c r="D84" s="2" t="s">
        <v>3321</v>
      </c>
      <c r="E84" s="2" t="s">
        <v>4</v>
      </c>
      <c r="F84" s="15">
        <v>45463</v>
      </c>
      <c r="G84" s="25">
        <v>138.93</v>
      </c>
      <c r="H84" s="2" t="s">
        <v>36</v>
      </c>
      <c r="I84" s="4" t="s">
        <v>3370</v>
      </c>
      <c r="J84" s="2" t="str">
        <f>IF(tb2_CampaignResponses[[#This Row],[Gift_Amount]]&lt;0,"Review - negative amount",IF(tb2_CampaignResponses[[#This Row],[Gift_Amount]]&gt;10000,"Review - unusually large donation",""))</f>
        <v/>
      </c>
      <c r="K84" s="21" t="str">
        <f>IF(tb2_CampaignResponses[[#This Row],[Supporter_ID]]="","Review - no supporter ID","")</f>
        <v/>
      </c>
      <c r="L84" s="21" t="str">
        <f ca="1">IF(tb2_CampaignResponses[[#This Row],[Response_Date]]&gt;TODAY(),"Review - future response date","")</f>
        <v/>
      </c>
    </row>
    <row r="85" spans="1:12" x14ac:dyDescent="0.25">
      <c r="A85" s="3" t="s">
        <v>3507</v>
      </c>
      <c r="B85" s="2" t="s">
        <v>212</v>
      </c>
      <c r="C85" s="2" t="s">
        <v>3367</v>
      </c>
      <c r="D85" s="2" t="s">
        <v>3368</v>
      </c>
      <c r="E85" s="2" t="s">
        <v>4</v>
      </c>
      <c r="F85" s="15">
        <v>45741</v>
      </c>
      <c r="G85" s="25">
        <v>21.69</v>
      </c>
      <c r="H85" s="2" t="s">
        <v>37</v>
      </c>
      <c r="I85" s="4" t="s">
        <v>3334</v>
      </c>
      <c r="J85" s="2" t="str">
        <f>IF(tb2_CampaignResponses[[#This Row],[Gift_Amount]]&lt;0,"Review - negative amount",IF(tb2_CampaignResponses[[#This Row],[Gift_Amount]]&gt;10000,"Review - unusually large donation",""))</f>
        <v/>
      </c>
      <c r="K85" s="21" t="str">
        <f>IF(tb2_CampaignResponses[[#This Row],[Supporter_ID]]="","Review - no supporter ID","")</f>
        <v/>
      </c>
      <c r="L85" s="21" t="str">
        <f ca="1">IF(tb2_CampaignResponses[[#This Row],[Response_Date]]&gt;TODAY(),"Review - future response date","")</f>
        <v/>
      </c>
    </row>
    <row r="86" spans="1:12" x14ac:dyDescent="0.25">
      <c r="A86" s="3" t="s">
        <v>3509</v>
      </c>
      <c r="B86" s="2" t="s">
        <v>1872</v>
      </c>
      <c r="C86" s="2" t="s">
        <v>3341</v>
      </c>
      <c r="D86" s="2" t="s">
        <v>3342</v>
      </c>
      <c r="E86" s="2" t="s">
        <v>91</v>
      </c>
      <c r="F86" s="15">
        <v>45751</v>
      </c>
      <c r="G86" s="25">
        <v>507.16</v>
      </c>
      <c r="H86" s="2" t="s">
        <v>36</v>
      </c>
      <c r="I86" s="4" t="s">
        <v>3323</v>
      </c>
      <c r="J86" s="2" t="str">
        <f>IF(tb2_CampaignResponses[[#This Row],[Gift_Amount]]&lt;0,"Review - negative amount",IF(tb2_CampaignResponses[[#This Row],[Gift_Amount]]&gt;10000,"Review - unusually large donation",""))</f>
        <v/>
      </c>
      <c r="K86" s="21" t="str">
        <f>IF(tb2_CampaignResponses[[#This Row],[Supporter_ID]]="","Review - no supporter ID","")</f>
        <v/>
      </c>
      <c r="L86" s="21" t="str">
        <f ca="1">IF(tb2_CampaignResponses[[#This Row],[Response_Date]]&gt;TODAY(),"Review - future response date","")</f>
        <v/>
      </c>
    </row>
    <row r="87" spans="1:12" x14ac:dyDescent="0.25">
      <c r="A87" s="3" t="s">
        <v>3511</v>
      </c>
      <c r="B87" s="2" t="s">
        <v>1567</v>
      </c>
      <c r="C87" s="2" t="s">
        <v>3341</v>
      </c>
      <c r="D87" s="2" t="s">
        <v>3342</v>
      </c>
      <c r="E87" s="2" t="s">
        <v>91</v>
      </c>
      <c r="F87" s="15">
        <v>45769</v>
      </c>
      <c r="G87" s="25">
        <v>78.72</v>
      </c>
      <c r="H87" s="2" t="s">
        <v>36</v>
      </c>
      <c r="I87" s="4" t="s">
        <v>3328</v>
      </c>
      <c r="J87" s="2" t="str">
        <f>IF(tb2_CampaignResponses[[#This Row],[Gift_Amount]]&lt;0,"Review - negative amount",IF(tb2_CampaignResponses[[#This Row],[Gift_Amount]]&gt;10000,"Review - unusually large donation",""))</f>
        <v/>
      </c>
      <c r="K87" s="21" t="str">
        <f>IF(tb2_CampaignResponses[[#This Row],[Supporter_ID]]="","Review - no supporter ID","")</f>
        <v/>
      </c>
      <c r="L87" s="21" t="str">
        <f ca="1">IF(tb2_CampaignResponses[[#This Row],[Response_Date]]&gt;TODAY(),"Review - future response date","")</f>
        <v/>
      </c>
    </row>
    <row r="88" spans="1:12" x14ac:dyDescent="0.25">
      <c r="A88" s="3" t="s">
        <v>3513</v>
      </c>
      <c r="B88" s="2" t="s">
        <v>1280</v>
      </c>
      <c r="C88" s="2" t="s">
        <v>3320</v>
      </c>
      <c r="D88" s="2" t="s">
        <v>3321</v>
      </c>
      <c r="E88" s="2" t="s">
        <v>65</v>
      </c>
      <c r="F88" s="15">
        <v>45465</v>
      </c>
      <c r="G88" s="25">
        <v>41.64</v>
      </c>
      <c r="H88" s="2" t="s">
        <v>37</v>
      </c>
      <c r="I88" s="4" t="s">
        <v>3328</v>
      </c>
      <c r="J88" s="2" t="str">
        <f>IF(tb2_CampaignResponses[[#This Row],[Gift_Amount]]&lt;0,"Review - negative amount",IF(tb2_CampaignResponses[[#This Row],[Gift_Amount]]&gt;10000,"Review - unusually large donation",""))</f>
        <v/>
      </c>
      <c r="K88" s="21" t="str">
        <f>IF(tb2_CampaignResponses[[#This Row],[Supporter_ID]]="","Review - no supporter ID","")</f>
        <v/>
      </c>
      <c r="L88" s="21" t="str">
        <f ca="1">IF(tb2_CampaignResponses[[#This Row],[Response_Date]]&gt;TODAY(),"Review - future response date","")</f>
        <v/>
      </c>
    </row>
    <row r="89" spans="1:12" x14ac:dyDescent="0.25">
      <c r="A89" s="3" t="s">
        <v>3515</v>
      </c>
      <c r="B89" s="2"/>
      <c r="C89" s="2" t="s">
        <v>3403</v>
      </c>
      <c r="D89" s="2" t="s">
        <v>3404</v>
      </c>
      <c r="E89" s="2" t="s">
        <v>65</v>
      </c>
      <c r="F89" s="15">
        <v>45614</v>
      </c>
      <c r="G89" s="25">
        <v>1776.69</v>
      </c>
      <c r="H89" s="2" t="s">
        <v>37</v>
      </c>
      <c r="I89" s="4" t="s">
        <v>3334</v>
      </c>
      <c r="J89" s="2" t="str">
        <f>IF(tb2_CampaignResponses[[#This Row],[Gift_Amount]]&lt;0,"Review - negative amount",IF(tb2_CampaignResponses[[#This Row],[Gift_Amount]]&gt;10000,"Review - unusually large donation",""))</f>
        <v/>
      </c>
      <c r="K89" s="21" t="str">
        <f>IF(tb2_CampaignResponses[[#This Row],[Supporter_ID]]="","Review - no supporter ID","")</f>
        <v>Review - no supporter ID</v>
      </c>
      <c r="L89" s="21" t="str">
        <f ca="1">IF(tb2_CampaignResponses[[#This Row],[Response_Date]]&gt;TODAY(),"Review - future response date","")</f>
        <v/>
      </c>
    </row>
    <row r="90" spans="1:12" x14ac:dyDescent="0.25">
      <c r="A90" s="3" t="s">
        <v>3517</v>
      </c>
      <c r="B90" s="2" t="s">
        <v>559</v>
      </c>
      <c r="C90" s="2" t="s">
        <v>3336</v>
      </c>
      <c r="D90" s="2" t="s">
        <v>3337</v>
      </c>
      <c r="E90" s="2" t="s">
        <v>4</v>
      </c>
      <c r="F90" s="15">
        <v>45553</v>
      </c>
      <c r="G90" s="25">
        <v>16.829999999999998</v>
      </c>
      <c r="H90" s="2" t="s">
        <v>36</v>
      </c>
      <c r="I90" s="4" t="s">
        <v>3328</v>
      </c>
      <c r="J90" s="2" t="str">
        <f>IF(tb2_CampaignResponses[[#This Row],[Gift_Amount]]&lt;0,"Review - negative amount",IF(tb2_CampaignResponses[[#This Row],[Gift_Amount]]&gt;10000,"Review - unusually large donation",""))</f>
        <v/>
      </c>
      <c r="K90" s="21" t="str">
        <f>IF(tb2_CampaignResponses[[#This Row],[Supporter_ID]]="","Review - no supporter ID","")</f>
        <v/>
      </c>
      <c r="L90" s="21" t="str">
        <f ca="1">IF(tb2_CampaignResponses[[#This Row],[Response_Date]]&gt;TODAY(),"Review - future response date","")</f>
        <v/>
      </c>
    </row>
    <row r="91" spans="1:12" x14ac:dyDescent="0.25">
      <c r="A91" s="3" t="s">
        <v>3519</v>
      </c>
      <c r="B91" s="2" t="s">
        <v>3287</v>
      </c>
      <c r="C91" s="2" t="s">
        <v>3341</v>
      </c>
      <c r="D91" s="2" t="s">
        <v>3342</v>
      </c>
      <c r="E91" s="2" t="s">
        <v>3316</v>
      </c>
      <c r="F91" s="15">
        <v>45775</v>
      </c>
      <c r="G91" s="25">
        <v>111.64</v>
      </c>
      <c r="H91" s="2" t="s">
        <v>37</v>
      </c>
      <c r="I91" s="4" t="s">
        <v>3385</v>
      </c>
      <c r="J91" s="2" t="str">
        <f>IF(tb2_CampaignResponses[[#This Row],[Gift_Amount]]&lt;0,"Review - negative amount",IF(tb2_CampaignResponses[[#This Row],[Gift_Amount]]&gt;10000,"Review - unusually large donation",""))</f>
        <v/>
      </c>
      <c r="K91" s="21" t="str">
        <f>IF(tb2_CampaignResponses[[#This Row],[Supporter_ID]]="","Review - no supporter ID","")</f>
        <v/>
      </c>
      <c r="L91" s="21" t="str">
        <f ca="1">IF(tb2_CampaignResponses[[#This Row],[Response_Date]]&gt;TODAY(),"Review - future response date","")</f>
        <v/>
      </c>
    </row>
    <row r="92" spans="1:12" x14ac:dyDescent="0.25">
      <c r="A92" s="3" t="s">
        <v>3521</v>
      </c>
      <c r="B92" s="2" t="s">
        <v>1173</v>
      </c>
      <c r="C92" s="2" t="s">
        <v>3354</v>
      </c>
      <c r="D92" s="2" t="s">
        <v>3355</v>
      </c>
      <c r="E92" s="2" t="s">
        <v>4</v>
      </c>
      <c r="F92" s="15">
        <v>45618</v>
      </c>
      <c r="G92" s="25">
        <v>30.69</v>
      </c>
      <c r="H92" s="2" t="s">
        <v>37</v>
      </c>
      <c r="I92" s="4" t="s">
        <v>3334</v>
      </c>
      <c r="J92" s="2" t="str">
        <f>IF(tb2_CampaignResponses[[#This Row],[Gift_Amount]]&lt;0,"Review - negative amount",IF(tb2_CampaignResponses[[#This Row],[Gift_Amount]]&gt;10000,"Review - unusually large donation",""))</f>
        <v/>
      </c>
      <c r="K92" s="21" t="str">
        <f>IF(tb2_CampaignResponses[[#This Row],[Supporter_ID]]="","Review - no supporter ID","")</f>
        <v/>
      </c>
      <c r="L92" s="21" t="str">
        <f ca="1">IF(tb2_CampaignResponses[[#This Row],[Response_Date]]&gt;TODAY(),"Review - future response date","")</f>
        <v/>
      </c>
    </row>
    <row r="93" spans="1:12" x14ac:dyDescent="0.25">
      <c r="A93" s="3" t="s">
        <v>3523</v>
      </c>
      <c r="B93" s="2" t="s">
        <v>850</v>
      </c>
      <c r="C93" s="2" t="s">
        <v>3320</v>
      </c>
      <c r="D93" s="2" t="s">
        <v>3321</v>
      </c>
      <c r="E93" s="2" t="s">
        <v>65</v>
      </c>
      <c r="F93" s="15">
        <v>45458</v>
      </c>
      <c r="G93" s="25">
        <v>23.11</v>
      </c>
      <c r="H93" s="2" t="s">
        <v>36</v>
      </c>
      <c r="I93" s="4" t="s">
        <v>3328</v>
      </c>
      <c r="J93" s="2" t="str">
        <f>IF(tb2_CampaignResponses[[#This Row],[Gift_Amount]]&lt;0,"Review - negative amount",IF(tb2_CampaignResponses[[#This Row],[Gift_Amount]]&gt;10000,"Review - unusually large donation",""))</f>
        <v/>
      </c>
      <c r="K93" s="21" t="str">
        <f>IF(tb2_CampaignResponses[[#This Row],[Supporter_ID]]="","Review - no supporter ID","")</f>
        <v/>
      </c>
      <c r="L93" s="21" t="str">
        <f ca="1">IF(tb2_CampaignResponses[[#This Row],[Response_Date]]&gt;TODAY(),"Review - future response date","")</f>
        <v/>
      </c>
    </row>
    <row r="94" spans="1:12" x14ac:dyDescent="0.25">
      <c r="A94" s="3" t="s">
        <v>3525</v>
      </c>
      <c r="B94" s="2" t="s">
        <v>2836</v>
      </c>
      <c r="C94" s="2" t="s">
        <v>3362</v>
      </c>
      <c r="D94" s="2" t="s">
        <v>3363</v>
      </c>
      <c r="E94" s="2" t="s">
        <v>65</v>
      </c>
      <c r="F94" s="15">
        <v>45578</v>
      </c>
      <c r="G94" s="25">
        <v>38.770000000000003</v>
      </c>
      <c r="H94" s="2" t="s">
        <v>36</v>
      </c>
      <c r="I94" s="4" t="s">
        <v>3331</v>
      </c>
      <c r="J94" s="2" t="str">
        <f>IF(tb2_CampaignResponses[[#This Row],[Gift_Amount]]&lt;0,"Review - negative amount",IF(tb2_CampaignResponses[[#This Row],[Gift_Amount]]&gt;10000,"Review - unusually large donation",""))</f>
        <v/>
      </c>
      <c r="K94" s="21" t="str">
        <f>IF(tb2_CampaignResponses[[#This Row],[Supporter_ID]]="","Review - no supporter ID","")</f>
        <v/>
      </c>
      <c r="L94" s="21" t="str">
        <f ca="1">IF(tb2_CampaignResponses[[#This Row],[Response_Date]]&gt;TODAY(),"Review - future response date","")</f>
        <v/>
      </c>
    </row>
    <row r="95" spans="1:12" x14ac:dyDescent="0.25">
      <c r="A95" s="3" t="s">
        <v>3527</v>
      </c>
      <c r="B95" s="2" t="s">
        <v>3188</v>
      </c>
      <c r="C95" s="2" t="s">
        <v>3314</v>
      </c>
      <c r="D95" s="2" t="s">
        <v>3315</v>
      </c>
      <c r="E95" s="2" t="s">
        <v>65</v>
      </c>
      <c r="F95" s="15">
        <v>45681</v>
      </c>
      <c r="G95" s="25">
        <v>202.17</v>
      </c>
      <c r="H95" s="2" t="s">
        <v>36</v>
      </c>
      <c r="I95" s="4" t="s">
        <v>3331</v>
      </c>
      <c r="J95" s="2" t="str">
        <f>IF(tb2_CampaignResponses[[#This Row],[Gift_Amount]]&lt;0,"Review - negative amount",IF(tb2_CampaignResponses[[#This Row],[Gift_Amount]]&gt;10000,"Review - unusually large donation",""))</f>
        <v/>
      </c>
      <c r="K95" s="21" t="str">
        <f>IF(tb2_CampaignResponses[[#This Row],[Supporter_ID]]="","Review - no supporter ID","")</f>
        <v/>
      </c>
      <c r="L95" s="21" t="str">
        <f ca="1">IF(tb2_CampaignResponses[[#This Row],[Response_Date]]&gt;TODAY(),"Review - future response date","")</f>
        <v/>
      </c>
    </row>
    <row r="96" spans="1:12" x14ac:dyDescent="0.25">
      <c r="A96" s="3" t="s">
        <v>3529</v>
      </c>
      <c r="B96" s="2" t="s">
        <v>2142</v>
      </c>
      <c r="C96" s="2" t="s">
        <v>3336</v>
      </c>
      <c r="D96" s="2" t="s">
        <v>3337</v>
      </c>
      <c r="E96" s="2" t="s">
        <v>3316</v>
      </c>
      <c r="F96" s="15">
        <v>45564</v>
      </c>
      <c r="G96" s="25">
        <v>40.090000000000003</v>
      </c>
      <c r="H96" s="2" t="s">
        <v>36</v>
      </c>
      <c r="I96" s="4" t="s">
        <v>3323</v>
      </c>
      <c r="J96" s="2" t="str">
        <f>IF(tb2_CampaignResponses[[#This Row],[Gift_Amount]]&lt;0,"Review - negative amount",IF(tb2_CampaignResponses[[#This Row],[Gift_Amount]]&gt;10000,"Review - unusually large donation",""))</f>
        <v/>
      </c>
      <c r="K96" s="21" t="str">
        <f>IF(tb2_CampaignResponses[[#This Row],[Supporter_ID]]="","Review - no supporter ID","")</f>
        <v/>
      </c>
      <c r="L96" s="21" t="str">
        <f ca="1">IF(tb2_CampaignResponses[[#This Row],[Response_Date]]&gt;TODAY(),"Review - future response date","")</f>
        <v/>
      </c>
    </row>
    <row r="97" spans="1:12" x14ac:dyDescent="0.25">
      <c r="A97" s="3" t="s">
        <v>3531</v>
      </c>
      <c r="B97" s="2" t="s">
        <v>2981</v>
      </c>
      <c r="C97" s="2" t="s">
        <v>3320</v>
      </c>
      <c r="D97" s="2" t="s">
        <v>3321</v>
      </c>
      <c r="E97" s="2" t="s">
        <v>65</v>
      </c>
      <c r="F97" s="15">
        <v>45473</v>
      </c>
      <c r="G97" s="25">
        <v>84.17</v>
      </c>
      <c r="H97" s="2" t="s">
        <v>36</v>
      </c>
      <c r="I97" s="4" t="s">
        <v>3334</v>
      </c>
      <c r="J97" s="2" t="str">
        <f>IF(tb2_CampaignResponses[[#This Row],[Gift_Amount]]&lt;0,"Review - negative amount",IF(tb2_CampaignResponses[[#This Row],[Gift_Amount]]&gt;10000,"Review - unusually large donation",""))</f>
        <v/>
      </c>
      <c r="K97" s="21" t="str">
        <f>IF(tb2_CampaignResponses[[#This Row],[Supporter_ID]]="","Review - no supporter ID","")</f>
        <v/>
      </c>
      <c r="L97" s="21" t="str">
        <f ca="1">IF(tb2_CampaignResponses[[#This Row],[Response_Date]]&gt;TODAY(),"Review - future response date","")</f>
        <v/>
      </c>
    </row>
    <row r="98" spans="1:12" x14ac:dyDescent="0.25">
      <c r="A98" s="3" t="s">
        <v>3533</v>
      </c>
      <c r="B98" s="2" t="s">
        <v>2627</v>
      </c>
      <c r="C98" s="2" t="s">
        <v>3320</v>
      </c>
      <c r="D98" s="2" t="s">
        <v>3321</v>
      </c>
      <c r="E98" s="2" t="s">
        <v>4</v>
      </c>
      <c r="F98" s="15">
        <v>45458</v>
      </c>
      <c r="G98" s="25">
        <v>34.840000000000003</v>
      </c>
      <c r="H98" s="2" t="s">
        <v>37</v>
      </c>
      <c r="I98" s="4" t="s">
        <v>3331</v>
      </c>
      <c r="J98" s="2" t="str">
        <f>IF(tb2_CampaignResponses[[#This Row],[Gift_Amount]]&lt;0,"Review - negative amount",IF(tb2_CampaignResponses[[#This Row],[Gift_Amount]]&gt;10000,"Review - unusually large donation",""))</f>
        <v/>
      </c>
      <c r="K98" s="21" t="str">
        <f>IF(tb2_CampaignResponses[[#This Row],[Supporter_ID]]="","Review - no supporter ID","")</f>
        <v/>
      </c>
      <c r="L98" s="21" t="str">
        <f ca="1">IF(tb2_CampaignResponses[[#This Row],[Response_Date]]&gt;TODAY(),"Review - future response date","")</f>
        <v/>
      </c>
    </row>
    <row r="99" spans="1:12" x14ac:dyDescent="0.25">
      <c r="A99" s="3" t="s">
        <v>3535</v>
      </c>
      <c r="B99" s="2" t="s">
        <v>1329</v>
      </c>
      <c r="C99" s="2" t="s">
        <v>3367</v>
      </c>
      <c r="D99" s="2" t="s">
        <v>3368</v>
      </c>
      <c r="E99" s="2" t="s">
        <v>4</v>
      </c>
      <c r="F99" s="15">
        <v>45729</v>
      </c>
      <c r="G99" s="25">
        <v>22.21</v>
      </c>
      <c r="H99" s="2" t="s">
        <v>37</v>
      </c>
      <c r="I99" s="4" t="s">
        <v>3331</v>
      </c>
      <c r="J99" s="2" t="str">
        <f>IF(tb2_CampaignResponses[[#This Row],[Gift_Amount]]&lt;0,"Review - negative amount",IF(tb2_CampaignResponses[[#This Row],[Gift_Amount]]&gt;10000,"Review - unusually large donation",""))</f>
        <v/>
      </c>
      <c r="K99" s="21" t="str">
        <f>IF(tb2_CampaignResponses[[#This Row],[Supporter_ID]]="","Review - no supporter ID","")</f>
        <v/>
      </c>
      <c r="L99" s="21" t="str">
        <f ca="1">IF(tb2_CampaignResponses[[#This Row],[Response_Date]]&gt;TODAY(),"Review - future response date","")</f>
        <v/>
      </c>
    </row>
    <row r="100" spans="1:12" x14ac:dyDescent="0.25">
      <c r="A100" s="3" t="s">
        <v>3537</v>
      </c>
      <c r="B100" s="2" t="s">
        <v>2469</v>
      </c>
      <c r="C100" s="2" t="s">
        <v>3341</v>
      </c>
      <c r="D100" s="2" t="s">
        <v>3342</v>
      </c>
      <c r="E100" s="2" t="s">
        <v>4</v>
      </c>
      <c r="F100" s="15">
        <v>45745</v>
      </c>
      <c r="G100" s="25">
        <v>218.38</v>
      </c>
      <c r="H100" s="2" t="s">
        <v>36</v>
      </c>
      <c r="I100" s="4" t="s">
        <v>3385</v>
      </c>
      <c r="J100" s="2" t="str">
        <f>IF(tb2_CampaignResponses[[#This Row],[Gift_Amount]]&lt;0,"Review - negative amount",IF(tb2_CampaignResponses[[#This Row],[Gift_Amount]]&gt;10000,"Review - unusually large donation",""))</f>
        <v/>
      </c>
      <c r="K100" s="21" t="str">
        <f>IF(tb2_CampaignResponses[[#This Row],[Supporter_ID]]="","Review - no supporter ID","")</f>
        <v/>
      </c>
      <c r="L100" s="21" t="str">
        <f ca="1">IF(tb2_CampaignResponses[[#This Row],[Response_Date]]&gt;TODAY(),"Review - future response date","")</f>
        <v/>
      </c>
    </row>
    <row r="101" spans="1:12" x14ac:dyDescent="0.25">
      <c r="A101" s="3" t="s">
        <v>3539</v>
      </c>
      <c r="B101" s="2" t="s">
        <v>817</v>
      </c>
      <c r="C101" s="2" t="s">
        <v>3325</v>
      </c>
      <c r="D101" s="2" t="s">
        <v>3326</v>
      </c>
      <c r="E101" s="2" t="s">
        <v>4</v>
      </c>
      <c r="F101" s="15">
        <v>45652</v>
      </c>
      <c r="G101" s="25">
        <v>33.229999999999997</v>
      </c>
      <c r="H101" s="2" t="s">
        <v>37</v>
      </c>
      <c r="I101" s="4" t="s">
        <v>3334</v>
      </c>
      <c r="J101" s="2" t="str">
        <f>IF(tb2_CampaignResponses[[#This Row],[Gift_Amount]]&lt;0,"Review - negative amount",IF(tb2_CampaignResponses[[#This Row],[Gift_Amount]]&gt;10000,"Review - unusually large donation",""))</f>
        <v/>
      </c>
      <c r="K101" s="21" t="str">
        <f>IF(tb2_CampaignResponses[[#This Row],[Supporter_ID]]="","Review - no supporter ID","")</f>
        <v/>
      </c>
      <c r="L101" s="21" t="str">
        <f ca="1">IF(tb2_CampaignResponses[[#This Row],[Response_Date]]&gt;TODAY(),"Review - future response date","")</f>
        <v/>
      </c>
    </row>
    <row r="102" spans="1:12" x14ac:dyDescent="0.25">
      <c r="A102" s="3" t="s">
        <v>3541</v>
      </c>
      <c r="B102" s="2" t="s">
        <v>831</v>
      </c>
      <c r="C102" s="2" t="s">
        <v>3354</v>
      </c>
      <c r="D102" s="2" t="s">
        <v>3355</v>
      </c>
      <c r="E102" s="2" t="s">
        <v>65</v>
      </c>
      <c r="F102" s="15">
        <v>45618</v>
      </c>
      <c r="G102" s="25">
        <v>1439.27</v>
      </c>
      <c r="H102" s="2" t="s">
        <v>37</v>
      </c>
      <c r="I102" s="4" t="s">
        <v>3385</v>
      </c>
      <c r="J102" s="2" t="str">
        <f>IF(tb2_CampaignResponses[[#This Row],[Gift_Amount]]&lt;0,"Review - negative amount",IF(tb2_CampaignResponses[[#This Row],[Gift_Amount]]&gt;10000,"Review - unusually large donation",""))</f>
        <v/>
      </c>
      <c r="K102" s="21" t="str">
        <f>IF(tb2_CampaignResponses[[#This Row],[Supporter_ID]]="","Review - no supporter ID","")</f>
        <v/>
      </c>
      <c r="L102" s="21" t="str">
        <f ca="1">IF(tb2_CampaignResponses[[#This Row],[Response_Date]]&gt;TODAY(),"Review - future response date","")</f>
        <v/>
      </c>
    </row>
    <row r="103" spans="1:12" x14ac:dyDescent="0.25">
      <c r="A103" s="3" t="s">
        <v>3542</v>
      </c>
      <c r="B103" s="2" t="s">
        <v>81</v>
      </c>
      <c r="C103" s="2" t="s">
        <v>3325</v>
      </c>
      <c r="D103" s="2" t="s">
        <v>3326</v>
      </c>
      <c r="E103" s="2" t="s">
        <v>3338</v>
      </c>
      <c r="F103" s="15">
        <v>45641</v>
      </c>
      <c r="G103" s="25">
        <v>80.290000000000006</v>
      </c>
      <c r="H103" s="2" t="s">
        <v>36</v>
      </c>
      <c r="I103" s="4" t="s">
        <v>3318</v>
      </c>
      <c r="J103" s="2" t="str">
        <f>IF(tb2_CampaignResponses[[#This Row],[Gift_Amount]]&lt;0,"Review - negative amount",IF(tb2_CampaignResponses[[#This Row],[Gift_Amount]]&gt;10000,"Review - unusually large donation",""))</f>
        <v/>
      </c>
      <c r="K103" s="21" t="str">
        <f>IF(tb2_CampaignResponses[[#This Row],[Supporter_ID]]="","Review - no supporter ID","")</f>
        <v/>
      </c>
      <c r="L103" s="21" t="str">
        <f ca="1">IF(tb2_CampaignResponses[[#This Row],[Response_Date]]&gt;TODAY(),"Review - future response date","")</f>
        <v/>
      </c>
    </row>
    <row r="104" spans="1:12" x14ac:dyDescent="0.25">
      <c r="A104" s="3" t="s">
        <v>3544</v>
      </c>
      <c r="B104" s="2" t="s">
        <v>920</v>
      </c>
      <c r="C104" s="2" t="s">
        <v>3314</v>
      </c>
      <c r="D104" s="2" t="s">
        <v>3315</v>
      </c>
      <c r="E104" s="2" t="s">
        <v>3316</v>
      </c>
      <c r="F104" s="15">
        <v>45739</v>
      </c>
      <c r="G104" s="25">
        <v>83.03</v>
      </c>
      <c r="H104" s="2" t="s">
        <v>36</v>
      </c>
      <c r="I104" s="4" t="s">
        <v>3365</v>
      </c>
      <c r="J104" s="2" t="str">
        <f>IF(tb2_CampaignResponses[[#This Row],[Gift_Amount]]&lt;0,"Review - negative amount",IF(tb2_CampaignResponses[[#This Row],[Gift_Amount]]&gt;10000,"Review - unusually large donation",""))</f>
        <v/>
      </c>
      <c r="K104" s="21" t="str">
        <f>IF(tb2_CampaignResponses[[#This Row],[Supporter_ID]]="","Review - no supporter ID","")</f>
        <v/>
      </c>
      <c r="L104" s="21" t="str">
        <f ca="1">IF(tb2_CampaignResponses[[#This Row],[Response_Date]]&gt;TODAY(),"Review - future response date","")</f>
        <v/>
      </c>
    </row>
    <row r="105" spans="1:12" x14ac:dyDescent="0.25">
      <c r="A105" s="3" t="s">
        <v>3545</v>
      </c>
      <c r="B105" s="2" t="s">
        <v>3089</v>
      </c>
      <c r="C105" s="2" t="s">
        <v>3403</v>
      </c>
      <c r="D105" s="2" t="s">
        <v>3404</v>
      </c>
      <c r="E105" s="2" t="s">
        <v>4</v>
      </c>
      <c r="F105" s="15">
        <v>45596</v>
      </c>
      <c r="G105" s="25">
        <v>25.93</v>
      </c>
      <c r="H105" s="2" t="s">
        <v>36</v>
      </c>
      <c r="I105" s="4" t="s">
        <v>3331</v>
      </c>
      <c r="J105" s="2" t="str">
        <f>IF(tb2_CampaignResponses[[#This Row],[Gift_Amount]]&lt;0,"Review - negative amount",IF(tb2_CampaignResponses[[#This Row],[Gift_Amount]]&gt;10000,"Review - unusually large donation",""))</f>
        <v/>
      </c>
      <c r="K105" s="21" t="str">
        <f>IF(tb2_CampaignResponses[[#This Row],[Supporter_ID]]="","Review - no supporter ID","")</f>
        <v/>
      </c>
      <c r="L105" s="21" t="str">
        <f ca="1">IF(tb2_CampaignResponses[[#This Row],[Response_Date]]&gt;TODAY(),"Review - future response date","")</f>
        <v/>
      </c>
    </row>
    <row r="106" spans="1:12" x14ac:dyDescent="0.25">
      <c r="A106" s="3" t="s">
        <v>3547</v>
      </c>
      <c r="B106" s="2" t="s">
        <v>1982</v>
      </c>
      <c r="C106" s="2" t="s">
        <v>3320</v>
      </c>
      <c r="D106" s="2" t="s">
        <v>3321</v>
      </c>
      <c r="E106" s="2" t="s">
        <v>4</v>
      </c>
      <c r="F106" s="15">
        <v>45328</v>
      </c>
      <c r="G106" s="25">
        <v>497.59</v>
      </c>
      <c r="H106" s="2" t="s">
        <v>37</v>
      </c>
      <c r="I106" s="4" t="s">
        <v>3318</v>
      </c>
      <c r="J106" s="2" t="str">
        <f>IF(tb2_CampaignResponses[[#This Row],[Gift_Amount]]&lt;0,"Review - negative amount",IF(tb2_CampaignResponses[[#This Row],[Gift_Amount]]&gt;10000,"Review - unusually large donation",""))</f>
        <v/>
      </c>
      <c r="K106" s="21" t="str">
        <f>IF(tb2_CampaignResponses[[#This Row],[Supporter_ID]]="","Review - no supporter ID","")</f>
        <v/>
      </c>
      <c r="L106" s="21" t="str">
        <f ca="1">IF(tb2_CampaignResponses[[#This Row],[Response_Date]]&gt;TODAY(),"Review - future response date","")</f>
        <v/>
      </c>
    </row>
    <row r="107" spans="1:12" x14ac:dyDescent="0.25">
      <c r="A107" s="3" t="s">
        <v>3549</v>
      </c>
      <c r="B107" s="2" t="s">
        <v>2268</v>
      </c>
      <c r="C107" s="2" t="s">
        <v>3403</v>
      </c>
      <c r="D107" s="2" t="s">
        <v>3404</v>
      </c>
      <c r="E107" s="2" t="s">
        <v>4</v>
      </c>
      <c r="F107" s="15">
        <v>45646</v>
      </c>
      <c r="G107" s="25">
        <v>12.83</v>
      </c>
      <c r="H107" s="2" t="s">
        <v>36</v>
      </c>
      <c r="I107" s="4" t="s">
        <v>3385</v>
      </c>
      <c r="J107" s="2" t="str">
        <f>IF(tb2_CampaignResponses[[#This Row],[Gift_Amount]]&lt;0,"Review - negative amount",IF(tb2_CampaignResponses[[#This Row],[Gift_Amount]]&gt;10000,"Review - unusually large donation",""))</f>
        <v/>
      </c>
      <c r="K107" s="21" t="str">
        <f>IF(tb2_CampaignResponses[[#This Row],[Supporter_ID]]="","Review - no supporter ID","")</f>
        <v/>
      </c>
      <c r="L107" s="21" t="str">
        <f ca="1">IF(tb2_CampaignResponses[[#This Row],[Response_Date]]&gt;TODAY(),"Review - future response date","")</f>
        <v/>
      </c>
    </row>
    <row r="108" spans="1:12" x14ac:dyDescent="0.25">
      <c r="A108" s="3" t="s">
        <v>3550</v>
      </c>
      <c r="B108" s="2" t="s">
        <v>2475</v>
      </c>
      <c r="C108" s="2" t="s">
        <v>3367</v>
      </c>
      <c r="D108" s="2" t="s">
        <v>3368</v>
      </c>
      <c r="E108" s="2" t="s">
        <v>4</v>
      </c>
      <c r="F108" s="15">
        <v>45760</v>
      </c>
      <c r="G108" s="25">
        <v>25.11</v>
      </c>
      <c r="H108" s="2" t="s">
        <v>36</v>
      </c>
      <c r="I108" s="4" t="s">
        <v>3323</v>
      </c>
      <c r="J108" s="2" t="str">
        <f>IF(tb2_CampaignResponses[[#This Row],[Gift_Amount]]&lt;0,"Review - negative amount",IF(tb2_CampaignResponses[[#This Row],[Gift_Amount]]&gt;10000,"Review - unusually large donation",""))</f>
        <v/>
      </c>
      <c r="K108" s="21" t="str">
        <f>IF(tb2_CampaignResponses[[#This Row],[Supporter_ID]]="","Review - no supporter ID","")</f>
        <v/>
      </c>
      <c r="L108" s="21" t="str">
        <f ca="1">IF(tb2_CampaignResponses[[#This Row],[Response_Date]]&gt;TODAY(),"Review - future response date","")</f>
        <v/>
      </c>
    </row>
    <row r="109" spans="1:12" x14ac:dyDescent="0.25">
      <c r="A109" s="3" t="s">
        <v>3552</v>
      </c>
      <c r="B109" s="2" t="s">
        <v>2711</v>
      </c>
      <c r="C109" s="2" t="s">
        <v>3427</v>
      </c>
      <c r="D109" s="2" t="s">
        <v>3428</v>
      </c>
      <c r="E109" s="2" t="s">
        <v>65</v>
      </c>
      <c r="F109" s="15">
        <v>45488</v>
      </c>
      <c r="G109" s="25">
        <v>469.57</v>
      </c>
      <c r="H109" s="2" t="s">
        <v>37</v>
      </c>
      <c r="I109" s="4" t="s">
        <v>3370</v>
      </c>
      <c r="J109" s="2" t="str">
        <f>IF(tb2_CampaignResponses[[#This Row],[Gift_Amount]]&lt;0,"Review - negative amount",IF(tb2_CampaignResponses[[#This Row],[Gift_Amount]]&gt;10000,"Review - unusually large donation",""))</f>
        <v/>
      </c>
      <c r="K109" s="21" t="str">
        <f>IF(tb2_CampaignResponses[[#This Row],[Supporter_ID]]="","Review - no supporter ID","")</f>
        <v/>
      </c>
      <c r="L109" s="21" t="str">
        <f ca="1">IF(tb2_CampaignResponses[[#This Row],[Response_Date]]&gt;TODAY(),"Review - future response date","")</f>
        <v/>
      </c>
    </row>
    <row r="110" spans="1:12" x14ac:dyDescent="0.25">
      <c r="A110" s="3" t="s">
        <v>3553</v>
      </c>
      <c r="B110" s="2" t="s">
        <v>2284</v>
      </c>
      <c r="C110" s="2" t="s">
        <v>3362</v>
      </c>
      <c r="D110" s="2" t="s">
        <v>3363</v>
      </c>
      <c r="E110" s="2" t="s">
        <v>65</v>
      </c>
      <c r="F110" s="15">
        <v>45574</v>
      </c>
      <c r="G110" s="25">
        <v>3919.37</v>
      </c>
      <c r="H110" s="2" t="s">
        <v>37</v>
      </c>
      <c r="I110" s="4" t="s">
        <v>3334</v>
      </c>
      <c r="J110" s="2" t="str">
        <f>IF(tb2_CampaignResponses[[#This Row],[Gift_Amount]]&lt;0,"Review - negative amount",IF(tb2_CampaignResponses[[#This Row],[Gift_Amount]]&gt;10000,"Review - unusually large donation",""))</f>
        <v/>
      </c>
      <c r="K110" s="21" t="str">
        <f>IF(tb2_CampaignResponses[[#This Row],[Supporter_ID]]="","Review - no supporter ID","")</f>
        <v/>
      </c>
      <c r="L110" s="21" t="str">
        <f ca="1">IF(tb2_CampaignResponses[[#This Row],[Response_Date]]&gt;TODAY(),"Review - future response date","")</f>
        <v/>
      </c>
    </row>
    <row r="111" spans="1:12" x14ac:dyDescent="0.25">
      <c r="A111" s="3" t="s">
        <v>3555</v>
      </c>
      <c r="B111" s="2" t="s">
        <v>2200</v>
      </c>
      <c r="C111" s="2" t="s">
        <v>3314</v>
      </c>
      <c r="D111" s="2" t="s">
        <v>3315</v>
      </c>
      <c r="E111" s="2" t="s">
        <v>3316</v>
      </c>
      <c r="F111" s="15">
        <v>45734</v>
      </c>
      <c r="G111" s="25">
        <v>470.21</v>
      </c>
      <c r="H111" s="2" t="s">
        <v>36</v>
      </c>
      <c r="I111" s="4" t="s">
        <v>3334</v>
      </c>
      <c r="J111" s="2" t="str">
        <f>IF(tb2_CampaignResponses[[#This Row],[Gift_Amount]]&lt;0,"Review - negative amount",IF(tb2_CampaignResponses[[#This Row],[Gift_Amount]]&gt;10000,"Review - unusually large donation",""))</f>
        <v/>
      </c>
      <c r="K111" s="21" t="str">
        <f>IF(tb2_CampaignResponses[[#This Row],[Supporter_ID]]="","Review - no supporter ID","")</f>
        <v/>
      </c>
      <c r="L111" s="21" t="str">
        <f ca="1">IF(tb2_CampaignResponses[[#This Row],[Response_Date]]&gt;TODAY(),"Review - future response date","")</f>
        <v/>
      </c>
    </row>
    <row r="112" spans="1:12" x14ac:dyDescent="0.25">
      <c r="A112" s="3" t="s">
        <v>3557</v>
      </c>
      <c r="B112" s="2" t="s">
        <v>920</v>
      </c>
      <c r="C112" s="2" t="s">
        <v>3325</v>
      </c>
      <c r="D112" s="2" t="s">
        <v>3326</v>
      </c>
      <c r="E112" s="2" t="s">
        <v>3338</v>
      </c>
      <c r="F112" s="15">
        <v>45306</v>
      </c>
      <c r="G112" s="25">
        <v>130.08000000000001</v>
      </c>
      <c r="H112" s="2" t="s">
        <v>37</v>
      </c>
      <c r="I112" s="4" t="s">
        <v>3328</v>
      </c>
      <c r="J112" s="2" t="str">
        <f>IF(tb2_CampaignResponses[[#This Row],[Gift_Amount]]&lt;0,"Review - negative amount",IF(tb2_CampaignResponses[[#This Row],[Gift_Amount]]&gt;10000,"Review - unusually large donation",""))</f>
        <v/>
      </c>
      <c r="K112" s="21" t="str">
        <f>IF(tb2_CampaignResponses[[#This Row],[Supporter_ID]]="","Review - no supporter ID","")</f>
        <v/>
      </c>
      <c r="L112" s="21" t="str">
        <f ca="1">IF(tb2_CampaignResponses[[#This Row],[Response_Date]]&gt;TODAY(),"Review - future response date","")</f>
        <v/>
      </c>
    </row>
    <row r="113" spans="1:12" x14ac:dyDescent="0.25">
      <c r="A113" s="3" t="s">
        <v>3559</v>
      </c>
      <c r="B113" s="2" t="s">
        <v>3217</v>
      </c>
      <c r="C113" s="2" t="s">
        <v>3403</v>
      </c>
      <c r="D113" s="2" t="s">
        <v>3404</v>
      </c>
      <c r="E113" s="2" t="s">
        <v>4</v>
      </c>
      <c r="F113" s="15">
        <v>45630</v>
      </c>
      <c r="G113" s="25">
        <v>2557.13</v>
      </c>
      <c r="H113" s="2" t="s">
        <v>36</v>
      </c>
      <c r="I113" s="4" t="s">
        <v>3334</v>
      </c>
      <c r="J113" s="2" t="str">
        <f>IF(tb2_CampaignResponses[[#This Row],[Gift_Amount]]&lt;0,"Review - negative amount",IF(tb2_CampaignResponses[[#This Row],[Gift_Amount]]&gt;10000,"Review - unusually large donation",""))</f>
        <v/>
      </c>
      <c r="K113" s="21" t="str">
        <f>IF(tb2_CampaignResponses[[#This Row],[Supporter_ID]]="","Review - no supporter ID","")</f>
        <v/>
      </c>
      <c r="L113" s="21" t="str">
        <f ca="1">IF(tb2_CampaignResponses[[#This Row],[Response_Date]]&gt;TODAY(),"Review - future response date","")</f>
        <v/>
      </c>
    </row>
    <row r="114" spans="1:12" x14ac:dyDescent="0.25">
      <c r="A114" s="3" t="s">
        <v>3561</v>
      </c>
      <c r="B114" s="2" t="s">
        <v>2433</v>
      </c>
      <c r="C114" s="2" t="s">
        <v>3367</v>
      </c>
      <c r="D114" s="2" t="s">
        <v>3368</v>
      </c>
      <c r="E114" s="2" t="s">
        <v>4</v>
      </c>
      <c r="F114" s="15">
        <v>45773</v>
      </c>
      <c r="G114" s="25">
        <v>241.63</v>
      </c>
      <c r="H114" s="2" t="s">
        <v>37</v>
      </c>
      <c r="I114" s="4" t="s">
        <v>3318</v>
      </c>
      <c r="J114" s="2" t="str">
        <f>IF(tb2_CampaignResponses[[#This Row],[Gift_Amount]]&lt;0,"Review - negative amount",IF(tb2_CampaignResponses[[#This Row],[Gift_Amount]]&gt;10000,"Review - unusually large donation",""))</f>
        <v/>
      </c>
      <c r="K114" s="21" t="str">
        <f>IF(tb2_CampaignResponses[[#This Row],[Supporter_ID]]="","Review - no supporter ID","")</f>
        <v/>
      </c>
      <c r="L114" s="21" t="str">
        <f ca="1">IF(tb2_CampaignResponses[[#This Row],[Response_Date]]&gt;TODAY(),"Review - future response date","")</f>
        <v/>
      </c>
    </row>
    <row r="115" spans="1:12" x14ac:dyDescent="0.25">
      <c r="A115" s="3" t="s">
        <v>3563</v>
      </c>
      <c r="B115" s="2" t="s">
        <v>2900</v>
      </c>
      <c r="C115" s="2" t="s">
        <v>3314</v>
      </c>
      <c r="D115" s="2" t="s">
        <v>3315</v>
      </c>
      <c r="E115" s="2" t="s">
        <v>3316</v>
      </c>
      <c r="F115" s="15">
        <v>45684</v>
      </c>
      <c r="G115" s="25">
        <v>115.5</v>
      </c>
      <c r="H115" s="2" t="s">
        <v>36</v>
      </c>
      <c r="I115" s="4" t="s">
        <v>3370</v>
      </c>
      <c r="J115" s="2" t="str">
        <f>IF(tb2_CampaignResponses[[#This Row],[Gift_Amount]]&lt;0,"Review - negative amount",IF(tb2_CampaignResponses[[#This Row],[Gift_Amount]]&gt;10000,"Review - unusually large donation",""))</f>
        <v/>
      </c>
      <c r="K115" s="21" t="str">
        <f>IF(tb2_CampaignResponses[[#This Row],[Supporter_ID]]="","Review - no supporter ID","")</f>
        <v/>
      </c>
      <c r="L115" s="21" t="str">
        <f ca="1">IF(tb2_CampaignResponses[[#This Row],[Response_Date]]&gt;TODAY(),"Review - future response date","")</f>
        <v/>
      </c>
    </row>
    <row r="116" spans="1:12" x14ac:dyDescent="0.25">
      <c r="A116" s="3" t="s">
        <v>3564</v>
      </c>
      <c r="B116" s="2" t="s">
        <v>1921</v>
      </c>
      <c r="C116" s="2" t="s">
        <v>3403</v>
      </c>
      <c r="D116" s="2" t="s">
        <v>3404</v>
      </c>
      <c r="E116" s="2" t="s">
        <v>4</v>
      </c>
      <c r="F116" s="15">
        <v>45485</v>
      </c>
      <c r="G116" s="25">
        <v>282.35000000000002</v>
      </c>
      <c r="H116" s="2" t="s">
        <v>37</v>
      </c>
      <c r="I116" s="4" t="s">
        <v>3365</v>
      </c>
      <c r="J116" s="2" t="str">
        <f>IF(tb2_CampaignResponses[[#This Row],[Gift_Amount]]&lt;0,"Review - negative amount",IF(tb2_CampaignResponses[[#This Row],[Gift_Amount]]&gt;10000,"Review - unusually large donation",""))</f>
        <v/>
      </c>
      <c r="K116" s="21" t="str">
        <f>IF(tb2_CampaignResponses[[#This Row],[Supporter_ID]]="","Review - no supporter ID","")</f>
        <v/>
      </c>
      <c r="L116" s="21" t="str">
        <f ca="1">IF(tb2_CampaignResponses[[#This Row],[Response_Date]]&gt;TODAY(),"Review - future response date","")</f>
        <v/>
      </c>
    </row>
    <row r="117" spans="1:12" x14ac:dyDescent="0.25">
      <c r="A117" s="3" t="s">
        <v>3566</v>
      </c>
      <c r="B117" s="2" t="s">
        <v>1511</v>
      </c>
      <c r="C117" s="2" t="s">
        <v>3354</v>
      </c>
      <c r="D117" s="2" t="s">
        <v>3355</v>
      </c>
      <c r="E117" s="2" t="s">
        <v>65</v>
      </c>
      <c r="F117" s="15">
        <v>45618</v>
      </c>
      <c r="G117" s="25">
        <v>156.12</v>
      </c>
      <c r="H117" s="2" t="s">
        <v>37</v>
      </c>
      <c r="I117" s="4" t="s">
        <v>3370</v>
      </c>
      <c r="J117" s="2" t="str">
        <f>IF(tb2_CampaignResponses[[#This Row],[Gift_Amount]]&lt;0,"Review - negative amount",IF(tb2_CampaignResponses[[#This Row],[Gift_Amount]]&gt;10000,"Review - unusually large donation",""))</f>
        <v/>
      </c>
      <c r="K117" s="21" t="str">
        <f>IF(tb2_CampaignResponses[[#This Row],[Supporter_ID]]="","Review - no supporter ID","")</f>
        <v/>
      </c>
      <c r="L117" s="21" t="str">
        <f ca="1">IF(tb2_CampaignResponses[[#This Row],[Response_Date]]&gt;TODAY(),"Review - future response date","")</f>
        <v/>
      </c>
    </row>
    <row r="118" spans="1:12" x14ac:dyDescent="0.25">
      <c r="A118" s="3" t="s">
        <v>3567</v>
      </c>
      <c r="B118" s="2" t="s">
        <v>967</v>
      </c>
      <c r="C118" s="2" t="s">
        <v>3341</v>
      </c>
      <c r="D118" s="2" t="s">
        <v>3342</v>
      </c>
      <c r="E118" s="2" t="s">
        <v>4</v>
      </c>
      <c r="F118" s="15">
        <v>45718</v>
      </c>
      <c r="G118" s="25">
        <v>38.21</v>
      </c>
      <c r="H118" s="2" t="s">
        <v>37</v>
      </c>
      <c r="I118" s="4" t="s">
        <v>3370</v>
      </c>
      <c r="J118" s="2" t="str">
        <f>IF(tb2_CampaignResponses[[#This Row],[Gift_Amount]]&lt;0,"Review - negative amount",IF(tb2_CampaignResponses[[#This Row],[Gift_Amount]]&gt;10000,"Review - unusually large donation",""))</f>
        <v/>
      </c>
      <c r="K118" s="21" t="str">
        <f>IF(tb2_CampaignResponses[[#This Row],[Supporter_ID]]="","Review - no supporter ID","")</f>
        <v/>
      </c>
      <c r="L118" s="21" t="str">
        <f ca="1">IF(tb2_CampaignResponses[[#This Row],[Response_Date]]&gt;TODAY(),"Review - future response date","")</f>
        <v/>
      </c>
    </row>
    <row r="119" spans="1:12" x14ac:dyDescent="0.25">
      <c r="A119" s="3" t="s">
        <v>3569</v>
      </c>
      <c r="B119" s="2" t="s">
        <v>272</v>
      </c>
      <c r="C119" s="2" t="s">
        <v>3354</v>
      </c>
      <c r="D119" s="2" t="s">
        <v>3355</v>
      </c>
      <c r="E119" s="2" t="s">
        <v>4</v>
      </c>
      <c r="F119" s="15">
        <v>45618</v>
      </c>
      <c r="G119" s="25">
        <v>28.27</v>
      </c>
      <c r="H119" s="2" t="s">
        <v>37</v>
      </c>
      <c r="I119" s="4" t="s">
        <v>3385</v>
      </c>
      <c r="J119" s="2" t="str">
        <f>IF(tb2_CampaignResponses[[#This Row],[Gift_Amount]]&lt;0,"Review - negative amount",IF(tb2_CampaignResponses[[#This Row],[Gift_Amount]]&gt;10000,"Review - unusually large donation",""))</f>
        <v/>
      </c>
      <c r="K119" s="21" t="str">
        <f>IF(tb2_CampaignResponses[[#This Row],[Supporter_ID]]="","Review - no supporter ID","")</f>
        <v/>
      </c>
      <c r="L119" s="21" t="str">
        <f ca="1">IF(tb2_CampaignResponses[[#This Row],[Response_Date]]&gt;TODAY(),"Review - future response date","")</f>
        <v/>
      </c>
    </row>
    <row r="120" spans="1:12" x14ac:dyDescent="0.25">
      <c r="A120" s="3" t="s">
        <v>3570</v>
      </c>
      <c r="B120" s="2" t="s">
        <v>2427</v>
      </c>
      <c r="C120" s="2" t="s">
        <v>3341</v>
      </c>
      <c r="D120" s="2" t="s">
        <v>3342</v>
      </c>
      <c r="E120" s="2" t="s">
        <v>4</v>
      </c>
      <c r="F120" s="15">
        <v>45730</v>
      </c>
      <c r="G120" s="25">
        <v>89.81</v>
      </c>
      <c r="H120" s="2" t="s">
        <v>36</v>
      </c>
      <c r="I120" s="4" t="s">
        <v>3323</v>
      </c>
      <c r="J120" s="2" t="str">
        <f>IF(tb2_CampaignResponses[[#This Row],[Gift_Amount]]&lt;0,"Review - negative amount",IF(tb2_CampaignResponses[[#This Row],[Gift_Amount]]&gt;10000,"Review - unusually large donation",""))</f>
        <v/>
      </c>
      <c r="K120" s="21" t="str">
        <f>IF(tb2_CampaignResponses[[#This Row],[Supporter_ID]]="","Review - no supporter ID","")</f>
        <v/>
      </c>
      <c r="L120" s="21" t="str">
        <f ca="1">IF(tb2_CampaignResponses[[#This Row],[Response_Date]]&gt;TODAY(),"Review - future response date","")</f>
        <v/>
      </c>
    </row>
    <row r="121" spans="1:12" x14ac:dyDescent="0.25">
      <c r="A121" s="3" t="s">
        <v>3572</v>
      </c>
      <c r="B121" s="2" t="s">
        <v>844</v>
      </c>
      <c r="C121" s="2" t="s">
        <v>3320</v>
      </c>
      <c r="D121" s="2" t="s">
        <v>3321</v>
      </c>
      <c r="E121" s="2" t="s">
        <v>4</v>
      </c>
      <c r="F121" s="15">
        <v>45453</v>
      </c>
      <c r="G121" s="25">
        <v>11.52</v>
      </c>
      <c r="H121" s="2" t="s">
        <v>36</v>
      </c>
      <c r="I121" s="4" t="s">
        <v>3365</v>
      </c>
      <c r="J121" s="2" t="str">
        <f>IF(tb2_CampaignResponses[[#This Row],[Gift_Amount]]&lt;0,"Review - negative amount",IF(tb2_CampaignResponses[[#This Row],[Gift_Amount]]&gt;10000,"Review - unusually large donation",""))</f>
        <v/>
      </c>
      <c r="K121" s="21" t="str">
        <f>IF(tb2_CampaignResponses[[#This Row],[Supporter_ID]]="","Review - no supporter ID","")</f>
        <v/>
      </c>
      <c r="L121" s="21" t="str">
        <f ca="1">IF(tb2_CampaignResponses[[#This Row],[Response_Date]]&gt;TODAY(),"Review - future response date","")</f>
        <v/>
      </c>
    </row>
    <row r="122" spans="1:12" x14ac:dyDescent="0.25">
      <c r="A122" s="3" t="s">
        <v>3574</v>
      </c>
      <c r="B122" s="2" t="s">
        <v>1994</v>
      </c>
      <c r="C122" s="2" t="s">
        <v>3314</v>
      </c>
      <c r="D122" s="2" t="s">
        <v>3315</v>
      </c>
      <c r="E122" s="2" t="s">
        <v>3316</v>
      </c>
      <c r="F122" s="15">
        <v>45711</v>
      </c>
      <c r="G122" s="25">
        <v>77.489999999999995</v>
      </c>
      <c r="H122" s="2" t="s">
        <v>37</v>
      </c>
      <c r="I122" s="4" t="s">
        <v>3365</v>
      </c>
      <c r="J122" s="2" t="str">
        <f>IF(tb2_CampaignResponses[[#This Row],[Gift_Amount]]&lt;0,"Review - negative amount",IF(tb2_CampaignResponses[[#This Row],[Gift_Amount]]&gt;10000,"Review - unusually large donation",""))</f>
        <v/>
      </c>
      <c r="K122" s="21" t="str">
        <f>IF(tb2_CampaignResponses[[#This Row],[Supporter_ID]]="","Review - no supporter ID","")</f>
        <v/>
      </c>
      <c r="L122" s="21" t="str">
        <f ca="1">IF(tb2_CampaignResponses[[#This Row],[Response_Date]]&gt;TODAY(),"Review - future response date","")</f>
        <v/>
      </c>
    </row>
    <row r="123" spans="1:12" x14ac:dyDescent="0.25">
      <c r="A123" s="3" t="s">
        <v>3576</v>
      </c>
      <c r="B123" s="2" t="s">
        <v>2188</v>
      </c>
      <c r="C123" s="2" t="s">
        <v>3336</v>
      </c>
      <c r="D123" s="2" t="s">
        <v>3337</v>
      </c>
      <c r="E123" s="2" t="s">
        <v>3316</v>
      </c>
      <c r="F123" s="15">
        <v>45575</v>
      </c>
      <c r="G123" s="25">
        <v>38.369999999999997</v>
      </c>
      <c r="H123" s="2" t="s">
        <v>36</v>
      </c>
      <c r="I123" s="4" t="s">
        <v>3328</v>
      </c>
      <c r="J123" s="2" t="str">
        <f>IF(tb2_CampaignResponses[[#This Row],[Gift_Amount]]&lt;0,"Review - negative amount",IF(tb2_CampaignResponses[[#This Row],[Gift_Amount]]&gt;10000,"Review - unusually large donation",""))</f>
        <v/>
      </c>
      <c r="K123" s="21" t="str">
        <f>IF(tb2_CampaignResponses[[#This Row],[Supporter_ID]]="","Review - no supporter ID","")</f>
        <v/>
      </c>
      <c r="L123" s="21" t="str">
        <f ca="1">IF(tb2_CampaignResponses[[#This Row],[Response_Date]]&gt;TODAY(),"Review - future response date","")</f>
        <v/>
      </c>
    </row>
    <row r="124" spans="1:12" x14ac:dyDescent="0.25">
      <c r="A124" s="3" t="s">
        <v>3578</v>
      </c>
      <c r="B124" s="2" t="s">
        <v>2513</v>
      </c>
      <c r="C124" s="2" t="s">
        <v>3336</v>
      </c>
      <c r="D124" s="2" t="s">
        <v>3337</v>
      </c>
      <c r="E124" s="2" t="s">
        <v>3338</v>
      </c>
      <c r="F124" s="15">
        <v>45564</v>
      </c>
      <c r="G124" s="25">
        <v>3217.7</v>
      </c>
      <c r="H124" s="2" t="s">
        <v>36</v>
      </c>
      <c r="I124" s="4" t="s">
        <v>3318</v>
      </c>
      <c r="J124" s="2" t="str">
        <f>IF(tb2_CampaignResponses[[#This Row],[Gift_Amount]]&lt;0,"Review - negative amount",IF(tb2_CampaignResponses[[#This Row],[Gift_Amount]]&gt;10000,"Review - unusually large donation",""))</f>
        <v/>
      </c>
      <c r="K124" s="21" t="str">
        <f>IF(tb2_CampaignResponses[[#This Row],[Supporter_ID]]="","Review - no supporter ID","")</f>
        <v/>
      </c>
      <c r="L124" s="21" t="str">
        <f ca="1">IF(tb2_CampaignResponses[[#This Row],[Response_Date]]&gt;TODAY(),"Review - future response date","")</f>
        <v/>
      </c>
    </row>
    <row r="125" spans="1:12" x14ac:dyDescent="0.25">
      <c r="A125" s="3" t="s">
        <v>3580</v>
      </c>
      <c r="B125" s="2" t="s">
        <v>1591</v>
      </c>
      <c r="C125" s="2" t="s">
        <v>3336</v>
      </c>
      <c r="D125" s="2" t="s">
        <v>3337</v>
      </c>
      <c r="E125" s="2" t="s">
        <v>65</v>
      </c>
      <c r="F125" s="15">
        <v>45554</v>
      </c>
      <c r="G125" s="25">
        <v>28.32</v>
      </c>
      <c r="H125" s="2" t="s">
        <v>37</v>
      </c>
      <c r="I125" s="4" t="s">
        <v>3334</v>
      </c>
      <c r="J125" s="2" t="str">
        <f>IF(tb2_CampaignResponses[[#This Row],[Gift_Amount]]&lt;0,"Review - negative amount",IF(tb2_CampaignResponses[[#This Row],[Gift_Amount]]&gt;10000,"Review - unusually large donation",""))</f>
        <v/>
      </c>
      <c r="K125" s="21" t="str">
        <f>IF(tb2_CampaignResponses[[#This Row],[Supporter_ID]]="","Review - no supporter ID","")</f>
        <v/>
      </c>
      <c r="L125" s="21" t="str">
        <f ca="1">IF(tb2_CampaignResponses[[#This Row],[Response_Date]]&gt;TODAY(),"Review - future response date","")</f>
        <v/>
      </c>
    </row>
    <row r="126" spans="1:12" x14ac:dyDescent="0.25">
      <c r="A126" s="3" t="s">
        <v>3582</v>
      </c>
      <c r="B126" s="2" t="s">
        <v>2350</v>
      </c>
      <c r="C126" s="2" t="s">
        <v>3341</v>
      </c>
      <c r="D126" s="2" t="s">
        <v>3342</v>
      </c>
      <c r="E126" s="2" t="s">
        <v>4</v>
      </c>
      <c r="F126" s="15">
        <v>45994</v>
      </c>
      <c r="G126" s="25">
        <v>27.21</v>
      </c>
      <c r="H126" s="2" t="s">
        <v>36</v>
      </c>
      <c r="I126" s="4" t="s">
        <v>3331</v>
      </c>
      <c r="J126" s="2" t="str">
        <f>IF(tb2_CampaignResponses[[#This Row],[Gift_Amount]]&lt;0,"Review - negative amount",IF(tb2_CampaignResponses[[#This Row],[Gift_Amount]]&gt;10000,"Review - unusually large donation",""))</f>
        <v/>
      </c>
      <c r="K126" s="21" t="str">
        <f>IF(tb2_CampaignResponses[[#This Row],[Supporter_ID]]="","Review - no supporter ID","")</f>
        <v/>
      </c>
      <c r="L126" s="21" t="str">
        <f ca="1">IF(tb2_CampaignResponses[[#This Row],[Response_Date]]&gt;TODAY(),"Review - future response date","")</f>
        <v/>
      </c>
    </row>
    <row r="127" spans="1:12" x14ac:dyDescent="0.25">
      <c r="A127" s="3" t="s">
        <v>3584</v>
      </c>
      <c r="B127" s="2" t="s">
        <v>2405</v>
      </c>
      <c r="C127" s="2" t="s">
        <v>3367</v>
      </c>
      <c r="D127" s="2" t="s">
        <v>3368</v>
      </c>
      <c r="E127" s="2" t="s">
        <v>65</v>
      </c>
      <c r="F127" s="15">
        <v>45764</v>
      </c>
      <c r="G127" s="25">
        <v>3728.32</v>
      </c>
      <c r="H127" s="2" t="s">
        <v>37</v>
      </c>
      <c r="I127" s="4" t="s">
        <v>3365</v>
      </c>
      <c r="J127" s="2" t="str">
        <f>IF(tb2_CampaignResponses[[#This Row],[Gift_Amount]]&lt;0,"Review - negative amount",IF(tb2_CampaignResponses[[#This Row],[Gift_Amount]]&gt;10000,"Review - unusually large donation",""))</f>
        <v/>
      </c>
      <c r="K127" s="21" t="str">
        <f>IF(tb2_CampaignResponses[[#This Row],[Supporter_ID]]="","Review - no supporter ID","")</f>
        <v/>
      </c>
      <c r="L127" s="21" t="str">
        <f ca="1">IF(tb2_CampaignResponses[[#This Row],[Response_Date]]&gt;TODAY(),"Review - future response date","")</f>
        <v/>
      </c>
    </row>
    <row r="128" spans="1:12" x14ac:dyDescent="0.25">
      <c r="A128" s="3" t="s">
        <v>3586</v>
      </c>
      <c r="B128" s="2" t="s">
        <v>2789</v>
      </c>
      <c r="C128" s="2" t="s">
        <v>3427</v>
      </c>
      <c r="D128" s="2" t="s">
        <v>3428</v>
      </c>
      <c r="E128" s="2" t="s">
        <v>65</v>
      </c>
      <c r="F128" s="15">
        <v>45488</v>
      </c>
      <c r="G128" s="25">
        <v>29.01</v>
      </c>
      <c r="H128" s="2" t="s">
        <v>37</v>
      </c>
      <c r="I128" s="4" t="s">
        <v>3323</v>
      </c>
      <c r="J128" s="2" t="str">
        <f>IF(tb2_CampaignResponses[[#This Row],[Gift_Amount]]&lt;0,"Review - negative amount",IF(tb2_CampaignResponses[[#This Row],[Gift_Amount]]&gt;10000,"Review - unusually large donation",""))</f>
        <v/>
      </c>
      <c r="K128" s="21" t="str">
        <f>IF(tb2_CampaignResponses[[#This Row],[Supporter_ID]]="","Review - no supporter ID","")</f>
        <v/>
      </c>
      <c r="L128" s="21" t="str">
        <f ca="1">IF(tb2_CampaignResponses[[#This Row],[Response_Date]]&gt;TODAY(),"Review - future response date","")</f>
        <v/>
      </c>
    </row>
    <row r="129" spans="1:12" x14ac:dyDescent="0.25">
      <c r="A129" s="3" t="s">
        <v>3588</v>
      </c>
      <c r="B129" s="2" t="s">
        <v>2562</v>
      </c>
      <c r="C129" s="2" t="s">
        <v>3354</v>
      </c>
      <c r="D129" s="2" t="s">
        <v>3355</v>
      </c>
      <c r="E129" s="2" t="s">
        <v>65</v>
      </c>
      <c r="F129" s="15">
        <v>45618</v>
      </c>
      <c r="G129" s="25">
        <v>61.73</v>
      </c>
      <c r="H129" s="2" t="s">
        <v>36</v>
      </c>
      <c r="I129" s="4" t="s">
        <v>3328</v>
      </c>
      <c r="J129" s="2" t="str">
        <f>IF(tb2_CampaignResponses[[#This Row],[Gift_Amount]]&lt;0,"Review - negative amount",IF(tb2_CampaignResponses[[#This Row],[Gift_Amount]]&gt;10000,"Review - unusually large donation",""))</f>
        <v/>
      </c>
      <c r="K129" s="21" t="str">
        <f>IF(tb2_CampaignResponses[[#This Row],[Supporter_ID]]="","Review - no supporter ID","")</f>
        <v/>
      </c>
      <c r="L129" s="21" t="str">
        <f ca="1">IF(tb2_CampaignResponses[[#This Row],[Response_Date]]&gt;TODAY(),"Review - future response date","")</f>
        <v/>
      </c>
    </row>
    <row r="130" spans="1:12" x14ac:dyDescent="0.25">
      <c r="A130" s="3" t="s">
        <v>3590</v>
      </c>
      <c r="B130" s="2" t="s">
        <v>2142</v>
      </c>
      <c r="C130" s="2" t="s">
        <v>3314</v>
      </c>
      <c r="D130" s="2" t="s">
        <v>3315</v>
      </c>
      <c r="E130" s="2" t="s">
        <v>33</v>
      </c>
      <c r="F130" s="15">
        <v>45694</v>
      </c>
      <c r="G130" s="25">
        <v>125.49</v>
      </c>
      <c r="H130" s="2" t="s">
        <v>37</v>
      </c>
      <c r="I130" s="4" t="s">
        <v>3323</v>
      </c>
      <c r="J130" s="2" t="str">
        <f>IF(tb2_CampaignResponses[[#This Row],[Gift_Amount]]&lt;0,"Review - negative amount",IF(tb2_CampaignResponses[[#This Row],[Gift_Amount]]&gt;10000,"Review - unusually large donation",""))</f>
        <v/>
      </c>
      <c r="K130" s="21" t="str">
        <f>IF(tb2_CampaignResponses[[#This Row],[Supporter_ID]]="","Review - no supporter ID","")</f>
        <v/>
      </c>
      <c r="L130" s="21" t="str">
        <f ca="1">IF(tb2_CampaignResponses[[#This Row],[Response_Date]]&gt;TODAY(),"Review - future response date","")</f>
        <v/>
      </c>
    </row>
    <row r="131" spans="1:12" x14ac:dyDescent="0.25">
      <c r="A131" s="3" t="s">
        <v>3592</v>
      </c>
      <c r="B131" s="2" t="s">
        <v>2200</v>
      </c>
      <c r="C131" s="2" t="s">
        <v>3341</v>
      </c>
      <c r="D131" s="2" t="s">
        <v>3342</v>
      </c>
      <c r="E131" s="2" t="s">
        <v>4</v>
      </c>
      <c r="F131" s="15">
        <v>45753</v>
      </c>
      <c r="G131" s="25">
        <v>2936.9</v>
      </c>
      <c r="H131" s="2" t="s">
        <v>36</v>
      </c>
      <c r="I131" s="4" t="s">
        <v>3318</v>
      </c>
      <c r="J131" s="2" t="str">
        <f>IF(tb2_CampaignResponses[[#This Row],[Gift_Amount]]&lt;0,"Review - negative amount",IF(tb2_CampaignResponses[[#This Row],[Gift_Amount]]&gt;10000,"Review - unusually large donation",""))</f>
        <v/>
      </c>
      <c r="K131" s="21" t="str">
        <f>IF(tb2_CampaignResponses[[#This Row],[Supporter_ID]]="","Review - no supporter ID","")</f>
        <v/>
      </c>
      <c r="L131" s="21" t="str">
        <f ca="1">IF(tb2_CampaignResponses[[#This Row],[Response_Date]]&gt;TODAY(),"Review - future response date","")</f>
        <v/>
      </c>
    </row>
    <row r="132" spans="1:12" x14ac:dyDescent="0.25">
      <c r="A132" s="3" t="s">
        <v>3594</v>
      </c>
      <c r="B132" s="2" t="s">
        <v>1778</v>
      </c>
      <c r="C132" s="2" t="s">
        <v>3403</v>
      </c>
      <c r="D132" s="2" t="s">
        <v>3404</v>
      </c>
      <c r="E132" s="2" t="s">
        <v>4</v>
      </c>
      <c r="F132" s="15">
        <v>45621</v>
      </c>
      <c r="G132" s="25">
        <v>29.57</v>
      </c>
      <c r="H132" s="2" t="s">
        <v>37</v>
      </c>
      <c r="I132" s="4" t="s">
        <v>3370</v>
      </c>
      <c r="J132" s="2" t="str">
        <f>IF(tb2_CampaignResponses[[#This Row],[Gift_Amount]]&lt;0,"Review - negative amount",IF(tb2_CampaignResponses[[#This Row],[Gift_Amount]]&gt;10000,"Review - unusually large donation",""))</f>
        <v/>
      </c>
      <c r="K132" s="21" t="str">
        <f>IF(tb2_CampaignResponses[[#This Row],[Supporter_ID]]="","Review - no supporter ID","")</f>
        <v/>
      </c>
      <c r="L132" s="21" t="str">
        <f ca="1">IF(tb2_CampaignResponses[[#This Row],[Response_Date]]&gt;TODAY(),"Review - future response date","")</f>
        <v/>
      </c>
    </row>
    <row r="133" spans="1:12" x14ac:dyDescent="0.25">
      <c r="A133" s="3" t="s">
        <v>3596</v>
      </c>
      <c r="B133" s="2" t="s">
        <v>1522</v>
      </c>
      <c r="C133" s="2" t="s">
        <v>3354</v>
      </c>
      <c r="D133" s="2" t="s">
        <v>3355</v>
      </c>
      <c r="E133" s="2" t="s">
        <v>65</v>
      </c>
      <c r="F133" s="15">
        <v>45618</v>
      </c>
      <c r="G133" s="25">
        <v>88.91</v>
      </c>
      <c r="H133" s="2" t="s">
        <v>36</v>
      </c>
      <c r="I133" s="4" t="s">
        <v>3365</v>
      </c>
      <c r="J133" s="2" t="str">
        <f>IF(tb2_CampaignResponses[[#This Row],[Gift_Amount]]&lt;0,"Review - negative amount",IF(tb2_CampaignResponses[[#This Row],[Gift_Amount]]&gt;10000,"Review - unusually large donation",""))</f>
        <v/>
      </c>
      <c r="K133" s="21" t="str">
        <f>IF(tb2_CampaignResponses[[#This Row],[Supporter_ID]]="","Review - no supporter ID","")</f>
        <v/>
      </c>
      <c r="L133" s="21" t="str">
        <f ca="1">IF(tb2_CampaignResponses[[#This Row],[Response_Date]]&gt;TODAY(),"Review - future response date","")</f>
        <v/>
      </c>
    </row>
    <row r="134" spans="1:12" x14ac:dyDescent="0.25">
      <c r="A134" s="3" t="s">
        <v>3597</v>
      </c>
      <c r="B134" s="2" t="s">
        <v>1147</v>
      </c>
      <c r="C134" s="2" t="s">
        <v>3314</v>
      </c>
      <c r="D134" s="2" t="s">
        <v>3315</v>
      </c>
      <c r="E134" s="2" t="s">
        <v>65</v>
      </c>
      <c r="F134" s="15">
        <v>45746</v>
      </c>
      <c r="G134" s="25">
        <v>40.880000000000003</v>
      </c>
      <c r="H134" s="2" t="s">
        <v>36</v>
      </c>
      <c r="I134" s="4" t="s">
        <v>3323</v>
      </c>
      <c r="J134" s="2" t="str">
        <f>IF(tb2_CampaignResponses[[#This Row],[Gift_Amount]]&lt;0,"Review - negative amount",IF(tb2_CampaignResponses[[#This Row],[Gift_Amount]]&gt;10000,"Review - unusually large donation",""))</f>
        <v/>
      </c>
      <c r="K134" s="21" t="str">
        <f>IF(tb2_CampaignResponses[[#This Row],[Supporter_ID]]="","Review - no supporter ID","")</f>
        <v/>
      </c>
      <c r="L134" s="21" t="str">
        <f ca="1">IF(tb2_CampaignResponses[[#This Row],[Response_Date]]&gt;TODAY(),"Review - future response date","")</f>
        <v/>
      </c>
    </row>
    <row r="135" spans="1:12" x14ac:dyDescent="0.25">
      <c r="A135" s="3" t="s">
        <v>3599</v>
      </c>
      <c r="B135" s="2" t="s">
        <v>363</v>
      </c>
      <c r="C135" s="2" t="s">
        <v>3325</v>
      </c>
      <c r="D135" s="2" t="s">
        <v>3326</v>
      </c>
      <c r="E135" s="2" t="s">
        <v>4</v>
      </c>
      <c r="F135" s="15">
        <v>45656</v>
      </c>
      <c r="G135" s="25">
        <v>142.38999999999999</v>
      </c>
      <c r="H135" s="2" t="s">
        <v>36</v>
      </c>
      <c r="I135" s="4" t="s">
        <v>3334</v>
      </c>
      <c r="J135" s="2" t="str">
        <f>IF(tb2_CampaignResponses[[#This Row],[Gift_Amount]]&lt;0,"Review - negative amount",IF(tb2_CampaignResponses[[#This Row],[Gift_Amount]]&gt;10000,"Review - unusually large donation",""))</f>
        <v/>
      </c>
      <c r="K135" s="21" t="str">
        <f>IF(tb2_CampaignResponses[[#This Row],[Supporter_ID]]="","Review - no supporter ID","")</f>
        <v/>
      </c>
      <c r="L135" s="21" t="str">
        <f ca="1">IF(tb2_CampaignResponses[[#This Row],[Response_Date]]&gt;TODAY(),"Review - future response date","")</f>
        <v/>
      </c>
    </row>
    <row r="136" spans="1:12" x14ac:dyDescent="0.25">
      <c r="A136" s="3" t="s">
        <v>3601</v>
      </c>
      <c r="B136" s="2" t="s">
        <v>2088</v>
      </c>
      <c r="C136" s="2" t="s">
        <v>3314</v>
      </c>
      <c r="D136" s="2" t="s">
        <v>3315</v>
      </c>
      <c r="E136" s="2" t="s">
        <v>33</v>
      </c>
      <c r="F136" s="15">
        <v>45709</v>
      </c>
      <c r="G136" s="25">
        <v>44.18</v>
      </c>
      <c r="H136" s="2" t="s">
        <v>36</v>
      </c>
      <c r="I136" s="4" t="s">
        <v>3318</v>
      </c>
      <c r="J136" s="2" t="str">
        <f>IF(tb2_CampaignResponses[[#This Row],[Gift_Amount]]&lt;0,"Review - negative amount",IF(tb2_CampaignResponses[[#This Row],[Gift_Amount]]&gt;10000,"Review - unusually large donation",""))</f>
        <v/>
      </c>
      <c r="K136" s="21" t="str">
        <f>IF(tb2_CampaignResponses[[#This Row],[Supporter_ID]]="","Review - no supporter ID","")</f>
        <v/>
      </c>
      <c r="L136" s="21" t="str">
        <f ca="1">IF(tb2_CampaignResponses[[#This Row],[Response_Date]]&gt;TODAY(),"Review - future response date","")</f>
        <v/>
      </c>
    </row>
    <row r="137" spans="1:12" x14ac:dyDescent="0.25">
      <c r="A137" s="3" t="s">
        <v>3603</v>
      </c>
      <c r="B137" s="2" t="s">
        <v>535</v>
      </c>
      <c r="C137" s="2" t="s">
        <v>3403</v>
      </c>
      <c r="D137" s="2" t="s">
        <v>3404</v>
      </c>
      <c r="E137" s="2" t="s">
        <v>4</v>
      </c>
      <c r="F137" s="15">
        <v>45584</v>
      </c>
      <c r="G137" s="25">
        <v>21.88</v>
      </c>
      <c r="H137" s="2" t="s">
        <v>37</v>
      </c>
      <c r="I137" s="4" t="s">
        <v>3331</v>
      </c>
      <c r="J137" s="2" t="str">
        <f>IF(tb2_CampaignResponses[[#This Row],[Gift_Amount]]&lt;0,"Review - negative amount",IF(tb2_CampaignResponses[[#This Row],[Gift_Amount]]&gt;10000,"Review - unusually large donation",""))</f>
        <v/>
      </c>
      <c r="K137" s="21" t="str">
        <f>IF(tb2_CampaignResponses[[#This Row],[Supporter_ID]]="","Review - no supporter ID","")</f>
        <v/>
      </c>
      <c r="L137" s="21" t="str">
        <f ca="1">IF(tb2_CampaignResponses[[#This Row],[Response_Date]]&gt;TODAY(),"Review - future response date","")</f>
        <v/>
      </c>
    </row>
    <row r="138" spans="1:12" x14ac:dyDescent="0.25">
      <c r="A138" s="3" t="s">
        <v>3605</v>
      </c>
      <c r="B138" s="2" t="s">
        <v>723</v>
      </c>
      <c r="C138" s="2" t="s">
        <v>3362</v>
      </c>
      <c r="D138" s="2" t="s">
        <v>3363</v>
      </c>
      <c r="E138" s="2" t="s">
        <v>65</v>
      </c>
      <c r="F138" s="15">
        <v>45572</v>
      </c>
      <c r="G138" s="25">
        <v>4877.93</v>
      </c>
      <c r="H138" s="2" t="s">
        <v>36</v>
      </c>
      <c r="I138" s="4" t="s">
        <v>3331</v>
      </c>
      <c r="J138" s="2" t="str">
        <f>IF(tb2_CampaignResponses[[#This Row],[Gift_Amount]]&lt;0,"Review - negative amount",IF(tb2_CampaignResponses[[#This Row],[Gift_Amount]]&gt;10000,"Review - unusually large donation",""))</f>
        <v/>
      </c>
      <c r="K138" s="21" t="str">
        <f>IF(tb2_CampaignResponses[[#This Row],[Supporter_ID]]="","Review - no supporter ID","")</f>
        <v/>
      </c>
      <c r="L138" s="21" t="str">
        <f ca="1">IF(tb2_CampaignResponses[[#This Row],[Response_Date]]&gt;TODAY(),"Review - future response date","")</f>
        <v/>
      </c>
    </row>
    <row r="139" spans="1:12" x14ac:dyDescent="0.25">
      <c r="A139" s="3" t="s">
        <v>3607</v>
      </c>
      <c r="B139" s="2" t="s">
        <v>1348</v>
      </c>
      <c r="C139" s="2" t="s">
        <v>3362</v>
      </c>
      <c r="D139" s="2" t="s">
        <v>3363</v>
      </c>
      <c r="E139" s="2" t="s">
        <v>65</v>
      </c>
      <c r="F139" s="15">
        <v>45574</v>
      </c>
      <c r="G139" s="25">
        <v>12.57</v>
      </c>
      <c r="H139" s="2" t="s">
        <v>37</v>
      </c>
      <c r="I139" s="4" t="s">
        <v>3323</v>
      </c>
      <c r="J139" s="2" t="str">
        <f>IF(tb2_CampaignResponses[[#This Row],[Gift_Amount]]&lt;0,"Review - negative amount",IF(tb2_CampaignResponses[[#This Row],[Gift_Amount]]&gt;10000,"Review - unusually large donation",""))</f>
        <v/>
      </c>
      <c r="K139" s="21" t="str">
        <f>IF(tb2_CampaignResponses[[#This Row],[Supporter_ID]]="","Review - no supporter ID","")</f>
        <v/>
      </c>
      <c r="L139" s="21" t="str">
        <f ca="1">IF(tb2_CampaignResponses[[#This Row],[Response_Date]]&gt;TODAY(),"Review - future response date","")</f>
        <v/>
      </c>
    </row>
    <row r="140" spans="1:12" x14ac:dyDescent="0.25">
      <c r="A140" s="3" t="s">
        <v>3608</v>
      </c>
      <c r="B140" s="2" t="s">
        <v>863</v>
      </c>
      <c r="C140" s="2" t="s">
        <v>3341</v>
      </c>
      <c r="D140" s="2" t="s">
        <v>3342</v>
      </c>
      <c r="E140" s="2" t="s">
        <v>4</v>
      </c>
      <c r="F140" s="15">
        <v>45744</v>
      </c>
      <c r="G140" s="25">
        <v>17.37</v>
      </c>
      <c r="H140" s="2" t="s">
        <v>37</v>
      </c>
      <c r="I140" s="4" t="s">
        <v>3331</v>
      </c>
      <c r="J140" s="2" t="str">
        <f>IF(tb2_CampaignResponses[[#This Row],[Gift_Amount]]&lt;0,"Review - negative amount",IF(tb2_CampaignResponses[[#This Row],[Gift_Amount]]&gt;10000,"Review - unusually large donation",""))</f>
        <v/>
      </c>
      <c r="K140" s="21" t="str">
        <f>IF(tb2_CampaignResponses[[#This Row],[Supporter_ID]]="","Review - no supporter ID","")</f>
        <v/>
      </c>
      <c r="L140" s="21" t="str">
        <f ca="1">IF(tb2_CampaignResponses[[#This Row],[Response_Date]]&gt;TODAY(),"Review - future response date","")</f>
        <v/>
      </c>
    </row>
    <row r="141" spans="1:12" x14ac:dyDescent="0.25">
      <c r="A141" s="3" t="s">
        <v>3610</v>
      </c>
      <c r="B141" s="2" t="s">
        <v>1714</v>
      </c>
      <c r="C141" s="2" t="s">
        <v>3367</v>
      </c>
      <c r="D141" s="2" t="s">
        <v>3368</v>
      </c>
      <c r="E141" s="2" t="s">
        <v>65</v>
      </c>
      <c r="F141" s="15">
        <v>45726</v>
      </c>
      <c r="G141" s="25">
        <v>95.83</v>
      </c>
      <c r="H141" s="2" t="s">
        <v>36</v>
      </c>
      <c r="I141" s="4" t="s">
        <v>3323</v>
      </c>
      <c r="J141" s="2" t="str">
        <f>IF(tb2_CampaignResponses[[#This Row],[Gift_Amount]]&lt;0,"Review - negative amount",IF(tb2_CampaignResponses[[#This Row],[Gift_Amount]]&gt;10000,"Review - unusually large donation",""))</f>
        <v/>
      </c>
      <c r="K141" s="21" t="str">
        <f>IF(tb2_CampaignResponses[[#This Row],[Supporter_ID]]="","Review - no supporter ID","")</f>
        <v/>
      </c>
      <c r="L141" s="21" t="str">
        <f ca="1">IF(tb2_CampaignResponses[[#This Row],[Response_Date]]&gt;TODAY(),"Review - future response date","")</f>
        <v/>
      </c>
    </row>
    <row r="142" spans="1:12" x14ac:dyDescent="0.25">
      <c r="A142" s="3" t="s">
        <v>3612</v>
      </c>
      <c r="B142" s="2" t="s">
        <v>620</v>
      </c>
      <c r="C142" s="2" t="s">
        <v>3354</v>
      </c>
      <c r="D142" s="2" t="s">
        <v>3355</v>
      </c>
      <c r="E142" s="2" t="s">
        <v>4</v>
      </c>
      <c r="F142" s="15">
        <v>45618</v>
      </c>
      <c r="G142" s="25">
        <v>124.88</v>
      </c>
      <c r="H142" s="2" t="s">
        <v>37</v>
      </c>
      <c r="I142" s="4" t="s">
        <v>3318</v>
      </c>
      <c r="J142" s="2" t="str">
        <f>IF(tb2_CampaignResponses[[#This Row],[Gift_Amount]]&lt;0,"Review - negative amount",IF(tb2_CampaignResponses[[#This Row],[Gift_Amount]]&gt;10000,"Review - unusually large donation",""))</f>
        <v/>
      </c>
      <c r="K142" s="21" t="str">
        <f>IF(tb2_CampaignResponses[[#This Row],[Supporter_ID]]="","Review - no supporter ID","")</f>
        <v/>
      </c>
      <c r="L142" s="21" t="str">
        <f ca="1">IF(tb2_CampaignResponses[[#This Row],[Response_Date]]&gt;TODAY(),"Review - future response date","")</f>
        <v/>
      </c>
    </row>
    <row r="143" spans="1:12" x14ac:dyDescent="0.25">
      <c r="A143" s="3" t="s">
        <v>3613</v>
      </c>
      <c r="B143" s="2" t="s">
        <v>212</v>
      </c>
      <c r="C143" s="2" t="s">
        <v>3403</v>
      </c>
      <c r="D143" s="2" t="s">
        <v>3404</v>
      </c>
      <c r="E143" s="2" t="s">
        <v>65</v>
      </c>
      <c r="F143" s="15">
        <v>45591</v>
      </c>
      <c r="G143" s="25">
        <v>21.59</v>
      </c>
      <c r="H143" s="2" t="s">
        <v>36</v>
      </c>
      <c r="I143" s="4" t="s">
        <v>3331</v>
      </c>
      <c r="J143" s="2" t="str">
        <f>IF(tb2_CampaignResponses[[#This Row],[Gift_Amount]]&lt;0,"Review - negative amount",IF(tb2_CampaignResponses[[#This Row],[Gift_Amount]]&gt;10000,"Review - unusually large donation",""))</f>
        <v/>
      </c>
      <c r="K143" s="21" t="str">
        <f>IF(tb2_CampaignResponses[[#This Row],[Supporter_ID]]="","Review - no supporter ID","")</f>
        <v/>
      </c>
      <c r="L143" s="21" t="str">
        <f ca="1">IF(tb2_CampaignResponses[[#This Row],[Response_Date]]&gt;TODAY(),"Review - future response date","")</f>
        <v/>
      </c>
    </row>
    <row r="144" spans="1:12" x14ac:dyDescent="0.25">
      <c r="A144" s="3" t="s">
        <v>3615</v>
      </c>
      <c r="B144" s="2" t="s">
        <v>3118</v>
      </c>
      <c r="C144" s="2" t="s">
        <v>3325</v>
      </c>
      <c r="D144" s="2" t="s">
        <v>3326</v>
      </c>
      <c r="E144" s="2" t="s">
        <v>4</v>
      </c>
      <c r="F144" s="15">
        <v>45602</v>
      </c>
      <c r="G144" s="25">
        <v>17.71</v>
      </c>
      <c r="H144" s="2" t="s">
        <v>36</v>
      </c>
      <c r="I144" s="4" t="s">
        <v>3334</v>
      </c>
      <c r="J144" s="2" t="str">
        <f>IF(tb2_CampaignResponses[[#This Row],[Gift_Amount]]&lt;0,"Review - negative amount",IF(tb2_CampaignResponses[[#This Row],[Gift_Amount]]&gt;10000,"Review - unusually large donation",""))</f>
        <v/>
      </c>
      <c r="K144" s="21" t="str">
        <f>IF(tb2_CampaignResponses[[#This Row],[Supporter_ID]]="","Review - no supporter ID","")</f>
        <v/>
      </c>
      <c r="L144" s="21" t="str">
        <f ca="1">IF(tb2_CampaignResponses[[#This Row],[Response_Date]]&gt;TODAY(),"Review - future response date","")</f>
        <v/>
      </c>
    </row>
    <row r="145" spans="1:12" x14ac:dyDescent="0.25">
      <c r="A145" s="3" t="s">
        <v>3617</v>
      </c>
      <c r="B145" s="2" t="s">
        <v>336</v>
      </c>
      <c r="C145" s="2" t="s">
        <v>3325</v>
      </c>
      <c r="D145" s="2" t="s">
        <v>3326</v>
      </c>
      <c r="E145" s="2" t="s">
        <v>3338</v>
      </c>
      <c r="F145" s="15">
        <v>45302</v>
      </c>
      <c r="G145" s="25">
        <v>348.83</v>
      </c>
      <c r="H145" s="2" t="s">
        <v>36</v>
      </c>
      <c r="I145" s="4" t="s">
        <v>3385</v>
      </c>
      <c r="J145" s="2" t="str">
        <f>IF(tb2_CampaignResponses[[#This Row],[Gift_Amount]]&lt;0,"Review - negative amount",IF(tb2_CampaignResponses[[#This Row],[Gift_Amount]]&gt;10000,"Review - unusually large donation",""))</f>
        <v/>
      </c>
      <c r="K145" s="21" t="str">
        <f>IF(tb2_CampaignResponses[[#This Row],[Supporter_ID]]="","Review - no supporter ID","")</f>
        <v/>
      </c>
      <c r="L145" s="21" t="str">
        <f ca="1">IF(tb2_CampaignResponses[[#This Row],[Response_Date]]&gt;TODAY(),"Review - future response date","")</f>
        <v/>
      </c>
    </row>
    <row r="146" spans="1:12" x14ac:dyDescent="0.25">
      <c r="A146" s="3" t="s">
        <v>3619</v>
      </c>
      <c r="B146" s="2" t="s">
        <v>2475</v>
      </c>
      <c r="C146" s="2" t="s">
        <v>3403</v>
      </c>
      <c r="D146" s="2" t="s">
        <v>3404</v>
      </c>
      <c r="E146" s="2" t="s">
        <v>4</v>
      </c>
      <c r="F146" s="15">
        <v>45612</v>
      </c>
      <c r="G146" s="25">
        <v>15.02</v>
      </c>
      <c r="H146" s="2" t="s">
        <v>36</v>
      </c>
      <c r="I146" s="4" t="s">
        <v>3334</v>
      </c>
      <c r="J146" s="2" t="str">
        <f>IF(tb2_CampaignResponses[[#This Row],[Gift_Amount]]&lt;0,"Review - negative amount",IF(tb2_CampaignResponses[[#This Row],[Gift_Amount]]&gt;10000,"Review - unusually large donation",""))</f>
        <v/>
      </c>
      <c r="K146" s="21" t="str">
        <f>IF(tb2_CampaignResponses[[#This Row],[Supporter_ID]]="","Review - no supporter ID","")</f>
        <v/>
      </c>
      <c r="L146" s="21" t="str">
        <f ca="1">IF(tb2_CampaignResponses[[#This Row],[Response_Date]]&gt;TODAY(),"Review - future response date","")</f>
        <v/>
      </c>
    </row>
    <row r="147" spans="1:12" x14ac:dyDescent="0.25">
      <c r="A147" s="3" t="s">
        <v>3621</v>
      </c>
      <c r="B147" s="2" t="s">
        <v>901</v>
      </c>
      <c r="C147" s="2" t="s">
        <v>3427</v>
      </c>
      <c r="D147" s="2" t="s">
        <v>3428</v>
      </c>
      <c r="E147" s="2" t="s">
        <v>65</v>
      </c>
      <c r="F147" s="15">
        <v>45488</v>
      </c>
      <c r="G147" s="25">
        <v>110.75</v>
      </c>
      <c r="H147" s="2" t="s">
        <v>36</v>
      </c>
      <c r="I147" s="4" t="s">
        <v>3334</v>
      </c>
      <c r="J147" s="2" t="str">
        <f>IF(tb2_CampaignResponses[[#This Row],[Gift_Amount]]&lt;0,"Review - negative amount",IF(tb2_CampaignResponses[[#This Row],[Gift_Amount]]&gt;10000,"Review - unusually large donation",""))</f>
        <v/>
      </c>
      <c r="K147" s="21" t="str">
        <f>IF(tb2_CampaignResponses[[#This Row],[Supporter_ID]]="","Review - no supporter ID","")</f>
        <v/>
      </c>
      <c r="L147" s="21" t="str">
        <f ca="1">IF(tb2_CampaignResponses[[#This Row],[Response_Date]]&gt;TODAY(),"Review - future response date","")</f>
        <v/>
      </c>
    </row>
    <row r="148" spans="1:12" x14ac:dyDescent="0.25">
      <c r="A148" s="3" t="s">
        <v>3622</v>
      </c>
      <c r="B148" s="2" t="s">
        <v>1274</v>
      </c>
      <c r="C148" s="2" t="s">
        <v>3354</v>
      </c>
      <c r="D148" s="2" t="s">
        <v>3355</v>
      </c>
      <c r="E148" s="2" t="s">
        <v>4</v>
      </c>
      <c r="F148" s="15">
        <v>45618</v>
      </c>
      <c r="G148" s="25">
        <v>457.62</v>
      </c>
      <c r="H148" s="2" t="s">
        <v>36</v>
      </c>
      <c r="I148" s="4" t="s">
        <v>3323</v>
      </c>
      <c r="J148" s="2" t="str">
        <f>IF(tb2_CampaignResponses[[#This Row],[Gift_Amount]]&lt;0,"Review - negative amount",IF(tb2_CampaignResponses[[#This Row],[Gift_Amount]]&gt;10000,"Review - unusually large donation",""))</f>
        <v/>
      </c>
      <c r="K148" s="21" t="str">
        <f>IF(tb2_CampaignResponses[[#This Row],[Supporter_ID]]="","Review - no supporter ID","")</f>
        <v/>
      </c>
      <c r="L148" s="21" t="str">
        <f ca="1">IF(tb2_CampaignResponses[[#This Row],[Response_Date]]&gt;TODAY(),"Review - future response date","")</f>
        <v/>
      </c>
    </row>
    <row r="149" spans="1:12" x14ac:dyDescent="0.25">
      <c r="A149" s="3" t="s">
        <v>3624</v>
      </c>
      <c r="B149" s="2" t="s">
        <v>589</v>
      </c>
      <c r="C149" s="2" t="s">
        <v>3403</v>
      </c>
      <c r="D149" s="2" t="s">
        <v>3404</v>
      </c>
      <c r="E149" s="2" t="s">
        <v>4</v>
      </c>
      <c r="F149" s="15">
        <v>45638</v>
      </c>
      <c r="G149" s="25">
        <v>90.34</v>
      </c>
      <c r="H149" s="2" t="s">
        <v>36</v>
      </c>
      <c r="I149" s="4" t="s">
        <v>3323</v>
      </c>
      <c r="J149" s="2" t="str">
        <f>IF(tb2_CampaignResponses[[#This Row],[Gift_Amount]]&lt;0,"Review - negative amount",IF(tb2_CampaignResponses[[#This Row],[Gift_Amount]]&gt;10000,"Review - unusually large donation",""))</f>
        <v/>
      </c>
      <c r="K149" s="21" t="str">
        <f>IF(tb2_CampaignResponses[[#This Row],[Supporter_ID]]="","Review - no supporter ID","")</f>
        <v/>
      </c>
      <c r="L149" s="21" t="str">
        <f ca="1">IF(tb2_CampaignResponses[[#This Row],[Response_Date]]&gt;TODAY(),"Review - future response date","")</f>
        <v/>
      </c>
    </row>
    <row r="150" spans="1:12" x14ac:dyDescent="0.25">
      <c r="A150" s="3" t="s">
        <v>3626</v>
      </c>
      <c r="B150" s="2" t="s">
        <v>1591</v>
      </c>
      <c r="C150" s="2" t="s">
        <v>3325</v>
      </c>
      <c r="D150" s="2" t="s">
        <v>3326</v>
      </c>
      <c r="E150" s="2" t="s">
        <v>4</v>
      </c>
      <c r="F150" s="15">
        <v>45608</v>
      </c>
      <c r="G150" s="25">
        <v>28.73</v>
      </c>
      <c r="H150" s="2" t="s">
        <v>37</v>
      </c>
      <c r="I150" s="4" t="s">
        <v>3331</v>
      </c>
      <c r="J150" s="2" t="str">
        <f>IF(tb2_CampaignResponses[[#This Row],[Gift_Amount]]&lt;0,"Review - negative amount",IF(tb2_CampaignResponses[[#This Row],[Gift_Amount]]&gt;10000,"Review - unusually large donation",""))</f>
        <v/>
      </c>
      <c r="K150" s="21" t="str">
        <f>IF(tb2_CampaignResponses[[#This Row],[Supporter_ID]]="","Review - no supporter ID","")</f>
        <v/>
      </c>
      <c r="L150" s="21" t="str">
        <f ca="1">IF(tb2_CampaignResponses[[#This Row],[Response_Date]]&gt;TODAY(),"Review - future response date","")</f>
        <v/>
      </c>
    </row>
    <row r="151" spans="1:12" x14ac:dyDescent="0.25">
      <c r="A151" s="3" t="s">
        <v>3628</v>
      </c>
      <c r="B151" s="2" t="s">
        <v>2802</v>
      </c>
      <c r="C151" s="2" t="s">
        <v>3320</v>
      </c>
      <c r="D151" s="2" t="s">
        <v>3321</v>
      </c>
      <c r="E151" s="2" t="s">
        <v>65</v>
      </c>
      <c r="F151" s="15">
        <v>45471</v>
      </c>
      <c r="G151" s="25">
        <v>202.36</v>
      </c>
      <c r="H151" s="2" t="s">
        <v>37</v>
      </c>
      <c r="I151" s="4" t="s">
        <v>3385</v>
      </c>
      <c r="J151" s="2" t="str">
        <f>IF(tb2_CampaignResponses[[#This Row],[Gift_Amount]]&lt;0,"Review - negative amount",IF(tb2_CampaignResponses[[#This Row],[Gift_Amount]]&gt;10000,"Review - unusually large donation",""))</f>
        <v/>
      </c>
      <c r="K151" s="21" t="str">
        <f>IF(tb2_CampaignResponses[[#This Row],[Supporter_ID]]="","Review - no supporter ID","")</f>
        <v/>
      </c>
      <c r="L151" s="21" t="str">
        <f ca="1">IF(tb2_CampaignResponses[[#This Row],[Response_Date]]&gt;TODAY(),"Review - future response date","")</f>
        <v/>
      </c>
    </row>
    <row r="152" spans="1:12" x14ac:dyDescent="0.25">
      <c r="A152" s="3" t="s">
        <v>3630</v>
      </c>
      <c r="B152" s="2" t="s">
        <v>2059</v>
      </c>
      <c r="C152" s="2" t="s">
        <v>3314</v>
      </c>
      <c r="D152" s="2" t="s">
        <v>3315</v>
      </c>
      <c r="E152" s="2" t="s">
        <v>65</v>
      </c>
      <c r="F152" s="15">
        <v>45702</v>
      </c>
      <c r="G152" s="25">
        <v>88.9</v>
      </c>
      <c r="H152" s="2" t="s">
        <v>36</v>
      </c>
      <c r="I152" s="4" t="s">
        <v>3385</v>
      </c>
      <c r="J152" s="2" t="str">
        <f>IF(tb2_CampaignResponses[[#This Row],[Gift_Amount]]&lt;0,"Review - negative amount",IF(tb2_CampaignResponses[[#This Row],[Gift_Amount]]&gt;10000,"Review - unusually large donation",""))</f>
        <v/>
      </c>
      <c r="K152" s="21" t="str">
        <f>IF(tb2_CampaignResponses[[#This Row],[Supporter_ID]]="","Review - no supporter ID","")</f>
        <v/>
      </c>
      <c r="L152" s="21" t="str">
        <f ca="1">IF(tb2_CampaignResponses[[#This Row],[Response_Date]]&gt;TODAY(),"Review - future response date","")</f>
        <v/>
      </c>
    </row>
    <row r="153" spans="1:12" x14ac:dyDescent="0.25">
      <c r="A153" s="3" t="s">
        <v>3632</v>
      </c>
      <c r="B153" s="2" t="s">
        <v>1059</v>
      </c>
      <c r="C153" s="2" t="s">
        <v>3320</v>
      </c>
      <c r="D153" s="2" t="s">
        <v>3321</v>
      </c>
      <c r="E153" s="2" t="s">
        <v>65</v>
      </c>
      <c r="F153" s="15">
        <v>45452</v>
      </c>
      <c r="G153" s="25">
        <v>425.67</v>
      </c>
      <c r="H153" s="2" t="s">
        <v>37</v>
      </c>
      <c r="I153" s="4" t="s">
        <v>3370</v>
      </c>
      <c r="J153" s="2" t="str">
        <f>IF(tb2_CampaignResponses[[#This Row],[Gift_Amount]]&lt;0,"Review - negative amount",IF(tb2_CampaignResponses[[#This Row],[Gift_Amount]]&gt;10000,"Review - unusually large donation",""))</f>
        <v/>
      </c>
      <c r="K153" s="21" t="str">
        <f>IF(tb2_CampaignResponses[[#This Row],[Supporter_ID]]="","Review - no supporter ID","")</f>
        <v/>
      </c>
      <c r="L153" s="21" t="str">
        <f ca="1">IF(tb2_CampaignResponses[[#This Row],[Response_Date]]&gt;TODAY(),"Review - future response date","")</f>
        <v/>
      </c>
    </row>
    <row r="154" spans="1:12" x14ac:dyDescent="0.25">
      <c r="A154" s="3" t="s">
        <v>3634</v>
      </c>
      <c r="B154" s="2" t="s">
        <v>2770</v>
      </c>
      <c r="C154" s="2" t="s">
        <v>3341</v>
      </c>
      <c r="D154" s="2" t="s">
        <v>3342</v>
      </c>
      <c r="E154" s="2" t="s">
        <v>4</v>
      </c>
      <c r="F154" s="15">
        <v>45934</v>
      </c>
      <c r="G154" s="25">
        <v>12.84</v>
      </c>
      <c r="H154" s="2" t="s">
        <v>36</v>
      </c>
      <c r="I154" s="4" t="s">
        <v>3365</v>
      </c>
      <c r="J154" s="2" t="str">
        <f>IF(tb2_CampaignResponses[[#This Row],[Gift_Amount]]&lt;0,"Review - negative amount",IF(tb2_CampaignResponses[[#This Row],[Gift_Amount]]&gt;10000,"Review - unusually large donation",""))</f>
        <v/>
      </c>
      <c r="K154" s="21" t="str">
        <f>IF(tb2_CampaignResponses[[#This Row],[Supporter_ID]]="","Review - no supporter ID","")</f>
        <v/>
      </c>
      <c r="L154" s="21" t="str">
        <f ca="1">IF(tb2_CampaignResponses[[#This Row],[Response_Date]]&gt;TODAY(),"Review - future response date","")</f>
        <v/>
      </c>
    </row>
    <row r="155" spans="1:12" x14ac:dyDescent="0.25">
      <c r="A155" s="3" t="s">
        <v>3636</v>
      </c>
      <c r="B155" s="2" t="s">
        <v>3217</v>
      </c>
      <c r="C155" s="2" t="s">
        <v>3367</v>
      </c>
      <c r="D155" s="2" t="s">
        <v>3368</v>
      </c>
      <c r="E155" s="2" t="s">
        <v>65</v>
      </c>
      <c r="F155" s="15">
        <v>45772</v>
      </c>
      <c r="G155" s="25">
        <v>2250.5</v>
      </c>
      <c r="H155" s="2" t="s">
        <v>37</v>
      </c>
      <c r="I155" s="4" t="s">
        <v>3334</v>
      </c>
      <c r="J155" s="2" t="str">
        <f>IF(tb2_CampaignResponses[[#This Row],[Gift_Amount]]&lt;0,"Review - negative amount",IF(tb2_CampaignResponses[[#This Row],[Gift_Amount]]&gt;10000,"Review - unusually large donation",""))</f>
        <v/>
      </c>
      <c r="K155" s="21" t="str">
        <f>IF(tb2_CampaignResponses[[#This Row],[Supporter_ID]]="","Review - no supporter ID","")</f>
        <v/>
      </c>
      <c r="L155" s="21" t="str">
        <f ca="1">IF(tb2_CampaignResponses[[#This Row],[Response_Date]]&gt;TODAY(),"Review - future response date","")</f>
        <v/>
      </c>
    </row>
    <row r="156" spans="1:12" x14ac:dyDescent="0.25">
      <c r="A156" s="3" t="s">
        <v>3638</v>
      </c>
      <c r="B156" s="2" t="s">
        <v>1969</v>
      </c>
      <c r="C156" s="2" t="s">
        <v>3320</v>
      </c>
      <c r="D156" s="2" t="s">
        <v>3321</v>
      </c>
      <c r="E156" s="2" t="s">
        <v>4</v>
      </c>
      <c r="F156" s="15">
        <v>45460</v>
      </c>
      <c r="G156" s="25">
        <v>3693.76</v>
      </c>
      <c r="H156" s="2" t="s">
        <v>36</v>
      </c>
      <c r="I156" s="4" t="s">
        <v>3331</v>
      </c>
      <c r="J156" s="2" t="str">
        <f>IF(tb2_CampaignResponses[[#This Row],[Gift_Amount]]&lt;0,"Review - negative amount",IF(tb2_CampaignResponses[[#This Row],[Gift_Amount]]&gt;10000,"Review - unusually large donation",""))</f>
        <v/>
      </c>
      <c r="K156" s="21" t="str">
        <f>IF(tb2_CampaignResponses[[#This Row],[Supporter_ID]]="","Review - no supporter ID","")</f>
        <v/>
      </c>
      <c r="L156" s="21" t="str">
        <f ca="1">IF(tb2_CampaignResponses[[#This Row],[Response_Date]]&gt;TODAY(),"Review - future response date","")</f>
        <v/>
      </c>
    </row>
    <row r="157" spans="1:12" x14ac:dyDescent="0.25">
      <c r="A157" s="3" t="s">
        <v>3639</v>
      </c>
      <c r="B157" s="2" t="s">
        <v>1417</v>
      </c>
      <c r="C157" s="2" t="s">
        <v>3367</v>
      </c>
      <c r="D157" s="2" t="s">
        <v>3368</v>
      </c>
      <c r="E157" s="2" t="s">
        <v>65</v>
      </c>
      <c r="F157" s="15">
        <v>45965</v>
      </c>
      <c r="G157" s="25">
        <v>69.03</v>
      </c>
      <c r="H157" s="2" t="s">
        <v>36</v>
      </c>
      <c r="I157" s="4" t="s">
        <v>3370</v>
      </c>
      <c r="J157" s="2" t="str">
        <f>IF(tb2_CampaignResponses[[#This Row],[Gift_Amount]]&lt;0,"Review - negative amount",IF(tb2_CampaignResponses[[#This Row],[Gift_Amount]]&gt;10000,"Review - unusually large donation",""))</f>
        <v/>
      </c>
      <c r="K157" s="21" t="str">
        <f>IF(tb2_CampaignResponses[[#This Row],[Supporter_ID]]="","Review - no supporter ID","")</f>
        <v/>
      </c>
      <c r="L157" s="21" t="str">
        <f ca="1">IF(tb2_CampaignResponses[[#This Row],[Response_Date]]&gt;TODAY(),"Review - future response date","")</f>
        <v/>
      </c>
    </row>
    <row r="158" spans="1:12" x14ac:dyDescent="0.25">
      <c r="A158" s="3" t="s">
        <v>3641</v>
      </c>
      <c r="B158" s="2" t="s">
        <v>2940</v>
      </c>
      <c r="C158" s="2" t="s">
        <v>3320</v>
      </c>
      <c r="D158" s="2" t="s">
        <v>3321</v>
      </c>
      <c r="E158" s="2" t="s">
        <v>65</v>
      </c>
      <c r="F158" s="15">
        <v>45446</v>
      </c>
      <c r="G158" s="25">
        <v>216.31</v>
      </c>
      <c r="H158" s="2" t="s">
        <v>37</v>
      </c>
      <c r="I158" s="4" t="s">
        <v>3365</v>
      </c>
      <c r="J158" s="2" t="str">
        <f>IF(tb2_CampaignResponses[[#This Row],[Gift_Amount]]&lt;0,"Review - negative amount",IF(tb2_CampaignResponses[[#This Row],[Gift_Amount]]&gt;10000,"Review - unusually large donation",""))</f>
        <v/>
      </c>
      <c r="K158" s="21" t="str">
        <f>IF(tb2_CampaignResponses[[#This Row],[Supporter_ID]]="","Review - no supporter ID","")</f>
        <v/>
      </c>
      <c r="L158" s="21" t="str">
        <f ca="1">IF(tb2_CampaignResponses[[#This Row],[Response_Date]]&gt;TODAY(),"Review - future response date","")</f>
        <v/>
      </c>
    </row>
    <row r="159" spans="1:12" x14ac:dyDescent="0.25">
      <c r="A159" s="3" t="s">
        <v>3643</v>
      </c>
      <c r="B159" s="2" t="s">
        <v>1135</v>
      </c>
      <c r="C159" s="2" t="s">
        <v>3367</v>
      </c>
      <c r="D159" s="2" t="s">
        <v>3368</v>
      </c>
      <c r="E159" s="2" t="s">
        <v>4</v>
      </c>
      <c r="F159" s="15">
        <v>45934</v>
      </c>
      <c r="G159" s="25">
        <v>116.87</v>
      </c>
      <c r="H159" s="2" t="s">
        <v>37</v>
      </c>
      <c r="I159" s="4" t="s">
        <v>3365</v>
      </c>
      <c r="J159" s="2" t="str">
        <f>IF(tb2_CampaignResponses[[#This Row],[Gift_Amount]]&lt;0,"Review - negative amount",IF(tb2_CampaignResponses[[#This Row],[Gift_Amount]]&gt;10000,"Review - unusually large donation",""))</f>
        <v/>
      </c>
      <c r="K159" s="21" t="str">
        <f>IF(tb2_CampaignResponses[[#This Row],[Supporter_ID]]="","Review - no supporter ID","")</f>
        <v/>
      </c>
      <c r="L159" s="21" t="str">
        <f ca="1">IF(tb2_CampaignResponses[[#This Row],[Response_Date]]&gt;TODAY(),"Review - future response date","")</f>
        <v/>
      </c>
    </row>
    <row r="160" spans="1:12" x14ac:dyDescent="0.25">
      <c r="A160" s="3" t="s">
        <v>3644</v>
      </c>
      <c r="B160" s="2" t="s">
        <v>565</v>
      </c>
      <c r="C160" s="2" t="s">
        <v>3325</v>
      </c>
      <c r="D160" s="2" t="s">
        <v>3326</v>
      </c>
      <c r="E160" s="2" t="s">
        <v>3316</v>
      </c>
      <c r="F160" s="15">
        <v>45649</v>
      </c>
      <c r="G160" s="25">
        <v>19.91</v>
      </c>
      <c r="H160" s="2" t="s">
        <v>36</v>
      </c>
      <c r="I160" s="4" t="s">
        <v>3370</v>
      </c>
      <c r="J160" s="2" t="str">
        <f>IF(tb2_CampaignResponses[[#This Row],[Gift_Amount]]&lt;0,"Review - negative amount",IF(tb2_CampaignResponses[[#This Row],[Gift_Amount]]&gt;10000,"Review - unusually large donation",""))</f>
        <v/>
      </c>
      <c r="K160" s="21" t="str">
        <f>IF(tb2_CampaignResponses[[#This Row],[Supporter_ID]]="","Review - no supporter ID","")</f>
        <v/>
      </c>
      <c r="L160" s="21" t="str">
        <f ca="1">IF(tb2_CampaignResponses[[#This Row],[Response_Date]]&gt;TODAY(),"Review - future response date","")</f>
        <v/>
      </c>
    </row>
    <row r="161" spans="1:12" x14ac:dyDescent="0.25">
      <c r="A161" s="3" t="s">
        <v>3646</v>
      </c>
      <c r="B161" s="2" t="s">
        <v>2246</v>
      </c>
      <c r="C161" s="2" t="s">
        <v>3341</v>
      </c>
      <c r="D161" s="2" t="s">
        <v>3342</v>
      </c>
      <c r="E161" s="2" t="s">
        <v>91</v>
      </c>
      <c r="F161" s="15">
        <v>45729</v>
      </c>
      <c r="G161" s="25">
        <v>1886.12</v>
      </c>
      <c r="H161" s="2" t="s">
        <v>36</v>
      </c>
      <c r="I161" s="4" t="s">
        <v>3370</v>
      </c>
      <c r="J161" s="2" t="str">
        <f>IF(tb2_CampaignResponses[[#This Row],[Gift_Amount]]&lt;0,"Review - negative amount",IF(tb2_CampaignResponses[[#This Row],[Gift_Amount]]&gt;10000,"Review - unusually large donation",""))</f>
        <v/>
      </c>
      <c r="K161" s="21" t="str">
        <f>IF(tb2_CampaignResponses[[#This Row],[Supporter_ID]]="","Review - no supporter ID","")</f>
        <v/>
      </c>
      <c r="L161" s="21" t="str">
        <f ca="1">IF(tb2_CampaignResponses[[#This Row],[Response_Date]]&gt;TODAY(),"Review - future response date","")</f>
        <v/>
      </c>
    </row>
    <row r="162" spans="1:12" x14ac:dyDescent="0.25">
      <c r="A162" s="3" t="s">
        <v>3648</v>
      </c>
      <c r="B162" s="2" t="s">
        <v>2011</v>
      </c>
      <c r="C162" s="2" t="s">
        <v>3354</v>
      </c>
      <c r="D162" s="2" t="s">
        <v>3355</v>
      </c>
      <c r="E162" s="2" t="s">
        <v>4</v>
      </c>
      <c r="F162" s="15">
        <v>45618</v>
      </c>
      <c r="G162" s="25">
        <v>41.25</v>
      </c>
      <c r="H162" s="2" t="s">
        <v>36</v>
      </c>
      <c r="I162" s="4" t="s">
        <v>3365</v>
      </c>
      <c r="J162" s="2" t="str">
        <f>IF(tb2_CampaignResponses[[#This Row],[Gift_Amount]]&lt;0,"Review - negative amount",IF(tb2_CampaignResponses[[#This Row],[Gift_Amount]]&gt;10000,"Review - unusually large donation",""))</f>
        <v/>
      </c>
      <c r="K162" s="21" t="str">
        <f>IF(tb2_CampaignResponses[[#This Row],[Supporter_ID]]="","Review - no supporter ID","")</f>
        <v/>
      </c>
      <c r="L162" s="21" t="str">
        <f ca="1">IF(tb2_CampaignResponses[[#This Row],[Response_Date]]&gt;TODAY(),"Review - future response date","")</f>
        <v/>
      </c>
    </row>
    <row r="163" spans="1:12" x14ac:dyDescent="0.25">
      <c r="A163" s="3" t="s">
        <v>3650</v>
      </c>
      <c r="B163" s="2" t="s">
        <v>156</v>
      </c>
      <c r="C163" s="2" t="s">
        <v>3362</v>
      </c>
      <c r="D163" s="2" t="s">
        <v>3363</v>
      </c>
      <c r="E163" s="2" t="s">
        <v>65</v>
      </c>
      <c r="F163" s="15">
        <v>45578</v>
      </c>
      <c r="G163" s="25">
        <v>21.22</v>
      </c>
      <c r="H163" s="2" t="s">
        <v>36</v>
      </c>
      <c r="I163" s="4" t="s">
        <v>3334</v>
      </c>
      <c r="J163" s="2" t="str">
        <f>IF(tb2_CampaignResponses[[#This Row],[Gift_Amount]]&lt;0,"Review - negative amount",IF(tb2_CampaignResponses[[#This Row],[Gift_Amount]]&gt;10000,"Review - unusually large donation",""))</f>
        <v/>
      </c>
      <c r="K163" s="21" t="str">
        <f>IF(tb2_CampaignResponses[[#This Row],[Supporter_ID]]="","Review - no supporter ID","")</f>
        <v/>
      </c>
      <c r="L163" s="21" t="str">
        <f ca="1">IF(tb2_CampaignResponses[[#This Row],[Response_Date]]&gt;TODAY(),"Review - future response date","")</f>
        <v/>
      </c>
    </row>
    <row r="164" spans="1:12" x14ac:dyDescent="0.25">
      <c r="A164" s="3" t="s">
        <v>3652</v>
      </c>
      <c r="B164" s="2" t="s">
        <v>1065</v>
      </c>
      <c r="C164" s="2" t="s">
        <v>3367</v>
      </c>
      <c r="D164" s="2" t="s">
        <v>3368</v>
      </c>
      <c r="E164" s="2" t="s">
        <v>65</v>
      </c>
      <c r="F164" s="15">
        <v>45744</v>
      </c>
      <c r="G164" s="25">
        <v>269.76</v>
      </c>
      <c r="H164" s="2" t="s">
        <v>36</v>
      </c>
      <c r="I164" s="4" t="s">
        <v>3370</v>
      </c>
      <c r="J164" s="2" t="str">
        <f>IF(tb2_CampaignResponses[[#This Row],[Gift_Amount]]&lt;0,"Review - negative amount",IF(tb2_CampaignResponses[[#This Row],[Gift_Amount]]&gt;10000,"Review - unusually large donation",""))</f>
        <v/>
      </c>
      <c r="K164" s="21" t="str">
        <f>IF(tb2_CampaignResponses[[#This Row],[Supporter_ID]]="","Review - no supporter ID","")</f>
        <v/>
      </c>
      <c r="L164" s="21" t="str">
        <f ca="1">IF(tb2_CampaignResponses[[#This Row],[Response_Date]]&gt;TODAY(),"Review - future response date","")</f>
        <v/>
      </c>
    </row>
    <row r="165" spans="1:12" x14ac:dyDescent="0.25">
      <c r="A165" s="3" t="s">
        <v>3654</v>
      </c>
      <c r="B165" s="2" t="s">
        <v>1749</v>
      </c>
      <c r="C165" s="2" t="s">
        <v>3325</v>
      </c>
      <c r="D165" s="2" t="s">
        <v>3326</v>
      </c>
      <c r="E165" s="2" t="s">
        <v>3338</v>
      </c>
      <c r="F165" s="15">
        <v>45639</v>
      </c>
      <c r="G165" s="25">
        <v>44.34</v>
      </c>
      <c r="H165" s="2" t="s">
        <v>36</v>
      </c>
      <c r="I165" s="4" t="s">
        <v>3370</v>
      </c>
      <c r="J165" s="2" t="str">
        <f>IF(tb2_CampaignResponses[[#This Row],[Gift_Amount]]&lt;0,"Review - negative amount",IF(tb2_CampaignResponses[[#This Row],[Gift_Amount]]&gt;10000,"Review - unusually large donation",""))</f>
        <v/>
      </c>
      <c r="K165" s="21" t="str">
        <f>IF(tb2_CampaignResponses[[#This Row],[Supporter_ID]]="","Review - no supporter ID","")</f>
        <v/>
      </c>
      <c r="L165" s="21" t="str">
        <f ca="1">IF(tb2_CampaignResponses[[#This Row],[Response_Date]]&gt;TODAY(),"Review - future response date","")</f>
        <v/>
      </c>
    </row>
    <row r="166" spans="1:12" x14ac:dyDescent="0.25">
      <c r="A166" s="3" t="s">
        <v>3656</v>
      </c>
      <c r="B166" s="2" t="s">
        <v>1161</v>
      </c>
      <c r="C166" s="2" t="s">
        <v>3320</v>
      </c>
      <c r="D166" s="2" t="s">
        <v>3321</v>
      </c>
      <c r="E166" s="2" t="s">
        <v>4</v>
      </c>
      <c r="F166" s="15">
        <v>45453</v>
      </c>
      <c r="G166" s="25">
        <v>133.04</v>
      </c>
      <c r="H166" s="2" t="s">
        <v>37</v>
      </c>
      <c r="I166" s="4" t="s">
        <v>3323</v>
      </c>
      <c r="J166" s="2" t="str">
        <f>IF(tb2_CampaignResponses[[#This Row],[Gift_Amount]]&lt;0,"Review - negative amount",IF(tb2_CampaignResponses[[#This Row],[Gift_Amount]]&gt;10000,"Review - unusually large donation",""))</f>
        <v/>
      </c>
      <c r="K166" s="21" t="str">
        <f>IF(tb2_CampaignResponses[[#This Row],[Supporter_ID]]="","Review - no supporter ID","")</f>
        <v/>
      </c>
      <c r="L166" s="21" t="str">
        <f ca="1">IF(tb2_CampaignResponses[[#This Row],[Response_Date]]&gt;TODAY(),"Review - future response date","")</f>
        <v/>
      </c>
    </row>
    <row r="167" spans="1:12" x14ac:dyDescent="0.25">
      <c r="A167" s="3" t="s">
        <v>3658</v>
      </c>
      <c r="B167" s="2" t="s">
        <v>1380</v>
      </c>
      <c r="C167" s="2" t="s">
        <v>3336</v>
      </c>
      <c r="D167" s="2" t="s">
        <v>3337</v>
      </c>
      <c r="E167" s="2" t="s">
        <v>3338</v>
      </c>
      <c r="F167" s="15">
        <v>45551</v>
      </c>
      <c r="G167" s="25">
        <v>57.35</v>
      </c>
      <c r="H167" s="2" t="s">
        <v>36</v>
      </c>
      <c r="I167" s="4" t="s">
        <v>3385</v>
      </c>
      <c r="J167" s="2" t="str">
        <f>IF(tb2_CampaignResponses[[#This Row],[Gift_Amount]]&lt;0,"Review - negative amount",IF(tb2_CampaignResponses[[#This Row],[Gift_Amount]]&gt;10000,"Review - unusually large donation",""))</f>
        <v/>
      </c>
      <c r="K167" s="21" t="str">
        <f>IF(tb2_CampaignResponses[[#This Row],[Supporter_ID]]="","Review - no supporter ID","")</f>
        <v/>
      </c>
      <c r="L167" s="21" t="str">
        <f ca="1">IF(tb2_CampaignResponses[[#This Row],[Response_Date]]&gt;TODAY(),"Review - future response date","")</f>
        <v/>
      </c>
    </row>
    <row r="168" spans="1:12" x14ac:dyDescent="0.25">
      <c r="A168" s="3" t="s">
        <v>3660</v>
      </c>
      <c r="B168" s="2" t="s">
        <v>38</v>
      </c>
      <c r="C168" s="2" t="s">
        <v>3314</v>
      </c>
      <c r="D168" s="2" t="s">
        <v>3315</v>
      </c>
      <c r="E168" s="2" t="s">
        <v>65</v>
      </c>
      <c r="F168" s="15">
        <v>45688</v>
      </c>
      <c r="G168" s="25">
        <v>13.14</v>
      </c>
      <c r="H168" s="2" t="s">
        <v>37</v>
      </c>
      <c r="I168" s="4" t="s">
        <v>3323</v>
      </c>
      <c r="J168" s="2" t="str">
        <f>IF(tb2_CampaignResponses[[#This Row],[Gift_Amount]]&lt;0,"Review - negative amount",IF(tb2_CampaignResponses[[#This Row],[Gift_Amount]]&gt;10000,"Review - unusually large donation",""))</f>
        <v/>
      </c>
      <c r="K168" s="21" t="str">
        <f>IF(tb2_CampaignResponses[[#This Row],[Supporter_ID]]="","Review - no supporter ID","")</f>
        <v/>
      </c>
      <c r="L168" s="21" t="str">
        <f ca="1">IF(tb2_CampaignResponses[[#This Row],[Response_Date]]&gt;TODAY(),"Review - future response date","")</f>
        <v/>
      </c>
    </row>
    <row r="169" spans="1:12" x14ac:dyDescent="0.25">
      <c r="A169" s="3" t="s">
        <v>3662</v>
      </c>
      <c r="B169" s="2" t="s">
        <v>1982</v>
      </c>
      <c r="C169" s="2" t="s">
        <v>3403</v>
      </c>
      <c r="D169" s="2" t="s">
        <v>3404</v>
      </c>
      <c r="E169" s="2" t="s">
        <v>65</v>
      </c>
      <c r="F169" s="15">
        <v>45623</v>
      </c>
      <c r="G169" s="25">
        <v>185.87</v>
      </c>
      <c r="H169" s="2" t="s">
        <v>36</v>
      </c>
      <c r="I169" s="4" t="s">
        <v>3328</v>
      </c>
      <c r="J169" s="2" t="str">
        <f>IF(tb2_CampaignResponses[[#This Row],[Gift_Amount]]&lt;0,"Review - negative amount",IF(tb2_CampaignResponses[[#This Row],[Gift_Amount]]&gt;10000,"Review - unusually large donation",""))</f>
        <v/>
      </c>
      <c r="K169" s="21" t="str">
        <f>IF(tb2_CampaignResponses[[#This Row],[Supporter_ID]]="","Review - no supporter ID","")</f>
        <v/>
      </c>
      <c r="L169" s="21" t="str">
        <f ca="1">IF(tb2_CampaignResponses[[#This Row],[Response_Date]]&gt;TODAY(),"Review - future response date","")</f>
        <v/>
      </c>
    </row>
    <row r="170" spans="1:12" x14ac:dyDescent="0.25">
      <c r="A170" s="3" t="s">
        <v>3664</v>
      </c>
      <c r="B170" s="2" t="s">
        <v>2813</v>
      </c>
      <c r="C170" s="2" t="s">
        <v>3325</v>
      </c>
      <c r="D170" s="2" t="s">
        <v>3326</v>
      </c>
      <c r="E170" s="2" t="s">
        <v>3316</v>
      </c>
      <c r="F170" s="15">
        <v>45657</v>
      </c>
      <c r="G170" s="25">
        <v>147.26</v>
      </c>
      <c r="H170" s="2" t="s">
        <v>36</v>
      </c>
      <c r="I170" s="4" t="s">
        <v>3323</v>
      </c>
      <c r="J170" s="2" t="str">
        <f>IF(tb2_CampaignResponses[[#This Row],[Gift_Amount]]&lt;0,"Review - negative amount",IF(tb2_CampaignResponses[[#This Row],[Gift_Amount]]&gt;10000,"Review - unusually large donation",""))</f>
        <v/>
      </c>
      <c r="K170" s="21" t="str">
        <f>IF(tb2_CampaignResponses[[#This Row],[Supporter_ID]]="","Review - no supporter ID","")</f>
        <v/>
      </c>
      <c r="L170" s="21" t="str">
        <f ca="1">IF(tb2_CampaignResponses[[#This Row],[Response_Date]]&gt;TODAY(),"Review - future response date","")</f>
        <v/>
      </c>
    </row>
    <row r="171" spans="1:12" x14ac:dyDescent="0.25">
      <c r="A171" s="3" t="s">
        <v>3666</v>
      </c>
      <c r="B171" s="2" t="s">
        <v>1077</v>
      </c>
      <c r="C171" s="2" t="s">
        <v>3367</v>
      </c>
      <c r="D171" s="2" t="s">
        <v>3368</v>
      </c>
      <c r="E171" s="2" t="s">
        <v>4</v>
      </c>
      <c r="F171" s="15">
        <v>45735</v>
      </c>
      <c r="G171" s="25">
        <v>71.28</v>
      </c>
      <c r="H171" s="2" t="s">
        <v>37</v>
      </c>
      <c r="I171" s="4" t="s">
        <v>3385</v>
      </c>
      <c r="J171" s="2" t="str">
        <f>IF(tb2_CampaignResponses[[#This Row],[Gift_Amount]]&lt;0,"Review - negative amount",IF(tb2_CampaignResponses[[#This Row],[Gift_Amount]]&gt;10000,"Review - unusually large donation",""))</f>
        <v/>
      </c>
      <c r="K171" s="21" t="str">
        <f>IF(tb2_CampaignResponses[[#This Row],[Supporter_ID]]="","Review - no supporter ID","")</f>
        <v/>
      </c>
      <c r="L171" s="21" t="str">
        <f ca="1">IF(tb2_CampaignResponses[[#This Row],[Response_Date]]&gt;TODAY(),"Review - future response date","")</f>
        <v/>
      </c>
    </row>
    <row r="172" spans="1:12" x14ac:dyDescent="0.25">
      <c r="A172" s="3" t="s">
        <v>3668</v>
      </c>
      <c r="B172" s="2" t="s">
        <v>2603</v>
      </c>
      <c r="C172" s="2" t="s">
        <v>3325</v>
      </c>
      <c r="D172" s="2" t="s">
        <v>3326</v>
      </c>
      <c r="E172" s="2" t="s">
        <v>4</v>
      </c>
      <c r="F172" s="15">
        <v>45622</v>
      </c>
      <c r="G172" s="25">
        <v>223.59</v>
      </c>
      <c r="H172" s="2" t="s">
        <v>37</v>
      </c>
      <c r="I172" s="4" t="s">
        <v>3328</v>
      </c>
      <c r="J172" s="2" t="str">
        <f>IF(tb2_CampaignResponses[[#This Row],[Gift_Amount]]&lt;0,"Review - negative amount",IF(tb2_CampaignResponses[[#This Row],[Gift_Amount]]&gt;10000,"Review - unusually large donation",""))</f>
        <v/>
      </c>
      <c r="K172" s="21" t="str">
        <f>IF(tb2_CampaignResponses[[#This Row],[Supporter_ID]]="","Review - no supporter ID","")</f>
        <v/>
      </c>
      <c r="L172" s="21" t="str">
        <f ca="1">IF(tb2_CampaignResponses[[#This Row],[Response_Date]]&gt;TODAY(),"Review - future response date","")</f>
        <v/>
      </c>
    </row>
    <row r="173" spans="1:12" x14ac:dyDescent="0.25">
      <c r="A173" s="3" t="s">
        <v>3670</v>
      </c>
      <c r="B173" s="2" t="s">
        <v>2644</v>
      </c>
      <c r="C173" s="2" t="s">
        <v>3314</v>
      </c>
      <c r="D173" s="2" t="s">
        <v>3315</v>
      </c>
      <c r="E173" s="2" t="s">
        <v>65</v>
      </c>
      <c r="F173" s="15">
        <v>45714</v>
      </c>
      <c r="G173" s="25">
        <v>23.03</v>
      </c>
      <c r="H173" s="2" t="s">
        <v>37</v>
      </c>
      <c r="I173" s="4" t="s">
        <v>3318</v>
      </c>
      <c r="J173" s="2" t="str">
        <f>IF(tb2_CampaignResponses[[#This Row],[Gift_Amount]]&lt;0,"Review - negative amount",IF(tb2_CampaignResponses[[#This Row],[Gift_Amount]]&gt;10000,"Review - unusually large donation",""))</f>
        <v/>
      </c>
      <c r="K173" s="21" t="str">
        <f>IF(tb2_CampaignResponses[[#This Row],[Supporter_ID]]="","Review - no supporter ID","")</f>
        <v/>
      </c>
      <c r="L173" s="21" t="str">
        <f ca="1">IF(tb2_CampaignResponses[[#This Row],[Response_Date]]&gt;TODAY(),"Review - future response date","")</f>
        <v/>
      </c>
    </row>
    <row r="174" spans="1:12" x14ac:dyDescent="0.25">
      <c r="A174" s="3" t="s">
        <v>3672</v>
      </c>
      <c r="B174" s="2" t="s">
        <v>106</v>
      </c>
      <c r="C174" s="2" t="s">
        <v>3320</v>
      </c>
      <c r="D174" s="2" t="s">
        <v>3321</v>
      </c>
      <c r="E174" s="2" t="s">
        <v>65</v>
      </c>
      <c r="F174" s="15">
        <v>45470</v>
      </c>
      <c r="G174" s="25">
        <v>19.95</v>
      </c>
      <c r="H174" s="2" t="s">
        <v>37</v>
      </c>
      <c r="I174" s="4" t="s">
        <v>3318</v>
      </c>
      <c r="J174" s="2" t="str">
        <f>IF(tb2_CampaignResponses[[#This Row],[Gift_Amount]]&lt;0,"Review - negative amount",IF(tb2_CampaignResponses[[#This Row],[Gift_Amount]]&gt;10000,"Review - unusually large donation",""))</f>
        <v/>
      </c>
      <c r="K174" s="21" t="str">
        <f>IF(tb2_CampaignResponses[[#This Row],[Supporter_ID]]="","Review - no supporter ID","")</f>
        <v/>
      </c>
      <c r="L174" s="21" t="str">
        <f ca="1">IF(tb2_CampaignResponses[[#This Row],[Response_Date]]&gt;TODAY(),"Review - future response date","")</f>
        <v/>
      </c>
    </row>
    <row r="175" spans="1:12" x14ac:dyDescent="0.25">
      <c r="A175" s="3" t="s">
        <v>3674</v>
      </c>
      <c r="B175" s="2" t="s">
        <v>2303</v>
      </c>
      <c r="C175" s="2" t="s">
        <v>3362</v>
      </c>
      <c r="D175" s="2" t="s">
        <v>3363</v>
      </c>
      <c r="E175" s="2" t="s">
        <v>65</v>
      </c>
      <c r="F175" s="15">
        <v>45577</v>
      </c>
      <c r="G175" s="25">
        <v>22.76</v>
      </c>
      <c r="H175" s="2" t="s">
        <v>37</v>
      </c>
      <c r="I175" s="4" t="s">
        <v>3331</v>
      </c>
      <c r="J175" s="2" t="str">
        <f>IF(tb2_CampaignResponses[[#This Row],[Gift_Amount]]&lt;0,"Review - negative amount",IF(tb2_CampaignResponses[[#This Row],[Gift_Amount]]&gt;10000,"Review - unusually large donation",""))</f>
        <v/>
      </c>
      <c r="K175" s="21" t="str">
        <f>IF(tb2_CampaignResponses[[#This Row],[Supporter_ID]]="","Review - no supporter ID","")</f>
        <v/>
      </c>
      <c r="L175" s="21" t="str">
        <f ca="1">IF(tb2_CampaignResponses[[#This Row],[Response_Date]]&gt;TODAY(),"Review - future response date","")</f>
        <v/>
      </c>
    </row>
    <row r="176" spans="1:12" x14ac:dyDescent="0.25">
      <c r="A176" s="3" t="s">
        <v>3675</v>
      </c>
      <c r="B176" s="2" t="s">
        <v>1053</v>
      </c>
      <c r="C176" s="2" t="s">
        <v>3427</v>
      </c>
      <c r="D176" s="2" t="s">
        <v>3428</v>
      </c>
      <c r="E176" s="2" t="s">
        <v>4</v>
      </c>
      <c r="F176" s="15">
        <v>45488</v>
      </c>
      <c r="G176" s="25">
        <v>61.53</v>
      </c>
      <c r="H176" s="2" t="s">
        <v>37</v>
      </c>
      <c r="I176" s="4" t="s">
        <v>3331</v>
      </c>
      <c r="J176" s="2" t="str">
        <f>IF(tb2_CampaignResponses[[#This Row],[Gift_Amount]]&lt;0,"Review - negative amount",IF(tb2_CampaignResponses[[#This Row],[Gift_Amount]]&gt;10000,"Review - unusually large donation",""))</f>
        <v/>
      </c>
      <c r="K176" s="21" t="str">
        <f>IF(tb2_CampaignResponses[[#This Row],[Supporter_ID]]="","Review - no supporter ID","")</f>
        <v/>
      </c>
      <c r="L176" s="21" t="str">
        <f ca="1">IF(tb2_CampaignResponses[[#This Row],[Response_Date]]&gt;TODAY(),"Review - future response date","")</f>
        <v/>
      </c>
    </row>
    <row r="177" spans="1:12" x14ac:dyDescent="0.25">
      <c r="A177" s="3" t="s">
        <v>3676</v>
      </c>
      <c r="B177" s="2" t="s">
        <v>1464</v>
      </c>
      <c r="C177" s="2" t="s">
        <v>3325</v>
      </c>
      <c r="D177" s="2" t="s">
        <v>3326</v>
      </c>
      <c r="E177" s="2" t="s">
        <v>65</v>
      </c>
      <c r="F177" s="15">
        <v>45602</v>
      </c>
      <c r="G177" s="25">
        <v>497.91</v>
      </c>
      <c r="H177" s="2" t="s">
        <v>36</v>
      </c>
      <c r="I177" s="4" t="s">
        <v>3365</v>
      </c>
      <c r="J177" s="2" t="str">
        <f>IF(tb2_CampaignResponses[[#This Row],[Gift_Amount]]&lt;0,"Review - negative amount",IF(tb2_CampaignResponses[[#This Row],[Gift_Amount]]&gt;10000,"Review - unusually large donation",""))</f>
        <v/>
      </c>
      <c r="K177" s="21" t="str">
        <f>IF(tb2_CampaignResponses[[#This Row],[Supporter_ID]]="","Review - no supporter ID","")</f>
        <v/>
      </c>
      <c r="L177" s="21" t="str">
        <f ca="1">IF(tb2_CampaignResponses[[#This Row],[Response_Date]]&gt;TODAY(),"Review - future response date","")</f>
        <v/>
      </c>
    </row>
    <row r="178" spans="1:12" x14ac:dyDescent="0.25">
      <c r="A178" s="3" t="s">
        <v>3677</v>
      </c>
      <c r="B178" s="2" t="s">
        <v>2621</v>
      </c>
      <c r="C178" s="2" t="s">
        <v>3325</v>
      </c>
      <c r="D178" s="2" t="s">
        <v>3326</v>
      </c>
      <c r="E178" s="2" t="s">
        <v>65</v>
      </c>
      <c r="F178" s="15">
        <v>45601</v>
      </c>
      <c r="G178" s="25">
        <v>335.22</v>
      </c>
      <c r="H178" s="2" t="s">
        <v>36</v>
      </c>
      <c r="I178" s="4" t="s">
        <v>3331</v>
      </c>
      <c r="J178" s="2" t="str">
        <f>IF(tb2_CampaignResponses[[#This Row],[Gift_Amount]]&lt;0,"Review - negative amount",IF(tb2_CampaignResponses[[#This Row],[Gift_Amount]]&gt;10000,"Review - unusually large donation",""))</f>
        <v/>
      </c>
      <c r="K178" s="21" t="str">
        <f>IF(tb2_CampaignResponses[[#This Row],[Supporter_ID]]="","Review - no supporter ID","")</f>
        <v/>
      </c>
      <c r="L178" s="21" t="str">
        <f ca="1">IF(tb2_CampaignResponses[[#This Row],[Response_Date]]&gt;TODAY(),"Review - future response date","")</f>
        <v/>
      </c>
    </row>
    <row r="179" spans="1:12" x14ac:dyDescent="0.25">
      <c r="A179" s="3" t="s">
        <v>3679</v>
      </c>
      <c r="B179" s="2" t="s">
        <v>2053</v>
      </c>
      <c r="C179" s="2" t="s">
        <v>3325</v>
      </c>
      <c r="D179" s="2" t="s">
        <v>3326</v>
      </c>
      <c r="E179" s="2" t="s">
        <v>3316</v>
      </c>
      <c r="F179" s="15">
        <v>45639</v>
      </c>
      <c r="G179" s="25">
        <v>55.3</v>
      </c>
      <c r="H179" s="2" t="s">
        <v>36</v>
      </c>
      <c r="I179" s="4" t="s">
        <v>3331</v>
      </c>
      <c r="J179" s="2" t="str">
        <f>IF(tb2_CampaignResponses[[#This Row],[Gift_Amount]]&lt;0,"Review - negative amount",IF(tb2_CampaignResponses[[#This Row],[Gift_Amount]]&gt;10000,"Review - unusually large donation",""))</f>
        <v/>
      </c>
      <c r="K179" s="21" t="str">
        <f>IF(tb2_CampaignResponses[[#This Row],[Supporter_ID]]="","Review - no supporter ID","")</f>
        <v/>
      </c>
      <c r="L179" s="21" t="str">
        <f ca="1">IF(tb2_CampaignResponses[[#This Row],[Response_Date]]&gt;TODAY(),"Review - future response date","")</f>
        <v/>
      </c>
    </row>
    <row r="180" spans="1:12" x14ac:dyDescent="0.25">
      <c r="A180" s="3" t="s">
        <v>3680</v>
      </c>
      <c r="B180" s="2" t="s">
        <v>245</v>
      </c>
      <c r="C180" s="2" t="s">
        <v>3427</v>
      </c>
      <c r="D180" s="2" t="s">
        <v>3428</v>
      </c>
      <c r="E180" s="2" t="s">
        <v>65</v>
      </c>
      <c r="F180" s="15">
        <v>45488</v>
      </c>
      <c r="G180" s="25">
        <v>55.8</v>
      </c>
      <c r="H180" s="2" t="s">
        <v>37</v>
      </c>
      <c r="I180" s="4" t="s">
        <v>3323</v>
      </c>
      <c r="J180" s="2" t="str">
        <f>IF(tb2_CampaignResponses[[#This Row],[Gift_Amount]]&lt;0,"Review - negative amount",IF(tb2_CampaignResponses[[#This Row],[Gift_Amount]]&gt;10000,"Review - unusually large donation",""))</f>
        <v/>
      </c>
      <c r="K180" s="21" t="str">
        <f>IF(tb2_CampaignResponses[[#This Row],[Supporter_ID]]="","Review - no supporter ID","")</f>
        <v/>
      </c>
      <c r="L180" s="21" t="str">
        <f ca="1">IF(tb2_CampaignResponses[[#This Row],[Response_Date]]&gt;TODAY(),"Review - future response date","")</f>
        <v/>
      </c>
    </row>
    <row r="181" spans="1:12" x14ac:dyDescent="0.25">
      <c r="A181" s="3" t="s">
        <v>3682</v>
      </c>
      <c r="B181" s="2" t="s">
        <v>1778</v>
      </c>
      <c r="C181" s="2" t="s">
        <v>3354</v>
      </c>
      <c r="D181" s="2" t="s">
        <v>3355</v>
      </c>
      <c r="E181" s="2" t="s">
        <v>4</v>
      </c>
      <c r="F181" s="15">
        <v>45618</v>
      </c>
      <c r="G181" s="25">
        <v>100.16</v>
      </c>
      <c r="H181" s="2" t="s">
        <v>36</v>
      </c>
      <c r="I181" s="4" t="s">
        <v>3328</v>
      </c>
      <c r="J181" s="2" t="str">
        <f>IF(tb2_CampaignResponses[[#This Row],[Gift_Amount]]&lt;0,"Review - negative amount",IF(tb2_CampaignResponses[[#This Row],[Gift_Amount]]&gt;10000,"Review - unusually large donation",""))</f>
        <v/>
      </c>
      <c r="K181" s="21" t="str">
        <f>IF(tb2_CampaignResponses[[#This Row],[Supporter_ID]]="","Review - no supporter ID","")</f>
        <v/>
      </c>
      <c r="L181" s="21" t="str">
        <f ca="1">IF(tb2_CampaignResponses[[#This Row],[Response_Date]]&gt;TODAY(),"Review - future response date","")</f>
        <v/>
      </c>
    </row>
    <row r="182" spans="1:12" x14ac:dyDescent="0.25">
      <c r="A182" s="3" t="s">
        <v>3683</v>
      </c>
      <c r="B182" s="2" t="s">
        <v>2568</v>
      </c>
      <c r="C182" s="2" t="s">
        <v>3367</v>
      </c>
      <c r="D182" s="2" t="s">
        <v>3368</v>
      </c>
      <c r="E182" s="2" t="s">
        <v>4</v>
      </c>
      <c r="F182" s="15">
        <v>45745</v>
      </c>
      <c r="G182" s="25">
        <v>65.34</v>
      </c>
      <c r="H182" s="2" t="s">
        <v>37</v>
      </c>
      <c r="I182" s="4" t="s">
        <v>3365</v>
      </c>
      <c r="J182" s="2" t="str">
        <f>IF(tb2_CampaignResponses[[#This Row],[Gift_Amount]]&lt;0,"Review - negative amount",IF(tb2_CampaignResponses[[#This Row],[Gift_Amount]]&gt;10000,"Review - unusually large donation",""))</f>
        <v/>
      </c>
      <c r="K182" s="21" t="str">
        <f>IF(tb2_CampaignResponses[[#This Row],[Supporter_ID]]="","Review - no supporter ID","")</f>
        <v/>
      </c>
      <c r="L182" s="21" t="str">
        <f ca="1">IF(tb2_CampaignResponses[[#This Row],[Response_Date]]&gt;TODAY(),"Review - future response date","")</f>
        <v/>
      </c>
    </row>
    <row r="183" spans="1:12" x14ac:dyDescent="0.25">
      <c r="A183" s="3" t="s">
        <v>3685</v>
      </c>
      <c r="B183" s="2" t="s">
        <v>1631</v>
      </c>
      <c r="C183" s="2" t="s">
        <v>3325</v>
      </c>
      <c r="D183" s="2" t="s">
        <v>3326</v>
      </c>
      <c r="E183" s="2" t="s">
        <v>65</v>
      </c>
      <c r="F183" s="15">
        <v>45621</v>
      </c>
      <c r="G183" s="25">
        <v>14.46</v>
      </c>
      <c r="H183" s="2" t="s">
        <v>37</v>
      </c>
      <c r="I183" s="4" t="s">
        <v>3370</v>
      </c>
      <c r="J183" s="2" t="str">
        <f>IF(tb2_CampaignResponses[[#This Row],[Gift_Amount]]&lt;0,"Review - negative amount",IF(tb2_CampaignResponses[[#This Row],[Gift_Amount]]&gt;10000,"Review - unusually large donation",""))</f>
        <v/>
      </c>
      <c r="K183" s="21" t="str">
        <f>IF(tb2_CampaignResponses[[#This Row],[Supporter_ID]]="","Review - no supporter ID","")</f>
        <v/>
      </c>
      <c r="L183" s="21" t="str">
        <f ca="1">IF(tb2_CampaignResponses[[#This Row],[Response_Date]]&gt;TODAY(),"Review - future response date","")</f>
        <v/>
      </c>
    </row>
    <row r="184" spans="1:12" x14ac:dyDescent="0.25">
      <c r="A184" s="3" t="s">
        <v>3687</v>
      </c>
      <c r="B184" s="2" t="s">
        <v>2303</v>
      </c>
      <c r="C184" s="2" t="s">
        <v>3314</v>
      </c>
      <c r="D184" s="2" t="s">
        <v>3315</v>
      </c>
      <c r="E184" s="2" t="s">
        <v>3316</v>
      </c>
      <c r="F184" s="15">
        <v>45704</v>
      </c>
      <c r="G184" s="25">
        <v>27.11</v>
      </c>
      <c r="H184" s="2" t="s">
        <v>36</v>
      </c>
      <c r="I184" s="4" t="s">
        <v>3318</v>
      </c>
      <c r="J184" s="2" t="str">
        <f>IF(tb2_CampaignResponses[[#This Row],[Gift_Amount]]&lt;0,"Review - negative amount",IF(tb2_CampaignResponses[[#This Row],[Gift_Amount]]&gt;10000,"Review - unusually large donation",""))</f>
        <v/>
      </c>
      <c r="K184" s="21" t="str">
        <f>IF(tb2_CampaignResponses[[#This Row],[Supporter_ID]]="","Review - no supporter ID","")</f>
        <v/>
      </c>
      <c r="L184" s="21" t="str">
        <f ca="1">IF(tb2_CampaignResponses[[#This Row],[Response_Date]]&gt;TODAY(),"Review - future response date","")</f>
        <v/>
      </c>
    </row>
    <row r="185" spans="1:12" x14ac:dyDescent="0.25">
      <c r="A185" s="3" t="s">
        <v>3689</v>
      </c>
      <c r="B185" s="2" t="s">
        <v>2735</v>
      </c>
      <c r="C185" s="2" t="s">
        <v>3336</v>
      </c>
      <c r="D185" s="2" t="s">
        <v>3337</v>
      </c>
      <c r="E185" s="2" t="s">
        <v>4</v>
      </c>
      <c r="F185" s="15">
        <v>45578</v>
      </c>
      <c r="G185" s="25">
        <v>4033.79</v>
      </c>
      <c r="H185" s="2" t="s">
        <v>36</v>
      </c>
      <c r="I185" s="4" t="s">
        <v>3331</v>
      </c>
      <c r="J185" s="2" t="str">
        <f>IF(tb2_CampaignResponses[[#This Row],[Gift_Amount]]&lt;0,"Review - negative amount",IF(tb2_CampaignResponses[[#This Row],[Gift_Amount]]&gt;10000,"Review - unusually large donation",""))</f>
        <v/>
      </c>
      <c r="K185" s="21" t="str">
        <f>IF(tb2_CampaignResponses[[#This Row],[Supporter_ID]]="","Review - no supporter ID","")</f>
        <v/>
      </c>
      <c r="L185" s="21" t="str">
        <f ca="1">IF(tb2_CampaignResponses[[#This Row],[Response_Date]]&gt;TODAY(),"Review - future response date","")</f>
        <v/>
      </c>
    </row>
    <row r="186" spans="1:12" x14ac:dyDescent="0.25">
      <c r="A186" s="3" t="s">
        <v>3691</v>
      </c>
      <c r="B186" s="2" t="s">
        <v>3193</v>
      </c>
      <c r="C186" s="2" t="s">
        <v>3320</v>
      </c>
      <c r="D186" s="2" t="s">
        <v>3321</v>
      </c>
      <c r="E186" s="2" t="s">
        <v>65</v>
      </c>
      <c r="F186" s="15">
        <v>45462</v>
      </c>
      <c r="G186" s="25">
        <v>21.2</v>
      </c>
      <c r="H186" s="2" t="s">
        <v>36</v>
      </c>
      <c r="I186" s="4" t="s">
        <v>3331</v>
      </c>
      <c r="J186" s="2" t="str">
        <f>IF(tb2_CampaignResponses[[#This Row],[Gift_Amount]]&lt;0,"Review - negative amount",IF(tb2_CampaignResponses[[#This Row],[Gift_Amount]]&gt;10000,"Review - unusually large donation",""))</f>
        <v/>
      </c>
      <c r="K186" s="21" t="str">
        <f>IF(tb2_CampaignResponses[[#This Row],[Supporter_ID]]="","Review - no supporter ID","")</f>
        <v/>
      </c>
      <c r="L186" s="21" t="str">
        <f ca="1">IF(tb2_CampaignResponses[[#This Row],[Response_Date]]&gt;TODAY(),"Review - future response date","")</f>
        <v/>
      </c>
    </row>
    <row r="187" spans="1:12" x14ac:dyDescent="0.25">
      <c r="A187" s="3" t="s">
        <v>3693</v>
      </c>
      <c r="B187" s="2" t="s">
        <v>2332</v>
      </c>
      <c r="C187" s="2" t="s">
        <v>3336</v>
      </c>
      <c r="D187" s="2" t="s">
        <v>3337</v>
      </c>
      <c r="E187" s="2" t="s">
        <v>3316</v>
      </c>
      <c r="F187" s="15">
        <v>45557</v>
      </c>
      <c r="G187" s="25">
        <v>146.19999999999999</v>
      </c>
      <c r="H187" s="2" t="s">
        <v>37</v>
      </c>
      <c r="I187" s="4" t="s">
        <v>3328</v>
      </c>
      <c r="J187" s="2" t="str">
        <f>IF(tb2_CampaignResponses[[#This Row],[Gift_Amount]]&lt;0,"Review - negative amount",IF(tb2_CampaignResponses[[#This Row],[Gift_Amount]]&gt;10000,"Review - unusually large donation",""))</f>
        <v/>
      </c>
      <c r="K187" s="21" t="str">
        <f>IF(tb2_CampaignResponses[[#This Row],[Supporter_ID]]="","Review - no supporter ID","")</f>
        <v/>
      </c>
      <c r="L187" s="21" t="str">
        <f ca="1">IF(tb2_CampaignResponses[[#This Row],[Response_Date]]&gt;TODAY(),"Review - future response date","")</f>
        <v/>
      </c>
    </row>
    <row r="188" spans="1:12" x14ac:dyDescent="0.25">
      <c r="A188" s="3" t="s">
        <v>3695</v>
      </c>
      <c r="B188" s="2" t="s">
        <v>1755</v>
      </c>
      <c r="C188" s="2" t="s">
        <v>3403</v>
      </c>
      <c r="D188" s="2" t="s">
        <v>3404</v>
      </c>
      <c r="E188" s="2" t="s">
        <v>4</v>
      </c>
      <c r="F188" s="15">
        <v>45610</v>
      </c>
      <c r="G188" s="25">
        <v>18.84</v>
      </c>
      <c r="H188" s="2" t="s">
        <v>36</v>
      </c>
      <c r="I188" s="4" t="s">
        <v>3323</v>
      </c>
      <c r="J188" s="2" t="str">
        <f>IF(tb2_CampaignResponses[[#This Row],[Gift_Amount]]&lt;0,"Review - negative amount",IF(tb2_CampaignResponses[[#This Row],[Gift_Amount]]&gt;10000,"Review - unusually large donation",""))</f>
        <v/>
      </c>
      <c r="K188" s="21" t="str">
        <f>IF(tb2_CampaignResponses[[#This Row],[Supporter_ID]]="","Review - no supporter ID","")</f>
        <v/>
      </c>
      <c r="L188" s="21" t="str">
        <f ca="1">IF(tb2_CampaignResponses[[#This Row],[Response_Date]]&gt;TODAY(),"Review - future response date","")</f>
        <v/>
      </c>
    </row>
    <row r="189" spans="1:12" x14ac:dyDescent="0.25">
      <c r="A189" s="3" t="s">
        <v>3697</v>
      </c>
      <c r="B189" s="2" t="s">
        <v>323</v>
      </c>
      <c r="C189" s="2" t="s">
        <v>3427</v>
      </c>
      <c r="D189" s="2" t="s">
        <v>3428</v>
      </c>
      <c r="E189" s="2" t="s">
        <v>4</v>
      </c>
      <c r="F189" s="15">
        <v>45488</v>
      </c>
      <c r="G189" s="25">
        <v>4729.3599999999997</v>
      </c>
      <c r="H189" s="2" t="s">
        <v>36</v>
      </c>
      <c r="I189" s="4" t="s">
        <v>3323</v>
      </c>
      <c r="J189" s="2" t="str">
        <f>IF(tb2_CampaignResponses[[#This Row],[Gift_Amount]]&lt;0,"Review - negative amount",IF(tb2_CampaignResponses[[#This Row],[Gift_Amount]]&gt;10000,"Review - unusually large donation",""))</f>
        <v/>
      </c>
      <c r="K189" s="21" t="str">
        <f>IF(tb2_CampaignResponses[[#This Row],[Supporter_ID]]="","Review - no supporter ID","")</f>
        <v/>
      </c>
      <c r="L189" s="21" t="str">
        <f ca="1">IF(tb2_CampaignResponses[[#This Row],[Response_Date]]&gt;TODAY(),"Review - future response date","")</f>
        <v/>
      </c>
    </row>
    <row r="190" spans="1:12" x14ac:dyDescent="0.25">
      <c r="A190" s="3" t="s">
        <v>3699</v>
      </c>
      <c r="B190" s="2" t="s">
        <v>391</v>
      </c>
      <c r="C190" s="2" t="s">
        <v>3341</v>
      </c>
      <c r="D190" s="2" t="s">
        <v>3342</v>
      </c>
      <c r="E190" s="2" t="s">
        <v>91</v>
      </c>
      <c r="F190" s="15">
        <v>45751</v>
      </c>
      <c r="G190" s="25">
        <v>4228.91</v>
      </c>
      <c r="H190" s="2" t="s">
        <v>36</v>
      </c>
      <c r="I190" s="4" t="s">
        <v>3331</v>
      </c>
      <c r="J190" s="2" t="str">
        <f>IF(tb2_CampaignResponses[[#This Row],[Gift_Amount]]&lt;0,"Review - negative amount",IF(tb2_CampaignResponses[[#This Row],[Gift_Amount]]&gt;10000,"Review - unusually large donation",""))</f>
        <v/>
      </c>
      <c r="K190" s="21" t="str">
        <f>IF(tb2_CampaignResponses[[#This Row],[Supporter_ID]]="","Review - no supporter ID","")</f>
        <v/>
      </c>
      <c r="L190" s="21" t="str">
        <f ca="1">IF(tb2_CampaignResponses[[#This Row],[Response_Date]]&gt;TODAY(),"Review - future response date","")</f>
        <v/>
      </c>
    </row>
    <row r="191" spans="1:12" x14ac:dyDescent="0.25">
      <c r="A191" s="3" t="s">
        <v>3701</v>
      </c>
      <c r="B191" s="2" t="s">
        <v>2011</v>
      </c>
      <c r="C191" s="2" t="s">
        <v>3314</v>
      </c>
      <c r="D191" s="2" t="s">
        <v>3315</v>
      </c>
      <c r="E191" s="2" t="s">
        <v>3316</v>
      </c>
      <c r="F191" s="15">
        <v>45679</v>
      </c>
      <c r="G191" s="25">
        <v>46.46</v>
      </c>
      <c r="H191" s="2" t="s">
        <v>36</v>
      </c>
      <c r="I191" s="4" t="s">
        <v>3331</v>
      </c>
      <c r="J191" s="2" t="str">
        <f>IF(tb2_CampaignResponses[[#This Row],[Gift_Amount]]&lt;0,"Review - negative amount",IF(tb2_CampaignResponses[[#This Row],[Gift_Amount]]&gt;10000,"Review - unusually large donation",""))</f>
        <v/>
      </c>
      <c r="K191" s="21" t="str">
        <f>IF(tb2_CampaignResponses[[#This Row],[Supporter_ID]]="","Review - no supporter ID","")</f>
        <v/>
      </c>
      <c r="L191" s="21" t="str">
        <f ca="1">IF(tb2_CampaignResponses[[#This Row],[Response_Date]]&gt;TODAY(),"Review - future response date","")</f>
        <v/>
      </c>
    </row>
    <row r="192" spans="1:12" x14ac:dyDescent="0.25">
      <c r="A192" s="3" t="s">
        <v>3703</v>
      </c>
      <c r="B192" s="2" t="s">
        <v>1410</v>
      </c>
      <c r="C192" s="2" t="s">
        <v>3320</v>
      </c>
      <c r="D192" s="2" t="s">
        <v>3321</v>
      </c>
      <c r="E192" s="2" t="s">
        <v>65</v>
      </c>
      <c r="F192" s="15">
        <v>45470</v>
      </c>
      <c r="G192" s="25">
        <v>390.11</v>
      </c>
      <c r="H192" s="2" t="s">
        <v>36</v>
      </c>
      <c r="I192" s="4" t="s">
        <v>3323</v>
      </c>
      <c r="J192" s="2" t="str">
        <f>IF(tb2_CampaignResponses[[#This Row],[Gift_Amount]]&lt;0,"Review - negative amount",IF(tb2_CampaignResponses[[#This Row],[Gift_Amount]]&gt;10000,"Review - unusually large donation",""))</f>
        <v/>
      </c>
      <c r="K192" s="21" t="str">
        <f>IF(tb2_CampaignResponses[[#This Row],[Supporter_ID]]="","Review - no supporter ID","")</f>
        <v/>
      </c>
      <c r="L192" s="21" t="str">
        <f ca="1">IF(tb2_CampaignResponses[[#This Row],[Response_Date]]&gt;TODAY(),"Review - future response date","")</f>
        <v/>
      </c>
    </row>
    <row r="193" spans="1:12" x14ac:dyDescent="0.25">
      <c r="A193" s="3" t="s">
        <v>3705</v>
      </c>
      <c r="B193" s="2" t="s">
        <v>2483</v>
      </c>
      <c r="C193" s="2" t="s">
        <v>3403</v>
      </c>
      <c r="D193" s="2" t="s">
        <v>3404</v>
      </c>
      <c r="E193" s="2" t="s">
        <v>65</v>
      </c>
      <c r="F193" s="15">
        <v>45594</v>
      </c>
      <c r="G193" s="25">
        <v>12.57</v>
      </c>
      <c r="H193" s="2" t="s">
        <v>36</v>
      </c>
      <c r="I193" s="4" t="s">
        <v>3318</v>
      </c>
      <c r="J193" s="2" t="str">
        <f>IF(tb2_CampaignResponses[[#This Row],[Gift_Amount]]&lt;0,"Review - negative amount",IF(tb2_CampaignResponses[[#This Row],[Gift_Amount]]&gt;10000,"Review - unusually large donation",""))</f>
        <v/>
      </c>
      <c r="K193" s="21" t="str">
        <f>IF(tb2_CampaignResponses[[#This Row],[Supporter_ID]]="","Review - no supporter ID","")</f>
        <v/>
      </c>
      <c r="L193" s="21" t="str">
        <f ca="1">IF(tb2_CampaignResponses[[#This Row],[Response_Date]]&gt;TODAY(),"Review - future response date","")</f>
        <v/>
      </c>
    </row>
    <row r="194" spans="1:12" x14ac:dyDescent="0.25">
      <c r="A194" s="3" t="s">
        <v>3706</v>
      </c>
      <c r="B194" s="2" t="s">
        <v>2538</v>
      </c>
      <c r="C194" s="2" t="s">
        <v>3320</v>
      </c>
      <c r="D194" s="2" t="s">
        <v>3321</v>
      </c>
      <c r="E194" s="2" t="s">
        <v>4</v>
      </c>
      <c r="F194" s="15">
        <v>45464</v>
      </c>
      <c r="G194" s="25">
        <v>78.67</v>
      </c>
      <c r="H194" s="2" t="s">
        <v>36</v>
      </c>
      <c r="I194" s="4" t="s">
        <v>3385</v>
      </c>
      <c r="J194" s="2" t="str">
        <f>IF(tb2_CampaignResponses[[#This Row],[Gift_Amount]]&lt;0,"Review - negative amount",IF(tb2_CampaignResponses[[#This Row],[Gift_Amount]]&gt;10000,"Review - unusually large donation",""))</f>
        <v/>
      </c>
      <c r="K194" s="21" t="str">
        <f>IF(tb2_CampaignResponses[[#This Row],[Supporter_ID]]="","Review - no supporter ID","")</f>
        <v/>
      </c>
      <c r="L194" s="21" t="str">
        <f ca="1">IF(tb2_CampaignResponses[[#This Row],[Response_Date]]&gt;TODAY(),"Review - future response date","")</f>
        <v/>
      </c>
    </row>
    <row r="195" spans="1:12" x14ac:dyDescent="0.25">
      <c r="A195" s="3" t="s">
        <v>3708</v>
      </c>
      <c r="B195" s="2" t="s">
        <v>3043</v>
      </c>
      <c r="C195" s="2" t="s">
        <v>3367</v>
      </c>
      <c r="D195" s="2" t="s">
        <v>3368</v>
      </c>
      <c r="E195" s="2" t="s">
        <v>65</v>
      </c>
      <c r="F195" s="15">
        <v>45766</v>
      </c>
      <c r="G195" s="25">
        <v>135.06</v>
      </c>
      <c r="H195" s="2" t="s">
        <v>36</v>
      </c>
      <c r="I195" s="4" t="s">
        <v>3328</v>
      </c>
      <c r="J195" s="2" t="str">
        <f>IF(tb2_CampaignResponses[[#This Row],[Gift_Amount]]&lt;0,"Review - negative amount",IF(tb2_CampaignResponses[[#This Row],[Gift_Amount]]&gt;10000,"Review - unusually large donation",""))</f>
        <v/>
      </c>
      <c r="K195" s="21" t="str">
        <f>IF(tb2_CampaignResponses[[#This Row],[Supporter_ID]]="","Review - no supporter ID","")</f>
        <v/>
      </c>
      <c r="L195" s="21" t="str">
        <f ca="1">IF(tb2_CampaignResponses[[#This Row],[Response_Date]]&gt;TODAY(),"Review - future response date","")</f>
        <v/>
      </c>
    </row>
    <row r="196" spans="1:12" x14ac:dyDescent="0.25">
      <c r="A196" s="3" t="s">
        <v>3711</v>
      </c>
      <c r="B196" s="2" t="s">
        <v>487</v>
      </c>
      <c r="C196" s="2" t="s">
        <v>3325</v>
      </c>
      <c r="D196" s="2" t="s">
        <v>3326</v>
      </c>
      <c r="E196" s="2" t="s">
        <v>3316</v>
      </c>
      <c r="F196" s="15">
        <v>45650</v>
      </c>
      <c r="G196" s="25">
        <v>50000</v>
      </c>
      <c r="H196" s="2" t="s">
        <v>37</v>
      </c>
      <c r="I196" s="4" t="s">
        <v>3365</v>
      </c>
      <c r="J196" s="2" t="str">
        <f>IF(tb2_CampaignResponses[[#This Row],[Gift_Amount]]&lt;0,"Review - negative amount",IF(tb2_CampaignResponses[[#This Row],[Gift_Amount]]&gt;10000,"Review - unusually large donation",""))</f>
        <v>Review - unusually large donation</v>
      </c>
      <c r="K196" s="21" t="str">
        <f>IF(tb2_CampaignResponses[[#This Row],[Supporter_ID]]="","Review - no supporter ID","")</f>
        <v/>
      </c>
      <c r="L196" s="21" t="str">
        <f ca="1">IF(tb2_CampaignResponses[[#This Row],[Response_Date]]&gt;TODAY(),"Review - future response date","")</f>
        <v/>
      </c>
    </row>
    <row r="197" spans="1:12" x14ac:dyDescent="0.25">
      <c r="A197" s="3" t="s">
        <v>3713</v>
      </c>
      <c r="B197" s="2" t="s">
        <v>1192</v>
      </c>
      <c r="C197" s="2" t="s">
        <v>3427</v>
      </c>
      <c r="D197" s="2" t="s">
        <v>3428</v>
      </c>
      <c r="E197" s="2" t="s">
        <v>65</v>
      </c>
      <c r="F197" s="15">
        <v>45488</v>
      </c>
      <c r="G197" s="25">
        <v>239.13</v>
      </c>
      <c r="H197" s="2" t="s">
        <v>36</v>
      </c>
      <c r="I197" s="4" t="s">
        <v>3331</v>
      </c>
      <c r="J197" s="2" t="str">
        <f>IF(tb2_CampaignResponses[[#This Row],[Gift_Amount]]&lt;0,"Review - negative amount",IF(tb2_CampaignResponses[[#This Row],[Gift_Amount]]&gt;10000,"Review - unusually large donation",""))</f>
        <v/>
      </c>
      <c r="K197" s="21" t="str">
        <f>IF(tb2_CampaignResponses[[#This Row],[Supporter_ID]]="","Review - no supporter ID","")</f>
        <v/>
      </c>
      <c r="L197" s="21" t="str">
        <f ca="1">IF(tb2_CampaignResponses[[#This Row],[Response_Date]]&gt;TODAY(),"Review - future response date","")</f>
        <v/>
      </c>
    </row>
    <row r="198" spans="1:12" x14ac:dyDescent="0.25">
      <c r="A198" s="3" t="s">
        <v>3714</v>
      </c>
      <c r="B198" s="2" t="s">
        <v>1643</v>
      </c>
      <c r="C198" s="2" t="s">
        <v>3325</v>
      </c>
      <c r="D198" s="2" t="s">
        <v>3326</v>
      </c>
      <c r="E198" s="2" t="s">
        <v>65</v>
      </c>
      <c r="F198" s="15">
        <v>46208</v>
      </c>
      <c r="G198" s="25">
        <v>589.96</v>
      </c>
      <c r="H198" s="2" t="s">
        <v>36</v>
      </c>
      <c r="I198" s="4" t="s">
        <v>3318</v>
      </c>
      <c r="J198" s="2" t="str">
        <f>IF(tb2_CampaignResponses[[#This Row],[Gift_Amount]]&lt;0,"Review - negative amount",IF(tb2_CampaignResponses[[#This Row],[Gift_Amount]]&gt;10000,"Review - unusually large donation",""))</f>
        <v/>
      </c>
      <c r="K198" s="21" t="str">
        <f>IF(tb2_CampaignResponses[[#This Row],[Supporter_ID]]="","Review - no supporter ID","")</f>
        <v/>
      </c>
      <c r="L198" s="21" t="str">
        <f ca="1">IF(tb2_CampaignResponses[[#This Row],[Response_Date]]&gt;TODAY(),"Review - future response date","")</f>
        <v>Review - future response date</v>
      </c>
    </row>
    <row r="199" spans="1:12" x14ac:dyDescent="0.25">
      <c r="A199" s="3" t="s">
        <v>3716</v>
      </c>
      <c r="B199" s="2" t="s">
        <v>38</v>
      </c>
      <c r="C199" s="2" t="s">
        <v>3336</v>
      </c>
      <c r="D199" s="2" t="s">
        <v>3337</v>
      </c>
      <c r="E199" s="2" t="s">
        <v>65</v>
      </c>
      <c r="F199" s="15">
        <v>45569</v>
      </c>
      <c r="G199" s="25">
        <v>28.76</v>
      </c>
      <c r="H199" s="2" t="s">
        <v>36</v>
      </c>
      <c r="I199" s="4" t="s">
        <v>3334</v>
      </c>
      <c r="J199" s="2" t="str">
        <f>IF(tb2_CampaignResponses[[#This Row],[Gift_Amount]]&lt;0,"Review - negative amount",IF(tb2_CampaignResponses[[#This Row],[Gift_Amount]]&gt;10000,"Review - unusually large donation",""))</f>
        <v/>
      </c>
      <c r="K199" s="21" t="str">
        <f>IF(tb2_CampaignResponses[[#This Row],[Supporter_ID]]="","Review - no supporter ID","")</f>
        <v/>
      </c>
      <c r="L199" s="21" t="str">
        <f ca="1">IF(tb2_CampaignResponses[[#This Row],[Response_Date]]&gt;TODAY(),"Review - future response date","")</f>
        <v/>
      </c>
    </row>
    <row r="200" spans="1:12" x14ac:dyDescent="0.25">
      <c r="A200" s="3" t="s">
        <v>3718</v>
      </c>
      <c r="B200" s="2" t="s">
        <v>3290</v>
      </c>
      <c r="C200" s="2" t="s">
        <v>3403</v>
      </c>
      <c r="D200" s="2" t="s">
        <v>3404</v>
      </c>
      <c r="E200" s="2" t="s">
        <v>4</v>
      </c>
      <c r="F200" s="15">
        <v>45583</v>
      </c>
      <c r="G200" s="25">
        <v>126.59</v>
      </c>
      <c r="H200" s="2" t="s">
        <v>37</v>
      </c>
      <c r="I200" s="4" t="s">
        <v>3385</v>
      </c>
      <c r="J200" s="2" t="str">
        <f>IF(tb2_CampaignResponses[[#This Row],[Gift_Amount]]&lt;0,"Review - negative amount",IF(tb2_CampaignResponses[[#This Row],[Gift_Amount]]&gt;10000,"Review - unusually large donation",""))</f>
        <v/>
      </c>
      <c r="K200" s="21" t="str">
        <f>IF(tb2_CampaignResponses[[#This Row],[Supporter_ID]]="","Review - no supporter ID","")</f>
        <v/>
      </c>
      <c r="L200" s="21" t="str">
        <f ca="1">IF(tb2_CampaignResponses[[#This Row],[Response_Date]]&gt;TODAY(),"Review - future response date","")</f>
        <v/>
      </c>
    </row>
    <row r="201" spans="1:12" x14ac:dyDescent="0.25">
      <c r="A201" s="3" t="s">
        <v>3720</v>
      </c>
      <c r="B201" s="2" t="s">
        <v>1567</v>
      </c>
      <c r="C201" s="2" t="s">
        <v>3427</v>
      </c>
      <c r="D201" s="2" t="s">
        <v>3428</v>
      </c>
      <c r="E201" s="2" t="s">
        <v>4</v>
      </c>
      <c r="F201" s="15">
        <v>45488</v>
      </c>
      <c r="G201" s="25">
        <v>39.049999999999997</v>
      </c>
      <c r="H201" s="2" t="s">
        <v>36</v>
      </c>
      <c r="I201" s="4" t="s">
        <v>3385</v>
      </c>
      <c r="J201" s="2" t="str">
        <f>IF(tb2_CampaignResponses[[#This Row],[Gift_Amount]]&lt;0,"Review - negative amount",IF(tb2_CampaignResponses[[#This Row],[Gift_Amount]]&gt;10000,"Review - unusually large donation",""))</f>
        <v/>
      </c>
      <c r="K201" s="21" t="str">
        <f>IF(tb2_CampaignResponses[[#This Row],[Supporter_ID]]="","Review - no supporter ID","")</f>
        <v/>
      </c>
      <c r="L201" s="21" t="str">
        <f ca="1">IF(tb2_CampaignResponses[[#This Row],[Response_Date]]&gt;TODAY(),"Review - future response date","")</f>
        <v/>
      </c>
    </row>
    <row r="202" spans="1:12" x14ac:dyDescent="0.25">
      <c r="A202" s="3" t="s">
        <v>3721</v>
      </c>
      <c r="B202" s="2" t="s">
        <v>1207</v>
      </c>
      <c r="C202" s="2" t="s">
        <v>3341</v>
      </c>
      <c r="D202" s="2" t="s">
        <v>3342</v>
      </c>
      <c r="E202" s="2" t="s">
        <v>4</v>
      </c>
      <c r="F202" s="15">
        <v>45711</v>
      </c>
      <c r="G202" s="25">
        <v>13.76</v>
      </c>
      <c r="H202" s="2" t="s">
        <v>37</v>
      </c>
      <c r="I202" s="4" t="s">
        <v>3385</v>
      </c>
      <c r="J202" s="2" t="str">
        <f>IF(tb2_CampaignResponses[[#This Row],[Gift_Amount]]&lt;0,"Review - negative amount",IF(tb2_CampaignResponses[[#This Row],[Gift_Amount]]&gt;10000,"Review - unusually large donation",""))</f>
        <v/>
      </c>
      <c r="K202" s="21" t="str">
        <f>IF(tb2_CampaignResponses[[#This Row],[Supporter_ID]]="","Review - no supporter ID","")</f>
        <v/>
      </c>
      <c r="L202" s="21" t="str">
        <f ca="1">IF(tb2_CampaignResponses[[#This Row],[Response_Date]]&gt;TODAY(),"Review - future response date","")</f>
        <v/>
      </c>
    </row>
    <row r="203" spans="1:12" x14ac:dyDescent="0.25">
      <c r="A203" s="3" t="s">
        <v>3723</v>
      </c>
      <c r="B203" s="2" t="s">
        <v>790</v>
      </c>
      <c r="C203" s="2" t="s">
        <v>3403</v>
      </c>
      <c r="D203" s="2" t="s">
        <v>3404</v>
      </c>
      <c r="E203" s="2" t="s">
        <v>4</v>
      </c>
      <c r="F203" s="15">
        <v>45631</v>
      </c>
      <c r="G203" s="25">
        <v>39.340000000000003</v>
      </c>
      <c r="H203" s="2" t="s">
        <v>36</v>
      </c>
      <c r="I203" s="4" t="s">
        <v>3370</v>
      </c>
      <c r="J203" s="2" t="str">
        <f>IF(tb2_CampaignResponses[[#This Row],[Gift_Amount]]&lt;0,"Review - negative amount",IF(tb2_CampaignResponses[[#This Row],[Gift_Amount]]&gt;10000,"Review - unusually large donation",""))</f>
        <v/>
      </c>
      <c r="K203" s="21" t="str">
        <f>IF(tb2_CampaignResponses[[#This Row],[Supporter_ID]]="","Review - no supporter ID","")</f>
        <v/>
      </c>
      <c r="L203" s="21" t="str">
        <f ca="1">IF(tb2_CampaignResponses[[#This Row],[Response_Date]]&gt;TODAY(),"Review - future response date","")</f>
        <v/>
      </c>
    </row>
    <row r="204" spans="1:12" x14ac:dyDescent="0.25">
      <c r="A204" s="3" t="s">
        <v>3725</v>
      </c>
      <c r="B204" s="2" t="s">
        <v>1855</v>
      </c>
      <c r="C204" s="2" t="s">
        <v>3341</v>
      </c>
      <c r="D204" s="2" t="s">
        <v>3342</v>
      </c>
      <c r="E204" s="2" t="s">
        <v>91</v>
      </c>
      <c r="F204" s="15">
        <v>45703</v>
      </c>
      <c r="G204" s="25">
        <v>213.54</v>
      </c>
      <c r="H204" s="2" t="s">
        <v>36</v>
      </c>
      <c r="I204" s="4" t="s">
        <v>3318</v>
      </c>
      <c r="J204" s="2" t="str">
        <f>IF(tb2_CampaignResponses[[#This Row],[Gift_Amount]]&lt;0,"Review - negative amount",IF(tb2_CampaignResponses[[#This Row],[Gift_Amount]]&gt;10000,"Review - unusually large donation",""))</f>
        <v/>
      </c>
      <c r="K204" s="21" t="str">
        <f>IF(tb2_CampaignResponses[[#This Row],[Supporter_ID]]="","Review - no supporter ID","")</f>
        <v/>
      </c>
      <c r="L204" s="21" t="str">
        <f ca="1">IF(tb2_CampaignResponses[[#This Row],[Response_Date]]&gt;TODAY(),"Review - future response date","")</f>
        <v/>
      </c>
    </row>
    <row r="205" spans="1:12" x14ac:dyDescent="0.25">
      <c r="A205" s="3" t="s">
        <v>3727</v>
      </c>
      <c r="B205" s="2" t="s">
        <v>2046</v>
      </c>
      <c r="C205" s="2" t="s">
        <v>3325</v>
      </c>
      <c r="D205" s="2" t="s">
        <v>3326</v>
      </c>
      <c r="E205" s="2" t="s">
        <v>3338</v>
      </c>
      <c r="F205" s="15">
        <v>45633</v>
      </c>
      <c r="G205" s="25">
        <v>372.32</v>
      </c>
      <c r="H205" s="2" t="s">
        <v>36</v>
      </c>
      <c r="I205" s="4" t="s">
        <v>3328</v>
      </c>
      <c r="J205" s="2" t="str">
        <f>IF(tb2_CampaignResponses[[#This Row],[Gift_Amount]]&lt;0,"Review - negative amount",IF(tb2_CampaignResponses[[#This Row],[Gift_Amount]]&gt;10000,"Review - unusually large donation",""))</f>
        <v/>
      </c>
      <c r="K205" s="21" t="str">
        <f>IF(tb2_CampaignResponses[[#This Row],[Supporter_ID]]="","Review - no supporter ID","")</f>
        <v/>
      </c>
      <c r="L205" s="21" t="str">
        <f ca="1">IF(tb2_CampaignResponses[[#This Row],[Response_Date]]&gt;TODAY(),"Review - future response date","")</f>
        <v/>
      </c>
    </row>
    <row r="206" spans="1:12" x14ac:dyDescent="0.25">
      <c r="A206" s="3" t="s">
        <v>3729</v>
      </c>
      <c r="B206" s="2" t="s">
        <v>802</v>
      </c>
      <c r="C206" s="2" t="s">
        <v>3320</v>
      </c>
      <c r="D206" s="2" t="s">
        <v>3321</v>
      </c>
      <c r="E206" s="2" t="s">
        <v>65</v>
      </c>
      <c r="F206" s="15">
        <v>45469</v>
      </c>
      <c r="G206" s="25">
        <v>252.27</v>
      </c>
      <c r="H206" s="2" t="s">
        <v>36</v>
      </c>
      <c r="I206" s="4" t="s">
        <v>3331</v>
      </c>
      <c r="J206" s="2" t="str">
        <f>IF(tb2_CampaignResponses[[#This Row],[Gift_Amount]]&lt;0,"Review - negative amount",IF(tb2_CampaignResponses[[#This Row],[Gift_Amount]]&gt;10000,"Review - unusually large donation",""))</f>
        <v/>
      </c>
      <c r="K206" s="21" t="str">
        <f>IF(tb2_CampaignResponses[[#This Row],[Supporter_ID]]="","Review - no supporter ID","")</f>
        <v/>
      </c>
      <c r="L206" s="21" t="str">
        <f ca="1">IF(tb2_CampaignResponses[[#This Row],[Response_Date]]&gt;TODAY(),"Review - future response date","")</f>
        <v/>
      </c>
    </row>
    <row r="207" spans="1:12" x14ac:dyDescent="0.25">
      <c r="A207" s="3" t="s">
        <v>3731</v>
      </c>
      <c r="B207" s="2" t="s">
        <v>2638</v>
      </c>
      <c r="C207" s="2" t="s">
        <v>3336</v>
      </c>
      <c r="D207" s="2" t="s">
        <v>3337</v>
      </c>
      <c r="E207" s="2" t="s">
        <v>3316</v>
      </c>
      <c r="F207" s="15">
        <v>45564</v>
      </c>
      <c r="G207" s="25">
        <v>349.18</v>
      </c>
      <c r="H207" s="2" t="s">
        <v>36</v>
      </c>
      <c r="I207" s="4" t="s">
        <v>3334</v>
      </c>
      <c r="J207" s="2" t="str">
        <f>IF(tb2_CampaignResponses[[#This Row],[Gift_Amount]]&lt;0,"Review - negative amount",IF(tb2_CampaignResponses[[#This Row],[Gift_Amount]]&gt;10000,"Review - unusually large donation",""))</f>
        <v/>
      </c>
      <c r="K207" s="21" t="str">
        <f>IF(tb2_CampaignResponses[[#This Row],[Supporter_ID]]="","Review - no supporter ID","")</f>
        <v/>
      </c>
      <c r="L207" s="21" t="str">
        <f ca="1">IF(tb2_CampaignResponses[[#This Row],[Response_Date]]&gt;TODAY(),"Review - future response date","")</f>
        <v/>
      </c>
    </row>
    <row r="208" spans="1:12" x14ac:dyDescent="0.25">
      <c r="A208" s="3" t="s">
        <v>3733</v>
      </c>
      <c r="B208" s="2" t="s">
        <v>1186</v>
      </c>
      <c r="C208" s="2" t="s">
        <v>3325</v>
      </c>
      <c r="D208" s="2" t="s">
        <v>3326</v>
      </c>
      <c r="E208" s="2" t="s">
        <v>3316</v>
      </c>
      <c r="F208" s="15">
        <v>45637</v>
      </c>
      <c r="G208" s="25">
        <v>1496.64</v>
      </c>
      <c r="H208" s="2" t="s">
        <v>37</v>
      </c>
      <c r="I208" s="4" t="s">
        <v>3331</v>
      </c>
      <c r="J208" s="2" t="str">
        <f>IF(tb2_CampaignResponses[[#This Row],[Gift_Amount]]&lt;0,"Review - negative amount",IF(tb2_CampaignResponses[[#This Row],[Gift_Amount]]&gt;10000,"Review - unusually large donation",""))</f>
        <v/>
      </c>
      <c r="K208" s="21" t="str">
        <f>IF(tb2_CampaignResponses[[#This Row],[Supporter_ID]]="","Review - no supporter ID","")</f>
        <v/>
      </c>
      <c r="L208" s="21" t="str">
        <f ca="1">IF(tb2_CampaignResponses[[#This Row],[Response_Date]]&gt;TODAY(),"Review - future response date","")</f>
        <v/>
      </c>
    </row>
    <row r="209" spans="1:12" x14ac:dyDescent="0.25">
      <c r="A209" s="3" t="s">
        <v>3734</v>
      </c>
      <c r="B209" s="2" t="s">
        <v>3171</v>
      </c>
      <c r="C209" s="2" t="s">
        <v>3325</v>
      </c>
      <c r="D209" s="2" t="s">
        <v>3326</v>
      </c>
      <c r="E209" s="2" t="s">
        <v>3316</v>
      </c>
      <c r="F209" s="15">
        <v>45638</v>
      </c>
      <c r="G209" s="25">
        <v>9.91</v>
      </c>
      <c r="H209" s="2" t="s">
        <v>36</v>
      </c>
      <c r="I209" s="4" t="s">
        <v>3323</v>
      </c>
      <c r="J209" s="2" t="str">
        <f>IF(tb2_CampaignResponses[[#This Row],[Gift_Amount]]&lt;0,"Review - negative amount",IF(tb2_CampaignResponses[[#This Row],[Gift_Amount]]&gt;10000,"Review - unusually large donation",""))</f>
        <v/>
      </c>
      <c r="K209" s="21" t="str">
        <f>IF(tb2_CampaignResponses[[#This Row],[Supporter_ID]]="","Review - no supporter ID","")</f>
        <v/>
      </c>
      <c r="L209" s="21" t="str">
        <f ca="1">IF(tb2_CampaignResponses[[#This Row],[Response_Date]]&gt;TODAY(),"Review - future response date","")</f>
        <v/>
      </c>
    </row>
    <row r="210" spans="1:12" x14ac:dyDescent="0.25">
      <c r="A210" s="3" t="s">
        <v>3736</v>
      </c>
      <c r="B210" s="2" t="s">
        <v>1059</v>
      </c>
      <c r="C210" s="2" t="s">
        <v>3354</v>
      </c>
      <c r="D210" s="2" t="s">
        <v>3355</v>
      </c>
      <c r="E210" s="2" t="s">
        <v>4</v>
      </c>
      <c r="F210" s="15">
        <v>45618</v>
      </c>
      <c r="G210" s="25">
        <v>368.28</v>
      </c>
      <c r="H210" s="2" t="s">
        <v>36</v>
      </c>
      <c r="I210" s="4" t="s">
        <v>3370</v>
      </c>
      <c r="J210" s="2" t="str">
        <f>IF(tb2_CampaignResponses[[#This Row],[Gift_Amount]]&lt;0,"Review - negative amount",IF(tb2_CampaignResponses[[#This Row],[Gift_Amount]]&gt;10000,"Review - unusually large donation",""))</f>
        <v/>
      </c>
      <c r="K210" s="21" t="str">
        <f>IF(tb2_CampaignResponses[[#This Row],[Supporter_ID]]="","Review - no supporter ID","")</f>
        <v/>
      </c>
      <c r="L210" s="21" t="str">
        <f ca="1">IF(tb2_CampaignResponses[[#This Row],[Response_Date]]&gt;TODAY(),"Review - future response date","")</f>
        <v/>
      </c>
    </row>
    <row r="211" spans="1:12" x14ac:dyDescent="0.25">
      <c r="A211" s="3" t="s">
        <v>3737</v>
      </c>
      <c r="B211" s="2" t="s">
        <v>2386</v>
      </c>
      <c r="C211" s="2" t="s">
        <v>3320</v>
      </c>
      <c r="D211" s="2" t="s">
        <v>3321</v>
      </c>
      <c r="E211" s="2" t="s">
        <v>65</v>
      </c>
      <c r="F211" s="15">
        <v>45448</v>
      </c>
      <c r="G211" s="25">
        <v>432.99</v>
      </c>
      <c r="H211" s="2" t="s">
        <v>37</v>
      </c>
      <c r="I211" s="4" t="s">
        <v>3323</v>
      </c>
      <c r="J211" s="2" t="str">
        <f>IF(tb2_CampaignResponses[[#This Row],[Gift_Amount]]&lt;0,"Review - negative amount",IF(tb2_CampaignResponses[[#This Row],[Gift_Amount]]&gt;10000,"Review - unusually large donation",""))</f>
        <v/>
      </c>
      <c r="K211" s="21" t="str">
        <f>IF(tb2_CampaignResponses[[#This Row],[Supporter_ID]]="","Review - no supporter ID","")</f>
        <v/>
      </c>
      <c r="L211" s="21" t="str">
        <f ca="1">IF(tb2_CampaignResponses[[#This Row],[Response_Date]]&gt;TODAY(),"Review - future response date","")</f>
        <v/>
      </c>
    </row>
    <row r="212" spans="1:12" x14ac:dyDescent="0.25">
      <c r="A212" s="3" t="s">
        <v>3739</v>
      </c>
      <c r="B212" s="2" t="s">
        <v>2309</v>
      </c>
      <c r="C212" s="2" t="s">
        <v>3320</v>
      </c>
      <c r="D212" s="2" t="s">
        <v>3321</v>
      </c>
      <c r="E212" s="2" t="s">
        <v>65</v>
      </c>
      <c r="F212" s="15">
        <v>45444</v>
      </c>
      <c r="G212" s="25">
        <v>56</v>
      </c>
      <c r="H212" s="2" t="s">
        <v>36</v>
      </c>
      <c r="I212" s="4" t="s">
        <v>3323</v>
      </c>
      <c r="J212" s="2" t="str">
        <f>IF(tb2_CampaignResponses[[#This Row],[Gift_Amount]]&lt;0,"Review - negative amount",IF(tb2_CampaignResponses[[#This Row],[Gift_Amount]]&gt;10000,"Review - unusually large donation",""))</f>
        <v/>
      </c>
      <c r="K212" s="21" t="str">
        <f>IF(tb2_CampaignResponses[[#This Row],[Supporter_ID]]="","Review - no supporter ID","")</f>
        <v/>
      </c>
      <c r="L212" s="21" t="str">
        <f ca="1">IF(tb2_CampaignResponses[[#This Row],[Response_Date]]&gt;TODAY(),"Review - future response date","")</f>
        <v/>
      </c>
    </row>
    <row r="213" spans="1:12" x14ac:dyDescent="0.25">
      <c r="A213" s="3" t="s">
        <v>3741</v>
      </c>
      <c r="B213" s="2" t="s">
        <v>1167</v>
      </c>
      <c r="C213" s="2" t="s">
        <v>3354</v>
      </c>
      <c r="D213" s="2" t="s">
        <v>3355</v>
      </c>
      <c r="E213" s="2" t="s">
        <v>65</v>
      </c>
      <c r="F213" s="15">
        <v>45618</v>
      </c>
      <c r="G213" s="25">
        <v>32.07</v>
      </c>
      <c r="H213" s="2" t="s">
        <v>36</v>
      </c>
      <c r="I213" s="4" t="s">
        <v>3385</v>
      </c>
      <c r="J213" s="2" t="str">
        <f>IF(tb2_CampaignResponses[[#This Row],[Gift_Amount]]&lt;0,"Review - negative amount",IF(tb2_CampaignResponses[[#This Row],[Gift_Amount]]&gt;10000,"Review - unusually large donation",""))</f>
        <v/>
      </c>
      <c r="K213" s="21" t="str">
        <f>IF(tb2_CampaignResponses[[#This Row],[Supporter_ID]]="","Review - no supporter ID","")</f>
        <v/>
      </c>
      <c r="L213" s="21" t="str">
        <f ca="1">IF(tb2_CampaignResponses[[#This Row],[Response_Date]]&gt;TODAY(),"Review - future response date","")</f>
        <v/>
      </c>
    </row>
    <row r="214" spans="1:12" x14ac:dyDescent="0.25">
      <c r="A214" s="3" t="s">
        <v>3742</v>
      </c>
      <c r="B214" s="2" t="s">
        <v>3266</v>
      </c>
      <c r="C214" s="2" t="s">
        <v>3314</v>
      </c>
      <c r="D214" s="2" t="s">
        <v>3315</v>
      </c>
      <c r="E214" s="2" t="s">
        <v>3316</v>
      </c>
      <c r="F214" s="15">
        <v>45683</v>
      </c>
      <c r="G214" s="25">
        <v>140.05000000000001</v>
      </c>
      <c r="H214" s="2" t="s">
        <v>36</v>
      </c>
      <c r="I214" s="4" t="s">
        <v>3318</v>
      </c>
      <c r="J214" s="2" t="str">
        <f>IF(tb2_CampaignResponses[[#This Row],[Gift_Amount]]&lt;0,"Review - negative amount",IF(tb2_CampaignResponses[[#This Row],[Gift_Amount]]&gt;10000,"Review - unusually large donation",""))</f>
        <v/>
      </c>
      <c r="K214" s="21" t="str">
        <f>IF(tb2_CampaignResponses[[#This Row],[Supporter_ID]]="","Review - no supporter ID","")</f>
        <v/>
      </c>
      <c r="L214" s="21" t="str">
        <f ca="1">IF(tb2_CampaignResponses[[#This Row],[Response_Date]]&gt;TODAY(),"Review - future response date","")</f>
        <v/>
      </c>
    </row>
    <row r="215" spans="1:12" x14ac:dyDescent="0.25">
      <c r="A215" s="3" t="s">
        <v>3744</v>
      </c>
      <c r="B215" s="2" t="s">
        <v>2218</v>
      </c>
      <c r="C215" s="2" t="s">
        <v>3362</v>
      </c>
      <c r="D215" s="2" t="s">
        <v>3363</v>
      </c>
      <c r="E215" s="2" t="s">
        <v>65</v>
      </c>
      <c r="F215" s="15">
        <v>45577</v>
      </c>
      <c r="G215" s="25">
        <v>28.34</v>
      </c>
      <c r="H215" s="2" t="s">
        <v>36</v>
      </c>
      <c r="I215" s="4" t="s">
        <v>3318</v>
      </c>
      <c r="J215" s="2" t="str">
        <f>IF(tb2_CampaignResponses[[#This Row],[Gift_Amount]]&lt;0,"Review - negative amount",IF(tb2_CampaignResponses[[#This Row],[Gift_Amount]]&gt;10000,"Review - unusually large donation",""))</f>
        <v/>
      </c>
      <c r="K215" s="21" t="str">
        <f>IF(tb2_CampaignResponses[[#This Row],[Supporter_ID]]="","Review - no supporter ID","")</f>
        <v/>
      </c>
      <c r="L215" s="21" t="str">
        <f ca="1">IF(tb2_CampaignResponses[[#This Row],[Response_Date]]&gt;TODAY(),"Review - future response date","")</f>
        <v/>
      </c>
    </row>
    <row r="216" spans="1:12" x14ac:dyDescent="0.25">
      <c r="A216" s="3" t="s">
        <v>3745</v>
      </c>
      <c r="B216" s="2" t="s">
        <v>1957</v>
      </c>
      <c r="C216" s="2" t="s">
        <v>3314</v>
      </c>
      <c r="D216" s="2" t="s">
        <v>3315</v>
      </c>
      <c r="E216" s="2" t="s">
        <v>3316</v>
      </c>
      <c r="F216" s="15">
        <v>45672</v>
      </c>
      <c r="G216" s="25">
        <v>29.89</v>
      </c>
      <c r="H216" s="2" t="s">
        <v>37</v>
      </c>
      <c r="I216" s="4" t="s">
        <v>3328</v>
      </c>
      <c r="J216" s="2" t="str">
        <f>IF(tb2_CampaignResponses[[#This Row],[Gift_Amount]]&lt;0,"Review - negative amount",IF(tb2_CampaignResponses[[#This Row],[Gift_Amount]]&gt;10000,"Review - unusually large donation",""))</f>
        <v/>
      </c>
      <c r="K216" s="21" t="str">
        <f>IF(tb2_CampaignResponses[[#This Row],[Supporter_ID]]="","Review - no supporter ID","")</f>
        <v/>
      </c>
      <c r="L216" s="21" t="str">
        <f ca="1">IF(tb2_CampaignResponses[[#This Row],[Response_Date]]&gt;TODAY(),"Review - future response date","")</f>
        <v/>
      </c>
    </row>
    <row r="217" spans="1:12" x14ac:dyDescent="0.25">
      <c r="A217" s="3" t="s">
        <v>3747</v>
      </c>
      <c r="B217" s="2" t="s">
        <v>2764</v>
      </c>
      <c r="C217" s="2" t="s">
        <v>3341</v>
      </c>
      <c r="D217" s="2" t="s">
        <v>3342</v>
      </c>
      <c r="E217" s="2" t="s">
        <v>91</v>
      </c>
      <c r="F217" s="15">
        <v>45773</v>
      </c>
      <c r="G217" s="25">
        <v>10.43</v>
      </c>
      <c r="H217" s="2" t="s">
        <v>36</v>
      </c>
      <c r="I217" s="4" t="s">
        <v>3370</v>
      </c>
      <c r="J217" s="2" t="str">
        <f>IF(tb2_CampaignResponses[[#This Row],[Gift_Amount]]&lt;0,"Review - negative amount",IF(tb2_CampaignResponses[[#This Row],[Gift_Amount]]&gt;10000,"Review - unusually large donation",""))</f>
        <v/>
      </c>
      <c r="K217" s="21" t="str">
        <f>IF(tb2_CampaignResponses[[#This Row],[Supporter_ID]]="","Review - no supporter ID","")</f>
        <v/>
      </c>
      <c r="L217" s="21" t="str">
        <f ca="1">IF(tb2_CampaignResponses[[#This Row],[Response_Date]]&gt;TODAY(),"Review - future response date","")</f>
        <v/>
      </c>
    </row>
    <row r="218" spans="1:12" x14ac:dyDescent="0.25">
      <c r="A218" s="3" t="s">
        <v>3749</v>
      </c>
      <c r="B218" s="2" t="s">
        <v>3147</v>
      </c>
      <c r="C218" s="2" t="s">
        <v>3354</v>
      </c>
      <c r="D218" s="2" t="s">
        <v>3355</v>
      </c>
      <c r="E218" s="2" t="s">
        <v>4</v>
      </c>
      <c r="F218" s="15">
        <v>45618</v>
      </c>
      <c r="G218" s="25">
        <v>49.45</v>
      </c>
      <c r="H218" s="2" t="s">
        <v>36</v>
      </c>
      <c r="I218" s="4" t="s">
        <v>3334</v>
      </c>
      <c r="J218" s="2" t="str">
        <f>IF(tb2_CampaignResponses[[#This Row],[Gift_Amount]]&lt;0,"Review - negative amount",IF(tb2_CampaignResponses[[#This Row],[Gift_Amount]]&gt;10000,"Review - unusually large donation",""))</f>
        <v/>
      </c>
      <c r="K218" s="21" t="str">
        <f>IF(tb2_CampaignResponses[[#This Row],[Supporter_ID]]="","Review - no supporter ID","")</f>
        <v/>
      </c>
      <c r="L218" s="21" t="str">
        <f ca="1">IF(tb2_CampaignResponses[[#This Row],[Response_Date]]&gt;TODAY(),"Review - future response date","")</f>
        <v/>
      </c>
    </row>
    <row r="219" spans="1:12" x14ac:dyDescent="0.25">
      <c r="A219" s="3" t="s">
        <v>3750</v>
      </c>
      <c r="B219" s="2" t="s">
        <v>3235</v>
      </c>
      <c r="C219" s="2" t="s">
        <v>3336</v>
      </c>
      <c r="D219" s="2" t="s">
        <v>3337</v>
      </c>
      <c r="E219" s="2" t="s">
        <v>3338</v>
      </c>
      <c r="F219" s="15">
        <v>45562</v>
      </c>
      <c r="G219" s="25">
        <v>90.59</v>
      </c>
      <c r="H219" s="2" t="s">
        <v>37</v>
      </c>
      <c r="I219" s="4" t="s">
        <v>3318</v>
      </c>
      <c r="J219" s="2" t="str">
        <f>IF(tb2_CampaignResponses[[#This Row],[Gift_Amount]]&lt;0,"Review - negative amount",IF(tb2_CampaignResponses[[#This Row],[Gift_Amount]]&gt;10000,"Review - unusually large donation",""))</f>
        <v/>
      </c>
      <c r="K219" s="21" t="str">
        <f>IF(tb2_CampaignResponses[[#This Row],[Supporter_ID]]="","Review - no supporter ID","")</f>
        <v/>
      </c>
      <c r="L219" s="21" t="str">
        <f ca="1">IF(tb2_CampaignResponses[[#This Row],[Response_Date]]&gt;TODAY(),"Review - future response date","")</f>
        <v/>
      </c>
    </row>
    <row r="220" spans="1:12" x14ac:dyDescent="0.25">
      <c r="A220" s="3" t="s">
        <v>3752</v>
      </c>
      <c r="B220" s="2" t="s">
        <v>256</v>
      </c>
      <c r="C220" s="2" t="s">
        <v>3325</v>
      </c>
      <c r="D220" s="2" t="s">
        <v>3326</v>
      </c>
      <c r="E220" s="2" t="s">
        <v>65</v>
      </c>
      <c r="F220" s="15">
        <v>45634</v>
      </c>
      <c r="G220" s="25">
        <v>4794.68</v>
      </c>
      <c r="H220" s="2" t="s">
        <v>36</v>
      </c>
      <c r="I220" s="4" t="s">
        <v>3328</v>
      </c>
      <c r="J220" s="2" t="str">
        <f>IF(tb2_CampaignResponses[[#This Row],[Gift_Amount]]&lt;0,"Review - negative amount",IF(tb2_CampaignResponses[[#This Row],[Gift_Amount]]&gt;10000,"Review - unusually large donation",""))</f>
        <v/>
      </c>
      <c r="K220" s="21" t="str">
        <f>IF(tb2_CampaignResponses[[#This Row],[Supporter_ID]]="","Review - no supporter ID","")</f>
        <v/>
      </c>
      <c r="L220" s="21" t="str">
        <f ca="1">IF(tb2_CampaignResponses[[#This Row],[Response_Date]]&gt;TODAY(),"Review - future response date","")</f>
        <v/>
      </c>
    </row>
    <row r="221" spans="1:12" x14ac:dyDescent="0.25">
      <c r="A221" s="3" t="s">
        <v>3755</v>
      </c>
      <c r="B221" s="2" t="s">
        <v>2263</v>
      </c>
      <c r="C221" s="2" t="s">
        <v>3325</v>
      </c>
      <c r="D221" s="2" t="s">
        <v>3326</v>
      </c>
      <c r="E221" s="2" t="s">
        <v>3338</v>
      </c>
      <c r="F221" s="15">
        <v>45610</v>
      </c>
      <c r="G221" s="25">
        <v>71.95</v>
      </c>
      <c r="H221" s="2" t="s">
        <v>36</v>
      </c>
      <c r="I221" s="4" t="s">
        <v>3318</v>
      </c>
      <c r="J221" s="2" t="str">
        <f>IF(tb2_CampaignResponses[[#This Row],[Gift_Amount]]&lt;0,"Review - negative amount",IF(tb2_CampaignResponses[[#This Row],[Gift_Amount]]&gt;10000,"Review - unusually large donation",""))</f>
        <v/>
      </c>
      <c r="K221" s="21" t="str">
        <f>IF(tb2_CampaignResponses[[#This Row],[Supporter_ID]]="","Review - no supporter ID","")</f>
        <v/>
      </c>
      <c r="L221" s="21" t="str">
        <f ca="1">IF(tb2_CampaignResponses[[#This Row],[Response_Date]]&gt;TODAY(),"Review - future response date","")</f>
        <v/>
      </c>
    </row>
    <row r="222" spans="1:12" x14ac:dyDescent="0.25">
      <c r="A222" s="3" t="s">
        <v>3757</v>
      </c>
      <c r="B222" s="2" t="s">
        <v>2082</v>
      </c>
      <c r="C222" s="2" t="s">
        <v>3367</v>
      </c>
      <c r="D222" s="2" t="s">
        <v>3368</v>
      </c>
      <c r="E222" s="2" t="s">
        <v>65</v>
      </c>
      <c r="F222" s="15">
        <v>45752</v>
      </c>
      <c r="G222" s="25">
        <v>70.16</v>
      </c>
      <c r="H222" s="2" t="s">
        <v>37</v>
      </c>
      <c r="I222" s="4" t="s">
        <v>3385</v>
      </c>
      <c r="J222" s="2" t="str">
        <f>IF(tb2_CampaignResponses[[#This Row],[Gift_Amount]]&lt;0,"Review - negative amount",IF(tb2_CampaignResponses[[#This Row],[Gift_Amount]]&gt;10000,"Review - unusually large donation",""))</f>
        <v/>
      </c>
      <c r="K222" s="21" t="str">
        <f>IF(tb2_CampaignResponses[[#This Row],[Supporter_ID]]="","Review - no supporter ID","")</f>
        <v/>
      </c>
      <c r="L222" s="21" t="str">
        <f ca="1">IF(tb2_CampaignResponses[[#This Row],[Response_Date]]&gt;TODAY(),"Review - future response date","")</f>
        <v/>
      </c>
    </row>
    <row r="223" spans="1:12" x14ac:dyDescent="0.25">
      <c r="A223" s="3" t="s">
        <v>3759</v>
      </c>
      <c r="B223" s="2" t="s">
        <v>2118</v>
      </c>
      <c r="C223" s="2" t="s">
        <v>3341</v>
      </c>
      <c r="D223" s="2" t="s">
        <v>3342</v>
      </c>
      <c r="E223" s="2" t="s">
        <v>3316</v>
      </c>
      <c r="F223" s="15">
        <v>45736</v>
      </c>
      <c r="G223" s="25">
        <v>148.19</v>
      </c>
      <c r="H223" s="2" t="s">
        <v>36</v>
      </c>
      <c r="I223" s="4" t="s">
        <v>3328</v>
      </c>
      <c r="J223" s="2" t="str">
        <f>IF(tb2_CampaignResponses[[#This Row],[Gift_Amount]]&lt;0,"Review - negative amount",IF(tb2_CampaignResponses[[#This Row],[Gift_Amount]]&gt;10000,"Review - unusually large donation",""))</f>
        <v/>
      </c>
      <c r="K223" s="21" t="str">
        <f>IF(tb2_CampaignResponses[[#This Row],[Supporter_ID]]="","Review - no supporter ID","")</f>
        <v/>
      </c>
      <c r="L223" s="21" t="str">
        <f ca="1">IF(tb2_CampaignResponses[[#This Row],[Response_Date]]&gt;TODAY(),"Review - future response date","")</f>
        <v/>
      </c>
    </row>
    <row r="224" spans="1:12" x14ac:dyDescent="0.25">
      <c r="A224" s="3" t="s">
        <v>3761</v>
      </c>
      <c r="B224" s="2" t="s">
        <v>2928</v>
      </c>
      <c r="C224" s="2" t="s">
        <v>3341</v>
      </c>
      <c r="D224" s="2" t="s">
        <v>3342</v>
      </c>
      <c r="E224" s="2" t="s">
        <v>91</v>
      </c>
      <c r="F224" s="15">
        <v>45700</v>
      </c>
      <c r="G224" s="25">
        <v>25.72</v>
      </c>
      <c r="H224" s="2" t="s">
        <v>36</v>
      </c>
      <c r="I224" s="4" t="s">
        <v>3328</v>
      </c>
      <c r="J224" s="2" t="str">
        <f>IF(tb2_CampaignResponses[[#This Row],[Gift_Amount]]&lt;0,"Review - negative amount",IF(tb2_CampaignResponses[[#This Row],[Gift_Amount]]&gt;10000,"Review - unusually large donation",""))</f>
        <v/>
      </c>
      <c r="K224" s="21" t="str">
        <f>IF(tb2_CampaignResponses[[#This Row],[Supporter_ID]]="","Review - no supporter ID","")</f>
        <v/>
      </c>
      <c r="L224" s="21" t="str">
        <f ca="1">IF(tb2_CampaignResponses[[#This Row],[Response_Date]]&gt;TODAY(),"Review - future response date","")</f>
        <v/>
      </c>
    </row>
    <row r="225" spans="1:12" x14ac:dyDescent="0.25">
      <c r="A225" s="3" t="s">
        <v>3763</v>
      </c>
      <c r="B225" s="2" t="s">
        <v>234</v>
      </c>
      <c r="C225" s="2" t="s">
        <v>3403</v>
      </c>
      <c r="D225" s="2" t="s">
        <v>3404</v>
      </c>
      <c r="E225" s="2" t="s">
        <v>3316</v>
      </c>
      <c r="F225" s="15">
        <v>45624</v>
      </c>
      <c r="G225" s="25">
        <v>305.92</v>
      </c>
      <c r="H225" s="2" t="s">
        <v>37</v>
      </c>
      <c r="I225" s="4" t="s">
        <v>3331</v>
      </c>
      <c r="J225" s="2" t="str">
        <f>IF(tb2_CampaignResponses[[#This Row],[Gift_Amount]]&lt;0,"Review - negative amount",IF(tb2_CampaignResponses[[#This Row],[Gift_Amount]]&gt;10000,"Review - unusually large donation",""))</f>
        <v/>
      </c>
      <c r="K225" s="21" t="str">
        <f>IF(tb2_CampaignResponses[[#This Row],[Supporter_ID]]="","Review - no supporter ID","")</f>
        <v/>
      </c>
      <c r="L225" s="21" t="str">
        <f ca="1">IF(tb2_CampaignResponses[[#This Row],[Response_Date]]&gt;TODAY(),"Review - future response date","")</f>
        <v/>
      </c>
    </row>
    <row r="226" spans="1:12" x14ac:dyDescent="0.25">
      <c r="A226" s="3" t="s">
        <v>3765</v>
      </c>
      <c r="B226" s="2" t="s">
        <v>1097</v>
      </c>
      <c r="C226" s="2" t="s">
        <v>3336</v>
      </c>
      <c r="D226" s="2" t="s">
        <v>3337</v>
      </c>
      <c r="E226" s="2" t="s">
        <v>3316</v>
      </c>
      <c r="F226" s="15">
        <v>45564</v>
      </c>
      <c r="G226" s="25">
        <v>17.809999999999999</v>
      </c>
      <c r="H226" s="2" t="s">
        <v>36</v>
      </c>
      <c r="I226" s="4" t="s">
        <v>3331</v>
      </c>
      <c r="J226" s="2" t="str">
        <f>IF(tb2_CampaignResponses[[#This Row],[Gift_Amount]]&lt;0,"Review - negative amount",IF(tb2_CampaignResponses[[#This Row],[Gift_Amount]]&gt;10000,"Review - unusually large donation",""))</f>
        <v/>
      </c>
      <c r="K226" s="21" t="str">
        <f>IF(tb2_CampaignResponses[[#This Row],[Supporter_ID]]="","Review - no supporter ID","")</f>
        <v/>
      </c>
      <c r="L226" s="21" t="str">
        <f ca="1">IF(tb2_CampaignResponses[[#This Row],[Response_Date]]&gt;TODAY(),"Review - future response date","")</f>
        <v/>
      </c>
    </row>
    <row r="227" spans="1:12" x14ac:dyDescent="0.25">
      <c r="A227" s="3" t="s">
        <v>3767</v>
      </c>
      <c r="B227" s="2" t="s">
        <v>3021</v>
      </c>
      <c r="C227" s="2" t="s">
        <v>3367</v>
      </c>
      <c r="D227" s="2" t="s">
        <v>3368</v>
      </c>
      <c r="E227" s="2" t="s">
        <v>4</v>
      </c>
      <c r="F227" s="15">
        <v>45776</v>
      </c>
      <c r="G227" s="25">
        <v>17.7</v>
      </c>
      <c r="H227" s="2" t="s">
        <v>37</v>
      </c>
      <c r="I227" s="4" t="s">
        <v>3318</v>
      </c>
      <c r="J227" s="2" t="str">
        <f>IF(tb2_CampaignResponses[[#This Row],[Gift_Amount]]&lt;0,"Review - negative amount",IF(tb2_CampaignResponses[[#This Row],[Gift_Amount]]&gt;10000,"Review - unusually large donation",""))</f>
        <v/>
      </c>
      <c r="K227" s="21" t="str">
        <f>IF(tb2_CampaignResponses[[#This Row],[Supporter_ID]]="","Review - no supporter ID","")</f>
        <v/>
      </c>
      <c r="L227" s="21" t="str">
        <f ca="1">IF(tb2_CampaignResponses[[#This Row],[Response_Date]]&gt;TODAY(),"Review - future response date","")</f>
        <v/>
      </c>
    </row>
    <row r="228" spans="1:12" x14ac:dyDescent="0.25">
      <c r="A228" s="3" t="s">
        <v>3769</v>
      </c>
      <c r="B228" s="2" t="s">
        <v>1976</v>
      </c>
      <c r="C228" s="2" t="s">
        <v>3336</v>
      </c>
      <c r="D228" s="2" t="s">
        <v>3337</v>
      </c>
      <c r="E228" s="2" t="s">
        <v>65</v>
      </c>
      <c r="F228" s="15">
        <v>45555</v>
      </c>
      <c r="G228" s="25">
        <v>399.43</v>
      </c>
      <c r="H228" s="2" t="s">
        <v>37</v>
      </c>
      <c r="I228" s="4" t="s">
        <v>3334</v>
      </c>
      <c r="J228" s="2" t="str">
        <f>IF(tb2_CampaignResponses[[#This Row],[Gift_Amount]]&lt;0,"Review - negative amount",IF(tb2_CampaignResponses[[#This Row],[Gift_Amount]]&gt;10000,"Review - unusually large donation",""))</f>
        <v/>
      </c>
      <c r="K228" s="21" t="str">
        <f>IF(tb2_CampaignResponses[[#This Row],[Supporter_ID]]="","Review - no supporter ID","")</f>
        <v/>
      </c>
      <c r="L228" s="21" t="str">
        <f ca="1">IF(tb2_CampaignResponses[[#This Row],[Response_Date]]&gt;TODAY(),"Review - future response date","")</f>
        <v/>
      </c>
    </row>
    <row r="229" spans="1:12" x14ac:dyDescent="0.25">
      <c r="A229" s="3" t="s">
        <v>3771</v>
      </c>
      <c r="B229" s="2" t="s">
        <v>2976</v>
      </c>
      <c r="C229" s="2" t="s">
        <v>3367</v>
      </c>
      <c r="D229" s="2" t="s">
        <v>3368</v>
      </c>
      <c r="E229" s="2" t="s">
        <v>65</v>
      </c>
      <c r="F229" s="15">
        <v>45736</v>
      </c>
      <c r="G229" s="25">
        <v>10.72</v>
      </c>
      <c r="H229" s="2" t="s">
        <v>37</v>
      </c>
      <c r="I229" s="4" t="s">
        <v>3334</v>
      </c>
      <c r="J229" s="2" t="str">
        <f>IF(tb2_CampaignResponses[[#This Row],[Gift_Amount]]&lt;0,"Review - negative amount",IF(tb2_CampaignResponses[[#This Row],[Gift_Amount]]&gt;10000,"Review - unusually large donation",""))</f>
        <v/>
      </c>
      <c r="K229" s="21" t="str">
        <f>IF(tb2_CampaignResponses[[#This Row],[Supporter_ID]]="","Review - no supporter ID","")</f>
        <v/>
      </c>
      <c r="L229" s="21" t="str">
        <f ca="1">IF(tb2_CampaignResponses[[#This Row],[Response_Date]]&gt;TODAY(),"Review - future response date","")</f>
        <v/>
      </c>
    </row>
    <row r="230" spans="1:12" x14ac:dyDescent="0.25">
      <c r="A230" s="3" t="s">
        <v>3773</v>
      </c>
      <c r="B230" s="2" t="s">
        <v>1591</v>
      </c>
      <c r="C230" s="2" t="s">
        <v>3314</v>
      </c>
      <c r="D230" s="2" t="s">
        <v>3315</v>
      </c>
      <c r="E230" s="2" t="s">
        <v>65</v>
      </c>
      <c r="F230" s="15">
        <v>45743</v>
      </c>
      <c r="G230" s="25">
        <v>174.45</v>
      </c>
      <c r="H230" s="2" t="s">
        <v>37</v>
      </c>
      <c r="I230" s="4" t="s">
        <v>3334</v>
      </c>
      <c r="J230" s="2" t="str">
        <f>IF(tb2_CampaignResponses[[#This Row],[Gift_Amount]]&lt;0,"Review - negative amount",IF(tb2_CampaignResponses[[#This Row],[Gift_Amount]]&gt;10000,"Review - unusually large donation",""))</f>
        <v/>
      </c>
      <c r="K230" s="21" t="str">
        <f>IF(tb2_CampaignResponses[[#This Row],[Supporter_ID]]="","Review - no supporter ID","")</f>
        <v/>
      </c>
      <c r="L230" s="21" t="str">
        <f ca="1">IF(tb2_CampaignResponses[[#This Row],[Response_Date]]&gt;TODAY(),"Review - future response date","")</f>
        <v/>
      </c>
    </row>
    <row r="231" spans="1:12" x14ac:dyDescent="0.25">
      <c r="A231" s="3" t="s">
        <v>3775</v>
      </c>
      <c r="B231" s="2" t="s">
        <v>2981</v>
      </c>
      <c r="C231" s="2" t="s">
        <v>3367</v>
      </c>
      <c r="D231" s="2" t="s">
        <v>3368</v>
      </c>
      <c r="E231" s="2" t="s">
        <v>65</v>
      </c>
      <c r="F231" s="15">
        <v>45741</v>
      </c>
      <c r="G231" s="25">
        <v>38.9</v>
      </c>
      <c r="H231" s="2" t="s">
        <v>37</v>
      </c>
      <c r="I231" s="4" t="s">
        <v>3385</v>
      </c>
      <c r="J231" s="2" t="str">
        <f>IF(tb2_CampaignResponses[[#This Row],[Gift_Amount]]&lt;0,"Review - negative amount",IF(tb2_CampaignResponses[[#This Row],[Gift_Amount]]&gt;10000,"Review - unusually large donation",""))</f>
        <v/>
      </c>
      <c r="K231" s="21" t="str">
        <f>IF(tb2_CampaignResponses[[#This Row],[Supporter_ID]]="","Review - no supporter ID","")</f>
        <v/>
      </c>
      <c r="L231" s="21" t="str">
        <f ca="1">IF(tb2_CampaignResponses[[#This Row],[Response_Date]]&gt;TODAY(),"Review - future response date","")</f>
        <v/>
      </c>
    </row>
    <row r="232" spans="1:12" x14ac:dyDescent="0.25">
      <c r="A232" s="3" t="s">
        <v>3776</v>
      </c>
      <c r="B232" s="2" t="s">
        <v>784</v>
      </c>
      <c r="C232" s="2" t="s">
        <v>3320</v>
      </c>
      <c r="D232" s="2" t="s">
        <v>3321</v>
      </c>
      <c r="E232" s="2" t="s">
        <v>65</v>
      </c>
      <c r="F232" s="15">
        <v>45462</v>
      </c>
      <c r="G232" s="25">
        <v>27.32</v>
      </c>
      <c r="H232" s="2" t="s">
        <v>36</v>
      </c>
      <c r="I232" s="4" t="s">
        <v>3365</v>
      </c>
      <c r="J232" s="2" t="str">
        <f>IF(tb2_CampaignResponses[[#This Row],[Gift_Amount]]&lt;0,"Review - negative amount",IF(tb2_CampaignResponses[[#This Row],[Gift_Amount]]&gt;10000,"Review - unusually large donation",""))</f>
        <v/>
      </c>
      <c r="K232" s="21" t="str">
        <f>IF(tb2_CampaignResponses[[#This Row],[Supporter_ID]]="","Review - no supporter ID","")</f>
        <v/>
      </c>
      <c r="L232" s="21" t="str">
        <f ca="1">IF(tb2_CampaignResponses[[#This Row],[Response_Date]]&gt;TODAY(),"Review - future response date","")</f>
        <v/>
      </c>
    </row>
    <row r="233" spans="1:12" x14ac:dyDescent="0.25">
      <c r="A233" s="3" t="s">
        <v>3778</v>
      </c>
      <c r="B233" s="2" t="s">
        <v>1207</v>
      </c>
      <c r="C233" s="2" t="s">
        <v>3336</v>
      </c>
      <c r="D233" s="2" t="s">
        <v>3337</v>
      </c>
      <c r="E233" s="2" t="s">
        <v>4</v>
      </c>
      <c r="F233" s="15">
        <v>45564</v>
      </c>
      <c r="G233" s="25">
        <v>17.36</v>
      </c>
      <c r="H233" s="2" t="s">
        <v>37</v>
      </c>
      <c r="I233" s="4" t="s">
        <v>3370</v>
      </c>
      <c r="J233" s="2" t="str">
        <f>IF(tb2_CampaignResponses[[#This Row],[Gift_Amount]]&lt;0,"Review - negative amount",IF(tb2_CampaignResponses[[#This Row],[Gift_Amount]]&gt;10000,"Review - unusually large donation",""))</f>
        <v/>
      </c>
      <c r="K233" s="21" t="str">
        <f>IF(tb2_CampaignResponses[[#This Row],[Supporter_ID]]="","Review - no supporter ID","")</f>
        <v/>
      </c>
      <c r="L233" s="21" t="str">
        <f ca="1">IF(tb2_CampaignResponses[[#This Row],[Response_Date]]&gt;TODAY(),"Review - future response date","")</f>
        <v/>
      </c>
    </row>
    <row r="234" spans="1:12" x14ac:dyDescent="0.25">
      <c r="A234" s="3" t="s">
        <v>3779</v>
      </c>
      <c r="B234" s="2" t="s">
        <v>1897</v>
      </c>
      <c r="C234" s="2" t="s">
        <v>3367</v>
      </c>
      <c r="D234" s="2" t="s">
        <v>3368</v>
      </c>
      <c r="E234" s="2" t="s">
        <v>65</v>
      </c>
      <c r="F234" s="15">
        <v>45723</v>
      </c>
      <c r="G234" s="25">
        <v>219.18</v>
      </c>
      <c r="H234" s="2" t="s">
        <v>37</v>
      </c>
      <c r="I234" s="4" t="s">
        <v>3385</v>
      </c>
      <c r="J234" s="2" t="str">
        <f>IF(tb2_CampaignResponses[[#This Row],[Gift_Amount]]&lt;0,"Review - negative amount",IF(tb2_CampaignResponses[[#This Row],[Gift_Amount]]&gt;10000,"Review - unusually large donation",""))</f>
        <v/>
      </c>
      <c r="K234" s="21" t="str">
        <f>IF(tb2_CampaignResponses[[#This Row],[Supporter_ID]]="","Review - no supporter ID","")</f>
        <v/>
      </c>
      <c r="L234" s="21" t="str">
        <f ca="1">IF(tb2_CampaignResponses[[#This Row],[Response_Date]]&gt;TODAY(),"Review - future response date","")</f>
        <v/>
      </c>
    </row>
    <row r="235" spans="1:12" x14ac:dyDescent="0.25">
      <c r="A235" s="3" t="s">
        <v>3781</v>
      </c>
      <c r="B235" s="2" t="s">
        <v>3026</v>
      </c>
      <c r="C235" s="2" t="s">
        <v>3314</v>
      </c>
      <c r="D235" s="2" t="s">
        <v>3315</v>
      </c>
      <c r="E235" s="2" t="s">
        <v>65</v>
      </c>
      <c r="F235" s="15">
        <v>45711</v>
      </c>
      <c r="G235" s="25">
        <v>148.16999999999999</v>
      </c>
      <c r="H235" s="2" t="s">
        <v>37</v>
      </c>
      <c r="I235" s="4" t="s">
        <v>3365</v>
      </c>
      <c r="J235" s="2" t="str">
        <f>IF(tb2_CampaignResponses[[#This Row],[Gift_Amount]]&lt;0,"Review - negative amount",IF(tb2_CampaignResponses[[#This Row],[Gift_Amount]]&gt;10000,"Review - unusually large donation",""))</f>
        <v/>
      </c>
      <c r="K235" s="21" t="str">
        <f>IF(tb2_CampaignResponses[[#This Row],[Supporter_ID]]="","Review - no supporter ID","")</f>
        <v/>
      </c>
      <c r="L235" s="21" t="str">
        <f ca="1">IF(tb2_CampaignResponses[[#This Row],[Response_Date]]&gt;TODAY(),"Review - future response date","")</f>
        <v/>
      </c>
    </row>
    <row r="236" spans="1:12" x14ac:dyDescent="0.25">
      <c r="A236" s="3" t="s">
        <v>3782</v>
      </c>
      <c r="B236" s="2" t="s">
        <v>447</v>
      </c>
      <c r="C236" s="2" t="s">
        <v>3341</v>
      </c>
      <c r="D236" s="2" t="s">
        <v>3342</v>
      </c>
      <c r="E236" s="2" t="s">
        <v>4</v>
      </c>
      <c r="F236" s="15">
        <v>45756</v>
      </c>
      <c r="G236" s="25">
        <v>102.78</v>
      </c>
      <c r="H236" s="2" t="s">
        <v>36</v>
      </c>
      <c r="I236" s="4" t="s">
        <v>3334</v>
      </c>
      <c r="J236" s="2" t="str">
        <f>IF(tb2_CampaignResponses[[#This Row],[Gift_Amount]]&lt;0,"Review - negative amount",IF(tb2_CampaignResponses[[#This Row],[Gift_Amount]]&gt;10000,"Review - unusually large donation",""))</f>
        <v/>
      </c>
      <c r="K236" s="21" t="str">
        <f>IF(tb2_CampaignResponses[[#This Row],[Supporter_ID]]="","Review - no supporter ID","")</f>
        <v/>
      </c>
      <c r="L236" s="21" t="str">
        <f ca="1">IF(tb2_CampaignResponses[[#This Row],[Response_Date]]&gt;TODAY(),"Review - future response date","")</f>
        <v/>
      </c>
    </row>
    <row r="237" spans="1:12" x14ac:dyDescent="0.25">
      <c r="A237" s="3" t="s">
        <v>3784</v>
      </c>
      <c r="B237" s="2" t="s">
        <v>2224</v>
      </c>
      <c r="C237" s="2" t="s">
        <v>3403</v>
      </c>
      <c r="D237" s="2" t="s">
        <v>3404</v>
      </c>
      <c r="E237" s="2" t="s">
        <v>4</v>
      </c>
      <c r="F237" s="15">
        <v>45585</v>
      </c>
      <c r="G237" s="25">
        <v>21.96</v>
      </c>
      <c r="H237" s="2" t="s">
        <v>36</v>
      </c>
      <c r="I237" s="4" t="s">
        <v>3323</v>
      </c>
      <c r="J237" s="2" t="str">
        <f>IF(tb2_CampaignResponses[[#This Row],[Gift_Amount]]&lt;0,"Review - negative amount",IF(tb2_CampaignResponses[[#This Row],[Gift_Amount]]&gt;10000,"Review - unusually large donation",""))</f>
        <v/>
      </c>
      <c r="K237" s="21" t="str">
        <f>IF(tb2_CampaignResponses[[#This Row],[Supporter_ID]]="","Review - no supporter ID","")</f>
        <v/>
      </c>
      <c r="L237" s="21" t="str">
        <f ca="1">IF(tb2_CampaignResponses[[#This Row],[Response_Date]]&gt;TODAY(),"Review - future response date","")</f>
        <v/>
      </c>
    </row>
    <row r="238" spans="1:12" x14ac:dyDescent="0.25">
      <c r="A238" s="3" t="s">
        <v>3786</v>
      </c>
      <c r="B238" s="2" t="s">
        <v>2976</v>
      </c>
      <c r="C238" s="2" t="s">
        <v>3336</v>
      </c>
      <c r="D238" s="2" t="s">
        <v>3337</v>
      </c>
      <c r="E238" s="2" t="s">
        <v>3316</v>
      </c>
      <c r="F238" s="15">
        <v>45576</v>
      </c>
      <c r="G238" s="25">
        <v>36.72</v>
      </c>
      <c r="H238" s="2" t="s">
        <v>37</v>
      </c>
      <c r="I238" s="4" t="s">
        <v>3328</v>
      </c>
      <c r="J238" s="2" t="str">
        <f>IF(tb2_CampaignResponses[[#This Row],[Gift_Amount]]&lt;0,"Review - negative amount",IF(tb2_CampaignResponses[[#This Row],[Gift_Amount]]&gt;10000,"Review - unusually large donation",""))</f>
        <v/>
      </c>
      <c r="K238" s="21" t="str">
        <f>IF(tb2_CampaignResponses[[#This Row],[Supporter_ID]]="","Review - no supporter ID","")</f>
        <v/>
      </c>
      <c r="L238" s="21" t="str">
        <f ca="1">IF(tb2_CampaignResponses[[#This Row],[Response_Date]]&gt;TODAY(),"Review - future response date","")</f>
        <v/>
      </c>
    </row>
    <row r="239" spans="1:12" x14ac:dyDescent="0.25">
      <c r="A239" s="3" t="s">
        <v>3788</v>
      </c>
      <c r="B239" s="2" t="s">
        <v>3009</v>
      </c>
      <c r="C239" s="2" t="s">
        <v>3367</v>
      </c>
      <c r="D239" s="2" t="s">
        <v>3368</v>
      </c>
      <c r="E239" s="2" t="s">
        <v>4</v>
      </c>
      <c r="F239" s="15">
        <v>45758</v>
      </c>
      <c r="G239" s="25">
        <v>141.16999999999999</v>
      </c>
      <c r="H239" s="2" t="s">
        <v>36</v>
      </c>
      <c r="I239" s="4" t="s">
        <v>3365</v>
      </c>
      <c r="J239" s="2" t="str">
        <f>IF(tb2_CampaignResponses[[#This Row],[Gift_Amount]]&lt;0,"Review - negative amount",IF(tb2_CampaignResponses[[#This Row],[Gift_Amount]]&gt;10000,"Review - unusually large donation",""))</f>
        <v/>
      </c>
      <c r="K239" s="21" t="str">
        <f>IF(tb2_CampaignResponses[[#This Row],[Supporter_ID]]="","Review - no supporter ID","")</f>
        <v/>
      </c>
      <c r="L239" s="21" t="str">
        <f ca="1">IF(tb2_CampaignResponses[[#This Row],[Response_Date]]&gt;TODAY(),"Review - future response date","")</f>
        <v/>
      </c>
    </row>
    <row r="240" spans="1:12" x14ac:dyDescent="0.25">
      <c r="A240" s="3" t="s">
        <v>3790</v>
      </c>
      <c r="B240" s="2" t="s">
        <v>2770</v>
      </c>
      <c r="C240" s="2" t="s">
        <v>3403</v>
      </c>
      <c r="D240" s="2" t="s">
        <v>3404</v>
      </c>
      <c r="E240" s="2" t="s">
        <v>3316</v>
      </c>
      <c r="F240" s="15">
        <v>45616</v>
      </c>
      <c r="G240" s="25">
        <v>9.5</v>
      </c>
      <c r="H240" s="2" t="s">
        <v>36</v>
      </c>
      <c r="I240" s="4" t="s">
        <v>3331</v>
      </c>
      <c r="J240" s="2" t="str">
        <f>IF(tb2_CampaignResponses[[#This Row],[Gift_Amount]]&lt;0,"Review - negative amount",IF(tb2_CampaignResponses[[#This Row],[Gift_Amount]]&gt;10000,"Review - unusually large donation",""))</f>
        <v/>
      </c>
      <c r="K240" s="21" t="str">
        <f>IF(tb2_CampaignResponses[[#This Row],[Supporter_ID]]="","Review - no supporter ID","")</f>
        <v/>
      </c>
      <c r="L240" s="21" t="str">
        <f ca="1">IF(tb2_CampaignResponses[[#This Row],[Response_Date]]&gt;TODAY(),"Review - future response date","")</f>
        <v/>
      </c>
    </row>
    <row r="241" spans="1:12" x14ac:dyDescent="0.25">
      <c r="A241" s="3" t="s">
        <v>3792</v>
      </c>
      <c r="B241" s="2" t="s">
        <v>2483</v>
      </c>
      <c r="C241" s="2" t="s">
        <v>3427</v>
      </c>
      <c r="D241" s="2" t="s">
        <v>3428</v>
      </c>
      <c r="E241" s="2" t="s">
        <v>4</v>
      </c>
      <c r="F241" s="15">
        <v>45488</v>
      </c>
      <c r="G241" s="25">
        <v>24.66</v>
      </c>
      <c r="H241" s="2" t="s">
        <v>36</v>
      </c>
      <c r="I241" s="4" t="s">
        <v>3385</v>
      </c>
      <c r="J241" s="2" t="str">
        <f>IF(tb2_CampaignResponses[[#This Row],[Gift_Amount]]&lt;0,"Review - negative amount",IF(tb2_CampaignResponses[[#This Row],[Gift_Amount]]&gt;10000,"Review - unusually large donation",""))</f>
        <v/>
      </c>
      <c r="K241" s="21" t="str">
        <f>IF(tb2_CampaignResponses[[#This Row],[Supporter_ID]]="","Review - no supporter ID","")</f>
        <v/>
      </c>
      <c r="L241" s="21" t="str">
        <f ca="1">IF(tb2_CampaignResponses[[#This Row],[Response_Date]]&gt;TODAY(),"Review - future response date","")</f>
        <v/>
      </c>
    </row>
    <row r="242" spans="1:12" x14ac:dyDescent="0.25">
      <c r="A242" s="3" t="s">
        <v>3793</v>
      </c>
      <c r="B242" s="2" t="s">
        <v>2154</v>
      </c>
      <c r="C242" s="2" t="s">
        <v>3427</v>
      </c>
      <c r="D242" s="2" t="s">
        <v>3428</v>
      </c>
      <c r="E242" s="2" t="s">
        <v>4</v>
      </c>
      <c r="F242" s="15">
        <v>45488</v>
      </c>
      <c r="G242" s="25">
        <v>4358.37</v>
      </c>
      <c r="H242" s="2" t="s">
        <v>36</v>
      </c>
      <c r="I242" s="4" t="s">
        <v>3323</v>
      </c>
      <c r="J242" s="2" t="str">
        <f>IF(tb2_CampaignResponses[[#This Row],[Gift_Amount]]&lt;0,"Review - negative amount",IF(tb2_CampaignResponses[[#This Row],[Gift_Amount]]&gt;10000,"Review - unusually large donation",""))</f>
        <v/>
      </c>
      <c r="K242" s="21" t="str">
        <f>IF(tb2_CampaignResponses[[#This Row],[Supporter_ID]]="","Review - no supporter ID","")</f>
        <v/>
      </c>
      <c r="L242" s="21" t="str">
        <f ca="1">IF(tb2_CampaignResponses[[#This Row],[Response_Date]]&gt;TODAY(),"Review - future response date","")</f>
        <v/>
      </c>
    </row>
    <row r="243" spans="1:12" x14ac:dyDescent="0.25">
      <c r="A243" s="3" t="s">
        <v>3794</v>
      </c>
      <c r="B243" s="2" t="s">
        <v>433</v>
      </c>
      <c r="C243" s="2" t="s">
        <v>3320</v>
      </c>
      <c r="D243" s="2" t="s">
        <v>3321</v>
      </c>
      <c r="E243" s="2" t="s">
        <v>4</v>
      </c>
      <c r="F243" s="15">
        <v>45458</v>
      </c>
      <c r="G243" s="25">
        <v>17.32</v>
      </c>
      <c r="H243" s="2" t="s">
        <v>37</v>
      </c>
      <c r="I243" s="4" t="s">
        <v>3331</v>
      </c>
      <c r="J243" s="2" t="str">
        <f>IF(tb2_CampaignResponses[[#This Row],[Gift_Amount]]&lt;0,"Review - negative amount",IF(tb2_CampaignResponses[[#This Row],[Gift_Amount]]&gt;10000,"Review - unusually large donation",""))</f>
        <v/>
      </c>
      <c r="K243" s="21" t="str">
        <f>IF(tb2_CampaignResponses[[#This Row],[Supporter_ID]]="","Review - no supporter ID","")</f>
        <v/>
      </c>
      <c r="L243" s="21" t="str">
        <f ca="1">IF(tb2_CampaignResponses[[#This Row],[Response_Date]]&gt;TODAY(),"Review - future response date","")</f>
        <v/>
      </c>
    </row>
    <row r="244" spans="1:12" x14ac:dyDescent="0.25">
      <c r="A244" s="3" t="s">
        <v>3795</v>
      </c>
      <c r="B244" s="2" t="s">
        <v>1167</v>
      </c>
      <c r="C244" s="2" t="s">
        <v>3314</v>
      </c>
      <c r="D244" s="2" t="s">
        <v>3315</v>
      </c>
      <c r="E244" s="2" t="s">
        <v>65</v>
      </c>
      <c r="F244" s="15">
        <v>45685</v>
      </c>
      <c r="G244" s="25">
        <v>37.54</v>
      </c>
      <c r="H244" s="2" t="s">
        <v>36</v>
      </c>
      <c r="I244" s="4" t="s">
        <v>3318</v>
      </c>
      <c r="J244" s="2" t="str">
        <f>IF(tb2_CampaignResponses[[#This Row],[Gift_Amount]]&lt;0,"Review - negative amount",IF(tb2_CampaignResponses[[#This Row],[Gift_Amount]]&gt;10000,"Review - unusually large donation",""))</f>
        <v/>
      </c>
      <c r="K244" s="21" t="str">
        <f>IF(tb2_CampaignResponses[[#This Row],[Supporter_ID]]="","Review - no supporter ID","")</f>
        <v/>
      </c>
      <c r="L244" s="21" t="str">
        <f ca="1">IF(tb2_CampaignResponses[[#This Row],[Response_Date]]&gt;TODAY(),"Review - future response date","")</f>
        <v/>
      </c>
    </row>
    <row r="245" spans="1:12" x14ac:dyDescent="0.25">
      <c r="A245" s="3" t="s">
        <v>3797</v>
      </c>
      <c r="B245" s="2" t="s">
        <v>1976</v>
      </c>
      <c r="C245" s="2" t="s">
        <v>3403</v>
      </c>
      <c r="D245" s="2" t="s">
        <v>3404</v>
      </c>
      <c r="E245" s="2" t="s">
        <v>4</v>
      </c>
      <c r="F245" s="15">
        <v>45631</v>
      </c>
      <c r="G245" s="25">
        <v>2557.66</v>
      </c>
      <c r="H245" s="2" t="s">
        <v>36</v>
      </c>
      <c r="I245" s="4" t="s">
        <v>3385</v>
      </c>
      <c r="J245" s="2" t="str">
        <f>IF(tb2_CampaignResponses[[#This Row],[Gift_Amount]]&lt;0,"Review - negative amount",IF(tb2_CampaignResponses[[#This Row],[Gift_Amount]]&gt;10000,"Review - unusually large donation",""))</f>
        <v/>
      </c>
      <c r="K245" s="21" t="str">
        <f>IF(tb2_CampaignResponses[[#This Row],[Supporter_ID]]="","Review - no supporter ID","")</f>
        <v/>
      </c>
      <c r="L245" s="21" t="str">
        <f ca="1">IF(tb2_CampaignResponses[[#This Row],[Response_Date]]&gt;TODAY(),"Review - future response date","")</f>
        <v/>
      </c>
    </row>
    <row r="246" spans="1:12" x14ac:dyDescent="0.25">
      <c r="A246" s="3" t="s">
        <v>3799</v>
      </c>
      <c r="B246" s="2" t="s">
        <v>1608</v>
      </c>
      <c r="C246" s="2" t="s">
        <v>3336</v>
      </c>
      <c r="D246" s="2" t="s">
        <v>3337</v>
      </c>
      <c r="E246" s="2" t="s">
        <v>3338</v>
      </c>
      <c r="F246" s="15">
        <v>45557</v>
      </c>
      <c r="G246" s="25">
        <v>26.11</v>
      </c>
      <c r="H246" s="2" t="s">
        <v>36</v>
      </c>
      <c r="I246" s="4" t="s">
        <v>3318</v>
      </c>
      <c r="J246" s="2" t="str">
        <f>IF(tb2_CampaignResponses[[#This Row],[Gift_Amount]]&lt;0,"Review - negative amount",IF(tb2_CampaignResponses[[#This Row],[Gift_Amount]]&gt;10000,"Review - unusually large donation",""))</f>
        <v/>
      </c>
      <c r="K246" s="21" t="str">
        <f>IF(tb2_CampaignResponses[[#This Row],[Supporter_ID]]="","Review - no supporter ID","")</f>
        <v/>
      </c>
      <c r="L246" s="21" t="str">
        <f ca="1">IF(tb2_CampaignResponses[[#This Row],[Response_Date]]&gt;TODAY(),"Review - future response date","")</f>
        <v/>
      </c>
    </row>
    <row r="247" spans="1:12" x14ac:dyDescent="0.25">
      <c r="A247" s="3" t="s">
        <v>3801</v>
      </c>
      <c r="B247" s="2" t="s">
        <v>1219</v>
      </c>
      <c r="C247" s="2" t="s">
        <v>3341</v>
      </c>
      <c r="D247" s="2" t="s">
        <v>3342</v>
      </c>
      <c r="E247" s="2" t="s">
        <v>3316</v>
      </c>
      <c r="F247" s="15">
        <v>45690</v>
      </c>
      <c r="G247" s="25">
        <v>96.72</v>
      </c>
      <c r="H247" s="2" t="s">
        <v>37</v>
      </c>
      <c r="I247" s="4" t="s">
        <v>3365</v>
      </c>
      <c r="J247" s="2" t="str">
        <f>IF(tb2_CampaignResponses[[#This Row],[Gift_Amount]]&lt;0,"Review - negative amount",IF(tb2_CampaignResponses[[#This Row],[Gift_Amount]]&gt;10000,"Review - unusually large donation",""))</f>
        <v/>
      </c>
      <c r="K247" s="21" t="str">
        <f>IF(tb2_CampaignResponses[[#This Row],[Supporter_ID]]="","Review - no supporter ID","")</f>
        <v/>
      </c>
      <c r="L247" s="21" t="str">
        <f ca="1">IF(tb2_CampaignResponses[[#This Row],[Response_Date]]&gt;TODAY(),"Review - future response date","")</f>
        <v/>
      </c>
    </row>
    <row r="248" spans="1:12" x14ac:dyDescent="0.25">
      <c r="A248" s="3" t="s">
        <v>3803</v>
      </c>
      <c r="B248" s="2" t="s">
        <v>2235</v>
      </c>
      <c r="C248" s="2" t="s">
        <v>3336</v>
      </c>
      <c r="D248" s="2" t="s">
        <v>3337</v>
      </c>
      <c r="E248" s="2" t="s">
        <v>3316</v>
      </c>
      <c r="F248" s="15">
        <v>45553</v>
      </c>
      <c r="G248" s="25">
        <v>25.83</v>
      </c>
      <c r="H248" s="2" t="s">
        <v>36</v>
      </c>
      <c r="I248" s="4" t="s">
        <v>3385</v>
      </c>
      <c r="J248" s="2" t="str">
        <f>IF(tb2_CampaignResponses[[#This Row],[Gift_Amount]]&lt;0,"Review - negative amount",IF(tb2_CampaignResponses[[#This Row],[Gift_Amount]]&gt;10000,"Review - unusually large donation",""))</f>
        <v/>
      </c>
      <c r="K248" s="21" t="str">
        <f>IF(tb2_CampaignResponses[[#This Row],[Supporter_ID]]="","Review - no supporter ID","")</f>
        <v/>
      </c>
      <c r="L248" s="21" t="str">
        <f ca="1">IF(tb2_CampaignResponses[[#This Row],[Response_Date]]&gt;TODAY(),"Review - future response date","")</f>
        <v/>
      </c>
    </row>
    <row r="249" spans="1:12" x14ac:dyDescent="0.25">
      <c r="A249" s="3" t="s">
        <v>3805</v>
      </c>
      <c r="B249" s="2" t="s">
        <v>2632</v>
      </c>
      <c r="C249" s="2" t="s">
        <v>3354</v>
      </c>
      <c r="D249" s="2" t="s">
        <v>3355</v>
      </c>
      <c r="E249" s="2" t="s">
        <v>4</v>
      </c>
      <c r="F249" s="15">
        <v>45618</v>
      </c>
      <c r="G249" s="25">
        <v>12.91</v>
      </c>
      <c r="H249" s="2" t="s">
        <v>36</v>
      </c>
      <c r="I249" s="4" t="s">
        <v>3385</v>
      </c>
      <c r="J249" s="2" t="str">
        <f>IF(tb2_CampaignResponses[[#This Row],[Gift_Amount]]&lt;0,"Review - negative amount",IF(tb2_CampaignResponses[[#This Row],[Gift_Amount]]&gt;10000,"Review - unusually large donation",""))</f>
        <v/>
      </c>
      <c r="K249" s="21" t="str">
        <f>IF(tb2_CampaignResponses[[#This Row],[Supporter_ID]]="","Review - no supporter ID","")</f>
        <v/>
      </c>
      <c r="L249" s="21" t="str">
        <f ca="1">IF(tb2_CampaignResponses[[#This Row],[Response_Date]]&gt;TODAY(),"Review - future response date","")</f>
        <v/>
      </c>
    </row>
    <row r="250" spans="1:12" x14ac:dyDescent="0.25">
      <c r="A250" s="3" t="s">
        <v>3806</v>
      </c>
      <c r="B250" s="2" t="s">
        <v>336</v>
      </c>
      <c r="C250" s="2" t="s">
        <v>3427</v>
      </c>
      <c r="D250" s="2" t="s">
        <v>3428</v>
      </c>
      <c r="E250" s="2" t="s">
        <v>65</v>
      </c>
      <c r="F250" s="15">
        <v>45488</v>
      </c>
      <c r="G250" s="25">
        <v>458.47</v>
      </c>
      <c r="H250" s="2" t="s">
        <v>36</v>
      </c>
      <c r="I250" s="4" t="s">
        <v>3331</v>
      </c>
      <c r="J250" s="2" t="str">
        <f>IF(tb2_CampaignResponses[[#This Row],[Gift_Amount]]&lt;0,"Review - negative amount",IF(tb2_CampaignResponses[[#This Row],[Gift_Amount]]&gt;10000,"Review - unusually large donation",""))</f>
        <v/>
      </c>
      <c r="K250" s="21" t="str">
        <f>IF(tb2_CampaignResponses[[#This Row],[Supporter_ID]]="","Review - no supporter ID","")</f>
        <v/>
      </c>
      <c r="L250" s="21" t="str">
        <f ca="1">IF(tb2_CampaignResponses[[#This Row],[Response_Date]]&gt;TODAY(),"Review - future response date","")</f>
        <v/>
      </c>
    </row>
    <row r="251" spans="1:12" x14ac:dyDescent="0.25">
      <c r="A251" s="3" t="s">
        <v>3807</v>
      </c>
      <c r="B251" s="2" t="s">
        <v>734</v>
      </c>
      <c r="C251" s="2" t="s">
        <v>3314</v>
      </c>
      <c r="D251" s="2" t="s">
        <v>3315</v>
      </c>
      <c r="E251" s="2" t="s">
        <v>33</v>
      </c>
      <c r="F251" s="15">
        <v>45670</v>
      </c>
      <c r="G251" s="25">
        <v>39.299999999999997</v>
      </c>
      <c r="H251" s="2" t="s">
        <v>37</v>
      </c>
      <c r="I251" s="4" t="s">
        <v>3328</v>
      </c>
      <c r="J251" s="2" t="str">
        <f>IF(tb2_CampaignResponses[[#This Row],[Gift_Amount]]&lt;0,"Review - negative amount",IF(tb2_CampaignResponses[[#This Row],[Gift_Amount]]&gt;10000,"Review - unusually large donation",""))</f>
        <v/>
      </c>
      <c r="K251" s="21" t="str">
        <f>IF(tb2_CampaignResponses[[#This Row],[Supporter_ID]]="","Review - no supporter ID","")</f>
        <v/>
      </c>
      <c r="L251" s="21" t="str">
        <f ca="1">IF(tb2_CampaignResponses[[#This Row],[Response_Date]]&gt;TODAY(),"Review - future response date","")</f>
        <v/>
      </c>
    </row>
    <row r="252" spans="1:12" x14ac:dyDescent="0.25">
      <c r="A252" s="3" t="s">
        <v>3809</v>
      </c>
      <c r="B252" s="2" t="s">
        <v>1104</v>
      </c>
      <c r="C252" s="2" t="s">
        <v>3367</v>
      </c>
      <c r="D252" s="2" t="s">
        <v>3368</v>
      </c>
      <c r="E252" s="2" t="s">
        <v>4</v>
      </c>
      <c r="F252" s="15">
        <v>45772</v>
      </c>
      <c r="G252" s="25">
        <v>22.58</v>
      </c>
      <c r="H252" s="2" t="s">
        <v>36</v>
      </c>
      <c r="I252" s="4" t="s">
        <v>3385</v>
      </c>
      <c r="J252" s="2" t="str">
        <f>IF(tb2_CampaignResponses[[#This Row],[Gift_Amount]]&lt;0,"Review - negative amount",IF(tb2_CampaignResponses[[#This Row],[Gift_Amount]]&gt;10000,"Review - unusually large donation",""))</f>
        <v/>
      </c>
      <c r="K252" s="21" t="str">
        <f>IF(tb2_CampaignResponses[[#This Row],[Supporter_ID]]="","Review - no supporter ID","")</f>
        <v/>
      </c>
      <c r="L252" s="21" t="str">
        <f ca="1">IF(tb2_CampaignResponses[[#This Row],[Response_Date]]&gt;TODAY(),"Review - future response date","")</f>
        <v/>
      </c>
    </row>
    <row r="253" spans="1:12" x14ac:dyDescent="0.25">
      <c r="A253" s="3" t="s">
        <v>3811</v>
      </c>
      <c r="B253" s="2" t="s">
        <v>1037</v>
      </c>
      <c r="C253" s="2" t="s">
        <v>3367</v>
      </c>
      <c r="D253" s="2" t="s">
        <v>3368</v>
      </c>
      <c r="E253" s="2" t="s">
        <v>4</v>
      </c>
      <c r="F253" s="15">
        <v>45933</v>
      </c>
      <c r="G253" s="25">
        <v>15.42</v>
      </c>
      <c r="H253" s="2" t="s">
        <v>37</v>
      </c>
      <c r="I253" s="4" t="s">
        <v>3365</v>
      </c>
      <c r="J253" s="2" t="str">
        <f>IF(tb2_CampaignResponses[[#This Row],[Gift_Amount]]&lt;0,"Review - negative amount",IF(tb2_CampaignResponses[[#This Row],[Gift_Amount]]&gt;10000,"Review - unusually large donation",""))</f>
        <v/>
      </c>
      <c r="K253" s="21" t="str">
        <f>IF(tb2_CampaignResponses[[#This Row],[Supporter_ID]]="","Review - no supporter ID","")</f>
        <v/>
      </c>
      <c r="L253" s="21" t="str">
        <f ca="1">IF(tb2_CampaignResponses[[#This Row],[Response_Date]]&gt;TODAY(),"Review - future response date","")</f>
        <v/>
      </c>
    </row>
    <row r="254" spans="1:12" x14ac:dyDescent="0.25">
      <c r="A254" s="3" t="s">
        <v>3813</v>
      </c>
      <c r="B254" s="2" t="s">
        <v>2252</v>
      </c>
      <c r="C254" s="2" t="s">
        <v>3320</v>
      </c>
      <c r="D254" s="2" t="s">
        <v>3321</v>
      </c>
      <c r="E254" s="2" t="s">
        <v>65</v>
      </c>
      <c r="F254" s="15">
        <v>45466</v>
      </c>
      <c r="G254" s="25">
        <v>286.11</v>
      </c>
      <c r="H254" s="2" t="s">
        <v>37</v>
      </c>
      <c r="I254" s="4" t="s">
        <v>3385</v>
      </c>
      <c r="J254" s="2" t="str">
        <f>IF(tb2_CampaignResponses[[#This Row],[Gift_Amount]]&lt;0,"Review - negative amount",IF(tb2_CampaignResponses[[#This Row],[Gift_Amount]]&gt;10000,"Review - unusually large donation",""))</f>
        <v/>
      </c>
      <c r="K254" s="21" t="str">
        <f>IF(tb2_CampaignResponses[[#This Row],[Supporter_ID]]="","Review - no supporter ID","")</f>
        <v/>
      </c>
      <c r="L254" s="21" t="str">
        <f ca="1">IF(tb2_CampaignResponses[[#This Row],[Response_Date]]&gt;TODAY(),"Review - future response date","")</f>
        <v/>
      </c>
    </row>
    <row r="255" spans="1:12" x14ac:dyDescent="0.25">
      <c r="A255" s="3" t="s">
        <v>3815</v>
      </c>
      <c r="B255" s="2" t="s">
        <v>2148</v>
      </c>
      <c r="C255" s="2" t="s">
        <v>3320</v>
      </c>
      <c r="D255" s="2" t="s">
        <v>3321</v>
      </c>
      <c r="E255" s="2" t="s">
        <v>65</v>
      </c>
      <c r="F255" s="15">
        <v>45448</v>
      </c>
      <c r="G255" s="25">
        <v>1173.0999999999999</v>
      </c>
      <c r="H255" s="2" t="s">
        <v>36</v>
      </c>
      <c r="I255" s="4" t="s">
        <v>3385</v>
      </c>
      <c r="J255" s="2" t="str">
        <f>IF(tb2_CampaignResponses[[#This Row],[Gift_Amount]]&lt;0,"Review - negative amount",IF(tb2_CampaignResponses[[#This Row],[Gift_Amount]]&gt;10000,"Review - unusually large donation",""))</f>
        <v/>
      </c>
      <c r="K255" s="21" t="str">
        <f>IF(tb2_CampaignResponses[[#This Row],[Supporter_ID]]="","Review - no supporter ID","")</f>
        <v/>
      </c>
      <c r="L255" s="21" t="str">
        <f ca="1">IF(tb2_CampaignResponses[[#This Row],[Response_Date]]&gt;TODAY(),"Review - future response date","")</f>
        <v/>
      </c>
    </row>
    <row r="256" spans="1:12" x14ac:dyDescent="0.25">
      <c r="A256" s="3" t="s">
        <v>3816</v>
      </c>
      <c r="B256" s="2" t="s">
        <v>203</v>
      </c>
      <c r="C256" s="2" t="s">
        <v>3403</v>
      </c>
      <c r="D256" s="2" t="s">
        <v>3404</v>
      </c>
      <c r="E256" s="2" t="s">
        <v>65</v>
      </c>
      <c r="F256" s="15">
        <v>45644</v>
      </c>
      <c r="G256" s="25">
        <v>12.24</v>
      </c>
      <c r="H256" s="2" t="s">
        <v>36</v>
      </c>
      <c r="I256" s="4" t="s">
        <v>3328</v>
      </c>
      <c r="J256" s="2" t="str">
        <f>IF(tb2_CampaignResponses[[#This Row],[Gift_Amount]]&lt;0,"Review - negative amount",IF(tb2_CampaignResponses[[#This Row],[Gift_Amount]]&gt;10000,"Review - unusually large donation",""))</f>
        <v/>
      </c>
      <c r="K256" s="21" t="str">
        <f>IF(tb2_CampaignResponses[[#This Row],[Supporter_ID]]="","Review - no supporter ID","")</f>
        <v/>
      </c>
      <c r="L256" s="21" t="str">
        <f ca="1">IF(tb2_CampaignResponses[[#This Row],[Response_Date]]&gt;TODAY(),"Review - future response date","")</f>
        <v/>
      </c>
    </row>
    <row r="257" spans="1:12" x14ac:dyDescent="0.25">
      <c r="A257" s="3" t="s">
        <v>3817</v>
      </c>
      <c r="B257" s="2" t="s">
        <v>808</v>
      </c>
      <c r="C257" s="2" t="s">
        <v>3336</v>
      </c>
      <c r="D257" s="2" t="s">
        <v>3337</v>
      </c>
      <c r="E257" s="2" t="s">
        <v>65</v>
      </c>
      <c r="F257" s="15">
        <v>45570</v>
      </c>
      <c r="G257" s="25">
        <v>83.17</v>
      </c>
      <c r="H257" s="2" t="s">
        <v>37</v>
      </c>
      <c r="I257" s="4" t="s">
        <v>3385</v>
      </c>
      <c r="J257" s="2" t="str">
        <f>IF(tb2_CampaignResponses[[#This Row],[Gift_Amount]]&lt;0,"Review - negative amount",IF(tb2_CampaignResponses[[#This Row],[Gift_Amount]]&gt;10000,"Review - unusually large donation",""))</f>
        <v/>
      </c>
      <c r="K257" s="21" t="str">
        <f>IF(tb2_CampaignResponses[[#This Row],[Supporter_ID]]="","Review - no supporter ID","")</f>
        <v/>
      </c>
      <c r="L257" s="21" t="str">
        <f ca="1">IF(tb2_CampaignResponses[[#This Row],[Response_Date]]&gt;TODAY(),"Review - future response date","")</f>
        <v/>
      </c>
    </row>
    <row r="258" spans="1:12" x14ac:dyDescent="0.25">
      <c r="A258" s="3" t="s">
        <v>3819</v>
      </c>
      <c r="B258" s="2" t="s">
        <v>2182</v>
      </c>
      <c r="C258" s="2" t="s">
        <v>3341</v>
      </c>
      <c r="D258" s="2" t="s">
        <v>3342</v>
      </c>
      <c r="E258" s="2" t="s">
        <v>3316</v>
      </c>
      <c r="F258" s="15">
        <v>45732</v>
      </c>
      <c r="G258" s="25">
        <v>350.92</v>
      </c>
      <c r="H258" s="2" t="s">
        <v>36</v>
      </c>
      <c r="I258" s="4" t="s">
        <v>3323</v>
      </c>
      <c r="J258" s="2" t="str">
        <f>IF(tb2_CampaignResponses[[#This Row],[Gift_Amount]]&lt;0,"Review - negative amount",IF(tb2_CampaignResponses[[#This Row],[Gift_Amount]]&gt;10000,"Review - unusually large donation",""))</f>
        <v/>
      </c>
      <c r="K258" s="21" t="str">
        <f>IF(tb2_CampaignResponses[[#This Row],[Supporter_ID]]="","Review - no supporter ID","")</f>
        <v/>
      </c>
      <c r="L258" s="21" t="str">
        <f ca="1">IF(tb2_CampaignResponses[[#This Row],[Response_Date]]&gt;TODAY(),"Review - future response date","")</f>
        <v/>
      </c>
    </row>
    <row r="259" spans="1:12" x14ac:dyDescent="0.25">
      <c r="A259" s="3" t="s">
        <v>3821</v>
      </c>
      <c r="B259" s="2" t="s">
        <v>1982</v>
      </c>
      <c r="C259" s="2" t="s">
        <v>3325</v>
      </c>
      <c r="D259" s="2" t="s">
        <v>3326</v>
      </c>
      <c r="E259" s="2" t="s">
        <v>3338</v>
      </c>
      <c r="F259" s="15">
        <v>45619</v>
      </c>
      <c r="G259" s="25">
        <v>321.75</v>
      </c>
      <c r="H259" s="2" t="s">
        <v>37</v>
      </c>
      <c r="I259" s="4" t="s">
        <v>3328</v>
      </c>
      <c r="J259" s="2" t="str">
        <f>IF(tb2_CampaignResponses[[#This Row],[Gift_Amount]]&lt;0,"Review - negative amount",IF(tb2_CampaignResponses[[#This Row],[Gift_Amount]]&gt;10000,"Review - unusually large donation",""))</f>
        <v/>
      </c>
      <c r="K259" s="21" t="str">
        <f>IF(tb2_CampaignResponses[[#This Row],[Supporter_ID]]="","Review - no supporter ID","")</f>
        <v/>
      </c>
      <c r="L259" s="21" t="str">
        <f ca="1">IF(tb2_CampaignResponses[[#This Row],[Response_Date]]&gt;TODAY(),"Review - future response date","")</f>
        <v/>
      </c>
    </row>
    <row r="260" spans="1:12" x14ac:dyDescent="0.25">
      <c r="A260" s="3" t="s">
        <v>3823</v>
      </c>
      <c r="B260" s="2" t="s">
        <v>740</v>
      </c>
      <c r="C260" s="2" t="s">
        <v>3341</v>
      </c>
      <c r="D260" s="2" t="s">
        <v>3342</v>
      </c>
      <c r="E260" s="2" t="s">
        <v>4</v>
      </c>
      <c r="F260" s="15">
        <v>45690</v>
      </c>
      <c r="G260" s="25">
        <v>207.59</v>
      </c>
      <c r="H260" s="2" t="s">
        <v>36</v>
      </c>
      <c r="I260" s="4" t="s">
        <v>3331</v>
      </c>
      <c r="J260" s="2" t="str">
        <f>IF(tb2_CampaignResponses[[#This Row],[Gift_Amount]]&lt;0,"Review - negative amount",IF(tb2_CampaignResponses[[#This Row],[Gift_Amount]]&gt;10000,"Review - unusually large donation",""))</f>
        <v/>
      </c>
      <c r="K260" s="21" t="str">
        <f>IF(tb2_CampaignResponses[[#This Row],[Supporter_ID]]="","Review - no supporter ID","")</f>
        <v/>
      </c>
      <c r="L260" s="21" t="str">
        <f ca="1">IF(tb2_CampaignResponses[[#This Row],[Response_Date]]&gt;TODAY(),"Review - future response date","")</f>
        <v/>
      </c>
    </row>
    <row r="261" spans="1:12" x14ac:dyDescent="0.25">
      <c r="A261" s="3" t="s">
        <v>3824</v>
      </c>
      <c r="B261" s="2" t="s">
        <v>717</v>
      </c>
      <c r="C261" s="2" t="s">
        <v>3341</v>
      </c>
      <c r="D261" s="2" t="s">
        <v>3342</v>
      </c>
      <c r="E261" s="2" t="s">
        <v>4</v>
      </c>
      <c r="F261" s="15">
        <v>45711</v>
      </c>
      <c r="G261" s="25">
        <v>230.59</v>
      </c>
      <c r="H261" s="2" t="s">
        <v>36</v>
      </c>
      <c r="I261" s="4" t="s">
        <v>3318</v>
      </c>
      <c r="J261" s="2" t="str">
        <f>IF(tb2_CampaignResponses[[#This Row],[Gift_Amount]]&lt;0,"Review - negative amount",IF(tb2_CampaignResponses[[#This Row],[Gift_Amount]]&gt;10000,"Review - unusually large donation",""))</f>
        <v/>
      </c>
      <c r="K261" s="21" t="str">
        <f>IF(tb2_CampaignResponses[[#This Row],[Supporter_ID]]="","Review - no supporter ID","")</f>
        <v/>
      </c>
      <c r="L261" s="21" t="str">
        <f ca="1">IF(tb2_CampaignResponses[[#This Row],[Response_Date]]&gt;TODAY(),"Review - future response date","")</f>
        <v/>
      </c>
    </row>
    <row r="262" spans="1:12" x14ac:dyDescent="0.25">
      <c r="A262" s="3" t="s">
        <v>3825</v>
      </c>
      <c r="B262" s="2" t="s">
        <v>3229</v>
      </c>
      <c r="C262" s="2" t="s">
        <v>3427</v>
      </c>
      <c r="D262" s="2" t="s">
        <v>3428</v>
      </c>
      <c r="E262" s="2" t="s">
        <v>4</v>
      </c>
      <c r="F262" s="15">
        <v>45488</v>
      </c>
      <c r="G262" s="25">
        <v>20.55</v>
      </c>
      <c r="H262" s="2" t="s">
        <v>36</v>
      </c>
      <c r="I262" s="4" t="s">
        <v>3370</v>
      </c>
      <c r="J262" s="2" t="str">
        <f>IF(tb2_CampaignResponses[[#This Row],[Gift_Amount]]&lt;0,"Review - negative amount",IF(tb2_CampaignResponses[[#This Row],[Gift_Amount]]&gt;10000,"Review - unusually large donation",""))</f>
        <v/>
      </c>
      <c r="K262" s="21" t="str">
        <f>IF(tb2_CampaignResponses[[#This Row],[Supporter_ID]]="","Review - no supporter ID","")</f>
        <v/>
      </c>
      <c r="L262" s="21" t="str">
        <f ca="1">IF(tb2_CampaignResponses[[#This Row],[Response_Date]]&gt;TODAY(),"Review - future response date","")</f>
        <v/>
      </c>
    </row>
    <row r="263" spans="1:12" x14ac:dyDescent="0.25">
      <c r="A263" s="3" t="s">
        <v>3826</v>
      </c>
      <c r="B263" s="2" t="s">
        <v>1511</v>
      </c>
      <c r="C263" s="2" t="s">
        <v>3336</v>
      </c>
      <c r="D263" s="2" t="s">
        <v>3337</v>
      </c>
      <c r="E263" s="2" t="s">
        <v>3316</v>
      </c>
      <c r="F263" s="15">
        <v>45556</v>
      </c>
      <c r="G263" s="25">
        <v>27.21</v>
      </c>
      <c r="H263" s="2" t="s">
        <v>37</v>
      </c>
      <c r="I263" s="4" t="s">
        <v>3385</v>
      </c>
      <c r="J263" s="2" t="str">
        <f>IF(tb2_CampaignResponses[[#This Row],[Gift_Amount]]&lt;0,"Review - negative amount",IF(tb2_CampaignResponses[[#This Row],[Gift_Amount]]&gt;10000,"Review - unusually large donation",""))</f>
        <v/>
      </c>
      <c r="K263" s="21" t="str">
        <f>IF(tb2_CampaignResponses[[#This Row],[Supporter_ID]]="","Review - no supporter ID","")</f>
        <v/>
      </c>
      <c r="L263" s="21" t="str">
        <f ca="1">IF(tb2_CampaignResponses[[#This Row],[Response_Date]]&gt;TODAY(),"Review - future response date","")</f>
        <v/>
      </c>
    </row>
    <row r="264" spans="1:12" x14ac:dyDescent="0.25">
      <c r="A264" s="3" t="s">
        <v>3828</v>
      </c>
      <c r="B264" s="2" t="s">
        <v>1850</v>
      </c>
      <c r="C264" s="2" t="s">
        <v>3427</v>
      </c>
      <c r="D264" s="2" t="s">
        <v>3428</v>
      </c>
      <c r="E264" s="2" t="s">
        <v>65</v>
      </c>
      <c r="F264" s="15">
        <v>45488</v>
      </c>
      <c r="G264" s="25">
        <v>90.6</v>
      </c>
      <c r="H264" s="2" t="s">
        <v>37</v>
      </c>
      <c r="I264" s="4" t="s">
        <v>3370</v>
      </c>
      <c r="J264" s="2" t="str">
        <f>IF(tb2_CampaignResponses[[#This Row],[Gift_Amount]]&lt;0,"Review - negative amount",IF(tb2_CampaignResponses[[#This Row],[Gift_Amount]]&gt;10000,"Review - unusually large donation",""))</f>
        <v/>
      </c>
      <c r="K264" s="21" t="str">
        <f>IF(tb2_CampaignResponses[[#This Row],[Supporter_ID]]="","Review - no supporter ID","")</f>
        <v/>
      </c>
      <c r="L264" s="21" t="str">
        <f ca="1">IF(tb2_CampaignResponses[[#This Row],[Response_Date]]&gt;TODAY(),"Review - future response date","")</f>
        <v/>
      </c>
    </row>
    <row r="265" spans="1:12" x14ac:dyDescent="0.25">
      <c r="A265" s="3" t="s">
        <v>3829</v>
      </c>
      <c r="B265" s="2" t="s">
        <v>723</v>
      </c>
      <c r="C265" s="2" t="s">
        <v>3354</v>
      </c>
      <c r="D265" s="2" t="s">
        <v>3355</v>
      </c>
      <c r="E265" s="2" t="s">
        <v>65</v>
      </c>
      <c r="F265" s="15">
        <v>45618</v>
      </c>
      <c r="G265" s="25">
        <v>1583.28</v>
      </c>
      <c r="H265" s="2" t="s">
        <v>36</v>
      </c>
      <c r="I265" s="4" t="s">
        <v>3318</v>
      </c>
      <c r="J265" s="2" t="str">
        <f>IF(tb2_CampaignResponses[[#This Row],[Gift_Amount]]&lt;0,"Review - negative amount",IF(tb2_CampaignResponses[[#This Row],[Gift_Amount]]&gt;10000,"Review - unusually large donation",""))</f>
        <v/>
      </c>
      <c r="K265" s="21" t="str">
        <f>IF(tb2_CampaignResponses[[#This Row],[Supporter_ID]]="","Review - no supporter ID","")</f>
        <v/>
      </c>
      <c r="L265" s="21" t="str">
        <f ca="1">IF(tb2_CampaignResponses[[#This Row],[Response_Date]]&gt;TODAY(),"Review - future response date","")</f>
        <v/>
      </c>
    </row>
    <row r="266" spans="1:12" x14ac:dyDescent="0.25">
      <c r="A266" s="3" t="s">
        <v>3830</v>
      </c>
      <c r="B266" s="2" t="s">
        <v>2668</v>
      </c>
      <c r="C266" s="2" t="s">
        <v>3367</v>
      </c>
      <c r="D266" s="2" t="s">
        <v>3368</v>
      </c>
      <c r="E266" s="2" t="s">
        <v>4</v>
      </c>
      <c r="F266" s="15">
        <v>45776</v>
      </c>
      <c r="G266" s="25">
        <v>72.47</v>
      </c>
      <c r="H266" s="2" t="s">
        <v>37</v>
      </c>
      <c r="I266" s="4" t="s">
        <v>3370</v>
      </c>
      <c r="J266" s="2" t="str">
        <f>IF(tb2_CampaignResponses[[#This Row],[Gift_Amount]]&lt;0,"Review - negative amount",IF(tb2_CampaignResponses[[#This Row],[Gift_Amount]]&gt;10000,"Review - unusually large donation",""))</f>
        <v/>
      </c>
      <c r="K266" s="21" t="str">
        <f>IF(tb2_CampaignResponses[[#This Row],[Supporter_ID]]="","Review - no supporter ID","")</f>
        <v/>
      </c>
      <c r="L266" s="21" t="str">
        <f ca="1">IF(tb2_CampaignResponses[[#This Row],[Response_Date]]&gt;TODAY(),"Review - future response date","")</f>
        <v/>
      </c>
    </row>
    <row r="267" spans="1:12" x14ac:dyDescent="0.25">
      <c r="A267" s="3" t="s">
        <v>3832</v>
      </c>
      <c r="B267" s="2" t="s">
        <v>401</v>
      </c>
      <c r="C267" s="2" t="s">
        <v>3325</v>
      </c>
      <c r="D267" s="2" t="s">
        <v>3326</v>
      </c>
      <c r="E267" s="2" t="s">
        <v>3338</v>
      </c>
      <c r="F267" s="15">
        <v>45623</v>
      </c>
      <c r="G267" s="25">
        <v>145.47</v>
      </c>
      <c r="H267" s="2" t="s">
        <v>37</v>
      </c>
      <c r="I267" s="4" t="s">
        <v>3328</v>
      </c>
      <c r="J267" s="2" t="str">
        <f>IF(tb2_CampaignResponses[[#This Row],[Gift_Amount]]&lt;0,"Review - negative amount",IF(tb2_CampaignResponses[[#This Row],[Gift_Amount]]&gt;10000,"Review - unusually large donation",""))</f>
        <v/>
      </c>
      <c r="K267" s="21" t="str">
        <f>IF(tb2_CampaignResponses[[#This Row],[Supporter_ID]]="","Review - no supporter ID","")</f>
        <v/>
      </c>
      <c r="L267" s="21" t="str">
        <f ca="1">IF(tb2_CampaignResponses[[#This Row],[Response_Date]]&gt;TODAY(),"Review - future response date","")</f>
        <v/>
      </c>
    </row>
    <row r="268" spans="1:12" x14ac:dyDescent="0.25">
      <c r="A268" s="3" t="s">
        <v>3834</v>
      </c>
      <c r="B268" s="2" t="s">
        <v>2469</v>
      </c>
      <c r="C268" s="2" t="s">
        <v>3320</v>
      </c>
      <c r="D268" s="2" t="s">
        <v>3321</v>
      </c>
      <c r="E268" s="2" t="s">
        <v>65</v>
      </c>
      <c r="F268" s="15">
        <v>45450</v>
      </c>
      <c r="G268" s="25">
        <v>316.82</v>
      </c>
      <c r="H268" s="2" t="s">
        <v>36</v>
      </c>
      <c r="I268" s="4" t="s">
        <v>3334</v>
      </c>
      <c r="J268" s="2" t="str">
        <f>IF(tb2_CampaignResponses[[#This Row],[Gift_Amount]]&lt;0,"Review - negative amount",IF(tb2_CampaignResponses[[#This Row],[Gift_Amount]]&gt;10000,"Review - unusually large donation",""))</f>
        <v/>
      </c>
      <c r="K268" s="21" t="str">
        <f>IF(tb2_CampaignResponses[[#This Row],[Supporter_ID]]="","Review - no supporter ID","")</f>
        <v/>
      </c>
      <c r="L268" s="21" t="str">
        <f ca="1">IF(tb2_CampaignResponses[[#This Row],[Response_Date]]&gt;TODAY(),"Review - future response date","")</f>
        <v/>
      </c>
    </row>
    <row r="269" spans="1:12" x14ac:dyDescent="0.25">
      <c r="A269" s="3" t="s">
        <v>3836</v>
      </c>
      <c r="B269" s="2" t="s">
        <v>3159</v>
      </c>
      <c r="C269" s="2" t="s">
        <v>3325</v>
      </c>
      <c r="D269" s="2" t="s">
        <v>3326</v>
      </c>
      <c r="E269" s="2" t="s">
        <v>3316</v>
      </c>
      <c r="F269" s="15">
        <v>45637</v>
      </c>
      <c r="G269" s="25">
        <v>3208.87</v>
      </c>
      <c r="H269" s="2" t="s">
        <v>36</v>
      </c>
      <c r="I269" s="4" t="s">
        <v>3323</v>
      </c>
      <c r="J269" s="2" t="str">
        <f>IF(tb2_CampaignResponses[[#This Row],[Gift_Amount]]&lt;0,"Review - negative amount",IF(tb2_CampaignResponses[[#This Row],[Gift_Amount]]&gt;10000,"Review - unusually large donation",""))</f>
        <v/>
      </c>
      <c r="K269" s="21" t="str">
        <f>IF(tb2_CampaignResponses[[#This Row],[Supporter_ID]]="","Review - no supporter ID","")</f>
        <v/>
      </c>
      <c r="L269" s="21" t="str">
        <f ca="1">IF(tb2_CampaignResponses[[#This Row],[Response_Date]]&gt;TODAY(),"Review - future response date","")</f>
        <v/>
      </c>
    </row>
    <row r="270" spans="1:12" x14ac:dyDescent="0.25">
      <c r="A270" s="3" t="s">
        <v>3838</v>
      </c>
      <c r="B270" s="2" t="s">
        <v>1470</v>
      </c>
      <c r="C270" s="2" t="s">
        <v>3314</v>
      </c>
      <c r="D270" s="2" t="s">
        <v>3315</v>
      </c>
      <c r="E270" s="2" t="s">
        <v>65</v>
      </c>
      <c r="F270" s="15">
        <v>45700</v>
      </c>
      <c r="G270" s="25">
        <v>26.64</v>
      </c>
      <c r="H270" s="2" t="s">
        <v>36</v>
      </c>
      <c r="I270" s="4" t="s">
        <v>3328</v>
      </c>
      <c r="J270" s="2" t="str">
        <f>IF(tb2_CampaignResponses[[#This Row],[Gift_Amount]]&lt;0,"Review - negative amount",IF(tb2_CampaignResponses[[#This Row],[Gift_Amount]]&gt;10000,"Review - unusually large donation",""))</f>
        <v/>
      </c>
      <c r="K270" s="21" t="str">
        <f>IF(tb2_CampaignResponses[[#This Row],[Supporter_ID]]="","Review - no supporter ID","")</f>
        <v/>
      </c>
      <c r="L270" s="21" t="str">
        <f ca="1">IF(tb2_CampaignResponses[[#This Row],[Response_Date]]&gt;TODAY(),"Review - future response date","")</f>
        <v/>
      </c>
    </row>
    <row r="271" spans="1:12" x14ac:dyDescent="0.25">
      <c r="A271" s="3" t="s">
        <v>3840</v>
      </c>
      <c r="B271" s="2" t="s">
        <v>2778</v>
      </c>
      <c r="C271" s="2" t="s">
        <v>3325</v>
      </c>
      <c r="D271" s="2" t="s">
        <v>3326</v>
      </c>
      <c r="E271" s="2" t="s">
        <v>65</v>
      </c>
      <c r="F271" s="15">
        <v>45628</v>
      </c>
      <c r="G271" s="25">
        <v>10.5</v>
      </c>
      <c r="H271" s="2" t="s">
        <v>36</v>
      </c>
      <c r="I271" s="4" t="s">
        <v>3323</v>
      </c>
      <c r="J271" s="2" t="str">
        <f>IF(tb2_CampaignResponses[[#This Row],[Gift_Amount]]&lt;0,"Review - negative amount",IF(tb2_CampaignResponses[[#This Row],[Gift_Amount]]&gt;10000,"Review - unusually large donation",""))</f>
        <v/>
      </c>
      <c r="K271" s="21" t="str">
        <f>IF(tb2_CampaignResponses[[#This Row],[Supporter_ID]]="","Review - no supporter ID","")</f>
        <v/>
      </c>
      <c r="L271" s="21" t="str">
        <f ca="1">IF(tb2_CampaignResponses[[#This Row],[Response_Date]]&gt;TODAY(),"Review - future response date","")</f>
        <v/>
      </c>
    </row>
    <row r="272" spans="1:12" x14ac:dyDescent="0.25">
      <c r="A272" s="3" t="s">
        <v>3842</v>
      </c>
      <c r="B272" s="2" t="s">
        <v>2928</v>
      </c>
      <c r="C272" s="2" t="s">
        <v>3354</v>
      </c>
      <c r="D272" s="2" t="s">
        <v>3355</v>
      </c>
      <c r="E272" s="2" t="s">
        <v>4</v>
      </c>
      <c r="F272" s="15">
        <v>45618</v>
      </c>
      <c r="G272" s="25">
        <v>14.17</v>
      </c>
      <c r="H272" s="2" t="s">
        <v>37</v>
      </c>
      <c r="I272" s="4" t="s">
        <v>3328</v>
      </c>
      <c r="J272" s="2" t="str">
        <f>IF(tb2_CampaignResponses[[#This Row],[Gift_Amount]]&lt;0,"Review - negative amount",IF(tb2_CampaignResponses[[#This Row],[Gift_Amount]]&gt;10000,"Review - unusually large donation",""))</f>
        <v/>
      </c>
      <c r="K272" s="21" t="str">
        <f>IF(tb2_CampaignResponses[[#This Row],[Supporter_ID]]="","Review - no supporter ID","")</f>
        <v/>
      </c>
      <c r="L272" s="21" t="str">
        <f ca="1">IF(tb2_CampaignResponses[[#This Row],[Response_Date]]&gt;TODAY(),"Review - future response date","")</f>
        <v/>
      </c>
    </row>
    <row r="273" spans="1:12" x14ac:dyDescent="0.25">
      <c r="A273" s="3" t="s">
        <v>3843</v>
      </c>
      <c r="B273" s="2" t="s">
        <v>1399</v>
      </c>
      <c r="C273" s="2" t="s">
        <v>3341</v>
      </c>
      <c r="D273" s="2" t="s">
        <v>3342</v>
      </c>
      <c r="E273" s="2" t="s">
        <v>91</v>
      </c>
      <c r="F273" s="15">
        <v>45734</v>
      </c>
      <c r="G273" s="25">
        <v>60.2</v>
      </c>
      <c r="H273" s="2" t="s">
        <v>36</v>
      </c>
      <c r="I273" s="4" t="s">
        <v>3323</v>
      </c>
      <c r="J273" s="2" t="str">
        <f>IF(tb2_CampaignResponses[[#This Row],[Gift_Amount]]&lt;0,"Review - negative amount",IF(tb2_CampaignResponses[[#This Row],[Gift_Amount]]&gt;10000,"Review - unusually large donation",""))</f>
        <v/>
      </c>
      <c r="K273" s="21" t="str">
        <f>IF(tb2_CampaignResponses[[#This Row],[Supporter_ID]]="","Review - no supporter ID","")</f>
        <v/>
      </c>
      <c r="L273" s="21" t="str">
        <f ca="1">IF(tb2_CampaignResponses[[#This Row],[Response_Date]]&gt;TODAY(),"Review - future response date","")</f>
        <v/>
      </c>
    </row>
    <row r="274" spans="1:12" x14ac:dyDescent="0.25">
      <c r="A274" s="3" t="s">
        <v>3845</v>
      </c>
      <c r="B274" s="2" t="s">
        <v>323</v>
      </c>
      <c r="C274" s="2" t="s">
        <v>3325</v>
      </c>
      <c r="D274" s="2" t="s">
        <v>3326</v>
      </c>
      <c r="E274" s="2" t="s">
        <v>4</v>
      </c>
      <c r="F274" s="15">
        <v>45652</v>
      </c>
      <c r="G274" s="25">
        <v>615.16</v>
      </c>
      <c r="H274" s="2" t="s">
        <v>36</v>
      </c>
      <c r="I274" s="4" t="s">
        <v>3328</v>
      </c>
      <c r="J274" s="2" t="str">
        <f>IF(tb2_CampaignResponses[[#This Row],[Gift_Amount]]&lt;0,"Review - negative amount",IF(tb2_CampaignResponses[[#This Row],[Gift_Amount]]&gt;10000,"Review - unusually large donation",""))</f>
        <v/>
      </c>
      <c r="K274" s="21" t="str">
        <f>IF(tb2_CampaignResponses[[#This Row],[Supporter_ID]]="","Review - no supporter ID","")</f>
        <v/>
      </c>
      <c r="L274" s="21" t="str">
        <f ca="1">IF(tb2_CampaignResponses[[#This Row],[Response_Date]]&gt;TODAY(),"Review - future response date","")</f>
        <v/>
      </c>
    </row>
    <row r="275" spans="1:12" x14ac:dyDescent="0.25">
      <c r="A275" s="3" t="s">
        <v>3847</v>
      </c>
      <c r="B275" s="2" t="s">
        <v>2970</v>
      </c>
      <c r="C275" s="2" t="s">
        <v>3427</v>
      </c>
      <c r="D275" s="2" t="s">
        <v>3428</v>
      </c>
      <c r="E275" s="2" t="s">
        <v>4</v>
      </c>
      <c r="F275" s="15">
        <v>45488</v>
      </c>
      <c r="G275" s="25">
        <v>40.22</v>
      </c>
      <c r="H275" s="2" t="s">
        <v>36</v>
      </c>
      <c r="I275" s="4" t="s">
        <v>3334</v>
      </c>
      <c r="J275" s="2" t="str">
        <f>IF(tb2_CampaignResponses[[#This Row],[Gift_Amount]]&lt;0,"Review - negative amount",IF(tb2_CampaignResponses[[#This Row],[Gift_Amount]]&gt;10000,"Review - unusually large donation",""))</f>
        <v/>
      </c>
      <c r="K275" s="21" t="str">
        <f>IF(tb2_CampaignResponses[[#This Row],[Supporter_ID]]="","Review - no supporter ID","")</f>
        <v/>
      </c>
      <c r="L275" s="21" t="str">
        <f ca="1">IF(tb2_CampaignResponses[[#This Row],[Response_Date]]&gt;TODAY(),"Review - future response date","")</f>
        <v/>
      </c>
    </row>
    <row r="276" spans="1:12" x14ac:dyDescent="0.25">
      <c r="A276" s="3" t="s">
        <v>3848</v>
      </c>
      <c r="B276" s="2" t="s">
        <v>2252</v>
      </c>
      <c r="C276" s="2" t="s">
        <v>3341</v>
      </c>
      <c r="D276" s="2" t="s">
        <v>3342</v>
      </c>
      <c r="E276" s="2" t="s">
        <v>4</v>
      </c>
      <c r="F276" s="15">
        <v>45722</v>
      </c>
      <c r="G276" s="25">
        <v>167.67</v>
      </c>
      <c r="H276" s="2" t="s">
        <v>36</v>
      </c>
      <c r="I276" s="4" t="s">
        <v>3328</v>
      </c>
      <c r="J276" s="2" t="str">
        <f>IF(tb2_CampaignResponses[[#This Row],[Gift_Amount]]&lt;0,"Review - negative amount",IF(tb2_CampaignResponses[[#This Row],[Gift_Amount]]&gt;10000,"Review - unusually large donation",""))</f>
        <v/>
      </c>
      <c r="K276" s="21" t="str">
        <f>IF(tb2_CampaignResponses[[#This Row],[Supporter_ID]]="","Review - no supporter ID","")</f>
        <v/>
      </c>
      <c r="L276" s="21" t="str">
        <f ca="1">IF(tb2_CampaignResponses[[#This Row],[Response_Date]]&gt;TODAY(),"Review - future response date","")</f>
        <v/>
      </c>
    </row>
    <row r="277" spans="1:12" x14ac:dyDescent="0.25">
      <c r="A277" s="3" t="s">
        <v>3849</v>
      </c>
      <c r="B277" s="2" t="s">
        <v>2502</v>
      </c>
      <c r="C277" s="2" t="s">
        <v>3427</v>
      </c>
      <c r="D277" s="2" t="s">
        <v>3428</v>
      </c>
      <c r="E277" s="2" t="s">
        <v>4</v>
      </c>
      <c r="F277" s="15">
        <v>45488</v>
      </c>
      <c r="G277" s="25">
        <v>4767.12</v>
      </c>
      <c r="H277" s="2" t="s">
        <v>36</v>
      </c>
      <c r="I277" s="4" t="s">
        <v>3318</v>
      </c>
      <c r="J277" s="2" t="str">
        <f>IF(tb2_CampaignResponses[[#This Row],[Gift_Amount]]&lt;0,"Review - negative amount",IF(tb2_CampaignResponses[[#This Row],[Gift_Amount]]&gt;10000,"Review - unusually large donation",""))</f>
        <v/>
      </c>
      <c r="K277" s="21" t="str">
        <f>IF(tb2_CampaignResponses[[#This Row],[Supporter_ID]]="","Review - no supporter ID","")</f>
        <v/>
      </c>
      <c r="L277" s="21" t="str">
        <f ca="1">IF(tb2_CampaignResponses[[#This Row],[Response_Date]]&gt;TODAY(),"Review - future response date","")</f>
        <v/>
      </c>
    </row>
    <row r="278" spans="1:12" x14ac:dyDescent="0.25">
      <c r="A278" s="3" t="s">
        <v>3850</v>
      </c>
      <c r="B278" s="2" t="s">
        <v>3188</v>
      </c>
      <c r="C278" s="2" t="s">
        <v>3362</v>
      </c>
      <c r="D278" s="2" t="s">
        <v>3363</v>
      </c>
      <c r="E278" s="2" t="s">
        <v>65</v>
      </c>
      <c r="F278" s="15">
        <v>45572</v>
      </c>
      <c r="G278" s="25">
        <v>118.4</v>
      </c>
      <c r="H278" s="2" t="s">
        <v>36</v>
      </c>
      <c r="I278" s="4" t="s">
        <v>3370</v>
      </c>
      <c r="J278" s="2" t="str">
        <f>IF(tb2_CampaignResponses[[#This Row],[Gift_Amount]]&lt;0,"Review - negative amount",IF(tb2_CampaignResponses[[#This Row],[Gift_Amount]]&gt;10000,"Review - unusually large donation",""))</f>
        <v/>
      </c>
      <c r="K278" s="21" t="str">
        <f>IF(tb2_CampaignResponses[[#This Row],[Supporter_ID]]="","Review - no supporter ID","")</f>
        <v/>
      </c>
      <c r="L278" s="21" t="str">
        <f ca="1">IF(tb2_CampaignResponses[[#This Row],[Response_Date]]&gt;TODAY(),"Review - future response date","")</f>
        <v/>
      </c>
    </row>
    <row r="279" spans="1:12" x14ac:dyDescent="0.25">
      <c r="A279" s="3" t="s">
        <v>3852</v>
      </c>
      <c r="B279" s="2" t="s">
        <v>2836</v>
      </c>
      <c r="C279" s="2" t="s">
        <v>3314</v>
      </c>
      <c r="D279" s="2" t="s">
        <v>3315</v>
      </c>
      <c r="E279" s="2" t="s">
        <v>33</v>
      </c>
      <c r="F279" s="15">
        <v>45738</v>
      </c>
      <c r="G279" s="25">
        <v>61.09</v>
      </c>
      <c r="H279" s="2" t="s">
        <v>37</v>
      </c>
      <c r="I279" s="4" t="s">
        <v>3318</v>
      </c>
      <c r="J279" s="2" t="str">
        <f>IF(tb2_CampaignResponses[[#This Row],[Gift_Amount]]&lt;0,"Review - negative amount",IF(tb2_CampaignResponses[[#This Row],[Gift_Amount]]&gt;10000,"Review - unusually large donation",""))</f>
        <v/>
      </c>
      <c r="K279" s="21" t="str">
        <f>IF(tb2_CampaignResponses[[#This Row],[Supporter_ID]]="","Review - no supporter ID","")</f>
        <v/>
      </c>
      <c r="L279" s="21" t="str">
        <f ca="1">IF(tb2_CampaignResponses[[#This Row],[Response_Date]]&gt;TODAY(),"Review - future response date","")</f>
        <v/>
      </c>
    </row>
    <row r="280" spans="1:12" x14ac:dyDescent="0.25">
      <c r="A280" s="3" t="s">
        <v>3854</v>
      </c>
      <c r="B280" s="2" t="s">
        <v>2445</v>
      </c>
      <c r="C280" s="2" t="s">
        <v>3325</v>
      </c>
      <c r="D280" s="2" t="s">
        <v>3326</v>
      </c>
      <c r="E280" s="2" t="s">
        <v>65</v>
      </c>
      <c r="F280" s="15">
        <v>45623</v>
      </c>
      <c r="G280" s="25">
        <v>278.77999999999997</v>
      </c>
      <c r="H280" s="2" t="s">
        <v>36</v>
      </c>
      <c r="I280" s="4" t="s">
        <v>3385</v>
      </c>
      <c r="J280" s="2" t="str">
        <f>IF(tb2_CampaignResponses[[#This Row],[Gift_Amount]]&lt;0,"Review - negative amount",IF(tb2_CampaignResponses[[#This Row],[Gift_Amount]]&gt;10000,"Review - unusually large donation",""))</f>
        <v/>
      </c>
      <c r="K280" s="21" t="str">
        <f>IF(tb2_CampaignResponses[[#This Row],[Supporter_ID]]="","Review - no supporter ID","")</f>
        <v/>
      </c>
      <c r="L280" s="21" t="str">
        <f ca="1">IF(tb2_CampaignResponses[[#This Row],[Response_Date]]&gt;TODAY(),"Review - future response date","")</f>
        <v/>
      </c>
    </row>
    <row r="281" spans="1:12" x14ac:dyDescent="0.25">
      <c r="A281" s="3" t="s">
        <v>3855</v>
      </c>
      <c r="B281" s="2" t="s">
        <v>357</v>
      </c>
      <c r="C281" s="2" t="s">
        <v>3320</v>
      </c>
      <c r="D281" s="2" t="s">
        <v>3321</v>
      </c>
      <c r="E281" s="2" t="s">
        <v>65</v>
      </c>
      <c r="F281" s="15">
        <v>45453</v>
      </c>
      <c r="G281" s="25">
        <v>88</v>
      </c>
      <c r="H281" s="2" t="s">
        <v>36</v>
      </c>
      <c r="I281" s="4" t="s">
        <v>3365</v>
      </c>
      <c r="J281" s="2" t="str">
        <f>IF(tb2_CampaignResponses[[#This Row],[Gift_Amount]]&lt;0,"Review - negative amount",IF(tb2_CampaignResponses[[#This Row],[Gift_Amount]]&gt;10000,"Review - unusually large donation",""))</f>
        <v/>
      </c>
      <c r="K281" s="21" t="str">
        <f>IF(tb2_CampaignResponses[[#This Row],[Supporter_ID]]="","Review - no supporter ID","")</f>
        <v/>
      </c>
      <c r="L281" s="21" t="str">
        <f ca="1">IF(tb2_CampaignResponses[[#This Row],[Response_Date]]&gt;TODAY(),"Review - future response date","")</f>
        <v/>
      </c>
    </row>
    <row r="282" spans="1:12" x14ac:dyDescent="0.25">
      <c r="A282" s="3" t="s">
        <v>3856</v>
      </c>
      <c r="B282" s="2" t="s">
        <v>1650</v>
      </c>
      <c r="C282" s="2" t="s">
        <v>3354</v>
      </c>
      <c r="D282" s="2" t="s">
        <v>3355</v>
      </c>
      <c r="E282" s="2" t="s">
        <v>4</v>
      </c>
      <c r="F282" s="15">
        <v>45618</v>
      </c>
      <c r="G282" s="25">
        <v>9.57</v>
      </c>
      <c r="H282" s="2" t="s">
        <v>37</v>
      </c>
      <c r="I282" s="4" t="s">
        <v>3385</v>
      </c>
      <c r="J282" s="2" t="str">
        <f>IF(tb2_CampaignResponses[[#This Row],[Gift_Amount]]&lt;0,"Review - negative amount",IF(tb2_CampaignResponses[[#This Row],[Gift_Amount]]&gt;10000,"Review - unusually large donation",""))</f>
        <v/>
      </c>
      <c r="K282" s="21" t="str">
        <f>IF(tb2_CampaignResponses[[#This Row],[Supporter_ID]]="","Review - no supporter ID","")</f>
        <v/>
      </c>
      <c r="L282" s="21" t="str">
        <f ca="1">IF(tb2_CampaignResponses[[#This Row],[Response_Date]]&gt;TODAY(),"Review - future response date","")</f>
        <v/>
      </c>
    </row>
    <row r="283" spans="1:12" x14ac:dyDescent="0.25">
      <c r="A283" s="3" t="s">
        <v>3857</v>
      </c>
      <c r="B283" s="2" t="s">
        <v>2550</v>
      </c>
      <c r="C283" s="2" t="s">
        <v>3314</v>
      </c>
      <c r="D283" s="2" t="s">
        <v>3315</v>
      </c>
      <c r="E283" s="2" t="s">
        <v>3316</v>
      </c>
      <c r="F283" s="15">
        <v>45729</v>
      </c>
      <c r="G283" s="25">
        <v>86.73</v>
      </c>
      <c r="H283" s="2" t="s">
        <v>36</v>
      </c>
      <c r="I283" s="4" t="s">
        <v>3370</v>
      </c>
      <c r="J283" s="2" t="str">
        <f>IF(tb2_CampaignResponses[[#This Row],[Gift_Amount]]&lt;0,"Review - negative amount",IF(tb2_CampaignResponses[[#This Row],[Gift_Amount]]&gt;10000,"Review - unusually large donation",""))</f>
        <v/>
      </c>
      <c r="K283" s="21" t="str">
        <f>IF(tb2_CampaignResponses[[#This Row],[Supporter_ID]]="","Review - no supporter ID","")</f>
        <v/>
      </c>
      <c r="L283" s="21" t="str">
        <f ca="1">IF(tb2_CampaignResponses[[#This Row],[Response_Date]]&gt;TODAY(),"Review - future response date","")</f>
        <v/>
      </c>
    </row>
    <row r="284" spans="1:12" x14ac:dyDescent="0.25">
      <c r="A284" s="3" t="s">
        <v>3858</v>
      </c>
      <c r="B284" s="2" t="s">
        <v>1784</v>
      </c>
      <c r="C284" s="2" t="s">
        <v>3325</v>
      </c>
      <c r="D284" s="2" t="s">
        <v>3326</v>
      </c>
      <c r="E284" s="2" t="s">
        <v>4</v>
      </c>
      <c r="F284" s="15">
        <v>45624</v>
      </c>
      <c r="G284" s="25">
        <v>48.3</v>
      </c>
      <c r="H284" s="2" t="s">
        <v>37</v>
      </c>
      <c r="I284" s="4" t="s">
        <v>3370</v>
      </c>
      <c r="J284" s="2" t="str">
        <f>IF(tb2_CampaignResponses[[#This Row],[Gift_Amount]]&lt;0,"Review - negative amount",IF(tb2_CampaignResponses[[#This Row],[Gift_Amount]]&gt;10000,"Review - unusually large donation",""))</f>
        <v/>
      </c>
      <c r="K284" s="21" t="str">
        <f>IF(tb2_CampaignResponses[[#This Row],[Supporter_ID]]="","Review - no supporter ID","")</f>
        <v/>
      </c>
      <c r="L284" s="21" t="str">
        <f ca="1">IF(tb2_CampaignResponses[[#This Row],[Response_Date]]&gt;TODAY(),"Review - future response date","")</f>
        <v/>
      </c>
    </row>
    <row r="285" spans="1:12" x14ac:dyDescent="0.25">
      <c r="A285" s="3" t="s">
        <v>3860</v>
      </c>
      <c r="B285" s="2" t="s">
        <v>589</v>
      </c>
      <c r="C285" s="2" t="s">
        <v>3354</v>
      </c>
      <c r="D285" s="2" t="s">
        <v>3355</v>
      </c>
      <c r="E285" s="2" t="s">
        <v>4</v>
      </c>
      <c r="F285" s="15">
        <v>45618</v>
      </c>
      <c r="G285" s="25">
        <v>79.180000000000007</v>
      </c>
      <c r="H285" s="2" t="s">
        <v>36</v>
      </c>
      <c r="I285" s="4" t="s">
        <v>3323</v>
      </c>
      <c r="J285" s="2" t="str">
        <f>IF(tb2_CampaignResponses[[#This Row],[Gift_Amount]]&lt;0,"Review - negative amount",IF(tb2_CampaignResponses[[#This Row],[Gift_Amount]]&gt;10000,"Review - unusually large donation",""))</f>
        <v/>
      </c>
      <c r="K285" s="21" t="str">
        <f>IF(tb2_CampaignResponses[[#This Row],[Supporter_ID]]="","Review - no supporter ID","")</f>
        <v/>
      </c>
      <c r="L285" s="21" t="str">
        <f ca="1">IF(tb2_CampaignResponses[[#This Row],[Response_Date]]&gt;TODAY(),"Review - future response date","")</f>
        <v/>
      </c>
    </row>
    <row r="286" spans="1:12" x14ac:dyDescent="0.25">
      <c r="A286" s="3" t="s">
        <v>3861</v>
      </c>
      <c r="B286" s="2" t="s">
        <v>1790</v>
      </c>
      <c r="C286" s="2" t="s">
        <v>3367</v>
      </c>
      <c r="D286" s="2" t="s">
        <v>3368</v>
      </c>
      <c r="E286" s="2" t="s">
        <v>65</v>
      </c>
      <c r="F286" s="15">
        <v>45746</v>
      </c>
      <c r="G286" s="25">
        <v>25.83</v>
      </c>
      <c r="H286" s="2" t="s">
        <v>37</v>
      </c>
      <c r="I286" s="4" t="s">
        <v>3365</v>
      </c>
      <c r="J286" s="2" t="str">
        <f>IF(tb2_CampaignResponses[[#This Row],[Gift_Amount]]&lt;0,"Review - negative amount",IF(tb2_CampaignResponses[[#This Row],[Gift_Amount]]&gt;10000,"Review - unusually large donation",""))</f>
        <v/>
      </c>
      <c r="K286" s="21" t="str">
        <f>IF(tb2_CampaignResponses[[#This Row],[Supporter_ID]]="","Review - no supporter ID","")</f>
        <v/>
      </c>
      <c r="L286" s="21" t="str">
        <f ca="1">IF(tb2_CampaignResponses[[#This Row],[Response_Date]]&gt;TODAY(),"Review - future response date","")</f>
        <v/>
      </c>
    </row>
    <row r="287" spans="1:12" x14ac:dyDescent="0.25">
      <c r="A287" s="3" t="s">
        <v>3862</v>
      </c>
      <c r="B287" s="2" t="s">
        <v>1476</v>
      </c>
      <c r="C287" s="2" t="s">
        <v>3354</v>
      </c>
      <c r="D287" s="2" t="s">
        <v>3355</v>
      </c>
      <c r="E287" s="2" t="s">
        <v>65</v>
      </c>
      <c r="F287" s="15">
        <v>45618</v>
      </c>
      <c r="G287" s="25">
        <v>20.309999999999999</v>
      </c>
      <c r="H287" s="2" t="s">
        <v>36</v>
      </c>
      <c r="I287" s="4" t="s">
        <v>3385</v>
      </c>
      <c r="J287" s="2" t="str">
        <f>IF(tb2_CampaignResponses[[#This Row],[Gift_Amount]]&lt;0,"Review - negative amount",IF(tb2_CampaignResponses[[#This Row],[Gift_Amount]]&gt;10000,"Review - unusually large donation",""))</f>
        <v/>
      </c>
      <c r="K287" s="21" t="str">
        <f>IF(tb2_CampaignResponses[[#This Row],[Supporter_ID]]="","Review - no supporter ID","")</f>
        <v/>
      </c>
      <c r="L287" s="21" t="str">
        <f ca="1">IF(tb2_CampaignResponses[[#This Row],[Response_Date]]&gt;TODAY(),"Review - future response date","")</f>
        <v/>
      </c>
    </row>
    <row r="288" spans="1:12" x14ac:dyDescent="0.25">
      <c r="A288" s="3" t="s">
        <v>3863</v>
      </c>
      <c r="B288" s="2" t="s">
        <v>1363</v>
      </c>
      <c r="C288" s="2" t="s">
        <v>3325</v>
      </c>
      <c r="D288" s="2" t="s">
        <v>3326</v>
      </c>
      <c r="E288" s="2" t="s">
        <v>4</v>
      </c>
      <c r="F288" s="15">
        <v>45654</v>
      </c>
      <c r="G288" s="25">
        <v>440.09</v>
      </c>
      <c r="H288" s="2" t="s">
        <v>36</v>
      </c>
      <c r="I288" s="4" t="s">
        <v>3323</v>
      </c>
      <c r="J288" s="2" t="str">
        <f>IF(tb2_CampaignResponses[[#This Row],[Gift_Amount]]&lt;0,"Review - negative amount",IF(tb2_CampaignResponses[[#This Row],[Gift_Amount]]&gt;10000,"Review - unusually large donation",""))</f>
        <v/>
      </c>
      <c r="K288" s="21" t="str">
        <f>IF(tb2_CampaignResponses[[#This Row],[Supporter_ID]]="","Review - no supporter ID","")</f>
        <v/>
      </c>
      <c r="L288" s="21" t="str">
        <f ca="1">IF(tb2_CampaignResponses[[#This Row],[Response_Date]]&gt;TODAY(),"Review - future response date","")</f>
        <v/>
      </c>
    </row>
    <row r="289" spans="1:12" x14ac:dyDescent="0.25">
      <c r="A289" s="3" t="s">
        <v>3865</v>
      </c>
      <c r="B289" s="2" t="s">
        <v>2922</v>
      </c>
      <c r="C289" s="2" t="s">
        <v>3314</v>
      </c>
      <c r="D289" s="2" t="s">
        <v>3315</v>
      </c>
      <c r="E289" s="2" t="s">
        <v>33</v>
      </c>
      <c r="F289" s="15">
        <v>45702</v>
      </c>
      <c r="G289" s="25">
        <v>116.8</v>
      </c>
      <c r="H289" s="2" t="s">
        <v>36</v>
      </c>
      <c r="I289" s="4" t="s">
        <v>3331</v>
      </c>
      <c r="J289" s="2" t="str">
        <f>IF(tb2_CampaignResponses[[#This Row],[Gift_Amount]]&lt;0,"Review - negative amount",IF(tb2_CampaignResponses[[#This Row],[Gift_Amount]]&gt;10000,"Review - unusually large donation",""))</f>
        <v/>
      </c>
      <c r="K289" s="21" t="str">
        <f>IF(tb2_CampaignResponses[[#This Row],[Supporter_ID]]="","Review - no supporter ID","")</f>
        <v/>
      </c>
      <c r="L289" s="21" t="str">
        <f ca="1">IF(tb2_CampaignResponses[[#This Row],[Response_Date]]&gt;TODAY(),"Review - future response date","")</f>
        <v/>
      </c>
    </row>
    <row r="290" spans="1:12" x14ac:dyDescent="0.25">
      <c r="A290" s="3" t="s">
        <v>3867</v>
      </c>
      <c r="B290" s="2" t="s">
        <v>2852</v>
      </c>
      <c r="C290" s="2" t="s">
        <v>3403</v>
      </c>
      <c r="D290" s="2" t="s">
        <v>3404</v>
      </c>
      <c r="E290" s="2" t="s">
        <v>3316</v>
      </c>
      <c r="F290" s="15">
        <v>45611</v>
      </c>
      <c r="G290" s="25">
        <v>279.39999999999998</v>
      </c>
      <c r="H290" s="2" t="s">
        <v>37</v>
      </c>
      <c r="I290" s="4" t="s">
        <v>3385</v>
      </c>
      <c r="J290" s="2" t="str">
        <f>IF(tb2_CampaignResponses[[#This Row],[Gift_Amount]]&lt;0,"Review - negative amount",IF(tb2_CampaignResponses[[#This Row],[Gift_Amount]]&gt;10000,"Review - unusually large donation",""))</f>
        <v/>
      </c>
      <c r="K290" s="21" t="str">
        <f>IF(tb2_CampaignResponses[[#This Row],[Supporter_ID]]="","Review - no supporter ID","")</f>
        <v/>
      </c>
      <c r="L290" s="21" t="str">
        <f ca="1">IF(tb2_CampaignResponses[[#This Row],[Response_Date]]&gt;TODAY(),"Review - future response date","")</f>
        <v/>
      </c>
    </row>
    <row r="291" spans="1:12" x14ac:dyDescent="0.25">
      <c r="A291" s="3" t="s">
        <v>3869</v>
      </c>
      <c r="B291" s="2" t="s">
        <v>883</v>
      </c>
      <c r="C291" s="2" t="s">
        <v>3354</v>
      </c>
      <c r="D291" s="2" t="s">
        <v>3355</v>
      </c>
      <c r="E291" s="2" t="s">
        <v>4</v>
      </c>
      <c r="F291" s="15">
        <v>45618</v>
      </c>
      <c r="G291" s="25">
        <v>23.95</v>
      </c>
      <c r="H291" s="2" t="s">
        <v>37</v>
      </c>
      <c r="I291" s="4" t="s">
        <v>3318</v>
      </c>
      <c r="J291" s="2" t="str">
        <f>IF(tb2_CampaignResponses[[#This Row],[Gift_Amount]]&lt;0,"Review - negative amount",IF(tb2_CampaignResponses[[#This Row],[Gift_Amount]]&gt;10000,"Review - unusually large donation",""))</f>
        <v/>
      </c>
      <c r="K291" s="21" t="str">
        <f>IF(tb2_CampaignResponses[[#This Row],[Supporter_ID]]="","Review - no supporter ID","")</f>
        <v/>
      </c>
      <c r="L291" s="21" t="str">
        <f ca="1">IF(tb2_CampaignResponses[[#This Row],[Response_Date]]&gt;TODAY(),"Review - future response date","")</f>
        <v/>
      </c>
    </row>
    <row r="292" spans="1:12" x14ac:dyDescent="0.25">
      <c r="A292" s="3" t="s">
        <v>3870</v>
      </c>
      <c r="B292" s="2" t="s">
        <v>2917</v>
      </c>
      <c r="C292" s="2" t="s">
        <v>3367</v>
      </c>
      <c r="D292" s="2" t="s">
        <v>3368</v>
      </c>
      <c r="E292" s="2" t="s">
        <v>4</v>
      </c>
      <c r="F292" s="15">
        <v>45743</v>
      </c>
      <c r="G292" s="25">
        <v>20.94</v>
      </c>
      <c r="H292" s="2" t="s">
        <v>37</v>
      </c>
      <c r="I292" s="4" t="s">
        <v>3328</v>
      </c>
      <c r="J292" s="2" t="str">
        <f>IF(tb2_CampaignResponses[[#This Row],[Gift_Amount]]&lt;0,"Review - negative amount",IF(tb2_CampaignResponses[[#This Row],[Gift_Amount]]&gt;10000,"Review - unusually large donation",""))</f>
        <v/>
      </c>
      <c r="K292" s="21" t="str">
        <f>IF(tb2_CampaignResponses[[#This Row],[Supporter_ID]]="","Review - no supporter ID","")</f>
        <v/>
      </c>
      <c r="L292" s="21" t="str">
        <f ca="1">IF(tb2_CampaignResponses[[#This Row],[Response_Date]]&gt;TODAY(),"Review - future response date","")</f>
        <v/>
      </c>
    </row>
    <row r="293" spans="1:12" x14ac:dyDescent="0.25">
      <c r="A293" s="3" t="s">
        <v>3871</v>
      </c>
      <c r="B293" s="2" t="s">
        <v>1939</v>
      </c>
      <c r="C293" s="2" t="s">
        <v>3341</v>
      </c>
      <c r="D293" s="2" t="s">
        <v>3342</v>
      </c>
      <c r="E293" s="2" t="s">
        <v>4</v>
      </c>
      <c r="F293" s="15">
        <v>45768</v>
      </c>
      <c r="G293" s="25">
        <v>85.36</v>
      </c>
      <c r="H293" s="2" t="s">
        <v>37</v>
      </c>
      <c r="I293" s="4" t="s">
        <v>3334</v>
      </c>
      <c r="J293" s="2" t="str">
        <f>IF(tb2_CampaignResponses[[#This Row],[Gift_Amount]]&lt;0,"Review - negative amount",IF(tb2_CampaignResponses[[#This Row],[Gift_Amount]]&gt;10000,"Review - unusually large donation",""))</f>
        <v/>
      </c>
      <c r="K293" s="21" t="str">
        <f>IF(tb2_CampaignResponses[[#This Row],[Supporter_ID]]="","Review - no supporter ID","")</f>
        <v/>
      </c>
      <c r="L293" s="21" t="str">
        <f ca="1">IF(tb2_CampaignResponses[[#This Row],[Response_Date]]&gt;TODAY(),"Review - future response date","")</f>
        <v/>
      </c>
    </row>
    <row r="294" spans="1:12" x14ac:dyDescent="0.25">
      <c r="A294" s="3" t="s">
        <v>3873</v>
      </c>
      <c r="B294" s="2" t="s">
        <v>1192</v>
      </c>
      <c r="C294" s="2" t="s">
        <v>3336</v>
      </c>
      <c r="D294" s="2" t="s">
        <v>3337</v>
      </c>
      <c r="E294" s="2" t="s">
        <v>3316</v>
      </c>
      <c r="F294" s="15">
        <v>45576</v>
      </c>
      <c r="G294" s="25">
        <v>63.41</v>
      </c>
      <c r="H294" s="2" t="s">
        <v>37</v>
      </c>
      <c r="I294" s="4" t="s">
        <v>3385</v>
      </c>
      <c r="J294" s="2" t="str">
        <f>IF(tb2_CampaignResponses[[#This Row],[Gift_Amount]]&lt;0,"Review - negative amount",IF(tb2_CampaignResponses[[#This Row],[Gift_Amount]]&gt;10000,"Review - unusually large donation",""))</f>
        <v/>
      </c>
      <c r="K294" s="21" t="str">
        <f>IF(tb2_CampaignResponses[[#This Row],[Supporter_ID]]="","Review - no supporter ID","")</f>
        <v/>
      </c>
      <c r="L294" s="21" t="str">
        <f ca="1">IF(tb2_CampaignResponses[[#This Row],[Response_Date]]&gt;TODAY(),"Review - future response date","")</f>
        <v/>
      </c>
    </row>
    <row r="295" spans="1:12" x14ac:dyDescent="0.25">
      <c r="A295" s="3" t="s">
        <v>3875</v>
      </c>
      <c r="B295" s="2" t="s">
        <v>2309</v>
      </c>
      <c r="C295" s="2" t="s">
        <v>3403</v>
      </c>
      <c r="D295" s="2" t="s">
        <v>3404</v>
      </c>
      <c r="E295" s="2" t="s">
        <v>4</v>
      </c>
      <c r="F295" s="15">
        <v>45592</v>
      </c>
      <c r="G295" s="25">
        <v>63.92</v>
      </c>
      <c r="H295" s="2" t="s">
        <v>36</v>
      </c>
      <c r="I295" s="4" t="s">
        <v>3323</v>
      </c>
      <c r="J295" s="2" t="str">
        <f>IF(tb2_CampaignResponses[[#This Row],[Gift_Amount]]&lt;0,"Review - negative amount",IF(tb2_CampaignResponses[[#This Row],[Gift_Amount]]&gt;10000,"Review - unusually large donation",""))</f>
        <v/>
      </c>
      <c r="K295" s="21" t="str">
        <f>IF(tb2_CampaignResponses[[#This Row],[Supporter_ID]]="","Review - no supporter ID","")</f>
        <v/>
      </c>
      <c r="L295" s="21" t="str">
        <f ca="1">IF(tb2_CampaignResponses[[#This Row],[Response_Date]]&gt;TODAY(),"Review - future response date","")</f>
        <v/>
      </c>
    </row>
    <row r="296" spans="1:12" x14ac:dyDescent="0.25">
      <c r="A296" s="3" t="s">
        <v>3877</v>
      </c>
      <c r="B296" s="2" t="s">
        <v>3049</v>
      </c>
      <c r="C296" s="2" t="s">
        <v>3314</v>
      </c>
      <c r="D296" s="2" t="s">
        <v>3315</v>
      </c>
      <c r="E296" s="2" t="s">
        <v>65</v>
      </c>
      <c r="F296" s="15">
        <v>45733</v>
      </c>
      <c r="G296" s="25">
        <v>81.040000000000006</v>
      </c>
      <c r="H296" s="2" t="s">
        <v>36</v>
      </c>
      <c r="I296" s="4" t="s">
        <v>3334</v>
      </c>
      <c r="J296" s="2" t="str">
        <f>IF(tb2_CampaignResponses[[#This Row],[Gift_Amount]]&lt;0,"Review - negative amount",IF(tb2_CampaignResponses[[#This Row],[Gift_Amount]]&gt;10000,"Review - unusually large donation",""))</f>
        <v/>
      </c>
      <c r="K296" s="21" t="str">
        <f>IF(tb2_CampaignResponses[[#This Row],[Supporter_ID]]="","Review - no supporter ID","")</f>
        <v/>
      </c>
      <c r="L296" s="21" t="str">
        <f ca="1">IF(tb2_CampaignResponses[[#This Row],[Response_Date]]&gt;TODAY(),"Review - future response date","")</f>
        <v/>
      </c>
    </row>
    <row r="297" spans="1:12" x14ac:dyDescent="0.25">
      <c r="A297" s="3" t="s">
        <v>3879</v>
      </c>
      <c r="B297" s="2" t="s">
        <v>1796</v>
      </c>
      <c r="C297" s="2" t="s">
        <v>3336</v>
      </c>
      <c r="D297" s="2" t="s">
        <v>3337</v>
      </c>
      <c r="E297" s="2" t="s">
        <v>3338</v>
      </c>
      <c r="F297" s="15">
        <v>45578</v>
      </c>
      <c r="G297" s="25">
        <v>110.79</v>
      </c>
      <c r="H297" s="2" t="s">
        <v>36</v>
      </c>
      <c r="I297" s="4" t="s">
        <v>3370</v>
      </c>
      <c r="J297" s="2" t="str">
        <f>IF(tb2_CampaignResponses[[#This Row],[Gift_Amount]]&lt;0,"Review - negative amount",IF(tb2_CampaignResponses[[#This Row],[Gift_Amount]]&gt;10000,"Review - unusually large donation",""))</f>
        <v/>
      </c>
      <c r="K297" s="21" t="str">
        <f>IF(tb2_CampaignResponses[[#This Row],[Supporter_ID]]="","Review - no supporter ID","")</f>
        <v/>
      </c>
      <c r="L297" s="21" t="str">
        <f ca="1">IF(tb2_CampaignResponses[[#This Row],[Response_Date]]&gt;TODAY(),"Review - future response date","")</f>
        <v/>
      </c>
    </row>
    <row r="298" spans="1:12" x14ac:dyDescent="0.25">
      <c r="A298" s="3" t="s">
        <v>3880</v>
      </c>
      <c r="B298" s="2" t="s">
        <v>1219</v>
      </c>
      <c r="C298" s="2" t="s">
        <v>3336</v>
      </c>
      <c r="D298" s="2" t="s">
        <v>3337</v>
      </c>
      <c r="E298" s="2" t="s">
        <v>3316</v>
      </c>
      <c r="F298" s="15">
        <v>45551</v>
      </c>
      <c r="G298" s="25">
        <v>56.3</v>
      </c>
      <c r="H298" s="2" t="s">
        <v>36</v>
      </c>
      <c r="I298" s="4" t="s">
        <v>3328</v>
      </c>
      <c r="J298" s="2" t="str">
        <f>IF(tb2_CampaignResponses[[#This Row],[Gift_Amount]]&lt;0,"Review - negative amount",IF(tb2_CampaignResponses[[#This Row],[Gift_Amount]]&gt;10000,"Review - unusually large donation",""))</f>
        <v/>
      </c>
      <c r="K298" s="21" t="str">
        <f>IF(tb2_CampaignResponses[[#This Row],[Supporter_ID]]="","Review - no supporter ID","")</f>
        <v/>
      </c>
      <c r="L298" s="21" t="str">
        <f ca="1">IF(tb2_CampaignResponses[[#This Row],[Response_Date]]&gt;TODAY(),"Review - future response date","")</f>
        <v/>
      </c>
    </row>
    <row r="299" spans="1:12" x14ac:dyDescent="0.25">
      <c r="A299" s="3" t="s">
        <v>3882</v>
      </c>
      <c r="B299" s="2" t="s">
        <v>2796</v>
      </c>
      <c r="C299" s="2" t="s">
        <v>3427</v>
      </c>
      <c r="D299" s="2" t="s">
        <v>3428</v>
      </c>
      <c r="E299" s="2" t="s">
        <v>4</v>
      </c>
      <c r="F299" s="15">
        <v>45488</v>
      </c>
      <c r="G299" s="25">
        <v>4472.1400000000003</v>
      </c>
      <c r="H299" s="2" t="s">
        <v>36</v>
      </c>
      <c r="I299" s="4" t="s">
        <v>3328</v>
      </c>
      <c r="J299" s="2" t="str">
        <f>IF(tb2_CampaignResponses[[#This Row],[Gift_Amount]]&lt;0,"Review - negative amount",IF(tb2_CampaignResponses[[#This Row],[Gift_Amount]]&gt;10000,"Review - unusually large donation",""))</f>
        <v/>
      </c>
      <c r="K299" s="21" t="str">
        <f>IF(tb2_CampaignResponses[[#This Row],[Supporter_ID]]="","Review - no supporter ID","")</f>
        <v/>
      </c>
      <c r="L299" s="21" t="str">
        <f ca="1">IF(tb2_CampaignResponses[[#This Row],[Response_Date]]&gt;TODAY(),"Review - future response date","")</f>
        <v/>
      </c>
    </row>
    <row r="300" spans="1:12" x14ac:dyDescent="0.25">
      <c r="A300" s="3" t="s">
        <v>3883</v>
      </c>
      <c r="B300" s="2" t="s">
        <v>2825</v>
      </c>
      <c r="C300" s="2" t="s">
        <v>3320</v>
      </c>
      <c r="D300" s="2" t="s">
        <v>3321</v>
      </c>
      <c r="E300" s="2" t="s">
        <v>65</v>
      </c>
      <c r="F300" s="15">
        <v>45456</v>
      </c>
      <c r="G300" s="25">
        <v>39.44</v>
      </c>
      <c r="H300" s="2" t="s">
        <v>36</v>
      </c>
      <c r="I300" s="4" t="s">
        <v>3334</v>
      </c>
      <c r="J300" s="2" t="str">
        <f>IF(tb2_CampaignResponses[[#This Row],[Gift_Amount]]&lt;0,"Review - negative amount",IF(tb2_CampaignResponses[[#This Row],[Gift_Amount]]&gt;10000,"Review - unusually large donation",""))</f>
        <v/>
      </c>
      <c r="K300" s="21" t="str">
        <f>IF(tb2_CampaignResponses[[#This Row],[Supporter_ID]]="","Review - no supporter ID","")</f>
        <v/>
      </c>
      <c r="L300" s="21" t="str">
        <f ca="1">IF(tb2_CampaignResponses[[#This Row],[Response_Date]]&gt;TODAY(),"Review - future response date","")</f>
        <v/>
      </c>
    </row>
    <row r="301" spans="1:12" x14ac:dyDescent="0.25">
      <c r="A301" s="3" t="s">
        <v>3885</v>
      </c>
      <c r="B301" s="2" t="s">
        <v>1499</v>
      </c>
      <c r="C301" s="2" t="s">
        <v>3354</v>
      </c>
      <c r="D301" s="2" t="s">
        <v>3355</v>
      </c>
      <c r="E301" s="2" t="s">
        <v>4</v>
      </c>
      <c r="F301" s="15">
        <v>45618</v>
      </c>
      <c r="G301" s="25">
        <v>216.79</v>
      </c>
      <c r="H301" s="2" t="s">
        <v>36</v>
      </c>
      <c r="I301" s="4" t="s">
        <v>3328</v>
      </c>
      <c r="J301" s="2" t="str">
        <f>IF(tb2_CampaignResponses[[#This Row],[Gift_Amount]]&lt;0,"Review - negative amount",IF(tb2_CampaignResponses[[#This Row],[Gift_Amount]]&gt;10000,"Review - unusually large donation",""))</f>
        <v/>
      </c>
      <c r="K301" s="21" t="str">
        <f>IF(tb2_CampaignResponses[[#This Row],[Supporter_ID]]="","Review - no supporter ID","")</f>
        <v/>
      </c>
      <c r="L301" s="21" t="str">
        <f ca="1">IF(tb2_CampaignResponses[[#This Row],[Response_Date]]&gt;TODAY(),"Review - future response date","")</f>
        <v/>
      </c>
    </row>
    <row r="302" spans="1:12" x14ac:dyDescent="0.25">
      <c r="A302" s="3" t="s">
        <v>3886</v>
      </c>
      <c r="B302" s="2" t="s">
        <v>1110</v>
      </c>
      <c r="C302" s="2" t="s">
        <v>3427</v>
      </c>
      <c r="D302" s="2" t="s">
        <v>3428</v>
      </c>
      <c r="E302" s="2" t="s">
        <v>4</v>
      </c>
      <c r="F302" s="15">
        <v>45488</v>
      </c>
      <c r="G302" s="25">
        <v>10.36</v>
      </c>
      <c r="H302" s="2" t="s">
        <v>36</v>
      </c>
      <c r="I302" s="4" t="s">
        <v>3334</v>
      </c>
      <c r="J302" s="2" t="str">
        <f>IF(tb2_CampaignResponses[[#This Row],[Gift_Amount]]&lt;0,"Review - negative amount",IF(tb2_CampaignResponses[[#This Row],[Gift_Amount]]&gt;10000,"Review - unusually large donation",""))</f>
        <v/>
      </c>
      <c r="K302" s="21" t="str">
        <f>IF(tb2_CampaignResponses[[#This Row],[Supporter_ID]]="","Review - no supporter ID","")</f>
        <v/>
      </c>
      <c r="L302" s="21" t="str">
        <f ca="1">IF(tb2_CampaignResponses[[#This Row],[Response_Date]]&gt;TODAY(),"Review - future response date","")</f>
        <v/>
      </c>
    </row>
    <row r="303" spans="1:12" x14ac:dyDescent="0.25">
      <c r="A303" s="3" t="s">
        <v>3887</v>
      </c>
      <c r="B303" s="2" t="s">
        <v>1522</v>
      </c>
      <c r="C303" s="2" t="s">
        <v>3320</v>
      </c>
      <c r="D303" s="2" t="s">
        <v>3321</v>
      </c>
      <c r="E303" s="2" t="s">
        <v>65</v>
      </c>
      <c r="F303" s="15">
        <v>45459</v>
      </c>
      <c r="G303" s="25">
        <v>67.77</v>
      </c>
      <c r="H303" s="2" t="s">
        <v>36</v>
      </c>
      <c r="I303" s="4" t="s">
        <v>3328</v>
      </c>
      <c r="J303" s="2" t="str">
        <f>IF(tb2_CampaignResponses[[#This Row],[Gift_Amount]]&lt;0,"Review - negative amount",IF(tb2_CampaignResponses[[#This Row],[Gift_Amount]]&gt;10000,"Review - unusually large donation",""))</f>
        <v/>
      </c>
      <c r="K303" s="21" t="str">
        <f>IF(tb2_CampaignResponses[[#This Row],[Supporter_ID]]="","Review - no supporter ID","")</f>
        <v/>
      </c>
      <c r="L303" s="21" t="str">
        <f ca="1">IF(tb2_CampaignResponses[[#This Row],[Response_Date]]&gt;TODAY(),"Review - future response date","")</f>
        <v/>
      </c>
    </row>
    <row r="304" spans="1:12" x14ac:dyDescent="0.25">
      <c r="A304" s="3" t="s">
        <v>3889</v>
      </c>
      <c r="B304" s="2" t="s">
        <v>495</v>
      </c>
      <c r="C304" s="2" t="s">
        <v>3403</v>
      </c>
      <c r="D304" s="2" t="s">
        <v>3404</v>
      </c>
      <c r="E304" s="2" t="s">
        <v>65</v>
      </c>
      <c r="F304" s="15">
        <v>45591</v>
      </c>
      <c r="G304" s="25">
        <v>231.55</v>
      </c>
      <c r="H304" s="2" t="s">
        <v>36</v>
      </c>
      <c r="I304" s="4" t="s">
        <v>3385</v>
      </c>
      <c r="J304" s="2" t="str">
        <f>IF(tb2_CampaignResponses[[#This Row],[Gift_Amount]]&lt;0,"Review - negative amount",IF(tb2_CampaignResponses[[#This Row],[Gift_Amount]]&gt;10000,"Review - unusually large donation",""))</f>
        <v/>
      </c>
      <c r="K304" s="21" t="str">
        <f>IF(tb2_CampaignResponses[[#This Row],[Supporter_ID]]="","Review - no supporter ID","")</f>
        <v/>
      </c>
      <c r="L304" s="21" t="str">
        <f ca="1">IF(tb2_CampaignResponses[[#This Row],[Response_Date]]&gt;TODAY(),"Review - future response date","")</f>
        <v/>
      </c>
    </row>
    <row r="305" spans="1:12" x14ac:dyDescent="0.25">
      <c r="A305" s="3" t="s">
        <v>3890</v>
      </c>
      <c r="B305" s="2" t="s">
        <v>1296</v>
      </c>
      <c r="C305" s="2" t="s">
        <v>3362</v>
      </c>
      <c r="D305" s="2" t="s">
        <v>3363</v>
      </c>
      <c r="E305" s="2" t="s">
        <v>65</v>
      </c>
      <c r="F305" s="15">
        <v>45578</v>
      </c>
      <c r="G305" s="25">
        <v>65.97</v>
      </c>
      <c r="H305" s="2" t="s">
        <v>36</v>
      </c>
      <c r="I305" s="4" t="s">
        <v>3365</v>
      </c>
      <c r="J305" s="2" t="str">
        <f>IF(tb2_CampaignResponses[[#This Row],[Gift_Amount]]&lt;0,"Review - negative amount",IF(tb2_CampaignResponses[[#This Row],[Gift_Amount]]&gt;10000,"Review - unusually large donation",""))</f>
        <v/>
      </c>
      <c r="K305" s="21" t="str">
        <f>IF(tb2_CampaignResponses[[#This Row],[Supporter_ID]]="","Review - no supporter ID","")</f>
        <v/>
      </c>
      <c r="L305" s="21" t="str">
        <f ca="1">IF(tb2_CampaignResponses[[#This Row],[Response_Date]]&gt;TODAY(),"Review - future response date","")</f>
        <v/>
      </c>
    </row>
    <row r="306" spans="1:12" x14ac:dyDescent="0.25">
      <c r="A306" s="3" t="s">
        <v>3891</v>
      </c>
      <c r="B306" s="2" t="s">
        <v>1544</v>
      </c>
      <c r="C306" s="2" t="s">
        <v>3314</v>
      </c>
      <c r="D306" s="2" t="s">
        <v>3315</v>
      </c>
      <c r="E306" s="2" t="s">
        <v>65</v>
      </c>
      <c r="F306" s="15">
        <v>45676</v>
      </c>
      <c r="G306" s="25">
        <v>24.16</v>
      </c>
      <c r="H306" s="2" t="s">
        <v>37</v>
      </c>
      <c r="I306" s="4" t="s">
        <v>3331</v>
      </c>
      <c r="J306" s="2" t="str">
        <f>IF(tb2_CampaignResponses[[#This Row],[Gift_Amount]]&lt;0,"Review - negative amount",IF(tb2_CampaignResponses[[#This Row],[Gift_Amount]]&gt;10000,"Review - unusually large donation",""))</f>
        <v/>
      </c>
      <c r="K306" s="21" t="str">
        <f>IF(tb2_CampaignResponses[[#This Row],[Supporter_ID]]="","Review - no supporter ID","")</f>
        <v/>
      </c>
      <c r="L306" s="21" t="str">
        <f ca="1">IF(tb2_CampaignResponses[[#This Row],[Response_Date]]&gt;TODAY(),"Review - future response date","")</f>
        <v/>
      </c>
    </row>
    <row r="307" spans="1:12" x14ac:dyDescent="0.25">
      <c r="A307" s="3" t="s">
        <v>3893</v>
      </c>
      <c r="B307" s="2" t="s">
        <v>1890</v>
      </c>
      <c r="C307" s="2" t="s">
        <v>3336</v>
      </c>
      <c r="D307" s="2" t="s">
        <v>3337</v>
      </c>
      <c r="E307" s="2" t="s">
        <v>3316</v>
      </c>
      <c r="F307" s="15">
        <v>45483</v>
      </c>
      <c r="G307" s="25">
        <v>14.78</v>
      </c>
      <c r="H307" s="2" t="s">
        <v>37</v>
      </c>
      <c r="I307" s="4" t="s">
        <v>3328</v>
      </c>
      <c r="J307" s="2" t="str">
        <f>IF(tb2_CampaignResponses[[#This Row],[Gift_Amount]]&lt;0,"Review - negative amount",IF(tb2_CampaignResponses[[#This Row],[Gift_Amount]]&gt;10000,"Review - unusually large donation",""))</f>
        <v/>
      </c>
      <c r="K307" s="21" t="str">
        <f>IF(tb2_CampaignResponses[[#This Row],[Supporter_ID]]="","Review - no supporter ID","")</f>
        <v/>
      </c>
      <c r="L307" s="21" t="str">
        <f ca="1">IF(tb2_CampaignResponses[[#This Row],[Response_Date]]&gt;TODAY(),"Review - future response date","")</f>
        <v/>
      </c>
    </row>
    <row r="308" spans="1:12" x14ac:dyDescent="0.25">
      <c r="A308" s="3" t="s">
        <v>3894</v>
      </c>
      <c r="B308" s="2" t="s">
        <v>1280</v>
      </c>
      <c r="C308" s="2" t="s">
        <v>3427</v>
      </c>
      <c r="D308" s="2" t="s">
        <v>3428</v>
      </c>
      <c r="E308" s="2" t="s">
        <v>65</v>
      </c>
      <c r="F308" s="15">
        <v>45488</v>
      </c>
      <c r="G308" s="25">
        <v>8.32</v>
      </c>
      <c r="H308" s="2" t="s">
        <v>36</v>
      </c>
      <c r="I308" s="4" t="s">
        <v>3318</v>
      </c>
      <c r="J308" s="2" t="str">
        <f>IF(tb2_CampaignResponses[[#This Row],[Gift_Amount]]&lt;0,"Review - negative amount",IF(tb2_CampaignResponses[[#This Row],[Gift_Amount]]&gt;10000,"Review - unusually large donation",""))</f>
        <v/>
      </c>
      <c r="K308" s="21" t="str">
        <f>IF(tb2_CampaignResponses[[#This Row],[Supporter_ID]]="","Review - no supporter ID","")</f>
        <v/>
      </c>
      <c r="L308" s="21" t="str">
        <f ca="1">IF(tb2_CampaignResponses[[#This Row],[Response_Date]]&gt;TODAY(),"Review - future response date","")</f>
        <v/>
      </c>
    </row>
    <row r="309" spans="1:12" x14ac:dyDescent="0.25">
      <c r="A309" s="3" t="s">
        <v>3895</v>
      </c>
      <c r="B309" s="2" t="s">
        <v>1045</v>
      </c>
      <c r="C309" s="2" t="s">
        <v>3336</v>
      </c>
      <c r="D309" s="2" t="s">
        <v>3337</v>
      </c>
      <c r="E309" s="2" t="s">
        <v>3338</v>
      </c>
      <c r="F309" s="15">
        <v>45574</v>
      </c>
      <c r="G309" s="25">
        <v>26.02</v>
      </c>
      <c r="H309" s="2" t="s">
        <v>36</v>
      </c>
      <c r="I309" s="4" t="s">
        <v>3370</v>
      </c>
      <c r="J309" s="2" t="str">
        <f>IF(tb2_CampaignResponses[[#This Row],[Gift_Amount]]&lt;0,"Review - negative amount",IF(tb2_CampaignResponses[[#This Row],[Gift_Amount]]&gt;10000,"Review - unusually large donation",""))</f>
        <v/>
      </c>
      <c r="K309" s="21" t="str">
        <f>IF(tb2_CampaignResponses[[#This Row],[Supporter_ID]]="","Review - no supporter ID","")</f>
        <v/>
      </c>
      <c r="L309" s="21" t="str">
        <f ca="1">IF(tb2_CampaignResponses[[#This Row],[Response_Date]]&gt;TODAY(),"Review - future response date","")</f>
        <v/>
      </c>
    </row>
    <row r="310" spans="1:12" x14ac:dyDescent="0.25">
      <c r="A310" s="3" t="s">
        <v>3896</v>
      </c>
      <c r="B310" s="2" t="s">
        <v>3165</v>
      </c>
      <c r="C310" s="2" t="s">
        <v>3341</v>
      </c>
      <c r="D310" s="2" t="s">
        <v>3342</v>
      </c>
      <c r="E310" s="2" t="s">
        <v>3316</v>
      </c>
      <c r="F310" s="15">
        <v>45730</v>
      </c>
      <c r="G310" s="25">
        <v>72.069999999999993</v>
      </c>
      <c r="H310" s="2" t="s">
        <v>36</v>
      </c>
      <c r="I310" s="4" t="s">
        <v>3365</v>
      </c>
      <c r="J310" s="2" t="str">
        <f>IF(tb2_CampaignResponses[[#This Row],[Gift_Amount]]&lt;0,"Review - negative amount",IF(tb2_CampaignResponses[[#This Row],[Gift_Amount]]&gt;10000,"Review - unusually large donation",""))</f>
        <v/>
      </c>
      <c r="K310" s="21" t="str">
        <f>IF(tb2_CampaignResponses[[#This Row],[Supporter_ID]]="","Review - no supporter ID","")</f>
        <v/>
      </c>
      <c r="L310" s="21" t="str">
        <f ca="1">IF(tb2_CampaignResponses[[#This Row],[Response_Date]]&gt;TODAY(),"Review - future response date","")</f>
        <v/>
      </c>
    </row>
    <row r="311" spans="1:12" x14ac:dyDescent="0.25">
      <c r="A311" s="3" t="s">
        <v>3898</v>
      </c>
      <c r="B311" s="2" t="s">
        <v>1487</v>
      </c>
      <c r="C311" s="2" t="s">
        <v>3314</v>
      </c>
      <c r="D311" s="2" t="s">
        <v>3315</v>
      </c>
      <c r="E311" s="2" t="s">
        <v>3316</v>
      </c>
      <c r="F311" s="15">
        <v>45665</v>
      </c>
      <c r="G311" s="25">
        <v>57.79</v>
      </c>
      <c r="H311" s="2" t="s">
        <v>36</v>
      </c>
      <c r="I311" s="4" t="s">
        <v>3385</v>
      </c>
      <c r="J311" s="2" t="str">
        <f>IF(tb2_CampaignResponses[[#This Row],[Gift_Amount]]&lt;0,"Review - negative amount",IF(tb2_CampaignResponses[[#This Row],[Gift_Amount]]&gt;10000,"Review - unusually large donation",""))</f>
        <v/>
      </c>
      <c r="K311" s="21" t="str">
        <f>IF(tb2_CampaignResponses[[#This Row],[Supporter_ID]]="","Review - no supporter ID","")</f>
        <v/>
      </c>
      <c r="L311" s="21" t="str">
        <f ca="1">IF(tb2_CampaignResponses[[#This Row],[Response_Date]]&gt;TODAY(),"Review - future response date","")</f>
        <v/>
      </c>
    </row>
    <row r="312" spans="1:12" x14ac:dyDescent="0.25">
      <c r="A312" s="3" t="s">
        <v>3900</v>
      </c>
      <c r="B312" s="2" t="s">
        <v>863</v>
      </c>
      <c r="C312" s="2" t="s">
        <v>3367</v>
      </c>
      <c r="D312" s="2" t="s">
        <v>3368</v>
      </c>
      <c r="E312" s="2" t="s">
        <v>65</v>
      </c>
      <c r="F312" s="15">
        <v>45754</v>
      </c>
      <c r="G312" s="25">
        <v>22.44</v>
      </c>
      <c r="H312" s="2" t="s">
        <v>37</v>
      </c>
      <c r="I312" s="4" t="s">
        <v>3370</v>
      </c>
      <c r="J312" s="2" t="str">
        <f>IF(tb2_CampaignResponses[[#This Row],[Gift_Amount]]&lt;0,"Review - negative amount",IF(tb2_CampaignResponses[[#This Row],[Gift_Amount]]&gt;10000,"Review - unusually large donation",""))</f>
        <v/>
      </c>
      <c r="K312" s="21" t="str">
        <f>IF(tb2_CampaignResponses[[#This Row],[Supporter_ID]]="","Review - no supporter ID","")</f>
        <v/>
      </c>
      <c r="L312" s="21" t="str">
        <f ca="1">IF(tb2_CampaignResponses[[#This Row],[Response_Date]]&gt;TODAY(),"Review - future response date","")</f>
        <v/>
      </c>
    </row>
    <row r="313" spans="1:12" x14ac:dyDescent="0.25">
      <c r="A313" s="3" t="s">
        <v>3902</v>
      </c>
      <c r="B313" s="2" t="s">
        <v>1423</v>
      </c>
      <c r="C313" s="2" t="s">
        <v>3341</v>
      </c>
      <c r="D313" s="2" t="s">
        <v>3342</v>
      </c>
      <c r="E313" s="2" t="s">
        <v>3316</v>
      </c>
      <c r="F313" s="15">
        <v>45773</v>
      </c>
      <c r="G313" s="25">
        <v>9.1999999999999993</v>
      </c>
      <c r="H313" s="2" t="s">
        <v>37</v>
      </c>
      <c r="I313" s="4" t="s">
        <v>3328</v>
      </c>
      <c r="J313" s="2" t="str">
        <f>IF(tb2_CampaignResponses[[#This Row],[Gift_Amount]]&lt;0,"Review - negative amount",IF(tb2_CampaignResponses[[#This Row],[Gift_Amount]]&gt;10000,"Review - unusually large donation",""))</f>
        <v/>
      </c>
      <c r="K313" s="21" t="str">
        <f>IF(tb2_CampaignResponses[[#This Row],[Supporter_ID]]="","Review - no supporter ID","")</f>
        <v/>
      </c>
      <c r="L313" s="21" t="str">
        <f ca="1">IF(tb2_CampaignResponses[[#This Row],[Response_Date]]&gt;TODAY(),"Review - future response date","")</f>
        <v/>
      </c>
    </row>
    <row r="314" spans="1:12" x14ac:dyDescent="0.25">
      <c r="A314" s="3" t="s">
        <v>3904</v>
      </c>
      <c r="B314" s="2" t="s">
        <v>502</v>
      </c>
      <c r="C314" s="2" t="s">
        <v>3403</v>
      </c>
      <c r="D314" s="2" t="s">
        <v>3404</v>
      </c>
      <c r="E314" s="2" t="s">
        <v>3316</v>
      </c>
      <c r="F314" s="15">
        <v>45615</v>
      </c>
      <c r="G314" s="25">
        <v>52.56</v>
      </c>
      <c r="H314" s="2" t="s">
        <v>37</v>
      </c>
      <c r="I314" s="4" t="s">
        <v>3385</v>
      </c>
      <c r="J314" s="2" t="str">
        <f>IF(tb2_CampaignResponses[[#This Row],[Gift_Amount]]&lt;0,"Review - negative amount",IF(tb2_CampaignResponses[[#This Row],[Gift_Amount]]&gt;10000,"Review - unusually large donation",""))</f>
        <v/>
      </c>
      <c r="K314" s="21" t="str">
        <f>IF(tb2_CampaignResponses[[#This Row],[Supporter_ID]]="","Review - no supporter ID","")</f>
        <v/>
      </c>
      <c r="L314" s="21" t="str">
        <f ca="1">IF(tb2_CampaignResponses[[#This Row],[Response_Date]]&gt;TODAY(),"Review - future response date","")</f>
        <v/>
      </c>
    </row>
    <row r="315" spans="1:12" x14ac:dyDescent="0.25">
      <c r="A315" s="3" t="s">
        <v>3906</v>
      </c>
      <c r="B315" s="2" t="s">
        <v>2163</v>
      </c>
      <c r="C315" s="2" t="s">
        <v>3320</v>
      </c>
      <c r="D315" s="2" t="s">
        <v>3321</v>
      </c>
      <c r="E315" s="2" t="s">
        <v>4</v>
      </c>
      <c r="F315" s="15">
        <v>45472</v>
      </c>
      <c r="G315" s="25">
        <v>21.44</v>
      </c>
      <c r="H315" s="2" t="s">
        <v>37</v>
      </c>
      <c r="I315" s="4" t="s">
        <v>3334</v>
      </c>
      <c r="J315" s="2" t="str">
        <f>IF(tb2_CampaignResponses[[#This Row],[Gift_Amount]]&lt;0,"Review - negative amount",IF(tb2_CampaignResponses[[#This Row],[Gift_Amount]]&gt;10000,"Review - unusually large donation",""))</f>
        <v/>
      </c>
      <c r="K315" s="21" t="str">
        <f>IF(tb2_CampaignResponses[[#This Row],[Supporter_ID]]="","Review - no supporter ID","")</f>
        <v/>
      </c>
      <c r="L315" s="21" t="str">
        <f ca="1">IF(tb2_CampaignResponses[[#This Row],[Response_Date]]&gt;TODAY(),"Review - future response date","")</f>
        <v/>
      </c>
    </row>
    <row r="316" spans="1:12" x14ac:dyDescent="0.25">
      <c r="A316" s="3" t="s">
        <v>3908</v>
      </c>
      <c r="B316" s="2" t="s">
        <v>547</v>
      </c>
      <c r="C316" s="2" t="s">
        <v>3367</v>
      </c>
      <c r="D316" s="2" t="s">
        <v>3368</v>
      </c>
      <c r="E316" s="2" t="s">
        <v>4</v>
      </c>
      <c r="F316" s="15">
        <v>45776</v>
      </c>
      <c r="G316" s="25">
        <v>39.01</v>
      </c>
      <c r="H316" s="2" t="s">
        <v>37</v>
      </c>
      <c r="I316" s="4" t="s">
        <v>3334</v>
      </c>
      <c r="J316" s="2" t="str">
        <f>IF(tb2_CampaignResponses[[#This Row],[Gift_Amount]]&lt;0,"Review - negative amount",IF(tb2_CampaignResponses[[#This Row],[Gift_Amount]]&gt;10000,"Review - unusually large donation",""))</f>
        <v/>
      </c>
      <c r="K316" s="21" t="str">
        <f>IF(tb2_CampaignResponses[[#This Row],[Supporter_ID]]="","Review - no supporter ID","")</f>
        <v/>
      </c>
      <c r="L316" s="21" t="str">
        <f ca="1">IF(tb2_CampaignResponses[[#This Row],[Response_Date]]&gt;TODAY(),"Review - future response date","")</f>
        <v/>
      </c>
    </row>
    <row r="317" spans="1:12" x14ac:dyDescent="0.25">
      <c r="A317" s="3" t="s">
        <v>3910</v>
      </c>
      <c r="B317" s="2" t="s">
        <v>3049</v>
      </c>
      <c r="C317" s="2" t="s">
        <v>3354</v>
      </c>
      <c r="D317" s="2" t="s">
        <v>3355</v>
      </c>
      <c r="E317" s="2" t="s">
        <v>65</v>
      </c>
      <c r="F317" s="15">
        <v>45618</v>
      </c>
      <c r="G317" s="25">
        <v>34.799999999999997</v>
      </c>
      <c r="H317" s="2" t="s">
        <v>36</v>
      </c>
      <c r="I317" s="4" t="s">
        <v>3385</v>
      </c>
      <c r="J317" s="2" t="str">
        <f>IF(tb2_CampaignResponses[[#This Row],[Gift_Amount]]&lt;0,"Review - negative amount",IF(tb2_CampaignResponses[[#This Row],[Gift_Amount]]&gt;10000,"Review - unusually large donation",""))</f>
        <v/>
      </c>
      <c r="K317" s="21" t="str">
        <f>IF(tb2_CampaignResponses[[#This Row],[Supporter_ID]]="","Review - no supporter ID","")</f>
        <v/>
      </c>
      <c r="L317" s="21" t="str">
        <f ca="1">IF(tb2_CampaignResponses[[#This Row],[Response_Date]]&gt;TODAY(),"Review - future response date","")</f>
        <v/>
      </c>
    </row>
    <row r="318" spans="1:12" x14ac:dyDescent="0.25">
      <c r="A318" s="3" t="s">
        <v>3911</v>
      </c>
      <c r="B318" s="2" t="s">
        <v>3015</v>
      </c>
      <c r="C318" s="2" t="s">
        <v>3427</v>
      </c>
      <c r="D318" s="2" t="s">
        <v>3428</v>
      </c>
      <c r="E318" s="2" t="s">
        <v>65</v>
      </c>
      <c r="F318" s="15">
        <v>45488</v>
      </c>
      <c r="G318" s="25">
        <v>50.75</v>
      </c>
      <c r="H318" s="2" t="s">
        <v>36</v>
      </c>
      <c r="I318" s="4" t="s">
        <v>3385</v>
      </c>
      <c r="J318" s="2" t="str">
        <f>IF(tb2_CampaignResponses[[#This Row],[Gift_Amount]]&lt;0,"Review - negative amount",IF(tb2_CampaignResponses[[#This Row],[Gift_Amount]]&gt;10000,"Review - unusually large donation",""))</f>
        <v/>
      </c>
      <c r="K318" s="21" t="str">
        <f>IF(tb2_CampaignResponses[[#This Row],[Supporter_ID]]="","Review - no supporter ID","")</f>
        <v/>
      </c>
      <c r="L318" s="21" t="str">
        <f ca="1">IF(tb2_CampaignResponses[[#This Row],[Response_Date]]&gt;TODAY(),"Review - future response date","")</f>
        <v/>
      </c>
    </row>
    <row r="319" spans="1:12" x14ac:dyDescent="0.25">
      <c r="A319" s="3" t="s">
        <v>3912</v>
      </c>
      <c r="B319" s="2" t="s">
        <v>2257</v>
      </c>
      <c r="C319" s="2" t="s">
        <v>3336</v>
      </c>
      <c r="D319" s="2" t="s">
        <v>3337</v>
      </c>
      <c r="E319" s="2" t="s">
        <v>4</v>
      </c>
      <c r="F319" s="15">
        <v>45551</v>
      </c>
      <c r="G319" s="25">
        <v>251.19</v>
      </c>
      <c r="H319" s="2" t="s">
        <v>37</v>
      </c>
      <c r="I319" s="4" t="s">
        <v>3331</v>
      </c>
      <c r="J319" s="2" t="str">
        <f>IF(tb2_CampaignResponses[[#This Row],[Gift_Amount]]&lt;0,"Review - negative amount",IF(tb2_CampaignResponses[[#This Row],[Gift_Amount]]&gt;10000,"Review - unusually large donation",""))</f>
        <v/>
      </c>
      <c r="K319" s="21" t="str">
        <f>IF(tb2_CampaignResponses[[#This Row],[Supporter_ID]]="","Review - no supporter ID","")</f>
        <v/>
      </c>
      <c r="L319" s="21" t="str">
        <f ca="1">IF(tb2_CampaignResponses[[#This Row],[Response_Date]]&gt;TODAY(),"Review - future response date","")</f>
        <v/>
      </c>
    </row>
    <row r="320" spans="1:12" x14ac:dyDescent="0.25">
      <c r="A320" s="3" t="s">
        <v>3914</v>
      </c>
      <c r="B320" s="2" t="s">
        <v>1505</v>
      </c>
      <c r="C320" s="2" t="s">
        <v>3341</v>
      </c>
      <c r="D320" s="2" t="s">
        <v>3342</v>
      </c>
      <c r="E320" s="2" t="s">
        <v>3316</v>
      </c>
      <c r="F320" s="15">
        <v>45704</v>
      </c>
      <c r="G320" s="25">
        <v>21.24</v>
      </c>
      <c r="H320" s="2" t="s">
        <v>37</v>
      </c>
      <c r="I320" s="4" t="s">
        <v>3370</v>
      </c>
      <c r="J320" s="2" t="str">
        <f>IF(tb2_CampaignResponses[[#This Row],[Gift_Amount]]&lt;0,"Review - negative amount",IF(tb2_CampaignResponses[[#This Row],[Gift_Amount]]&gt;10000,"Review - unusually large donation",""))</f>
        <v/>
      </c>
      <c r="K320" s="21" t="str">
        <f>IF(tb2_CampaignResponses[[#This Row],[Supporter_ID]]="","Review - no supporter ID","")</f>
        <v/>
      </c>
      <c r="L320" s="21" t="str">
        <f ca="1">IF(tb2_CampaignResponses[[#This Row],[Response_Date]]&gt;TODAY(),"Review - future response date","")</f>
        <v/>
      </c>
    </row>
    <row r="321" spans="1:12" x14ac:dyDescent="0.25">
      <c r="A321" s="3" t="s">
        <v>3916</v>
      </c>
      <c r="B321" s="2" t="s">
        <v>2958</v>
      </c>
      <c r="C321" s="2" t="s">
        <v>3403</v>
      </c>
      <c r="D321" s="2" t="s">
        <v>3404</v>
      </c>
      <c r="E321" s="2" t="s">
        <v>4</v>
      </c>
      <c r="F321" s="15">
        <v>45642</v>
      </c>
      <c r="G321" s="25">
        <v>49.44</v>
      </c>
      <c r="H321" s="2" t="s">
        <v>36</v>
      </c>
      <c r="I321" s="4" t="s">
        <v>3318</v>
      </c>
      <c r="J321" s="2" t="str">
        <f>IF(tb2_CampaignResponses[[#This Row],[Gift_Amount]]&lt;0,"Review - negative amount",IF(tb2_CampaignResponses[[#This Row],[Gift_Amount]]&gt;10000,"Review - unusually large donation",""))</f>
        <v/>
      </c>
      <c r="K321" s="21" t="str">
        <f>IF(tb2_CampaignResponses[[#This Row],[Supporter_ID]]="","Review - no supporter ID","")</f>
        <v/>
      </c>
      <c r="L321" s="21" t="str">
        <f ca="1">IF(tb2_CampaignResponses[[#This Row],[Response_Date]]&gt;TODAY(),"Review - future response date","")</f>
        <v/>
      </c>
    </row>
    <row r="322" spans="1:12" x14ac:dyDescent="0.25">
      <c r="A322" s="3" t="s">
        <v>3918</v>
      </c>
      <c r="B322" s="2" t="s">
        <v>2759</v>
      </c>
      <c r="C322" s="2" t="s">
        <v>3325</v>
      </c>
      <c r="D322" s="2" t="s">
        <v>3326</v>
      </c>
      <c r="E322" s="2" t="s">
        <v>65</v>
      </c>
      <c r="F322" s="15">
        <v>45654</v>
      </c>
      <c r="G322" s="25">
        <v>9.17</v>
      </c>
      <c r="H322" s="2" t="s">
        <v>36</v>
      </c>
      <c r="I322" s="4" t="s">
        <v>3318</v>
      </c>
      <c r="J322" s="2" t="str">
        <f>IF(tb2_CampaignResponses[[#This Row],[Gift_Amount]]&lt;0,"Review - negative amount",IF(tb2_CampaignResponses[[#This Row],[Gift_Amount]]&gt;10000,"Review - unusually large donation",""))</f>
        <v/>
      </c>
      <c r="K322" s="21" t="str">
        <f>IF(tb2_CampaignResponses[[#This Row],[Supporter_ID]]="","Review - no supporter ID","")</f>
        <v/>
      </c>
      <c r="L322" s="21" t="str">
        <f ca="1">IF(tb2_CampaignResponses[[#This Row],[Response_Date]]&gt;TODAY(),"Review - future response date","")</f>
        <v/>
      </c>
    </row>
    <row r="323" spans="1:12" x14ac:dyDescent="0.25">
      <c r="A323" s="3" t="s">
        <v>3920</v>
      </c>
      <c r="B323" s="2" t="s">
        <v>1663</v>
      </c>
      <c r="C323" s="2" t="s">
        <v>3320</v>
      </c>
      <c r="D323" s="2" t="s">
        <v>3321</v>
      </c>
      <c r="E323" s="2" t="s">
        <v>4</v>
      </c>
      <c r="F323" s="15">
        <v>45469</v>
      </c>
      <c r="G323" s="25">
        <v>299.75</v>
      </c>
      <c r="H323" s="2" t="s">
        <v>37</v>
      </c>
      <c r="I323" s="4" t="s">
        <v>3370</v>
      </c>
      <c r="J323" s="2" t="str">
        <f>IF(tb2_CampaignResponses[[#This Row],[Gift_Amount]]&lt;0,"Review - negative amount",IF(tb2_CampaignResponses[[#This Row],[Gift_Amount]]&gt;10000,"Review - unusually large donation",""))</f>
        <v/>
      </c>
      <c r="K323" s="21" t="str">
        <f>IF(tb2_CampaignResponses[[#This Row],[Supporter_ID]]="","Review - no supporter ID","")</f>
        <v/>
      </c>
      <c r="L323" s="21" t="str">
        <f ca="1">IF(tb2_CampaignResponses[[#This Row],[Response_Date]]&gt;TODAY(),"Review - future response date","")</f>
        <v/>
      </c>
    </row>
    <row r="324" spans="1:12" x14ac:dyDescent="0.25">
      <c r="A324" s="3" t="s">
        <v>3922</v>
      </c>
      <c r="B324" s="2" t="s">
        <v>1309</v>
      </c>
      <c r="C324" s="2" t="s">
        <v>3362</v>
      </c>
      <c r="D324" s="2" t="s">
        <v>3363</v>
      </c>
      <c r="E324" s="2" t="s">
        <v>65</v>
      </c>
      <c r="F324" s="15">
        <v>45573</v>
      </c>
      <c r="G324" s="25">
        <v>56.33</v>
      </c>
      <c r="H324" s="2" t="s">
        <v>36</v>
      </c>
      <c r="I324" s="4" t="s">
        <v>3334</v>
      </c>
      <c r="J324" s="2" t="str">
        <f>IF(tb2_CampaignResponses[[#This Row],[Gift_Amount]]&lt;0,"Review - negative amount",IF(tb2_CampaignResponses[[#This Row],[Gift_Amount]]&gt;10000,"Review - unusually large donation",""))</f>
        <v/>
      </c>
      <c r="K324" s="21" t="str">
        <f>IF(tb2_CampaignResponses[[#This Row],[Supporter_ID]]="","Review - no supporter ID","")</f>
        <v/>
      </c>
      <c r="L324" s="21" t="str">
        <f ca="1">IF(tb2_CampaignResponses[[#This Row],[Response_Date]]&gt;TODAY(),"Review - future response date","")</f>
        <v/>
      </c>
    </row>
    <row r="325" spans="1:12" x14ac:dyDescent="0.25">
      <c r="A325" s="3" t="s">
        <v>3923</v>
      </c>
      <c r="B325" s="2" t="s">
        <v>1945</v>
      </c>
      <c r="C325" s="2" t="s">
        <v>3325</v>
      </c>
      <c r="D325" s="2" t="s">
        <v>3326</v>
      </c>
      <c r="E325" s="2" t="s">
        <v>3338</v>
      </c>
      <c r="F325" s="15">
        <v>45598</v>
      </c>
      <c r="G325" s="25">
        <v>10.09</v>
      </c>
      <c r="H325" s="2" t="s">
        <v>36</v>
      </c>
      <c r="I325" s="4" t="s">
        <v>3328</v>
      </c>
      <c r="J325" s="2" t="str">
        <f>IF(tb2_CampaignResponses[[#This Row],[Gift_Amount]]&lt;0,"Review - negative amount",IF(tb2_CampaignResponses[[#This Row],[Gift_Amount]]&gt;10000,"Review - unusually large donation",""))</f>
        <v/>
      </c>
      <c r="K325" s="21" t="str">
        <f>IF(tb2_CampaignResponses[[#This Row],[Supporter_ID]]="","Review - no supporter ID","")</f>
        <v/>
      </c>
      <c r="L325" s="21" t="str">
        <f ca="1">IF(tb2_CampaignResponses[[#This Row],[Response_Date]]&gt;TODAY(),"Review - future response date","")</f>
        <v/>
      </c>
    </row>
    <row r="326" spans="1:12" x14ac:dyDescent="0.25">
      <c r="A326" s="3" t="s">
        <v>3925</v>
      </c>
      <c r="B326" s="2" t="s">
        <v>3049</v>
      </c>
      <c r="C326" s="2" t="s">
        <v>3367</v>
      </c>
      <c r="D326" s="2" t="s">
        <v>3368</v>
      </c>
      <c r="E326" s="2" t="s">
        <v>65</v>
      </c>
      <c r="F326" s="15">
        <v>45775</v>
      </c>
      <c r="G326" s="25">
        <v>115.82</v>
      </c>
      <c r="H326" s="2" t="s">
        <v>37</v>
      </c>
      <c r="I326" s="4" t="s">
        <v>3331</v>
      </c>
      <c r="J326" s="2" t="str">
        <f>IF(tb2_CampaignResponses[[#This Row],[Gift_Amount]]&lt;0,"Review - negative amount",IF(tb2_CampaignResponses[[#This Row],[Gift_Amount]]&gt;10000,"Review - unusually large donation",""))</f>
        <v/>
      </c>
      <c r="K326" s="21" t="str">
        <f>IF(tb2_CampaignResponses[[#This Row],[Supporter_ID]]="","Review - no supporter ID","")</f>
        <v/>
      </c>
      <c r="L326" s="21" t="str">
        <f ca="1">IF(tb2_CampaignResponses[[#This Row],[Response_Date]]&gt;TODAY(),"Review - future response date","")</f>
        <v/>
      </c>
    </row>
    <row r="327" spans="1:12" x14ac:dyDescent="0.25">
      <c r="A327" s="3" t="s">
        <v>3927</v>
      </c>
      <c r="B327" s="2" t="s">
        <v>2858</v>
      </c>
      <c r="C327" s="2" t="s">
        <v>3320</v>
      </c>
      <c r="D327" s="2" t="s">
        <v>3321</v>
      </c>
      <c r="E327" s="2" t="s">
        <v>65</v>
      </c>
      <c r="F327" s="15">
        <v>45449</v>
      </c>
      <c r="G327" s="25">
        <v>83.29</v>
      </c>
      <c r="H327" s="2" t="s">
        <v>37</v>
      </c>
      <c r="I327" s="4" t="s">
        <v>3334</v>
      </c>
      <c r="J327" s="2" t="str">
        <f>IF(tb2_CampaignResponses[[#This Row],[Gift_Amount]]&lt;0,"Review - negative amount",IF(tb2_CampaignResponses[[#This Row],[Gift_Amount]]&gt;10000,"Review - unusually large donation",""))</f>
        <v/>
      </c>
      <c r="K327" s="21" t="str">
        <f>IF(tb2_CampaignResponses[[#This Row],[Supporter_ID]]="","Review - no supporter ID","")</f>
        <v/>
      </c>
      <c r="L327" s="21" t="str">
        <f ca="1">IF(tb2_CampaignResponses[[#This Row],[Response_Date]]&gt;TODAY(),"Review - future response date","")</f>
        <v/>
      </c>
    </row>
    <row r="328" spans="1:12" x14ac:dyDescent="0.25">
      <c r="A328" s="3" t="s">
        <v>3929</v>
      </c>
      <c r="B328" s="2" t="s">
        <v>1675</v>
      </c>
      <c r="C328" s="2" t="s">
        <v>3336</v>
      </c>
      <c r="D328" s="2" t="s">
        <v>3337</v>
      </c>
      <c r="E328" s="2" t="s">
        <v>4</v>
      </c>
      <c r="F328" s="15">
        <v>45554</v>
      </c>
      <c r="G328" s="25">
        <v>47.99</v>
      </c>
      <c r="H328" s="2" t="s">
        <v>36</v>
      </c>
      <c r="I328" s="4" t="s">
        <v>3328</v>
      </c>
      <c r="J328" s="2" t="str">
        <f>IF(tb2_CampaignResponses[[#This Row],[Gift_Amount]]&lt;0,"Review - negative amount",IF(tb2_CampaignResponses[[#This Row],[Gift_Amount]]&gt;10000,"Review - unusually large donation",""))</f>
        <v/>
      </c>
      <c r="K328" s="21" t="str">
        <f>IF(tb2_CampaignResponses[[#This Row],[Supporter_ID]]="","Review - no supporter ID","")</f>
        <v/>
      </c>
      <c r="L328" s="21" t="str">
        <f ca="1">IF(tb2_CampaignResponses[[#This Row],[Response_Date]]&gt;TODAY(),"Review - future response date","")</f>
        <v/>
      </c>
    </row>
    <row r="329" spans="1:12" x14ac:dyDescent="0.25">
      <c r="A329" s="3" t="s">
        <v>3931</v>
      </c>
      <c r="B329" s="2" t="s">
        <v>2627</v>
      </c>
      <c r="C329" s="2" t="s">
        <v>3354</v>
      </c>
      <c r="D329" s="2" t="s">
        <v>3355</v>
      </c>
      <c r="E329" s="2" t="s">
        <v>65</v>
      </c>
      <c r="F329" s="15">
        <v>45618</v>
      </c>
      <c r="G329" s="25">
        <v>44.31</v>
      </c>
      <c r="H329" s="2" t="s">
        <v>37</v>
      </c>
      <c r="I329" s="4" t="s">
        <v>3365</v>
      </c>
      <c r="J329" s="2" t="str">
        <f>IF(tb2_CampaignResponses[[#This Row],[Gift_Amount]]&lt;0,"Review - negative amount",IF(tb2_CampaignResponses[[#This Row],[Gift_Amount]]&gt;10000,"Review - unusually large donation",""))</f>
        <v/>
      </c>
      <c r="K329" s="21" t="str">
        <f>IF(tb2_CampaignResponses[[#This Row],[Supporter_ID]]="","Review - no supporter ID","")</f>
        <v/>
      </c>
      <c r="L329" s="21" t="str">
        <f ca="1">IF(tb2_CampaignResponses[[#This Row],[Response_Date]]&gt;TODAY(),"Review - future response date","")</f>
        <v/>
      </c>
    </row>
    <row r="330" spans="1:12" x14ac:dyDescent="0.25">
      <c r="A330" s="3" t="s">
        <v>3932</v>
      </c>
      <c r="B330" s="2" t="s">
        <v>1037</v>
      </c>
      <c r="C330" s="2" t="s">
        <v>3325</v>
      </c>
      <c r="D330" s="2" t="s">
        <v>3326</v>
      </c>
      <c r="E330" s="2" t="s">
        <v>3316</v>
      </c>
      <c r="F330" s="15">
        <v>45637</v>
      </c>
      <c r="G330" s="25">
        <v>28.58</v>
      </c>
      <c r="H330" s="2" t="s">
        <v>36</v>
      </c>
      <c r="I330" s="4" t="s">
        <v>3318</v>
      </c>
      <c r="J330" s="2" t="str">
        <f>IF(tb2_CampaignResponses[[#This Row],[Gift_Amount]]&lt;0,"Review - negative amount",IF(tb2_CampaignResponses[[#This Row],[Gift_Amount]]&gt;10000,"Review - unusually large donation",""))</f>
        <v/>
      </c>
      <c r="K330" s="21" t="str">
        <f>IF(tb2_CampaignResponses[[#This Row],[Supporter_ID]]="","Review - no supporter ID","")</f>
        <v/>
      </c>
      <c r="L330" s="21" t="str">
        <f ca="1">IF(tb2_CampaignResponses[[#This Row],[Response_Date]]&gt;TODAY(),"Review - future response date","")</f>
        <v/>
      </c>
    </row>
    <row r="331" spans="1:12" x14ac:dyDescent="0.25">
      <c r="A331" s="3" t="s">
        <v>3934</v>
      </c>
      <c r="B331" s="2" t="s">
        <v>1065</v>
      </c>
      <c r="C331" s="2" t="s">
        <v>3325</v>
      </c>
      <c r="D331" s="2" t="s">
        <v>3326</v>
      </c>
      <c r="E331" s="2" t="s">
        <v>65</v>
      </c>
      <c r="F331" s="15">
        <v>45633</v>
      </c>
      <c r="G331" s="25">
        <v>284.79000000000002</v>
      </c>
      <c r="H331" s="2" t="s">
        <v>36</v>
      </c>
      <c r="I331" s="4" t="s">
        <v>3318</v>
      </c>
      <c r="J331" s="2" t="str">
        <f>IF(tb2_CampaignResponses[[#This Row],[Gift_Amount]]&lt;0,"Review - negative amount",IF(tb2_CampaignResponses[[#This Row],[Gift_Amount]]&gt;10000,"Review - unusually large donation",""))</f>
        <v/>
      </c>
      <c r="K331" s="21" t="str">
        <f>IF(tb2_CampaignResponses[[#This Row],[Supporter_ID]]="","Review - no supporter ID","")</f>
        <v/>
      </c>
      <c r="L331" s="21" t="str">
        <f ca="1">IF(tb2_CampaignResponses[[#This Row],[Response_Date]]&gt;TODAY(),"Review - future response date","")</f>
        <v/>
      </c>
    </row>
    <row r="332" spans="1:12" x14ac:dyDescent="0.25">
      <c r="A332" s="3" t="s">
        <v>3936</v>
      </c>
      <c r="B332" s="2" t="s">
        <v>2952</v>
      </c>
      <c r="C332" s="2" t="s">
        <v>3427</v>
      </c>
      <c r="D332" s="2" t="s">
        <v>3428</v>
      </c>
      <c r="E332" s="2" t="s">
        <v>4</v>
      </c>
      <c r="F332" s="15">
        <v>45488</v>
      </c>
      <c r="G332" s="25">
        <v>78.900000000000006</v>
      </c>
      <c r="H332" s="2" t="s">
        <v>37</v>
      </c>
      <c r="I332" s="4" t="s">
        <v>3334</v>
      </c>
      <c r="J332" s="2" t="str">
        <f>IF(tb2_CampaignResponses[[#This Row],[Gift_Amount]]&lt;0,"Review - negative amount",IF(tb2_CampaignResponses[[#This Row],[Gift_Amount]]&gt;10000,"Review - unusually large donation",""))</f>
        <v/>
      </c>
      <c r="K332" s="21" t="str">
        <f>IF(tb2_CampaignResponses[[#This Row],[Supporter_ID]]="","Review - no supporter ID","")</f>
        <v/>
      </c>
      <c r="L332" s="21" t="str">
        <f ca="1">IF(tb2_CampaignResponses[[#This Row],[Response_Date]]&gt;TODAY(),"Review - future response date","")</f>
        <v/>
      </c>
    </row>
    <row r="333" spans="1:12" x14ac:dyDescent="0.25">
      <c r="A333" s="3" t="s">
        <v>3937</v>
      </c>
      <c r="B333" s="2" t="s">
        <v>2076</v>
      </c>
      <c r="C333" s="2" t="s">
        <v>3367</v>
      </c>
      <c r="D333" s="2" t="s">
        <v>3368</v>
      </c>
      <c r="E333" s="2" t="s">
        <v>4</v>
      </c>
      <c r="F333" s="15">
        <v>45741</v>
      </c>
      <c r="G333" s="25">
        <v>73.989999999999995</v>
      </c>
      <c r="H333" s="2" t="s">
        <v>37</v>
      </c>
      <c r="I333" s="4" t="s">
        <v>3365</v>
      </c>
      <c r="J333" s="2" t="str">
        <f>IF(tb2_CampaignResponses[[#This Row],[Gift_Amount]]&lt;0,"Review - negative amount",IF(tb2_CampaignResponses[[#This Row],[Gift_Amount]]&gt;10000,"Review - unusually large donation",""))</f>
        <v/>
      </c>
      <c r="K333" s="21" t="str">
        <f>IF(tb2_CampaignResponses[[#This Row],[Supporter_ID]]="","Review - no supporter ID","")</f>
        <v/>
      </c>
      <c r="L333" s="21" t="str">
        <f ca="1">IF(tb2_CampaignResponses[[#This Row],[Response_Date]]&gt;TODAY(),"Review - future response date","")</f>
        <v/>
      </c>
    </row>
    <row r="334" spans="1:12" x14ac:dyDescent="0.25">
      <c r="A334" s="3" t="s">
        <v>3939</v>
      </c>
      <c r="B334" s="2" t="s">
        <v>3176</v>
      </c>
      <c r="C334" s="2" t="s">
        <v>3325</v>
      </c>
      <c r="D334" s="2" t="s">
        <v>3326</v>
      </c>
      <c r="E334" s="2" t="s">
        <v>3316</v>
      </c>
      <c r="F334" s="15">
        <v>45629</v>
      </c>
      <c r="G334" s="25">
        <v>1139.1199999999999</v>
      </c>
      <c r="H334" s="2" t="s">
        <v>37</v>
      </c>
      <c r="I334" s="4" t="s">
        <v>3328</v>
      </c>
      <c r="J334" s="2" t="str">
        <f>IF(tb2_CampaignResponses[[#This Row],[Gift_Amount]]&lt;0,"Review - negative amount",IF(tb2_CampaignResponses[[#This Row],[Gift_Amount]]&gt;10000,"Review - unusually large donation",""))</f>
        <v/>
      </c>
      <c r="K334" s="21" t="str">
        <f>IF(tb2_CampaignResponses[[#This Row],[Supporter_ID]]="","Review - no supporter ID","")</f>
        <v/>
      </c>
      <c r="L334" s="21" t="str">
        <f ca="1">IF(tb2_CampaignResponses[[#This Row],[Response_Date]]&gt;TODAY(),"Review - future response date","")</f>
        <v/>
      </c>
    </row>
    <row r="335" spans="1:12" x14ac:dyDescent="0.25">
      <c r="A335" s="3" t="s">
        <v>3941</v>
      </c>
      <c r="B335" s="2" t="s">
        <v>979</v>
      </c>
      <c r="C335" s="2" t="s">
        <v>3341</v>
      </c>
      <c r="D335" s="2" t="s">
        <v>3342</v>
      </c>
      <c r="E335" s="2" t="s">
        <v>91</v>
      </c>
      <c r="F335" s="15">
        <v>45702</v>
      </c>
      <c r="G335" s="25">
        <v>10.99</v>
      </c>
      <c r="H335" s="2" t="s">
        <v>37</v>
      </c>
      <c r="I335" s="4" t="s">
        <v>3331</v>
      </c>
      <c r="J335" s="2" t="str">
        <f>IF(tb2_CampaignResponses[[#This Row],[Gift_Amount]]&lt;0,"Review - negative amount",IF(tb2_CampaignResponses[[#This Row],[Gift_Amount]]&gt;10000,"Review - unusually large donation",""))</f>
        <v/>
      </c>
      <c r="K335" s="21" t="str">
        <f>IF(tb2_CampaignResponses[[#This Row],[Supporter_ID]]="","Review - no supporter ID","")</f>
        <v/>
      </c>
      <c r="L335" s="21" t="str">
        <f ca="1">IF(tb2_CampaignResponses[[#This Row],[Response_Date]]&gt;TODAY(),"Review - future response date","")</f>
        <v/>
      </c>
    </row>
    <row r="336" spans="1:12" x14ac:dyDescent="0.25">
      <c r="A336" s="3" t="s">
        <v>3942</v>
      </c>
      <c r="B336" s="2" t="s">
        <v>1532</v>
      </c>
      <c r="C336" s="2" t="s">
        <v>3314</v>
      </c>
      <c r="D336" s="2" t="s">
        <v>3315</v>
      </c>
      <c r="E336" s="2" t="s">
        <v>33</v>
      </c>
      <c r="F336" s="15">
        <v>45689</v>
      </c>
      <c r="G336" s="25">
        <v>124.59</v>
      </c>
      <c r="H336" s="2" t="s">
        <v>36</v>
      </c>
      <c r="I336" s="4" t="s">
        <v>3331</v>
      </c>
      <c r="J336" s="2" t="str">
        <f>IF(tb2_CampaignResponses[[#This Row],[Gift_Amount]]&lt;0,"Review - negative amount",IF(tb2_CampaignResponses[[#This Row],[Gift_Amount]]&gt;10000,"Review - unusually large donation",""))</f>
        <v/>
      </c>
      <c r="K336" s="21" t="str">
        <f>IF(tb2_CampaignResponses[[#This Row],[Supporter_ID]]="","Review - no supporter ID","")</f>
        <v/>
      </c>
      <c r="L336" s="21" t="str">
        <f ca="1">IF(tb2_CampaignResponses[[#This Row],[Response_Date]]&gt;TODAY(),"Review - future response date","")</f>
        <v/>
      </c>
    </row>
    <row r="337" spans="1:12" x14ac:dyDescent="0.25">
      <c r="A337" s="3" t="s">
        <v>3944</v>
      </c>
      <c r="B337" s="2" t="s">
        <v>2188</v>
      </c>
      <c r="C337" s="2" t="s">
        <v>3403</v>
      </c>
      <c r="D337" s="2" t="s">
        <v>3404</v>
      </c>
      <c r="E337" s="2" t="s">
        <v>65</v>
      </c>
      <c r="F337" s="15">
        <v>45608</v>
      </c>
      <c r="G337" s="25">
        <v>12.53</v>
      </c>
      <c r="H337" s="2" t="s">
        <v>36</v>
      </c>
      <c r="I337" s="4" t="s">
        <v>3334</v>
      </c>
      <c r="J337" s="2" t="str">
        <f>IF(tb2_CampaignResponses[[#This Row],[Gift_Amount]]&lt;0,"Review - negative amount",IF(tb2_CampaignResponses[[#This Row],[Gift_Amount]]&gt;10000,"Review - unusually large donation",""))</f>
        <v/>
      </c>
      <c r="K337" s="21" t="str">
        <f>IF(tb2_CampaignResponses[[#This Row],[Supporter_ID]]="","Review - no supporter ID","")</f>
        <v/>
      </c>
      <c r="L337" s="21" t="str">
        <f ca="1">IF(tb2_CampaignResponses[[#This Row],[Response_Date]]&gt;TODAY(),"Review - future response date","")</f>
        <v/>
      </c>
    </row>
    <row r="338" spans="1:12" x14ac:dyDescent="0.25">
      <c r="A338" s="3" t="s">
        <v>3946</v>
      </c>
      <c r="B338" s="2" t="s">
        <v>1933</v>
      </c>
      <c r="C338" s="2" t="s">
        <v>3320</v>
      </c>
      <c r="D338" s="2" t="s">
        <v>3321</v>
      </c>
      <c r="E338" s="2" t="s">
        <v>4</v>
      </c>
      <c r="F338" s="15">
        <v>45454</v>
      </c>
      <c r="G338" s="25">
        <v>259.23</v>
      </c>
      <c r="H338" s="2" t="s">
        <v>37</v>
      </c>
      <c r="I338" s="4" t="s">
        <v>3328</v>
      </c>
      <c r="J338" s="2" t="str">
        <f>IF(tb2_CampaignResponses[[#This Row],[Gift_Amount]]&lt;0,"Review - negative amount",IF(tb2_CampaignResponses[[#This Row],[Gift_Amount]]&gt;10000,"Review - unusually large donation",""))</f>
        <v/>
      </c>
      <c r="K338" s="21" t="str">
        <f>IF(tb2_CampaignResponses[[#This Row],[Supporter_ID]]="","Review - no supporter ID","")</f>
        <v/>
      </c>
      <c r="L338" s="21" t="str">
        <f ca="1">IF(tb2_CampaignResponses[[#This Row],[Response_Date]]&gt;TODAY(),"Review - future response date","")</f>
        <v/>
      </c>
    </row>
    <row r="339" spans="1:12" x14ac:dyDescent="0.25">
      <c r="A339" s="3" t="s">
        <v>3948</v>
      </c>
      <c r="B339" s="2" t="s">
        <v>81</v>
      </c>
      <c r="C339" s="2" t="s">
        <v>3362</v>
      </c>
      <c r="D339" s="2" t="s">
        <v>3363</v>
      </c>
      <c r="E339" s="2" t="s">
        <v>65</v>
      </c>
      <c r="F339" s="15">
        <v>45578</v>
      </c>
      <c r="G339" s="25">
        <v>133.07</v>
      </c>
      <c r="H339" s="2" t="s">
        <v>36</v>
      </c>
      <c r="I339" s="4" t="s">
        <v>3385</v>
      </c>
      <c r="J339" s="2" t="str">
        <f>IF(tb2_CampaignResponses[[#This Row],[Gift_Amount]]&lt;0,"Review - negative amount",IF(tb2_CampaignResponses[[#This Row],[Gift_Amount]]&gt;10000,"Review - unusually large donation",""))</f>
        <v/>
      </c>
      <c r="K339" s="21" t="str">
        <f>IF(tb2_CampaignResponses[[#This Row],[Supporter_ID]]="","Review - no supporter ID","")</f>
        <v/>
      </c>
      <c r="L339" s="21" t="str">
        <f ca="1">IF(tb2_CampaignResponses[[#This Row],[Response_Date]]&gt;TODAY(),"Review - future response date","")</f>
        <v/>
      </c>
    </row>
    <row r="340" spans="1:12" x14ac:dyDescent="0.25">
      <c r="A340" s="3" t="s">
        <v>3949</v>
      </c>
      <c r="B340" s="2" t="s">
        <v>3199</v>
      </c>
      <c r="C340" s="2" t="s">
        <v>3320</v>
      </c>
      <c r="D340" s="2" t="s">
        <v>3321</v>
      </c>
      <c r="E340" s="2" t="s">
        <v>4</v>
      </c>
      <c r="F340" s="15">
        <v>45461</v>
      </c>
      <c r="G340" s="25">
        <v>30.29</v>
      </c>
      <c r="H340" s="2" t="s">
        <v>37</v>
      </c>
      <c r="I340" s="4" t="s">
        <v>3334</v>
      </c>
      <c r="J340" s="2" t="str">
        <f>IF(tb2_CampaignResponses[[#This Row],[Gift_Amount]]&lt;0,"Review - negative amount",IF(tb2_CampaignResponses[[#This Row],[Gift_Amount]]&gt;10000,"Review - unusually large donation",""))</f>
        <v/>
      </c>
      <c r="K340" s="21" t="str">
        <f>IF(tb2_CampaignResponses[[#This Row],[Supporter_ID]]="","Review - no supporter ID","")</f>
        <v/>
      </c>
      <c r="L340" s="21" t="str">
        <f ca="1">IF(tb2_CampaignResponses[[#This Row],[Response_Date]]&gt;TODAY(),"Review - future response date","")</f>
        <v/>
      </c>
    </row>
    <row r="341" spans="1:12" x14ac:dyDescent="0.25">
      <c r="A341" s="3" t="s">
        <v>3951</v>
      </c>
      <c r="B341" s="2" t="s">
        <v>1239</v>
      </c>
      <c r="C341" s="2" t="s">
        <v>3427</v>
      </c>
      <c r="D341" s="2" t="s">
        <v>3428</v>
      </c>
      <c r="E341" s="2" t="s">
        <v>4</v>
      </c>
      <c r="F341" s="15">
        <v>45488</v>
      </c>
      <c r="G341" s="25">
        <v>28.44</v>
      </c>
      <c r="H341" s="2" t="s">
        <v>37</v>
      </c>
      <c r="I341" s="4" t="s">
        <v>3331</v>
      </c>
      <c r="J341" s="2" t="str">
        <f>IF(tb2_CampaignResponses[[#This Row],[Gift_Amount]]&lt;0,"Review - negative amount",IF(tb2_CampaignResponses[[#This Row],[Gift_Amount]]&gt;10000,"Review - unusually large donation",""))</f>
        <v/>
      </c>
      <c r="K341" s="21" t="str">
        <f>IF(tb2_CampaignResponses[[#This Row],[Supporter_ID]]="","Review - no supporter ID","")</f>
        <v/>
      </c>
      <c r="L341" s="21" t="str">
        <f ca="1">IF(tb2_CampaignResponses[[#This Row],[Response_Date]]&gt;TODAY(),"Review - future response date","")</f>
        <v/>
      </c>
    </row>
    <row r="342" spans="1:12" x14ac:dyDescent="0.25">
      <c r="A342" s="3" t="s">
        <v>3952</v>
      </c>
      <c r="B342" s="2" t="s">
        <v>2940</v>
      </c>
      <c r="C342" s="2" t="s">
        <v>3314</v>
      </c>
      <c r="D342" s="2" t="s">
        <v>3315</v>
      </c>
      <c r="E342" s="2" t="s">
        <v>65</v>
      </c>
      <c r="F342" s="15">
        <v>45666</v>
      </c>
      <c r="G342" s="25">
        <v>165.79</v>
      </c>
      <c r="H342" s="2" t="s">
        <v>36</v>
      </c>
      <c r="I342" s="4" t="s">
        <v>3323</v>
      </c>
      <c r="J342" s="2" t="str">
        <f>IF(tb2_CampaignResponses[[#This Row],[Gift_Amount]]&lt;0,"Review - negative amount",IF(tb2_CampaignResponses[[#This Row],[Gift_Amount]]&gt;10000,"Review - unusually large donation",""))</f>
        <v/>
      </c>
      <c r="K342" s="21" t="str">
        <f>IF(tb2_CampaignResponses[[#This Row],[Supporter_ID]]="","Review - no supporter ID","")</f>
        <v/>
      </c>
      <c r="L342" s="21" t="str">
        <f ca="1">IF(tb2_CampaignResponses[[#This Row],[Response_Date]]&gt;TODAY(),"Review - future response date","")</f>
        <v/>
      </c>
    </row>
    <row r="343" spans="1:12" x14ac:dyDescent="0.25">
      <c r="A343" s="3" t="s">
        <v>3954</v>
      </c>
      <c r="B343" s="2" t="s">
        <v>808</v>
      </c>
      <c r="C343" s="2" t="s">
        <v>3314</v>
      </c>
      <c r="D343" s="2" t="s">
        <v>3315</v>
      </c>
      <c r="E343" s="2" t="s">
        <v>33</v>
      </c>
      <c r="F343" s="15">
        <v>45681</v>
      </c>
      <c r="G343" s="25">
        <v>76.94</v>
      </c>
      <c r="H343" s="2" t="s">
        <v>36</v>
      </c>
      <c r="I343" s="4" t="s">
        <v>3331</v>
      </c>
      <c r="J343" s="2" t="str">
        <f>IF(tb2_CampaignResponses[[#This Row],[Gift_Amount]]&lt;0,"Review - negative amount",IF(tb2_CampaignResponses[[#This Row],[Gift_Amount]]&gt;10000,"Review - unusually large donation",""))</f>
        <v/>
      </c>
      <c r="K343" s="21" t="str">
        <f>IF(tb2_CampaignResponses[[#This Row],[Supporter_ID]]="","Review - no supporter ID","")</f>
        <v/>
      </c>
      <c r="L343" s="21" t="str">
        <f ca="1">IF(tb2_CampaignResponses[[#This Row],[Response_Date]]&gt;TODAY(),"Review - future response date","")</f>
        <v/>
      </c>
    </row>
    <row r="344" spans="1:12" x14ac:dyDescent="0.25">
      <c r="A344" s="3" t="s">
        <v>3956</v>
      </c>
      <c r="B344" s="2" t="s">
        <v>1567</v>
      </c>
      <c r="C344" s="2" t="s">
        <v>3367</v>
      </c>
      <c r="D344" s="2" t="s">
        <v>3368</v>
      </c>
      <c r="E344" s="2" t="s">
        <v>4</v>
      </c>
      <c r="F344" s="15">
        <v>45306</v>
      </c>
      <c r="G344" s="25">
        <v>45.16</v>
      </c>
      <c r="H344" s="2" t="s">
        <v>36</v>
      </c>
      <c r="I344" s="4" t="s">
        <v>3328</v>
      </c>
      <c r="J344" s="2" t="str">
        <f>IF(tb2_CampaignResponses[[#This Row],[Gift_Amount]]&lt;0,"Review - negative amount",IF(tb2_CampaignResponses[[#This Row],[Gift_Amount]]&gt;10000,"Review - unusually large donation",""))</f>
        <v/>
      </c>
      <c r="K344" s="21" t="str">
        <f>IF(tb2_CampaignResponses[[#This Row],[Supporter_ID]]="","Review - no supporter ID","")</f>
        <v/>
      </c>
      <c r="L344" s="21" t="str">
        <f ca="1">IF(tb2_CampaignResponses[[#This Row],[Response_Date]]&gt;TODAY(),"Review - future response date","")</f>
        <v/>
      </c>
    </row>
    <row r="345" spans="1:12" x14ac:dyDescent="0.25">
      <c r="A345" s="3" t="s">
        <v>3958</v>
      </c>
      <c r="B345" s="2" t="s">
        <v>374</v>
      </c>
      <c r="C345" s="2" t="s">
        <v>3336</v>
      </c>
      <c r="D345" s="2" t="s">
        <v>3337</v>
      </c>
      <c r="E345" s="2" t="s">
        <v>4</v>
      </c>
      <c r="F345" s="15">
        <v>45555</v>
      </c>
      <c r="G345" s="25">
        <v>21.29</v>
      </c>
      <c r="H345" s="2" t="s">
        <v>36</v>
      </c>
      <c r="I345" s="4" t="s">
        <v>3328</v>
      </c>
      <c r="J345" s="2" t="str">
        <f>IF(tb2_CampaignResponses[[#This Row],[Gift_Amount]]&lt;0,"Review - negative amount",IF(tb2_CampaignResponses[[#This Row],[Gift_Amount]]&gt;10000,"Review - unusually large donation",""))</f>
        <v/>
      </c>
      <c r="K345" s="21" t="str">
        <f>IF(tb2_CampaignResponses[[#This Row],[Supporter_ID]]="","Review - no supporter ID","")</f>
        <v/>
      </c>
      <c r="L345" s="21" t="str">
        <f ca="1">IF(tb2_CampaignResponses[[#This Row],[Response_Date]]&gt;TODAY(),"Review - future response date","")</f>
        <v/>
      </c>
    </row>
    <row r="346" spans="1:12" x14ac:dyDescent="0.25">
      <c r="A346" s="3" t="s">
        <v>3960</v>
      </c>
      <c r="B346" s="2" t="s">
        <v>3026</v>
      </c>
      <c r="C346" s="2" t="s">
        <v>3341</v>
      </c>
      <c r="D346" s="2" t="s">
        <v>3342</v>
      </c>
      <c r="E346" s="2" t="s">
        <v>4</v>
      </c>
      <c r="F346" s="15">
        <v>45810</v>
      </c>
      <c r="G346" s="25">
        <v>11.46</v>
      </c>
      <c r="H346" s="2" t="s">
        <v>37</v>
      </c>
      <c r="I346" s="4" t="s">
        <v>3318</v>
      </c>
      <c r="J346" s="2" t="str">
        <f>IF(tb2_CampaignResponses[[#This Row],[Gift_Amount]]&lt;0,"Review - negative amount",IF(tb2_CampaignResponses[[#This Row],[Gift_Amount]]&gt;10000,"Review - unusually large donation",""))</f>
        <v/>
      </c>
      <c r="K346" s="21" t="str">
        <f>IF(tb2_CampaignResponses[[#This Row],[Supporter_ID]]="","Review - no supporter ID","")</f>
        <v/>
      </c>
      <c r="L346" s="21" t="str">
        <f ca="1">IF(tb2_CampaignResponses[[#This Row],[Response_Date]]&gt;TODAY(),"Review - future response date","")</f>
        <v/>
      </c>
    </row>
    <row r="347" spans="1:12" x14ac:dyDescent="0.25">
      <c r="A347" s="3" t="s">
        <v>3962</v>
      </c>
      <c r="B347" s="2" t="s">
        <v>1650</v>
      </c>
      <c r="C347" s="2" t="s">
        <v>3427</v>
      </c>
      <c r="D347" s="2" t="s">
        <v>3428</v>
      </c>
      <c r="E347" s="2" t="s">
        <v>65</v>
      </c>
      <c r="F347" s="15">
        <v>45488</v>
      </c>
      <c r="G347" s="25">
        <v>18.809999999999999</v>
      </c>
      <c r="H347" s="2" t="s">
        <v>36</v>
      </c>
      <c r="I347" s="4" t="s">
        <v>3331</v>
      </c>
      <c r="J347" s="2" t="str">
        <f>IF(tb2_CampaignResponses[[#This Row],[Gift_Amount]]&lt;0,"Review - negative amount",IF(tb2_CampaignResponses[[#This Row],[Gift_Amount]]&gt;10000,"Review - unusually large donation",""))</f>
        <v/>
      </c>
      <c r="K347" s="21" t="str">
        <f>IF(tb2_CampaignResponses[[#This Row],[Supporter_ID]]="","Review - no supporter ID","")</f>
        <v/>
      </c>
      <c r="L347" s="21" t="str">
        <f ca="1">IF(tb2_CampaignResponses[[#This Row],[Response_Date]]&gt;TODAY(),"Review - future response date","")</f>
        <v/>
      </c>
    </row>
    <row r="348" spans="1:12" x14ac:dyDescent="0.25">
      <c r="A348" s="3" t="s">
        <v>3963</v>
      </c>
      <c r="B348" s="2" t="s">
        <v>2894</v>
      </c>
      <c r="C348" s="2" t="s">
        <v>3320</v>
      </c>
      <c r="D348" s="2" t="s">
        <v>3321</v>
      </c>
      <c r="E348" s="2" t="s">
        <v>4</v>
      </c>
      <c r="F348" s="15">
        <v>45449</v>
      </c>
      <c r="G348" s="25">
        <v>100.49</v>
      </c>
      <c r="H348" s="2" t="s">
        <v>37</v>
      </c>
      <c r="I348" s="4" t="s">
        <v>3370</v>
      </c>
      <c r="J348" s="2" t="str">
        <f>IF(tb2_CampaignResponses[[#This Row],[Gift_Amount]]&lt;0,"Review - negative amount",IF(tb2_CampaignResponses[[#This Row],[Gift_Amount]]&gt;10000,"Review - unusually large donation",""))</f>
        <v/>
      </c>
      <c r="K348" s="21" t="str">
        <f>IF(tb2_CampaignResponses[[#This Row],[Supporter_ID]]="","Review - no supporter ID","")</f>
        <v/>
      </c>
      <c r="L348" s="21" t="str">
        <f ca="1">IF(tb2_CampaignResponses[[#This Row],[Response_Date]]&gt;TODAY(),"Review - future response date","")</f>
        <v/>
      </c>
    </row>
    <row r="349" spans="1:12" x14ac:dyDescent="0.25">
      <c r="A349" s="3" t="s">
        <v>3965</v>
      </c>
      <c r="B349" s="2" t="s">
        <v>471</v>
      </c>
      <c r="C349" s="2" t="s">
        <v>3320</v>
      </c>
      <c r="D349" s="2" t="s">
        <v>3321</v>
      </c>
      <c r="E349" s="2" t="s">
        <v>4</v>
      </c>
      <c r="F349" s="15">
        <v>45468</v>
      </c>
      <c r="G349" s="25">
        <v>217.45</v>
      </c>
      <c r="H349" s="2" t="s">
        <v>36</v>
      </c>
      <c r="I349" s="4" t="s">
        <v>3331</v>
      </c>
      <c r="J349" s="2" t="str">
        <f>IF(tb2_CampaignResponses[[#This Row],[Gift_Amount]]&lt;0,"Review - negative amount",IF(tb2_CampaignResponses[[#This Row],[Gift_Amount]]&gt;10000,"Review - unusually large donation",""))</f>
        <v/>
      </c>
      <c r="K349" s="21" t="str">
        <f>IF(tb2_CampaignResponses[[#This Row],[Supporter_ID]]="","Review - no supporter ID","")</f>
        <v/>
      </c>
      <c r="L349" s="21" t="str">
        <f ca="1">IF(tb2_CampaignResponses[[#This Row],[Response_Date]]&gt;TODAY(),"Review - future response date","")</f>
        <v/>
      </c>
    </row>
    <row r="350" spans="1:12" x14ac:dyDescent="0.25">
      <c r="A350" s="3" t="s">
        <v>3967</v>
      </c>
      <c r="B350" s="2" t="s">
        <v>2034</v>
      </c>
      <c r="C350" s="2" t="s">
        <v>3341</v>
      </c>
      <c r="D350" s="2" t="s">
        <v>3342</v>
      </c>
      <c r="E350" s="2" t="s">
        <v>3316</v>
      </c>
      <c r="F350" s="15">
        <v>45757</v>
      </c>
      <c r="G350" s="25">
        <v>13.34</v>
      </c>
      <c r="H350" s="2" t="s">
        <v>37</v>
      </c>
      <c r="I350" s="4" t="s">
        <v>3323</v>
      </c>
      <c r="J350" s="2" t="str">
        <f>IF(tb2_CampaignResponses[[#This Row],[Gift_Amount]]&lt;0,"Review - negative amount",IF(tb2_CampaignResponses[[#This Row],[Gift_Amount]]&gt;10000,"Review - unusually large donation",""))</f>
        <v/>
      </c>
      <c r="K350" s="21" t="str">
        <f>IF(tb2_CampaignResponses[[#This Row],[Supporter_ID]]="","Review - no supporter ID","")</f>
        <v/>
      </c>
      <c r="L350" s="21" t="str">
        <f ca="1">IF(tb2_CampaignResponses[[#This Row],[Response_Date]]&gt;TODAY(),"Review - future response date","")</f>
        <v/>
      </c>
    </row>
    <row r="351" spans="1:12" x14ac:dyDescent="0.25">
      <c r="A351" s="3" t="s">
        <v>3969</v>
      </c>
      <c r="B351" s="2" t="s">
        <v>3083</v>
      </c>
      <c r="C351" s="2" t="s">
        <v>3367</v>
      </c>
      <c r="D351" s="2" t="s">
        <v>3368</v>
      </c>
      <c r="E351" s="2" t="s">
        <v>65</v>
      </c>
      <c r="F351" s="15">
        <v>45748</v>
      </c>
      <c r="G351" s="25">
        <v>13.52</v>
      </c>
      <c r="H351" s="2" t="s">
        <v>37</v>
      </c>
      <c r="I351" s="4" t="s">
        <v>3323</v>
      </c>
      <c r="J351" s="2" t="str">
        <f>IF(tb2_CampaignResponses[[#This Row],[Gift_Amount]]&lt;0,"Review - negative amount",IF(tb2_CampaignResponses[[#This Row],[Gift_Amount]]&gt;10000,"Review - unusually large donation",""))</f>
        <v/>
      </c>
      <c r="K351" s="21" t="str">
        <f>IF(tb2_CampaignResponses[[#This Row],[Supporter_ID]]="","Review - no supporter ID","")</f>
        <v/>
      </c>
      <c r="L351" s="21" t="str">
        <f ca="1">IF(tb2_CampaignResponses[[#This Row],[Response_Date]]&gt;TODAY(),"Review - future response date","")</f>
        <v/>
      </c>
    </row>
    <row r="352" spans="1:12" x14ac:dyDescent="0.25">
      <c r="A352" s="3" t="s">
        <v>3971</v>
      </c>
      <c r="B352" s="2" t="s">
        <v>1738</v>
      </c>
      <c r="C352" s="2" t="s">
        <v>3325</v>
      </c>
      <c r="D352" s="2" t="s">
        <v>3326</v>
      </c>
      <c r="E352" s="2" t="s">
        <v>3316</v>
      </c>
      <c r="F352" s="15">
        <v>45607</v>
      </c>
      <c r="G352" s="25">
        <v>228.44</v>
      </c>
      <c r="H352" s="2" t="s">
        <v>37</v>
      </c>
      <c r="I352" s="4" t="s">
        <v>3328</v>
      </c>
      <c r="J352" s="2" t="str">
        <f>IF(tb2_CampaignResponses[[#This Row],[Gift_Amount]]&lt;0,"Review - negative amount",IF(tb2_CampaignResponses[[#This Row],[Gift_Amount]]&gt;10000,"Review - unusually large donation",""))</f>
        <v/>
      </c>
      <c r="K352" s="21" t="str">
        <f>IF(tb2_CampaignResponses[[#This Row],[Supporter_ID]]="","Review - no supporter ID","")</f>
        <v/>
      </c>
      <c r="L352" s="21" t="str">
        <f ca="1">IF(tb2_CampaignResponses[[#This Row],[Response_Date]]&gt;TODAY(),"Review - future response date","")</f>
        <v/>
      </c>
    </row>
    <row r="353" spans="1:12" x14ac:dyDescent="0.25">
      <c r="A353" s="3" t="s">
        <v>3973</v>
      </c>
      <c r="B353" s="2" t="s">
        <v>2657</v>
      </c>
      <c r="C353" s="2" t="s">
        <v>3314</v>
      </c>
      <c r="D353" s="2" t="s">
        <v>3315</v>
      </c>
      <c r="E353" s="2" t="s">
        <v>3316</v>
      </c>
      <c r="F353" s="15">
        <v>45674</v>
      </c>
      <c r="G353" s="25">
        <v>16.96</v>
      </c>
      <c r="H353" s="2" t="s">
        <v>36</v>
      </c>
      <c r="I353" s="4" t="s">
        <v>3323</v>
      </c>
      <c r="J353" s="2" t="str">
        <f>IF(tb2_CampaignResponses[[#This Row],[Gift_Amount]]&lt;0,"Review - negative amount",IF(tb2_CampaignResponses[[#This Row],[Gift_Amount]]&gt;10000,"Review - unusually large donation",""))</f>
        <v/>
      </c>
      <c r="K353" s="21" t="str">
        <f>IF(tb2_CampaignResponses[[#This Row],[Supporter_ID]]="","Review - no supporter ID","")</f>
        <v/>
      </c>
      <c r="L353" s="21" t="str">
        <f ca="1">IF(tb2_CampaignResponses[[#This Row],[Response_Date]]&gt;TODAY(),"Review - future response date","")</f>
        <v/>
      </c>
    </row>
    <row r="354" spans="1:12" x14ac:dyDescent="0.25">
      <c r="A354" s="3" t="s">
        <v>3975</v>
      </c>
      <c r="B354" s="2" t="s">
        <v>949</v>
      </c>
      <c r="C354" s="2" t="s">
        <v>3367</v>
      </c>
      <c r="D354" s="2" t="s">
        <v>3368</v>
      </c>
      <c r="E354" s="2" t="s">
        <v>4</v>
      </c>
      <c r="F354" s="15">
        <v>45770</v>
      </c>
      <c r="G354" s="25">
        <v>29.57</v>
      </c>
      <c r="H354" s="2" t="s">
        <v>36</v>
      </c>
      <c r="I354" s="4" t="s">
        <v>3331</v>
      </c>
      <c r="J354" s="2" t="str">
        <f>IF(tb2_CampaignResponses[[#This Row],[Gift_Amount]]&lt;0,"Review - negative amount",IF(tb2_CampaignResponses[[#This Row],[Gift_Amount]]&gt;10000,"Review - unusually large donation",""))</f>
        <v/>
      </c>
      <c r="K354" s="21" t="str">
        <f>IF(tb2_CampaignResponses[[#This Row],[Supporter_ID]]="","Review - no supporter ID","")</f>
        <v/>
      </c>
      <c r="L354" s="21" t="str">
        <f ca="1">IF(tb2_CampaignResponses[[#This Row],[Response_Date]]&gt;TODAY(),"Review - future response date","")</f>
        <v/>
      </c>
    </row>
    <row r="355" spans="1:12" x14ac:dyDescent="0.25">
      <c r="A355" s="3" t="s">
        <v>3977</v>
      </c>
      <c r="B355" s="2" t="s">
        <v>1274</v>
      </c>
      <c r="C355" s="2" t="s">
        <v>3314</v>
      </c>
      <c r="D355" s="2" t="s">
        <v>3315</v>
      </c>
      <c r="E355" s="2" t="s">
        <v>3316</v>
      </c>
      <c r="F355" s="15">
        <v>45696</v>
      </c>
      <c r="G355" s="25">
        <v>177.69</v>
      </c>
      <c r="H355" s="2" t="s">
        <v>36</v>
      </c>
      <c r="I355" s="4" t="s">
        <v>3323</v>
      </c>
      <c r="J355" s="2" t="str">
        <f>IF(tb2_CampaignResponses[[#This Row],[Gift_Amount]]&lt;0,"Review - negative amount",IF(tb2_CampaignResponses[[#This Row],[Gift_Amount]]&gt;10000,"Review - unusually large donation",""))</f>
        <v/>
      </c>
      <c r="K355" s="21" t="str">
        <f>IF(tb2_CampaignResponses[[#This Row],[Supporter_ID]]="","Review - no supporter ID","")</f>
        <v/>
      </c>
      <c r="L355" s="21" t="str">
        <f ca="1">IF(tb2_CampaignResponses[[#This Row],[Response_Date]]&gt;TODAY(),"Review - future response date","")</f>
        <v/>
      </c>
    </row>
    <row r="356" spans="1:12" x14ac:dyDescent="0.25">
      <c r="A356" s="3" t="s">
        <v>3979</v>
      </c>
      <c r="B356" s="2" t="s">
        <v>2987</v>
      </c>
      <c r="C356" s="2" t="s">
        <v>3320</v>
      </c>
      <c r="D356" s="2" t="s">
        <v>3321</v>
      </c>
      <c r="E356" s="2" t="s">
        <v>65</v>
      </c>
      <c r="F356" s="15">
        <v>45472</v>
      </c>
      <c r="G356" s="25">
        <v>27.99</v>
      </c>
      <c r="H356" s="2" t="s">
        <v>36</v>
      </c>
      <c r="I356" s="4" t="s">
        <v>3318</v>
      </c>
      <c r="J356" s="2" t="str">
        <f>IF(tb2_CampaignResponses[[#This Row],[Gift_Amount]]&lt;0,"Review - negative amount",IF(tb2_CampaignResponses[[#This Row],[Gift_Amount]]&gt;10000,"Review - unusually large donation",""))</f>
        <v/>
      </c>
      <c r="K356" s="21" t="str">
        <f>IF(tb2_CampaignResponses[[#This Row],[Supporter_ID]]="","Review - no supporter ID","")</f>
        <v/>
      </c>
      <c r="L356" s="21" t="str">
        <f ca="1">IF(tb2_CampaignResponses[[#This Row],[Response_Date]]&gt;TODAY(),"Review - future response date","")</f>
        <v/>
      </c>
    </row>
    <row r="357" spans="1:12" x14ac:dyDescent="0.25">
      <c r="A357" s="3" t="s">
        <v>3981</v>
      </c>
      <c r="B357" s="2" t="s">
        <v>1808</v>
      </c>
      <c r="C357" s="2" t="s">
        <v>3320</v>
      </c>
      <c r="D357" s="2" t="s">
        <v>3321</v>
      </c>
      <c r="E357" s="2" t="s">
        <v>4</v>
      </c>
      <c r="F357" s="15">
        <v>45471</v>
      </c>
      <c r="G357" s="25">
        <v>12.79</v>
      </c>
      <c r="H357" s="2" t="s">
        <v>37</v>
      </c>
      <c r="I357" s="4" t="s">
        <v>3328</v>
      </c>
      <c r="J357" s="2" t="str">
        <f>IF(tb2_CampaignResponses[[#This Row],[Gift_Amount]]&lt;0,"Review - negative amount",IF(tb2_CampaignResponses[[#This Row],[Gift_Amount]]&gt;10000,"Review - unusually large donation",""))</f>
        <v/>
      </c>
      <c r="K357" s="21" t="str">
        <f>IF(tb2_CampaignResponses[[#This Row],[Supporter_ID]]="","Review - no supporter ID","")</f>
        <v/>
      </c>
      <c r="L357" s="21" t="str">
        <f ca="1">IF(tb2_CampaignResponses[[#This Row],[Response_Date]]&gt;TODAY(),"Review - future response date","")</f>
        <v/>
      </c>
    </row>
    <row r="358" spans="1:12" x14ac:dyDescent="0.25">
      <c r="A358" s="3" t="s">
        <v>3983</v>
      </c>
      <c r="B358" s="2" t="s">
        <v>3106</v>
      </c>
      <c r="C358" s="2" t="s">
        <v>3403</v>
      </c>
      <c r="D358" s="2" t="s">
        <v>3404</v>
      </c>
      <c r="E358" s="2" t="s">
        <v>4</v>
      </c>
      <c r="F358" s="15">
        <v>45617</v>
      </c>
      <c r="G358" s="25">
        <v>447.61</v>
      </c>
      <c r="H358" s="2" t="s">
        <v>36</v>
      </c>
      <c r="I358" s="4" t="s">
        <v>3331</v>
      </c>
      <c r="J358" s="2" t="str">
        <f>IF(tb2_CampaignResponses[[#This Row],[Gift_Amount]]&lt;0,"Review - negative amount",IF(tb2_CampaignResponses[[#This Row],[Gift_Amount]]&gt;10000,"Review - unusually large donation",""))</f>
        <v/>
      </c>
      <c r="K358" s="21" t="str">
        <f>IF(tb2_CampaignResponses[[#This Row],[Supporter_ID]]="","Review - no supporter ID","")</f>
        <v/>
      </c>
      <c r="L358" s="21" t="str">
        <f ca="1">IF(tb2_CampaignResponses[[#This Row],[Response_Date]]&gt;TODAY(),"Review - future response date","")</f>
        <v/>
      </c>
    </row>
    <row r="359" spans="1:12" x14ac:dyDescent="0.25">
      <c r="A359" s="3" t="s">
        <v>3985</v>
      </c>
      <c r="B359" s="2" t="s">
        <v>1380</v>
      </c>
      <c r="C359" s="2" t="s">
        <v>3325</v>
      </c>
      <c r="D359" s="2" t="s">
        <v>3326</v>
      </c>
      <c r="E359" s="2" t="s">
        <v>3316</v>
      </c>
      <c r="F359" s="15">
        <v>45643</v>
      </c>
      <c r="G359" s="25">
        <v>54</v>
      </c>
      <c r="H359" s="2" t="s">
        <v>37</v>
      </c>
      <c r="I359" s="4" t="s">
        <v>3385</v>
      </c>
      <c r="J359" s="2" t="str">
        <f>IF(tb2_CampaignResponses[[#This Row],[Gift_Amount]]&lt;0,"Review - negative amount",IF(tb2_CampaignResponses[[#This Row],[Gift_Amount]]&gt;10000,"Review - unusually large donation",""))</f>
        <v/>
      </c>
      <c r="K359" s="21" t="str">
        <f>IF(tb2_CampaignResponses[[#This Row],[Supporter_ID]]="","Review - no supporter ID","")</f>
        <v/>
      </c>
      <c r="L359" s="21" t="str">
        <f ca="1">IF(tb2_CampaignResponses[[#This Row],[Response_Date]]&gt;TODAY(),"Review - future response date","")</f>
        <v/>
      </c>
    </row>
    <row r="360" spans="1:12" x14ac:dyDescent="0.25">
      <c r="A360" s="3" t="s">
        <v>3986</v>
      </c>
      <c r="B360" s="2" t="s">
        <v>3193</v>
      </c>
      <c r="C360" s="2" t="s">
        <v>3341</v>
      </c>
      <c r="D360" s="2" t="s">
        <v>3342</v>
      </c>
      <c r="E360" s="2" t="s">
        <v>91</v>
      </c>
      <c r="F360" s="15">
        <v>45738</v>
      </c>
      <c r="G360" s="25">
        <v>28.22</v>
      </c>
      <c r="H360" s="2" t="s">
        <v>37</v>
      </c>
      <c r="I360" s="4" t="s">
        <v>3318</v>
      </c>
      <c r="J360" s="2" t="str">
        <f>IF(tb2_CampaignResponses[[#This Row],[Gift_Amount]]&lt;0,"Review - negative amount",IF(tb2_CampaignResponses[[#This Row],[Gift_Amount]]&gt;10000,"Review - unusually large donation",""))</f>
        <v/>
      </c>
      <c r="K360" s="21" t="str">
        <f>IF(tb2_CampaignResponses[[#This Row],[Supporter_ID]]="","Review - no supporter ID","")</f>
        <v/>
      </c>
      <c r="L360" s="21" t="str">
        <f ca="1">IF(tb2_CampaignResponses[[#This Row],[Response_Date]]&gt;TODAY(),"Review - future response date","")</f>
        <v/>
      </c>
    </row>
    <row r="361" spans="1:12" x14ac:dyDescent="0.25">
      <c r="A361" s="3" t="s">
        <v>3987</v>
      </c>
      <c r="B361" s="2" t="s">
        <v>961</v>
      </c>
      <c r="C361" s="2" t="s">
        <v>3362</v>
      </c>
      <c r="D361" s="2" t="s">
        <v>3363</v>
      </c>
      <c r="E361" s="2" t="s">
        <v>65</v>
      </c>
      <c r="F361" s="15">
        <v>45575</v>
      </c>
      <c r="G361" s="25">
        <v>43.53</v>
      </c>
      <c r="H361" s="2" t="s">
        <v>37</v>
      </c>
      <c r="I361" s="4" t="s">
        <v>3385</v>
      </c>
      <c r="J361" s="2" t="str">
        <f>IF(tb2_CampaignResponses[[#This Row],[Gift_Amount]]&lt;0,"Review - negative amount",IF(tb2_CampaignResponses[[#This Row],[Gift_Amount]]&gt;10000,"Review - unusually large donation",""))</f>
        <v/>
      </c>
      <c r="K361" s="21" t="str">
        <f>IF(tb2_CampaignResponses[[#This Row],[Supporter_ID]]="","Review - no supporter ID","")</f>
        <v/>
      </c>
      <c r="L361" s="21" t="str">
        <f ca="1">IF(tb2_CampaignResponses[[#This Row],[Response_Date]]&gt;TODAY(),"Review - future response date","")</f>
        <v/>
      </c>
    </row>
    <row r="362" spans="1:12" x14ac:dyDescent="0.25">
      <c r="A362" s="3" t="s">
        <v>3989</v>
      </c>
      <c r="B362" s="2" t="s">
        <v>3043</v>
      </c>
      <c r="C362" s="2" t="s">
        <v>3314</v>
      </c>
      <c r="D362" s="2" t="s">
        <v>3315</v>
      </c>
      <c r="E362" s="2" t="s">
        <v>3316</v>
      </c>
      <c r="F362" s="15">
        <v>45676</v>
      </c>
      <c r="G362" s="25">
        <v>80.41</v>
      </c>
      <c r="H362" s="2" t="s">
        <v>36</v>
      </c>
      <c r="I362" s="4" t="s">
        <v>3334</v>
      </c>
      <c r="J362" s="2" t="str">
        <f>IF(tb2_CampaignResponses[[#This Row],[Gift_Amount]]&lt;0,"Review - negative amount",IF(tb2_CampaignResponses[[#This Row],[Gift_Amount]]&gt;10000,"Review - unusually large donation",""))</f>
        <v/>
      </c>
      <c r="K362" s="21" t="str">
        <f>IF(tb2_CampaignResponses[[#This Row],[Supporter_ID]]="","Review - no supporter ID","")</f>
        <v/>
      </c>
      <c r="L362" s="21" t="str">
        <f ca="1">IF(tb2_CampaignResponses[[#This Row],[Response_Date]]&gt;TODAY(),"Review - future response date","")</f>
        <v/>
      </c>
    </row>
    <row r="363" spans="1:12" x14ac:dyDescent="0.25">
      <c r="A363" s="3" t="s">
        <v>3991</v>
      </c>
      <c r="B363" s="2" t="s">
        <v>1619</v>
      </c>
      <c r="C363" s="2" t="s">
        <v>3325</v>
      </c>
      <c r="D363" s="2" t="s">
        <v>3326</v>
      </c>
      <c r="E363" s="2" t="s">
        <v>65</v>
      </c>
      <c r="F363" s="15">
        <v>45654</v>
      </c>
      <c r="G363" s="25">
        <v>14.88</v>
      </c>
      <c r="H363" s="2" t="s">
        <v>36</v>
      </c>
      <c r="I363" s="4" t="s">
        <v>3365</v>
      </c>
      <c r="J363" s="2" t="str">
        <f>IF(tb2_CampaignResponses[[#This Row],[Gift_Amount]]&lt;0,"Review - negative amount",IF(tb2_CampaignResponses[[#This Row],[Gift_Amount]]&gt;10000,"Review - unusually large donation",""))</f>
        <v/>
      </c>
      <c r="K363" s="21" t="str">
        <f>IF(tb2_CampaignResponses[[#This Row],[Supporter_ID]]="","Review - no supporter ID","")</f>
        <v/>
      </c>
      <c r="L363" s="21" t="str">
        <f ca="1">IF(tb2_CampaignResponses[[#This Row],[Response_Date]]&gt;TODAY(),"Review - future response date","")</f>
        <v/>
      </c>
    </row>
    <row r="364" spans="1:12" x14ac:dyDescent="0.25">
      <c r="A364" s="3" t="s">
        <v>3993</v>
      </c>
      <c r="B364" s="2" t="s">
        <v>914</v>
      </c>
      <c r="C364" s="2" t="s">
        <v>3354</v>
      </c>
      <c r="D364" s="2" t="s">
        <v>3355</v>
      </c>
      <c r="E364" s="2" t="s">
        <v>65</v>
      </c>
      <c r="F364" s="15">
        <v>45618</v>
      </c>
      <c r="G364" s="25">
        <v>1889.56</v>
      </c>
      <c r="H364" s="2" t="s">
        <v>36</v>
      </c>
      <c r="I364" s="4" t="s">
        <v>3323</v>
      </c>
      <c r="J364" s="2" t="str">
        <f>IF(tb2_CampaignResponses[[#This Row],[Gift_Amount]]&lt;0,"Review - negative amount",IF(tb2_CampaignResponses[[#This Row],[Gift_Amount]]&gt;10000,"Review - unusually large donation",""))</f>
        <v/>
      </c>
      <c r="K364" s="21" t="str">
        <f>IF(tb2_CampaignResponses[[#This Row],[Supporter_ID]]="","Review - no supporter ID","")</f>
        <v/>
      </c>
      <c r="L364" s="21" t="str">
        <f ca="1">IF(tb2_CampaignResponses[[#This Row],[Response_Date]]&gt;TODAY(),"Review - future response date","")</f>
        <v/>
      </c>
    </row>
    <row r="365" spans="1:12" x14ac:dyDescent="0.25">
      <c r="A365" s="3" t="s">
        <v>3994</v>
      </c>
      <c r="B365" s="2" t="s">
        <v>143</v>
      </c>
      <c r="C365" s="2" t="s">
        <v>3362</v>
      </c>
      <c r="D365" s="2" t="s">
        <v>3363</v>
      </c>
      <c r="E365" s="2" t="s">
        <v>65</v>
      </c>
      <c r="F365" s="15">
        <v>45577</v>
      </c>
      <c r="G365" s="25">
        <v>47.13</v>
      </c>
      <c r="H365" s="2" t="s">
        <v>36</v>
      </c>
      <c r="I365" s="4" t="s">
        <v>3385</v>
      </c>
      <c r="J365" s="2" t="str">
        <f>IF(tb2_CampaignResponses[[#This Row],[Gift_Amount]]&lt;0,"Review - negative amount",IF(tb2_CampaignResponses[[#This Row],[Gift_Amount]]&gt;10000,"Review - unusually large donation",""))</f>
        <v/>
      </c>
      <c r="K365" s="21" t="str">
        <f>IF(tb2_CampaignResponses[[#This Row],[Supporter_ID]]="","Review - no supporter ID","")</f>
        <v/>
      </c>
      <c r="L365" s="21" t="str">
        <f ca="1">IF(tb2_CampaignResponses[[#This Row],[Response_Date]]&gt;TODAY(),"Review - future response date","")</f>
        <v/>
      </c>
    </row>
    <row r="366" spans="1:12" x14ac:dyDescent="0.25">
      <c r="A366" s="3" t="s">
        <v>3996</v>
      </c>
      <c r="B366" s="2" t="s">
        <v>345</v>
      </c>
      <c r="C366" s="2" t="s">
        <v>3320</v>
      </c>
      <c r="D366" s="2" t="s">
        <v>3321</v>
      </c>
      <c r="E366" s="2" t="s">
        <v>4</v>
      </c>
      <c r="F366" s="15">
        <v>45466</v>
      </c>
      <c r="G366" s="25">
        <v>26.74</v>
      </c>
      <c r="H366" s="2" t="s">
        <v>37</v>
      </c>
      <c r="I366" s="4" t="s">
        <v>3331</v>
      </c>
      <c r="J366" s="2" t="str">
        <f>IF(tb2_CampaignResponses[[#This Row],[Gift_Amount]]&lt;0,"Review - negative amount",IF(tb2_CampaignResponses[[#This Row],[Gift_Amount]]&gt;10000,"Review - unusually large donation",""))</f>
        <v/>
      </c>
      <c r="K366" s="21" t="str">
        <f>IF(tb2_CampaignResponses[[#This Row],[Supporter_ID]]="","Review - no supporter ID","")</f>
        <v/>
      </c>
      <c r="L366" s="21" t="str">
        <f ca="1">IF(tb2_CampaignResponses[[#This Row],[Response_Date]]&gt;TODAY(),"Review - future response date","")</f>
        <v/>
      </c>
    </row>
    <row r="367" spans="1:12" x14ac:dyDescent="0.25">
      <c r="A367" s="3" t="s">
        <v>3997</v>
      </c>
      <c r="B367" s="2" t="s">
        <v>2603</v>
      </c>
      <c r="C367" s="2" t="s">
        <v>3427</v>
      </c>
      <c r="D367" s="2" t="s">
        <v>3428</v>
      </c>
      <c r="E367" s="2" t="s">
        <v>65</v>
      </c>
      <c r="F367" s="15">
        <v>45488</v>
      </c>
      <c r="G367" s="25">
        <v>137.25</v>
      </c>
      <c r="H367" s="2" t="s">
        <v>36</v>
      </c>
      <c r="I367" s="4" t="s">
        <v>3331</v>
      </c>
      <c r="J367" s="2" t="str">
        <f>IF(tb2_CampaignResponses[[#This Row],[Gift_Amount]]&lt;0,"Review - negative amount",IF(tb2_CampaignResponses[[#This Row],[Gift_Amount]]&gt;10000,"Review - unusually large donation",""))</f>
        <v/>
      </c>
      <c r="K367" s="21" t="str">
        <f>IF(tb2_CampaignResponses[[#This Row],[Supporter_ID]]="","Review - no supporter ID","")</f>
        <v/>
      </c>
      <c r="L367" s="21" t="str">
        <f ca="1">IF(tb2_CampaignResponses[[#This Row],[Response_Date]]&gt;TODAY(),"Review - future response date","")</f>
        <v/>
      </c>
    </row>
    <row r="368" spans="1:12" x14ac:dyDescent="0.25">
      <c r="A368" s="3" t="s">
        <v>3998</v>
      </c>
      <c r="B368" s="2" t="s">
        <v>1669</v>
      </c>
      <c r="C368" s="2" t="s">
        <v>3403</v>
      </c>
      <c r="D368" s="2" t="s">
        <v>3404</v>
      </c>
      <c r="E368" s="2" t="s">
        <v>65</v>
      </c>
      <c r="F368" s="15">
        <v>45598</v>
      </c>
      <c r="G368" s="25">
        <v>13.16</v>
      </c>
      <c r="H368" s="2" t="s">
        <v>36</v>
      </c>
      <c r="I368" s="4" t="s">
        <v>3334</v>
      </c>
      <c r="J368" s="2" t="str">
        <f>IF(tb2_CampaignResponses[[#This Row],[Gift_Amount]]&lt;0,"Review - negative amount",IF(tb2_CampaignResponses[[#This Row],[Gift_Amount]]&gt;10000,"Review - unusually large donation",""))</f>
        <v/>
      </c>
      <c r="K368" s="21" t="str">
        <f>IF(tb2_CampaignResponses[[#This Row],[Supporter_ID]]="","Review - no supporter ID","")</f>
        <v/>
      </c>
      <c r="L368" s="21" t="str">
        <f ca="1">IF(tb2_CampaignResponses[[#This Row],[Response_Date]]&gt;TODAY(),"Review - future response date","")</f>
        <v/>
      </c>
    </row>
    <row r="369" spans="1:12" x14ac:dyDescent="0.25">
      <c r="A369" s="3" t="s">
        <v>4000</v>
      </c>
      <c r="B369" s="2" t="s">
        <v>1392</v>
      </c>
      <c r="C369" s="2" t="s">
        <v>3367</v>
      </c>
      <c r="D369" s="2" t="s">
        <v>3368</v>
      </c>
      <c r="E369" s="2" t="s">
        <v>4</v>
      </c>
      <c r="F369" s="15">
        <v>45774</v>
      </c>
      <c r="G369" s="25">
        <v>114.8</v>
      </c>
      <c r="H369" s="2" t="s">
        <v>36</v>
      </c>
      <c r="I369" s="4" t="s">
        <v>3331</v>
      </c>
      <c r="J369" s="2" t="str">
        <f>IF(tb2_CampaignResponses[[#This Row],[Gift_Amount]]&lt;0,"Review - negative amount",IF(tb2_CampaignResponses[[#This Row],[Gift_Amount]]&gt;10000,"Review - unusually large donation",""))</f>
        <v/>
      </c>
      <c r="K369" s="21" t="str">
        <f>IF(tb2_CampaignResponses[[#This Row],[Supporter_ID]]="","Review - no supporter ID","")</f>
        <v/>
      </c>
      <c r="L369" s="21" t="str">
        <f ca="1">IF(tb2_CampaignResponses[[#This Row],[Response_Date]]&gt;TODAY(),"Review - future response date","")</f>
        <v/>
      </c>
    </row>
    <row r="370" spans="1:12" x14ac:dyDescent="0.25">
      <c r="A370" s="3" t="s">
        <v>4002</v>
      </c>
      <c r="B370" s="2" t="s">
        <v>1927</v>
      </c>
      <c r="C370" s="2" t="s">
        <v>3362</v>
      </c>
      <c r="D370" s="2" t="s">
        <v>3363</v>
      </c>
      <c r="E370" s="2" t="s">
        <v>65</v>
      </c>
      <c r="F370" s="15">
        <v>45572</v>
      </c>
      <c r="G370" s="25">
        <v>25.85</v>
      </c>
      <c r="H370" s="2" t="s">
        <v>37</v>
      </c>
      <c r="I370" s="4" t="s">
        <v>3318</v>
      </c>
      <c r="J370" s="2" t="str">
        <f>IF(tb2_CampaignResponses[[#This Row],[Gift_Amount]]&lt;0,"Review - negative amount",IF(tb2_CampaignResponses[[#This Row],[Gift_Amount]]&gt;10000,"Review - unusually large donation",""))</f>
        <v/>
      </c>
      <c r="K370" s="21" t="str">
        <f>IF(tb2_CampaignResponses[[#This Row],[Supporter_ID]]="","Review - no supporter ID","")</f>
        <v/>
      </c>
      <c r="L370" s="21" t="str">
        <f ca="1">IF(tb2_CampaignResponses[[#This Row],[Response_Date]]&gt;TODAY(),"Review - future response date","")</f>
        <v/>
      </c>
    </row>
    <row r="371" spans="1:12" x14ac:dyDescent="0.25">
      <c r="A371" s="3" t="s">
        <v>4003</v>
      </c>
      <c r="B371" s="2" t="s">
        <v>746</v>
      </c>
      <c r="C371" s="2" t="s">
        <v>3325</v>
      </c>
      <c r="D371" s="2" t="s">
        <v>3326</v>
      </c>
      <c r="E371" s="2" t="s">
        <v>3316</v>
      </c>
      <c r="F371" s="15">
        <v>45633</v>
      </c>
      <c r="G371" s="25">
        <v>49.61</v>
      </c>
      <c r="H371" s="2" t="s">
        <v>36</v>
      </c>
      <c r="I371" s="4" t="s">
        <v>3331</v>
      </c>
      <c r="J371" s="2" t="str">
        <f>IF(tb2_CampaignResponses[[#This Row],[Gift_Amount]]&lt;0,"Review - negative amount",IF(tb2_CampaignResponses[[#This Row],[Gift_Amount]]&gt;10000,"Review - unusually large donation",""))</f>
        <v/>
      </c>
      <c r="K371" s="21" t="str">
        <f>IF(tb2_CampaignResponses[[#This Row],[Supporter_ID]]="","Review - no supporter ID","")</f>
        <v/>
      </c>
      <c r="L371" s="21" t="str">
        <f ca="1">IF(tb2_CampaignResponses[[#This Row],[Response_Date]]&gt;TODAY(),"Review - future response date","")</f>
        <v/>
      </c>
    </row>
    <row r="372" spans="1:12" x14ac:dyDescent="0.25">
      <c r="A372" s="3" t="s">
        <v>4005</v>
      </c>
      <c r="B372" s="2" t="s">
        <v>2182</v>
      </c>
      <c r="C372" s="2" t="s">
        <v>3403</v>
      </c>
      <c r="D372" s="2" t="s">
        <v>3404</v>
      </c>
      <c r="E372" s="2" t="s">
        <v>3316</v>
      </c>
      <c r="F372" s="15">
        <v>45424</v>
      </c>
      <c r="G372" s="25">
        <v>254.61</v>
      </c>
      <c r="H372" s="2" t="s">
        <v>37</v>
      </c>
      <c r="I372" s="4" t="s">
        <v>3328</v>
      </c>
      <c r="J372" s="2" t="str">
        <f>IF(tb2_CampaignResponses[[#This Row],[Gift_Amount]]&lt;0,"Review - negative amount",IF(tb2_CampaignResponses[[#This Row],[Gift_Amount]]&gt;10000,"Review - unusually large donation",""))</f>
        <v/>
      </c>
      <c r="K372" s="21" t="str">
        <f>IF(tb2_CampaignResponses[[#This Row],[Supporter_ID]]="","Review - no supporter ID","")</f>
        <v/>
      </c>
      <c r="L372" s="21" t="str">
        <f ca="1">IF(tb2_CampaignResponses[[#This Row],[Response_Date]]&gt;TODAY(),"Review - future response date","")</f>
        <v/>
      </c>
    </row>
    <row r="373" spans="1:12" x14ac:dyDescent="0.25">
      <c r="A373" s="3" t="s">
        <v>4007</v>
      </c>
      <c r="B373" s="2" t="s">
        <v>282</v>
      </c>
      <c r="C373" s="2" t="s">
        <v>3320</v>
      </c>
      <c r="D373" s="2" t="s">
        <v>3321</v>
      </c>
      <c r="E373" s="2" t="s">
        <v>4</v>
      </c>
      <c r="F373" s="15">
        <v>45457</v>
      </c>
      <c r="G373" s="25">
        <v>19.87</v>
      </c>
      <c r="H373" s="2" t="s">
        <v>36</v>
      </c>
      <c r="I373" s="4" t="s">
        <v>3328</v>
      </c>
      <c r="J373" s="2" t="str">
        <f>IF(tb2_CampaignResponses[[#This Row],[Gift_Amount]]&lt;0,"Review - negative amount",IF(tb2_CampaignResponses[[#This Row],[Gift_Amount]]&gt;10000,"Review - unusually large donation",""))</f>
        <v/>
      </c>
      <c r="K373" s="21" t="str">
        <f>IF(tb2_CampaignResponses[[#This Row],[Supporter_ID]]="","Review - no supporter ID","")</f>
        <v/>
      </c>
      <c r="L373" s="21" t="str">
        <f ca="1">IF(tb2_CampaignResponses[[#This Row],[Response_Date]]&gt;TODAY(),"Review - future response date","")</f>
        <v/>
      </c>
    </row>
    <row r="374" spans="1:12" x14ac:dyDescent="0.25">
      <c r="A374" s="3" t="s">
        <v>4009</v>
      </c>
      <c r="B374" s="2" t="s">
        <v>2598</v>
      </c>
      <c r="C374" s="2" t="s">
        <v>3314</v>
      </c>
      <c r="D374" s="2" t="s">
        <v>3315</v>
      </c>
      <c r="E374" s="2" t="s">
        <v>3316</v>
      </c>
      <c r="F374" s="15">
        <v>45665</v>
      </c>
      <c r="G374" s="25">
        <v>-45.47</v>
      </c>
      <c r="H374" s="2" t="s">
        <v>36</v>
      </c>
      <c r="I374" s="4" t="s">
        <v>3328</v>
      </c>
      <c r="J374" s="2" t="str">
        <f>IF(tb2_CampaignResponses[[#This Row],[Gift_Amount]]&lt;0,"Review - negative amount",IF(tb2_CampaignResponses[[#This Row],[Gift_Amount]]&gt;10000,"Review - unusually large donation",""))</f>
        <v>Review - negative amount</v>
      </c>
      <c r="K374" s="21" t="str">
        <f>IF(tb2_CampaignResponses[[#This Row],[Supporter_ID]]="","Review - no supporter ID","")</f>
        <v/>
      </c>
      <c r="L374" s="21" t="str">
        <f ca="1">IF(tb2_CampaignResponses[[#This Row],[Response_Date]]&gt;TODAY(),"Review - future response date","")</f>
        <v/>
      </c>
    </row>
    <row r="375" spans="1:12" x14ac:dyDescent="0.25">
      <c r="A375" s="3" t="s">
        <v>4011</v>
      </c>
      <c r="B375" s="2" t="s">
        <v>330</v>
      </c>
      <c r="C375" s="2" t="s">
        <v>3403</v>
      </c>
      <c r="D375" s="2" t="s">
        <v>3404</v>
      </c>
      <c r="E375" s="2" t="s">
        <v>3316</v>
      </c>
      <c r="F375" s="15">
        <v>45638</v>
      </c>
      <c r="G375" s="25">
        <v>41.92</v>
      </c>
      <c r="H375" s="2" t="s">
        <v>37</v>
      </c>
      <c r="I375" s="4" t="s">
        <v>3365</v>
      </c>
      <c r="J375" s="2" t="str">
        <f>IF(tb2_CampaignResponses[[#This Row],[Gift_Amount]]&lt;0,"Review - negative amount",IF(tb2_CampaignResponses[[#This Row],[Gift_Amount]]&gt;10000,"Review - unusually large donation",""))</f>
        <v/>
      </c>
      <c r="K375" s="21" t="str">
        <f>IF(tb2_CampaignResponses[[#This Row],[Supporter_ID]]="","Review - no supporter ID","")</f>
        <v/>
      </c>
      <c r="L375" s="21" t="str">
        <f ca="1">IF(tb2_CampaignResponses[[#This Row],[Response_Date]]&gt;TODAY(),"Review - future response date","")</f>
        <v/>
      </c>
    </row>
    <row r="376" spans="1:12" x14ac:dyDescent="0.25">
      <c r="A376" s="3" t="s">
        <v>4013</v>
      </c>
      <c r="B376" s="2" t="s">
        <v>1405</v>
      </c>
      <c r="C376" s="2" t="s">
        <v>3367</v>
      </c>
      <c r="D376" s="2" t="s">
        <v>3368</v>
      </c>
      <c r="E376" s="2" t="s">
        <v>65</v>
      </c>
      <c r="F376" s="15">
        <v>45729</v>
      </c>
      <c r="G376" s="25">
        <v>140.09</v>
      </c>
      <c r="H376" s="2" t="s">
        <v>37</v>
      </c>
      <c r="I376" s="4" t="s">
        <v>3318</v>
      </c>
      <c r="J376" s="2" t="str">
        <f>IF(tb2_CampaignResponses[[#This Row],[Gift_Amount]]&lt;0,"Review - negative amount",IF(tb2_CampaignResponses[[#This Row],[Gift_Amount]]&gt;10000,"Review - unusually large donation",""))</f>
        <v/>
      </c>
      <c r="K376" s="21" t="str">
        <f>IF(tb2_CampaignResponses[[#This Row],[Supporter_ID]]="","Review - no supporter ID","")</f>
        <v/>
      </c>
      <c r="L376" s="21" t="str">
        <f ca="1">IF(tb2_CampaignResponses[[#This Row],[Response_Date]]&gt;TODAY(),"Review - future response date","")</f>
        <v/>
      </c>
    </row>
    <row r="377" spans="1:12" x14ac:dyDescent="0.25">
      <c r="A377" s="3" t="s">
        <v>4015</v>
      </c>
      <c r="B377" s="2" t="s">
        <v>987</v>
      </c>
      <c r="C377" s="2" t="s">
        <v>3336</v>
      </c>
      <c r="D377" s="2" t="s">
        <v>3337</v>
      </c>
      <c r="E377" s="2" t="s">
        <v>4</v>
      </c>
      <c r="F377" s="15">
        <v>45547</v>
      </c>
      <c r="G377" s="25">
        <v>69.41</v>
      </c>
      <c r="H377" s="2" t="s">
        <v>36</v>
      </c>
      <c r="I377" s="4" t="s">
        <v>3328</v>
      </c>
      <c r="J377" s="2" t="str">
        <f>IF(tb2_CampaignResponses[[#This Row],[Gift_Amount]]&lt;0,"Review - negative amount",IF(tb2_CampaignResponses[[#This Row],[Gift_Amount]]&gt;10000,"Review - unusually large donation",""))</f>
        <v/>
      </c>
      <c r="K377" s="21" t="str">
        <f>IF(tb2_CampaignResponses[[#This Row],[Supporter_ID]]="","Review - no supporter ID","")</f>
        <v/>
      </c>
      <c r="L377" s="21" t="str">
        <f ca="1">IF(tb2_CampaignResponses[[#This Row],[Response_Date]]&gt;TODAY(),"Review - future response date","")</f>
        <v/>
      </c>
    </row>
    <row r="378" spans="1:12" x14ac:dyDescent="0.25">
      <c r="A378" s="3" t="s">
        <v>4017</v>
      </c>
      <c r="B378" s="2" t="s">
        <v>2638</v>
      </c>
      <c r="C378" s="2" t="s">
        <v>3341</v>
      </c>
      <c r="D378" s="2" t="s">
        <v>3342</v>
      </c>
      <c r="E378" s="2" t="s">
        <v>4</v>
      </c>
      <c r="F378" s="15">
        <v>45965</v>
      </c>
      <c r="G378" s="25">
        <v>386.53</v>
      </c>
      <c r="H378" s="2" t="s">
        <v>37</v>
      </c>
      <c r="I378" s="4" t="s">
        <v>3385</v>
      </c>
      <c r="J378" s="2" t="str">
        <f>IF(tb2_CampaignResponses[[#This Row],[Gift_Amount]]&lt;0,"Review - negative amount",IF(tb2_CampaignResponses[[#This Row],[Gift_Amount]]&gt;10000,"Review - unusually large donation",""))</f>
        <v/>
      </c>
      <c r="K378" s="21" t="str">
        <f>IF(tb2_CampaignResponses[[#This Row],[Supporter_ID]]="","Review - no supporter ID","")</f>
        <v/>
      </c>
      <c r="L378" s="21" t="str">
        <f ca="1">IF(tb2_CampaignResponses[[#This Row],[Response_Date]]&gt;TODAY(),"Review - future response date","")</f>
        <v/>
      </c>
    </row>
    <row r="379" spans="1:12" x14ac:dyDescent="0.25">
      <c r="A379" s="3" t="s">
        <v>4018</v>
      </c>
      <c r="B379" s="2" t="s">
        <v>282</v>
      </c>
      <c r="C379" s="2" t="s">
        <v>3354</v>
      </c>
      <c r="D379" s="2" t="s">
        <v>3355</v>
      </c>
      <c r="E379" s="2" t="s">
        <v>4</v>
      </c>
      <c r="F379" s="15">
        <v>45618</v>
      </c>
      <c r="G379" s="25">
        <v>168.4</v>
      </c>
      <c r="H379" s="2" t="s">
        <v>37</v>
      </c>
      <c r="I379" s="4" t="s">
        <v>3370</v>
      </c>
      <c r="J379" s="2" t="str">
        <f>IF(tb2_CampaignResponses[[#This Row],[Gift_Amount]]&lt;0,"Review - negative amount",IF(tb2_CampaignResponses[[#This Row],[Gift_Amount]]&gt;10000,"Review - unusually large donation",""))</f>
        <v/>
      </c>
      <c r="K379" s="21" t="str">
        <f>IF(tb2_CampaignResponses[[#This Row],[Supporter_ID]]="","Review - no supporter ID","")</f>
        <v/>
      </c>
      <c r="L379" s="21" t="str">
        <f ca="1">IF(tb2_CampaignResponses[[#This Row],[Response_Date]]&gt;TODAY(),"Review - future response date","")</f>
        <v/>
      </c>
    </row>
    <row r="380" spans="1:12" x14ac:dyDescent="0.25">
      <c r="A380" s="3" t="s">
        <v>4019</v>
      </c>
      <c r="B380" s="2" t="s">
        <v>2367</v>
      </c>
      <c r="C380" s="2" t="s">
        <v>3320</v>
      </c>
      <c r="D380" s="2" t="s">
        <v>3321</v>
      </c>
      <c r="E380" s="2" t="s">
        <v>4</v>
      </c>
      <c r="F380" s="15">
        <v>45444</v>
      </c>
      <c r="G380" s="25">
        <v>141.21</v>
      </c>
      <c r="H380" s="2" t="s">
        <v>36</v>
      </c>
      <c r="I380" s="4" t="s">
        <v>3331</v>
      </c>
      <c r="J380" s="2" t="str">
        <f>IF(tb2_CampaignResponses[[#This Row],[Gift_Amount]]&lt;0,"Review - negative amount",IF(tb2_CampaignResponses[[#This Row],[Gift_Amount]]&gt;10000,"Review - unusually large donation",""))</f>
        <v/>
      </c>
      <c r="K380" s="21" t="str">
        <f>IF(tb2_CampaignResponses[[#This Row],[Supporter_ID]]="","Review - no supporter ID","")</f>
        <v/>
      </c>
      <c r="L380" s="21" t="str">
        <f ca="1">IF(tb2_CampaignResponses[[#This Row],[Response_Date]]&gt;TODAY(),"Review - future response date","")</f>
        <v/>
      </c>
    </row>
    <row r="381" spans="1:12" x14ac:dyDescent="0.25">
      <c r="A381" s="3" t="s">
        <v>4021</v>
      </c>
      <c r="B381" s="2" t="s">
        <v>1761</v>
      </c>
      <c r="C381" s="2" t="s">
        <v>3325</v>
      </c>
      <c r="D381" s="2" t="s">
        <v>3326</v>
      </c>
      <c r="E381" s="2" t="s">
        <v>3316</v>
      </c>
      <c r="F381" s="15">
        <v>45650</v>
      </c>
      <c r="G381" s="25">
        <v>79.069999999999993</v>
      </c>
      <c r="H381" s="2" t="s">
        <v>36</v>
      </c>
      <c r="I381" s="4" t="s">
        <v>3370</v>
      </c>
      <c r="J381" s="2" t="str">
        <f>IF(tb2_CampaignResponses[[#This Row],[Gift_Amount]]&lt;0,"Review - negative amount",IF(tb2_CampaignResponses[[#This Row],[Gift_Amount]]&gt;10000,"Review - unusually large donation",""))</f>
        <v/>
      </c>
      <c r="K381" s="21" t="str">
        <f>IF(tb2_CampaignResponses[[#This Row],[Supporter_ID]]="","Review - no supporter ID","")</f>
        <v/>
      </c>
      <c r="L381" s="21" t="str">
        <f ca="1">IF(tb2_CampaignResponses[[#This Row],[Response_Date]]&gt;TODAY(),"Review - future response date","")</f>
        <v/>
      </c>
    </row>
    <row r="382" spans="1:12" x14ac:dyDescent="0.25">
      <c r="A382" s="3" t="s">
        <v>4023</v>
      </c>
      <c r="B382" s="2" t="s">
        <v>2315</v>
      </c>
      <c r="C382" s="2" t="s">
        <v>3336</v>
      </c>
      <c r="D382" s="2" t="s">
        <v>3337</v>
      </c>
      <c r="E382" s="2" t="s">
        <v>65</v>
      </c>
      <c r="F382" s="15">
        <v>45571</v>
      </c>
      <c r="G382" s="25">
        <v>24.19</v>
      </c>
      <c r="H382" s="2" t="s">
        <v>36</v>
      </c>
      <c r="I382" s="4" t="s">
        <v>3331</v>
      </c>
      <c r="J382" s="2" t="str">
        <f>IF(tb2_CampaignResponses[[#This Row],[Gift_Amount]]&lt;0,"Review - negative amount",IF(tb2_CampaignResponses[[#This Row],[Gift_Amount]]&gt;10000,"Review - unusually large donation",""))</f>
        <v/>
      </c>
      <c r="K382" s="21" t="str">
        <f>IF(tb2_CampaignResponses[[#This Row],[Supporter_ID]]="","Review - no supporter ID","")</f>
        <v/>
      </c>
      <c r="L382" s="21" t="str">
        <f ca="1">IF(tb2_CampaignResponses[[#This Row],[Response_Date]]&gt;TODAY(),"Review - future response date","")</f>
        <v/>
      </c>
    </row>
    <row r="383" spans="1:12" x14ac:dyDescent="0.25">
      <c r="A383" s="3" t="s">
        <v>4025</v>
      </c>
      <c r="B383" s="2" t="s">
        <v>817</v>
      </c>
      <c r="C383" s="2" t="s">
        <v>3427</v>
      </c>
      <c r="D383" s="2" t="s">
        <v>3428</v>
      </c>
      <c r="E383" s="2" t="s">
        <v>65</v>
      </c>
      <c r="F383" s="15">
        <v>45488</v>
      </c>
      <c r="G383" s="25">
        <v>24.97</v>
      </c>
      <c r="H383" s="2" t="s">
        <v>36</v>
      </c>
      <c r="I383" s="4" t="s">
        <v>3318</v>
      </c>
      <c r="J383" s="2" t="str">
        <f>IF(tb2_CampaignResponses[[#This Row],[Gift_Amount]]&lt;0,"Review - negative amount",IF(tb2_CampaignResponses[[#This Row],[Gift_Amount]]&gt;10000,"Review - unusually large donation",""))</f>
        <v/>
      </c>
      <c r="K383" s="21" t="str">
        <f>IF(tb2_CampaignResponses[[#This Row],[Supporter_ID]]="","Review - no supporter ID","")</f>
        <v/>
      </c>
      <c r="L383" s="21" t="str">
        <f ca="1">IF(tb2_CampaignResponses[[#This Row],[Response_Date]]&gt;TODAY(),"Review - future response date","")</f>
        <v/>
      </c>
    </row>
    <row r="384" spans="1:12" x14ac:dyDescent="0.25">
      <c r="A384" s="3" t="s">
        <v>4026</v>
      </c>
      <c r="B384" s="2" t="s">
        <v>1784</v>
      </c>
      <c r="C384" s="2" t="s">
        <v>3341</v>
      </c>
      <c r="D384" s="2" t="s">
        <v>3342</v>
      </c>
      <c r="E384" s="2" t="s">
        <v>91</v>
      </c>
      <c r="F384" s="15">
        <v>45776</v>
      </c>
      <c r="G384" s="25">
        <v>27.39</v>
      </c>
      <c r="H384" s="2" t="s">
        <v>36</v>
      </c>
      <c r="I384" s="4" t="s">
        <v>3365</v>
      </c>
      <c r="J384" s="2" t="str">
        <f>IF(tb2_CampaignResponses[[#This Row],[Gift_Amount]]&lt;0,"Review - negative amount",IF(tb2_CampaignResponses[[#This Row],[Gift_Amount]]&gt;10000,"Review - unusually large donation",""))</f>
        <v/>
      </c>
      <c r="K384" s="21" t="str">
        <f>IF(tb2_CampaignResponses[[#This Row],[Supporter_ID]]="","Review - no supporter ID","")</f>
        <v/>
      </c>
      <c r="L384" s="21" t="str">
        <f ca="1">IF(tb2_CampaignResponses[[#This Row],[Response_Date]]&gt;TODAY(),"Review - future response date","")</f>
        <v/>
      </c>
    </row>
    <row r="385" spans="1:12" x14ac:dyDescent="0.25">
      <c r="A385" s="3" t="s">
        <v>4027</v>
      </c>
      <c r="B385" s="2" t="s">
        <v>2615</v>
      </c>
      <c r="C385" s="2" t="s">
        <v>3314</v>
      </c>
      <c r="D385" s="2" t="s">
        <v>3315</v>
      </c>
      <c r="E385" s="2" t="s">
        <v>33</v>
      </c>
      <c r="F385" s="15">
        <v>45683</v>
      </c>
      <c r="G385" s="25">
        <v>394.88</v>
      </c>
      <c r="H385" s="2" t="s">
        <v>36</v>
      </c>
      <c r="I385" s="4" t="s">
        <v>3385</v>
      </c>
      <c r="J385" s="2" t="str">
        <f>IF(tb2_CampaignResponses[[#This Row],[Gift_Amount]]&lt;0,"Review - negative amount",IF(tb2_CampaignResponses[[#This Row],[Gift_Amount]]&gt;10000,"Review - unusually large donation",""))</f>
        <v/>
      </c>
      <c r="K385" s="21" t="str">
        <f>IF(tb2_CampaignResponses[[#This Row],[Supporter_ID]]="","Review - no supporter ID","")</f>
        <v/>
      </c>
      <c r="L385" s="21" t="str">
        <f ca="1">IF(tb2_CampaignResponses[[#This Row],[Response_Date]]&gt;TODAY(),"Review - future response date","")</f>
        <v/>
      </c>
    </row>
    <row r="386" spans="1:12" x14ac:dyDescent="0.25">
      <c r="A386" s="3" t="s">
        <v>4029</v>
      </c>
      <c r="B386" s="2" t="s">
        <v>351</v>
      </c>
      <c r="C386" s="2" t="s">
        <v>3403</v>
      </c>
      <c r="D386" s="2" t="s">
        <v>3404</v>
      </c>
      <c r="E386" s="2" t="s">
        <v>4</v>
      </c>
      <c r="F386" s="15">
        <v>45613</v>
      </c>
      <c r="G386" s="25">
        <v>96.86</v>
      </c>
      <c r="H386" s="2" t="s">
        <v>36</v>
      </c>
      <c r="I386" s="4" t="s">
        <v>3331</v>
      </c>
      <c r="J386" s="2" t="str">
        <f>IF(tb2_CampaignResponses[[#This Row],[Gift_Amount]]&lt;0,"Review - negative amount",IF(tb2_CampaignResponses[[#This Row],[Gift_Amount]]&gt;10000,"Review - unusually large donation",""))</f>
        <v/>
      </c>
      <c r="K386" s="21" t="str">
        <f>IF(tb2_CampaignResponses[[#This Row],[Supporter_ID]]="","Review - no supporter ID","")</f>
        <v/>
      </c>
      <c r="L386" s="21" t="str">
        <f ca="1">IF(tb2_CampaignResponses[[#This Row],[Response_Date]]&gt;TODAY(),"Review - future response date","")</f>
        <v/>
      </c>
    </row>
    <row r="387" spans="1:12" x14ac:dyDescent="0.25">
      <c r="A387" s="3" t="s">
        <v>4031</v>
      </c>
      <c r="B387" s="2" t="s">
        <v>1951</v>
      </c>
      <c r="C387" s="2" t="s">
        <v>3427</v>
      </c>
      <c r="D387" s="2" t="s">
        <v>3428</v>
      </c>
      <c r="E387" s="2" t="s">
        <v>4</v>
      </c>
      <c r="F387" s="15">
        <v>45488</v>
      </c>
      <c r="G387" s="25">
        <v>14</v>
      </c>
      <c r="H387" s="2" t="s">
        <v>36</v>
      </c>
      <c r="I387" s="4" t="s">
        <v>3328</v>
      </c>
      <c r="J387" s="2" t="str">
        <f>IF(tb2_CampaignResponses[[#This Row],[Gift_Amount]]&lt;0,"Review - negative amount",IF(tb2_CampaignResponses[[#This Row],[Gift_Amount]]&gt;10000,"Review - unusually large donation",""))</f>
        <v/>
      </c>
      <c r="K387" s="21" t="str">
        <f>IF(tb2_CampaignResponses[[#This Row],[Supporter_ID]]="","Review - no supporter ID","")</f>
        <v/>
      </c>
      <c r="L387" s="21" t="str">
        <f ca="1">IF(tb2_CampaignResponses[[#This Row],[Response_Date]]&gt;TODAY(),"Review - future response date","")</f>
        <v/>
      </c>
    </row>
    <row r="388" spans="1:12" x14ac:dyDescent="0.25">
      <c r="A388" s="3" t="s">
        <v>4032</v>
      </c>
      <c r="B388" s="2" t="s">
        <v>2100</v>
      </c>
      <c r="C388" s="2" t="s">
        <v>3362</v>
      </c>
      <c r="D388" s="2" t="s">
        <v>3363</v>
      </c>
      <c r="E388" s="2" t="s">
        <v>65</v>
      </c>
      <c r="F388" s="15">
        <v>45574</v>
      </c>
      <c r="G388" s="25">
        <v>12.79</v>
      </c>
      <c r="H388" s="2" t="s">
        <v>37</v>
      </c>
      <c r="I388" s="4" t="s">
        <v>3385</v>
      </c>
      <c r="J388" s="2" t="str">
        <f>IF(tb2_CampaignResponses[[#This Row],[Gift_Amount]]&lt;0,"Review - negative amount",IF(tb2_CampaignResponses[[#This Row],[Gift_Amount]]&gt;10000,"Review - unusually large donation",""))</f>
        <v/>
      </c>
      <c r="K388" s="21" t="str">
        <f>IF(tb2_CampaignResponses[[#This Row],[Supporter_ID]]="","Review - no supporter ID","")</f>
        <v/>
      </c>
      <c r="L388" s="21" t="str">
        <f ca="1">IF(tb2_CampaignResponses[[#This Row],[Response_Date]]&gt;TODAY(),"Review - future response date","")</f>
        <v/>
      </c>
    </row>
    <row r="389" spans="1:12" x14ac:dyDescent="0.25">
      <c r="A389" s="3" t="s">
        <v>4034</v>
      </c>
      <c r="B389" s="2" t="s">
        <v>2423</v>
      </c>
      <c r="C389" s="2" t="s">
        <v>3362</v>
      </c>
      <c r="D389" s="2" t="s">
        <v>3363</v>
      </c>
      <c r="E389" s="2" t="s">
        <v>65</v>
      </c>
      <c r="F389" s="15">
        <v>45576</v>
      </c>
      <c r="G389" s="25">
        <v>14.25</v>
      </c>
      <c r="H389" s="2" t="s">
        <v>37</v>
      </c>
      <c r="I389" s="4" t="s">
        <v>3334</v>
      </c>
      <c r="J389" s="2" t="str">
        <f>IF(tb2_CampaignResponses[[#This Row],[Gift_Amount]]&lt;0,"Review - negative amount",IF(tb2_CampaignResponses[[#This Row],[Gift_Amount]]&gt;10000,"Review - unusually large donation",""))</f>
        <v/>
      </c>
      <c r="K389" s="21" t="str">
        <f>IF(tb2_CampaignResponses[[#This Row],[Supporter_ID]]="","Review - no supporter ID","")</f>
        <v/>
      </c>
      <c r="L389" s="21" t="str">
        <f ca="1">IF(tb2_CampaignResponses[[#This Row],[Response_Date]]&gt;TODAY(),"Review - future response date","")</f>
        <v/>
      </c>
    </row>
    <row r="390" spans="1:12" x14ac:dyDescent="0.25">
      <c r="A390" s="3" t="s">
        <v>4036</v>
      </c>
      <c r="B390" s="2" t="s">
        <v>535</v>
      </c>
      <c r="C390" s="2" t="s">
        <v>3325</v>
      </c>
      <c r="D390" s="2" t="s">
        <v>3326</v>
      </c>
      <c r="E390" s="2" t="s">
        <v>3338</v>
      </c>
      <c r="F390" s="15">
        <v>45607</v>
      </c>
      <c r="G390" s="25">
        <v>9.42</v>
      </c>
      <c r="H390" s="2" t="s">
        <v>37</v>
      </c>
      <c r="I390" s="4" t="s">
        <v>3328</v>
      </c>
      <c r="J390" s="2" t="str">
        <f>IF(tb2_CampaignResponses[[#This Row],[Gift_Amount]]&lt;0,"Review - negative amount",IF(tb2_CampaignResponses[[#This Row],[Gift_Amount]]&gt;10000,"Review - unusually large donation",""))</f>
        <v/>
      </c>
      <c r="K390" s="21" t="str">
        <f>IF(tb2_CampaignResponses[[#This Row],[Supporter_ID]]="","Review - no supporter ID","")</f>
        <v/>
      </c>
      <c r="L390" s="21" t="str">
        <f ca="1">IF(tb2_CampaignResponses[[#This Row],[Response_Date]]&gt;TODAY(),"Review - future response date","")</f>
        <v/>
      </c>
    </row>
    <row r="391" spans="1:12" x14ac:dyDescent="0.25">
      <c r="A391" s="3" t="s">
        <v>4037</v>
      </c>
      <c r="B391" s="2" t="s">
        <v>1511</v>
      </c>
      <c r="C391" s="2" t="s">
        <v>3367</v>
      </c>
      <c r="D391" s="2" t="s">
        <v>3368</v>
      </c>
      <c r="E391" s="2" t="s">
        <v>65</v>
      </c>
      <c r="F391" s="15">
        <v>45769</v>
      </c>
      <c r="G391" s="25">
        <v>56.34</v>
      </c>
      <c r="H391" s="2" t="s">
        <v>37</v>
      </c>
      <c r="I391" s="4" t="s">
        <v>3370</v>
      </c>
      <c r="J391" s="2" t="str">
        <f>IF(tb2_CampaignResponses[[#This Row],[Gift_Amount]]&lt;0,"Review - negative amount",IF(tb2_CampaignResponses[[#This Row],[Gift_Amount]]&gt;10000,"Review - unusually large donation",""))</f>
        <v/>
      </c>
      <c r="K391" s="21" t="str">
        <f>IF(tb2_CampaignResponses[[#This Row],[Supporter_ID]]="","Review - no supporter ID","")</f>
        <v/>
      </c>
      <c r="L391" s="21" t="str">
        <f ca="1">IF(tb2_CampaignResponses[[#This Row],[Response_Date]]&gt;TODAY(),"Review - future response date","")</f>
        <v/>
      </c>
    </row>
    <row r="392" spans="1:12" x14ac:dyDescent="0.25">
      <c r="A392" s="3" t="s">
        <v>4039</v>
      </c>
      <c r="B392" s="2" t="s">
        <v>2386</v>
      </c>
      <c r="C392" s="2" t="s">
        <v>3341</v>
      </c>
      <c r="D392" s="2" t="s">
        <v>3342</v>
      </c>
      <c r="E392" s="2" t="s">
        <v>4</v>
      </c>
      <c r="F392" s="15">
        <v>45762</v>
      </c>
      <c r="G392" s="25">
        <v>427.19</v>
      </c>
      <c r="H392" s="2" t="s">
        <v>36</v>
      </c>
      <c r="I392" s="4" t="s">
        <v>3334</v>
      </c>
      <c r="J392" s="2" t="str">
        <f>IF(tb2_CampaignResponses[[#This Row],[Gift_Amount]]&lt;0,"Review - negative amount",IF(tb2_CampaignResponses[[#This Row],[Gift_Amount]]&gt;10000,"Review - unusually large donation",""))</f>
        <v/>
      </c>
      <c r="K392" s="21" t="str">
        <f>IF(tb2_CampaignResponses[[#This Row],[Supporter_ID]]="","Review - no supporter ID","")</f>
        <v/>
      </c>
      <c r="L392" s="21" t="str">
        <f ca="1">IF(tb2_CampaignResponses[[#This Row],[Response_Date]]&gt;TODAY(),"Review - future response date","")</f>
        <v/>
      </c>
    </row>
    <row r="393" spans="1:12" x14ac:dyDescent="0.25">
      <c r="A393" s="3" t="s">
        <v>4041</v>
      </c>
      <c r="B393" s="2" t="s">
        <v>1355</v>
      </c>
      <c r="C393" s="2" t="s">
        <v>3354</v>
      </c>
      <c r="D393" s="2" t="s">
        <v>3355</v>
      </c>
      <c r="E393" s="2" t="s">
        <v>4</v>
      </c>
      <c r="F393" s="15">
        <v>45618</v>
      </c>
      <c r="G393" s="25">
        <v>-64.38</v>
      </c>
      <c r="H393" s="2" t="s">
        <v>36</v>
      </c>
      <c r="I393" s="4" t="s">
        <v>3328</v>
      </c>
      <c r="J393" s="2" t="str">
        <f>IF(tb2_CampaignResponses[[#This Row],[Gift_Amount]]&lt;0,"Review - negative amount",IF(tb2_CampaignResponses[[#This Row],[Gift_Amount]]&gt;10000,"Review - unusually large donation",""))</f>
        <v>Review - negative amount</v>
      </c>
      <c r="K393" s="21" t="str">
        <f>IF(tb2_CampaignResponses[[#This Row],[Supporter_ID]]="","Review - no supporter ID","")</f>
        <v/>
      </c>
      <c r="L393" s="21" t="str">
        <f ca="1">IF(tb2_CampaignResponses[[#This Row],[Response_Date]]&gt;TODAY(),"Review - future response date","")</f>
        <v/>
      </c>
    </row>
    <row r="394" spans="1:12" x14ac:dyDescent="0.25">
      <c r="A394" s="3" t="s">
        <v>4042</v>
      </c>
      <c r="B394" s="2" t="s">
        <v>1855</v>
      </c>
      <c r="C394" s="2" t="s">
        <v>3354</v>
      </c>
      <c r="D394" s="2" t="s">
        <v>3355</v>
      </c>
      <c r="E394" s="2" t="s">
        <v>4</v>
      </c>
      <c r="F394" s="15">
        <v>45618</v>
      </c>
      <c r="G394" s="25">
        <v>203.11</v>
      </c>
      <c r="H394" s="2" t="s">
        <v>36</v>
      </c>
      <c r="I394" s="4" t="s">
        <v>3323</v>
      </c>
      <c r="J394" s="2" t="str">
        <f>IF(tb2_CampaignResponses[[#This Row],[Gift_Amount]]&lt;0,"Review - negative amount",IF(tb2_CampaignResponses[[#This Row],[Gift_Amount]]&gt;10000,"Review - unusually large donation",""))</f>
        <v/>
      </c>
      <c r="K394" s="21" t="str">
        <f>IF(tb2_CampaignResponses[[#This Row],[Supporter_ID]]="","Review - no supporter ID","")</f>
        <v/>
      </c>
      <c r="L394" s="21" t="str">
        <f ca="1">IF(tb2_CampaignResponses[[#This Row],[Response_Date]]&gt;TODAY(),"Review - future response date","")</f>
        <v/>
      </c>
    </row>
    <row r="395" spans="1:12" x14ac:dyDescent="0.25">
      <c r="A395" s="3" t="s">
        <v>4043</v>
      </c>
      <c r="B395" s="2" t="s">
        <v>2753</v>
      </c>
      <c r="C395" s="2" t="s">
        <v>3427</v>
      </c>
      <c r="D395" s="2" t="s">
        <v>3428</v>
      </c>
      <c r="E395" s="2" t="s">
        <v>4</v>
      </c>
      <c r="F395" s="15">
        <v>45488</v>
      </c>
      <c r="G395" s="25">
        <v>4621.22</v>
      </c>
      <c r="H395" s="2" t="s">
        <v>36</v>
      </c>
      <c r="I395" s="4" t="s">
        <v>3323</v>
      </c>
      <c r="J395" s="2" t="str">
        <f>IF(tb2_CampaignResponses[[#This Row],[Gift_Amount]]&lt;0,"Review - negative amount",IF(tb2_CampaignResponses[[#This Row],[Gift_Amount]]&gt;10000,"Review - unusually large donation",""))</f>
        <v/>
      </c>
      <c r="K395" s="21" t="str">
        <f>IF(tb2_CampaignResponses[[#This Row],[Supporter_ID]]="","Review - no supporter ID","")</f>
        <v/>
      </c>
      <c r="L395" s="21" t="str">
        <f ca="1">IF(tb2_CampaignResponses[[#This Row],[Response_Date]]&gt;TODAY(),"Review - future response date","")</f>
        <v/>
      </c>
    </row>
    <row r="396" spans="1:12" x14ac:dyDescent="0.25">
      <c r="A396" s="3" t="s">
        <v>4044</v>
      </c>
      <c r="B396" s="2" t="s">
        <v>2176</v>
      </c>
      <c r="C396" s="2" t="s">
        <v>3336</v>
      </c>
      <c r="D396" s="2" t="s">
        <v>3337</v>
      </c>
      <c r="E396" s="2" t="s">
        <v>65</v>
      </c>
      <c r="F396" s="15">
        <v>45551</v>
      </c>
      <c r="G396" s="25">
        <v>23.88</v>
      </c>
      <c r="H396" s="2" t="s">
        <v>37</v>
      </c>
      <c r="I396" s="4" t="s">
        <v>3328</v>
      </c>
      <c r="J396" s="2" t="str">
        <f>IF(tb2_CampaignResponses[[#This Row],[Gift_Amount]]&lt;0,"Review - negative amount",IF(tb2_CampaignResponses[[#This Row],[Gift_Amount]]&gt;10000,"Review - unusually large donation",""))</f>
        <v/>
      </c>
      <c r="K396" s="21" t="str">
        <f>IF(tb2_CampaignResponses[[#This Row],[Supporter_ID]]="","Review - no supporter ID","")</f>
        <v/>
      </c>
      <c r="L396" s="21" t="str">
        <f ca="1">IF(tb2_CampaignResponses[[#This Row],[Response_Date]]&gt;TODAY(),"Review - future response date","")</f>
        <v/>
      </c>
    </row>
    <row r="397" spans="1:12" x14ac:dyDescent="0.25">
      <c r="A397" s="3" t="s">
        <v>4045</v>
      </c>
      <c r="B397" s="2" t="s">
        <v>3261</v>
      </c>
      <c r="C397" s="2" t="s">
        <v>3325</v>
      </c>
      <c r="D397" s="2" t="s">
        <v>3326</v>
      </c>
      <c r="E397" s="2" t="s">
        <v>65</v>
      </c>
      <c r="F397" s="15">
        <v>45624</v>
      </c>
      <c r="G397" s="25">
        <v>7.87</v>
      </c>
      <c r="H397" s="2" t="s">
        <v>36</v>
      </c>
      <c r="I397" s="4" t="s">
        <v>3385</v>
      </c>
      <c r="J397" s="2" t="str">
        <f>IF(tb2_CampaignResponses[[#This Row],[Gift_Amount]]&lt;0,"Review - negative amount",IF(tb2_CampaignResponses[[#This Row],[Gift_Amount]]&gt;10000,"Review - unusually large donation",""))</f>
        <v/>
      </c>
      <c r="K397" s="21" t="str">
        <f>IF(tb2_CampaignResponses[[#This Row],[Supporter_ID]]="","Review - no supporter ID","")</f>
        <v/>
      </c>
      <c r="L397" s="21" t="str">
        <f ca="1">IF(tb2_CampaignResponses[[#This Row],[Response_Date]]&gt;TODAY(),"Review - future response date","")</f>
        <v/>
      </c>
    </row>
    <row r="398" spans="1:12" x14ac:dyDescent="0.25">
      <c r="A398" s="3" t="s">
        <v>4047</v>
      </c>
      <c r="B398" s="2" t="s">
        <v>2303</v>
      </c>
      <c r="C398" s="2" t="s">
        <v>3314</v>
      </c>
      <c r="D398" s="2" t="s">
        <v>3315</v>
      </c>
      <c r="E398" s="2" t="s">
        <v>3316</v>
      </c>
      <c r="F398" s="15">
        <v>45704</v>
      </c>
      <c r="G398" s="25">
        <v>27.11</v>
      </c>
      <c r="H398" s="2" t="s">
        <v>36</v>
      </c>
      <c r="I398" s="4" t="s">
        <v>3318</v>
      </c>
      <c r="J398" s="2" t="str">
        <f>IF(tb2_CampaignResponses[[#This Row],[Gift_Amount]]&lt;0,"Review - negative amount",IF(tb2_CampaignResponses[[#This Row],[Gift_Amount]]&gt;10000,"Review - unusually large donation",""))</f>
        <v/>
      </c>
      <c r="K398" s="21" t="str">
        <f>IF(tb2_CampaignResponses[[#This Row],[Supporter_ID]]="","Review - no supporter ID","")</f>
        <v/>
      </c>
      <c r="L398" s="21" t="str">
        <f ca="1">IF(tb2_CampaignResponses[[#This Row],[Response_Date]]&gt;TODAY(),"Review - future response date","")</f>
        <v/>
      </c>
    </row>
    <row r="399" spans="1:12" x14ac:dyDescent="0.25">
      <c r="A399" s="3" t="s">
        <v>4048</v>
      </c>
      <c r="B399" s="2" t="s">
        <v>955</v>
      </c>
      <c r="C399" s="2" t="s">
        <v>3341</v>
      </c>
      <c r="D399" s="2" t="s">
        <v>3342</v>
      </c>
      <c r="E399" s="2" t="s">
        <v>3316</v>
      </c>
      <c r="F399" s="15">
        <v>45735</v>
      </c>
      <c r="G399" s="25">
        <v>29.17</v>
      </c>
      <c r="H399" s="2" t="s">
        <v>36</v>
      </c>
      <c r="I399" s="4" t="s">
        <v>3328</v>
      </c>
      <c r="J399" s="2" t="str">
        <f>IF(tb2_CampaignResponses[[#This Row],[Gift_Amount]]&lt;0,"Review - negative amount",IF(tb2_CampaignResponses[[#This Row],[Gift_Amount]]&gt;10000,"Review - unusually large donation",""))</f>
        <v/>
      </c>
      <c r="K399" s="21" t="str">
        <f>IF(tb2_CampaignResponses[[#This Row],[Supporter_ID]]="","Review - no supporter ID","")</f>
        <v/>
      </c>
      <c r="L399" s="21" t="str">
        <f ca="1">IF(tb2_CampaignResponses[[#This Row],[Response_Date]]&gt;TODAY(),"Review - future response date","")</f>
        <v/>
      </c>
    </row>
    <row r="400" spans="1:12" x14ac:dyDescent="0.25">
      <c r="A400" s="3" t="s">
        <v>4050</v>
      </c>
      <c r="B400" s="2" t="s">
        <v>1814</v>
      </c>
      <c r="C400" s="2" t="s">
        <v>3336</v>
      </c>
      <c r="D400" s="2" t="s">
        <v>3337</v>
      </c>
      <c r="E400" s="2" t="s">
        <v>4</v>
      </c>
      <c r="F400" s="15">
        <v>45568</v>
      </c>
      <c r="G400" s="25">
        <v>12.25</v>
      </c>
      <c r="H400" s="2" t="s">
        <v>36</v>
      </c>
      <c r="I400" s="4" t="s">
        <v>3370</v>
      </c>
      <c r="J400" s="2" t="str">
        <f>IF(tb2_CampaignResponses[[#This Row],[Gift_Amount]]&lt;0,"Review - negative amount",IF(tb2_CampaignResponses[[#This Row],[Gift_Amount]]&gt;10000,"Review - unusually large donation",""))</f>
        <v/>
      </c>
      <c r="K400" s="21" t="str">
        <f>IF(tb2_CampaignResponses[[#This Row],[Supporter_ID]]="","Review - no supporter ID","")</f>
        <v/>
      </c>
      <c r="L400" s="21" t="str">
        <f ca="1">IF(tb2_CampaignResponses[[#This Row],[Response_Date]]&gt;TODAY(),"Review - future response date","")</f>
        <v/>
      </c>
    </row>
    <row r="401" spans="1:12" x14ac:dyDescent="0.25">
      <c r="A401" s="3" t="s">
        <v>4052</v>
      </c>
      <c r="B401" s="2" t="s">
        <v>2070</v>
      </c>
      <c r="C401" s="2" t="s">
        <v>3362</v>
      </c>
      <c r="D401" s="2" t="s">
        <v>3363</v>
      </c>
      <c r="E401" s="2" t="s">
        <v>65</v>
      </c>
      <c r="F401" s="15">
        <v>45577</v>
      </c>
      <c r="G401" s="25">
        <v>26.76</v>
      </c>
      <c r="H401" s="2" t="s">
        <v>36</v>
      </c>
      <c r="I401" s="4" t="s">
        <v>3323</v>
      </c>
      <c r="J401" s="2" t="str">
        <f>IF(tb2_CampaignResponses[[#This Row],[Gift_Amount]]&lt;0,"Review - negative amount",IF(tb2_CampaignResponses[[#This Row],[Gift_Amount]]&gt;10000,"Review - unusually large donation",""))</f>
        <v/>
      </c>
      <c r="K401" s="21" t="str">
        <f>IF(tb2_CampaignResponses[[#This Row],[Supporter_ID]]="","Review - no supporter ID","")</f>
        <v/>
      </c>
      <c r="L401" s="21" t="str">
        <f ca="1">IF(tb2_CampaignResponses[[#This Row],[Response_Date]]&gt;TODAY(),"Review - future response date","")</f>
        <v/>
      </c>
    </row>
    <row r="402" spans="1:12" x14ac:dyDescent="0.25">
      <c r="A402" s="3" t="s">
        <v>4054</v>
      </c>
      <c r="B402" s="2" t="s">
        <v>3135</v>
      </c>
      <c r="C402" s="2" t="s">
        <v>3325</v>
      </c>
      <c r="D402" s="2" t="s">
        <v>3326</v>
      </c>
      <c r="E402" s="2" t="s">
        <v>3338</v>
      </c>
      <c r="F402" s="15">
        <v>45603</v>
      </c>
      <c r="G402" s="25">
        <v>15.74</v>
      </c>
      <c r="H402" s="2" t="s">
        <v>37</v>
      </c>
      <c r="I402" s="4" t="s">
        <v>3331</v>
      </c>
      <c r="J402" s="2" t="str">
        <f>IF(tb2_CampaignResponses[[#This Row],[Gift_Amount]]&lt;0,"Review - negative amount",IF(tb2_CampaignResponses[[#This Row],[Gift_Amount]]&gt;10000,"Review - unusually large donation",""))</f>
        <v/>
      </c>
      <c r="K402" s="21" t="str">
        <f>IF(tb2_CampaignResponses[[#This Row],[Supporter_ID]]="","Review - no supporter ID","")</f>
        <v/>
      </c>
      <c r="L402" s="21" t="str">
        <f ca="1">IF(tb2_CampaignResponses[[#This Row],[Response_Date]]&gt;TODAY(),"Review - future response date","")</f>
        <v/>
      </c>
    </row>
    <row r="403" spans="1:12" x14ac:dyDescent="0.25">
      <c r="A403" s="3" t="s">
        <v>4056</v>
      </c>
      <c r="B403" s="2" t="s">
        <v>2911</v>
      </c>
      <c r="C403" s="2" t="s">
        <v>3325</v>
      </c>
      <c r="D403" s="2" t="s">
        <v>3326</v>
      </c>
      <c r="E403" s="2" t="s">
        <v>65</v>
      </c>
      <c r="F403" s="15">
        <v>45657</v>
      </c>
      <c r="G403" s="25">
        <v>69</v>
      </c>
      <c r="H403" s="2" t="s">
        <v>37</v>
      </c>
      <c r="I403" s="4" t="s">
        <v>3334</v>
      </c>
      <c r="J403" s="2" t="str">
        <f>IF(tb2_CampaignResponses[[#This Row],[Gift_Amount]]&lt;0,"Review - negative amount",IF(tb2_CampaignResponses[[#This Row],[Gift_Amount]]&gt;10000,"Review - unusually large donation",""))</f>
        <v/>
      </c>
      <c r="K403" s="21" t="str">
        <f>IF(tb2_CampaignResponses[[#This Row],[Supporter_ID]]="","Review - no supporter ID","")</f>
        <v/>
      </c>
      <c r="L403" s="21" t="str">
        <f ca="1">IF(tb2_CampaignResponses[[#This Row],[Response_Date]]&gt;TODAY(),"Review - future response date","")</f>
        <v/>
      </c>
    </row>
    <row r="404" spans="1:12" x14ac:dyDescent="0.25">
      <c r="A404" s="3" t="s">
        <v>4058</v>
      </c>
      <c r="B404" s="2" t="s">
        <v>1180</v>
      </c>
      <c r="C404" s="2" t="s">
        <v>3320</v>
      </c>
      <c r="D404" s="2" t="s">
        <v>3321</v>
      </c>
      <c r="E404" s="2" t="s">
        <v>4</v>
      </c>
      <c r="F404" s="15">
        <v>45459</v>
      </c>
      <c r="G404" s="25">
        <v>793.24</v>
      </c>
      <c r="H404" s="2" t="s">
        <v>37</v>
      </c>
      <c r="I404" s="4" t="s">
        <v>3323</v>
      </c>
      <c r="J404" s="2" t="str">
        <f>IF(tb2_CampaignResponses[[#This Row],[Gift_Amount]]&lt;0,"Review - negative amount",IF(tb2_CampaignResponses[[#This Row],[Gift_Amount]]&gt;10000,"Review - unusually large donation",""))</f>
        <v/>
      </c>
      <c r="K404" s="21" t="str">
        <f>IF(tb2_CampaignResponses[[#This Row],[Supporter_ID]]="","Review - no supporter ID","")</f>
        <v/>
      </c>
      <c r="L404" s="21" t="str">
        <f ca="1">IF(tb2_CampaignResponses[[#This Row],[Response_Date]]&gt;TODAY(),"Review - future response date","")</f>
        <v/>
      </c>
    </row>
    <row r="405" spans="1:12" x14ac:dyDescent="0.25">
      <c r="A405" s="3" t="s">
        <v>4059</v>
      </c>
      <c r="B405" s="2" t="s">
        <v>1435</v>
      </c>
      <c r="C405" s="2" t="s">
        <v>3427</v>
      </c>
      <c r="D405" s="2" t="s">
        <v>3428</v>
      </c>
      <c r="E405" s="2" t="s">
        <v>4</v>
      </c>
      <c r="F405" s="15">
        <v>45488</v>
      </c>
      <c r="G405" s="25">
        <v>40.81</v>
      </c>
      <c r="H405" s="2" t="s">
        <v>36</v>
      </c>
      <c r="I405" s="4" t="s">
        <v>3370</v>
      </c>
      <c r="J405" s="2" t="str">
        <f>IF(tb2_CampaignResponses[[#This Row],[Gift_Amount]]&lt;0,"Review - negative amount",IF(tb2_CampaignResponses[[#This Row],[Gift_Amount]]&gt;10000,"Review - unusually large donation",""))</f>
        <v/>
      </c>
      <c r="K405" s="21" t="str">
        <f>IF(tb2_CampaignResponses[[#This Row],[Supporter_ID]]="","Review - no supporter ID","")</f>
        <v/>
      </c>
      <c r="L405" s="21" t="str">
        <f ca="1">IF(tb2_CampaignResponses[[#This Row],[Response_Date]]&gt;TODAY(),"Review - future response date","")</f>
        <v/>
      </c>
    </row>
    <row r="406" spans="1:12" x14ac:dyDescent="0.25">
      <c r="A406" s="3" t="s">
        <v>4060</v>
      </c>
      <c r="B406" s="2" t="s">
        <v>1749</v>
      </c>
      <c r="C406" s="2" t="s">
        <v>3320</v>
      </c>
      <c r="D406" s="2" t="s">
        <v>3321</v>
      </c>
      <c r="E406" s="2" t="s">
        <v>4</v>
      </c>
      <c r="F406" s="15">
        <v>45454</v>
      </c>
      <c r="G406" s="25">
        <v>144.6</v>
      </c>
      <c r="H406" s="2" t="s">
        <v>36</v>
      </c>
      <c r="I406" s="4" t="s">
        <v>3318</v>
      </c>
      <c r="J406" s="2" t="str">
        <f>IF(tb2_CampaignResponses[[#This Row],[Gift_Amount]]&lt;0,"Review - negative amount",IF(tb2_CampaignResponses[[#This Row],[Gift_Amount]]&gt;10000,"Review - unusually large donation",""))</f>
        <v/>
      </c>
      <c r="K406" s="21" t="str">
        <f>IF(tb2_CampaignResponses[[#This Row],[Supporter_ID]]="","Review - no supporter ID","")</f>
        <v/>
      </c>
      <c r="L406" s="21" t="str">
        <f ca="1">IF(tb2_CampaignResponses[[#This Row],[Response_Date]]&gt;TODAY(),"Review - future response date","")</f>
        <v/>
      </c>
    </row>
    <row r="407" spans="1:12" x14ac:dyDescent="0.25">
      <c r="A407" s="3" t="s">
        <v>4062</v>
      </c>
      <c r="B407" s="2" t="s">
        <v>1702</v>
      </c>
      <c r="C407" s="2" t="s">
        <v>3362</v>
      </c>
      <c r="D407" s="2" t="s">
        <v>3363</v>
      </c>
      <c r="E407" s="2" t="s">
        <v>65</v>
      </c>
      <c r="F407" s="15">
        <v>45514</v>
      </c>
      <c r="G407" s="25">
        <v>79.510000000000005</v>
      </c>
      <c r="H407" s="2" t="s">
        <v>36</v>
      </c>
      <c r="I407" s="4" t="s">
        <v>3318</v>
      </c>
      <c r="J407" s="2" t="str">
        <f>IF(tb2_CampaignResponses[[#This Row],[Gift_Amount]]&lt;0,"Review - negative amount",IF(tb2_CampaignResponses[[#This Row],[Gift_Amount]]&gt;10000,"Review - unusually large donation",""))</f>
        <v/>
      </c>
      <c r="K407" s="21" t="str">
        <f>IF(tb2_CampaignResponses[[#This Row],[Supporter_ID]]="","Review - no supporter ID","")</f>
        <v/>
      </c>
      <c r="L407" s="21" t="str">
        <f ca="1">IF(tb2_CampaignResponses[[#This Row],[Response_Date]]&gt;TODAY(),"Review - future response date","")</f>
        <v/>
      </c>
    </row>
    <row r="408" spans="1:12" x14ac:dyDescent="0.25">
      <c r="A408" s="3" t="s">
        <v>4064</v>
      </c>
      <c r="B408" s="2" t="s">
        <v>1380</v>
      </c>
      <c r="C408" s="2" t="s">
        <v>3427</v>
      </c>
      <c r="D408" s="2" t="s">
        <v>3428</v>
      </c>
      <c r="E408" s="2" t="s">
        <v>65</v>
      </c>
      <c r="F408" s="15">
        <v>45488</v>
      </c>
      <c r="G408" s="25">
        <v>40.61</v>
      </c>
      <c r="H408" s="2" t="s">
        <v>36</v>
      </c>
      <c r="I408" s="4" t="s">
        <v>3328</v>
      </c>
      <c r="J408" s="2" t="str">
        <f>IF(tb2_CampaignResponses[[#This Row],[Gift_Amount]]&lt;0,"Review - negative amount",IF(tb2_CampaignResponses[[#This Row],[Gift_Amount]]&gt;10000,"Review - unusually large donation",""))</f>
        <v/>
      </c>
      <c r="K408" s="21" t="str">
        <f>IF(tb2_CampaignResponses[[#This Row],[Supporter_ID]]="","Review - no supporter ID","")</f>
        <v/>
      </c>
      <c r="L408" s="21" t="str">
        <f ca="1">IF(tb2_CampaignResponses[[#This Row],[Response_Date]]&gt;TODAY(),"Review - future response date","")</f>
        <v/>
      </c>
    </row>
    <row r="409" spans="1:12" x14ac:dyDescent="0.25">
      <c r="A409" s="3" t="s">
        <v>4065</v>
      </c>
      <c r="B409" s="2" t="s">
        <v>447</v>
      </c>
      <c r="C409" s="2" t="s">
        <v>3403</v>
      </c>
      <c r="D409" s="2" t="s">
        <v>3404</v>
      </c>
      <c r="E409" s="2" t="s">
        <v>65</v>
      </c>
      <c r="F409" s="15">
        <v>45582</v>
      </c>
      <c r="G409" s="25">
        <v>181.96</v>
      </c>
      <c r="H409" s="2" t="s">
        <v>37</v>
      </c>
      <c r="I409" s="4" t="s">
        <v>3318</v>
      </c>
      <c r="J409" s="2" t="str">
        <f>IF(tb2_CampaignResponses[[#This Row],[Gift_Amount]]&lt;0,"Review - negative amount",IF(tb2_CampaignResponses[[#This Row],[Gift_Amount]]&gt;10000,"Review - unusually large donation",""))</f>
        <v/>
      </c>
      <c r="K409" s="21" t="str">
        <f>IF(tb2_CampaignResponses[[#This Row],[Supporter_ID]]="","Review - no supporter ID","")</f>
        <v/>
      </c>
      <c r="L409" s="21" t="str">
        <f ca="1">IF(tb2_CampaignResponses[[#This Row],[Response_Date]]&gt;TODAY(),"Review - future response date","")</f>
        <v/>
      </c>
    </row>
    <row r="410" spans="1:12" x14ac:dyDescent="0.25">
      <c r="A410" s="3" t="s">
        <v>4067</v>
      </c>
      <c r="B410" s="2" t="s">
        <v>2831</v>
      </c>
      <c r="C410" s="2" t="s">
        <v>3367</v>
      </c>
      <c r="D410" s="2" t="s">
        <v>3368</v>
      </c>
      <c r="E410" s="2" t="s">
        <v>65</v>
      </c>
      <c r="F410" s="15">
        <v>45732</v>
      </c>
      <c r="G410" s="25">
        <v>262.93</v>
      </c>
      <c r="H410" s="2" t="s">
        <v>36</v>
      </c>
      <c r="I410" s="4" t="s">
        <v>3328</v>
      </c>
      <c r="J410" s="2" t="str">
        <f>IF(tb2_CampaignResponses[[#This Row],[Gift_Amount]]&lt;0,"Review - negative amount",IF(tb2_CampaignResponses[[#This Row],[Gift_Amount]]&gt;10000,"Review - unusually large donation",""))</f>
        <v/>
      </c>
      <c r="K410" s="21" t="str">
        <f>IF(tb2_CampaignResponses[[#This Row],[Supporter_ID]]="","Review - no supporter ID","")</f>
        <v/>
      </c>
      <c r="L410" s="21" t="str">
        <f ca="1">IF(tb2_CampaignResponses[[#This Row],[Response_Date]]&gt;TODAY(),"Review - future response date","")</f>
        <v/>
      </c>
    </row>
    <row r="411" spans="1:12" x14ac:dyDescent="0.25">
      <c r="A411" s="3" t="s">
        <v>4068</v>
      </c>
      <c r="B411" s="2" t="s">
        <v>2457</v>
      </c>
      <c r="C411" s="2" t="s">
        <v>3403</v>
      </c>
      <c r="D411" s="2" t="s">
        <v>3404</v>
      </c>
      <c r="E411" s="2" t="s">
        <v>4</v>
      </c>
      <c r="F411" s="15">
        <v>45603</v>
      </c>
      <c r="G411" s="25">
        <v>187.82</v>
      </c>
      <c r="H411" s="2" t="s">
        <v>37</v>
      </c>
      <c r="I411" s="4" t="s">
        <v>3365</v>
      </c>
      <c r="J411" s="2" t="str">
        <f>IF(tb2_CampaignResponses[[#This Row],[Gift_Amount]]&lt;0,"Review - negative amount",IF(tb2_CampaignResponses[[#This Row],[Gift_Amount]]&gt;10000,"Review - unusually large donation",""))</f>
        <v/>
      </c>
      <c r="K411" s="21" t="str">
        <f>IF(tb2_CampaignResponses[[#This Row],[Supporter_ID]]="","Review - no supporter ID","")</f>
        <v/>
      </c>
      <c r="L411" s="21" t="str">
        <f ca="1">IF(tb2_CampaignResponses[[#This Row],[Response_Date]]&gt;TODAY(),"Review - future response date","")</f>
        <v/>
      </c>
    </row>
    <row r="412" spans="1:12" x14ac:dyDescent="0.25">
      <c r="A412" s="3" t="s">
        <v>4070</v>
      </c>
      <c r="B412" s="2" t="s">
        <v>2729</v>
      </c>
      <c r="C412" s="2" t="s">
        <v>3427</v>
      </c>
      <c r="D412" s="2" t="s">
        <v>3428</v>
      </c>
      <c r="E412" s="2" t="s">
        <v>4</v>
      </c>
      <c r="F412" s="15">
        <v>45488</v>
      </c>
      <c r="G412" s="25">
        <v>192.36</v>
      </c>
      <c r="H412" s="2" t="s">
        <v>37</v>
      </c>
      <c r="I412" s="4" t="s">
        <v>3328</v>
      </c>
      <c r="J412" s="2" t="str">
        <f>IF(tb2_CampaignResponses[[#This Row],[Gift_Amount]]&lt;0,"Review - negative amount",IF(tb2_CampaignResponses[[#This Row],[Gift_Amount]]&gt;10000,"Review - unusually large donation",""))</f>
        <v/>
      </c>
      <c r="K412" s="21" t="str">
        <f>IF(tb2_CampaignResponses[[#This Row],[Supporter_ID]]="","Review - no supporter ID","")</f>
        <v/>
      </c>
      <c r="L412" s="21" t="str">
        <f ca="1">IF(tb2_CampaignResponses[[#This Row],[Response_Date]]&gt;TODAY(),"Review - future response date","")</f>
        <v/>
      </c>
    </row>
    <row r="413" spans="1:12" x14ac:dyDescent="0.25">
      <c r="A413" s="3" t="s">
        <v>4071</v>
      </c>
      <c r="B413" s="2" t="s">
        <v>3266</v>
      </c>
      <c r="C413" s="2" t="s">
        <v>3354</v>
      </c>
      <c r="D413" s="2" t="s">
        <v>3355</v>
      </c>
      <c r="E413" s="2" t="s">
        <v>4</v>
      </c>
      <c r="F413" s="15">
        <v>45618</v>
      </c>
      <c r="G413" s="25">
        <v>185.07</v>
      </c>
      <c r="H413" s="2" t="s">
        <v>36</v>
      </c>
      <c r="I413" s="4" t="s">
        <v>3370</v>
      </c>
      <c r="J413" s="2" t="str">
        <f>IF(tb2_CampaignResponses[[#This Row],[Gift_Amount]]&lt;0,"Review - negative amount",IF(tb2_CampaignResponses[[#This Row],[Gift_Amount]]&gt;10000,"Review - unusually large donation",""))</f>
        <v/>
      </c>
      <c r="K413" s="21" t="str">
        <f>IF(tb2_CampaignResponses[[#This Row],[Supporter_ID]]="","Review - no supporter ID","")</f>
        <v/>
      </c>
      <c r="L413" s="21" t="str">
        <f ca="1">IF(tb2_CampaignResponses[[#This Row],[Response_Date]]&gt;TODAY(),"Review - future response date","")</f>
        <v/>
      </c>
    </row>
    <row r="414" spans="1:12" x14ac:dyDescent="0.25">
      <c r="A414" s="3" t="s">
        <v>4072</v>
      </c>
      <c r="B414" s="2" t="s">
        <v>3077</v>
      </c>
      <c r="C414" s="2" t="s">
        <v>3403</v>
      </c>
      <c r="D414" s="2" t="s">
        <v>3404</v>
      </c>
      <c r="E414" s="2" t="s">
        <v>4</v>
      </c>
      <c r="F414" s="15">
        <v>45601</v>
      </c>
      <c r="G414" s="25">
        <v>316.02</v>
      </c>
      <c r="H414" s="2" t="s">
        <v>36</v>
      </c>
      <c r="I414" s="4" t="s">
        <v>3365</v>
      </c>
      <c r="J414" s="2" t="str">
        <f>IF(tb2_CampaignResponses[[#This Row],[Gift_Amount]]&lt;0,"Review - negative amount",IF(tb2_CampaignResponses[[#This Row],[Gift_Amount]]&gt;10000,"Review - unusually large donation",""))</f>
        <v/>
      </c>
      <c r="K414" s="21" t="str">
        <f>IF(tb2_CampaignResponses[[#This Row],[Supporter_ID]]="","Review - no supporter ID","")</f>
        <v/>
      </c>
      <c r="L414" s="21" t="str">
        <f ca="1">IF(tb2_CampaignResponses[[#This Row],[Response_Date]]&gt;TODAY(),"Review - future response date","")</f>
        <v/>
      </c>
    </row>
    <row r="415" spans="1:12" x14ac:dyDescent="0.25">
      <c r="A415" s="3" t="s">
        <v>4073</v>
      </c>
      <c r="B415" s="2" t="s">
        <v>802</v>
      </c>
      <c r="C415" s="2" t="s">
        <v>3314</v>
      </c>
      <c r="D415" s="2" t="s">
        <v>3315</v>
      </c>
      <c r="E415" s="2" t="s">
        <v>65</v>
      </c>
      <c r="F415" s="15">
        <v>45721</v>
      </c>
      <c r="G415" s="25">
        <v>340.61</v>
      </c>
      <c r="H415" s="2" t="s">
        <v>36</v>
      </c>
      <c r="I415" s="4" t="s">
        <v>3331</v>
      </c>
      <c r="J415" s="2" t="str">
        <f>IF(tb2_CampaignResponses[[#This Row],[Gift_Amount]]&lt;0,"Review - negative amount",IF(tb2_CampaignResponses[[#This Row],[Gift_Amount]]&gt;10000,"Review - unusually large donation",""))</f>
        <v/>
      </c>
      <c r="K415" s="21" t="str">
        <f>IF(tb2_CampaignResponses[[#This Row],[Supporter_ID]]="","Review - no supporter ID","")</f>
        <v/>
      </c>
      <c r="L415" s="21" t="str">
        <f ca="1">IF(tb2_CampaignResponses[[#This Row],[Response_Date]]&gt;TODAY(),"Review - future response date","")</f>
        <v/>
      </c>
    </row>
    <row r="416" spans="1:12" x14ac:dyDescent="0.25">
      <c r="A416" s="3" t="s">
        <v>4075</v>
      </c>
      <c r="B416" s="2" t="s">
        <v>1329</v>
      </c>
      <c r="C416" s="2" t="s">
        <v>3403</v>
      </c>
      <c r="D416" s="2" t="s">
        <v>3404</v>
      </c>
      <c r="E416" s="2" t="s">
        <v>3316</v>
      </c>
      <c r="F416" s="15">
        <v>45620</v>
      </c>
      <c r="G416" s="25">
        <v>11.13</v>
      </c>
      <c r="H416" s="2" t="s">
        <v>36</v>
      </c>
      <c r="I416" s="4" t="s">
        <v>3370</v>
      </c>
      <c r="J416" s="2" t="str">
        <f>IF(tb2_CampaignResponses[[#This Row],[Gift_Amount]]&lt;0,"Review - negative amount",IF(tb2_CampaignResponses[[#This Row],[Gift_Amount]]&gt;10000,"Review - unusually large donation",""))</f>
        <v/>
      </c>
      <c r="K416" s="21" t="str">
        <f>IF(tb2_CampaignResponses[[#This Row],[Supporter_ID]]="","Review - no supporter ID","")</f>
        <v/>
      </c>
      <c r="L416" s="21" t="str">
        <f ca="1">IF(tb2_CampaignResponses[[#This Row],[Response_Date]]&gt;TODAY(),"Review - future response date","")</f>
        <v/>
      </c>
    </row>
    <row r="417" spans="1:12" x14ac:dyDescent="0.25">
      <c r="A417" s="3" t="s">
        <v>4077</v>
      </c>
      <c r="B417" s="2" t="s">
        <v>1561</v>
      </c>
      <c r="C417" s="2" t="s">
        <v>3314</v>
      </c>
      <c r="D417" s="2" t="s">
        <v>3315</v>
      </c>
      <c r="E417" s="2" t="s">
        <v>3316</v>
      </c>
      <c r="F417" s="15">
        <v>45691</v>
      </c>
      <c r="G417" s="25">
        <v>142.57</v>
      </c>
      <c r="H417" s="2" t="s">
        <v>36</v>
      </c>
      <c r="I417" s="4" t="s">
        <v>3331</v>
      </c>
      <c r="J417" s="2" t="str">
        <f>IF(tb2_CampaignResponses[[#This Row],[Gift_Amount]]&lt;0,"Review - negative amount",IF(tb2_CampaignResponses[[#This Row],[Gift_Amount]]&gt;10000,"Review - unusually large donation",""))</f>
        <v/>
      </c>
      <c r="K417" s="21" t="str">
        <f>IF(tb2_CampaignResponses[[#This Row],[Supporter_ID]]="","Review - no supporter ID","")</f>
        <v/>
      </c>
      <c r="L417" s="21" t="str">
        <f ca="1">IF(tb2_CampaignResponses[[#This Row],[Response_Date]]&gt;TODAY(),"Review - future response date","")</f>
        <v/>
      </c>
    </row>
    <row r="418" spans="1:12" x14ac:dyDescent="0.25">
      <c r="A418" s="3" t="s">
        <v>4079</v>
      </c>
      <c r="B418" s="2" t="s">
        <v>3293</v>
      </c>
      <c r="C418" s="2" t="s">
        <v>3367</v>
      </c>
      <c r="D418" s="2" t="s">
        <v>3368</v>
      </c>
      <c r="E418" s="2" t="s">
        <v>4</v>
      </c>
      <c r="F418" s="15">
        <v>45771</v>
      </c>
      <c r="G418" s="25">
        <v>65.66</v>
      </c>
      <c r="H418" s="2" t="s">
        <v>37</v>
      </c>
      <c r="I418" s="4" t="s">
        <v>3385</v>
      </c>
      <c r="J418" s="2" t="str">
        <f>IF(tb2_CampaignResponses[[#This Row],[Gift_Amount]]&lt;0,"Review - negative amount",IF(tb2_CampaignResponses[[#This Row],[Gift_Amount]]&gt;10000,"Review - unusually large donation",""))</f>
        <v/>
      </c>
      <c r="K418" s="21" t="str">
        <f>IF(tb2_CampaignResponses[[#This Row],[Supporter_ID]]="","Review - no supporter ID","")</f>
        <v/>
      </c>
      <c r="L418" s="21" t="str">
        <f ca="1">IF(tb2_CampaignResponses[[#This Row],[Response_Date]]&gt;TODAY(),"Review - future response date","")</f>
        <v/>
      </c>
    </row>
    <row r="419" spans="1:12" x14ac:dyDescent="0.25">
      <c r="A419" s="3" t="s">
        <v>4081</v>
      </c>
      <c r="B419" s="2" t="s">
        <v>3287</v>
      </c>
      <c r="C419" s="2" t="s">
        <v>3320</v>
      </c>
      <c r="D419" s="2" t="s">
        <v>3321</v>
      </c>
      <c r="E419" s="2" t="s">
        <v>65</v>
      </c>
      <c r="F419" s="15">
        <v>45459</v>
      </c>
      <c r="G419" s="25">
        <v>60.93</v>
      </c>
      <c r="H419" s="2" t="s">
        <v>36</v>
      </c>
      <c r="I419" s="4" t="s">
        <v>3323</v>
      </c>
      <c r="J419" s="2" t="str">
        <f>IF(tb2_CampaignResponses[[#This Row],[Gift_Amount]]&lt;0,"Review - negative amount",IF(tb2_CampaignResponses[[#This Row],[Gift_Amount]]&gt;10000,"Review - unusually large donation",""))</f>
        <v/>
      </c>
      <c r="K419" s="21" t="str">
        <f>IF(tb2_CampaignResponses[[#This Row],[Supporter_ID]]="","Review - no supporter ID","")</f>
        <v/>
      </c>
      <c r="L419" s="21" t="str">
        <f ca="1">IF(tb2_CampaignResponses[[#This Row],[Response_Date]]&gt;TODAY(),"Review - future response date","")</f>
        <v/>
      </c>
    </row>
    <row r="420" spans="1:12" x14ac:dyDescent="0.25">
      <c r="A420" s="3" t="s">
        <v>4083</v>
      </c>
      <c r="B420" s="2" t="s">
        <v>604</v>
      </c>
      <c r="C420" s="2" t="s">
        <v>3320</v>
      </c>
      <c r="D420" s="2" t="s">
        <v>3321</v>
      </c>
      <c r="E420" s="2" t="s">
        <v>4</v>
      </c>
      <c r="F420" s="15">
        <v>45458</v>
      </c>
      <c r="G420" s="25">
        <v>39.909999999999997</v>
      </c>
      <c r="H420" s="2" t="s">
        <v>36</v>
      </c>
      <c r="I420" s="4" t="s">
        <v>3328</v>
      </c>
      <c r="J420" s="2" t="str">
        <f>IF(tb2_CampaignResponses[[#This Row],[Gift_Amount]]&lt;0,"Review - negative amount",IF(tb2_CampaignResponses[[#This Row],[Gift_Amount]]&gt;10000,"Review - unusually large donation",""))</f>
        <v/>
      </c>
      <c r="K420" s="21" t="str">
        <f>IF(tb2_CampaignResponses[[#This Row],[Supporter_ID]]="","Review - no supporter ID","")</f>
        <v/>
      </c>
      <c r="L420" s="21" t="str">
        <f ca="1">IF(tb2_CampaignResponses[[#This Row],[Response_Date]]&gt;TODAY(),"Review - future response date","")</f>
        <v/>
      </c>
    </row>
    <row r="421" spans="1:12" x14ac:dyDescent="0.25">
      <c r="A421" s="3" t="s">
        <v>4084</v>
      </c>
      <c r="B421" s="2" t="s">
        <v>3123</v>
      </c>
      <c r="C421" s="2" t="s">
        <v>3427</v>
      </c>
      <c r="D421" s="2" t="s">
        <v>3428</v>
      </c>
      <c r="E421" s="2" t="s">
        <v>4</v>
      </c>
      <c r="F421" s="15">
        <v>45488</v>
      </c>
      <c r="G421" s="25">
        <v>135.63</v>
      </c>
      <c r="H421" s="2" t="s">
        <v>36</v>
      </c>
      <c r="I421" s="4" t="s">
        <v>3318</v>
      </c>
      <c r="J421" s="2" t="str">
        <f>IF(tb2_CampaignResponses[[#This Row],[Gift_Amount]]&lt;0,"Review - negative amount",IF(tb2_CampaignResponses[[#This Row],[Gift_Amount]]&gt;10000,"Review - unusually large donation",""))</f>
        <v/>
      </c>
      <c r="K421" s="21" t="str">
        <f>IF(tb2_CampaignResponses[[#This Row],[Supporter_ID]]="","Review - no supporter ID","")</f>
        <v/>
      </c>
      <c r="L421" s="21" t="str">
        <f ca="1">IF(tb2_CampaignResponses[[#This Row],[Response_Date]]&gt;TODAY(),"Review - future response date","")</f>
        <v/>
      </c>
    </row>
    <row r="422" spans="1:12" x14ac:dyDescent="0.25">
      <c r="A422" s="3" t="s">
        <v>4085</v>
      </c>
      <c r="B422" s="2" t="s">
        <v>2053</v>
      </c>
      <c r="C422" s="2" t="s">
        <v>3320</v>
      </c>
      <c r="D422" s="2" t="s">
        <v>3321</v>
      </c>
      <c r="E422" s="2" t="s">
        <v>4</v>
      </c>
      <c r="F422" s="15">
        <v>45461</v>
      </c>
      <c r="G422" s="25">
        <v>75.87</v>
      </c>
      <c r="H422" s="2" t="s">
        <v>36</v>
      </c>
      <c r="I422" s="4" t="s">
        <v>3328</v>
      </c>
      <c r="J422" s="2" t="str">
        <f>IF(tb2_CampaignResponses[[#This Row],[Gift_Amount]]&lt;0,"Review - negative amount",IF(tb2_CampaignResponses[[#This Row],[Gift_Amount]]&gt;10000,"Review - unusually large donation",""))</f>
        <v/>
      </c>
      <c r="K422" s="21" t="str">
        <f>IF(tb2_CampaignResponses[[#This Row],[Supporter_ID]]="","Review - no supporter ID","")</f>
        <v/>
      </c>
      <c r="L422" s="21" t="str">
        <f ca="1">IF(tb2_CampaignResponses[[#This Row],[Response_Date]]&gt;TODAY(),"Review - future response date","")</f>
        <v/>
      </c>
    </row>
    <row r="423" spans="1:12" x14ac:dyDescent="0.25">
      <c r="A423" s="3" t="s">
        <v>4087</v>
      </c>
      <c r="B423" s="2" t="s">
        <v>2770</v>
      </c>
      <c r="C423" s="2" t="s">
        <v>3427</v>
      </c>
      <c r="D423" s="2" t="s">
        <v>3428</v>
      </c>
      <c r="E423" s="2" t="s">
        <v>65</v>
      </c>
      <c r="F423" s="15">
        <v>45488</v>
      </c>
      <c r="G423" s="25">
        <v>11.98</v>
      </c>
      <c r="H423" s="2" t="s">
        <v>37</v>
      </c>
      <c r="I423" s="4" t="s">
        <v>3328</v>
      </c>
      <c r="J423" s="2" t="str">
        <f>IF(tb2_CampaignResponses[[#This Row],[Gift_Amount]]&lt;0,"Review - negative amount",IF(tb2_CampaignResponses[[#This Row],[Gift_Amount]]&gt;10000,"Review - unusually large donation",""))</f>
        <v/>
      </c>
      <c r="K423" s="21" t="str">
        <f>IF(tb2_CampaignResponses[[#This Row],[Supporter_ID]]="","Review - no supporter ID","")</f>
        <v/>
      </c>
      <c r="L423" s="21" t="str">
        <f ca="1">IF(tb2_CampaignResponses[[#This Row],[Response_Date]]&gt;TODAY(),"Review - future response date","")</f>
        <v/>
      </c>
    </row>
    <row r="424" spans="1:12" x14ac:dyDescent="0.25">
      <c r="A424" s="3" t="s">
        <v>4088</v>
      </c>
      <c r="B424" s="2" t="s">
        <v>1850</v>
      </c>
      <c r="C424" s="2" t="s">
        <v>3403</v>
      </c>
      <c r="D424" s="2" t="s">
        <v>3404</v>
      </c>
      <c r="E424" s="2" t="s">
        <v>65</v>
      </c>
      <c r="F424" s="15">
        <v>45608</v>
      </c>
      <c r="G424" s="25">
        <v>60.85</v>
      </c>
      <c r="H424" s="2" t="s">
        <v>37</v>
      </c>
      <c r="I424" s="4" t="s">
        <v>3323</v>
      </c>
      <c r="J424" s="2" t="str">
        <f>IF(tb2_CampaignResponses[[#This Row],[Gift_Amount]]&lt;0,"Review - negative amount",IF(tb2_CampaignResponses[[#This Row],[Gift_Amount]]&gt;10000,"Review - unusually large donation",""))</f>
        <v/>
      </c>
      <c r="K424" s="21" t="str">
        <f>IF(tb2_CampaignResponses[[#This Row],[Supporter_ID]]="","Review - no supporter ID","")</f>
        <v/>
      </c>
      <c r="L424" s="21" t="str">
        <f ca="1">IF(tb2_CampaignResponses[[#This Row],[Response_Date]]&gt;TODAY(),"Review - future response date","")</f>
        <v/>
      </c>
    </row>
    <row r="425" spans="1:12" x14ac:dyDescent="0.25">
      <c r="A425" s="3" t="s">
        <v>4090</v>
      </c>
      <c r="B425" s="2"/>
      <c r="C425" s="2" t="s">
        <v>3354</v>
      </c>
      <c r="D425" s="2" t="s">
        <v>3355</v>
      </c>
      <c r="E425" s="2" t="s">
        <v>65</v>
      </c>
      <c r="F425" s="15">
        <v>45618</v>
      </c>
      <c r="G425" s="25">
        <v>1077.1099999999999</v>
      </c>
      <c r="H425" s="2" t="s">
        <v>36</v>
      </c>
      <c r="I425" s="4" t="s">
        <v>3385</v>
      </c>
      <c r="J425" s="2" t="str">
        <f>IF(tb2_CampaignResponses[[#This Row],[Gift_Amount]]&lt;0,"Review - negative amount",IF(tb2_CampaignResponses[[#This Row],[Gift_Amount]]&gt;10000,"Review - unusually large donation",""))</f>
        <v/>
      </c>
      <c r="K425" s="21" t="str">
        <f>IF(tb2_CampaignResponses[[#This Row],[Supporter_ID]]="","Review - no supporter ID","")</f>
        <v>Review - no supporter ID</v>
      </c>
      <c r="L425" s="21" t="str">
        <f ca="1">IF(tb2_CampaignResponses[[#This Row],[Response_Date]]&gt;TODAY(),"Review - future response date","")</f>
        <v/>
      </c>
    </row>
    <row r="426" spans="1:12" x14ac:dyDescent="0.25">
      <c r="A426" s="3" t="s">
        <v>4091</v>
      </c>
      <c r="B426" s="2" t="s">
        <v>987</v>
      </c>
      <c r="C426" s="2" t="s">
        <v>3427</v>
      </c>
      <c r="D426" s="2" t="s">
        <v>3428</v>
      </c>
      <c r="E426" s="2" t="s">
        <v>65</v>
      </c>
      <c r="F426" s="15">
        <v>45488</v>
      </c>
      <c r="G426" s="25">
        <v>88.41</v>
      </c>
      <c r="H426" s="2" t="s">
        <v>37</v>
      </c>
      <c r="I426" s="4" t="s">
        <v>3328</v>
      </c>
      <c r="J426" s="2" t="str">
        <f>IF(tb2_CampaignResponses[[#This Row],[Gift_Amount]]&lt;0,"Review - negative amount",IF(tb2_CampaignResponses[[#This Row],[Gift_Amount]]&gt;10000,"Review - unusually large donation",""))</f>
        <v/>
      </c>
      <c r="K426" s="21" t="str">
        <f>IF(tb2_CampaignResponses[[#This Row],[Supporter_ID]]="","Review - no supporter ID","")</f>
        <v/>
      </c>
      <c r="L426" s="21" t="str">
        <f ca="1">IF(tb2_CampaignResponses[[#This Row],[Response_Date]]&gt;TODAY(),"Review - future response date","")</f>
        <v/>
      </c>
    </row>
    <row r="427" spans="1:12" x14ac:dyDescent="0.25">
      <c r="A427" s="3" t="s">
        <v>4092</v>
      </c>
      <c r="B427" s="2" t="s">
        <v>1363</v>
      </c>
      <c r="C427" s="2" t="s">
        <v>3367</v>
      </c>
      <c r="D427" s="2" t="s">
        <v>3368</v>
      </c>
      <c r="E427" s="2" t="s">
        <v>65</v>
      </c>
      <c r="F427" s="15">
        <v>45717</v>
      </c>
      <c r="G427" s="25">
        <v>154.41999999999999</v>
      </c>
      <c r="H427" s="2" t="s">
        <v>37</v>
      </c>
      <c r="I427" s="4" t="s">
        <v>3323</v>
      </c>
      <c r="J427" s="2" t="str">
        <f>IF(tb2_CampaignResponses[[#This Row],[Gift_Amount]]&lt;0,"Review - negative amount",IF(tb2_CampaignResponses[[#This Row],[Gift_Amount]]&gt;10000,"Review - unusually large donation",""))</f>
        <v/>
      </c>
      <c r="K427" s="21" t="str">
        <f>IF(tb2_CampaignResponses[[#This Row],[Supporter_ID]]="","Review - no supporter ID","")</f>
        <v/>
      </c>
      <c r="L427" s="21" t="str">
        <f ca="1">IF(tb2_CampaignResponses[[#This Row],[Response_Date]]&gt;TODAY(),"Review - future response date","")</f>
        <v/>
      </c>
    </row>
    <row r="428" spans="1:12" x14ac:dyDescent="0.25">
      <c r="A428" s="3" t="s">
        <v>4094</v>
      </c>
      <c r="B428" s="2" t="s">
        <v>130</v>
      </c>
      <c r="C428" s="2" t="s">
        <v>3403</v>
      </c>
      <c r="D428" s="2" t="s">
        <v>3404</v>
      </c>
      <c r="E428" s="2" t="s">
        <v>3316</v>
      </c>
      <c r="F428" s="15">
        <v>45629</v>
      </c>
      <c r="G428" s="25">
        <v>158.93</v>
      </c>
      <c r="H428" s="2" t="s">
        <v>37</v>
      </c>
      <c r="I428" s="4" t="s">
        <v>3318</v>
      </c>
      <c r="J428" s="2" t="str">
        <f>IF(tb2_CampaignResponses[[#This Row],[Gift_Amount]]&lt;0,"Review - negative amount",IF(tb2_CampaignResponses[[#This Row],[Gift_Amount]]&gt;10000,"Review - unusually large donation",""))</f>
        <v/>
      </c>
      <c r="K428" s="21" t="str">
        <f>IF(tb2_CampaignResponses[[#This Row],[Supporter_ID]]="","Review - no supporter ID","")</f>
        <v/>
      </c>
      <c r="L428" s="21" t="str">
        <f ca="1">IF(tb2_CampaignResponses[[#This Row],[Response_Date]]&gt;TODAY(),"Review - future response date","")</f>
        <v/>
      </c>
    </row>
    <row r="429" spans="1:12" x14ac:dyDescent="0.25">
      <c r="A429" s="3" t="s">
        <v>4095</v>
      </c>
      <c r="B429" s="2" t="s">
        <v>949</v>
      </c>
      <c r="C429" s="2" t="s">
        <v>3336</v>
      </c>
      <c r="D429" s="2" t="s">
        <v>3337</v>
      </c>
      <c r="E429" s="2" t="s">
        <v>65</v>
      </c>
      <c r="F429" s="15">
        <v>45558</v>
      </c>
      <c r="G429" s="25">
        <v>19.82</v>
      </c>
      <c r="H429" s="2" t="s">
        <v>36</v>
      </c>
      <c r="I429" s="4" t="s">
        <v>3331</v>
      </c>
      <c r="J429" s="2" t="str">
        <f>IF(tb2_CampaignResponses[[#This Row],[Gift_Amount]]&lt;0,"Review - negative amount",IF(tb2_CampaignResponses[[#This Row],[Gift_Amount]]&gt;10000,"Review - unusually large donation",""))</f>
        <v/>
      </c>
      <c r="K429" s="21" t="str">
        <f>IF(tb2_CampaignResponses[[#This Row],[Supporter_ID]]="","Review - no supporter ID","")</f>
        <v/>
      </c>
      <c r="L429" s="21" t="str">
        <f ca="1">IF(tb2_CampaignResponses[[#This Row],[Response_Date]]&gt;TODAY(),"Review - future response date","")</f>
        <v/>
      </c>
    </row>
    <row r="430" spans="1:12" x14ac:dyDescent="0.25">
      <c r="A430" s="3" t="s">
        <v>4097</v>
      </c>
      <c r="B430" s="2" t="s">
        <v>2922</v>
      </c>
      <c r="C430" s="2" t="s">
        <v>3427</v>
      </c>
      <c r="D430" s="2" t="s">
        <v>3428</v>
      </c>
      <c r="E430" s="2" t="s">
        <v>4</v>
      </c>
      <c r="F430" s="15">
        <v>45488</v>
      </c>
      <c r="G430" s="25">
        <v>112.59</v>
      </c>
      <c r="H430" s="2" t="s">
        <v>37</v>
      </c>
      <c r="I430" s="4" t="s">
        <v>3370</v>
      </c>
      <c r="J430" s="2" t="str">
        <f>IF(tb2_CampaignResponses[[#This Row],[Gift_Amount]]&lt;0,"Review - negative amount",IF(tb2_CampaignResponses[[#This Row],[Gift_Amount]]&gt;10000,"Review - unusually large donation",""))</f>
        <v/>
      </c>
      <c r="K430" s="21" t="str">
        <f>IF(tb2_CampaignResponses[[#This Row],[Supporter_ID]]="","Review - no supporter ID","")</f>
        <v/>
      </c>
      <c r="L430" s="21" t="str">
        <f ca="1">IF(tb2_CampaignResponses[[#This Row],[Response_Date]]&gt;TODAY(),"Review - future response date","")</f>
        <v/>
      </c>
    </row>
    <row r="431" spans="1:12" x14ac:dyDescent="0.25">
      <c r="A431" s="3" t="s">
        <v>4098</v>
      </c>
      <c r="B431" s="2" t="s">
        <v>1446</v>
      </c>
      <c r="C431" s="2" t="s">
        <v>3403</v>
      </c>
      <c r="D431" s="2" t="s">
        <v>3404</v>
      </c>
      <c r="E431" s="2" t="s">
        <v>4</v>
      </c>
      <c r="F431" s="15">
        <v>45592</v>
      </c>
      <c r="G431" s="25">
        <v>25.16</v>
      </c>
      <c r="H431" s="2" t="s">
        <v>36</v>
      </c>
      <c r="I431" s="4" t="s">
        <v>3328</v>
      </c>
      <c r="J431" s="2" t="str">
        <f>IF(tb2_CampaignResponses[[#This Row],[Gift_Amount]]&lt;0,"Review - negative amount",IF(tb2_CampaignResponses[[#This Row],[Gift_Amount]]&gt;10000,"Review - unusually large donation",""))</f>
        <v/>
      </c>
      <c r="K431" s="21" t="str">
        <f>IF(tb2_CampaignResponses[[#This Row],[Supporter_ID]]="","Review - no supporter ID","")</f>
        <v/>
      </c>
      <c r="L431" s="21" t="str">
        <f ca="1">IF(tb2_CampaignResponses[[#This Row],[Response_Date]]&gt;TODAY(),"Review - future response date","")</f>
        <v/>
      </c>
    </row>
    <row r="432" spans="1:12" x14ac:dyDescent="0.25">
      <c r="A432" s="3" t="s">
        <v>4099</v>
      </c>
      <c r="B432" s="2" t="s">
        <v>1386</v>
      </c>
      <c r="C432" s="2" t="s">
        <v>3354</v>
      </c>
      <c r="D432" s="2" t="s">
        <v>3355</v>
      </c>
      <c r="E432" s="2" t="s">
        <v>4</v>
      </c>
      <c r="F432" s="15">
        <v>45618</v>
      </c>
      <c r="G432" s="25">
        <v>218.83</v>
      </c>
      <c r="H432" s="2" t="s">
        <v>36</v>
      </c>
      <c r="I432" s="4" t="s">
        <v>3365</v>
      </c>
      <c r="J432" s="2" t="str">
        <f>IF(tb2_CampaignResponses[[#This Row],[Gift_Amount]]&lt;0,"Review - negative amount",IF(tb2_CampaignResponses[[#This Row],[Gift_Amount]]&gt;10000,"Review - unusually large donation",""))</f>
        <v/>
      </c>
      <c r="K432" s="21" t="str">
        <f>IF(tb2_CampaignResponses[[#This Row],[Supporter_ID]]="","Review - no supporter ID","")</f>
        <v/>
      </c>
      <c r="L432" s="21" t="str">
        <f ca="1">IF(tb2_CampaignResponses[[#This Row],[Response_Date]]&gt;TODAY(),"Review - future response date","")</f>
        <v/>
      </c>
    </row>
    <row r="433" spans="1:12" x14ac:dyDescent="0.25">
      <c r="A433" s="3" t="s">
        <v>4100</v>
      </c>
      <c r="B433" s="2" t="s">
        <v>1778</v>
      </c>
      <c r="C433" s="2" t="s">
        <v>3427</v>
      </c>
      <c r="D433" s="2" t="s">
        <v>3428</v>
      </c>
      <c r="E433" s="2" t="s">
        <v>4</v>
      </c>
      <c r="F433" s="15">
        <v>45488</v>
      </c>
      <c r="G433" s="25">
        <v>89.85</v>
      </c>
      <c r="H433" s="2" t="s">
        <v>37</v>
      </c>
      <c r="I433" s="4" t="s">
        <v>3334</v>
      </c>
      <c r="J433" s="2" t="str">
        <f>IF(tb2_CampaignResponses[[#This Row],[Gift_Amount]]&lt;0,"Review - negative amount",IF(tb2_CampaignResponses[[#This Row],[Gift_Amount]]&gt;10000,"Review - unusually large donation",""))</f>
        <v/>
      </c>
      <c r="K433" s="21" t="str">
        <f>IF(tb2_CampaignResponses[[#This Row],[Supporter_ID]]="","Review - no supporter ID","")</f>
        <v/>
      </c>
      <c r="L433" s="21" t="str">
        <f ca="1">IF(tb2_CampaignResponses[[#This Row],[Response_Date]]&gt;TODAY(),"Review - future response date","")</f>
        <v/>
      </c>
    </row>
    <row r="434" spans="1:12" x14ac:dyDescent="0.25">
      <c r="A434" s="3" t="s">
        <v>4101</v>
      </c>
      <c r="B434" s="2" t="s">
        <v>2076</v>
      </c>
      <c r="C434" s="2" t="s">
        <v>3362</v>
      </c>
      <c r="D434" s="2" t="s">
        <v>3363</v>
      </c>
      <c r="E434" s="2" t="s">
        <v>65</v>
      </c>
      <c r="F434" s="15">
        <v>45573</v>
      </c>
      <c r="G434" s="25">
        <v>99.92</v>
      </c>
      <c r="H434" s="2" t="s">
        <v>37</v>
      </c>
      <c r="I434" s="4" t="s">
        <v>3334</v>
      </c>
      <c r="J434" s="2" t="str">
        <f>IF(tb2_CampaignResponses[[#This Row],[Gift_Amount]]&lt;0,"Review - negative amount",IF(tb2_CampaignResponses[[#This Row],[Gift_Amount]]&gt;10000,"Review - unusually large donation",""))</f>
        <v/>
      </c>
      <c r="K434" s="21" t="str">
        <f>IF(tb2_CampaignResponses[[#This Row],[Supporter_ID]]="","Review - no supporter ID","")</f>
        <v/>
      </c>
      <c r="L434" s="21" t="str">
        <f ca="1">IF(tb2_CampaignResponses[[#This Row],[Response_Date]]&gt;TODAY(),"Review - future response date","")</f>
        <v/>
      </c>
    </row>
    <row r="435" spans="1:12" x14ac:dyDescent="0.25">
      <c r="A435" s="3" t="s">
        <v>4103</v>
      </c>
      <c r="B435" s="2" t="s">
        <v>3278</v>
      </c>
      <c r="C435" s="2" t="s">
        <v>3325</v>
      </c>
      <c r="D435" s="2" t="s">
        <v>3326</v>
      </c>
      <c r="E435" s="2" t="s">
        <v>3338</v>
      </c>
      <c r="F435" s="15">
        <v>45621</v>
      </c>
      <c r="G435" s="25">
        <v>46.07</v>
      </c>
      <c r="H435" s="2" t="s">
        <v>37</v>
      </c>
      <c r="I435" s="4" t="s">
        <v>3365</v>
      </c>
      <c r="J435" s="2" t="str">
        <f>IF(tb2_CampaignResponses[[#This Row],[Gift_Amount]]&lt;0,"Review - negative amount",IF(tb2_CampaignResponses[[#This Row],[Gift_Amount]]&gt;10000,"Review - unusually large donation",""))</f>
        <v/>
      </c>
      <c r="K435" s="21" t="str">
        <f>IF(tb2_CampaignResponses[[#This Row],[Supporter_ID]]="","Review - no supporter ID","")</f>
        <v/>
      </c>
      <c r="L435" s="21" t="str">
        <f ca="1">IF(tb2_CampaignResponses[[#This Row],[Response_Date]]&gt;TODAY(),"Review - future response date","")</f>
        <v/>
      </c>
    </row>
    <row r="436" spans="1:12" x14ac:dyDescent="0.25">
      <c r="A436" s="3" t="s">
        <v>4104</v>
      </c>
      <c r="B436" s="2" t="s">
        <v>502</v>
      </c>
      <c r="C436" s="2" t="s">
        <v>3314</v>
      </c>
      <c r="D436" s="2" t="s">
        <v>3315</v>
      </c>
      <c r="E436" s="2" t="s">
        <v>33</v>
      </c>
      <c r="F436" s="15">
        <v>45745</v>
      </c>
      <c r="G436" s="25">
        <v>33.81</v>
      </c>
      <c r="H436" s="2" t="s">
        <v>36</v>
      </c>
      <c r="I436" s="4" t="s">
        <v>3334</v>
      </c>
      <c r="J436" s="2" t="str">
        <f>IF(tb2_CampaignResponses[[#This Row],[Gift_Amount]]&lt;0,"Review - negative amount",IF(tb2_CampaignResponses[[#This Row],[Gift_Amount]]&gt;10000,"Review - unusually large donation",""))</f>
        <v/>
      </c>
      <c r="K436" s="21" t="str">
        <f>IF(tb2_CampaignResponses[[#This Row],[Supporter_ID]]="","Review - no supporter ID","")</f>
        <v/>
      </c>
      <c r="L436" s="21" t="str">
        <f ca="1">IF(tb2_CampaignResponses[[#This Row],[Response_Date]]&gt;TODAY(),"Review - future response date","")</f>
        <v/>
      </c>
    </row>
    <row r="437" spans="1:12" x14ac:dyDescent="0.25">
      <c r="A437" s="3" t="s">
        <v>4106</v>
      </c>
      <c r="B437" s="2" t="s">
        <v>3003</v>
      </c>
      <c r="C437" s="2" t="s">
        <v>3354</v>
      </c>
      <c r="D437" s="2" t="s">
        <v>3355</v>
      </c>
      <c r="E437" s="2" t="s">
        <v>4</v>
      </c>
      <c r="F437" s="15">
        <v>45618</v>
      </c>
      <c r="G437" s="25">
        <v>252.35</v>
      </c>
      <c r="H437" s="2" t="s">
        <v>36</v>
      </c>
      <c r="I437" s="4" t="s">
        <v>3318</v>
      </c>
      <c r="J437" s="2" t="str">
        <f>IF(tb2_CampaignResponses[[#This Row],[Gift_Amount]]&lt;0,"Review - negative amount",IF(tb2_CampaignResponses[[#This Row],[Gift_Amount]]&gt;10000,"Review - unusually large donation",""))</f>
        <v/>
      </c>
      <c r="K437" s="21" t="str">
        <f>IF(tb2_CampaignResponses[[#This Row],[Supporter_ID]]="","Review - no supporter ID","")</f>
        <v/>
      </c>
      <c r="L437" s="21" t="str">
        <f ca="1">IF(tb2_CampaignResponses[[#This Row],[Response_Date]]&gt;TODAY(),"Review - future response date","")</f>
        <v/>
      </c>
    </row>
    <row r="438" spans="1:12" x14ac:dyDescent="0.25">
      <c r="A438" s="3" t="s">
        <v>4107</v>
      </c>
      <c r="B438" s="2" t="s">
        <v>1951</v>
      </c>
      <c r="C438" s="2" t="s">
        <v>3314</v>
      </c>
      <c r="D438" s="2" t="s">
        <v>3315</v>
      </c>
      <c r="E438" s="2" t="s">
        <v>3316</v>
      </c>
      <c r="F438" s="15">
        <v>45725</v>
      </c>
      <c r="G438" s="25">
        <v>49.6</v>
      </c>
      <c r="H438" s="2" t="s">
        <v>36</v>
      </c>
      <c r="I438" s="4" t="s">
        <v>3365</v>
      </c>
      <c r="J438" s="2" t="str">
        <f>IF(tb2_CampaignResponses[[#This Row],[Gift_Amount]]&lt;0,"Review - negative amount",IF(tb2_CampaignResponses[[#This Row],[Gift_Amount]]&gt;10000,"Review - unusually large donation",""))</f>
        <v/>
      </c>
      <c r="K438" s="21" t="str">
        <f>IF(tb2_CampaignResponses[[#This Row],[Supporter_ID]]="","Review - no supporter ID","")</f>
        <v/>
      </c>
      <c r="L438" s="21" t="str">
        <f ca="1">IF(tb2_CampaignResponses[[#This Row],[Response_Date]]&gt;TODAY(),"Review - future response date","")</f>
        <v/>
      </c>
    </row>
    <row r="439" spans="1:12" x14ac:dyDescent="0.25">
      <c r="A439" s="3" t="s">
        <v>4109</v>
      </c>
      <c r="B439" s="2" t="s">
        <v>2946</v>
      </c>
      <c r="C439" s="2" t="s">
        <v>3341</v>
      </c>
      <c r="D439" s="2" t="s">
        <v>3342</v>
      </c>
      <c r="E439" s="2" t="s">
        <v>91</v>
      </c>
      <c r="F439" s="15">
        <v>45767</v>
      </c>
      <c r="G439" s="25">
        <v>125.11</v>
      </c>
      <c r="H439" s="2" t="s">
        <v>37</v>
      </c>
      <c r="I439" s="4" t="s">
        <v>3318</v>
      </c>
      <c r="J439" s="2" t="str">
        <f>IF(tb2_CampaignResponses[[#This Row],[Gift_Amount]]&lt;0,"Review - negative amount",IF(tb2_CampaignResponses[[#This Row],[Gift_Amount]]&gt;10000,"Review - unusually large donation",""))</f>
        <v/>
      </c>
      <c r="K439" s="21" t="str">
        <f>IF(tb2_CampaignResponses[[#This Row],[Supporter_ID]]="","Review - no supporter ID","")</f>
        <v/>
      </c>
      <c r="L439" s="21" t="str">
        <f ca="1">IF(tb2_CampaignResponses[[#This Row],[Response_Date]]&gt;TODAY(),"Review - future response date","")</f>
        <v/>
      </c>
    </row>
    <row r="440" spans="1:12" x14ac:dyDescent="0.25">
      <c r="A440" s="3" t="s">
        <v>4111</v>
      </c>
      <c r="B440" s="2" t="s">
        <v>2489</v>
      </c>
      <c r="C440" s="2" t="s">
        <v>3362</v>
      </c>
      <c r="D440" s="2" t="s">
        <v>3363</v>
      </c>
      <c r="E440" s="2" t="s">
        <v>65</v>
      </c>
      <c r="F440" s="15">
        <v>45577</v>
      </c>
      <c r="G440" s="25">
        <v>397.4</v>
      </c>
      <c r="H440" s="2" t="s">
        <v>37</v>
      </c>
      <c r="I440" s="4" t="s">
        <v>3334</v>
      </c>
      <c r="J440" s="2" t="str">
        <f>IF(tb2_CampaignResponses[[#This Row],[Gift_Amount]]&lt;0,"Review - negative amount",IF(tb2_CampaignResponses[[#This Row],[Gift_Amount]]&gt;10000,"Review - unusually large donation",""))</f>
        <v/>
      </c>
      <c r="K440" s="21" t="str">
        <f>IF(tb2_CampaignResponses[[#This Row],[Supporter_ID]]="","Review - no supporter ID","")</f>
        <v/>
      </c>
      <c r="L440" s="21" t="str">
        <f ca="1">IF(tb2_CampaignResponses[[#This Row],[Response_Date]]&gt;TODAY(),"Review - future response date","")</f>
        <v/>
      </c>
    </row>
    <row r="441" spans="1:12" x14ac:dyDescent="0.25">
      <c r="A441" s="3" t="s">
        <v>4112</v>
      </c>
      <c r="B441" s="2" t="s">
        <v>974</v>
      </c>
      <c r="C441" s="2" t="s">
        <v>3320</v>
      </c>
      <c r="D441" s="2" t="s">
        <v>3321</v>
      </c>
      <c r="E441" s="2" t="s">
        <v>65</v>
      </c>
      <c r="F441" s="15">
        <v>45460</v>
      </c>
      <c r="G441" s="25">
        <v>56.48</v>
      </c>
      <c r="H441" s="2" t="s">
        <v>36</v>
      </c>
      <c r="I441" s="4" t="s">
        <v>3385</v>
      </c>
      <c r="J441" s="2" t="str">
        <f>IF(tb2_CampaignResponses[[#This Row],[Gift_Amount]]&lt;0,"Review - negative amount",IF(tb2_CampaignResponses[[#This Row],[Gift_Amount]]&gt;10000,"Review - unusually large donation",""))</f>
        <v/>
      </c>
      <c r="K441" s="21" t="str">
        <f>IF(tb2_CampaignResponses[[#This Row],[Supporter_ID]]="","Review - no supporter ID","")</f>
        <v/>
      </c>
      <c r="L441" s="21" t="str">
        <f ca="1">IF(tb2_CampaignResponses[[#This Row],[Response_Date]]&gt;TODAY(),"Review - future response date","")</f>
        <v/>
      </c>
    </row>
    <row r="442" spans="1:12" x14ac:dyDescent="0.25">
      <c r="A442" s="3" t="s">
        <v>4114</v>
      </c>
      <c r="B442" s="2" t="s">
        <v>3205</v>
      </c>
      <c r="C442" s="2" t="s">
        <v>3336</v>
      </c>
      <c r="D442" s="2" t="s">
        <v>3337</v>
      </c>
      <c r="E442" s="2" t="s">
        <v>3338</v>
      </c>
      <c r="F442" s="15">
        <v>45565</v>
      </c>
      <c r="G442" s="25">
        <v>425.45</v>
      </c>
      <c r="H442" s="2" t="s">
        <v>36</v>
      </c>
      <c r="I442" s="4" t="s">
        <v>3328</v>
      </c>
      <c r="J442" s="2" t="str">
        <f>IF(tb2_CampaignResponses[[#This Row],[Gift_Amount]]&lt;0,"Review - negative amount",IF(tb2_CampaignResponses[[#This Row],[Gift_Amount]]&gt;10000,"Review - unusually large donation",""))</f>
        <v/>
      </c>
      <c r="K442" s="21" t="str">
        <f>IF(tb2_CampaignResponses[[#This Row],[Supporter_ID]]="","Review - no supporter ID","")</f>
        <v/>
      </c>
      <c r="L442" s="21" t="str">
        <f ca="1">IF(tb2_CampaignResponses[[#This Row],[Response_Date]]&gt;TODAY(),"Review - future response date","")</f>
        <v/>
      </c>
    </row>
    <row r="443" spans="1:12" x14ac:dyDescent="0.25">
      <c r="A443" s="3" t="s">
        <v>4116</v>
      </c>
      <c r="B443" s="2" t="s">
        <v>1603</v>
      </c>
      <c r="C443" s="2" t="s">
        <v>3325</v>
      </c>
      <c r="D443" s="2" t="s">
        <v>3326</v>
      </c>
      <c r="E443" s="2" t="s">
        <v>4</v>
      </c>
      <c r="F443" s="15">
        <v>45605</v>
      </c>
      <c r="G443" s="25">
        <v>2958.92</v>
      </c>
      <c r="H443" s="2" t="s">
        <v>36</v>
      </c>
      <c r="I443" s="4" t="s">
        <v>3370</v>
      </c>
      <c r="J443" s="2" t="str">
        <f>IF(tb2_CampaignResponses[[#This Row],[Gift_Amount]]&lt;0,"Review - negative amount",IF(tb2_CampaignResponses[[#This Row],[Gift_Amount]]&gt;10000,"Review - unusually large donation",""))</f>
        <v/>
      </c>
      <c r="K443" s="21" t="str">
        <f>IF(tb2_CampaignResponses[[#This Row],[Supporter_ID]]="","Review - no supporter ID","")</f>
        <v/>
      </c>
      <c r="L443" s="21" t="str">
        <f ca="1">IF(tb2_CampaignResponses[[#This Row],[Response_Date]]&gt;TODAY(),"Review - future response date","")</f>
        <v/>
      </c>
    </row>
    <row r="444" spans="1:12" x14ac:dyDescent="0.25">
      <c r="A444" s="3" t="s">
        <v>4118</v>
      </c>
      <c r="B444" s="2" t="s">
        <v>3223</v>
      </c>
      <c r="C444" s="2" t="s">
        <v>3341</v>
      </c>
      <c r="D444" s="2" t="s">
        <v>3342</v>
      </c>
      <c r="E444" s="2" t="s">
        <v>91</v>
      </c>
      <c r="F444" s="15">
        <v>45713</v>
      </c>
      <c r="G444" s="25">
        <v>30.03</v>
      </c>
      <c r="H444" s="2" t="s">
        <v>37</v>
      </c>
      <c r="I444" s="4" t="s">
        <v>3328</v>
      </c>
      <c r="J444" s="2" t="str">
        <f>IF(tb2_CampaignResponses[[#This Row],[Gift_Amount]]&lt;0,"Review - negative amount",IF(tb2_CampaignResponses[[#This Row],[Gift_Amount]]&gt;10000,"Review - unusually large donation",""))</f>
        <v/>
      </c>
      <c r="K444" s="21" t="str">
        <f>IF(tb2_CampaignResponses[[#This Row],[Supporter_ID]]="","Review - no supporter ID","")</f>
        <v/>
      </c>
      <c r="L444" s="21" t="str">
        <f ca="1">IF(tb2_CampaignResponses[[#This Row],[Response_Date]]&gt;TODAY(),"Review - future response date","")</f>
        <v/>
      </c>
    </row>
    <row r="445" spans="1:12" x14ac:dyDescent="0.25">
      <c r="A445" s="3" t="s">
        <v>4119</v>
      </c>
      <c r="B445" s="2" t="s">
        <v>1316</v>
      </c>
      <c r="C445" s="2" t="s">
        <v>3403</v>
      </c>
      <c r="D445" s="2" t="s">
        <v>3404</v>
      </c>
      <c r="E445" s="2" t="s">
        <v>3316</v>
      </c>
      <c r="F445" s="15">
        <v>45639</v>
      </c>
      <c r="G445" s="25">
        <v>42.62</v>
      </c>
      <c r="H445" s="2" t="s">
        <v>36</v>
      </c>
      <c r="I445" s="4" t="s">
        <v>3334</v>
      </c>
      <c r="J445" s="2" t="str">
        <f>IF(tb2_CampaignResponses[[#This Row],[Gift_Amount]]&lt;0,"Review - negative amount",IF(tb2_CampaignResponses[[#This Row],[Gift_Amount]]&gt;10000,"Review - unusually large donation",""))</f>
        <v/>
      </c>
      <c r="K445" s="21" t="str">
        <f>IF(tb2_CampaignResponses[[#This Row],[Supporter_ID]]="","Review - no supporter ID","")</f>
        <v/>
      </c>
      <c r="L445" s="21" t="str">
        <f ca="1">IF(tb2_CampaignResponses[[#This Row],[Response_Date]]&gt;TODAY(),"Review - future response date","")</f>
        <v/>
      </c>
    </row>
    <row r="446" spans="1:12" x14ac:dyDescent="0.25">
      <c r="A446" s="3" t="s">
        <v>4121</v>
      </c>
      <c r="B446" s="2" t="s">
        <v>1702</v>
      </c>
      <c r="C446" s="2" t="s">
        <v>3325</v>
      </c>
      <c r="D446" s="2" t="s">
        <v>3326</v>
      </c>
      <c r="E446" s="2" t="s">
        <v>3338</v>
      </c>
      <c r="F446" s="15">
        <v>45625</v>
      </c>
      <c r="G446" s="25">
        <v>90.81</v>
      </c>
      <c r="H446" s="2" t="s">
        <v>36</v>
      </c>
      <c r="I446" s="4" t="s">
        <v>3385</v>
      </c>
      <c r="J446" s="2" t="str">
        <f>IF(tb2_CampaignResponses[[#This Row],[Gift_Amount]]&lt;0,"Review - negative amount",IF(tb2_CampaignResponses[[#This Row],[Gift_Amount]]&gt;10000,"Review - unusually large donation",""))</f>
        <v/>
      </c>
      <c r="K446" s="21" t="str">
        <f>IF(tb2_CampaignResponses[[#This Row],[Supporter_ID]]="","Review - no supporter ID","")</f>
        <v/>
      </c>
      <c r="L446" s="21" t="str">
        <f ca="1">IF(tb2_CampaignResponses[[#This Row],[Response_Date]]&gt;TODAY(),"Review - future response date","")</f>
        <v/>
      </c>
    </row>
    <row r="447" spans="1:12" x14ac:dyDescent="0.25">
      <c r="A447" s="3" t="s">
        <v>4123</v>
      </c>
      <c r="B447" s="2" t="s">
        <v>2106</v>
      </c>
      <c r="C447" s="2" t="s">
        <v>3403</v>
      </c>
      <c r="D447" s="2" t="s">
        <v>3404</v>
      </c>
      <c r="E447" s="2" t="s">
        <v>3316</v>
      </c>
      <c r="F447" s="15">
        <v>45580</v>
      </c>
      <c r="G447" s="25">
        <v>138.72999999999999</v>
      </c>
      <c r="H447" s="2" t="s">
        <v>36</v>
      </c>
      <c r="I447" s="4" t="s">
        <v>3331</v>
      </c>
      <c r="J447" s="2" t="str">
        <f>IF(tb2_CampaignResponses[[#This Row],[Gift_Amount]]&lt;0,"Review - negative amount",IF(tb2_CampaignResponses[[#This Row],[Gift_Amount]]&gt;10000,"Review - unusually large donation",""))</f>
        <v/>
      </c>
      <c r="K447" s="21" t="str">
        <f>IF(tb2_CampaignResponses[[#This Row],[Supporter_ID]]="","Review - no supporter ID","")</f>
        <v/>
      </c>
      <c r="L447" s="21" t="str">
        <f ca="1">IF(tb2_CampaignResponses[[#This Row],[Response_Date]]&gt;TODAY(),"Review - future response date","")</f>
        <v/>
      </c>
    </row>
    <row r="448" spans="1:12" x14ac:dyDescent="0.25">
      <c r="A448" s="3" t="s">
        <v>4125</v>
      </c>
      <c r="B448" s="2" t="s">
        <v>381</v>
      </c>
      <c r="C448" s="2" t="s">
        <v>3325</v>
      </c>
      <c r="D448" s="2" t="s">
        <v>3326</v>
      </c>
      <c r="E448" s="2" t="s">
        <v>65</v>
      </c>
      <c r="F448" s="15">
        <v>45649</v>
      </c>
      <c r="G448" s="25">
        <v>103.87</v>
      </c>
      <c r="H448" s="2" t="s">
        <v>37</v>
      </c>
      <c r="I448" s="4" t="s">
        <v>3328</v>
      </c>
      <c r="J448" s="2" t="str">
        <f>IF(tb2_CampaignResponses[[#This Row],[Gift_Amount]]&lt;0,"Review - negative amount",IF(tb2_CampaignResponses[[#This Row],[Gift_Amount]]&gt;10000,"Review - unusually large donation",""))</f>
        <v/>
      </c>
      <c r="K448" s="21" t="str">
        <f>IF(tb2_CampaignResponses[[#This Row],[Supporter_ID]]="","Review - no supporter ID","")</f>
        <v/>
      </c>
      <c r="L448" s="21" t="str">
        <f ca="1">IF(tb2_CampaignResponses[[#This Row],[Response_Date]]&gt;TODAY(),"Review - future response date","")</f>
        <v/>
      </c>
    </row>
    <row r="449" spans="1:12" x14ac:dyDescent="0.25">
      <c r="A449" s="3" t="s">
        <v>4127</v>
      </c>
      <c r="B449" s="2" t="s">
        <v>629</v>
      </c>
      <c r="C449" s="2" t="s">
        <v>3427</v>
      </c>
      <c r="D449" s="2" t="s">
        <v>3428</v>
      </c>
      <c r="E449" s="2" t="s">
        <v>65</v>
      </c>
      <c r="F449" s="15">
        <v>45488</v>
      </c>
      <c r="G449" s="25">
        <v>21.96</v>
      </c>
      <c r="H449" s="2" t="s">
        <v>36</v>
      </c>
      <c r="I449" s="4" t="s">
        <v>3365</v>
      </c>
      <c r="J449" s="2" t="str">
        <f>IF(tb2_CampaignResponses[[#This Row],[Gift_Amount]]&lt;0,"Review - negative amount",IF(tb2_CampaignResponses[[#This Row],[Gift_Amount]]&gt;10000,"Review - unusually large donation",""))</f>
        <v/>
      </c>
      <c r="K449" s="21" t="str">
        <f>IF(tb2_CampaignResponses[[#This Row],[Supporter_ID]]="","Review - no supporter ID","")</f>
        <v/>
      </c>
      <c r="L449" s="21" t="str">
        <f ca="1">IF(tb2_CampaignResponses[[#This Row],[Response_Date]]&gt;TODAY(),"Review - future response date","")</f>
        <v/>
      </c>
    </row>
    <row r="450" spans="1:12" x14ac:dyDescent="0.25">
      <c r="A450" s="3" t="s">
        <v>4128</v>
      </c>
      <c r="B450" s="2" t="s">
        <v>2650</v>
      </c>
      <c r="C450" s="2" t="s">
        <v>3362</v>
      </c>
      <c r="D450" s="2" t="s">
        <v>3363</v>
      </c>
      <c r="E450" s="2" t="s">
        <v>65</v>
      </c>
      <c r="F450" s="15">
        <v>45573</v>
      </c>
      <c r="G450" s="25">
        <v>78.989999999999995</v>
      </c>
      <c r="H450" s="2" t="s">
        <v>37</v>
      </c>
      <c r="I450" s="4" t="s">
        <v>3385</v>
      </c>
      <c r="J450" s="2" t="str">
        <f>IF(tb2_CampaignResponses[[#This Row],[Gift_Amount]]&lt;0,"Review - negative amount",IF(tb2_CampaignResponses[[#This Row],[Gift_Amount]]&gt;10000,"Review - unusually large donation",""))</f>
        <v/>
      </c>
      <c r="K450" s="21" t="str">
        <f>IF(tb2_CampaignResponses[[#This Row],[Supporter_ID]]="","Review - no supporter ID","")</f>
        <v/>
      </c>
      <c r="L450" s="21" t="str">
        <f ca="1">IF(tb2_CampaignResponses[[#This Row],[Response_Date]]&gt;TODAY(),"Review - future response date","")</f>
        <v/>
      </c>
    </row>
    <row r="451" spans="1:12" x14ac:dyDescent="0.25">
      <c r="A451" s="3" t="s">
        <v>4130</v>
      </c>
      <c r="B451" s="2" t="s">
        <v>2562</v>
      </c>
      <c r="C451" s="2" t="s">
        <v>3362</v>
      </c>
      <c r="D451" s="2" t="s">
        <v>3363</v>
      </c>
      <c r="E451" s="2" t="s">
        <v>65</v>
      </c>
      <c r="F451" s="15">
        <v>45576</v>
      </c>
      <c r="G451" s="25">
        <v>243.08</v>
      </c>
      <c r="H451" s="2" t="s">
        <v>37</v>
      </c>
      <c r="I451" s="4" t="s">
        <v>3334</v>
      </c>
      <c r="J451" s="2" t="str">
        <f>IF(tb2_CampaignResponses[[#This Row],[Gift_Amount]]&lt;0,"Review - negative amount",IF(tb2_CampaignResponses[[#This Row],[Gift_Amount]]&gt;10000,"Review - unusually large donation",""))</f>
        <v/>
      </c>
      <c r="K451" s="21" t="str">
        <f>IF(tb2_CampaignResponses[[#This Row],[Supporter_ID]]="","Review - no supporter ID","")</f>
        <v/>
      </c>
      <c r="L451" s="21" t="str">
        <f ca="1">IF(tb2_CampaignResponses[[#This Row],[Response_Date]]&gt;TODAY(),"Review - future response date","")</f>
        <v/>
      </c>
    </row>
    <row r="452" spans="1:12" x14ac:dyDescent="0.25">
      <c r="A452" s="3" t="s">
        <v>4131</v>
      </c>
      <c r="B452" s="2" t="s">
        <v>3188</v>
      </c>
      <c r="C452" s="2" t="s">
        <v>3354</v>
      </c>
      <c r="D452" s="2" t="s">
        <v>3355</v>
      </c>
      <c r="E452" s="2" t="s">
        <v>4</v>
      </c>
      <c r="F452" s="15">
        <v>45618</v>
      </c>
      <c r="G452" s="25">
        <v>149.04</v>
      </c>
      <c r="H452" s="2" t="s">
        <v>36</v>
      </c>
      <c r="I452" s="4" t="s">
        <v>3365</v>
      </c>
      <c r="J452" s="2" t="str">
        <f>IF(tb2_CampaignResponses[[#This Row],[Gift_Amount]]&lt;0,"Review - negative amount",IF(tb2_CampaignResponses[[#This Row],[Gift_Amount]]&gt;10000,"Review - unusually large donation",""))</f>
        <v/>
      </c>
      <c r="K452" s="21" t="str">
        <f>IF(tb2_CampaignResponses[[#This Row],[Supporter_ID]]="","Review - no supporter ID","")</f>
        <v/>
      </c>
      <c r="L452" s="21" t="str">
        <f ca="1">IF(tb2_CampaignResponses[[#This Row],[Response_Date]]&gt;TODAY(),"Review - future response date","")</f>
        <v/>
      </c>
    </row>
    <row r="453" spans="1:12" x14ac:dyDescent="0.25">
      <c r="A453" s="3" t="s">
        <v>4132</v>
      </c>
      <c r="B453" s="2" t="s">
        <v>2847</v>
      </c>
      <c r="C453" s="2" t="s">
        <v>3354</v>
      </c>
      <c r="D453" s="2" t="s">
        <v>3355</v>
      </c>
      <c r="E453" s="2" t="s">
        <v>4</v>
      </c>
      <c r="F453" s="15">
        <v>45618</v>
      </c>
      <c r="G453" s="25">
        <v>235.85</v>
      </c>
      <c r="H453" s="2" t="s">
        <v>37</v>
      </c>
      <c r="I453" s="4" t="s">
        <v>3385</v>
      </c>
      <c r="J453" s="2" t="str">
        <f>IF(tb2_CampaignResponses[[#This Row],[Gift_Amount]]&lt;0,"Review - negative amount",IF(tb2_CampaignResponses[[#This Row],[Gift_Amount]]&gt;10000,"Review - unusually large donation",""))</f>
        <v/>
      </c>
      <c r="K453" s="21" t="str">
        <f>IF(tb2_CampaignResponses[[#This Row],[Supporter_ID]]="","Review - no supporter ID","")</f>
        <v/>
      </c>
      <c r="L453" s="21" t="str">
        <f ca="1">IF(tb2_CampaignResponses[[#This Row],[Response_Date]]&gt;TODAY(),"Review - future response date","")</f>
        <v/>
      </c>
    </row>
    <row r="454" spans="1:12" x14ac:dyDescent="0.25">
      <c r="A454" s="3" t="s">
        <v>4133</v>
      </c>
      <c r="B454" s="2" t="s">
        <v>1000</v>
      </c>
      <c r="C454" s="2" t="s">
        <v>3427</v>
      </c>
      <c r="D454" s="2" t="s">
        <v>3428</v>
      </c>
      <c r="E454" s="2" t="s">
        <v>65</v>
      </c>
      <c r="F454" s="15">
        <v>45488</v>
      </c>
      <c r="G454" s="25">
        <v>47.14</v>
      </c>
      <c r="H454" s="2" t="s">
        <v>36</v>
      </c>
      <c r="I454" s="4" t="s">
        <v>3318</v>
      </c>
      <c r="J454" s="2" t="str">
        <f>IF(tb2_CampaignResponses[[#This Row],[Gift_Amount]]&lt;0,"Review - negative amount",IF(tb2_CampaignResponses[[#This Row],[Gift_Amount]]&gt;10000,"Review - unusually large donation",""))</f>
        <v/>
      </c>
      <c r="K454" s="21" t="str">
        <f>IF(tb2_CampaignResponses[[#This Row],[Supporter_ID]]="","Review - no supporter ID","")</f>
        <v/>
      </c>
      <c r="L454" s="21" t="str">
        <f ca="1">IF(tb2_CampaignResponses[[#This Row],[Response_Date]]&gt;TODAY(),"Review - future response date","")</f>
        <v/>
      </c>
    </row>
    <row r="455" spans="1:12" x14ac:dyDescent="0.25">
      <c r="A455" s="3" t="s">
        <v>4134</v>
      </c>
      <c r="B455" s="2" t="s">
        <v>1053</v>
      </c>
      <c r="C455" s="2" t="s">
        <v>3341</v>
      </c>
      <c r="D455" s="2" t="s">
        <v>3342</v>
      </c>
      <c r="E455" s="2" t="s">
        <v>91</v>
      </c>
      <c r="F455" s="15">
        <v>45715</v>
      </c>
      <c r="G455" s="25">
        <v>71.239999999999995</v>
      </c>
      <c r="H455" s="2" t="s">
        <v>36</v>
      </c>
      <c r="I455" s="4" t="s">
        <v>3331</v>
      </c>
      <c r="J455" s="2" t="str">
        <f>IF(tb2_CampaignResponses[[#This Row],[Gift_Amount]]&lt;0,"Review - negative amount",IF(tb2_CampaignResponses[[#This Row],[Gift_Amount]]&gt;10000,"Review - unusually large donation",""))</f>
        <v/>
      </c>
      <c r="K455" s="21" t="str">
        <f>IF(tb2_CampaignResponses[[#This Row],[Supporter_ID]]="","Review - no supporter ID","")</f>
        <v/>
      </c>
      <c r="L455" s="21" t="str">
        <f ca="1">IF(tb2_CampaignResponses[[#This Row],[Response_Date]]&gt;TODAY(),"Review - future response date","")</f>
        <v/>
      </c>
    </row>
    <row r="456" spans="1:12" x14ac:dyDescent="0.25">
      <c r="A456" s="3" t="s">
        <v>4136</v>
      </c>
      <c r="B456" s="2" t="s">
        <v>2550</v>
      </c>
      <c r="C456" s="2" t="s">
        <v>3320</v>
      </c>
      <c r="D456" s="2" t="s">
        <v>3321</v>
      </c>
      <c r="E456" s="2" t="s">
        <v>65</v>
      </c>
      <c r="F456" s="15">
        <v>45456</v>
      </c>
      <c r="G456" s="25">
        <v>26.63</v>
      </c>
      <c r="H456" s="2" t="s">
        <v>36</v>
      </c>
      <c r="I456" s="4" t="s">
        <v>3334</v>
      </c>
      <c r="J456" s="2" t="str">
        <f>IF(tb2_CampaignResponses[[#This Row],[Gift_Amount]]&lt;0,"Review - negative amount",IF(tb2_CampaignResponses[[#This Row],[Gift_Amount]]&gt;10000,"Review - unusually large donation",""))</f>
        <v/>
      </c>
      <c r="K456" s="21" t="str">
        <f>IF(tb2_CampaignResponses[[#This Row],[Supporter_ID]]="","Review - no supporter ID","")</f>
        <v/>
      </c>
      <c r="L456" s="21" t="str">
        <f ca="1">IF(tb2_CampaignResponses[[#This Row],[Response_Date]]&gt;TODAY(),"Review - future response date","")</f>
        <v/>
      </c>
    </row>
    <row r="457" spans="1:12" x14ac:dyDescent="0.25">
      <c r="A457" s="3" t="s">
        <v>4137</v>
      </c>
      <c r="B457" s="2" t="s">
        <v>2475</v>
      </c>
      <c r="C457" s="2" t="s">
        <v>3336</v>
      </c>
      <c r="D457" s="2" t="s">
        <v>3337</v>
      </c>
      <c r="E457" s="2" t="s">
        <v>4</v>
      </c>
      <c r="F457" s="15">
        <v>45547</v>
      </c>
      <c r="G457" s="25">
        <v>20.79</v>
      </c>
      <c r="H457" s="2" t="s">
        <v>36</v>
      </c>
      <c r="I457" s="4" t="s">
        <v>3331</v>
      </c>
      <c r="J457" s="2" t="str">
        <f>IF(tb2_CampaignResponses[[#This Row],[Gift_Amount]]&lt;0,"Review - negative amount",IF(tb2_CampaignResponses[[#This Row],[Gift_Amount]]&gt;10000,"Review - unusually large donation",""))</f>
        <v/>
      </c>
      <c r="K457" s="21" t="str">
        <f>IF(tb2_CampaignResponses[[#This Row],[Supporter_ID]]="","Review - no supporter ID","")</f>
        <v/>
      </c>
      <c r="L457" s="21" t="str">
        <f ca="1">IF(tb2_CampaignResponses[[#This Row],[Response_Date]]&gt;TODAY(),"Review - future response date","")</f>
        <v/>
      </c>
    </row>
    <row r="458" spans="1:12" x14ac:dyDescent="0.25">
      <c r="A458" s="3" t="s">
        <v>4139</v>
      </c>
      <c r="B458" s="2" t="s">
        <v>1274</v>
      </c>
      <c r="C458" s="2" t="s">
        <v>3403</v>
      </c>
      <c r="D458" s="2" t="s">
        <v>3404</v>
      </c>
      <c r="E458" s="2" t="s">
        <v>3316</v>
      </c>
      <c r="F458" s="15">
        <v>45584</v>
      </c>
      <c r="G458" s="25">
        <v>225.53</v>
      </c>
      <c r="H458" s="2" t="s">
        <v>37</v>
      </c>
      <c r="I458" s="4" t="s">
        <v>3334</v>
      </c>
      <c r="J458" s="2" t="str">
        <f>IF(tb2_CampaignResponses[[#This Row],[Gift_Amount]]&lt;0,"Review - negative amount",IF(tb2_CampaignResponses[[#This Row],[Gift_Amount]]&gt;10000,"Review - unusually large donation",""))</f>
        <v/>
      </c>
      <c r="K458" s="21" t="str">
        <f>IF(tb2_CampaignResponses[[#This Row],[Supporter_ID]]="","Review - no supporter ID","")</f>
        <v/>
      </c>
      <c r="L458" s="21" t="str">
        <f ca="1">IF(tb2_CampaignResponses[[#This Row],[Response_Date]]&gt;TODAY(),"Review - future response date","")</f>
        <v/>
      </c>
    </row>
    <row r="459" spans="1:12" x14ac:dyDescent="0.25">
      <c r="A459" s="3" t="s">
        <v>4141</v>
      </c>
      <c r="B459" s="2" t="s">
        <v>1802</v>
      </c>
      <c r="C459" s="2" t="s">
        <v>3367</v>
      </c>
      <c r="D459" s="2" t="s">
        <v>3368</v>
      </c>
      <c r="E459" s="2" t="s">
        <v>65</v>
      </c>
      <c r="F459" s="15">
        <v>45735</v>
      </c>
      <c r="G459" s="25">
        <v>254.24</v>
      </c>
      <c r="H459" s="2" t="s">
        <v>36</v>
      </c>
      <c r="I459" s="4" t="s">
        <v>3334</v>
      </c>
      <c r="J459" s="2" t="str">
        <f>IF(tb2_CampaignResponses[[#This Row],[Gift_Amount]]&lt;0,"Review - negative amount",IF(tb2_CampaignResponses[[#This Row],[Gift_Amount]]&gt;10000,"Review - unusually large donation",""))</f>
        <v/>
      </c>
      <c r="K459" s="21" t="str">
        <f>IF(tb2_CampaignResponses[[#This Row],[Supporter_ID]]="","Review - no supporter ID","")</f>
        <v/>
      </c>
      <c r="L459" s="21" t="str">
        <f ca="1">IF(tb2_CampaignResponses[[#This Row],[Response_Date]]&gt;TODAY(),"Review - future response date","")</f>
        <v/>
      </c>
    </row>
    <row r="460" spans="1:12" x14ac:dyDescent="0.25">
      <c r="A460" s="3" t="s">
        <v>4144</v>
      </c>
      <c r="B460" s="2" t="s">
        <v>1369</v>
      </c>
      <c r="C460" s="2" t="s">
        <v>3320</v>
      </c>
      <c r="D460" s="2" t="s">
        <v>3321</v>
      </c>
      <c r="E460" s="2" t="s">
        <v>4</v>
      </c>
      <c r="F460" s="15">
        <v>45463</v>
      </c>
      <c r="G460" s="25">
        <v>253.24</v>
      </c>
      <c r="H460" s="2" t="s">
        <v>37</v>
      </c>
      <c r="I460" s="4" t="s">
        <v>3328</v>
      </c>
      <c r="J460" s="2" t="str">
        <f>IF(tb2_CampaignResponses[[#This Row],[Gift_Amount]]&lt;0,"Review - negative amount",IF(tb2_CampaignResponses[[#This Row],[Gift_Amount]]&gt;10000,"Review - unusually large donation",""))</f>
        <v/>
      </c>
      <c r="K460" s="21" t="str">
        <f>IF(tb2_CampaignResponses[[#This Row],[Supporter_ID]]="","Review - no supporter ID","")</f>
        <v/>
      </c>
      <c r="L460" s="21" t="str">
        <f ca="1">IF(tb2_CampaignResponses[[#This Row],[Response_Date]]&gt;TODAY(),"Review - future response date","")</f>
        <v/>
      </c>
    </row>
    <row r="461" spans="1:12" x14ac:dyDescent="0.25">
      <c r="A461" s="3" t="s">
        <v>4146</v>
      </c>
      <c r="B461" s="2" t="s">
        <v>3242</v>
      </c>
      <c r="C461" s="2" t="s">
        <v>3341</v>
      </c>
      <c r="D461" s="2" t="s">
        <v>3342</v>
      </c>
      <c r="E461" s="2" t="s">
        <v>4</v>
      </c>
      <c r="F461" s="15">
        <v>45773</v>
      </c>
      <c r="G461" s="25">
        <v>93.78</v>
      </c>
      <c r="H461" s="2" t="s">
        <v>36</v>
      </c>
      <c r="I461" s="4" t="s">
        <v>3318</v>
      </c>
      <c r="J461" s="2" t="str">
        <f>IF(tb2_CampaignResponses[[#This Row],[Gift_Amount]]&lt;0,"Review - negative amount",IF(tb2_CampaignResponses[[#This Row],[Gift_Amount]]&gt;10000,"Review - unusually large donation",""))</f>
        <v/>
      </c>
      <c r="K461" s="21" t="str">
        <f>IF(tb2_CampaignResponses[[#This Row],[Supporter_ID]]="","Review - no supporter ID","")</f>
        <v/>
      </c>
      <c r="L461" s="21" t="str">
        <f ca="1">IF(tb2_CampaignResponses[[#This Row],[Response_Date]]&gt;TODAY(),"Review - future response date","")</f>
        <v/>
      </c>
    </row>
    <row r="462" spans="1:12" x14ac:dyDescent="0.25">
      <c r="A462" s="3" t="s">
        <v>4147</v>
      </c>
      <c r="B462" s="2" t="s">
        <v>2922</v>
      </c>
      <c r="C462" s="2" t="s">
        <v>3341</v>
      </c>
      <c r="D462" s="2" t="s">
        <v>3342</v>
      </c>
      <c r="E462" s="2" t="s">
        <v>3316</v>
      </c>
      <c r="F462" s="15">
        <v>45730</v>
      </c>
      <c r="G462" s="25">
        <v>144.13</v>
      </c>
      <c r="H462" s="2" t="s">
        <v>36</v>
      </c>
      <c r="I462" s="4" t="s">
        <v>3323</v>
      </c>
      <c r="J462" s="2" t="str">
        <f>IF(tb2_CampaignResponses[[#This Row],[Gift_Amount]]&lt;0,"Review - negative amount",IF(tb2_CampaignResponses[[#This Row],[Gift_Amount]]&gt;10000,"Review - unusually large donation",""))</f>
        <v/>
      </c>
      <c r="K462" s="21" t="str">
        <f>IF(tb2_CampaignResponses[[#This Row],[Supporter_ID]]="","Review - no supporter ID","")</f>
        <v/>
      </c>
      <c r="L462" s="21" t="str">
        <f ca="1">IF(tb2_CampaignResponses[[#This Row],[Response_Date]]&gt;TODAY(),"Review - future response date","")</f>
        <v/>
      </c>
    </row>
    <row r="463" spans="1:12" x14ac:dyDescent="0.25">
      <c r="A463" s="3" t="s">
        <v>4148</v>
      </c>
      <c r="B463" s="2" t="s">
        <v>3106</v>
      </c>
      <c r="C463" s="2" t="s">
        <v>3427</v>
      </c>
      <c r="D463" s="2" t="s">
        <v>3428</v>
      </c>
      <c r="E463" s="2" t="s">
        <v>65</v>
      </c>
      <c r="F463" s="15">
        <v>45488</v>
      </c>
      <c r="G463" s="25">
        <v>180.89</v>
      </c>
      <c r="H463" s="2" t="s">
        <v>36</v>
      </c>
      <c r="I463" s="4" t="s">
        <v>3365</v>
      </c>
      <c r="J463" s="2" t="str">
        <f>IF(tb2_CampaignResponses[[#This Row],[Gift_Amount]]&lt;0,"Review - negative amount",IF(tb2_CampaignResponses[[#This Row],[Gift_Amount]]&gt;10000,"Review - unusually large donation",""))</f>
        <v/>
      </c>
      <c r="K463" s="21" t="str">
        <f>IF(tb2_CampaignResponses[[#This Row],[Supporter_ID]]="","Review - no supporter ID","")</f>
        <v/>
      </c>
      <c r="L463" s="21" t="str">
        <f ca="1">IF(tb2_CampaignResponses[[#This Row],[Response_Date]]&gt;TODAY(),"Review - future response date","")</f>
        <v/>
      </c>
    </row>
    <row r="464" spans="1:12" x14ac:dyDescent="0.25">
      <c r="A464" s="3" t="s">
        <v>4149</v>
      </c>
      <c r="B464" s="2" t="s">
        <v>2367</v>
      </c>
      <c r="C464" s="2" t="s">
        <v>3362</v>
      </c>
      <c r="D464" s="2" t="s">
        <v>3363</v>
      </c>
      <c r="E464" s="2" t="s">
        <v>65</v>
      </c>
      <c r="F464" s="15">
        <v>45576</v>
      </c>
      <c r="G464" s="25">
        <v>345.37</v>
      </c>
      <c r="H464" s="2" t="s">
        <v>36</v>
      </c>
      <c r="I464" s="4" t="s">
        <v>3334</v>
      </c>
      <c r="J464" s="2" t="str">
        <f>IF(tb2_CampaignResponses[[#This Row],[Gift_Amount]]&lt;0,"Review - negative amount",IF(tb2_CampaignResponses[[#This Row],[Gift_Amount]]&gt;10000,"Review - unusually large donation",""))</f>
        <v/>
      </c>
      <c r="K464" s="21" t="str">
        <f>IF(tb2_CampaignResponses[[#This Row],[Supporter_ID]]="","Review - no supporter ID","")</f>
        <v/>
      </c>
      <c r="L464" s="21" t="str">
        <f ca="1">IF(tb2_CampaignResponses[[#This Row],[Response_Date]]&gt;TODAY(),"Review - future response date","")</f>
        <v/>
      </c>
    </row>
    <row r="465" spans="1:12" x14ac:dyDescent="0.25">
      <c r="A465" s="3" t="s">
        <v>4150</v>
      </c>
      <c r="B465" s="2" t="s">
        <v>2997</v>
      </c>
      <c r="C465" s="2" t="s">
        <v>3320</v>
      </c>
      <c r="D465" s="2" t="s">
        <v>3321</v>
      </c>
      <c r="E465" s="2" t="s">
        <v>4</v>
      </c>
      <c r="F465" s="15">
        <v>45463</v>
      </c>
      <c r="G465" s="25">
        <v>25.6</v>
      </c>
      <c r="H465" s="2" t="s">
        <v>37</v>
      </c>
      <c r="I465" s="4" t="s">
        <v>3385</v>
      </c>
      <c r="J465" s="2" t="str">
        <f>IF(tb2_CampaignResponses[[#This Row],[Gift_Amount]]&lt;0,"Review - negative amount",IF(tb2_CampaignResponses[[#This Row],[Gift_Amount]]&gt;10000,"Review - unusually large donation",""))</f>
        <v/>
      </c>
      <c r="K465" s="21" t="str">
        <f>IF(tb2_CampaignResponses[[#This Row],[Supporter_ID]]="","Review - no supporter ID","")</f>
        <v/>
      </c>
      <c r="L465" s="21" t="str">
        <f ca="1">IF(tb2_CampaignResponses[[#This Row],[Response_Date]]&gt;TODAY(),"Review - future response date","")</f>
        <v/>
      </c>
    </row>
    <row r="466" spans="1:12" x14ac:dyDescent="0.25">
      <c r="A466" s="3" t="s">
        <v>4152</v>
      </c>
      <c r="B466" s="2" t="s">
        <v>2992</v>
      </c>
      <c r="C466" s="2" t="s">
        <v>3320</v>
      </c>
      <c r="D466" s="2" t="s">
        <v>3321</v>
      </c>
      <c r="E466" s="2" t="s">
        <v>65</v>
      </c>
      <c r="F466" s="15">
        <v>45446</v>
      </c>
      <c r="G466" s="25">
        <v>16.87</v>
      </c>
      <c r="H466" s="2" t="s">
        <v>37</v>
      </c>
      <c r="I466" s="4" t="s">
        <v>3334</v>
      </c>
      <c r="J466" s="2" t="str">
        <f>IF(tb2_CampaignResponses[[#This Row],[Gift_Amount]]&lt;0,"Review - negative amount",IF(tb2_CampaignResponses[[#This Row],[Gift_Amount]]&gt;10000,"Review - unusually large donation",""))</f>
        <v/>
      </c>
      <c r="K466" s="21" t="str">
        <f>IF(tb2_CampaignResponses[[#This Row],[Supporter_ID]]="","Review - no supporter ID","")</f>
        <v/>
      </c>
      <c r="L466" s="21" t="str">
        <f ca="1">IF(tb2_CampaignResponses[[#This Row],[Response_Date]]&gt;TODAY(),"Review - future response date","")</f>
        <v/>
      </c>
    </row>
    <row r="467" spans="1:12" x14ac:dyDescent="0.25">
      <c r="A467" s="3" t="s">
        <v>4154</v>
      </c>
      <c r="B467" s="2" t="s">
        <v>2451</v>
      </c>
      <c r="C467" s="2" t="s">
        <v>3367</v>
      </c>
      <c r="D467" s="2" t="s">
        <v>3368</v>
      </c>
      <c r="E467" s="2" t="s">
        <v>4</v>
      </c>
      <c r="F467" s="15">
        <v>45775</v>
      </c>
      <c r="G467" s="25">
        <v>13.71</v>
      </c>
      <c r="H467" s="2" t="s">
        <v>37</v>
      </c>
      <c r="I467" s="4" t="s">
        <v>3365</v>
      </c>
      <c r="J467" s="2" t="str">
        <f>IF(tb2_CampaignResponses[[#This Row],[Gift_Amount]]&lt;0,"Review - negative amount",IF(tb2_CampaignResponses[[#This Row],[Gift_Amount]]&gt;10000,"Review - unusually large donation",""))</f>
        <v/>
      </c>
      <c r="K467" s="21" t="str">
        <f>IF(tb2_CampaignResponses[[#This Row],[Supporter_ID]]="","Review - no supporter ID","")</f>
        <v/>
      </c>
      <c r="L467" s="21" t="str">
        <f ca="1">IF(tb2_CampaignResponses[[#This Row],[Response_Date]]&gt;TODAY(),"Review - future response date","")</f>
        <v/>
      </c>
    </row>
    <row r="468" spans="1:12" x14ac:dyDescent="0.25">
      <c r="A468" s="3" t="s">
        <v>4156</v>
      </c>
      <c r="B468" s="2" t="s">
        <v>2268</v>
      </c>
      <c r="C468" s="2" t="s">
        <v>3325</v>
      </c>
      <c r="D468" s="2" t="s">
        <v>3326</v>
      </c>
      <c r="E468" s="2" t="s">
        <v>3316</v>
      </c>
      <c r="F468" s="15">
        <v>45650</v>
      </c>
      <c r="G468" s="25">
        <v>85.87</v>
      </c>
      <c r="H468" s="2" t="s">
        <v>36</v>
      </c>
      <c r="I468" s="4" t="s">
        <v>3385</v>
      </c>
      <c r="J468" s="2" t="str">
        <f>IF(tb2_CampaignResponses[[#This Row],[Gift_Amount]]&lt;0,"Review - negative amount",IF(tb2_CampaignResponses[[#This Row],[Gift_Amount]]&gt;10000,"Review - unusually large donation",""))</f>
        <v/>
      </c>
      <c r="K468" s="21" t="str">
        <f>IF(tb2_CampaignResponses[[#This Row],[Supporter_ID]]="","Review - no supporter ID","")</f>
        <v/>
      </c>
      <c r="L468" s="21" t="str">
        <f ca="1">IF(tb2_CampaignResponses[[#This Row],[Response_Date]]&gt;TODAY(),"Review - future response date","")</f>
        <v/>
      </c>
    </row>
    <row r="469" spans="1:12" x14ac:dyDescent="0.25">
      <c r="A469" s="3" t="s">
        <v>4158</v>
      </c>
      <c r="B469" s="2" t="s">
        <v>2825</v>
      </c>
      <c r="C469" s="2" t="s">
        <v>3314</v>
      </c>
      <c r="D469" s="2" t="s">
        <v>3315</v>
      </c>
      <c r="E469" s="2" t="s">
        <v>65</v>
      </c>
      <c r="F469" s="15">
        <v>45708</v>
      </c>
      <c r="G469" s="25">
        <v>23.05</v>
      </c>
      <c r="H469" s="2" t="s">
        <v>36</v>
      </c>
      <c r="I469" s="4" t="s">
        <v>3370</v>
      </c>
      <c r="J469" s="2" t="str">
        <f>IF(tb2_CampaignResponses[[#This Row],[Gift_Amount]]&lt;0,"Review - negative amount",IF(tb2_CampaignResponses[[#This Row],[Gift_Amount]]&gt;10000,"Review - unusually large donation",""))</f>
        <v/>
      </c>
      <c r="K469" s="21" t="str">
        <f>IF(tb2_CampaignResponses[[#This Row],[Supporter_ID]]="","Review - no supporter ID","")</f>
        <v/>
      </c>
      <c r="L469" s="21" t="str">
        <f ca="1">IF(tb2_CampaignResponses[[#This Row],[Response_Date]]&gt;TODAY(),"Review - future response date","")</f>
        <v/>
      </c>
    </row>
    <row r="470" spans="1:12" x14ac:dyDescent="0.25">
      <c r="A470" s="3" t="s">
        <v>4159</v>
      </c>
      <c r="B470" s="2" t="s">
        <v>1832</v>
      </c>
      <c r="C470" s="2" t="s">
        <v>3354</v>
      </c>
      <c r="D470" s="2" t="s">
        <v>3355</v>
      </c>
      <c r="E470" s="2" t="s">
        <v>4</v>
      </c>
      <c r="F470" s="15">
        <v>45618</v>
      </c>
      <c r="G470" s="25">
        <v>27.5</v>
      </c>
      <c r="H470" s="2" t="s">
        <v>36</v>
      </c>
      <c r="I470" s="4" t="s">
        <v>3323</v>
      </c>
      <c r="J470" s="2" t="str">
        <f>IF(tb2_CampaignResponses[[#This Row],[Gift_Amount]]&lt;0,"Review - negative amount",IF(tb2_CampaignResponses[[#This Row],[Gift_Amount]]&gt;10000,"Review - unusually large donation",""))</f>
        <v/>
      </c>
      <c r="K470" s="21" t="str">
        <f>IF(tb2_CampaignResponses[[#This Row],[Supporter_ID]]="","Review - no supporter ID","")</f>
        <v/>
      </c>
      <c r="L470" s="21" t="str">
        <f ca="1">IF(tb2_CampaignResponses[[#This Row],[Response_Date]]&gt;TODAY(),"Review - future response date","")</f>
        <v/>
      </c>
    </row>
    <row r="471" spans="1:12" x14ac:dyDescent="0.25">
      <c r="A471" s="3" t="s">
        <v>4160</v>
      </c>
      <c r="B471" s="2" t="s">
        <v>2136</v>
      </c>
      <c r="C471" s="2" t="s">
        <v>3354</v>
      </c>
      <c r="D471" s="2" t="s">
        <v>3355</v>
      </c>
      <c r="E471" s="2" t="s">
        <v>65</v>
      </c>
      <c r="F471" s="15">
        <v>45618</v>
      </c>
      <c r="G471" s="25">
        <v>195.03</v>
      </c>
      <c r="H471" s="2" t="s">
        <v>36</v>
      </c>
      <c r="I471" s="4" t="s">
        <v>3328</v>
      </c>
      <c r="J471" s="2" t="str">
        <f>IF(tb2_CampaignResponses[[#This Row],[Gift_Amount]]&lt;0,"Review - negative amount",IF(tb2_CampaignResponses[[#This Row],[Gift_Amount]]&gt;10000,"Review - unusually large donation",""))</f>
        <v/>
      </c>
      <c r="K471" s="21" t="str">
        <f>IF(tb2_CampaignResponses[[#This Row],[Supporter_ID]]="","Review - no supporter ID","")</f>
        <v/>
      </c>
      <c r="L471" s="21" t="str">
        <f ca="1">IF(tb2_CampaignResponses[[#This Row],[Response_Date]]&gt;TODAY(),"Review - future response date","")</f>
        <v/>
      </c>
    </row>
    <row r="472" spans="1:12" x14ac:dyDescent="0.25">
      <c r="A472" s="3" t="s">
        <v>4161</v>
      </c>
      <c r="B472" s="2" t="s">
        <v>1255</v>
      </c>
      <c r="C472" s="2" t="s">
        <v>3341</v>
      </c>
      <c r="D472" s="2" t="s">
        <v>3342</v>
      </c>
      <c r="E472" s="2" t="s">
        <v>3316</v>
      </c>
      <c r="F472" s="15">
        <v>45764</v>
      </c>
      <c r="G472" s="25">
        <v>1810.36</v>
      </c>
      <c r="H472" s="2" t="s">
        <v>36</v>
      </c>
      <c r="I472" s="4" t="s">
        <v>3385</v>
      </c>
      <c r="J472" s="2" t="str">
        <f>IF(tb2_CampaignResponses[[#This Row],[Gift_Amount]]&lt;0,"Review - negative amount",IF(tb2_CampaignResponses[[#This Row],[Gift_Amount]]&gt;10000,"Review - unusually large donation",""))</f>
        <v/>
      </c>
      <c r="K472" s="21" t="str">
        <f>IF(tb2_CampaignResponses[[#This Row],[Supporter_ID]]="","Review - no supporter ID","")</f>
        <v/>
      </c>
      <c r="L472" s="21" t="str">
        <f ca="1">IF(tb2_CampaignResponses[[#This Row],[Response_Date]]&gt;TODAY(),"Review - future response date","")</f>
        <v/>
      </c>
    </row>
    <row r="473" spans="1:12" x14ac:dyDescent="0.25">
      <c r="A473" s="3" t="s">
        <v>4163</v>
      </c>
      <c r="B473" s="2" t="s">
        <v>2934</v>
      </c>
      <c r="C473" s="2" t="s">
        <v>3320</v>
      </c>
      <c r="D473" s="2" t="s">
        <v>3321</v>
      </c>
      <c r="E473" s="2" t="s">
        <v>65</v>
      </c>
      <c r="F473" s="15">
        <v>45465</v>
      </c>
      <c r="G473" s="25">
        <v>14.7</v>
      </c>
      <c r="H473" s="2" t="s">
        <v>37</v>
      </c>
      <c r="I473" s="4" t="s">
        <v>3328</v>
      </c>
      <c r="J473" s="2" t="str">
        <f>IF(tb2_CampaignResponses[[#This Row],[Gift_Amount]]&lt;0,"Review - negative amount",IF(tb2_CampaignResponses[[#This Row],[Gift_Amount]]&gt;10000,"Review - unusually large donation",""))</f>
        <v/>
      </c>
      <c r="K473" s="21" t="str">
        <f>IF(tb2_CampaignResponses[[#This Row],[Supporter_ID]]="","Review - no supporter ID","")</f>
        <v/>
      </c>
      <c r="L473" s="21" t="str">
        <f ca="1">IF(tb2_CampaignResponses[[#This Row],[Response_Date]]&gt;TODAY(),"Review - future response date","")</f>
        <v/>
      </c>
    </row>
    <row r="474" spans="1:12" x14ac:dyDescent="0.25">
      <c r="A474" s="3" t="s">
        <v>4165</v>
      </c>
      <c r="B474" s="2" t="s">
        <v>1921</v>
      </c>
      <c r="C474" s="2" t="s">
        <v>3427</v>
      </c>
      <c r="D474" s="2" t="s">
        <v>3428</v>
      </c>
      <c r="E474" s="2" t="s">
        <v>4</v>
      </c>
      <c r="F474" s="15">
        <v>45488</v>
      </c>
      <c r="G474" s="25">
        <v>209.47</v>
      </c>
      <c r="H474" s="2" t="s">
        <v>37</v>
      </c>
      <c r="I474" s="4" t="s">
        <v>3323</v>
      </c>
      <c r="J474" s="2" t="str">
        <f>IF(tb2_CampaignResponses[[#This Row],[Gift_Amount]]&lt;0,"Review - negative amount",IF(tb2_CampaignResponses[[#This Row],[Gift_Amount]]&gt;10000,"Review - unusually large donation",""))</f>
        <v/>
      </c>
      <c r="K474" s="21" t="str">
        <f>IF(tb2_CampaignResponses[[#This Row],[Supporter_ID]]="","Review - no supporter ID","")</f>
        <v/>
      </c>
      <c r="L474" s="21" t="str">
        <f ca="1">IF(tb2_CampaignResponses[[#This Row],[Response_Date]]&gt;TODAY(),"Review - future response date","")</f>
        <v/>
      </c>
    </row>
    <row r="475" spans="1:12" x14ac:dyDescent="0.25">
      <c r="A475" s="3" t="s">
        <v>4166</v>
      </c>
      <c r="B475" s="2" t="s">
        <v>2876</v>
      </c>
      <c r="C475" s="2" t="s">
        <v>3367</v>
      </c>
      <c r="D475" s="2" t="s">
        <v>3368</v>
      </c>
      <c r="E475" s="2" t="s">
        <v>65</v>
      </c>
      <c r="F475" s="15">
        <v>45725</v>
      </c>
      <c r="G475" s="25">
        <v>91.25</v>
      </c>
      <c r="H475" s="2" t="s">
        <v>36</v>
      </c>
      <c r="I475" s="4" t="s">
        <v>3331</v>
      </c>
      <c r="J475" s="2" t="str">
        <f>IF(tb2_CampaignResponses[[#This Row],[Gift_Amount]]&lt;0,"Review - negative amount",IF(tb2_CampaignResponses[[#This Row],[Gift_Amount]]&gt;10000,"Review - unusually large donation",""))</f>
        <v/>
      </c>
      <c r="K475" s="21" t="str">
        <f>IF(tb2_CampaignResponses[[#This Row],[Supporter_ID]]="","Review - no supporter ID","")</f>
        <v/>
      </c>
      <c r="L475" s="21" t="str">
        <f ca="1">IF(tb2_CampaignResponses[[#This Row],[Response_Date]]&gt;TODAY(),"Review - future response date","")</f>
        <v/>
      </c>
    </row>
    <row r="476" spans="1:12" x14ac:dyDescent="0.25">
      <c r="A476" s="3" t="s">
        <v>4168</v>
      </c>
      <c r="B476" s="2" t="s">
        <v>1141</v>
      </c>
      <c r="C476" s="2" t="s">
        <v>3341</v>
      </c>
      <c r="D476" s="2" t="s">
        <v>3342</v>
      </c>
      <c r="E476" s="2" t="s">
        <v>3316</v>
      </c>
      <c r="F476" s="15">
        <v>45698</v>
      </c>
      <c r="G476" s="25">
        <v>21.57</v>
      </c>
      <c r="H476" s="2" t="s">
        <v>36</v>
      </c>
      <c r="I476" s="4" t="s">
        <v>3334</v>
      </c>
      <c r="J476" s="2" t="str">
        <f>IF(tb2_CampaignResponses[[#This Row],[Gift_Amount]]&lt;0,"Review - negative amount",IF(tb2_CampaignResponses[[#This Row],[Gift_Amount]]&gt;10000,"Review - unusually large donation",""))</f>
        <v/>
      </c>
      <c r="K476" s="21" t="str">
        <f>IF(tb2_CampaignResponses[[#This Row],[Supporter_ID]]="","Review - no supporter ID","")</f>
        <v/>
      </c>
      <c r="L476" s="21" t="str">
        <f ca="1">IF(tb2_CampaignResponses[[#This Row],[Response_Date]]&gt;TODAY(),"Review - future response date","")</f>
        <v/>
      </c>
    </row>
    <row r="477" spans="1:12" x14ac:dyDescent="0.25">
      <c r="A477" s="3" t="s">
        <v>4170</v>
      </c>
      <c r="B477" s="2" t="s">
        <v>447</v>
      </c>
      <c r="C477" s="2" t="s">
        <v>3325</v>
      </c>
      <c r="D477" s="2" t="s">
        <v>3326</v>
      </c>
      <c r="E477" s="2" t="s">
        <v>3338</v>
      </c>
      <c r="F477" s="15">
        <v>45639</v>
      </c>
      <c r="G477" s="25">
        <v>301.33</v>
      </c>
      <c r="H477" s="2" t="s">
        <v>36</v>
      </c>
      <c r="I477" s="4" t="s">
        <v>3323</v>
      </c>
      <c r="J477" s="2" t="str">
        <f>IF(tb2_CampaignResponses[[#This Row],[Gift_Amount]]&lt;0,"Review - negative amount",IF(tb2_CampaignResponses[[#This Row],[Gift_Amount]]&gt;10000,"Review - unusually large donation",""))</f>
        <v/>
      </c>
      <c r="K477" s="21" t="str">
        <f>IF(tb2_CampaignResponses[[#This Row],[Supporter_ID]]="","Review - no supporter ID","")</f>
        <v/>
      </c>
      <c r="L477" s="21" t="str">
        <f ca="1">IF(tb2_CampaignResponses[[#This Row],[Response_Date]]&gt;TODAY(),"Review - future response date","")</f>
        <v/>
      </c>
    </row>
    <row r="478" spans="1:12" x14ac:dyDescent="0.25">
      <c r="A478" s="3" t="s">
        <v>4171</v>
      </c>
      <c r="B478" s="2" t="s">
        <v>3266</v>
      </c>
      <c r="C478" s="2" t="s">
        <v>3341</v>
      </c>
      <c r="D478" s="2" t="s">
        <v>3342</v>
      </c>
      <c r="E478" s="2" t="s">
        <v>3316</v>
      </c>
      <c r="F478" s="15">
        <v>45697</v>
      </c>
      <c r="G478" s="25">
        <v>60.76</v>
      </c>
      <c r="H478" s="2" t="s">
        <v>37</v>
      </c>
      <c r="I478" s="4" t="s">
        <v>3385</v>
      </c>
      <c r="J478" s="2" t="str">
        <f>IF(tb2_CampaignResponses[[#This Row],[Gift_Amount]]&lt;0,"Review - negative amount",IF(tb2_CampaignResponses[[#This Row],[Gift_Amount]]&gt;10000,"Review - unusually large donation",""))</f>
        <v/>
      </c>
      <c r="K478" s="21" t="str">
        <f>IF(tb2_CampaignResponses[[#This Row],[Supporter_ID]]="","Review - no supporter ID","")</f>
        <v/>
      </c>
      <c r="L478" s="21" t="str">
        <f ca="1">IF(tb2_CampaignResponses[[#This Row],[Response_Date]]&gt;TODAY(),"Review - future response date","")</f>
        <v/>
      </c>
    </row>
    <row r="479" spans="1:12" x14ac:dyDescent="0.25">
      <c r="A479" s="3" t="s">
        <v>4173</v>
      </c>
      <c r="B479" s="2" t="s">
        <v>471</v>
      </c>
      <c r="C479" s="2" t="s">
        <v>3367</v>
      </c>
      <c r="D479" s="2" t="s">
        <v>3368</v>
      </c>
      <c r="E479" s="2" t="s">
        <v>65</v>
      </c>
      <c r="F479" s="15">
        <v>45766</v>
      </c>
      <c r="G479" s="25">
        <v>309.22000000000003</v>
      </c>
      <c r="H479" s="2" t="s">
        <v>37</v>
      </c>
      <c r="I479" s="4" t="s">
        <v>3331</v>
      </c>
      <c r="J479" s="2" t="str">
        <f>IF(tb2_CampaignResponses[[#This Row],[Gift_Amount]]&lt;0,"Review - negative amount",IF(tb2_CampaignResponses[[#This Row],[Gift_Amount]]&gt;10000,"Review - unusually large donation",""))</f>
        <v/>
      </c>
      <c r="K479" s="21" t="str">
        <f>IF(tb2_CampaignResponses[[#This Row],[Supporter_ID]]="","Review - no supporter ID","")</f>
        <v/>
      </c>
      <c r="L479" s="21" t="str">
        <f ca="1">IF(tb2_CampaignResponses[[#This Row],[Response_Date]]&gt;TODAY(),"Review - future response date","")</f>
        <v/>
      </c>
    </row>
    <row r="480" spans="1:12" x14ac:dyDescent="0.25">
      <c r="A480" s="3" t="s">
        <v>4175</v>
      </c>
      <c r="B480" s="2" t="s">
        <v>2717</v>
      </c>
      <c r="C480" s="2" t="s">
        <v>3325</v>
      </c>
      <c r="D480" s="2" t="s">
        <v>3326</v>
      </c>
      <c r="E480" s="2" t="s">
        <v>65</v>
      </c>
      <c r="F480" s="15">
        <v>45613</v>
      </c>
      <c r="G480" s="25">
        <v>120.88</v>
      </c>
      <c r="H480" s="2" t="s">
        <v>37</v>
      </c>
      <c r="I480" s="4" t="s">
        <v>3365</v>
      </c>
      <c r="J480" s="2" t="str">
        <f>IF(tb2_CampaignResponses[[#This Row],[Gift_Amount]]&lt;0,"Review - negative amount",IF(tb2_CampaignResponses[[#This Row],[Gift_Amount]]&gt;10000,"Review - unusually large donation",""))</f>
        <v/>
      </c>
      <c r="K480" s="21" t="str">
        <f>IF(tb2_CampaignResponses[[#This Row],[Supporter_ID]]="","Review - no supporter ID","")</f>
        <v/>
      </c>
      <c r="L480" s="21" t="str">
        <f ca="1">IF(tb2_CampaignResponses[[#This Row],[Response_Date]]&gt;TODAY(),"Review - future response date","")</f>
        <v/>
      </c>
    </row>
    <row r="481" spans="1:12" x14ac:dyDescent="0.25">
      <c r="A481" s="3" t="s">
        <v>4177</v>
      </c>
      <c r="B481" s="2" t="s">
        <v>3193</v>
      </c>
      <c r="C481" s="2" t="s">
        <v>3354</v>
      </c>
      <c r="D481" s="2" t="s">
        <v>3355</v>
      </c>
      <c r="E481" s="2" t="s">
        <v>65</v>
      </c>
      <c r="F481" s="15">
        <v>45618</v>
      </c>
      <c r="G481" s="25">
        <v>12.17</v>
      </c>
      <c r="H481" s="2" t="s">
        <v>36</v>
      </c>
      <c r="I481" s="4" t="s">
        <v>3328</v>
      </c>
      <c r="J481" s="2" t="str">
        <f>IF(tb2_CampaignResponses[[#This Row],[Gift_Amount]]&lt;0,"Review - negative amount",IF(tb2_CampaignResponses[[#This Row],[Gift_Amount]]&gt;10000,"Review - unusually large donation",""))</f>
        <v/>
      </c>
      <c r="K481" s="21" t="str">
        <f>IF(tb2_CampaignResponses[[#This Row],[Supporter_ID]]="","Review - no supporter ID","")</f>
        <v/>
      </c>
      <c r="L481" s="21" t="str">
        <f ca="1">IF(tb2_CampaignResponses[[#This Row],[Response_Date]]&gt;TODAY(),"Review - future response date","")</f>
        <v/>
      </c>
    </row>
    <row r="482" spans="1:12" x14ac:dyDescent="0.25">
      <c r="A482" s="3" t="s">
        <v>4178</v>
      </c>
      <c r="B482" s="2" t="s">
        <v>2704</v>
      </c>
      <c r="C482" s="2" t="s">
        <v>3341</v>
      </c>
      <c r="D482" s="2" t="s">
        <v>3342</v>
      </c>
      <c r="E482" s="2" t="s">
        <v>4</v>
      </c>
      <c r="F482" s="15">
        <v>45716</v>
      </c>
      <c r="G482" s="25">
        <v>43.37</v>
      </c>
      <c r="H482" s="2" t="s">
        <v>36</v>
      </c>
      <c r="I482" s="4" t="s">
        <v>3334</v>
      </c>
      <c r="J482" s="2" t="str">
        <f>IF(tb2_CampaignResponses[[#This Row],[Gift_Amount]]&lt;0,"Review - negative amount",IF(tb2_CampaignResponses[[#This Row],[Gift_Amount]]&gt;10000,"Review - unusually large donation",""))</f>
        <v/>
      </c>
      <c r="K482" s="21" t="str">
        <f>IF(tb2_CampaignResponses[[#This Row],[Supporter_ID]]="","Review - no supporter ID","")</f>
        <v/>
      </c>
      <c r="L482" s="21" t="str">
        <f ca="1">IF(tb2_CampaignResponses[[#This Row],[Response_Date]]&gt;TODAY(),"Review - future response date","")</f>
        <v/>
      </c>
    </row>
    <row r="483" spans="1:12" x14ac:dyDescent="0.25">
      <c r="A483" s="3" t="s">
        <v>4180</v>
      </c>
      <c r="B483" s="2" t="s">
        <v>1695</v>
      </c>
      <c r="C483" s="2" t="s">
        <v>3325</v>
      </c>
      <c r="D483" s="2" t="s">
        <v>3326</v>
      </c>
      <c r="E483" s="2" t="s">
        <v>4</v>
      </c>
      <c r="F483" s="15">
        <v>45644</v>
      </c>
      <c r="G483" s="25">
        <v>257.43</v>
      </c>
      <c r="H483" s="2" t="s">
        <v>36</v>
      </c>
      <c r="I483" s="4" t="s">
        <v>3334</v>
      </c>
      <c r="J483" s="2" t="str">
        <f>IF(tb2_CampaignResponses[[#This Row],[Gift_Amount]]&lt;0,"Review - negative amount",IF(tb2_CampaignResponses[[#This Row],[Gift_Amount]]&gt;10000,"Review - unusually large donation",""))</f>
        <v/>
      </c>
      <c r="K483" s="21" t="str">
        <f>IF(tb2_CampaignResponses[[#This Row],[Supporter_ID]]="","Review - no supporter ID","")</f>
        <v/>
      </c>
      <c r="L483" s="21" t="str">
        <f ca="1">IF(tb2_CampaignResponses[[#This Row],[Response_Date]]&gt;TODAY(),"Review - future response date","")</f>
        <v/>
      </c>
    </row>
    <row r="484" spans="1:12" x14ac:dyDescent="0.25">
      <c r="A484" s="3" t="s">
        <v>4182</v>
      </c>
      <c r="B484" s="2" t="s">
        <v>1538</v>
      </c>
      <c r="C484" s="2" t="s">
        <v>3314</v>
      </c>
      <c r="D484" s="2" t="s">
        <v>3315</v>
      </c>
      <c r="E484" s="2" t="s">
        <v>65</v>
      </c>
      <c r="F484" s="15">
        <v>45745</v>
      </c>
      <c r="G484" s="25">
        <v>26.64</v>
      </c>
      <c r="H484" s="2" t="s">
        <v>37</v>
      </c>
      <c r="I484" s="4" t="s">
        <v>3385</v>
      </c>
      <c r="J484" s="2" t="str">
        <f>IF(tb2_CampaignResponses[[#This Row],[Gift_Amount]]&lt;0,"Review - negative amount",IF(tb2_CampaignResponses[[#This Row],[Gift_Amount]]&gt;10000,"Review - unusually large donation",""))</f>
        <v/>
      </c>
      <c r="K484" s="21" t="str">
        <f>IF(tb2_CampaignResponses[[#This Row],[Supporter_ID]]="","Review - no supporter ID","")</f>
        <v/>
      </c>
      <c r="L484" s="21" t="str">
        <f ca="1">IF(tb2_CampaignResponses[[#This Row],[Response_Date]]&gt;TODAY(),"Review - future response date","")</f>
        <v/>
      </c>
    </row>
    <row r="485" spans="1:12" x14ac:dyDescent="0.25">
      <c r="A485" s="3" t="s">
        <v>4184</v>
      </c>
      <c r="B485" s="2" t="s">
        <v>2997</v>
      </c>
      <c r="C485" s="2" t="s">
        <v>3314</v>
      </c>
      <c r="D485" s="2" t="s">
        <v>3315</v>
      </c>
      <c r="E485" s="2" t="s">
        <v>33</v>
      </c>
      <c r="F485" s="15">
        <v>45690</v>
      </c>
      <c r="G485" s="25">
        <v>9.49</v>
      </c>
      <c r="H485" s="2" t="s">
        <v>37</v>
      </c>
      <c r="I485" s="4" t="s">
        <v>3318</v>
      </c>
      <c r="J485" s="2" t="str">
        <f>IF(tb2_CampaignResponses[[#This Row],[Gift_Amount]]&lt;0,"Review - negative amount",IF(tb2_CampaignResponses[[#This Row],[Gift_Amount]]&gt;10000,"Review - unusually large donation",""))</f>
        <v/>
      </c>
      <c r="K485" s="21" t="str">
        <f>IF(tb2_CampaignResponses[[#This Row],[Supporter_ID]]="","Review - no supporter ID","")</f>
        <v/>
      </c>
      <c r="L485" s="21" t="str">
        <f ca="1">IF(tb2_CampaignResponses[[#This Row],[Response_Date]]&gt;TODAY(),"Review - future response date","")</f>
        <v/>
      </c>
    </row>
    <row r="486" spans="1:12" x14ac:dyDescent="0.25">
      <c r="A486" s="3" t="s">
        <v>4186</v>
      </c>
      <c r="B486" s="2" t="s">
        <v>3026</v>
      </c>
      <c r="C486" s="2" t="s">
        <v>3325</v>
      </c>
      <c r="D486" s="2" t="s">
        <v>3326</v>
      </c>
      <c r="E486" s="2" t="s">
        <v>4</v>
      </c>
      <c r="F486" s="15">
        <v>45643</v>
      </c>
      <c r="G486" s="25">
        <v>33.83</v>
      </c>
      <c r="H486" s="2" t="s">
        <v>36</v>
      </c>
      <c r="I486" s="4" t="s">
        <v>3370</v>
      </c>
      <c r="J486" s="2" t="str">
        <f>IF(tb2_CampaignResponses[[#This Row],[Gift_Amount]]&lt;0,"Review - negative amount",IF(tb2_CampaignResponses[[#This Row],[Gift_Amount]]&gt;10000,"Review - unusually large donation",""))</f>
        <v/>
      </c>
      <c r="K486" s="21" t="str">
        <f>IF(tb2_CampaignResponses[[#This Row],[Supporter_ID]]="","Review - no supporter ID","")</f>
        <v/>
      </c>
      <c r="L486" s="21" t="str">
        <f ca="1">IF(tb2_CampaignResponses[[#This Row],[Response_Date]]&gt;TODAY(),"Review - future response date","")</f>
        <v/>
      </c>
    </row>
    <row r="487" spans="1:12" x14ac:dyDescent="0.25">
      <c r="A487" s="3" t="s">
        <v>4188</v>
      </c>
      <c r="B487" s="2" t="s">
        <v>2405</v>
      </c>
      <c r="C487" s="2" t="s">
        <v>3314</v>
      </c>
      <c r="D487" s="2" t="s">
        <v>3315</v>
      </c>
      <c r="E487" s="2" t="s">
        <v>65</v>
      </c>
      <c r="F487" s="15">
        <v>45718</v>
      </c>
      <c r="G487" s="25">
        <v>2889.71</v>
      </c>
      <c r="H487" s="2" t="s">
        <v>37</v>
      </c>
      <c r="I487" s="4" t="s">
        <v>3334</v>
      </c>
      <c r="J487" s="2" t="str">
        <f>IF(tb2_CampaignResponses[[#This Row],[Gift_Amount]]&lt;0,"Review - negative amount",IF(tb2_CampaignResponses[[#This Row],[Gift_Amount]]&gt;10000,"Review - unusually large donation",""))</f>
        <v/>
      </c>
      <c r="K487" s="21" t="str">
        <f>IF(tb2_CampaignResponses[[#This Row],[Supporter_ID]]="","Review - no supporter ID","")</f>
        <v/>
      </c>
      <c r="L487" s="21" t="str">
        <f ca="1">IF(tb2_CampaignResponses[[#This Row],[Response_Date]]&gt;TODAY(),"Review - future response date","")</f>
        <v/>
      </c>
    </row>
    <row r="488" spans="1:12" x14ac:dyDescent="0.25">
      <c r="A488" s="3" t="s">
        <v>4190</v>
      </c>
      <c r="B488" s="2" t="s">
        <v>1392</v>
      </c>
      <c r="C488" s="2" t="s">
        <v>3320</v>
      </c>
      <c r="D488" s="2" t="s">
        <v>3321</v>
      </c>
      <c r="E488" s="2" t="s">
        <v>4</v>
      </c>
      <c r="F488" s="15">
        <v>45459</v>
      </c>
      <c r="G488" s="25">
        <v>156.77000000000001</v>
      </c>
      <c r="H488" s="2" t="s">
        <v>37</v>
      </c>
      <c r="I488" s="4" t="s">
        <v>3385</v>
      </c>
      <c r="J488" s="2" t="str">
        <f>IF(tb2_CampaignResponses[[#This Row],[Gift_Amount]]&lt;0,"Review - negative amount",IF(tb2_CampaignResponses[[#This Row],[Gift_Amount]]&gt;10000,"Review - unusually large donation",""))</f>
        <v/>
      </c>
      <c r="K488" s="21" t="str">
        <f>IF(tb2_CampaignResponses[[#This Row],[Supporter_ID]]="","Review - no supporter ID","")</f>
        <v/>
      </c>
      <c r="L488" s="21" t="str">
        <f ca="1">IF(tb2_CampaignResponses[[#This Row],[Response_Date]]&gt;TODAY(),"Review - future response date","")</f>
        <v/>
      </c>
    </row>
    <row r="489" spans="1:12" x14ac:dyDescent="0.25">
      <c r="A489" s="3" t="s">
        <v>4193</v>
      </c>
      <c r="B489" s="2" t="s">
        <v>1380</v>
      </c>
      <c r="C489" s="2" t="s">
        <v>3367</v>
      </c>
      <c r="D489" s="2" t="s">
        <v>3368</v>
      </c>
      <c r="E489" s="2" t="s">
        <v>4</v>
      </c>
      <c r="F489" s="15">
        <v>45761</v>
      </c>
      <c r="G489" s="25">
        <v>164.2</v>
      </c>
      <c r="H489" s="2" t="s">
        <v>37</v>
      </c>
      <c r="I489" s="4" t="s">
        <v>3334</v>
      </c>
      <c r="J489" s="2" t="str">
        <f>IF(tb2_CampaignResponses[[#This Row],[Gift_Amount]]&lt;0,"Review - negative amount",IF(tb2_CampaignResponses[[#This Row],[Gift_Amount]]&gt;10000,"Review - unusually large donation",""))</f>
        <v/>
      </c>
      <c r="K489" s="21" t="str">
        <f>IF(tb2_CampaignResponses[[#This Row],[Supporter_ID]]="","Review - no supporter ID","")</f>
        <v/>
      </c>
      <c r="L489" s="21" t="str">
        <f ca="1">IF(tb2_CampaignResponses[[#This Row],[Response_Date]]&gt;TODAY(),"Review - future response date","")</f>
        <v/>
      </c>
    </row>
    <row r="490" spans="1:12" x14ac:dyDescent="0.25">
      <c r="A490" s="3" t="s">
        <v>4195</v>
      </c>
      <c r="B490" s="2" t="s">
        <v>680</v>
      </c>
      <c r="C490" s="2" t="s">
        <v>3341</v>
      </c>
      <c r="D490" s="2" t="s">
        <v>3342</v>
      </c>
      <c r="E490" s="2" t="s">
        <v>3316</v>
      </c>
      <c r="F490" s="15">
        <v>45760</v>
      </c>
      <c r="G490" s="25">
        <v>29.93</v>
      </c>
      <c r="H490" s="2" t="s">
        <v>37</v>
      </c>
      <c r="I490" s="4" t="s">
        <v>3328</v>
      </c>
      <c r="J490" s="2" t="str">
        <f>IF(tb2_CampaignResponses[[#This Row],[Gift_Amount]]&lt;0,"Review - negative amount",IF(tb2_CampaignResponses[[#This Row],[Gift_Amount]]&gt;10000,"Review - unusually large donation",""))</f>
        <v/>
      </c>
      <c r="K490" s="21" t="str">
        <f>IF(tb2_CampaignResponses[[#This Row],[Supporter_ID]]="","Review - no supporter ID","")</f>
        <v/>
      </c>
      <c r="L490" s="21" t="str">
        <f ca="1">IF(tb2_CampaignResponses[[#This Row],[Response_Date]]&gt;TODAY(),"Review - future response date","")</f>
        <v/>
      </c>
    </row>
    <row r="491" spans="1:12" x14ac:dyDescent="0.25">
      <c r="A491" s="3" t="s">
        <v>4196</v>
      </c>
      <c r="B491" s="2" t="s">
        <v>2427</v>
      </c>
      <c r="C491" s="2" t="s">
        <v>3354</v>
      </c>
      <c r="D491" s="2" t="s">
        <v>3355</v>
      </c>
      <c r="E491" s="2" t="s">
        <v>4</v>
      </c>
      <c r="F491" s="15">
        <v>45618</v>
      </c>
      <c r="G491" s="25">
        <v>54.27</v>
      </c>
      <c r="H491" s="2" t="s">
        <v>37</v>
      </c>
      <c r="I491" s="4" t="s">
        <v>3365</v>
      </c>
      <c r="J491" s="2" t="str">
        <f>IF(tb2_CampaignResponses[[#This Row],[Gift_Amount]]&lt;0,"Review - negative amount",IF(tb2_CampaignResponses[[#This Row],[Gift_Amount]]&gt;10000,"Review - unusually large donation",""))</f>
        <v/>
      </c>
      <c r="K491" s="21" t="str">
        <f>IF(tb2_CampaignResponses[[#This Row],[Supporter_ID]]="","Review - no supporter ID","")</f>
        <v/>
      </c>
      <c r="L491" s="21" t="str">
        <f ca="1">IF(tb2_CampaignResponses[[#This Row],[Response_Date]]&gt;TODAY(),"Review - future response date","")</f>
        <v/>
      </c>
    </row>
    <row r="492" spans="1:12" x14ac:dyDescent="0.25">
      <c r="A492" s="3" t="s">
        <v>4197</v>
      </c>
      <c r="B492" s="2" t="s">
        <v>1939</v>
      </c>
      <c r="C492" s="2" t="s">
        <v>3362</v>
      </c>
      <c r="D492" s="2" t="s">
        <v>3363</v>
      </c>
      <c r="E492" s="2" t="s">
        <v>65</v>
      </c>
      <c r="F492" s="15">
        <v>45576</v>
      </c>
      <c r="G492" s="25">
        <v>110.42</v>
      </c>
      <c r="H492" s="2" t="s">
        <v>36</v>
      </c>
      <c r="I492" s="4" t="s">
        <v>3334</v>
      </c>
      <c r="J492" s="2" t="str">
        <f>IF(tb2_CampaignResponses[[#This Row],[Gift_Amount]]&lt;0,"Review - negative amount",IF(tb2_CampaignResponses[[#This Row],[Gift_Amount]]&gt;10000,"Review - unusually large donation",""))</f>
        <v/>
      </c>
      <c r="K492" s="21" t="str">
        <f>IF(tb2_CampaignResponses[[#This Row],[Supporter_ID]]="","Review - no supporter ID","")</f>
        <v/>
      </c>
      <c r="L492" s="21" t="str">
        <f ca="1">IF(tb2_CampaignResponses[[#This Row],[Response_Date]]&gt;TODAY(),"Review - future response date","")</f>
        <v/>
      </c>
    </row>
    <row r="493" spans="1:12" x14ac:dyDescent="0.25">
      <c r="A493" s="3" t="s">
        <v>4198</v>
      </c>
      <c r="B493" s="2" t="s">
        <v>717</v>
      </c>
      <c r="C493" s="2" t="s">
        <v>3362</v>
      </c>
      <c r="D493" s="2" t="s">
        <v>3363</v>
      </c>
      <c r="E493" s="2" t="s">
        <v>65</v>
      </c>
      <c r="F493" s="15">
        <v>45578</v>
      </c>
      <c r="G493" s="25">
        <v>70.92</v>
      </c>
      <c r="H493" s="2" t="s">
        <v>37</v>
      </c>
      <c r="I493" s="4" t="s">
        <v>3385</v>
      </c>
      <c r="J493" s="2" t="str">
        <f>IF(tb2_CampaignResponses[[#This Row],[Gift_Amount]]&lt;0,"Review - negative amount",IF(tb2_CampaignResponses[[#This Row],[Gift_Amount]]&gt;10000,"Review - unusually large donation",""))</f>
        <v/>
      </c>
      <c r="K493" s="21" t="str">
        <f>IF(tb2_CampaignResponses[[#This Row],[Supporter_ID]]="","Review - no supporter ID","")</f>
        <v/>
      </c>
      <c r="L493" s="21" t="str">
        <f ca="1">IF(tb2_CampaignResponses[[#This Row],[Response_Date]]&gt;TODAY(),"Review - future response date","")</f>
        <v/>
      </c>
    </row>
    <row r="494" spans="1:12" x14ac:dyDescent="0.25">
      <c r="A494" s="3" t="s">
        <v>4199</v>
      </c>
      <c r="B494" s="2" t="s">
        <v>927</v>
      </c>
      <c r="C494" s="2" t="s">
        <v>3325</v>
      </c>
      <c r="D494" s="2" t="s">
        <v>3326</v>
      </c>
      <c r="E494" s="2" t="s">
        <v>3338</v>
      </c>
      <c r="F494" s="15">
        <v>45601</v>
      </c>
      <c r="G494" s="25">
        <v>4503.8500000000004</v>
      </c>
      <c r="H494" s="2" t="s">
        <v>37</v>
      </c>
      <c r="I494" s="4" t="s">
        <v>3328</v>
      </c>
      <c r="J494" s="2" t="str">
        <f>IF(tb2_CampaignResponses[[#This Row],[Gift_Amount]]&lt;0,"Review - negative amount",IF(tb2_CampaignResponses[[#This Row],[Gift_Amount]]&gt;10000,"Review - unusually large donation",""))</f>
        <v/>
      </c>
      <c r="K494" s="21" t="str">
        <f>IF(tb2_CampaignResponses[[#This Row],[Supporter_ID]]="","Review - no supporter ID","")</f>
        <v/>
      </c>
      <c r="L494" s="21" t="str">
        <f ca="1">IF(tb2_CampaignResponses[[#This Row],[Response_Date]]&gt;TODAY(),"Review - future response date","")</f>
        <v/>
      </c>
    </row>
    <row r="495" spans="1:12" x14ac:dyDescent="0.25">
      <c r="A495" s="3" t="s">
        <v>4201</v>
      </c>
      <c r="B495" s="2" t="s">
        <v>1597</v>
      </c>
      <c r="C495" s="2" t="s">
        <v>3341</v>
      </c>
      <c r="D495" s="2" t="s">
        <v>3342</v>
      </c>
      <c r="E495" s="2" t="s">
        <v>91</v>
      </c>
      <c r="F495" s="15">
        <v>45706</v>
      </c>
      <c r="G495" s="25">
        <v>44.32</v>
      </c>
      <c r="H495" s="2" t="s">
        <v>37</v>
      </c>
      <c r="I495" s="4" t="s">
        <v>3370</v>
      </c>
      <c r="J495" s="2" t="str">
        <f>IF(tb2_CampaignResponses[[#This Row],[Gift_Amount]]&lt;0,"Review - negative amount",IF(tb2_CampaignResponses[[#This Row],[Gift_Amount]]&gt;10000,"Review - unusually large donation",""))</f>
        <v/>
      </c>
      <c r="K495" s="21" t="str">
        <f>IF(tb2_CampaignResponses[[#This Row],[Supporter_ID]]="","Review - no supporter ID","")</f>
        <v/>
      </c>
      <c r="L495" s="21" t="str">
        <f ca="1">IF(tb2_CampaignResponses[[#This Row],[Response_Date]]&gt;TODAY(),"Review - future response date","")</f>
        <v/>
      </c>
    </row>
    <row r="496" spans="1:12" x14ac:dyDescent="0.25">
      <c r="A496" s="3" t="s">
        <v>4203</v>
      </c>
      <c r="B496" s="2" t="s">
        <v>2644</v>
      </c>
      <c r="C496" s="2" t="s">
        <v>3354</v>
      </c>
      <c r="D496" s="2" t="s">
        <v>3355</v>
      </c>
      <c r="E496" s="2" t="s">
        <v>65</v>
      </c>
      <c r="F496" s="15">
        <v>45618</v>
      </c>
      <c r="G496" s="25">
        <v>7.77</v>
      </c>
      <c r="H496" s="2" t="s">
        <v>36</v>
      </c>
      <c r="I496" s="4" t="s">
        <v>3370</v>
      </c>
      <c r="J496" s="2" t="str">
        <f>IF(tb2_CampaignResponses[[#This Row],[Gift_Amount]]&lt;0,"Review - negative amount",IF(tb2_CampaignResponses[[#This Row],[Gift_Amount]]&gt;10000,"Review - unusually large donation",""))</f>
        <v/>
      </c>
      <c r="K496" s="21" t="str">
        <f>IF(tb2_CampaignResponses[[#This Row],[Supporter_ID]]="","Review - no supporter ID","")</f>
        <v/>
      </c>
      <c r="L496" s="21" t="str">
        <f ca="1">IF(tb2_CampaignResponses[[#This Row],[Response_Date]]&gt;TODAY(),"Review - future response date","")</f>
        <v/>
      </c>
    </row>
    <row r="497" spans="1:12" x14ac:dyDescent="0.25">
      <c r="A497" s="3" t="s">
        <v>4204</v>
      </c>
      <c r="B497" s="2" t="s">
        <v>1675</v>
      </c>
      <c r="C497" s="2" t="s">
        <v>3320</v>
      </c>
      <c r="D497" s="2" t="s">
        <v>3321</v>
      </c>
      <c r="E497" s="2" t="s">
        <v>65</v>
      </c>
      <c r="F497" s="15">
        <v>45453</v>
      </c>
      <c r="G497" s="25">
        <v>37.200000000000003</v>
      </c>
      <c r="H497" s="2" t="s">
        <v>36</v>
      </c>
      <c r="I497" s="4" t="s">
        <v>3370</v>
      </c>
      <c r="J497" s="2" t="str">
        <f>IF(tb2_CampaignResponses[[#This Row],[Gift_Amount]]&lt;0,"Review - negative amount",IF(tb2_CampaignResponses[[#This Row],[Gift_Amount]]&gt;10000,"Review - unusually large donation",""))</f>
        <v/>
      </c>
      <c r="K497" s="21" t="str">
        <f>IF(tb2_CampaignResponses[[#This Row],[Supporter_ID]]="","Review - no supporter ID","")</f>
        <v/>
      </c>
      <c r="L497" s="21" t="str">
        <f ca="1">IF(tb2_CampaignResponses[[#This Row],[Response_Date]]&gt;TODAY(),"Review - future response date","")</f>
        <v/>
      </c>
    </row>
    <row r="498" spans="1:12" x14ac:dyDescent="0.25">
      <c r="A498" s="3" t="s">
        <v>4206</v>
      </c>
      <c r="B498" s="2" t="s">
        <v>130</v>
      </c>
      <c r="C498" s="2" t="s">
        <v>3341</v>
      </c>
      <c r="D498" s="2" t="s">
        <v>3342</v>
      </c>
      <c r="E498" s="2" t="s">
        <v>91</v>
      </c>
      <c r="F498" s="15">
        <v>45693</v>
      </c>
      <c r="G498" s="25">
        <v>154</v>
      </c>
      <c r="H498" s="2" t="s">
        <v>37</v>
      </c>
      <c r="I498" s="4" t="s">
        <v>3328</v>
      </c>
      <c r="J498" s="2" t="str">
        <f>IF(tb2_CampaignResponses[[#This Row],[Gift_Amount]]&lt;0,"Review - negative amount",IF(tb2_CampaignResponses[[#This Row],[Gift_Amount]]&gt;10000,"Review - unusually large donation",""))</f>
        <v/>
      </c>
      <c r="K498" s="21" t="str">
        <f>IF(tb2_CampaignResponses[[#This Row],[Supporter_ID]]="","Review - no supporter ID","")</f>
        <v/>
      </c>
      <c r="L498" s="21" t="str">
        <f ca="1">IF(tb2_CampaignResponses[[#This Row],[Response_Date]]&gt;TODAY(),"Review - future response date","")</f>
        <v/>
      </c>
    </row>
    <row r="499" spans="1:12" x14ac:dyDescent="0.25">
      <c r="A499" s="3" t="s">
        <v>4208</v>
      </c>
      <c r="B499" s="2" t="s">
        <v>2940</v>
      </c>
      <c r="C499" s="2" t="s">
        <v>3367</v>
      </c>
      <c r="D499" s="2" t="s">
        <v>3368</v>
      </c>
      <c r="E499" s="2" t="s">
        <v>4</v>
      </c>
      <c r="F499" s="15">
        <v>45718</v>
      </c>
      <c r="G499" s="25">
        <v>62.45</v>
      </c>
      <c r="H499" s="2" t="s">
        <v>37</v>
      </c>
      <c r="I499" s="4" t="s">
        <v>3328</v>
      </c>
      <c r="J499" s="2" t="str">
        <f>IF(tb2_CampaignResponses[[#This Row],[Gift_Amount]]&lt;0,"Review - negative amount",IF(tb2_CampaignResponses[[#This Row],[Gift_Amount]]&gt;10000,"Review - unusually large donation",""))</f>
        <v/>
      </c>
      <c r="K499" s="21" t="str">
        <f>IF(tb2_CampaignResponses[[#This Row],[Supporter_ID]]="","Review - no supporter ID","")</f>
        <v/>
      </c>
      <c r="L499" s="21" t="str">
        <f ca="1">IF(tb2_CampaignResponses[[#This Row],[Response_Date]]&gt;TODAY(),"Review - future response date","")</f>
        <v/>
      </c>
    </row>
    <row r="500" spans="1:12" x14ac:dyDescent="0.25">
      <c r="A500" s="3" t="s">
        <v>4209</v>
      </c>
      <c r="B500" s="2" t="s">
        <v>2609</v>
      </c>
      <c r="C500" s="2" t="s">
        <v>3320</v>
      </c>
      <c r="D500" s="2" t="s">
        <v>3321</v>
      </c>
      <c r="E500" s="2" t="s">
        <v>65</v>
      </c>
      <c r="F500" s="15">
        <v>45471</v>
      </c>
      <c r="G500" s="25">
        <v>20.41</v>
      </c>
      <c r="H500" s="2" t="s">
        <v>36</v>
      </c>
      <c r="I500" s="4" t="s">
        <v>3365</v>
      </c>
      <c r="J500" s="2" t="str">
        <f>IF(tb2_CampaignResponses[[#This Row],[Gift_Amount]]&lt;0,"Review - negative amount",IF(tb2_CampaignResponses[[#This Row],[Gift_Amount]]&gt;10000,"Review - unusually large donation",""))</f>
        <v/>
      </c>
      <c r="K500" s="21" t="str">
        <f>IF(tb2_CampaignResponses[[#This Row],[Supporter_ID]]="","Review - no supporter ID","")</f>
        <v/>
      </c>
      <c r="L500" s="21" t="str">
        <f ca="1">IF(tb2_CampaignResponses[[#This Row],[Response_Date]]&gt;TODAY(),"Review - future response date","")</f>
        <v/>
      </c>
    </row>
    <row r="501" spans="1:12" x14ac:dyDescent="0.25">
      <c r="A501" s="3" t="s">
        <v>4211</v>
      </c>
      <c r="B501" s="2" t="s">
        <v>2657</v>
      </c>
      <c r="C501" s="2" t="s">
        <v>3320</v>
      </c>
      <c r="D501" s="2" t="s">
        <v>3321</v>
      </c>
      <c r="E501" s="2" t="s">
        <v>65</v>
      </c>
      <c r="F501" s="15">
        <v>45464</v>
      </c>
      <c r="G501" s="25">
        <v>19.98</v>
      </c>
      <c r="H501" s="2" t="s">
        <v>36</v>
      </c>
      <c r="I501" s="4" t="s">
        <v>3318</v>
      </c>
      <c r="J501" s="2" t="str">
        <f>IF(tb2_CampaignResponses[[#This Row],[Gift_Amount]]&lt;0,"Review - negative amount",IF(tb2_CampaignResponses[[#This Row],[Gift_Amount]]&gt;10000,"Review - unusually large donation",""))</f>
        <v/>
      </c>
      <c r="K501" s="21" t="str">
        <f>IF(tb2_CampaignResponses[[#This Row],[Supporter_ID]]="","Review - no supporter ID","")</f>
        <v/>
      </c>
      <c r="L501" s="21" t="str">
        <f ca="1">IF(tb2_CampaignResponses[[#This Row],[Response_Date]]&gt;TODAY(),"Review - future response date","")</f>
        <v/>
      </c>
    </row>
    <row r="502" spans="1:12" x14ac:dyDescent="0.25">
      <c r="A502" s="3" t="s">
        <v>4213</v>
      </c>
      <c r="B502" s="2" t="s">
        <v>547</v>
      </c>
      <c r="C502" s="2" t="s">
        <v>3325</v>
      </c>
      <c r="D502" s="2" t="s">
        <v>3326</v>
      </c>
      <c r="E502" s="2" t="s">
        <v>4</v>
      </c>
      <c r="F502" s="15">
        <v>45650</v>
      </c>
      <c r="G502" s="25">
        <v>18.36</v>
      </c>
      <c r="H502" s="2" t="s">
        <v>37</v>
      </c>
      <c r="I502" s="4" t="s">
        <v>3323</v>
      </c>
      <c r="J502" s="2" t="str">
        <f>IF(tb2_CampaignResponses[[#This Row],[Gift_Amount]]&lt;0,"Review - negative amount",IF(tb2_CampaignResponses[[#This Row],[Gift_Amount]]&gt;10000,"Review - unusually large donation",""))</f>
        <v/>
      </c>
      <c r="K502" s="21" t="str">
        <f>IF(tb2_CampaignResponses[[#This Row],[Supporter_ID]]="","Review - no supporter ID","")</f>
        <v/>
      </c>
      <c r="L502" s="21" t="str">
        <f ca="1">IF(tb2_CampaignResponses[[#This Row],[Response_Date]]&gt;TODAY(),"Review - future response date","")</f>
        <v/>
      </c>
    </row>
    <row r="503" spans="1:12" x14ac:dyDescent="0.25">
      <c r="A503" s="3" t="s">
        <v>4215</v>
      </c>
      <c r="B503" s="2" t="s">
        <v>1526</v>
      </c>
      <c r="C503" s="2" t="s">
        <v>3325</v>
      </c>
      <c r="D503" s="2" t="s">
        <v>3326</v>
      </c>
      <c r="E503" s="2" t="s">
        <v>3316</v>
      </c>
      <c r="F503" s="15">
        <v>45622</v>
      </c>
      <c r="G503" s="25">
        <v>128.25</v>
      </c>
      <c r="H503" s="2" t="s">
        <v>36</v>
      </c>
      <c r="I503" s="4" t="s">
        <v>3334</v>
      </c>
      <c r="J503" s="2" t="str">
        <f>IF(tb2_CampaignResponses[[#This Row],[Gift_Amount]]&lt;0,"Review - negative amount",IF(tb2_CampaignResponses[[#This Row],[Gift_Amount]]&gt;10000,"Review - unusually large donation",""))</f>
        <v/>
      </c>
      <c r="K503" s="21" t="str">
        <f>IF(tb2_CampaignResponses[[#This Row],[Supporter_ID]]="","Review - no supporter ID","")</f>
        <v/>
      </c>
      <c r="L503" s="21" t="str">
        <f ca="1">IF(tb2_CampaignResponses[[#This Row],[Response_Date]]&gt;TODAY(),"Review - future response date","")</f>
        <v/>
      </c>
    </row>
    <row r="504" spans="1:12" x14ac:dyDescent="0.25">
      <c r="A504" s="3" t="s">
        <v>4217</v>
      </c>
      <c r="B504" s="2" t="s">
        <v>1250</v>
      </c>
      <c r="C504" s="2" t="s">
        <v>3403</v>
      </c>
      <c r="D504" s="2" t="s">
        <v>3404</v>
      </c>
      <c r="E504" s="2" t="s">
        <v>4</v>
      </c>
      <c r="F504" s="15">
        <v>45623</v>
      </c>
      <c r="G504" s="25">
        <v>2846.74</v>
      </c>
      <c r="H504" s="2" t="s">
        <v>36</v>
      </c>
      <c r="I504" s="4" t="s">
        <v>3318</v>
      </c>
      <c r="J504" s="2" t="str">
        <f>IF(tb2_CampaignResponses[[#This Row],[Gift_Amount]]&lt;0,"Review - negative amount",IF(tb2_CampaignResponses[[#This Row],[Gift_Amount]]&gt;10000,"Review - unusually large donation",""))</f>
        <v/>
      </c>
      <c r="K504" s="21" t="str">
        <f>IF(tb2_CampaignResponses[[#This Row],[Supporter_ID]]="","Review - no supporter ID","")</f>
        <v/>
      </c>
      <c r="L504" s="21" t="str">
        <f ca="1">IF(tb2_CampaignResponses[[#This Row],[Response_Date]]&gt;TODAY(),"Review - future response date","")</f>
        <v/>
      </c>
    </row>
    <row r="505" spans="1:12" x14ac:dyDescent="0.25">
      <c r="A505" s="3" t="s">
        <v>4218</v>
      </c>
      <c r="B505" s="2" t="s">
        <v>2016</v>
      </c>
      <c r="C505" s="2" t="s">
        <v>3336</v>
      </c>
      <c r="D505" s="2" t="s">
        <v>3337</v>
      </c>
      <c r="E505" s="2" t="s">
        <v>3316</v>
      </c>
      <c r="F505" s="15">
        <v>45545</v>
      </c>
      <c r="G505" s="25">
        <v>147.03</v>
      </c>
      <c r="H505" s="2" t="s">
        <v>36</v>
      </c>
      <c r="I505" s="4" t="s">
        <v>3365</v>
      </c>
      <c r="J505" s="2" t="str">
        <f>IF(tb2_CampaignResponses[[#This Row],[Gift_Amount]]&lt;0,"Review - negative amount",IF(tb2_CampaignResponses[[#This Row],[Gift_Amount]]&gt;10000,"Review - unusually large donation",""))</f>
        <v/>
      </c>
      <c r="K505" s="21" t="str">
        <f>IF(tb2_CampaignResponses[[#This Row],[Supporter_ID]]="","Review - no supporter ID","")</f>
        <v/>
      </c>
      <c r="L505" s="21" t="str">
        <f ca="1">IF(tb2_CampaignResponses[[#This Row],[Response_Date]]&gt;TODAY(),"Review - future response date","")</f>
        <v/>
      </c>
    </row>
    <row r="506" spans="1:12" x14ac:dyDescent="0.25">
      <c r="A506" s="3" t="s">
        <v>4220</v>
      </c>
      <c r="B506" s="2" t="s">
        <v>1084</v>
      </c>
      <c r="C506" s="2" t="s">
        <v>3325</v>
      </c>
      <c r="D506" s="2" t="s">
        <v>3326</v>
      </c>
      <c r="E506" s="2" t="s">
        <v>3338</v>
      </c>
      <c r="F506" s="15">
        <v>45620</v>
      </c>
      <c r="G506" s="25">
        <v>14.78</v>
      </c>
      <c r="H506" s="2" t="s">
        <v>36</v>
      </c>
      <c r="I506" s="4" t="s">
        <v>3334</v>
      </c>
      <c r="J506" s="2" t="str">
        <f>IF(tb2_CampaignResponses[[#This Row],[Gift_Amount]]&lt;0,"Review - negative amount",IF(tb2_CampaignResponses[[#This Row],[Gift_Amount]]&gt;10000,"Review - unusually large donation",""))</f>
        <v/>
      </c>
      <c r="K506" s="21" t="str">
        <f>IF(tb2_CampaignResponses[[#This Row],[Supporter_ID]]="","Review - no supporter ID","")</f>
        <v/>
      </c>
      <c r="L506" s="21" t="str">
        <f ca="1">IF(tb2_CampaignResponses[[#This Row],[Response_Date]]&gt;TODAY(),"Review - future response date","")</f>
        <v/>
      </c>
    </row>
    <row r="507" spans="1:12" x14ac:dyDescent="0.25">
      <c r="A507" s="3" t="s">
        <v>4222</v>
      </c>
      <c r="B507" s="2" t="s">
        <v>2338</v>
      </c>
      <c r="C507" s="2" t="s">
        <v>3314</v>
      </c>
      <c r="D507" s="2" t="s">
        <v>3315</v>
      </c>
      <c r="E507" s="2" t="s">
        <v>33</v>
      </c>
      <c r="F507" s="15">
        <v>45673</v>
      </c>
      <c r="G507" s="25">
        <v>26.52</v>
      </c>
      <c r="H507" s="2" t="s">
        <v>37</v>
      </c>
      <c r="I507" s="4" t="s">
        <v>3318</v>
      </c>
      <c r="J507" s="2" t="str">
        <f>IF(tb2_CampaignResponses[[#This Row],[Gift_Amount]]&lt;0,"Review - negative amount",IF(tb2_CampaignResponses[[#This Row],[Gift_Amount]]&gt;10000,"Review - unusually large donation",""))</f>
        <v/>
      </c>
      <c r="K507" s="21" t="str">
        <f>IF(tb2_CampaignResponses[[#This Row],[Supporter_ID]]="","Review - no supporter ID","")</f>
        <v/>
      </c>
      <c r="L507" s="21" t="str">
        <f ca="1">IF(tb2_CampaignResponses[[#This Row],[Response_Date]]&gt;TODAY(),"Review - future response date","")</f>
        <v/>
      </c>
    </row>
    <row r="508" spans="1:12" x14ac:dyDescent="0.25">
      <c r="A508" s="3" t="s">
        <v>4223</v>
      </c>
      <c r="B508" s="2" t="s">
        <v>2917</v>
      </c>
      <c r="C508" s="2" t="s">
        <v>3354</v>
      </c>
      <c r="D508" s="2" t="s">
        <v>3355</v>
      </c>
      <c r="E508" s="2" t="s">
        <v>65</v>
      </c>
      <c r="F508" s="15">
        <v>45618</v>
      </c>
      <c r="G508" s="25">
        <v>29.62</v>
      </c>
      <c r="H508" s="2" t="s">
        <v>36</v>
      </c>
      <c r="I508" s="4" t="s">
        <v>3365</v>
      </c>
      <c r="J508" s="2" t="str">
        <f>IF(tb2_CampaignResponses[[#This Row],[Gift_Amount]]&lt;0,"Review - negative amount",IF(tb2_CampaignResponses[[#This Row],[Gift_Amount]]&gt;10000,"Review - unusually large donation",""))</f>
        <v/>
      </c>
      <c r="K508" s="21" t="str">
        <f>IF(tb2_CampaignResponses[[#This Row],[Supporter_ID]]="","Review - no supporter ID","")</f>
        <v/>
      </c>
      <c r="L508" s="21" t="str">
        <f ca="1">IF(tb2_CampaignResponses[[#This Row],[Response_Date]]&gt;TODAY(),"Review - future response date","")</f>
        <v/>
      </c>
    </row>
    <row r="509" spans="1:12" x14ac:dyDescent="0.25">
      <c r="A509" s="3" t="s">
        <v>4224</v>
      </c>
      <c r="B509" s="2" t="s">
        <v>2028</v>
      </c>
      <c r="C509" s="2" t="s">
        <v>3325</v>
      </c>
      <c r="D509" s="2" t="s">
        <v>3326</v>
      </c>
      <c r="E509" s="2" t="s">
        <v>65</v>
      </c>
      <c r="F509" s="15">
        <v>45598</v>
      </c>
      <c r="G509" s="25">
        <v>21.66</v>
      </c>
      <c r="H509" s="2" t="s">
        <v>36</v>
      </c>
      <c r="I509" s="4" t="s">
        <v>3331</v>
      </c>
      <c r="J509" s="2" t="str">
        <f>IF(tb2_CampaignResponses[[#This Row],[Gift_Amount]]&lt;0,"Review - negative amount",IF(tb2_CampaignResponses[[#This Row],[Gift_Amount]]&gt;10000,"Review - unusually large donation",""))</f>
        <v/>
      </c>
      <c r="K509" s="21" t="str">
        <f>IF(tb2_CampaignResponses[[#This Row],[Supporter_ID]]="","Review - no supporter ID","")</f>
        <v/>
      </c>
      <c r="L509" s="21" t="str">
        <f ca="1">IF(tb2_CampaignResponses[[#This Row],[Response_Date]]&gt;TODAY(),"Review - future response date","")</f>
        <v/>
      </c>
    </row>
    <row r="510" spans="1:12" x14ac:dyDescent="0.25">
      <c r="A510" s="3" t="s">
        <v>4225</v>
      </c>
      <c r="B510" s="2" t="s">
        <v>688</v>
      </c>
      <c r="C510" s="2" t="s">
        <v>3354</v>
      </c>
      <c r="D510" s="2" t="s">
        <v>3355</v>
      </c>
      <c r="E510" s="2" t="s">
        <v>65</v>
      </c>
      <c r="F510" s="15">
        <v>45618</v>
      </c>
      <c r="G510" s="25">
        <v>30.27</v>
      </c>
      <c r="H510" s="2" t="s">
        <v>37</v>
      </c>
      <c r="I510" s="4" t="s">
        <v>3331</v>
      </c>
      <c r="J510" s="2" t="str">
        <f>IF(tb2_CampaignResponses[[#This Row],[Gift_Amount]]&lt;0,"Review - negative amount",IF(tb2_CampaignResponses[[#This Row],[Gift_Amount]]&gt;10000,"Review - unusually large donation",""))</f>
        <v/>
      </c>
      <c r="K510" s="21" t="str">
        <f>IF(tb2_CampaignResponses[[#This Row],[Supporter_ID]]="","Review - no supporter ID","")</f>
        <v/>
      </c>
      <c r="L510" s="21" t="str">
        <f ca="1">IF(tb2_CampaignResponses[[#This Row],[Response_Date]]&gt;TODAY(),"Review - future response date","")</f>
        <v/>
      </c>
    </row>
    <row r="511" spans="1:12" x14ac:dyDescent="0.25">
      <c r="A511" s="3" t="s">
        <v>4226</v>
      </c>
      <c r="B511" s="2" t="s">
        <v>2252</v>
      </c>
      <c r="C511" s="2" t="s">
        <v>3325</v>
      </c>
      <c r="D511" s="2" t="s">
        <v>3326</v>
      </c>
      <c r="E511" s="2" t="s">
        <v>3316</v>
      </c>
      <c r="F511" s="15">
        <v>45646</v>
      </c>
      <c r="G511" s="25">
        <v>489.36</v>
      </c>
      <c r="H511" s="2" t="s">
        <v>36</v>
      </c>
      <c r="I511" s="4" t="s">
        <v>3318</v>
      </c>
      <c r="J511" s="2" t="str">
        <f>IF(tb2_CampaignResponses[[#This Row],[Gift_Amount]]&lt;0,"Review - negative amount",IF(tb2_CampaignResponses[[#This Row],[Gift_Amount]]&gt;10000,"Review - unusually large donation",""))</f>
        <v/>
      </c>
      <c r="K511" s="21" t="str">
        <f>IF(tb2_CampaignResponses[[#This Row],[Supporter_ID]]="","Review - no supporter ID","")</f>
        <v/>
      </c>
      <c r="L511" s="21" t="str">
        <f ca="1">IF(tb2_CampaignResponses[[#This Row],[Response_Date]]&gt;TODAY(),"Review - future response date","")</f>
        <v/>
      </c>
    </row>
    <row r="512" spans="1:12" x14ac:dyDescent="0.25">
      <c r="A512" s="3" t="s">
        <v>4228</v>
      </c>
      <c r="B512" s="2" t="s">
        <v>637</v>
      </c>
      <c r="C512" s="2" t="s">
        <v>3314</v>
      </c>
      <c r="D512" s="2" t="s">
        <v>3315</v>
      </c>
      <c r="E512" s="2" t="s">
        <v>65</v>
      </c>
      <c r="F512" s="15">
        <v>45678</v>
      </c>
      <c r="G512" s="25">
        <v>89.5</v>
      </c>
      <c r="H512" s="2" t="s">
        <v>37</v>
      </c>
      <c r="I512" s="4" t="s">
        <v>3365</v>
      </c>
      <c r="J512" s="2" t="str">
        <f>IF(tb2_CampaignResponses[[#This Row],[Gift_Amount]]&lt;0,"Review - negative amount",IF(tb2_CampaignResponses[[#This Row],[Gift_Amount]]&gt;10000,"Review - unusually large donation",""))</f>
        <v/>
      </c>
      <c r="K512" s="21" t="str">
        <f>IF(tb2_CampaignResponses[[#This Row],[Supporter_ID]]="","Review - no supporter ID","")</f>
        <v/>
      </c>
      <c r="L512" s="21" t="str">
        <f ca="1">IF(tb2_CampaignResponses[[#This Row],[Response_Date]]&gt;TODAY(),"Review - future response date","")</f>
        <v/>
      </c>
    </row>
    <row r="513" spans="1:12" x14ac:dyDescent="0.25">
      <c r="A513" s="3" t="s">
        <v>4230</v>
      </c>
      <c r="B513" s="2" t="s">
        <v>374</v>
      </c>
      <c r="C513" s="2" t="s">
        <v>3341</v>
      </c>
      <c r="D513" s="2" t="s">
        <v>3342</v>
      </c>
      <c r="E513" s="2" t="s">
        <v>3316</v>
      </c>
      <c r="F513" s="15">
        <v>45773</v>
      </c>
      <c r="G513" s="25">
        <v>21.12</v>
      </c>
      <c r="H513" s="2" t="s">
        <v>37</v>
      </c>
      <c r="I513" s="4" t="s">
        <v>3334</v>
      </c>
      <c r="J513" s="2" t="str">
        <f>IF(tb2_CampaignResponses[[#This Row],[Gift_Amount]]&lt;0,"Review - negative amount",IF(tb2_CampaignResponses[[#This Row],[Gift_Amount]]&gt;10000,"Review - unusually large donation",""))</f>
        <v/>
      </c>
      <c r="K513" s="21" t="str">
        <f>IF(tb2_CampaignResponses[[#This Row],[Supporter_ID]]="","Review - no supporter ID","")</f>
        <v/>
      </c>
      <c r="L513" s="21" t="str">
        <f ca="1">IF(tb2_CampaignResponses[[#This Row],[Response_Date]]&gt;TODAY(),"Review - future response date","")</f>
        <v/>
      </c>
    </row>
    <row r="514" spans="1:12" x14ac:dyDescent="0.25">
      <c r="A514" s="3" t="s">
        <v>4232</v>
      </c>
      <c r="B514" s="2" t="s">
        <v>3141</v>
      </c>
      <c r="C514" s="2" t="s">
        <v>3320</v>
      </c>
      <c r="D514" s="2" t="s">
        <v>3321</v>
      </c>
      <c r="E514" s="2" t="s">
        <v>65</v>
      </c>
      <c r="F514" s="15">
        <v>45459</v>
      </c>
      <c r="G514" s="25">
        <v>220.24</v>
      </c>
      <c r="H514" s="2" t="s">
        <v>37</v>
      </c>
      <c r="I514" s="4" t="s">
        <v>3370</v>
      </c>
      <c r="J514" s="2" t="str">
        <f>IF(tb2_CampaignResponses[[#This Row],[Gift_Amount]]&lt;0,"Review - negative amount",IF(tb2_CampaignResponses[[#This Row],[Gift_Amount]]&gt;10000,"Review - unusually large donation",""))</f>
        <v/>
      </c>
      <c r="K514" s="21" t="str">
        <f>IF(tb2_CampaignResponses[[#This Row],[Supporter_ID]]="","Review - no supporter ID","")</f>
        <v/>
      </c>
      <c r="L514" s="21" t="str">
        <f ca="1">IF(tb2_CampaignResponses[[#This Row],[Response_Date]]&gt;TODAY(),"Review - future response date","")</f>
        <v/>
      </c>
    </row>
    <row r="515" spans="1:12" x14ac:dyDescent="0.25">
      <c r="A515" s="3" t="s">
        <v>4233</v>
      </c>
      <c r="B515" s="2" t="s">
        <v>1826</v>
      </c>
      <c r="C515" s="2" t="s">
        <v>3320</v>
      </c>
      <c r="D515" s="2" t="s">
        <v>3321</v>
      </c>
      <c r="E515" s="2" t="s">
        <v>65</v>
      </c>
      <c r="F515" s="15">
        <v>45452</v>
      </c>
      <c r="G515" s="25">
        <v>2017.33</v>
      </c>
      <c r="H515" s="2" t="s">
        <v>36</v>
      </c>
      <c r="I515" s="4" t="s">
        <v>3370</v>
      </c>
      <c r="J515" s="2" t="str">
        <f>IF(tb2_CampaignResponses[[#This Row],[Gift_Amount]]&lt;0,"Review - negative amount",IF(tb2_CampaignResponses[[#This Row],[Gift_Amount]]&gt;10000,"Review - unusually large donation",""))</f>
        <v/>
      </c>
      <c r="K515" s="21" t="str">
        <f>IF(tb2_CampaignResponses[[#This Row],[Supporter_ID]]="","Review - no supporter ID","")</f>
        <v/>
      </c>
      <c r="L515" s="21" t="str">
        <f ca="1">IF(tb2_CampaignResponses[[#This Row],[Response_Date]]&gt;TODAY(),"Review - future response date","")</f>
        <v/>
      </c>
    </row>
    <row r="516" spans="1:12" x14ac:dyDescent="0.25">
      <c r="A516" s="3" t="s">
        <v>4235</v>
      </c>
      <c r="B516" s="2" t="s">
        <v>1688</v>
      </c>
      <c r="C516" s="2" t="s">
        <v>3367</v>
      </c>
      <c r="D516" s="2" t="s">
        <v>3368</v>
      </c>
      <c r="E516" s="2" t="s">
        <v>65</v>
      </c>
      <c r="F516" s="15">
        <v>45692</v>
      </c>
      <c r="G516" s="25">
        <v>153.33000000000001</v>
      </c>
      <c r="H516" s="2" t="s">
        <v>37</v>
      </c>
      <c r="I516" s="4" t="s">
        <v>3370</v>
      </c>
      <c r="J516" s="2" t="str">
        <f>IF(tb2_CampaignResponses[[#This Row],[Gift_Amount]]&lt;0,"Review - negative amount",IF(tb2_CampaignResponses[[#This Row],[Gift_Amount]]&gt;10000,"Review - unusually large donation",""))</f>
        <v/>
      </c>
      <c r="K516" s="21" t="str">
        <f>IF(tb2_CampaignResponses[[#This Row],[Supporter_ID]]="","Review - no supporter ID","")</f>
        <v/>
      </c>
      <c r="L516" s="21" t="str">
        <f ca="1">IF(tb2_CampaignResponses[[#This Row],[Response_Date]]&gt;TODAY(),"Review - future response date","")</f>
        <v/>
      </c>
    </row>
    <row r="517" spans="1:12" x14ac:dyDescent="0.25">
      <c r="A517" s="3" t="s">
        <v>4237</v>
      </c>
      <c r="B517" s="2" t="s">
        <v>1767</v>
      </c>
      <c r="C517" s="2" t="s">
        <v>3325</v>
      </c>
      <c r="D517" s="2" t="s">
        <v>3326</v>
      </c>
      <c r="E517" s="2" t="s">
        <v>4</v>
      </c>
      <c r="F517" s="15">
        <v>45624</v>
      </c>
      <c r="G517" s="25">
        <v>239.6</v>
      </c>
      <c r="H517" s="2" t="s">
        <v>37</v>
      </c>
      <c r="I517" s="4" t="s">
        <v>3318</v>
      </c>
      <c r="J517" s="2" t="str">
        <f>IF(tb2_CampaignResponses[[#This Row],[Gift_Amount]]&lt;0,"Review - negative amount",IF(tb2_CampaignResponses[[#This Row],[Gift_Amount]]&gt;10000,"Review - unusually large donation",""))</f>
        <v/>
      </c>
      <c r="K517" s="21" t="str">
        <f>IF(tb2_CampaignResponses[[#This Row],[Supporter_ID]]="","Review - no supporter ID","")</f>
        <v/>
      </c>
      <c r="L517" s="21" t="str">
        <f ca="1">IF(tb2_CampaignResponses[[#This Row],[Response_Date]]&gt;TODAY(),"Review - future response date","")</f>
        <v/>
      </c>
    </row>
    <row r="518" spans="1:12" x14ac:dyDescent="0.25">
      <c r="A518" s="3" t="s">
        <v>4238</v>
      </c>
      <c r="B518" s="2" t="s">
        <v>203</v>
      </c>
      <c r="C518" s="2" t="s">
        <v>3314</v>
      </c>
      <c r="D518" s="2" t="s">
        <v>3315</v>
      </c>
      <c r="E518" s="2" t="s">
        <v>3316</v>
      </c>
      <c r="F518" s="15">
        <v>45705</v>
      </c>
      <c r="G518" s="25">
        <v>27.14</v>
      </c>
      <c r="H518" s="2" t="s">
        <v>37</v>
      </c>
      <c r="I518" s="4" t="s">
        <v>3334</v>
      </c>
      <c r="J518" s="2" t="str">
        <f>IF(tb2_CampaignResponses[[#This Row],[Gift_Amount]]&lt;0,"Review - negative amount",IF(tb2_CampaignResponses[[#This Row],[Gift_Amount]]&gt;10000,"Review - unusually large donation",""))</f>
        <v/>
      </c>
      <c r="K518" s="21" t="str">
        <f>IF(tb2_CampaignResponses[[#This Row],[Supporter_ID]]="","Review - no supporter ID","")</f>
        <v/>
      </c>
      <c r="L518" s="21" t="str">
        <f ca="1">IF(tb2_CampaignResponses[[#This Row],[Response_Date]]&gt;TODAY(),"Review - future response date","")</f>
        <v/>
      </c>
    </row>
    <row r="519" spans="1:12" x14ac:dyDescent="0.25">
      <c r="A519" s="3" t="s">
        <v>4240</v>
      </c>
      <c r="B519" s="2" t="s">
        <v>2580</v>
      </c>
      <c r="C519" s="2" t="s">
        <v>3341</v>
      </c>
      <c r="D519" s="2" t="s">
        <v>3342</v>
      </c>
      <c r="E519" s="2" t="s">
        <v>3316</v>
      </c>
      <c r="F519" s="15">
        <v>45692</v>
      </c>
      <c r="G519" s="25">
        <v>90.76</v>
      </c>
      <c r="H519" s="2" t="s">
        <v>37</v>
      </c>
      <c r="I519" s="4" t="s">
        <v>3318</v>
      </c>
      <c r="J519" s="2" t="str">
        <f>IF(tb2_CampaignResponses[[#This Row],[Gift_Amount]]&lt;0,"Review - negative amount",IF(tb2_CampaignResponses[[#This Row],[Gift_Amount]]&gt;10000,"Review - unusually large donation",""))</f>
        <v/>
      </c>
      <c r="K519" s="21" t="str">
        <f>IF(tb2_CampaignResponses[[#This Row],[Supporter_ID]]="","Review - no supporter ID","")</f>
        <v/>
      </c>
      <c r="L519" s="21" t="str">
        <f ca="1">IF(tb2_CampaignResponses[[#This Row],[Response_Date]]&gt;TODAY(),"Review - future response date","")</f>
        <v/>
      </c>
    </row>
    <row r="520" spans="1:12" x14ac:dyDescent="0.25">
      <c r="A520" s="3" t="s">
        <v>4241</v>
      </c>
      <c r="B520" s="2"/>
      <c r="C520" s="2" t="s">
        <v>3354</v>
      </c>
      <c r="D520" s="2" t="s">
        <v>3355</v>
      </c>
      <c r="E520" s="2" t="s">
        <v>4</v>
      </c>
      <c r="F520" s="15">
        <v>45618</v>
      </c>
      <c r="G520" s="25">
        <v>20.53</v>
      </c>
      <c r="H520" s="2" t="s">
        <v>37</v>
      </c>
      <c r="I520" s="4" t="s">
        <v>3318</v>
      </c>
      <c r="J520" s="2" t="str">
        <f>IF(tb2_CampaignResponses[[#This Row],[Gift_Amount]]&lt;0,"Review - negative amount",IF(tb2_CampaignResponses[[#This Row],[Gift_Amount]]&gt;10000,"Review - unusually large donation",""))</f>
        <v/>
      </c>
      <c r="K520" s="21" t="str">
        <f>IF(tb2_CampaignResponses[[#This Row],[Supporter_ID]]="","Review - no supporter ID","")</f>
        <v>Review - no supporter ID</v>
      </c>
      <c r="L520" s="21" t="str">
        <f ca="1">IF(tb2_CampaignResponses[[#This Row],[Response_Date]]&gt;TODAY(),"Review - future response date","")</f>
        <v/>
      </c>
    </row>
    <row r="521" spans="1:12" x14ac:dyDescent="0.25">
      <c r="A521" s="3" t="s">
        <v>4242</v>
      </c>
      <c r="B521" s="2" t="s">
        <v>1470</v>
      </c>
      <c r="C521" s="2" t="s">
        <v>3367</v>
      </c>
      <c r="D521" s="2" t="s">
        <v>3368</v>
      </c>
      <c r="E521" s="2" t="s">
        <v>4</v>
      </c>
      <c r="F521" s="15">
        <v>45723</v>
      </c>
      <c r="G521" s="25">
        <v>39.200000000000003</v>
      </c>
      <c r="H521" s="2" t="s">
        <v>36</v>
      </c>
      <c r="I521" s="4" t="s">
        <v>3385</v>
      </c>
      <c r="J521" s="2" t="str">
        <f>IF(tb2_CampaignResponses[[#This Row],[Gift_Amount]]&lt;0,"Review - negative amount",IF(tb2_CampaignResponses[[#This Row],[Gift_Amount]]&gt;10000,"Review - unusually large donation",""))</f>
        <v/>
      </c>
      <c r="K521" s="21" t="str">
        <f>IF(tb2_CampaignResponses[[#This Row],[Supporter_ID]]="","Review - no supporter ID","")</f>
        <v/>
      </c>
      <c r="L521" s="21" t="str">
        <f ca="1">IF(tb2_CampaignResponses[[#This Row],[Response_Date]]&gt;TODAY(),"Review - future response date","")</f>
        <v/>
      </c>
    </row>
    <row r="522" spans="1:12" x14ac:dyDescent="0.25">
      <c r="A522" s="3" t="s">
        <v>4244</v>
      </c>
      <c r="B522" s="2" t="s">
        <v>2240</v>
      </c>
      <c r="C522" s="2" t="s">
        <v>3336</v>
      </c>
      <c r="D522" s="2" t="s">
        <v>3337</v>
      </c>
      <c r="E522" s="2" t="s">
        <v>3316</v>
      </c>
      <c r="F522" s="15">
        <v>45577</v>
      </c>
      <c r="G522" s="25">
        <v>177.99</v>
      </c>
      <c r="H522" s="2" t="s">
        <v>37</v>
      </c>
      <c r="I522" s="4" t="s">
        <v>3323</v>
      </c>
      <c r="J522" s="2" t="str">
        <f>IF(tb2_CampaignResponses[[#This Row],[Gift_Amount]]&lt;0,"Review - negative amount",IF(tb2_CampaignResponses[[#This Row],[Gift_Amount]]&gt;10000,"Review - unusually large donation",""))</f>
        <v/>
      </c>
      <c r="K522" s="21" t="str">
        <f>IF(tb2_CampaignResponses[[#This Row],[Supporter_ID]]="","Review - no supporter ID","")</f>
        <v/>
      </c>
      <c r="L522" s="21" t="str">
        <f ca="1">IF(tb2_CampaignResponses[[#This Row],[Response_Date]]&gt;TODAY(),"Review - future response date","")</f>
        <v/>
      </c>
    </row>
    <row r="523" spans="1:12" x14ac:dyDescent="0.25">
      <c r="A523" s="3" t="s">
        <v>4245</v>
      </c>
      <c r="B523" s="2" t="s">
        <v>637</v>
      </c>
      <c r="C523" s="2" t="s">
        <v>3403</v>
      </c>
      <c r="D523" s="2" t="s">
        <v>3404</v>
      </c>
      <c r="E523" s="2" t="s">
        <v>4</v>
      </c>
      <c r="F523" s="15">
        <v>45583</v>
      </c>
      <c r="G523" s="25">
        <v>40.369999999999997</v>
      </c>
      <c r="H523" s="2" t="s">
        <v>36</v>
      </c>
      <c r="I523" s="4" t="s">
        <v>3331</v>
      </c>
      <c r="J523" s="2" t="str">
        <f>IF(tb2_CampaignResponses[[#This Row],[Gift_Amount]]&lt;0,"Review - negative amount",IF(tb2_CampaignResponses[[#This Row],[Gift_Amount]]&gt;10000,"Review - unusually large donation",""))</f>
        <v/>
      </c>
      <c r="K523" s="21" t="str">
        <f>IF(tb2_CampaignResponses[[#This Row],[Supporter_ID]]="","Review - no supporter ID","")</f>
        <v/>
      </c>
      <c r="L523" s="21" t="str">
        <f ca="1">IF(tb2_CampaignResponses[[#This Row],[Response_Date]]&gt;TODAY(),"Review - future response date","")</f>
        <v/>
      </c>
    </row>
    <row r="524" spans="1:12" x14ac:dyDescent="0.25">
      <c r="A524" s="3" t="s">
        <v>4246</v>
      </c>
      <c r="B524" s="2"/>
      <c r="C524" s="2" t="s">
        <v>3314</v>
      </c>
      <c r="D524" s="2" t="s">
        <v>3315</v>
      </c>
      <c r="E524" s="2" t="s">
        <v>3316</v>
      </c>
      <c r="F524" s="15">
        <v>45672</v>
      </c>
      <c r="G524" s="25">
        <v>171.29</v>
      </c>
      <c r="H524" s="2" t="s">
        <v>36</v>
      </c>
      <c r="I524" s="4" t="s">
        <v>3328</v>
      </c>
      <c r="J524" s="2" t="str">
        <f>IF(tb2_CampaignResponses[[#This Row],[Gift_Amount]]&lt;0,"Review - negative amount",IF(tb2_CampaignResponses[[#This Row],[Gift_Amount]]&gt;10000,"Review - unusually large donation",""))</f>
        <v/>
      </c>
      <c r="K524" s="21" t="str">
        <f>IF(tb2_CampaignResponses[[#This Row],[Supporter_ID]]="","Review - no supporter ID","")</f>
        <v>Review - no supporter ID</v>
      </c>
      <c r="L524" s="21" t="str">
        <f ca="1">IF(tb2_CampaignResponses[[#This Row],[Response_Date]]&gt;TODAY(),"Review - future response date","")</f>
        <v/>
      </c>
    </row>
    <row r="525" spans="1:12" x14ac:dyDescent="0.25">
      <c r="A525" s="3" t="s">
        <v>4248</v>
      </c>
      <c r="B525" s="2" t="s">
        <v>1322</v>
      </c>
      <c r="C525" s="2" t="s">
        <v>3367</v>
      </c>
      <c r="D525" s="2" t="s">
        <v>3368</v>
      </c>
      <c r="E525" s="2" t="s">
        <v>65</v>
      </c>
      <c r="F525" s="15">
        <v>45729</v>
      </c>
      <c r="G525" s="25">
        <v>57.33</v>
      </c>
      <c r="H525" s="2" t="s">
        <v>36</v>
      </c>
      <c r="I525" s="4" t="s">
        <v>3370</v>
      </c>
      <c r="J525" s="2" t="str">
        <f>IF(tb2_CampaignResponses[[#This Row],[Gift_Amount]]&lt;0,"Review - negative amount",IF(tb2_CampaignResponses[[#This Row],[Gift_Amount]]&gt;10000,"Review - unusually large donation",""))</f>
        <v/>
      </c>
      <c r="K525" s="21" t="str">
        <f>IF(tb2_CampaignResponses[[#This Row],[Supporter_ID]]="","Review - no supporter ID","")</f>
        <v/>
      </c>
      <c r="L525" s="21" t="str">
        <f ca="1">IF(tb2_CampaignResponses[[#This Row],[Response_Date]]&gt;TODAY(),"Review - future response date","")</f>
        <v/>
      </c>
    </row>
    <row r="526" spans="1:12" x14ac:dyDescent="0.25">
      <c r="A526" s="3" t="s">
        <v>4250</v>
      </c>
      <c r="B526" s="2" t="s">
        <v>1726</v>
      </c>
      <c r="C526" s="2" t="s">
        <v>3354</v>
      </c>
      <c r="D526" s="2" t="s">
        <v>3355</v>
      </c>
      <c r="E526" s="2" t="s">
        <v>65</v>
      </c>
      <c r="F526" s="15">
        <v>45618</v>
      </c>
      <c r="G526" s="25">
        <v>82.56</v>
      </c>
      <c r="H526" s="2" t="s">
        <v>36</v>
      </c>
      <c r="I526" s="4" t="s">
        <v>3323</v>
      </c>
      <c r="J526" s="2" t="str">
        <f>IF(tb2_CampaignResponses[[#This Row],[Gift_Amount]]&lt;0,"Review - negative amount",IF(tb2_CampaignResponses[[#This Row],[Gift_Amount]]&gt;10000,"Review - unusually large donation",""))</f>
        <v/>
      </c>
      <c r="K526" s="21" t="str">
        <f>IF(tb2_CampaignResponses[[#This Row],[Supporter_ID]]="","Review - no supporter ID","")</f>
        <v/>
      </c>
      <c r="L526" s="21" t="str">
        <f ca="1">IF(tb2_CampaignResponses[[#This Row],[Response_Date]]&gt;TODAY(),"Review - future response date","")</f>
        <v/>
      </c>
    </row>
    <row r="527" spans="1:12" x14ac:dyDescent="0.25">
      <c r="A527" s="3" t="s">
        <v>4251</v>
      </c>
      <c r="B527" s="2" t="s">
        <v>1505</v>
      </c>
      <c r="C527" s="2" t="s">
        <v>3362</v>
      </c>
      <c r="D527" s="2" t="s">
        <v>3363</v>
      </c>
      <c r="E527" s="2" t="s">
        <v>65</v>
      </c>
      <c r="F527" s="15">
        <v>45575</v>
      </c>
      <c r="G527" s="25">
        <v>20.440000000000001</v>
      </c>
      <c r="H527" s="2" t="s">
        <v>36</v>
      </c>
      <c r="I527" s="4" t="s">
        <v>3385</v>
      </c>
      <c r="J527" s="2" t="str">
        <f>IF(tb2_CampaignResponses[[#This Row],[Gift_Amount]]&lt;0,"Review - negative amount",IF(tb2_CampaignResponses[[#This Row],[Gift_Amount]]&gt;10000,"Review - unusually large donation",""))</f>
        <v/>
      </c>
      <c r="K527" s="21" t="str">
        <f>IF(tb2_CampaignResponses[[#This Row],[Supporter_ID]]="","Review - no supporter ID","")</f>
        <v/>
      </c>
      <c r="L527" s="21" t="str">
        <f ca="1">IF(tb2_CampaignResponses[[#This Row],[Response_Date]]&gt;TODAY(),"Review - future response date","")</f>
        <v/>
      </c>
    </row>
    <row r="528" spans="1:12" x14ac:dyDescent="0.25">
      <c r="A528" s="3" t="s">
        <v>4253</v>
      </c>
      <c r="B528" s="2" t="s">
        <v>2525</v>
      </c>
      <c r="C528" s="2" t="s">
        <v>3367</v>
      </c>
      <c r="D528" s="2" t="s">
        <v>3368</v>
      </c>
      <c r="E528" s="2" t="s">
        <v>65</v>
      </c>
      <c r="F528" s="15">
        <v>45764</v>
      </c>
      <c r="G528" s="25">
        <v>2629.69</v>
      </c>
      <c r="H528" s="2" t="s">
        <v>37</v>
      </c>
      <c r="I528" s="4" t="s">
        <v>3318</v>
      </c>
      <c r="J528" s="2" t="str">
        <f>IF(tb2_CampaignResponses[[#This Row],[Gift_Amount]]&lt;0,"Review - negative amount",IF(tb2_CampaignResponses[[#This Row],[Gift_Amount]]&gt;10000,"Review - unusually large donation",""))</f>
        <v/>
      </c>
      <c r="K528" s="21" t="str">
        <f>IF(tb2_CampaignResponses[[#This Row],[Supporter_ID]]="","Review - no supporter ID","")</f>
        <v/>
      </c>
      <c r="L528" s="21" t="str">
        <f ca="1">IF(tb2_CampaignResponses[[#This Row],[Response_Date]]&gt;TODAY(),"Review - future response date","")</f>
        <v/>
      </c>
    </row>
    <row r="529" spans="1:12" x14ac:dyDescent="0.25">
      <c r="A529" s="3" t="s">
        <v>4254</v>
      </c>
      <c r="B529" s="2" t="s">
        <v>2917</v>
      </c>
      <c r="C529" s="2" t="s">
        <v>3336</v>
      </c>
      <c r="D529" s="2" t="s">
        <v>3337</v>
      </c>
      <c r="E529" s="2" t="s">
        <v>3338</v>
      </c>
      <c r="F529" s="15">
        <v>45306</v>
      </c>
      <c r="G529" s="25">
        <v>46.06</v>
      </c>
      <c r="H529" s="2" t="s">
        <v>36</v>
      </c>
      <c r="I529" s="4" t="s">
        <v>3323</v>
      </c>
      <c r="J529" s="2" t="str">
        <f>IF(tb2_CampaignResponses[[#This Row],[Gift_Amount]]&lt;0,"Review - negative amount",IF(tb2_CampaignResponses[[#This Row],[Gift_Amount]]&gt;10000,"Review - unusually large donation",""))</f>
        <v/>
      </c>
      <c r="K529" s="21" t="str">
        <f>IF(tb2_CampaignResponses[[#This Row],[Supporter_ID]]="","Review - no supporter ID","")</f>
        <v/>
      </c>
      <c r="L529" s="21" t="str">
        <f ca="1">IF(tb2_CampaignResponses[[#This Row],[Response_Date]]&gt;TODAY(),"Review - future response date","")</f>
        <v/>
      </c>
    </row>
    <row r="530" spans="1:12" x14ac:dyDescent="0.25">
      <c r="A530" s="3" t="s">
        <v>4255</v>
      </c>
      <c r="B530" s="2" t="s">
        <v>2321</v>
      </c>
      <c r="C530" s="2" t="s">
        <v>3367</v>
      </c>
      <c r="D530" s="2" t="s">
        <v>3368</v>
      </c>
      <c r="E530" s="2" t="s">
        <v>4</v>
      </c>
      <c r="F530" s="15">
        <v>45724</v>
      </c>
      <c r="G530" s="25">
        <v>4310.6400000000003</v>
      </c>
      <c r="H530" s="2" t="s">
        <v>37</v>
      </c>
      <c r="I530" s="4" t="s">
        <v>3328</v>
      </c>
      <c r="J530" s="2" t="str">
        <f>IF(tb2_CampaignResponses[[#This Row],[Gift_Amount]]&lt;0,"Review - negative amount",IF(tb2_CampaignResponses[[#This Row],[Gift_Amount]]&gt;10000,"Review - unusually large donation",""))</f>
        <v/>
      </c>
      <c r="K530" s="21" t="str">
        <f>IF(tb2_CampaignResponses[[#This Row],[Supporter_ID]]="","Review - no supporter ID","")</f>
        <v/>
      </c>
      <c r="L530" s="21" t="str">
        <f ca="1">IF(tb2_CampaignResponses[[#This Row],[Response_Date]]&gt;TODAY(),"Review - future response date","")</f>
        <v/>
      </c>
    </row>
    <row r="531" spans="1:12" x14ac:dyDescent="0.25">
      <c r="A531" s="3" t="s">
        <v>4257</v>
      </c>
      <c r="B531" s="2" t="s">
        <v>1020</v>
      </c>
      <c r="C531" s="2" t="s">
        <v>3354</v>
      </c>
      <c r="D531" s="2" t="s">
        <v>3355</v>
      </c>
      <c r="E531" s="2" t="s">
        <v>65</v>
      </c>
      <c r="F531" s="15">
        <v>45618</v>
      </c>
      <c r="G531" s="25">
        <v>1635.14</v>
      </c>
      <c r="H531" s="2" t="s">
        <v>36</v>
      </c>
      <c r="I531" s="4" t="s">
        <v>3323</v>
      </c>
      <c r="J531" s="2" t="str">
        <f>IF(tb2_CampaignResponses[[#This Row],[Gift_Amount]]&lt;0,"Review - negative amount",IF(tb2_CampaignResponses[[#This Row],[Gift_Amount]]&gt;10000,"Review - unusually large donation",""))</f>
        <v/>
      </c>
      <c r="K531" s="21" t="str">
        <f>IF(tb2_CampaignResponses[[#This Row],[Supporter_ID]]="","Review - no supporter ID","")</f>
        <v/>
      </c>
      <c r="L531" s="21" t="str">
        <f ca="1">IF(tb2_CampaignResponses[[#This Row],[Response_Date]]&gt;TODAY(),"Review - future response date","")</f>
        <v/>
      </c>
    </row>
    <row r="532" spans="1:12" x14ac:dyDescent="0.25">
      <c r="A532" s="3" t="s">
        <v>4258</v>
      </c>
      <c r="B532" s="2" t="s">
        <v>1538</v>
      </c>
      <c r="C532" s="2" t="s">
        <v>3362</v>
      </c>
      <c r="D532" s="2" t="s">
        <v>3363</v>
      </c>
      <c r="E532" s="2" t="s">
        <v>65</v>
      </c>
      <c r="F532" s="15">
        <v>45573</v>
      </c>
      <c r="G532" s="25">
        <v>28.65</v>
      </c>
      <c r="H532" s="2" t="s">
        <v>36</v>
      </c>
      <c r="I532" s="4" t="s">
        <v>3334</v>
      </c>
      <c r="J532" s="2" t="str">
        <f>IF(tb2_CampaignResponses[[#This Row],[Gift_Amount]]&lt;0,"Review - negative amount",IF(tb2_CampaignResponses[[#This Row],[Gift_Amount]]&gt;10000,"Review - unusually large donation",""))</f>
        <v/>
      </c>
      <c r="K532" s="21" t="str">
        <f>IF(tb2_CampaignResponses[[#This Row],[Supporter_ID]]="","Review - no supporter ID","")</f>
        <v/>
      </c>
      <c r="L532" s="21" t="str">
        <f ca="1">IF(tb2_CampaignResponses[[#This Row],[Response_Date]]&gt;TODAY(),"Review - future response date","")</f>
        <v/>
      </c>
    </row>
    <row r="533" spans="1:12" x14ac:dyDescent="0.25">
      <c r="A533" s="3" t="s">
        <v>4259</v>
      </c>
      <c r="B533" s="2" t="s">
        <v>2399</v>
      </c>
      <c r="C533" s="2" t="s">
        <v>3325</v>
      </c>
      <c r="D533" s="2" t="s">
        <v>3326</v>
      </c>
      <c r="E533" s="2" t="s">
        <v>3338</v>
      </c>
      <c r="F533" s="15">
        <v>45614</v>
      </c>
      <c r="G533" s="25">
        <v>179.78</v>
      </c>
      <c r="H533" s="2" t="s">
        <v>37</v>
      </c>
      <c r="I533" s="4" t="s">
        <v>3385</v>
      </c>
      <c r="J533" s="2" t="str">
        <f>IF(tb2_CampaignResponses[[#This Row],[Gift_Amount]]&lt;0,"Review - negative amount",IF(tb2_CampaignResponses[[#This Row],[Gift_Amount]]&gt;10000,"Review - unusually large donation",""))</f>
        <v/>
      </c>
      <c r="K533" s="21" t="str">
        <f>IF(tb2_CampaignResponses[[#This Row],[Supporter_ID]]="","Review - no supporter ID","")</f>
        <v/>
      </c>
      <c r="L533" s="21" t="str">
        <f ca="1">IF(tb2_CampaignResponses[[#This Row],[Response_Date]]&gt;TODAY(),"Review - future response date","")</f>
        <v/>
      </c>
    </row>
    <row r="534" spans="1:12" x14ac:dyDescent="0.25">
      <c r="A534" s="3" t="s">
        <v>4260</v>
      </c>
      <c r="B534" s="2" t="s">
        <v>2686</v>
      </c>
      <c r="C534" s="2" t="s">
        <v>3427</v>
      </c>
      <c r="D534" s="2" t="s">
        <v>3428</v>
      </c>
      <c r="E534" s="2" t="s">
        <v>65</v>
      </c>
      <c r="F534" s="15">
        <v>45488</v>
      </c>
      <c r="G534" s="25">
        <v>8.67</v>
      </c>
      <c r="H534" s="2" t="s">
        <v>37</v>
      </c>
      <c r="I534" s="4" t="s">
        <v>3385</v>
      </c>
      <c r="J534" s="2" t="str">
        <f>IF(tb2_CampaignResponses[[#This Row],[Gift_Amount]]&lt;0,"Review - negative amount",IF(tb2_CampaignResponses[[#This Row],[Gift_Amount]]&gt;10000,"Review - unusually large donation",""))</f>
        <v/>
      </c>
      <c r="K534" s="21" t="str">
        <f>IF(tb2_CampaignResponses[[#This Row],[Supporter_ID]]="","Review - no supporter ID","")</f>
        <v/>
      </c>
      <c r="L534" s="21" t="str">
        <f ca="1">IF(tb2_CampaignResponses[[#This Row],[Response_Date]]&gt;TODAY(),"Review - future response date","")</f>
        <v/>
      </c>
    </row>
    <row r="535" spans="1:12" x14ac:dyDescent="0.25">
      <c r="A535" s="3" t="s">
        <v>4261</v>
      </c>
      <c r="B535" s="2" t="s">
        <v>2451</v>
      </c>
      <c r="C535" s="2" t="s">
        <v>3325</v>
      </c>
      <c r="D535" s="2" t="s">
        <v>3326</v>
      </c>
      <c r="E535" s="2" t="s">
        <v>4</v>
      </c>
      <c r="F535" s="15">
        <v>45640</v>
      </c>
      <c r="G535" s="25">
        <v>16.25</v>
      </c>
      <c r="H535" s="2" t="s">
        <v>36</v>
      </c>
      <c r="I535" s="4" t="s">
        <v>3331</v>
      </c>
      <c r="J535" s="2" t="str">
        <f>IF(tb2_CampaignResponses[[#This Row],[Gift_Amount]]&lt;0,"Review - negative amount",IF(tb2_CampaignResponses[[#This Row],[Gift_Amount]]&gt;10000,"Review - unusually large donation",""))</f>
        <v/>
      </c>
      <c r="K535" s="21" t="str">
        <f>IF(tb2_CampaignResponses[[#This Row],[Supporter_ID]]="","Review - no supporter ID","")</f>
        <v/>
      </c>
      <c r="L535" s="21" t="str">
        <f ca="1">IF(tb2_CampaignResponses[[#This Row],[Response_Date]]&gt;TODAY(),"Review - future response date","")</f>
        <v/>
      </c>
    </row>
    <row r="536" spans="1:12" x14ac:dyDescent="0.25">
      <c r="A536" s="3" t="s">
        <v>4263</v>
      </c>
      <c r="B536" s="2" t="s">
        <v>2479</v>
      </c>
      <c r="C536" s="2" t="s">
        <v>3325</v>
      </c>
      <c r="D536" s="2" t="s">
        <v>3326</v>
      </c>
      <c r="E536" s="2" t="s">
        <v>3316</v>
      </c>
      <c r="F536" s="15">
        <v>45657</v>
      </c>
      <c r="G536" s="25">
        <v>12.39</v>
      </c>
      <c r="H536" s="2" t="s">
        <v>36</v>
      </c>
      <c r="I536" s="4" t="s">
        <v>3334</v>
      </c>
      <c r="J536" s="2" t="str">
        <f>IF(tb2_CampaignResponses[[#This Row],[Gift_Amount]]&lt;0,"Review - negative amount",IF(tb2_CampaignResponses[[#This Row],[Gift_Amount]]&gt;10000,"Review - unusually large donation",""))</f>
        <v/>
      </c>
      <c r="K536" s="21" t="str">
        <f>IF(tb2_CampaignResponses[[#This Row],[Supporter_ID]]="","Review - no supporter ID","")</f>
        <v/>
      </c>
      <c r="L536" s="21" t="str">
        <f ca="1">IF(tb2_CampaignResponses[[#This Row],[Response_Date]]&gt;TODAY(),"Review - future response date","")</f>
        <v/>
      </c>
    </row>
    <row r="537" spans="1:12" x14ac:dyDescent="0.25">
      <c r="A537" s="3" t="s">
        <v>4265</v>
      </c>
      <c r="B537" s="2" t="s">
        <v>1625</v>
      </c>
      <c r="C537" s="2" t="s">
        <v>3367</v>
      </c>
      <c r="D537" s="2" t="s">
        <v>3368</v>
      </c>
      <c r="E537" s="2" t="s">
        <v>4</v>
      </c>
      <c r="F537" s="15">
        <v>45741</v>
      </c>
      <c r="G537" s="25">
        <v>91.23</v>
      </c>
      <c r="H537" s="2" t="s">
        <v>37</v>
      </c>
      <c r="I537" s="4" t="s">
        <v>3334</v>
      </c>
      <c r="J537" s="2" t="str">
        <f>IF(tb2_CampaignResponses[[#This Row],[Gift_Amount]]&lt;0,"Review - negative amount",IF(tb2_CampaignResponses[[#This Row],[Gift_Amount]]&gt;10000,"Review - unusually large donation",""))</f>
        <v/>
      </c>
      <c r="K537" s="21" t="str">
        <f>IF(tb2_CampaignResponses[[#This Row],[Supporter_ID]]="","Review - no supporter ID","")</f>
        <v/>
      </c>
      <c r="L537" s="21" t="str">
        <f ca="1">IF(tb2_CampaignResponses[[#This Row],[Response_Date]]&gt;TODAY(),"Review - future response date","")</f>
        <v/>
      </c>
    </row>
    <row r="538" spans="1:12" x14ac:dyDescent="0.25">
      <c r="A538" s="3" t="s">
        <v>4267</v>
      </c>
      <c r="B538" s="2" t="s">
        <v>441</v>
      </c>
      <c r="C538" s="2" t="s">
        <v>3325</v>
      </c>
      <c r="D538" s="2" t="s">
        <v>3326</v>
      </c>
      <c r="E538" s="2" t="s">
        <v>4</v>
      </c>
      <c r="F538" s="15">
        <v>45621</v>
      </c>
      <c r="G538" s="25">
        <v>29.69</v>
      </c>
      <c r="H538" s="2" t="s">
        <v>36</v>
      </c>
      <c r="I538" s="4" t="s">
        <v>3318</v>
      </c>
      <c r="J538" s="2" t="str">
        <f>IF(tb2_CampaignResponses[[#This Row],[Gift_Amount]]&lt;0,"Review - negative amount",IF(tb2_CampaignResponses[[#This Row],[Gift_Amount]]&gt;10000,"Review - unusually large donation",""))</f>
        <v/>
      </c>
      <c r="K538" s="21" t="str">
        <f>IF(tb2_CampaignResponses[[#This Row],[Supporter_ID]]="","Review - no supporter ID","")</f>
        <v/>
      </c>
      <c r="L538" s="21" t="str">
        <f ca="1">IF(tb2_CampaignResponses[[#This Row],[Response_Date]]&gt;TODAY(),"Review - future response date","")</f>
        <v/>
      </c>
    </row>
    <row r="539" spans="1:12" x14ac:dyDescent="0.25">
      <c r="A539" s="3" t="s">
        <v>4269</v>
      </c>
      <c r="B539" s="2" t="s">
        <v>3015</v>
      </c>
      <c r="C539" s="2" t="s">
        <v>3362</v>
      </c>
      <c r="D539" s="2" t="s">
        <v>3363</v>
      </c>
      <c r="E539" s="2" t="s">
        <v>65</v>
      </c>
      <c r="F539" s="15">
        <v>45575</v>
      </c>
      <c r="G539" s="25">
        <v>110.51</v>
      </c>
      <c r="H539" s="2" t="s">
        <v>37</v>
      </c>
      <c r="I539" s="4" t="s">
        <v>3334</v>
      </c>
      <c r="J539" s="2" t="str">
        <f>IF(tb2_CampaignResponses[[#This Row],[Gift_Amount]]&lt;0,"Review - negative amount",IF(tb2_CampaignResponses[[#This Row],[Gift_Amount]]&gt;10000,"Review - unusually large donation",""))</f>
        <v/>
      </c>
      <c r="K539" s="21" t="str">
        <f>IF(tb2_CampaignResponses[[#This Row],[Supporter_ID]]="","Review - no supporter ID","")</f>
        <v/>
      </c>
      <c r="L539" s="21" t="str">
        <f ca="1">IF(tb2_CampaignResponses[[#This Row],[Response_Date]]&gt;TODAY(),"Review - future response date","")</f>
        <v/>
      </c>
    </row>
    <row r="540" spans="1:12" x14ac:dyDescent="0.25">
      <c r="A540" s="3" t="s">
        <v>4270</v>
      </c>
      <c r="B540" s="2" t="s">
        <v>1796</v>
      </c>
      <c r="C540" s="2" t="s">
        <v>3325</v>
      </c>
      <c r="D540" s="2" t="s">
        <v>3326</v>
      </c>
      <c r="E540" s="2" t="s">
        <v>3338</v>
      </c>
      <c r="F540" s="15">
        <v>45602</v>
      </c>
      <c r="G540" s="25">
        <v>48.31</v>
      </c>
      <c r="H540" s="2" t="s">
        <v>36</v>
      </c>
      <c r="I540" s="4" t="s">
        <v>3370</v>
      </c>
      <c r="J540" s="2" t="str">
        <f>IF(tb2_CampaignResponses[[#This Row],[Gift_Amount]]&lt;0,"Review - negative amount",IF(tb2_CampaignResponses[[#This Row],[Gift_Amount]]&gt;10000,"Review - unusually large donation",""))</f>
        <v/>
      </c>
      <c r="K540" s="21" t="str">
        <f>IF(tb2_CampaignResponses[[#This Row],[Supporter_ID]]="","Review - no supporter ID","")</f>
        <v/>
      </c>
      <c r="L540" s="21" t="str">
        <f ca="1">IF(tb2_CampaignResponses[[#This Row],[Response_Date]]&gt;TODAY(),"Review - future response date","")</f>
        <v/>
      </c>
    </row>
    <row r="541" spans="1:12" x14ac:dyDescent="0.25">
      <c r="A541" s="3" t="s">
        <v>4272</v>
      </c>
      <c r="B541" s="2" t="s">
        <v>106</v>
      </c>
      <c r="C541" s="2" t="s">
        <v>3403</v>
      </c>
      <c r="D541" s="2" t="s">
        <v>3404</v>
      </c>
      <c r="E541" s="2" t="s">
        <v>3316</v>
      </c>
      <c r="F541" s="15">
        <v>45642</v>
      </c>
      <c r="G541" s="25">
        <v>15.99</v>
      </c>
      <c r="H541" s="2" t="s">
        <v>36</v>
      </c>
      <c r="I541" s="4" t="s">
        <v>3370</v>
      </c>
      <c r="J541" s="2" t="str">
        <f>IF(tb2_CampaignResponses[[#This Row],[Gift_Amount]]&lt;0,"Review - negative amount",IF(tb2_CampaignResponses[[#This Row],[Gift_Amount]]&gt;10000,"Review - unusually large donation",""))</f>
        <v/>
      </c>
      <c r="K541" s="21" t="str">
        <f>IF(tb2_CampaignResponses[[#This Row],[Supporter_ID]]="","Review - no supporter ID","")</f>
        <v/>
      </c>
      <c r="L541" s="21" t="str">
        <f ca="1">IF(tb2_CampaignResponses[[#This Row],[Response_Date]]&gt;TODAY(),"Review - future response date","")</f>
        <v/>
      </c>
    </row>
    <row r="542" spans="1:12" x14ac:dyDescent="0.25">
      <c r="A542" s="3" t="s">
        <v>4274</v>
      </c>
      <c r="B542" s="2" t="s">
        <v>688</v>
      </c>
      <c r="C542" s="2" t="s">
        <v>3341</v>
      </c>
      <c r="D542" s="2" t="s">
        <v>3342</v>
      </c>
      <c r="E542" s="2" t="s">
        <v>91</v>
      </c>
      <c r="F542" s="15">
        <v>45750</v>
      </c>
      <c r="G542" s="25">
        <v>9.69</v>
      </c>
      <c r="H542" s="2" t="s">
        <v>37</v>
      </c>
      <c r="I542" s="4" t="s">
        <v>3328</v>
      </c>
      <c r="J542" s="2" t="str">
        <f>IF(tb2_CampaignResponses[[#This Row],[Gift_Amount]]&lt;0,"Review - negative amount",IF(tb2_CampaignResponses[[#This Row],[Gift_Amount]]&gt;10000,"Review - unusually large donation",""))</f>
        <v/>
      </c>
      <c r="K542" s="21" t="str">
        <f>IF(tb2_CampaignResponses[[#This Row],[Supporter_ID]]="","Review - no supporter ID","")</f>
        <v/>
      </c>
      <c r="L542" s="21" t="str">
        <f ca="1">IF(tb2_CampaignResponses[[#This Row],[Response_Date]]&gt;TODAY(),"Review - future response date","")</f>
        <v/>
      </c>
    </row>
    <row r="543" spans="1:12" x14ac:dyDescent="0.25">
      <c r="A543" s="3" t="s">
        <v>4276</v>
      </c>
      <c r="B543" s="2" t="s">
        <v>2538</v>
      </c>
      <c r="C543" s="2" t="s">
        <v>3325</v>
      </c>
      <c r="D543" s="2" t="s">
        <v>3326</v>
      </c>
      <c r="E543" s="2" t="s">
        <v>65</v>
      </c>
      <c r="F543" s="15">
        <v>45515</v>
      </c>
      <c r="G543" s="25">
        <v>74.28</v>
      </c>
      <c r="H543" s="2" t="s">
        <v>37</v>
      </c>
      <c r="I543" s="4" t="s">
        <v>3334</v>
      </c>
      <c r="J543" s="2" t="str">
        <f>IF(tb2_CampaignResponses[[#This Row],[Gift_Amount]]&lt;0,"Review - negative amount",IF(tb2_CampaignResponses[[#This Row],[Gift_Amount]]&gt;10000,"Review - unusually large donation",""))</f>
        <v/>
      </c>
      <c r="K543" s="21" t="str">
        <f>IF(tb2_CampaignResponses[[#This Row],[Supporter_ID]]="","Review - no supporter ID","")</f>
        <v/>
      </c>
      <c r="L543" s="21" t="str">
        <f ca="1">IF(tb2_CampaignResponses[[#This Row],[Response_Date]]&gt;TODAY(),"Review - future response date","")</f>
        <v/>
      </c>
    </row>
    <row r="544" spans="1:12" x14ac:dyDescent="0.25">
      <c r="A544" s="3" t="s">
        <v>4278</v>
      </c>
      <c r="B544" s="2" t="s">
        <v>1903</v>
      </c>
      <c r="C544" s="2" t="s">
        <v>3367</v>
      </c>
      <c r="D544" s="2" t="s">
        <v>3368</v>
      </c>
      <c r="E544" s="2" t="s">
        <v>65</v>
      </c>
      <c r="F544" s="15">
        <v>45774</v>
      </c>
      <c r="G544" s="25">
        <v>24.71</v>
      </c>
      <c r="H544" s="2" t="s">
        <v>37</v>
      </c>
      <c r="I544" s="4" t="s">
        <v>3370</v>
      </c>
      <c r="J544" s="2" t="str">
        <f>IF(tb2_CampaignResponses[[#This Row],[Gift_Amount]]&lt;0,"Review - negative amount",IF(tb2_CampaignResponses[[#This Row],[Gift_Amount]]&gt;10000,"Review - unusually large donation",""))</f>
        <v/>
      </c>
      <c r="K544" s="21" t="str">
        <f>IF(tb2_CampaignResponses[[#This Row],[Supporter_ID]]="","Review - no supporter ID","")</f>
        <v/>
      </c>
      <c r="L544" s="21" t="str">
        <f ca="1">IF(tb2_CampaignResponses[[#This Row],[Response_Date]]&gt;TODAY(),"Review - future response date","")</f>
        <v/>
      </c>
    </row>
    <row r="545" spans="1:12" x14ac:dyDescent="0.25">
      <c r="A545" s="3" t="s">
        <v>4280</v>
      </c>
      <c r="B545" s="2" t="s">
        <v>2124</v>
      </c>
      <c r="C545" s="2" t="s">
        <v>3320</v>
      </c>
      <c r="D545" s="2" t="s">
        <v>3321</v>
      </c>
      <c r="E545" s="2" t="s">
        <v>65</v>
      </c>
      <c r="F545" s="15">
        <v>45467</v>
      </c>
      <c r="G545" s="25">
        <v>288.33999999999997</v>
      </c>
      <c r="H545" s="2" t="s">
        <v>36</v>
      </c>
      <c r="I545" s="4" t="s">
        <v>3370</v>
      </c>
      <c r="J545" s="2" t="str">
        <f>IF(tb2_CampaignResponses[[#This Row],[Gift_Amount]]&lt;0,"Review - negative amount",IF(tb2_CampaignResponses[[#This Row],[Gift_Amount]]&gt;10000,"Review - unusually large donation",""))</f>
        <v/>
      </c>
      <c r="K545" s="21" t="str">
        <f>IF(tb2_CampaignResponses[[#This Row],[Supporter_ID]]="","Review - no supporter ID","")</f>
        <v/>
      </c>
      <c r="L545" s="21" t="str">
        <f ca="1">IF(tb2_CampaignResponses[[#This Row],[Response_Date]]&gt;TODAY(),"Review - future response date","")</f>
        <v/>
      </c>
    </row>
    <row r="546" spans="1:12" x14ac:dyDescent="0.25">
      <c r="A546" s="3" t="s">
        <v>4282</v>
      </c>
      <c r="B546" s="2" t="s">
        <v>282</v>
      </c>
      <c r="C546" s="2" t="s">
        <v>3427</v>
      </c>
      <c r="D546" s="2" t="s">
        <v>3428</v>
      </c>
      <c r="E546" s="2" t="s">
        <v>65</v>
      </c>
      <c r="F546" s="15">
        <v>45488</v>
      </c>
      <c r="G546" s="25">
        <v>233.87</v>
      </c>
      <c r="H546" s="2" t="s">
        <v>37</v>
      </c>
      <c r="I546" s="4" t="s">
        <v>3334</v>
      </c>
      <c r="J546" s="2" t="str">
        <f>IF(tb2_CampaignResponses[[#This Row],[Gift_Amount]]&lt;0,"Review - negative amount",IF(tb2_CampaignResponses[[#This Row],[Gift_Amount]]&gt;10000,"Review - unusually large donation",""))</f>
        <v/>
      </c>
      <c r="K546" s="21" t="str">
        <f>IF(tb2_CampaignResponses[[#This Row],[Supporter_ID]]="","Review - no supporter ID","")</f>
        <v/>
      </c>
      <c r="L546" s="21" t="str">
        <f ca="1">IF(tb2_CampaignResponses[[#This Row],[Response_Date]]&gt;TODAY(),"Review - future response date","")</f>
        <v/>
      </c>
    </row>
    <row r="547" spans="1:12" x14ac:dyDescent="0.25">
      <c r="A547" s="3" t="s">
        <v>4283</v>
      </c>
      <c r="B547" s="2" t="s">
        <v>2987</v>
      </c>
      <c r="C547" s="2" t="s">
        <v>3362</v>
      </c>
      <c r="D547" s="2" t="s">
        <v>3363</v>
      </c>
      <c r="E547" s="2" t="s">
        <v>65</v>
      </c>
      <c r="F547" s="15">
        <v>45574</v>
      </c>
      <c r="G547" s="25">
        <v>29.92</v>
      </c>
      <c r="H547" s="2" t="s">
        <v>36</v>
      </c>
      <c r="I547" s="4" t="s">
        <v>3370</v>
      </c>
      <c r="J547" s="2" t="str">
        <f>IF(tb2_CampaignResponses[[#This Row],[Gift_Amount]]&lt;0,"Review - negative amount",IF(tb2_CampaignResponses[[#This Row],[Gift_Amount]]&gt;10000,"Review - unusually large donation",""))</f>
        <v/>
      </c>
      <c r="K547" s="21" t="str">
        <f>IF(tb2_CampaignResponses[[#This Row],[Supporter_ID]]="","Review - no supporter ID","")</f>
        <v/>
      </c>
      <c r="L547" s="21" t="str">
        <f ca="1">IF(tb2_CampaignResponses[[#This Row],[Response_Date]]&gt;TODAY(),"Review - future response date","")</f>
        <v/>
      </c>
    </row>
    <row r="548" spans="1:12" x14ac:dyDescent="0.25">
      <c r="A548" s="3" t="s">
        <v>4285</v>
      </c>
      <c r="B548" s="2" t="s">
        <v>3217</v>
      </c>
      <c r="C548" s="2" t="s">
        <v>3320</v>
      </c>
      <c r="D548" s="2" t="s">
        <v>3321</v>
      </c>
      <c r="E548" s="2" t="s">
        <v>65</v>
      </c>
      <c r="F548" s="15">
        <v>45457</v>
      </c>
      <c r="G548" s="25">
        <v>1903.44</v>
      </c>
      <c r="H548" s="2" t="s">
        <v>36</v>
      </c>
      <c r="I548" s="4" t="s">
        <v>3370</v>
      </c>
      <c r="J548" s="2" t="str">
        <f>IF(tb2_CampaignResponses[[#This Row],[Gift_Amount]]&lt;0,"Review - negative amount",IF(tb2_CampaignResponses[[#This Row],[Gift_Amount]]&gt;10000,"Review - unusually large donation",""))</f>
        <v/>
      </c>
      <c r="K548" s="21" t="str">
        <f>IF(tb2_CampaignResponses[[#This Row],[Supporter_ID]]="","Review - no supporter ID","")</f>
        <v/>
      </c>
      <c r="L548" s="21" t="str">
        <f ca="1">IF(tb2_CampaignResponses[[#This Row],[Response_Date]]&gt;TODAY(),"Review - future response date","")</f>
        <v/>
      </c>
    </row>
    <row r="549" spans="1:12" x14ac:dyDescent="0.25">
      <c r="A549" s="3" t="s">
        <v>4287</v>
      </c>
      <c r="B549" s="2" t="s">
        <v>3290</v>
      </c>
      <c r="C549" s="2" t="s">
        <v>3320</v>
      </c>
      <c r="D549" s="2" t="s">
        <v>3321</v>
      </c>
      <c r="E549" s="2" t="s">
        <v>65</v>
      </c>
      <c r="F549" s="15">
        <v>45470</v>
      </c>
      <c r="G549" s="25">
        <v>33.36</v>
      </c>
      <c r="H549" s="2" t="s">
        <v>37</v>
      </c>
      <c r="I549" s="4" t="s">
        <v>3318</v>
      </c>
      <c r="J549" s="2" t="str">
        <f>IF(tb2_CampaignResponses[[#This Row],[Gift_Amount]]&lt;0,"Review - negative amount",IF(tb2_CampaignResponses[[#This Row],[Gift_Amount]]&gt;10000,"Review - unusually large donation",""))</f>
        <v/>
      </c>
      <c r="K549" s="21" t="str">
        <f>IF(tb2_CampaignResponses[[#This Row],[Supporter_ID]]="","Review - no supporter ID","")</f>
        <v/>
      </c>
      <c r="L549" s="21" t="str">
        <f ca="1">IF(tb2_CampaignResponses[[#This Row],[Response_Date]]&gt;TODAY(),"Review - future response date","")</f>
        <v/>
      </c>
    </row>
    <row r="550" spans="1:12" x14ac:dyDescent="0.25">
      <c r="A550" s="3" t="s">
        <v>4289</v>
      </c>
      <c r="B550" s="2" t="s">
        <v>1969</v>
      </c>
      <c r="C550" s="2" t="s">
        <v>3427</v>
      </c>
      <c r="D550" s="2" t="s">
        <v>3428</v>
      </c>
      <c r="E550" s="2" t="s">
        <v>4</v>
      </c>
      <c r="F550" s="15">
        <v>45488</v>
      </c>
      <c r="G550" s="25">
        <v>3530.56</v>
      </c>
      <c r="H550" s="2" t="s">
        <v>36</v>
      </c>
      <c r="I550" s="4" t="s">
        <v>3334</v>
      </c>
      <c r="J550" s="2" t="str">
        <f>IF(tb2_CampaignResponses[[#This Row],[Gift_Amount]]&lt;0,"Review - negative amount",IF(tb2_CampaignResponses[[#This Row],[Gift_Amount]]&gt;10000,"Review - unusually large donation",""))</f>
        <v/>
      </c>
      <c r="K550" s="21" t="str">
        <f>IF(tb2_CampaignResponses[[#This Row],[Supporter_ID]]="","Review - no supporter ID","")</f>
        <v/>
      </c>
      <c r="L550" s="21" t="str">
        <f ca="1">IF(tb2_CampaignResponses[[#This Row],[Response_Date]]&gt;TODAY(),"Review - future response date","")</f>
        <v/>
      </c>
    </row>
    <row r="551" spans="1:12" x14ac:dyDescent="0.25">
      <c r="A551" s="3" t="s">
        <v>4290</v>
      </c>
      <c r="B551" s="2"/>
      <c r="C551" s="2" t="s">
        <v>3403</v>
      </c>
      <c r="D551" s="2" t="s">
        <v>3404</v>
      </c>
      <c r="E551" s="2" t="s">
        <v>65</v>
      </c>
      <c r="F551" s="15">
        <v>45629</v>
      </c>
      <c r="G551" s="25">
        <v>142.94999999999999</v>
      </c>
      <c r="H551" s="2" t="s">
        <v>37</v>
      </c>
      <c r="I551" s="4" t="s">
        <v>3385</v>
      </c>
      <c r="J551" s="2" t="str">
        <f>IF(tb2_CampaignResponses[[#This Row],[Gift_Amount]]&lt;0,"Review - negative amount",IF(tb2_CampaignResponses[[#This Row],[Gift_Amount]]&gt;10000,"Review - unusually large donation",""))</f>
        <v/>
      </c>
      <c r="K551" s="21" t="str">
        <f>IF(tb2_CampaignResponses[[#This Row],[Supporter_ID]]="","Review - no supporter ID","")</f>
        <v>Review - no supporter ID</v>
      </c>
      <c r="L551" s="21" t="str">
        <f ca="1">IF(tb2_CampaignResponses[[#This Row],[Response_Date]]&gt;TODAY(),"Review - future response date","")</f>
        <v/>
      </c>
    </row>
    <row r="552" spans="1:12" x14ac:dyDescent="0.25">
      <c r="A552" s="3" t="s">
        <v>4291</v>
      </c>
      <c r="B552" s="2" t="s">
        <v>1153</v>
      </c>
      <c r="C552" s="2" t="s">
        <v>3427</v>
      </c>
      <c r="D552" s="2" t="s">
        <v>3428</v>
      </c>
      <c r="E552" s="2" t="s">
        <v>4</v>
      </c>
      <c r="F552" s="15">
        <v>45488</v>
      </c>
      <c r="G552" s="25">
        <v>17.32</v>
      </c>
      <c r="H552" s="2" t="s">
        <v>37</v>
      </c>
      <c r="I552" s="4" t="s">
        <v>3323</v>
      </c>
      <c r="J552" s="2" t="str">
        <f>IF(tb2_CampaignResponses[[#This Row],[Gift_Amount]]&lt;0,"Review - negative amount",IF(tb2_CampaignResponses[[#This Row],[Gift_Amount]]&gt;10000,"Review - unusually large donation",""))</f>
        <v/>
      </c>
      <c r="K552" s="21" t="str">
        <f>IF(tb2_CampaignResponses[[#This Row],[Supporter_ID]]="","Review - no supporter ID","")</f>
        <v/>
      </c>
      <c r="L552" s="21" t="str">
        <f ca="1">IF(tb2_CampaignResponses[[#This Row],[Response_Date]]&gt;TODAY(),"Review - future response date","")</f>
        <v/>
      </c>
    </row>
    <row r="553" spans="1:12" x14ac:dyDescent="0.25">
      <c r="A553" s="3" t="s">
        <v>4292</v>
      </c>
      <c r="B553" s="2" t="s">
        <v>1526</v>
      </c>
      <c r="C553" s="2" t="s">
        <v>3427</v>
      </c>
      <c r="D553" s="2" t="s">
        <v>3428</v>
      </c>
      <c r="E553" s="2" t="s">
        <v>65</v>
      </c>
      <c r="F553" s="15">
        <v>45488</v>
      </c>
      <c r="G553" s="25">
        <v>81.540000000000006</v>
      </c>
      <c r="H553" s="2" t="s">
        <v>36</v>
      </c>
      <c r="I553" s="4" t="s">
        <v>3323</v>
      </c>
      <c r="J553" s="2" t="str">
        <f>IF(tb2_CampaignResponses[[#This Row],[Gift_Amount]]&lt;0,"Review - negative amount",IF(tb2_CampaignResponses[[#This Row],[Gift_Amount]]&gt;10000,"Review - unusually large donation",""))</f>
        <v/>
      </c>
      <c r="K553" s="21" t="str">
        <f>IF(tb2_CampaignResponses[[#This Row],[Supporter_ID]]="","Review - no supporter ID","")</f>
        <v/>
      </c>
      <c r="L553" s="21" t="str">
        <f ca="1">IF(tb2_CampaignResponses[[#This Row],[Response_Date]]&gt;TODAY(),"Review - future response date","")</f>
        <v/>
      </c>
    </row>
    <row r="554" spans="1:12" x14ac:dyDescent="0.25">
      <c r="A554" s="3" t="s">
        <v>4293</v>
      </c>
      <c r="B554" s="2" t="s">
        <v>272</v>
      </c>
      <c r="C554" s="2" t="s">
        <v>3320</v>
      </c>
      <c r="D554" s="2" t="s">
        <v>3321</v>
      </c>
      <c r="E554" s="2" t="s">
        <v>4</v>
      </c>
      <c r="F554" s="15">
        <v>45458</v>
      </c>
      <c r="G554" s="25">
        <v>6.73</v>
      </c>
      <c r="H554" s="2" t="s">
        <v>36</v>
      </c>
      <c r="I554" s="4" t="s">
        <v>3331</v>
      </c>
      <c r="J554" s="2" t="str">
        <f>IF(tb2_CampaignResponses[[#This Row],[Gift_Amount]]&lt;0,"Review - negative amount",IF(tb2_CampaignResponses[[#This Row],[Gift_Amount]]&gt;10000,"Review - unusually large donation",""))</f>
        <v/>
      </c>
      <c r="K554" s="21" t="str">
        <f>IF(tb2_CampaignResponses[[#This Row],[Supporter_ID]]="","Review - no supporter ID","")</f>
        <v/>
      </c>
      <c r="L554" s="21" t="str">
        <f ca="1">IF(tb2_CampaignResponses[[#This Row],[Response_Date]]&gt;TODAY(),"Review - future response date","")</f>
        <v/>
      </c>
    </row>
    <row r="555" spans="1:12" x14ac:dyDescent="0.25">
      <c r="A555" s="3" t="s">
        <v>4295</v>
      </c>
      <c r="B555" s="2" t="s">
        <v>3159</v>
      </c>
      <c r="C555" s="2" t="s">
        <v>3427</v>
      </c>
      <c r="D555" s="2" t="s">
        <v>3428</v>
      </c>
      <c r="E555" s="2" t="s">
        <v>65</v>
      </c>
      <c r="F555" s="15">
        <v>45488</v>
      </c>
      <c r="G555" s="25">
        <v>4950.67</v>
      </c>
      <c r="H555" s="2" t="s">
        <v>36</v>
      </c>
      <c r="I555" s="4" t="s">
        <v>3328</v>
      </c>
      <c r="J555" s="2" t="str">
        <f>IF(tb2_CampaignResponses[[#This Row],[Gift_Amount]]&lt;0,"Review - negative amount",IF(tb2_CampaignResponses[[#This Row],[Gift_Amount]]&gt;10000,"Review - unusually large donation",""))</f>
        <v/>
      </c>
      <c r="K555" s="21" t="str">
        <f>IF(tb2_CampaignResponses[[#This Row],[Supporter_ID]]="","Review - no supporter ID","")</f>
        <v/>
      </c>
      <c r="L555" s="21" t="str">
        <f ca="1">IF(tb2_CampaignResponses[[#This Row],[Response_Date]]&gt;TODAY(),"Review - future response date","")</f>
        <v/>
      </c>
    </row>
    <row r="556" spans="1:12" x14ac:dyDescent="0.25">
      <c r="A556" s="3" t="s">
        <v>4296</v>
      </c>
      <c r="B556" s="2" t="s">
        <v>1526</v>
      </c>
      <c r="C556" s="2" t="s">
        <v>3341</v>
      </c>
      <c r="D556" s="2" t="s">
        <v>3342</v>
      </c>
      <c r="E556" s="2" t="s">
        <v>4</v>
      </c>
      <c r="F556" s="15">
        <v>45765</v>
      </c>
      <c r="G556" s="25">
        <v>24.43</v>
      </c>
      <c r="H556" s="2" t="s">
        <v>37</v>
      </c>
      <c r="I556" s="4" t="s">
        <v>3370</v>
      </c>
      <c r="J556" s="2" t="str">
        <f>IF(tb2_CampaignResponses[[#This Row],[Gift_Amount]]&lt;0,"Review - negative amount",IF(tb2_CampaignResponses[[#This Row],[Gift_Amount]]&gt;10000,"Review - unusually large donation",""))</f>
        <v/>
      </c>
      <c r="K556" s="21" t="str">
        <f>IF(tb2_CampaignResponses[[#This Row],[Supporter_ID]]="","Review - no supporter ID","")</f>
        <v/>
      </c>
      <c r="L556" s="21" t="str">
        <f ca="1">IF(tb2_CampaignResponses[[#This Row],[Response_Date]]&gt;TODAY(),"Review - future response date","")</f>
        <v/>
      </c>
    </row>
    <row r="557" spans="1:12" x14ac:dyDescent="0.25">
      <c r="A557" s="3" t="s">
        <v>4298</v>
      </c>
      <c r="B557" s="2" t="s">
        <v>1550</v>
      </c>
      <c r="C557" s="2" t="s">
        <v>3325</v>
      </c>
      <c r="D557" s="2" t="s">
        <v>3326</v>
      </c>
      <c r="E557" s="2" t="s">
        <v>3338</v>
      </c>
      <c r="F557" s="15">
        <v>45651</v>
      </c>
      <c r="G557" s="25">
        <v>3571.71</v>
      </c>
      <c r="H557" s="2" t="s">
        <v>36</v>
      </c>
      <c r="I557" s="4" t="s">
        <v>3334</v>
      </c>
      <c r="J557" s="2" t="str">
        <f>IF(tb2_CampaignResponses[[#This Row],[Gift_Amount]]&lt;0,"Review - negative amount",IF(tb2_CampaignResponses[[#This Row],[Gift_Amount]]&gt;10000,"Review - unusually large donation",""))</f>
        <v/>
      </c>
      <c r="K557" s="21" t="str">
        <f>IF(tb2_CampaignResponses[[#This Row],[Supporter_ID]]="","Review - no supporter ID","")</f>
        <v/>
      </c>
      <c r="L557" s="21" t="str">
        <f ca="1">IF(tb2_CampaignResponses[[#This Row],[Response_Date]]&gt;TODAY(),"Review - future response date","")</f>
        <v/>
      </c>
    </row>
    <row r="558" spans="1:12" x14ac:dyDescent="0.25">
      <c r="A558" s="3" t="s">
        <v>4300</v>
      </c>
      <c r="B558" s="2" t="s">
        <v>3106</v>
      </c>
      <c r="C558" s="2" t="s">
        <v>3354</v>
      </c>
      <c r="D558" s="2" t="s">
        <v>3355</v>
      </c>
      <c r="E558" s="2" t="s">
        <v>4</v>
      </c>
      <c r="F558" s="15">
        <v>45618</v>
      </c>
      <c r="G558" s="25">
        <v>298.57</v>
      </c>
      <c r="H558" s="2" t="s">
        <v>37</v>
      </c>
      <c r="I558" s="4" t="s">
        <v>3331</v>
      </c>
      <c r="J558" s="2" t="str">
        <f>IF(tb2_CampaignResponses[[#This Row],[Gift_Amount]]&lt;0,"Review - negative amount",IF(tb2_CampaignResponses[[#This Row],[Gift_Amount]]&gt;10000,"Review - unusually large donation",""))</f>
        <v/>
      </c>
      <c r="K558" s="21" t="str">
        <f>IF(tb2_CampaignResponses[[#This Row],[Supporter_ID]]="","Review - no supporter ID","")</f>
        <v/>
      </c>
      <c r="L558" s="21" t="str">
        <f ca="1">IF(tb2_CampaignResponses[[#This Row],[Response_Date]]&gt;TODAY(),"Review - future response date","")</f>
        <v/>
      </c>
    </row>
    <row r="559" spans="1:12" x14ac:dyDescent="0.25">
      <c r="A559" s="3" t="s">
        <v>4301</v>
      </c>
      <c r="B559" s="2" t="s">
        <v>1643</v>
      </c>
      <c r="C559" s="2" t="s">
        <v>3354</v>
      </c>
      <c r="D559" s="2" t="s">
        <v>3355</v>
      </c>
      <c r="E559" s="2" t="s">
        <v>65</v>
      </c>
      <c r="F559" s="15">
        <v>45618</v>
      </c>
      <c r="G559" s="25">
        <v>4793.99</v>
      </c>
      <c r="H559" s="2" t="s">
        <v>36</v>
      </c>
      <c r="I559" s="4" t="s">
        <v>3334</v>
      </c>
      <c r="J559" s="2" t="str">
        <f>IF(tb2_CampaignResponses[[#This Row],[Gift_Amount]]&lt;0,"Review - negative amount",IF(tb2_CampaignResponses[[#This Row],[Gift_Amount]]&gt;10000,"Review - unusually large donation",""))</f>
        <v/>
      </c>
      <c r="K559" s="21" t="str">
        <f>IF(tb2_CampaignResponses[[#This Row],[Supporter_ID]]="","Review - no supporter ID","")</f>
        <v/>
      </c>
      <c r="L559" s="21" t="str">
        <f ca="1">IF(tb2_CampaignResponses[[#This Row],[Response_Date]]&gt;TODAY(),"Review - future response date","")</f>
        <v/>
      </c>
    </row>
    <row r="560" spans="1:12" x14ac:dyDescent="0.25">
      <c r="A560" s="3" t="s">
        <v>4302</v>
      </c>
      <c r="B560" s="2" t="s">
        <v>2638</v>
      </c>
      <c r="C560" s="2" t="s">
        <v>3314</v>
      </c>
      <c r="D560" s="2" t="s">
        <v>3315</v>
      </c>
      <c r="E560" s="2" t="s">
        <v>3316</v>
      </c>
      <c r="F560" s="15">
        <v>45739</v>
      </c>
      <c r="G560" s="25">
        <v>276.51</v>
      </c>
      <c r="H560" s="2" t="s">
        <v>36</v>
      </c>
      <c r="I560" s="4" t="s">
        <v>3328</v>
      </c>
      <c r="J560" s="2" t="str">
        <f>IF(tb2_CampaignResponses[[#This Row],[Gift_Amount]]&lt;0,"Review - negative amount",IF(tb2_CampaignResponses[[#This Row],[Gift_Amount]]&gt;10000,"Review - unusually large donation",""))</f>
        <v/>
      </c>
      <c r="K560" s="21" t="str">
        <f>IF(tb2_CampaignResponses[[#This Row],[Supporter_ID]]="","Review - no supporter ID","")</f>
        <v/>
      </c>
      <c r="L560" s="21" t="str">
        <f ca="1">IF(tb2_CampaignResponses[[#This Row],[Response_Date]]&gt;TODAY(),"Review - future response date","")</f>
        <v/>
      </c>
    </row>
    <row r="561" spans="1:12" x14ac:dyDescent="0.25">
      <c r="A561" s="3" t="s">
        <v>4304</v>
      </c>
      <c r="B561" s="2" t="s">
        <v>1511</v>
      </c>
      <c r="C561" s="2" t="s">
        <v>3314</v>
      </c>
      <c r="D561" s="2" t="s">
        <v>3315</v>
      </c>
      <c r="E561" s="2" t="s">
        <v>33</v>
      </c>
      <c r="F561" s="15">
        <v>45701</v>
      </c>
      <c r="G561" s="25">
        <v>65.23</v>
      </c>
      <c r="H561" s="2" t="s">
        <v>37</v>
      </c>
      <c r="I561" s="4" t="s">
        <v>3334</v>
      </c>
      <c r="J561" s="2" t="str">
        <f>IF(tb2_CampaignResponses[[#This Row],[Gift_Amount]]&lt;0,"Review - negative amount",IF(tb2_CampaignResponses[[#This Row],[Gift_Amount]]&gt;10000,"Review - unusually large donation",""))</f>
        <v/>
      </c>
      <c r="K561" s="21" t="str">
        <f>IF(tb2_CampaignResponses[[#This Row],[Supporter_ID]]="","Review - no supporter ID","")</f>
        <v/>
      </c>
      <c r="L561" s="21" t="str">
        <f ca="1">IF(tb2_CampaignResponses[[#This Row],[Response_Date]]&gt;TODAY(),"Review - future response date","")</f>
        <v/>
      </c>
    </row>
    <row r="562" spans="1:12" x14ac:dyDescent="0.25">
      <c r="A562" s="3" t="s">
        <v>4306</v>
      </c>
      <c r="B562" s="2" t="s">
        <v>961</v>
      </c>
      <c r="C562" s="2" t="s">
        <v>3325</v>
      </c>
      <c r="D562" s="2" t="s">
        <v>3326</v>
      </c>
      <c r="E562" s="2" t="s">
        <v>65</v>
      </c>
      <c r="F562" s="15">
        <v>45363</v>
      </c>
      <c r="G562" s="25">
        <v>47.28</v>
      </c>
      <c r="H562" s="2" t="s">
        <v>36</v>
      </c>
      <c r="I562" s="4" t="s">
        <v>3331</v>
      </c>
      <c r="J562" s="2" t="str">
        <f>IF(tb2_CampaignResponses[[#This Row],[Gift_Amount]]&lt;0,"Review - negative amount",IF(tb2_CampaignResponses[[#This Row],[Gift_Amount]]&gt;10000,"Review - unusually large donation",""))</f>
        <v/>
      </c>
      <c r="K562" s="21" t="str">
        <f>IF(tb2_CampaignResponses[[#This Row],[Supporter_ID]]="","Review - no supporter ID","")</f>
        <v/>
      </c>
      <c r="L562" s="21" t="str">
        <f ca="1">IF(tb2_CampaignResponses[[#This Row],[Response_Date]]&gt;TODAY(),"Review - future response date","")</f>
        <v/>
      </c>
    </row>
    <row r="563" spans="1:12" x14ac:dyDescent="0.25">
      <c r="A563" s="3" t="s">
        <v>4308</v>
      </c>
      <c r="B563" s="2" t="s">
        <v>2819</v>
      </c>
      <c r="C563" s="2" t="s">
        <v>3403</v>
      </c>
      <c r="D563" s="2" t="s">
        <v>3404</v>
      </c>
      <c r="E563" s="2" t="s">
        <v>3316</v>
      </c>
      <c r="F563" s="15">
        <v>45605</v>
      </c>
      <c r="G563" s="25">
        <v>48.44</v>
      </c>
      <c r="H563" s="2" t="s">
        <v>37</v>
      </c>
      <c r="I563" s="4" t="s">
        <v>3385</v>
      </c>
      <c r="J563" s="2" t="str">
        <f>IF(tb2_CampaignResponses[[#This Row],[Gift_Amount]]&lt;0,"Review - negative amount",IF(tb2_CampaignResponses[[#This Row],[Gift_Amount]]&gt;10000,"Review - unusually large donation",""))</f>
        <v/>
      </c>
      <c r="K563" s="21" t="str">
        <f>IF(tb2_CampaignResponses[[#This Row],[Supporter_ID]]="","Review - no supporter ID","")</f>
        <v/>
      </c>
      <c r="L563" s="21" t="str">
        <f ca="1">IF(tb2_CampaignResponses[[#This Row],[Response_Date]]&gt;TODAY(),"Review - future response date","")</f>
        <v/>
      </c>
    </row>
    <row r="564" spans="1:12" x14ac:dyDescent="0.25">
      <c r="A564" s="3" t="s">
        <v>4309</v>
      </c>
      <c r="B564" s="2" t="s">
        <v>1440</v>
      </c>
      <c r="C564" s="2" t="s">
        <v>3403</v>
      </c>
      <c r="D564" s="2" t="s">
        <v>3404</v>
      </c>
      <c r="E564" s="2" t="s">
        <v>65</v>
      </c>
      <c r="F564" s="15">
        <v>45590</v>
      </c>
      <c r="G564" s="25">
        <v>99.31</v>
      </c>
      <c r="H564" s="2" t="s">
        <v>37</v>
      </c>
      <c r="I564" s="4" t="s">
        <v>3323</v>
      </c>
      <c r="J564" s="2" t="str">
        <f>IF(tb2_CampaignResponses[[#This Row],[Gift_Amount]]&lt;0,"Review - negative amount",IF(tb2_CampaignResponses[[#This Row],[Gift_Amount]]&gt;10000,"Review - unusually large donation",""))</f>
        <v/>
      </c>
      <c r="K564" s="21" t="str">
        <f>IF(tb2_CampaignResponses[[#This Row],[Supporter_ID]]="","Review - no supporter ID","")</f>
        <v/>
      </c>
      <c r="L564" s="21" t="str">
        <f ca="1">IF(tb2_CampaignResponses[[#This Row],[Response_Date]]&gt;TODAY(),"Review - future response date","")</f>
        <v/>
      </c>
    </row>
    <row r="565" spans="1:12" x14ac:dyDescent="0.25">
      <c r="A565" s="3" t="s">
        <v>4311</v>
      </c>
      <c r="B565" s="2" t="s">
        <v>1180</v>
      </c>
      <c r="C565" s="2" t="s">
        <v>3336</v>
      </c>
      <c r="D565" s="2" t="s">
        <v>3337</v>
      </c>
      <c r="E565" s="2" t="s">
        <v>4</v>
      </c>
      <c r="F565" s="15">
        <v>45569</v>
      </c>
      <c r="G565" s="25">
        <v>2844.71</v>
      </c>
      <c r="H565" s="2" t="s">
        <v>37</v>
      </c>
      <c r="I565" s="4" t="s">
        <v>3318</v>
      </c>
      <c r="J565" s="2" t="str">
        <f>IF(tb2_CampaignResponses[[#This Row],[Gift_Amount]]&lt;0,"Review - negative amount",IF(tb2_CampaignResponses[[#This Row],[Gift_Amount]]&gt;10000,"Review - unusually large donation",""))</f>
        <v/>
      </c>
      <c r="K565" s="21" t="str">
        <f>IF(tb2_CampaignResponses[[#This Row],[Supporter_ID]]="","Review - no supporter ID","")</f>
        <v/>
      </c>
      <c r="L565" s="21" t="str">
        <f ca="1">IF(tb2_CampaignResponses[[#This Row],[Response_Date]]&gt;TODAY(),"Review - future response date","")</f>
        <v/>
      </c>
    </row>
    <row r="566" spans="1:12" x14ac:dyDescent="0.25">
      <c r="A566" s="3" t="s">
        <v>4313</v>
      </c>
      <c r="B566" s="2" t="s">
        <v>1814</v>
      </c>
      <c r="C566" s="2" t="s">
        <v>3403</v>
      </c>
      <c r="D566" s="2" t="s">
        <v>3404</v>
      </c>
      <c r="E566" s="2" t="s">
        <v>4</v>
      </c>
      <c r="F566" s="15">
        <v>45629</v>
      </c>
      <c r="G566" s="25">
        <v>22.66</v>
      </c>
      <c r="H566" s="2" t="s">
        <v>36</v>
      </c>
      <c r="I566" s="4" t="s">
        <v>3385</v>
      </c>
      <c r="J566" s="2" t="str">
        <f>IF(tb2_CampaignResponses[[#This Row],[Gift_Amount]]&lt;0,"Review - negative amount",IF(tb2_CampaignResponses[[#This Row],[Gift_Amount]]&gt;10000,"Review - unusually large donation",""))</f>
        <v/>
      </c>
      <c r="K566" s="21" t="str">
        <f>IF(tb2_CampaignResponses[[#This Row],[Supporter_ID]]="","Review - no supporter ID","")</f>
        <v/>
      </c>
      <c r="L566" s="21" t="str">
        <f ca="1">IF(tb2_CampaignResponses[[#This Row],[Response_Date]]&gt;TODAY(),"Review - future response date","")</f>
        <v/>
      </c>
    </row>
    <row r="567" spans="1:12" x14ac:dyDescent="0.25">
      <c r="A567" s="3" t="s">
        <v>4315</v>
      </c>
      <c r="B567" s="2" t="s">
        <v>2970</v>
      </c>
      <c r="C567" s="2" t="s">
        <v>3325</v>
      </c>
      <c r="D567" s="2" t="s">
        <v>3326</v>
      </c>
      <c r="E567" s="2" t="s">
        <v>4</v>
      </c>
      <c r="F567" s="15">
        <v>45599</v>
      </c>
      <c r="G567" s="25">
        <v>5.19</v>
      </c>
      <c r="H567" s="2" t="s">
        <v>37</v>
      </c>
      <c r="I567" s="4" t="s">
        <v>3365</v>
      </c>
      <c r="J567" s="2" t="str">
        <f>IF(tb2_CampaignResponses[[#This Row],[Gift_Amount]]&lt;0,"Review - negative amount",IF(tb2_CampaignResponses[[#This Row],[Gift_Amount]]&gt;10000,"Review - unusually large donation",""))</f>
        <v/>
      </c>
      <c r="K567" s="21" t="str">
        <f>IF(tb2_CampaignResponses[[#This Row],[Supporter_ID]]="","Review - no supporter ID","")</f>
        <v/>
      </c>
      <c r="L567" s="21" t="str">
        <f ca="1">IF(tb2_CampaignResponses[[#This Row],[Response_Date]]&gt;TODAY(),"Review - future response date","")</f>
        <v/>
      </c>
    </row>
    <row r="568" spans="1:12" x14ac:dyDescent="0.25">
      <c r="A568" s="3" t="s">
        <v>4317</v>
      </c>
      <c r="B568" s="2" t="s">
        <v>604</v>
      </c>
      <c r="C568" s="2" t="s">
        <v>3314</v>
      </c>
      <c r="D568" s="2" t="s">
        <v>3315</v>
      </c>
      <c r="E568" s="2" t="s">
        <v>65</v>
      </c>
      <c r="F568" s="15">
        <v>45694</v>
      </c>
      <c r="G568" s="25">
        <v>34.54</v>
      </c>
      <c r="H568" s="2" t="s">
        <v>36</v>
      </c>
      <c r="I568" s="4" t="s">
        <v>3318</v>
      </c>
      <c r="J568" s="2" t="str">
        <f>IF(tb2_CampaignResponses[[#This Row],[Gift_Amount]]&lt;0,"Review - negative amount",IF(tb2_CampaignResponses[[#This Row],[Gift_Amount]]&gt;10000,"Review - unusually large donation",""))</f>
        <v/>
      </c>
      <c r="K568" s="21" t="str">
        <f>IF(tb2_CampaignResponses[[#This Row],[Supporter_ID]]="","Review - no supporter ID","")</f>
        <v/>
      </c>
      <c r="L568" s="21" t="str">
        <f ca="1">IF(tb2_CampaignResponses[[#This Row],[Response_Date]]&gt;TODAY(),"Review - future response date","")</f>
        <v/>
      </c>
    </row>
    <row r="569" spans="1:12" x14ac:dyDescent="0.25">
      <c r="A569" s="3" t="s">
        <v>4319</v>
      </c>
      <c r="B569" s="2" t="s">
        <v>223</v>
      </c>
      <c r="C569" s="2" t="s">
        <v>3325</v>
      </c>
      <c r="D569" s="2" t="s">
        <v>3326</v>
      </c>
      <c r="E569" s="2" t="s">
        <v>3316</v>
      </c>
      <c r="F569" s="15">
        <v>45609</v>
      </c>
      <c r="G569" s="25">
        <v>1657.14</v>
      </c>
      <c r="H569" s="2" t="s">
        <v>36</v>
      </c>
      <c r="I569" s="4" t="s">
        <v>3323</v>
      </c>
      <c r="J569" s="2" t="str">
        <f>IF(tb2_CampaignResponses[[#This Row],[Gift_Amount]]&lt;0,"Review - negative amount",IF(tb2_CampaignResponses[[#This Row],[Gift_Amount]]&gt;10000,"Review - unusually large donation",""))</f>
        <v/>
      </c>
      <c r="K569" s="21" t="str">
        <f>IF(tb2_CampaignResponses[[#This Row],[Supporter_ID]]="","Review - no supporter ID","")</f>
        <v/>
      </c>
      <c r="L569" s="21" t="str">
        <f ca="1">IF(tb2_CampaignResponses[[#This Row],[Response_Date]]&gt;TODAY(),"Review - future response date","")</f>
        <v/>
      </c>
    </row>
    <row r="570" spans="1:12" x14ac:dyDescent="0.25">
      <c r="A570" s="3" t="s">
        <v>4321</v>
      </c>
      <c r="B570" s="2" t="s">
        <v>3037</v>
      </c>
      <c r="C570" s="2" t="s">
        <v>3427</v>
      </c>
      <c r="D570" s="2" t="s">
        <v>3428</v>
      </c>
      <c r="E570" s="2" t="s">
        <v>4</v>
      </c>
      <c r="F570" s="15">
        <v>45488</v>
      </c>
      <c r="G570" s="25">
        <v>54.07</v>
      </c>
      <c r="H570" s="2" t="s">
        <v>36</v>
      </c>
      <c r="I570" s="4" t="s">
        <v>3323</v>
      </c>
      <c r="J570" s="2" t="str">
        <f>IF(tb2_CampaignResponses[[#This Row],[Gift_Amount]]&lt;0,"Review - negative amount",IF(tb2_CampaignResponses[[#This Row],[Gift_Amount]]&gt;10000,"Review - unusually large donation",""))</f>
        <v/>
      </c>
      <c r="K570" s="21" t="str">
        <f>IF(tb2_CampaignResponses[[#This Row],[Supporter_ID]]="","Review - no supporter ID","")</f>
        <v/>
      </c>
      <c r="L570" s="21" t="str">
        <f ca="1">IF(tb2_CampaignResponses[[#This Row],[Response_Date]]&gt;TODAY(),"Review - future response date","")</f>
        <v/>
      </c>
    </row>
    <row r="571" spans="1:12" x14ac:dyDescent="0.25">
      <c r="A571" s="3" t="s">
        <v>4322</v>
      </c>
      <c r="B571" s="2" t="s">
        <v>2350</v>
      </c>
      <c r="C571" s="2" t="s">
        <v>3325</v>
      </c>
      <c r="D571" s="2" t="s">
        <v>3326</v>
      </c>
      <c r="E571" s="2" t="s">
        <v>3338</v>
      </c>
      <c r="F571" s="15">
        <v>45624</v>
      </c>
      <c r="G571" s="25">
        <v>-9.26</v>
      </c>
      <c r="H571" s="2" t="s">
        <v>37</v>
      </c>
      <c r="I571" s="4" t="s">
        <v>3323</v>
      </c>
      <c r="J571" s="2" t="str">
        <f>IF(tb2_CampaignResponses[[#This Row],[Gift_Amount]]&lt;0,"Review - negative amount",IF(tb2_CampaignResponses[[#This Row],[Gift_Amount]]&gt;10000,"Review - unusually large donation",""))</f>
        <v>Review - negative amount</v>
      </c>
      <c r="K571" s="21" t="str">
        <f>IF(tb2_CampaignResponses[[#This Row],[Supporter_ID]]="","Review - no supporter ID","")</f>
        <v/>
      </c>
      <c r="L571" s="21" t="str">
        <f ca="1">IF(tb2_CampaignResponses[[#This Row],[Response_Date]]&gt;TODAY(),"Review - future response date","")</f>
        <v/>
      </c>
    </row>
    <row r="572" spans="1:12" x14ac:dyDescent="0.25">
      <c r="A572" s="3" t="s">
        <v>4324</v>
      </c>
      <c r="B572" s="2" t="s">
        <v>939</v>
      </c>
      <c r="C572" s="2" t="s">
        <v>3320</v>
      </c>
      <c r="D572" s="2" t="s">
        <v>3321</v>
      </c>
      <c r="E572" s="2" t="s">
        <v>65</v>
      </c>
      <c r="F572" s="15">
        <v>45461</v>
      </c>
      <c r="G572" s="25">
        <v>22.87</v>
      </c>
      <c r="H572" s="2" t="s">
        <v>36</v>
      </c>
      <c r="I572" s="4" t="s">
        <v>3365</v>
      </c>
      <c r="J572" s="2" t="str">
        <f>IF(tb2_CampaignResponses[[#This Row],[Gift_Amount]]&lt;0,"Review - negative amount",IF(tb2_CampaignResponses[[#This Row],[Gift_Amount]]&gt;10000,"Review - unusually large donation",""))</f>
        <v/>
      </c>
      <c r="K572" s="21" t="str">
        <f>IF(tb2_CampaignResponses[[#This Row],[Supporter_ID]]="","Review - no supporter ID","")</f>
        <v/>
      </c>
      <c r="L572" s="21" t="str">
        <f ca="1">IF(tb2_CampaignResponses[[#This Row],[Response_Date]]&gt;TODAY(),"Review - future response date","")</f>
        <v/>
      </c>
    </row>
    <row r="573" spans="1:12" x14ac:dyDescent="0.25">
      <c r="A573" s="3" t="s">
        <v>4326</v>
      </c>
      <c r="B573" s="2" t="s">
        <v>336</v>
      </c>
      <c r="C573" s="2" t="s">
        <v>3403</v>
      </c>
      <c r="D573" s="2" t="s">
        <v>3404</v>
      </c>
      <c r="E573" s="2" t="s">
        <v>3316</v>
      </c>
      <c r="F573" s="15">
        <v>45614</v>
      </c>
      <c r="G573" s="25">
        <v>98.53</v>
      </c>
      <c r="H573" s="2" t="s">
        <v>37</v>
      </c>
      <c r="I573" s="4" t="s">
        <v>3328</v>
      </c>
      <c r="J573" s="2" t="str">
        <f>IF(tb2_CampaignResponses[[#This Row],[Gift_Amount]]&lt;0,"Review - negative amount",IF(tb2_CampaignResponses[[#This Row],[Gift_Amount]]&gt;10000,"Review - unusually large donation",""))</f>
        <v/>
      </c>
      <c r="K573" s="21" t="str">
        <f>IF(tb2_CampaignResponses[[#This Row],[Supporter_ID]]="","Review - no supporter ID","")</f>
        <v/>
      </c>
      <c r="L573" s="21" t="str">
        <f ca="1">IF(tb2_CampaignResponses[[#This Row],[Response_Date]]&gt;TODAY(),"Review - future response date","")</f>
        <v/>
      </c>
    </row>
    <row r="574" spans="1:12" x14ac:dyDescent="0.25">
      <c r="A574" s="3" t="s">
        <v>4327</v>
      </c>
      <c r="B574" s="2" t="s">
        <v>2508</v>
      </c>
      <c r="C574" s="2" t="s">
        <v>3341</v>
      </c>
      <c r="D574" s="2" t="s">
        <v>3342</v>
      </c>
      <c r="E574" s="2" t="s">
        <v>4</v>
      </c>
      <c r="F574" s="15">
        <v>45701</v>
      </c>
      <c r="G574" s="25">
        <v>38.31</v>
      </c>
      <c r="H574" s="2" t="s">
        <v>36</v>
      </c>
      <c r="I574" s="4" t="s">
        <v>3385</v>
      </c>
      <c r="J574" s="2" t="str">
        <f>IF(tb2_CampaignResponses[[#This Row],[Gift_Amount]]&lt;0,"Review - negative amount",IF(tb2_CampaignResponses[[#This Row],[Gift_Amount]]&gt;10000,"Review - unusually large donation",""))</f>
        <v/>
      </c>
      <c r="K574" s="21" t="str">
        <f>IF(tb2_CampaignResponses[[#This Row],[Supporter_ID]]="","Review - no supporter ID","")</f>
        <v/>
      </c>
      <c r="L574" s="21" t="str">
        <f ca="1">IF(tb2_CampaignResponses[[#This Row],[Response_Date]]&gt;TODAY(),"Review - future response date","")</f>
        <v/>
      </c>
    </row>
    <row r="575" spans="1:12" x14ac:dyDescent="0.25">
      <c r="A575" s="3" t="s">
        <v>4328</v>
      </c>
      <c r="B575" s="2" t="s">
        <v>471</v>
      </c>
      <c r="C575" s="2" t="s">
        <v>3336</v>
      </c>
      <c r="D575" s="2" t="s">
        <v>3337</v>
      </c>
      <c r="E575" s="2" t="s">
        <v>4</v>
      </c>
      <c r="F575" s="15">
        <v>45577</v>
      </c>
      <c r="G575" s="25">
        <v>63.03</v>
      </c>
      <c r="H575" s="2" t="s">
        <v>36</v>
      </c>
      <c r="I575" s="4" t="s">
        <v>3323</v>
      </c>
      <c r="J575" s="2" t="str">
        <f>IF(tb2_CampaignResponses[[#This Row],[Gift_Amount]]&lt;0,"Review - negative amount",IF(tb2_CampaignResponses[[#This Row],[Gift_Amount]]&gt;10000,"Review - unusually large donation",""))</f>
        <v/>
      </c>
      <c r="K575" s="21" t="str">
        <f>IF(tb2_CampaignResponses[[#This Row],[Supporter_ID]]="","Review - no supporter ID","")</f>
        <v/>
      </c>
      <c r="L575" s="21" t="str">
        <f ca="1">IF(tb2_CampaignResponses[[#This Row],[Response_Date]]&gt;TODAY(),"Review - future response date","")</f>
        <v/>
      </c>
    </row>
    <row r="576" spans="1:12" x14ac:dyDescent="0.25">
      <c r="A576" s="3" t="s">
        <v>4329</v>
      </c>
      <c r="B576" s="2" t="s">
        <v>1226</v>
      </c>
      <c r="C576" s="2" t="s">
        <v>3427</v>
      </c>
      <c r="D576" s="2" t="s">
        <v>3428</v>
      </c>
      <c r="E576" s="2" t="s">
        <v>65</v>
      </c>
      <c r="F576" s="15">
        <v>45488</v>
      </c>
      <c r="G576" s="25">
        <v>39.94</v>
      </c>
      <c r="H576" s="2" t="s">
        <v>37</v>
      </c>
      <c r="I576" s="4" t="s">
        <v>3385</v>
      </c>
      <c r="J576" s="2" t="str">
        <f>IF(tb2_CampaignResponses[[#This Row],[Gift_Amount]]&lt;0,"Review - negative amount",IF(tb2_CampaignResponses[[#This Row],[Gift_Amount]]&gt;10000,"Review - unusually large donation",""))</f>
        <v/>
      </c>
      <c r="K576" s="21" t="str">
        <f>IF(tb2_CampaignResponses[[#This Row],[Supporter_ID]]="","Review - no supporter ID","")</f>
        <v/>
      </c>
      <c r="L576" s="21" t="str">
        <f ca="1">IF(tb2_CampaignResponses[[#This Row],[Response_Date]]&gt;TODAY(),"Review - future response date","")</f>
        <v/>
      </c>
    </row>
    <row r="577" spans="1:12" x14ac:dyDescent="0.25">
      <c r="A577" s="3" t="s">
        <v>4330</v>
      </c>
      <c r="B577" s="2" t="s">
        <v>1903</v>
      </c>
      <c r="C577" s="2" t="s">
        <v>3427</v>
      </c>
      <c r="D577" s="2" t="s">
        <v>3428</v>
      </c>
      <c r="E577" s="2" t="s">
        <v>65</v>
      </c>
      <c r="F577" s="15">
        <v>45488</v>
      </c>
      <c r="G577" s="25">
        <v>26.98</v>
      </c>
      <c r="H577" s="2" t="s">
        <v>36</v>
      </c>
      <c r="I577" s="4" t="s">
        <v>3370</v>
      </c>
      <c r="J577" s="2" t="str">
        <f>IF(tb2_CampaignResponses[[#This Row],[Gift_Amount]]&lt;0,"Review - negative amount",IF(tb2_CampaignResponses[[#This Row],[Gift_Amount]]&gt;10000,"Review - unusually large donation",""))</f>
        <v/>
      </c>
      <c r="K577" s="21" t="str">
        <f>IF(tb2_CampaignResponses[[#This Row],[Supporter_ID]]="","Review - no supporter ID","")</f>
        <v/>
      </c>
      <c r="L577" s="21" t="str">
        <f ca="1">IF(tb2_CampaignResponses[[#This Row],[Response_Date]]&gt;TODAY(),"Review - future response date","")</f>
        <v/>
      </c>
    </row>
    <row r="578" spans="1:12" x14ac:dyDescent="0.25">
      <c r="A578" s="3" t="s">
        <v>4331</v>
      </c>
      <c r="B578" s="2" t="s">
        <v>2463</v>
      </c>
      <c r="C578" s="2" t="s">
        <v>3403</v>
      </c>
      <c r="D578" s="2" t="s">
        <v>3404</v>
      </c>
      <c r="E578" s="2" t="s">
        <v>65</v>
      </c>
      <c r="F578" s="15">
        <v>45629</v>
      </c>
      <c r="G578" s="25">
        <v>80.69</v>
      </c>
      <c r="H578" s="2" t="s">
        <v>37</v>
      </c>
      <c r="I578" s="4" t="s">
        <v>3334</v>
      </c>
      <c r="J578" s="2" t="str">
        <f>IF(tb2_CampaignResponses[[#This Row],[Gift_Amount]]&lt;0,"Review - negative amount",IF(tb2_CampaignResponses[[#This Row],[Gift_Amount]]&gt;10000,"Review - unusually large donation",""))</f>
        <v/>
      </c>
      <c r="K578" s="21" t="str">
        <f>IF(tb2_CampaignResponses[[#This Row],[Supporter_ID]]="","Review - no supporter ID","")</f>
        <v/>
      </c>
      <c r="L578" s="21" t="str">
        <f ca="1">IF(tb2_CampaignResponses[[#This Row],[Response_Date]]&gt;TODAY(),"Review - future response date","")</f>
        <v/>
      </c>
    </row>
    <row r="579" spans="1:12" x14ac:dyDescent="0.25">
      <c r="A579" s="3" t="s">
        <v>4333</v>
      </c>
      <c r="B579" s="2" t="s">
        <v>863</v>
      </c>
      <c r="C579" s="2" t="s">
        <v>3403</v>
      </c>
      <c r="D579" s="2" t="s">
        <v>3404</v>
      </c>
      <c r="E579" s="2" t="s">
        <v>65</v>
      </c>
      <c r="F579" s="15">
        <v>45598</v>
      </c>
      <c r="G579" s="25">
        <v>9.82</v>
      </c>
      <c r="H579" s="2" t="s">
        <v>37</v>
      </c>
      <c r="I579" s="4" t="s">
        <v>3331</v>
      </c>
      <c r="J579" s="2" t="str">
        <f>IF(tb2_CampaignResponses[[#This Row],[Gift_Amount]]&lt;0,"Review - negative amount",IF(tb2_CampaignResponses[[#This Row],[Gift_Amount]]&gt;10000,"Review - unusually large donation",""))</f>
        <v/>
      </c>
      <c r="K579" s="21" t="str">
        <f>IF(tb2_CampaignResponses[[#This Row],[Supporter_ID]]="","Review - no supporter ID","")</f>
        <v/>
      </c>
      <c r="L579" s="21" t="str">
        <f ca="1">IF(tb2_CampaignResponses[[#This Row],[Response_Date]]&gt;TODAY(),"Review - future response date","")</f>
        <v/>
      </c>
    </row>
    <row r="580" spans="1:12" x14ac:dyDescent="0.25">
      <c r="A580" s="3" t="s">
        <v>4334</v>
      </c>
      <c r="B580" s="2" t="s">
        <v>1000</v>
      </c>
      <c r="C580" s="2" t="s">
        <v>3336</v>
      </c>
      <c r="D580" s="2" t="s">
        <v>3337</v>
      </c>
      <c r="E580" s="2" t="s">
        <v>65</v>
      </c>
      <c r="F580" s="15">
        <v>45546</v>
      </c>
      <c r="G580" s="25">
        <v>73.319999999999993</v>
      </c>
      <c r="H580" s="2" t="s">
        <v>37</v>
      </c>
      <c r="I580" s="4" t="s">
        <v>3328</v>
      </c>
      <c r="J580" s="2" t="str">
        <f>IF(tb2_CampaignResponses[[#This Row],[Gift_Amount]]&lt;0,"Review - negative amount",IF(tb2_CampaignResponses[[#This Row],[Gift_Amount]]&gt;10000,"Review - unusually large donation",""))</f>
        <v/>
      </c>
      <c r="K580" s="21" t="str">
        <f>IF(tb2_CampaignResponses[[#This Row],[Supporter_ID]]="","Review - no supporter ID","")</f>
        <v/>
      </c>
      <c r="L580" s="21" t="str">
        <f ca="1">IF(tb2_CampaignResponses[[#This Row],[Response_Date]]&gt;TODAY(),"Review - future response date","")</f>
        <v/>
      </c>
    </row>
    <row r="581" spans="1:12" x14ac:dyDescent="0.25">
      <c r="A581" s="3" t="s">
        <v>4336</v>
      </c>
      <c r="B581" s="2" t="s">
        <v>1161</v>
      </c>
      <c r="C581" s="2" t="s">
        <v>3427</v>
      </c>
      <c r="D581" s="2" t="s">
        <v>3428</v>
      </c>
      <c r="E581" s="2" t="s">
        <v>65</v>
      </c>
      <c r="F581" s="15">
        <v>45488</v>
      </c>
      <c r="G581" s="25">
        <v>129.94999999999999</v>
      </c>
      <c r="H581" s="2" t="s">
        <v>36</v>
      </c>
      <c r="I581" s="4" t="s">
        <v>3318</v>
      </c>
      <c r="J581" s="2" t="str">
        <f>IF(tb2_CampaignResponses[[#This Row],[Gift_Amount]]&lt;0,"Review - negative amount",IF(tb2_CampaignResponses[[#This Row],[Gift_Amount]]&gt;10000,"Review - unusually large donation",""))</f>
        <v/>
      </c>
      <c r="K581" s="21" t="str">
        <f>IF(tb2_CampaignResponses[[#This Row],[Supporter_ID]]="","Review - no supporter ID","")</f>
        <v/>
      </c>
      <c r="L581" s="21" t="str">
        <f ca="1">IF(tb2_CampaignResponses[[#This Row],[Response_Date]]&gt;TODAY(),"Review - future response date","")</f>
        <v/>
      </c>
    </row>
    <row r="582" spans="1:12" x14ac:dyDescent="0.25">
      <c r="A582" s="3" t="s">
        <v>4337</v>
      </c>
      <c r="B582" s="2" t="s">
        <v>119</v>
      </c>
      <c r="C582" s="2" t="s">
        <v>3427</v>
      </c>
      <c r="D582" s="2" t="s">
        <v>3428</v>
      </c>
      <c r="E582" s="2" t="s">
        <v>65</v>
      </c>
      <c r="F582" s="15">
        <v>45488</v>
      </c>
      <c r="G582" s="25">
        <v>57.73</v>
      </c>
      <c r="H582" s="2" t="s">
        <v>37</v>
      </c>
      <c r="I582" s="4" t="s">
        <v>3328</v>
      </c>
      <c r="J582" s="2" t="str">
        <f>IF(tb2_CampaignResponses[[#This Row],[Gift_Amount]]&lt;0,"Review - negative amount",IF(tb2_CampaignResponses[[#This Row],[Gift_Amount]]&gt;10000,"Review - unusually large donation",""))</f>
        <v/>
      </c>
      <c r="K582" s="21" t="str">
        <f>IF(tb2_CampaignResponses[[#This Row],[Supporter_ID]]="","Review - no supporter ID","")</f>
        <v/>
      </c>
      <c r="L582" s="21" t="str">
        <f ca="1">IF(tb2_CampaignResponses[[#This Row],[Response_Date]]&gt;TODAY(),"Review - future response date","")</f>
        <v/>
      </c>
    </row>
    <row r="583" spans="1:12" x14ac:dyDescent="0.25">
      <c r="A583" s="3" t="s">
        <v>4338</v>
      </c>
      <c r="B583" s="2" t="s">
        <v>723</v>
      </c>
      <c r="C583" s="2" t="s">
        <v>3403</v>
      </c>
      <c r="D583" s="2" t="s">
        <v>3404</v>
      </c>
      <c r="E583" s="2" t="s">
        <v>3316</v>
      </c>
      <c r="F583" s="15">
        <v>45622</v>
      </c>
      <c r="G583" s="25">
        <v>1926.84</v>
      </c>
      <c r="H583" s="2" t="s">
        <v>37</v>
      </c>
      <c r="I583" s="4" t="s">
        <v>3370</v>
      </c>
      <c r="J583" s="2" t="str">
        <f>IF(tb2_CampaignResponses[[#This Row],[Gift_Amount]]&lt;0,"Review - negative amount",IF(tb2_CampaignResponses[[#This Row],[Gift_Amount]]&gt;10000,"Review - unusually large donation",""))</f>
        <v/>
      </c>
      <c r="K583" s="21" t="str">
        <f>IF(tb2_CampaignResponses[[#This Row],[Supporter_ID]]="","Review - no supporter ID","")</f>
        <v/>
      </c>
      <c r="L583" s="21" t="str">
        <f ca="1">IF(tb2_CampaignResponses[[#This Row],[Response_Date]]&gt;TODAY(),"Review - future response date","")</f>
        <v/>
      </c>
    </row>
    <row r="584" spans="1:12" x14ac:dyDescent="0.25">
      <c r="A584" s="3" t="s">
        <v>4340</v>
      </c>
      <c r="B584" s="2" t="s">
        <v>3242</v>
      </c>
      <c r="C584" s="2" t="s">
        <v>3367</v>
      </c>
      <c r="D584" s="2" t="s">
        <v>3368</v>
      </c>
      <c r="E584" s="2" t="s">
        <v>65</v>
      </c>
      <c r="F584" s="15">
        <v>45719</v>
      </c>
      <c r="G584" s="25">
        <v>95.67</v>
      </c>
      <c r="H584" s="2" t="s">
        <v>36</v>
      </c>
      <c r="I584" s="4" t="s">
        <v>3334</v>
      </c>
      <c r="J584" s="2" t="str">
        <f>IF(tb2_CampaignResponses[[#This Row],[Gift_Amount]]&lt;0,"Review - negative amount",IF(tb2_CampaignResponses[[#This Row],[Gift_Amount]]&gt;10000,"Review - unusually large donation",""))</f>
        <v/>
      </c>
      <c r="K584" s="21" t="str">
        <f>IF(tb2_CampaignResponses[[#This Row],[Supporter_ID]]="","Review - no supporter ID","")</f>
        <v/>
      </c>
      <c r="L584" s="21" t="str">
        <f ca="1">IF(tb2_CampaignResponses[[#This Row],[Response_Date]]&gt;TODAY(),"Review - future response date","")</f>
        <v/>
      </c>
    </row>
    <row r="585" spans="1:12" x14ac:dyDescent="0.25">
      <c r="A585" s="3" t="s">
        <v>4342</v>
      </c>
      <c r="B585" s="2" t="s">
        <v>3211</v>
      </c>
      <c r="C585" s="2" t="s">
        <v>3403</v>
      </c>
      <c r="D585" s="2" t="s">
        <v>3404</v>
      </c>
      <c r="E585" s="2" t="s">
        <v>4</v>
      </c>
      <c r="F585" s="15">
        <v>45627</v>
      </c>
      <c r="G585" s="25">
        <v>85.07</v>
      </c>
      <c r="H585" s="2" t="s">
        <v>36</v>
      </c>
      <c r="I585" s="4" t="s">
        <v>3370</v>
      </c>
      <c r="J585" s="2" t="str">
        <f>IF(tb2_CampaignResponses[[#This Row],[Gift_Amount]]&lt;0,"Review - negative amount",IF(tb2_CampaignResponses[[#This Row],[Gift_Amount]]&gt;10000,"Review - unusually large donation",""))</f>
        <v/>
      </c>
      <c r="K585" s="21" t="str">
        <f>IF(tb2_CampaignResponses[[#This Row],[Supporter_ID]]="","Review - no supporter ID","")</f>
        <v/>
      </c>
      <c r="L585" s="21" t="str">
        <f ca="1">IF(tb2_CampaignResponses[[#This Row],[Response_Date]]&gt;TODAY(),"Review - future response date","")</f>
        <v/>
      </c>
    </row>
    <row r="586" spans="1:12" x14ac:dyDescent="0.25">
      <c r="A586" s="3" t="s">
        <v>4344</v>
      </c>
      <c r="B586" s="2" t="s">
        <v>169</v>
      </c>
      <c r="C586" s="2" t="s">
        <v>3325</v>
      </c>
      <c r="D586" s="2" t="s">
        <v>3326</v>
      </c>
      <c r="E586" s="2" t="s">
        <v>65</v>
      </c>
      <c r="F586" s="15">
        <v>45613</v>
      </c>
      <c r="G586" s="25">
        <v>47.03</v>
      </c>
      <c r="H586" s="2" t="s">
        <v>36</v>
      </c>
      <c r="I586" s="4" t="s">
        <v>3365</v>
      </c>
      <c r="J586" s="2" t="str">
        <f>IF(tb2_CampaignResponses[[#This Row],[Gift_Amount]]&lt;0,"Review - negative amount",IF(tb2_CampaignResponses[[#This Row],[Gift_Amount]]&gt;10000,"Review - unusually large donation",""))</f>
        <v/>
      </c>
      <c r="K586" s="21" t="str">
        <f>IF(tb2_CampaignResponses[[#This Row],[Supporter_ID]]="","Review - no supporter ID","")</f>
        <v/>
      </c>
      <c r="L586" s="21" t="str">
        <f ca="1">IF(tb2_CampaignResponses[[#This Row],[Response_Date]]&gt;TODAY(),"Review - future response date","")</f>
        <v/>
      </c>
    </row>
    <row r="587" spans="1:12" x14ac:dyDescent="0.25">
      <c r="A587" s="3" t="s">
        <v>4345</v>
      </c>
      <c r="B587" s="2" t="s">
        <v>156</v>
      </c>
      <c r="C587" s="2" t="s">
        <v>3367</v>
      </c>
      <c r="D587" s="2" t="s">
        <v>3368</v>
      </c>
      <c r="E587" s="2" t="s">
        <v>65</v>
      </c>
      <c r="F587" s="15">
        <v>45761</v>
      </c>
      <c r="G587" s="25">
        <v>41.25</v>
      </c>
      <c r="H587" s="2" t="s">
        <v>37</v>
      </c>
      <c r="I587" s="4" t="s">
        <v>3323</v>
      </c>
      <c r="J587" s="2" t="str">
        <f>IF(tb2_CampaignResponses[[#This Row],[Gift_Amount]]&lt;0,"Review - negative amount",IF(tb2_CampaignResponses[[#This Row],[Gift_Amount]]&gt;10000,"Review - unusually large donation",""))</f>
        <v/>
      </c>
      <c r="K587" s="21" t="str">
        <f>IF(tb2_CampaignResponses[[#This Row],[Supporter_ID]]="","Review - no supporter ID","")</f>
        <v/>
      </c>
      <c r="L587" s="21" t="str">
        <f ca="1">IF(tb2_CampaignResponses[[#This Row],[Response_Date]]&gt;TODAY(),"Review - future response date","")</f>
        <v/>
      </c>
    </row>
    <row r="588" spans="1:12" x14ac:dyDescent="0.25">
      <c r="A588" s="3" t="s">
        <v>4346</v>
      </c>
      <c r="B588" s="2" t="s">
        <v>1526</v>
      </c>
      <c r="C588" s="2" t="s">
        <v>3403</v>
      </c>
      <c r="D588" s="2" t="s">
        <v>3404</v>
      </c>
      <c r="E588" s="2" t="s">
        <v>3316</v>
      </c>
      <c r="F588" s="15">
        <v>45584</v>
      </c>
      <c r="G588" s="25">
        <v>62.91</v>
      </c>
      <c r="H588" s="2" t="s">
        <v>37</v>
      </c>
      <c r="I588" s="4" t="s">
        <v>3370</v>
      </c>
      <c r="J588" s="2" t="str">
        <f>IF(tb2_CampaignResponses[[#This Row],[Gift_Amount]]&lt;0,"Review - negative amount",IF(tb2_CampaignResponses[[#This Row],[Gift_Amount]]&gt;10000,"Review - unusually large donation",""))</f>
        <v/>
      </c>
      <c r="K588" s="21" t="str">
        <f>IF(tb2_CampaignResponses[[#This Row],[Supporter_ID]]="","Review - no supporter ID","")</f>
        <v/>
      </c>
      <c r="L588" s="21" t="str">
        <f ca="1">IF(tb2_CampaignResponses[[#This Row],[Response_Date]]&gt;TODAY(),"Review - future response date","")</f>
        <v/>
      </c>
    </row>
    <row r="589" spans="1:12" x14ac:dyDescent="0.25">
      <c r="A589" s="3" t="s">
        <v>4348</v>
      </c>
      <c r="B589" s="2" t="s">
        <v>889</v>
      </c>
      <c r="C589" s="2" t="s">
        <v>3341</v>
      </c>
      <c r="D589" s="2" t="s">
        <v>3342</v>
      </c>
      <c r="E589" s="2" t="s">
        <v>91</v>
      </c>
      <c r="F589" s="15">
        <v>45741</v>
      </c>
      <c r="G589" s="25">
        <v>77.33</v>
      </c>
      <c r="H589" s="2" t="s">
        <v>37</v>
      </c>
      <c r="I589" s="4" t="s">
        <v>3385</v>
      </c>
      <c r="J589" s="2" t="str">
        <f>IF(tb2_CampaignResponses[[#This Row],[Gift_Amount]]&lt;0,"Review - negative amount",IF(tb2_CampaignResponses[[#This Row],[Gift_Amount]]&gt;10000,"Review - unusually large donation",""))</f>
        <v/>
      </c>
      <c r="K589" s="21" t="str">
        <f>IF(tb2_CampaignResponses[[#This Row],[Supporter_ID]]="","Review - no supporter ID","")</f>
        <v/>
      </c>
      <c r="L589" s="21" t="str">
        <f ca="1">IF(tb2_CampaignResponses[[#This Row],[Response_Date]]&gt;TODAY(),"Review - future response date","")</f>
        <v/>
      </c>
    </row>
    <row r="590" spans="1:12" x14ac:dyDescent="0.25">
      <c r="A590" s="3" t="s">
        <v>4349</v>
      </c>
      <c r="B590" s="2" t="s">
        <v>2574</v>
      </c>
      <c r="C590" s="2" t="s">
        <v>3314</v>
      </c>
      <c r="D590" s="2" t="s">
        <v>3315</v>
      </c>
      <c r="E590" s="2" t="s">
        <v>33</v>
      </c>
      <c r="F590" s="15">
        <v>45736</v>
      </c>
      <c r="G590" s="25">
        <v>452.5</v>
      </c>
      <c r="H590" s="2" t="s">
        <v>36</v>
      </c>
      <c r="I590" s="4" t="s">
        <v>3318</v>
      </c>
      <c r="J590" s="2" t="str">
        <f>IF(tb2_CampaignResponses[[#This Row],[Gift_Amount]]&lt;0,"Review - negative amount",IF(tb2_CampaignResponses[[#This Row],[Gift_Amount]]&gt;10000,"Review - unusually large donation",""))</f>
        <v/>
      </c>
      <c r="K590" s="21" t="str">
        <f>IF(tb2_CampaignResponses[[#This Row],[Supporter_ID]]="","Review - no supporter ID","")</f>
        <v/>
      </c>
      <c r="L590" s="21" t="str">
        <f ca="1">IF(tb2_CampaignResponses[[#This Row],[Response_Date]]&gt;TODAY(),"Review - future response date","")</f>
        <v/>
      </c>
    </row>
    <row r="591" spans="1:12" x14ac:dyDescent="0.25">
      <c r="A591" s="3" t="s">
        <v>4350</v>
      </c>
      <c r="B591" s="2" t="s">
        <v>844</v>
      </c>
      <c r="C591" s="2" t="s">
        <v>3354</v>
      </c>
      <c r="D591" s="2" t="s">
        <v>3355</v>
      </c>
      <c r="E591" s="2" t="s">
        <v>4</v>
      </c>
      <c r="F591" s="15">
        <v>45618</v>
      </c>
      <c r="G591" s="25">
        <v>5.4</v>
      </c>
      <c r="H591" s="2" t="s">
        <v>37</v>
      </c>
      <c r="I591" s="4" t="s">
        <v>3328</v>
      </c>
      <c r="J591" s="2" t="str">
        <f>IF(tb2_CampaignResponses[[#This Row],[Gift_Amount]]&lt;0,"Review - negative amount",IF(tb2_CampaignResponses[[#This Row],[Gift_Amount]]&gt;10000,"Review - unusually large donation",""))</f>
        <v/>
      </c>
      <c r="K591" s="21" t="str">
        <f>IF(tb2_CampaignResponses[[#This Row],[Supporter_ID]]="","Review - no supporter ID","")</f>
        <v/>
      </c>
      <c r="L591" s="21" t="str">
        <f ca="1">IF(tb2_CampaignResponses[[#This Row],[Response_Date]]&gt;TODAY(),"Review - future response date","")</f>
        <v/>
      </c>
    </row>
    <row r="592" spans="1:12" x14ac:dyDescent="0.25">
      <c r="A592" s="3" t="s">
        <v>4351</v>
      </c>
      <c r="B592" s="2" t="s">
        <v>1335</v>
      </c>
      <c r="C592" s="2" t="s">
        <v>3314</v>
      </c>
      <c r="D592" s="2" t="s">
        <v>3315</v>
      </c>
      <c r="E592" s="2" t="s">
        <v>33</v>
      </c>
      <c r="F592" s="15">
        <v>45725</v>
      </c>
      <c r="G592" s="25">
        <v>24.53</v>
      </c>
      <c r="H592" s="2" t="s">
        <v>37</v>
      </c>
      <c r="I592" s="4" t="s">
        <v>3323</v>
      </c>
      <c r="J592" s="2" t="str">
        <f>IF(tb2_CampaignResponses[[#This Row],[Gift_Amount]]&lt;0,"Review - negative amount",IF(tb2_CampaignResponses[[#This Row],[Gift_Amount]]&gt;10000,"Review - unusually large donation",""))</f>
        <v/>
      </c>
      <c r="K592" s="21" t="str">
        <f>IF(tb2_CampaignResponses[[#This Row],[Supporter_ID]]="","Review - no supporter ID","")</f>
        <v/>
      </c>
      <c r="L592" s="21" t="str">
        <f ca="1">IF(tb2_CampaignResponses[[#This Row],[Response_Date]]&gt;TODAY(),"Review - future response date","")</f>
        <v/>
      </c>
    </row>
    <row r="593" spans="1:12" x14ac:dyDescent="0.25">
      <c r="A593" s="3" t="s">
        <v>4352</v>
      </c>
      <c r="B593" s="2" t="s">
        <v>1688</v>
      </c>
      <c r="C593" s="2" t="s">
        <v>3314</v>
      </c>
      <c r="D593" s="2" t="s">
        <v>3315</v>
      </c>
      <c r="E593" s="2" t="s">
        <v>65</v>
      </c>
      <c r="F593" s="15">
        <v>45713</v>
      </c>
      <c r="G593" s="25">
        <v>94.3</v>
      </c>
      <c r="H593" s="2" t="s">
        <v>37</v>
      </c>
      <c r="I593" s="4" t="s">
        <v>3328</v>
      </c>
      <c r="J593" s="2" t="str">
        <f>IF(tb2_CampaignResponses[[#This Row],[Gift_Amount]]&lt;0,"Review - negative amount",IF(tb2_CampaignResponses[[#This Row],[Gift_Amount]]&gt;10000,"Review - unusually large donation",""))</f>
        <v/>
      </c>
      <c r="K593" s="21" t="str">
        <f>IF(tb2_CampaignResponses[[#This Row],[Supporter_ID]]="","Review - no supporter ID","")</f>
        <v/>
      </c>
      <c r="L593" s="21" t="str">
        <f ca="1">IF(tb2_CampaignResponses[[#This Row],[Response_Date]]&gt;TODAY(),"Review - future response date","")</f>
        <v/>
      </c>
    </row>
    <row r="594" spans="1:12" x14ac:dyDescent="0.25">
      <c r="A594" s="3" t="s">
        <v>4354</v>
      </c>
      <c r="B594" s="2"/>
      <c r="C594" s="2" t="s">
        <v>3325</v>
      </c>
      <c r="D594" s="2" t="s">
        <v>3326</v>
      </c>
      <c r="E594" s="2" t="s">
        <v>3338</v>
      </c>
      <c r="F594" s="15">
        <v>45616</v>
      </c>
      <c r="G594" s="25">
        <v>4410.08</v>
      </c>
      <c r="H594" s="2" t="s">
        <v>36</v>
      </c>
      <c r="I594" s="4" t="s">
        <v>3328</v>
      </c>
      <c r="J594" s="2" t="str">
        <f>IF(tb2_CampaignResponses[[#This Row],[Gift_Amount]]&lt;0,"Review - negative amount",IF(tb2_CampaignResponses[[#This Row],[Gift_Amount]]&gt;10000,"Review - unusually large donation",""))</f>
        <v/>
      </c>
      <c r="K594" s="21" t="str">
        <f>IF(tb2_CampaignResponses[[#This Row],[Supporter_ID]]="","Review - no supporter ID","")</f>
        <v>Review - no supporter ID</v>
      </c>
      <c r="L594" s="21" t="str">
        <f ca="1">IF(tb2_CampaignResponses[[#This Row],[Response_Date]]&gt;TODAY(),"Review - future response date","")</f>
        <v/>
      </c>
    </row>
    <row r="595" spans="1:12" x14ac:dyDescent="0.25">
      <c r="A595" s="3" t="s">
        <v>4356</v>
      </c>
      <c r="B595" s="2" t="s">
        <v>2981</v>
      </c>
      <c r="C595" s="2" t="s">
        <v>3336</v>
      </c>
      <c r="D595" s="2" t="s">
        <v>3337</v>
      </c>
      <c r="E595" s="2" t="s">
        <v>3316</v>
      </c>
      <c r="F595" s="15">
        <v>45565</v>
      </c>
      <c r="G595" s="25">
        <v>38.17</v>
      </c>
      <c r="H595" s="2" t="s">
        <v>36</v>
      </c>
      <c r="I595" s="4" t="s">
        <v>3318</v>
      </c>
      <c r="J595" s="2" t="str">
        <f>IF(tb2_CampaignResponses[[#This Row],[Gift_Amount]]&lt;0,"Review - negative amount",IF(tb2_CampaignResponses[[#This Row],[Gift_Amount]]&gt;10000,"Review - unusually large donation",""))</f>
        <v/>
      </c>
      <c r="K595" s="21" t="str">
        <f>IF(tb2_CampaignResponses[[#This Row],[Supporter_ID]]="","Review - no supporter ID","")</f>
        <v/>
      </c>
      <c r="L595" s="21" t="str">
        <f ca="1">IF(tb2_CampaignResponses[[#This Row],[Response_Date]]&gt;TODAY(),"Review - future response date","")</f>
        <v/>
      </c>
    </row>
    <row r="596" spans="1:12" x14ac:dyDescent="0.25">
      <c r="A596" s="3" t="s">
        <v>4357</v>
      </c>
      <c r="B596" s="2" t="s">
        <v>2928</v>
      </c>
      <c r="C596" s="2" t="s">
        <v>3320</v>
      </c>
      <c r="D596" s="2" t="s">
        <v>3321</v>
      </c>
      <c r="E596" s="2" t="s">
        <v>4</v>
      </c>
      <c r="F596" s="15">
        <v>45450</v>
      </c>
      <c r="G596" s="25">
        <v>14.25</v>
      </c>
      <c r="H596" s="2" t="s">
        <v>36</v>
      </c>
      <c r="I596" s="4" t="s">
        <v>3370</v>
      </c>
      <c r="J596" s="2" t="str">
        <f>IF(tb2_CampaignResponses[[#This Row],[Gift_Amount]]&lt;0,"Review - negative amount",IF(tb2_CampaignResponses[[#This Row],[Gift_Amount]]&gt;10000,"Review - unusually large donation",""))</f>
        <v/>
      </c>
      <c r="K596" s="21" t="str">
        <f>IF(tb2_CampaignResponses[[#This Row],[Supporter_ID]]="","Review - no supporter ID","")</f>
        <v/>
      </c>
      <c r="L596" s="21" t="str">
        <f ca="1">IF(tb2_CampaignResponses[[#This Row],[Response_Date]]&gt;TODAY(),"Review - future response date","")</f>
        <v/>
      </c>
    </row>
    <row r="597" spans="1:12" x14ac:dyDescent="0.25">
      <c r="A597" s="3" t="s">
        <v>4358</v>
      </c>
      <c r="B597" s="2" t="s">
        <v>961</v>
      </c>
      <c r="C597" s="2" t="s">
        <v>3314</v>
      </c>
      <c r="D597" s="2" t="s">
        <v>3315</v>
      </c>
      <c r="E597" s="2" t="s">
        <v>3316</v>
      </c>
      <c r="F597" s="15">
        <v>45674</v>
      </c>
      <c r="G597" s="25">
        <v>12.12</v>
      </c>
      <c r="H597" s="2" t="s">
        <v>37</v>
      </c>
      <c r="I597" s="4" t="s">
        <v>3318</v>
      </c>
      <c r="J597" s="2" t="str">
        <f>IF(tb2_CampaignResponses[[#This Row],[Gift_Amount]]&lt;0,"Review - negative amount",IF(tb2_CampaignResponses[[#This Row],[Gift_Amount]]&gt;10000,"Review - unusually large donation",""))</f>
        <v/>
      </c>
      <c r="K597" s="21" t="str">
        <f>IF(tb2_CampaignResponses[[#This Row],[Supporter_ID]]="","Review - no supporter ID","")</f>
        <v/>
      </c>
      <c r="L597" s="21" t="str">
        <f ca="1">IF(tb2_CampaignResponses[[#This Row],[Response_Date]]&gt;TODAY(),"Review - future response date","")</f>
        <v/>
      </c>
    </row>
    <row r="598" spans="1:12" x14ac:dyDescent="0.25">
      <c r="A598" s="3" t="s">
        <v>4360</v>
      </c>
      <c r="B598" s="2" t="s">
        <v>3290</v>
      </c>
      <c r="C598" s="2" t="s">
        <v>3341</v>
      </c>
      <c r="D598" s="2" t="s">
        <v>3342</v>
      </c>
      <c r="E598" s="2" t="s">
        <v>3316</v>
      </c>
      <c r="F598" s="15">
        <v>45750</v>
      </c>
      <c r="G598" s="25">
        <v>60.08</v>
      </c>
      <c r="H598" s="2" t="s">
        <v>37</v>
      </c>
      <c r="I598" s="4" t="s">
        <v>3331</v>
      </c>
      <c r="J598" s="2" t="str">
        <f>IF(tb2_CampaignResponses[[#This Row],[Gift_Amount]]&lt;0,"Review - negative amount",IF(tb2_CampaignResponses[[#This Row],[Gift_Amount]]&gt;10000,"Review - unusually large donation",""))</f>
        <v/>
      </c>
      <c r="K598" s="21" t="str">
        <f>IF(tb2_CampaignResponses[[#This Row],[Supporter_ID]]="","Review - no supporter ID","")</f>
        <v/>
      </c>
      <c r="L598" s="21" t="str">
        <f ca="1">IF(tb2_CampaignResponses[[#This Row],[Response_Date]]&gt;TODAY(),"Review - future response date","")</f>
        <v/>
      </c>
    </row>
    <row r="599" spans="1:12" x14ac:dyDescent="0.25">
      <c r="A599" s="3" t="s">
        <v>4362</v>
      </c>
      <c r="B599" s="2" t="s">
        <v>967</v>
      </c>
      <c r="C599" s="2" t="s">
        <v>3314</v>
      </c>
      <c r="D599" s="2" t="s">
        <v>3315</v>
      </c>
      <c r="E599" s="2" t="s">
        <v>65</v>
      </c>
      <c r="F599" s="15">
        <v>45686</v>
      </c>
      <c r="G599" s="25">
        <v>40.82</v>
      </c>
      <c r="H599" s="2" t="s">
        <v>37</v>
      </c>
      <c r="I599" s="4" t="s">
        <v>3323</v>
      </c>
      <c r="J599" s="2" t="str">
        <f>IF(tb2_CampaignResponses[[#This Row],[Gift_Amount]]&lt;0,"Review - negative amount",IF(tb2_CampaignResponses[[#This Row],[Gift_Amount]]&gt;10000,"Review - unusually large donation",""))</f>
        <v/>
      </c>
      <c r="K599" s="21" t="str">
        <f>IF(tb2_CampaignResponses[[#This Row],[Supporter_ID]]="","Review - no supporter ID","")</f>
        <v/>
      </c>
      <c r="L599" s="21" t="str">
        <f ca="1">IF(tb2_CampaignResponses[[#This Row],[Response_Date]]&gt;TODAY(),"Review - future response date","")</f>
        <v/>
      </c>
    </row>
    <row r="600" spans="1:12" x14ac:dyDescent="0.25">
      <c r="A600" s="3" t="s">
        <v>4364</v>
      </c>
      <c r="B600" s="2" t="s">
        <v>2194</v>
      </c>
      <c r="C600" s="2" t="s">
        <v>3354</v>
      </c>
      <c r="D600" s="2" t="s">
        <v>3355</v>
      </c>
      <c r="E600" s="2" t="s">
        <v>4</v>
      </c>
      <c r="F600" s="15">
        <v>45618</v>
      </c>
      <c r="G600" s="25">
        <v>66.09</v>
      </c>
      <c r="H600" s="2" t="s">
        <v>36</v>
      </c>
      <c r="I600" s="4" t="s">
        <v>3318</v>
      </c>
      <c r="J600" s="2" t="str">
        <f>IF(tb2_CampaignResponses[[#This Row],[Gift_Amount]]&lt;0,"Review - negative amount",IF(tb2_CampaignResponses[[#This Row],[Gift_Amount]]&gt;10000,"Review - unusually large donation",""))</f>
        <v/>
      </c>
      <c r="K600" s="21" t="str">
        <f>IF(tb2_CampaignResponses[[#This Row],[Supporter_ID]]="","Review - no supporter ID","")</f>
        <v/>
      </c>
      <c r="L600" s="21" t="str">
        <f ca="1">IF(tb2_CampaignResponses[[#This Row],[Response_Date]]&gt;TODAY(),"Review - future response date","")</f>
        <v/>
      </c>
    </row>
    <row r="601" spans="1:12" x14ac:dyDescent="0.25">
      <c r="A601" s="3" t="s">
        <v>4365</v>
      </c>
      <c r="B601" s="2" t="s">
        <v>663</v>
      </c>
      <c r="C601" s="2" t="s">
        <v>3427</v>
      </c>
      <c r="D601" s="2" t="s">
        <v>3428</v>
      </c>
      <c r="E601" s="2" t="s">
        <v>65</v>
      </c>
      <c r="F601" s="15">
        <v>45488</v>
      </c>
      <c r="G601" s="25">
        <v>149.24</v>
      </c>
      <c r="H601" s="2" t="s">
        <v>37</v>
      </c>
      <c r="I601" s="4" t="s">
        <v>3385</v>
      </c>
      <c r="J601" s="2" t="str">
        <f>IF(tb2_CampaignResponses[[#This Row],[Gift_Amount]]&lt;0,"Review - negative amount",IF(tb2_CampaignResponses[[#This Row],[Gift_Amount]]&gt;10000,"Review - unusually large donation",""))</f>
        <v/>
      </c>
      <c r="K601" s="21" t="str">
        <f>IF(tb2_CampaignResponses[[#This Row],[Supporter_ID]]="","Review - no supporter ID","")</f>
        <v/>
      </c>
      <c r="L601" s="21" t="str">
        <f ca="1">IF(tb2_CampaignResponses[[#This Row],[Response_Date]]&gt;TODAY(),"Review - future response date","")</f>
        <v/>
      </c>
    </row>
    <row r="602" spans="1:12" x14ac:dyDescent="0.25">
      <c r="A602" s="3" t="s">
        <v>4366</v>
      </c>
      <c r="B602" s="2" t="s">
        <v>796</v>
      </c>
      <c r="C602" s="2" t="s">
        <v>3341</v>
      </c>
      <c r="D602" s="2" t="s">
        <v>3342</v>
      </c>
      <c r="E602" s="2" t="s">
        <v>65</v>
      </c>
      <c r="F602" s="15">
        <v>45689</v>
      </c>
      <c r="G602" s="25">
        <v>44.86</v>
      </c>
      <c r="H602" s="2" t="s">
        <v>36</v>
      </c>
      <c r="I602" s="4" t="s">
        <v>3328</v>
      </c>
      <c r="J602" s="2" t="str">
        <f>IF(tb2_CampaignResponses[[#This Row],[Gift_Amount]]&lt;0,"Review - negative amount",IF(tb2_CampaignResponses[[#This Row],[Gift_Amount]]&gt;10000,"Review - unusually large donation",""))</f>
        <v/>
      </c>
      <c r="K602" s="21" t="str">
        <f>IF(tb2_CampaignResponses[[#This Row],[Supporter_ID]]="","Review - no supporter ID","")</f>
        <v/>
      </c>
      <c r="L602" s="21" t="str">
        <f ca="1">IF(tb2_CampaignResponses[[#This Row],[Response_Date]]&gt;TODAY(),"Review - future response date","")</f>
        <v/>
      </c>
    </row>
    <row r="603" spans="1:12" x14ac:dyDescent="0.25">
      <c r="A603" s="3" t="s">
        <v>4368</v>
      </c>
      <c r="B603" s="2" t="s">
        <v>307</v>
      </c>
      <c r="C603" s="2" t="s">
        <v>3341</v>
      </c>
      <c r="D603" s="2" t="s">
        <v>3342</v>
      </c>
      <c r="E603" s="2" t="s">
        <v>4</v>
      </c>
      <c r="F603" s="15">
        <v>45764</v>
      </c>
      <c r="G603" s="25">
        <v>14.77</v>
      </c>
      <c r="H603" s="2" t="s">
        <v>36</v>
      </c>
      <c r="I603" s="4" t="s">
        <v>3334</v>
      </c>
      <c r="J603" s="2" t="str">
        <f>IF(tb2_CampaignResponses[[#This Row],[Gift_Amount]]&lt;0,"Review - negative amount",IF(tb2_CampaignResponses[[#This Row],[Gift_Amount]]&gt;10000,"Review - unusually large donation",""))</f>
        <v/>
      </c>
      <c r="K603" s="21" t="str">
        <f>IF(tb2_CampaignResponses[[#This Row],[Supporter_ID]]="","Review - no supporter ID","")</f>
        <v/>
      </c>
      <c r="L603" s="21" t="str">
        <f ca="1">IF(tb2_CampaignResponses[[#This Row],[Response_Date]]&gt;TODAY(),"Review - future response date","")</f>
        <v/>
      </c>
    </row>
    <row r="604" spans="1:12" x14ac:dyDescent="0.25">
      <c r="A604" s="3" t="s">
        <v>4370</v>
      </c>
      <c r="B604" s="2" t="s">
        <v>2059</v>
      </c>
      <c r="C604" s="2" t="s">
        <v>3403</v>
      </c>
      <c r="D604" s="2" t="s">
        <v>3404</v>
      </c>
      <c r="E604" s="2" t="s">
        <v>3316</v>
      </c>
      <c r="F604" s="15">
        <v>45601</v>
      </c>
      <c r="G604" s="25">
        <v>14</v>
      </c>
      <c r="H604" s="2" t="s">
        <v>37</v>
      </c>
      <c r="I604" s="4" t="s">
        <v>3331</v>
      </c>
      <c r="J604" s="2" t="str">
        <f>IF(tb2_CampaignResponses[[#This Row],[Gift_Amount]]&lt;0,"Review - negative amount",IF(tb2_CampaignResponses[[#This Row],[Gift_Amount]]&gt;10000,"Review - unusually large donation",""))</f>
        <v/>
      </c>
      <c r="K604" s="21" t="str">
        <f>IF(tb2_CampaignResponses[[#This Row],[Supporter_ID]]="","Review - no supporter ID","")</f>
        <v/>
      </c>
      <c r="L604" s="21" t="str">
        <f ca="1">IF(tb2_CampaignResponses[[#This Row],[Response_Date]]&gt;TODAY(),"Review - future response date","")</f>
        <v/>
      </c>
    </row>
    <row r="605" spans="1:12" x14ac:dyDescent="0.25">
      <c r="A605" s="3" t="s">
        <v>4372</v>
      </c>
      <c r="B605" s="2" t="s">
        <v>2495</v>
      </c>
      <c r="C605" s="2" t="s">
        <v>3403</v>
      </c>
      <c r="D605" s="2" t="s">
        <v>3404</v>
      </c>
      <c r="E605" s="2" t="s">
        <v>4</v>
      </c>
      <c r="F605" s="15">
        <v>45605</v>
      </c>
      <c r="G605" s="25">
        <v>5.04</v>
      </c>
      <c r="H605" s="2" t="s">
        <v>36</v>
      </c>
      <c r="I605" s="4" t="s">
        <v>3385</v>
      </c>
      <c r="J605" s="2" t="str">
        <f>IF(tb2_CampaignResponses[[#This Row],[Gift_Amount]]&lt;0,"Review - negative amount",IF(tb2_CampaignResponses[[#This Row],[Gift_Amount]]&gt;10000,"Review - unusually large donation",""))</f>
        <v/>
      </c>
      <c r="K605" s="21" t="str">
        <f>IF(tb2_CampaignResponses[[#This Row],[Supporter_ID]]="","Review - no supporter ID","")</f>
        <v/>
      </c>
      <c r="L605" s="21" t="str">
        <f ca="1">IF(tb2_CampaignResponses[[#This Row],[Response_Date]]&gt;TODAY(),"Review - future response date","")</f>
        <v/>
      </c>
    </row>
    <row r="606" spans="1:12" x14ac:dyDescent="0.25">
      <c r="A606" s="3" t="s">
        <v>4373</v>
      </c>
      <c r="B606" s="2" t="s">
        <v>680</v>
      </c>
      <c r="C606" s="2" t="s">
        <v>3367</v>
      </c>
      <c r="D606" s="2" t="s">
        <v>3368</v>
      </c>
      <c r="E606" s="2" t="s">
        <v>65</v>
      </c>
      <c r="F606" s="15">
        <v>45726</v>
      </c>
      <c r="G606" s="25">
        <v>20.9</v>
      </c>
      <c r="H606" s="2" t="s">
        <v>36</v>
      </c>
      <c r="I606" s="4" t="s">
        <v>3323</v>
      </c>
      <c r="J606" s="2" t="str">
        <f>IF(tb2_CampaignResponses[[#This Row],[Gift_Amount]]&lt;0,"Review - negative amount",IF(tb2_CampaignResponses[[#This Row],[Gift_Amount]]&gt;10000,"Review - unusually large donation",""))</f>
        <v/>
      </c>
      <c r="K606" s="21" t="str">
        <f>IF(tb2_CampaignResponses[[#This Row],[Supporter_ID]]="","Review - no supporter ID","")</f>
        <v/>
      </c>
      <c r="L606" s="21" t="str">
        <f ca="1">IF(tb2_CampaignResponses[[#This Row],[Response_Date]]&gt;TODAY(),"Review - future response date","")</f>
        <v/>
      </c>
    </row>
    <row r="607" spans="1:12" x14ac:dyDescent="0.25">
      <c r="A607" s="3" t="s">
        <v>4374</v>
      </c>
      <c r="B607" s="2" t="s">
        <v>1814</v>
      </c>
      <c r="C607" s="2" t="s">
        <v>3314</v>
      </c>
      <c r="D607" s="2" t="s">
        <v>3315</v>
      </c>
      <c r="E607" s="2" t="s">
        <v>65</v>
      </c>
      <c r="F607" s="15">
        <v>45719</v>
      </c>
      <c r="G607" s="25">
        <v>11.13</v>
      </c>
      <c r="H607" s="2" t="s">
        <v>37</v>
      </c>
      <c r="I607" s="4" t="s">
        <v>3323</v>
      </c>
      <c r="J607" s="2" t="str">
        <f>IF(tb2_CampaignResponses[[#This Row],[Gift_Amount]]&lt;0,"Review - negative amount",IF(tb2_CampaignResponses[[#This Row],[Gift_Amount]]&gt;10000,"Review - unusually large donation",""))</f>
        <v/>
      </c>
      <c r="K607" s="21" t="str">
        <f>IF(tb2_CampaignResponses[[#This Row],[Supporter_ID]]="","Review - no supporter ID","")</f>
        <v/>
      </c>
      <c r="L607" s="21" t="str">
        <f ca="1">IF(tb2_CampaignResponses[[#This Row],[Response_Date]]&gt;TODAY(),"Review - future response date","")</f>
        <v/>
      </c>
    </row>
    <row r="608" spans="1:12" x14ac:dyDescent="0.25">
      <c r="A608" s="3" t="s">
        <v>4376</v>
      </c>
      <c r="B608" s="2" t="s">
        <v>1000</v>
      </c>
      <c r="C608" s="2" t="s">
        <v>3314</v>
      </c>
      <c r="D608" s="2" t="s">
        <v>3315</v>
      </c>
      <c r="E608" s="2" t="s">
        <v>33</v>
      </c>
      <c r="F608" s="15">
        <v>45745</v>
      </c>
      <c r="G608" s="25">
        <v>146.19</v>
      </c>
      <c r="H608" s="2" t="s">
        <v>37</v>
      </c>
      <c r="I608" s="4" t="s">
        <v>3334</v>
      </c>
      <c r="J608" s="2" t="str">
        <f>IF(tb2_CampaignResponses[[#This Row],[Gift_Amount]]&lt;0,"Review - negative amount",IF(tb2_CampaignResponses[[#This Row],[Gift_Amount]]&gt;10000,"Review - unusually large donation",""))</f>
        <v/>
      </c>
      <c r="K608" s="21" t="str">
        <f>IF(tb2_CampaignResponses[[#This Row],[Supporter_ID]]="","Review - no supporter ID","")</f>
        <v/>
      </c>
      <c r="L608" s="21" t="str">
        <f ca="1">IF(tb2_CampaignResponses[[#This Row],[Response_Date]]&gt;TODAY(),"Review - future response date","")</f>
        <v/>
      </c>
    </row>
    <row r="609" spans="1:12" x14ac:dyDescent="0.25">
      <c r="A609" s="3" t="s">
        <v>4377</v>
      </c>
      <c r="B609" s="2" t="s">
        <v>2900</v>
      </c>
      <c r="C609" s="2" t="s">
        <v>3403</v>
      </c>
      <c r="D609" s="2" t="s">
        <v>3404</v>
      </c>
      <c r="E609" s="2" t="s">
        <v>4</v>
      </c>
      <c r="F609" s="15">
        <v>45303</v>
      </c>
      <c r="G609" s="25">
        <v>17.010000000000002</v>
      </c>
      <c r="H609" s="2" t="s">
        <v>37</v>
      </c>
      <c r="I609" s="4" t="s">
        <v>3331</v>
      </c>
      <c r="J609" s="2" t="str">
        <f>IF(tb2_CampaignResponses[[#This Row],[Gift_Amount]]&lt;0,"Review - negative amount",IF(tb2_CampaignResponses[[#This Row],[Gift_Amount]]&gt;10000,"Review - unusually large donation",""))</f>
        <v/>
      </c>
      <c r="K609" s="21" t="str">
        <f>IF(tb2_CampaignResponses[[#This Row],[Supporter_ID]]="","Review - no supporter ID","")</f>
        <v/>
      </c>
      <c r="L609" s="21" t="str">
        <f ca="1">IF(tb2_CampaignResponses[[#This Row],[Response_Date]]&gt;TODAY(),"Review - future response date","")</f>
        <v/>
      </c>
    </row>
    <row r="610" spans="1:12" x14ac:dyDescent="0.25">
      <c r="A610" s="3" t="s">
        <v>4379</v>
      </c>
      <c r="B610" s="2" t="s">
        <v>1124</v>
      </c>
      <c r="C610" s="2" t="s">
        <v>3325</v>
      </c>
      <c r="D610" s="2" t="s">
        <v>3326</v>
      </c>
      <c r="E610" s="2" t="s">
        <v>4</v>
      </c>
      <c r="F610" s="15">
        <v>45637</v>
      </c>
      <c r="G610" s="25">
        <v>38.89</v>
      </c>
      <c r="H610" s="2" t="s">
        <v>37</v>
      </c>
      <c r="I610" s="4" t="s">
        <v>3318</v>
      </c>
      <c r="J610" s="2" t="str">
        <f>IF(tb2_CampaignResponses[[#This Row],[Gift_Amount]]&lt;0,"Review - negative amount",IF(tb2_CampaignResponses[[#This Row],[Gift_Amount]]&gt;10000,"Review - unusually large donation",""))</f>
        <v/>
      </c>
      <c r="K610" s="21" t="str">
        <f>IF(tb2_CampaignResponses[[#This Row],[Supporter_ID]]="","Review - no supporter ID","")</f>
        <v/>
      </c>
      <c r="L610" s="21" t="str">
        <f ca="1">IF(tb2_CampaignResponses[[#This Row],[Response_Date]]&gt;TODAY(),"Review - future response date","")</f>
        <v/>
      </c>
    </row>
    <row r="611" spans="1:12" x14ac:dyDescent="0.25">
      <c r="A611" s="3" t="s">
        <v>4380</v>
      </c>
      <c r="B611" s="2" t="s">
        <v>2870</v>
      </c>
      <c r="C611" s="2" t="s">
        <v>3325</v>
      </c>
      <c r="D611" s="2" t="s">
        <v>3326</v>
      </c>
      <c r="E611" s="2" t="s">
        <v>4</v>
      </c>
      <c r="F611" s="15">
        <v>45614</v>
      </c>
      <c r="G611" s="25">
        <v>66.38</v>
      </c>
      <c r="H611" s="2" t="s">
        <v>37</v>
      </c>
      <c r="I611" s="4" t="s">
        <v>3318</v>
      </c>
      <c r="J611" s="2" t="str">
        <f>IF(tb2_CampaignResponses[[#This Row],[Gift_Amount]]&lt;0,"Review - negative amount",IF(tb2_CampaignResponses[[#This Row],[Gift_Amount]]&gt;10000,"Review - unusually large donation",""))</f>
        <v/>
      </c>
      <c r="K611" s="21" t="str">
        <f>IF(tb2_CampaignResponses[[#This Row],[Supporter_ID]]="","Review - no supporter ID","")</f>
        <v/>
      </c>
      <c r="L611" s="21" t="str">
        <f ca="1">IF(tb2_CampaignResponses[[#This Row],[Response_Date]]&gt;TODAY(),"Review - future response date","")</f>
        <v/>
      </c>
    </row>
    <row r="612" spans="1:12" x14ac:dyDescent="0.25">
      <c r="A612" s="3" t="s">
        <v>4382</v>
      </c>
      <c r="B612" s="2" t="s">
        <v>596</v>
      </c>
      <c r="C612" s="2" t="s">
        <v>3427</v>
      </c>
      <c r="D612" s="2" t="s">
        <v>3428</v>
      </c>
      <c r="E612" s="2" t="s">
        <v>4</v>
      </c>
      <c r="F612" s="15">
        <v>46266</v>
      </c>
      <c r="G612" s="25">
        <v>323.14</v>
      </c>
      <c r="H612" s="2" t="s">
        <v>36</v>
      </c>
      <c r="I612" s="4" t="s">
        <v>3370</v>
      </c>
      <c r="J612" s="2" t="str">
        <f>IF(tb2_CampaignResponses[[#This Row],[Gift_Amount]]&lt;0,"Review - negative amount",IF(tb2_CampaignResponses[[#This Row],[Gift_Amount]]&gt;10000,"Review - unusually large donation",""))</f>
        <v/>
      </c>
      <c r="K612" s="21" t="str">
        <f>IF(tb2_CampaignResponses[[#This Row],[Supporter_ID]]="","Review - no supporter ID","")</f>
        <v/>
      </c>
      <c r="L612" s="21" t="str">
        <f ca="1">IF(tb2_CampaignResponses[[#This Row],[Response_Date]]&gt;TODAY(),"Review - future response date","")</f>
        <v>Review - future response date</v>
      </c>
    </row>
    <row r="613" spans="1:12" x14ac:dyDescent="0.25">
      <c r="A613" s="3" t="s">
        <v>4384</v>
      </c>
      <c r="B613" s="2" t="s">
        <v>423</v>
      </c>
      <c r="C613" s="2" t="s">
        <v>3427</v>
      </c>
      <c r="D613" s="2" t="s">
        <v>3428</v>
      </c>
      <c r="E613" s="2" t="s">
        <v>65</v>
      </c>
      <c r="F613" s="15">
        <v>45488</v>
      </c>
      <c r="G613" s="25">
        <v>99.89</v>
      </c>
      <c r="H613" s="2" t="s">
        <v>37</v>
      </c>
      <c r="I613" s="4" t="s">
        <v>3331</v>
      </c>
      <c r="J613" s="2" t="str">
        <f>IF(tb2_CampaignResponses[[#This Row],[Gift_Amount]]&lt;0,"Review - negative amount",IF(tb2_CampaignResponses[[#This Row],[Gift_Amount]]&gt;10000,"Review - unusually large donation",""))</f>
        <v/>
      </c>
      <c r="K613" s="21" t="str">
        <f>IF(tb2_CampaignResponses[[#This Row],[Supporter_ID]]="","Review - no supporter ID","")</f>
        <v/>
      </c>
      <c r="L613" s="21" t="str">
        <f ca="1">IF(tb2_CampaignResponses[[#This Row],[Response_Date]]&gt;TODAY(),"Review - future response date","")</f>
        <v/>
      </c>
    </row>
    <row r="614" spans="1:12" x14ac:dyDescent="0.25">
      <c r="A614" s="3" t="s">
        <v>4385</v>
      </c>
      <c r="B614" s="2" t="s">
        <v>3106</v>
      </c>
      <c r="C614" s="2" t="s">
        <v>3314</v>
      </c>
      <c r="D614" s="2" t="s">
        <v>3315</v>
      </c>
      <c r="E614" s="2" t="s">
        <v>3316</v>
      </c>
      <c r="F614" s="15">
        <v>45931</v>
      </c>
      <c r="G614" s="25">
        <v>483.11</v>
      </c>
      <c r="H614" s="2" t="s">
        <v>36</v>
      </c>
      <c r="I614" s="4" t="s">
        <v>3328</v>
      </c>
      <c r="J614" s="2" t="str">
        <f>IF(tb2_CampaignResponses[[#This Row],[Gift_Amount]]&lt;0,"Review - negative amount",IF(tb2_CampaignResponses[[#This Row],[Gift_Amount]]&gt;10000,"Review - unusually large donation",""))</f>
        <v/>
      </c>
      <c r="K614" s="21" t="str">
        <f>IF(tb2_CampaignResponses[[#This Row],[Supporter_ID]]="","Review - no supporter ID","")</f>
        <v/>
      </c>
      <c r="L614" s="21" t="str">
        <f ca="1">IF(tb2_CampaignResponses[[#This Row],[Response_Date]]&gt;TODAY(),"Review - future response date","")</f>
        <v/>
      </c>
    </row>
    <row r="615" spans="1:12" x14ac:dyDescent="0.25">
      <c r="A615" s="3" t="s">
        <v>4387</v>
      </c>
      <c r="B615" s="2" t="s">
        <v>2451</v>
      </c>
      <c r="C615" s="2" t="s">
        <v>3320</v>
      </c>
      <c r="D615" s="2" t="s">
        <v>3321</v>
      </c>
      <c r="E615" s="2" t="s">
        <v>65</v>
      </c>
      <c r="F615" s="15">
        <v>45447</v>
      </c>
      <c r="G615" s="25">
        <v>31.72</v>
      </c>
      <c r="H615" s="2" t="s">
        <v>36</v>
      </c>
      <c r="I615" s="4" t="s">
        <v>3331</v>
      </c>
      <c r="J615" s="2" t="str">
        <f>IF(tb2_CampaignResponses[[#This Row],[Gift_Amount]]&lt;0,"Review - negative amount",IF(tb2_CampaignResponses[[#This Row],[Gift_Amount]]&gt;10000,"Review - unusually large donation",""))</f>
        <v/>
      </c>
      <c r="K615" s="21" t="str">
        <f>IF(tb2_CampaignResponses[[#This Row],[Supporter_ID]]="","Review - no supporter ID","")</f>
        <v/>
      </c>
      <c r="L615" s="21" t="str">
        <f ca="1">IF(tb2_CampaignResponses[[#This Row],[Response_Date]]&gt;TODAY(),"Review - future response date","")</f>
        <v/>
      </c>
    </row>
    <row r="616" spans="1:12" x14ac:dyDescent="0.25">
      <c r="A616" s="3" t="s">
        <v>4389</v>
      </c>
      <c r="B616" s="2" t="s">
        <v>3302</v>
      </c>
      <c r="C616" s="2" t="s">
        <v>3320</v>
      </c>
      <c r="D616" s="2" t="s">
        <v>3321</v>
      </c>
      <c r="E616" s="2" t="s">
        <v>65</v>
      </c>
      <c r="F616" s="15">
        <v>45455</v>
      </c>
      <c r="G616" s="25">
        <v>44.9</v>
      </c>
      <c r="H616" s="2" t="s">
        <v>36</v>
      </c>
      <c r="I616" s="4" t="s">
        <v>3318</v>
      </c>
      <c r="J616" s="2" t="str">
        <f>IF(tb2_CampaignResponses[[#This Row],[Gift_Amount]]&lt;0,"Review - negative amount",IF(tb2_CampaignResponses[[#This Row],[Gift_Amount]]&gt;10000,"Review - unusually large donation",""))</f>
        <v/>
      </c>
      <c r="K616" s="21" t="str">
        <f>IF(tb2_CampaignResponses[[#This Row],[Supporter_ID]]="","Review - no supporter ID","")</f>
        <v/>
      </c>
      <c r="L616" s="21" t="str">
        <f ca="1">IF(tb2_CampaignResponses[[#This Row],[Response_Date]]&gt;TODAY(),"Review - future response date","")</f>
        <v/>
      </c>
    </row>
    <row r="617" spans="1:12" x14ac:dyDescent="0.25">
      <c r="A617" s="3" t="s">
        <v>4391</v>
      </c>
      <c r="B617" s="2" t="s">
        <v>3261</v>
      </c>
      <c r="C617" s="2" t="s">
        <v>3341</v>
      </c>
      <c r="D617" s="2" t="s">
        <v>3342</v>
      </c>
      <c r="E617" s="2" t="s">
        <v>3316</v>
      </c>
      <c r="F617" s="15">
        <v>45723</v>
      </c>
      <c r="G617" s="25">
        <v>6.76</v>
      </c>
      <c r="H617" s="2" t="s">
        <v>36</v>
      </c>
      <c r="I617" s="4" t="s">
        <v>3365</v>
      </c>
      <c r="J617" s="2" t="str">
        <f>IF(tb2_CampaignResponses[[#This Row],[Gift_Amount]]&lt;0,"Review - negative amount",IF(tb2_CampaignResponses[[#This Row],[Gift_Amount]]&gt;10000,"Review - unusually large donation",""))</f>
        <v/>
      </c>
      <c r="K617" s="21" t="str">
        <f>IF(tb2_CampaignResponses[[#This Row],[Supporter_ID]]="","Review - no supporter ID","")</f>
        <v/>
      </c>
      <c r="L617" s="21" t="str">
        <f ca="1">IF(tb2_CampaignResponses[[#This Row],[Response_Date]]&gt;TODAY(),"Review - future response date","")</f>
        <v/>
      </c>
    </row>
    <row r="618" spans="1:12" x14ac:dyDescent="0.25">
      <c r="A618" s="3" t="s">
        <v>4392</v>
      </c>
      <c r="B618" s="2" t="s">
        <v>2508</v>
      </c>
      <c r="C618" s="2" t="s">
        <v>3403</v>
      </c>
      <c r="D618" s="2" t="s">
        <v>3404</v>
      </c>
      <c r="E618" s="2" t="s">
        <v>3316</v>
      </c>
      <c r="F618" s="15">
        <v>45625</v>
      </c>
      <c r="G618" s="25">
        <v>156.61000000000001</v>
      </c>
      <c r="H618" s="2" t="s">
        <v>37</v>
      </c>
      <c r="I618" s="4" t="s">
        <v>3328</v>
      </c>
      <c r="J618" s="2" t="str">
        <f>IF(tb2_CampaignResponses[[#This Row],[Gift_Amount]]&lt;0,"Review - negative amount",IF(tb2_CampaignResponses[[#This Row],[Gift_Amount]]&gt;10000,"Review - unusually large donation",""))</f>
        <v/>
      </c>
      <c r="K618" s="21" t="str">
        <f>IF(tb2_CampaignResponses[[#This Row],[Supporter_ID]]="","Review - no supporter ID","")</f>
        <v/>
      </c>
      <c r="L618" s="21" t="str">
        <f ca="1">IF(tb2_CampaignResponses[[#This Row],[Response_Date]]&gt;TODAY(),"Review - future response date","")</f>
        <v/>
      </c>
    </row>
    <row r="619" spans="1:12" x14ac:dyDescent="0.25">
      <c r="A619" s="3" t="s">
        <v>4393</v>
      </c>
      <c r="B619" s="2" t="s">
        <v>3266</v>
      </c>
      <c r="C619" s="2" t="s">
        <v>3320</v>
      </c>
      <c r="D619" s="2" t="s">
        <v>3321</v>
      </c>
      <c r="E619" s="2" t="s">
        <v>65</v>
      </c>
      <c r="F619" s="15">
        <v>45461</v>
      </c>
      <c r="G619" s="25">
        <v>95.94</v>
      </c>
      <c r="H619" s="2" t="s">
        <v>37</v>
      </c>
      <c r="I619" s="4" t="s">
        <v>3365</v>
      </c>
      <c r="J619" s="2" t="str">
        <f>IF(tb2_CampaignResponses[[#This Row],[Gift_Amount]]&lt;0,"Review - negative amount",IF(tb2_CampaignResponses[[#This Row],[Gift_Amount]]&gt;10000,"Review - unusually large donation",""))</f>
        <v/>
      </c>
      <c r="K619" s="21" t="str">
        <f>IF(tb2_CampaignResponses[[#This Row],[Supporter_ID]]="","Review - no supporter ID","")</f>
        <v/>
      </c>
      <c r="L619" s="21" t="str">
        <f ca="1">IF(tb2_CampaignResponses[[#This Row],[Response_Date]]&gt;TODAY(),"Review - future response date","")</f>
        <v/>
      </c>
    </row>
    <row r="620" spans="1:12" x14ac:dyDescent="0.25">
      <c r="A620" s="3" t="s">
        <v>4394</v>
      </c>
      <c r="B620" s="2" t="s">
        <v>1826</v>
      </c>
      <c r="C620" s="2" t="s">
        <v>3427</v>
      </c>
      <c r="D620" s="2" t="s">
        <v>3428</v>
      </c>
      <c r="E620" s="2" t="s">
        <v>65</v>
      </c>
      <c r="F620" s="15">
        <v>45488</v>
      </c>
      <c r="G620" s="25">
        <v>2870.47</v>
      </c>
      <c r="H620" s="2" t="s">
        <v>37</v>
      </c>
      <c r="I620" s="4" t="s">
        <v>3328</v>
      </c>
      <c r="J620" s="2" t="str">
        <f>IF(tb2_CampaignResponses[[#This Row],[Gift_Amount]]&lt;0,"Review - negative amount",IF(tb2_CampaignResponses[[#This Row],[Gift_Amount]]&gt;10000,"Review - unusually large donation",""))</f>
        <v/>
      </c>
      <c r="K620" s="21" t="str">
        <f>IF(tb2_CampaignResponses[[#This Row],[Supporter_ID]]="","Review - no supporter ID","")</f>
        <v/>
      </c>
      <c r="L620" s="21" t="str">
        <f ca="1">IF(tb2_CampaignResponses[[#This Row],[Response_Date]]&gt;TODAY(),"Review - future response date","")</f>
        <v/>
      </c>
    </row>
    <row r="621" spans="1:12" x14ac:dyDescent="0.25">
      <c r="A621" s="3" t="s">
        <v>4395</v>
      </c>
      <c r="B621" s="2" t="s">
        <v>2070</v>
      </c>
      <c r="C621" s="2" t="s">
        <v>3320</v>
      </c>
      <c r="D621" s="2" t="s">
        <v>3321</v>
      </c>
      <c r="E621" s="2" t="s">
        <v>65</v>
      </c>
      <c r="F621" s="15">
        <v>45466</v>
      </c>
      <c r="G621" s="25">
        <v>24.77</v>
      </c>
      <c r="H621" s="2" t="s">
        <v>37</v>
      </c>
      <c r="I621" s="4" t="s">
        <v>3365</v>
      </c>
      <c r="J621" s="2" t="str">
        <f>IF(tb2_CampaignResponses[[#This Row],[Gift_Amount]]&lt;0,"Review - negative amount",IF(tb2_CampaignResponses[[#This Row],[Gift_Amount]]&gt;10000,"Review - unusually large donation",""))</f>
        <v/>
      </c>
      <c r="K621" s="21" t="str">
        <f>IF(tb2_CampaignResponses[[#This Row],[Supporter_ID]]="","Review - no supporter ID","")</f>
        <v/>
      </c>
      <c r="L621" s="21" t="str">
        <f ca="1">IF(tb2_CampaignResponses[[#This Row],[Response_Date]]&gt;TODAY(),"Review - future response date","")</f>
        <v/>
      </c>
    </row>
    <row r="622" spans="1:12" x14ac:dyDescent="0.25">
      <c r="A622" s="3" t="s">
        <v>4397</v>
      </c>
      <c r="B622" s="2" t="s">
        <v>876</v>
      </c>
      <c r="C622" s="2" t="s">
        <v>3325</v>
      </c>
      <c r="D622" s="2" t="s">
        <v>3326</v>
      </c>
      <c r="E622" s="2" t="s">
        <v>3338</v>
      </c>
      <c r="F622" s="15">
        <v>45608</v>
      </c>
      <c r="G622" s="25">
        <v>3696.02</v>
      </c>
      <c r="H622" s="2" t="s">
        <v>36</v>
      </c>
      <c r="I622" s="4" t="s">
        <v>3318</v>
      </c>
      <c r="J622" s="2" t="str">
        <f>IF(tb2_CampaignResponses[[#This Row],[Gift_Amount]]&lt;0,"Review - negative amount",IF(tb2_CampaignResponses[[#This Row],[Gift_Amount]]&gt;10000,"Review - unusually large donation",""))</f>
        <v/>
      </c>
      <c r="K622" s="21" t="str">
        <f>IF(tb2_CampaignResponses[[#This Row],[Supporter_ID]]="","Review - no supporter ID","")</f>
        <v/>
      </c>
      <c r="L622" s="21" t="str">
        <f ca="1">IF(tb2_CampaignResponses[[#This Row],[Response_Date]]&gt;TODAY(),"Review - future response date","")</f>
        <v/>
      </c>
    </row>
    <row r="623" spans="1:12" x14ac:dyDescent="0.25">
      <c r="A623" s="3" t="s">
        <v>4399</v>
      </c>
      <c r="B623" s="2" t="s">
        <v>3118</v>
      </c>
      <c r="C623" s="2" t="s">
        <v>3427</v>
      </c>
      <c r="D623" s="2" t="s">
        <v>3428</v>
      </c>
      <c r="E623" s="2" t="s">
        <v>65</v>
      </c>
      <c r="F623" s="15">
        <v>45488</v>
      </c>
      <c r="G623" s="25">
        <v>38.49</v>
      </c>
      <c r="H623" s="2" t="s">
        <v>36</v>
      </c>
      <c r="I623" s="4" t="s">
        <v>3334</v>
      </c>
      <c r="J623" s="2" t="str">
        <f>IF(tb2_CampaignResponses[[#This Row],[Gift_Amount]]&lt;0,"Review - negative amount",IF(tb2_CampaignResponses[[#This Row],[Gift_Amount]]&gt;10000,"Review - unusually large donation",""))</f>
        <v/>
      </c>
      <c r="K623" s="21" t="str">
        <f>IF(tb2_CampaignResponses[[#This Row],[Supporter_ID]]="","Review - no supporter ID","")</f>
        <v/>
      </c>
      <c r="L623" s="21" t="str">
        <f ca="1">IF(tb2_CampaignResponses[[#This Row],[Response_Date]]&gt;TODAY(),"Review - future response date","")</f>
        <v/>
      </c>
    </row>
    <row r="624" spans="1:12" x14ac:dyDescent="0.25">
      <c r="A624" s="3" t="s">
        <v>4400</v>
      </c>
      <c r="B624" s="2" t="s">
        <v>1608</v>
      </c>
      <c r="C624" s="2" t="s">
        <v>3341</v>
      </c>
      <c r="D624" s="2" t="s">
        <v>3342</v>
      </c>
      <c r="E624" s="2" t="s">
        <v>91</v>
      </c>
      <c r="F624" s="15">
        <v>45739</v>
      </c>
      <c r="G624" s="25">
        <v>73.38</v>
      </c>
      <c r="H624" s="2" t="s">
        <v>36</v>
      </c>
      <c r="I624" s="4" t="s">
        <v>3323</v>
      </c>
      <c r="J624" s="2" t="str">
        <f>IF(tb2_CampaignResponses[[#This Row],[Gift_Amount]]&lt;0,"Review - negative amount",IF(tb2_CampaignResponses[[#This Row],[Gift_Amount]]&gt;10000,"Review - unusually large donation",""))</f>
        <v/>
      </c>
      <c r="K624" s="21" t="str">
        <f>IF(tb2_CampaignResponses[[#This Row],[Supporter_ID]]="","Review - no supporter ID","")</f>
        <v/>
      </c>
      <c r="L624" s="21" t="str">
        <f ca="1">IF(tb2_CampaignResponses[[#This Row],[Response_Date]]&gt;TODAY(),"Review - future response date","")</f>
        <v/>
      </c>
    </row>
    <row r="625" spans="1:12" x14ac:dyDescent="0.25">
      <c r="A625" s="3" t="s">
        <v>4401</v>
      </c>
      <c r="B625" s="2" t="s">
        <v>1663</v>
      </c>
      <c r="C625" s="2" t="s">
        <v>3354</v>
      </c>
      <c r="D625" s="2" t="s">
        <v>3355</v>
      </c>
      <c r="E625" s="2" t="s">
        <v>65</v>
      </c>
      <c r="F625" s="15">
        <v>45618</v>
      </c>
      <c r="G625" s="25">
        <v>489.26</v>
      </c>
      <c r="H625" s="2" t="s">
        <v>36</v>
      </c>
      <c r="I625" s="4" t="s">
        <v>3318</v>
      </c>
      <c r="J625" s="2" t="str">
        <f>IF(tb2_CampaignResponses[[#This Row],[Gift_Amount]]&lt;0,"Review - negative amount",IF(tb2_CampaignResponses[[#This Row],[Gift_Amount]]&gt;10000,"Review - unusually large donation",""))</f>
        <v/>
      </c>
      <c r="K625" s="21" t="str">
        <f>IF(tb2_CampaignResponses[[#This Row],[Supporter_ID]]="","Review - no supporter ID","")</f>
        <v/>
      </c>
      <c r="L625" s="21" t="str">
        <f ca="1">IF(tb2_CampaignResponses[[#This Row],[Response_Date]]&gt;TODAY(),"Review - future response date","")</f>
        <v/>
      </c>
    </row>
    <row r="626" spans="1:12" x14ac:dyDescent="0.25">
      <c r="A626" s="3" t="s">
        <v>4402</v>
      </c>
      <c r="B626" s="2" t="s">
        <v>3205</v>
      </c>
      <c r="C626" s="2" t="s">
        <v>3367</v>
      </c>
      <c r="D626" s="2" t="s">
        <v>3368</v>
      </c>
      <c r="E626" s="2" t="s">
        <v>65</v>
      </c>
      <c r="F626" s="15">
        <v>45748</v>
      </c>
      <c r="G626" s="25">
        <v>93.44</v>
      </c>
      <c r="H626" s="2" t="s">
        <v>36</v>
      </c>
      <c r="I626" s="4" t="s">
        <v>3318</v>
      </c>
      <c r="J626" s="2" t="str">
        <f>IF(tb2_CampaignResponses[[#This Row],[Gift_Amount]]&lt;0,"Review - negative amount",IF(tb2_CampaignResponses[[#This Row],[Gift_Amount]]&gt;10000,"Review - unusually large donation",""))</f>
        <v/>
      </c>
      <c r="K626" s="21" t="str">
        <f>IF(tb2_CampaignResponses[[#This Row],[Supporter_ID]]="","Review - no supporter ID","")</f>
        <v/>
      </c>
      <c r="L626" s="21" t="str">
        <f ca="1">IF(tb2_CampaignResponses[[#This Row],[Response_Date]]&gt;TODAY(),"Review - future response date","")</f>
        <v/>
      </c>
    </row>
    <row r="627" spans="1:12" x14ac:dyDescent="0.25">
      <c r="A627" s="3" t="s">
        <v>4404</v>
      </c>
      <c r="B627" s="2" t="s">
        <v>1963</v>
      </c>
      <c r="C627" s="2" t="s">
        <v>3341</v>
      </c>
      <c r="D627" s="2" t="s">
        <v>3342</v>
      </c>
      <c r="E627" s="2" t="s">
        <v>91</v>
      </c>
      <c r="F627" s="15">
        <v>45757</v>
      </c>
      <c r="G627" s="25">
        <v>57.8</v>
      </c>
      <c r="H627" s="2" t="s">
        <v>36</v>
      </c>
      <c r="I627" s="4" t="s">
        <v>3370</v>
      </c>
      <c r="J627" s="2" t="str">
        <f>IF(tb2_CampaignResponses[[#This Row],[Gift_Amount]]&lt;0,"Review - negative amount",IF(tb2_CampaignResponses[[#This Row],[Gift_Amount]]&gt;10000,"Review - unusually large donation",""))</f>
        <v/>
      </c>
      <c r="K627" s="21" t="str">
        <f>IF(tb2_CampaignResponses[[#This Row],[Supporter_ID]]="","Review - no supporter ID","")</f>
        <v/>
      </c>
      <c r="L627" s="21" t="str">
        <f ca="1">IF(tb2_CampaignResponses[[#This Row],[Response_Date]]&gt;TODAY(),"Review - future response date","")</f>
        <v/>
      </c>
    </row>
    <row r="628" spans="1:12" x14ac:dyDescent="0.25">
      <c r="A628" s="3" t="s">
        <v>4406</v>
      </c>
      <c r="B628" s="2" t="s">
        <v>559</v>
      </c>
      <c r="C628" s="2" t="s">
        <v>3354</v>
      </c>
      <c r="D628" s="2" t="s">
        <v>3355</v>
      </c>
      <c r="E628" s="2" t="s">
        <v>65</v>
      </c>
      <c r="F628" s="15">
        <v>45618</v>
      </c>
      <c r="G628" s="25">
        <v>26.16</v>
      </c>
      <c r="H628" s="2" t="s">
        <v>37</v>
      </c>
      <c r="I628" s="4" t="s">
        <v>3318</v>
      </c>
      <c r="J628" s="2" t="str">
        <f>IF(tb2_CampaignResponses[[#This Row],[Gift_Amount]]&lt;0,"Review - negative amount",IF(tb2_CampaignResponses[[#This Row],[Gift_Amount]]&gt;10000,"Review - unusually large donation",""))</f>
        <v/>
      </c>
      <c r="K628" s="21" t="str">
        <f>IF(tb2_CampaignResponses[[#This Row],[Supporter_ID]]="","Review - no supporter ID","")</f>
        <v/>
      </c>
      <c r="L628" s="21" t="str">
        <f ca="1">IF(tb2_CampaignResponses[[#This Row],[Response_Date]]&gt;TODAY(),"Review - future response date","")</f>
        <v/>
      </c>
    </row>
    <row r="629" spans="1:12" x14ac:dyDescent="0.25">
      <c r="A629" s="3" t="s">
        <v>4407</v>
      </c>
      <c r="B629" s="2" t="s">
        <v>363</v>
      </c>
      <c r="C629" s="2" t="s">
        <v>3320</v>
      </c>
      <c r="D629" s="2" t="s">
        <v>3321</v>
      </c>
      <c r="E629" s="2" t="s">
        <v>4</v>
      </c>
      <c r="F629" s="15">
        <v>45449</v>
      </c>
      <c r="G629" s="25">
        <v>125.14</v>
      </c>
      <c r="H629" s="2" t="s">
        <v>37</v>
      </c>
      <c r="I629" s="4" t="s">
        <v>3334</v>
      </c>
      <c r="J629" s="2" t="str">
        <f>IF(tb2_CampaignResponses[[#This Row],[Gift_Amount]]&lt;0,"Review - negative amount",IF(tb2_CampaignResponses[[#This Row],[Gift_Amount]]&gt;10000,"Review - unusually large donation",""))</f>
        <v/>
      </c>
      <c r="K629" s="21" t="str">
        <f>IF(tb2_CampaignResponses[[#This Row],[Supporter_ID]]="","Review - no supporter ID","")</f>
        <v/>
      </c>
      <c r="L629" s="21" t="str">
        <f ca="1">IF(tb2_CampaignResponses[[#This Row],[Response_Date]]&gt;TODAY(),"Review - future response date","")</f>
        <v/>
      </c>
    </row>
    <row r="630" spans="1:12" x14ac:dyDescent="0.25">
      <c r="A630" s="3" t="s">
        <v>4409</v>
      </c>
      <c r="B630" s="2" t="s">
        <v>1386</v>
      </c>
      <c r="C630" s="2" t="s">
        <v>3427</v>
      </c>
      <c r="D630" s="2" t="s">
        <v>3428</v>
      </c>
      <c r="E630" s="2" t="s">
        <v>65</v>
      </c>
      <c r="F630" s="15">
        <v>45488</v>
      </c>
      <c r="G630" s="25">
        <v>124.1</v>
      </c>
      <c r="H630" s="2" t="s">
        <v>36</v>
      </c>
      <c r="I630" s="4" t="s">
        <v>3331</v>
      </c>
      <c r="J630" s="2" t="str">
        <f>IF(tb2_CampaignResponses[[#This Row],[Gift_Amount]]&lt;0,"Review - negative amount",IF(tb2_CampaignResponses[[#This Row],[Gift_Amount]]&gt;10000,"Review - unusually large donation",""))</f>
        <v/>
      </c>
      <c r="K630" s="21" t="str">
        <f>IF(tb2_CampaignResponses[[#This Row],[Supporter_ID]]="","Review - no supporter ID","")</f>
        <v/>
      </c>
      <c r="L630" s="21" t="str">
        <f ca="1">IF(tb2_CampaignResponses[[#This Row],[Response_Date]]&gt;TODAY(),"Review - future response date","")</f>
        <v/>
      </c>
    </row>
    <row r="631" spans="1:12" x14ac:dyDescent="0.25">
      <c r="A631" s="3" t="s">
        <v>4410</v>
      </c>
      <c r="B631" s="2" t="s">
        <v>3171</v>
      </c>
      <c r="C631" s="2" t="s">
        <v>3320</v>
      </c>
      <c r="D631" s="2" t="s">
        <v>3321</v>
      </c>
      <c r="E631" s="2" t="s">
        <v>4</v>
      </c>
      <c r="F631" s="15">
        <v>45467</v>
      </c>
      <c r="G631" s="25">
        <v>14.86</v>
      </c>
      <c r="H631" s="2" t="s">
        <v>36</v>
      </c>
      <c r="I631" s="4" t="s">
        <v>3328</v>
      </c>
      <c r="J631" s="2" t="str">
        <f>IF(tb2_CampaignResponses[[#This Row],[Gift_Amount]]&lt;0,"Review - negative amount",IF(tb2_CampaignResponses[[#This Row],[Gift_Amount]]&gt;10000,"Review - unusually large donation",""))</f>
        <v/>
      </c>
      <c r="K631" s="21" t="str">
        <f>IF(tb2_CampaignResponses[[#This Row],[Supporter_ID]]="","Review - no supporter ID","")</f>
        <v/>
      </c>
      <c r="L631" s="21" t="str">
        <f ca="1">IF(tb2_CampaignResponses[[#This Row],[Response_Date]]&gt;TODAY(),"Review - future response date","")</f>
        <v/>
      </c>
    </row>
    <row r="632" spans="1:12" x14ac:dyDescent="0.25">
      <c r="A632" s="3" t="s">
        <v>4412</v>
      </c>
      <c r="B632" s="2" t="s">
        <v>1446</v>
      </c>
      <c r="C632" s="2" t="s">
        <v>3354</v>
      </c>
      <c r="D632" s="2" t="s">
        <v>3355</v>
      </c>
      <c r="E632" s="2" t="s">
        <v>4</v>
      </c>
      <c r="F632" s="15">
        <v>45618</v>
      </c>
      <c r="G632" s="25">
        <v>13.47</v>
      </c>
      <c r="H632" s="2" t="s">
        <v>36</v>
      </c>
      <c r="I632" s="4" t="s">
        <v>3331</v>
      </c>
      <c r="J632" s="2" t="str">
        <f>IF(tb2_CampaignResponses[[#This Row],[Gift_Amount]]&lt;0,"Review - negative amount",IF(tb2_CampaignResponses[[#This Row],[Gift_Amount]]&gt;10000,"Review - unusually large donation",""))</f>
        <v/>
      </c>
      <c r="K632" s="21" t="str">
        <f>IF(tb2_CampaignResponses[[#This Row],[Supporter_ID]]="","Review - no supporter ID","")</f>
        <v/>
      </c>
      <c r="L632" s="21" t="str">
        <f ca="1">IF(tb2_CampaignResponses[[#This Row],[Response_Date]]&gt;TODAY(),"Review - future response date","")</f>
        <v/>
      </c>
    </row>
    <row r="633" spans="1:12" x14ac:dyDescent="0.25">
      <c r="A633" s="3" t="s">
        <v>4413</v>
      </c>
      <c r="B633" s="2" t="s">
        <v>1916</v>
      </c>
      <c r="C633" s="2" t="s">
        <v>3325</v>
      </c>
      <c r="D633" s="2" t="s">
        <v>3326</v>
      </c>
      <c r="E633" s="2" t="s">
        <v>65</v>
      </c>
      <c r="F633" s="15">
        <v>45625</v>
      </c>
      <c r="G633" s="25">
        <v>76.67</v>
      </c>
      <c r="H633" s="2" t="s">
        <v>37</v>
      </c>
      <c r="I633" s="4" t="s">
        <v>3370</v>
      </c>
      <c r="J633" s="2" t="str">
        <f>IF(tb2_CampaignResponses[[#This Row],[Gift_Amount]]&lt;0,"Review - negative amount",IF(tb2_CampaignResponses[[#This Row],[Gift_Amount]]&gt;10000,"Review - unusually large donation",""))</f>
        <v/>
      </c>
      <c r="K633" s="21" t="str">
        <f>IF(tb2_CampaignResponses[[#This Row],[Supporter_ID]]="","Review - no supporter ID","")</f>
        <v/>
      </c>
      <c r="L633" s="21" t="str">
        <f ca="1">IF(tb2_CampaignResponses[[#This Row],[Response_Date]]&gt;TODAY(),"Review - future response date","")</f>
        <v/>
      </c>
    </row>
    <row r="634" spans="1:12" x14ac:dyDescent="0.25">
      <c r="A634" s="3" t="s">
        <v>4415</v>
      </c>
      <c r="B634" s="2"/>
      <c r="C634" s="2" t="s">
        <v>3354</v>
      </c>
      <c r="D634" s="2" t="s">
        <v>3355</v>
      </c>
      <c r="E634" s="2" t="s">
        <v>4</v>
      </c>
      <c r="F634" s="15">
        <v>45618</v>
      </c>
      <c r="G634" s="25">
        <v>23.47</v>
      </c>
      <c r="H634" s="2" t="s">
        <v>37</v>
      </c>
      <c r="I634" s="4" t="s">
        <v>3323</v>
      </c>
      <c r="J634" s="2" t="str">
        <f>IF(tb2_CampaignResponses[[#This Row],[Gift_Amount]]&lt;0,"Review - negative amount",IF(tb2_CampaignResponses[[#This Row],[Gift_Amount]]&gt;10000,"Review - unusually large donation",""))</f>
        <v/>
      </c>
      <c r="K634" s="21" t="str">
        <f>IF(tb2_CampaignResponses[[#This Row],[Supporter_ID]]="","Review - no supporter ID","")</f>
        <v>Review - no supporter ID</v>
      </c>
      <c r="L634" s="21" t="str">
        <f ca="1">IF(tb2_CampaignResponses[[#This Row],[Response_Date]]&gt;TODAY(),"Review - future response date","")</f>
        <v/>
      </c>
    </row>
    <row r="635" spans="1:12" x14ac:dyDescent="0.25">
      <c r="A635" s="3" t="s">
        <v>4416</v>
      </c>
      <c r="B635" s="2" t="s">
        <v>2252</v>
      </c>
      <c r="C635" s="2" t="s">
        <v>3314</v>
      </c>
      <c r="D635" s="2" t="s">
        <v>3315</v>
      </c>
      <c r="E635" s="2" t="s">
        <v>65</v>
      </c>
      <c r="F635" s="15">
        <v>45727</v>
      </c>
      <c r="G635" s="25">
        <v>334.01</v>
      </c>
      <c r="H635" s="2" t="s">
        <v>36</v>
      </c>
      <c r="I635" s="4" t="s">
        <v>3318</v>
      </c>
      <c r="J635" s="2" t="str">
        <f>IF(tb2_CampaignResponses[[#This Row],[Gift_Amount]]&lt;0,"Review - negative amount",IF(tb2_CampaignResponses[[#This Row],[Gift_Amount]]&gt;10000,"Review - unusually large donation",""))</f>
        <v/>
      </c>
      <c r="K635" s="21" t="str">
        <f>IF(tb2_CampaignResponses[[#This Row],[Supporter_ID]]="","Review - no supporter ID","")</f>
        <v/>
      </c>
      <c r="L635" s="21" t="str">
        <f ca="1">IF(tb2_CampaignResponses[[#This Row],[Response_Date]]&gt;TODAY(),"Review - future response date","")</f>
        <v/>
      </c>
    </row>
    <row r="636" spans="1:12" x14ac:dyDescent="0.25">
      <c r="A636" s="3" t="s">
        <v>4418</v>
      </c>
      <c r="B636" s="2" t="s">
        <v>433</v>
      </c>
      <c r="C636" s="2" t="s">
        <v>3427</v>
      </c>
      <c r="D636" s="2" t="s">
        <v>3428</v>
      </c>
      <c r="E636" s="2" t="s">
        <v>65</v>
      </c>
      <c r="F636" s="15">
        <v>45488</v>
      </c>
      <c r="G636" s="25">
        <v>35.96</v>
      </c>
      <c r="H636" s="2" t="s">
        <v>36</v>
      </c>
      <c r="I636" s="4" t="s">
        <v>3334</v>
      </c>
      <c r="J636" s="2" t="str">
        <f>IF(tb2_CampaignResponses[[#This Row],[Gift_Amount]]&lt;0,"Review - negative amount",IF(tb2_CampaignResponses[[#This Row],[Gift_Amount]]&gt;10000,"Review - unusually large donation",""))</f>
        <v/>
      </c>
      <c r="K636" s="21" t="str">
        <f>IF(tb2_CampaignResponses[[#This Row],[Supporter_ID]]="","Review - no supporter ID","")</f>
        <v/>
      </c>
      <c r="L636" s="21" t="str">
        <f ca="1">IF(tb2_CampaignResponses[[#This Row],[Response_Date]]&gt;TODAY(),"Review - future response date","")</f>
        <v/>
      </c>
    </row>
    <row r="637" spans="1:12" x14ac:dyDescent="0.25">
      <c r="A637" s="3" t="s">
        <v>4419</v>
      </c>
      <c r="B637" s="2" t="s">
        <v>770</v>
      </c>
      <c r="C637" s="2" t="s">
        <v>3341</v>
      </c>
      <c r="D637" s="2" t="s">
        <v>3342</v>
      </c>
      <c r="E637" s="2" t="s">
        <v>4</v>
      </c>
      <c r="F637" s="15">
        <v>45752</v>
      </c>
      <c r="G637" s="25">
        <v>4964.12</v>
      </c>
      <c r="H637" s="2" t="s">
        <v>36</v>
      </c>
      <c r="I637" s="4" t="s">
        <v>3323</v>
      </c>
      <c r="J637" s="2" t="str">
        <f>IF(tb2_CampaignResponses[[#This Row],[Gift_Amount]]&lt;0,"Review - negative amount",IF(tb2_CampaignResponses[[#This Row],[Gift_Amount]]&gt;10000,"Review - unusually large donation",""))</f>
        <v/>
      </c>
      <c r="K637" s="21" t="str">
        <f>IF(tb2_CampaignResponses[[#This Row],[Supporter_ID]]="","Review - no supporter ID","")</f>
        <v/>
      </c>
      <c r="L637" s="21" t="str">
        <f ca="1">IF(tb2_CampaignResponses[[#This Row],[Response_Date]]&gt;TODAY(),"Review - future response date","")</f>
        <v/>
      </c>
    </row>
    <row r="638" spans="1:12" x14ac:dyDescent="0.25">
      <c r="A638" s="3" t="s">
        <v>4421</v>
      </c>
      <c r="B638" s="2" t="s">
        <v>1767</v>
      </c>
      <c r="C638" s="2" t="s">
        <v>3341</v>
      </c>
      <c r="D638" s="2" t="s">
        <v>3342</v>
      </c>
      <c r="E638" s="2" t="s">
        <v>3316</v>
      </c>
      <c r="F638" s="15">
        <v>45711</v>
      </c>
      <c r="G638" s="25">
        <v>46.57</v>
      </c>
      <c r="H638" s="2" t="s">
        <v>36</v>
      </c>
      <c r="I638" s="4" t="s">
        <v>3328</v>
      </c>
      <c r="J638" s="2" t="str">
        <f>IF(tb2_CampaignResponses[[#This Row],[Gift_Amount]]&lt;0,"Review - negative amount",IF(tb2_CampaignResponses[[#This Row],[Gift_Amount]]&gt;10000,"Review - unusually large donation",""))</f>
        <v/>
      </c>
      <c r="K638" s="21" t="str">
        <f>IF(tb2_CampaignResponses[[#This Row],[Supporter_ID]]="","Review - no supporter ID","")</f>
        <v/>
      </c>
      <c r="L638" s="21" t="str">
        <f ca="1">IF(tb2_CampaignResponses[[#This Row],[Response_Date]]&gt;TODAY(),"Review - future response date","")</f>
        <v/>
      </c>
    </row>
    <row r="639" spans="1:12" x14ac:dyDescent="0.25">
      <c r="A639" s="3" t="s">
        <v>4423</v>
      </c>
      <c r="B639" s="2" t="s">
        <v>831</v>
      </c>
      <c r="C639" s="2" t="s">
        <v>3320</v>
      </c>
      <c r="D639" s="2" t="s">
        <v>3321</v>
      </c>
      <c r="E639" s="2" t="s">
        <v>65</v>
      </c>
      <c r="F639" s="15">
        <v>45469</v>
      </c>
      <c r="G639" s="25">
        <v>4519.09</v>
      </c>
      <c r="H639" s="2" t="s">
        <v>36</v>
      </c>
      <c r="I639" s="4" t="s">
        <v>3323</v>
      </c>
      <c r="J639" s="2" t="str">
        <f>IF(tb2_CampaignResponses[[#This Row],[Gift_Amount]]&lt;0,"Review - negative amount",IF(tb2_CampaignResponses[[#This Row],[Gift_Amount]]&gt;10000,"Review - unusually large donation",""))</f>
        <v/>
      </c>
      <c r="K639" s="21" t="str">
        <f>IF(tb2_CampaignResponses[[#This Row],[Supporter_ID]]="","Review - no supporter ID","")</f>
        <v/>
      </c>
      <c r="L639" s="21" t="str">
        <f ca="1">IF(tb2_CampaignResponses[[#This Row],[Response_Date]]&gt;TODAY(),"Review - future response date","")</f>
        <v/>
      </c>
    </row>
    <row r="640" spans="1:12" x14ac:dyDescent="0.25">
      <c r="A640" s="3" t="s">
        <v>4424</v>
      </c>
      <c r="B640" s="2" t="s">
        <v>901</v>
      </c>
      <c r="C640" s="2" t="s">
        <v>3367</v>
      </c>
      <c r="D640" s="2" t="s">
        <v>3368</v>
      </c>
      <c r="E640" s="2" t="s">
        <v>4</v>
      </c>
      <c r="F640" s="15">
        <v>45734</v>
      </c>
      <c r="G640" s="25">
        <v>185.92</v>
      </c>
      <c r="H640" s="2" t="s">
        <v>36</v>
      </c>
      <c r="I640" s="4" t="s">
        <v>3331</v>
      </c>
      <c r="J640" s="2" t="str">
        <f>IF(tb2_CampaignResponses[[#This Row],[Gift_Amount]]&lt;0,"Review - negative amount",IF(tb2_CampaignResponses[[#This Row],[Gift_Amount]]&gt;10000,"Review - unusually large donation",""))</f>
        <v/>
      </c>
      <c r="K640" s="21" t="str">
        <f>IF(tb2_CampaignResponses[[#This Row],[Supporter_ID]]="","Review - no supporter ID","")</f>
        <v/>
      </c>
      <c r="L640" s="21" t="str">
        <f ca="1">IF(tb2_CampaignResponses[[#This Row],[Response_Date]]&gt;TODAY(),"Review - future response date","")</f>
        <v/>
      </c>
    </row>
    <row r="641" spans="1:12" x14ac:dyDescent="0.25">
      <c r="A641" s="3" t="s">
        <v>4426</v>
      </c>
      <c r="B641" s="2" t="s">
        <v>1532</v>
      </c>
      <c r="C641" s="2" t="s">
        <v>3325</v>
      </c>
      <c r="D641" s="2" t="s">
        <v>3326</v>
      </c>
      <c r="E641" s="2" t="s">
        <v>3316</v>
      </c>
      <c r="F641" s="15">
        <v>45632</v>
      </c>
      <c r="G641" s="25">
        <v>39.659999999999997</v>
      </c>
      <c r="H641" s="2" t="s">
        <v>37</v>
      </c>
      <c r="I641" s="4" t="s">
        <v>3328</v>
      </c>
      <c r="J641" s="2" t="str">
        <f>IF(tb2_CampaignResponses[[#This Row],[Gift_Amount]]&lt;0,"Review - negative amount",IF(tb2_CampaignResponses[[#This Row],[Gift_Amount]]&gt;10000,"Review - unusually large donation",""))</f>
        <v/>
      </c>
      <c r="K641" s="21" t="str">
        <f>IF(tb2_CampaignResponses[[#This Row],[Supporter_ID]]="","Review - no supporter ID","")</f>
        <v/>
      </c>
      <c r="L641" s="21" t="str">
        <f ca="1">IF(tb2_CampaignResponses[[#This Row],[Response_Date]]&gt;TODAY(),"Review - future response date","")</f>
        <v/>
      </c>
    </row>
    <row r="642" spans="1:12" x14ac:dyDescent="0.25">
      <c r="A642" s="3" t="s">
        <v>4428</v>
      </c>
      <c r="B642" s="2" t="s">
        <v>2373</v>
      </c>
      <c r="C642" s="2" t="s">
        <v>3320</v>
      </c>
      <c r="D642" s="2" t="s">
        <v>3321</v>
      </c>
      <c r="E642" s="2" t="s">
        <v>4</v>
      </c>
      <c r="F642" s="15">
        <v>45457</v>
      </c>
      <c r="G642" s="25">
        <v>20.76</v>
      </c>
      <c r="H642" s="2" t="s">
        <v>37</v>
      </c>
      <c r="I642" s="4" t="s">
        <v>3334</v>
      </c>
      <c r="J642" s="2" t="str">
        <f>IF(tb2_CampaignResponses[[#This Row],[Gift_Amount]]&lt;0,"Review - negative amount",IF(tb2_CampaignResponses[[#This Row],[Gift_Amount]]&gt;10000,"Review - unusually large donation",""))</f>
        <v/>
      </c>
      <c r="K642" s="21" t="str">
        <f>IF(tb2_CampaignResponses[[#This Row],[Supporter_ID]]="","Review - no supporter ID","")</f>
        <v/>
      </c>
      <c r="L642" s="21" t="str">
        <f ca="1">IF(tb2_CampaignResponses[[#This Row],[Response_Date]]&gt;TODAY(),"Review - future response date","")</f>
        <v/>
      </c>
    </row>
    <row r="643" spans="1:12" x14ac:dyDescent="0.25">
      <c r="A643" s="3" t="s">
        <v>4430</v>
      </c>
      <c r="B643" s="2" t="s">
        <v>1097</v>
      </c>
      <c r="C643" s="2" t="s">
        <v>3427</v>
      </c>
      <c r="D643" s="2" t="s">
        <v>3428</v>
      </c>
      <c r="E643" s="2" t="s">
        <v>4</v>
      </c>
      <c r="F643" s="15">
        <v>45488</v>
      </c>
      <c r="G643" s="25">
        <v>13.95</v>
      </c>
      <c r="H643" s="2" t="s">
        <v>36</v>
      </c>
      <c r="I643" s="4" t="s">
        <v>3328</v>
      </c>
      <c r="J643" s="2" t="str">
        <f>IF(tb2_CampaignResponses[[#This Row],[Gift_Amount]]&lt;0,"Review - negative amount",IF(tb2_CampaignResponses[[#This Row],[Gift_Amount]]&gt;10000,"Review - unusually large donation",""))</f>
        <v/>
      </c>
      <c r="K643" s="21" t="str">
        <f>IF(tb2_CampaignResponses[[#This Row],[Supporter_ID]]="","Review - no supporter ID","")</f>
        <v/>
      </c>
      <c r="L643" s="21" t="str">
        <f ca="1">IF(tb2_CampaignResponses[[#This Row],[Response_Date]]&gt;TODAY(),"Review - future response date","")</f>
        <v/>
      </c>
    </row>
    <row r="644" spans="1:12" x14ac:dyDescent="0.25">
      <c r="A644" s="3" t="s">
        <v>4431</v>
      </c>
      <c r="B644" s="2" t="s">
        <v>1951</v>
      </c>
      <c r="C644" s="2" t="s">
        <v>3427</v>
      </c>
      <c r="D644" s="2" t="s">
        <v>3428</v>
      </c>
      <c r="E644" s="2" t="s">
        <v>4</v>
      </c>
      <c r="F644" s="15">
        <v>45488</v>
      </c>
      <c r="G644" s="25">
        <v>14</v>
      </c>
      <c r="H644" s="2" t="s">
        <v>36</v>
      </c>
      <c r="I644" s="4" t="s">
        <v>3328</v>
      </c>
      <c r="J644" s="2" t="str">
        <f>IF(tb2_CampaignResponses[[#This Row],[Gift_Amount]]&lt;0,"Review - negative amount",IF(tb2_CampaignResponses[[#This Row],[Gift_Amount]]&gt;10000,"Review - unusually large donation",""))</f>
        <v/>
      </c>
      <c r="K644" s="21" t="str">
        <f>IF(tb2_CampaignResponses[[#This Row],[Supporter_ID]]="","Review - no supporter ID","")</f>
        <v/>
      </c>
      <c r="L644" s="21" t="str">
        <f ca="1">IF(tb2_CampaignResponses[[#This Row],[Response_Date]]&gt;TODAY(),"Review - future response date","")</f>
        <v/>
      </c>
    </row>
    <row r="645" spans="1:12" x14ac:dyDescent="0.25">
      <c r="A645" s="3" t="s">
        <v>4432</v>
      </c>
      <c r="B645" s="2" t="s">
        <v>2934</v>
      </c>
      <c r="C645" s="2" t="s">
        <v>3403</v>
      </c>
      <c r="D645" s="2" t="s">
        <v>3404</v>
      </c>
      <c r="E645" s="2" t="s">
        <v>65</v>
      </c>
      <c r="F645" s="15">
        <v>45630</v>
      </c>
      <c r="G645" s="25">
        <v>41.07</v>
      </c>
      <c r="H645" s="2" t="s">
        <v>37</v>
      </c>
      <c r="I645" s="4" t="s">
        <v>3385</v>
      </c>
      <c r="J645" s="2" t="str">
        <f>IF(tb2_CampaignResponses[[#This Row],[Gift_Amount]]&lt;0,"Review - negative amount",IF(tb2_CampaignResponses[[#This Row],[Gift_Amount]]&gt;10000,"Review - unusually large donation",""))</f>
        <v/>
      </c>
      <c r="K645" s="21" t="str">
        <f>IF(tb2_CampaignResponses[[#This Row],[Supporter_ID]]="","Review - no supporter ID","")</f>
        <v/>
      </c>
      <c r="L645" s="21" t="str">
        <f ca="1">IF(tb2_CampaignResponses[[#This Row],[Response_Date]]&gt;TODAY(),"Review - future response date","")</f>
        <v/>
      </c>
    </row>
    <row r="646" spans="1:12" x14ac:dyDescent="0.25">
      <c r="A646" s="3" t="s">
        <v>4433</v>
      </c>
      <c r="B646" s="2" t="s">
        <v>2224</v>
      </c>
      <c r="C646" s="2" t="s">
        <v>3367</v>
      </c>
      <c r="D646" s="2" t="s">
        <v>3368</v>
      </c>
      <c r="E646" s="2" t="s">
        <v>65</v>
      </c>
      <c r="F646" s="15">
        <v>45745</v>
      </c>
      <c r="G646" s="25">
        <v>9.89</v>
      </c>
      <c r="H646" s="2" t="s">
        <v>37</v>
      </c>
      <c r="I646" s="4" t="s">
        <v>3331</v>
      </c>
      <c r="J646" s="2" t="str">
        <f>IF(tb2_CampaignResponses[[#This Row],[Gift_Amount]]&lt;0,"Review - negative amount",IF(tb2_CampaignResponses[[#This Row],[Gift_Amount]]&gt;10000,"Review - unusually large donation",""))</f>
        <v/>
      </c>
      <c r="K646" s="21" t="str">
        <f>IF(tb2_CampaignResponses[[#This Row],[Supporter_ID]]="","Review - no supporter ID","")</f>
        <v/>
      </c>
      <c r="L646" s="21" t="str">
        <f ca="1">IF(tb2_CampaignResponses[[#This Row],[Response_Date]]&gt;TODAY(),"Review - future response date","")</f>
        <v/>
      </c>
    </row>
    <row r="647" spans="1:12" x14ac:dyDescent="0.25">
      <c r="A647" s="3" t="s">
        <v>4435</v>
      </c>
      <c r="B647" s="2" t="s">
        <v>654</v>
      </c>
      <c r="C647" s="2" t="s">
        <v>3341</v>
      </c>
      <c r="D647" s="2" t="s">
        <v>3342</v>
      </c>
      <c r="E647" s="2" t="s">
        <v>3316</v>
      </c>
      <c r="F647" s="15">
        <v>45766</v>
      </c>
      <c r="G647" s="25">
        <v>142.87</v>
      </c>
      <c r="H647" s="2" t="s">
        <v>36</v>
      </c>
      <c r="I647" s="4" t="s">
        <v>3365</v>
      </c>
      <c r="J647" s="2" t="str">
        <f>IF(tb2_CampaignResponses[[#This Row],[Gift_Amount]]&lt;0,"Review - negative amount",IF(tb2_CampaignResponses[[#This Row],[Gift_Amount]]&gt;10000,"Review - unusually large donation",""))</f>
        <v/>
      </c>
      <c r="K647" s="21" t="str">
        <f>IF(tb2_CampaignResponses[[#This Row],[Supporter_ID]]="","Review - no supporter ID","")</f>
        <v/>
      </c>
      <c r="L647" s="21" t="str">
        <f ca="1">IF(tb2_CampaignResponses[[#This Row],[Response_Date]]&gt;TODAY(),"Review - future response date","")</f>
        <v/>
      </c>
    </row>
    <row r="648" spans="1:12" x14ac:dyDescent="0.25">
      <c r="A648" s="3" t="s">
        <v>4436</v>
      </c>
      <c r="B648" s="2" t="s">
        <v>1790</v>
      </c>
      <c r="C648" s="2" t="s">
        <v>3336</v>
      </c>
      <c r="D648" s="2" t="s">
        <v>3337</v>
      </c>
      <c r="E648" s="2" t="s">
        <v>4</v>
      </c>
      <c r="F648" s="15">
        <v>45560</v>
      </c>
      <c r="G648" s="25">
        <v>43.92</v>
      </c>
      <c r="H648" s="2" t="s">
        <v>37</v>
      </c>
      <c r="I648" s="4" t="s">
        <v>3334</v>
      </c>
      <c r="J648" s="2" t="str">
        <f>IF(tb2_CampaignResponses[[#This Row],[Gift_Amount]]&lt;0,"Review - negative amount",IF(tb2_CampaignResponses[[#This Row],[Gift_Amount]]&gt;10000,"Review - unusually large donation",""))</f>
        <v/>
      </c>
      <c r="K648" s="21" t="str">
        <f>IF(tb2_CampaignResponses[[#This Row],[Supporter_ID]]="","Review - no supporter ID","")</f>
        <v/>
      </c>
      <c r="L648" s="21" t="str">
        <f ca="1">IF(tb2_CampaignResponses[[#This Row],[Response_Date]]&gt;TODAY(),"Review - future response date","")</f>
        <v/>
      </c>
    </row>
    <row r="649" spans="1:12" x14ac:dyDescent="0.25">
      <c r="A649" s="3" t="s">
        <v>4438</v>
      </c>
      <c r="B649" s="2" t="s">
        <v>3297</v>
      </c>
      <c r="C649" s="2" t="s">
        <v>3341</v>
      </c>
      <c r="D649" s="2" t="s">
        <v>3342</v>
      </c>
      <c r="E649" s="2" t="s">
        <v>3316</v>
      </c>
      <c r="F649" s="15">
        <v>45724</v>
      </c>
      <c r="G649" s="25">
        <v>99.33</v>
      </c>
      <c r="H649" s="2" t="s">
        <v>36</v>
      </c>
      <c r="I649" s="4" t="s">
        <v>3331</v>
      </c>
      <c r="J649" s="2" t="str">
        <f>IF(tb2_CampaignResponses[[#This Row],[Gift_Amount]]&lt;0,"Review - negative amount",IF(tb2_CampaignResponses[[#This Row],[Gift_Amount]]&gt;10000,"Review - unusually large donation",""))</f>
        <v/>
      </c>
      <c r="K649" s="21" t="str">
        <f>IF(tb2_CampaignResponses[[#This Row],[Supporter_ID]]="","Review - no supporter ID","")</f>
        <v/>
      </c>
      <c r="L649" s="21" t="str">
        <f ca="1">IF(tb2_CampaignResponses[[#This Row],[Response_Date]]&gt;TODAY(),"Review - future response date","")</f>
        <v/>
      </c>
    </row>
    <row r="650" spans="1:12" x14ac:dyDescent="0.25">
      <c r="A650" s="3" t="s">
        <v>4440</v>
      </c>
      <c r="B650" s="2" t="s">
        <v>1850</v>
      </c>
      <c r="C650" s="2" t="s">
        <v>3354</v>
      </c>
      <c r="D650" s="2" t="s">
        <v>3355</v>
      </c>
      <c r="E650" s="2" t="s">
        <v>65</v>
      </c>
      <c r="F650" s="15">
        <v>45618</v>
      </c>
      <c r="G650" s="25">
        <v>22.14</v>
      </c>
      <c r="H650" s="2" t="s">
        <v>36</v>
      </c>
      <c r="I650" s="4" t="s">
        <v>3328</v>
      </c>
      <c r="J650" s="2" t="str">
        <f>IF(tb2_CampaignResponses[[#This Row],[Gift_Amount]]&lt;0,"Review - negative amount",IF(tb2_CampaignResponses[[#This Row],[Gift_Amount]]&gt;10000,"Review - unusually large donation",""))</f>
        <v/>
      </c>
      <c r="K650" s="21" t="str">
        <f>IF(tb2_CampaignResponses[[#This Row],[Supporter_ID]]="","Review - no supporter ID","")</f>
        <v/>
      </c>
      <c r="L650" s="21" t="str">
        <f ca="1">IF(tb2_CampaignResponses[[#This Row],[Response_Date]]&gt;TODAY(),"Review - future response date","")</f>
        <v/>
      </c>
    </row>
    <row r="651" spans="1:12" x14ac:dyDescent="0.25">
      <c r="A651" s="3" t="s">
        <v>4441</v>
      </c>
      <c r="B651" s="2" t="s">
        <v>1726</v>
      </c>
      <c r="C651" s="2" t="s">
        <v>3325</v>
      </c>
      <c r="D651" s="2" t="s">
        <v>3326</v>
      </c>
      <c r="E651" s="2" t="s">
        <v>65</v>
      </c>
      <c r="F651" s="15">
        <v>45650</v>
      </c>
      <c r="G651" s="25">
        <v>23.8</v>
      </c>
      <c r="H651" s="2" t="s">
        <v>36</v>
      </c>
      <c r="I651" s="4" t="s">
        <v>3370</v>
      </c>
      <c r="J651" s="2" t="str">
        <f>IF(tb2_CampaignResponses[[#This Row],[Gift_Amount]]&lt;0,"Review - negative amount",IF(tb2_CampaignResponses[[#This Row],[Gift_Amount]]&gt;10000,"Review - unusually large donation",""))</f>
        <v/>
      </c>
      <c r="K651" s="21" t="str">
        <f>IF(tb2_CampaignResponses[[#This Row],[Supporter_ID]]="","Review - no supporter ID","")</f>
        <v/>
      </c>
      <c r="L651" s="21" t="str">
        <f ca="1">IF(tb2_CampaignResponses[[#This Row],[Response_Date]]&gt;TODAY(),"Review - future response date","")</f>
        <v/>
      </c>
    </row>
    <row r="652" spans="1:12" x14ac:dyDescent="0.25">
      <c r="A652" s="3" t="s">
        <v>4442</v>
      </c>
      <c r="B652" s="2" t="s">
        <v>1832</v>
      </c>
      <c r="C652" s="2" t="s">
        <v>3367</v>
      </c>
      <c r="D652" s="2" t="s">
        <v>3368</v>
      </c>
      <c r="E652" s="2" t="s">
        <v>4</v>
      </c>
      <c r="F652" s="15">
        <v>45754</v>
      </c>
      <c r="G652" s="25">
        <v>50.61</v>
      </c>
      <c r="H652" s="2" t="s">
        <v>36</v>
      </c>
      <c r="I652" s="4" t="s">
        <v>3318</v>
      </c>
      <c r="J652" s="2" t="str">
        <f>IF(tb2_CampaignResponses[[#This Row],[Gift_Amount]]&lt;0,"Review - negative amount",IF(tb2_CampaignResponses[[#This Row],[Gift_Amount]]&gt;10000,"Review - unusually large donation",""))</f>
        <v/>
      </c>
      <c r="K652" s="21" t="str">
        <f>IF(tb2_CampaignResponses[[#This Row],[Supporter_ID]]="","Review - no supporter ID","")</f>
        <v/>
      </c>
      <c r="L652" s="21" t="str">
        <f ca="1">IF(tb2_CampaignResponses[[#This Row],[Response_Date]]&gt;TODAY(),"Review - future response date","")</f>
        <v/>
      </c>
    </row>
    <row r="653" spans="1:12" x14ac:dyDescent="0.25">
      <c r="A653" s="3" t="s">
        <v>4444</v>
      </c>
      <c r="B653" s="2" t="s">
        <v>1976</v>
      </c>
      <c r="C653" s="2" t="s">
        <v>3427</v>
      </c>
      <c r="D653" s="2" t="s">
        <v>3428</v>
      </c>
      <c r="E653" s="2" t="s">
        <v>65</v>
      </c>
      <c r="F653" s="15">
        <v>45488</v>
      </c>
      <c r="G653" s="25">
        <v>1956.31</v>
      </c>
      <c r="H653" s="2" t="s">
        <v>37</v>
      </c>
      <c r="I653" s="4" t="s">
        <v>3365</v>
      </c>
      <c r="J653" s="2" t="str">
        <f>IF(tb2_CampaignResponses[[#This Row],[Gift_Amount]]&lt;0,"Review - negative amount",IF(tb2_CampaignResponses[[#This Row],[Gift_Amount]]&gt;10000,"Review - unusually large donation",""))</f>
        <v/>
      </c>
      <c r="K653" s="21" t="str">
        <f>IF(tb2_CampaignResponses[[#This Row],[Supporter_ID]]="","Review - no supporter ID","")</f>
        <v/>
      </c>
      <c r="L653" s="21" t="str">
        <f ca="1">IF(tb2_CampaignResponses[[#This Row],[Response_Date]]&gt;TODAY(),"Review - future response date","")</f>
        <v/>
      </c>
    </row>
    <row r="654" spans="1:12" x14ac:dyDescent="0.25">
      <c r="A654" s="3" t="s">
        <v>4445</v>
      </c>
      <c r="B654" s="2" t="s">
        <v>53</v>
      </c>
      <c r="C654" s="2" t="s">
        <v>3403</v>
      </c>
      <c r="D654" s="2" t="s">
        <v>3404</v>
      </c>
      <c r="E654" s="2" t="s">
        <v>65</v>
      </c>
      <c r="F654" s="15">
        <v>45615</v>
      </c>
      <c r="G654" s="25">
        <v>25.53</v>
      </c>
      <c r="H654" s="2" t="s">
        <v>36</v>
      </c>
      <c r="I654" s="4" t="s">
        <v>3323</v>
      </c>
      <c r="J654" s="2" t="str">
        <f>IF(tb2_CampaignResponses[[#This Row],[Gift_Amount]]&lt;0,"Review - negative amount",IF(tb2_CampaignResponses[[#This Row],[Gift_Amount]]&gt;10000,"Review - unusually large donation",""))</f>
        <v/>
      </c>
      <c r="K654" s="21" t="str">
        <f>IF(tb2_CampaignResponses[[#This Row],[Supporter_ID]]="","Review - no supporter ID","")</f>
        <v/>
      </c>
      <c r="L654" s="21" t="str">
        <f ca="1">IF(tb2_CampaignResponses[[#This Row],[Response_Date]]&gt;TODAY(),"Review - future response date","")</f>
        <v/>
      </c>
    </row>
    <row r="655" spans="1:12" x14ac:dyDescent="0.25">
      <c r="A655" s="3" t="s">
        <v>4447</v>
      </c>
      <c r="B655" s="2" t="s">
        <v>1084</v>
      </c>
      <c r="C655" s="2" t="s">
        <v>3362</v>
      </c>
      <c r="D655" s="2" t="s">
        <v>3363</v>
      </c>
      <c r="E655" s="2" t="s">
        <v>65</v>
      </c>
      <c r="F655" s="15">
        <v>45573</v>
      </c>
      <c r="G655" s="25">
        <v>19.010000000000002</v>
      </c>
      <c r="H655" s="2" t="s">
        <v>36</v>
      </c>
      <c r="I655" s="4" t="s">
        <v>3334</v>
      </c>
      <c r="J655" s="2" t="str">
        <f>IF(tb2_CampaignResponses[[#This Row],[Gift_Amount]]&lt;0,"Review - negative amount",IF(tb2_CampaignResponses[[#This Row],[Gift_Amount]]&gt;10000,"Review - unusually large donation",""))</f>
        <v/>
      </c>
      <c r="K655" s="21" t="str">
        <f>IF(tb2_CampaignResponses[[#This Row],[Supporter_ID]]="","Review - no supporter ID","")</f>
        <v/>
      </c>
      <c r="L655" s="21" t="str">
        <f ca="1">IF(tb2_CampaignResponses[[#This Row],[Response_Date]]&gt;TODAY(),"Review - future response date","")</f>
        <v/>
      </c>
    </row>
    <row r="656" spans="1:12" x14ac:dyDescent="0.25">
      <c r="A656" s="3" t="s">
        <v>4449</v>
      </c>
      <c r="B656" s="2" t="s">
        <v>2212</v>
      </c>
      <c r="C656" s="2" t="s">
        <v>3427</v>
      </c>
      <c r="D656" s="2" t="s">
        <v>3428</v>
      </c>
      <c r="E656" s="2" t="s">
        <v>4</v>
      </c>
      <c r="F656" s="15">
        <v>45488</v>
      </c>
      <c r="G656" s="25">
        <v>61.76</v>
      </c>
      <c r="H656" s="2" t="s">
        <v>37</v>
      </c>
      <c r="I656" s="4" t="s">
        <v>3370</v>
      </c>
      <c r="J656" s="2" t="str">
        <f>IF(tb2_CampaignResponses[[#This Row],[Gift_Amount]]&lt;0,"Review - negative amount",IF(tb2_CampaignResponses[[#This Row],[Gift_Amount]]&gt;10000,"Review - unusually large donation",""))</f>
        <v/>
      </c>
      <c r="K656" s="21" t="str">
        <f>IF(tb2_CampaignResponses[[#This Row],[Supporter_ID]]="","Review - no supporter ID","")</f>
        <v/>
      </c>
      <c r="L656" s="21" t="str">
        <f ca="1">IF(tb2_CampaignResponses[[#This Row],[Response_Date]]&gt;TODAY(),"Review - future response date","")</f>
        <v/>
      </c>
    </row>
    <row r="657" spans="1:12" x14ac:dyDescent="0.25">
      <c r="A657" s="3" t="s">
        <v>4450</v>
      </c>
      <c r="B657" s="2" t="s">
        <v>2952</v>
      </c>
      <c r="C657" s="2" t="s">
        <v>3362</v>
      </c>
      <c r="D657" s="2" t="s">
        <v>3363</v>
      </c>
      <c r="E657" s="2" t="s">
        <v>65</v>
      </c>
      <c r="F657" s="15">
        <v>45572</v>
      </c>
      <c r="G657" s="25">
        <v>78.69</v>
      </c>
      <c r="H657" s="2" t="s">
        <v>36</v>
      </c>
      <c r="I657" s="4" t="s">
        <v>3370</v>
      </c>
      <c r="J657" s="2" t="str">
        <f>IF(tb2_CampaignResponses[[#This Row],[Gift_Amount]]&lt;0,"Review - negative amount",IF(tb2_CampaignResponses[[#This Row],[Gift_Amount]]&gt;10000,"Review - unusually large donation",""))</f>
        <v/>
      </c>
      <c r="K657" s="21" t="str">
        <f>IF(tb2_CampaignResponses[[#This Row],[Supporter_ID]]="","Review - no supporter ID","")</f>
        <v/>
      </c>
      <c r="L657" s="21" t="str">
        <f ca="1">IF(tb2_CampaignResponses[[#This Row],[Response_Date]]&gt;TODAY(),"Review - future response date","")</f>
        <v/>
      </c>
    </row>
    <row r="658" spans="1:12" x14ac:dyDescent="0.25">
      <c r="A658" s="3" t="s">
        <v>4451</v>
      </c>
      <c r="B658" s="2" t="s">
        <v>1933</v>
      </c>
      <c r="C658" s="2" t="s">
        <v>3341</v>
      </c>
      <c r="D658" s="2" t="s">
        <v>3342</v>
      </c>
      <c r="E658" s="2" t="s">
        <v>91</v>
      </c>
      <c r="F658" s="15">
        <v>45737</v>
      </c>
      <c r="G658" s="25">
        <v>329.81</v>
      </c>
      <c r="H658" s="2" t="s">
        <v>36</v>
      </c>
      <c r="I658" s="4" t="s">
        <v>3323</v>
      </c>
      <c r="J658" s="2" t="str">
        <f>IF(tb2_CampaignResponses[[#This Row],[Gift_Amount]]&lt;0,"Review - negative amount",IF(tb2_CampaignResponses[[#This Row],[Gift_Amount]]&gt;10000,"Review - unusually large donation",""))</f>
        <v/>
      </c>
      <c r="K658" s="21" t="str">
        <f>IF(tb2_CampaignResponses[[#This Row],[Supporter_ID]]="","Review - no supporter ID","")</f>
        <v/>
      </c>
      <c r="L658" s="21" t="str">
        <f ca="1">IF(tb2_CampaignResponses[[#This Row],[Response_Date]]&gt;TODAY(),"Review - future response date","")</f>
        <v/>
      </c>
    </row>
    <row r="659" spans="1:12" x14ac:dyDescent="0.25">
      <c r="A659" s="3" t="s">
        <v>4453</v>
      </c>
      <c r="B659" s="2" t="s">
        <v>762</v>
      </c>
      <c r="C659" s="2" t="s">
        <v>3341</v>
      </c>
      <c r="D659" s="2" t="s">
        <v>3342</v>
      </c>
      <c r="E659" s="2" t="s">
        <v>3316</v>
      </c>
      <c r="F659" s="15">
        <v>45740</v>
      </c>
      <c r="G659" s="25">
        <v>43.16</v>
      </c>
      <c r="H659" s="2" t="s">
        <v>37</v>
      </c>
      <c r="I659" s="4" t="s">
        <v>3328</v>
      </c>
      <c r="J659" s="2" t="str">
        <f>IF(tb2_CampaignResponses[[#This Row],[Gift_Amount]]&lt;0,"Review - negative amount",IF(tb2_CampaignResponses[[#This Row],[Gift_Amount]]&gt;10000,"Review - unusually large donation",""))</f>
        <v/>
      </c>
      <c r="K659" s="21" t="str">
        <f>IF(tb2_CampaignResponses[[#This Row],[Supporter_ID]]="","Review - no supporter ID","")</f>
        <v/>
      </c>
      <c r="L659" s="21" t="str">
        <f ca="1">IF(tb2_CampaignResponses[[#This Row],[Response_Date]]&gt;TODAY(),"Review - future response date","")</f>
        <v/>
      </c>
    </row>
    <row r="660" spans="1:12" x14ac:dyDescent="0.25">
      <c r="A660" s="3" t="s">
        <v>4455</v>
      </c>
      <c r="B660" s="2" t="s">
        <v>1261</v>
      </c>
      <c r="C660" s="2" t="s">
        <v>3427</v>
      </c>
      <c r="D660" s="2" t="s">
        <v>3428</v>
      </c>
      <c r="E660" s="2" t="s">
        <v>4</v>
      </c>
      <c r="F660" s="15">
        <v>45488</v>
      </c>
      <c r="G660" s="25">
        <v>90.73</v>
      </c>
      <c r="H660" s="2" t="s">
        <v>37</v>
      </c>
      <c r="I660" s="4" t="s">
        <v>3370</v>
      </c>
      <c r="J660" s="2" t="str">
        <f>IF(tb2_CampaignResponses[[#This Row],[Gift_Amount]]&lt;0,"Review - negative amount",IF(tb2_CampaignResponses[[#This Row],[Gift_Amount]]&gt;10000,"Review - unusually large donation",""))</f>
        <v/>
      </c>
      <c r="K660" s="21" t="str">
        <f>IF(tb2_CampaignResponses[[#This Row],[Supporter_ID]]="","Review - no supporter ID","")</f>
        <v/>
      </c>
      <c r="L660" s="21" t="str">
        <f ca="1">IF(tb2_CampaignResponses[[#This Row],[Response_Date]]&gt;TODAY(),"Review - future response date","")</f>
        <v/>
      </c>
    </row>
    <row r="661" spans="1:12" x14ac:dyDescent="0.25">
      <c r="A661" s="3" t="s">
        <v>4456</v>
      </c>
      <c r="B661" s="2" t="s">
        <v>2315</v>
      </c>
      <c r="C661" s="2" t="s">
        <v>3427</v>
      </c>
      <c r="D661" s="2" t="s">
        <v>3428</v>
      </c>
      <c r="E661" s="2" t="s">
        <v>4</v>
      </c>
      <c r="F661" s="15">
        <v>45488</v>
      </c>
      <c r="G661" s="25">
        <v>26.9</v>
      </c>
      <c r="H661" s="2" t="s">
        <v>36</v>
      </c>
      <c r="I661" s="4" t="s">
        <v>3365</v>
      </c>
      <c r="J661" s="2" t="str">
        <f>IF(tb2_CampaignResponses[[#This Row],[Gift_Amount]]&lt;0,"Review - negative amount",IF(tb2_CampaignResponses[[#This Row],[Gift_Amount]]&gt;10000,"Review - unusually large donation",""))</f>
        <v/>
      </c>
      <c r="K661" s="21" t="str">
        <f>IF(tb2_CampaignResponses[[#This Row],[Supporter_ID]]="","Review - no supporter ID","")</f>
        <v/>
      </c>
      <c r="L661" s="21" t="str">
        <f ca="1">IF(tb2_CampaignResponses[[#This Row],[Response_Date]]&gt;TODAY(),"Review - future response date","")</f>
        <v/>
      </c>
    </row>
    <row r="662" spans="1:12" x14ac:dyDescent="0.25">
      <c r="A662" s="3" t="s">
        <v>4457</v>
      </c>
      <c r="B662" s="2" t="s">
        <v>2550</v>
      </c>
      <c r="C662" s="2" t="s">
        <v>3427</v>
      </c>
      <c r="D662" s="2" t="s">
        <v>3428</v>
      </c>
      <c r="E662" s="2" t="s">
        <v>4</v>
      </c>
      <c r="F662" s="15">
        <v>45488</v>
      </c>
      <c r="G662" s="25">
        <v>69.33</v>
      </c>
      <c r="H662" s="2" t="s">
        <v>37</v>
      </c>
      <c r="I662" s="4" t="s">
        <v>3318</v>
      </c>
      <c r="J662" s="2" t="str">
        <f>IF(tb2_CampaignResponses[[#This Row],[Gift_Amount]]&lt;0,"Review - negative amount",IF(tb2_CampaignResponses[[#This Row],[Gift_Amount]]&gt;10000,"Review - unusually large donation",""))</f>
        <v/>
      </c>
      <c r="K662" s="21" t="str">
        <f>IF(tb2_CampaignResponses[[#This Row],[Supporter_ID]]="","Review - no supporter ID","")</f>
        <v/>
      </c>
      <c r="L662" s="21" t="str">
        <f ca="1">IF(tb2_CampaignResponses[[#This Row],[Response_Date]]&gt;TODAY(),"Review - future response date","")</f>
        <v/>
      </c>
    </row>
    <row r="663" spans="1:12" x14ac:dyDescent="0.25">
      <c r="A663" s="3" t="s">
        <v>4458</v>
      </c>
      <c r="B663" s="2"/>
      <c r="C663" s="2" t="s">
        <v>3403</v>
      </c>
      <c r="D663" s="2" t="s">
        <v>3404</v>
      </c>
      <c r="E663" s="2" t="s">
        <v>4</v>
      </c>
      <c r="F663" s="15">
        <v>45606</v>
      </c>
      <c r="G663" s="25">
        <v>23.66</v>
      </c>
      <c r="H663" s="2" t="s">
        <v>37</v>
      </c>
      <c r="I663" s="4" t="s">
        <v>3385</v>
      </c>
      <c r="J663" s="2" t="str">
        <f>IF(tb2_CampaignResponses[[#This Row],[Gift_Amount]]&lt;0,"Review - negative amount",IF(tb2_CampaignResponses[[#This Row],[Gift_Amount]]&gt;10000,"Review - unusually large donation",""))</f>
        <v/>
      </c>
      <c r="K663" s="21" t="str">
        <f>IF(tb2_CampaignResponses[[#This Row],[Supporter_ID]]="","Review - no supporter ID","")</f>
        <v>Review - no supporter ID</v>
      </c>
      <c r="L663" s="21" t="str">
        <f ca="1">IF(tb2_CampaignResponses[[#This Row],[Response_Date]]&gt;TODAY(),"Review - future response date","")</f>
        <v/>
      </c>
    </row>
    <row r="664" spans="1:12" x14ac:dyDescent="0.25">
      <c r="A664" s="3" t="s">
        <v>4460</v>
      </c>
      <c r="B664" s="2" t="s">
        <v>680</v>
      </c>
      <c r="C664" s="2" t="s">
        <v>3427</v>
      </c>
      <c r="D664" s="2" t="s">
        <v>3428</v>
      </c>
      <c r="E664" s="2" t="s">
        <v>65</v>
      </c>
      <c r="F664" s="15">
        <v>45488</v>
      </c>
      <c r="G664" s="25">
        <v>26.04</v>
      </c>
      <c r="H664" s="2" t="s">
        <v>36</v>
      </c>
      <c r="I664" s="4" t="s">
        <v>3365</v>
      </c>
      <c r="J664" s="2" t="str">
        <f>IF(tb2_CampaignResponses[[#This Row],[Gift_Amount]]&lt;0,"Review - negative amount",IF(tb2_CampaignResponses[[#This Row],[Gift_Amount]]&gt;10000,"Review - unusually large donation",""))</f>
        <v/>
      </c>
      <c r="K664" s="21" t="str">
        <f>IF(tb2_CampaignResponses[[#This Row],[Supporter_ID]]="","Review - no supporter ID","")</f>
        <v/>
      </c>
      <c r="L664" s="21" t="str">
        <f ca="1">IF(tb2_CampaignResponses[[#This Row],[Response_Date]]&gt;TODAY(),"Review - future response date","")</f>
        <v/>
      </c>
    </row>
    <row r="665" spans="1:12" x14ac:dyDescent="0.25">
      <c r="A665" s="3" t="s">
        <v>4461</v>
      </c>
      <c r="B665" s="2" t="s">
        <v>2519</v>
      </c>
      <c r="C665" s="2" t="s">
        <v>3354</v>
      </c>
      <c r="D665" s="2" t="s">
        <v>3355</v>
      </c>
      <c r="E665" s="2" t="s">
        <v>4</v>
      </c>
      <c r="F665" s="15">
        <v>45618</v>
      </c>
      <c r="G665" s="25">
        <v>49.19</v>
      </c>
      <c r="H665" s="2" t="s">
        <v>36</v>
      </c>
      <c r="I665" s="4" t="s">
        <v>3318</v>
      </c>
      <c r="J665" s="2" t="str">
        <f>IF(tb2_CampaignResponses[[#This Row],[Gift_Amount]]&lt;0,"Review - negative amount",IF(tb2_CampaignResponses[[#This Row],[Gift_Amount]]&gt;10000,"Review - unusually large donation",""))</f>
        <v/>
      </c>
      <c r="K665" s="21" t="str">
        <f>IF(tb2_CampaignResponses[[#This Row],[Supporter_ID]]="","Review - no supporter ID","")</f>
        <v/>
      </c>
      <c r="L665" s="21" t="str">
        <f ca="1">IF(tb2_CampaignResponses[[#This Row],[Response_Date]]&gt;TODAY(),"Review - future response date","")</f>
        <v/>
      </c>
    </row>
    <row r="666" spans="1:12" x14ac:dyDescent="0.25">
      <c r="A666" s="3" t="s">
        <v>4462</v>
      </c>
      <c r="B666" s="2" t="s">
        <v>2876</v>
      </c>
      <c r="C666" s="2" t="s">
        <v>3341</v>
      </c>
      <c r="D666" s="2" t="s">
        <v>3342</v>
      </c>
      <c r="E666" s="2" t="s">
        <v>4</v>
      </c>
      <c r="F666" s="15">
        <v>45717</v>
      </c>
      <c r="G666" s="25">
        <v>108.3</v>
      </c>
      <c r="H666" s="2" t="s">
        <v>37</v>
      </c>
      <c r="I666" s="4" t="s">
        <v>3318</v>
      </c>
      <c r="J666" s="2" t="str">
        <f>IF(tb2_CampaignResponses[[#This Row],[Gift_Amount]]&lt;0,"Review - negative amount",IF(tb2_CampaignResponses[[#This Row],[Gift_Amount]]&gt;10000,"Review - unusually large donation",""))</f>
        <v/>
      </c>
      <c r="K666" s="21" t="str">
        <f>IF(tb2_CampaignResponses[[#This Row],[Supporter_ID]]="","Review - no supporter ID","")</f>
        <v/>
      </c>
      <c r="L666" s="21" t="str">
        <f ca="1">IF(tb2_CampaignResponses[[#This Row],[Response_Date]]&gt;TODAY(),"Review - future response date","")</f>
        <v/>
      </c>
    </row>
    <row r="667" spans="1:12" x14ac:dyDescent="0.25">
      <c r="A667" s="3" t="s">
        <v>4464</v>
      </c>
      <c r="B667" s="2" t="s">
        <v>374</v>
      </c>
      <c r="C667" s="2" t="s">
        <v>3354</v>
      </c>
      <c r="D667" s="2" t="s">
        <v>3355</v>
      </c>
      <c r="E667" s="2" t="s">
        <v>65</v>
      </c>
      <c r="F667" s="15">
        <v>45618</v>
      </c>
      <c r="G667" s="25">
        <v>46.41</v>
      </c>
      <c r="H667" s="2" t="s">
        <v>36</v>
      </c>
      <c r="I667" s="4" t="s">
        <v>3370</v>
      </c>
      <c r="J667" s="2" t="str">
        <f>IF(tb2_CampaignResponses[[#This Row],[Gift_Amount]]&lt;0,"Review - negative amount",IF(tb2_CampaignResponses[[#This Row],[Gift_Amount]]&gt;10000,"Review - unusually large donation",""))</f>
        <v/>
      </c>
      <c r="K667" s="21" t="str">
        <f>IF(tb2_CampaignResponses[[#This Row],[Supporter_ID]]="","Review - no supporter ID","")</f>
        <v/>
      </c>
      <c r="L667" s="21" t="str">
        <f ca="1">IF(tb2_CampaignResponses[[#This Row],[Response_Date]]&gt;TODAY(),"Review - future response date","")</f>
        <v/>
      </c>
    </row>
    <row r="668" spans="1:12" x14ac:dyDescent="0.25">
      <c r="A668" s="3" t="s">
        <v>4465</v>
      </c>
      <c r="B668" s="2" t="s">
        <v>1951</v>
      </c>
      <c r="C668" s="2" t="s">
        <v>3325</v>
      </c>
      <c r="D668" s="2" t="s">
        <v>3326</v>
      </c>
      <c r="E668" s="2" t="s">
        <v>4</v>
      </c>
      <c r="F668" s="15">
        <v>45635</v>
      </c>
      <c r="G668" s="25">
        <v>71.13</v>
      </c>
      <c r="H668" s="2" t="s">
        <v>36</v>
      </c>
      <c r="I668" s="4" t="s">
        <v>3370</v>
      </c>
      <c r="J668" s="2" t="str">
        <f>IF(tb2_CampaignResponses[[#This Row],[Gift_Amount]]&lt;0,"Review - negative amount",IF(tb2_CampaignResponses[[#This Row],[Gift_Amount]]&gt;10000,"Review - unusually large donation",""))</f>
        <v/>
      </c>
      <c r="K668" s="21" t="str">
        <f>IF(tb2_CampaignResponses[[#This Row],[Supporter_ID]]="","Review - no supporter ID","")</f>
        <v/>
      </c>
      <c r="L668" s="21" t="str">
        <f ca="1">IF(tb2_CampaignResponses[[#This Row],[Response_Date]]&gt;TODAY(),"Review - future response date","")</f>
        <v/>
      </c>
    </row>
    <row r="669" spans="1:12" x14ac:dyDescent="0.25">
      <c r="A669" s="3" t="s">
        <v>4467</v>
      </c>
      <c r="B669" s="2" t="s">
        <v>729</v>
      </c>
      <c r="C669" s="2" t="s">
        <v>3325</v>
      </c>
      <c r="D669" s="2" t="s">
        <v>3326</v>
      </c>
      <c r="E669" s="2" t="s">
        <v>3316</v>
      </c>
      <c r="F669" s="15">
        <v>45619</v>
      </c>
      <c r="G669" s="25">
        <v>15.35</v>
      </c>
      <c r="H669" s="2" t="s">
        <v>36</v>
      </c>
      <c r="I669" s="4" t="s">
        <v>3328</v>
      </c>
      <c r="J669" s="2" t="str">
        <f>IF(tb2_CampaignResponses[[#This Row],[Gift_Amount]]&lt;0,"Review - negative amount",IF(tb2_CampaignResponses[[#This Row],[Gift_Amount]]&gt;10000,"Review - unusually large donation",""))</f>
        <v/>
      </c>
      <c r="K669" s="21" t="str">
        <f>IF(tb2_CampaignResponses[[#This Row],[Supporter_ID]]="","Review - no supporter ID","")</f>
        <v/>
      </c>
      <c r="L669" s="21" t="str">
        <f ca="1">IF(tb2_CampaignResponses[[#This Row],[Response_Date]]&gt;TODAY(),"Review - future response date","")</f>
        <v/>
      </c>
    </row>
    <row r="670" spans="1:12" x14ac:dyDescent="0.25">
      <c r="A670" s="3" t="s">
        <v>4469</v>
      </c>
      <c r="B670" s="2" t="s">
        <v>2380</v>
      </c>
      <c r="C670" s="2" t="s">
        <v>3320</v>
      </c>
      <c r="D670" s="2" t="s">
        <v>3321</v>
      </c>
      <c r="E670" s="2" t="s">
        <v>65</v>
      </c>
      <c r="F670" s="15">
        <v>45297</v>
      </c>
      <c r="G670" s="25">
        <v>141.9</v>
      </c>
      <c r="H670" s="2" t="s">
        <v>37</v>
      </c>
      <c r="I670" s="4" t="s">
        <v>3331</v>
      </c>
      <c r="J670" s="2" t="str">
        <f>IF(tb2_CampaignResponses[[#This Row],[Gift_Amount]]&lt;0,"Review - negative amount",IF(tb2_CampaignResponses[[#This Row],[Gift_Amount]]&gt;10000,"Review - unusually large donation",""))</f>
        <v/>
      </c>
      <c r="K670" s="21" t="str">
        <f>IF(tb2_CampaignResponses[[#This Row],[Supporter_ID]]="","Review - no supporter ID","")</f>
        <v/>
      </c>
      <c r="L670" s="21" t="str">
        <f ca="1">IF(tb2_CampaignResponses[[#This Row],[Response_Date]]&gt;TODAY(),"Review - future response date","")</f>
        <v/>
      </c>
    </row>
    <row r="671" spans="1:12" x14ac:dyDescent="0.25">
      <c r="A671" s="3" t="s">
        <v>4470</v>
      </c>
      <c r="B671" s="2" t="s">
        <v>1399</v>
      </c>
      <c r="C671" s="2" t="s">
        <v>3362</v>
      </c>
      <c r="D671" s="2" t="s">
        <v>3363</v>
      </c>
      <c r="E671" s="2" t="s">
        <v>65</v>
      </c>
      <c r="F671" s="15">
        <v>45576</v>
      </c>
      <c r="G671" s="25">
        <v>148.97999999999999</v>
      </c>
      <c r="H671" s="2" t="s">
        <v>37</v>
      </c>
      <c r="I671" s="4" t="s">
        <v>3331</v>
      </c>
      <c r="J671" s="2" t="str">
        <f>IF(tb2_CampaignResponses[[#This Row],[Gift_Amount]]&lt;0,"Review - negative amount",IF(tb2_CampaignResponses[[#This Row],[Gift_Amount]]&gt;10000,"Review - unusually large donation",""))</f>
        <v/>
      </c>
      <c r="K671" s="21" t="str">
        <f>IF(tb2_CampaignResponses[[#This Row],[Supporter_ID]]="","Review - no supporter ID","")</f>
        <v/>
      </c>
      <c r="L671" s="21" t="str">
        <f ca="1">IF(tb2_CampaignResponses[[#This Row],[Response_Date]]&gt;TODAY(),"Review - future response date","")</f>
        <v/>
      </c>
    </row>
    <row r="672" spans="1:12" x14ac:dyDescent="0.25">
      <c r="A672" s="3" t="s">
        <v>4472</v>
      </c>
      <c r="B672" s="2" t="s">
        <v>637</v>
      </c>
      <c r="C672" s="2" t="s">
        <v>3427</v>
      </c>
      <c r="D672" s="2" t="s">
        <v>3428</v>
      </c>
      <c r="E672" s="2" t="s">
        <v>65</v>
      </c>
      <c r="F672" s="15">
        <v>45488</v>
      </c>
      <c r="G672" s="25">
        <v>27.92</v>
      </c>
      <c r="H672" s="2" t="s">
        <v>36</v>
      </c>
      <c r="I672" s="4" t="s">
        <v>3328</v>
      </c>
      <c r="J672" s="2" t="str">
        <f>IF(tb2_CampaignResponses[[#This Row],[Gift_Amount]]&lt;0,"Review - negative amount",IF(tb2_CampaignResponses[[#This Row],[Gift_Amount]]&gt;10000,"Review - unusually large donation",""))</f>
        <v/>
      </c>
      <c r="K672" s="21" t="str">
        <f>IF(tb2_CampaignResponses[[#This Row],[Supporter_ID]]="","Review - no supporter ID","")</f>
        <v/>
      </c>
      <c r="L672" s="21" t="str">
        <f ca="1">IF(tb2_CampaignResponses[[#This Row],[Response_Date]]&gt;TODAY(),"Review - future response date","")</f>
        <v/>
      </c>
    </row>
    <row r="673" spans="1:12" x14ac:dyDescent="0.25">
      <c r="A673" s="3" t="s">
        <v>4473</v>
      </c>
      <c r="B673" s="2" t="s">
        <v>2332</v>
      </c>
      <c r="C673" s="2" t="s">
        <v>3354</v>
      </c>
      <c r="D673" s="2" t="s">
        <v>3355</v>
      </c>
      <c r="E673" s="2" t="s">
        <v>4</v>
      </c>
      <c r="F673" s="15">
        <v>45618</v>
      </c>
      <c r="G673" s="25">
        <v>452.29</v>
      </c>
      <c r="H673" s="2" t="s">
        <v>37</v>
      </c>
      <c r="I673" s="4" t="s">
        <v>3370</v>
      </c>
      <c r="J673" s="2" t="str">
        <f>IF(tb2_CampaignResponses[[#This Row],[Gift_Amount]]&lt;0,"Review - negative amount",IF(tb2_CampaignResponses[[#This Row],[Gift_Amount]]&gt;10000,"Review - unusually large donation",""))</f>
        <v/>
      </c>
      <c r="K673" s="21" t="str">
        <f>IF(tb2_CampaignResponses[[#This Row],[Supporter_ID]]="","Review - no supporter ID","")</f>
        <v/>
      </c>
      <c r="L673" s="21" t="str">
        <f ca="1">IF(tb2_CampaignResponses[[#This Row],[Response_Date]]&gt;TODAY(),"Review - future response date","")</f>
        <v/>
      </c>
    </row>
    <row r="674" spans="1:12" x14ac:dyDescent="0.25">
      <c r="A674" s="3" t="s">
        <v>4474</v>
      </c>
      <c r="B674" s="2" t="s">
        <v>1147</v>
      </c>
      <c r="C674" s="2" t="s">
        <v>3403</v>
      </c>
      <c r="D674" s="2" t="s">
        <v>3404</v>
      </c>
      <c r="E674" s="2" t="s">
        <v>3316</v>
      </c>
      <c r="F674" s="15">
        <v>45632</v>
      </c>
      <c r="G674" s="25">
        <v>17.82</v>
      </c>
      <c r="H674" s="2" t="s">
        <v>36</v>
      </c>
      <c r="I674" s="4" t="s">
        <v>3323</v>
      </c>
      <c r="J674" s="2" t="str">
        <f>IF(tb2_CampaignResponses[[#This Row],[Gift_Amount]]&lt;0,"Review - negative amount",IF(tb2_CampaignResponses[[#This Row],[Gift_Amount]]&gt;10000,"Review - unusually large donation",""))</f>
        <v/>
      </c>
      <c r="K674" s="21" t="str">
        <f>IF(tb2_CampaignResponses[[#This Row],[Supporter_ID]]="","Review - no supporter ID","")</f>
        <v/>
      </c>
      <c r="L674" s="21" t="str">
        <f ca="1">IF(tb2_CampaignResponses[[#This Row],[Response_Date]]&gt;TODAY(),"Review - future response date","")</f>
        <v/>
      </c>
    </row>
    <row r="675" spans="1:12" x14ac:dyDescent="0.25">
      <c r="A675" s="3" t="s">
        <v>4476</v>
      </c>
      <c r="B675" s="2" t="s">
        <v>2876</v>
      </c>
      <c r="C675" s="2" t="s">
        <v>3325</v>
      </c>
      <c r="D675" s="2" t="s">
        <v>3326</v>
      </c>
      <c r="E675" s="2" t="s">
        <v>3338</v>
      </c>
      <c r="F675" s="15">
        <v>45602</v>
      </c>
      <c r="G675" s="25">
        <v>26.57</v>
      </c>
      <c r="H675" s="2" t="s">
        <v>37</v>
      </c>
      <c r="I675" s="4" t="s">
        <v>3370</v>
      </c>
      <c r="J675" s="2" t="str">
        <f>IF(tb2_CampaignResponses[[#This Row],[Gift_Amount]]&lt;0,"Review - negative amount",IF(tb2_CampaignResponses[[#This Row],[Gift_Amount]]&gt;10000,"Review - unusually large donation",""))</f>
        <v/>
      </c>
      <c r="K675" s="21" t="str">
        <f>IF(tb2_CampaignResponses[[#This Row],[Supporter_ID]]="","Review - no supporter ID","")</f>
        <v/>
      </c>
      <c r="L675" s="21" t="str">
        <f ca="1">IF(tb2_CampaignResponses[[#This Row],[Response_Date]]&gt;TODAY(),"Review - future response date","")</f>
        <v/>
      </c>
    </row>
    <row r="676" spans="1:12" x14ac:dyDescent="0.25">
      <c r="A676" s="3" t="s">
        <v>4477</v>
      </c>
      <c r="B676" s="2" t="s">
        <v>1625</v>
      </c>
      <c r="C676" s="2" t="s">
        <v>3320</v>
      </c>
      <c r="D676" s="2" t="s">
        <v>3321</v>
      </c>
      <c r="E676" s="2" t="s">
        <v>4</v>
      </c>
      <c r="F676" s="15">
        <v>45462</v>
      </c>
      <c r="G676" s="25">
        <v>25.75</v>
      </c>
      <c r="H676" s="2" t="s">
        <v>36</v>
      </c>
      <c r="I676" s="4" t="s">
        <v>3365</v>
      </c>
      <c r="J676" s="2" t="str">
        <f>IF(tb2_CampaignResponses[[#This Row],[Gift_Amount]]&lt;0,"Review - negative amount",IF(tb2_CampaignResponses[[#This Row],[Gift_Amount]]&gt;10000,"Review - unusually large donation",""))</f>
        <v/>
      </c>
      <c r="K676" s="21" t="str">
        <f>IF(tb2_CampaignResponses[[#This Row],[Supporter_ID]]="","Review - no supporter ID","")</f>
        <v/>
      </c>
      <c r="L676" s="21" t="str">
        <f ca="1">IF(tb2_CampaignResponses[[#This Row],[Response_Date]]&gt;TODAY(),"Review - future response date","")</f>
        <v/>
      </c>
    </row>
    <row r="677" spans="1:12" x14ac:dyDescent="0.25">
      <c r="A677" s="3" t="s">
        <v>4479</v>
      </c>
      <c r="B677" s="2" t="s">
        <v>2463</v>
      </c>
      <c r="C677" s="2" t="s">
        <v>3320</v>
      </c>
      <c r="D677" s="2" t="s">
        <v>3321</v>
      </c>
      <c r="E677" s="2" t="s">
        <v>4</v>
      </c>
      <c r="F677" s="15">
        <v>45463</v>
      </c>
      <c r="G677" s="25">
        <v>30.5</v>
      </c>
      <c r="H677" s="2" t="s">
        <v>37</v>
      </c>
      <c r="I677" s="4" t="s">
        <v>3318</v>
      </c>
      <c r="J677" s="2" t="str">
        <f>IF(tb2_CampaignResponses[[#This Row],[Gift_Amount]]&lt;0,"Review - negative amount",IF(tb2_CampaignResponses[[#This Row],[Gift_Amount]]&gt;10000,"Review - unusually large donation",""))</f>
        <v/>
      </c>
      <c r="K677" s="21" t="str">
        <f>IF(tb2_CampaignResponses[[#This Row],[Supporter_ID]]="","Review - no supporter ID","")</f>
        <v/>
      </c>
      <c r="L677" s="21" t="str">
        <f ca="1">IF(tb2_CampaignResponses[[#This Row],[Response_Date]]&gt;TODAY(),"Review - future response date","")</f>
        <v/>
      </c>
    </row>
    <row r="678" spans="1:12" x14ac:dyDescent="0.25">
      <c r="A678" s="3" t="s">
        <v>4480</v>
      </c>
      <c r="B678" s="2" t="s">
        <v>2615</v>
      </c>
      <c r="C678" s="2" t="s">
        <v>3320</v>
      </c>
      <c r="D678" s="2" t="s">
        <v>3321</v>
      </c>
      <c r="E678" s="2" t="s">
        <v>65</v>
      </c>
      <c r="F678" s="15">
        <v>45459</v>
      </c>
      <c r="G678" s="25">
        <v>375.25</v>
      </c>
      <c r="H678" s="2" t="s">
        <v>36</v>
      </c>
      <c r="I678" s="4" t="s">
        <v>3334</v>
      </c>
      <c r="J678" s="2" t="str">
        <f>IF(tb2_CampaignResponses[[#This Row],[Gift_Amount]]&lt;0,"Review - negative amount",IF(tb2_CampaignResponses[[#This Row],[Gift_Amount]]&gt;10000,"Review - unusually large donation",""))</f>
        <v/>
      </c>
      <c r="K678" s="21" t="str">
        <f>IF(tb2_CampaignResponses[[#This Row],[Supporter_ID]]="","Review - no supporter ID","")</f>
        <v/>
      </c>
      <c r="L678" s="21" t="str">
        <f ca="1">IF(tb2_CampaignResponses[[#This Row],[Response_Date]]&gt;TODAY(),"Review - future response date","")</f>
        <v/>
      </c>
    </row>
    <row r="679" spans="1:12" x14ac:dyDescent="0.25">
      <c r="A679" s="3" t="s">
        <v>4482</v>
      </c>
      <c r="B679" s="2" t="s">
        <v>967</v>
      </c>
      <c r="C679" s="2" t="s">
        <v>3362</v>
      </c>
      <c r="D679" s="2" t="s">
        <v>3363</v>
      </c>
      <c r="E679" s="2" t="s">
        <v>65</v>
      </c>
      <c r="F679" s="15">
        <v>45575</v>
      </c>
      <c r="G679" s="25">
        <v>54.78</v>
      </c>
      <c r="H679" s="2" t="s">
        <v>36</v>
      </c>
      <c r="I679" s="4" t="s">
        <v>3370</v>
      </c>
      <c r="J679" s="2" t="str">
        <f>IF(tb2_CampaignResponses[[#This Row],[Gift_Amount]]&lt;0,"Review - negative amount",IF(tb2_CampaignResponses[[#This Row],[Gift_Amount]]&gt;10000,"Review - unusually large donation",""))</f>
        <v/>
      </c>
      <c r="K679" s="21" t="str">
        <f>IF(tb2_CampaignResponses[[#This Row],[Supporter_ID]]="","Review - no supporter ID","")</f>
        <v/>
      </c>
      <c r="L679" s="21" t="str">
        <f ca="1">IF(tb2_CampaignResponses[[#This Row],[Response_Date]]&gt;TODAY(),"Review - future response date","")</f>
        <v/>
      </c>
    </row>
    <row r="680" spans="1:12" x14ac:dyDescent="0.25">
      <c r="A680" s="3" t="s">
        <v>4483</v>
      </c>
      <c r="B680" s="2" t="s">
        <v>3188</v>
      </c>
      <c r="C680" s="2" t="s">
        <v>3320</v>
      </c>
      <c r="D680" s="2" t="s">
        <v>3321</v>
      </c>
      <c r="E680" s="2" t="s">
        <v>65</v>
      </c>
      <c r="F680" s="15">
        <v>45466</v>
      </c>
      <c r="G680" s="25">
        <v>240.87</v>
      </c>
      <c r="H680" s="2" t="s">
        <v>36</v>
      </c>
      <c r="I680" s="4" t="s">
        <v>3331</v>
      </c>
      <c r="J680" s="2" t="str">
        <f>IF(tb2_CampaignResponses[[#This Row],[Gift_Amount]]&lt;0,"Review - negative amount",IF(tb2_CampaignResponses[[#This Row],[Gift_Amount]]&gt;10000,"Review - unusually large donation",""))</f>
        <v/>
      </c>
      <c r="K680" s="21" t="str">
        <f>IF(tb2_CampaignResponses[[#This Row],[Supporter_ID]]="","Review - no supporter ID","")</f>
        <v/>
      </c>
      <c r="L680" s="21" t="str">
        <f ca="1">IF(tb2_CampaignResponses[[#This Row],[Response_Date]]&gt;TODAY(),"Review - future response date","")</f>
        <v/>
      </c>
    </row>
    <row r="681" spans="1:12" x14ac:dyDescent="0.25">
      <c r="A681" s="3" t="s">
        <v>4484</v>
      </c>
      <c r="B681" s="2" t="s">
        <v>1207</v>
      </c>
      <c r="C681" s="2" t="s">
        <v>3320</v>
      </c>
      <c r="D681" s="2" t="s">
        <v>3321</v>
      </c>
      <c r="E681" s="2" t="s">
        <v>65</v>
      </c>
      <c r="F681" s="15">
        <v>45459</v>
      </c>
      <c r="G681" s="25">
        <v>33.93</v>
      </c>
      <c r="H681" s="2" t="s">
        <v>36</v>
      </c>
      <c r="I681" s="4" t="s">
        <v>3365</v>
      </c>
      <c r="J681" s="2" t="str">
        <f>IF(tb2_CampaignResponses[[#This Row],[Gift_Amount]]&lt;0,"Review - negative amount",IF(tb2_CampaignResponses[[#This Row],[Gift_Amount]]&gt;10000,"Review - unusually large donation",""))</f>
        <v/>
      </c>
      <c r="K681" s="21" t="str">
        <f>IF(tb2_CampaignResponses[[#This Row],[Supporter_ID]]="","Review - no supporter ID","")</f>
        <v/>
      </c>
      <c r="L681" s="21" t="str">
        <f ca="1">IF(tb2_CampaignResponses[[#This Row],[Response_Date]]&gt;TODAY(),"Review - future response date","")</f>
        <v/>
      </c>
    </row>
    <row r="682" spans="1:12" x14ac:dyDescent="0.25">
      <c r="A682" s="3" t="s">
        <v>4486</v>
      </c>
      <c r="B682" s="2" t="s">
        <v>2770</v>
      </c>
      <c r="C682" s="2" t="s">
        <v>3325</v>
      </c>
      <c r="D682" s="2" t="s">
        <v>3326</v>
      </c>
      <c r="E682" s="2" t="s">
        <v>65</v>
      </c>
      <c r="F682" s="15">
        <v>45599</v>
      </c>
      <c r="G682" s="25">
        <v>27.4</v>
      </c>
      <c r="H682" s="2" t="s">
        <v>37</v>
      </c>
      <c r="I682" s="4" t="s">
        <v>3370</v>
      </c>
      <c r="J682" s="2" t="str">
        <f>IF(tb2_CampaignResponses[[#This Row],[Gift_Amount]]&lt;0,"Review - negative amount",IF(tb2_CampaignResponses[[#This Row],[Gift_Amount]]&gt;10000,"Review - unusually large donation",""))</f>
        <v/>
      </c>
      <c r="K682" s="21" t="str">
        <f>IF(tb2_CampaignResponses[[#This Row],[Supporter_ID]]="","Review - no supporter ID","")</f>
        <v/>
      </c>
      <c r="L682" s="21" t="str">
        <f ca="1">IF(tb2_CampaignResponses[[#This Row],[Response_Date]]&gt;TODAY(),"Review - future response date","")</f>
        <v/>
      </c>
    </row>
    <row r="683" spans="1:12" x14ac:dyDescent="0.25">
      <c r="A683" s="3" t="s">
        <v>4487</v>
      </c>
      <c r="B683" s="2" t="s">
        <v>883</v>
      </c>
      <c r="C683" s="2" t="s">
        <v>3325</v>
      </c>
      <c r="D683" s="2" t="s">
        <v>3326</v>
      </c>
      <c r="E683" s="2" t="s">
        <v>3316</v>
      </c>
      <c r="F683" s="15">
        <v>45616</v>
      </c>
      <c r="G683" s="25">
        <v>41.38</v>
      </c>
      <c r="H683" s="2" t="s">
        <v>36</v>
      </c>
      <c r="I683" s="4" t="s">
        <v>3365</v>
      </c>
      <c r="J683" s="2" t="str">
        <f>IF(tb2_CampaignResponses[[#This Row],[Gift_Amount]]&lt;0,"Review - negative amount",IF(tb2_CampaignResponses[[#This Row],[Gift_Amount]]&gt;10000,"Review - unusually large donation",""))</f>
        <v/>
      </c>
      <c r="K683" s="21" t="str">
        <f>IF(tb2_CampaignResponses[[#This Row],[Supporter_ID]]="","Review - no supporter ID","")</f>
        <v/>
      </c>
      <c r="L683" s="21" t="str">
        <f ca="1">IF(tb2_CampaignResponses[[#This Row],[Response_Date]]&gt;TODAY(),"Review - future response date","")</f>
        <v/>
      </c>
    </row>
    <row r="684" spans="1:12" x14ac:dyDescent="0.25">
      <c r="A684" s="3" t="s">
        <v>4488</v>
      </c>
      <c r="B684" s="2" t="s">
        <v>1147</v>
      </c>
      <c r="C684" s="2" t="s">
        <v>3325</v>
      </c>
      <c r="D684" s="2" t="s">
        <v>3326</v>
      </c>
      <c r="E684" s="2" t="s">
        <v>65</v>
      </c>
      <c r="F684" s="15">
        <v>45609</v>
      </c>
      <c r="G684" s="25">
        <v>32.33</v>
      </c>
      <c r="H684" s="2" t="s">
        <v>37</v>
      </c>
      <c r="I684" s="4" t="s">
        <v>3370</v>
      </c>
      <c r="J684" s="2" t="str">
        <f>IF(tb2_CampaignResponses[[#This Row],[Gift_Amount]]&lt;0,"Review - negative amount",IF(tb2_CampaignResponses[[#This Row],[Gift_Amount]]&gt;10000,"Review - unusually large donation",""))</f>
        <v/>
      </c>
      <c r="K684" s="21" t="str">
        <f>IF(tb2_CampaignResponses[[#This Row],[Supporter_ID]]="","Review - no supporter ID","")</f>
        <v/>
      </c>
      <c r="L684" s="21" t="str">
        <f ca="1">IF(tb2_CampaignResponses[[#This Row],[Response_Date]]&gt;TODAY(),"Review - future response date","")</f>
        <v/>
      </c>
    </row>
    <row r="685" spans="1:12" x14ac:dyDescent="0.25">
      <c r="A685" s="3" t="s">
        <v>4490</v>
      </c>
      <c r="B685" s="2" t="s">
        <v>844</v>
      </c>
      <c r="C685" s="2" t="s">
        <v>3354</v>
      </c>
      <c r="D685" s="2" t="s">
        <v>3355</v>
      </c>
      <c r="E685" s="2" t="s">
        <v>4</v>
      </c>
      <c r="F685" s="15">
        <v>45618</v>
      </c>
      <c r="G685" s="25">
        <v>5.4</v>
      </c>
      <c r="H685" s="2" t="s">
        <v>37</v>
      </c>
      <c r="I685" s="4" t="s">
        <v>3328</v>
      </c>
      <c r="J685" s="2" t="str">
        <f>IF(tb2_CampaignResponses[[#This Row],[Gift_Amount]]&lt;0,"Review - negative amount",IF(tb2_CampaignResponses[[#This Row],[Gift_Amount]]&gt;10000,"Review - unusually large donation",""))</f>
        <v/>
      </c>
      <c r="K685" s="21" t="str">
        <f>IF(tb2_CampaignResponses[[#This Row],[Supporter_ID]]="","Review - no supporter ID","")</f>
        <v/>
      </c>
      <c r="L685" s="21" t="str">
        <f ca="1">IF(tb2_CampaignResponses[[#This Row],[Response_Date]]&gt;TODAY(),"Review - future response date","")</f>
        <v/>
      </c>
    </row>
    <row r="686" spans="1:12" x14ac:dyDescent="0.25">
      <c r="A686" s="3" t="s">
        <v>4491</v>
      </c>
      <c r="B686" s="2" t="s">
        <v>1428</v>
      </c>
      <c r="C686" s="2" t="s">
        <v>3367</v>
      </c>
      <c r="D686" s="2" t="s">
        <v>3368</v>
      </c>
      <c r="E686" s="2" t="s">
        <v>65</v>
      </c>
      <c r="F686" s="15">
        <v>45739</v>
      </c>
      <c r="G686" s="25">
        <v>7.25</v>
      </c>
      <c r="H686" s="2" t="s">
        <v>36</v>
      </c>
      <c r="I686" s="4" t="s">
        <v>3331</v>
      </c>
      <c r="J686" s="2" t="str">
        <f>IF(tb2_CampaignResponses[[#This Row],[Gift_Amount]]&lt;0,"Review - negative amount",IF(tb2_CampaignResponses[[#This Row],[Gift_Amount]]&gt;10000,"Review - unusually large donation",""))</f>
        <v/>
      </c>
      <c r="K686" s="21" t="str">
        <f>IF(tb2_CampaignResponses[[#This Row],[Supporter_ID]]="","Review - no supporter ID","")</f>
        <v/>
      </c>
      <c r="L686" s="21" t="str">
        <f ca="1">IF(tb2_CampaignResponses[[#This Row],[Response_Date]]&gt;TODAY(),"Review - future response date","")</f>
        <v/>
      </c>
    </row>
    <row r="687" spans="1:12" x14ac:dyDescent="0.25">
      <c r="A687" s="3" t="s">
        <v>4492</v>
      </c>
      <c r="B687" s="2" t="s">
        <v>796</v>
      </c>
      <c r="C687" s="2" t="s">
        <v>3367</v>
      </c>
      <c r="D687" s="2" t="s">
        <v>3368</v>
      </c>
      <c r="E687" s="2" t="s">
        <v>65</v>
      </c>
      <c r="F687" s="15">
        <v>45776</v>
      </c>
      <c r="G687" s="25">
        <v>41.36</v>
      </c>
      <c r="H687" s="2" t="s">
        <v>36</v>
      </c>
      <c r="I687" s="4" t="s">
        <v>3331</v>
      </c>
      <c r="J687" s="2" t="str">
        <f>IF(tb2_CampaignResponses[[#This Row],[Gift_Amount]]&lt;0,"Review - negative amount",IF(tb2_CampaignResponses[[#This Row],[Gift_Amount]]&gt;10000,"Review - unusually large donation",""))</f>
        <v/>
      </c>
      <c r="K687" s="21" t="str">
        <f>IF(tb2_CampaignResponses[[#This Row],[Supporter_ID]]="","Review - no supporter ID","")</f>
        <v/>
      </c>
      <c r="L687" s="21" t="str">
        <f ca="1">IF(tb2_CampaignResponses[[#This Row],[Response_Date]]&gt;TODAY(),"Review - future response date","")</f>
        <v/>
      </c>
    </row>
    <row r="688" spans="1:12" x14ac:dyDescent="0.25">
      <c r="A688" s="3" t="s">
        <v>4493</v>
      </c>
      <c r="B688" s="2" t="s">
        <v>1124</v>
      </c>
      <c r="C688" s="2" t="s">
        <v>3367</v>
      </c>
      <c r="D688" s="2" t="s">
        <v>3368</v>
      </c>
      <c r="E688" s="2" t="s">
        <v>4</v>
      </c>
      <c r="F688" s="15">
        <v>45772</v>
      </c>
      <c r="G688" s="25">
        <v>30.44</v>
      </c>
      <c r="H688" s="2" t="s">
        <v>36</v>
      </c>
      <c r="I688" s="4" t="s">
        <v>3365</v>
      </c>
      <c r="J688" s="2" t="str">
        <f>IF(tb2_CampaignResponses[[#This Row],[Gift_Amount]]&lt;0,"Review - negative amount",IF(tb2_CampaignResponses[[#This Row],[Gift_Amount]]&gt;10000,"Review - unusually large donation",""))</f>
        <v/>
      </c>
      <c r="K688" s="21" t="str">
        <f>IF(tb2_CampaignResponses[[#This Row],[Supporter_ID]]="","Review - no supporter ID","")</f>
        <v/>
      </c>
      <c r="L688" s="21" t="str">
        <f ca="1">IF(tb2_CampaignResponses[[#This Row],[Response_Date]]&gt;TODAY(),"Review - future response date","")</f>
        <v/>
      </c>
    </row>
    <row r="689" spans="1:12" x14ac:dyDescent="0.25">
      <c r="A689" s="3" t="s">
        <v>4494</v>
      </c>
      <c r="B689" s="2" t="s">
        <v>2332</v>
      </c>
      <c r="C689" s="2" t="s">
        <v>3367</v>
      </c>
      <c r="D689" s="2" t="s">
        <v>3368</v>
      </c>
      <c r="E689" s="2" t="s">
        <v>4</v>
      </c>
      <c r="F689" s="15">
        <v>45768</v>
      </c>
      <c r="G689" s="25">
        <v>269.07</v>
      </c>
      <c r="H689" s="2" t="s">
        <v>36</v>
      </c>
      <c r="I689" s="4" t="s">
        <v>3331</v>
      </c>
      <c r="J689" s="2" t="str">
        <f>IF(tb2_CampaignResponses[[#This Row],[Gift_Amount]]&lt;0,"Review - negative amount",IF(tb2_CampaignResponses[[#This Row],[Gift_Amount]]&gt;10000,"Review - unusually large donation",""))</f>
        <v/>
      </c>
      <c r="K689" s="21" t="str">
        <f>IF(tb2_CampaignResponses[[#This Row],[Supporter_ID]]="","Review - no supporter ID","")</f>
        <v/>
      </c>
      <c r="L689" s="21" t="str">
        <f ca="1">IF(tb2_CampaignResponses[[#This Row],[Response_Date]]&gt;TODAY(),"Review - future response date","")</f>
        <v/>
      </c>
    </row>
    <row r="690" spans="1:12" x14ac:dyDescent="0.25">
      <c r="A690" s="3" t="s">
        <v>4496</v>
      </c>
      <c r="B690" s="2" t="s">
        <v>1767</v>
      </c>
      <c r="C690" s="2" t="s">
        <v>3320</v>
      </c>
      <c r="D690" s="2" t="s">
        <v>3321</v>
      </c>
      <c r="E690" s="2" t="s">
        <v>65</v>
      </c>
      <c r="F690" s="15">
        <v>45457</v>
      </c>
      <c r="G690" s="25">
        <v>191.02</v>
      </c>
      <c r="H690" s="2" t="s">
        <v>37</v>
      </c>
      <c r="I690" s="4" t="s">
        <v>3365</v>
      </c>
      <c r="J690" s="2" t="str">
        <f>IF(tb2_CampaignResponses[[#This Row],[Gift_Amount]]&lt;0,"Review - negative amount",IF(tb2_CampaignResponses[[#This Row],[Gift_Amount]]&gt;10000,"Review - unusually large donation",""))</f>
        <v/>
      </c>
      <c r="K690" s="21" t="str">
        <f>IF(tb2_CampaignResponses[[#This Row],[Supporter_ID]]="","Review - no supporter ID","")</f>
        <v/>
      </c>
      <c r="L690" s="21" t="str">
        <f ca="1">IF(tb2_CampaignResponses[[#This Row],[Response_Date]]&gt;TODAY(),"Review - future response date","")</f>
        <v/>
      </c>
    </row>
    <row r="691" spans="1:12" x14ac:dyDescent="0.25">
      <c r="A691" s="3" t="s">
        <v>4497</v>
      </c>
      <c r="B691" s="2" t="s">
        <v>2240</v>
      </c>
      <c r="C691" s="2" t="s">
        <v>3403</v>
      </c>
      <c r="D691" s="2" t="s">
        <v>3404</v>
      </c>
      <c r="E691" s="2" t="s">
        <v>65</v>
      </c>
      <c r="F691" s="15">
        <v>45592</v>
      </c>
      <c r="G691" s="25">
        <v>264.8</v>
      </c>
      <c r="H691" s="2" t="s">
        <v>36</v>
      </c>
      <c r="I691" s="4" t="s">
        <v>3318</v>
      </c>
      <c r="J691" s="2" t="str">
        <f>IF(tb2_CampaignResponses[[#This Row],[Gift_Amount]]&lt;0,"Review - negative amount",IF(tb2_CampaignResponses[[#This Row],[Gift_Amount]]&gt;10000,"Review - unusually large donation",""))</f>
        <v/>
      </c>
      <c r="K691" s="21" t="str">
        <f>IF(tb2_CampaignResponses[[#This Row],[Supporter_ID]]="","Review - no supporter ID","")</f>
        <v/>
      </c>
      <c r="L691" s="21" t="str">
        <f ca="1">IF(tb2_CampaignResponses[[#This Row],[Response_Date]]&gt;TODAY(),"Review - future response date","")</f>
        <v/>
      </c>
    </row>
    <row r="692" spans="1:12" x14ac:dyDescent="0.25">
      <c r="A692" s="3" t="s">
        <v>4498</v>
      </c>
      <c r="B692" s="2" t="s">
        <v>169</v>
      </c>
      <c r="C692" s="2" t="s">
        <v>3314</v>
      </c>
      <c r="D692" s="2" t="s">
        <v>3315</v>
      </c>
      <c r="E692" s="2" t="s">
        <v>33</v>
      </c>
      <c r="F692" s="15">
        <v>45684</v>
      </c>
      <c r="G692" s="25">
        <v>19.63</v>
      </c>
      <c r="H692" s="2" t="s">
        <v>36</v>
      </c>
      <c r="I692" s="4" t="s">
        <v>3318</v>
      </c>
      <c r="J692" s="2" t="str">
        <f>IF(tb2_CampaignResponses[[#This Row],[Gift_Amount]]&lt;0,"Review - negative amount",IF(tb2_CampaignResponses[[#This Row],[Gift_Amount]]&gt;10000,"Review - unusually large donation",""))</f>
        <v/>
      </c>
      <c r="K692" s="21" t="str">
        <f>IF(tb2_CampaignResponses[[#This Row],[Supporter_ID]]="","Review - no supporter ID","")</f>
        <v/>
      </c>
      <c r="L692" s="21" t="str">
        <f ca="1">IF(tb2_CampaignResponses[[#This Row],[Response_Date]]&gt;TODAY(),"Review - future response date","")</f>
        <v/>
      </c>
    </row>
    <row r="693" spans="1:12" x14ac:dyDescent="0.25">
      <c r="A693" s="3" t="s">
        <v>4500</v>
      </c>
      <c r="B693" s="2" t="s">
        <v>1280</v>
      </c>
      <c r="C693" s="2" t="s">
        <v>3314</v>
      </c>
      <c r="D693" s="2" t="s">
        <v>3315</v>
      </c>
      <c r="E693" s="2" t="s">
        <v>33</v>
      </c>
      <c r="F693" s="15">
        <v>45685</v>
      </c>
      <c r="G693" s="25">
        <v>36.03</v>
      </c>
      <c r="H693" s="2" t="s">
        <v>37</v>
      </c>
      <c r="I693" s="4" t="s">
        <v>3365</v>
      </c>
      <c r="J693" s="2" t="str">
        <f>IF(tb2_CampaignResponses[[#This Row],[Gift_Amount]]&lt;0,"Review - negative amount",IF(tb2_CampaignResponses[[#This Row],[Gift_Amount]]&gt;10000,"Review - unusually large donation",""))</f>
        <v/>
      </c>
      <c r="K693" s="21" t="str">
        <f>IF(tb2_CampaignResponses[[#This Row],[Supporter_ID]]="","Review - no supporter ID","")</f>
        <v/>
      </c>
      <c r="L693" s="21" t="str">
        <f ca="1">IF(tb2_CampaignResponses[[#This Row],[Response_Date]]&gt;TODAY(),"Review - future response date","")</f>
        <v/>
      </c>
    </row>
    <row r="694" spans="1:12" x14ac:dyDescent="0.25">
      <c r="A694" s="3" t="s">
        <v>4502</v>
      </c>
      <c r="B694" s="2" t="s">
        <v>3165</v>
      </c>
      <c r="C694" s="2" t="s">
        <v>3325</v>
      </c>
      <c r="D694" s="2" t="s">
        <v>3326</v>
      </c>
      <c r="E694" s="2" t="s">
        <v>3338</v>
      </c>
      <c r="F694" s="15">
        <v>45607</v>
      </c>
      <c r="G694" s="25">
        <v>129.36000000000001</v>
      </c>
      <c r="H694" s="2" t="s">
        <v>36</v>
      </c>
      <c r="I694" s="4" t="s">
        <v>3370</v>
      </c>
      <c r="J694" s="2" t="str">
        <f>IF(tb2_CampaignResponses[[#This Row],[Gift_Amount]]&lt;0,"Review - negative amount",IF(tb2_CampaignResponses[[#This Row],[Gift_Amount]]&gt;10000,"Review - unusually large donation",""))</f>
        <v/>
      </c>
      <c r="K694" s="21" t="str">
        <f>IF(tb2_CampaignResponses[[#This Row],[Supporter_ID]]="","Review - no supporter ID","")</f>
        <v/>
      </c>
      <c r="L694" s="21" t="str">
        <f ca="1">IF(tb2_CampaignResponses[[#This Row],[Response_Date]]&gt;TODAY(),"Review - future response date","")</f>
        <v/>
      </c>
    </row>
    <row r="695" spans="1:12" x14ac:dyDescent="0.25">
      <c r="A695" s="3" t="s">
        <v>4504</v>
      </c>
      <c r="B695" s="2" t="s">
        <v>2544</v>
      </c>
      <c r="C695" s="2" t="s">
        <v>3341</v>
      </c>
      <c r="D695" s="2" t="s">
        <v>3342</v>
      </c>
      <c r="E695" s="2" t="s">
        <v>3316</v>
      </c>
      <c r="F695" s="15">
        <v>45769</v>
      </c>
      <c r="G695" s="25">
        <v>305.12</v>
      </c>
      <c r="H695" s="2" t="s">
        <v>36</v>
      </c>
      <c r="I695" s="4" t="s">
        <v>3370</v>
      </c>
      <c r="J695" s="2" t="str">
        <f>IF(tb2_CampaignResponses[[#This Row],[Gift_Amount]]&lt;0,"Review - negative amount",IF(tb2_CampaignResponses[[#This Row],[Gift_Amount]]&gt;10000,"Review - unusually large donation",""))</f>
        <v/>
      </c>
      <c r="K695" s="21" t="str">
        <f>IF(tb2_CampaignResponses[[#This Row],[Supporter_ID]]="","Review - no supporter ID","")</f>
        <v/>
      </c>
      <c r="L695" s="21" t="str">
        <f ca="1">IF(tb2_CampaignResponses[[#This Row],[Response_Date]]&gt;TODAY(),"Review - future response date","")</f>
        <v/>
      </c>
    </row>
    <row r="696" spans="1:12" x14ac:dyDescent="0.25">
      <c r="A696" s="3" t="s">
        <v>4506</v>
      </c>
      <c r="B696" s="2" t="s">
        <v>2263</v>
      </c>
      <c r="C696" s="2" t="s">
        <v>3320</v>
      </c>
      <c r="D696" s="2" t="s">
        <v>3321</v>
      </c>
      <c r="E696" s="2" t="s">
        <v>65</v>
      </c>
      <c r="F696" s="15">
        <v>45450</v>
      </c>
      <c r="G696" s="25">
        <v>28.01</v>
      </c>
      <c r="H696" s="2" t="s">
        <v>36</v>
      </c>
      <c r="I696" s="4" t="s">
        <v>3323</v>
      </c>
      <c r="J696" s="2" t="str">
        <f>IF(tb2_CampaignResponses[[#This Row],[Gift_Amount]]&lt;0,"Review - negative amount",IF(tb2_CampaignResponses[[#This Row],[Gift_Amount]]&gt;10000,"Review - unusually large donation",""))</f>
        <v/>
      </c>
      <c r="K696" s="21" t="str">
        <f>IF(tb2_CampaignResponses[[#This Row],[Supporter_ID]]="","Review - no supporter ID","")</f>
        <v/>
      </c>
      <c r="L696" s="21" t="str">
        <f ca="1">IF(tb2_CampaignResponses[[#This Row],[Response_Date]]&gt;TODAY(),"Review - future response date","")</f>
        <v/>
      </c>
    </row>
    <row r="697" spans="1:12" x14ac:dyDescent="0.25">
      <c r="A697" s="3" t="s">
        <v>4507</v>
      </c>
      <c r="B697" s="2" t="s">
        <v>3106</v>
      </c>
      <c r="C697" s="2" t="s">
        <v>3341</v>
      </c>
      <c r="D697" s="2" t="s">
        <v>3342</v>
      </c>
      <c r="E697" s="2" t="s">
        <v>4</v>
      </c>
      <c r="F697" s="15">
        <v>45697</v>
      </c>
      <c r="G697" s="25">
        <v>116.55</v>
      </c>
      <c r="H697" s="2" t="s">
        <v>36</v>
      </c>
      <c r="I697" s="4" t="s">
        <v>3331</v>
      </c>
      <c r="J697" s="2" t="str">
        <f>IF(tb2_CampaignResponses[[#This Row],[Gift_Amount]]&lt;0,"Review - negative amount",IF(tb2_CampaignResponses[[#This Row],[Gift_Amount]]&gt;10000,"Review - unusually large donation",""))</f>
        <v/>
      </c>
      <c r="K697" s="21" t="str">
        <f>IF(tb2_CampaignResponses[[#This Row],[Supporter_ID]]="","Review - no supporter ID","")</f>
        <v/>
      </c>
      <c r="L697" s="21" t="str">
        <f ca="1">IF(tb2_CampaignResponses[[#This Row],[Response_Date]]&gt;TODAY(),"Review - future response date","")</f>
        <v/>
      </c>
    </row>
    <row r="698" spans="1:12" x14ac:dyDescent="0.25">
      <c r="A698" s="3" t="s">
        <v>4509</v>
      </c>
      <c r="B698" s="2" t="s">
        <v>2556</v>
      </c>
      <c r="C698" s="2" t="s">
        <v>3403</v>
      </c>
      <c r="D698" s="2" t="s">
        <v>3404</v>
      </c>
      <c r="E698" s="2" t="s">
        <v>3316</v>
      </c>
      <c r="F698" s="15">
        <v>45638</v>
      </c>
      <c r="G698" s="25">
        <v>89.76</v>
      </c>
      <c r="H698" s="2" t="s">
        <v>37</v>
      </c>
      <c r="I698" s="4" t="s">
        <v>3328</v>
      </c>
      <c r="J698" s="2" t="str">
        <f>IF(tb2_CampaignResponses[[#This Row],[Gift_Amount]]&lt;0,"Review - negative amount",IF(tb2_CampaignResponses[[#This Row],[Gift_Amount]]&gt;10000,"Review - unusually large donation",""))</f>
        <v/>
      </c>
      <c r="K698" s="21" t="str">
        <f>IF(tb2_CampaignResponses[[#This Row],[Supporter_ID]]="","Review - no supporter ID","")</f>
        <v/>
      </c>
      <c r="L698" s="21" t="str">
        <f ca="1">IF(tb2_CampaignResponses[[#This Row],[Response_Date]]&gt;TODAY(),"Review - future response date","")</f>
        <v/>
      </c>
    </row>
    <row r="699" spans="1:12" x14ac:dyDescent="0.25">
      <c r="A699" s="3" t="s">
        <v>4511</v>
      </c>
      <c r="B699" s="2" t="s">
        <v>3290</v>
      </c>
      <c r="C699" s="2" t="s">
        <v>3325</v>
      </c>
      <c r="D699" s="2" t="s">
        <v>3326</v>
      </c>
      <c r="E699" s="2" t="s">
        <v>3316</v>
      </c>
      <c r="F699" s="15">
        <v>45616</v>
      </c>
      <c r="G699" s="25">
        <v>48.15</v>
      </c>
      <c r="H699" s="2" t="s">
        <v>37</v>
      </c>
      <c r="I699" s="4" t="s">
        <v>3385</v>
      </c>
      <c r="J699" s="2" t="str">
        <f>IF(tb2_CampaignResponses[[#This Row],[Gift_Amount]]&lt;0,"Review - negative amount",IF(tb2_CampaignResponses[[#This Row],[Gift_Amount]]&gt;10000,"Review - unusually large donation",""))</f>
        <v/>
      </c>
      <c r="K699" s="21" t="str">
        <f>IF(tb2_CampaignResponses[[#This Row],[Supporter_ID]]="","Review - no supporter ID","")</f>
        <v/>
      </c>
      <c r="L699" s="21" t="str">
        <f ca="1">IF(tb2_CampaignResponses[[#This Row],[Response_Date]]&gt;TODAY(),"Review - future response date","")</f>
        <v/>
      </c>
    </row>
    <row r="700" spans="1:12" x14ac:dyDescent="0.25">
      <c r="A700" s="3" t="s">
        <v>4513</v>
      </c>
      <c r="B700" s="2" t="s">
        <v>3071</v>
      </c>
      <c r="C700" s="2" t="s">
        <v>3427</v>
      </c>
      <c r="D700" s="2" t="s">
        <v>3428</v>
      </c>
      <c r="E700" s="2" t="s">
        <v>65</v>
      </c>
      <c r="F700" s="15">
        <v>45488</v>
      </c>
      <c r="G700" s="25">
        <v>305.48</v>
      </c>
      <c r="H700" s="2" t="s">
        <v>36</v>
      </c>
      <c r="I700" s="4" t="s">
        <v>3328</v>
      </c>
      <c r="J700" s="2" t="str">
        <f>IF(tb2_CampaignResponses[[#This Row],[Gift_Amount]]&lt;0,"Review - negative amount",IF(tb2_CampaignResponses[[#This Row],[Gift_Amount]]&gt;10000,"Review - unusually large donation",""))</f>
        <v/>
      </c>
      <c r="K700" s="21" t="str">
        <f>IF(tb2_CampaignResponses[[#This Row],[Supporter_ID]]="","Review - no supporter ID","")</f>
        <v/>
      </c>
      <c r="L700" s="21" t="str">
        <f ca="1">IF(tb2_CampaignResponses[[#This Row],[Response_Date]]&gt;TODAY(),"Review - future response date","")</f>
        <v/>
      </c>
    </row>
    <row r="701" spans="1:12" x14ac:dyDescent="0.25">
      <c r="A701" s="3" t="s">
        <v>4514</v>
      </c>
      <c r="B701" s="2" t="s">
        <v>2586</v>
      </c>
      <c r="C701" s="2" t="s">
        <v>3427</v>
      </c>
      <c r="D701" s="2" t="s">
        <v>3428</v>
      </c>
      <c r="E701" s="2" t="s">
        <v>4</v>
      </c>
      <c r="F701" s="15">
        <v>45488</v>
      </c>
      <c r="G701" s="25">
        <v>171.23</v>
      </c>
      <c r="H701" s="2" t="s">
        <v>37</v>
      </c>
      <c r="I701" s="4" t="s">
        <v>3334</v>
      </c>
      <c r="J701" s="2" t="str">
        <f>IF(tb2_CampaignResponses[[#This Row],[Gift_Amount]]&lt;0,"Review - negative amount",IF(tb2_CampaignResponses[[#This Row],[Gift_Amount]]&gt;10000,"Review - unusually large donation",""))</f>
        <v/>
      </c>
      <c r="K701" s="21" t="str">
        <f>IF(tb2_CampaignResponses[[#This Row],[Supporter_ID]]="","Review - no supporter ID","")</f>
        <v/>
      </c>
      <c r="L701" s="21" t="str">
        <f ca="1">IF(tb2_CampaignResponses[[#This Row],[Response_Date]]&gt;TODAY(),"Review - future response date","")</f>
        <v/>
      </c>
    </row>
    <row r="702" spans="1:12" x14ac:dyDescent="0.25">
      <c r="A702" s="3" t="s">
        <v>4515</v>
      </c>
      <c r="B702" s="2" t="s">
        <v>1261</v>
      </c>
      <c r="C702" s="2" t="s">
        <v>3403</v>
      </c>
      <c r="D702" s="2" t="s">
        <v>3404</v>
      </c>
      <c r="E702" s="2" t="s">
        <v>3316</v>
      </c>
      <c r="F702" s="15">
        <v>45586</v>
      </c>
      <c r="G702" s="25">
        <v>56.26</v>
      </c>
      <c r="H702" s="2" t="s">
        <v>36</v>
      </c>
      <c r="I702" s="4" t="s">
        <v>3370</v>
      </c>
      <c r="J702" s="2" t="str">
        <f>IF(tb2_CampaignResponses[[#This Row],[Gift_Amount]]&lt;0,"Review - negative amount",IF(tb2_CampaignResponses[[#This Row],[Gift_Amount]]&gt;10000,"Review - unusually large donation",""))</f>
        <v/>
      </c>
      <c r="K702" s="21" t="str">
        <f>IF(tb2_CampaignResponses[[#This Row],[Supporter_ID]]="","Review - no supporter ID","")</f>
        <v/>
      </c>
      <c r="L702" s="21" t="str">
        <f ca="1">IF(tb2_CampaignResponses[[#This Row],[Response_Date]]&gt;TODAY(),"Review - future response date","")</f>
        <v/>
      </c>
    </row>
    <row r="703" spans="1:12" x14ac:dyDescent="0.25">
      <c r="A703" s="3" t="s">
        <v>4516</v>
      </c>
      <c r="B703" s="2" t="s">
        <v>979</v>
      </c>
      <c r="C703" s="2" t="s">
        <v>3354</v>
      </c>
      <c r="D703" s="2" t="s">
        <v>3355</v>
      </c>
      <c r="E703" s="2" t="s">
        <v>4</v>
      </c>
      <c r="F703" s="15">
        <v>45618</v>
      </c>
      <c r="G703" s="25">
        <v>45.71</v>
      </c>
      <c r="H703" s="2" t="s">
        <v>37</v>
      </c>
      <c r="I703" s="4" t="s">
        <v>3328</v>
      </c>
      <c r="J703" s="2" t="str">
        <f>IF(tb2_CampaignResponses[[#This Row],[Gift_Amount]]&lt;0,"Review - negative amount",IF(tb2_CampaignResponses[[#This Row],[Gift_Amount]]&gt;10000,"Review - unusually large donation",""))</f>
        <v/>
      </c>
      <c r="K703" s="21" t="str">
        <f>IF(tb2_CampaignResponses[[#This Row],[Supporter_ID]]="","Review - no supporter ID","")</f>
        <v/>
      </c>
      <c r="L703" s="21" t="str">
        <f ca="1">IF(tb2_CampaignResponses[[#This Row],[Response_Date]]&gt;TODAY(),"Review - future response date","")</f>
        <v/>
      </c>
    </row>
    <row r="704" spans="1:12" x14ac:dyDescent="0.25">
      <c r="A704" s="3" t="s">
        <v>4517</v>
      </c>
      <c r="B704" s="2" t="s">
        <v>2206</v>
      </c>
      <c r="C704" s="2" t="s">
        <v>3320</v>
      </c>
      <c r="D704" s="2" t="s">
        <v>3321</v>
      </c>
      <c r="E704" s="2" t="s">
        <v>4</v>
      </c>
      <c r="F704" s="15">
        <v>45459</v>
      </c>
      <c r="G704" s="25">
        <v>30.08</v>
      </c>
      <c r="H704" s="2" t="s">
        <v>37</v>
      </c>
      <c r="I704" s="4" t="s">
        <v>3334</v>
      </c>
      <c r="J704" s="2" t="str">
        <f>IF(tb2_CampaignResponses[[#This Row],[Gift_Amount]]&lt;0,"Review - negative amount",IF(tb2_CampaignResponses[[#This Row],[Gift_Amount]]&gt;10000,"Review - unusually large donation",""))</f>
        <v/>
      </c>
      <c r="K704" s="21" t="str">
        <f>IF(tb2_CampaignResponses[[#This Row],[Supporter_ID]]="","Review - no supporter ID","")</f>
        <v/>
      </c>
      <c r="L704" s="21" t="str">
        <f ca="1">IF(tb2_CampaignResponses[[#This Row],[Response_Date]]&gt;TODAY(),"Review - future response date","")</f>
        <v/>
      </c>
    </row>
    <row r="705" spans="1:12" x14ac:dyDescent="0.25">
      <c r="A705" s="3" t="s">
        <v>4518</v>
      </c>
      <c r="B705" s="2" t="s">
        <v>2568</v>
      </c>
      <c r="C705" s="2" t="s">
        <v>3427</v>
      </c>
      <c r="D705" s="2" t="s">
        <v>3428</v>
      </c>
      <c r="E705" s="2" t="s">
        <v>65</v>
      </c>
      <c r="F705" s="15">
        <v>45488</v>
      </c>
      <c r="G705" s="25">
        <v>372.31</v>
      </c>
      <c r="H705" s="2" t="s">
        <v>36</v>
      </c>
      <c r="I705" s="4" t="s">
        <v>3318</v>
      </c>
      <c r="J705" s="2" t="str">
        <f>IF(tb2_CampaignResponses[[#This Row],[Gift_Amount]]&lt;0,"Review - negative amount",IF(tb2_CampaignResponses[[#This Row],[Gift_Amount]]&gt;10000,"Review - unusually large donation",""))</f>
        <v/>
      </c>
      <c r="K705" s="21" t="str">
        <f>IF(tb2_CampaignResponses[[#This Row],[Supporter_ID]]="","Review - no supporter ID","")</f>
        <v/>
      </c>
      <c r="L705" s="21" t="str">
        <f ca="1">IF(tb2_CampaignResponses[[#This Row],[Response_Date]]&gt;TODAY(),"Review - future response date","")</f>
        <v/>
      </c>
    </row>
    <row r="706" spans="1:12" x14ac:dyDescent="0.25">
      <c r="A706" s="3" t="s">
        <v>4519</v>
      </c>
      <c r="B706" s="2" t="s">
        <v>2807</v>
      </c>
      <c r="C706" s="2" t="s">
        <v>3341</v>
      </c>
      <c r="D706" s="2" t="s">
        <v>3342</v>
      </c>
      <c r="E706" s="2" t="s">
        <v>3316</v>
      </c>
      <c r="F706" s="15">
        <v>45744</v>
      </c>
      <c r="G706" s="25">
        <v>220.61</v>
      </c>
      <c r="H706" s="2" t="s">
        <v>37</v>
      </c>
      <c r="I706" s="4" t="s">
        <v>3328</v>
      </c>
      <c r="J706" s="2" t="str">
        <f>IF(tb2_CampaignResponses[[#This Row],[Gift_Amount]]&lt;0,"Review - negative amount",IF(tb2_CampaignResponses[[#This Row],[Gift_Amount]]&gt;10000,"Review - unusually large donation",""))</f>
        <v/>
      </c>
      <c r="K706" s="21" t="str">
        <f>IF(tb2_CampaignResponses[[#This Row],[Supporter_ID]]="","Review - no supporter ID","")</f>
        <v/>
      </c>
      <c r="L706" s="21" t="str">
        <f ca="1">IF(tb2_CampaignResponses[[#This Row],[Response_Date]]&gt;TODAY(),"Review - future response date","")</f>
        <v/>
      </c>
    </row>
    <row r="707" spans="1:12" x14ac:dyDescent="0.25">
      <c r="A707" s="3" t="s">
        <v>4521</v>
      </c>
      <c r="B707" s="2" t="s">
        <v>465</v>
      </c>
      <c r="C707" s="2" t="s">
        <v>3354</v>
      </c>
      <c r="D707" s="2" t="s">
        <v>3355</v>
      </c>
      <c r="E707" s="2" t="s">
        <v>4</v>
      </c>
      <c r="F707" s="15">
        <v>45618</v>
      </c>
      <c r="G707" s="25">
        <v>446.87</v>
      </c>
      <c r="H707" s="2" t="s">
        <v>36</v>
      </c>
      <c r="I707" s="4" t="s">
        <v>3365</v>
      </c>
      <c r="J707" s="2" t="str">
        <f>IF(tb2_CampaignResponses[[#This Row],[Gift_Amount]]&lt;0,"Review - negative amount",IF(tb2_CampaignResponses[[#This Row],[Gift_Amount]]&gt;10000,"Review - unusually large donation",""))</f>
        <v/>
      </c>
      <c r="K707" s="21" t="str">
        <f>IF(tb2_CampaignResponses[[#This Row],[Supporter_ID]]="","Review - no supporter ID","")</f>
        <v/>
      </c>
      <c r="L707" s="21" t="str">
        <f ca="1">IF(tb2_CampaignResponses[[#This Row],[Response_Date]]&gt;TODAY(),"Review - future response date","")</f>
        <v/>
      </c>
    </row>
    <row r="708" spans="1:12" x14ac:dyDescent="0.25">
      <c r="A708" s="3" t="s">
        <v>4522</v>
      </c>
      <c r="B708" s="2" t="s">
        <v>1522</v>
      </c>
      <c r="C708" s="2" t="s">
        <v>3314</v>
      </c>
      <c r="D708" s="2" t="s">
        <v>3315</v>
      </c>
      <c r="E708" s="2" t="s">
        <v>65</v>
      </c>
      <c r="F708" s="15">
        <v>45694</v>
      </c>
      <c r="G708" s="25">
        <v>135.88999999999999</v>
      </c>
      <c r="H708" s="2" t="s">
        <v>37</v>
      </c>
      <c r="I708" s="4" t="s">
        <v>3331</v>
      </c>
      <c r="J708" s="2" t="str">
        <f>IF(tb2_CampaignResponses[[#This Row],[Gift_Amount]]&lt;0,"Review - negative amount",IF(tb2_CampaignResponses[[#This Row],[Gift_Amount]]&gt;10000,"Review - unusually large donation",""))</f>
        <v/>
      </c>
      <c r="K708" s="21" t="str">
        <f>IF(tb2_CampaignResponses[[#This Row],[Supporter_ID]]="","Review - no supporter ID","")</f>
        <v/>
      </c>
      <c r="L708" s="21" t="str">
        <f ca="1">IF(tb2_CampaignResponses[[#This Row],[Response_Date]]&gt;TODAY(),"Review - future response date","")</f>
        <v/>
      </c>
    </row>
    <row r="709" spans="1:12" x14ac:dyDescent="0.25">
      <c r="A709" s="3" t="s">
        <v>4523</v>
      </c>
      <c r="B709" s="2" t="s">
        <v>1826</v>
      </c>
      <c r="C709" s="2" t="s">
        <v>3314</v>
      </c>
      <c r="D709" s="2" t="s">
        <v>3315</v>
      </c>
      <c r="E709" s="2" t="s">
        <v>3316</v>
      </c>
      <c r="F709" s="15">
        <v>45704</v>
      </c>
      <c r="G709" s="25">
        <v>1130.43</v>
      </c>
      <c r="H709" s="2" t="s">
        <v>36</v>
      </c>
      <c r="I709" s="4" t="s">
        <v>3385</v>
      </c>
      <c r="J709" s="2" t="str">
        <f>IF(tb2_CampaignResponses[[#This Row],[Gift_Amount]]&lt;0,"Review - negative amount",IF(tb2_CampaignResponses[[#This Row],[Gift_Amount]]&gt;10000,"Review - unusually large donation",""))</f>
        <v/>
      </c>
      <c r="K709" s="21" t="str">
        <f>IF(tb2_CampaignResponses[[#This Row],[Supporter_ID]]="","Review - no supporter ID","")</f>
        <v/>
      </c>
      <c r="L709" s="21" t="str">
        <f ca="1">IF(tb2_CampaignResponses[[#This Row],[Response_Date]]&gt;TODAY(),"Review - future response date","")</f>
        <v/>
      </c>
    </row>
    <row r="710" spans="1:12" x14ac:dyDescent="0.25">
      <c r="A710" s="3" t="s">
        <v>4525</v>
      </c>
      <c r="B710" s="2" t="s">
        <v>1897</v>
      </c>
      <c r="C710" s="2" t="s">
        <v>3354</v>
      </c>
      <c r="D710" s="2" t="s">
        <v>3355</v>
      </c>
      <c r="E710" s="2" t="s">
        <v>4</v>
      </c>
      <c r="F710" s="15">
        <v>45618</v>
      </c>
      <c r="G710" s="25">
        <v>202.01</v>
      </c>
      <c r="H710" s="2" t="s">
        <v>37</v>
      </c>
      <c r="I710" s="4" t="s">
        <v>3385</v>
      </c>
      <c r="J710" s="2" t="str">
        <f>IF(tb2_CampaignResponses[[#This Row],[Gift_Amount]]&lt;0,"Review - negative amount",IF(tb2_CampaignResponses[[#This Row],[Gift_Amount]]&gt;10000,"Review - unusually large donation",""))</f>
        <v/>
      </c>
      <c r="K710" s="21" t="str">
        <f>IF(tb2_CampaignResponses[[#This Row],[Supporter_ID]]="","Review - no supporter ID","")</f>
        <v/>
      </c>
      <c r="L710" s="21" t="str">
        <f ca="1">IF(tb2_CampaignResponses[[#This Row],[Response_Date]]&gt;TODAY(),"Review - future response date","")</f>
        <v/>
      </c>
    </row>
    <row r="711" spans="1:12" x14ac:dyDescent="0.25">
      <c r="A711" s="3" t="s">
        <v>4526</v>
      </c>
      <c r="B711" s="2" t="s">
        <v>1585</v>
      </c>
      <c r="C711" s="2" t="s">
        <v>3367</v>
      </c>
      <c r="D711" s="2" t="s">
        <v>3368</v>
      </c>
      <c r="E711" s="2" t="s">
        <v>4</v>
      </c>
      <c r="F711" s="15">
        <v>45755</v>
      </c>
      <c r="G711" s="25">
        <v>491.48</v>
      </c>
      <c r="H711" s="2" t="s">
        <v>37</v>
      </c>
      <c r="I711" s="4" t="s">
        <v>3334</v>
      </c>
      <c r="J711" s="2" t="str">
        <f>IF(tb2_CampaignResponses[[#This Row],[Gift_Amount]]&lt;0,"Review - negative amount",IF(tb2_CampaignResponses[[#This Row],[Gift_Amount]]&gt;10000,"Review - unusually large donation",""))</f>
        <v/>
      </c>
      <c r="K711" s="21" t="str">
        <f>IF(tb2_CampaignResponses[[#This Row],[Supporter_ID]]="","Review - no supporter ID","")</f>
        <v/>
      </c>
      <c r="L711" s="21" t="str">
        <f ca="1">IF(tb2_CampaignResponses[[#This Row],[Response_Date]]&gt;TODAY(),"Review - future response date","")</f>
        <v/>
      </c>
    </row>
    <row r="712" spans="1:12" x14ac:dyDescent="0.25">
      <c r="A712" s="3" t="s">
        <v>4528</v>
      </c>
      <c r="B712" s="2" t="s">
        <v>2668</v>
      </c>
      <c r="C712" s="2" t="s">
        <v>3325</v>
      </c>
      <c r="D712" s="2" t="s">
        <v>3326</v>
      </c>
      <c r="E712" s="2" t="s">
        <v>3316</v>
      </c>
      <c r="F712" s="15">
        <v>45607</v>
      </c>
      <c r="G712" s="25">
        <v>20.73</v>
      </c>
      <c r="H712" s="2" t="s">
        <v>37</v>
      </c>
      <c r="I712" s="4" t="s">
        <v>3370</v>
      </c>
      <c r="J712" s="2" t="str">
        <f>IF(tb2_CampaignResponses[[#This Row],[Gift_Amount]]&lt;0,"Review - negative amount",IF(tb2_CampaignResponses[[#This Row],[Gift_Amount]]&gt;10000,"Review - unusually large donation",""))</f>
        <v/>
      </c>
      <c r="K712" s="21" t="str">
        <f>IF(tb2_CampaignResponses[[#This Row],[Supporter_ID]]="","Review - no supporter ID","")</f>
        <v/>
      </c>
      <c r="L712" s="21" t="str">
        <f ca="1">IF(tb2_CampaignResponses[[#This Row],[Response_Date]]&gt;TODAY(),"Review - future response date","")</f>
        <v/>
      </c>
    </row>
    <row r="713" spans="1:12" x14ac:dyDescent="0.25">
      <c r="A713" s="3" t="s">
        <v>4530</v>
      </c>
      <c r="B713" s="2" t="s">
        <v>2568</v>
      </c>
      <c r="C713" s="2" t="s">
        <v>3325</v>
      </c>
      <c r="D713" s="2" t="s">
        <v>3326</v>
      </c>
      <c r="E713" s="2" t="s">
        <v>3316</v>
      </c>
      <c r="F713" s="15">
        <v>45652</v>
      </c>
      <c r="G713" s="25">
        <v>470.22</v>
      </c>
      <c r="H713" s="2" t="s">
        <v>37</v>
      </c>
      <c r="I713" s="4" t="s">
        <v>3370</v>
      </c>
      <c r="J713" s="2" t="str">
        <f>IF(tb2_CampaignResponses[[#This Row],[Gift_Amount]]&lt;0,"Review - negative amount",IF(tb2_CampaignResponses[[#This Row],[Gift_Amount]]&gt;10000,"Review - unusually large donation",""))</f>
        <v/>
      </c>
      <c r="K713" s="21" t="str">
        <f>IF(tb2_CampaignResponses[[#This Row],[Supporter_ID]]="","Review - no supporter ID","")</f>
        <v/>
      </c>
      <c r="L713" s="21" t="str">
        <f ca="1">IF(tb2_CampaignResponses[[#This Row],[Response_Date]]&gt;TODAY(),"Review - future response date","")</f>
        <v/>
      </c>
    </row>
    <row r="714" spans="1:12" x14ac:dyDescent="0.25">
      <c r="A714" s="3" t="s">
        <v>4531</v>
      </c>
      <c r="B714" s="2" t="s">
        <v>3235</v>
      </c>
      <c r="C714" s="2" t="s">
        <v>3320</v>
      </c>
      <c r="D714" s="2" t="s">
        <v>3321</v>
      </c>
      <c r="E714" s="2" t="s">
        <v>4</v>
      </c>
      <c r="F714" s="15">
        <v>45464</v>
      </c>
      <c r="G714" s="25">
        <v>41.84</v>
      </c>
      <c r="H714" s="2" t="s">
        <v>36</v>
      </c>
      <c r="I714" s="4" t="s">
        <v>3365</v>
      </c>
      <c r="J714" s="2" t="str">
        <f>IF(tb2_CampaignResponses[[#This Row],[Gift_Amount]]&lt;0,"Review - negative amount",IF(tb2_CampaignResponses[[#This Row],[Gift_Amount]]&gt;10000,"Review - unusually large donation",""))</f>
        <v/>
      </c>
      <c r="K714" s="21" t="str">
        <f>IF(tb2_CampaignResponses[[#This Row],[Supporter_ID]]="","Review - no supporter ID","")</f>
        <v/>
      </c>
      <c r="L714" s="21" t="str">
        <f ca="1">IF(tb2_CampaignResponses[[#This Row],[Response_Date]]&gt;TODAY(),"Review - future response date","")</f>
        <v/>
      </c>
    </row>
    <row r="715" spans="1:12" x14ac:dyDescent="0.25">
      <c r="A715" s="3" t="s">
        <v>4532</v>
      </c>
      <c r="B715" s="2" t="s">
        <v>1613</v>
      </c>
      <c r="C715" s="2" t="s">
        <v>3362</v>
      </c>
      <c r="D715" s="2" t="s">
        <v>3363</v>
      </c>
      <c r="E715" s="2" t="s">
        <v>65</v>
      </c>
      <c r="F715" s="15">
        <v>45572</v>
      </c>
      <c r="G715" s="25">
        <v>12.56</v>
      </c>
      <c r="H715" s="2" t="s">
        <v>37</v>
      </c>
      <c r="I715" s="4" t="s">
        <v>3385</v>
      </c>
      <c r="J715" s="2" t="str">
        <f>IF(tb2_CampaignResponses[[#This Row],[Gift_Amount]]&lt;0,"Review - negative amount",IF(tb2_CampaignResponses[[#This Row],[Gift_Amount]]&gt;10000,"Review - unusually large donation",""))</f>
        <v/>
      </c>
      <c r="K715" s="21" t="str">
        <f>IF(tb2_CampaignResponses[[#This Row],[Supporter_ID]]="","Review - no supporter ID","")</f>
        <v/>
      </c>
      <c r="L715" s="21" t="str">
        <f ca="1">IF(tb2_CampaignResponses[[#This Row],[Response_Date]]&gt;TODAY(),"Review - future response date","")</f>
        <v/>
      </c>
    </row>
    <row r="716" spans="1:12" x14ac:dyDescent="0.25">
      <c r="A716" s="3" t="s">
        <v>4534</v>
      </c>
      <c r="B716" s="2" t="s">
        <v>3261</v>
      </c>
      <c r="C716" s="2" t="s">
        <v>3403</v>
      </c>
      <c r="D716" s="2" t="s">
        <v>3404</v>
      </c>
      <c r="E716" s="2" t="s">
        <v>4</v>
      </c>
      <c r="F716" s="15">
        <v>45635</v>
      </c>
      <c r="G716" s="25">
        <v>25.23</v>
      </c>
      <c r="H716" s="2" t="s">
        <v>37</v>
      </c>
      <c r="I716" s="4" t="s">
        <v>3328</v>
      </c>
      <c r="J716" s="2" t="str">
        <f>IF(tb2_CampaignResponses[[#This Row],[Gift_Amount]]&lt;0,"Review - negative amount",IF(tb2_CampaignResponses[[#This Row],[Gift_Amount]]&gt;10000,"Review - unusually large donation",""))</f>
        <v/>
      </c>
      <c r="K716" s="21" t="str">
        <f>IF(tb2_CampaignResponses[[#This Row],[Supporter_ID]]="","Review - no supporter ID","")</f>
        <v/>
      </c>
      <c r="L716" s="21" t="str">
        <f ca="1">IF(tb2_CampaignResponses[[#This Row],[Response_Date]]&gt;TODAY(),"Review - future response date","")</f>
        <v/>
      </c>
    </row>
    <row r="717" spans="1:12" x14ac:dyDescent="0.25">
      <c r="A717" s="3" t="s">
        <v>4536</v>
      </c>
      <c r="B717" s="2" t="s">
        <v>106</v>
      </c>
      <c r="C717" s="2" t="s">
        <v>3367</v>
      </c>
      <c r="D717" s="2" t="s">
        <v>3368</v>
      </c>
      <c r="E717" s="2" t="s">
        <v>4</v>
      </c>
      <c r="F717" s="15">
        <v>45735</v>
      </c>
      <c r="G717" s="25">
        <v>19.63</v>
      </c>
      <c r="H717" s="2" t="s">
        <v>36</v>
      </c>
      <c r="I717" s="4" t="s">
        <v>3323</v>
      </c>
      <c r="J717" s="2" t="str">
        <f>IF(tb2_CampaignResponses[[#This Row],[Gift_Amount]]&lt;0,"Review - negative amount",IF(tb2_CampaignResponses[[#This Row],[Gift_Amount]]&gt;10000,"Review - unusually large donation",""))</f>
        <v/>
      </c>
      <c r="K717" s="21" t="str">
        <f>IF(tb2_CampaignResponses[[#This Row],[Supporter_ID]]="","Review - no supporter ID","")</f>
        <v/>
      </c>
      <c r="L717" s="21" t="str">
        <f ca="1">IF(tb2_CampaignResponses[[#This Row],[Response_Date]]&gt;TODAY(),"Review - future response date","")</f>
        <v/>
      </c>
    </row>
    <row r="718" spans="1:12" x14ac:dyDescent="0.25">
      <c r="A718" s="3" t="s">
        <v>4538</v>
      </c>
      <c r="B718" s="2" t="s">
        <v>3153</v>
      </c>
      <c r="C718" s="2" t="s">
        <v>3427</v>
      </c>
      <c r="D718" s="2" t="s">
        <v>3428</v>
      </c>
      <c r="E718" s="2" t="s">
        <v>4</v>
      </c>
      <c r="F718" s="15">
        <v>45488</v>
      </c>
      <c r="G718" s="25">
        <v>5.39</v>
      </c>
      <c r="H718" s="2" t="s">
        <v>36</v>
      </c>
      <c r="I718" s="4" t="s">
        <v>3328</v>
      </c>
      <c r="J718" s="2" t="str">
        <f>IF(tb2_CampaignResponses[[#This Row],[Gift_Amount]]&lt;0,"Review - negative amount",IF(tb2_CampaignResponses[[#This Row],[Gift_Amount]]&gt;10000,"Review - unusually large donation",""))</f>
        <v/>
      </c>
      <c r="K718" s="21" t="str">
        <f>IF(tb2_CampaignResponses[[#This Row],[Supporter_ID]]="","Review - no supporter ID","")</f>
        <v/>
      </c>
      <c r="L718" s="21" t="str">
        <f ca="1">IF(tb2_CampaignResponses[[#This Row],[Response_Date]]&gt;TODAY(),"Review - future response date","")</f>
        <v/>
      </c>
    </row>
    <row r="719" spans="1:12" x14ac:dyDescent="0.25">
      <c r="A719" s="3" t="s">
        <v>4539</v>
      </c>
      <c r="B719" s="2" t="s">
        <v>3287</v>
      </c>
      <c r="C719" s="2" t="s">
        <v>3325</v>
      </c>
      <c r="D719" s="2" t="s">
        <v>3326</v>
      </c>
      <c r="E719" s="2" t="s">
        <v>3338</v>
      </c>
      <c r="F719" s="15">
        <v>45622</v>
      </c>
      <c r="G719" s="25">
        <v>48.45</v>
      </c>
      <c r="H719" s="2" t="s">
        <v>36</v>
      </c>
      <c r="I719" s="4" t="s">
        <v>3334</v>
      </c>
      <c r="J719" s="2" t="str">
        <f>IF(tb2_CampaignResponses[[#This Row],[Gift_Amount]]&lt;0,"Review - negative amount",IF(tb2_CampaignResponses[[#This Row],[Gift_Amount]]&gt;10000,"Review - unusually large donation",""))</f>
        <v/>
      </c>
      <c r="K719" s="21" t="str">
        <f>IF(tb2_CampaignResponses[[#This Row],[Supporter_ID]]="","Review - no supporter ID","")</f>
        <v/>
      </c>
      <c r="L719" s="21" t="str">
        <f ca="1">IF(tb2_CampaignResponses[[#This Row],[Response_Date]]&gt;TODAY(),"Review - future response date","")</f>
        <v/>
      </c>
    </row>
    <row r="720" spans="1:12" x14ac:dyDescent="0.25">
      <c r="A720" s="3" t="s">
        <v>4541</v>
      </c>
      <c r="B720" s="2" t="s">
        <v>2638</v>
      </c>
      <c r="C720" s="2" t="s">
        <v>3320</v>
      </c>
      <c r="D720" s="2" t="s">
        <v>3321</v>
      </c>
      <c r="E720" s="2" t="s">
        <v>65</v>
      </c>
      <c r="F720" s="15">
        <v>45469</v>
      </c>
      <c r="G720" s="25">
        <v>155.66999999999999</v>
      </c>
      <c r="H720" s="2" t="s">
        <v>37</v>
      </c>
      <c r="I720" s="4" t="s">
        <v>3365</v>
      </c>
      <c r="J720" s="2" t="str">
        <f>IF(tb2_CampaignResponses[[#This Row],[Gift_Amount]]&lt;0,"Review - negative amount",IF(tb2_CampaignResponses[[#This Row],[Gift_Amount]]&gt;10000,"Review - unusually large donation",""))</f>
        <v/>
      </c>
      <c r="K720" s="21" t="str">
        <f>IF(tb2_CampaignResponses[[#This Row],[Supporter_ID]]="","Review - no supporter ID","")</f>
        <v/>
      </c>
      <c r="L720" s="21" t="str">
        <f ca="1">IF(tb2_CampaignResponses[[#This Row],[Response_Date]]&gt;TODAY(),"Review - future response date","")</f>
        <v/>
      </c>
    </row>
    <row r="721" spans="1:12" x14ac:dyDescent="0.25">
      <c r="A721" s="3" t="s">
        <v>4543</v>
      </c>
      <c r="B721" s="2" t="s">
        <v>2303</v>
      </c>
      <c r="C721" s="2" t="s">
        <v>3427</v>
      </c>
      <c r="D721" s="2" t="s">
        <v>3428</v>
      </c>
      <c r="E721" s="2" t="s">
        <v>65</v>
      </c>
      <c r="F721" s="15">
        <v>45488</v>
      </c>
      <c r="G721" s="25">
        <v>26.74</v>
      </c>
      <c r="H721" s="2" t="s">
        <v>37</v>
      </c>
      <c r="I721" s="4" t="s">
        <v>3365</v>
      </c>
      <c r="J721" s="2" t="str">
        <f>IF(tb2_CampaignResponses[[#This Row],[Gift_Amount]]&lt;0,"Review - negative amount",IF(tb2_CampaignResponses[[#This Row],[Gift_Amount]]&gt;10000,"Review - unusually large donation",""))</f>
        <v/>
      </c>
      <c r="K721" s="21" t="str">
        <f>IF(tb2_CampaignResponses[[#This Row],[Supporter_ID]]="","Review - no supporter ID","")</f>
        <v/>
      </c>
      <c r="L721" s="21" t="str">
        <f ca="1">IF(tb2_CampaignResponses[[#This Row],[Response_Date]]&gt;TODAY(),"Review - future response date","")</f>
        <v/>
      </c>
    </row>
    <row r="722" spans="1:12" x14ac:dyDescent="0.25">
      <c r="A722" s="3" t="s">
        <v>4544</v>
      </c>
      <c r="B722" s="2" t="s">
        <v>1173</v>
      </c>
      <c r="C722" s="2" t="s">
        <v>3320</v>
      </c>
      <c r="D722" s="2" t="s">
        <v>3321</v>
      </c>
      <c r="E722" s="2" t="s">
        <v>4</v>
      </c>
      <c r="F722" s="15">
        <v>45462</v>
      </c>
      <c r="G722" s="25">
        <v>26.61</v>
      </c>
      <c r="H722" s="2" t="s">
        <v>36</v>
      </c>
      <c r="I722" s="4" t="s">
        <v>3370</v>
      </c>
      <c r="J722" s="2" t="str">
        <f>IF(tb2_CampaignResponses[[#This Row],[Gift_Amount]]&lt;0,"Review - negative amount",IF(tb2_CampaignResponses[[#This Row],[Gift_Amount]]&gt;10000,"Review - unusually large donation",""))</f>
        <v/>
      </c>
      <c r="K722" s="21" t="str">
        <f>IF(tb2_CampaignResponses[[#This Row],[Supporter_ID]]="","Review - no supporter ID","")</f>
        <v/>
      </c>
      <c r="L722" s="21" t="str">
        <f ca="1">IF(tb2_CampaignResponses[[#This Row],[Response_Date]]&gt;TODAY(),"Review - future response date","")</f>
        <v/>
      </c>
    </row>
    <row r="723" spans="1:12" x14ac:dyDescent="0.25">
      <c r="A723" s="3" t="s">
        <v>4546</v>
      </c>
      <c r="B723" s="2" t="s">
        <v>753</v>
      </c>
      <c r="C723" s="2" t="s">
        <v>3320</v>
      </c>
      <c r="D723" s="2" t="s">
        <v>3321</v>
      </c>
      <c r="E723" s="2" t="s">
        <v>65</v>
      </c>
      <c r="F723" s="15">
        <v>45455</v>
      </c>
      <c r="G723" s="25">
        <v>45.67</v>
      </c>
      <c r="H723" s="2" t="s">
        <v>36</v>
      </c>
      <c r="I723" s="4" t="s">
        <v>3370</v>
      </c>
      <c r="J723" s="2" t="str">
        <f>IF(tb2_CampaignResponses[[#This Row],[Gift_Amount]]&lt;0,"Review - negative amount",IF(tb2_CampaignResponses[[#This Row],[Gift_Amount]]&gt;10000,"Review - unusually large donation",""))</f>
        <v/>
      </c>
      <c r="K723" s="21" t="str">
        <f>IF(tb2_CampaignResponses[[#This Row],[Supporter_ID]]="","Review - no supporter ID","")</f>
        <v/>
      </c>
      <c r="L723" s="21" t="str">
        <f ca="1">IF(tb2_CampaignResponses[[#This Row],[Response_Date]]&gt;TODAY(),"Review - future response date","")</f>
        <v/>
      </c>
    </row>
    <row r="724" spans="1:12" x14ac:dyDescent="0.25">
      <c r="A724" s="3" t="s">
        <v>4548</v>
      </c>
      <c r="B724" s="2" t="s">
        <v>1631</v>
      </c>
      <c r="C724" s="2" t="s">
        <v>3362</v>
      </c>
      <c r="D724" s="2" t="s">
        <v>3363</v>
      </c>
      <c r="E724" s="2" t="s">
        <v>65</v>
      </c>
      <c r="F724" s="15">
        <v>45575</v>
      </c>
      <c r="G724" s="25">
        <v>16.489999999999998</v>
      </c>
      <c r="H724" s="2" t="s">
        <v>36</v>
      </c>
      <c r="I724" s="4" t="s">
        <v>3365</v>
      </c>
      <c r="J724" s="2" t="str">
        <f>IF(tb2_CampaignResponses[[#This Row],[Gift_Amount]]&lt;0,"Review - negative amount",IF(tb2_CampaignResponses[[#This Row],[Gift_Amount]]&gt;10000,"Review - unusually large donation",""))</f>
        <v/>
      </c>
      <c r="K724" s="21" t="str">
        <f>IF(tb2_CampaignResponses[[#This Row],[Supporter_ID]]="","Review - no supporter ID","")</f>
        <v/>
      </c>
      <c r="L724" s="21" t="str">
        <f ca="1">IF(tb2_CampaignResponses[[#This Row],[Response_Date]]&gt;TODAY(),"Review - future response date","")</f>
        <v/>
      </c>
    </row>
    <row r="725" spans="1:12" x14ac:dyDescent="0.25">
      <c r="A725" s="3" t="s">
        <v>4550</v>
      </c>
      <c r="B725" s="2" t="s">
        <v>1186</v>
      </c>
      <c r="C725" s="2" t="s">
        <v>3314</v>
      </c>
      <c r="D725" s="2" t="s">
        <v>3315</v>
      </c>
      <c r="E725" s="2" t="s">
        <v>3316</v>
      </c>
      <c r="F725" s="15">
        <v>45719</v>
      </c>
      <c r="G725" s="25">
        <v>3206.08</v>
      </c>
      <c r="H725" s="2" t="s">
        <v>37</v>
      </c>
      <c r="I725" s="4" t="s">
        <v>3331</v>
      </c>
      <c r="J725" s="2" t="str">
        <f>IF(tb2_CampaignResponses[[#This Row],[Gift_Amount]]&lt;0,"Review - negative amount",IF(tb2_CampaignResponses[[#This Row],[Gift_Amount]]&gt;10000,"Review - unusually large donation",""))</f>
        <v/>
      </c>
      <c r="K725" s="21" t="str">
        <f>IF(tb2_CampaignResponses[[#This Row],[Supporter_ID]]="","Review - no supporter ID","")</f>
        <v/>
      </c>
      <c r="L725" s="21" t="str">
        <f ca="1">IF(tb2_CampaignResponses[[#This Row],[Response_Date]]&gt;TODAY(),"Review - future response date","")</f>
        <v/>
      </c>
    </row>
    <row r="726" spans="1:12" x14ac:dyDescent="0.25">
      <c r="A726" s="3" t="s">
        <v>4551</v>
      </c>
      <c r="B726" s="2" t="s">
        <v>3026</v>
      </c>
      <c r="C726" s="2" t="s">
        <v>3362</v>
      </c>
      <c r="D726" s="2" t="s">
        <v>3363</v>
      </c>
      <c r="E726" s="2" t="s">
        <v>65</v>
      </c>
      <c r="F726" s="15">
        <v>45577</v>
      </c>
      <c r="G726" s="25">
        <v>26.49</v>
      </c>
      <c r="H726" s="2" t="s">
        <v>36</v>
      </c>
      <c r="I726" s="4" t="s">
        <v>3370</v>
      </c>
      <c r="J726" s="2" t="str">
        <f>IF(tb2_CampaignResponses[[#This Row],[Gift_Amount]]&lt;0,"Review - negative amount",IF(tb2_CampaignResponses[[#This Row],[Gift_Amount]]&gt;10000,"Review - unusually large donation",""))</f>
        <v/>
      </c>
      <c r="K726" s="21" t="str">
        <f>IF(tb2_CampaignResponses[[#This Row],[Supporter_ID]]="","Review - no supporter ID","")</f>
        <v/>
      </c>
      <c r="L726" s="21" t="str">
        <f ca="1">IF(tb2_CampaignResponses[[#This Row],[Response_Date]]&gt;TODAY(),"Review - future response date","")</f>
        <v/>
      </c>
    </row>
    <row r="727" spans="1:12" x14ac:dyDescent="0.25">
      <c r="A727" s="3" t="s">
        <v>4552</v>
      </c>
      <c r="B727" s="2" t="s">
        <v>2159</v>
      </c>
      <c r="C727" s="2" t="s">
        <v>3320</v>
      </c>
      <c r="D727" s="2" t="s">
        <v>3321</v>
      </c>
      <c r="E727" s="2" t="s">
        <v>65</v>
      </c>
      <c r="F727" s="15">
        <v>45449</v>
      </c>
      <c r="G727" s="25">
        <v>11.95</v>
      </c>
      <c r="H727" s="2" t="s">
        <v>37</v>
      </c>
      <c r="I727" s="4" t="s">
        <v>3331</v>
      </c>
      <c r="J727" s="2" t="str">
        <f>IF(tb2_CampaignResponses[[#This Row],[Gift_Amount]]&lt;0,"Review - negative amount",IF(tb2_CampaignResponses[[#This Row],[Gift_Amount]]&gt;10000,"Review - unusually large donation",""))</f>
        <v/>
      </c>
      <c r="K727" s="21" t="str">
        <f>IF(tb2_CampaignResponses[[#This Row],[Supporter_ID]]="","Review - no supporter ID","")</f>
        <v/>
      </c>
      <c r="L727" s="21" t="str">
        <f ca="1">IF(tb2_CampaignResponses[[#This Row],[Response_Date]]&gt;TODAY(),"Review - future response date","")</f>
        <v/>
      </c>
    </row>
    <row r="728" spans="1:12" x14ac:dyDescent="0.25">
      <c r="A728" s="3" t="s">
        <v>4554</v>
      </c>
      <c r="B728" s="2" t="s">
        <v>2246</v>
      </c>
      <c r="C728" s="2" t="s">
        <v>3314</v>
      </c>
      <c r="D728" s="2" t="s">
        <v>3315</v>
      </c>
      <c r="E728" s="2" t="s">
        <v>3316</v>
      </c>
      <c r="F728" s="15">
        <v>45738</v>
      </c>
      <c r="G728" s="25">
        <v>4443.9399999999996</v>
      </c>
      <c r="H728" s="2" t="s">
        <v>36</v>
      </c>
      <c r="I728" s="4" t="s">
        <v>3318</v>
      </c>
      <c r="J728" s="2" t="str">
        <f>IF(tb2_CampaignResponses[[#This Row],[Gift_Amount]]&lt;0,"Review - negative amount",IF(tb2_CampaignResponses[[#This Row],[Gift_Amount]]&gt;10000,"Review - unusually large donation",""))</f>
        <v/>
      </c>
      <c r="K728" s="21" t="str">
        <f>IF(tb2_CampaignResponses[[#This Row],[Supporter_ID]]="","Review - no supporter ID","")</f>
        <v/>
      </c>
      <c r="L728" s="21" t="str">
        <f ca="1">IF(tb2_CampaignResponses[[#This Row],[Response_Date]]&gt;TODAY(),"Review - future response date","")</f>
        <v/>
      </c>
    </row>
    <row r="729" spans="1:12" x14ac:dyDescent="0.25">
      <c r="A729" s="3" t="s">
        <v>4556</v>
      </c>
      <c r="B729" s="2" t="s">
        <v>2592</v>
      </c>
      <c r="C729" s="2" t="s">
        <v>3403</v>
      </c>
      <c r="D729" s="2" t="s">
        <v>3404</v>
      </c>
      <c r="E729" s="2" t="s">
        <v>4</v>
      </c>
      <c r="F729" s="15">
        <v>45583</v>
      </c>
      <c r="G729" s="25">
        <v>26.97</v>
      </c>
      <c r="H729" s="2" t="s">
        <v>37</v>
      </c>
      <c r="I729" s="4" t="s">
        <v>3323</v>
      </c>
      <c r="J729" s="2" t="str">
        <f>IF(tb2_CampaignResponses[[#This Row],[Gift_Amount]]&lt;0,"Review - negative amount",IF(tb2_CampaignResponses[[#This Row],[Gift_Amount]]&gt;10000,"Review - unusually large donation",""))</f>
        <v/>
      </c>
      <c r="K729" s="21" t="str">
        <f>IF(tb2_CampaignResponses[[#This Row],[Supporter_ID]]="","Review - no supporter ID","")</f>
        <v/>
      </c>
      <c r="L729" s="21" t="str">
        <f ca="1">IF(tb2_CampaignResponses[[#This Row],[Response_Date]]&gt;TODAY(),"Review - future response date","")</f>
        <v/>
      </c>
    </row>
    <row r="730" spans="1:12" x14ac:dyDescent="0.25">
      <c r="A730" s="3" t="s">
        <v>4558</v>
      </c>
      <c r="B730" s="2" t="s">
        <v>949</v>
      </c>
      <c r="C730" s="2" t="s">
        <v>3427</v>
      </c>
      <c r="D730" s="2" t="s">
        <v>3428</v>
      </c>
      <c r="E730" s="2" t="s">
        <v>65</v>
      </c>
      <c r="F730" s="15">
        <v>45488</v>
      </c>
      <c r="G730" s="25">
        <v>13.8</v>
      </c>
      <c r="H730" s="2" t="s">
        <v>37</v>
      </c>
      <c r="I730" s="4" t="s">
        <v>3334</v>
      </c>
      <c r="J730" s="2" t="str">
        <f>IF(tb2_CampaignResponses[[#This Row],[Gift_Amount]]&lt;0,"Review - negative amount",IF(tb2_CampaignResponses[[#This Row],[Gift_Amount]]&gt;10000,"Review - unusually large donation",""))</f>
        <v/>
      </c>
      <c r="K730" s="21" t="str">
        <f>IF(tb2_CampaignResponses[[#This Row],[Supporter_ID]]="","Review - no supporter ID","")</f>
        <v/>
      </c>
      <c r="L730" s="21" t="str">
        <f ca="1">IF(tb2_CampaignResponses[[#This Row],[Response_Date]]&gt;TODAY(),"Review - future response date","")</f>
        <v/>
      </c>
    </row>
    <row r="731" spans="1:12" x14ac:dyDescent="0.25">
      <c r="A731" s="3" t="s">
        <v>4559</v>
      </c>
      <c r="B731" s="2" t="s">
        <v>2433</v>
      </c>
      <c r="C731" s="2" t="s">
        <v>3403</v>
      </c>
      <c r="D731" s="2" t="s">
        <v>3404</v>
      </c>
      <c r="E731" s="2" t="s">
        <v>4</v>
      </c>
      <c r="F731" s="15">
        <v>45592</v>
      </c>
      <c r="G731" s="25">
        <v>131.99</v>
      </c>
      <c r="H731" s="2" t="s">
        <v>36</v>
      </c>
      <c r="I731" s="4" t="s">
        <v>3385</v>
      </c>
      <c r="J731" s="2" t="str">
        <f>IF(tb2_CampaignResponses[[#This Row],[Gift_Amount]]&lt;0,"Review - negative amount",IF(tb2_CampaignResponses[[#This Row],[Gift_Amount]]&gt;10000,"Review - unusually large donation",""))</f>
        <v/>
      </c>
      <c r="K731" s="21" t="str">
        <f>IF(tb2_CampaignResponses[[#This Row],[Supporter_ID]]="","Review - no supporter ID","")</f>
        <v/>
      </c>
      <c r="L731" s="21" t="str">
        <f ca="1">IF(tb2_CampaignResponses[[#This Row],[Response_Date]]&gt;TODAY(),"Review - future response date","")</f>
        <v/>
      </c>
    </row>
    <row r="732" spans="1:12" x14ac:dyDescent="0.25">
      <c r="A732" s="3" t="s">
        <v>4561</v>
      </c>
      <c r="B732" s="2"/>
      <c r="C732" s="2" t="s">
        <v>3314</v>
      </c>
      <c r="D732" s="2" t="s">
        <v>3315</v>
      </c>
      <c r="E732" s="2" t="s">
        <v>65</v>
      </c>
      <c r="F732" s="15">
        <v>45746</v>
      </c>
      <c r="G732" s="25">
        <v>480.52</v>
      </c>
      <c r="H732" s="2" t="s">
        <v>37</v>
      </c>
      <c r="I732" s="4" t="s">
        <v>3328</v>
      </c>
      <c r="J732" s="2" t="str">
        <f>IF(tb2_CampaignResponses[[#This Row],[Gift_Amount]]&lt;0,"Review - negative amount",IF(tb2_CampaignResponses[[#This Row],[Gift_Amount]]&gt;10000,"Review - unusually large donation",""))</f>
        <v/>
      </c>
      <c r="K732" s="21" t="str">
        <f>IF(tb2_CampaignResponses[[#This Row],[Supporter_ID]]="","Review - no supporter ID","")</f>
        <v>Review - no supporter ID</v>
      </c>
      <c r="L732" s="21" t="str">
        <f ca="1">IF(tb2_CampaignResponses[[#This Row],[Response_Date]]&gt;TODAY(),"Review - future response date","")</f>
        <v/>
      </c>
    </row>
    <row r="733" spans="1:12" x14ac:dyDescent="0.25">
      <c r="A733" s="3" t="s">
        <v>4563</v>
      </c>
      <c r="B733" s="2" t="s">
        <v>1059</v>
      </c>
      <c r="C733" s="2" t="s">
        <v>3341</v>
      </c>
      <c r="D733" s="2" t="s">
        <v>3342</v>
      </c>
      <c r="E733" s="2" t="s">
        <v>3316</v>
      </c>
      <c r="F733" s="15">
        <v>45701</v>
      </c>
      <c r="G733" s="25">
        <v>290.85000000000002</v>
      </c>
      <c r="H733" s="2" t="s">
        <v>36</v>
      </c>
      <c r="I733" s="4" t="s">
        <v>3385</v>
      </c>
      <c r="J733" s="2" t="str">
        <f>IF(tb2_CampaignResponses[[#This Row],[Gift_Amount]]&lt;0,"Review - negative amount",IF(tb2_CampaignResponses[[#This Row],[Gift_Amount]]&gt;10000,"Review - unusually large donation",""))</f>
        <v/>
      </c>
      <c r="K733" s="21" t="str">
        <f>IF(tb2_CampaignResponses[[#This Row],[Supporter_ID]]="","Review - no supporter ID","")</f>
        <v/>
      </c>
      <c r="L733" s="21" t="str">
        <f ca="1">IF(tb2_CampaignResponses[[#This Row],[Response_Date]]&gt;TODAY(),"Review - future response date","")</f>
        <v/>
      </c>
    </row>
    <row r="734" spans="1:12" x14ac:dyDescent="0.25">
      <c r="A734" s="3" t="s">
        <v>4565</v>
      </c>
      <c r="B734" s="2" t="s">
        <v>3077</v>
      </c>
      <c r="C734" s="2" t="s">
        <v>3367</v>
      </c>
      <c r="D734" s="2" t="s">
        <v>3368</v>
      </c>
      <c r="E734" s="2" t="s">
        <v>4</v>
      </c>
      <c r="F734" s="15">
        <v>45732</v>
      </c>
      <c r="G734" s="25">
        <v>83.65</v>
      </c>
      <c r="H734" s="2" t="s">
        <v>37</v>
      </c>
      <c r="I734" s="4" t="s">
        <v>3331</v>
      </c>
      <c r="J734" s="2" t="str">
        <f>IF(tb2_CampaignResponses[[#This Row],[Gift_Amount]]&lt;0,"Review - negative amount",IF(tb2_CampaignResponses[[#This Row],[Gift_Amount]]&gt;10000,"Review - unusually large donation",""))</f>
        <v/>
      </c>
      <c r="K734" s="21" t="str">
        <f>IF(tb2_CampaignResponses[[#This Row],[Supporter_ID]]="","Review - no supporter ID","")</f>
        <v/>
      </c>
      <c r="L734" s="21" t="str">
        <f ca="1">IF(tb2_CampaignResponses[[#This Row],[Response_Date]]&gt;TODAY(),"Review - future response date","")</f>
        <v/>
      </c>
    </row>
    <row r="735" spans="1:12" x14ac:dyDescent="0.25">
      <c r="A735" s="3" t="s">
        <v>4567</v>
      </c>
      <c r="B735" s="2" t="s">
        <v>1861</v>
      </c>
      <c r="C735" s="2" t="s">
        <v>3320</v>
      </c>
      <c r="D735" s="2" t="s">
        <v>3321</v>
      </c>
      <c r="E735" s="2" t="s">
        <v>65</v>
      </c>
      <c r="F735" s="15">
        <v>45459</v>
      </c>
      <c r="G735" s="25">
        <v>415.99</v>
      </c>
      <c r="H735" s="2" t="s">
        <v>36</v>
      </c>
      <c r="I735" s="4" t="s">
        <v>3318</v>
      </c>
      <c r="J735" s="2" t="str">
        <f>IF(tb2_CampaignResponses[[#This Row],[Gift_Amount]]&lt;0,"Review - negative amount",IF(tb2_CampaignResponses[[#This Row],[Gift_Amount]]&gt;10000,"Review - unusually large donation",""))</f>
        <v/>
      </c>
      <c r="K735" s="21" t="str">
        <f>IF(tb2_CampaignResponses[[#This Row],[Supporter_ID]]="","Review - no supporter ID","")</f>
        <v/>
      </c>
      <c r="L735" s="21" t="str">
        <f ca="1">IF(tb2_CampaignResponses[[#This Row],[Response_Date]]&gt;TODAY(),"Review - future response date","")</f>
        <v/>
      </c>
    </row>
    <row r="736" spans="1:12" x14ac:dyDescent="0.25">
      <c r="A736" s="3" t="s">
        <v>4568</v>
      </c>
      <c r="B736" s="2" t="s">
        <v>1643</v>
      </c>
      <c r="C736" s="2" t="s">
        <v>3320</v>
      </c>
      <c r="D736" s="2" t="s">
        <v>3321</v>
      </c>
      <c r="E736" s="2" t="s">
        <v>4</v>
      </c>
      <c r="F736" s="15">
        <v>45510</v>
      </c>
      <c r="G736" s="25">
        <v>74.239999999999995</v>
      </c>
      <c r="H736" s="2" t="s">
        <v>36</v>
      </c>
      <c r="I736" s="4" t="s">
        <v>3328</v>
      </c>
      <c r="J736" s="2" t="str">
        <f>IF(tb2_CampaignResponses[[#This Row],[Gift_Amount]]&lt;0,"Review - negative amount",IF(tb2_CampaignResponses[[#This Row],[Gift_Amount]]&gt;10000,"Review - unusually large donation",""))</f>
        <v/>
      </c>
      <c r="K736" s="21" t="str">
        <f>IF(tb2_CampaignResponses[[#This Row],[Supporter_ID]]="","Review - no supporter ID","")</f>
        <v/>
      </c>
      <c r="L736" s="21" t="str">
        <f ca="1">IF(tb2_CampaignResponses[[#This Row],[Response_Date]]&gt;TODAY(),"Review - future response date","")</f>
        <v/>
      </c>
    </row>
    <row r="737" spans="1:12" x14ac:dyDescent="0.25">
      <c r="A737" s="3" t="s">
        <v>4570</v>
      </c>
      <c r="B737" s="2" t="s">
        <v>796</v>
      </c>
      <c r="C737" s="2" t="s">
        <v>3354</v>
      </c>
      <c r="D737" s="2" t="s">
        <v>3355</v>
      </c>
      <c r="E737" s="2" t="s">
        <v>4</v>
      </c>
      <c r="F737" s="15">
        <v>45618</v>
      </c>
      <c r="G737" s="25">
        <v>21.66</v>
      </c>
      <c r="H737" s="2" t="s">
        <v>37</v>
      </c>
      <c r="I737" s="4" t="s">
        <v>3334</v>
      </c>
      <c r="J737" s="2" t="str">
        <f>IF(tb2_CampaignResponses[[#This Row],[Gift_Amount]]&lt;0,"Review - negative amount",IF(tb2_CampaignResponses[[#This Row],[Gift_Amount]]&gt;10000,"Review - unusually large donation",""))</f>
        <v/>
      </c>
      <c r="K737" s="21" t="str">
        <f>IF(tb2_CampaignResponses[[#This Row],[Supporter_ID]]="","Review - no supporter ID","")</f>
        <v/>
      </c>
      <c r="L737" s="21" t="str">
        <f ca="1">IF(tb2_CampaignResponses[[#This Row],[Response_Date]]&gt;TODAY(),"Review - future response date","")</f>
        <v/>
      </c>
    </row>
    <row r="738" spans="1:12" x14ac:dyDescent="0.25">
      <c r="A738" s="3" t="s">
        <v>4571</v>
      </c>
      <c r="B738" s="2" t="s">
        <v>289</v>
      </c>
      <c r="C738" s="2" t="s">
        <v>3427</v>
      </c>
      <c r="D738" s="2" t="s">
        <v>3428</v>
      </c>
      <c r="E738" s="2" t="s">
        <v>4</v>
      </c>
      <c r="F738" s="15">
        <v>45488</v>
      </c>
      <c r="G738" s="25">
        <v>64.09</v>
      </c>
      <c r="H738" s="2" t="s">
        <v>36</v>
      </c>
      <c r="I738" s="4" t="s">
        <v>3365</v>
      </c>
      <c r="J738" s="2" t="str">
        <f>IF(tb2_CampaignResponses[[#This Row],[Gift_Amount]]&lt;0,"Review - negative amount",IF(tb2_CampaignResponses[[#This Row],[Gift_Amount]]&gt;10000,"Review - unusually large donation",""))</f>
        <v/>
      </c>
      <c r="K738" s="21" t="str">
        <f>IF(tb2_CampaignResponses[[#This Row],[Supporter_ID]]="","Review - no supporter ID","")</f>
        <v/>
      </c>
      <c r="L738" s="21" t="str">
        <f ca="1">IF(tb2_CampaignResponses[[#This Row],[Response_Date]]&gt;TODAY(),"Review - future response date","")</f>
        <v/>
      </c>
    </row>
    <row r="739" spans="1:12" x14ac:dyDescent="0.25">
      <c r="A739" s="3" t="s">
        <v>4572</v>
      </c>
      <c r="B739" s="2" t="s">
        <v>1838</v>
      </c>
      <c r="C739" s="2" t="s">
        <v>3320</v>
      </c>
      <c r="D739" s="2" t="s">
        <v>3321</v>
      </c>
      <c r="E739" s="2" t="s">
        <v>4</v>
      </c>
      <c r="F739" s="15">
        <v>45453</v>
      </c>
      <c r="G739" s="25">
        <v>5.26</v>
      </c>
      <c r="H739" s="2" t="s">
        <v>37</v>
      </c>
      <c r="I739" s="4" t="s">
        <v>3370</v>
      </c>
      <c r="J739" s="2" t="str">
        <f>IF(tb2_CampaignResponses[[#This Row],[Gift_Amount]]&lt;0,"Review - negative amount",IF(tb2_CampaignResponses[[#This Row],[Gift_Amount]]&gt;10000,"Review - unusually large donation",""))</f>
        <v/>
      </c>
      <c r="K739" s="21" t="str">
        <f>IF(tb2_CampaignResponses[[#This Row],[Supporter_ID]]="","Review - no supporter ID","")</f>
        <v/>
      </c>
      <c r="L739" s="21" t="str">
        <f ca="1">IF(tb2_CampaignResponses[[#This Row],[Response_Date]]&gt;TODAY(),"Review - future response date","")</f>
        <v/>
      </c>
    </row>
    <row r="740" spans="1:12" x14ac:dyDescent="0.25">
      <c r="A740" s="3" t="s">
        <v>4574</v>
      </c>
      <c r="B740" s="2" t="s">
        <v>1909</v>
      </c>
      <c r="C740" s="2" t="s">
        <v>3341</v>
      </c>
      <c r="D740" s="2" t="s">
        <v>3342</v>
      </c>
      <c r="E740" s="2" t="s">
        <v>3316</v>
      </c>
      <c r="F740" s="15">
        <v>45762</v>
      </c>
      <c r="G740" s="25">
        <v>9.24</v>
      </c>
      <c r="H740" s="2" t="s">
        <v>37</v>
      </c>
      <c r="I740" s="4" t="s">
        <v>3328</v>
      </c>
      <c r="J740" s="2" t="str">
        <f>IF(tb2_CampaignResponses[[#This Row],[Gift_Amount]]&lt;0,"Review - negative amount",IF(tb2_CampaignResponses[[#This Row],[Gift_Amount]]&gt;10000,"Review - unusually large donation",""))</f>
        <v/>
      </c>
      <c r="K740" s="21" t="str">
        <f>IF(tb2_CampaignResponses[[#This Row],[Supporter_ID]]="","Review - no supporter ID","")</f>
        <v/>
      </c>
      <c r="L740" s="21" t="str">
        <f ca="1">IF(tb2_CampaignResponses[[#This Row],[Response_Date]]&gt;TODAY(),"Review - future response date","")</f>
        <v/>
      </c>
    </row>
    <row r="741" spans="1:12" x14ac:dyDescent="0.25">
      <c r="A741" s="3" t="s">
        <v>4575</v>
      </c>
      <c r="B741" s="2" t="s">
        <v>3193</v>
      </c>
      <c r="C741" s="2" t="s">
        <v>3336</v>
      </c>
      <c r="D741" s="2" t="s">
        <v>3337</v>
      </c>
      <c r="E741" s="2" t="s">
        <v>3316</v>
      </c>
      <c r="F741" s="15">
        <v>45561</v>
      </c>
      <c r="G741" s="25">
        <v>6.52</v>
      </c>
      <c r="H741" s="2" t="s">
        <v>36</v>
      </c>
      <c r="I741" s="4" t="s">
        <v>3370</v>
      </c>
      <c r="J741" s="2" t="str">
        <f>IF(tb2_CampaignResponses[[#This Row],[Gift_Amount]]&lt;0,"Review - negative amount",IF(tb2_CampaignResponses[[#This Row],[Gift_Amount]]&gt;10000,"Review - unusually large donation",""))</f>
        <v/>
      </c>
      <c r="K741" s="21" t="str">
        <f>IF(tb2_CampaignResponses[[#This Row],[Supporter_ID]]="","Review - no supporter ID","")</f>
        <v/>
      </c>
      <c r="L741" s="21" t="str">
        <f ca="1">IF(tb2_CampaignResponses[[#This Row],[Response_Date]]&gt;TODAY(),"Review - future response date","")</f>
        <v/>
      </c>
    </row>
    <row r="742" spans="1:12" x14ac:dyDescent="0.25">
      <c r="A742" s="3" t="s">
        <v>4577</v>
      </c>
      <c r="B742" s="2" t="s">
        <v>1982</v>
      </c>
      <c r="C742" s="2" t="s">
        <v>3367</v>
      </c>
      <c r="D742" s="2" t="s">
        <v>3368</v>
      </c>
      <c r="E742" s="2" t="s">
        <v>4</v>
      </c>
      <c r="F742" s="15">
        <v>45748</v>
      </c>
      <c r="G742" s="25">
        <v>99.59</v>
      </c>
      <c r="H742" s="2" t="s">
        <v>36</v>
      </c>
      <c r="I742" s="4" t="s">
        <v>3385</v>
      </c>
      <c r="J742" s="2" t="str">
        <f>IF(tb2_CampaignResponses[[#This Row],[Gift_Amount]]&lt;0,"Review - negative amount",IF(tb2_CampaignResponses[[#This Row],[Gift_Amount]]&gt;10000,"Review - unusually large donation",""))</f>
        <v/>
      </c>
      <c r="K742" s="21" t="str">
        <f>IF(tb2_CampaignResponses[[#This Row],[Supporter_ID]]="","Review - no supporter ID","")</f>
        <v/>
      </c>
      <c r="L742" s="21" t="str">
        <f ca="1">IF(tb2_CampaignResponses[[#This Row],[Response_Date]]&gt;TODAY(),"Review - future response date","")</f>
        <v/>
      </c>
    </row>
    <row r="743" spans="1:12" x14ac:dyDescent="0.25">
      <c r="A743" s="3" t="s">
        <v>4579</v>
      </c>
      <c r="B743" s="2" t="s">
        <v>1976</v>
      </c>
      <c r="C743" s="2" t="s">
        <v>3367</v>
      </c>
      <c r="D743" s="2" t="s">
        <v>3368</v>
      </c>
      <c r="E743" s="2" t="s">
        <v>65</v>
      </c>
      <c r="F743" s="15">
        <v>45730</v>
      </c>
      <c r="G743" s="25">
        <v>2952.33</v>
      </c>
      <c r="H743" s="2" t="s">
        <v>36</v>
      </c>
      <c r="I743" s="4" t="s">
        <v>3365</v>
      </c>
      <c r="J743" s="2" t="str">
        <f>IF(tb2_CampaignResponses[[#This Row],[Gift_Amount]]&lt;0,"Review - negative amount",IF(tb2_CampaignResponses[[#This Row],[Gift_Amount]]&gt;10000,"Review - unusually large donation",""))</f>
        <v/>
      </c>
      <c r="K743" s="21" t="str">
        <f>IF(tb2_CampaignResponses[[#This Row],[Supporter_ID]]="","Review - no supporter ID","")</f>
        <v/>
      </c>
      <c r="L743" s="21" t="str">
        <f ca="1">IF(tb2_CampaignResponses[[#This Row],[Response_Date]]&gt;TODAY(),"Review - future response date","")</f>
        <v/>
      </c>
    </row>
    <row r="744" spans="1:12" x14ac:dyDescent="0.25">
      <c r="A744" s="3" t="s">
        <v>4581</v>
      </c>
      <c r="B744" s="2" t="s">
        <v>844</v>
      </c>
      <c r="C744" s="2" t="s">
        <v>3314</v>
      </c>
      <c r="D744" s="2" t="s">
        <v>3315</v>
      </c>
      <c r="E744" s="2" t="s">
        <v>3316</v>
      </c>
      <c r="F744" s="15">
        <v>45710</v>
      </c>
      <c r="G744" s="25">
        <v>6.51</v>
      </c>
      <c r="H744" s="2" t="s">
        <v>37</v>
      </c>
      <c r="I744" s="4" t="s">
        <v>3365</v>
      </c>
      <c r="J744" s="2" t="str">
        <f>IF(tb2_CampaignResponses[[#This Row],[Gift_Amount]]&lt;0,"Review - negative amount",IF(tb2_CampaignResponses[[#This Row],[Gift_Amount]]&gt;10000,"Review - unusually large donation",""))</f>
        <v/>
      </c>
      <c r="K744" s="21" t="str">
        <f>IF(tb2_CampaignResponses[[#This Row],[Supporter_ID]]="","Review - no supporter ID","")</f>
        <v/>
      </c>
      <c r="L744" s="21" t="str">
        <f ca="1">IF(tb2_CampaignResponses[[#This Row],[Response_Date]]&gt;TODAY(),"Review - future response date","")</f>
        <v/>
      </c>
    </row>
    <row r="745" spans="1:12" x14ac:dyDescent="0.25">
      <c r="A745" s="3" t="s">
        <v>4583</v>
      </c>
      <c r="B745" s="2" t="s">
        <v>825</v>
      </c>
      <c r="C745" s="2" t="s">
        <v>3341</v>
      </c>
      <c r="D745" s="2" t="s">
        <v>3342</v>
      </c>
      <c r="E745" s="2" t="s">
        <v>91</v>
      </c>
      <c r="F745" s="15">
        <v>45933</v>
      </c>
      <c r="G745" s="25">
        <v>62.65</v>
      </c>
      <c r="H745" s="2" t="s">
        <v>37</v>
      </c>
      <c r="I745" s="4" t="s">
        <v>3323</v>
      </c>
      <c r="J745" s="2" t="str">
        <f>IF(tb2_CampaignResponses[[#This Row],[Gift_Amount]]&lt;0,"Review - negative amount",IF(tb2_CampaignResponses[[#This Row],[Gift_Amount]]&gt;10000,"Review - unusually large donation",""))</f>
        <v/>
      </c>
      <c r="K745" s="21" t="str">
        <f>IF(tb2_CampaignResponses[[#This Row],[Supporter_ID]]="","Review - no supporter ID","")</f>
        <v/>
      </c>
      <c r="L745" s="21" t="str">
        <f ca="1">IF(tb2_CampaignResponses[[#This Row],[Response_Date]]&gt;TODAY(),"Review - future response date","")</f>
        <v/>
      </c>
    </row>
    <row r="746" spans="1:12" x14ac:dyDescent="0.25">
      <c r="A746" s="3" t="s">
        <v>4584</v>
      </c>
      <c r="B746" s="2" t="s">
        <v>740</v>
      </c>
      <c r="C746" s="2" t="s">
        <v>3314</v>
      </c>
      <c r="D746" s="2" t="s">
        <v>3315</v>
      </c>
      <c r="E746" s="2" t="s">
        <v>3316</v>
      </c>
      <c r="F746" s="15">
        <v>45839</v>
      </c>
      <c r="G746" s="25">
        <v>93.17</v>
      </c>
      <c r="H746" s="2" t="s">
        <v>37</v>
      </c>
      <c r="I746" s="4" t="s">
        <v>3331</v>
      </c>
      <c r="J746" s="2" t="str">
        <f>IF(tb2_CampaignResponses[[#This Row],[Gift_Amount]]&lt;0,"Review - negative amount",IF(tb2_CampaignResponses[[#This Row],[Gift_Amount]]&gt;10000,"Review - unusually large donation",""))</f>
        <v/>
      </c>
      <c r="K746" s="21" t="str">
        <f>IF(tb2_CampaignResponses[[#This Row],[Supporter_ID]]="","Review - no supporter ID","")</f>
        <v/>
      </c>
      <c r="L746" s="21" t="str">
        <f ca="1">IF(tb2_CampaignResponses[[#This Row],[Response_Date]]&gt;TODAY(),"Review - future response date","")</f>
        <v/>
      </c>
    </row>
    <row r="747" spans="1:12" x14ac:dyDescent="0.25">
      <c r="A747" s="3" t="s">
        <v>4586</v>
      </c>
      <c r="B747" s="2" t="s">
        <v>2046</v>
      </c>
      <c r="C747" s="2" t="s">
        <v>3427</v>
      </c>
      <c r="D747" s="2" t="s">
        <v>3428</v>
      </c>
      <c r="E747" s="2" t="s">
        <v>65</v>
      </c>
      <c r="F747" s="15">
        <v>45488</v>
      </c>
      <c r="G747" s="25">
        <v>346.97</v>
      </c>
      <c r="H747" s="2" t="s">
        <v>37</v>
      </c>
      <c r="I747" s="4" t="s">
        <v>3365</v>
      </c>
      <c r="J747" s="2" t="str">
        <f>IF(tb2_CampaignResponses[[#This Row],[Gift_Amount]]&lt;0,"Review - negative amount",IF(tb2_CampaignResponses[[#This Row],[Gift_Amount]]&gt;10000,"Review - unusually large donation",""))</f>
        <v/>
      </c>
      <c r="K747" s="21" t="str">
        <f>IF(tb2_CampaignResponses[[#This Row],[Supporter_ID]]="","Review - no supporter ID","")</f>
        <v/>
      </c>
      <c r="L747" s="21" t="str">
        <f ca="1">IF(tb2_CampaignResponses[[#This Row],[Response_Date]]&gt;TODAY(),"Review - future response date","")</f>
        <v/>
      </c>
    </row>
    <row r="748" spans="1:12" x14ac:dyDescent="0.25">
      <c r="A748" s="3" t="s">
        <v>4587</v>
      </c>
      <c r="B748" s="2" t="s">
        <v>1423</v>
      </c>
      <c r="C748" s="2" t="s">
        <v>3320</v>
      </c>
      <c r="D748" s="2" t="s">
        <v>3321</v>
      </c>
      <c r="E748" s="2" t="s">
        <v>4</v>
      </c>
      <c r="F748" s="15">
        <v>45472</v>
      </c>
      <c r="G748" s="25">
        <v>38.92</v>
      </c>
      <c r="H748" s="2" t="s">
        <v>36</v>
      </c>
      <c r="I748" s="4" t="s">
        <v>3365</v>
      </c>
      <c r="J748" s="2" t="str">
        <f>IF(tb2_CampaignResponses[[#This Row],[Gift_Amount]]&lt;0,"Review - negative amount",IF(tb2_CampaignResponses[[#This Row],[Gift_Amount]]&gt;10000,"Review - unusually large donation",""))</f>
        <v/>
      </c>
      <c r="K748" s="21" t="str">
        <f>IF(tb2_CampaignResponses[[#This Row],[Supporter_ID]]="","Review - no supporter ID","")</f>
        <v/>
      </c>
      <c r="L748" s="21" t="str">
        <f ca="1">IF(tb2_CampaignResponses[[#This Row],[Response_Date]]&gt;TODAY(),"Review - future response date","")</f>
        <v/>
      </c>
    </row>
    <row r="749" spans="1:12" x14ac:dyDescent="0.25">
      <c r="A749" s="3" t="s">
        <v>4589</v>
      </c>
      <c r="B749" s="2" t="s">
        <v>1909</v>
      </c>
      <c r="C749" s="2" t="s">
        <v>3367</v>
      </c>
      <c r="D749" s="2" t="s">
        <v>3368</v>
      </c>
      <c r="E749" s="2" t="s">
        <v>65</v>
      </c>
      <c r="F749" s="15">
        <v>45727</v>
      </c>
      <c r="G749" s="25">
        <v>22.53</v>
      </c>
      <c r="H749" s="2" t="s">
        <v>36</v>
      </c>
      <c r="I749" s="4" t="s">
        <v>3328</v>
      </c>
      <c r="J749" s="2" t="str">
        <f>IF(tb2_CampaignResponses[[#This Row],[Gift_Amount]]&lt;0,"Review - negative amount",IF(tb2_CampaignResponses[[#This Row],[Gift_Amount]]&gt;10000,"Review - unusually large donation",""))</f>
        <v/>
      </c>
      <c r="K749" s="21" t="str">
        <f>IF(tb2_CampaignResponses[[#This Row],[Supporter_ID]]="","Review - no supporter ID","")</f>
        <v/>
      </c>
      <c r="L749" s="21" t="str">
        <f ca="1">IF(tb2_CampaignResponses[[#This Row],[Response_Date]]&gt;TODAY(),"Review - future response date","")</f>
        <v/>
      </c>
    </row>
    <row r="750" spans="1:12" x14ac:dyDescent="0.25">
      <c r="A750" s="3" t="s">
        <v>4591</v>
      </c>
      <c r="B750" s="2" t="s">
        <v>68</v>
      </c>
      <c r="C750" s="2" t="s">
        <v>3362</v>
      </c>
      <c r="D750" s="2" t="s">
        <v>3363</v>
      </c>
      <c r="E750" s="2" t="s">
        <v>65</v>
      </c>
      <c r="F750" s="15">
        <v>45573</v>
      </c>
      <c r="G750" s="25">
        <v>29.7</v>
      </c>
      <c r="H750" s="2" t="s">
        <v>36</v>
      </c>
      <c r="I750" s="4" t="s">
        <v>3365</v>
      </c>
      <c r="J750" s="2" t="str">
        <f>IF(tb2_CampaignResponses[[#This Row],[Gift_Amount]]&lt;0,"Review - negative amount",IF(tb2_CampaignResponses[[#This Row],[Gift_Amount]]&gt;10000,"Review - unusually large donation",""))</f>
        <v/>
      </c>
      <c r="K750" s="21" t="str">
        <f>IF(tb2_CampaignResponses[[#This Row],[Supporter_ID]]="","Review - no supporter ID","")</f>
        <v/>
      </c>
      <c r="L750" s="21" t="str">
        <f ca="1">IF(tb2_CampaignResponses[[#This Row],[Response_Date]]&gt;TODAY(),"Review - future response date","")</f>
        <v/>
      </c>
    </row>
    <row r="751" spans="1:12" x14ac:dyDescent="0.25">
      <c r="A751" s="3" t="s">
        <v>4592</v>
      </c>
      <c r="B751" s="2" t="s">
        <v>447</v>
      </c>
      <c r="C751" s="2" t="s">
        <v>3354</v>
      </c>
      <c r="D751" s="2" t="s">
        <v>3355</v>
      </c>
      <c r="E751" s="2" t="s">
        <v>4</v>
      </c>
      <c r="F751" s="15">
        <v>45618</v>
      </c>
      <c r="G751" s="25">
        <v>308.77999999999997</v>
      </c>
      <c r="H751" s="2" t="s">
        <v>36</v>
      </c>
      <c r="I751" s="4" t="s">
        <v>3385</v>
      </c>
      <c r="J751" s="2" t="str">
        <f>IF(tb2_CampaignResponses[[#This Row],[Gift_Amount]]&lt;0,"Review - negative amount",IF(tb2_CampaignResponses[[#This Row],[Gift_Amount]]&gt;10000,"Review - unusually large donation",""))</f>
        <v/>
      </c>
      <c r="K751" s="21" t="str">
        <f>IF(tb2_CampaignResponses[[#This Row],[Supporter_ID]]="","Review - no supporter ID","")</f>
        <v/>
      </c>
      <c r="L751" s="21" t="str">
        <f ca="1">IF(tb2_CampaignResponses[[#This Row],[Response_Date]]&gt;TODAY(),"Review - future response date","")</f>
        <v/>
      </c>
    </row>
    <row r="752" spans="1:12" x14ac:dyDescent="0.25">
      <c r="A752" s="3" t="s">
        <v>4593</v>
      </c>
      <c r="B752" s="2" t="s">
        <v>2807</v>
      </c>
      <c r="C752" s="2" t="s">
        <v>3320</v>
      </c>
      <c r="D752" s="2" t="s">
        <v>3321</v>
      </c>
      <c r="E752" s="2" t="s">
        <v>65</v>
      </c>
      <c r="F752" s="15">
        <v>45469</v>
      </c>
      <c r="G752" s="25">
        <v>225.97</v>
      </c>
      <c r="H752" s="2" t="s">
        <v>37</v>
      </c>
      <c r="I752" s="4" t="s">
        <v>3334</v>
      </c>
      <c r="J752" s="2" t="str">
        <f>IF(tb2_CampaignResponses[[#This Row],[Gift_Amount]]&lt;0,"Review - negative amount",IF(tb2_CampaignResponses[[#This Row],[Gift_Amount]]&gt;10000,"Review - unusually large donation",""))</f>
        <v/>
      </c>
      <c r="K752" s="21" t="str">
        <f>IF(tb2_CampaignResponses[[#This Row],[Supporter_ID]]="","Review - no supporter ID","")</f>
        <v/>
      </c>
      <c r="L752" s="21" t="str">
        <f ca="1">IF(tb2_CampaignResponses[[#This Row],[Response_Date]]&gt;TODAY(),"Review - future response date","")</f>
        <v/>
      </c>
    </row>
    <row r="753" spans="1:12" x14ac:dyDescent="0.25">
      <c r="A753" s="3" t="s">
        <v>4595</v>
      </c>
      <c r="B753" s="2" t="s">
        <v>2053</v>
      </c>
      <c r="C753" s="2" t="s">
        <v>3354</v>
      </c>
      <c r="D753" s="2" t="s">
        <v>3355</v>
      </c>
      <c r="E753" s="2" t="s">
        <v>65</v>
      </c>
      <c r="F753" s="15">
        <v>45618</v>
      </c>
      <c r="G753" s="25">
        <v>71.63</v>
      </c>
      <c r="H753" s="2" t="s">
        <v>37</v>
      </c>
      <c r="I753" s="4" t="s">
        <v>3365</v>
      </c>
      <c r="J753" s="2" t="str">
        <f>IF(tb2_CampaignResponses[[#This Row],[Gift_Amount]]&lt;0,"Review - negative amount",IF(tb2_CampaignResponses[[#This Row],[Gift_Amount]]&gt;10000,"Review - unusually large donation",""))</f>
        <v/>
      </c>
      <c r="K753" s="21" t="str">
        <f>IF(tb2_CampaignResponses[[#This Row],[Supporter_ID]]="","Review - no supporter ID","")</f>
        <v/>
      </c>
      <c r="L753" s="21" t="str">
        <f ca="1">IF(tb2_CampaignResponses[[#This Row],[Response_Date]]&gt;TODAY(),"Review - future response date","")</f>
        <v/>
      </c>
    </row>
    <row r="754" spans="1:12" x14ac:dyDescent="0.25">
      <c r="A754" s="3" t="s">
        <v>4596</v>
      </c>
      <c r="B754" s="2" t="s">
        <v>1090</v>
      </c>
      <c r="C754" s="2" t="s">
        <v>3354</v>
      </c>
      <c r="D754" s="2" t="s">
        <v>3355</v>
      </c>
      <c r="E754" s="2" t="s">
        <v>65</v>
      </c>
      <c r="F754" s="15">
        <v>45618</v>
      </c>
      <c r="G754" s="25">
        <v>375.84</v>
      </c>
      <c r="H754" s="2" t="s">
        <v>36</v>
      </c>
      <c r="I754" s="4" t="s">
        <v>3370</v>
      </c>
      <c r="J754" s="2" t="str">
        <f>IF(tb2_CampaignResponses[[#This Row],[Gift_Amount]]&lt;0,"Review - negative amount",IF(tb2_CampaignResponses[[#This Row],[Gift_Amount]]&gt;10000,"Review - unusually large donation",""))</f>
        <v/>
      </c>
      <c r="K754" s="21" t="str">
        <f>IF(tb2_CampaignResponses[[#This Row],[Supporter_ID]]="","Review - no supporter ID","")</f>
        <v/>
      </c>
      <c r="L754" s="21" t="str">
        <f ca="1">IF(tb2_CampaignResponses[[#This Row],[Response_Date]]&gt;TODAY(),"Review - future response date","")</f>
        <v/>
      </c>
    </row>
    <row r="755" spans="1:12" x14ac:dyDescent="0.25">
      <c r="A755" s="3" t="s">
        <v>4597</v>
      </c>
      <c r="B755" s="2" t="s">
        <v>3176</v>
      </c>
      <c r="C755" s="2" t="s">
        <v>3367</v>
      </c>
      <c r="D755" s="2" t="s">
        <v>3368</v>
      </c>
      <c r="E755" s="2" t="s">
        <v>4</v>
      </c>
      <c r="F755" s="15">
        <v>45763</v>
      </c>
      <c r="G755" s="25">
        <v>4738.34</v>
      </c>
      <c r="H755" s="2" t="s">
        <v>36</v>
      </c>
      <c r="I755" s="4" t="s">
        <v>3365</v>
      </c>
      <c r="J755" s="2" t="str">
        <f>IF(tb2_CampaignResponses[[#This Row],[Gift_Amount]]&lt;0,"Review - negative amount",IF(tb2_CampaignResponses[[#This Row],[Gift_Amount]]&gt;10000,"Review - unusually large donation",""))</f>
        <v/>
      </c>
      <c r="K755" s="21" t="str">
        <f>IF(tb2_CampaignResponses[[#This Row],[Supporter_ID]]="","Review - no supporter ID","")</f>
        <v/>
      </c>
      <c r="L755" s="21" t="str">
        <f ca="1">IF(tb2_CampaignResponses[[#This Row],[Response_Date]]&gt;TODAY(),"Review - future response date","")</f>
        <v/>
      </c>
    </row>
    <row r="756" spans="1:12" x14ac:dyDescent="0.25">
      <c r="A756" s="3" t="s">
        <v>4599</v>
      </c>
      <c r="B756" s="2" t="s">
        <v>2592</v>
      </c>
      <c r="C756" s="2" t="s">
        <v>3336</v>
      </c>
      <c r="D756" s="2" t="s">
        <v>3337</v>
      </c>
      <c r="E756" s="2" t="s">
        <v>3316</v>
      </c>
      <c r="F756" s="15">
        <v>45579</v>
      </c>
      <c r="G756" s="25">
        <v>14.96</v>
      </c>
      <c r="H756" s="2" t="s">
        <v>36</v>
      </c>
      <c r="I756" s="4" t="s">
        <v>3323</v>
      </c>
      <c r="J756" s="2" t="str">
        <f>IF(tb2_CampaignResponses[[#This Row],[Gift_Amount]]&lt;0,"Review - negative amount",IF(tb2_CampaignResponses[[#This Row],[Gift_Amount]]&gt;10000,"Review - unusually large donation",""))</f>
        <v/>
      </c>
      <c r="K756" s="21" t="str">
        <f>IF(tb2_CampaignResponses[[#This Row],[Supporter_ID]]="","Review - no supporter ID","")</f>
        <v/>
      </c>
      <c r="L756" s="21" t="str">
        <f ca="1">IF(tb2_CampaignResponses[[#This Row],[Response_Date]]&gt;TODAY(),"Review - future response date","")</f>
        <v/>
      </c>
    </row>
    <row r="757" spans="1:12" x14ac:dyDescent="0.25">
      <c r="A757" s="3" t="s">
        <v>4601</v>
      </c>
      <c r="B757" s="2" t="s">
        <v>2445</v>
      </c>
      <c r="C757" s="2" t="s">
        <v>3320</v>
      </c>
      <c r="D757" s="2" t="s">
        <v>3321</v>
      </c>
      <c r="E757" s="2" t="s">
        <v>65</v>
      </c>
      <c r="F757" s="15">
        <v>45446</v>
      </c>
      <c r="G757" s="25">
        <v>3293.01</v>
      </c>
      <c r="H757" s="2" t="s">
        <v>37</v>
      </c>
      <c r="I757" s="4" t="s">
        <v>3370</v>
      </c>
      <c r="J757" s="2" t="str">
        <f>IF(tb2_CampaignResponses[[#This Row],[Gift_Amount]]&lt;0,"Review - negative amount",IF(tb2_CampaignResponses[[#This Row],[Gift_Amount]]&gt;10000,"Review - unusually large donation",""))</f>
        <v/>
      </c>
      <c r="K757" s="21" t="str">
        <f>IF(tb2_CampaignResponses[[#This Row],[Supporter_ID]]="","Review - no supporter ID","")</f>
        <v/>
      </c>
      <c r="L757" s="21" t="str">
        <f ca="1">IF(tb2_CampaignResponses[[#This Row],[Response_Date]]&gt;TODAY(),"Review - future response date","")</f>
        <v/>
      </c>
    </row>
    <row r="758" spans="1:12" x14ac:dyDescent="0.25">
      <c r="A758" s="3" t="s">
        <v>4603</v>
      </c>
      <c r="B758" s="2" t="s">
        <v>559</v>
      </c>
      <c r="C758" s="2" t="s">
        <v>3367</v>
      </c>
      <c r="D758" s="2" t="s">
        <v>3368</v>
      </c>
      <c r="E758" s="2" t="s">
        <v>65</v>
      </c>
      <c r="F758" s="15">
        <v>45738</v>
      </c>
      <c r="G758" s="25">
        <v>7.46</v>
      </c>
      <c r="H758" s="2" t="s">
        <v>36</v>
      </c>
      <c r="I758" s="4" t="s">
        <v>3334</v>
      </c>
      <c r="J758" s="2" t="str">
        <f>IF(tb2_CampaignResponses[[#This Row],[Gift_Amount]]&lt;0,"Review - negative amount",IF(tb2_CampaignResponses[[#This Row],[Gift_Amount]]&gt;10000,"Review - unusually large donation",""))</f>
        <v/>
      </c>
      <c r="K758" s="21" t="str">
        <f>IF(tb2_CampaignResponses[[#This Row],[Supporter_ID]]="","Review - no supporter ID","")</f>
        <v/>
      </c>
      <c r="L758" s="21" t="str">
        <f ca="1">IF(tb2_CampaignResponses[[#This Row],[Response_Date]]&gt;TODAY(),"Review - future response date","")</f>
        <v/>
      </c>
    </row>
    <row r="759" spans="1:12" x14ac:dyDescent="0.25">
      <c r="A759" s="3" t="s">
        <v>4605</v>
      </c>
      <c r="B759" s="2" t="s">
        <v>3141</v>
      </c>
      <c r="C759" s="2" t="s">
        <v>3341</v>
      </c>
      <c r="D759" s="2" t="s">
        <v>3342</v>
      </c>
      <c r="E759" s="2" t="s">
        <v>91</v>
      </c>
      <c r="F759" s="15">
        <v>45759</v>
      </c>
      <c r="G759" s="25">
        <v>210.88</v>
      </c>
      <c r="H759" s="2" t="s">
        <v>36</v>
      </c>
      <c r="I759" s="4" t="s">
        <v>3385</v>
      </c>
      <c r="J759" s="2" t="str">
        <f>IF(tb2_CampaignResponses[[#This Row],[Gift_Amount]]&lt;0,"Review - negative amount",IF(tb2_CampaignResponses[[#This Row],[Gift_Amount]]&gt;10000,"Review - unusually large donation",""))</f>
        <v/>
      </c>
      <c r="K759" s="21" t="str">
        <f>IF(tb2_CampaignResponses[[#This Row],[Supporter_ID]]="","Review - no supporter ID","")</f>
        <v/>
      </c>
      <c r="L759" s="21" t="str">
        <f ca="1">IF(tb2_CampaignResponses[[#This Row],[Response_Date]]&gt;TODAY(),"Review - future response date","")</f>
        <v/>
      </c>
    </row>
    <row r="760" spans="1:12" x14ac:dyDescent="0.25">
      <c r="A760" s="3" t="s">
        <v>4607</v>
      </c>
      <c r="B760" s="2" t="s">
        <v>2112</v>
      </c>
      <c r="C760" s="2" t="s">
        <v>3367</v>
      </c>
      <c r="D760" s="2" t="s">
        <v>3368</v>
      </c>
      <c r="E760" s="2" t="s">
        <v>65</v>
      </c>
      <c r="F760" s="15">
        <v>45768</v>
      </c>
      <c r="G760" s="25">
        <v>78.010000000000005</v>
      </c>
      <c r="H760" s="2" t="s">
        <v>36</v>
      </c>
      <c r="I760" s="4" t="s">
        <v>3365</v>
      </c>
      <c r="J760" s="2" t="str">
        <f>IF(tb2_CampaignResponses[[#This Row],[Gift_Amount]]&lt;0,"Review - negative amount",IF(tb2_CampaignResponses[[#This Row],[Gift_Amount]]&gt;10000,"Review - unusually large donation",""))</f>
        <v/>
      </c>
      <c r="K760" s="21" t="str">
        <f>IF(tb2_CampaignResponses[[#This Row],[Supporter_ID]]="","Review - no supporter ID","")</f>
        <v/>
      </c>
      <c r="L760" s="21" t="str">
        <f ca="1">IF(tb2_CampaignResponses[[#This Row],[Response_Date]]&gt;TODAY(),"Review - future response date","")</f>
        <v/>
      </c>
    </row>
    <row r="761" spans="1:12" x14ac:dyDescent="0.25">
      <c r="A761" s="3" t="s">
        <v>4609</v>
      </c>
      <c r="B761" s="2" t="s">
        <v>2609</v>
      </c>
      <c r="C761" s="2" t="s">
        <v>3341</v>
      </c>
      <c r="D761" s="2" t="s">
        <v>3342</v>
      </c>
      <c r="E761" s="2" t="s">
        <v>4</v>
      </c>
      <c r="F761" s="15">
        <v>45730</v>
      </c>
      <c r="G761" s="25">
        <v>21.08</v>
      </c>
      <c r="H761" s="2" t="s">
        <v>36</v>
      </c>
      <c r="I761" s="4" t="s">
        <v>3385</v>
      </c>
      <c r="J761" s="2" t="str">
        <f>IF(tb2_CampaignResponses[[#This Row],[Gift_Amount]]&lt;0,"Review - negative amount",IF(tb2_CampaignResponses[[#This Row],[Gift_Amount]]&gt;10000,"Review - unusually large donation",""))</f>
        <v/>
      </c>
      <c r="K761" s="21" t="str">
        <f>IF(tb2_CampaignResponses[[#This Row],[Supporter_ID]]="","Review - no supporter ID","")</f>
        <v/>
      </c>
      <c r="L761" s="21" t="str">
        <f ca="1">IF(tb2_CampaignResponses[[#This Row],[Response_Date]]&gt;TODAY(),"Review - future response date","")</f>
        <v/>
      </c>
    </row>
    <row r="762" spans="1:12" x14ac:dyDescent="0.25">
      <c r="A762" s="3" t="s">
        <v>4610</v>
      </c>
      <c r="B762" s="2" t="s">
        <v>3071</v>
      </c>
      <c r="C762" s="2" t="s">
        <v>3341</v>
      </c>
      <c r="D762" s="2" t="s">
        <v>3342</v>
      </c>
      <c r="E762" s="2" t="s">
        <v>91</v>
      </c>
      <c r="F762" s="15">
        <v>45729</v>
      </c>
      <c r="G762" s="25">
        <v>4754.83</v>
      </c>
      <c r="H762" s="2" t="s">
        <v>36</v>
      </c>
      <c r="I762" s="4" t="s">
        <v>3334</v>
      </c>
      <c r="J762" s="2" t="str">
        <f>IF(tb2_CampaignResponses[[#This Row],[Gift_Amount]]&lt;0,"Review - negative amount",IF(tb2_CampaignResponses[[#This Row],[Gift_Amount]]&gt;10000,"Review - unusually large donation",""))</f>
        <v/>
      </c>
      <c r="K762" s="21" t="str">
        <f>IF(tb2_CampaignResponses[[#This Row],[Supporter_ID]]="","Review - no supporter ID","")</f>
        <v/>
      </c>
      <c r="L762" s="21" t="str">
        <f ca="1">IF(tb2_CampaignResponses[[#This Row],[Response_Date]]&gt;TODAY(),"Review - future response date","")</f>
        <v/>
      </c>
    </row>
    <row r="763" spans="1:12" x14ac:dyDescent="0.25">
      <c r="A763" s="3" t="s">
        <v>4611</v>
      </c>
      <c r="B763" s="2" t="s">
        <v>3297</v>
      </c>
      <c r="C763" s="2" t="s">
        <v>3403</v>
      </c>
      <c r="D763" s="2" t="s">
        <v>3404</v>
      </c>
      <c r="E763" s="2" t="s">
        <v>65</v>
      </c>
      <c r="F763" s="15">
        <v>45615</v>
      </c>
      <c r="G763" s="25">
        <v>119.49</v>
      </c>
      <c r="H763" s="2" t="s">
        <v>36</v>
      </c>
      <c r="I763" s="4" t="s">
        <v>3331</v>
      </c>
      <c r="J763" s="2" t="str">
        <f>IF(tb2_CampaignResponses[[#This Row],[Gift_Amount]]&lt;0,"Review - negative amount",IF(tb2_CampaignResponses[[#This Row],[Gift_Amount]]&gt;10000,"Review - unusually large donation",""))</f>
        <v/>
      </c>
      <c r="K763" s="21" t="str">
        <f>IF(tb2_CampaignResponses[[#This Row],[Supporter_ID]]="","Review - no supporter ID","")</f>
        <v/>
      </c>
      <c r="L763" s="21" t="str">
        <f ca="1">IF(tb2_CampaignResponses[[#This Row],[Response_Date]]&gt;TODAY(),"Review - future response date","")</f>
        <v/>
      </c>
    </row>
    <row r="764" spans="1:12" x14ac:dyDescent="0.25">
      <c r="A764" s="3" t="s">
        <v>4613</v>
      </c>
      <c r="B764" s="2" t="s">
        <v>1921</v>
      </c>
      <c r="C764" s="2" t="s">
        <v>3341</v>
      </c>
      <c r="D764" s="2" t="s">
        <v>3342</v>
      </c>
      <c r="E764" s="2" t="s">
        <v>91</v>
      </c>
      <c r="F764" s="15">
        <v>45730</v>
      </c>
      <c r="G764" s="25">
        <v>250.7</v>
      </c>
      <c r="H764" s="2" t="s">
        <v>36</v>
      </c>
      <c r="I764" s="4" t="s">
        <v>3318</v>
      </c>
      <c r="J764" s="2" t="str">
        <f>IF(tb2_CampaignResponses[[#This Row],[Gift_Amount]]&lt;0,"Review - negative amount",IF(tb2_CampaignResponses[[#This Row],[Gift_Amount]]&gt;10000,"Review - unusually large donation",""))</f>
        <v/>
      </c>
      <c r="K764" s="21" t="str">
        <f>IF(tb2_CampaignResponses[[#This Row],[Supporter_ID]]="","Review - no supporter ID","")</f>
        <v/>
      </c>
      <c r="L764" s="21" t="str">
        <f ca="1">IF(tb2_CampaignResponses[[#This Row],[Response_Date]]&gt;TODAY(),"Review - future response date","")</f>
        <v/>
      </c>
    </row>
    <row r="765" spans="1:12" x14ac:dyDescent="0.25">
      <c r="A765" s="3" t="s">
        <v>4615</v>
      </c>
      <c r="B765" s="2" t="s">
        <v>1375</v>
      </c>
      <c r="C765" s="2" t="s">
        <v>3427</v>
      </c>
      <c r="D765" s="2" t="s">
        <v>3428</v>
      </c>
      <c r="E765" s="2" t="s">
        <v>4</v>
      </c>
      <c r="F765" s="15">
        <v>45488</v>
      </c>
      <c r="G765" s="25">
        <v>135.99</v>
      </c>
      <c r="H765" s="2" t="s">
        <v>36</v>
      </c>
      <c r="I765" s="4" t="s">
        <v>3328</v>
      </c>
      <c r="J765" s="2" t="str">
        <f>IF(tb2_CampaignResponses[[#This Row],[Gift_Amount]]&lt;0,"Review - negative amount",IF(tb2_CampaignResponses[[#This Row],[Gift_Amount]]&gt;10000,"Review - unusually large donation",""))</f>
        <v/>
      </c>
      <c r="K765" s="21" t="str">
        <f>IF(tb2_CampaignResponses[[#This Row],[Supporter_ID]]="","Review - no supporter ID","")</f>
        <v/>
      </c>
      <c r="L765" s="21" t="str">
        <f ca="1">IF(tb2_CampaignResponses[[#This Row],[Response_Date]]&gt;TODAY(),"Review - future response date","")</f>
        <v/>
      </c>
    </row>
    <row r="766" spans="1:12" x14ac:dyDescent="0.25">
      <c r="A766" s="3" t="s">
        <v>4616</v>
      </c>
      <c r="B766" s="2" t="s">
        <v>914</v>
      </c>
      <c r="C766" s="2" t="s">
        <v>3427</v>
      </c>
      <c r="D766" s="2" t="s">
        <v>3428</v>
      </c>
      <c r="E766" s="2" t="s">
        <v>4</v>
      </c>
      <c r="F766" s="15">
        <v>45488</v>
      </c>
      <c r="G766" s="25">
        <v>3685.01</v>
      </c>
      <c r="H766" s="2" t="s">
        <v>36</v>
      </c>
      <c r="I766" s="4" t="s">
        <v>3370</v>
      </c>
      <c r="J766" s="2" t="str">
        <f>IF(tb2_CampaignResponses[[#This Row],[Gift_Amount]]&lt;0,"Review - negative amount",IF(tb2_CampaignResponses[[#This Row],[Gift_Amount]]&gt;10000,"Review - unusually large donation",""))</f>
        <v/>
      </c>
      <c r="K766" s="21" t="str">
        <f>IF(tb2_CampaignResponses[[#This Row],[Supporter_ID]]="","Review - no supporter ID","")</f>
        <v/>
      </c>
      <c r="L766" s="21" t="str">
        <f ca="1">IF(tb2_CampaignResponses[[#This Row],[Response_Date]]&gt;TODAY(),"Review - future response date","")</f>
        <v/>
      </c>
    </row>
    <row r="767" spans="1:12" x14ac:dyDescent="0.25">
      <c r="A767" s="3" t="s">
        <v>4617</v>
      </c>
      <c r="B767" s="2" t="s">
        <v>1591</v>
      </c>
      <c r="C767" s="2" t="s">
        <v>3403</v>
      </c>
      <c r="D767" s="2" t="s">
        <v>3404</v>
      </c>
      <c r="E767" s="2" t="s">
        <v>4</v>
      </c>
      <c r="F767" s="15">
        <v>45594</v>
      </c>
      <c r="G767" s="25">
        <v>91.98</v>
      </c>
      <c r="H767" s="2" t="s">
        <v>36</v>
      </c>
      <c r="I767" s="4" t="s">
        <v>3370</v>
      </c>
      <c r="J767" s="2" t="str">
        <f>IF(tb2_CampaignResponses[[#This Row],[Gift_Amount]]&lt;0,"Review - negative amount",IF(tb2_CampaignResponses[[#This Row],[Gift_Amount]]&gt;10000,"Review - unusually large donation",""))</f>
        <v/>
      </c>
      <c r="K767" s="21" t="str">
        <f>IF(tb2_CampaignResponses[[#This Row],[Supporter_ID]]="","Review - no supporter ID","")</f>
        <v/>
      </c>
      <c r="L767" s="21" t="str">
        <f ca="1">IF(tb2_CampaignResponses[[#This Row],[Response_Date]]&gt;TODAY(),"Review - future response date","")</f>
        <v/>
      </c>
    </row>
    <row r="768" spans="1:12" x14ac:dyDescent="0.25">
      <c r="A768" s="3" t="s">
        <v>4618</v>
      </c>
      <c r="B768" s="2" t="s">
        <v>1386</v>
      </c>
      <c r="C768" s="2" t="s">
        <v>3341</v>
      </c>
      <c r="D768" s="2" t="s">
        <v>3342</v>
      </c>
      <c r="E768" s="2" t="s">
        <v>91</v>
      </c>
      <c r="F768" s="15">
        <v>45741</v>
      </c>
      <c r="G768" s="25">
        <v>180.31</v>
      </c>
      <c r="H768" s="2" t="s">
        <v>37</v>
      </c>
      <c r="I768" s="4" t="s">
        <v>3328</v>
      </c>
      <c r="J768" s="2" t="str">
        <f>IF(tb2_CampaignResponses[[#This Row],[Gift_Amount]]&lt;0,"Review - negative amount",IF(tb2_CampaignResponses[[#This Row],[Gift_Amount]]&gt;10000,"Review - unusually large donation",""))</f>
        <v/>
      </c>
      <c r="K768" s="21" t="str">
        <f>IF(tb2_CampaignResponses[[#This Row],[Supporter_ID]]="","Review - no supporter ID","")</f>
        <v/>
      </c>
      <c r="L768" s="21" t="str">
        <f ca="1">IF(tb2_CampaignResponses[[#This Row],[Response_Date]]&gt;TODAY(),"Review - future response date","")</f>
        <v/>
      </c>
    </row>
    <row r="769" spans="1:12" x14ac:dyDescent="0.25">
      <c r="A769" s="3" t="s">
        <v>4619</v>
      </c>
      <c r="B769" s="2" t="s">
        <v>3223</v>
      </c>
      <c r="C769" s="2" t="s">
        <v>3314</v>
      </c>
      <c r="D769" s="2" t="s">
        <v>3315</v>
      </c>
      <c r="E769" s="2" t="s">
        <v>65</v>
      </c>
      <c r="F769" s="15">
        <v>45680</v>
      </c>
      <c r="G769" s="25">
        <v>32.159999999999997</v>
      </c>
      <c r="H769" s="2" t="s">
        <v>36</v>
      </c>
      <c r="I769" s="4" t="s">
        <v>3334</v>
      </c>
      <c r="J769" s="2" t="str">
        <f>IF(tb2_CampaignResponses[[#This Row],[Gift_Amount]]&lt;0,"Review - negative amount",IF(tb2_CampaignResponses[[#This Row],[Gift_Amount]]&gt;10000,"Review - unusually large donation",""))</f>
        <v/>
      </c>
      <c r="K769" s="21" t="str">
        <f>IF(tb2_CampaignResponses[[#This Row],[Supporter_ID]]="","Review - no supporter ID","")</f>
        <v/>
      </c>
      <c r="L769" s="21" t="str">
        <f ca="1">IF(tb2_CampaignResponses[[#This Row],[Response_Date]]&gt;TODAY(),"Review - future response date","")</f>
        <v/>
      </c>
    </row>
    <row r="770" spans="1:12" x14ac:dyDescent="0.25">
      <c r="A770" s="3" t="s">
        <v>4621</v>
      </c>
      <c r="B770" s="2" t="s">
        <v>1784</v>
      </c>
      <c r="C770" s="2" t="s">
        <v>3336</v>
      </c>
      <c r="D770" s="2" t="s">
        <v>3337</v>
      </c>
      <c r="E770" s="2" t="s">
        <v>3338</v>
      </c>
      <c r="F770" s="15">
        <v>45567</v>
      </c>
      <c r="G770" s="25">
        <v>33.64</v>
      </c>
      <c r="H770" s="2" t="s">
        <v>36</v>
      </c>
      <c r="I770" s="4" t="s">
        <v>3365</v>
      </c>
      <c r="J770" s="2" t="str">
        <f>IF(tb2_CampaignResponses[[#This Row],[Gift_Amount]]&lt;0,"Review - negative amount",IF(tb2_CampaignResponses[[#This Row],[Gift_Amount]]&gt;10000,"Review - unusually large donation",""))</f>
        <v/>
      </c>
      <c r="K770" s="21" t="str">
        <f>IF(tb2_CampaignResponses[[#This Row],[Supporter_ID]]="","Review - no supporter ID","")</f>
        <v/>
      </c>
      <c r="L770" s="21" t="str">
        <f ca="1">IF(tb2_CampaignResponses[[#This Row],[Response_Date]]&gt;TODAY(),"Review - future response date","")</f>
        <v/>
      </c>
    </row>
    <row r="771" spans="1:12" x14ac:dyDescent="0.25">
      <c r="A771" s="3" t="s">
        <v>4623</v>
      </c>
      <c r="B771" s="2" t="s">
        <v>1250</v>
      </c>
      <c r="C771" s="2" t="s">
        <v>3367</v>
      </c>
      <c r="D771" s="2" t="s">
        <v>3368</v>
      </c>
      <c r="E771" s="2" t="s">
        <v>4</v>
      </c>
      <c r="F771" s="15">
        <v>45718</v>
      </c>
      <c r="G771" s="25">
        <v>2440.1999999999998</v>
      </c>
      <c r="H771" s="2" t="s">
        <v>36</v>
      </c>
      <c r="I771" s="4" t="s">
        <v>3365</v>
      </c>
      <c r="J771" s="2" t="str">
        <f>IF(tb2_CampaignResponses[[#This Row],[Gift_Amount]]&lt;0,"Review - negative amount",IF(tb2_CampaignResponses[[#This Row],[Gift_Amount]]&gt;10000,"Review - unusually large donation",""))</f>
        <v/>
      </c>
      <c r="K771" s="21" t="str">
        <f>IF(tb2_CampaignResponses[[#This Row],[Supporter_ID]]="","Review - no supporter ID","")</f>
        <v/>
      </c>
      <c r="L771" s="21" t="str">
        <f ca="1">IF(tb2_CampaignResponses[[#This Row],[Response_Date]]&gt;TODAY(),"Review - future response date","")</f>
        <v/>
      </c>
    </row>
    <row r="772" spans="1:12" x14ac:dyDescent="0.25">
      <c r="A772" s="3" t="s">
        <v>4624</v>
      </c>
      <c r="B772" s="2" t="s">
        <v>256</v>
      </c>
      <c r="C772" s="2" t="s">
        <v>3336</v>
      </c>
      <c r="D772" s="2" t="s">
        <v>3337</v>
      </c>
      <c r="E772" s="2" t="s">
        <v>3338</v>
      </c>
      <c r="F772" s="15">
        <v>45549</v>
      </c>
      <c r="G772" s="25">
        <v>4323.72</v>
      </c>
      <c r="H772" s="2" t="s">
        <v>36</v>
      </c>
      <c r="I772" s="4" t="s">
        <v>3328</v>
      </c>
      <c r="J772" s="2" t="str">
        <f>IF(tb2_CampaignResponses[[#This Row],[Gift_Amount]]&lt;0,"Review - negative amount",IF(tb2_CampaignResponses[[#This Row],[Gift_Amount]]&gt;10000,"Review - unusually large donation",""))</f>
        <v/>
      </c>
      <c r="K772" s="21" t="str">
        <f>IF(tb2_CampaignResponses[[#This Row],[Supporter_ID]]="","Review - no supporter ID","")</f>
        <v/>
      </c>
      <c r="L772" s="21" t="str">
        <f ca="1">IF(tb2_CampaignResponses[[#This Row],[Response_Date]]&gt;TODAY(),"Review - future response date","")</f>
        <v/>
      </c>
    </row>
    <row r="773" spans="1:12" x14ac:dyDescent="0.25">
      <c r="A773" s="3" t="s">
        <v>4626</v>
      </c>
      <c r="B773" s="2" t="s">
        <v>1303</v>
      </c>
      <c r="C773" s="2" t="s">
        <v>3336</v>
      </c>
      <c r="D773" s="2" t="s">
        <v>3337</v>
      </c>
      <c r="E773" s="2" t="s">
        <v>3316</v>
      </c>
      <c r="F773" s="15">
        <v>45552</v>
      </c>
      <c r="G773" s="25">
        <v>27.05</v>
      </c>
      <c r="H773" s="2" t="s">
        <v>36</v>
      </c>
      <c r="I773" s="4" t="s">
        <v>3328</v>
      </c>
      <c r="J773" s="2" t="str">
        <f>IF(tb2_CampaignResponses[[#This Row],[Gift_Amount]]&lt;0,"Review - negative amount",IF(tb2_CampaignResponses[[#This Row],[Gift_Amount]]&gt;10000,"Review - unusually large donation",""))</f>
        <v/>
      </c>
      <c r="K773" s="21" t="str">
        <f>IF(tb2_CampaignResponses[[#This Row],[Supporter_ID]]="","Review - no supporter ID","")</f>
        <v/>
      </c>
      <c r="L773" s="21" t="str">
        <f ca="1">IF(tb2_CampaignResponses[[#This Row],[Response_Date]]&gt;TODAY(),"Review - future response date","")</f>
        <v/>
      </c>
    </row>
    <row r="774" spans="1:12" x14ac:dyDescent="0.25">
      <c r="A774" s="3" t="s">
        <v>4628</v>
      </c>
      <c r="B774" s="2" t="s">
        <v>1141</v>
      </c>
      <c r="C774" s="2" t="s">
        <v>3367</v>
      </c>
      <c r="D774" s="2" t="s">
        <v>3368</v>
      </c>
      <c r="E774" s="2" t="s">
        <v>65</v>
      </c>
      <c r="F774" s="15">
        <v>45731</v>
      </c>
      <c r="G774" s="25">
        <v>5.89</v>
      </c>
      <c r="H774" s="2" t="s">
        <v>37</v>
      </c>
      <c r="I774" s="4" t="s">
        <v>3370</v>
      </c>
      <c r="J774" s="2" t="str">
        <f>IF(tb2_CampaignResponses[[#This Row],[Gift_Amount]]&lt;0,"Review - negative amount",IF(tb2_CampaignResponses[[#This Row],[Gift_Amount]]&gt;10000,"Review - unusually large donation",""))</f>
        <v/>
      </c>
      <c r="K774" s="21" t="str">
        <f>IF(tb2_CampaignResponses[[#This Row],[Supporter_ID]]="","Review - no supporter ID","")</f>
        <v/>
      </c>
      <c r="L774" s="21" t="str">
        <f ca="1">IF(tb2_CampaignResponses[[#This Row],[Response_Date]]&gt;TODAY(),"Review - future response date","")</f>
        <v/>
      </c>
    </row>
    <row r="775" spans="1:12" x14ac:dyDescent="0.25">
      <c r="A775" s="3" t="s">
        <v>4630</v>
      </c>
      <c r="B775" s="2" t="s">
        <v>2632</v>
      </c>
      <c r="C775" s="2" t="s">
        <v>3320</v>
      </c>
      <c r="D775" s="2" t="s">
        <v>3321</v>
      </c>
      <c r="E775" s="2" t="s">
        <v>65</v>
      </c>
      <c r="F775" s="15">
        <v>45459</v>
      </c>
      <c r="G775" s="25">
        <v>21.98</v>
      </c>
      <c r="H775" s="2" t="s">
        <v>36</v>
      </c>
      <c r="I775" s="4" t="s">
        <v>3370</v>
      </c>
      <c r="J775" s="2" t="str">
        <f>IF(tb2_CampaignResponses[[#This Row],[Gift_Amount]]&lt;0,"Review - negative amount",IF(tb2_CampaignResponses[[#This Row],[Gift_Amount]]&gt;10000,"Review - unusually large donation",""))</f>
        <v/>
      </c>
      <c r="K775" s="21" t="str">
        <f>IF(tb2_CampaignResponses[[#This Row],[Supporter_ID]]="","Review - no supporter ID","")</f>
        <v/>
      </c>
      <c r="L775" s="21" t="str">
        <f ca="1">IF(tb2_CampaignResponses[[#This Row],[Response_Date]]&gt;TODAY(),"Review - future response date","")</f>
        <v/>
      </c>
    </row>
    <row r="776" spans="1:12" x14ac:dyDescent="0.25">
      <c r="A776" s="3" t="s">
        <v>4631</v>
      </c>
      <c r="B776" s="2" t="s">
        <v>2463</v>
      </c>
      <c r="C776" s="2" t="s">
        <v>3427</v>
      </c>
      <c r="D776" s="2" t="s">
        <v>3428</v>
      </c>
      <c r="E776" s="2" t="s">
        <v>65</v>
      </c>
      <c r="F776" s="15">
        <v>45488</v>
      </c>
      <c r="G776" s="25">
        <v>86.28</v>
      </c>
      <c r="H776" s="2" t="s">
        <v>37</v>
      </c>
      <c r="I776" s="4" t="s">
        <v>3365</v>
      </c>
      <c r="J776" s="2" t="str">
        <f>IF(tb2_CampaignResponses[[#This Row],[Gift_Amount]]&lt;0,"Review - negative amount",IF(tb2_CampaignResponses[[#This Row],[Gift_Amount]]&gt;10000,"Review - unusually large donation",""))</f>
        <v/>
      </c>
      <c r="K776" s="21" t="str">
        <f>IF(tb2_CampaignResponses[[#This Row],[Supporter_ID]]="","Review - no supporter ID","")</f>
        <v/>
      </c>
      <c r="L776" s="21" t="str">
        <f ca="1">IF(tb2_CampaignResponses[[#This Row],[Response_Date]]&gt;TODAY(),"Review - future response date","")</f>
        <v/>
      </c>
    </row>
    <row r="777" spans="1:12" x14ac:dyDescent="0.25">
      <c r="A777" s="3" t="s">
        <v>4632</v>
      </c>
      <c r="B777" s="2" t="s">
        <v>2870</v>
      </c>
      <c r="C777" s="2" t="s">
        <v>3336</v>
      </c>
      <c r="D777" s="2" t="s">
        <v>3337</v>
      </c>
      <c r="E777" s="2" t="s">
        <v>65</v>
      </c>
      <c r="F777" s="15">
        <v>45555</v>
      </c>
      <c r="G777" s="25">
        <v>62.6</v>
      </c>
      <c r="H777" s="2" t="s">
        <v>36</v>
      </c>
      <c r="I777" s="4" t="s">
        <v>3334</v>
      </c>
      <c r="J777" s="2" t="str">
        <f>IF(tb2_CampaignResponses[[#This Row],[Gift_Amount]]&lt;0,"Review - negative amount",IF(tb2_CampaignResponses[[#This Row],[Gift_Amount]]&gt;10000,"Review - unusually large donation",""))</f>
        <v/>
      </c>
      <c r="K777" s="21" t="str">
        <f>IF(tb2_CampaignResponses[[#This Row],[Supporter_ID]]="","Review - no supporter ID","")</f>
        <v/>
      </c>
      <c r="L777" s="21" t="str">
        <f ca="1">IF(tb2_CampaignResponses[[#This Row],[Response_Date]]&gt;TODAY(),"Review - future response date","")</f>
        <v/>
      </c>
    </row>
    <row r="778" spans="1:12" x14ac:dyDescent="0.25">
      <c r="A778" s="3" t="s">
        <v>4634</v>
      </c>
      <c r="B778" s="2" t="s">
        <v>2094</v>
      </c>
      <c r="C778" s="2" t="s">
        <v>3336</v>
      </c>
      <c r="D778" s="2" t="s">
        <v>3337</v>
      </c>
      <c r="E778" s="2" t="s">
        <v>3316</v>
      </c>
      <c r="F778" s="15">
        <v>45422</v>
      </c>
      <c r="G778" s="25">
        <v>5.77</v>
      </c>
      <c r="H778" s="2" t="s">
        <v>37</v>
      </c>
      <c r="I778" s="4" t="s">
        <v>3370</v>
      </c>
      <c r="J778" s="2" t="str">
        <f>IF(tb2_CampaignResponses[[#This Row],[Gift_Amount]]&lt;0,"Review - negative amount",IF(tb2_CampaignResponses[[#This Row],[Gift_Amount]]&gt;10000,"Review - unusually large donation",""))</f>
        <v/>
      </c>
      <c r="K778" s="21" t="str">
        <f>IF(tb2_CampaignResponses[[#This Row],[Supporter_ID]]="","Review - no supporter ID","")</f>
        <v/>
      </c>
      <c r="L778" s="21" t="str">
        <f ca="1">IF(tb2_CampaignResponses[[#This Row],[Response_Date]]&gt;TODAY(),"Review - future response date","")</f>
        <v/>
      </c>
    </row>
    <row r="779" spans="1:12" x14ac:dyDescent="0.25">
      <c r="A779" s="3" t="s">
        <v>4636</v>
      </c>
      <c r="B779" s="2" t="s">
        <v>2163</v>
      </c>
      <c r="C779" s="2" t="s">
        <v>3427</v>
      </c>
      <c r="D779" s="2" t="s">
        <v>3428</v>
      </c>
      <c r="E779" s="2" t="s">
        <v>65</v>
      </c>
      <c r="F779" s="15">
        <v>45488</v>
      </c>
      <c r="G779" s="25">
        <v>58.96</v>
      </c>
      <c r="H779" s="2" t="s">
        <v>36</v>
      </c>
      <c r="I779" s="4" t="s">
        <v>3318</v>
      </c>
      <c r="J779" s="2" t="str">
        <f>IF(tb2_CampaignResponses[[#This Row],[Gift_Amount]]&lt;0,"Review - negative amount",IF(tb2_CampaignResponses[[#This Row],[Gift_Amount]]&gt;10000,"Review - unusually large donation",""))</f>
        <v/>
      </c>
      <c r="K779" s="21" t="str">
        <f>IF(tb2_CampaignResponses[[#This Row],[Supporter_ID]]="","Review - no supporter ID","")</f>
        <v/>
      </c>
      <c r="L779" s="21" t="str">
        <f ca="1">IF(tb2_CampaignResponses[[#This Row],[Response_Date]]&gt;TODAY(),"Review - future response date","")</f>
        <v/>
      </c>
    </row>
    <row r="780" spans="1:12" x14ac:dyDescent="0.25">
      <c r="A780" s="3" t="s">
        <v>4637</v>
      </c>
      <c r="B780" s="2" t="s">
        <v>1261</v>
      </c>
      <c r="C780" s="2" t="s">
        <v>3320</v>
      </c>
      <c r="D780" s="2" t="s">
        <v>3321</v>
      </c>
      <c r="E780" s="2" t="s">
        <v>65</v>
      </c>
      <c r="F780" s="15">
        <v>45463</v>
      </c>
      <c r="G780" s="25">
        <v>48.04</v>
      </c>
      <c r="H780" s="2" t="s">
        <v>37</v>
      </c>
      <c r="I780" s="4" t="s">
        <v>3370</v>
      </c>
      <c r="J780" s="2" t="str">
        <f>IF(tb2_CampaignResponses[[#This Row],[Gift_Amount]]&lt;0,"Review - negative amount",IF(tb2_CampaignResponses[[#This Row],[Gift_Amount]]&gt;10000,"Review - unusually large donation",""))</f>
        <v/>
      </c>
      <c r="K780" s="21" t="str">
        <f>IF(tb2_CampaignResponses[[#This Row],[Supporter_ID]]="","Review - no supporter ID","")</f>
        <v/>
      </c>
      <c r="L780" s="21" t="str">
        <f ca="1">IF(tb2_CampaignResponses[[#This Row],[Response_Date]]&gt;TODAY(),"Review - future response date","")</f>
        <v/>
      </c>
    </row>
    <row r="781" spans="1:12" x14ac:dyDescent="0.25">
      <c r="A781" s="3" t="s">
        <v>4639</v>
      </c>
      <c r="B781" s="2" t="s">
        <v>876</v>
      </c>
      <c r="C781" s="2" t="s">
        <v>3341</v>
      </c>
      <c r="D781" s="2" t="s">
        <v>3342</v>
      </c>
      <c r="E781" s="2" t="s">
        <v>4</v>
      </c>
      <c r="F781" s="15">
        <v>45774</v>
      </c>
      <c r="G781" s="25">
        <v>3747.49</v>
      </c>
      <c r="H781" s="2" t="s">
        <v>37</v>
      </c>
      <c r="I781" s="4" t="s">
        <v>3365</v>
      </c>
      <c r="J781" s="2" t="str">
        <f>IF(tb2_CampaignResponses[[#This Row],[Gift_Amount]]&lt;0,"Review - negative amount",IF(tb2_CampaignResponses[[#This Row],[Gift_Amount]]&gt;10000,"Review - unusually large donation",""))</f>
        <v/>
      </c>
      <c r="K781" s="21" t="str">
        <f>IF(tb2_CampaignResponses[[#This Row],[Supporter_ID]]="","Review - no supporter ID","")</f>
        <v/>
      </c>
      <c r="L781" s="21" t="str">
        <f ca="1">IF(tb2_CampaignResponses[[#This Row],[Response_Date]]&gt;TODAY(),"Review - future response date","")</f>
        <v/>
      </c>
    </row>
    <row r="782" spans="1:12" x14ac:dyDescent="0.25">
      <c r="A782" s="3" t="s">
        <v>4640</v>
      </c>
      <c r="B782" s="2" t="s">
        <v>2252</v>
      </c>
      <c r="C782" s="2" t="s">
        <v>3336</v>
      </c>
      <c r="D782" s="2" t="s">
        <v>3337</v>
      </c>
      <c r="E782" s="2" t="s">
        <v>65</v>
      </c>
      <c r="F782" s="15">
        <v>45552</v>
      </c>
      <c r="G782" s="25">
        <v>129.29</v>
      </c>
      <c r="H782" s="2" t="s">
        <v>36</v>
      </c>
      <c r="I782" s="4" t="s">
        <v>3370</v>
      </c>
      <c r="J782" s="2" t="str">
        <f>IF(tb2_CampaignResponses[[#This Row],[Gift_Amount]]&lt;0,"Review - negative amount",IF(tb2_CampaignResponses[[#This Row],[Gift_Amount]]&gt;10000,"Review - unusually large donation",""))</f>
        <v/>
      </c>
      <c r="K782" s="21" t="str">
        <f>IF(tb2_CampaignResponses[[#This Row],[Supporter_ID]]="","Review - no supporter ID","")</f>
        <v/>
      </c>
      <c r="L782" s="21" t="str">
        <f ca="1">IF(tb2_CampaignResponses[[#This Row],[Response_Date]]&gt;TODAY(),"Review - future response date","")</f>
        <v/>
      </c>
    </row>
    <row r="783" spans="1:12" x14ac:dyDescent="0.25">
      <c r="A783" s="3" t="s">
        <v>4641</v>
      </c>
      <c r="B783" s="2" t="s">
        <v>895</v>
      </c>
      <c r="C783" s="2" t="s">
        <v>3427</v>
      </c>
      <c r="D783" s="2" t="s">
        <v>3428</v>
      </c>
      <c r="E783" s="2" t="s">
        <v>65</v>
      </c>
      <c r="F783" s="15">
        <v>45488</v>
      </c>
      <c r="G783" s="25">
        <v>3365.52</v>
      </c>
      <c r="H783" s="2" t="s">
        <v>36</v>
      </c>
      <c r="I783" s="4" t="s">
        <v>3334</v>
      </c>
      <c r="J783" s="2" t="str">
        <f>IF(tb2_CampaignResponses[[#This Row],[Gift_Amount]]&lt;0,"Review - negative amount",IF(tb2_CampaignResponses[[#This Row],[Gift_Amount]]&gt;10000,"Review - unusually large donation",""))</f>
        <v/>
      </c>
      <c r="K783" s="21" t="str">
        <f>IF(tb2_CampaignResponses[[#This Row],[Supporter_ID]]="","Review - no supporter ID","")</f>
        <v/>
      </c>
      <c r="L783" s="21" t="str">
        <f ca="1">IF(tb2_CampaignResponses[[#This Row],[Response_Date]]&gt;TODAY(),"Review - future response date","")</f>
        <v/>
      </c>
    </row>
    <row r="784" spans="1:12" x14ac:dyDescent="0.25">
      <c r="A784" s="3" t="s">
        <v>4642</v>
      </c>
      <c r="B784" s="2" t="s">
        <v>1796</v>
      </c>
      <c r="C784" s="2" t="s">
        <v>3427</v>
      </c>
      <c r="D784" s="2" t="s">
        <v>3428</v>
      </c>
      <c r="E784" s="2" t="s">
        <v>65</v>
      </c>
      <c r="F784" s="15">
        <v>45488</v>
      </c>
      <c r="G784" s="25">
        <v>58.63</v>
      </c>
      <c r="H784" s="2" t="s">
        <v>36</v>
      </c>
      <c r="I784" s="4" t="s">
        <v>3334</v>
      </c>
      <c r="J784" s="2" t="str">
        <f>IF(tb2_CampaignResponses[[#This Row],[Gift_Amount]]&lt;0,"Review - negative amount",IF(tb2_CampaignResponses[[#This Row],[Gift_Amount]]&gt;10000,"Review - unusually large donation",""))</f>
        <v/>
      </c>
      <c r="K784" s="21" t="str">
        <f>IF(tb2_CampaignResponses[[#This Row],[Supporter_ID]]="","Review - no supporter ID","")</f>
        <v/>
      </c>
      <c r="L784" s="21" t="str">
        <f ca="1">IF(tb2_CampaignResponses[[#This Row],[Response_Date]]&gt;TODAY(),"Review - future response date","")</f>
        <v/>
      </c>
    </row>
    <row r="785" spans="1:12" x14ac:dyDescent="0.25">
      <c r="A785" s="3" t="s">
        <v>4643</v>
      </c>
      <c r="B785" s="2" t="s">
        <v>2176</v>
      </c>
      <c r="C785" s="2" t="s">
        <v>3341</v>
      </c>
      <c r="D785" s="2" t="s">
        <v>3342</v>
      </c>
      <c r="E785" s="2" t="s">
        <v>4</v>
      </c>
      <c r="F785" s="15">
        <v>45765</v>
      </c>
      <c r="G785" s="25">
        <v>11.3</v>
      </c>
      <c r="H785" s="2" t="s">
        <v>36</v>
      </c>
      <c r="I785" s="4" t="s">
        <v>3318</v>
      </c>
      <c r="J785" s="2" t="str">
        <f>IF(tb2_CampaignResponses[[#This Row],[Gift_Amount]]&lt;0,"Review - negative amount",IF(tb2_CampaignResponses[[#This Row],[Gift_Amount]]&gt;10000,"Review - unusually large donation",""))</f>
        <v/>
      </c>
      <c r="K785" s="21" t="str">
        <f>IF(tb2_CampaignResponses[[#This Row],[Supporter_ID]]="","Review - no supporter ID","")</f>
        <v/>
      </c>
      <c r="L785" s="21" t="str">
        <f ca="1">IF(tb2_CampaignResponses[[#This Row],[Response_Date]]&gt;TODAY(),"Review - future response date","")</f>
        <v/>
      </c>
    </row>
    <row r="786" spans="1:12" x14ac:dyDescent="0.25">
      <c r="A786" s="3" t="s">
        <v>4645</v>
      </c>
      <c r="B786" s="2" t="s">
        <v>2000</v>
      </c>
      <c r="C786" s="2" t="s">
        <v>3427</v>
      </c>
      <c r="D786" s="2" t="s">
        <v>3428</v>
      </c>
      <c r="E786" s="2" t="s">
        <v>4</v>
      </c>
      <c r="F786" s="15">
        <v>45488</v>
      </c>
      <c r="G786" s="25">
        <v>3199.89</v>
      </c>
      <c r="H786" s="2" t="s">
        <v>36</v>
      </c>
      <c r="I786" s="4" t="s">
        <v>3385</v>
      </c>
      <c r="J786" s="2" t="str">
        <f>IF(tb2_CampaignResponses[[#This Row],[Gift_Amount]]&lt;0,"Review - negative amount",IF(tb2_CampaignResponses[[#This Row],[Gift_Amount]]&gt;10000,"Review - unusually large donation",""))</f>
        <v/>
      </c>
      <c r="K786" s="21" t="str">
        <f>IF(tb2_CampaignResponses[[#This Row],[Supporter_ID]]="","Review - no supporter ID","")</f>
        <v/>
      </c>
      <c r="L786" s="21" t="str">
        <f ca="1">IF(tb2_CampaignResponses[[#This Row],[Response_Date]]&gt;TODAY(),"Review - future response date","")</f>
        <v/>
      </c>
    </row>
    <row r="787" spans="1:12" x14ac:dyDescent="0.25">
      <c r="A787" s="3" t="s">
        <v>4646</v>
      </c>
      <c r="B787" s="2" t="s">
        <v>1280</v>
      </c>
      <c r="C787" s="2" t="s">
        <v>3325</v>
      </c>
      <c r="D787" s="2" t="s">
        <v>3326</v>
      </c>
      <c r="E787" s="2" t="s">
        <v>3338</v>
      </c>
      <c r="F787" s="15">
        <v>45610</v>
      </c>
      <c r="G787" s="25">
        <v>32.08</v>
      </c>
      <c r="H787" s="2" t="s">
        <v>37</v>
      </c>
      <c r="I787" s="4" t="s">
        <v>3334</v>
      </c>
      <c r="J787" s="2" t="str">
        <f>IF(tb2_CampaignResponses[[#This Row],[Gift_Amount]]&lt;0,"Review - negative amount",IF(tb2_CampaignResponses[[#This Row],[Gift_Amount]]&gt;10000,"Review - unusually large donation",""))</f>
        <v/>
      </c>
      <c r="K787" s="21" t="str">
        <f>IF(tb2_CampaignResponses[[#This Row],[Supporter_ID]]="","Review - no supporter ID","")</f>
        <v/>
      </c>
      <c r="L787" s="21" t="str">
        <f ca="1">IF(tb2_CampaignResponses[[#This Row],[Response_Date]]&gt;TODAY(),"Review - future response date","")</f>
        <v/>
      </c>
    </row>
    <row r="788" spans="1:12" x14ac:dyDescent="0.25">
      <c r="A788" s="3" t="s">
        <v>4648</v>
      </c>
      <c r="B788" s="2" t="s">
        <v>3037</v>
      </c>
      <c r="C788" s="2" t="s">
        <v>3341</v>
      </c>
      <c r="D788" s="2" t="s">
        <v>3342</v>
      </c>
      <c r="E788" s="2" t="s">
        <v>4</v>
      </c>
      <c r="F788" s="15">
        <v>45775</v>
      </c>
      <c r="G788" s="25">
        <v>73.3</v>
      </c>
      <c r="H788" s="2" t="s">
        <v>37</v>
      </c>
      <c r="I788" s="4" t="s">
        <v>3331</v>
      </c>
      <c r="J788" s="2" t="str">
        <f>IF(tb2_CampaignResponses[[#This Row],[Gift_Amount]]&lt;0,"Review - negative amount",IF(tb2_CampaignResponses[[#This Row],[Gift_Amount]]&gt;10000,"Review - unusually large donation",""))</f>
        <v/>
      </c>
      <c r="K788" s="21" t="str">
        <f>IF(tb2_CampaignResponses[[#This Row],[Supporter_ID]]="","Review - no supporter ID","")</f>
        <v/>
      </c>
      <c r="L788" s="21" t="str">
        <f ca="1">IF(tb2_CampaignResponses[[#This Row],[Response_Date]]&gt;TODAY(),"Review - future response date","")</f>
        <v/>
      </c>
    </row>
    <row r="789" spans="1:12" x14ac:dyDescent="0.25">
      <c r="A789" s="3" t="s">
        <v>4650</v>
      </c>
      <c r="B789" s="2" t="s">
        <v>520</v>
      </c>
      <c r="C789" s="2" t="s">
        <v>3341</v>
      </c>
      <c r="D789" s="2" t="s">
        <v>3342</v>
      </c>
      <c r="E789" s="2" t="s">
        <v>3316</v>
      </c>
      <c r="F789" s="15">
        <v>45750</v>
      </c>
      <c r="G789" s="25">
        <v>145.04</v>
      </c>
      <c r="H789" s="2" t="s">
        <v>37</v>
      </c>
      <c r="I789" s="4" t="s">
        <v>3318</v>
      </c>
      <c r="J789" s="2" t="str">
        <f>IF(tb2_CampaignResponses[[#This Row],[Gift_Amount]]&lt;0,"Review - negative amount",IF(tb2_CampaignResponses[[#This Row],[Gift_Amount]]&gt;10000,"Review - unusually large donation",""))</f>
        <v/>
      </c>
      <c r="K789" s="21" t="str">
        <f>IF(tb2_CampaignResponses[[#This Row],[Supporter_ID]]="","Review - no supporter ID","")</f>
        <v/>
      </c>
      <c r="L789" s="21" t="str">
        <f ca="1">IF(tb2_CampaignResponses[[#This Row],[Response_Date]]&gt;TODAY(),"Review - future response date","")</f>
        <v/>
      </c>
    </row>
    <row r="790" spans="1:12" x14ac:dyDescent="0.25">
      <c r="A790" s="3" t="s">
        <v>4652</v>
      </c>
      <c r="B790" s="2" t="s">
        <v>3101</v>
      </c>
      <c r="C790" s="2" t="s">
        <v>3314</v>
      </c>
      <c r="D790" s="2" t="s">
        <v>3315</v>
      </c>
      <c r="E790" s="2" t="s">
        <v>33</v>
      </c>
      <c r="F790" s="15">
        <v>45688</v>
      </c>
      <c r="G790" s="25">
        <v>51.47</v>
      </c>
      <c r="H790" s="2" t="s">
        <v>36</v>
      </c>
      <c r="I790" s="4" t="s">
        <v>3331</v>
      </c>
      <c r="J790" s="2" t="str">
        <f>IF(tb2_CampaignResponses[[#This Row],[Gift_Amount]]&lt;0,"Review - negative amount",IF(tb2_CampaignResponses[[#This Row],[Gift_Amount]]&gt;10000,"Review - unusually large donation",""))</f>
        <v/>
      </c>
      <c r="K790" s="21" t="str">
        <f>IF(tb2_CampaignResponses[[#This Row],[Supporter_ID]]="","Review - no supporter ID","")</f>
        <v/>
      </c>
      <c r="L790" s="21" t="str">
        <f ca="1">IF(tb2_CampaignResponses[[#This Row],[Response_Date]]&gt;TODAY(),"Review - future response date","")</f>
        <v/>
      </c>
    </row>
    <row r="791" spans="1:12" x14ac:dyDescent="0.25">
      <c r="A791" s="3" t="s">
        <v>4654</v>
      </c>
      <c r="B791" s="2" t="s">
        <v>2686</v>
      </c>
      <c r="C791" s="2" t="s">
        <v>3362</v>
      </c>
      <c r="D791" s="2" t="s">
        <v>3363</v>
      </c>
      <c r="E791" s="2" t="s">
        <v>65</v>
      </c>
      <c r="F791" s="15">
        <v>45575</v>
      </c>
      <c r="G791" s="25">
        <v>22.12</v>
      </c>
      <c r="H791" s="2" t="s">
        <v>37</v>
      </c>
      <c r="I791" s="4" t="s">
        <v>3328</v>
      </c>
      <c r="J791" s="2" t="str">
        <f>IF(tb2_CampaignResponses[[#This Row],[Gift_Amount]]&lt;0,"Review - negative amount",IF(tb2_CampaignResponses[[#This Row],[Gift_Amount]]&gt;10000,"Review - unusually large donation",""))</f>
        <v/>
      </c>
      <c r="K791" s="21" t="str">
        <f>IF(tb2_CampaignResponses[[#This Row],[Supporter_ID]]="","Review - no supporter ID","")</f>
        <v/>
      </c>
      <c r="L791" s="21" t="str">
        <f ca="1">IF(tb2_CampaignResponses[[#This Row],[Response_Date]]&gt;TODAY(),"Review - future response date","")</f>
        <v/>
      </c>
    </row>
    <row r="792" spans="1:12" x14ac:dyDescent="0.25">
      <c r="A792" s="3" t="s">
        <v>4655</v>
      </c>
      <c r="B792" s="2" t="s">
        <v>3037</v>
      </c>
      <c r="C792" s="2" t="s">
        <v>3336</v>
      </c>
      <c r="D792" s="2" t="s">
        <v>3337</v>
      </c>
      <c r="E792" s="2" t="s">
        <v>4</v>
      </c>
      <c r="F792" s="15">
        <v>45545</v>
      </c>
      <c r="G792" s="25">
        <v>30.07</v>
      </c>
      <c r="H792" s="2" t="s">
        <v>37</v>
      </c>
      <c r="I792" s="4" t="s">
        <v>3370</v>
      </c>
      <c r="J792" s="2" t="str">
        <f>IF(tb2_CampaignResponses[[#This Row],[Gift_Amount]]&lt;0,"Review - negative amount",IF(tb2_CampaignResponses[[#This Row],[Gift_Amount]]&gt;10000,"Review - unusually large donation",""))</f>
        <v/>
      </c>
      <c r="K792" s="21" t="str">
        <f>IF(tb2_CampaignResponses[[#This Row],[Supporter_ID]]="","Review - no supporter ID","")</f>
        <v/>
      </c>
      <c r="L792" s="21" t="str">
        <f ca="1">IF(tb2_CampaignResponses[[#This Row],[Response_Date]]&gt;TODAY(),"Review - future response date","")</f>
        <v/>
      </c>
    </row>
    <row r="793" spans="1:12" x14ac:dyDescent="0.25">
      <c r="A793" s="3" t="s">
        <v>4657</v>
      </c>
      <c r="B793" s="2" t="s">
        <v>1939</v>
      </c>
      <c r="C793" s="2" t="s">
        <v>3314</v>
      </c>
      <c r="D793" s="2" t="s">
        <v>3315</v>
      </c>
      <c r="E793" s="2" t="s">
        <v>65</v>
      </c>
      <c r="F793" s="15">
        <v>45723</v>
      </c>
      <c r="G793" s="25">
        <v>135.07</v>
      </c>
      <c r="H793" s="2" t="s">
        <v>37</v>
      </c>
      <c r="I793" s="4" t="s">
        <v>3318</v>
      </c>
      <c r="J793" s="2" t="str">
        <f>IF(tb2_CampaignResponses[[#This Row],[Gift_Amount]]&lt;0,"Review - negative amount",IF(tb2_CampaignResponses[[#This Row],[Gift_Amount]]&gt;10000,"Review - unusually large donation",""))</f>
        <v/>
      </c>
      <c r="K793" s="21" t="str">
        <f>IF(tb2_CampaignResponses[[#This Row],[Supporter_ID]]="","Review - no supporter ID","")</f>
        <v/>
      </c>
      <c r="L793" s="21" t="str">
        <f ca="1">IF(tb2_CampaignResponses[[#This Row],[Response_Date]]&gt;TODAY(),"Review - future response date","")</f>
        <v/>
      </c>
    </row>
    <row r="794" spans="1:12" x14ac:dyDescent="0.25">
      <c r="A794" s="3" t="s">
        <v>4659</v>
      </c>
      <c r="B794" s="2" t="s">
        <v>2819</v>
      </c>
      <c r="C794" s="2" t="s">
        <v>3354</v>
      </c>
      <c r="D794" s="2" t="s">
        <v>3355</v>
      </c>
      <c r="E794" s="2" t="s">
        <v>4</v>
      </c>
      <c r="F794" s="15">
        <v>45618</v>
      </c>
      <c r="G794" s="25">
        <v>47.17</v>
      </c>
      <c r="H794" s="2" t="s">
        <v>37</v>
      </c>
      <c r="I794" s="4" t="s">
        <v>3331</v>
      </c>
      <c r="J794" s="2" t="str">
        <f>IF(tb2_CampaignResponses[[#This Row],[Gift_Amount]]&lt;0,"Review - negative amount",IF(tb2_CampaignResponses[[#This Row],[Gift_Amount]]&gt;10000,"Review - unusually large donation",""))</f>
        <v/>
      </c>
      <c r="K794" s="21" t="str">
        <f>IF(tb2_CampaignResponses[[#This Row],[Supporter_ID]]="","Review - no supporter ID","")</f>
        <v/>
      </c>
      <c r="L794" s="21" t="str">
        <f ca="1">IF(tb2_CampaignResponses[[#This Row],[Response_Date]]&gt;TODAY(),"Review - future response date","")</f>
        <v/>
      </c>
    </row>
    <row r="795" spans="1:12" x14ac:dyDescent="0.25">
      <c r="A795" s="3" t="s">
        <v>4660</v>
      </c>
      <c r="B795" s="2" t="s">
        <v>1213</v>
      </c>
      <c r="C795" s="2" t="s">
        <v>3325</v>
      </c>
      <c r="D795" s="2" t="s">
        <v>3326</v>
      </c>
      <c r="E795" s="2" t="s">
        <v>4</v>
      </c>
      <c r="F795" s="15">
        <v>45601</v>
      </c>
      <c r="G795" s="25">
        <v>24.5</v>
      </c>
      <c r="H795" s="2" t="s">
        <v>36</v>
      </c>
      <c r="I795" s="4" t="s">
        <v>3331</v>
      </c>
      <c r="J795" s="2" t="str">
        <f>IF(tb2_CampaignResponses[[#This Row],[Gift_Amount]]&lt;0,"Review - negative amount",IF(tb2_CampaignResponses[[#This Row],[Gift_Amount]]&gt;10000,"Review - unusually large donation",""))</f>
        <v/>
      </c>
      <c r="K795" s="21" t="str">
        <f>IF(tb2_CampaignResponses[[#This Row],[Supporter_ID]]="","Review - no supporter ID","")</f>
        <v/>
      </c>
      <c r="L795" s="21" t="str">
        <f ca="1">IF(tb2_CampaignResponses[[#This Row],[Response_Date]]&gt;TODAY(),"Review - future response date","")</f>
        <v/>
      </c>
    </row>
    <row r="796" spans="1:12" x14ac:dyDescent="0.25">
      <c r="A796" s="3" t="s">
        <v>4661</v>
      </c>
      <c r="B796" s="2" t="s">
        <v>502</v>
      </c>
      <c r="C796" s="2" t="s">
        <v>3336</v>
      </c>
      <c r="D796" s="2" t="s">
        <v>3337</v>
      </c>
      <c r="E796" s="2" t="s">
        <v>3316</v>
      </c>
      <c r="F796" s="15">
        <v>45579</v>
      </c>
      <c r="G796" s="25">
        <v>94.09</v>
      </c>
      <c r="H796" s="2" t="s">
        <v>37</v>
      </c>
      <c r="I796" s="4" t="s">
        <v>3323</v>
      </c>
      <c r="J796" s="2" t="str">
        <f>IF(tb2_CampaignResponses[[#This Row],[Gift_Amount]]&lt;0,"Review - negative amount",IF(tb2_CampaignResponses[[#This Row],[Gift_Amount]]&gt;10000,"Review - unusually large donation",""))</f>
        <v/>
      </c>
      <c r="K796" s="21" t="str">
        <f>IF(tb2_CampaignResponses[[#This Row],[Supporter_ID]]="","Review - no supporter ID","")</f>
        <v/>
      </c>
      <c r="L796" s="21" t="str">
        <f ca="1">IF(tb2_CampaignResponses[[#This Row],[Response_Date]]&gt;TODAY(),"Review - future response date","")</f>
        <v/>
      </c>
    </row>
    <row r="797" spans="1:12" x14ac:dyDescent="0.25">
      <c r="A797" s="3" t="s">
        <v>4663</v>
      </c>
      <c r="B797" s="2" t="s">
        <v>1392</v>
      </c>
      <c r="C797" s="2" t="s">
        <v>3314</v>
      </c>
      <c r="D797" s="2" t="s">
        <v>3315</v>
      </c>
      <c r="E797" s="2" t="s">
        <v>33</v>
      </c>
      <c r="F797" s="15">
        <v>45740</v>
      </c>
      <c r="G797" s="25">
        <v>75.47</v>
      </c>
      <c r="H797" s="2" t="s">
        <v>36</v>
      </c>
      <c r="I797" s="4" t="s">
        <v>3334</v>
      </c>
      <c r="J797" s="2" t="str">
        <f>IF(tb2_CampaignResponses[[#This Row],[Gift_Amount]]&lt;0,"Review - negative amount",IF(tb2_CampaignResponses[[#This Row],[Gift_Amount]]&gt;10000,"Review - unusually large donation",""))</f>
        <v/>
      </c>
      <c r="K797" s="21" t="str">
        <f>IF(tb2_CampaignResponses[[#This Row],[Supporter_ID]]="","Review - no supporter ID","")</f>
        <v/>
      </c>
      <c r="L797" s="21" t="str">
        <f ca="1">IF(tb2_CampaignResponses[[#This Row],[Response_Date]]&gt;TODAY(),"Review - future response date","")</f>
        <v/>
      </c>
    </row>
    <row r="798" spans="1:12" x14ac:dyDescent="0.25">
      <c r="A798" s="3" t="s">
        <v>4665</v>
      </c>
      <c r="B798" s="2" t="s">
        <v>2136</v>
      </c>
      <c r="C798" s="2" t="s">
        <v>3367</v>
      </c>
      <c r="D798" s="2" t="s">
        <v>3368</v>
      </c>
      <c r="E798" s="2" t="s">
        <v>65</v>
      </c>
      <c r="F798" s="15">
        <v>45725</v>
      </c>
      <c r="G798" s="25">
        <v>194.95</v>
      </c>
      <c r="H798" s="2" t="s">
        <v>37</v>
      </c>
      <c r="I798" s="4" t="s">
        <v>3328</v>
      </c>
      <c r="J798" s="2" t="str">
        <f>IF(tb2_CampaignResponses[[#This Row],[Gift_Amount]]&lt;0,"Review - negative amount",IF(tb2_CampaignResponses[[#This Row],[Gift_Amount]]&gt;10000,"Review - unusually large donation",""))</f>
        <v/>
      </c>
      <c r="K798" s="21" t="str">
        <f>IF(tb2_CampaignResponses[[#This Row],[Supporter_ID]]="","Review - no supporter ID","")</f>
        <v/>
      </c>
      <c r="L798" s="21" t="str">
        <f ca="1">IF(tb2_CampaignResponses[[#This Row],[Response_Date]]&gt;TODAY(),"Review - future response date","")</f>
        <v/>
      </c>
    </row>
    <row r="799" spans="1:12" x14ac:dyDescent="0.25">
      <c r="A799" s="3" t="s">
        <v>4666</v>
      </c>
      <c r="B799" s="2" t="s">
        <v>844</v>
      </c>
      <c r="C799" s="2" t="s">
        <v>3362</v>
      </c>
      <c r="D799" s="2" t="s">
        <v>3363</v>
      </c>
      <c r="E799" s="2" t="s">
        <v>65</v>
      </c>
      <c r="F799" s="15">
        <v>45575</v>
      </c>
      <c r="G799" s="25">
        <v>26.83</v>
      </c>
      <c r="H799" s="2" t="s">
        <v>36</v>
      </c>
      <c r="I799" s="4" t="s">
        <v>3328</v>
      </c>
      <c r="J799" s="2" t="str">
        <f>IF(tb2_CampaignResponses[[#This Row],[Gift_Amount]]&lt;0,"Review - negative amount",IF(tb2_CampaignResponses[[#This Row],[Gift_Amount]]&gt;10000,"Review - unusually large donation",""))</f>
        <v/>
      </c>
      <c r="K799" s="21" t="str">
        <f>IF(tb2_CampaignResponses[[#This Row],[Supporter_ID]]="","Review - no supporter ID","")</f>
        <v/>
      </c>
      <c r="L799" s="21" t="str">
        <f ca="1">IF(tb2_CampaignResponses[[#This Row],[Response_Date]]&gt;TODAY(),"Review - future response date","")</f>
        <v/>
      </c>
    </row>
    <row r="800" spans="1:12" x14ac:dyDescent="0.25">
      <c r="A800" s="3" t="s">
        <v>4667</v>
      </c>
      <c r="B800" s="2" t="s">
        <v>672</v>
      </c>
      <c r="C800" s="2" t="s">
        <v>3341</v>
      </c>
      <c r="D800" s="2" t="s">
        <v>3342</v>
      </c>
      <c r="E800" s="2" t="s">
        <v>91</v>
      </c>
      <c r="F800" s="15">
        <v>45751</v>
      </c>
      <c r="G800" s="25">
        <v>49.16</v>
      </c>
      <c r="H800" s="2" t="s">
        <v>36</v>
      </c>
      <c r="I800" s="4" t="s">
        <v>3365</v>
      </c>
      <c r="J800" s="2" t="str">
        <f>IF(tb2_CampaignResponses[[#This Row],[Gift_Amount]]&lt;0,"Review - negative amount",IF(tb2_CampaignResponses[[#This Row],[Gift_Amount]]&gt;10000,"Review - unusually large donation",""))</f>
        <v/>
      </c>
      <c r="K800" s="21" t="str">
        <f>IF(tb2_CampaignResponses[[#This Row],[Supporter_ID]]="","Review - no supporter ID","")</f>
        <v/>
      </c>
      <c r="L800" s="21" t="str">
        <f ca="1">IF(tb2_CampaignResponses[[#This Row],[Response_Date]]&gt;TODAY(),"Review - future response date","")</f>
        <v/>
      </c>
    </row>
    <row r="801" spans="1:12" x14ac:dyDescent="0.25">
      <c r="A801" s="3" t="s">
        <v>4668</v>
      </c>
      <c r="B801" s="2" t="s">
        <v>746</v>
      </c>
      <c r="C801" s="2" t="s">
        <v>3320</v>
      </c>
      <c r="D801" s="2" t="s">
        <v>3321</v>
      </c>
      <c r="E801" s="2" t="s">
        <v>65</v>
      </c>
      <c r="F801" s="15">
        <v>45473</v>
      </c>
      <c r="G801" s="25">
        <v>217.86</v>
      </c>
      <c r="H801" s="2" t="s">
        <v>36</v>
      </c>
      <c r="I801" s="4" t="s">
        <v>3365</v>
      </c>
      <c r="J801" s="2" t="str">
        <f>IF(tb2_CampaignResponses[[#This Row],[Gift_Amount]]&lt;0,"Review - negative amount",IF(tb2_CampaignResponses[[#This Row],[Gift_Amount]]&gt;10000,"Review - unusually large donation",""))</f>
        <v/>
      </c>
      <c r="K801" s="21" t="str">
        <f>IF(tb2_CampaignResponses[[#This Row],[Supporter_ID]]="","Review - no supporter ID","")</f>
        <v/>
      </c>
      <c r="L801" s="21" t="str">
        <f ca="1">IF(tb2_CampaignResponses[[#This Row],[Response_Date]]&gt;TODAY(),"Review - future response date","")</f>
        <v/>
      </c>
    </row>
    <row r="802" spans="1:12" x14ac:dyDescent="0.25">
      <c r="A802" s="3" t="s">
        <v>4670</v>
      </c>
      <c r="B802" s="2"/>
      <c r="C802" s="2" t="s">
        <v>3320</v>
      </c>
      <c r="D802" s="2" t="s">
        <v>3321</v>
      </c>
      <c r="E802" s="2" t="s">
        <v>65</v>
      </c>
      <c r="F802" s="15">
        <v>45462</v>
      </c>
      <c r="G802" s="25">
        <v>339.63</v>
      </c>
      <c r="H802" s="2" t="s">
        <v>36</v>
      </c>
      <c r="I802" s="4" t="s">
        <v>3365</v>
      </c>
      <c r="J802" s="2" t="str">
        <f>IF(tb2_CampaignResponses[[#This Row],[Gift_Amount]]&lt;0,"Review - negative amount",IF(tb2_CampaignResponses[[#This Row],[Gift_Amount]]&gt;10000,"Review - unusually large donation",""))</f>
        <v/>
      </c>
      <c r="K802" s="21" t="str">
        <f>IF(tb2_CampaignResponses[[#This Row],[Supporter_ID]]="","Review - no supporter ID","")</f>
        <v>Review - no supporter ID</v>
      </c>
      <c r="L802" s="21" t="str">
        <f ca="1">IF(tb2_CampaignResponses[[#This Row],[Response_Date]]&gt;TODAY(),"Review - future response date","")</f>
        <v/>
      </c>
    </row>
    <row r="803" spans="1:12" x14ac:dyDescent="0.25">
      <c r="A803" s="3" t="s">
        <v>4671</v>
      </c>
      <c r="B803" s="2" t="s">
        <v>1951</v>
      </c>
      <c r="C803" s="2" t="s">
        <v>3354</v>
      </c>
      <c r="D803" s="2" t="s">
        <v>3355</v>
      </c>
      <c r="E803" s="2" t="s">
        <v>65</v>
      </c>
      <c r="F803" s="15">
        <v>45618</v>
      </c>
      <c r="G803" s="25">
        <v>26.56</v>
      </c>
      <c r="H803" s="2" t="s">
        <v>36</v>
      </c>
      <c r="I803" s="4" t="s">
        <v>3370</v>
      </c>
      <c r="J803" s="2" t="str">
        <f>IF(tb2_CampaignResponses[[#This Row],[Gift_Amount]]&lt;0,"Review - negative amount",IF(tb2_CampaignResponses[[#This Row],[Gift_Amount]]&gt;10000,"Review - unusually large donation",""))</f>
        <v/>
      </c>
      <c r="K803" s="21" t="str">
        <f>IF(tb2_CampaignResponses[[#This Row],[Supporter_ID]]="","Review - no supporter ID","")</f>
        <v/>
      </c>
      <c r="L803" s="21" t="str">
        <f ca="1">IF(tb2_CampaignResponses[[#This Row],[Response_Date]]&gt;TODAY(),"Review - future response date","")</f>
        <v/>
      </c>
    </row>
    <row r="804" spans="1:12" x14ac:dyDescent="0.25">
      <c r="A804" s="3" t="s">
        <v>4672</v>
      </c>
      <c r="B804" s="2" t="s">
        <v>1714</v>
      </c>
      <c r="C804" s="2" t="s">
        <v>3362</v>
      </c>
      <c r="D804" s="2" t="s">
        <v>3363</v>
      </c>
      <c r="E804" s="2" t="s">
        <v>65</v>
      </c>
      <c r="F804" s="15">
        <v>46150</v>
      </c>
      <c r="G804" s="25">
        <v>30.36</v>
      </c>
      <c r="H804" s="2" t="s">
        <v>36</v>
      </c>
      <c r="I804" s="4" t="s">
        <v>3331</v>
      </c>
      <c r="J804" s="2" t="str">
        <f>IF(tb2_CampaignResponses[[#This Row],[Gift_Amount]]&lt;0,"Review - negative amount",IF(tb2_CampaignResponses[[#This Row],[Gift_Amount]]&gt;10000,"Review - unusually large donation",""))</f>
        <v/>
      </c>
      <c r="K804" s="21" t="str">
        <f>IF(tb2_CampaignResponses[[#This Row],[Supporter_ID]]="","Review - no supporter ID","")</f>
        <v/>
      </c>
      <c r="L804" s="21" t="str">
        <f ca="1">IF(tb2_CampaignResponses[[#This Row],[Response_Date]]&gt;TODAY(),"Review - future response date","")</f>
        <v/>
      </c>
    </row>
    <row r="805" spans="1:12" x14ac:dyDescent="0.25">
      <c r="A805" s="3" t="s">
        <v>4674</v>
      </c>
      <c r="B805" s="2" t="s">
        <v>889</v>
      </c>
      <c r="C805" s="2" t="s">
        <v>3354</v>
      </c>
      <c r="D805" s="2" t="s">
        <v>3355</v>
      </c>
      <c r="E805" s="2" t="s">
        <v>65</v>
      </c>
      <c r="F805" s="15">
        <v>45618</v>
      </c>
      <c r="G805" s="25">
        <v>127.2</v>
      </c>
      <c r="H805" s="2" t="s">
        <v>36</v>
      </c>
      <c r="I805" s="4" t="s">
        <v>3323</v>
      </c>
      <c r="J805" s="2" t="str">
        <f>IF(tb2_CampaignResponses[[#This Row],[Gift_Amount]]&lt;0,"Review - negative amount",IF(tb2_CampaignResponses[[#This Row],[Gift_Amount]]&gt;10000,"Review - unusually large donation",""))</f>
        <v/>
      </c>
      <c r="K805" s="21" t="str">
        <f>IF(tb2_CampaignResponses[[#This Row],[Supporter_ID]]="","Review - no supporter ID","")</f>
        <v/>
      </c>
      <c r="L805" s="21" t="str">
        <f ca="1">IF(tb2_CampaignResponses[[#This Row],[Response_Date]]&gt;TODAY(),"Review - future response date","")</f>
        <v/>
      </c>
    </row>
    <row r="806" spans="1:12" x14ac:dyDescent="0.25">
      <c r="A806" s="3" t="s">
        <v>4675</v>
      </c>
      <c r="B806" s="2" t="s">
        <v>2870</v>
      </c>
      <c r="C806" s="2" t="s">
        <v>3341</v>
      </c>
      <c r="D806" s="2" t="s">
        <v>3342</v>
      </c>
      <c r="E806" s="2" t="s">
        <v>4</v>
      </c>
      <c r="F806" s="15">
        <v>45694</v>
      </c>
      <c r="G806" s="25">
        <v>82.66</v>
      </c>
      <c r="H806" s="2" t="s">
        <v>37</v>
      </c>
      <c r="I806" s="4" t="s">
        <v>3334</v>
      </c>
      <c r="J806" s="2" t="str">
        <f>IF(tb2_CampaignResponses[[#This Row],[Gift_Amount]]&lt;0,"Review - negative amount",IF(tb2_CampaignResponses[[#This Row],[Gift_Amount]]&gt;10000,"Review - unusually large donation",""))</f>
        <v/>
      </c>
      <c r="K806" s="21" t="str">
        <f>IF(tb2_CampaignResponses[[#This Row],[Supporter_ID]]="","Review - no supporter ID","")</f>
        <v/>
      </c>
      <c r="L806" s="21" t="str">
        <f ca="1">IF(tb2_CampaignResponses[[#This Row],[Response_Date]]&gt;TODAY(),"Review - future response date","")</f>
        <v/>
      </c>
    </row>
    <row r="807" spans="1:12" x14ac:dyDescent="0.25">
      <c r="A807" s="3" t="s">
        <v>4676</v>
      </c>
      <c r="B807" s="2" t="s">
        <v>547</v>
      </c>
      <c r="C807" s="2" t="s">
        <v>3354</v>
      </c>
      <c r="D807" s="2" t="s">
        <v>3355</v>
      </c>
      <c r="E807" s="2" t="s">
        <v>65</v>
      </c>
      <c r="F807" s="15">
        <v>45618</v>
      </c>
      <c r="G807" s="25">
        <v>11.46</v>
      </c>
      <c r="H807" s="2" t="s">
        <v>36</v>
      </c>
      <c r="I807" s="4" t="s">
        <v>3323</v>
      </c>
      <c r="J807" s="2" t="str">
        <f>IF(tb2_CampaignResponses[[#This Row],[Gift_Amount]]&lt;0,"Review - negative amount",IF(tb2_CampaignResponses[[#This Row],[Gift_Amount]]&gt;10000,"Review - unusually large donation",""))</f>
        <v/>
      </c>
      <c r="K807" s="21" t="str">
        <f>IF(tb2_CampaignResponses[[#This Row],[Supporter_ID]]="","Review - no supporter ID","")</f>
        <v/>
      </c>
      <c r="L807" s="21" t="str">
        <f ca="1">IF(tb2_CampaignResponses[[#This Row],[Response_Date]]&gt;TODAY(),"Review - future response date","")</f>
        <v/>
      </c>
    </row>
    <row r="808" spans="1:12" x14ac:dyDescent="0.25">
      <c r="A808" s="3" t="s">
        <v>4677</v>
      </c>
      <c r="B808" s="2" t="s">
        <v>857</v>
      </c>
      <c r="C808" s="2" t="s">
        <v>3320</v>
      </c>
      <c r="D808" s="2" t="s">
        <v>3321</v>
      </c>
      <c r="E808" s="2" t="s">
        <v>4</v>
      </c>
      <c r="F808" s="15">
        <v>45458</v>
      </c>
      <c r="G808" s="25">
        <v>26.72</v>
      </c>
      <c r="H808" s="2" t="s">
        <v>37</v>
      </c>
      <c r="I808" s="4" t="s">
        <v>3385</v>
      </c>
      <c r="J808" s="2" t="str">
        <f>IF(tb2_CampaignResponses[[#This Row],[Gift_Amount]]&lt;0,"Review - negative amount",IF(tb2_CampaignResponses[[#This Row],[Gift_Amount]]&gt;10000,"Review - unusually large donation",""))</f>
        <v/>
      </c>
      <c r="K808" s="21" t="str">
        <f>IF(tb2_CampaignResponses[[#This Row],[Supporter_ID]]="","Review - no supporter ID","")</f>
        <v/>
      </c>
      <c r="L808" s="21" t="str">
        <f ca="1">IF(tb2_CampaignResponses[[#This Row],[Response_Date]]&gt;TODAY(),"Review - future response date","")</f>
        <v/>
      </c>
    </row>
    <row r="809" spans="1:12" x14ac:dyDescent="0.25">
      <c r="A809" s="3" t="s">
        <v>4678</v>
      </c>
      <c r="B809" s="2" t="s">
        <v>2169</v>
      </c>
      <c r="C809" s="2" t="s">
        <v>3403</v>
      </c>
      <c r="D809" s="2" t="s">
        <v>3404</v>
      </c>
      <c r="E809" s="2" t="s">
        <v>4</v>
      </c>
      <c r="F809" s="15">
        <v>45599</v>
      </c>
      <c r="G809" s="25">
        <v>7.25</v>
      </c>
      <c r="H809" s="2" t="s">
        <v>36</v>
      </c>
      <c r="I809" s="4" t="s">
        <v>3370</v>
      </c>
      <c r="J809" s="2" t="str">
        <f>IF(tb2_CampaignResponses[[#This Row],[Gift_Amount]]&lt;0,"Review - negative amount",IF(tb2_CampaignResponses[[#This Row],[Gift_Amount]]&gt;10000,"Review - unusually large donation",""))</f>
        <v/>
      </c>
      <c r="K809" s="21" t="str">
        <f>IF(tb2_CampaignResponses[[#This Row],[Supporter_ID]]="","Review - no supporter ID","")</f>
        <v/>
      </c>
      <c r="L809" s="21" t="str">
        <f ca="1">IF(tb2_CampaignResponses[[#This Row],[Response_Date]]&gt;TODAY(),"Review - future response date","")</f>
        <v/>
      </c>
    </row>
    <row r="810" spans="1:12" x14ac:dyDescent="0.25">
      <c r="A810" s="3" t="s">
        <v>4680</v>
      </c>
      <c r="B810" s="2" t="s">
        <v>1850</v>
      </c>
      <c r="C810" s="2" t="s">
        <v>3314</v>
      </c>
      <c r="D810" s="2" t="s">
        <v>3315</v>
      </c>
      <c r="E810" s="2" t="s">
        <v>65</v>
      </c>
      <c r="F810" s="15">
        <v>45727</v>
      </c>
      <c r="G810" s="25">
        <v>34.78</v>
      </c>
      <c r="H810" s="2" t="s">
        <v>37</v>
      </c>
      <c r="I810" s="4" t="s">
        <v>3331</v>
      </c>
      <c r="J810" s="2" t="str">
        <f>IF(tb2_CampaignResponses[[#This Row],[Gift_Amount]]&lt;0,"Review - negative amount",IF(tb2_CampaignResponses[[#This Row],[Gift_Amount]]&gt;10000,"Review - unusually large donation",""))</f>
        <v/>
      </c>
      <c r="K810" s="21" t="str">
        <f>IF(tb2_CampaignResponses[[#This Row],[Supporter_ID]]="","Review - no supporter ID","")</f>
        <v/>
      </c>
      <c r="L810" s="21" t="str">
        <f ca="1">IF(tb2_CampaignResponses[[#This Row],[Response_Date]]&gt;TODAY(),"Review - future response date","")</f>
        <v/>
      </c>
    </row>
    <row r="811" spans="1:12" x14ac:dyDescent="0.25">
      <c r="A811" s="3" t="s">
        <v>4681</v>
      </c>
      <c r="B811" s="2" t="s">
        <v>790</v>
      </c>
      <c r="C811" s="2" t="s">
        <v>3314</v>
      </c>
      <c r="D811" s="2" t="s">
        <v>3315</v>
      </c>
      <c r="E811" s="2" t="s">
        <v>3316</v>
      </c>
      <c r="F811" s="15">
        <v>45682</v>
      </c>
      <c r="G811" s="25">
        <v>8.33</v>
      </c>
      <c r="H811" s="2" t="s">
        <v>37</v>
      </c>
      <c r="I811" s="4" t="s">
        <v>3385</v>
      </c>
      <c r="J811" s="2" t="str">
        <f>IF(tb2_CampaignResponses[[#This Row],[Gift_Amount]]&lt;0,"Review - negative amount",IF(tb2_CampaignResponses[[#This Row],[Gift_Amount]]&gt;10000,"Review - unusually large donation",""))</f>
        <v/>
      </c>
      <c r="K811" s="21" t="str">
        <f>IF(tb2_CampaignResponses[[#This Row],[Supporter_ID]]="","Review - no supporter ID","")</f>
        <v/>
      </c>
      <c r="L811" s="21" t="str">
        <f ca="1">IF(tb2_CampaignResponses[[#This Row],[Response_Date]]&gt;TODAY(),"Review - future response date","")</f>
        <v/>
      </c>
    </row>
    <row r="812" spans="1:12" x14ac:dyDescent="0.25">
      <c r="A812" s="3" t="s">
        <v>4683</v>
      </c>
      <c r="B812" s="2" t="s">
        <v>3293</v>
      </c>
      <c r="C812" s="2" t="s">
        <v>3314</v>
      </c>
      <c r="D812" s="2" t="s">
        <v>3315</v>
      </c>
      <c r="E812" s="2" t="s">
        <v>3316</v>
      </c>
      <c r="F812" s="15">
        <v>45721</v>
      </c>
      <c r="G812" s="25">
        <v>27.72</v>
      </c>
      <c r="H812" s="2" t="s">
        <v>37</v>
      </c>
      <c r="I812" s="4" t="s">
        <v>3365</v>
      </c>
      <c r="J812" s="2" t="str">
        <f>IF(tb2_CampaignResponses[[#This Row],[Gift_Amount]]&lt;0,"Review - negative amount",IF(tb2_CampaignResponses[[#This Row],[Gift_Amount]]&gt;10000,"Review - unusually large donation",""))</f>
        <v/>
      </c>
      <c r="K812" s="21" t="str">
        <f>IF(tb2_CampaignResponses[[#This Row],[Supporter_ID]]="","Review - no supporter ID","")</f>
        <v/>
      </c>
      <c r="L812" s="21" t="str">
        <f ca="1">IF(tb2_CampaignResponses[[#This Row],[Response_Date]]&gt;TODAY(),"Review - future response date","")</f>
        <v/>
      </c>
    </row>
    <row r="813" spans="1:12" x14ac:dyDescent="0.25">
      <c r="A813" s="3" t="s">
        <v>4685</v>
      </c>
      <c r="B813" s="2" t="s">
        <v>2411</v>
      </c>
      <c r="C813" s="2" t="s">
        <v>3336</v>
      </c>
      <c r="D813" s="2" t="s">
        <v>3337</v>
      </c>
      <c r="E813" s="2" t="s">
        <v>3316</v>
      </c>
      <c r="F813" s="15">
        <v>45564</v>
      </c>
      <c r="G813" s="25">
        <v>68.709999999999994</v>
      </c>
      <c r="H813" s="2" t="s">
        <v>37</v>
      </c>
      <c r="I813" s="4" t="s">
        <v>3370</v>
      </c>
      <c r="J813" s="2" t="str">
        <f>IF(tb2_CampaignResponses[[#This Row],[Gift_Amount]]&lt;0,"Review - negative amount",IF(tb2_CampaignResponses[[#This Row],[Gift_Amount]]&gt;10000,"Review - unusually large donation",""))</f>
        <v/>
      </c>
      <c r="K813" s="21" t="str">
        <f>IF(tb2_CampaignResponses[[#This Row],[Supporter_ID]]="","Review - no supporter ID","")</f>
        <v/>
      </c>
      <c r="L813" s="21" t="str">
        <f ca="1">IF(tb2_CampaignResponses[[#This Row],[Response_Date]]&gt;TODAY(),"Review - future response date","")</f>
        <v/>
      </c>
    </row>
    <row r="814" spans="1:12" x14ac:dyDescent="0.25">
      <c r="A814" s="3" t="s">
        <v>4687</v>
      </c>
      <c r="B814" s="2" t="s">
        <v>2350</v>
      </c>
      <c r="C814" s="2" t="s">
        <v>3336</v>
      </c>
      <c r="D814" s="2" t="s">
        <v>3337</v>
      </c>
      <c r="E814" s="2" t="s">
        <v>3316</v>
      </c>
      <c r="F814" s="15">
        <v>45552</v>
      </c>
      <c r="G814" s="25">
        <v>14.99</v>
      </c>
      <c r="H814" s="2" t="s">
        <v>36</v>
      </c>
      <c r="I814" s="4" t="s">
        <v>3328</v>
      </c>
      <c r="J814" s="2" t="str">
        <f>IF(tb2_CampaignResponses[[#This Row],[Gift_Amount]]&lt;0,"Review - negative amount",IF(tb2_CampaignResponses[[#This Row],[Gift_Amount]]&gt;10000,"Review - unusually large donation",""))</f>
        <v/>
      </c>
      <c r="K814" s="21" t="str">
        <f>IF(tb2_CampaignResponses[[#This Row],[Supporter_ID]]="","Review - no supporter ID","")</f>
        <v/>
      </c>
      <c r="L814" s="21" t="str">
        <f ca="1">IF(tb2_CampaignResponses[[#This Row],[Response_Date]]&gt;TODAY(),"Review - future response date","")</f>
        <v/>
      </c>
    </row>
    <row r="815" spans="1:12" x14ac:dyDescent="0.25">
      <c r="A815" s="3" t="s">
        <v>4689</v>
      </c>
      <c r="B815" s="2" t="s">
        <v>1916</v>
      </c>
      <c r="C815" s="2" t="s">
        <v>3341</v>
      </c>
      <c r="D815" s="2" t="s">
        <v>3342</v>
      </c>
      <c r="E815" s="2" t="s">
        <v>91</v>
      </c>
      <c r="F815" s="15">
        <v>45733</v>
      </c>
      <c r="G815" s="25">
        <v>-129.84</v>
      </c>
      <c r="H815" s="2" t="s">
        <v>37</v>
      </c>
      <c r="I815" s="4" t="s">
        <v>3370</v>
      </c>
      <c r="J815" s="2" t="str">
        <f>IF(tb2_CampaignResponses[[#This Row],[Gift_Amount]]&lt;0,"Review - negative amount",IF(tb2_CampaignResponses[[#This Row],[Gift_Amount]]&gt;10000,"Review - unusually large donation",""))</f>
        <v>Review - negative amount</v>
      </c>
      <c r="K815" s="21" t="str">
        <f>IF(tb2_CampaignResponses[[#This Row],[Supporter_ID]]="","Review - no supporter ID","")</f>
        <v/>
      </c>
      <c r="L815" s="21" t="str">
        <f ca="1">IF(tb2_CampaignResponses[[#This Row],[Response_Date]]&gt;TODAY(),"Review - future response date","")</f>
        <v/>
      </c>
    </row>
    <row r="816" spans="1:12" x14ac:dyDescent="0.25">
      <c r="A816" s="3" t="s">
        <v>4690</v>
      </c>
      <c r="B816" s="2" t="s">
        <v>2807</v>
      </c>
      <c r="C816" s="2" t="s">
        <v>3362</v>
      </c>
      <c r="D816" s="2" t="s">
        <v>3363</v>
      </c>
      <c r="E816" s="2" t="s">
        <v>65</v>
      </c>
      <c r="F816" s="15">
        <v>45575</v>
      </c>
      <c r="G816" s="25">
        <v>195.24</v>
      </c>
      <c r="H816" s="2" t="s">
        <v>36</v>
      </c>
      <c r="I816" s="4" t="s">
        <v>3370</v>
      </c>
      <c r="J816" s="2" t="str">
        <f>IF(tb2_CampaignResponses[[#This Row],[Gift_Amount]]&lt;0,"Review - negative amount",IF(tb2_CampaignResponses[[#This Row],[Gift_Amount]]&gt;10000,"Review - unusually large donation",""))</f>
        <v/>
      </c>
      <c r="K816" s="21" t="str">
        <f>IF(tb2_CampaignResponses[[#This Row],[Supporter_ID]]="","Review - no supporter ID","")</f>
        <v/>
      </c>
      <c r="L816" s="21" t="str">
        <f ca="1">IF(tb2_CampaignResponses[[#This Row],[Response_Date]]&gt;TODAY(),"Review - future response date","")</f>
        <v/>
      </c>
    </row>
    <row r="817" spans="1:12" x14ac:dyDescent="0.25">
      <c r="A817" s="3" t="s">
        <v>4691</v>
      </c>
      <c r="B817" s="2" t="s">
        <v>908</v>
      </c>
      <c r="C817" s="2" t="s">
        <v>3336</v>
      </c>
      <c r="D817" s="2" t="s">
        <v>3337</v>
      </c>
      <c r="E817" s="2" t="s">
        <v>3316</v>
      </c>
      <c r="F817" s="15">
        <v>45564</v>
      </c>
      <c r="G817" s="25">
        <v>69.03</v>
      </c>
      <c r="H817" s="2" t="s">
        <v>36</v>
      </c>
      <c r="I817" s="4" t="s">
        <v>3365</v>
      </c>
      <c r="J817" s="2" t="str">
        <f>IF(tb2_CampaignResponses[[#This Row],[Gift_Amount]]&lt;0,"Review - negative amount",IF(tb2_CampaignResponses[[#This Row],[Gift_Amount]]&gt;10000,"Review - unusually large donation",""))</f>
        <v/>
      </c>
      <c r="K817" s="21" t="str">
        <f>IF(tb2_CampaignResponses[[#This Row],[Supporter_ID]]="","Review - no supporter ID","")</f>
        <v/>
      </c>
      <c r="L817" s="21" t="str">
        <f ca="1">IF(tb2_CampaignResponses[[#This Row],[Response_Date]]&gt;TODAY(),"Review - future response date","")</f>
        <v/>
      </c>
    </row>
    <row r="818" spans="1:12" x14ac:dyDescent="0.25">
      <c r="A818" s="3" t="s">
        <v>4692</v>
      </c>
      <c r="B818" s="2" t="s">
        <v>2992</v>
      </c>
      <c r="C818" s="2" t="s">
        <v>3336</v>
      </c>
      <c r="D818" s="2" t="s">
        <v>3337</v>
      </c>
      <c r="E818" s="2" t="s">
        <v>4</v>
      </c>
      <c r="F818" s="15">
        <v>45558</v>
      </c>
      <c r="G818" s="25">
        <v>9.1999999999999993</v>
      </c>
      <c r="H818" s="2" t="s">
        <v>36</v>
      </c>
      <c r="I818" s="4" t="s">
        <v>3334</v>
      </c>
      <c r="J818" s="2" t="str">
        <f>IF(tb2_CampaignResponses[[#This Row],[Gift_Amount]]&lt;0,"Review - negative amount",IF(tb2_CampaignResponses[[#This Row],[Gift_Amount]]&gt;10000,"Review - unusually large donation",""))</f>
        <v/>
      </c>
      <c r="K818" s="21" t="str">
        <f>IF(tb2_CampaignResponses[[#This Row],[Supporter_ID]]="","Review - no supporter ID","")</f>
        <v/>
      </c>
      <c r="L818" s="21" t="str">
        <f ca="1">IF(tb2_CampaignResponses[[#This Row],[Response_Date]]&gt;TODAY(),"Review - future response date","")</f>
        <v/>
      </c>
    </row>
    <row r="819" spans="1:12" x14ac:dyDescent="0.25">
      <c r="A819" s="3" t="s">
        <v>4694</v>
      </c>
      <c r="B819" s="2" t="s">
        <v>2011</v>
      </c>
      <c r="C819" s="2" t="s">
        <v>3341</v>
      </c>
      <c r="D819" s="2" t="s">
        <v>3342</v>
      </c>
      <c r="E819" s="2" t="s">
        <v>4</v>
      </c>
      <c r="F819" s="15">
        <v>45692</v>
      </c>
      <c r="G819" s="25">
        <v>11.7</v>
      </c>
      <c r="H819" s="2" t="s">
        <v>37</v>
      </c>
      <c r="I819" s="4" t="s">
        <v>3365</v>
      </c>
      <c r="J819" s="2" t="str">
        <f>IF(tb2_CampaignResponses[[#This Row],[Gift_Amount]]&lt;0,"Review - negative amount",IF(tb2_CampaignResponses[[#This Row],[Gift_Amount]]&gt;10000,"Review - unusually large donation",""))</f>
        <v/>
      </c>
      <c r="K819" s="21" t="str">
        <f>IF(tb2_CampaignResponses[[#This Row],[Supporter_ID]]="","Review - no supporter ID","")</f>
        <v/>
      </c>
      <c r="L819" s="21" t="str">
        <f ca="1">IF(tb2_CampaignResponses[[#This Row],[Response_Date]]&gt;TODAY(),"Review - future response date","")</f>
        <v/>
      </c>
    </row>
    <row r="820" spans="1:12" x14ac:dyDescent="0.25">
      <c r="A820" s="3" t="s">
        <v>4695</v>
      </c>
      <c r="B820" s="2" t="s">
        <v>2680</v>
      </c>
      <c r="C820" s="2" t="s">
        <v>3314</v>
      </c>
      <c r="D820" s="2" t="s">
        <v>3315</v>
      </c>
      <c r="E820" s="2" t="s">
        <v>3316</v>
      </c>
      <c r="F820" s="15">
        <v>45745</v>
      </c>
      <c r="G820" s="25">
        <v>455</v>
      </c>
      <c r="H820" s="2" t="s">
        <v>36</v>
      </c>
      <c r="I820" s="4" t="s">
        <v>3385</v>
      </c>
      <c r="J820" s="2" t="str">
        <f>IF(tb2_CampaignResponses[[#This Row],[Gift_Amount]]&lt;0,"Review - negative amount",IF(tb2_CampaignResponses[[#This Row],[Gift_Amount]]&gt;10000,"Review - unusually large donation",""))</f>
        <v/>
      </c>
      <c r="K820" s="21" t="str">
        <f>IF(tb2_CampaignResponses[[#This Row],[Supporter_ID]]="","Review - no supporter ID","")</f>
        <v/>
      </c>
      <c r="L820" s="21" t="str">
        <f ca="1">IF(tb2_CampaignResponses[[#This Row],[Response_Date]]&gt;TODAY(),"Review - future response date","")</f>
        <v/>
      </c>
    </row>
    <row r="821" spans="1:12" x14ac:dyDescent="0.25">
      <c r="A821" s="3" t="s">
        <v>4696</v>
      </c>
      <c r="B821" s="2" t="s">
        <v>1452</v>
      </c>
      <c r="C821" s="2" t="s">
        <v>3427</v>
      </c>
      <c r="D821" s="2" t="s">
        <v>3428</v>
      </c>
      <c r="E821" s="2" t="s">
        <v>4</v>
      </c>
      <c r="F821" s="15">
        <v>45488</v>
      </c>
      <c r="G821" s="25">
        <v>60.26</v>
      </c>
      <c r="H821" s="2" t="s">
        <v>36</v>
      </c>
      <c r="I821" s="4" t="s">
        <v>3331</v>
      </c>
      <c r="J821" s="2" t="str">
        <f>IF(tb2_CampaignResponses[[#This Row],[Gift_Amount]]&lt;0,"Review - negative amount",IF(tb2_CampaignResponses[[#This Row],[Gift_Amount]]&gt;10000,"Review - unusually large donation",""))</f>
        <v/>
      </c>
      <c r="K821" s="21" t="str">
        <f>IF(tb2_CampaignResponses[[#This Row],[Supporter_ID]]="","Review - no supporter ID","")</f>
        <v/>
      </c>
      <c r="L821" s="21" t="str">
        <f ca="1">IF(tb2_CampaignResponses[[#This Row],[Response_Date]]&gt;TODAY(),"Review - future response date","")</f>
        <v/>
      </c>
    </row>
    <row r="822" spans="1:12" x14ac:dyDescent="0.25">
      <c r="A822" s="3" t="s">
        <v>4697</v>
      </c>
      <c r="B822" s="2" t="s">
        <v>2970</v>
      </c>
      <c r="C822" s="2" t="s">
        <v>3403</v>
      </c>
      <c r="D822" s="2" t="s">
        <v>3404</v>
      </c>
      <c r="E822" s="2" t="s">
        <v>3316</v>
      </c>
      <c r="F822" s="15">
        <v>45627</v>
      </c>
      <c r="G822" s="25">
        <v>13.02</v>
      </c>
      <c r="H822" s="2" t="s">
        <v>36</v>
      </c>
      <c r="I822" s="4" t="s">
        <v>3370</v>
      </c>
      <c r="J822" s="2" t="str">
        <f>IF(tb2_CampaignResponses[[#This Row],[Gift_Amount]]&lt;0,"Review - negative amount",IF(tb2_CampaignResponses[[#This Row],[Gift_Amount]]&gt;10000,"Review - unusually large donation",""))</f>
        <v/>
      </c>
      <c r="K822" s="21" t="str">
        <f>IF(tb2_CampaignResponses[[#This Row],[Supporter_ID]]="","Review - no supporter ID","")</f>
        <v/>
      </c>
      <c r="L822" s="21" t="str">
        <f ca="1">IF(tb2_CampaignResponses[[#This Row],[Response_Date]]&gt;TODAY(),"Review - future response date","")</f>
        <v/>
      </c>
    </row>
    <row r="823" spans="1:12" x14ac:dyDescent="0.25">
      <c r="A823" s="3" t="s">
        <v>4699</v>
      </c>
      <c r="B823" s="2" t="s">
        <v>2006</v>
      </c>
      <c r="C823" s="2" t="s">
        <v>3427</v>
      </c>
      <c r="D823" s="2" t="s">
        <v>3428</v>
      </c>
      <c r="E823" s="2" t="s">
        <v>4</v>
      </c>
      <c r="F823" s="15">
        <v>45488</v>
      </c>
      <c r="G823" s="25">
        <v>271.95999999999998</v>
      </c>
      <c r="H823" s="2" t="s">
        <v>36</v>
      </c>
      <c r="I823" s="4" t="s">
        <v>3385</v>
      </c>
      <c r="J823" s="2" t="str">
        <f>IF(tb2_CampaignResponses[[#This Row],[Gift_Amount]]&lt;0,"Review - negative amount",IF(tb2_CampaignResponses[[#This Row],[Gift_Amount]]&gt;10000,"Review - unusually large donation",""))</f>
        <v/>
      </c>
      <c r="K823" s="21" t="str">
        <f>IF(tb2_CampaignResponses[[#This Row],[Supporter_ID]]="","Review - no supporter ID","")</f>
        <v/>
      </c>
      <c r="L823" s="21" t="str">
        <f ca="1">IF(tb2_CampaignResponses[[#This Row],[Response_Date]]&gt;TODAY(),"Review - future response date","")</f>
        <v/>
      </c>
    </row>
    <row r="824" spans="1:12" x14ac:dyDescent="0.25">
      <c r="A824" s="3" t="s">
        <v>4700</v>
      </c>
      <c r="B824" s="2" t="s">
        <v>1135</v>
      </c>
      <c r="C824" s="2" t="s">
        <v>3403</v>
      </c>
      <c r="D824" s="2" t="s">
        <v>3404</v>
      </c>
      <c r="E824" s="2" t="s">
        <v>3316</v>
      </c>
      <c r="F824" s="15">
        <v>45607</v>
      </c>
      <c r="G824" s="25">
        <v>118.28</v>
      </c>
      <c r="H824" s="2" t="s">
        <v>36</v>
      </c>
      <c r="I824" s="4" t="s">
        <v>3318</v>
      </c>
      <c r="J824" s="2" t="str">
        <f>IF(tb2_CampaignResponses[[#This Row],[Gift_Amount]]&lt;0,"Review - negative amount",IF(tb2_CampaignResponses[[#This Row],[Gift_Amount]]&gt;10000,"Review - unusually large donation",""))</f>
        <v/>
      </c>
      <c r="K824" s="21" t="str">
        <f>IF(tb2_CampaignResponses[[#This Row],[Supporter_ID]]="","Review - no supporter ID","")</f>
        <v/>
      </c>
      <c r="L824" s="21" t="str">
        <f ca="1">IF(tb2_CampaignResponses[[#This Row],[Response_Date]]&gt;TODAY(),"Review - future response date","")</f>
        <v/>
      </c>
    </row>
    <row r="825" spans="1:12" x14ac:dyDescent="0.25">
      <c r="A825" s="3" t="s">
        <v>4702</v>
      </c>
      <c r="B825" s="2" t="s">
        <v>2650</v>
      </c>
      <c r="C825" s="2" t="s">
        <v>3325</v>
      </c>
      <c r="D825" s="2" t="s">
        <v>3326</v>
      </c>
      <c r="E825" s="2" t="s">
        <v>3316</v>
      </c>
      <c r="F825" s="15">
        <v>46349</v>
      </c>
      <c r="G825" s="25">
        <v>121.36</v>
      </c>
      <c r="H825" s="2" t="s">
        <v>37</v>
      </c>
      <c r="I825" s="4" t="s">
        <v>3318</v>
      </c>
      <c r="J825" s="2" t="str">
        <f>IF(tb2_CampaignResponses[[#This Row],[Gift_Amount]]&lt;0,"Review - negative amount",IF(tb2_CampaignResponses[[#This Row],[Gift_Amount]]&gt;10000,"Review - unusually large donation",""))</f>
        <v/>
      </c>
      <c r="K825" s="21" t="str">
        <f>IF(tb2_CampaignResponses[[#This Row],[Supporter_ID]]="","Review - no supporter ID","")</f>
        <v/>
      </c>
      <c r="L825" s="21" t="str">
        <f ca="1">IF(tb2_CampaignResponses[[#This Row],[Response_Date]]&gt;TODAY(),"Review - future response date","")</f>
        <v>Review - future response date</v>
      </c>
    </row>
    <row r="826" spans="1:12" x14ac:dyDescent="0.25">
      <c r="A826" s="3" t="s">
        <v>4704</v>
      </c>
      <c r="B826" s="2" t="s">
        <v>1744</v>
      </c>
      <c r="C826" s="2" t="s">
        <v>3341</v>
      </c>
      <c r="D826" s="2" t="s">
        <v>3342</v>
      </c>
      <c r="E826" s="2" t="s">
        <v>91</v>
      </c>
      <c r="F826" s="15">
        <v>45722</v>
      </c>
      <c r="G826" s="25">
        <v>27.49</v>
      </c>
      <c r="H826" s="2" t="s">
        <v>36</v>
      </c>
      <c r="I826" s="4" t="s">
        <v>3328</v>
      </c>
      <c r="J826" s="2" t="str">
        <f>IF(tb2_CampaignResponses[[#This Row],[Gift_Amount]]&lt;0,"Review - negative amount",IF(tb2_CampaignResponses[[#This Row],[Gift_Amount]]&gt;10000,"Review - unusually large donation",""))</f>
        <v/>
      </c>
      <c r="K826" s="21" t="str">
        <f>IF(tb2_CampaignResponses[[#This Row],[Supporter_ID]]="","Review - no supporter ID","")</f>
        <v/>
      </c>
      <c r="L826" s="21" t="str">
        <f ca="1">IF(tb2_CampaignResponses[[#This Row],[Response_Date]]&gt;TODAY(),"Review - future response date","")</f>
        <v/>
      </c>
    </row>
    <row r="827" spans="1:12" x14ac:dyDescent="0.25">
      <c r="A827" s="3" t="s">
        <v>4706</v>
      </c>
      <c r="B827" s="2" t="s">
        <v>2393</v>
      </c>
      <c r="C827" s="2" t="s">
        <v>3320</v>
      </c>
      <c r="D827" s="2" t="s">
        <v>3321</v>
      </c>
      <c r="E827" s="2" t="s">
        <v>65</v>
      </c>
      <c r="F827" s="15">
        <v>45459</v>
      </c>
      <c r="G827" s="25">
        <v>87.43</v>
      </c>
      <c r="H827" s="2" t="s">
        <v>36</v>
      </c>
      <c r="I827" s="4" t="s">
        <v>3328</v>
      </c>
      <c r="J827" s="2" t="str">
        <f>IF(tb2_CampaignResponses[[#This Row],[Gift_Amount]]&lt;0,"Review - negative amount",IF(tb2_CampaignResponses[[#This Row],[Gift_Amount]]&gt;10000,"Review - unusually large donation",""))</f>
        <v/>
      </c>
      <c r="K827" s="21" t="str">
        <f>IF(tb2_CampaignResponses[[#This Row],[Supporter_ID]]="","Review - no supporter ID","")</f>
        <v/>
      </c>
      <c r="L827" s="21" t="str">
        <f ca="1">IF(tb2_CampaignResponses[[#This Row],[Response_Date]]&gt;TODAY(),"Review - future response date","")</f>
        <v/>
      </c>
    </row>
    <row r="828" spans="1:12" x14ac:dyDescent="0.25">
      <c r="A828" s="3" t="s">
        <v>4707</v>
      </c>
      <c r="B828" s="2" t="s">
        <v>94</v>
      </c>
      <c r="C828" s="2" t="s">
        <v>3341</v>
      </c>
      <c r="D828" s="2" t="s">
        <v>3342</v>
      </c>
      <c r="E828" s="2" t="s">
        <v>4</v>
      </c>
      <c r="F828" s="15">
        <v>45709</v>
      </c>
      <c r="G828" s="25">
        <v>13.58</v>
      </c>
      <c r="H828" s="2" t="s">
        <v>36</v>
      </c>
      <c r="I828" s="4" t="s">
        <v>3328</v>
      </c>
      <c r="J828" s="2" t="str">
        <f>IF(tb2_CampaignResponses[[#This Row],[Gift_Amount]]&lt;0,"Review - negative amount",IF(tb2_CampaignResponses[[#This Row],[Gift_Amount]]&gt;10000,"Review - unusually large donation",""))</f>
        <v/>
      </c>
      <c r="K828" s="21" t="str">
        <f>IF(tb2_CampaignResponses[[#This Row],[Supporter_ID]]="","Review - no supporter ID","")</f>
        <v/>
      </c>
      <c r="L828" s="21" t="str">
        <f ca="1">IF(tb2_CampaignResponses[[#This Row],[Response_Date]]&gt;TODAY(),"Review - future response date","")</f>
        <v/>
      </c>
    </row>
    <row r="829" spans="1:12" x14ac:dyDescent="0.25">
      <c r="A829" s="3" t="s">
        <v>4709</v>
      </c>
      <c r="B829" s="2" t="s">
        <v>68</v>
      </c>
      <c r="C829" s="2" t="s">
        <v>3320</v>
      </c>
      <c r="D829" s="2" t="s">
        <v>3321</v>
      </c>
      <c r="E829" s="2" t="s">
        <v>65</v>
      </c>
      <c r="F829" s="15">
        <v>45456</v>
      </c>
      <c r="G829" s="25">
        <v>53.88</v>
      </c>
      <c r="H829" s="2" t="s">
        <v>36</v>
      </c>
      <c r="I829" s="4" t="s">
        <v>3385</v>
      </c>
      <c r="J829" s="2" t="str">
        <f>IF(tb2_CampaignResponses[[#This Row],[Gift_Amount]]&lt;0,"Review - negative amount",IF(tb2_CampaignResponses[[#This Row],[Gift_Amount]]&gt;10000,"Review - unusually large donation",""))</f>
        <v/>
      </c>
      <c r="K829" s="21" t="str">
        <f>IF(tb2_CampaignResponses[[#This Row],[Supporter_ID]]="","Review - no supporter ID","")</f>
        <v/>
      </c>
      <c r="L829" s="21" t="str">
        <f ca="1">IF(tb2_CampaignResponses[[#This Row],[Response_Date]]&gt;TODAY(),"Review - future response date","")</f>
        <v/>
      </c>
    </row>
    <row r="830" spans="1:12" x14ac:dyDescent="0.25">
      <c r="A830" s="3" t="s">
        <v>4711</v>
      </c>
      <c r="B830" s="2" t="s">
        <v>1749</v>
      </c>
      <c r="C830" s="2" t="s">
        <v>3354</v>
      </c>
      <c r="D830" s="2" t="s">
        <v>3355</v>
      </c>
      <c r="E830" s="2" t="s">
        <v>4</v>
      </c>
      <c r="F830" s="15">
        <v>45618</v>
      </c>
      <c r="G830" s="25">
        <v>136.05000000000001</v>
      </c>
      <c r="H830" s="2" t="s">
        <v>37</v>
      </c>
      <c r="I830" s="4" t="s">
        <v>3328</v>
      </c>
      <c r="J830" s="2" t="str">
        <f>IF(tb2_CampaignResponses[[#This Row],[Gift_Amount]]&lt;0,"Review - negative amount",IF(tb2_CampaignResponses[[#This Row],[Gift_Amount]]&gt;10000,"Review - unusually large donation",""))</f>
        <v/>
      </c>
      <c r="K830" s="21" t="str">
        <f>IF(tb2_CampaignResponses[[#This Row],[Supporter_ID]]="","Review - no supporter ID","")</f>
        <v/>
      </c>
      <c r="L830" s="21" t="str">
        <f ca="1">IF(tb2_CampaignResponses[[#This Row],[Response_Date]]&gt;TODAY(),"Review - future response date","")</f>
        <v/>
      </c>
    </row>
    <row r="831" spans="1:12" x14ac:dyDescent="0.25">
      <c r="A831" s="3" t="s">
        <v>4712</v>
      </c>
      <c r="B831" s="2" t="s">
        <v>802</v>
      </c>
      <c r="C831" s="2" t="s">
        <v>3325</v>
      </c>
      <c r="D831" s="2" t="s">
        <v>3326</v>
      </c>
      <c r="E831" s="2" t="s">
        <v>4</v>
      </c>
      <c r="F831" s="15">
        <v>45642</v>
      </c>
      <c r="G831" s="25">
        <v>91.31</v>
      </c>
      <c r="H831" s="2" t="s">
        <v>36</v>
      </c>
      <c r="I831" s="4" t="s">
        <v>3334</v>
      </c>
      <c r="J831" s="2" t="str">
        <f>IF(tb2_CampaignResponses[[#This Row],[Gift_Amount]]&lt;0,"Review - negative amount",IF(tb2_CampaignResponses[[#This Row],[Gift_Amount]]&gt;10000,"Review - unusually large donation",""))</f>
        <v/>
      </c>
      <c r="K831" s="21" t="str">
        <f>IF(tb2_CampaignResponses[[#This Row],[Supporter_ID]]="","Review - no supporter ID","")</f>
        <v/>
      </c>
      <c r="L831" s="21" t="str">
        <f ca="1">IF(tb2_CampaignResponses[[#This Row],[Response_Date]]&gt;TODAY(),"Review - future response date","")</f>
        <v/>
      </c>
    </row>
    <row r="832" spans="1:12" x14ac:dyDescent="0.25">
      <c r="A832" s="3" t="s">
        <v>4714</v>
      </c>
      <c r="B832" s="2" t="s">
        <v>2338</v>
      </c>
      <c r="C832" s="2" t="s">
        <v>3362</v>
      </c>
      <c r="D832" s="2" t="s">
        <v>3363</v>
      </c>
      <c r="E832" s="2" t="s">
        <v>65</v>
      </c>
      <c r="F832" s="15">
        <v>45577</v>
      </c>
      <c r="G832" s="25">
        <v>19.760000000000002</v>
      </c>
      <c r="H832" s="2" t="s">
        <v>36</v>
      </c>
      <c r="I832" s="4" t="s">
        <v>3385</v>
      </c>
      <c r="J832" s="2" t="str">
        <f>IF(tb2_CampaignResponses[[#This Row],[Gift_Amount]]&lt;0,"Review - negative amount",IF(tb2_CampaignResponses[[#This Row],[Gift_Amount]]&gt;10000,"Review - unusually large donation",""))</f>
        <v/>
      </c>
      <c r="K832" s="21" t="str">
        <f>IF(tb2_CampaignResponses[[#This Row],[Supporter_ID]]="","Review - no supporter ID","")</f>
        <v/>
      </c>
      <c r="L832" s="21" t="str">
        <f ca="1">IF(tb2_CampaignResponses[[#This Row],[Response_Date]]&gt;TODAY(),"Review - future response date","")</f>
        <v/>
      </c>
    </row>
    <row r="833" spans="1:12" x14ac:dyDescent="0.25">
      <c r="A833" s="3" t="s">
        <v>4715</v>
      </c>
      <c r="B833" s="2" t="s">
        <v>2148</v>
      </c>
      <c r="C833" s="2" t="s">
        <v>3325</v>
      </c>
      <c r="D833" s="2" t="s">
        <v>3326</v>
      </c>
      <c r="E833" s="2" t="s">
        <v>65</v>
      </c>
      <c r="F833" s="15">
        <v>45599</v>
      </c>
      <c r="G833" s="25">
        <v>4033.35</v>
      </c>
      <c r="H833" s="2" t="s">
        <v>37</v>
      </c>
      <c r="I833" s="4" t="s">
        <v>3331</v>
      </c>
      <c r="J833" s="2" t="str">
        <f>IF(tb2_CampaignResponses[[#This Row],[Gift_Amount]]&lt;0,"Review - negative amount",IF(tb2_CampaignResponses[[#This Row],[Gift_Amount]]&gt;10000,"Review - unusually large donation",""))</f>
        <v/>
      </c>
      <c r="K833" s="21" t="str">
        <f>IF(tb2_CampaignResponses[[#This Row],[Supporter_ID]]="","Review - no supporter ID","")</f>
        <v/>
      </c>
      <c r="L833" s="21" t="str">
        <f ca="1">IF(tb2_CampaignResponses[[#This Row],[Response_Date]]&gt;TODAY(),"Review - future response date","")</f>
        <v/>
      </c>
    </row>
    <row r="834" spans="1:12" x14ac:dyDescent="0.25">
      <c r="A834" s="3" t="s">
        <v>4717</v>
      </c>
      <c r="B834" s="2" t="s">
        <v>2257</v>
      </c>
      <c r="C834" s="2" t="s">
        <v>3403</v>
      </c>
      <c r="D834" s="2" t="s">
        <v>3404</v>
      </c>
      <c r="E834" s="2" t="s">
        <v>4</v>
      </c>
      <c r="F834" s="15">
        <v>45623</v>
      </c>
      <c r="G834" s="25">
        <v>280.68</v>
      </c>
      <c r="H834" s="2" t="s">
        <v>36</v>
      </c>
      <c r="I834" s="4" t="s">
        <v>3331</v>
      </c>
      <c r="J834" s="2" t="str">
        <f>IF(tb2_CampaignResponses[[#This Row],[Gift_Amount]]&lt;0,"Review - negative amount",IF(tb2_CampaignResponses[[#This Row],[Gift_Amount]]&gt;10000,"Review - unusually large donation",""))</f>
        <v/>
      </c>
      <c r="K834" s="21" t="str">
        <f>IF(tb2_CampaignResponses[[#This Row],[Supporter_ID]]="","Review - no supporter ID","")</f>
        <v/>
      </c>
      <c r="L834" s="21" t="str">
        <f ca="1">IF(tb2_CampaignResponses[[#This Row],[Response_Date]]&gt;TODAY(),"Review - future response date","")</f>
        <v/>
      </c>
    </row>
    <row r="835" spans="1:12" x14ac:dyDescent="0.25">
      <c r="A835" s="3" t="s">
        <v>4718</v>
      </c>
      <c r="B835" s="2" t="s">
        <v>3043</v>
      </c>
      <c r="C835" s="2" t="s">
        <v>3325</v>
      </c>
      <c r="D835" s="2" t="s">
        <v>3326</v>
      </c>
      <c r="E835" s="2" t="s">
        <v>65</v>
      </c>
      <c r="F835" s="15">
        <v>45606</v>
      </c>
      <c r="G835" s="25">
        <v>98.05</v>
      </c>
      <c r="H835" s="2" t="s">
        <v>37</v>
      </c>
      <c r="I835" s="4" t="s">
        <v>3365</v>
      </c>
      <c r="J835" s="2" t="str">
        <f>IF(tb2_CampaignResponses[[#This Row],[Gift_Amount]]&lt;0,"Review - negative amount",IF(tb2_CampaignResponses[[#This Row],[Gift_Amount]]&gt;10000,"Review - unusually large donation",""))</f>
        <v/>
      </c>
      <c r="K835" s="21" t="str">
        <f>IF(tb2_CampaignResponses[[#This Row],[Supporter_ID]]="","Review - no supporter ID","")</f>
        <v/>
      </c>
      <c r="L835" s="21" t="str">
        <f ca="1">IF(tb2_CampaignResponses[[#This Row],[Response_Date]]&gt;TODAY(),"Review - future response date","")</f>
        <v/>
      </c>
    </row>
    <row r="836" spans="1:12" x14ac:dyDescent="0.25">
      <c r="A836" s="3" t="s">
        <v>4720</v>
      </c>
      <c r="B836" s="2" t="s">
        <v>2686</v>
      </c>
      <c r="C836" s="2" t="s">
        <v>3341</v>
      </c>
      <c r="D836" s="2" t="s">
        <v>3342</v>
      </c>
      <c r="E836" s="2" t="s">
        <v>4</v>
      </c>
      <c r="F836" s="15">
        <v>45771</v>
      </c>
      <c r="G836" s="25">
        <v>39.69</v>
      </c>
      <c r="H836" s="2" t="s">
        <v>37</v>
      </c>
      <c r="I836" s="4" t="s">
        <v>3370</v>
      </c>
      <c r="J836" s="2" t="str">
        <f>IF(tb2_CampaignResponses[[#This Row],[Gift_Amount]]&lt;0,"Review - negative amount",IF(tb2_CampaignResponses[[#This Row],[Gift_Amount]]&gt;10000,"Review - unusually large donation",""))</f>
        <v/>
      </c>
      <c r="K836" s="21" t="str">
        <f>IF(tb2_CampaignResponses[[#This Row],[Supporter_ID]]="","Review - no supporter ID","")</f>
        <v/>
      </c>
      <c r="L836" s="21" t="str">
        <f ca="1">IF(tb2_CampaignResponses[[#This Row],[Response_Date]]&gt;TODAY(),"Review - future response date","")</f>
        <v/>
      </c>
    </row>
    <row r="837" spans="1:12" x14ac:dyDescent="0.25">
      <c r="A837" s="3" t="s">
        <v>4722</v>
      </c>
      <c r="B837" s="2" t="s">
        <v>777</v>
      </c>
      <c r="C837" s="2" t="s">
        <v>3403</v>
      </c>
      <c r="D837" s="2" t="s">
        <v>3404</v>
      </c>
      <c r="E837" s="2" t="s">
        <v>3316</v>
      </c>
      <c r="F837" s="15">
        <v>45618</v>
      </c>
      <c r="G837" s="25">
        <v>4925.8599999999997</v>
      </c>
      <c r="H837" s="2" t="s">
        <v>36</v>
      </c>
      <c r="I837" s="4" t="s">
        <v>3331</v>
      </c>
      <c r="J837" s="2" t="str">
        <f>IF(tb2_CampaignResponses[[#This Row],[Gift_Amount]]&lt;0,"Review - negative amount",IF(tb2_CampaignResponses[[#This Row],[Gift_Amount]]&gt;10000,"Review - unusually large donation",""))</f>
        <v/>
      </c>
      <c r="K837" s="21" t="str">
        <f>IF(tb2_CampaignResponses[[#This Row],[Supporter_ID]]="","Review - no supporter ID","")</f>
        <v/>
      </c>
      <c r="L837" s="21" t="str">
        <f ca="1">IF(tb2_CampaignResponses[[#This Row],[Response_Date]]&gt;TODAY(),"Review - future response date","")</f>
        <v/>
      </c>
    </row>
    <row r="838" spans="1:12" x14ac:dyDescent="0.25">
      <c r="A838" s="3" t="s">
        <v>4723</v>
      </c>
      <c r="B838" s="2" t="s">
        <v>2952</v>
      </c>
      <c r="C838" s="2" t="s">
        <v>3325</v>
      </c>
      <c r="D838" s="2" t="s">
        <v>3326</v>
      </c>
      <c r="E838" s="2" t="s">
        <v>65</v>
      </c>
      <c r="F838" s="15">
        <v>45649</v>
      </c>
      <c r="G838" s="25">
        <v>12.64</v>
      </c>
      <c r="H838" s="2" t="s">
        <v>36</v>
      </c>
      <c r="I838" s="4" t="s">
        <v>3365</v>
      </c>
      <c r="J838" s="2" t="str">
        <f>IF(tb2_CampaignResponses[[#This Row],[Gift_Amount]]&lt;0,"Review - negative amount",IF(tb2_CampaignResponses[[#This Row],[Gift_Amount]]&gt;10000,"Review - unusually large donation",""))</f>
        <v/>
      </c>
      <c r="K838" s="21" t="str">
        <f>IF(tb2_CampaignResponses[[#This Row],[Supporter_ID]]="","Review - no supporter ID","")</f>
        <v/>
      </c>
      <c r="L838" s="21" t="str">
        <f ca="1">IF(tb2_CampaignResponses[[#This Row],[Response_Date]]&gt;TODAY(),"Review - future response date","")</f>
        <v/>
      </c>
    </row>
    <row r="839" spans="1:12" x14ac:dyDescent="0.25">
      <c r="A839" s="3" t="s">
        <v>4725</v>
      </c>
      <c r="B839" s="2" t="s">
        <v>351</v>
      </c>
      <c r="C839" s="2" t="s">
        <v>3320</v>
      </c>
      <c r="D839" s="2" t="s">
        <v>3321</v>
      </c>
      <c r="E839" s="2" t="s">
        <v>65</v>
      </c>
      <c r="F839" s="15">
        <v>45464</v>
      </c>
      <c r="G839" s="25">
        <v>91.91</v>
      </c>
      <c r="H839" s="2" t="s">
        <v>36</v>
      </c>
      <c r="I839" s="4" t="s">
        <v>3318</v>
      </c>
      <c r="J839" s="2" t="str">
        <f>IF(tb2_CampaignResponses[[#This Row],[Gift_Amount]]&lt;0,"Review - negative amount",IF(tb2_CampaignResponses[[#This Row],[Gift_Amount]]&gt;10000,"Review - unusually large donation",""))</f>
        <v/>
      </c>
      <c r="K839" s="21" t="str">
        <f>IF(tb2_CampaignResponses[[#This Row],[Supporter_ID]]="","Review - no supporter ID","")</f>
        <v/>
      </c>
      <c r="L839" s="21" t="str">
        <f ca="1">IF(tb2_CampaignResponses[[#This Row],[Response_Date]]&gt;TODAY(),"Review - future response date","")</f>
        <v/>
      </c>
    </row>
    <row r="840" spans="1:12" x14ac:dyDescent="0.25">
      <c r="A840" s="3" t="s">
        <v>4726</v>
      </c>
      <c r="B840" s="2" t="s">
        <v>1173</v>
      </c>
      <c r="C840" s="2" t="s">
        <v>3314</v>
      </c>
      <c r="D840" s="2" t="s">
        <v>3315</v>
      </c>
      <c r="E840" s="2" t="s">
        <v>3316</v>
      </c>
      <c r="F840" s="15">
        <v>45723</v>
      </c>
      <c r="G840" s="25">
        <v>85.61</v>
      </c>
      <c r="H840" s="2" t="s">
        <v>36</v>
      </c>
      <c r="I840" s="4" t="s">
        <v>3331</v>
      </c>
      <c r="J840" s="2" t="str">
        <f>IF(tb2_CampaignResponses[[#This Row],[Gift_Amount]]&lt;0,"Review - negative amount",IF(tb2_CampaignResponses[[#This Row],[Gift_Amount]]&gt;10000,"Review - unusually large donation",""))</f>
        <v/>
      </c>
      <c r="K840" s="21" t="str">
        <f>IF(tb2_CampaignResponses[[#This Row],[Supporter_ID]]="","Review - no supporter ID","")</f>
        <v/>
      </c>
      <c r="L840" s="21" t="str">
        <f ca="1">IF(tb2_CampaignResponses[[#This Row],[Response_Date]]&gt;TODAY(),"Review - future response date","")</f>
        <v/>
      </c>
    </row>
    <row r="841" spans="1:12" x14ac:dyDescent="0.25">
      <c r="A841" s="3" t="s">
        <v>4727</v>
      </c>
      <c r="B841" s="2" t="s">
        <v>2958</v>
      </c>
      <c r="C841" s="2" t="s">
        <v>3427</v>
      </c>
      <c r="D841" s="2" t="s">
        <v>3428</v>
      </c>
      <c r="E841" s="2" t="s">
        <v>65</v>
      </c>
      <c r="F841" s="15">
        <v>45488</v>
      </c>
      <c r="G841" s="25">
        <v>112.7</v>
      </c>
      <c r="H841" s="2" t="s">
        <v>36</v>
      </c>
      <c r="I841" s="4" t="s">
        <v>3385</v>
      </c>
      <c r="J841" s="2" t="str">
        <f>IF(tb2_CampaignResponses[[#This Row],[Gift_Amount]]&lt;0,"Review - negative amount",IF(tb2_CampaignResponses[[#This Row],[Gift_Amount]]&gt;10000,"Review - unusually large donation",""))</f>
        <v/>
      </c>
      <c r="K841" s="21" t="str">
        <f>IF(tb2_CampaignResponses[[#This Row],[Supporter_ID]]="","Review - no supporter ID","")</f>
        <v/>
      </c>
      <c r="L841" s="21" t="str">
        <f ca="1">IF(tb2_CampaignResponses[[#This Row],[Response_Date]]&gt;TODAY(),"Review - future response date","")</f>
        <v/>
      </c>
    </row>
    <row r="842" spans="1:12" x14ac:dyDescent="0.25">
      <c r="A842" s="3" t="s">
        <v>4728</v>
      </c>
      <c r="B842" s="2" t="s">
        <v>3021</v>
      </c>
      <c r="C842" s="2" t="s">
        <v>3314</v>
      </c>
      <c r="D842" s="2" t="s">
        <v>3315</v>
      </c>
      <c r="E842" s="2" t="s">
        <v>3316</v>
      </c>
      <c r="F842" s="15">
        <v>45964</v>
      </c>
      <c r="G842" s="25">
        <v>49.35</v>
      </c>
      <c r="H842" s="2" t="s">
        <v>36</v>
      </c>
      <c r="I842" s="4" t="s">
        <v>3370</v>
      </c>
      <c r="J842" s="2" t="str">
        <f>IF(tb2_CampaignResponses[[#This Row],[Gift_Amount]]&lt;0,"Review - negative amount",IF(tb2_CampaignResponses[[#This Row],[Gift_Amount]]&gt;10000,"Review - unusually large donation",""))</f>
        <v/>
      </c>
      <c r="K842" s="21" t="str">
        <f>IF(tb2_CampaignResponses[[#This Row],[Supporter_ID]]="","Review - no supporter ID","")</f>
        <v/>
      </c>
      <c r="L842" s="21" t="str">
        <f ca="1">IF(tb2_CampaignResponses[[#This Row],[Response_Date]]&gt;TODAY(),"Review - future response date","")</f>
        <v/>
      </c>
    </row>
    <row r="843" spans="1:12" x14ac:dyDescent="0.25">
      <c r="A843" s="3" t="s">
        <v>4730</v>
      </c>
      <c r="B843" s="2" t="s">
        <v>2148</v>
      </c>
      <c r="C843" s="2" t="s">
        <v>3341</v>
      </c>
      <c r="D843" s="2" t="s">
        <v>3342</v>
      </c>
      <c r="E843" s="2" t="s">
        <v>4</v>
      </c>
      <c r="F843" s="15">
        <v>45709</v>
      </c>
      <c r="G843" s="25">
        <v>4955.78</v>
      </c>
      <c r="H843" s="2" t="s">
        <v>36</v>
      </c>
      <c r="I843" s="4" t="s">
        <v>3323</v>
      </c>
      <c r="J843" s="2" t="str">
        <f>IF(tb2_CampaignResponses[[#This Row],[Gift_Amount]]&lt;0,"Review - negative amount",IF(tb2_CampaignResponses[[#This Row],[Gift_Amount]]&gt;10000,"Review - unusually large donation",""))</f>
        <v/>
      </c>
      <c r="K843" s="21" t="str">
        <f>IF(tb2_CampaignResponses[[#This Row],[Supporter_ID]]="","Review - no supporter ID","")</f>
        <v/>
      </c>
      <c r="L843" s="21" t="str">
        <f ca="1">IF(tb2_CampaignResponses[[#This Row],[Response_Date]]&gt;TODAY(),"Review - future response date","")</f>
        <v/>
      </c>
    </row>
    <row r="844" spans="1:12" x14ac:dyDescent="0.25">
      <c r="A844" s="3" t="s">
        <v>4732</v>
      </c>
      <c r="B844" s="2" t="s">
        <v>3242</v>
      </c>
      <c r="C844" s="2" t="s">
        <v>3427</v>
      </c>
      <c r="D844" s="2" t="s">
        <v>3428</v>
      </c>
      <c r="E844" s="2" t="s">
        <v>4</v>
      </c>
      <c r="F844" s="15">
        <v>45488</v>
      </c>
      <c r="G844" s="25">
        <v>47.69</v>
      </c>
      <c r="H844" s="2" t="s">
        <v>37</v>
      </c>
      <c r="I844" s="4" t="s">
        <v>3331</v>
      </c>
      <c r="J844" s="2" t="str">
        <f>IF(tb2_CampaignResponses[[#This Row],[Gift_Amount]]&lt;0,"Review - negative amount",IF(tb2_CampaignResponses[[#This Row],[Gift_Amount]]&gt;10000,"Review - unusually large donation",""))</f>
        <v/>
      </c>
      <c r="K844" s="21" t="str">
        <f>IF(tb2_CampaignResponses[[#This Row],[Supporter_ID]]="","Review - no supporter ID","")</f>
        <v/>
      </c>
      <c r="L844" s="21" t="str">
        <f ca="1">IF(tb2_CampaignResponses[[#This Row],[Response_Date]]&gt;TODAY(),"Review - future response date","")</f>
        <v/>
      </c>
    </row>
    <row r="845" spans="1:12" x14ac:dyDescent="0.25">
      <c r="A845" s="3" t="s">
        <v>4733</v>
      </c>
      <c r="B845" s="2" t="s">
        <v>3266</v>
      </c>
      <c r="C845" s="2" t="s">
        <v>3367</v>
      </c>
      <c r="D845" s="2" t="s">
        <v>3368</v>
      </c>
      <c r="E845" s="2" t="s">
        <v>4</v>
      </c>
      <c r="F845" s="15">
        <v>45739</v>
      </c>
      <c r="G845" s="25">
        <v>27.05</v>
      </c>
      <c r="H845" s="2" t="s">
        <v>36</v>
      </c>
      <c r="I845" s="4" t="s">
        <v>3323</v>
      </c>
      <c r="J845" s="2" t="str">
        <f>IF(tb2_CampaignResponses[[#This Row],[Gift_Amount]]&lt;0,"Review - negative amount",IF(tb2_CampaignResponses[[#This Row],[Gift_Amount]]&gt;10000,"Review - unusually large donation",""))</f>
        <v/>
      </c>
      <c r="K845" s="21" t="str">
        <f>IF(tb2_CampaignResponses[[#This Row],[Supporter_ID]]="","Review - no supporter ID","")</f>
        <v/>
      </c>
      <c r="L845" s="21" t="str">
        <f ca="1">IF(tb2_CampaignResponses[[#This Row],[Response_Date]]&gt;TODAY(),"Review - future response date","")</f>
        <v/>
      </c>
    </row>
    <row r="846" spans="1:12" x14ac:dyDescent="0.25">
      <c r="A846" s="3" t="s">
        <v>4735</v>
      </c>
      <c r="B846" s="2" t="s">
        <v>1538</v>
      </c>
      <c r="C846" s="2" t="s">
        <v>3341</v>
      </c>
      <c r="D846" s="2" t="s">
        <v>3342</v>
      </c>
      <c r="E846" s="2" t="s">
        <v>3316</v>
      </c>
      <c r="F846" s="15">
        <v>45741</v>
      </c>
      <c r="G846" s="25">
        <v>20.350000000000001</v>
      </c>
      <c r="H846" s="2" t="s">
        <v>37</v>
      </c>
      <c r="I846" s="4" t="s">
        <v>3385</v>
      </c>
      <c r="J846" s="2" t="str">
        <f>IF(tb2_CampaignResponses[[#This Row],[Gift_Amount]]&lt;0,"Review - negative amount",IF(tb2_CampaignResponses[[#This Row],[Gift_Amount]]&gt;10000,"Review - unusually large donation",""))</f>
        <v/>
      </c>
      <c r="K846" s="21" t="str">
        <f>IF(tb2_CampaignResponses[[#This Row],[Supporter_ID]]="","Review - no supporter ID","")</f>
        <v/>
      </c>
      <c r="L846" s="21" t="str">
        <f ca="1">IF(tb2_CampaignResponses[[#This Row],[Response_Date]]&gt;TODAY(),"Review - future response date","")</f>
        <v/>
      </c>
    </row>
    <row r="847" spans="1:12" x14ac:dyDescent="0.25">
      <c r="A847" s="3" t="s">
        <v>4736</v>
      </c>
      <c r="B847" s="2" t="s">
        <v>357</v>
      </c>
      <c r="C847" s="2" t="s">
        <v>3354</v>
      </c>
      <c r="D847" s="2" t="s">
        <v>3355</v>
      </c>
      <c r="E847" s="2" t="s">
        <v>65</v>
      </c>
      <c r="F847" s="15">
        <v>45618</v>
      </c>
      <c r="G847" s="25">
        <v>186.32</v>
      </c>
      <c r="H847" s="2" t="s">
        <v>37</v>
      </c>
      <c r="I847" s="4" t="s">
        <v>3370</v>
      </c>
      <c r="J847" s="2" t="str">
        <f>IF(tb2_CampaignResponses[[#This Row],[Gift_Amount]]&lt;0,"Review - negative amount",IF(tb2_CampaignResponses[[#This Row],[Gift_Amount]]&gt;10000,"Review - unusually large donation",""))</f>
        <v/>
      </c>
      <c r="K847" s="21" t="str">
        <f>IF(tb2_CampaignResponses[[#This Row],[Supporter_ID]]="","Review - no supporter ID","")</f>
        <v/>
      </c>
      <c r="L847" s="21" t="str">
        <f ca="1">IF(tb2_CampaignResponses[[#This Row],[Response_Date]]&gt;TODAY(),"Review - future response date","")</f>
        <v/>
      </c>
    </row>
    <row r="848" spans="1:12" x14ac:dyDescent="0.25">
      <c r="A848" s="3" t="s">
        <v>4737</v>
      </c>
      <c r="B848" s="2" t="s">
        <v>21</v>
      </c>
      <c r="C848" s="2" t="s">
        <v>3341</v>
      </c>
      <c r="D848" s="2" t="s">
        <v>3342</v>
      </c>
      <c r="E848" s="2" t="s">
        <v>91</v>
      </c>
      <c r="F848" s="15">
        <v>45761</v>
      </c>
      <c r="G848" s="25">
        <v>63.87</v>
      </c>
      <c r="H848" s="2" t="s">
        <v>36</v>
      </c>
      <c r="I848" s="4" t="s">
        <v>3370</v>
      </c>
      <c r="J848" s="2" t="str">
        <f>IF(tb2_CampaignResponses[[#This Row],[Gift_Amount]]&lt;0,"Review - negative amount",IF(tb2_CampaignResponses[[#This Row],[Gift_Amount]]&gt;10000,"Review - unusually large donation",""))</f>
        <v/>
      </c>
      <c r="K848" s="21" t="str">
        <f>IF(tb2_CampaignResponses[[#This Row],[Supporter_ID]]="","Review - no supporter ID","")</f>
        <v/>
      </c>
      <c r="L848" s="21" t="str">
        <f ca="1">IF(tb2_CampaignResponses[[#This Row],[Response_Date]]&gt;TODAY(),"Review - future response date","")</f>
        <v/>
      </c>
    </row>
    <row r="849" spans="1:12" x14ac:dyDescent="0.25">
      <c r="A849" s="3" t="s">
        <v>4739</v>
      </c>
      <c r="B849" s="2" t="s">
        <v>2922</v>
      </c>
      <c r="C849" s="2" t="s">
        <v>3320</v>
      </c>
      <c r="D849" s="2" t="s">
        <v>3321</v>
      </c>
      <c r="E849" s="2" t="s">
        <v>65</v>
      </c>
      <c r="F849" s="15">
        <v>45459</v>
      </c>
      <c r="G849" s="25">
        <v>113.56</v>
      </c>
      <c r="H849" s="2" t="s">
        <v>36</v>
      </c>
      <c r="I849" s="4" t="s">
        <v>3334</v>
      </c>
      <c r="J849" s="2" t="str">
        <f>IF(tb2_CampaignResponses[[#This Row],[Gift_Amount]]&lt;0,"Review - negative amount",IF(tb2_CampaignResponses[[#This Row],[Gift_Amount]]&gt;10000,"Review - unusually large donation",""))</f>
        <v/>
      </c>
      <c r="K849" s="21" t="str">
        <f>IF(tb2_CampaignResponses[[#This Row],[Supporter_ID]]="","Review - no supporter ID","")</f>
        <v/>
      </c>
      <c r="L849" s="21" t="str">
        <f ca="1">IF(tb2_CampaignResponses[[#This Row],[Response_Date]]&gt;TODAY(),"Review - future response date","")</f>
        <v/>
      </c>
    </row>
    <row r="850" spans="1:12" x14ac:dyDescent="0.25">
      <c r="A850" s="3" t="s">
        <v>4740</v>
      </c>
      <c r="B850" s="2" t="s">
        <v>2958</v>
      </c>
      <c r="C850" s="2" t="s">
        <v>3314</v>
      </c>
      <c r="D850" s="2" t="s">
        <v>3315</v>
      </c>
      <c r="E850" s="2" t="s">
        <v>33</v>
      </c>
      <c r="F850" s="15">
        <v>45932</v>
      </c>
      <c r="G850" s="25">
        <v>17.86</v>
      </c>
      <c r="H850" s="2" t="s">
        <v>36</v>
      </c>
      <c r="I850" s="4" t="s">
        <v>3370</v>
      </c>
      <c r="J850" s="2" t="str">
        <f>IF(tb2_CampaignResponses[[#This Row],[Gift_Amount]]&lt;0,"Review - negative amount",IF(tb2_CampaignResponses[[#This Row],[Gift_Amount]]&gt;10000,"Review - unusually large donation",""))</f>
        <v/>
      </c>
      <c r="K850" s="21" t="str">
        <f>IF(tb2_CampaignResponses[[#This Row],[Supporter_ID]]="","Review - no supporter ID","")</f>
        <v/>
      </c>
      <c r="L850" s="21" t="str">
        <f ca="1">IF(tb2_CampaignResponses[[#This Row],[Response_Date]]&gt;TODAY(),"Review - future response date","")</f>
        <v/>
      </c>
    </row>
    <row r="851" spans="1:12" x14ac:dyDescent="0.25">
      <c r="A851" s="3" t="s">
        <v>4742</v>
      </c>
      <c r="B851" s="2" t="s">
        <v>412</v>
      </c>
      <c r="C851" s="2" t="s">
        <v>3320</v>
      </c>
      <c r="D851" s="2" t="s">
        <v>3321</v>
      </c>
      <c r="E851" s="2" t="s">
        <v>65</v>
      </c>
      <c r="F851" s="15">
        <v>45444</v>
      </c>
      <c r="G851" s="25">
        <v>92.11</v>
      </c>
      <c r="H851" s="2" t="s">
        <v>36</v>
      </c>
      <c r="I851" s="4" t="s">
        <v>3334</v>
      </c>
      <c r="J851" s="2" t="str">
        <f>IF(tb2_CampaignResponses[[#This Row],[Gift_Amount]]&lt;0,"Review - negative amount",IF(tb2_CampaignResponses[[#This Row],[Gift_Amount]]&gt;10000,"Review - unusually large donation",""))</f>
        <v/>
      </c>
      <c r="K851" s="21" t="str">
        <f>IF(tb2_CampaignResponses[[#This Row],[Supporter_ID]]="","Review - no supporter ID","")</f>
        <v/>
      </c>
      <c r="L851" s="21" t="str">
        <f ca="1">IF(tb2_CampaignResponses[[#This Row],[Response_Date]]&gt;TODAY(),"Review - future response date","")</f>
        <v/>
      </c>
    </row>
    <row r="852" spans="1:12" x14ac:dyDescent="0.25">
      <c r="A852" s="3" t="s">
        <v>4743</v>
      </c>
      <c r="B852" s="2" t="s">
        <v>1458</v>
      </c>
      <c r="C852" s="2" t="s">
        <v>3341</v>
      </c>
      <c r="D852" s="2" t="s">
        <v>3342</v>
      </c>
      <c r="E852" s="2" t="s">
        <v>4</v>
      </c>
      <c r="F852" s="15">
        <v>45660</v>
      </c>
      <c r="G852" s="25">
        <v>4917.99</v>
      </c>
      <c r="H852" s="2" t="s">
        <v>36</v>
      </c>
      <c r="I852" s="4" t="s">
        <v>3318</v>
      </c>
      <c r="J852" s="2" t="str">
        <f>IF(tb2_CampaignResponses[[#This Row],[Gift_Amount]]&lt;0,"Review - negative amount",IF(tb2_CampaignResponses[[#This Row],[Gift_Amount]]&gt;10000,"Review - unusually large donation",""))</f>
        <v/>
      </c>
      <c r="K852" s="21" t="str">
        <f>IF(tb2_CampaignResponses[[#This Row],[Supporter_ID]]="","Review - no supporter ID","")</f>
        <v/>
      </c>
      <c r="L852" s="21" t="str">
        <f ca="1">IF(tb2_CampaignResponses[[#This Row],[Response_Date]]&gt;TODAY(),"Review - future response date","")</f>
        <v/>
      </c>
    </row>
    <row r="853" spans="1:12" x14ac:dyDescent="0.25">
      <c r="A853" s="3" t="s">
        <v>4745</v>
      </c>
      <c r="B853" s="2" t="s">
        <v>2076</v>
      </c>
      <c r="C853" s="2" t="s">
        <v>3362</v>
      </c>
      <c r="D853" s="2" t="s">
        <v>3363</v>
      </c>
      <c r="E853" s="2" t="s">
        <v>65</v>
      </c>
      <c r="F853" s="15">
        <v>45573</v>
      </c>
      <c r="G853" s="25">
        <v>99.92</v>
      </c>
      <c r="H853" s="2" t="s">
        <v>37</v>
      </c>
      <c r="I853" s="4" t="s">
        <v>3334</v>
      </c>
      <c r="J853" s="2" t="str">
        <f>IF(tb2_CampaignResponses[[#This Row],[Gift_Amount]]&lt;0,"Review - negative amount",IF(tb2_CampaignResponses[[#This Row],[Gift_Amount]]&gt;10000,"Review - unusually large donation",""))</f>
        <v/>
      </c>
      <c r="K853" s="21" t="str">
        <f>IF(tb2_CampaignResponses[[#This Row],[Supporter_ID]]="","Review - no supporter ID","")</f>
        <v/>
      </c>
      <c r="L853" s="21" t="str">
        <f ca="1">IF(tb2_CampaignResponses[[#This Row],[Response_Date]]&gt;TODAY(),"Review - future response date","")</f>
        <v/>
      </c>
    </row>
    <row r="854" spans="1:12" x14ac:dyDescent="0.25">
      <c r="A854" s="3" t="s">
        <v>4746</v>
      </c>
      <c r="B854" s="2" t="s">
        <v>2417</v>
      </c>
      <c r="C854" s="2" t="s">
        <v>3320</v>
      </c>
      <c r="D854" s="2" t="s">
        <v>3321</v>
      </c>
      <c r="E854" s="2" t="s">
        <v>4</v>
      </c>
      <c r="F854" s="15">
        <v>45464</v>
      </c>
      <c r="G854" s="25">
        <v>82.12</v>
      </c>
      <c r="H854" s="2" t="s">
        <v>37</v>
      </c>
      <c r="I854" s="4" t="s">
        <v>3365</v>
      </c>
      <c r="J854" s="2" t="str">
        <f>IF(tb2_CampaignResponses[[#This Row],[Gift_Amount]]&lt;0,"Review - negative amount",IF(tb2_CampaignResponses[[#This Row],[Gift_Amount]]&gt;10000,"Review - unusually large donation",""))</f>
        <v/>
      </c>
      <c r="K854" s="21" t="str">
        <f>IF(tb2_CampaignResponses[[#This Row],[Supporter_ID]]="","Review - no supporter ID","")</f>
        <v/>
      </c>
      <c r="L854" s="21" t="str">
        <f ca="1">IF(tb2_CampaignResponses[[#This Row],[Response_Date]]&gt;TODAY(),"Review - future response date","")</f>
        <v/>
      </c>
    </row>
    <row r="855" spans="1:12" x14ac:dyDescent="0.25">
      <c r="A855" s="3" t="s">
        <v>4747</v>
      </c>
      <c r="B855" s="2" t="s">
        <v>2272</v>
      </c>
      <c r="C855" s="2" t="s">
        <v>3354</v>
      </c>
      <c r="D855" s="2" t="s">
        <v>3355</v>
      </c>
      <c r="E855" s="2" t="s">
        <v>65</v>
      </c>
      <c r="F855" s="15">
        <v>45618</v>
      </c>
      <c r="G855" s="25">
        <v>400.49</v>
      </c>
      <c r="H855" s="2" t="s">
        <v>36</v>
      </c>
      <c r="I855" s="4" t="s">
        <v>3365</v>
      </c>
      <c r="J855" s="2" t="str">
        <f>IF(tb2_CampaignResponses[[#This Row],[Gift_Amount]]&lt;0,"Review - negative amount",IF(tb2_CampaignResponses[[#This Row],[Gift_Amount]]&gt;10000,"Review - unusually large donation",""))</f>
        <v/>
      </c>
      <c r="K855" s="21" t="str">
        <f>IF(tb2_CampaignResponses[[#This Row],[Supporter_ID]]="","Review - no supporter ID","")</f>
        <v/>
      </c>
      <c r="L855" s="21" t="str">
        <f ca="1">IF(tb2_CampaignResponses[[#This Row],[Response_Date]]&gt;TODAY(),"Review - future response date","")</f>
        <v/>
      </c>
    </row>
    <row r="856" spans="1:12" x14ac:dyDescent="0.25">
      <c r="A856" s="3" t="s">
        <v>4748</v>
      </c>
      <c r="B856" s="2" t="s">
        <v>2525</v>
      </c>
      <c r="C856" s="2" t="s">
        <v>3320</v>
      </c>
      <c r="D856" s="2" t="s">
        <v>3321</v>
      </c>
      <c r="E856" s="2" t="s">
        <v>65</v>
      </c>
      <c r="F856" s="15">
        <v>45448</v>
      </c>
      <c r="G856" s="25">
        <v>1206.49</v>
      </c>
      <c r="H856" s="2" t="s">
        <v>37</v>
      </c>
      <c r="I856" s="4" t="s">
        <v>3323</v>
      </c>
      <c r="J856" s="2" t="str">
        <f>IF(tb2_CampaignResponses[[#This Row],[Gift_Amount]]&lt;0,"Review - negative amount",IF(tb2_CampaignResponses[[#This Row],[Gift_Amount]]&gt;10000,"Review - unusually large donation",""))</f>
        <v/>
      </c>
      <c r="K856" s="21" t="str">
        <f>IF(tb2_CampaignResponses[[#This Row],[Supporter_ID]]="","Review - no supporter ID","")</f>
        <v/>
      </c>
      <c r="L856" s="21" t="str">
        <f ca="1">IF(tb2_CampaignResponses[[#This Row],[Response_Date]]&gt;TODAY(),"Review - future response date","")</f>
        <v/>
      </c>
    </row>
    <row r="857" spans="1:12" x14ac:dyDescent="0.25">
      <c r="A857" s="3" t="s">
        <v>4749</v>
      </c>
      <c r="B857" s="2" t="s">
        <v>300</v>
      </c>
      <c r="C857" s="2" t="s">
        <v>3341</v>
      </c>
      <c r="D857" s="2" t="s">
        <v>3342</v>
      </c>
      <c r="E857" s="2" t="s">
        <v>91</v>
      </c>
      <c r="F857" s="15">
        <v>45710</v>
      </c>
      <c r="G857" s="25">
        <v>45.31</v>
      </c>
      <c r="H857" s="2" t="s">
        <v>36</v>
      </c>
      <c r="I857" s="4" t="s">
        <v>3370</v>
      </c>
      <c r="J857" s="2" t="str">
        <f>IF(tb2_CampaignResponses[[#This Row],[Gift_Amount]]&lt;0,"Review - negative amount",IF(tb2_CampaignResponses[[#This Row],[Gift_Amount]]&gt;10000,"Review - unusually large donation",""))</f>
        <v/>
      </c>
      <c r="K857" s="21" t="str">
        <f>IF(tb2_CampaignResponses[[#This Row],[Supporter_ID]]="","Review - no supporter ID","")</f>
        <v/>
      </c>
      <c r="L857" s="21" t="str">
        <f ca="1">IF(tb2_CampaignResponses[[#This Row],[Response_Date]]&gt;TODAY(),"Review - future response date","")</f>
        <v/>
      </c>
    </row>
    <row r="858" spans="1:12" x14ac:dyDescent="0.25">
      <c r="A858" s="3" t="s">
        <v>4751</v>
      </c>
      <c r="B858" s="2" t="s">
        <v>2163</v>
      </c>
      <c r="C858" s="2" t="s">
        <v>3314</v>
      </c>
      <c r="D858" s="2" t="s">
        <v>3315</v>
      </c>
      <c r="E858" s="2" t="s">
        <v>3316</v>
      </c>
      <c r="F858" s="15">
        <v>45714</v>
      </c>
      <c r="G858" s="25">
        <v>117.63</v>
      </c>
      <c r="H858" s="2" t="s">
        <v>36</v>
      </c>
      <c r="I858" s="4" t="s">
        <v>3318</v>
      </c>
      <c r="J858" s="2" t="str">
        <f>IF(tb2_CampaignResponses[[#This Row],[Gift_Amount]]&lt;0,"Review - negative amount",IF(tb2_CampaignResponses[[#This Row],[Gift_Amount]]&gt;10000,"Review - unusually large donation",""))</f>
        <v/>
      </c>
      <c r="K858" s="21" t="str">
        <f>IF(tb2_CampaignResponses[[#This Row],[Supporter_ID]]="","Review - no supporter ID","")</f>
        <v/>
      </c>
      <c r="L858" s="21" t="str">
        <f ca="1">IF(tb2_CampaignResponses[[#This Row],[Response_Date]]&gt;TODAY(),"Review - future response date","")</f>
        <v/>
      </c>
    </row>
    <row r="859" spans="1:12" x14ac:dyDescent="0.25">
      <c r="A859" s="3" t="s">
        <v>4752</v>
      </c>
      <c r="B859" s="2" t="s">
        <v>1761</v>
      </c>
      <c r="C859" s="2" t="s">
        <v>3403</v>
      </c>
      <c r="D859" s="2" t="s">
        <v>3404</v>
      </c>
      <c r="E859" s="2" t="s">
        <v>4</v>
      </c>
      <c r="F859" s="15">
        <v>45630</v>
      </c>
      <c r="G859" s="25">
        <v>124.77</v>
      </c>
      <c r="H859" s="2" t="s">
        <v>37</v>
      </c>
      <c r="I859" s="4" t="s">
        <v>3334</v>
      </c>
      <c r="J859" s="2" t="str">
        <f>IF(tb2_CampaignResponses[[#This Row],[Gift_Amount]]&lt;0,"Review - negative amount",IF(tb2_CampaignResponses[[#This Row],[Gift_Amount]]&gt;10000,"Review - unusually large donation",""))</f>
        <v/>
      </c>
      <c r="K859" s="21" t="str">
        <f>IF(tb2_CampaignResponses[[#This Row],[Supporter_ID]]="","Review - no supporter ID","")</f>
        <v/>
      </c>
      <c r="L859" s="21" t="str">
        <f ca="1">IF(tb2_CampaignResponses[[#This Row],[Response_Date]]&gt;TODAY(),"Review - future response date","")</f>
        <v/>
      </c>
    </row>
    <row r="860" spans="1:12" x14ac:dyDescent="0.25">
      <c r="A860" s="3" t="s">
        <v>4754</v>
      </c>
      <c r="B860" s="2" t="s">
        <v>282</v>
      </c>
      <c r="C860" s="2" t="s">
        <v>3403</v>
      </c>
      <c r="D860" s="2" t="s">
        <v>3404</v>
      </c>
      <c r="E860" s="2" t="s">
        <v>3316</v>
      </c>
      <c r="F860" s="15">
        <v>45581</v>
      </c>
      <c r="G860" s="25">
        <v>97.08</v>
      </c>
      <c r="H860" s="2" t="s">
        <v>36</v>
      </c>
      <c r="I860" s="4" t="s">
        <v>3385</v>
      </c>
      <c r="J860" s="2" t="str">
        <f>IF(tb2_CampaignResponses[[#This Row],[Gift_Amount]]&lt;0,"Review - negative amount",IF(tb2_CampaignResponses[[#This Row],[Gift_Amount]]&gt;10000,"Review - unusually large donation",""))</f>
        <v/>
      </c>
      <c r="K860" s="21" t="str">
        <f>IF(tb2_CampaignResponses[[#This Row],[Supporter_ID]]="","Review - no supporter ID","")</f>
        <v/>
      </c>
      <c r="L860" s="21" t="str">
        <f ca="1">IF(tb2_CampaignResponses[[#This Row],[Response_Date]]&gt;TODAY(),"Review - future response date","")</f>
        <v/>
      </c>
    </row>
    <row r="861" spans="1:12" x14ac:dyDescent="0.25">
      <c r="A861" s="3" t="s">
        <v>4756</v>
      </c>
      <c r="B861" s="2" t="s">
        <v>2650</v>
      </c>
      <c r="C861" s="2" t="s">
        <v>3354</v>
      </c>
      <c r="D861" s="2" t="s">
        <v>3355</v>
      </c>
      <c r="E861" s="2" t="s">
        <v>4</v>
      </c>
      <c r="F861" s="15">
        <v>45618</v>
      </c>
      <c r="G861" s="25">
        <v>63.11</v>
      </c>
      <c r="H861" s="2" t="s">
        <v>36</v>
      </c>
      <c r="I861" s="4" t="s">
        <v>3365</v>
      </c>
      <c r="J861" s="2" t="str">
        <f>IF(tb2_CampaignResponses[[#This Row],[Gift_Amount]]&lt;0,"Review - negative amount",IF(tb2_CampaignResponses[[#This Row],[Gift_Amount]]&gt;10000,"Review - unusually large donation",""))</f>
        <v/>
      </c>
      <c r="K861" s="21" t="str">
        <f>IF(tb2_CampaignResponses[[#This Row],[Supporter_ID]]="","Review - no supporter ID","")</f>
        <v/>
      </c>
      <c r="L861" s="21" t="str">
        <f ca="1">IF(tb2_CampaignResponses[[#This Row],[Response_Date]]&gt;TODAY(),"Review - future response date","")</f>
        <v/>
      </c>
    </row>
    <row r="862" spans="1:12" x14ac:dyDescent="0.25">
      <c r="A862" s="3" t="s">
        <v>4757</v>
      </c>
      <c r="B862" s="2" t="s">
        <v>1591</v>
      </c>
      <c r="C862" s="2" t="s">
        <v>3341</v>
      </c>
      <c r="D862" s="2" t="s">
        <v>3342</v>
      </c>
      <c r="E862" s="2" t="s">
        <v>3316</v>
      </c>
      <c r="F862" s="15">
        <v>45777</v>
      </c>
      <c r="G862" s="25">
        <v>232.47</v>
      </c>
      <c r="H862" s="2" t="s">
        <v>36</v>
      </c>
      <c r="I862" s="4" t="s">
        <v>3334</v>
      </c>
      <c r="J862" s="2" t="str">
        <f>IF(tb2_CampaignResponses[[#This Row],[Gift_Amount]]&lt;0,"Review - negative amount",IF(tb2_CampaignResponses[[#This Row],[Gift_Amount]]&gt;10000,"Review - unusually large donation",""))</f>
        <v/>
      </c>
      <c r="K862" s="21" t="str">
        <f>IF(tb2_CampaignResponses[[#This Row],[Supporter_ID]]="","Review - no supporter ID","")</f>
        <v/>
      </c>
      <c r="L862" s="21" t="str">
        <f ca="1">IF(tb2_CampaignResponses[[#This Row],[Response_Date]]&gt;TODAY(),"Review - future response date","")</f>
        <v/>
      </c>
    </row>
    <row r="863" spans="1:12" x14ac:dyDescent="0.25">
      <c r="A863" s="3" t="s">
        <v>4759</v>
      </c>
      <c r="B863" s="2" t="s">
        <v>850</v>
      </c>
      <c r="C863" s="2" t="s">
        <v>3367</v>
      </c>
      <c r="D863" s="2" t="s">
        <v>3368</v>
      </c>
      <c r="E863" s="2" t="s">
        <v>65</v>
      </c>
      <c r="F863" s="15">
        <v>45751</v>
      </c>
      <c r="G863" s="25">
        <v>24.34</v>
      </c>
      <c r="H863" s="2" t="s">
        <v>36</v>
      </c>
      <c r="I863" s="4" t="s">
        <v>3328</v>
      </c>
      <c r="J863" s="2" t="str">
        <f>IF(tb2_CampaignResponses[[#This Row],[Gift_Amount]]&lt;0,"Review - negative amount",IF(tb2_CampaignResponses[[#This Row],[Gift_Amount]]&gt;10000,"Review - unusually large donation",""))</f>
        <v/>
      </c>
      <c r="K863" s="21" t="str">
        <f>IF(tb2_CampaignResponses[[#This Row],[Supporter_ID]]="","Review - no supporter ID","")</f>
        <v/>
      </c>
      <c r="L863" s="21" t="str">
        <f ca="1">IF(tb2_CampaignResponses[[#This Row],[Response_Date]]&gt;TODAY(),"Review - future response date","")</f>
        <v/>
      </c>
    </row>
    <row r="864" spans="1:12" x14ac:dyDescent="0.25">
      <c r="A864" s="3" t="s">
        <v>4761</v>
      </c>
      <c r="B864" s="2" t="s">
        <v>1744</v>
      </c>
      <c r="C864" s="2" t="s">
        <v>3325</v>
      </c>
      <c r="D864" s="2" t="s">
        <v>3326</v>
      </c>
      <c r="E864" s="2" t="s">
        <v>4</v>
      </c>
      <c r="F864" s="15">
        <v>45629</v>
      </c>
      <c r="G864" s="25">
        <v>9.48</v>
      </c>
      <c r="H864" s="2" t="s">
        <v>36</v>
      </c>
      <c r="I864" s="4" t="s">
        <v>3334</v>
      </c>
      <c r="J864" s="2" t="str">
        <f>IF(tb2_CampaignResponses[[#This Row],[Gift_Amount]]&lt;0,"Review - negative amount",IF(tb2_CampaignResponses[[#This Row],[Gift_Amount]]&gt;10000,"Review - unusually large donation",""))</f>
        <v/>
      </c>
      <c r="K864" s="21" t="str">
        <f>IF(tb2_CampaignResponses[[#This Row],[Supporter_ID]]="","Review - no supporter ID","")</f>
        <v/>
      </c>
      <c r="L864" s="21" t="str">
        <f ca="1">IF(tb2_CampaignResponses[[#This Row],[Response_Date]]&gt;TODAY(),"Review - future response date","")</f>
        <v/>
      </c>
    </row>
    <row r="865" spans="1:12" x14ac:dyDescent="0.25">
      <c r="A865" s="3" t="s">
        <v>4763</v>
      </c>
      <c r="B865" s="2" t="s">
        <v>2598</v>
      </c>
      <c r="C865" s="2" t="s">
        <v>3403</v>
      </c>
      <c r="D865" s="2" t="s">
        <v>3404</v>
      </c>
      <c r="E865" s="2" t="s">
        <v>3316</v>
      </c>
      <c r="F865" s="15">
        <v>45604</v>
      </c>
      <c r="G865" s="25">
        <v>76.77</v>
      </c>
      <c r="H865" s="2" t="s">
        <v>37</v>
      </c>
      <c r="I865" s="4" t="s">
        <v>3365</v>
      </c>
      <c r="J865" s="2" t="str">
        <f>IF(tb2_CampaignResponses[[#This Row],[Gift_Amount]]&lt;0,"Review - negative amount",IF(tb2_CampaignResponses[[#This Row],[Gift_Amount]]&gt;10000,"Review - unusually large donation",""))</f>
        <v/>
      </c>
      <c r="K865" s="21" t="str">
        <f>IF(tb2_CampaignResponses[[#This Row],[Supporter_ID]]="","Review - no supporter ID","")</f>
        <v/>
      </c>
      <c r="L865" s="21" t="str">
        <f ca="1">IF(tb2_CampaignResponses[[#This Row],[Response_Date]]&gt;TODAY(),"Review - future response date","")</f>
        <v/>
      </c>
    </row>
    <row r="866" spans="1:12" x14ac:dyDescent="0.25">
      <c r="A866" s="3" t="s">
        <v>4764</v>
      </c>
      <c r="B866" s="2" t="s">
        <v>1097</v>
      </c>
      <c r="C866" s="2" t="s">
        <v>3320</v>
      </c>
      <c r="D866" s="2" t="s">
        <v>3321</v>
      </c>
      <c r="E866" s="2" t="s">
        <v>65</v>
      </c>
      <c r="F866" s="15">
        <v>45455</v>
      </c>
      <c r="G866" s="25">
        <v>20.83</v>
      </c>
      <c r="H866" s="2" t="s">
        <v>36</v>
      </c>
      <c r="I866" s="4" t="s">
        <v>3318</v>
      </c>
      <c r="J866" s="2" t="str">
        <f>IF(tb2_CampaignResponses[[#This Row],[Gift_Amount]]&lt;0,"Review - negative amount",IF(tb2_CampaignResponses[[#This Row],[Gift_Amount]]&gt;10000,"Review - unusually large donation",""))</f>
        <v/>
      </c>
      <c r="K866" s="21" t="str">
        <f>IF(tb2_CampaignResponses[[#This Row],[Supporter_ID]]="","Review - no supporter ID","")</f>
        <v/>
      </c>
      <c r="L866" s="21" t="str">
        <f ca="1">IF(tb2_CampaignResponses[[#This Row],[Response_Date]]&gt;TODAY(),"Review - future response date","")</f>
        <v/>
      </c>
    </row>
    <row r="867" spans="1:12" x14ac:dyDescent="0.25">
      <c r="A867" s="3" t="s">
        <v>4766</v>
      </c>
      <c r="B867" s="2" t="s">
        <v>817</v>
      </c>
      <c r="C867" s="2" t="s">
        <v>3336</v>
      </c>
      <c r="D867" s="2" t="s">
        <v>3337</v>
      </c>
      <c r="E867" s="2" t="s">
        <v>65</v>
      </c>
      <c r="F867" s="15">
        <v>45580</v>
      </c>
      <c r="G867" s="25">
        <v>17.07</v>
      </c>
      <c r="H867" s="2" t="s">
        <v>36</v>
      </c>
      <c r="I867" s="4" t="s">
        <v>3318</v>
      </c>
      <c r="J867" s="2" t="str">
        <f>IF(tb2_CampaignResponses[[#This Row],[Gift_Amount]]&lt;0,"Review - negative amount",IF(tb2_CampaignResponses[[#This Row],[Gift_Amount]]&gt;10000,"Review - unusually large donation",""))</f>
        <v/>
      </c>
      <c r="K867" s="21" t="str">
        <f>IF(tb2_CampaignResponses[[#This Row],[Supporter_ID]]="","Review - no supporter ID","")</f>
        <v/>
      </c>
      <c r="L867" s="21" t="str">
        <f ca="1">IF(tb2_CampaignResponses[[#This Row],[Response_Date]]&gt;TODAY(),"Review - future response date","")</f>
        <v/>
      </c>
    </row>
    <row r="868" spans="1:12" x14ac:dyDescent="0.25">
      <c r="A868" s="3" t="s">
        <v>4767</v>
      </c>
      <c r="B868" s="2" t="s">
        <v>1538</v>
      </c>
      <c r="C868" s="2" t="s">
        <v>3325</v>
      </c>
      <c r="D868" s="2" t="s">
        <v>3326</v>
      </c>
      <c r="E868" s="2" t="s">
        <v>4</v>
      </c>
      <c r="F868" s="15">
        <v>45651</v>
      </c>
      <c r="G868" s="25">
        <v>21.49</v>
      </c>
      <c r="H868" s="2" t="s">
        <v>37</v>
      </c>
      <c r="I868" s="4" t="s">
        <v>3365</v>
      </c>
      <c r="J868" s="2" t="str">
        <f>IF(tb2_CampaignResponses[[#This Row],[Gift_Amount]]&lt;0,"Review - negative amount",IF(tb2_CampaignResponses[[#This Row],[Gift_Amount]]&gt;10000,"Review - unusually large donation",""))</f>
        <v/>
      </c>
      <c r="K868" s="21" t="str">
        <f>IF(tb2_CampaignResponses[[#This Row],[Supporter_ID]]="","Review - no supporter ID","")</f>
        <v/>
      </c>
      <c r="L868" s="21" t="str">
        <f ca="1">IF(tb2_CampaignResponses[[#This Row],[Response_Date]]&gt;TODAY(),"Review - future response date","")</f>
        <v/>
      </c>
    </row>
    <row r="869" spans="1:12" x14ac:dyDescent="0.25">
      <c r="A869" s="3" t="s">
        <v>4769</v>
      </c>
      <c r="B869" s="2" t="s">
        <v>2922</v>
      </c>
      <c r="C869" s="2" t="s">
        <v>3403</v>
      </c>
      <c r="D869" s="2" t="s">
        <v>3404</v>
      </c>
      <c r="E869" s="2" t="s">
        <v>3316</v>
      </c>
      <c r="F869" s="15">
        <v>45590</v>
      </c>
      <c r="G869" s="25">
        <v>78.12</v>
      </c>
      <c r="H869" s="2" t="s">
        <v>36</v>
      </c>
      <c r="I869" s="4" t="s">
        <v>3323</v>
      </c>
      <c r="J869" s="2" t="str">
        <f>IF(tb2_CampaignResponses[[#This Row],[Gift_Amount]]&lt;0,"Review - negative amount",IF(tb2_CampaignResponses[[#This Row],[Gift_Amount]]&gt;10000,"Review - unusually large donation",""))</f>
        <v/>
      </c>
      <c r="K869" s="21" t="str">
        <f>IF(tb2_CampaignResponses[[#This Row],[Supporter_ID]]="","Review - no supporter ID","")</f>
        <v/>
      </c>
      <c r="L869" s="21" t="str">
        <f ca="1">IF(tb2_CampaignResponses[[#This Row],[Response_Date]]&gt;TODAY(),"Review - future response date","")</f>
        <v/>
      </c>
    </row>
    <row r="870" spans="1:12" x14ac:dyDescent="0.25">
      <c r="A870" s="3" t="s">
        <v>4770</v>
      </c>
      <c r="B870" s="2" t="s">
        <v>3182</v>
      </c>
      <c r="C870" s="2" t="s">
        <v>3354</v>
      </c>
      <c r="D870" s="2" t="s">
        <v>3355</v>
      </c>
      <c r="E870" s="2" t="s">
        <v>65</v>
      </c>
      <c r="F870" s="15">
        <v>45618</v>
      </c>
      <c r="G870" s="25">
        <v>46.31</v>
      </c>
      <c r="H870" s="2" t="s">
        <v>36</v>
      </c>
      <c r="I870" s="4" t="s">
        <v>3385</v>
      </c>
      <c r="J870" s="2" t="str">
        <f>IF(tb2_CampaignResponses[[#This Row],[Gift_Amount]]&lt;0,"Review - negative amount",IF(tb2_CampaignResponses[[#This Row],[Gift_Amount]]&gt;10000,"Review - unusually large donation",""))</f>
        <v/>
      </c>
      <c r="K870" s="21" t="str">
        <f>IF(tb2_CampaignResponses[[#This Row],[Supporter_ID]]="","Review - no supporter ID","")</f>
        <v/>
      </c>
      <c r="L870" s="21" t="str">
        <f ca="1">IF(tb2_CampaignResponses[[#This Row],[Response_Date]]&gt;TODAY(),"Review - future response date","")</f>
        <v/>
      </c>
    </row>
    <row r="871" spans="1:12" x14ac:dyDescent="0.25">
      <c r="A871" s="3" t="s">
        <v>4771</v>
      </c>
      <c r="B871" s="2" t="s">
        <v>697</v>
      </c>
      <c r="C871" s="2" t="s">
        <v>3325</v>
      </c>
      <c r="D871" s="2" t="s">
        <v>3326</v>
      </c>
      <c r="E871" s="2" t="s">
        <v>3338</v>
      </c>
      <c r="F871" s="15">
        <v>45604</v>
      </c>
      <c r="G871" s="25">
        <v>810.69</v>
      </c>
      <c r="H871" s="2" t="s">
        <v>36</v>
      </c>
      <c r="I871" s="4" t="s">
        <v>3365</v>
      </c>
      <c r="J871" s="2" t="str">
        <f>IF(tb2_CampaignResponses[[#This Row],[Gift_Amount]]&lt;0,"Review - negative amount",IF(tb2_CampaignResponses[[#This Row],[Gift_Amount]]&gt;10000,"Review - unusually large donation",""))</f>
        <v/>
      </c>
      <c r="K871" s="21" t="str">
        <f>IF(tb2_CampaignResponses[[#This Row],[Supporter_ID]]="","Review - no supporter ID","")</f>
        <v/>
      </c>
      <c r="L871" s="21" t="str">
        <f ca="1">IF(tb2_CampaignResponses[[#This Row],[Response_Date]]&gt;TODAY(),"Review - future response date","")</f>
        <v/>
      </c>
    </row>
    <row r="872" spans="1:12" x14ac:dyDescent="0.25">
      <c r="A872" s="3" t="s">
        <v>4773</v>
      </c>
      <c r="B872" s="2" t="s">
        <v>802</v>
      </c>
      <c r="C872" s="2" t="s">
        <v>3403</v>
      </c>
      <c r="D872" s="2" t="s">
        <v>3404</v>
      </c>
      <c r="E872" s="2" t="s">
        <v>3316</v>
      </c>
      <c r="F872" s="15">
        <v>45635</v>
      </c>
      <c r="G872" s="25">
        <v>415.78</v>
      </c>
      <c r="H872" s="2" t="s">
        <v>37</v>
      </c>
      <c r="I872" s="4" t="s">
        <v>3365</v>
      </c>
      <c r="J872" s="2" t="str">
        <f>IF(tb2_CampaignResponses[[#This Row],[Gift_Amount]]&lt;0,"Review - negative amount",IF(tb2_CampaignResponses[[#This Row],[Gift_Amount]]&gt;10000,"Review - unusually large donation",""))</f>
        <v/>
      </c>
      <c r="K872" s="21" t="str">
        <f>IF(tb2_CampaignResponses[[#This Row],[Supporter_ID]]="","Review - no supporter ID","")</f>
        <v/>
      </c>
      <c r="L872" s="21" t="str">
        <f ca="1">IF(tb2_CampaignResponses[[#This Row],[Response_Date]]&gt;TODAY(),"Review - future response date","")</f>
        <v/>
      </c>
    </row>
    <row r="873" spans="1:12" x14ac:dyDescent="0.25">
      <c r="A873" s="3" t="s">
        <v>4774</v>
      </c>
      <c r="B873" s="2" t="s">
        <v>535</v>
      </c>
      <c r="C873" s="2" t="s">
        <v>3427</v>
      </c>
      <c r="D873" s="2" t="s">
        <v>3428</v>
      </c>
      <c r="E873" s="2" t="s">
        <v>4</v>
      </c>
      <c r="F873" s="15">
        <v>45488</v>
      </c>
      <c r="G873" s="25">
        <v>14.48</v>
      </c>
      <c r="H873" s="2" t="s">
        <v>37</v>
      </c>
      <c r="I873" s="4" t="s">
        <v>3385</v>
      </c>
      <c r="J873" s="2" t="str">
        <f>IF(tb2_CampaignResponses[[#This Row],[Gift_Amount]]&lt;0,"Review - negative amount",IF(tb2_CampaignResponses[[#This Row],[Gift_Amount]]&gt;10000,"Review - unusually large donation",""))</f>
        <v/>
      </c>
      <c r="K873" s="21" t="str">
        <f>IF(tb2_CampaignResponses[[#This Row],[Supporter_ID]]="","Review - no supporter ID","")</f>
        <v/>
      </c>
      <c r="L873" s="21" t="str">
        <f ca="1">IF(tb2_CampaignResponses[[#This Row],[Response_Date]]&gt;TODAY(),"Review - future response date","")</f>
        <v/>
      </c>
    </row>
    <row r="874" spans="1:12" x14ac:dyDescent="0.25">
      <c r="A874" s="3" t="s">
        <v>4775</v>
      </c>
      <c r="B874" s="2" t="s">
        <v>2544</v>
      </c>
      <c r="C874" s="2" t="s">
        <v>3320</v>
      </c>
      <c r="D874" s="2" t="s">
        <v>3321</v>
      </c>
      <c r="E874" s="2" t="s">
        <v>65</v>
      </c>
      <c r="F874" s="15">
        <v>45467</v>
      </c>
      <c r="G874" s="25">
        <v>56.45</v>
      </c>
      <c r="H874" s="2" t="s">
        <v>36</v>
      </c>
      <c r="I874" s="4" t="s">
        <v>3323</v>
      </c>
      <c r="J874" s="2" t="str">
        <f>IF(tb2_CampaignResponses[[#This Row],[Gift_Amount]]&lt;0,"Review - negative amount",IF(tb2_CampaignResponses[[#This Row],[Gift_Amount]]&gt;10000,"Review - unusually large donation",""))</f>
        <v/>
      </c>
      <c r="K874" s="21" t="str">
        <f>IF(tb2_CampaignResponses[[#This Row],[Supporter_ID]]="","Review - no supporter ID","")</f>
        <v/>
      </c>
      <c r="L874" s="21" t="str">
        <f ca="1">IF(tb2_CampaignResponses[[#This Row],[Response_Date]]&gt;TODAY(),"Review - future response date","")</f>
        <v/>
      </c>
    </row>
    <row r="875" spans="1:12" x14ac:dyDescent="0.25">
      <c r="A875" s="3" t="s">
        <v>4777</v>
      </c>
      <c r="B875" s="2" t="s">
        <v>1037</v>
      </c>
      <c r="C875" s="2" t="s">
        <v>3427</v>
      </c>
      <c r="D875" s="2" t="s">
        <v>3428</v>
      </c>
      <c r="E875" s="2" t="s">
        <v>4</v>
      </c>
      <c r="F875" s="15">
        <v>45488</v>
      </c>
      <c r="G875" s="25">
        <v>19.5</v>
      </c>
      <c r="H875" s="2" t="s">
        <v>36</v>
      </c>
      <c r="I875" s="4" t="s">
        <v>3323</v>
      </c>
      <c r="J875" s="2" t="str">
        <f>IF(tb2_CampaignResponses[[#This Row],[Gift_Amount]]&lt;0,"Review - negative amount",IF(tb2_CampaignResponses[[#This Row],[Gift_Amount]]&gt;10000,"Review - unusually large donation",""))</f>
        <v/>
      </c>
      <c r="K875" s="21" t="str">
        <f>IF(tb2_CampaignResponses[[#This Row],[Supporter_ID]]="","Review - no supporter ID","")</f>
        <v/>
      </c>
      <c r="L875" s="21" t="str">
        <f ca="1">IF(tb2_CampaignResponses[[#This Row],[Response_Date]]&gt;TODAY(),"Review - future response date","")</f>
        <v/>
      </c>
    </row>
    <row r="876" spans="1:12" x14ac:dyDescent="0.25">
      <c r="A876" s="3" t="s">
        <v>4778</v>
      </c>
      <c r="B876" s="2" t="s">
        <v>1065</v>
      </c>
      <c r="C876" s="2" t="s">
        <v>3403</v>
      </c>
      <c r="D876" s="2" t="s">
        <v>3404</v>
      </c>
      <c r="E876" s="2" t="s">
        <v>65</v>
      </c>
      <c r="F876" s="15">
        <v>45602</v>
      </c>
      <c r="G876" s="25">
        <v>220.69</v>
      </c>
      <c r="H876" s="2" t="s">
        <v>36</v>
      </c>
      <c r="I876" s="4" t="s">
        <v>3331</v>
      </c>
      <c r="J876" s="2" t="str">
        <f>IF(tb2_CampaignResponses[[#This Row],[Gift_Amount]]&lt;0,"Review - negative amount",IF(tb2_CampaignResponses[[#This Row],[Gift_Amount]]&gt;10000,"Review - unusually large donation",""))</f>
        <v/>
      </c>
      <c r="K876" s="21" t="str">
        <f>IF(tb2_CampaignResponses[[#This Row],[Supporter_ID]]="","Review - no supporter ID","")</f>
        <v/>
      </c>
      <c r="L876" s="21" t="str">
        <f ca="1">IF(tb2_CampaignResponses[[#This Row],[Response_Date]]&gt;TODAY(),"Review - future response date","")</f>
        <v/>
      </c>
    </row>
    <row r="877" spans="1:12" x14ac:dyDescent="0.25">
      <c r="A877" s="3" t="s">
        <v>4779</v>
      </c>
      <c r="B877" s="2" t="s">
        <v>2598</v>
      </c>
      <c r="C877" s="2" t="s">
        <v>3341</v>
      </c>
      <c r="D877" s="2" t="s">
        <v>3342</v>
      </c>
      <c r="E877" s="2" t="s">
        <v>91</v>
      </c>
      <c r="F877" s="15">
        <v>45747</v>
      </c>
      <c r="G877" s="25">
        <v>154.21</v>
      </c>
      <c r="H877" s="2" t="s">
        <v>36</v>
      </c>
      <c r="I877" s="4" t="s">
        <v>3318</v>
      </c>
      <c r="J877" s="2" t="str">
        <f>IF(tb2_CampaignResponses[[#This Row],[Gift_Amount]]&lt;0,"Review - negative amount",IF(tb2_CampaignResponses[[#This Row],[Gift_Amount]]&gt;10000,"Review - unusually large donation",""))</f>
        <v/>
      </c>
      <c r="K877" s="21" t="str">
        <f>IF(tb2_CampaignResponses[[#This Row],[Supporter_ID]]="","Review - no supporter ID","")</f>
        <v/>
      </c>
      <c r="L877" s="21" t="str">
        <f ca="1">IF(tb2_CampaignResponses[[#This Row],[Response_Date]]&gt;TODAY(),"Review - future response date","")</f>
        <v/>
      </c>
    </row>
    <row r="878" spans="1:12" x14ac:dyDescent="0.25">
      <c r="A878" s="3" t="s">
        <v>4781</v>
      </c>
      <c r="B878" s="2" t="s">
        <v>2580</v>
      </c>
      <c r="C878" s="2" t="s">
        <v>3320</v>
      </c>
      <c r="D878" s="2" t="s">
        <v>3321</v>
      </c>
      <c r="E878" s="2" t="s">
        <v>65</v>
      </c>
      <c r="F878" s="15">
        <v>45467</v>
      </c>
      <c r="G878" s="25">
        <v>108.99</v>
      </c>
      <c r="H878" s="2" t="s">
        <v>36</v>
      </c>
      <c r="I878" s="4" t="s">
        <v>3385</v>
      </c>
      <c r="J878" s="2" t="str">
        <f>IF(tb2_CampaignResponses[[#This Row],[Gift_Amount]]&lt;0,"Review - negative amount",IF(tb2_CampaignResponses[[#This Row],[Gift_Amount]]&gt;10000,"Review - unusually large donation",""))</f>
        <v/>
      </c>
      <c r="K878" s="21" t="str">
        <f>IF(tb2_CampaignResponses[[#This Row],[Supporter_ID]]="","Review - no supporter ID","")</f>
        <v/>
      </c>
      <c r="L878" s="21" t="str">
        <f ca="1">IF(tb2_CampaignResponses[[#This Row],[Response_Date]]&gt;TODAY(),"Review - future response date","")</f>
        <v/>
      </c>
    </row>
    <row r="879" spans="1:12" x14ac:dyDescent="0.25">
      <c r="A879" s="3" t="s">
        <v>4782</v>
      </c>
      <c r="B879" s="2" t="s">
        <v>2888</v>
      </c>
      <c r="C879" s="2" t="s">
        <v>3403</v>
      </c>
      <c r="D879" s="2" t="s">
        <v>3404</v>
      </c>
      <c r="E879" s="2" t="s">
        <v>65</v>
      </c>
      <c r="F879" s="15">
        <v>45333</v>
      </c>
      <c r="G879" s="25">
        <v>29.07</v>
      </c>
      <c r="H879" s="2" t="s">
        <v>36</v>
      </c>
      <c r="I879" s="4" t="s">
        <v>3318</v>
      </c>
      <c r="J879" s="2" t="str">
        <f>IF(tb2_CampaignResponses[[#This Row],[Gift_Amount]]&lt;0,"Review - negative amount",IF(tb2_CampaignResponses[[#This Row],[Gift_Amount]]&gt;10000,"Review - unusually large donation",""))</f>
        <v/>
      </c>
      <c r="K879" s="21" t="str">
        <f>IF(tb2_CampaignResponses[[#This Row],[Supporter_ID]]="","Review - no supporter ID","")</f>
        <v/>
      </c>
      <c r="L879" s="21" t="str">
        <f ca="1">IF(tb2_CampaignResponses[[#This Row],[Response_Date]]&gt;TODAY(),"Review - future response date","")</f>
        <v/>
      </c>
    </row>
    <row r="880" spans="1:12" x14ac:dyDescent="0.25">
      <c r="A880" s="3" t="s">
        <v>4784</v>
      </c>
      <c r="B880" s="2" t="s">
        <v>1192</v>
      </c>
      <c r="C880" s="2" t="s">
        <v>3354</v>
      </c>
      <c r="D880" s="2" t="s">
        <v>3355</v>
      </c>
      <c r="E880" s="2" t="s">
        <v>65</v>
      </c>
      <c r="F880" s="15">
        <v>45618</v>
      </c>
      <c r="G880" s="25">
        <v>186.61</v>
      </c>
      <c r="H880" s="2" t="s">
        <v>36</v>
      </c>
      <c r="I880" s="4" t="s">
        <v>3365</v>
      </c>
      <c r="J880" s="2" t="str">
        <f>IF(tb2_CampaignResponses[[#This Row],[Gift_Amount]]&lt;0,"Review - negative amount",IF(tb2_CampaignResponses[[#This Row],[Gift_Amount]]&gt;10000,"Review - unusually large donation",""))</f>
        <v/>
      </c>
      <c r="K880" s="21" t="str">
        <f>IF(tb2_CampaignResponses[[#This Row],[Supporter_ID]]="","Review - no supporter ID","")</f>
        <v/>
      </c>
      <c r="L880" s="21" t="str">
        <f ca="1">IF(tb2_CampaignResponses[[#This Row],[Response_Date]]&gt;TODAY(),"Review - future response date","")</f>
        <v/>
      </c>
    </row>
    <row r="881" spans="1:12" x14ac:dyDescent="0.25">
      <c r="A881" s="3" t="s">
        <v>4785</v>
      </c>
      <c r="B881" s="2" t="s">
        <v>2489</v>
      </c>
      <c r="C881" s="2" t="s">
        <v>3341</v>
      </c>
      <c r="D881" s="2" t="s">
        <v>3342</v>
      </c>
      <c r="E881" s="2" t="s">
        <v>91</v>
      </c>
      <c r="F881" s="15">
        <v>45710</v>
      </c>
      <c r="G881" s="25">
        <v>315.98</v>
      </c>
      <c r="H881" s="2" t="s">
        <v>36</v>
      </c>
      <c r="I881" s="4" t="s">
        <v>3365</v>
      </c>
      <c r="J881" s="2" t="str">
        <f>IF(tb2_CampaignResponses[[#This Row],[Gift_Amount]]&lt;0,"Review - negative amount",IF(tb2_CampaignResponses[[#This Row],[Gift_Amount]]&gt;10000,"Review - unusually large donation",""))</f>
        <v/>
      </c>
      <c r="K881" s="21" t="str">
        <f>IF(tb2_CampaignResponses[[#This Row],[Supporter_ID]]="","Review - no supporter ID","")</f>
        <v/>
      </c>
      <c r="L881" s="21" t="str">
        <f ca="1">IF(tb2_CampaignResponses[[#This Row],[Response_Date]]&gt;TODAY(),"Review - future response date","")</f>
        <v/>
      </c>
    </row>
    <row r="882" spans="1:12" x14ac:dyDescent="0.25">
      <c r="A882" s="3" t="s">
        <v>4786</v>
      </c>
      <c r="B882" s="2" t="s">
        <v>1669</v>
      </c>
      <c r="C882" s="2" t="s">
        <v>3427</v>
      </c>
      <c r="D882" s="2" t="s">
        <v>3428</v>
      </c>
      <c r="E882" s="2" t="s">
        <v>4</v>
      </c>
      <c r="F882" s="15">
        <v>45488</v>
      </c>
      <c r="G882" s="25">
        <v>21.33</v>
      </c>
      <c r="H882" s="2" t="s">
        <v>37</v>
      </c>
      <c r="I882" s="4" t="s">
        <v>3323</v>
      </c>
      <c r="J882" s="2" t="str">
        <f>IF(tb2_CampaignResponses[[#This Row],[Gift_Amount]]&lt;0,"Review - negative amount",IF(tb2_CampaignResponses[[#This Row],[Gift_Amount]]&gt;10000,"Review - unusually large donation",""))</f>
        <v/>
      </c>
      <c r="K882" s="21" t="str">
        <f>IF(tb2_CampaignResponses[[#This Row],[Supporter_ID]]="","Review - no supporter ID","")</f>
        <v/>
      </c>
      <c r="L882" s="21" t="str">
        <f ca="1">IF(tb2_CampaignResponses[[#This Row],[Response_Date]]&gt;TODAY(),"Review - future response date","")</f>
        <v/>
      </c>
    </row>
    <row r="883" spans="1:12" x14ac:dyDescent="0.25">
      <c r="A883" s="3" t="s">
        <v>4787</v>
      </c>
      <c r="B883" s="2" t="s">
        <v>3106</v>
      </c>
      <c r="C883" s="2" t="s">
        <v>3367</v>
      </c>
      <c r="D883" s="2" t="s">
        <v>3368</v>
      </c>
      <c r="E883" s="2" t="s">
        <v>4</v>
      </c>
      <c r="F883" s="15">
        <v>45771</v>
      </c>
      <c r="G883" s="25">
        <v>80.41</v>
      </c>
      <c r="H883" s="2" t="s">
        <v>36</v>
      </c>
      <c r="I883" s="4" t="s">
        <v>3385</v>
      </c>
      <c r="J883" s="2" t="str">
        <f>IF(tb2_CampaignResponses[[#This Row],[Gift_Amount]]&lt;0,"Review - negative amount",IF(tb2_CampaignResponses[[#This Row],[Gift_Amount]]&gt;10000,"Review - unusually large donation",""))</f>
        <v/>
      </c>
      <c r="K883" s="21" t="str">
        <f>IF(tb2_CampaignResponses[[#This Row],[Supporter_ID]]="","Review - no supporter ID","")</f>
        <v/>
      </c>
      <c r="L883" s="21" t="str">
        <f ca="1">IF(tb2_CampaignResponses[[#This Row],[Response_Date]]&gt;TODAY(),"Review - future response date","")</f>
        <v/>
      </c>
    </row>
    <row r="884" spans="1:12" x14ac:dyDescent="0.25">
      <c r="A884" s="3" t="s">
        <v>4789</v>
      </c>
      <c r="B884" s="2" t="s">
        <v>3118</v>
      </c>
      <c r="C884" s="2" t="s">
        <v>3362</v>
      </c>
      <c r="D884" s="2" t="s">
        <v>3363</v>
      </c>
      <c r="E884" s="2" t="s">
        <v>65</v>
      </c>
      <c r="F884" s="15">
        <v>45577</v>
      </c>
      <c r="G884" s="25">
        <v>43.6</v>
      </c>
      <c r="H884" s="2" t="s">
        <v>36</v>
      </c>
      <c r="I884" s="4" t="s">
        <v>3328</v>
      </c>
      <c r="J884" s="2" t="str">
        <f>IF(tb2_CampaignResponses[[#This Row],[Gift_Amount]]&lt;0,"Review - negative amount",IF(tb2_CampaignResponses[[#This Row],[Gift_Amount]]&gt;10000,"Review - unusually large donation",""))</f>
        <v/>
      </c>
      <c r="K884" s="21" t="str">
        <f>IF(tb2_CampaignResponses[[#This Row],[Supporter_ID]]="","Review - no supporter ID","")</f>
        <v/>
      </c>
      <c r="L884" s="21" t="str">
        <f ca="1">IF(tb2_CampaignResponses[[#This Row],[Response_Date]]&gt;TODAY(),"Review - future response date","")</f>
        <v/>
      </c>
    </row>
    <row r="885" spans="1:12" x14ac:dyDescent="0.25">
      <c r="A885" s="3" t="s">
        <v>4790</v>
      </c>
      <c r="B885" s="2" t="s">
        <v>1625</v>
      </c>
      <c r="C885" s="2" t="s">
        <v>3325</v>
      </c>
      <c r="D885" s="2" t="s">
        <v>3326</v>
      </c>
      <c r="E885" s="2" t="s">
        <v>3338</v>
      </c>
      <c r="F885" s="15">
        <v>45622</v>
      </c>
      <c r="G885" s="25">
        <v>54.44</v>
      </c>
      <c r="H885" s="2" t="s">
        <v>36</v>
      </c>
      <c r="I885" s="4" t="s">
        <v>3331</v>
      </c>
      <c r="J885" s="2" t="str">
        <f>IF(tb2_CampaignResponses[[#This Row],[Gift_Amount]]&lt;0,"Review - negative amount",IF(tb2_CampaignResponses[[#This Row],[Gift_Amount]]&gt;10000,"Review - unusually large donation",""))</f>
        <v/>
      </c>
      <c r="K885" s="21" t="str">
        <f>IF(tb2_CampaignResponses[[#This Row],[Supporter_ID]]="","Review - no supporter ID","")</f>
        <v/>
      </c>
      <c r="L885" s="21" t="str">
        <f ca="1">IF(tb2_CampaignResponses[[#This Row],[Response_Date]]&gt;TODAY(),"Review - future response date","")</f>
        <v/>
      </c>
    </row>
    <row r="886" spans="1:12" x14ac:dyDescent="0.25">
      <c r="A886" s="3" t="s">
        <v>4791</v>
      </c>
      <c r="B886" s="2" t="s">
        <v>513</v>
      </c>
      <c r="C886" s="2" t="s">
        <v>3314</v>
      </c>
      <c r="D886" s="2" t="s">
        <v>3315</v>
      </c>
      <c r="E886" s="2" t="s">
        <v>65</v>
      </c>
      <c r="F886" s="15">
        <v>45732</v>
      </c>
      <c r="G886" s="25">
        <v>11.13</v>
      </c>
      <c r="H886" s="2" t="s">
        <v>37</v>
      </c>
      <c r="I886" s="4" t="s">
        <v>3331</v>
      </c>
      <c r="J886" s="2" t="str">
        <f>IF(tb2_CampaignResponses[[#This Row],[Gift_Amount]]&lt;0,"Review - negative amount",IF(tb2_CampaignResponses[[#This Row],[Gift_Amount]]&gt;10000,"Review - unusually large donation",""))</f>
        <v/>
      </c>
      <c r="K886" s="21" t="str">
        <f>IF(tb2_CampaignResponses[[#This Row],[Supporter_ID]]="","Review - no supporter ID","")</f>
        <v/>
      </c>
      <c r="L886" s="21" t="str">
        <f ca="1">IF(tb2_CampaignResponses[[#This Row],[Response_Date]]&gt;TODAY(),"Review - future response date","")</f>
        <v/>
      </c>
    </row>
    <row r="887" spans="1:12" x14ac:dyDescent="0.25">
      <c r="A887" s="3" t="s">
        <v>4793</v>
      </c>
      <c r="B887" s="2" t="s">
        <v>1897</v>
      </c>
      <c r="C887" s="2" t="s">
        <v>3367</v>
      </c>
      <c r="D887" s="2" t="s">
        <v>3368</v>
      </c>
      <c r="E887" s="2" t="s">
        <v>65</v>
      </c>
      <c r="F887" s="15">
        <v>45723</v>
      </c>
      <c r="G887" s="25">
        <v>219.18</v>
      </c>
      <c r="H887" s="2" t="s">
        <v>37</v>
      </c>
      <c r="I887" s="4" t="s">
        <v>3385</v>
      </c>
      <c r="J887" s="2" t="str">
        <f>IF(tb2_CampaignResponses[[#This Row],[Gift_Amount]]&lt;0,"Review - negative amount",IF(tb2_CampaignResponses[[#This Row],[Gift_Amount]]&gt;10000,"Review - unusually large donation",""))</f>
        <v/>
      </c>
      <c r="K887" s="21" t="str">
        <f>IF(tb2_CampaignResponses[[#This Row],[Supporter_ID]]="","Review - no supporter ID","")</f>
        <v/>
      </c>
      <c r="L887" s="21" t="str">
        <f ca="1">IF(tb2_CampaignResponses[[#This Row],[Response_Date]]&gt;TODAY(),"Review - future response date","")</f>
        <v/>
      </c>
    </row>
    <row r="888" spans="1:12" x14ac:dyDescent="0.25">
      <c r="A888" s="3" t="s">
        <v>4795</v>
      </c>
      <c r="B888" s="2" t="s">
        <v>1476</v>
      </c>
      <c r="C888" s="2" t="s">
        <v>3325</v>
      </c>
      <c r="D888" s="2" t="s">
        <v>3326</v>
      </c>
      <c r="E888" s="2" t="s">
        <v>3316</v>
      </c>
      <c r="F888" s="15">
        <v>45615</v>
      </c>
      <c r="G888" s="25">
        <v>10.91</v>
      </c>
      <c r="H888" s="2" t="s">
        <v>36</v>
      </c>
      <c r="I888" s="4" t="s">
        <v>3365</v>
      </c>
      <c r="J888" s="2" t="str">
        <f>IF(tb2_CampaignResponses[[#This Row],[Gift_Amount]]&lt;0,"Review - negative amount",IF(tb2_CampaignResponses[[#This Row],[Gift_Amount]]&gt;10000,"Review - unusually large donation",""))</f>
        <v/>
      </c>
      <c r="K888" s="21" t="str">
        <f>IF(tb2_CampaignResponses[[#This Row],[Supporter_ID]]="","Review - no supporter ID","")</f>
        <v/>
      </c>
      <c r="L888" s="21" t="str">
        <f ca="1">IF(tb2_CampaignResponses[[#This Row],[Response_Date]]&gt;TODAY(),"Review - future response date","")</f>
        <v/>
      </c>
    </row>
    <row r="889" spans="1:12" x14ac:dyDescent="0.25">
      <c r="A889" s="3" t="s">
        <v>4797</v>
      </c>
      <c r="B889" s="2" t="s">
        <v>876</v>
      </c>
      <c r="C889" s="2" t="s">
        <v>3320</v>
      </c>
      <c r="D889" s="2" t="s">
        <v>3321</v>
      </c>
      <c r="E889" s="2" t="s">
        <v>4</v>
      </c>
      <c r="F889" s="15">
        <v>45469</v>
      </c>
      <c r="G889" s="25">
        <v>1891.98</v>
      </c>
      <c r="H889" s="2" t="s">
        <v>37</v>
      </c>
      <c r="I889" s="4" t="s">
        <v>3385</v>
      </c>
      <c r="J889" s="2" t="str">
        <f>IF(tb2_CampaignResponses[[#This Row],[Gift_Amount]]&lt;0,"Review - negative amount",IF(tb2_CampaignResponses[[#This Row],[Gift_Amount]]&gt;10000,"Review - unusually large donation",""))</f>
        <v/>
      </c>
      <c r="K889" s="21" t="str">
        <f>IF(tb2_CampaignResponses[[#This Row],[Supporter_ID]]="","Review - no supporter ID","")</f>
        <v/>
      </c>
      <c r="L889" s="21" t="str">
        <f ca="1">IF(tb2_CampaignResponses[[#This Row],[Response_Date]]&gt;TODAY(),"Review - future response date","")</f>
        <v/>
      </c>
    </row>
    <row r="890" spans="1:12" x14ac:dyDescent="0.25">
      <c r="A890" s="3" t="s">
        <v>4799</v>
      </c>
      <c r="B890" s="2" t="s">
        <v>1219</v>
      </c>
      <c r="C890" s="2" t="s">
        <v>3320</v>
      </c>
      <c r="D890" s="2" t="s">
        <v>3321</v>
      </c>
      <c r="E890" s="2" t="s">
        <v>4</v>
      </c>
      <c r="F890" s="15">
        <v>45457</v>
      </c>
      <c r="G890" s="25">
        <v>43.74</v>
      </c>
      <c r="H890" s="2" t="s">
        <v>36</v>
      </c>
      <c r="I890" s="4" t="s">
        <v>3318</v>
      </c>
      <c r="J890" s="2" t="str">
        <f>IF(tb2_CampaignResponses[[#This Row],[Gift_Amount]]&lt;0,"Review - negative amount",IF(tb2_CampaignResponses[[#This Row],[Gift_Amount]]&gt;10000,"Review - unusually large donation",""))</f>
        <v/>
      </c>
      <c r="K890" s="21" t="str">
        <f>IF(tb2_CampaignResponses[[#This Row],[Supporter_ID]]="","Review - no supporter ID","")</f>
        <v/>
      </c>
      <c r="L890" s="21" t="str">
        <f ca="1">IF(tb2_CampaignResponses[[#This Row],[Response_Date]]&gt;TODAY(),"Review - future response date","")</f>
        <v/>
      </c>
    </row>
    <row r="891" spans="1:12" x14ac:dyDescent="0.25">
      <c r="A891" s="3" t="s">
        <v>4800</v>
      </c>
      <c r="B891" s="2" t="s">
        <v>703</v>
      </c>
      <c r="C891" s="2" t="s">
        <v>3367</v>
      </c>
      <c r="D891" s="2" t="s">
        <v>3368</v>
      </c>
      <c r="E891" s="2" t="s">
        <v>65</v>
      </c>
      <c r="F891" s="15">
        <v>45873</v>
      </c>
      <c r="G891" s="25">
        <v>80.209999999999994</v>
      </c>
      <c r="H891" s="2" t="s">
        <v>36</v>
      </c>
      <c r="I891" s="4" t="s">
        <v>3334</v>
      </c>
      <c r="J891" s="2" t="str">
        <f>IF(tb2_CampaignResponses[[#This Row],[Gift_Amount]]&lt;0,"Review - negative amount",IF(tb2_CampaignResponses[[#This Row],[Gift_Amount]]&gt;10000,"Review - unusually large donation",""))</f>
        <v/>
      </c>
      <c r="K891" s="21" t="str">
        <f>IF(tb2_CampaignResponses[[#This Row],[Supporter_ID]]="","Review - no supporter ID","")</f>
        <v/>
      </c>
      <c r="L891" s="21" t="str">
        <f ca="1">IF(tb2_CampaignResponses[[#This Row],[Response_Date]]&gt;TODAY(),"Review - future response date","")</f>
        <v/>
      </c>
    </row>
    <row r="892" spans="1:12" x14ac:dyDescent="0.25">
      <c r="A892" s="3" t="s">
        <v>4802</v>
      </c>
      <c r="B892" s="2" t="s">
        <v>2309</v>
      </c>
      <c r="C892" s="2" t="s">
        <v>3314</v>
      </c>
      <c r="D892" s="2" t="s">
        <v>3315</v>
      </c>
      <c r="E892" s="2" t="s">
        <v>65</v>
      </c>
      <c r="F892" s="15">
        <v>45723</v>
      </c>
      <c r="G892" s="25">
        <v>93.12</v>
      </c>
      <c r="H892" s="2" t="s">
        <v>36</v>
      </c>
      <c r="I892" s="4" t="s">
        <v>3385</v>
      </c>
      <c r="J892" s="2" t="str">
        <f>IF(tb2_CampaignResponses[[#This Row],[Gift_Amount]]&lt;0,"Review - negative amount",IF(tb2_CampaignResponses[[#This Row],[Gift_Amount]]&gt;10000,"Review - unusually large donation",""))</f>
        <v/>
      </c>
      <c r="K892" s="21" t="str">
        <f>IF(tb2_CampaignResponses[[#This Row],[Supporter_ID]]="","Review - no supporter ID","")</f>
        <v/>
      </c>
      <c r="L892" s="21" t="str">
        <f ca="1">IF(tb2_CampaignResponses[[#This Row],[Response_Date]]&gt;TODAY(),"Review - future response date","")</f>
        <v/>
      </c>
    </row>
    <row r="893" spans="1:12" x14ac:dyDescent="0.25">
      <c r="A893" s="3" t="s">
        <v>4803</v>
      </c>
      <c r="B893" s="2" t="s">
        <v>1778</v>
      </c>
      <c r="C893" s="2" t="s">
        <v>3320</v>
      </c>
      <c r="D893" s="2" t="s">
        <v>3321</v>
      </c>
      <c r="E893" s="2" t="s">
        <v>65</v>
      </c>
      <c r="F893" s="15">
        <v>45449</v>
      </c>
      <c r="G893" s="25">
        <v>51.41</v>
      </c>
      <c r="H893" s="2" t="s">
        <v>36</v>
      </c>
      <c r="I893" s="4" t="s">
        <v>3334</v>
      </c>
      <c r="J893" s="2" t="str">
        <f>IF(tb2_CampaignResponses[[#This Row],[Gift_Amount]]&lt;0,"Review - negative amount",IF(tb2_CampaignResponses[[#This Row],[Gift_Amount]]&gt;10000,"Review - unusually large donation",""))</f>
        <v/>
      </c>
      <c r="K893" s="21" t="str">
        <f>IF(tb2_CampaignResponses[[#This Row],[Supporter_ID]]="","Review - no supporter ID","")</f>
        <v/>
      </c>
      <c r="L893" s="21" t="str">
        <f ca="1">IF(tb2_CampaignResponses[[#This Row],[Response_Date]]&gt;TODAY(),"Review - future response date","")</f>
        <v/>
      </c>
    </row>
    <row r="894" spans="1:12" x14ac:dyDescent="0.25">
      <c r="A894" s="3" t="s">
        <v>4804</v>
      </c>
      <c r="B894" s="2" t="s">
        <v>1226</v>
      </c>
      <c r="C894" s="2" t="s">
        <v>3367</v>
      </c>
      <c r="D894" s="2" t="s">
        <v>3368</v>
      </c>
      <c r="E894" s="2" t="s">
        <v>4</v>
      </c>
      <c r="F894" s="15">
        <v>45753</v>
      </c>
      <c r="G894" s="25">
        <v>31.87</v>
      </c>
      <c r="H894" s="2" t="s">
        <v>36</v>
      </c>
      <c r="I894" s="4" t="s">
        <v>3328</v>
      </c>
      <c r="J894" s="2" t="str">
        <f>IF(tb2_CampaignResponses[[#This Row],[Gift_Amount]]&lt;0,"Review - negative amount",IF(tb2_CampaignResponses[[#This Row],[Gift_Amount]]&gt;10000,"Review - unusually large donation",""))</f>
        <v/>
      </c>
      <c r="K894" s="21" t="str">
        <f>IF(tb2_CampaignResponses[[#This Row],[Supporter_ID]]="","Review - no supporter ID","")</f>
        <v/>
      </c>
      <c r="L894" s="21" t="str">
        <f ca="1">IF(tb2_CampaignResponses[[#This Row],[Response_Date]]&gt;TODAY(),"Review - future response date","")</f>
        <v/>
      </c>
    </row>
    <row r="895" spans="1:12" x14ac:dyDescent="0.25">
      <c r="A895" s="3" t="s">
        <v>4806</v>
      </c>
      <c r="B895" s="2" t="s">
        <v>1511</v>
      </c>
      <c r="C895" s="2" t="s">
        <v>3341</v>
      </c>
      <c r="D895" s="2" t="s">
        <v>3342</v>
      </c>
      <c r="E895" s="2" t="s">
        <v>4</v>
      </c>
      <c r="F895" s="15">
        <v>45754</v>
      </c>
      <c r="G895" s="25">
        <v>36.799999999999997</v>
      </c>
      <c r="H895" s="2" t="s">
        <v>37</v>
      </c>
      <c r="I895" s="4" t="s">
        <v>3385</v>
      </c>
      <c r="J895" s="2" t="str">
        <f>IF(tb2_CampaignResponses[[#This Row],[Gift_Amount]]&lt;0,"Review - negative amount",IF(tb2_CampaignResponses[[#This Row],[Gift_Amount]]&gt;10000,"Review - unusually large donation",""))</f>
        <v/>
      </c>
      <c r="K895" s="21" t="str">
        <f>IF(tb2_CampaignResponses[[#This Row],[Supporter_ID]]="","Review - no supporter ID","")</f>
        <v/>
      </c>
      <c r="L895" s="21" t="str">
        <f ca="1">IF(tb2_CampaignResponses[[#This Row],[Response_Date]]&gt;TODAY(),"Review - future response date","")</f>
        <v/>
      </c>
    </row>
    <row r="896" spans="1:12" x14ac:dyDescent="0.25">
      <c r="A896" s="3" t="s">
        <v>4808</v>
      </c>
      <c r="B896" s="2" t="s">
        <v>3281</v>
      </c>
      <c r="C896" s="2" t="s">
        <v>3367</v>
      </c>
      <c r="D896" s="2" t="s">
        <v>3368</v>
      </c>
      <c r="E896" s="2" t="s">
        <v>65</v>
      </c>
      <c r="F896" s="15">
        <v>45747</v>
      </c>
      <c r="G896" s="25">
        <v>161.24</v>
      </c>
      <c r="H896" s="2" t="s">
        <v>36</v>
      </c>
      <c r="I896" s="4" t="s">
        <v>3365</v>
      </c>
      <c r="J896" s="2" t="str">
        <f>IF(tb2_CampaignResponses[[#This Row],[Gift_Amount]]&lt;0,"Review - negative amount",IF(tb2_CampaignResponses[[#This Row],[Gift_Amount]]&gt;10000,"Review - unusually large donation",""))</f>
        <v/>
      </c>
      <c r="K896" s="21" t="str">
        <f>IF(tb2_CampaignResponses[[#This Row],[Supporter_ID]]="","Review - no supporter ID","")</f>
        <v/>
      </c>
      <c r="L896" s="21" t="str">
        <f ca="1">IF(tb2_CampaignResponses[[#This Row],[Response_Date]]&gt;TODAY(),"Review - future response date","")</f>
        <v/>
      </c>
    </row>
    <row r="897" spans="1:12" x14ac:dyDescent="0.25">
      <c r="A897" s="3" t="s">
        <v>4810</v>
      </c>
      <c r="B897" s="2" t="s">
        <v>1423</v>
      </c>
      <c r="C897" s="2" t="s">
        <v>3325</v>
      </c>
      <c r="D897" s="2" t="s">
        <v>3326</v>
      </c>
      <c r="E897" s="2" t="s">
        <v>65</v>
      </c>
      <c r="F897" s="15">
        <v>45650</v>
      </c>
      <c r="G897" s="25">
        <v>8.1300000000000008</v>
      </c>
      <c r="H897" s="2" t="s">
        <v>36</v>
      </c>
      <c r="I897" s="4" t="s">
        <v>3328</v>
      </c>
      <c r="J897" s="2" t="str">
        <f>IF(tb2_CampaignResponses[[#This Row],[Gift_Amount]]&lt;0,"Review - negative amount",IF(tb2_CampaignResponses[[#This Row],[Gift_Amount]]&gt;10000,"Review - unusually large donation",""))</f>
        <v/>
      </c>
      <c r="K897" s="21" t="str">
        <f>IF(tb2_CampaignResponses[[#This Row],[Supporter_ID]]="","Review - no supporter ID","")</f>
        <v/>
      </c>
      <c r="L897" s="21" t="str">
        <f ca="1">IF(tb2_CampaignResponses[[#This Row],[Response_Date]]&gt;TODAY(),"Review - future response date","")</f>
        <v/>
      </c>
    </row>
    <row r="898" spans="1:12" x14ac:dyDescent="0.25">
      <c r="A898" s="3" t="s">
        <v>4811</v>
      </c>
      <c r="B898" s="2" t="s">
        <v>1573</v>
      </c>
      <c r="C898" s="2" t="s">
        <v>3320</v>
      </c>
      <c r="D898" s="2" t="s">
        <v>3321</v>
      </c>
      <c r="E898" s="2" t="s">
        <v>4</v>
      </c>
      <c r="F898" s="15">
        <v>45444</v>
      </c>
      <c r="G898" s="25">
        <v>195.33</v>
      </c>
      <c r="H898" s="2" t="s">
        <v>37</v>
      </c>
      <c r="I898" s="4" t="s">
        <v>3331</v>
      </c>
      <c r="J898" s="2" t="str">
        <f>IF(tb2_CampaignResponses[[#This Row],[Gift_Amount]]&lt;0,"Review - negative amount",IF(tb2_CampaignResponses[[#This Row],[Gift_Amount]]&gt;10000,"Review - unusually large donation",""))</f>
        <v/>
      </c>
      <c r="K898" s="21" t="str">
        <f>IF(tb2_CampaignResponses[[#This Row],[Supporter_ID]]="","Review - no supporter ID","")</f>
        <v/>
      </c>
      <c r="L898" s="21" t="str">
        <f ca="1">IF(tb2_CampaignResponses[[#This Row],[Response_Date]]&gt;TODAY(),"Review - future response date","")</f>
        <v/>
      </c>
    </row>
    <row r="899" spans="1:12" x14ac:dyDescent="0.25">
      <c r="A899" s="3" t="s">
        <v>4813</v>
      </c>
      <c r="B899" s="2" t="s">
        <v>1446</v>
      </c>
      <c r="C899" s="2" t="s">
        <v>3320</v>
      </c>
      <c r="D899" s="2" t="s">
        <v>3321</v>
      </c>
      <c r="E899" s="2" t="s">
        <v>65</v>
      </c>
      <c r="F899" s="15">
        <v>45457</v>
      </c>
      <c r="G899" s="25">
        <v>11.34</v>
      </c>
      <c r="H899" s="2" t="s">
        <v>36</v>
      </c>
      <c r="I899" s="4" t="s">
        <v>3370</v>
      </c>
      <c r="J899" s="2" t="str">
        <f>IF(tb2_CampaignResponses[[#This Row],[Gift_Amount]]&lt;0,"Review - negative amount",IF(tb2_CampaignResponses[[#This Row],[Gift_Amount]]&gt;10000,"Review - unusually large donation",""))</f>
        <v/>
      </c>
      <c r="K899" s="21" t="str">
        <f>IF(tb2_CampaignResponses[[#This Row],[Supporter_ID]]="","Review - no supporter ID","")</f>
        <v/>
      </c>
      <c r="L899" s="21" t="str">
        <f ca="1">IF(tb2_CampaignResponses[[#This Row],[Response_Date]]&gt;TODAY(),"Review - future response date","")</f>
        <v/>
      </c>
    </row>
    <row r="900" spans="1:12" x14ac:dyDescent="0.25">
      <c r="A900" s="3" t="s">
        <v>4815</v>
      </c>
      <c r="B900" s="2" t="s">
        <v>1199</v>
      </c>
      <c r="C900" s="2" t="s">
        <v>3362</v>
      </c>
      <c r="D900" s="2" t="s">
        <v>3363</v>
      </c>
      <c r="E900" s="2" t="s">
        <v>65</v>
      </c>
      <c r="F900" s="15">
        <v>45574</v>
      </c>
      <c r="G900" s="25">
        <v>222.09</v>
      </c>
      <c r="H900" s="2" t="s">
        <v>36</v>
      </c>
      <c r="I900" s="4" t="s">
        <v>3370</v>
      </c>
      <c r="J900" s="2" t="str">
        <f>IF(tb2_CampaignResponses[[#This Row],[Gift_Amount]]&lt;0,"Review - negative amount",IF(tb2_CampaignResponses[[#This Row],[Gift_Amount]]&gt;10000,"Review - unusually large donation",""))</f>
        <v/>
      </c>
      <c r="K900" s="21" t="str">
        <f>IF(tb2_CampaignResponses[[#This Row],[Supporter_ID]]="","Review - no supporter ID","")</f>
        <v/>
      </c>
      <c r="L900" s="21" t="str">
        <f ca="1">IF(tb2_CampaignResponses[[#This Row],[Response_Date]]&gt;TODAY(),"Review - future response date","")</f>
        <v/>
      </c>
    </row>
    <row r="901" spans="1:12" x14ac:dyDescent="0.25">
      <c r="A901" s="3" t="s">
        <v>4816</v>
      </c>
      <c r="B901" s="2" t="s">
        <v>3159</v>
      </c>
      <c r="C901" s="2" t="s">
        <v>3341</v>
      </c>
      <c r="D901" s="2" t="s">
        <v>3342</v>
      </c>
      <c r="E901" s="2" t="s">
        <v>4</v>
      </c>
      <c r="F901" s="15">
        <v>45733</v>
      </c>
      <c r="G901" s="25">
        <v>2297.4899999999998</v>
      </c>
      <c r="H901" s="2" t="s">
        <v>36</v>
      </c>
      <c r="I901" s="4" t="s">
        <v>3318</v>
      </c>
      <c r="J901" s="2" t="str">
        <f>IF(tb2_CampaignResponses[[#This Row],[Gift_Amount]]&lt;0,"Review - negative amount",IF(tb2_CampaignResponses[[#This Row],[Gift_Amount]]&gt;10000,"Review - unusually large donation",""))</f>
        <v/>
      </c>
      <c r="K901" s="21" t="str">
        <f>IF(tb2_CampaignResponses[[#This Row],[Supporter_ID]]="","Review - no supporter ID","")</f>
        <v/>
      </c>
      <c r="L901" s="21" t="str">
        <f ca="1">IF(tb2_CampaignResponses[[#This Row],[Response_Date]]&gt;TODAY(),"Review - future response date","")</f>
        <v/>
      </c>
    </row>
    <row r="902" spans="1:12" x14ac:dyDescent="0.25">
      <c r="A902" s="3" t="s">
        <v>4818</v>
      </c>
      <c r="B902" s="2" t="s">
        <v>1147</v>
      </c>
      <c r="C902" s="2" t="s">
        <v>3341</v>
      </c>
      <c r="D902" s="2" t="s">
        <v>3342</v>
      </c>
      <c r="E902" s="2" t="s">
        <v>4</v>
      </c>
      <c r="F902" s="15">
        <v>45729</v>
      </c>
      <c r="G902" s="25">
        <v>49.11</v>
      </c>
      <c r="H902" s="2" t="s">
        <v>37</v>
      </c>
      <c r="I902" s="4" t="s">
        <v>3365</v>
      </c>
      <c r="J902" s="2" t="str">
        <f>IF(tb2_CampaignResponses[[#This Row],[Gift_Amount]]&lt;0,"Review - negative amount",IF(tb2_CampaignResponses[[#This Row],[Gift_Amount]]&gt;10000,"Review - unusually large donation",""))</f>
        <v/>
      </c>
      <c r="K902" s="21" t="str">
        <f>IF(tb2_CampaignResponses[[#This Row],[Supporter_ID]]="","Review - no supporter ID","")</f>
        <v/>
      </c>
      <c r="L902" s="21" t="str">
        <f ca="1">IF(tb2_CampaignResponses[[#This Row],[Response_Date]]&gt;TODAY(),"Review - future response date","")</f>
        <v/>
      </c>
    </row>
    <row r="903" spans="1:12" x14ac:dyDescent="0.25">
      <c r="A903" s="3" t="s">
        <v>4819</v>
      </c>
      <c r="B903" s="2" t="s">
        <v>2917</v>
      </c>
      <c r="C903" s="2" t="s">
        <v>3362</v>
      </c>
      <c r="D903" s="2" t="s">
        <v>3363</v>
      </c>
      <c r="E903" s="2" t="s">
        <v>65</v>
      </c>
      <c r="F903" s="15">
        <v>45575</v>
      </c>
      <c r="G903" s="25">
        <v>49.47</v>
      </c>
      <c r="H903" s="2" t="s">
        <v>36</v>
      </c>
      <c r="I903" s="4" t="s">
        <v>3318</v>
      </c>
      <c r="J903" s="2" t="str">
        <f>IF(tb2_CampaignResponses[[#This Row],[Gift_Amount]]&lt;0,"Review - negative amount",IF(tb2_CampaignResponses[[#This Row],[Gift_Amount]]&gt;10000,"Review - unusually large donation",""))</f>
        <v/>
      </c>
      <c r="K903" s="21" t="str">
        <f>IF(tb2_CampaignResponses[[#This Row],[Supporter_ID]]="","Review - no supporter ID","")</f>
        <v/>
      </c>
      <c r="L903" s="21" t="str">
        <f ca="1">IF(tb2_CampaignResponses[[#This Row],[Response_Date]]&gt;TODAY(),"Review - future response date","")</f>
        <v/>
      </c>
    </row>
    <row r="904" spans="1:12" x14ac:dyDescent="0.25">
      <c r="A904" s="3" t="s">
        <v>4820</v>
      </c>
      <c r="B904" s="2" t="s">
        <v>1702</v>
      </c>
      <c r="C904" s="2" t="s">
        <v>3403</v>
      </c>
      <c r="D904" s="2" t="s">
        <v>3404</v>
      </c>
      <c r="E904" s="2" t="s">
        <v>3316</v>
      </c>
      <c r="F904" s="15">
        <v>45640</v>
      </c>
      <c r="G904" s="25">
        <v>71.81</v>
      </c>
      <c r="H904" s="2" t="s">
        <v>36</v>
      </c>
      <c r="I904" s="4" t="s">
        <v>3328</v>
      </c>
      <c r="J904" s="2" t="str">
        <f>IF(tb2_CampaignResponses[[#This Row],[Gift_Amount]]&lt;0,"Review - negative amount",IF(tb2_CampaignResponses[[#This Row],[Gift_Amount]]&gt;10000,"Review - unusually large donation",""))</f>
        <v/>
      </c>
      <c r="K904" s="21" t="str">
        <f>IF(tb2_CampaignResponses[[#This Row],[Supporter_ID]]="","Review - no supporter ID","")</f>
        <v/>
      </c>
      <c r="L904" s="21" t="str">
        <f ca="1">IF(tb2_CampaignResponses[[#This Row],[Response_Date]]&gt;TODAY(),"Review - future response date","")</f>
        <v/>
      </c>
    </row>
    <row r="905" spans="1:12" x14ac:dyDescent="0.25">
      <c r="A905" s="3" t="s">
        <v>4822</v>
      </c>
      <c r="B905" s="2" t="s">
        <v>2380</v>
      </c>
      <c r="C905" s="2" t="s">
        <v>3367</v>
      </c>
      <c r="D905" s="2" t="s">
        <v>3368</v>
      </c>
      <c r="E905" s="2" t="s">
        <v>65</v>
      </c>
      <c r="F905" s="15">
        <v>45744</v>
      </c>
      <c r="G905" s="25">
        <v>70.27</v>
      </c>
      <c r="H905" s="2" t="s">
        <v>36</v>
      </c>
      <c r="I905" s="4" t="s">
        <v>3323</v>
      </c>
      <c r="J905" s="2" t="str">
        <f>IF(tb2_CampaignResponses[[#This Row],[Gift_Amount]]&lt;0,"Review - negative amount",IF(tb2_CampaignResponses[[#This Row],[Gift_Amount]]&gt;10000,"Review - unusually large donation",""))</f>
        <v/>
      </c>
      <c r="K905" s="21" t="str">
        <f>IF(tb2_CampaignResponses[[#This Row],[Supporter_ID]]="","Review - no supporter ID","")</f>
        <v/>
      </c>
      <c r="L905" s="21" t="str">
        <f ca="1">IF(tb2_CampaignResponses[[#This Row],[Response_Date]]&gt;TODAY(),"Review - future response date","")</f>
        <v/>
      </c>
    </row>
    <row r="906" spans="1:12" x14ac:dyDescent="0.25">
      <c r="A906" s="3" t="s">
        <v>4824</v>
      </c>
      <c r="B906" s="2" t="s">
        <v>831</v>
      </c>
      <c r="C906" s="2" t="s">
        <v>3325</v>
      </c>
      <c r="D906" s="2" t="s">
        <v>3326</v>
      </c>
      <c r="E906" s="2" t="s">
        <v>65</v>
      </c>
      <c r="F906" s="15">
        <v>45609</v>
      </c>
      <c r="G906" s="25">
        <v>3278.25</v>
      </c>
      <c r="H906" s="2" t="s">
        <v>37</v>
      </c>
      <c r="I906" s="4" t="s">
        <v>3331</v>
      </c>
      <c r="J906" s="2" t="str">
        <f>IF(tb2_CampaignResponses[[#This Row],[Gift_Amount]]&lt;0,"Review - negative amount",IF(tb2_CampaignResponses[[#This Row],[Gift_Amount]]&gt;10000,"Review - unusually large donation",""))</f>
        <v/>
      </c>
      <c r="K906" s="21" t="str">
        <f>IF(tb2_CampaignResponses[[#This Row],[Supporter_ID]]="","Review - no supporter ID","")</f>
        <v/>
      </c>
      <c r="L906" s="21" t="str">
        <f ca="1">IF(tb2_CampaignResponses[[#This Row],[Response_Date]]&gt;TODAY(),"Review - future response date","")</f>
        <v/>
      </c>
    </row>
    <row r="907" spans="1:12" x14ac:dyDescent="0.25">
      <c r="A907" s="3" t="s">
        <v>4826</v>
      </c>
      <c r="B907" s="2" t="s">
        <v>3235</v>
      </c>
      <c r="C907" s="2" t="s">
        <v>3427</v>
      </c>
      <c r="D907" s="2" t="s">
        <v>3428</v>
      </c>
      <c r="E907" s="2" t="s">
        <v>4</v>
      </c>
      <c r="F907" s="15">
        <v>45488</v>
      </c>
      <c r="G907" s="25">
        <v>89.95</v>
      </c>
      <c r="H907" s="2" t="s">
        <v>36</v>
      </c>
      <c r="I907" s="4" t="s">
        <v>3331</v>
      </c>
      <c r="J907" s="2" t="str">
        <f>IF(tb2_CampaignResponses[[#This Row],[Gift_Amount]]&lt;0,"Review - negative amount",IF(tb2_CampaignResponses[[#This Row],[Gift_Amount]]&gt;10000,"Review - unusually large donation",""))</f>
        <v/>
      </c>
      <c r="K907" s="21" t="str">
        <f>IF(tb2_CampaignResponses[[#This Row],[Supporter_ID]]="","Review - no supporter ID","")</f>
        <v/>
      </c>
      <c r="L907" s="21" t="str">
        <f ca="1">IF(tb2_CampaignResponses[[#This Row],[Response_Date]]&gt;TODAY(),"Review - future response date","")</f>
        <v/>
      </c>
    </row>
    <row r="908" spans="1:12" x14ac:dyDescent="0.25">
      <c r="A908" s="3" t="s">
        <v>4827</v>
      </c>
      <c r="B908" s="2" t="s">
        <v>2235</v>
      </c>
      <c r="C908" s="2" t="s">
        <v>3314</v>
      </c>
      <c r="D908" s="2" t="s">
        <v>3315</v>
      </c>
      <c r="E908" s="2" t="s">
        <v>33</v>
      </c>
      <c r="F908" s="15">
        <v>45737</v>
      </c>
      <c r="G908" s="25">
        <v>14.35</v>
      </c>
      <c r="H908" s="2" t="s">
        <v>36</v>
      </c>
      <c r="I908" s="4" t="s">
        <v>3318</v>
      </c>
      <c r="J908" s="2" t="str">
        <f>IF(tb2_CampaignResponses[[#This Row],[Gift_Amount]]&lt;0,"Review - negative amount",IF(tb2_CampaignResponses[[#This Row],[Gift_Amount]]&gt;10000,"Review - unusually large donation",""))</f>
        <v/>
      </c>
      <c r="K908" s="21" t="str">
        <f>IF(tb2_CampaignResponses[[#This Row],[Supporter_ID]]="","Review - no supporter ID","")</f>
        <v/>
      </c>
      <c r="L908" s="21" t="str">
        <f ca="1">IF(tb2_CampaignResponses[[#This Row],[Response_Date]]&gt;TODAY(),"Review - future response date","")</f>
        <v/>
      </c>
    </row>
    <row r="909" spans="1:12" x14ac:dyDescent="0.25">
      <c r="A909" s="8" t="s">
        <v>4829</v>
      </c>
      <c r="B909" s="9" t="s">
        <v>1423</v>
      </c>
      <c r="C909" s="9" t="s">
        <v>3314</v>
      </c>
      <c r="D909" s="9" t="s">
        <v>3315</v>
      </c>
      <c r="E909" s="9" t="s">
        <v>3316</v>
      </c>
      <c r="F909" s="16">
        <v>45679</v>
      </c>
      <c r="G909" s="26">
        <v>42.38</v>
      </c>
      <c r="H909" s="9" t="s">
        <v>36</v>
      </c>
      <c r="I909" s="10" t="s">
        <v>3331</v>
      </c>
      <c r="J909" s="9" t="str">
        <f>IF(tb2_CampaignResponses[[#This Row],[Gift_Amount]]&lt;0,"Review - negative amount",IF(tb2_CampaignResponses[[#This Row],[Gift_Amount]]&gt;10000,"Review - unusually large donation",""))</f>
        <v/>
      </c>
      <c r="K909" s="21" t="str">
        <f>IF(tb2_CampaignResponses[[#This Row],[Supporter_ID]]="","Review - no supporter ID","")</f>
        <v/>
      </c>
      <c r="L909" s="21" t="str">
        <f ca="1">IF(tb2_CampaignResponses[[#This Row],[Response_Date]]&gt;TODAY(),"Review - future response date","")</f>
        <v/>
      </c>
    </row>
  </sheetData>
  <conditionalFormatting sqref="J2:J909">
    <cfRule type="notContainsBlanks" dxfId="6" priority="3">
      <formula>LEN(TRIM(J2))&gt;0</formula>
    </cfRule>
  </conditionalFormatting>
  <conditionalFormatting sqref="K2:K909">
    <cfRule type="notContainsBlanks" dxfId="5" priority="2">
      <formula>LEN(TRIM(K2))&gt;0</formula>
    </cfRule>
  </conditionalFormatting>
  <conditionalFormatting sqref="L2:L909">
    <cfRule type="notContainsBlanks" dxfId="4" priority="1">
      <formula>LEN(TRIM(L2))&gt;0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1CF8-1B2B-4C63-BC67-2EC14EB5F60A}">
  <dimension ref="A1:I11"/>
  <sheetViews>
    <sheetView workbookViewId="0">
      <selection activeCell="D15" sqref="D15"/>
    </sheetView>
  </sheetViews>
  <sheetFormatPr defaultColWidth="8.85546875" defaultRowHeight="15" x14ac:dyDescent="0.25"/>
  <cols>
    <col min="1" max="1" width="32" customWidth="1"/>
    <col min="2" max="2" width="19.7109375" customWidth="1"/>
    <col min="3" max="3" width="19.28515625" customWidth="1"/>
    <col min="4" max="4" width="20.28515625" customWidth="1"/>
    <col min="5" max="6" width="14" style="17" customWidth="1"/>
    <col min="7" max="7" width="16.28515625" customWidth="1"/>
    <col min="8" max="8" width="20.28515625" customWidth="1"/>
  </cols>
  <sheetData>
    <row r="1" spans="1:9" x14ac:dyDescent="0.25">
      <c r="A1" s="5" t="s">
        <v>3306</v>
      </c>
      <c r="B1" s="6" t="s">
        <v>3307</v>
      </c>
      <c r="C1" s="6" t="s">
        <v>4830</v>
      </c>
      <c r="D1" s="6" t="s">
        <v>4831</v>
      </c>
      <c r="E1" s="14" t="s">
        <v>4832</v>
      </c>
      <c r="F1" s="14" t="s">
        <v>4833</v>
      </c>
      <c r="G1" s="6" t="s">
        <v>4834</v>
      </c>
      <c r="H1" s="7" t="s">
        <v>4835</v>
      </c>
    </row>
    <row r="2" spans="1:9" x14ac:dyDescent="0.25">
      <c r="A2" s="3" t="s">
        <v>3325</v>
      </c>
      <c r="B2" s="2" t="s">
        <v>3326</v>
      </c>
      <c r="C2" s="2" t="s">
        <v>4836</v>
      </c>
      <c r="D2" s="2" t="s">
        <v>4837</v>
      </c>
      <c r="E2" s="15">
        <v>45597</v>
      </c>
      <c r="F2" s="15">
        <v>45657</v>
      </c>
      <c r="G2" s="2">
        <v>25000</v>
      </c>
      <c r="H2" s="4" t="s">
        <v>4840</v>
      </c>
      <c r="I2" t="str">
        <f>IF(tb3_CampaignMaster[[#This Row],[Start_Date]]&gt;tb3_CampaignMaster[[#This Row],[End_Date]],"Higher","")</f>
        <v/>
      </c>
    </row>
    <row r="3" spans="1:9" x14ac:dyDescent="0.25">
      <c r="A3" s="3" t="s">
        <v>3367</v>
      </c>
      <c r="B3" s="2" t="s">
        <v>3368</v>
      </c>
      <c r="C3" s="2" t="s">
        <v>4841</v>
      </c>
      <c r="D3" s="2" t="s">
        <v>4842</v>
      </c>
      <c r="E3" s="15">
        <v>45717</v>
      </c>
      <c r="F3" s="15">
        <v>45777</v>
      </c>
      <c r="G3" s="2">
        <v>8000</v>
      </c>
      <c r="H3" s="4" t="s">
        <v>65</v>
      </c>
    </row>
    <row r="4" spans="1:9" x14ac:dyDescent="0.25">
      <c r="A4" s="3" t="s">
        <v>3427</v>
      </c>
      <c r="B4" s="2" t="s">
        <v>3428</v>
      </c>
      <c r="C4" s="2" t="s">
        <v>117</v>
      </c>
      <c r="D4" s="2" t="s">
        <v>4845</v>
      </c>
      <c r="E4" s="15">
        <v>45488</v>
      </c>
      <c r="F4" s="15">
        <v>45488</v>
      </c>
      <c r="G4" s="2">
        <v>45000</v>
      </c>
      <c r="H4" s="4" t="s">
        <v>65</v>
      </c>
    </row>
    <row r="5" spans="1:9" x14ac:dyDescent="0.25">
      <c r="A5" s="3" t="s">
        <v>3336</v>
      </c>
      <c r="B5" s="2" t="s">
        <v>3337</v>
      </c>
      <c r="C5" s="2" t="s">
        <v>4836</v>
      </c>
      <c r="D5" s="2" t="s">
        <v>4846</v>
      </c>
      <c r="E5" s="15">
        <v>45545</v>
      </c>
      <c r="F5" s="15">
        <v>45580</v>
      </c>
      <c r="G5" s="2">
        <v>15000</v>
      </c>
      <c r="H5" s="4" t="s">
        <v>4</v>
      </c>
    </row>
    <row r="6" spans="1:9" x14ac:dyDescent="0.25">
      <c r="A6" s="3" t="s">
        <v>3403</v>
      </c>
      <c r="B6" s="2" t="s">
        <v>3404</v>
      </c>
      <c r="C6" s="2" t="s">
        <v>4849</v>
      </c>
      <c r="D6" s="2" t="s">
        <v>4837</v>
      </c>
      <c r="E6" s="15">
        <v>45580</v>
      </c>
      <c r="F6" s="15">
        <v>45646</v>
      </c>
      <c r="G6" s="2">
        <v>12000</v>
      </c>
      <c r="H6" s="4" t="s">
        <v>4840</v>
      </c>
    </row>
    <row r="7" spans="1:9" x14ac:dyDescent="0.25">
      <c r="A7" s="3" t="s">
        <v>3314</v>
      </c>
      <c r="B7" s="2" t="s">
        <v>3315</v>
      </c>
      <c r="C7" s="2" t="s">
        <v>4850</v>
      </c>
      <c r="D7" s="2" t="s">
        <v>4851</v>
      </c>
      <c r="E7" s="15">
        <v>45663</v>
      </c>
      <c r="F7" s="15">
        <v>45747</v>
      </c>
      <c r="G7" s="2">
        <v>10000</v>
      </c>
      <c r="H7" s="4" t="s">
        <v>33</v>
      </c>
    </row>
    <row r="8" spans="1:9" x14ac:dyDescent="0.25">
      <c r="A8" s="3" t="s">
        <v>3362</v>
      </c>
      <c r="B8" s="2" t="s">
        <v>3363</v>
      </c>
      <c r="C8" s="2" t="s">
        <v>4853</v>
      </c>
      <c r="D8" s="2" t="s">
        <v>4854</v>
      </c>
      <c r="E8" s="15">
        <v>45572</v>
      </c>
      <c r="F8" s="15">
        <v>45578</v>
      </c>
      <c r="G8" s="2">
        <v>5000</v>
      </c>
      <c r="H8" s="4" t="s">
        <v>65</v>
      </c>
    </row>
    <row r="9" spans="1:9" x14ac:dyDescent="0.25">
      <c r="A9" s="3" t="s">
        <v>3341</v>
      </c>
      <c r="B9" s="2" t="s">
        <v>3342</v>
      </c>
      <c r="C9" s="2" t="s">
        <v>4855</v>
      </c>
      <c r="D9" s="2" t="s">
        <v>4856</v>
      </c>
      <c r="E9" s="15">
        <v>45689</v>
      </c>
      <c r="F9" s="15">
        <v>45777</v>
      </c>
      <c r="G9" s="2">
        <v>20000</v>
      </c>
      <c r="H9" s="4" t="s">
        <v>3316</v>
      </c>
    </row>
    <row r="10" spans="1:9" x14ac:dyDescent="0.25">
      <c r="A10" s="3" t="s">
        <v>3354</v>
      </c>
      <c r="B10" s="2" t="s">
        <v>3355</v>
      </c>
      <c r="C10" s="2" t="s">
        <v>117</v>
      </c>
      <c r="D10" s="2" t="s">
        <v>4858</v>
      </c>
      <c r="E10" s="15">
        <v>45618</v>
      </c>
      <c r="F10" s="15">
        <v>45618</v>
      </c>
      <c r="G10" s="2">
        <v>3500</v>
      </c>
      <c r="H10" s="4" t="s">
        <v>4</v>
      </c>
    </row>
    <row r="11" spans="1:9" x14ac:dyDescent="0.25">
      <c r="A11" s="8" t="s">
        <v>3320</v>
      </c>
      <c r="B11" s="9" t="s">
        <v>3321</v>
      </c>
      <c r="C11" s="9" t="s">
        <v>4859</v>
      </c>
      <c r="D11" s="9" t="s">
        <v>4845</v>
      </c>
      <c r="E11" s="16">
        <v>45444</v>
      </c>
      <c r="F11" s="16">
        <v>45473</v>
      </c>
      <c r="G11" s="9">
        <v>7000</v>
      </c>
      <c r="H11" s="10" t="s">
        <v>65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B365-F242-4EFE-934B-0FAF25DDE17A}">
  <dimension ref="A1:E25"/>
  <sheetViews>
    <sheetView topLeftCell="J4" zoomScale="115" zoomScaleNormal="115" workbookViewId="0">
      <selection activeCell="A6" sqref="A6"/>
    </sheetView>
  </sheetViews>
  <sheetFormatPr defaultColWidth="9.140625" defaultRowHeight="15" x14ac:dyDescent="0.25"/>
  <cols>
    <col min="1" max="1" width="20.28515625" bestFit="1" customWidth="1"/>
    <col min="2" max="2" width="29.42578125" customWidth="1"/>
    <col min="3" max="3" width="43.28515625" customWidth="1"/>
    <col min="4" max="4" width="65.42578125" customWidth="1"/>
    <col min="5" max="5" width="25.7109375" bestFit="1" customWidth="1"/>
  </cols>
  <sheetData>
    <row r="1" spans="1:5" x14ac:dyDescent="0.25">
      <c r="A1" s="44" t="s">
        <v>4862</v>
      </c>
      <c r="B1" s="44" t="s">
        <v>4863</v>
      </c>
      <c r="C1" s="44" t="s">
        <v>4875</v>
      </c>
      <c r="D1" s="44" t="s">
        <v>4876</v>
      </c>
      <c r="E1" s="44" t="s">
        <v>4878</v>
      </c>
    </row>
    <row r="2" spans="1:5" x14ac:dyDescent="0.25">
      <c r="A2" s="45" t="s">
        <v>4877</v>
      </c>
      <c r="B2" s="45" t="s">
        <v>1</v>
      </c>
      <c r="C2" s="45" t="s">
        <v>4884</v>
      </c>
      <c r="D2" s="45" t="s">
        <v>4879</v>
      </c>
      <c r="E2" s="45" t="s">
        <v>4880</v>
      </c>
    </row>
    <row r="3" spans="1:5" ht="30" x14ac:dyDescent="0.25">
      <c r="A3" s="45" t="s">
        <v>4877</v>
      </c>
      <c r="B3" s="45" t="s">
        <v>4881</v>
      </c>
      <c r="C3" s="45" t="s">
        <v>4892</v>
      </c>
      <c r="D3" s="45" t="s">
        <v>4893</v>
      </c>
      <c r="E3" s="45" t="s">
        <v>4880</v>
      </c>
    </row>
    <row r="4" spans="1:5" ht="30" x14ac:dyDescent="0.25">
      <c r="A4" s="45" t="s">
        <v>4877</v>
      </c>
      <c r="B4" s="45" t="s">
        <v>4</v>
      </c>
      <c r="C4" s="45" t="s">
        <v>4894</v>
      </c>
      <c r="D4" s="45" t="s">
        <v>4951</v>
      </c>
      <c r="E4" s="45" t="s">
        <v>4895</v>
      </c>
    </row>
    <row r="5" spans="1:5" ht="45" x14ac:dyDescent="0.25">
      <c r="A5" s="45" t="s">
        <v>4877</v>
      </c>
      <c r="B5" s="45" t="s">
        <v>4961</v>
      </c>
      <c r="C5" s="45" t="s">
        <v>4952</v>
      </c>
      <c r="D5" s="45" t="s">
        <v>4942</v>
      </c>
      <c r="E5" s="45" t="s">
        <v>4930</v>
      </c>
    </row>
    <row r="6" spans="1:5" x14ac:dyDescent="0.25">
      <c r="A6" s="45" t="s">
        <v>4877</v>
      </c>
      <c r="B6" s="45" t="s">
        <v>5</v>
      </c>
      <c r="C6" s="45" t="s">
        <v>4882</v>
      </c>
      <c r="D6" s="45" t="s">
        <v>4896</v>
      </c>
      <c r="E6" s="45" t="s">
        <v>4880</v>
      </c>
    </row>
    <row r="7" spans="1:5" ht="30" x14ac:dyDescent="0.25">
      <c r="A7" s="45" t="s">
        <v>4877</v>
      </c>
      <c r="B7" s="45" t="s">
        <v>5</v>
      </c>
      <c r="C7" s="45" t="s">
        <v>4953</v>
      </c>
      <c r="D7" s="45" t="s">
        <v>4954</v>
      </c>
      <c r="E7" s="45" t="s">
        <v>4883</v>
      </c>
    </row>
    <row r="8" spans="1:5" ht="45" x14ac:dyDescent="0.25">
      <c r="A8" s="45" t="s">
        <v>4877</v>
      </c>
      <c r="B8" s="45" t="s">
        <v>6</v>
      </c>
      <c r="C8" s="45" t="s">
        <v>4897</v>
      </c>
      <c r="D8" s="45" t="s">
        <v>4959</v>
      </c>
      <c r="E8" s="45" t="s">
        <v>4880</v>
      </c>
    </row>
    <row r="9" spans="1:5" ht="30" x14ac:dyDescent="0.25">
      <c r="A9" s="45" t="s">
        <v>4877</v>
      </c>
      <c r="B9" s="45" t="s">
        <v>6</v>
      </c>
      <c r="C9" s="45" t="s">
        <v>4960</v>
      </c>
      <c r="D9" s="45" t="s">
        <v>4898</v>
      </c>
      <c r="E9" s="45" t="s">
        <v>4899</v>
      </c>
    </row>
    <row r="10" spans="1:5" ht="30" x14ac:dyDescent="0.25">
      <c r="A10" s="45" t="s">
        <v>4877</v>
      </c>
      <c r="B10" s="45" t="s">
        <v>4903</v>
      </c>
      <c r="C10" s="45" t="s">
        <v>4900</v>
      </c>
      <c r="D10" s="45" t="s">
        <v>4893</v>
      </c>
      <c r="E10" s="45" t="s">
        <v>4880</v>
      </c>
    </row>
    <row r="11" spans="1:5" ht="30" x14ac:dyDescent="0.25">
      <c r="A11" s="45" t="s">
        <v>4877</v>
      </c>
      <c r="B11" s="45" t="s">
        <v>11</v>
      </c>
      <c r="C11" s="45" t="s">
        <v>4901</v>
      </c>
      <c r="D11" s="45" t="s">
        <v>4902</v>
      </c>
      <c r="E11" s="45" t="s">
        <v>4885</v>
      </c>
    </row>
    <row r="12" spans="1:5" ht="30" x14ac:dyDescent="0.25">
      <c r="A12" s="45" t="s">
        <v>4877</v>
      </c>
      <c r="B12" s="45" t="s">
        <v>4904</v>
      </c>
      <c r="C12" s="45" t="s">
        <v>4957</v>
      </c>
      <c r="D12" s="45" t="s">
        <v>4958</v>
      </c>
      <c r="E12" s="45" t="s">
        <v>4905</v>
      </c>
    </row>
    <row r="13" spans="1:5" ht="30" x14ac:dyDescent="0.25">
      <c r="A13" s="45" t="s">
        <v>4877</v>
      </c>
      <c r="B13" s="45" t="s">
        <v>4906</v>
      </c>
      <c r="C13" s="45" t="s">
        <v>4955</v>
      </c>
      <c r="D13" s="45" t="s">
        <v>4956</v>
      </c>
      <c r="E13" s="45" t="s">
        <v>4880</v>
      </c>
    </row>
    <row r="14" spans="1:5" ht="30" x14ac:dyDescent="0.25">
      <c r="A14" s="45" t="s">
        <v>4913</v>
      </c>
      <c r="B14" s="45" t="s">
        <v>4914</v>
      </c>
      <c r="C14" s="45" t="s">
        <v>4915</v>
      </c>
      <c r="D14" s="45" t="s">
        <v>4916</v>
      </c>
      <c r="E14" s="45" t="s">
        <v>4880</v>
      </c>
    </row>
    <row r="15" spans="1:5" ht="30" x14ac:dyDescent="0.25">
      <c r="A15" s="45" t="s">
        <v>4913</v>
      </c>
      <c r="B15" s="45" t="s">
        <v>3308</v>
      </c>
      <c r="C15" s="45" t="s">
        <v>4917</v>
      </c>
      <c r="D15" s="45" t="s">
        <v>4918</v>
      </c>
      <c r="E15" s="45" t="s">
        <v>4880</v>
      </c>
    </row>
    <row r="16" spans="1:5" ht="45" x14ac:dyDescent="0.25">
      <c r="A16" s="45" t="s">
        <v>4913</v>
      </c>
      <c r="B16" s="45" t="s">
        <v>3309</v>
      </c>
      <c r="C16" s="45" t="s">
        <v>4897</v>
      </c>
      <c r="D16" s="45" t="s">
        <v>4919</v>
      </c>
      <c r="E16" s="45" t="s">
        <v>4880</v>
      </c>
    </row>
    <row r="17" spans="1:5" ht="30" x14ac:dyDescent="0.25">
      <c r="A17" s="45" t="s">
        <v>4913</v>
      </c>
      <c r="B17" s="45" t="s">
        <v>3309</v>
      </c>
      <c r="C17" s="45" t="s">
        <v>4920</v>
      </c>
      <c r="D17" s="45" t="s">
        <v>4921</v>
      </c>
      <c r="E17" s="45" t="s">
        <v>4883</v>
      </c>
    </row>
    <row r="18" spans="1:5" ht="30" x14ac:dyDescent="0.25">
      <c r="A18" s="45" t="s">
        <v>4913</v>
      </c>
      <c r="B18" s="45" t="s">
        <v>3310</v>
      </c>
      <c r="C18" s="45" t="s">
        <v>4922</v>
      </c>
      <c r="D18" s="45" t="s">
        <v>4923</v>
      </c>
      <c r="E18" s="45" t="s">
        <v>4880</v>
      </c>
    </row>
    <row r="19" spans="1:5" ht="30" x14ac:dyDescent="0.25">
      <c r="A19" s="45" t="s">
        <v>4913</v>
      </c>
      <c r="B19" s="45" t="s">
        <v>3310</v>
      </c>
      <c r="C19" s="45" t="s">
        <v>4924</v>
      </c>
      <c r="D19" s="45" t="s">
        <v>4925</v>
      </c>
      <c r="E19" s="45" t="s">
        <v>4883</v>
      </c>
    </row>
    <row r="20" spans="1:5" ht="30" x14ac:dyDescent="0.25">
      <c r="A20" s="45" t="s">
        <v>4913</v>
      </c>
      <c r="B20" s="45" t="s">
        <v>3310</v>
      </c>
      <c r="C20" s="45" t="s">
        <v>4926</v>
      </c>
      <c r="D20" s="45" t="s">
        <v>4927</v>
      </c>
      <c r="E20" s="45" t="s">
        <v>4883</v>
      </c>
    </row>
    <row r="21" spans="1:5" ht="30" x14ac:dyDescent="0.25">
      <c r="A21" s="45" t="s">
        <v>4913</v>
      </c>
      <c r="B21" s="45" t="s">
        <v>0</v>
      </c>
      <c r="C21" s="45" t="s">
        <v>4928</v>
      </c>
      <c r="D21" s="45" t="s">
        <v>4929</v>
      </c>
      <c r="E21" s="45" t="s">
        <v>4930</v>
      </c>
    </row>
    <row r="22" spans="1:5" ht="30" x14ac:dyDescent="0.25">
      <c r="A22" s="45" t="s">
        <v>4931</v>
      </c>
      <c r="B22" s="45" t="s">
        <v>4932</v>
      </c>
      <c r="C22" s="45" t="s">
        <v>4933</v>
      </c>
      <c r="D22" s="45" t="s">
        <v>4934</v>
      </c>
      <c r="E22" s="45" t="s">
        <v>4880</v>
      </c>
    </row>
    <row r="23" spans="1:5" x14ac:dyDescent="0.25">
      <c r="A23" s="45" t="s">
        <v>4962</v>
      </c>
      <c r="B23" s="45" t="s">
        <v>4963</v>
      </c>
      <c r="C23" s="45" t="s">
        <v>4964</v>
      </c>
      <c r="D23" s="45" t="s">
        <v>4965</v>
      </c>
      <c r="E23" s="45" t="s">
        <v>4930</v>
      </c>
    </row>
    <row r="24" spans="1:5" ht="30" x14ac:dyDescent="0.25">
      <c r="A24" s="45" t="s">
        <v>4962</v>
      </c>
      <c r="B24" s="45" t="s">
        <v>4966</v>
      </c>
      <c r="C24" s="45" t="s">
        <v>4967</v>
      </c>
      <c r="D24" s="45" t="s">
        <v>4968</v>
      </c>
      <c r="E24" s="45" t="s">
        <v>4969</v>
      </c>
    </row>
    <row r="25" spans="1:5" ht="30" x14ac:dyDescent="0.25">
      <c r="A25" s="45" t="s">
        <v>4962</v>
      </c>
      <c r="B25" s="45" t="s">
        <v>4970</v>
      </c>
      <c r="C25" s="45" t="s">
        <v>4971</v>
      </c>
      <c r="D25" s="45" t="s">
        <v>4972</v>
      </c>
      <c r="E25" s="45" t="s">
        <v>4985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740E-537E-4F6D-A9BC-D435EA79A9E2}">
  <dimension ref="A1:AA13"/>
  <sheetViews>
    <sheetView tabSelected="1" topLeftCell="H1" workbookViewId="0">
      <selection activeCell="K21" sqref="K21"/>
    </sheetView>
  </sheetViews>
  <sheetFormatPr defaultColWidth="8.85546875" defaultRowHeight="15" x14ac:dyDescent="0.25"/>
  <cols>
    <col min="1" max="1" width="15.7109375" bestFit="1" customWidth="1"/>
    <col min="2" max="2" width="7.28515625" bestFit="1" customWidth="1"/>
    <col min="3" max="3" width="13.28515625" bestFit="1" customWidth="1"/>
    <col min="4" max="4" width="13" bestFit="1" customWidth="1"/>
    <col min="5" max="5" width="29" bestFit="1" customWidth="1"/>
    <col min="6" max="6" width="14.85546875" bestFit="1" customWidth="1"/>
    <col min="7" max="7" width="15" bestFit="1" customWidth="1"/>
    <col min="8" max="8" width="15.7109375" style="17" bestFit="1" customWidth="1"/>
    <col min="9" max="9" width="6.7109375" bestFit="1" customWidth="1"/>
    <col min="10" max="10" width="12.85546875" bestFit="1" customWidth="1"/>
    <col min="11" max="11" width="15.7109375" bestFit="1" customWidth="1"/>
    <col min="12" max="12" width="11.85546875" bestFit="1" customWidth="1"/>
    <col min="13" max="13" width="15.7109375" bestFit="1" customWidth="1"/>
    <col min="14" max="14" width="11.28515625" bestFit="1" customWidth="1"/>
    <col min="15" max="15" width="10" bestFit="1" customWidth="1"/>
    <col min="16" max="16" width="20.7109375" bestFit="1" customWidth="1"/>
    <col min="17" max="17" width="15.85546875" bestFit="1" customWidth="1"/>
    <col min="18" max="18" width="14.28515625" bestFit="1" customWidth="1"/>
    <col min="19" max="19" width="28.7109375" bestFit="1" customWidth="1"/>
    <col min="20" max="20" width="15.140625" bestFit="1" customWidth="1"/>
    <col min="21" max="21" width="14.28515625" bestFit="1" customWidth="1"/>
    <col min="22" max="22" width="16.140625" bestFit="1" customWidth="1"/>
    <col min="23" max="23" width="14.140625" bestFit="1" customWidth="1"/>
    <col min="24" max="24" width="37.28515625" bestFit="1" customWidth="1"/>
    <col min="25" max="25" width="29.85546875" bestFit="1" customWidth="1"/>
    <col min="26" max="26" width="11.7109375" bestFit="1" customWidth="1"/>
    <col min="27" max="27" width="52" bestFit="1" customWidth="1"/>
  </cols>
  <sheetData>
    <row r="1" spans="1:27" x14ac:dyDescent="0.25">
      <c r="A1" t="s">
        <v>4864</v>
      </c>
      <c r="B1" t="s">
        <v>1</v>
      </c>
      <c r="C1" t="s">
        <v>2</v>
      </c>
      <c r="D1" t="s">
        <v>3</v>
      </c>
      <c r="E1" t="s">
        <v>4</v>
      </c>
      <c r="F1" t="s">
        <v>4874</v>
      </c>
      <c r="G1" t="s">
        <v>4872</v>
      </c>
      <c r="H1" s="17" t="s">
        <v>6</v>
      </c>
      <c r="I1" t="s">
        <v>4889</v>
      </c>
      <c r="J1" t="s">
        <v>4890</v>
      </c>
      <c r="K1" t="s">
        <v>4886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4891</v>
      </c>
      <c r="Y1" t="s">
        <v>4873</v>
      </c>
      <c r="Z1" t="s">
        <v>4910</v>
      </c>
      <c r="AA1" t="s">
        <v>4943</v>
      </c>
    </row>
    <row r="2" spans="1:27" x14ac:dyDescent="0.25">
      <c r="A2" t="s">
        <v>156</v>
      </c>
      <c r="B2" t="s">
        <v>54</v>
      </c>
      <c r="C2" t="s">
        <v>157</v>
      </c>
      <c r="D2" t="s">
        <v>158</v>
      </c>
      <c r="E2" t="s">
        <v>159</v>
      </c>
      <c r="F2" t="s">
        <v>160</v>
      </c>
      <c r="G2" t="s">
        <v>160</v>
      </c>
      <c r="H2" s="17">
        <v>24461</v>
      </c>
      <c r="I2">
        <v>59</v>
      </c>
      <c r="J2" t="s">
        <v>4935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4887</v>
      </c>
      <c r="Q2" t="s">
        <v>154</v>
      </c>
      <c r="R2">
        <v>44241</v>
      </c>
      <c r="S2" t="s">
        <v>93</v>
      </c>
      <c r="T2" t="s">
        <v>36</v>
      </c>
      <c r="U2" t="s">
        <v>36</v>
      </c>
      <c r="V2" t="s">
        <v>36</v>
      </c>
      <c r="W2" t="s">
        <v>37</v>
      </c>
      <c r="X2" t="s">
        <v>4869</v>
      </c>
      <c r="Y2" t="s">
        <v>4869</v>
      </c>
      <c r="Z2" t="s">
        <v>4869</v>
      </c>
      <c r="AA2" t="s">
        <v>4944</v>
      </c>
    </row>
    <row r="3" spans="1:27" x14ac:dyDescent="0.25">
      <c r="A3" t="s">
        <v>272</v>
      </c>
      <c r="B3" t="s">
        <v>402</v>
      </c>
      <c r="C3" t="s">
        <v>265</v>
      </c>
      <c r="D3" t="s">
        <v>273</v>
      </c>
      <c r="E3" t="s">
        <v>274</v>
      </c>
      <c r="F3" t="s">
        <v>275</v>
      </c>
      <c r="G3" t="s">
        <v>4870</v>
      </c>
      <c r="H3" s="17">
        <v>21036</v>
      </c>
      <c r="I3">
        <v>68</v>
      </c>
      <c r="J3" t="s">
        <v>4936</v>
      </c>
      <c r="K3" t="s">
        <v>277</v>
      </c>
      <c r="L3" t="s">
        <v>278</v>
      </c>
      <c r="M3" t="s">
        <v>279</v>
      </c>
      <c r="N3" t="s">
        <v>280</v>
      </c>
      <c r="O3" t="s">
        <v>242</v>
      </c>
      <c r="P3" t="s">
        <v>4887</v>
      </c>
      <c r="Q3" t="s">
        <v>50</v>
      </c>
      <c r="R3">
        <v>43102</v>
      </c>
      <c r="S3" t="s">
        <v>93</v>
      </c>
      <c r="T3" t="s">
        <v>36</v>
      </c>
      <c r="U3" t="s">
        <v>36</v>
      </c>
      <c r="V3" t="s">
        <v>36</v>
      </c>
      <c r="W3" t="s">
        <v>37</v>
      </c>
      <c r="X3" t="s">
        <v>4869</v>
      </c>
      <c r="Y3" t="s">
        <v>4937</v>
      </c>
      <c r="Z3" t="s">
        <v>4869</v>
      </c>
      <c r="AA3" t="s">
        <v>4944</v>
      </c>
    </row>
    <row r="4" spans="1:27" x14ac:dyDescent="0.25">
      <c r="A4" t="s">
        <v>471</v>
      </c>
      <c r="C4" t="s">
        <v>472</v>
      </c>
      <c r="D4" t="s">
        <v>473</v>
      </c>
      <c r="E4" t="s">
        <v>474</v>
      </c>
      <c r="F4" t="s">
        <v>475</v>
      </c>
      <c r="G4" t="s">
        <v>475</v>
      </c>
      <c r="H4" s="17">
        <v>11098</v>
      </c>
      <c r="I4">
        <v>95</v>
      </c>
      <c r="J4" t="s">
        <v>4936</v>
      </c>
      <c r="K4" t="s">
        <v>477</v>
      </c>
      <c r="L4" t="s">
        <v>429</v>
      </c>
      <c r="M4" t="s">
        <v>430</v>
      </c>
      <c r="N4" t="s">
        <v>431</v>
      </c>
      <c r="O4" t="s">
        <v>242</v>
      </c>
      <c r="P4" t="s">
        <v>49</v>
      </c>
      <c r="Q4" t="s">
        <v>243</v>
      </c>
      <c r="R4">
        <v>43873</v>
      </c>
      <c r="S4" t="s">
        <v>93</v>
      </c>
      <c r="T4" t="s">
        <v>36</v>
      </c>
      <c r="U4" t="s">
        <v>37</v>
      </c>
      <c r="V4" t="s">
        <v>37</v>
      </c>
      <c r="W4" t="s">
        <v>36</v>
      </c>
      <c r="X4" t="s">
        <v>4938</v>
      </c>
      <c r="Y4" t="s">
        <v>4869</v>
      </c>
      <c r="Z4" t="s">
        <v>4869</v>
      </c>
      <c r="AA4" t="s">
        <v>4944</v>
      </c>
    </row>
    <row r="5" spans="1:27" x14ac:dyDescent="0.25">
      <c r="A5" t="s">
        <v>723</v>
      </c>
      <c r="B5" t="s">
        <v>69</v>
      </c>
      <c r="C5" t="s">
        <v>337</v>
      </c>
      <c r="D5" t="s">
        <v>711</v>
      </c>
      <c r="E5" t="s">
        <v>724</v>
      </c>
      <c r="F5" t="s">
        <v>725</v>
      </c>
      <c r="G5" t="s">
        <v>725</v>
      </c>
      <c r="H5" s="17">
        <v>14687</v>
      </c>
      <c r="I5">
        <v>85</v>
      </c>
      <c r="J5" t="s">
        <v>4936</v>
      </c>
      <c r="K5" t="s">
        <v>727</v>
      </c>
      <c r="L5" t="s">
        <v>693</v>
      </c>
      <c r="M5" t="s">
        <v>694</v>
      </c>
      <c r="N5" t="s">
        <v>695</v>
      </c>
      <c r="O5" t="s">
        <v>166</v>
      </c>
      <c r="P5" t="s">
        <v>153</v>
      </c>
      <c r="Q5" t="s">
        <v>192</v>
      </c>
      <c r="R5">
        <v>43555</v>
      </c>
      <c r="S5" t="s">
        <v>4</v>
      </c>
      <c r="T5" t="s">
        <v>36</v>
      </c>
      <c r="U5" t="s">
        <v>37</v>
      </c>
      <c r="V5" t="s">
        <v>37</v>
      </c>
      <c r="W5" t="s">
        <v>36</v>
      </c>
      <c r="X5" t="s">
        <v>4869</v>
      </c>
      <c r="Y5" t="s">
        <v>4869</v>
      </c>
      <c r="Z5" t="s">
        <v>4869</v>
      </c>
      <c r="AA5" t="s">
        <v>4944</v>
      </c>
    </row>
    <row r="6" spans="1:27" x14ac:dyDescent="0.25">
      <c r="A6" t="s">
        <v>1511</v>
      </c>
      <c r="B6" t="s">
        <v>170</v>
      </c>
      <c r="C6" t="s">
        <v>1411</v>
      </c>
      <c r="D6" t="s">
        <v>71</v>
      </c>
      <c r="E6" t="s">
        <v>1512</v>
      </c>
      <c r="F6" t="s">
        <v>1513</v>
      </c>
      <c r="G6" t="s">
        <v>4871</v>
      </c>
      <c r="H6" s="17">
        <v>22598</v>
      </c>
      <c r="I6">
        <v>64</v>
      </c>
      <c r="J6" t="s">
        <v>4935</v>
      </c>
      <c r="K6" t="s">
        <v>1515</v>
      </c>
      <c r="L6" t="s">
        <v>163</v>
      </c>
      <c r="M6" t="s">
        <v>164</v>
      </c>
      <c r="N6" t="s">
        <v>4869</v>
      </c>
      <c r="O6" t="s">
        <v>242</v>
      </c>
      <c r="P6" t="s">
        <v>49</v>
      </c>
      <c r="Q6" t="s">
        <v>141</v>
      </c>
      <c r="R6">
        <v>44955</v>
      </c>
      <c r="S6" t="s">
        <v>4</v>
      </c>
      <c r="T6" t="s">
        <v>36</v>
      </c>
      <c r="U6" t="s">
        <v>36</v>
      </c>
      <c r="V6" t="s">
        <v>37</v>
      </c>
      <c r="W6" t="s">
        <v>37</v>
      </c>
      <c r="X6" t="s">
        <v>4869</v>
      </c>
      <c r="Y6" t="s">
        <v>4869</v>
      </c>
      <c r="Z6" t="s">
        <v>4869</v>
      </c>
      <c r="AA6" t="s">
        <v>4944</v>
      </c>
    </row>
    <row r="7" spans="1:27" x14ac:dyDescent="0.25">
      <c r="A7" t="s">
        <v>1517</v>
      </c>
      <c r="B7" t="s">
        <v>4866</v>
      </c>
      <c r="C7" t="s">
        <v>265</v>
      </c>
      <c r="D7" t="s">
        <v>273</v>
      </c>
      <c r="E7" t="s">
        <v>274</v>
      </c>
      <c r="F7" t="s">
        <v>1518</v>
      </c>
      <c r="G7" t="s">
        <v>1518</v>
      </c>
      <c r="H7" s="17">
        <v>17638</v>
      </c>
      <c r="I7">
        <v>77</v>
      </c>
      <c r="J7" t="s">
        <v>4936</v>
      </c>
      <c r="K7" t="s">
        <v>1520</v>
      </c>
      <c r="L7" t="s">
        <v>660</v>
      </c>
      <c r="M7" t="s">
        <v>230</v>
      </c>
      <c r="N7" t="s">
        <v>661</v>
      </c>
      <c r="O7" t="s">
        <v>242</v>
      </c>
      <c r="P7" t="s">
        <v>117</v>
      </c>
      <c r="Q7" t="s">
        <v>4888</v>
      </c>
      <c r="R7">
        <v>43829</v>
      </c>
      <c r="S7" t="s">
        <v>4</v>
      </c>
      <c r="T7" t="s">
        <v>37</v>
      </c>
      <c r="U7" t="s">
        <v>37</v>
      </c>
      <c r="V7" t="s">
        <v>37</v>
      </c>
      <c r="W7" t="s">
        <v>37</v>
      </c>
      <c r="X7" t="s">
        <v>4939</v>
      </c>
      <c r="Y7" t="s">
        <v>4869</v>
      </c>
      <c r="Z7" t="s">
        <v>4869</v>
      </c>
      <c r="AA7" t="s">
        <v>4944</v>
      </c>
    </row>
    <row r="8" spans="1:27" x14ac:dyDescent="0.25">
      <c r="A8" t="s">
        <v>2692</v>
      </c>
      <c r="B8" t="s">
        <v>4866</v>
      </c>
      <c r="C8" t="s">
        <v>237</v>
      </c>
      <c r="D8" t="s">
        <v>755</v>
      </c>
      <c r="E8" t="s">
        <v>2693</v>
      </c>
      <c r="F8" t="s">
        <v>2694</v>
      </c>
      <c r="G8" t="s">
        <v>2694</v>
      </c>
      <c r="H8" s="17">
        <v>31715</v>
      </c>
      <c r="I8">
        <v>39</v>
      </c>
      <c r="J8" t="s">
        <v>4940</v>
      </c>
      <c r="K8" t="s">
        <v>2696</v>
      </c>
      <c r="L8" t="s">
        <v>609</v>
      </c>
      <c r="M8" t="s">
        <v>610</v>
      </c>
      <c r="N8" t="s">
        <v>611</v>
      </c>
      <c r="O8" t="s">
        <v>166</v>
      </c>
      <c r="P8" t="s">
        <v>49</v>
      </c>
      <c r="Q8" t="s">
        <v>154</v>
      </c>
      <c r="R8">
        <v>43212</v>
      </c>
      <c r="S8" t="s">
        <v>5</v>
      </c>
      <c r="T8" t="s">
        <v>36</v>
      </c>
      <c r="U8" t="s">
        <v>36</v>
      </c>
      <c r="V8" t="s">
        <v>37</v>
      </c>
      <c r="W8" t="s">
        <v>36</v>
      </c>
      <c r="X8" t="s">
        <v>4941</v>
      </c>
      <c r="Y8" t="s">
        <v>4869</v>
      </c>
      <c r="Z8" t="s">
        <v>4869</v>
      </c>
      <c r="AA8" t="s">
        <v>4944</v>
      </c>
    </row>
    <row r="9" spans="1:27" x14ac:dyDescent="0.25">
      <c r="A9" t="s">
        <v>3278</v>
      </c>
      <c r="B9" t="s">
        <v>54</v>
      </c>
      <c r="C9" t="s">
        <v>3279</v>
      </c>
      <c r="D9" t="s">
        <v>158</v>
      </c>
      <c r="E9" t="s">
        <v>159</v>
      </c>
      <c r="G9" t="s">
        <v>4869</v>
      </c>
      <c r="H9" s="17">
        <v>24461</v>
      </c>
      <c r="I9">
        <v>59</v>
      </c>
      <c r="J9" t="s">
        <v>4935</v>
      </c>
      <c r="K9" t="s">
        <v>162</v>
      </c>
      <c r="L9" t="s">
        <v>163</v>
      </c>
      <c r="M9" t="s">
        <v>164</v>
      </c>
      <c r="N9" t="s">
        <v>165</v>
      </c>
      <c r="O9" t="s">
        <v>166</v>
      </c>
      <c r="P9" t="s">
        <v>4887</v>
      </c>
      <c r="Q9" t="s">
        <v>154</v>
      </c>
      <c r="R9">
        <v>44561</v>
      </c>
      <c r="S9" t="s">
        <v>93</v>
      </c>
      <c r="T9" t="s">
        <v>36</v>
      </c>
      <c r="U9" t="s">
        <v>36</v>
      </c>
      <c r="V9" t="s">
        <v>36</v>
      </c>
      <c r="W9" t="s">
        <v>37</v>
      </c>
      <c r="X9" t="s">
        <v>4869</v>
      </c>
      <c r="Y9" t="s">
        <v>4869</v>
      </c>
      <c r="Z9" t="s">
        <v>4869</v>
      </c>
      <c r="AA9" t="s">
        <v>4944</v>
      </c>
    </row>
    <row r="10" spans="1:27" x14ac:dyDescent="0.25">
      <c r="A10" t="s">
        <v>3281</v>
      </c>
      <c r="C10" t="s">
        <v>472</v>
      </c>
      <c r="D10" t="s">
        <v>473</v>
      </c>
      <c r="E10" t="s">
        <v>474</v>
      </c>
      <c r="F10" t="s">
        <v>475</v>
      </c>
      <c r="G10" t="s">
        <v>475</v>
      </c>
      <c r="H10" s="17">
        <v>11098</v>
      </c>
      <c r="I10">
        <v>95</v>
      </c>
      <c r="J10" t="s">
        <v>4936</v>
      </c>
      <c r="K10" t="s">
        <v>477</v>
      </c>
      <c r="L10" t="s">
        <v>429</v>
      </c>
      <c r="M10" t="s">
        <v>430</v>
      </c>
      <c r="N10" t="s">
        <v>431</v>
      </c>
      <c r="O10" t="s">
        <v>242</v>
      </c>
      <c r="P10" t="s">
        <v>49</v>
      </c>
      <c r="Q10" t="s">
        <v>243</v>
      </c>
      <c r="R10">
        <v>44475</v>
      </c>
      <c r="S10" t="s">
        <v>93</v>
      </c>
      <c r="T10" t="s">
        <v>36</v>
      </c>
      <c r="U10" t="s">
        <v>37</v>
      </c>
      <c r="V10" t="s">
        <v>37</v>
      </c>
      <c r="W10" t="s">
        <v>36</v>
      </c>
      <c r="X10" t="s">
        <v>4938</v>
      </c>
      <c r="Y10" t="s">
        <v>4869</v>
      </c>
      <c r="Z10" t="s">
        <v>4869</v>
      </c>
      <c r="AA10" t="s">
        <v>4944</v>
      </c>
    </row>
    <row r="11" spans="1:27" x14ac:dyDescent="0.25">
      <c r="A11" t="s">
        <v>3284</v>
      </c>
      <c r="B11" t="s">
        <v>69</v>
      </c>
      <c r="C11" t="s">
        <v>337</v>
      </c>
      <c r="D11" t="s">
        <v>711</v>
      </c>
      <c r="E11" t="s">
        <v>724</v>
      </c>
      <c r="F11" t="s">
        <v>725</v>
      </c>
      <c r="G11" t="s">
        <v>725</v>
      </c>
      <c r="H11" s="17">
        <v>14687</v>
      </c>
      <c r="I11">
        <v>85</v>
      </c>
      <c r="J11" t="s">
        <v>4936</v>
      </c>
      <c r="K11" t="s">
        <v>727</v>
      </c>
      <c r="L11" t="s">
        <v>693</v>
      </c>
      <c r="M11" t="s">
        <v>694</v>
      </c>
      <c r="N11" t="s">
        <v>695</v>
      </c>
      <c r="O11" t="s">
        <v>166</v>
      </c>
      <c r="P11" t="s">
        <v>153</v>
      </c>
      <c r="Q11" t="s">
        <v>192</v>
      </c>
      <c r="R11">
        <v>45270</v>
      </c>
      <c r="S11" t="s">
        <v>4</v>
      </c>
      <c r="T11" t="s">
        <v>36</v>
      </c>
      <c r="U11" t="s">
        <v>37</v>
      </c>
      <c r="V11" t="s">
        <v>37</v>
      </c>
      <c r="W11" t="s">
        <v>36</v>
      </c>
      <c r="X11" t="s">
        <v>4869</v>
      </c>
      <c r="Y11" t="s">
        <v>4869</v>
      </c>
      <c r="Z11" t="s">
        <v>4869</v>
      </c>
      <c r="AA11" t="s">
        <v>4944</v>
      </c>
    </row>
    <row r="12" spans="1:27" x14ac:dyDescent="0.25">
      <c r="A12" t="s">
        <v>3290</v>
      </c>
      <c r="B12" t="s">
        <v>170</v>
      </c>
      <c r="C12" t="s">
        <v>3291</v>
      </c>
      <c r="D12" t="s">
        <v>71</v>
      </c>
      <c r="E12" t="s">
        <v>1512</v>
      </c>
      <c r="G12" t="s">
        <v>4869</v>
      </c>
      <c r="H12" s="17">
        <v>22598</v>
      </c>
      <c r="I12">
        <v>64</v>
      </c>
      <c r="J12" t="s">
        <v>4935</v>
      </c>
      <c r="K12" t="s">
        <v>1515</v>
      </c>
      <c r="L12" t="s">
        <v>163</v>
      </c>
      <c r="M12" t="s">
        <v>164</v>
      </c>
      <c r="N12" t="s">
        <v>4869</v>
      </c>
      <c r="O12" t="s">
        <v>242</v>
      </c>
      <c r="P12" t="s">
        <v>49</v>
      </c>
      <c r="Q12" t="s">
        <v>141</v>
      </c>
      <c r="R12">
        <v>45033</v>
      </c>
      <c r="S12" t="s">
        <v>4</v>
      </c>
      <c r="T12" t="s">
        <v>36</v>
      </c>
      <c r="U12" t="s">
        <v>36</v>
      </c>
      <c r="V12" t="s">
        <v>37</v>
      </c>
      <c r="W12" t="s">
        <v>37</v>
      </c>
      <c r="X12" t="s">
        <v>4869</v>
      </c>
      <c r="Y12" t="s">
        <v>4869</v>
      </c>
      <c r="Z12" t="s">
        <v>4869</v>
      </c>
      <c r="AA12" t="s">
        <v>4944</v>
      </c>
    </row>
    <row r="13" spans="1:27" x14ac:dyDescent="0.25">
      <c r="A13" t="s">
        <v>3302</v>
      </c>
      <c r="B13" t="s">
        <v>4866</v>
      </c>
      <c r="C13" t="s">
        <v>237</v>
      </c>
      <c r="D13" t="s">
        <v>755</v>
      </c>
      <c r="E13" t="s">
        <v>2693</v>
      </c>
      <c r="G13" t="s">
        <v>4869</v>
      </c>
      <c r="H13" s="17">
        <v>31715</v>
      </c>
      <c r="I13">
        <v>39</v>
      </c>
      <c r="J13" t="s">
        <v>4940</v>
      </c>
      <c r="K13" t="s">
        <v>2696</v>
      </c>
      <c r="L13" t="s">
        <v>609</v>
      </c>
      <c r="M13" t="s">
        <v>610</v>
      </c>
      <c r="N13" t="s">
        <v>611</v>
      </c>
      <c r="O13" t="s">
        <v>166</v>
      </c>
      <c r="P13" t="s">
        <v>49</v>
      </c>
      <c r="Q13" t="s">
        <v>154</v>
      </c>
      <c r="R13">
        <v>44272</v>
      </c>
      <c r="S13" t="s">
        <v>5</v>
      </c>
      <c r="T13" t="s">
        <v>36</v>
      </c>
      <c r="U13" t="s">
        <v>36</v>
      </c>
      <c r="V13" t="s">
        <v>37</v>
      </c>
      <c r="W13" t="s">
        <v>36</v>
      </c>
      <c r="X13" t="s">
        <v>4941</v>
      </c>
      <c r="Y13" t="s">
        <v>4869</v>
      </c>
      <c r="Z13" t="s">
        <v>4869</v>
      </c>
      <c r="AA13" t="s">
        <v>4944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4D46-2B04-4585-8736-9E59EAF03400}">
  <dimension ref="A1:AD909"/>
  <sheetViews>
    <sheetView topLeftCell="Q1" workbookViewId="0">
      <selection activeCell="F21" sqref="A2:AD909"/>
    </sheetView>
  </sheetViews>
  <sheetFormatPr defaultColWidth="8.85546875" defaultRowHeight="15" x14ac:dyDescent="0.25"/>
  <cols>
    <col min="1" max="1" width="14.7109375" bestFit="1" customWidth="1"/>
    <col min="2" max="2" width="15" bestFit="1" customWidth="1"/>
    <col min="3" max="3" width="30.28515625" bestFit="1" customWidth="1"/>
    <col min="4" max="4" width="17.7109375" bestFit="1" customWidth="1"/>
    <col min="5" max="5" width="12.140625" bestFit="1" customWidth="1"/>
    <col min="6" max="6" width="17.140625" style="17" bestFit="1" customWidth="1"/>
    <col min="7" max="7" width="14.85546875" bestFit="1" customWidth="1"/>
    <col min="8" max="8" width="18.28515625" bestFit="1" customWidth="1"/>
    <col min="9" max="9" width="20" bestFit="1" customWidth="1"/>
    <col min="10" max="10" width="15.85546875" bestFit="1" customWidth="1"/>
    <col min="11" max="11" width="20.7109375" bestFit="1" customWidth="1"/>
    <col min="12" max="12" width="18.85546875" bestFit="1" customWidth="1"/>
    <col min="13" max="13" width="10" bestFit="1" customWidth="1"/>
    <col min="14" max="14" width="6.7109375" bestFit="1" customWidth="1"/>
    <col min="15" max="15" width="12.140625" bestFit="1" customWidth="1"/>
    <col min="16" max="16" width="18.28515625" bestFit="1" customWidth="1"/>
    <col min="17" max="17" width="28.7109375" bestFit="1" customWidth="1"/>
    <col min="18" max="18" width="52" bestFit="1" customWidth="1"/>
    <col min="19" max="19" width="37.28515625" bestFit="1" customWidth="1"/>
    <col min="20" max="20" width="37.28515625" customWidth="1"/>
    <col min="21" max="21" width="17.28515625" bestFit="1" customWidth="1"/>
    <col min="22" max="22" width="18.28515625" bestFit="1" customWidth="1"/>
    <col min="23" max="23" width="12.7109375" style="17" bestFit="1" customWidth="1"/>
    <col min="24" max="24" width="11.7109375" style="17" bestFit="1" customWidth="1"/>
    <col min="25" max="25" width="14.28515625" bestFit="1" customWidth="1"/>
    <col min="26" max="26" width="18.7109375" bestFit="1" customWidth="1"/>
    <col min="27" max="27" width="26.140625" style="13" bestFit="1" customWidth="1"/>
    <col min="28" max="28" width="27.85546875" bestFit="1" customWidth="1"/>
    <col min="29" max="29" width="39.7109375" bestFit="1" customWidth="1"/>
    <col min="30" max="30" width="21.28515625" bestFit="1" customWidth="1"/>
  </cols>
  <sheetData>
    <row r="1" spans="1:30" x14ac:dyDescent="0.25">
      <c r="A1" s="27" t="s">
        <v>3305</v>
      </c>
      <c r="B1" s="27" t="s">
        <v>0</v>
      </c>
      <c r="C1" s="27" t="s">
        <v>3306</v>
      </c>
      <c r="D1" s="27" t="s">
        <v>3307</v>
      </c>
      <c r="E1" s="27" t="s">
        <v>3308</v>
      </c>
      <c r="F1" s="28" t="s">
        <v>3309</v>
      </c>
      <c r="G1" s="27" t="s">
        <v>3310</v>
      </c>
      <c r="H1" s="27" t="s">
        <v>3311</v>
      </c>
      <c r="I1" s="27" t="s">
        <v>4907</v>
      </c>
      <c r="J1" s="27" t="s">
        <v>14</v>
      </c>
      <c r="K1" s="27" t="s">
        <v>13</v>
      </c>
      <c r="L1" s="27" t="s">
        <v>10</v>
      </c>
      <c r="M1" s="27" t="s">
        <v>12</v>
      </c>
      <c r="N1" s="27" t="s">
        <v>4889</v>
      </c>
      <c r="O1" s="27" t="s">
        <v>4911</v>
      </c>
      <c r="P1" s="27" t="s">
        <v>4982</v>
      </c>
      <c r="Q1" s="27" t="s">
        <v>16</v>
      </c>
      <c r="R1" s="27" t="s">
        <v>4943</v>
      </c>
      <c r="S1" s="27" t="s">
        <v>4946</v>
      </c>
      <c r="T1" s="27" t="s">
        <v>4865</v>
      </c>
      <c r="U1" s="27" t="s">
        <v>4830</v>
      </c>
      <c r="V1" s="27" t="s">
        <v>4831</v>
      </c>
      <c r="W1" s="28" t="s">
        <v>4832</v>
      </c>
      <c r="X1" s="28" t="s">
        <v>4833</v>
      </c>
      <c r="Y1" s="27" t="s">
        <v>4834</v>
      </c>
      <c r="Z1" s="27" t="s">
        <v>4835</v>
      </c>
      <c r="AA1" s="29" t="s">
        <v>4947</v>
      </c>
      <c r="AB1" s="27" t="s">
        <v>4948</v>
      </c>
      <c r="AC1" s="27" t="s">
        <v>4950</v>
      </c>
      <c r="AD1" s="27" t="s">
        <v>4949</v>
      </c>
    </row>
    <row r="2" spans="1:30" x14ac:dyDescent="0.25">
      <c r="A2" t="s">
        <v>3313</v>
      </c>
      <c r="B2" t="s">
        <v>1464</v>
      </c>
      <c r="C2" t="s">
        <v>3314</v>
      </c>
      <c r="D2" t="s">
        <v>3315</v>
      </c>
      <c r="E2" t="s">
        <v>3316</v>
      </c>
      <c r="F2" s="17">
        <v>45694</v>
      </c>
      <c r="G2">
        <v>427.04</v>
      </c>
      <c r="H2" t="s">
        <v>36</v>
      </c>
      <c r="I2" t="s">
        <v>3318</v>
      </c>
      <c r="J2" t="str">
        <f>_xlfn.XLOOKUP(Table8[[#This Row],[Supporter_ID]],tb1_supporters[Supporter_ID ],tb1_supporters[Segment],"")</f>
        <v>Legacy Pledger</v>
      </c>
      <c r="K2" t="str">
        <f>_xlfn.XLOOKUP(Table8[[#This Row],[Supporter_ID]],tb1_supporters[Supporter_ID ],tb1_supporters[Acquisition_Source],"")</f>
        <v>Referral</v>
      </c>
      <c r="L2" t="str">
        <f>_xlfn.XLOOKUP(Table8[[#This Row],[Supporter_ID]],tb1_supporters[Supporter_ID ],tb1_supporters[County],"")</f>
        <v>Greater London</v>
      </c>
      <c r="M2" t="str">
        <f>_xlfn.XLOOKUP(Table8[[#This Row],[Supporter_ID]],tb1_supporters[Supporter_ID ],tb1_supporters[Gender],"")</f>
        <v>Female</v>
      </c>
      <c r="N2">
        <f ca="1">_xlfn.XLOOKUP(Table8[[#This Row],[Supporter_ID]],tb1_supporters[Supporter_ID ],tb1_supporters[Age],"")</f>
        <v>72</v>
      </c>
      <c r="O2" t="str">
        <f ca="1">_xlfn.XLOOKUP(Table8[[#This Row],[Supporter_ID]],tb1_supporters[Supporter_ID ],tb1_supporters[Age_Band],"")</f>
        <v>65+</v>
      </c>
      <c r="P2" t="str">
        <f ca="1">IF(Table8[[#This Row],[Age_Band]]="","Unknown",Table8[[#This Row],[Age_Band]])</f>
        <v>65+</v>
      </c>
      <c r="Q2" t="str">
        <f>_xlfn.XLOOKUP(Table8[[#This Row],[Supporter_ID]],tb1_supporters[Supporter_ID ],tb1_supporters[Communication_Preference],"")</f>
        <v>No Preference</v>
      </c>
      <c r="R2" t="str">
        <f>_xlfn.XLOOKUP(Table8[[#This Row],[Supporter_ID]],tb1_supporters[Supporter_ID ],tb1_supporters[Duplicate_Profile_Flag],"")</f>
        <v/>
      </c>
      <c r="S2" t="str">
        <f>_xlfn.XLOOKUP(Table8[[#This Row],[Supporter_ID]],tb1_supporters[Supporter_ID ],tb1_supporters[Preference_Compliance_Flag],"")</f>
        <v/>
      </c>
      <c r="T2" t="str">
        <f ca="1">IF(Table8[[#This Row],[Age]]="","Review - missing DOB",IF(Table8[[#This Row],[Age]]&gt;TODAY(),"Review - future DOB",IF(Table8[[#This Row],[Age]]=0,"Review -  potential entry error (age 0)","")))</f>
        <v/>
      </c>
      <c r="U2" t="str">
        <f>_xlfn.XLOOKUP(Table8[[#This Row],[Campaign_Code]],tb3_CampaignMaster[Campaign_Code],tb3_CampaignMaster[Campaign_Type],"")</f>
        <v>Regular Giving</v>
      </c>
      <c r="V2" t="str">
        <f>_xlfn.XLOOKUP(Table8[[#This Row],[Campaign_Code]],tb3_CampaignMaster[Campaign_Code],tb3_CampaignMaster[Target_Audience],"")</f>
        <v>One-time Donors</v>
      </c>
      <c r="W2" s="17">
        <f>_xlfn.XLOOKUP(Table8[[#This Row],[Campaign_Code]],tb3_CampaignMaster[Campaign_Code],tb3_CampaignMaster[Start_Date],"")</f>
        <v>45663</v>
      </c>
      <c r="X2" s="17">
        <f>_xlfn.XLOOKUP(Table8[[#This Row],[Campaign_Code]],tb3_CampaignMaster[Campaign_Code],tb3_CampaignMaster[End_Date],"")</f>
        <v>45747</v>
      </c>
      <c r="Y2">
        <f>_xlfn.XLOOKUP(Table8[[#This Row],[Campaign_Code]],tb3_CampaignMaster[Campaign_Code],tb3_CampaignMaster[Budget_GBP],"")</f>
        <v>10000</v>
      </c>
      <c r="Z2" t="str">
        <f>_xlfn.XLOOKUP(Table8[[#This Row],[Campaign_Code]],tb3_CampaignMaster[Campaign_Code],tb3_CampaignMaster[Primary_Channel],"")</f>
        <v>Telephone</v>
      </c>
      <c r="AA2" s="13">
        <f>IF(Table8[[#This Row],[Gift_Aid_Eligible]]="Yes",Table8[[#This Row],[Gift_Amount]]*1.25,Table8[[#This Row],[Gift_Amount]])</f>
        <v>533.80000000000007</v>
      </c>
      <c r="AB2" t="str">
        <f>IF(Table8[[#This Row],[Supporter_ID]]="","Review - missing supporter ID","")</f>
        <v/>
      </c>
      <c r="AC2" t="str">
        <f>IF(OR(Table8[[#This Row],[Response_Date]]&lt;Table8[[#This Row],[Start_Date]],Table8[[#This Row],[Response_Date]]&gt;Table8[[#This Row],[End_Date]]),"Review - response outside campaign dates","")</f>
        <v/>
      </c>
      <c r="AD2" t="str">
        <f>IF(Table8[[#This Row],[Campaign_Type]]="","Review - campaign code not found","")</f>
        <v/>
      </c>
    </row>
    <row r="3" spans="1:30" x14ac:dyDescent="0.25">
      <c r="A3" t="s">
        <v>3319</v>
      </c>
      <c r="B3" t="s">
        <v>1820</v>
      </c>
      <c r="C3" t="s">
        <v>3320</v>
      </c>
      <c r="D3" t="s">
        <v>3321</v>
      </c>
      <c r="E3" t="s">
        <v>65</v>
      </c>
      <c r="F3" s="17">
        <v>45458</v>
      </c>
      <c r="G3">
        <v>1580.05</v>
      </c>
      <c r="H3" t="s">
        <v>36</v>
      </c>
      <c r="I3" t="s">
        <v>3323</v>
      </c>
      <c r="J3" t="str">
        <f>_xlfn.XLOOKUP(Table8[[#This Row],[Supporter_ID]],tb1_supporters[Supporter_ID ],tb1_supporters[Segment],"")</f>
        <v>Major Donor</v>
      </c>
      <c r="K3" t="str">
        <f>_xlfn.XLOOKUP(Table8[[#This Row],[Supporter_ID]],tb1_supporters[Supporter_ID ],tb1_supporters[Acquisition_Source],"")</f>
        <v>Event</v>
      </c>
      <c r="L3" t="str">
        <f>_xlfn.XLOOKUP(Table8[[#This Row],[Supporter_ID]],tb1_supporters[Supporter_ID ],tb1_supporters[County],"")</f>
        <v>Merseyside</v>
      </c>
      <c r="M3" t="str">
        <f>_xlfn.XLOOKUP(Table8[[#This Row],[Supporter_ID]],tb1_supporters[Supporter_ID ],tb1_supporters[Gender],"")</f>
        <v>Female</v>
      </c>
      <c r="N3">
        <f ca="1">_xlfn.XLOOKUP(Table8[[#This Row],[Supporter_ID]],tb1_supporters[Supporter_ID ],tb1_supporters[Age],"")</f>
        <v>78</v>
      </c>
      <c r="O3" t="str">
        <f ca="1">_xlfn.XLOOKUP(Table8[[#This Row],[Supporter_ID]],tb1_supporters[Supporter_ID ],tb1_supporters[Age_Band],"")</f>
        <v>65+</v>
      </c>
      <c r="P3" t="str">
        <f ca="1">IF(Table8[[#This Row],[Age_Band]]="","Unknown",Table8[[#This Row],[Age_Band]])</f>
        <v>65+</v>
      </c>
      <c r="Q3" t="str">
        <f>_xlfn.XLOOKUP(Table8[[#This Row],[Supporter_ID]],tb1_supporters[Supporter_ID ],tb1_supporters[Communication_Preference],"")</f>
        <v>Email</v>
      </c>
      <c r="R3" t="str">
        <f>_xlfn.XLOOKUP(Table8[[#This Row],[Supporter_ID]],tb1_supporters[Supporter_ID ],tb1_supporters[Duplicate_Profile_Flag],"")</f>
        <v/>
      </c>
      <c r="S3" t="str">
        <f>_xlfn.XLOOKUP(Table8[[#This Row],[Supporter_ID]],tb1_supporters[Supporter_ID ],tb1_supporters[Preference_Compliance_Flag],"")</f>
        <v/>
      </c>
      <c r="T3" t="str">
        <f ca="1">IF(Table8[[#This Row],[Age]]="","Review - missing DOB",IF(Table8[[#This Row],[Age]]&gt;TODAY(),"Review - future DOB",IF(Table8[[#This Row],[Age]]=0,"Review -  potential entry error (age 0)","")))</f>
        <v/>
      </c>
      <c r="U3" t="str">
        <f>_xlfn.XLOOKUP(Table8[[#This Row],[Campaign_Code]],tb3_CampaignMaster[Campaign_Code],tb3_CampaignMaster[Campaign_Type],"")</f>
        <v>Stewardship</v>
      </c>
      <c r="V3" t="str">
        <f>_xlfn.XLOOKUP(Table8[[#This Row],[Campaign_Code]],tb3_CampaignMaster[Campaign_Code],tb3_CampaignMaster[Target_Audience],"")</f>
        <v>Major Donors</v>
      </c>
      <c r="W3" s="17">
        <f>_xlfn.XLOOKUP(Table8[[#This Row],[Campaign_Code]],tb3_CampaignMaster[Campaign_Code],tb3_CampaignMaster[Start_Date],"")</f>
        <v>45444</v>
      </c>
      <c r="X3" s="17">
        <f>_xlfn.XLOOKUP(Table8[[#This Row],[Campaign_Code]],tb3_CampaignMaster[Campaign_Code],tb3_CampaignMaster[End_Date],"")</f>
        <v>45473</v>
      </c>
      <c r="Y3">
        <f>_xlfn.XLOOKUP(Table8[[#This Row],[Campaign_Code]],tb3_CampaignMaster[Campaign_Code],tb3_CampaignMaster[Budget_GBP],"")</f>
        <v>7000</v>
      </c>
      <c r="Z3" t="str">
        <f>_xlfn.XLOOKUP(Table8[[#This Row],[Campaign_Code]],tb3_CampaignMaster[Campaign_Code],tb3_CampaignMaster[Primary_Channel],"")</f>
        <v>Direct Mail</v>
      </c>
      <c r="AA3" s="13">
        <f>IF(Table8[[#This Row],[Gift_Aid_Eligible]]="Yes",Table8[[#This Row],[Gift_Amount]]*1.25,Table8[[#This Row],[Gift_Amount]])</f>
        <v>1975.0625</v>
      </c>
      <c r="AB3" t="str">
        <f>IF(Table8[[#This Row],[Supporter_ID]]="","Review - missing supporter ID","")</f>
        <v/>
      </c>
      <c r="AC3" t="str">
        <f>IF(OR(Table8[[#This Row],[Response_Date]]&lt;Table8[[#This Row],[Start_Date]],Table8[[#This Row],[Response_Date]]&gt;Table8[[#This Row],[End_Date]]),"Review - response outside campaign dates","")</f>
        <v/>
      </c>
      <c r="AD3" t="str">
        <f>IF(Table8[[#This Row],[Campaign_Type]]="","Review - campaign code not found","")</f>
        <v/>
      </c>
    </row>
    <row r="4" spans="1:30" x14ac:dyDescent="0.25">
      <c r="A4" t="s">
        <v>3324</v>
      </c>
      <c r="B4" t="s">
        <v>351</v>
      </c>
      <c r="C4" t="s">
        <v>3325</v>
      </c>
      <c r="D4" t="s">
        <v>3326</v>
      </c>
      <c r="E4" t="s">
        <v>65</v>
      </c>
      <c r="F4" s="17">
        <v>45605</v>
      </c>
      <c r="G4">
        <v>92.05</v>
      </c>
      <c r="H4" t="s">
        <v>36</v>
      </c>
      <c r="I4" t="s">
        <v>3328</v>
      </c>
      <c r="J4" t="str">
        <f>_xlfn.XLOOKUP(Table8[[#This Row],[Supporter_ID]],tb1_supporters[Supporter_ID ],tb1_supporters[Segment],"")</f>
        <v>Lapsed</v>
      </c>
      <c r="K4" t="str">
        <f>_xlfn.XLOOKUP(Table8[[#This Row],[Supporter_ID]],tb1_supporters[Supporter_ID ],tb1_supporters[Acquisition_Source],"")</f>
        <v>Corporate Partner</v>
      </c>
      <c r="L4" t="str">
        <f>_xlfn.XLOOKUP(Table8[[#This Row],[Supporter_ID]],tb1_supporters[Supporter_ID ],tb1_supporters[County],"")</f>
        <v>Cheshire</v>
      </c>
      <c r="M4" t="str">
        <f>_xlfn.XLOOKUP(Table8[[#This Row],[Supporter_ID]],tb1_supporters[Supporter_ID ],tb1_supporters[Gender],"")</f>
        <v>Female</v>
      </c>
      <c r="N4">
        <f ca="1">_xlfn.XLOOKUP(Table8[[#This Row],[Supporter_ID]],tb1_supporters[Supporter_ID ],tb1_supporters[Age],"")</f>
        <v>57</v>
      </c>
      <c r="O4" t="str">
        <f ca="1">_xlfn.XLOOKUP(Table8[[#This Row],[Supporter_ID]],tb1_supporters[Supporter_ID ],tb1_supporters[Age_Band],"")</f>
        <v>50-64</v>
      </c>
      <c r="P4" t="str">
        <f ca="1">IF(Table8[[#This Row],[Age_Band]]="","Unknown",Table8[[#This Row],[Age_Band]])</f>
        <v>50-64</v>
      </c>
      <c r="Q4" t="str">
        <f>_xlfn.XLOOKUP(Table8[[#This Row],[Supporter_ID]],tb1_supporters[Supporter_ID ],tb1_supporters[Communication_Preference],"")</f>
        <v>Phone</v>
      </c>
      <c r="R4" t="str">
        <f>_xlfn.XLOOKUP(Table8[[#This Row],[Supporter_ID]],tb1_supporters[Supporter_ID ],tb1_supporters[Duplicate_Profile_Flag],"")</f>
        <v/>
      </c>
      <c r="S4" t="str">
        <f>_xlfn.XLOOKUP(Table8[[#This Row],[Supporter_ID]],tb1_supporters[Supporter_ID ],tb1_supporters[Preference_Compliance_Flag],"")</f>
        <v/>
      </c>
      <c r="T4" t="str">
        <f ca="1">IF(Table8[[#This Row],[Age]]="","Review - missing DOB",IF(Table8[[#This Row],[Age]]&gt;TODAY(),"Review - future DOB",IF(Table8[[#This Row],[Age]]=0,"Review -  potential entry error (age 0)","")))</f>
        <v/>
      </c>
      <c r="U4" t="str">
        <f>_xlfn.XLOOKUP(Table8[[#This Row],[Campaign_Code]],tb3_CampaignMaster[Campaign_Code],tb3_CampaignMaster[Campaign_Type],"")</f>
        <v>Appeal</v>
      </c>
      <c r="V4" t="str">
        <f>_xlfn.XLOOKUP(Table8[[#This Row],[Campaign_Code]],tb3_CampaignMaster[Campaign_Code],tb3_CampaignMaster[Target_Audience],"")</f>
        <v>All Active</v>
      </c>
      <c r="W4" s="17">
        <f>_xlfn.XLOOKUP(Table8[[#This Row],[Campaign_Code]],tb3_CampaignMaster[Campaign_Code],tb3_CampaignMaster[Start_Date],"")</f>
        <v>45597</v>
      </c>
      <c r="X4" s="17">
        <f>_xlfn.XLOOKUP(Table8[[#This Row],[Campaign_Code]],tb3_CampaignMaster[Campaign_Code],tb3_CampaignMaster[End_Date],"")</f>
        <v>45657</v>
      </c>
      <c r="Y4">
        <f>_xlfn.XLOOKUP(Table8[[#This Row],[Campaign_Code]],tb3_CampaignMaster[Campaign_Code],tb3_CampaignMaster[Budget_GBP],"")</f>
        <v>25000</v>
      </c>
      <c r="Z4" t="str">
        <f>_xlfn.XLOOKUP(Table8[[#This Row],[Campaign_Code]],tb3_CampaignMaster[Campaign_Code],tb3_CampaignMaster[Primary_Channel],"")</f>
        <v>Multi-channel</v>
      </c>
      <c r="AA4" s="13">
        <f>IF(Table8[[#This Row],[Gift_Aid_Eligible]]="Yes",Table8[[#This Row],[Gift_Amount]]*1.25,Table8[[#This Row],[Gift_Amount]])</f>
        <v>115.0625</v>
      </c>
      <c r="AB4" t="str">
        <f>IF(Table8[[#This Row],[Supporter_ID]]="","Review - missing supporter ID","")</f>
        <v/>
      </c>
      <c r="AC4" t="str">
        <f>IF(OR(Table8[[#This Row],[Response_Date]]&lt;Table8[[#This Row],[Start_Date]],Table8[[#This Row],[Response_Date]]&gt;Table8[[#This Row],[End_Date]]),"Review - response outside campaign dates","")</f>
        <v/>
      </c>
      <c r="AD4" t="str">
        <f>IF(Table8[[#This Row],[Campaign_Type]]="","Review - campaign code not found","")</f>
        <v/>
      </c>
    </row>
    <row r="5" spans="1:30" x14ac:dyDescent="0.25">
      <c r="A5" t="s">
        <v>3329</v>
      </c>
      <c r="B5" t="s">
        <v>762</v>
      </c>
      <c r="C5" t="s">
        <v>3325</v>
      </c>
      <c r="D5" t="s">
        <v>3326</v>
      </c>
      <c r="E5" t="s">
        <v>4</v>
      </c>
      <c r="F5" s="17">
        <v>45637</v>
      </c>
      <c r="G5">
        <v>40.36</v>
      </c>
      <c r="H5" t="s">
        <v>36</v>
      </c>
      <c r="I5" t="s">
        <v>3331</v>
      </c>
      <c r="J5" t="str">
        <f>_xlfn.XLOOKUP(Table8[[#This Row],[Supporter_ID]],tb1_supporters[Supporter_ID ],tb1_supporters[Segment],"")</f>
        <v>Regular Giver</v>
      </c>
      <c r="K5" t="str">
        <f>_xlfn.XLOOKUP(Table8[[#This Row],[Supporter_ID]],tb1_supporters[Supporter_ID ],tb1_supporters[Acquisition_Source],"")</f>
        <v>Website</v>
      </c>
      <c r="L5" t="str">
        <f>_xlfn.XLOOKUP(Table8[[#This Row],[Supporter_ID]],tb1_supporters[Supporter_ID ],tb1_supporters[County],"")</f>
        <v>Strathclyde</v>
      </c>
      <c r="M5" t="str">
        <f>_xlfn.XLOOKUP(Table8[[#This Row],[Supporter_ID]],tb1_supporters[Supporter_ID ],tb1_supporters[Gender],"")</f>
        <v>Female</v>
      </c>
      <c r="N5" t="str">
        <f ca="1">_xlfn.XLOOKUP(Table8[[#This Row],[Supporter_ID]],tb1_supporters[Supporter_ID ],tb1_supporters[Age],"")</f>
        <v/>
      </c>
      <c r="O5" t="str">
        <f ca="1">_xlfn.XLOOKUP(Table8[[#This Row],[Supporter_ID]],tb1_supporters[Supporter_ID ],tb1_supporters[Age_Band],"")</f>
        <v/>
      </c>
      <c r="P5" t="str">
        <f ca="1">IF(Table8[[#This Row],[Age_Band]]="","Unknown",Table8[[#This Row],[Age_Band]])</f>
        <v>Unknown</v>
      </c>
      <c r="Q5" t="str">
        <f>_xlfn.XLOOKUP(Table8[[#This Row],[Supporter_ID]],tb1_supporters[Supporter_ID ],tb1_supporters[Communication_Preference],"")</f>
        <v>Email</v>
      </c>
      <c r="R5" t="str">
        <f>_xlfn.XLOOKUP(Table8[[#This Row],[Supporter_ID]],tb1_supporters[Supporter_ID ],tb1_supporters[Duplicate_Profile_Flag],"")</f>
        <v/>
      </c>
      <c r="S5" t="str">
        <f>_xlfn.XLOOKUP(Table8[[#This Row],[Supporter_ID]],tb1_supporters[Supporter_ID ],tb1_supporters[Preference_Compliance_Flag],"")</f>
        <v/>
      </c>
      <c r="T5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5" t="str">
        <f>_xlfn.XLOOKUP(Table8[[#This Row],[Campaign_Code]],tb3_CampaignMaster[Campaign_Code],tb3_CampaignMaster[Campaign_Type],"")</f>
        <v>Appeal</v>
      </c>
      <c r="V5" t="str">
        <f>_xlfn.XLOOKUP(Table8[[#This Row],[Campaign_Code]],tb3_CampaignMaster[Campaign_Code],tb3_CampaignMaster[Target_Audience],"")</f>
        <v>All Active</v>
      </c>
      <c r="W5" s="17">
        <f>_xlfn.XLOOKUP(Table8[[#This Row],[Campaign_Code]],tb3_CampaignMaster[Campaign_Code],tb3_CampaignMaster[Start_Date],"")</f>
        <v>45597</v>
      </c>
      <c r="X5" s="17">
        <f>_xlfn.XLOOKUP(Table8[[#This Row],[Campaign_Code]],tb3_CampaignMaster[Campaign_Code],tb3_CampaignMaster[End_Date],"")</f>
        <v>45657</v>
      </c>
      <c r="Y5">
        <f>_xlfn.XLOOKUP(Table8[[#This Row],[Campaign_Code]],tb3_CampaignMaster[Campaign_Code],tb3_CampaignMaster[Budget_GBP],"")</f>
        <v>25000</v>
      </c>
      <c r="Z5" t="str">
        <f>_xlfn.XLOOKUP(Table8[[#This Row],[Campaign_Code]],tb3_CampaignMaster[Campaign_Code],tb3_CampaignMaster[Primary_Channel],"")</f>
        <v>Multi-channel</v>
      </c>
      <c r="AA5" s="13">
        <f>IF(Table8[[#This Row],[Gift_Aid_Eligible]]="Yes",Table8[[#This Row],[Gift_Amount]]*1.25,Table8[[#This Row],[Gift_Amount]])</f>
        <v>50.45</v>
      </c>
      <c r="AB5" t="str">
        <f>IF(Table8[[#This Row],[Supporter_ID]]="","Review - missing supporter ID","")</f>
        <v/>
      </c>
      <c r="AC5" t="str">
        <f>IF(OR(Table8[[#This Row],[Response_Date]]&lt;Table8[[#This Row],[Start_Date]],Table8[[#This Row],[Response_Date]]&gt;Table8[[#This Row],[End_Date]]),"Review - response outside campaign dates","")</f>
        <v/>
      </c>
      <c r="AD5" t="str">
        <f>IF(Table8[[#This Row],[Campaign_Type]]="","Review - campaign code not found","")</f>
        <v/>
      </c>
    </row>
    <row r="6" spans="1:30" x14ac:dyDescent="0.25">
      <c r="A6" t="s">
        <v>3332</v>
      </c>
      <c r="B6" t="s">
        <v>3009</v>
      </c>
      <c r="C6" t="s">
        <v>3325</v>
      </c>
      <c r="D6" t="s">
        <v>3326</v>
      </c>
      <c r="E6" t="s">
        <v>65</v>
      </c>
      <c r="F6" s="17">
        <v>45653</v>
      </c>
      <c r="G6">
        <v>34.85</v>
      </c>
      <c r="H6" t="s">
        <v>36</v>
      </c>
      <c r="I6" t="s">
        <v>3334</v>
      </c>
      <c r="J6" t="str">
        <f>_xlfn.XLOOKUP(Table8[[#This Row],[Supporter_ID]],tb1_supporters[Supporter_ID ],tb1_supporters[Segment],"")</f>
        <v>One-Time Donor</v>
      </c>
      <c r="K6" t="str">
        <f>_xlfn.XLOOKUP(Table8[[#This Row],[Supporter_ID]],tb1_supporters[Supporter_ID ],tb1_supporters[Acquisition_Source],"")</f>
        <v>Telephone</v>
      </c>
      <c r="L6" t="str">
        <f>_xlfn.XLOOKUP(Table8[[#This Row],[Supporter_ID]],tb1_supporters[Supporter_ID ],tb1_supporters[County],"")</f>
        <v>Cambridgeshire</v>
      </c>
      <c r="M6" t="str">
        <f>_xlfn.XLOOKUP(Table8[[#This Row],[Supporter_ID]],tb1_supporters[Supporter_ID ],tb1_supporters[Gender],"")</f>
        <v>Female</v>
      </c>
      <c r="N6">
        <f ca="1">_xlfn.XLOOKUP(Table8[[#This Row],[Supporter_ID]],tb1_supporters[Supporter_ID ],tb1_supporters[Age],"")</f>
        <v>63</v>
      </c>
      <c r="O6" t="str">
        <f ca="1">_xlfn.XLOOKUP(Table8[[#This Row],[Supporter_ID]],tb1_supporters[Supporter_ID ],tb1_supporters[Age_Band],"")</f>
        <v>50-64</v>
      </c>
      <c r="P6" t="str">
        <f ca="1">IF(Table8[[#This Row],[Age_Band]]="","Unknown",Table8[[#This Row],[Age_Band]])</f>
        <v>50-64</v>
      </c>
      <c r="Q6" t="str">
        <f>_xlfn.XLOOKUP(Table8[[#This Row],[Supporter_ID]],tb1_supporters[Supporter_ID ],tb1_supporters[Communication_Preference],"")</f>
        <v>Email</v>
      </c>
      <c r="R6" t="str">
        <f>_xlfn.XLOOKUP(Table8[[#This Row],[Supporter_ID]],tb1_supporters[Supporter_ID ],tb1_supporters[Duplicate_Profile_Flag],"")</f>
        <v/>
      </c>
      <c r="S6" t="str">
        <f>_xlfn.XLOOKUP(Table8[[#This Row],[Supporter_ID]],tb1_supporters[Supporter_ID ],tb1_supporters[Preference_Compliance_Flag],"")</f>
        <v/>
      </c>
      <c r="T6" t="str">
        <f ca="1">IF(Table8[[#This Row],[Age]]="","Review - missing DOB",IF(Table8[[#This Row],[Age]]&gt;TODAY(),"Review - future DOB",IF(Table8[[#This Row],[Age]]=0,"Review -  potential entry error (age 0)","")))</f>
        <v/>
      </c>
      <c r="U6" t="str">
        <f>_xlfn.XLOOKUP(Table8[[#This Row],[Campaign_Code]],tb3_CampaignMaster[Campaign_Code],tb3_CampaignMaster[Campaign_Type],"")</f>
        <v>Appeal</v>
      </c>
      <c r="V6" t="str">
        <f>_xlfn.XLOOKUP(Table8[[#This Row],[Campaign_Code]],tb3_CampaignMaster[Campaign_Code],tb3_CampaignMaster[Target_Audience],"")</f>
        <v>All Active</v>
      </c>
      <c r="W6" s="17">
        <f>_xlfn.XLOOKUP(Table8[[#This Row],[Campaign_Code]],tb3_CampaignMaster[Campaign_Code],tb3_CampaignMaster[Start_Date],"")</f>
        <v>45597</v>
      </c>
      <c r="X6" s="17">
        <f>_xlfn.XLOOKUP(Table8[[#This Row],[Campaign_Code]],tb3_CampaignMaster[Campaign_Code],tb3_CampaignMaster[End_Date],"")</f>
        <v>45657</v>
      </c>
      <c r="Y6">
        <f>_xlfn.XLOOKUP(Table8[[#This Row],[Campaign_Code]],tb3_CampaignMaster[Campaign_Code],tb3_CampaignMaster[Budget_GBP],"")</f>
        <v>25000</v>
      </c>
      <c r="Z6" t="str">
        <f>_xlfn.XLOOKUP(Table8[[#This Row],[Campaign_Code]],tb3_CampaignMaster[Campaign_Code],tb3_CampaignMaster[Primary_Channel],"")</f>
        <v>Multi-channel</v>
      </c>
      <c r="AA6" s="13">
        <f>IF(Table8[[#This Row],[Gift_Aid_Eligible]]="Yes",Table8[[#This Row],[Gift_Amount]]*1.25,Table8[[#This Row],[Gift_Amount]])</f>
        <v>43.5625</v>
      </c>
      <c r="AB6" t="str">
        <f>IF(Table8[[#This Row],[Supporter_ID]]="","Review - missing supporter ID","")</f>
        <v/>
      </c>
      <c r="AC6" t="str">
        <f>IF(OR(Table8[[#This Row],[Response_Date]]&lt;Table8[[#This Row],[Start_Date]],Table8[[#This Row],[Response_Date]]&gt;Table8[[#This Row],[End_Date]]),"Review - response outside campaign dates","")</f>
        <v/>
      </c>
      <c r="AD6" t="str">
        <f>IF(Table8[[#This Row],[Campaign_Type]]="","Review - campaign code not found","")</f>
        <v/>
      </c>
    </row>
    <row r="7" spans="1:30" x14ac:dyDescent="0.25">
      <c r="A7" t="s">
        <v>3335</v>
      </c>
      <c r="B7" t="s">
        <v>1476</v>
      </c>
      <c r="C7" t="s">
        <v>3336</v>
      </c>
      <c r="D7" t="s">
        <v>3337</v>
      </c>
      <c r="E7" t="s">
        <v>3338</v>
      </c>
      <c r="F7" s="17">
        <v>45571</v>
      </c>
      <c r="G7">
        <v>15.74</v>
      </c>
      <c r="H7" t="s">
        <v>36</v>
      </c>
      <c r="I7" t="s">
        <v>3331</v>
      </c>
      <c r="J7" t="str">
        <f>_xlfn.XLOOKUP(Table8[[#This Row],[Supporter_ID]],tb1_supporters[Supporter_ID ],tb1_supporters[Segment],"")</f>
        <v>Prospect</v>
      </c>
      <c r="K7" t="str">
        <f>_xlfn.XLOOKUP(Table8[[#This Row],[Supporter_ID]],tb1_supporters[Supporter_ID ],tb1_supporters[Acquisition_Source],"")</f>
        <v>Referral</v>
      </c>
      <c r="L7" t="str">
        <f>_xlfn.XLOOKUP(Table8[[#This Row],[Supporter_ID]],tb1_supporters[Supporter_ID ],tb1_supporters[County],"")</f>
        <v>Angus</v>
      </c>
      <c r="M7" t="str">
        <f>_xlfn.XLOOKUP(Table8[[#This Row],[Supporter_ID]],tb1_supporters[Supporter_ID ],tb1_supporters[Gender],"")</f>
        <v>Female</v>
      </c>
      <c r="N7" t="str">
        <f ca="1">_xlfn.XLOOKUP(Table8[[#This Row],[Supporter_ID]],tb1_supporters[Supporter_ID ],tb1_supporters[Age],"")</f>
        <v/>
      </c>
      <c r="O7" t="str">
        <f ca="1">_xlfn.XLOOKUP(Table8[[#This Row],[Supporter_ID]],tb1_supporters[Supporter_ID ],tb1_supporters[Age_Band],"")</f>
        <v/>
      </c>
      <c r="P7" t="str">
        <f ca="1">IF(Table8[[#This Row],[Age_Band]]="","Unknown",Table8[[#This Row],[Age_Band]])</f>
        <v>Unknown</v>
      </c>
      <c r="Q7" t="str">
        <f>_xlfn.XLOOKUP(Table8[[#This Row],[Supporter_ID]],tb1_supporters[Supporter_ID ],tb1_supporters[Communication_Preference],"")</f>
        <v>No Preference</v>
      </c>
      <c r="R7" t="str">
        <f>_xlfn.XLOOKUP(Table8[[#This Row],[Supporter_ID]],tb1_supporters[Supporter_ID ],tb1_supporters[Duplicate_Profile_Flag],"")</f>
        <v/>
      </c>
      <c r="S7" t="str">
        <f>_xlfn.XLOOKUP(Table8[[#This Row],[Supporter_ID]],tb1_supporters[Supporter_ID ],tb1_supporters[Preference_Compliance_Flag],"")</f>
        <v/>
      </c>
      <c r="T7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7" t="str">
        <f>_xlfn.XLOOKUP(Table8[[#This Row],[Campaign_Code]],tb3_CampaignMaster[Campaign_Code],tb3_CampaignMaster[Campaign_Type],"")</f>
        <v>Appeal</v>
      </c>
      <c r="V7" t="str">
        <f>_xlfn.XLOOKUP(Table8[[#This Row],[Campaign_Code]],tb3_CampaignMaster[Campaign_Code],tb3_CampaignMaster[Target_Audience],"")</f>
        <v>All Supporters</v>
      </c>
      <c r="W7" s="17">
        <f>_xlfn.XLOOKUP(Table8[[#This Row],[Campaign_Code]],tb3_CampaignMaster[Campaign_Code],tb3_CampaignMaster[Start_Date],"")</f>
        <v>45545</v>
      </c>
      <c r="X7" s="17">
        <f>_xlfn.XLOOKUP(Table8[[#This Row],[Campaign_Code]],tb3_CampaignMaster[Campaign_Code],tb3_CampaignMaster[End_Date],"")</f>
        <v>45580</v>
      </c>
      <c r="Y7">
        <f>_xlfn.XLOOKUP(Table8[[#This Row],[Campaign_Code]],tb3_CampaignMaster[Campaign_Code],tb3_CampaignMaster[Budget_GBP],"")</f>
        <v>15000</v>
      </c>
      <c r="Z7" t="str">
        <f>_xlfn.XLOOKUP(Table8[[#This Row],[Campaign_Code]],tb3_CampaignMaster[Campaign_Code],tb3_CampaignMaster[Primary_Channel],"")</f>
        <v>Email</v>
      </c>
      <c r="AA7" s="13">
        <f>IF(Table8[[#This Row],[Gift_Aid_Eligible]]="Yes",Table8[[#This Row],[Gift_Amount]]*1.25,Table8[[#This Row],[Gift_Amount]])</f>
        <v>19.675000000000001</v>
      </c>
      <c r="AB7" t="str">
        <f>IF(Table8[[#This Row],[Supporter_ID]]="","Review - missing supporter ID","")</f>
        <v/>
      </c>
      <c r="AC7" t="str">
        <f>IF(OR(Table8[[#This Row],[Response_Date]]&lt;Table8[[#This Row],[Start_Date]],Table8[[#This Row],[Response_Date]]&gt;Table8[[#This Row],[End_Date]]),"Review - response outside campaign dates","")</f>
        <v/>
      </c>
      <c r="AD7" t="str">
        <f>IF(Table8[[#This Row],[Campaign_Type]]="","Review - campaign code not found","")</f>
        <v/>
      </c>
    </row>
    <row r="8" spans="1:30" x14ac:dyDescent="0.25">
      <c r="A8" t="s">
        <v>3340</v>
      </c>
      <c r="B8" t="s">
        <v>1289</v>
      </c>
      <c r="C8" t="s">
        <v>3341</v>
      </c>
      <c r="D8" t="s">
        <v>3342</v>
      </c>
      <c r="E8" t="s">
        <v>3316</v>
      </c>
      <c r="F8" s="17">
        <v>45732</v>
      </c>
      <c r="G8">
        <v>151.99</v>
      </c>
      <c r="H8" t="s">
        <v>36</v>
      </c>
      <c r="I8" t="s">
        <v>3318</v>
      </c>
      <c r="J8" t="str">
        <f>_xlfn.XLOOKUP(Table8[[#This Row],[Supporter_ID]],tb1_supporters[Supporter_ID ],tb1_supporters[Segment],"")</f>
        <v>Legacy Pledger</v>
      </c>
      <c r="K8" t="str">
        <f>_xlfn.XLOOKUP(Table8[[#This Row],[Supporter_ID]],tb1_supporters[Supporter_ID ],tb1_supporters[Acquisition_Source],"")</f>
        <v>Direct Mail</v>
      </c>
      <c r="L8" t="str">
        <f>_xlfn.XLOOKUP(Table8[[#This Row],[Supporter_ID]],tb1_supporters[Supporter_ID ],tb1_supporters[County],"")</f>
        <v>Oxfordshire</v>
      </c>
      <c r="M8" t="str">
        <f>_xlfn.XLOOKUP(Table8[[#This Row],[Supporter_ID]],tb1_supporters[Supporter_ID ],tb1_supporters[Gender],"")</f>
        <v>Male</v>
      </c>
      <c r="N8">
        <f ca="1">_xlfn.XLOOKUP(Table8[[#This Row],[Supporter_ID]],tb1_supporters[Supporter_ID ],tb1_supporters[Age],"")</f>
        <v>20</v>
      </c>
      <c r="O8" t="str">
        <f ca="1">_xlfn.XLOOKUP(Table8[[#This Row],[Supporter_ID]],tb1_supporters[Supporter_ID ],tb1_supporters[Age_Band],"")</f>
        <v>18-34</v>
      </c>
      <c r="P8" t="str">
        <f ca="1">IF(Table8[[#This Row],[Age_Band]]="","Unknown",Table8[[#This Row],[Age_Band]])</f>
        <v>18-34</v>
      </c>
      <c r="Q8" t="str">
        <f>_xlfn.XLOOKUP(Table8[[#This Row],[Supporter_ID]],tb1_supporters[Supporter_ID ],tb1_supporters[Communication_Preference],"")</f>
        <v>Email</v>
      </c>
      <c r="R8" t="str">
        <f>_xlfn.XLOOKUP(Table8[[#This Row],[Supporter_ID]],tb1_supporters[Supporter_ID ],tb1_supporters[Duplicate_Profile_Flag],"")</f>
        <v/>
      </c>
      <c r="S8" t="str">
        <f>_xlfn.XLOOKUP(Table8[[#This Row],[Supporter_ID]],tb1_supporters[Supporter_ID ],tb1_supporters[Preference_Compliance_Flag],"")</f>
        <v/>
      </c>
      <c r="T8" t="str">
        <f ca="1">IF(Table8[[#This Row],[Age]]="","Review - missing DOB",IF(Table8[[#This Row],[Age]]&gt;TODAY(),"Review - future DOB",IF(Table8[[#This Row],[Age]]=0,"Review -  potential entry error (age 0)","")))</f>
        <v/>
      </c>
      <c r="U8" t="str">
        <f>_xlfn.XLOOKUP(Table8[[#This Row],[Campaign_Code]],tb3_CampaignMaster[Campaign_Code],tb3_CampaignMaster[Campaign_Type],"")</f>
        <v>Acquisition</v>
      </c>
      <c r="V8" t="str">
        <f>_xlfn.XLOOKUP(Table8[[#This Row],[Campaign_Code]],tb3_CampaignMaster[Campaign_Code],tb3_CampaignMaster[Target_Audience],"")</f>
        <v>Prospects</v>
      </c>
      <c r="W8" s="17">
        <f>_xlfn.XLOOKUP(Table8[[#This Row],[Campaign_Code]],tb3_CampaignMaster[Campaign_Code],tb3_CampaignMaster[Start_Date],"")</f>
        <v>45689</v>
      </c>
      <c r="X8" s="17">
        <f>_xlfn.XLOOKUP(Table8[[#This Row],[Campaign_Code]],tb3_CampaignMaster[Campaign_Code],tb3_CampaignMaster[End_Date],"")</f>
        <v>45777</v>
      </c>
      <c r="Y8">
        <f>_xlfn.XLOOKUP(Table8[[#This Row],[Campaign_Code]],tb3_CampaignMaster[Campaign_Code],tb3_CampaignMaster[Budget_GBP],"")</f>
        <v>20000</v>
      </c>
      <c r="Z8" t="str">
        <f>_xlfn.XLOOKUP(Table8[[#This Row],[Campaign_Code]],tb3_CampaignMaster[Campaign_Code],tb3_CampaignMaster[Primary_Channel],"")</f>
        <v>Digital</v>
      </c>
      <c r="AA8" s="13">
        <f>IF(Table8[[#This Row],[Gift_Aid_Eligible]]="Yes",Table8[[#This Row],[Gift_Amount]]*1.25,Table8[[#This Row],[Gift_Amount]])</f>
        <v>189.98750000000001</v>
      </c>
      <c r="AB8" t="str">
        <f>IF(Table8[[#This Row],[Supporter_ID]]="","Review - missing supporter ID","")</f>
        <v/>
      </c>
      <c r="AC8" t="str">
        <f>IF(OR(Table8[[#This Row],[Response_Date]]&lt;Table8[[#This Row],[Start_Date]],Table8[[#This Row],[Response_Date]]&gt;Table8[[#This Row],[End_Date]]),"Review - response outside campaign dates","")</f>
        <v/>
      </c>
      <c r="AD8" t="str">
        <f>IF(Table8[[#This Row],[Campaign_Type]]="","Review - campaign code not found","")</f>
        <v/>
      </c>
    </row>
    <row r="9" spans="1:30" x14ac:dyDescent="0.25">
      <c r="A9" t="s">
        <v>3344</v>
      </c>
      <c r="B9" t="s">
        <v>2411</v>
      </c>
      <c r="C9" t="s">
        <v>3325</v>
      </c>
      <c r="D9" t="s">
        <v>3326</v>
      </c>
      <c r="E9" t="s">
        <v>3316</v>
      </c>
      <c r="F9" s="17">
        <v>45652</v>
      </c>
      <c r="G9">
        <v>156.21</v>
      </c>
      <c r="H9" t="s">
        <v>37</v>
      </c>
      <c r="I9" t="s">
        <v>3323</v>
      </c>
      <c r="J9" t="str">
        <f>_xlfn.XLOOKUP(Table8[[#This Row],[Supporter_ID]],tb1_supporters[Supporter_ID ],tb1_supporters[Segment],"")</f>
        <v>Mid-Value</v>
      </c>
      <c r="K9" t="str">
        <f>_xlfn.XLOOKUP(Table8[[#This Row],[Supporter_ID]],tb1_supporters[Supporter_ID ],tb1_supporters[Acquisition_Source],"")</f>
        <v>Door-To-Door</v>
      </c>
      <c r="L9" t="str">
        <f>_xlfn.XLOOKUP(Table8[[#This Row],[Supporter_ID]],tb1_supporters[Supporter_ID ],tb1_supporters[County],"")</f>
        <v>South Glamorgan</v>
      </c>
      <c r="M9" t="str">
        <f>_xlfn.XLOOKUP(Table8[[#This Row],[Supporter_ID]],tb1_supporters[Supporter_ID ],tb1_supporters[Gender],"")</f>
        <v>Male</v>
      </c>
      <c r="N9">
        <f ca="1">_xlfn.XLOOKUP(Table8[[#This Row],[Supporter_ID]],tb1_supporters[Supporter_ID ],tb1_supporters[Age],"")</f>
        <v>79</v>
      </c>
      <c r="O9" t="str">
        <f ca="1">_xlfn.XLOOKUP(Table8[[#This Row],[Supporter_ID]],tb1_supporters[Supporter_ID ],tb1_supporters[Age_Band],"")</f>
        <v>65+</v>
      </c>
      <c r="P9" t="str">
        <f ca="1">IF(Table8[[#This Row],[Age_Band]]="","Unknown",Table8[[#This Row],[Age_Band]])</f>
        <v>65+</v>
      </c>
      <c r="Q9" t="str">
        <f>_xlfn.XLOOKUP(Table8[[#This Row],[Supporter_ID]],tb1_supporters[Supporter_ID ],tb1_supporters[Communication_Preference],"")</f>
        <v>No Preference</v>
      </c>
      <c r="R9" t="str">
        <f>_xlfn.XLOOKUP(Table8[[#This Row],[Supporter_ID]],tb1_supporters[Supporter_ID ],tb1_supporters[Duplicate_Profile_Flag],"")</f>
        <v/>
      </c>
      <c r="S9" t="str">
        <f>_xlfn.XLOOKUP(Table8[[#This Row],[Supporter_ID]],tb1_supporters[Supporter_ID ],tb1_supporters[Preference_Compliance_Flag],"")</f>
        <v/>
      </c>
      <c r="T9" t="str">
        <f ca="1">IF(Table8[[#This Row],[Age]]="","Review - missing DOB",IF(Table8[[#This Row],[Age]]&gt;TODAY(),"Review - future DOB",IF(Table8[[#This Row],[Age]]=0,"Review -  potential entry error (age 0)","")))</f>
        <v/>
      </c>
      <c r="U9" t="str">
        <f>_xlfn.XLOOKUP(Table8[[#This Row],[Campaign_Code]],tb3_CampaignMaster[Campaign_Code],tb3_CampaignMaster[Campaign_Type],"")</f>
        <v>Appeal</v>
      </c>
      <c r="V9" t="str">
        <f>_xlfn.XLOOKUP(Table8[[#This Row],[Campaign_Code]],tb3_CampaignMaster[Campaign_Code],tb3_CampaignMaster[Target_Audience],"")</f>
        <v>All Active</v>
      </c>
      <c r="W9" s="17">
        <f>_xlfn.XLOOKUP(Table8[[#This Row],[Campaign_Code]],tb3_CampaignMaster[Campaign_Code],tb3_CampaignMaster[Start_Date],"")</f>
        <v>45597</v>
      </c>
      <c r="X9" s="17">
        <f>_xlfn.XLOOKUP(Table8[[#This Row],[Campaign_Code]],tb3_CampaignMaster[Campaign_Code],tb3_CampaignMaster[End_Date],"")</f>
        <v>45657</v>
      </c>
      <c r="Y9">
        <f>_xlfn.XLOOKUP(Table8[[#This Row],[Campaign_Code]],tb3_CampaignMaster[Campaign_Code],tb3_CampaignMaster[Budget_GBP],"")</f>
        <v>25000</v>
      </c>
      <c r="Z9" t="str">
        <f>_xlfn.XLOOKUP(Table8[[#This Row],[Campaign_Code]],tb3_CampaignMaster[Campaign_Code],tb3_CampaignMaster[Primary_Channel],"")</f>
        <v>Multi-channel</v>
      </c>
      <c r="AA9" s="13">
        <f>IF(Table8[[#This Row],[Gift_Aid_Eligible]]="Yes",Table8[[#This Row],[Gift_Amount]]*1.25,Table8[[#This Row],[Gift_Amount]])</f>
        <v>156.21</v>
      </c>
      <c r="AB9" t="str">
        <f>IF(Table8[[#This Row],[Supporter_ID]]="","Review - missing supporter ID","")</f>
        <v/>
      </c>
      <c r="AC9" t="str">
        <f>IF(OR(Table8[[#This Row],[Response_Date]]&lt;Table8[[#This Row],[Start_Date]],Table8[[#This Row],[Response_Date]]&gt;Table8[[#This Row],[End_Date]]),"Review - response outside campaign dates","")</f>
        <v/>
      </c>
      <c r="AD9" t="str">
        <f>IF(Table8[[#This Row],[Campaign_Type]]="","Review - campaign code not found","")</f>
        <v/>
      </c>
    </row>
    <row r="10" spans="1:30" x14ac:dyDescent="0.25">
      <c r="A10" t="s">
        <v>3347</v>
      </c>
      <c r="B10" t="s">
        <v>939</v>
      </c>
      <c r="C10" t="s">
        <v>3314</v>
      </c>
      <c r="D10" t="s">
        <v>3315</v>
      </c>
      <c r="E10" t="s">
        <v>65</v>
      </c>
      <c r="F10" s="17">
        <v>45705</v>
      </c>
      <c r="G10">
        <v>18.29</v>
      </c>
      <c r="H10" t="s">
        <v>37</v>
      </c>
      <c r="I10" t="s">
        <v>3318</v>
      </c>
      <c r="J10" t="str">
        <f>_xlfn.XLOOKUP(Table8[[#This Row],[Supporter_ID]],tb1_supporters[Supporter_ID ],tb1_supporters[Segment],"")</f>
        <v>Regular Giver</v>
      </c>
      <c r="K10" t="str">
        <f>_xlfn.XLOOKUP(Table8[[#This Row],[Supporter_ID]],tb1_supporters[Supporter_ID ],tb1_supporters[Acquisition_Source],"")</f>
        <v>Website</v>
      </c>
      <c r="L10" t="str">
        <f>_xlfn.XLOOKUP(Table8[[#This Row],[Supporter_ID]],tb1_supporters[Supporter_ID ],tb1_supporters[County],"")</f>
        <v>West Yorkshire</v>
      </c>
      <c r="M10" t="str">
        <f>_xlfn.XLOOKUP(Table8[[#This Row],[Supporter_ID]],tb1_supporters[Supporter_ID ],tb1_supporters[Gender],"")</f>
        <v>Male</v>
      </c>
      <c r="N10">
        <f ca="1">_xlfn.XLOOKUP(Table8[[#This Row],[Supporter_ID]],tb1_supporters[Supporter_ID ],tb1_supporters[Age],"")</f>
        <v>25</v>
      </c>
      <c r="O10" t="str">
        <f ca="1">_xlfn.XLOOKUP(Table8[[#This Row],[Supporter_ID]],tb1_supporters[Supporter_ID ],tb1_supporters[Age_Band],"")</f>
        <v>18-34</v>
      </c>
      <c r="P10" t="str">
        <f ca="1">IF(Table8[[#This Row],[Age_Band]]="","Unknown",Table8[[#This Row],[Age_Band]])</f>
        <v>18-34</v>
      </c>
      <c r="Q10" t="str">
        <f>_xlfn.XLOOKUP(Table8[[#This Row],[Supporter_ID]],tb1_supporters[Supporter_ID ],tb1_supporters[Communication_Preference],"")</f>
        <v>Phone</v>
      </c>
      <c r="R10" t="str">
        <f>_xlfn.XLOOKUP(Table8[[#This Row],[Supporter_ID]],tb1_supporters[Supporter_ID ],tb1_supporters[Duplicate_Profile_Flag],"")</f>
        <v/>
      </c>
      <c r="S10" t="str">
        <f>_xlfn.XLOOKUP(Table8[[#This Row],[Supporter_ID]],tb1_supporters[Supporter_ID ],tb1_supporters[Preference_Compliance_Flag],"")</f>
        <v>Review - prefers phone but not opted in</v>
      </c>
      <c r="T10" t="str">
        <f ca="1">IF(Table8[[#This Row],[Age]]="","Review - missing DOB",IF(Table8[[#This Row],[Age]]&gt;TODAY(),"Review - future DOB",IF(Table8[[#This Row],[Age]]=0,"Review -  potential entry error (age 0)","")))</f>
        <v/>
      </c>
      <c r="U10" t="str">
        <f>_xlfn.XLOOKUP(Table8[[#This Row],[Campaign_Code]],tb3_CampaignMaster[Campaign_Code],tb3_CampaignMaster[Campaign_Type],"")</f>
        <v>Regular Giving</v>
      </c>
      <c r="V10" t="str">
        <f>_xlfn.XLOOKUP(Table8[[#This Row],[Campaign_Code]],tb3_CampaignMaster[Campaign_Code],tb3_CampaignMaster[Target_Audience],"")</f>
        <v>One-time Donors</v>
      </c>
      <c r="W10" s="17">
        <f>_xlfn.XLOOKUP(Table8[[#This Row],[Campaign_Code]],tb3_CampaignMaster[Campaign_Code],tb3_CampaignMaster[Start_Date],"")</f>
        <v>45663</v>
      </c>
      <c r="X10" s="17">
        <f>_xlfn.XLOOKUP(Table8[[#This Row],[Campaign_Code]],tb3_CampaignMaster[Campaign_Code],tb3_CampaignMaster[End_Date],"")</f>
        <v>45747</v>
      </c>
      <c r="Y10">
        <f>_xlfn.XLOOKUP(Table8[[#This Row],[Campaign_Code]],tb3_CampaignMaster[Campaign_Code],tb3_CampaignMaster[Budget_GBP],"")</f>
        <v>10000</v>
      </c>
      <c r="Z10" t="str">
        <f>_xlfn.XLOOKUP(Table8[[#This Row],[Campaign_Code]],tb3_CampaignMaster[Campaign_Code],tb3_CampaignMaster[Primary_Channel],"")</f>
        <v>Telephone</v>
      </c>
      <c r="AA10" s="13">
        <f>IF(Table8[[#This Row],[Gift_Aid_Eligible]]="Yes",Table8[[#This Row],[Gift_Amount]]*1.25,Table8[[#This Row],[Gift_Amount]])</f>
        <v>18.29</v>
      </c>
      <c r="AB10" t="str">
        <f>IF(Table8[[#This Row],[Supporter_ID]]="","Review - missing supporter ID","")</f>
        <v/>
      </c>
      <c r="AC10" t="str">
        <f>IF(OR(Table8[[#This Row],[Response_Date]]&lt;Table8[[#This Row],[Start_Date]],Table8[[#This Row],[Response_Date]]&gt;Table8[[#This Row],[End_Date]]),"Review - response outside campaign dates","")</f>
        <v/>
      </c>
      <c r="AD10" t="str">
        <f>IF(Table8[[#This Row],[Campaign_Type]]="","Review - campaign code not found","")</f>
        <v/>
      </c>
    </row>
    <row r="11" spans="1:30" x14ac:dyDescent="0.25">
      <c r="A11" t="s">
        <v>3349</v>
      </c>
      <c r="B11" t="s">
        <v>2632</v>
      </c>
      <c r="C11" t="s">
        <v>3314</v>
      </c>
      <c r="D11" t="s">
        <v>3315</v>
      </c>
      <c r="E11" t="s">
        <v>33</v>
      </c>
      <c r="F11" s="17">
        <v>45739</v>
      </c>
      <c r="G11">
        <v>11.29</v>
      </c>
      <c r="H11" t="s">
        <v>37</v>
      </c>
      <c r="I11" t="s">
        <v>3331</v>
      </c>
      <c r="J11" t="str">
        <f>_xlfn.XLOOKUP(Table8[[#This Row],[Supporter_ID]],tb1_supporters[Supporter_ID ],tb1_supporters[Segment],"")</f>
        <v>Prospect</v>
      </c>
      <c r="K11" t="str">
        <f>_xlfn.XLOOKUP(Table8[[#This Row],[Supporter_ID]],tb1_supporters[Supporter_ID ],tb1_supporters[Acquisition_Source],"")</f>
        <v>Website</v>
      </c>
      <c r="L11" t="str">
        <f>_xlfn.XLOOKUP(Table8[[#This Row],[Supporter_ID]],tb1_supporters[Supporter_ID ],tb1_supporters[County],"")</f>
        <v>West Glamorgan</v>
      </c>
      <c r="M11" t="str">
        <f>_xlfn.XLOOKUP(Table8[[#This Row],[Supporter_ID]],tb1_supporters[Supporter_ID ],tb1_supporters[Gender],"")</f>
        <v>Male</v>
      </c>
      <c r="N11">
        <f ca="1">_xlfn.XLOOKUP(Table8[[#This Row],[Supporter_ID]],tb1_supporters[Supporter_ID ],tb1_supporters[Age],"")</f>
        <v>62</v>
      </c>
      <c r="O11" t="str">
        <f ca="1">_xlfn.XLOOKUP(Table8[[#This Row],[Supporter_ID]],tb1_supporters[Supporter_ID ],tb1_supporters[Age_Band],"")</f>
        <v>50-64</v>
      </c>
      <c r="P11" t="str">
        <f ca="1">IF(Table8[[#This Row],[Age_Band]]="","Unknown",Table8[[#This Row],[Age_Band]])</f>
        <v>50-64</v>
      </c>
      <c r="Q11" t="str">
        <f>_xlfn.XLOOKUP(Table8[[#This Row],[Supporter_ID]],tb1_supporters[Supporter_ID ],tb1_supporters[Communication_Preference],"")</f>
        <v>Phone</v>
      </c>
      <c r="R11" t="str">
        <f>_xlfn.XLOOKUP(Table8[[#This Row],[Supporter_ID]],tb1_supporters[Supporter_ID ],tb1_supporters[Duplicate_Profile_Flag],"")</f>
        <v/>
      </c>
      <c r="S11" t="str">
        <f>_xlfn.XLOOKUP(Table8[[#This Row],[Supporter_ID]],tb1_supporters[Supporter_ID ],tb1_supporters[Preference_Compliance_Flag],"")</f>
        <v>Review - prefers phone but not opted in</v>
      </c>
      <c r="T11" t="str">
        <f ca="1">IF(Table8[[#This Row],[Age]]="","Review - missing DOB",IF(Table8[[#This Row],[Age]]&gt;TODAY(),"Review - future DOB",IF(Table8[[#This Row],[Age]]=0,"Review -  potential entry error (age 0)","")))</f>
        <v/>
      </c>
      <c r="U11" t="str">
        <f>_xlfn.XLOOKUP(Table8[[#This Row],[Campaign_Code]],tb3_CampaignMaster[Campaign_Code],tb3_CampaignMaster[Campaign_Type],"")</f>
        <v>Regular Giving</v>
      </c>
      <c r="V11" t="str">
        <f>_xlfn.XLOOKUP(Table8[[#This Row],[Campaign_Code]],tb3_CampaignMaster[Campaign_Code],tb3_CampaignMaster[Target_Audience],"")</f>
        <v>One-time Donors</v>
      </c>
      <c r="W11" s="17">
        <f>_xlfn.XLOOKUP(Table8[[#This Row],[Campaign_Code]],tb3_CampaignMaster[Campaign_Code],tb3_CampaignMaster[Start_Date],"")</f>
        <v>45663</v>
      </c>
      <c r="X11" s="17">
        <f>_xlfn.XLOOKUP(Table8[[#This Row],[Campaign_Code]],tb3_CampaignMaster[Campaign_Code],tb3_CampaignMaster[End_Date],"")</f>
        <v>45747</v>
      </c>
      <c r="Y11">
        <f>_xlfn.XLOOKUP(Table8[[#This Row],[Campaign_Code]],tb3_CampaignMaster[Campaign_Code],tb3_CampaignMaster[Budget_GBP],"")</f>
        <v>10000</v>
      </c>
      <c r="Z11" t="str">
        <f>_xlfn.XLOOKUP(Table8[[#This Row],[Campaign_Code]],tb3_CampaignMaster[Campaign_Code],tb3_CampaignMaster[Primary_Channel],"")</f>
        <v>Telephone</v>
      </c>
      <c r="AA11" s="13">
        <f>IF(Table8[[#This Row],[Gift_Aid_Eligible]]="Yes",Table8[[#This Row],[Gift_Amount]]*1.25,Table8[[#This Row],[Gift_Amount]])</f>
        <v>11.29</v>
      </c>
      <c r="AB11" t="str">
        <f>IF(Table8[[#This Row],[Supporter_ID]]="","Review - missing supporter ID","")</f>
        <v/>
      </c>
      <c r="AC11" t="str">
        <f>IF(OR(Table8[[#This Row],[Response_Date]]&lt;Table8[[#This Row],[Start_Date]],Table8[[#This Row],[Response_Date]]&gt;Table8[[#This Row],[End_Date]]),"Review - response outside campaign dates","")</f>
        <v/>
      </c>
      <c r="AD11" t="str">
        <f>IF(Table8[[#This Row],[Campaign_Type]]="","Review - campaign code not found","")</f>
        <v/>
      </c>
    </row>
    <row r="12" spans="1:30" x14ac:dyDescent="0.25">
      <c r="A12" t="s">
        <v>3351</v>
      </c>
      <c r="B12" t="s">
        <v>2130</v>
      </c>
      <c r="C12" t="s">
        <v>3341</v>
      </c>
      <c r="D12" t="s">
        <v>3342</v>
      </c>
      <c r="E12" t="s">
        <v>91</v>
      </c>
      <c r="F12" s="17">
        <v>45713</v>
      </c>
      <c r="G12">
        <v>113.62</v>
      </c>
      <c r="H12" t="s">
        <v>37</v>
      </c>
      <c r="I12" t="s">
        <v>3328</v>
      </c>
      <c r="J12" t="str">
        <f>_xlfn.XLOOKUP(Table8[[#This Row],[Supporter_ID]],tb1_supporters[Supporter_ID ],tb1_supporters[Segment],"")</f>
        <v>Legacy Pledger</v>
      </c>
      <c r="K12" t="str">
        <f>_xlfn.XLOOKUP(Table8[[#This Row],[Supporter_ID]],tb1_supporters[Supporter_ID ],tb1_supporters[Acquisition_Source],"")</f>
        <v>Corporate Partner</v>
      </c>
      <c r="L12" t="str">
        <f>_xlfn.XLOOKUP(Table8[[#This Row],[Supporter_ID]],tb1_supporters[Supporter_ID ],tb1_supporters[County],"")</f>
        <v>Surrey</v>
      </c>
      <c r="M12" t="str">
        <f>_xlfn.XLOOKUP(Table8[[#This Row],[Supporter_ID]],tb1_supporters[Supporter_ID ],tb1_supporters[Gender],"")</f>
        <v>Female</v>
      </c>
      <c r="N12">
        <f ca="1">_xlfn.XLOOKUP(Table8[[#This Row],[Supporter_ID]],tb1_supporters[Supporter_ID ],tb1_supporters[Age],"")</f>
        <v>88</v>
      </c>
      <c r="O12" t="str">
        <f ca="1">_xlfn.XLOOKUP(Table8[[#This Row],[Supporter_ID]],tb1_supporters[Supporter_ID ],tb1_supporters[Age_Band],"")</f>
        <v>65+</v>
      </c>
      <c r="P12" t="str">
        <f ca="1">IF(Table8[[#This Row],[Age_Band]]="","Unknown",Table8[[#This Row],[Age_Band]])</f>
        <v>65+</v>
      </c>
      <c r="Q12" t="str">
        <f>_xlfn.XLOOKUP(Table8[[#This Row],[Supporter_ID]],tb1_supporters[Supporter_ID ],tb1_supporters[Communication_Preference],"")</f>
        <v>Email</v>
      </c>
      <c r="R12" t="str">
        <f>_xlfn.XLOOKUP(Table8[[#This Row],[Supporter_ID]],tb1_supporters[Supporter_ID ],tb1_supporters[Duplicate_Profile_Flag],"")</f>
        <v/>
      </c>
      <c r="S12" t="str">
        <f>_xlfn.XLOOKUP(Table8[[#This Row],[Supporter_ID]],tb1_supporters[Supporter_ID ],tb1_supporters[Preference_Compliance_Flag],"")</f>
        <v>Review - prefers email but not opted in</v>
      </c>
      <c r="T12" t="str">
        <f ca="1">IF(Table8[[#This Row],[Age]]="","Review - missing DOB",IF(Table8[[#This Row],[Age]]&gt;TODAY(),"Review - future DOB",IF(Table8[[#This Row],[Age]]=0,"Review -  potential entry error (age 0)","")))</f>
        <v/>
      </c>
      <c r="U12" t="str">
        <f>_xlfn.XLOOKUP(Table8[[#This Row],[Campaign_Code]],tb3_CampaignMaster[Campaign_Code],tb3_CampaignMaster[Campaign_Type],"")</f>
        <v>Acquisition</v>
      </c>
      <c r="V12" t="str">
        <f>_xlfn.XLOOKUP(Table8[[#This Row],[Campaign_Code]],tb3_CampaignMaster[Campaign_Code],tb3_CampaignMaster[Target_Audience],"")</f>
        <v>Prospects</v>
      </c>
      <c r="W12" s="17">
        <f>_xlfn.XLOOKUP(Table8[[#This Row],[Campaign_Code]],tb3_CampaignMaster[Campaign_Code],tb3_CampaignMaster[Start_Date],"")</f>
        <v>45689</v>
      </c>
      <c r="X12" s="17">
        <f>_xlfn.XLOOKUP(Table8[[#This Row],[Campaign_Code]],tb3_CampaignMaster[Campaign_Code],tb3_CampaignMaster[End_Date],"")</f>
        <v>45777</v>
      </c>
      <c r="Y12">
        <f>_xlfn.XLOOKUP(Table8[[#This Row],[Campaign_Code]],tb3_CampaignMaster[Campaign_Code],tb3_CampaignMaster[Budget_GBP],"")</f>
        <v>20000</v>
      </c>
      <c r="Z12" t="str">
        <f>_xlfn.XLOOKUP(Table8[[#This Row],[Campaign_Code]],tb3_CampaignMaster[Campaign_Code],tb3_CampaignMaster[Primary_Channel],"")</f>
        <v>Digital</v>
      </c>
      <c r="AA12" s="13">
        <f>IF(Table8[[#This Row],[Gift_Aid_Eligible]]="Yes",Table8[[#This Row],[Gift_Amount]]*1.25,Table8[[#This Row],[Gift_Amount]])</f>
        <v>113.62</v>
      </c>
      <c r="AB12" t="str">
        <f>IF(Table8[[#This Row],[Supporter_ID]]="","Review - missing supporter ID","")</f>
        <v/>
      </c>
      <c r="AC12" t="str">
        <f>IF(OR(Table8[[#This Row],[Response_Date]]&lt;Table8[[#This Row],[Start_Date]],Table8[[#This Row],[Response_Date]]&gt;Table8[[#This Row],[End_Date]]),"Review - response outside campaign dates","")</f>
        <v/>
      </c>
      <c r="AD12" t="str">
        <f>IF(Table8[[#This Row],[Campaign_Type]]="","Review - campaign code not found","")</f>
        <v/>
      </c>
    </row>
    <row r="13" spans="1:30" x14ac:dyDescent="0.25">
      <c r="A13" t="s">
        <v>3353</v>
      </c>
      <c r="B13" t="s">
        <v>245</v>
      </c>
      <c r="C13" t="s">
        <v>3354</v>
      </c>
      <c r="D13" t="s">
        <v>3355</v>
      </c>
      <c r="E13" t="s">
        <v>65</v>
      </c>
      <c r="F13" s="17">
        <v>45618</v>
      </c>
      <c r="G13">
        <v>80.349999999999994</v>
      </c>
      <c r="H13" t="s">
        <v>36</v>
      </c>
      <c r="I13" t="s">
        <v>3323</v>
      </c>
      <c r="J13" t="str">
        <f>_xlfn.XLOOKUP(Table8[[#This Row],[Supporter_ID]],tb1_supporters[Supporter_ID ],tb1_supporters[Segment],"")</f>
        <v>Mid-Value</v>
      </c>
      <c r="K13" t="str">
        <f>_xlfn.XLOOKUP(Table8[[#This Row],[Supporter_ID]],tb1_supporters[Supporter_ID ],tb1_supporters[Acquisition_Source],"")</f>
        <v>Referral</v>
      </c>
      <c r="L13" t="str">
        <f>_xlfn.XLOOKUP(Table8[[#This Row],[Supporter_ID]],tb1_supporters[Supporter_ID ],tb1_supporters[County],"")</f>
        <v>Norfolk</v>
      </c>
      <c r="M13" t="str">
        <f>_xlfn.XLOOKUP(Table8[[#This Row],[Supporter_ID]],tb1_supporters[Supporter_ID ],tb1_supporters[Gender],"")</f>
        <v>Female</v>
      </c>
      <c r="N13">
        <f ca="1">_xlfn.XLOOKUP(Table8[[#This Row],[Supporter_ID]],tb1_supporters[Supporter_ID ],tb1_supporters[Age],"")</f>
        <v>68</v>
      </c>
      <c r="O13" t="str">
        <f ca="1">_xlfn.XLOOKUP(Table8[[#This Row],[Supporter_ID]],tb1_supporters[Supporter_ID ],tb1_supporters[Age_Band],"")</f>
        <v>65+</v>
      </c>
      <c r="P13" t="str">
        <f ca="1">IF(Table8[[#This Row],[Age_Band]]="","Unknown",Table8[[#This Row],[Age_Band]])</f>
        <v>65+</v>
      </c>
      <c r="Q13" t="str">
        <f>_xlfn.XLOOKUP(Table8[[#This Row],[Supporter_ID]],tb1_supporters[Supporter_ID ],tb1_supporters[Communication_Preference],"")</f>
        <v>No Preference</v>
      </c>
      <c r="R13" t="str">
        <f>_xlfn.XLOOKUP(Table8[[#This Row],[Supporter_ID]],tb1_supporters[Supporter_ID ],tb1_supporters[Duplicate_Profile_Flag],"")</f>
        <v/>
      </c>
      <c r="S13" t="str">
        <f>_xlfn.XLOOKUP(Table8[[#This Row],[Supporter_ID]],tb1_supporters[Supporter_ID ],tb1_supporters[Preference_Compliance_Flag],"")</f>
        <v/>
      </c>
      <c r="T13" t="str">
        <f ca="1">IF(Table8[[#This Row],[Age]]="","Review - missing DOB",IF(Table8[[#This Row],[Age]]&gt;TODAY(),"Review - future DOB",IF(Table8[[#This Row],[Age]]=0,"Review -  potential entry error (age 0)","")))</f>
        <v/>
      </c>
      <c r="U13" t="str">
        <f>_xlfn.XLOOKUP(Table8[[#This Row],[Campaign_Code]],tb3_CampaignMaster[Campaign_Code],tb3_CampaignMaster[Campaign_Type],"")</f>
        <v>Event</v>
      </c>
      <c r="V13" t="str">
        <f>_xlfn.XLOOKUP(Table8[[#This Row],[Campaign_Code]],tb3_CampaignMaster[Campaign_Code],tb3_CampaignMaster[Target_Audience],"")</f>
        <v>Volunteers</v>
      </c>
      <c r="W13" s="17">
        <f>_xlfn.XLOOKUP(Table8[[#This Row],[Campaign_Code]],tb3_CampaignMaster[Campaign_Code],tb3_CampaignMaster[Start_Date],"")</f>
        <v>45618</v>
      </c>
      <c r="X13" s="17">
        <f>_xlfn.XLOOKUP(Table8[[#This Row],[Campaign_Code]],tb3_CampaignMaster[Campaign_Code],tb3_CampaignMaster[End_Date],"")</f>
        <v>45618</v>
      </c>
      <c r="Y13">
        <f>_xlfn.XLOOKUP(Table8[[#This Row],[Campaign_Code]],tb3_CampaignMaster[Campaign_Code],tb3_CampaignMaster[Budget_GBP],"")</f>
        <v>3500</v>
      </c>
      <c r="Z13" t="str">
        <f>_xlfn.XLOOKUP(Table8[[#This Row],[Campaign_Code]],tb3_CampaignMaster[Campaign_Code],tb3_CampaignMaster[Primary_Channel],"")</f>
        <v>Email</v>
      </c>
      <c r="AA13" s="13">
        <f>IF(Table8[[#This Row],[Gift_Aid_Eligible]]="Yes",Table8[[#This Row],[Gift_Amount]]*1.25,Table8[[#This Row],[Gift_Amount]])</f>
        <v>100.4375</v>
      </c>
      <c r="AB13" t="str">
        <f>IF(Table8[[#This Row],[Supporter_ID]]="","Review - missing supporter ID","")</f>
        <v/>
      </c>
      <c r="AC13" t="str">
        <f>IF(OR(Table8[[#This Row],[Response_Date]]&lt;Table8[[#This Row],[Start_Date]],Table8[[#This Row],[Response_Date]]&gt;Table8[[#This Row],[End_Date]]),"Review - response outside campaign dates","")</f>
        <v/>
      </c>
      <c r="AD13" t="str">
        <f>IF(Table8[[#This Row],[Campaign_Type]]="","Review - campaign code not found","")</f>
        <v/>
      </c>
    </row>
    <row r="14" spans="1:30" x14ac:dyDescent="0.25">
      <c r="A14" t="s">
        <v>3357</v>
      </c>
      <c r="B14" t="s">
        <v>2489</v>
      </c>
      <c r="C14" t="s">
        <v>3320</v>
      </c>
      <c r="D14" t="s">
        <v>3321</v>
      </c>
      <c r="E14" t="s">
        <v>65</v>
      </c>
      <c r="F14" s="17">
        <v>45461</v>
      </c>
      <c r="G14">
        <v>443.08</v>
      </c>
      <c r="H14" t="s">
        <v>37</v>
      </c>
      <c r="I14" t="s">
        <v>3318</v>
      </c>
      <c r="J14" t="str">
        <f>_xlfn.XLOOKUP(Table8[[#This Row],[Supporter_ID]],tb1_supporters[Supporter_ID ],tb1_supporters[Segment],"")</f>
        <v>Legacy Pledger</v>
      </c>
      <c r="K14" t="str">
        <f>_xlfn.XLOOKUP(Table8[[#This Row],[Supporter_ID]],tb1_supporters[Supporter_ID ],tb1_supporters[Acquisition_Source],"")</f>
        <v>Door-To-Door</v>
      </c>
      <c r="L14" t="str">
        <f>_xlfn.XLOOKUP(Table8[[#This Row],[Supporter_ID]],tb1_supporters[Supporter_ID ],tb1_supporters[County],"")</f>
        <v>Wiltshire</v>
      </c>
      <c r="M14" t="str">
        <f>_xlfn.XLOOKUP(Table8[[#This Row],[Supporter_ID]],tb1_supporters[Supporter_ID ],tb1_supporters[Gender],"")</f>
        <v>Male</v>
      </c>
      <c r="N14">
        <f ca="1">_xlfn.XLOOKUP(Table8[[#This Row],[Supporter_ID]],tb1_supporters[Supporter_ID ],tb1_supporters[Age],"")</f>
        <v>73</v>
      </c>
      <c r="O14" t="str">
        <f ca="1">_xlfn.XLOOKUP(Table8[[#This Row],[Supporter_ID]],tb1_supporters[Supporter_ID ],tb1_supporters[Age_Band],"")</f>
        <v>65+</v>
      </c>
      <c r="P14" t="str">
        <f ca="1">IF(Table8[[#This Row],[Age_Band]]="","Unknown",Table8[[#This Row],[Age_Band]])</f>
        <v>65+</v>
      </c>
      <c r="Q14" t="str">
        <f>_xlfn.XLOOKUP(Table8[[#This Row],[Supporter_ID]],tb1_supporters[Supporter_ID ],tb1_supporters[Communication_Preference],"")</f>
        <v>No Preference</v>
      </c>
      <c r="R14" t="str">
        <f>_xlfn.XLOOKUP(Table8[[#This Row],[Supporter_ID]],tb1_supporters[Supporter_ID ],tb1_supporters[Duplicate_Profile_Flag],"")</f>
        <v/>
      </c>
      <c r="S14" t="str">
        <f>_xlfn.XLOOKUP(Table8[[#This Row],[Supporter_ID]],tb1_supporters[Supporter_ID ],tb1_supporters[Preference_Compliance_Flag],"")</f>
        <v/>
      </c>
      <c r="T14" t="str">
        <f ca="1">IF(Table8[[#This Row],[Age]]="","Review - missing DOB",IF(Table8[[#This Row],[Age]]&gt;TODAY(),"Review - future DOB",IF(Table8[[#This Row],[Age]]=0,"Review -  potential entry error (age 0)","")))</f>
        <v/>
      </c>
      <c r="U14" t="str">
        <f>_xlfn.XLOOKUP(Table8[[#This Row],[Campaign_Code]],tb3_CampaignMaster[Campaign_Code],tb3_CampaignMaster[Campaign_Type],"")</f>
        <v>Stewardship</v>
      </c>
      <c r="V14" t="str">
        <f>_xlfn.XLOOKUP(Table8[[#This Row],[Campaign_Code]],tb3_CampaignMaster[Campaign_Code],tb3_CampaignMaster[Target_Audience],"")</f>
        <v>Major Donors</v>
      </c>
      <c r="W14" s="17">
        <f>_xlfn.XLOOKUP(Table8[[#This Row],[Campaign_Code]],tb3_CampaignMaster[Campaign_Code],tb3_CampaignMaster[Start_Date],"")</f>
        <v>45444</v>
      </c>
      <c r="X14" s="17">
        <f>_xlfn.XLOOKUP(Table8[[#This Row],[Campaign_Code]],tb3_CampaignMaster[Campaign_Code],tb3_CampaignMaster[End_Date],"")</f>
        <v>45473</v>
      </c>
      <c r="Y14">
        <f>_xlfn.XLOOKUP(Table8[[#This Row],[Campaign_Code]],tb3_CampaignMaster[Campaign_Code],tb3_CampaignMaster[Budget_GBP],"")</f>
        <v>7000</v>
      </c>
      <c r="Z14" t="str">
        <f>_xlfn.XLOOKUP(Table8[[#This Row],[Campaign_Code]],tb3_CampaignMaster[Campaign_Code],tb3_CampaignMaster[Primary_Channel],"")</f>
        <v>Direct Mail</v>
      </c>
      <c r="AA14" s="13">
        <f>IF(Table8[[#This Row],[Gift_Aid_Eligible]]="Yes",Table8[[#This Row],[Gift_Amount]]*1.25,Table8[[#This Row],[Gift_Amount]])</f>
        <v>443.08</v>
      </c>
      <c r="AB14" t="str">
        <f>IF(Table8[[#This Row],[Supporter_ID]]="","Review - missing supporter ID","")</f>
        <v/>
      </c>
      <c r="AC14" t="str">
        <f>IF(OR(Table8[[#This Row],[Response_Date]]&lt;Table8[[#This Row],[Start_Date]],Table8[[#This Row],[Response_Date]]&gt;Table8[[#This Row],[End_Date]]),"Review - response outside campaign dates","")</f>
        <v/>
      </c>
      <c r="AD14" t="str">
        <f>IF(Table8[[#This Row],[Campaign_Type]]="","Review - campaign code not found","")</f>
        <v/>
      </c>
    </row>
    <row r="15" spans="1:30" x14ac:dyDescent="0.25">
      <c r="A15" t="s">
        <v>3359</v>
      </c>
      <c r="B15" t="s">
        <v>345</v>
      </c>
      <c r="C15" t="s">
        <v>3341</v>
      </c>
      <c r="D15" t="s">
        <v>3342</v>
      </c>
      <c r="E15" t="s">
        <v>4</v>
      </c>
      <c r="F15" s="17">
        <v>45756</v>
      </c>
      <c r="G15">
        <v>7.27</v>
      </c>
      <c r="H15" t="s">
        <v>36</v>
      </c>
      <c r="I15" t="s">
        <v>3328</v>
      </c>
      <c r="J15" t="str">
        <f>_xlfn.XLOOKUP(Table8[[#This Row],[Supporter_ID]],tb1_supporters[Supporter_ID ],tb1_supporters[Segment],"")</f>
        <v>Prospect</v>
      </c>
      <c r="K15" t="str">
        <f>_xlfn.XLOOKUP(Table8[[#This Row],[Supporter_ID]],tb1_supporters[Supporter_ID ],tb1_supporters[Acquisition_Source],"")</f>
        <v>Referral</v>
      </c>
      <c r="L15" t="str">
        <f>_xlfn.XLOOKUP(Table8[[#This Row],[Supporter_ID]],tb1_supporters[Supporter_ID ],tb1_supporters[County],"")</f>
        <v>Merseyside</v>
      </c>
      <c r="M15" t="str">
        <f>_xlfn.XLOOKUP(Table8[[#This Row],[Supporter_ID]],tb1_supporters[Supporter_ID ],tb1_supporters[Gender],"")</f>
        <v>Female</v>
      </c>
      <c r="N15">
        <f ca="1">_xlfn.XLOOKUP(Table8[[#This Row],[Supporter_ID]],tb1_supporters[Supporter_ID ],tb1_supporters[Age],"")</f>
        <v>85</v>
      </c>
      <c r="O15" t="str">
        <f ca="1">_xlfn.XLOOKUP(Table8[[#This Row],[Supporter_ID]],tb1_supporters[Supporter_ID ],tb1_supporters[Age_Band],"")</f>
        <v>65+</v>
      </c>
      <c r="P15" t="str">
        <f ca="1">IF(Table8[[#This Row],[Age_Band]]="","Unknown",Table8[[#This Row],[Age_Band]])</f>
        <v>65+</v>
      </c>
      <c r="Q15" t="str">
        <f>_xlfn.XLOOKUP(Table8[[#This Row],[Supporter_ID]],tb1_supporters[Supporter_ID ],tb1_supporters[Communication_Preference],"")</f>
        <v>Email</v>
      </c>
      <c r="R15" t="str">
        <f>_xlfn.XLOOKUP(Table8[[#This Row],[Supporter_ID]],tb1_supporters[Supporter_ID ],tb1_supporters[Duplicate_Profile_Flag],"")</f>
        <v/>
      </c>
      <c r="S15" t="str">
        <f>_xlfn.XLOOKUP(Table8[[#This Row],[Supporter_ID]],tb1_supporters[Supporter_ID ],tb1_supporters[Preference_Compliance_Flag],"")</f>
        <v/>
      </c>
      <c r="T15" t="str">
        <f ca="1">IF(Table8[[#This Row],[Age]]="","Review - missing DOB",IF(Table8[[#This Row],[Age]]&gt;TODAY(),"Review - future DOB",IF(Table8[[#This Row],[Age]]=0,"Review -  potential entry error (age 0)","")))</f>
        <v/>
      </c>
      <c r="U15" t="str">
        <f>_xlfn.XLOOKUP(Table8[[#This Row],[Campaign_Code]],tb3_CampaignMaster[Campaign_Code],tb3_CampaignMaster[Campaign_Type],"")</f>
        <v>Acquisition</v>
      </c>
      <c r="V15" t="str">
        <f>_xlfn.XLOOKUP(Table8[[#This Row],[Campaign_Code]],tb3_CampaignMaster[Campaign_Code],tb3_CampaignMaster[Target_Audience],"")</f>
        <v>Prospects</v>
      </c>
      <c r="W15" s="17">
        <f>_xlfn.XLOOKUP(Table8[[#This Row],[Campaign_Code]],tb3_CampaignMaster[Campaign_Code],tb3_CampaignMaster[Start_Date],"")</f>
        <v>45689</v>
      </c>
      <c r="X15" s="17">
        <f>_xlfn.XLOOKUP(Table8[[#This Row],[Campaign_Code]],tb3_CampaignMaster[Campaign_Code],tb3_CampaignMaster[End_Date],"")</f>
        <v>45777</v>
      </c>
      <c r="Y15">
        <f>_xlfn.XLOOKUP(Table8[[#This Row],[Campaign_Code]],tb3_CampaignMaster[Campaign_Code],tb3_CampaignMaster[Budget_GBP],"")</f>
        <v>20000</v>
      </c>
      <c r="Z15" t="str">
        <f>_xlfn.XLOOKUP(Table8[[#This Row],[Campaign_Code]],tb3_CampaignMaster[Campaign_Code],tb3_CampaignMaster[Primary_Channel],"")</f>
        <v>Digital</v>
      </c>
      <c r="AA15" s="13">
        <f>IF(Table8[[#This Row],[Gift_Aid_Eligible]]="Yes",Table8[[#This Row],[Gift_Amount]]*1.25,Table8[[#This Row],[Gift_Amount]])</f>
        <v>9.0874999999999986</v>
      </c>
      <c r="AB15" t="str">
        <f>IF(Table8[[#This Row],[Supporter_ID]]="","Review - missing supporter ID","")</f>
        <v/>
      </c>
      <c r="AC15" t="str">
        <f>IF(OR(Table8[[#This Row],[Response_Date]]&lt;Table8[[#This Row],[Start_Date]],Table8[[#This Row],[Response_Date]]&gt;Table8[[#This Row],[End_Date]]),"Review - response outside campaign dates","")</f>
        <v/>
      </c>
      <c r="AD15" t="str">
        <f>IF(Table8[[#This Row],[Campaign_Type]]="","Review - campaign code not found","")</f>
        <v/>
      </c>
    </row>
    <row r="16" spans="1:30" x14ac:dyDescent="0.25">
      <c r="A16" t="s">
        <v>3361</v>
      </c>
      <c r="B16" t="s">
        <v>883</v>
      </c>
      <c r="C16" t="s">
        <v>3362</v>
      </c>
      <c r="D16" t="s">
        <v>3363</v>
      </c>
      <c r="E16" t="s">
        <v>65</v>
      </c>
      <c r="F16" s="17">
        <v>45577</v>
      </c>
      <c r="G16">
        <v>-38.659999999999997</v>
      </c>
      <c r="H16" t="s">
        <v>37</v>
      </c>
      <c r="I16" t="s">
        <v>3365</v>
      </c>
      <c r="J16" t="str">
        <f>_xlfn.XLOOKUP(Table8[[#This Row],[Supporter_ID]],tb1_supporters[Supporter_ID ],tb1_supporters[Segment],"")</f>
        <v>Regular Giver</v>
      </c>
      <c r="K16" t="str">
        <f>_xlfn.XLOOKUP(Table8[[#This Row],[Supporter_ID]],tb1_supporters[Supporter_ID ],tb1_supporters[Acquisition_Source],"")</f>
        <v>Website</v>
      </c>
      <c r="L16" t="str">
        <f>_xlfn.XLOOKUP(Table8[[#This Row],[Supporter_ID]],tb1_supporters[Supporter_ID ],tb1_supporters[County],"")</f>
        <v>Kent</v>
      </c>
      <c r="M16" t="str">
        <f>_xlfn.XLOOKUP(Table8[[#This Row],[Supporter_ID]],tb1_supporters[Supporter_ID ],tb1_supporters[Gender],"")</f>
        <v>Female</v>
      </c>
      <c r="N16">
        <f ca="1">_xlfn.XLOOKUP(Table8[[#This Row],[Supporter_ID]],tb1_supporters[Supporter_ID ],tb1_supporters[Age],"")</f>
        <v>69</v>
      </c>
      <c r="O16" t="str">
        <f ca="1">_xlfn.XLOOKUP(Table8[[#This Row],[Supporter_ID]],tb1_supporters[Supporter_ID ],tb1_supporters[Age_Band],"")</f>
        <v>65+</v>
      </c>
      <c r="P16" t="str">
        <f ca="1">IF(Table8[[#This Row],[Age_Band]]="","Unknown",Table8[[#This Row],[Age_Band]])</f>
        <v>65+</v>
      </c>
      <c r="Q16" t="str">
        <f>_xlfn.XLOOKUP(Table8[[#This Row],[Supporter_ID]],tb1_supporters[Supporter_ID ],tb1_supporters[Communication_Preference],"")</f>
        <v>Post</v>
      </c>
      <c r="R16" t="str">
        <f>_xlfn.XLOOKUP(Table8[[#This Row],[Supporter_ID]],tb1_supporters[Supporter_ID ],tb1_supporters[Duplicate_Profile_Flag],"")</f>
        <v/>
      </c>
      <c r="S16" t="str">
        <f>_xlfn.XLOOKUP(Table8[[#This Row],[Supporter_ID]],tb1_supporters[Supporter_ID ],tb1_supporters[Preference_Compliance_Flag],"")</f>
        <v/>
      </c>
      <c r="T16" t="str">
        <f ca="1">IF(Table8[[#This Row],[Age]]="","Review - missing DOB",IF(Table8[[#This Row],[Age]]&gt;TODAY(),"Review - future DOB",IF(Table8[[#This Row],[Age]]=0,"Review -  potential entry error (age 0)","")))</f>
        <v/>
      </c>
      <c r="U16" t="str">
        <f>_xlfn.XLOOKUP(Table8[[#This Row],[Campaign_Code]],tb3_CampaignMaster[Campaign_Code],tb3_CampaignMaster[Campaign_Type],"")</f>
        <v>Legacy</v>
      </c>
      <c r="V16" t="str">
        <f>_xlfn.XLOOKUP(Table8[[#This Row],[Campaign_Code]],tb3_CampaignMaster[Campaign_Code],tb3_CampaignMaster[Target_Audience],"")</f>
        <v>Over 55s</v>
      </c>
      <c r="W16" s="17">
        <f>_xlfn.XLOOKUP(Table8[[#This Row],[Campaign_Code]],tb3_CampaignMaster[Campaign_Code],tb3_CampaignMaster[Start_Date],"")</f>
        <v>45572</v>
      </c>
      <c r="X16" s="17">
        <f>_xlfn.XLOOKUP(Table8[[#This Row],[Campaign_Code]],tb3_CampaignMaster[Campaign_Code],tb3_CampaignMaster[End_Date],"")</f>
        <v>45578</v>
      </c>
      <c r="Y16">
        <f>_xlfn.XLOOKUP(Table8[[#This Row],[Campaign_Code]],tb3_CampaignMaster[Campaign_Code],tb3_CampaignMaster[Budget_GBP],"")</f>
        <v>5000</v>
      </c>
      <c r="Z16" t="str">
        <f>_xlfn.XLOOKUP(Table8[[#This Row],[Campaign_Code]],tb3_CampaignMaster[Campaign_Code],tb3_CampaignMaster[Primary_Channel],"")</f>
        <v>Direct Mail</v>
      </c>
      <c r="AA16" s="13">
        <f>IF(Table8[[#This Row],[Gift_Aid_Eligible]]="Yes",Table8[[#This Row],[Gift_Amount]]*1.25,Table8[[#This Row],[Gift_Amount]])</f>
        <v>-38.659999999999997</v>
      </c>
      <c r="AB16" t="str">
        <f>IF(Table8[[#This Row],[Supporter_ID]]="","Review - missing supporter ID","")</f>
        <v/>
      </c>
      <c r="AC16" t="str">
        <f>IF(OR(Table8[[#This Row],[Response_Date]]&lt;Table8[[#This Row],[Start_Date]],Table8[[#This Row],[Response_Date]]&gt;Table8[[#This Row],[End_Date]]),"Review - response outside campaign dates","")</f>
        <v/>
      </c>
      <c r="AD16" t="str">
        <f>IF(Table8[[#This Row],[Campaign_Type]]="","Review - campaign code not found","")</f>
        <v/>
      </c>
    </row>
    <row r="17" spans="1:30" x14ac:dyDescent="0.25">
      <c r="A17" t="s">
        <v>3366</v>
      </c>
      <c r="B17" t="s">
        <v>3297</v>
      </c>
      <c r="C17" t="s">
        <v>3367</v>
      </c>
      <c r="D17" t="s">
        <v>3368</v>
      </c>
      <c r="E17" t="s">
        <v>65</v>
      </c>
      <c r="F17" s="17">
        <v>45812</v>
      </c>
      <c r="G17">
        <v>70.680000000000007</v>
      </c>
      <c r="H17" t="s">
        <v>37</v>
      </c>
      <c r="I17" t="s">
        <v>3370</v>
      </c>
      <c r="J17" t="str">
        <f>_xlfn.XLOOKUP(Table8[[#This Row],[Supporter_ID]],tb1_supporters[Supporter_ID ],tb1_supporters[Segment],"")</f>
        <v>One-Time Donor</v>
      </c>
      <c r="K17" t="str">
        <f>_xlfn.XLOOKUP(Table8[[#This Row],[Supporter_ID]],tb1_supporters[Supporter_ID ],tb1_supporters[Acquisition_Source],"")</f>
        <v>Door-To-Door</v>
      </c>
      <c r="L17" t="str">
        <f>_xlfn.XLOOKUP(Table8[[#This Row],[Supporter_ID]],tb1_supporters[Supporter_ID ],tb1_supporters[County],"")</f>
        <v>Avon</v>
      </c>
      <c r="M17" t="str">
        <f>_xlfn.XLOOKUP(Table8[[#This Row],[Supporter_ID]],tb1_supporters[Supporter_ID ],tb1_supporters[Gender],"")</f>
        <v>Female</v>
      </c>
      <c r="N17">
        <f ca="1">_xlfn.XLOOKUP(Table8[[#This Row],[Supporter_ID]],tb1_supporters[Supporter_ID ],tb1_supporters[Age],"")</f>
        <v>68</v>
      </c>
      <c r="O17" t="str">
        <f ca="1">_xlfn.XLOOKUP(Table8[[#This Row],[Supporter_ID]],tb1_supporters[Supporter_ID ],tb1_supporters[Age_Band],"")</f>
        <v>65+</v>
      </c>
      <c r="P17" t="str">
        <f ca="1">IF(Table8[[#This Row],[Age_Band]]="","Unknown",Table8[[#This Row],[Age_Band]])</f>
        <v>65+</v>
      </c>
      <c r="Q17" t="str">
        <f>_xlfn.XLOOKUP(Table8[[#This Row],[Supporter_ID]],tb1_supporters[Supporter_ID ],tb1_supporters[Communication_Preference],"")</f>
        <v>No Preference</v>
      </c>
      <c r="R17" t="str">
        <f>_xlfn.XLOOKUP(Table8[[#This Row],[Supporter_ID]],tb1_supporters[Supporter_ID ],tb1_supporters[Duplicate_Profile_Flag],"")</f>
        <v/>
      </c>
      <c r="S17" t="str">
        <f>_xlfn.XLOOKUP(Table8[[#This Row],[Supporter_ID]],tb1_supporters[Supporter_ID ],tb1_supporters[Preference_Compliance_Flag],"")</f>
        <v/>
      </c>
      <c r="T17" t="str">
        <f ca="1">IF(Table8[[#This Row],[Age]]="","Review - missing DOB",IF(Table8[[#This Row],[Age]]&gt;TODAY(),"Review - future DOB",IF(Table8[[#This Row],[Age]]=0,"Review -  potential entry error (age 0)","")))</f>
        <v/>
      </c>
      <c r="U17" t="str">
        <f>_xlfn.XLOOKUP(Table8[[#This Row],[Campaign_Code]],tb3_CampaignMaster[Campaign_Code],tb3_CampaignMaster[Campaign_Type],"")</f>
        <v>Raffle</v>
      </c>
      <c r="V17" t="str">
        <f>_xlfn.XLOOKUP(Table8[[#This Row],[Campaign_Code]],tb3_CampaignMaster[Campaign_Code],tb3_CampaignMaster[Target_Audience],"")</f>
        <v>Regular Givers</v>
      </c>
      <c r="W17" s="17">
        <f>_xlfn.XLOOKUP(Table8[[#This Row],[Campaign_Code]],tb3_CampaignMaster[Campaign_Code],tb3_CampaignMaster[Start_Date],"")</f>
        <v>45717</v>
      </c>
      <c r="X17" s="17">
        <f>_xlfn.XLOOKUP(Table8[[#This Row],[Campaign_Code]],tb3_CampaignMaster[Campaign_Code],tb3_CampaignMaster[End_Date],"")</f>
        <v>45777</v>
      </c>
      <c r="Y17">
        <f>_xlfn.XLOOKUP(Table8[[#This Row],[Campaign_Code]],tb3_CampaignMaster[Campaign_Code],tb3_CampaignMaster[Budget_GBP],"")</f>
        <v>8000</v>
      </c>
      <c r="Z17" t="str">
        <f>_xlfn.XLOOKUP(Table8[[#This Row],[Campaign_Code]],tb3_CampaignMaster[Campaign_Code],tb3_CampaignMaster[Primary_Channel],"")</f>
        <v>Direct Mail</v>
      </c>
      <c r="AA17" s="13">
        <f>IF(Table8[[#This Row],[Gift_Aid_Eligible]]="Yes",Table8[[#This Row],[Gift_Amount]]*1.25,Table8[[#This Row],[Gift_Amount]])</f>
        <v>70.680000000000007</v>
      </c>
      <c r="AB17" t="str">
        <f>IF(Table8[[#This Row],[Supporter_ID]]="","Review - missing supporter ID","")</f>
        <v/>
      </c>
      <c r="AC17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17" t="str">
        <f>IF(Table8[[#This Row],[Campaign_Type]]="","Review - campaign code not found","")</f>
        <v/>
      </c>
    </row>
    <row r="18" spans="1:30" x14ac:dyDescent="0.25">
      <c r="A18" t="s">
        <v>3371</v>
      </c>
      <c r="B18" t="s">
        <v>2958</v>
      </c>
      <c r="C18" t="s">
        <v>3341</v>
      </c>
      <c r="D18" t="s">
        <v>3342</v>
      </c>
      <c r="E18" t="s">
        <v>4</v>
      </c>
      <c r="F18" s="17">
        <v>45776</v>
      </c>
      <c r="G18">
        <v>55.83</v>
      </c>
      <c r="H18" t="s">
        <v>36</v>
      </c>
      <c r="I18" t="s">
        <v>3328</v>
      </c>
      <c r="J18" t="str">
        <f>_xlfn.XLOOKUP(Table8[[#This Row],[Supporter_ID]],tb1_supporters[Supporter_ID ],tb1_supporters[Segment],"")</f>
        <v>One-Time Donor</v>
      </c>
      <c r="K18" t="str">
        <f>_xlfn.XLOOKUP(Table8[[#This Row],[Supporter_ID]],tb1_supporters[Supporter_ID ],tb1_supporters[Acquisition_Source],"")</f>
        <v>Website</v>
      </c>
      <c r="L18" t="str">
        <f>_xlfn.XLOOKUP(Table8[[#This Row],[Supporter_ID]],tb1_supporters[Supporter_ID ],tb1_supporters[County],"")</f>
        <v>Strathclyde</v>
      </c>
      <c r="M18" t="str">
        <f>_xlfn.XLOOKUP(Table8[[#This Row],[Supporter_ID]],tb1_supporters[Supporter_ID ],tb1_supporters[Gender],"")</f>
        <v>Female</v>
      </c>
      <c r="N18">
        <f ca="1">_xlfn.XLOOKUP(Table8[[#This Row],[Supporter_ID]],tb1_supporters[Supporter_ID ],tb1_supporters[Age],"")</f>
        <v>71</v>
      </c>
      <c r="O18" t="str">
        <f ca="1">_xlfn.XLOOKUP(Table8[[#This Row],[Supporter_ID]],tb1_supporters[Supporter_ID ],tb1_supporters[Age_Band],"")</f>
        <v>65+</v>
      </c>
      <c r="P18" t="str">
        <f ca="1">IF(Table8[[#This Row],[Age_Band]]="","Unknown",Table8[[#This Row],[Age_Band]])</f>
        <v>65+</v>
      </c>
      <c r="Q18" t="str">
        <f>_xlfn.XLOOKUP(Table8[[#This Row],[Supporter_ID]],tb1_supporters[Supporter_ID ],tb1_supporters[Communication_Preference],"")</f>
        <v>Do Not Contact</v>
      </c>
      <c r="R18" t="str">
        <f>_xlfn.XLOOKUP(Table8[[#This Row],[Supporter_ID]],tb1_supporters[Supporter_ID ],tb1_supporters[Duplicate_Profile_Flag],"")</f>
        <v/>
      </c>
      <c r="S18" t="str">
        <f>_xlfn.XLOOKUP(Table8[[#This Row],[Supporter_ID]],tb1_supporters[Supporter_ID ],tb1_supporters[Preference_Compliance_Flag],"")</f>
        <v/>
      </c>
      <c r="T18" t="str">
        <f ca="1">IF(Table8[[#This Row],[Age]]="","Review - missing DOB",IF(Table8[[#This Row],[Age]]&gt;TODAY(),"Review - future DOB",IF(Table8[[#This Row],[Age]]=0,"Review -  potential entry error (age 0)","")))</f>
        <v/>
      </c>
      <c r="U18" t="str">
        <f>_xlfn.XLOOKUP(Table8[[#This Row],[Campaign_Code]],tb3_CampaignMaster[Campaign_Code],tb3_CampaignMaster[Campaign_Type],"")</f>
        <v>Acquisition</v>
      </c>
      <c r="V18" t="str">
        <f>_xlfn.XLOOKUP(Table8[[#This Row],[Campaign_Code]],tb3_CampaignMaster[Campaign_Code],tb3_CampaignMaster[Target_Audience],"")</f>
        <v>Prospects</v>
      </c>
      <c r="W18" s="17">
        <f>_xlfn.XLOOKUP(Table8[[#This Row],[Campaign_Code]],tb3_CampaignMaster[Campaign_Code],tb3_CampaignMaster[Start_Date],"")</f>
        <v>45689</v>
      </c>
      <c r="X18" s="17">
        <f>_xlfn.XLOOKUP(Table8[[#This Row],[Campaign_Code]],tb3_CampaignMaster[Campaign_Code],tb3_CampaignMaster[End_Date],"")</f>
        <v>45777</v>
      </c>
      <c r="Y18">
        <f>_xlfn.XLOOKUP(Table8[[#This Row],[Campaign_Code]],tb3_CampaignMaster[Campaign_Code],tb3_CampaignMaster[Budget_GBP],"")</f>
        <v>20000</v>
      </c>
      <c r="Z18" t="str">
        <f>_xlfn.XLOOKUP(Table8[[#This Row],[Campaign_Code]],tb3_CampaignMaster[Campaign_Code],tb3_CampaignMaster[Primary_Channel],"")</f>
        <v>Digital</v>
      </c>
      <c r="AA18" s="13">
        <f>IF(Table8[[#This Row],[Gift_Aid_Eligible]]="Yes",Table8[[#This Row],[Gift_Amount]]*1.25,Table8[[#This Row],[Gift_Amount]])</f>
        <v>69.787499999999994</v>
      </c>
      <c r="AB18" t="str">
        <f>IF(Table8[[#This Row],[Supporter_ID]]="","Review - missing supporter ID","")</f>
        <v/>
      </c>
      <c r="AC18" t="str">
        <f>IF(OR(Table8[[#This Row],[Response_Date]]&lt;Table8[[#This Row],[Start_Date]],Table8[[#This Row],[Response_Date]]&gt;Table8[[#This Row],[End_Date]]),"Review - response outside campaign dates","")</f>
        <v/>
      </c>
      <c r="AD18" t="str">
        <f>IF(Table8[[#This Row],[Campaign_Type]]="","Review - campaign code not found","")</f>
        <v/>
      </c>
    </row>
    <row r="19" spans="1:30" x14ac:dyDescent="0.25">
      <c r="A19" t="s">
        <v>3373</v>
      </c>
      <c r="B19" t="s">
        <v>2747</v>
      </c>
      <c r="C19" t="s">
        <v>3341</v>
      </c>
      <c r="D19" t="s">
        <v>3342</v>
      </c>
      <c r="E19" t="s">
        <v>3316</v>
      </c>
      <c r="F19" s="17">
        <v>45728</v>
      </c>
      <c r="G19">
        <v>25.61</v>
      </c>
      <c r="H19" t="s">
        <v>37</v>
      </c>
      <c r="I19" t="s">
        <v>3331</v>
      </c>
      <c r="J19" t="str">
        <f>_xlfn.XLOOKUP(Table8[[#This Row],[Supporter_ID]],tb1_supporters[Supporter_ID ],tb1_supporters[Segment],"")</f>
        <v>One-Time Donor</v>
      </c>
      <c r="K19" t="str">
        <f>_xlfn.XLOOKUP(Table8[[#This Row],[Supporter_ID]],tb1_supporters[Supporter_ID ],tb1_supporters[Acquisition_Source],"")</f>
        <v>Website</v>
      </c>
      <c r="L19" t="str">
        <f>_xlfn.XLOOKUP(Table8[[#This Row],[Supporter_ID]],tb1_supporters[Supporter_ID ],tb1_supporters[County],"")</f>
        <v>West Yorkshire</v>
      </c>
      <c r="M19" t="str">
        <f>_xlfn.XLOOKUP(Table8[[#This Row],[Supporter_ID]],tb1_supporters[Supporter_ID ],tb1_supporters[Gender],"")</f>
        <v>Male</v>
      </c>
      <c r="N19">
        <f ca="1">_xlfn.XLOOKUP(Table8[[#This Row],[Supporter_ID]],tb1_supporters[Supporter_ID ],tb1_supporters[Age],"")</f>
        <v>70</v>
      </c>
      <c r="O19" t="str">
        <f ca="1">_xlfn.XLOOKUP(Table8[[#This Row],[Supporter_ID]],tb1_supporters[Supporter_ID ],tb1_supporters[Age_Band],"")</f>
        <v>65+</v>
      </c>
      <c r="P19" t="str">
        <f ca="1">IF(Table8[[#This Row],[Age_Band]]="","Unknown",Table8[[#This Row],[Age_Band]])</f>
        <v>65+</v>
      </c>
      <c r="Q19" t="str">
        <f>_xlfn.XLOOKUP(Table8[[#This Row],[Supporter_ID]],tb1_supporters[Supporter_ID ],tb1_supporters[Communication_Preference],"")</f>
        <v>No Preference</v>
      </c>
      <c r="R19" t="str">
        <f>_xlfn.XLOOKUP(Table8[[#This Row],[Supporter_ID]],tb1_supporters[Supporter_ID ],tb1_supporters[Duplicate_Profile_Flag],"")</f>
        <v/>
      </c>
      <c r="S19" t="str">
        <f>_xlfn.XLOOKUP(Table8[[#This Row],[Supporter_ID]],tb1_supporters[Supporter_ID ],tb1_supporters[Preference_Compliance_Flag],"")</f>
        <v/>
      </c>
      <c r="T19" t="str">
        <f ca="1">IF(Table8[[#This Row],[Age]]="","Review - missing DOB",IF(Table8[[#This Row],[Age]]&gt;TODAY(),"Review - future DOB",IF(Table8[[#This Row],[Age]]=0,"Review -  potential entry error (age 0)","")))</f>
        <v/>
      </c>
      <c r="U19" t="str">
        <f>_xlfn.XLOOKUP(Table8[[#This Row],[Campaign_Code]],tb3_CampaignMaster[Campaign_Code],tb3_CampaignMaster[Campaign_Type],"")</f>
        <v>Acquisition</v>
      </c>
      <c r="V19" t="str">
        <f>_xlfn.XLOOKUP(Table8[[#This Row],[Campaign_Code]],tb3_CampaignMaster[Campaign_Code],tb3_CampaignMaster[Target_Audience],"")</f>
        <v>Prospects</v>
      </c>
      <c r="W19" s="17">
        <f>_xlfn.XLOOKUP(Table8[[#This Row],[Campaign_Code]],tb3_CampaignMaster[Campaign_Code],tb3_CampaignMaster[Start_Date],"")</f>
        <v>45689</v>
      </c>
      <c r="X19" s="17">
        <f>_xlfn.XLOOKUP(Table8[[#This Row],[Campaign_Code]],tb3_CampaignMaster[Campaign_Code],tb3_CampaignMaster[End_Date],"")</f>
        <v>45777</v>
      </c>
      <c r="Y19">
        <f>_xlfn.XLOOKUP(Table8[[#This Row],[Campaign_Code]],tb3_CampaignMaster[Campaign_Code],tb3_CampaignMaster[Budget_GBP],"")</f>
        <v>20000</v>
      </c>
      <c r="Z19" t="str">
        <f>_xlfn.XLOOKUP(Table8[[#This Row],[Campaign_Code]],tb3_CampaignMaster[Campaign_Code],tb3_CampaignMaster[Primary_Channel],"")</f>
        <v>Digital</v>
      </c>
      <c r="AA19" s="13">
        <f>IF(Table8[[#This Row],[Gift_Aid_Eligible]]="Yes",Table8[[#This Row],[Gift_Amount]]*1.25,Table8[[#This Row],[Gift_Amount]])</f>
        <v>25.61</v>
      </c>
      <c r="AB19" t="str">
        <f>IF(Table8[[#This Row],[Supporter_ID]]="","Review - missing supporter ID","")</f>
        <v/>
      </c>
      <c r="AC19" t="str">
        <f>IF(OR(Table8[[#This Row],[Response_Date]]&lt;Table8[[#This Row],[Start_Date]],Table8[[#This Row],[Response_Date]]&gt;Table8[[#This Row],[End_Date]]),"Review - response outside campaign dates","")</f>
        <v/>
      </c>
      <c r="AD19" t="str">
        <f>IF(Table8[[#This Row],[Campaign_Type]]="","Review - campaign code not found","")</f>
        <v/>
      </c>
    </row>
    <row r="20" spans="1:30" x14ac:dyDescent="0.25">
      <c r="A20" t="s">
        <v>3375</v>
      </c>
      <c r="B20" t="s">
        <v>3199</v>
      </c>
      <c r="C20" t="s">
        <v>3314</v>
      </c>
      <c r="D20" t="s">
        <v>3315</v>
      </c>
      <c r="E20" t="s">
        <v>3316</v>
      </c>
      <c r="F20" s="17">
        <v>45692</v>
      </c>
      <c r="G20">
        <v>215.29</v>
      </c>
      <c r="H20" t="s">
        <v>37</v>
      </c>
      <c r="I20" t="s">
        <v>3323</v>
      </c>
      <c r="J20" t="str">
        <f>_xlfn.XLOOKUP(Table8[[#This Row],[Supporter_ID]],tb1_supporters[Supporter_ID ],tb1_supporters[Segment],"")</f>
        <v>Mid-Value</v>
      </c>
      <c r="K20" t="str">
        <f>_xlfn.XLOOKUP(Table8[[#This Row],[Supporter_ID]],tb1_supporters[Supporter_ID ],tb1_supporters[Acquisition_Source],"")</f>
        <v>Event</v>
      </c>
      <c r="L20" t="str">
        <f>_xlfn.XLOOKUP(Table8[[#This Row],[Supporter_ID]],tb1_supporters[Supporter_ID ],tb1_supporters[County],"")</f>
        <v>Berkshire</v>
      </c>
      <c r="M20" t="str">
        <f>_xlfn.XLOOKUP(Table8[[#This Row],[Supporter_ID]],tb1_supporters[Supporter_ID ],tb1_supporters[Gender],"")</f>
        <v>Female</v>
      </c>
      <c r="N20">
        <f ca="1">_xlfn.XLOOKUP(Table8[[#This Row],[Supporter_ID]],tb1_supporters[Supporter_ID ],tb1_supporters[Age],"")</f>
        <v>49</v>
      </c>
      <c r="O20" t="str">
        <f ca="1">_xlfn.XLOOKUP(Table8[[#This Row],[Supporter_ID]],tb1_supporters[Supporter_ID ],tb1_supporters[Age_Band],"")</f>
        <v>35-49</v>
      </c>
      <c r="P20" t="str">
        <f ca="1">IF(Table8[[#This Row],[Age_Band]]="","Unknown",Table8[[#This Row],[Age_Band]])</f>
        <v>35-49</v>
      </c>
      <c r="Q20" t="str">
        <f>_xlfn.XLOOKUP(Table8[[#This Row],[Supporter_ID]],tb1_supporters[Supporter_ID ],tb1_supporters[Communication_Preference],"")</f>
        <v>Post</v>
      </c>
      <c r="R20" t="str">
        <f>_xlfn.XLOOKUP(Table8[[#This Row],[Supporter_ID]],tb1_supporters[Supporter_ID ],tb1_supporters[Duplicate_Profile_Flag],"")</f>
        <v/>
      </c>
      <c r="S20" t="str">
        <f>_xlfn.XLOOKUP(Table8[[#This Row],[Supporter_ID]],tb1_supporters[Supporter_ID ],tb1_supporters[Preference_Compliance_Flag],"")</f>
        <v/>
      </c>
      <c r="T20" t="str">
        <f ca="1">IF(Table8[[#This Row],[Age]]="","Review - missing DOB",IF(Table8[[#This Row],[Age]]&gt;TODAY(),"Review - future DOB",IF(Table8[[#This Row],[Age]]=0,"Review -  potential entry error (age 0)","")))</f>
        <v/>
      </c>
      <c r="U20" t="str">
        <f>_xlfn.XLOOKUP(Table8[[#This Row],[Campaign_Code]],tb3_CampaignMaster[Campaign_Code],tb3_CampaignMaster[Campaign_Type],"")</f>
        <v>Regular Giving</v>
      </c>
      <c r="V20" t="str">
        <f>_xlfn.XLOOKUP(Table8[[#This Row],[Campaign_Code]],tb3_CampaignMaster[Campaign_Code],tb3_CampaignMaster[Target_Audience],"")</f>
        <v>One-time Donors</v>
      </c>
      <c r="W20" s="17">
        <f>_xlfn.XLOOKUP(Table8[[#This Row],[Campaign_Code]],tb3_CampaignMaster[Campaign_Code],tb3_CampaignMaster[Start_Date],"")</f>
        <v>45663</v>
      </c>
      <c r="X20" s="17">
        <f>_xlfn.XLOOKUP(Table8[[#This Row],[Campaign_Code]],tb3_CampaignMaster[Campaign_Code],tb3_CampaignMaster[End_Date],"")</f>
        <v>45747</v>
      </c>
      <c r="Y20">
        <f>_xlfn.XLOOKUP(Table8[[#This Row],[Campaign_Code]],tb3_CampaignMaster[Campaign_Code],tb3_CampaignMaster[Budget_GBP],"")</f>
        <v>10000</v>
      </c>
      <c r="Z20" t="str">
        <f>_xlfn.XLOOKUP(Table8[[#This Row],[Campaign_Code]],tb3_CampaignMaster[Campaign_Code],tb3_CampaignMaster[Primary_Channel],"")</f>
        <v>Telephone</v>
      </c>
      <c r="AA20" s="13">
        <f>IF(Table8[[#This Row],[Gift_Aid_Eligible]]="Yes",Table8[[#This Row],[Gift_Amount]]*1.25,Table8[[#This Row],[Gift_Amount]])</f>
        <v>215.29</v>
      </c>
      <c r="AB20" t="str">
        <f>IF(Table8[[#This Row],[Supporter_ID]]="","Review - missing supporter ID","")</f>
        <v/>
      </c>
      <c r="AC20" t="str">
        <f>IF(OR(Table8[[#This Row],[Response_Date]]&lt;Table8[[#This Row],[Start_Date]],Table8[[#This Row],[Response_Date]]&gt;Table8[[#This Row],[End_Date]]),"Review - response outside campaign dates","")</f>
        <v/>
      </c>
      <c r="AD20" t="str">
        <f>IF(Table8[[#This Row],[Campaign_Type]]="","Review - campaign code not found","")</f>
        <v/>
      </c>
    </row>
    <row r="21" spans="1:30" x14ac:dyDescent="0.25">
      <c r="A21" t="s">
        <v>3377</v>
      </c>
      <c r="B21" t="s">
        <v>2813</v>
      </c>
      <c r="C21" t="s">
        <v>3362</v>
      </c>
      <c r="D21" t="s">
        <v>3363</v>
      </c>
      <c r="E21" t="s">
        <v>65</v>
      </c>
      <c r="F21" s="17">
        <v>45483</v>
      </c>
      <c r="G21">
        <v>122.85</v>
      </c>
      <c r="H21" t="s">
        <v>36</v>
      </c>
      <c r="I21" t="s">
        <v>3318</v>
      </c>
      <c r="J21" t="str">
        <f>_xlfn.XLOOKUP(Table8[[#This Row],[Supporter_ID]],tb1_supporters[Supporter_ID ],tb1_supporters[Segment],"")</f>
        <v>Legacy Pledger</v>
      </c>
      <c r="K21" t="str">
        <f>_xlfn.XLOOKUP(Table8[[#This Row],[Supporter_ID]],tb1_supporters[Supporter_ID ],tb1_supporters[Acquisition_Source],"")</f>
        <v>Corporate Partner</v>
      </c>
      <c r="L21" t="str">
        <f>_xlfn.XLOOKUP(Table8[[#This Row],[Supporter_ID]],tb1_supporters[Supporter_ID ],tb1_supporters[County],"")</f>
        <v>Somerset</v>
      </c>
      <c r="M21" t="str">
        <f>_xlfn.XLOOKUP(Table8[[#This Row],[Supporter_ID]],tb1_supporters[Supporter_ID ],tb1_supporters[Gender],"")</f>
        <v>Male</v>
      </c>
      <c r="N21">
        <f ca="1">_xlfn.XLOOKUP(Table8[[#This Row],[Supporter_ID]],tb1_supporters[Supporter_ID ],tb1_supporters[Age],"")</f>
        <v>74</v>
      </c>
      <c r="O21" t="str">
        <f ca="1">_xlfn.XLOOKUP(Table8[[#This Row],[Supporter_ID]],tb1_supporters[Supporter_ID ],tb1_supporters[Age_Band],"")</f>
        <v>65+</v>
      </c>
      <c r="P21" t="str">
        <f ca="1">IF(Table8[[#This Row],[Age_Band]]="","Unknown",Table8[[#This Row],[Age_Band]])</f>
        <v>65+</v>
      </c>
      <c r="Q21" t="str">
        <f>_xlfn.XLOOKUP(Table8[[#This Row],[Supporter_ID]],tb1_supporters[Supporter_ID ],tb1_supporters[Communication_Preference],"")</f>
        <v>Post</v>
      </c>
      <c r="R21" t="str">
        <f>_xlfn.XLOOKUP(Table8[[#This Row],[Supporter_ID]],tb1_supporters[Supporter_ID ],tb1_supporters[Duplicate_Profile_Flag],"")</f>
        <v/>
      </c>
      <c r="S21" t="str">
        <f>_xlfn.XLOOKUP(Table8[[#This Row],[Supporter_ID]],tb1_supporters[Supporter_ID ],tb1_supporters[Preference_Compliance_Flag],"")</f>
        <v/>
      </c>
      <c r="T21" t="str">
        <f ca="1">IF(Table8[[#This Row],[Age]]="","Review - missing DOB",IF(Table8[[#This Row],[Age]]&gt;TODAY(),"Review - future DOB",IF(Table8[[#This Row],[Age]]=0,"Review -  potential entry error (age 0)","")))</f>
        <v/>
      </c>
      <c r="U21" t="str">
        <f>_xlfn.XLOOKUP(Table8[[#This Row],[Campaign_Code]],tb3_CampaignMaster[Campaign_Code],tb3_CampaignMaster[Campaign_Type],"")</f>
        <v>Legacy</v>
      </c>
      <c r="V21" t="str">
        <f>_xlfn.XLOOKUP(Table8[[#This Row],[Campaign_Code]],tb3_CampaignMaster[Campaign_Code],tb3_CampaignMaster[Target_Audience],"")</f>
        <v>Over 55s</v>
      </c>
      <c r="W21" s="17">
        <f>_xlfn.XLOOKUP(Table8[[#This Row],[Campaign_Code]],tb3_CampaignMaster[Campaign_Code],tb3_CampaignMaster[Start_Date],"")</f>
        <v>45572</v>
      </c>
      <c r="X21" s="17">
        <f>_xlfn.XLOOKUP(Table8[[#This Row],[Campaign_Code]],tb3_CampaignMaster[Campaign_Code],tb3_CampaignMaster[End_Date],"")</f>
        <v>45578</v>
      </c>
      <c r="Y21">
        <f>_xlfn.XLOOKUP(Table8[[#This Row],[Campaign_Code]],tb3_CampaignMaster[Campaign_Code],tb3_CampaignMaster[Budget_GBP],"")</f>
        <v>5000</v>
      </c>
      <c r="Z21" t="str">
        <f>_xlfn.XLOOKUP(Table8[[#This Row],[Campaign_Code]],tb3_CampaignMaster[Campaign_Code],tb3_CampaignMaster[Primary_Channel],"")</f>
        <v>Direct Mail</v>
      </c>
      <c r="AA21" s="13">
        <f>IF(Table8[[#This Row],[Gift_Aid_Eligible]]="Yes",Table8[[#This Row],[Gift_Amount]]*1.25,Table8[[#This Row],[Gift_Amount]])</f>
        <v>153.5625</v>
      </c>
      <c r="AB21" t="str">
        <f>IF(Table8[[#This Row],[Supporter_ID]]="","Review - missing supporter ID","")</f>
        <v/>
      </c>
      <c r="AC21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21" t="str">
        <f>IF(Table8[[#This Row],[Campaign_Type]]="","Review - campaign code not found","")</f>
        <v/>
      </c>
    </row>
    <row r="22" spans="1:30" x14ac:dyDescent="0.25">
      <c r="A22" t="s">
        <v>3379</v>
      </c>
      <c r="B22" t="s">
        <v>837</v>
      </c>
      <c r="C22" t="s">
        <v>3320</v>
      </c>
      <c r="D22" t="s">
        <v>3321</v>
      </c>
      <c r="E22" t="s">
        <v>4</v>
      </c>
      <c r="F22" s="17">
        <v>45459</v>
      </c>
      <c r="G22">
        <v>24.58</v>
      </c>
      <c r="H22" t="s">
        <v>36</v>
      </c>
      <c r="I22" t="s">
        <v>3365</v>
      </c>
      <c r="J22" t="str">
        <f>_xlfn.XLOOKUP(Table8[[#This Row],[Supporter_ID]],tb1_supporters[Supporter_ID ],tb1_supporters[Segment],"")</f>
        <v>Regular Giver</v>
      </c>
      <c r="K22" t="str">
        <f>_xlfn.XLOOKUP(Table8[[#This Row],[Supporter_ID]],tb1_supporters[Supporter_ID ],tb1_supporters[Acquisition_Source],"")</f>
        <v>Event</v>
      </c>
      <c r="L22" t="str">
        <f>_xlfn.XLOOKUP(Table8[[#This Row],[Supporter_ID]],tb1_supporters[Supporter_ID ],tb1_supporters[County],"")</f>
        <v>Norfolk</v>
      </c>
      <c r="M22" t="str">
        <f>_xlfn.XLOOKUP(Table8[[#This Row],[Supporter_ID]],tb1_supporters[Supporter_ID ],tb1_supporters[Gender],"")</f>
        <v>Female</v>
      </c>
      <c r="N22">
        <f ca="1">_xlfn.XLOOKUP(Table8[[#This Row],[Supporter_ID]],tb1_supporters[Supporter_ID ],tb1_supporters[Age],"")</f>
        <v>61</v>
      </c>
      <c r="O22" t="str">
        <f ca="1">_xlfn.XLOOKUP(Table8[[#This Row],[Supporter_ID]],tb1_supporters[Supporter_ID ],tb1_supporters[Age_Band],"")</f>
        <v>50-64</v>
      </c>
      <c r="P22" t="str">
        <f ca="1">IF(Table8[[#This Row],[Age_Band]]="","Unknown",Table8[[#This Row],[Age_Band]])</f>
        <v>50-64</v>
      </c>
      <c r="Q22" t="str">
        <f>_xlfn.XLOOKUP(Table8[[#This Row],[Supporter_ID]],tb1_supporters[Supporter_ID ],tb1_supporters[Communication_Preference],"")</f>
        <v>Email</v>
      </c>
      <c r="R22" t="str">
        <f>_xlfn.XLOOKUP(Table8[[#This Row],[Supporter_ID]],tb1_supporters[Supporter_ID ],tb1_supporters[Duplicate_Profile_Flag],"")</f>
        <v/>
      </c>
      <c r="S22" t="str">
        <f>_xlfn.XLOOKUP(Table8[[#This Row],[Supporter_ID]],tb1_supporters[Supporter_ID ],tb1_supporters[Preference_Compliance_Flag],"")</f>
        <v>Review - prefers email but not opted in</v>
      </c>
      <c r="T22" t="str">
        <f ca="1">IF(Table8[[#This Row],[Age]]="","Review - missing DOB",IF(Table8[[#This Row],[Age]]&gt;TODAY(),"Review - future DOB",IF(Table8[[#This Row],[Age]]=0,"Review -  potential entry error (age 0)","")))</f>
        <v/>
      </c>
      <c r="U22" t="str">
        <f>_xlfn.XLOOKUP(Table8[[#This Row],[Campaign_Code]],tb3_CampaignMaster[Campaign_Code],tb3_CampaignMaster[Campaign_Type],"")</f>
        <v>Stewardship</v>
      </c>
      <c r="V22" t="str">
        <f>_xlfn.XLOOKUP(Table8[[#This Row],[Campaign_Code]],tb3_CampaignMaster[Campaign_Code],tb3_CampaignMaster[Target_Audience],"")</f>
        <v>Major Donors</v>
      </c>
      <c r="W22" s="17">
        <f>_xlfn.XLOOKUP(Table8[[#This Row],[Campaign_Code]],tb3_CampaignMaster[Campaign_Code],tb3_CampaignMaster[Start_Date],"")</f>
        <v>45444</v>
      </c>
      <c r="X22" s="17">
        <f>_xlfn.XLOOKUP(Table8[[#This Row],[Campaign_Code]],tb3_CampaignMaster[Campaign_Code],tb3_CampaignMaster[End_Date],"")</f>
        <v>45473</v>
      </c>
      <c r="Y22">
        <f>_xlfn.XLOOKUP(Table8[[#This Row],[Campaign_Code]],tb3_CampaignMaster[Campaign_Code],tb3_CampaignMaster[Budget_GBP],"")</f>
        <v>7000</v>
      </c>
      <c r="Z22" t="str">
        <f>_xlfn.XLOOKUP(Table8[[#This Row],[Campaign_Code]],tb3_CampaignMaster[Campaign_Code],tb3_CampaignMaster[Primary_Channel],"")</f>
        <v>Direct Mail</v>
      </c>
      <c r="AA22" s="13">
        <f>IF(Table8[[#This Row],[Gift_Aid_Eligible]]="Yes",Table8[[#This Row],[Gift_Amount]]*1.25,Table8[[#This Row],[Gift_Amount]])</f>
        <v>30.724999999999998</v>
      </c>
      <c r="AB22" t="str">
        <f>IF(Table8[[#This Row],[Supporter_ID]]="","Review - missing supporter ID","")</f>
        <v/>
      </c>
      <c r="AC22" t="str">
        <f>IF(OR(Table8[[#This Row],[Response_Date]]&lt;Table8[[#This Row],[Start_Date]],Table8[[#This Row],[Response_Date]]&gt;Table8[[#This Row],[End_Date]]),"Review - response outside campaign dates","")</f>
        <v/>
      </c>
      <c r="AD22" t="str">
        <f>IF(Table8[[#This Row],[Campaign_Type]]="","Review - campaign code not found","")</f>
        <v/>
      </c>
    </row>
    <row r="23" spans="1:30" x14ac:dyDescent="0.25">
      <c r="A23" t="s">
        <v>3381</v>
      </c>
      <c r="B23" t="s">
        <v>1933</v>
      </c>
      <c r="C23" t="s">
        <v>3336</v>
      </c>
      <c r="D23" t="s">
        <v>3337</v>
      </c>
      <c r="E23" t="s">
        <v>4</v>
      </c>
      <c r="F23" s="17">
        <v>45578</v>
      </c>
      <c r="G23">
        <v>231.44</v>
      </c>
      <c r="H23" t="s">
        <v>37</v>
      </c>
      <c r="I23" t="s">
        <v>3323</v>
      </c>
      <c r="J23" t="str">
        <f>_xlfn.XLOOKUP(Table8[[#This Row],[Supporter_ID]],tb1_supporters[Supporter_ID ],tb1_supporters[Segment],"")</f>
        <v>Legacy Pledger</v>
      </c>
      <c r="K23" t="str">
        <f>_xlfn.XLOOKUP(Table8[[#This Row],[Supporter_ID]],tb1_supporters[Supporter_ID ],tb1_supporters[Acquisition_Source],"")</f>
        <v>Door-To-Door</v>
      </c>
      <c r="L23" t="str">
        <f>_xlfn.XLOOKUP(Table8[[#This Row],[Supporter_ID]],tb1_supporters[Supporter_ID ],tb1_supporters[County],"")</f>
        <v>Strathclyde</v>
      </c>
      <c r="M23" t="str">
        <f>_xlfn.XLOOKUP(Table8[[#This Row],[Supporter_ID]],tb1_supporters[Supporter_ID ],tb1_supporters[Gender],"")</f>
        <v>Female</v>
      </c>
      <c r="N23">
        <f ca="1">_xlfn.XLOOKUP(Table8[[#This Row],[Supporter_ID]],tb1_supporters[Supporter_ID ],tb1_supporters[Age],"")</f>
        <v>78</v>
      </c>
      <c r="O23" t="str">
        <f ca="1">_xlfn.XLOOKUP(Table8[[#This Row],[Supporter_ID]],tb1_supporters[Supporter_ID ],tb1_supporters[Age_Band],"")</f>
        <v>65+</v>
      </c>
      <c r="P23" t="str">
        <f ca="1">IF(Table8[[#This Row],[Age_Band]]="","Unknown",Table8[[#This Row],[Age_Band]])</f>
        <v>65+</v>
      </c>
      <c r="Q23" t="str">
        <f>_xlfn.XLOOKUP(Table8[[#This Row],[Supporter_ID]],tb1_supporters[Supporter_ID ],tb1_supporters[Communication_Preference],"")</f>
        <v>Post</v>
      </c>
      <c r="R23" t="str">
        <f>_xlfn.XLOOKUP(Table8[[#This Row],[Supporter_ID]],tb1_supporters[Supporter_ID ],tb1_supporters[Duplicate_Profile_Flag],"")</f>
        <v/>
      </c>
      <c r="S23" t="str">
        <f>_xlfn.XLOOKUP(Table8[[#This Row],[Supporter_ID]],tb1_supporters[Supporter_ID ],tb1_supporters[Preference_Compliance_Flag],"")</f>
        <v/>
      </c>
      <c r="T23" t="str">
        <f ca="1">IF(Table8[[#This Row],[Age]]="","Review - missing DOB",IF(Table8[[#This Row],[Age]]&gt;TODAY(),"Review - future DOB",IF(Table8[[#This Row],[Age]]=0,"Review -  potential entry error (age 0)","")))</f>
        <v/>
      </c>
      <c r="U23" t="str">
        <f>_xlfn.XLOOKUP(Table8[[#This Row],[Campaign_Code]],tb3_CampaignMaster[Campaign_Code],tb3_CampaignMaster[Campaign_Type],"")</f>
        <v>Appeal</v>
      </c>
      <c r="V23" t="str">
        <f>_xlfn.XLOOKUP(Table8[[#This Row],[Campaign_Code]],tb3_CampaignMaster[Campaign_Code],tb3_CampaignMaster[Target_Audience],"")</f>
        <v>All Supporters</v>
      </c>
      <c r="W23" s="17">
        <f>_xlfn.XLOOKUP(Table8[[#This Row],[Campaign_Code]],tb3_CampaignMaster[Campaign_Code],tb3_CampaignMaster[Start_Date],"")</f>
        <v>45545</v>
      </c>
      <c r="X23" s="17">
        <f>_xlfn.XLOOKUP(Table8[[#This Row],[Campaign_Code]],tb3_CampaignMaster[Campaign_Code],tb3_CampaignMaster[End_Date],"")</f>
        <v>45580</v>
      </c>
      <c r="Y23">
        <f>_xlfn.XLOOKUP(Table8[[#This Row],[Campaign_Code]],tb3_CampaignMaster[Campaign_Code],tb3_CampaignMaster[Budget_GBP],"")</f>
        <v>15000</v>
      </c>
      <c r="Z23" t="str">
        <f>_xlfn.XLOOKUP(Table8[[#This Row],[Campaign_Code]],tb3_CampaignMaster[Campaign_Code],tb3_CampaignMaster[Primary_Channel],"")</f>
        <v>Email</v>
      </c>
      <c r="AA23" s="13">
        <f>IF(Table8[[#This Row],[Gift_Aid_Eligible]]="Yes",Table8[[#This Row],[Gift_Amount]]*1.25,Table8[[#This Row],[Gift_Amount]])</f>
        <v>231.44</v>
      </c>
      <c r="AB23" t="str">
        <f>IF(Table8[[#This Row],[Supporter_ID]]="","Review - missing supporter ID","")</f>
        <v/>
      </c>
      <c r="AC23" t="str">
        <f>IF(OR(Table8[[#This Row],[Response_Date]]&lt;Table8[[#This Row],[Start_Date]],Table8[[#This Row],[Response_Date]]&gt;Table8[[#This Row],[End_Date]]),"Review - response outside campaign dates","")</f>
        <v/>
      </c>
      <c r="AD23" t="str">
        <f>IF(Table8[[#This Row],[Campaign_Type]]="","Review - campaign code not found","")</f>
        <v/>
      </c>
    </row>
    <row r="24" spans="1:30" x14ac:dyDescent="0.25">
      <c r="A24" t="s">
        <v>3383</v>
      </c>
      <c r="B24" t="s">
        <v>2433</v>
      </c>
      <c r="C24" t="s">
        <v>3325</v>
      </c>
      <c r="D24" t="s">
        <v>3326</v>
      </c>
      <c r="E24" t="s">
        <v>4</v>
      </c>
      <c r="F24" s="17">
        <v>45645</v>
      </c>
      <c r="G24">
        <v>143.19</v>
      </c>
      <c r="H24" t="s">
        <v>36</v>
      </c>
      <c r="I24" t="s">
        <v>3385</v>
      </c>
      <c r="J24" t="str">
        <f>_xlfn.XLOOKUP(Table8[[#This Row],[Supporter_ID]],tb1_supporters[Supporter_ID ],tb1_supporters[Segment],"")</f>
        <v>Mid-Value</v>
      </c>
      <c r="K24" t="str">
        <f>_xlfn.XLOOKUP(Table8[[#This Row],[Supporter_ID]],tb1_supporters[Supporter_ID ],tb1_supporters[Acquisition_Source],"")</f>
        <v>Door-To-Door</v>
      </c>
      <c r="L24" t="str">
        <f>_xlfn.XLOOKUP(Table8[[#This Row],[Supporter_ID]],tb1_supporters[Supporter_ID ],tb1_supporters[County],"")</f>
        <v>Leicestershire</v>
      </c>
      <c r="M24" t="str">
        <f>_xlfn.XLOOKUP(Table8[[#This Row],[Supporter_ID]],tb1_supporters[Supporter_ID ],tb1_supporters[Gender],"")</f>
        <v>Female</v>
      </c>
      <c r="N24">
        <f ca="1">_xlfn.XLOOKUP(Table8[[#This Row],[Supporter_ID]],tb1_supporters[Supporter_ID ],tb1_supporters[Age],"")</f>
        <v>43</v>
      </c>
      <c r="O24" t="str">
        <f ca="1">_xlfn.XLOOKUP(Table8[[#This Row],[Supporter_ID]],tb1_supporters[Supporter_ID ],tb1_supporters[Age_Band],"")</f>
        <v>35-49</v>
      </c>
      <c r="P24" t="str">
        <f ca="1">IF(Table8[[#This Row],[Age_Band]]="","Unknown",Table8[[#This Row],[Age_Band]])</f>
        <v>35-49</v>
      </c>
      <c r="Q24" t="str">
        <f>_xlfn.XLOOKUP(Table8[[#This Row],[Supporter_ID]],tb1_supporters[Supporter_ID ],tb1_supporters[Communication_Preference],"")</f>
        <v>Do Not Contact</v>
      </c>
      <c r="R24" t="str">
        <f>_xlfn.XLOOKUP(Table8[[#This Row],[Supporter_ID]],tb1_supporters[Supporter_ID ],tb1_supporters[Duplicate_Profile_Flag],"")</f>
        <v/>
      </c>
      <c r="S24" t="str">
        <f>_xlfn.XLOOKUP(Table8[[#This Row],[Supporter_ID]],tb1_supporters[Supporter_ID ],tb1_supporters[Preference_Compliance_Flag],"")</f>
        <v/>
      </c>
      <c r="T24" t="str">
        <f ca="1">IF(Table8[[#This Row],[Age]]="","Review - missing DOB",IF(Table8[[#This Row],[Age]]&gt;TODAY(),"Review - future DOB",IF(Table8[[#This Row],[Age]]=0,"Review -  potential entry error (age 0)","")))</f>
        <v/>
      </c>
      <c r="U24" t="str">
        <f>_xlfn.XLOOKUP(Table8[[#This Row],[Campaign_Code]],tb3_CampaignMaster[Campaign_Code],tb3_CampaignMaster[Campaign_Type],"")</f>
        <v>Appeal</v>
      </c>
      <c r="V24" t="str">
        <f>_xlfn.XLOOKUP(Table8[[#This Row],[Campaign_Code]],tb3_CampaignMaster[Campaign_Code],tb3_CampaignMaster[Target_Audience],"")</f>
        <v>All Active</v>
      </c>
      <c r="W24" s="17">
        <f>_xlfn.XLOOKUP(Table8[[#This Row],[Campaign_Code]],tb3_CampaignMaster[Campaign_Code],tb3_CampaignMaster[Start_Date],"")</f>
        <v>45597</v>
      </c>
      <c r="X24" s="17">
        <f>_xlfn.XLOOKUP(Table8[[#This Row],[Campaign_Code]],tb3_CampaignMaster[Campaign_Code],tb3_CampaignMaster[End_Date],"")</f>
        <v>45657</v>
      </c>
      <c r="Y24">
        <f>_xlfn.XLOOKUP(Table8[[#This Row],[Campaign_Code]],tb3_CampaignMaster[Campaign_Code],tb3_CampaignMaster[Budget_GBP],"")</f>
        <v>25000</v>
      </c>
      <c r="Z24" t="str">
        <f>_xlfn.XLOOKUP(Table8[[#This Row],[Campaign_Code]],tb3_CampaignMaster[Campaign_Code],tb3_CampaignMaster[Primary_Channel],"")</f>
        <v>Multi-channel</v>
      </c>
      <c r="AA24" s="13">
        <f>IF(Table8[[#This Row],[Gift_Aid_Eligible]]="Yes",Table8[[#This Row],[Gift_Amount]]*1.25,Table8[[#This Row],[Gift_Amount]])</f>
        <v>178.98750000000001</v>
      </c>
      <c r="AB24" t="str">
        <f>IF(Table8[[#This Row],[Supporter_ID]]="","Review - missing supporter ID","")</f>
        <v/>
      </c>
      <c r="AC24" t="str">
        <f>IF(OR(Table8[[#This Row],[Response_Date]]&lt;Table8[[#This Row],[Start_Date]],Table8[[#This Row],[Response_Date]]&gt;Table8[[#This Row],[End_Date]]),"Review - response outside campaign dates","")</f>
        <v/>
      </c>
      <c r="AD24" t="str">
        <f>IF(Table8[[#This Row],[Campaign_Type]]="","Review - campaign code not found","")</f>
        <v/>
      </c>
    </row>
    <row r="25" spans="1:30" x14ac:dyDescent="0.25">
      <c r="A25" t="s">
        <v>3386</v>
      </c>
      <c r="B25" t="s">
        <v>1020</v>
      </c>
      <c r="C25" t="s">
        <v>3320</v>
      </c>
      <c r="D25" t="s">
        <v>3321</v>
      </c>
      <c r="E25" t="s">
        <v>65</v>
      </c>
      <c r="F25" s="17">
        <v>45467</v>
      </c>
      <c r="G25">
        <v>1080.7</v>
      </c>
      <c r="H25" t="s">
        <v>37</v>
      </c>
      <c r="I25" t="s">
        <v>3331</v>
      </c>
      <c r="J25" t="str">
        <f>_xlfn.XLOOKUP(Table8[[#This Row],[Supporter_ID]],tb1_supporters[Supporter_ID ],tb1_supporters[Segment],"")</f>
        <v>Major Donor</v>
      </c>
      <c r="K25" t="str">
        <f>_xlfn.XLOOKUP(Table8[[#This Row],[Supporter_ID]],tb1_supporters[Supporter_ID ],tb1_supporters[Acquisition_Source],"")</f>
        <v>Door-To-Door</v>
      </c>
      <c r="L25" t="str">
        <f>_xlfn.XLOOKUP(Table8[[#This Row],[Supporter_ID]],tb1_supporters[Supporter_ID ],tb1_supporters[County],"")</f>
        <v>Greater Manchester</v>
      </c>
      <c r="M25" t="str">
        <f>_xlfn.XLOOKUP(Table8[[#This Row],[Supporter_ID]],tb1_supporters[Supporter_ID ],tb1_supporters[Gender],"")</f>
        <v>Female</v>
      </c>
      <c r="N25">
        <f ca="1">_xlfn.XLOOKUP(Table8[[#This Row],[Supporter_ID]],tb1_supporters[Supporter_ID ],tb1_supporters[Age],"")</f>
        <v>90</v>
      </c>
      <c r="O25" t="str">
        <f ca="1">_xlfn.XLOOKUP(Table8[[#This Row],[Supporter_ID]],tb1_supporters[Supporter_ID ],tb1_supporters[Age_Band],"")</f>
        <v>65+</v>
      </c>
      <c r="P25" t="str">
        <f ca="1">IF(Table8[[#This Row],[Age_Band]]="","Unknown",Table8[[#This Row],[Age_Band]])</f>
        <v>65+</v>
      </c>
      <c r="Q25" t="str">
        <f>_xlfn.XLOOKUP(Table8[[#This Row],[Supporter_ID]],tb1_supporters[Supporter_ID ],tb1_supporters[Communication_Preference],"")</f>
        <v>Email</v>
      </c>
      <c r="R25" t="str">
        <f>_xlfn.XLOOKUP(Table8[[#This Row],[Supporter_ID]],tb1_supporters[Supporter_ID ],tb1_supporters[Duplicate_Profile_Flag],"")</f>
        <v/>
      </c>
      <c r="S25" t="str">
        <f>_xlfn.XLOOKUP(Table8[[#This Row],[Supporter_ID]],tb1_supporters[Supporter_ID ],tb1_supporters[Preference_Compliance_Flag],"")</f>
        <v/>
      </c>
      <c r="T25" t="str">
        <f ca="1">IF(Table8[[#This Row],[Age]]="","Review - missing DOB",IF(Table8[[#This Row],[Age]]&gt;TODAY(),"Review - future DOB",IF(Table8[[#This Row],[Age]]=0,"Review -  potential entry error (age 0)","")))</f>
        <v/>
      </c>
      <c r="U25" t="str">
        <f>_xlfn.XLOOKUP(Table8[[#This Row],[Campaign_Code]],tb3_CampaignMaster[Campaign_Code],tb3_CampaignMaster[Campaign_Type],"")</f>
        <v>Stewardship</v>
      </c>
      <c r="V25" t="str">
        <f>_xlfn.XLOOKUP(Table8[[#This Row],[Campaign_Code]],tb3_CampaignMaster[Campaign_Code],tb3_CampaignMaster[Target_Audience],"")</f>
        <v>Major Donors</v>
      </c>
      <c r="W25" s="17">
        <f>_xlfn.XLOOKUP(Table8[[#This Row],[Campaign_Code]],tb3_CampaignMaster[Campaign_Code],tb3_CampaignMaster[Start_Date],"")</f>
        <v>45444</v>
      </c>
      <c r="X25" s="17">
        <f>_xlfn.XLOOKUP(Table8[[#This Row],[Campaign_Code]],tb3_CampaignMaster[Campaign_Code],tb3_CampaignMaster[End_Date],"")</f>
        <v>45473</v>
      </c>
      <c r="Y25">
        <f>_xlfn.XLOOKUP(Table8[[#This Row],[Campaign_Code]],tb3_CampaignMaster[Campaign_Code],tb3_CampaignMaster[Budget_GBP],"")</f>
        <v>7000</v>
      </c>
      <c r="Z25" t="str">
        <f>_xlfn.XLOOKUP(Table8[[#This Row],[Campaign_Code]],tb3_CampaignMaster[Campaign_Code],tb3_CampaignMaster[Primary_Channel],"")</f>
        <v>Direct Mail</v>
      </c>
      <c r="AA25" s="13">
        <f>IF(Table8[[#This Row],[Gift_Aid_Eligible]]="Yes",Table8[[#This Row],[Gift_Amount]]*1.25,Table8[[#This Row],[Gift_Amount]])</f>
        <v>1080.7</v>
      </c>
      <c r="AB25" t="str">
        <f>IF(Table8[[#This Row],[Supporter_ID]]="","Review - missing supporter ID","")</f>
        <v/>
      </c>
      <c r="AC25" t="str">
        <f>IF(OR(Table8[[#This Row],[Response_Date]]&lt;Table8[[#This Row],[Start_Date]],Table8[[#This Row],[Response_Date]]&gt;Table8[[#This Row],[End_Date]]),"Review - response outside campaign dates","")</f>
        <v/>
      </c>
      <c r="AD25" t="str">
        <f>IF(Table8[[#This Row],[Campaign_Type]]="","Review - campaign code not found","")</f>
        <v/>
      </c>
    </row>
    <row r="26" spans="1:30" x14ac:dyDescent="0.25">
      <c r="A26" t="s">
        <v>3388</v>
      </c>
      <c r="B26" t="s">
        <v>1030</v>
      </c>
      <c r="C26" t="s">
        <v>3341</v>
      </c>
      <c r="D26" t="s">
        <v>3342</v>
      </c>
      <c r="E26" t="s">
        <v>3316</v>
      </c>
      <c r="F26" s="17">
        <v>45713</v>
      </c>
      <c r="G26">
        <v>48.5</v>
      </c>
      <c r="H26" t="s">
        <v>37</v>
      </c>
      <c r="I26" t="s">
        <v>3370</v>
      </c>
      <c r="J26" t="str">
        <f>_xlfn.XLOOKUP(Table8[[#This Row],[Supporter_ID]],tb1_supporters[Supporter_ID ],tb1_supporters[Segment],"")</f>
        <v>Regular Giver</v>
      </c>
      <c r="K26" t="str">
        <f>_xlfn.XLOOKUP(Table8[[#This Row],[Supporter_ID]],tb1_supporters[Supporter_ID ],tb1_supporters[Acquisition_Source],"")</f>
        <v>Direct Mail</v>
      </c>
      <c r="L26" t="str">
        <f>_xlfn.XLOOKUP(Table8[[#This Row],[Supporter_ID]],tb1_supporters[Supporter_ID ],tb1_supporters[County],"")</f>
        <v>Antrim</v>
      </c>
      <c r="M26" t="str">
        <f>_xlfn.XLOOKUP(Table8[[#This Row],[Supporter_ID]],tb1_supporters[Supporter_ID ],tb1_supporters[Gender],"")</f>
        <v>Male</v>
      </c>
      <c r="N26">
        <f ca="1">_xlfn.XLOOKUP(Table8[[#This Row],[Supporter_ID]],tb1_supporters[Supporter_ID ],tb1_supporters[Age],"")</f>
        <v>73</v>
      </c>
      <c r="O26" t="str">
        <f ca="1">_xlfn.XLOOKUP(Table8[[#This Row],[Supporter_ID]],tb1_supporters[Supporter_ID ],tb1_supporters[Age_Band],"")</f>
        <v>65+</v>
      </c>
      <c r="P26" t="str">
        <f ca="1">IF(Table8[[#This Row],[Age_Band]]="","Unknown",Table8[[#This Row],[Age_Band]])</f>
        <v>65+</v>
      </c>
      <c r="Q26" t="str">
        <f>_xlfn.XLOOKUP(Table8[[#This Row],[Supporter_ID]],tb1_supporters[Supporter_ID ],tb1_supporters[Communication_Preference],"")</f>
        <v>Email</v>
      </c>
      <c r="R26" t="str">
        <f>_xlfn.XLOOKUP(Table8[[#This Row],[Supporter_ID]],tb1_supporters[Supporter_ID ],tb1_supporters[Duplicate_Profile_Flag],"")</f>
        <v/>
      </c>
      <c r="S26" t="str">
        <f>_xlfn.XLOOKUP(Table8[[#This Row],[Supporter_ID]],tb1_supporters[Supporter_ID ],tb1_supporters[Preference_Compliance_Flag],"")</f>
        <v/>
      </c>
      <c r="T26" t="str">
        <f ca="1">IF(Table8[[#This Row],[Age]]="","Review - missing DOB",IF(Table8[[#This Row],[Age]]&gt;TODAY(),"Review - future DOB",IF(Table8[[#This Row],[Age]]=0,"Review -  potential entry error (age 0)","")))</f>
        <v/>
      </c>
      <c r="U26" t="str">
        <f>_xlfn.XLOOKUP(Table8[[#This Row],[Campaign_Code]],tb3_CampaignMaster[Campaign_Code],tb3_CampaignMaster[Campaign_Type],"")</f>
        <v>Acquisition</v>
      </c>
      <c r="V26" t="str">
        <f>_xlfn.XLOOKUP(Table8[[#This Row],[Campaign_Code]],tb3_CampaignMaster[Campaign_Code],tb3_CampaignMaster[Target_Audience],"")</f>
        <v>Prospects</v>
      </c>
      <c r="W26" s="17">
        <f>_xlfn.XLOOKUP(Table8[[#This Row],[Campaign_Code]],tb3_CampaignMaster[Campaign_Code],tb3_CampaignMaster[Start_Date],"")</f>
        <v>45689</v>
      </c>
      <c r="X26" s="17">
        <f>_xlfn.XLOOKUP(Table8[[#This Row],[Campaign_Code]],tb3_CampaignMaster[Campaign_Code],tb3_CampaignMaster[End_Date],"")</f>
        <v>45777</v>
      </c>
      <c r="Y26">
        <f>_xlfn.XLOOKUP(Table8[[#This Row],[Campaign_Code]],tb3_CampaignMaster[Campaign_Code],tb3_CampaignMaster[Budget_GBP],"")</f>
        <v>20000</v>
      </c>
      <c r="Z26" t="str">
        <f>_xlfn.XLOOKUP(Table8[[#This Row],[Campaign_Code]],tb3_CampaignMaster[Campaign_Code],tb3_CampaignMaster[Primary_Channel],"")</f>
        <v>Digital</v>
      </c>
      <c r="AA26" s="13">
        <f>IF(Table8[[#This Row],[Gift_Aid_Eligible]]="Yes",Table8[[#This Row],[Gift_Amount]]*1.25,Table8[[#This Row],[Gift_Amount]])</f>
        <v>48.5</v>
      </c>
      <c r="AB26" t="str">
        <f>IF(Table8[[#This Row],[Supporter_ID]]="","Review - missing supporter ID","")</f>
        <v/>
      </c>
      <c r="AC26" t="str">
        <f>IF(OR(Table8[[#This Row],[Response_Date]]&lt;Table8[[#This Row],[Start_Date]],Table8[[#This Row],[Response_Date]]&gt;Table8[[#This Row],[End_Date]]),"Review - response outside campaign dates","")</f>
        <v/>
      </c>
      <c r="AD26" t="str">
        <f>IF(Table8[[#This Row],[Campaign_Type]]="","Review - campaign code not found","")</f>
        <v/>
      </c>
    </row>
    <row r="27" spans="1:30" x14ac:dyDescent="0.25">
      <c r="A27" t="s">
        <v>3390</v>
      </c>
      <c r="B27" t="s">
        <v>2802</v>
      </c>
      <c r="C27" t="s">
        <v>3325</v>
      </c>
      <c r="D27" t="s">
        <v>3326</v>
      </c>
      <c r="E27" t="s">
        <v>65</v>
      </c>
      <c r="F27" s="17">
        <v>45644</v>
      </c>
      <c r="G27">
        <v>153.65</v>
      </c>
      <c r="H27" t="s">
        <v>36</v>
      </c>
      <c r="I27" t="s">
        <v>3385</v>
      </c>
      <c r="J27" t="str">
        <f>_xlfn.XLOOKUP(Table8[[#This Row],[Supporter_ID]],tb1_supporters[Supporter_ID ],tb1_supporters[Segment],"")</f>
        <v>Mid-Value</v>
      </c>
      <c r="K27" t="str">
        <f>_xlfn.XLOOKUP(Table8[[#This Row],[Supporter_ID]],tb1_supporters[Supporter_ID ],tb1_supporters[Acquisition_Source],"")</f>
        <v>Direct Mail</v>
      </c>
      <c r="L27" t="str">
        <f>_xlfn.XLOOKUP(Table8[[#This Row],[Supporter_ID]],tb1_supporters[Supporter_ID ],tb1_supporters[County],"")</f>
        <v>East Sussex</v>
      </c>
      <c r="M27" t="str">
        <f>_xlfn.XLOOKUP(Table8[[#This Row],[Supporter_ID]],tb1_supporters[Supporter_ID ],tb1_supporters[Gender],"")</f>
        <v>Female</v>
      </c>
      <c r="N27" t="str">
        <f ca="1">_xlfn.XLOOKUP(Table8[[#This Row],[Supporter_ID]],tb1_supporters[Supporter_ID ],tb1_supporters[Age],"")</f>
        <v/>
      </c>
      <c r="O27" t="str">
        <f ca="1">_xlfn.XLOOKUP(Table8[[#This Row],[Supporter_ID]],tb1_supporters[Supporter_ID ],tb1_supporters[Age_Band],"")</f>
        <v/>
      </c>
      <c r="P27" t="str">
        <f ca="1">IF(Table8[[#This Row],[Age_Band]]="","Unknown",Table8[[#This Row],[Age_Band]])</f>
        <v>Unknown</v>
      </c>
      <c r="Q27" t="str">
        <f>_xlfn.XLOOKUP(Table8[[#This Row],[Supporter_ID]],tb1_supporters[Supporter_ID ],tb1_supporters[Communication_Preference],"")</f>
        <v>Post</v>
      </c>
      <c r="R27" t="str">
        <f>_xlfn.XLOOKUP(Table8[[#This Row],[Supporter_ID]],tb1_supporters[Supporter_ID ],tb1_supporters[Duplicate_Profile_Flag],"")</f>
        <v/>
      </c>
      <c r="S27" t="str">
        <f>_xlfn.XLOOKUP(Table8[[#This Row],[Supporter_ID]],tb1_supporters[Supporter_ID ],tb1_supporters[Preference_Compliance_Flag],"")</f>
        <v/>
      </c>
      <c r="T27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27" t="str">
        <f>_xlfn.XLOOKUP(Table8[[#This Row],[Campaign_Code]],tb3_CampaignMaster[Campaign_Code],tb3_CampaignMaster[Campaign_Type],"")</f>
        <v>Appeal</v>
      </c>
      <c r="V27" t="str">
        <f>_xlfn.XLOOKUP(Table8[[#This Row],[Campaign_Code]],tb3_CampaignMaster[Campaign_Code],tb3_CampaignMaster[Target_Audience],"")</f>
        <v>All Active</v>
      </c>
      <c r="W27" s="17">
        <f>_xlfn.XLOOKUP(Table8[[#This Row],[Campaign_Code]],tb3_CampaignMaster[Campaign_Code],tb3_CampaignMaster[Start_Date],"")</f>
        <v>45597</v>
      </c>
      <c r="X27" s="17">
        <f>_xlfn.XLOOKUP(Table8[[#This Row],[Campaign_Code]],tb3_CampaignMaster[Campaign_Code],tb3_CampaignMaster[End_Date],"")</f>
        <v>45657</v>
      </c>
      <c r="Y27">
        <f>_xlfn.XLOOKUP(Table8[[#This Row],[Campaign_Code]],tb3_CampaignMaster[Campaign_Code],tb3_CampaignMaster[Budget_GBP],"")</f>
        <v>25000</v>
      </c>
      <c r="Z27" t="str">
        <f>_xlfn.XLOOKUP(Table8[[#This Row],[Campaign_Code]],tb3_CampaignMaster[Campaign_Code],tb3_CampaignMaster[Primary_Channel],"")</f>
        <v>Multi-channel</v>
      </c>
      <c r="AA27" s="13">
        <f>IF(Table8[[#This Row],[Gift_Aid_Eligible]]="Yes",Table8[[#This Row],[Gift_Amount]]*1.25,Table8[[#This Row],[Gift_Amount]])</f>
        <v>192.0625</v>
      </c>
      <c r="AB27" t="str">
        <f>IF(Table8[[#This Row],[Supporter_ID]]="","Review - missing supporter ID","")</f>
        <v/>
      </c>
      <c r="AC27" t="str">
        <f>IF(OR(Table8[[#This Row],[Response_Date]]&lt;Table8[[#This Row],[Start_Date]],Table8[[#This Row],[Response_Date]]&gt;Table8[[#This Row],[End_Date]]),"Review - response outside campaign dates","")</f>
        <v/>
      </c>
      <c r="AD27" t="str">
        <f>IF(Table8[[#This Row],[Campaign_Type]]="","Review - campaign code not found","")</f>
        <v/>
      </c>
    </row>
    <row r="28" spans="1:30" x14ac:dyDescent="0.25">
      <c r="A28" t="s">
        <v>3392</v>
      </c>
      <c r="B28" t="s">
        <v>2852</v>
      </c>
      <c r="C28" t="s">
        <v>3320</v>
      </c>
      <c r="D28" t="s">
        <v>3321</v>
      </c>
      <c r="E28" t="s">
        <v>4</v>
      </c>
      <c r="F28" s="17">
        <v>45457</v>
      </c>
      <c r="G28">
        <v>3702.46</v>
      </c>
      <c r="H28" t="s">
        <v>36</v>
      </c>
      <c r="I28" t="s">
        <v>3385</v>
      </c>
      <c r="J28" t="str">
        <f>_xlfn.XLOOKUP(Table8[[#This Row],[Supporter_ID]],tb1_supporters[Supporter_ID ],tb1_supporters[Segment],"")</f>
        <v>Major Donor</v>
      </c>
      <c r="K28" t="str">
        <f>_xlfn.XLOOKUP(Table8[[#This Row],[Supporter_ID]],tb1_supporters[Supporter_ID ],tb1_supporters[Acquisition_Source],"")</f>
        <v>Corporate Partner</v>
      </c>
      <c r="L28" t="str">
        <f>_xlfn.XLOOKUP(Table8[[#This Row],[Supporter_ID]],tb1_supporters[Supporter_ID ],tb1_supporters[County],"")</f>
        <v>Hertfordshire</v>
      </c>
      <c r="M28" t="str">
        <f>_xlfn.XLOOKUP(Table8[[#This Row],[Supporter_ID]],tb1_supporters[Supporter_ID ],tb1_supporters[Gender],"")</f>
        <v>Female</v>
      </c>
      <c r="N28">
        <f ca="1">_xlfn.XLOOKUP(Table8[[#This Row],[Supporter_ID]],tb1_supporters[Supporter_ID ],tb1_supporters[Age],"")</f>
        <v>68</v>
      </c>
      <c r="O28" t="str">
        <f ca="1">_xlfn.XLOOKUP(Table8[[#This Row],[Supporter_ID]],tb1_supporters[Supporter_ID ],tb1_supporters[Age_Band],"")</f>
        <v>65+</v>
      </c>
      <c r="P28" t="str">
        <f ca="1">IF(Table8[[#This Row],[Age_Band]]="","Unknown",Table8[[#This Row],[Age_Band]])</f>
        <v>65+</v>
      </c>
      <c r="Q28" t="str">
        <f>_xlfn.XLOOKUP(Table8[[#This Row],[Supporter_ID]],tb1_supporters[Supporter_ID ],tb1_supporters[Communication_Preference],"")</f>
        <v>Email</v>
      </c>
      <c r="R28" t="str">
        <f>_xlfn.XLOOKUP(Table8[[#This Row],[Supporter_ID]],tb1_supporters[Supporter_ID ],tb1_supporters[Duplicate_Profile_Flag],"")</f>
        <v/>
      </c>
      <c r="S28" t="str">
        <f>_xlfn.XLOOKUP(Table8[[#This Row],[Supporter_ID]],tb1_supporters[Supporter_ID ],tb1_supporters[Preference_Compliance_Flag],"")</f>
        <v>Review - prefers email but not opted in</v>
      </c>
      <c r="T28" t="str">
        <f ca="1">IF(Table8[[#This Row],[Age]]="","Review - missing DOB",IF(Table8[[#This Row],[Age]]&gt;TODAY(),"Review - future DOB",IF(Table8[[#This Row],[Age]]=0,"Review -  potential entry error (age 0)","")))</f>
        <v/>
      </c>
      <c r="U28" t="str">
        <f>_xlfn.XLOOKUP(Table8[[#This Row],[Campaign_Code]],tb3_CampaignMaster[Campaign_Code],tb3_CampaignMaster[Campaign_Type],"")</f>
        <v>Stewardship</v>
      </c>
      <c r="V28" t="str">
        <f>_xlfn.XLOOKUP(Table8[[#This Row],[Campaign_Code]],tb3_CampaignMaster[Campaign_Code],tb3_CampaignMaster[Target_Audience],"")</f>
        <v>Major Donors</v>
      </c>
      <c r="W28" s="17">
        <f>_xlfn.XLOOKUP(Table8[[#This Row],[Campaign_Code]],tb3_CampaignMaster[Campaign_Code],tb3_CampaignMaster[Start_Date],"")</f>
        <v>45444</v>
      </c>
      <c r="X28" s="17">
        <f>_xlfn.XLOOKUP(Table8[[#This Row],[Campaign_Code]],tb3_CampaignMaster[Campaign_Code],tb3_CampaignMaster[End_Date],"")</f>
        <v>45473</v>
      </c>
      <c r="Y28">
        <f>_xlfn.XLOOKUP(Table8[[#This Row],[Campaign_Code]],tb3_CampaignMaster[Campaign_Code],tb3_CampaignMaster[Budget_GBP],"")</f>
        <v>7000</v>
      </c>
      <c r="Z28" t="str">
        <f>_xlfn.XLOOKUP(Table8[[#This Row],[Campaign_Code]],tb3_CampaignMaster[Campaign_Code],tb3_CampaignMaster[Primary_Channel],"")</f>
        <v>Direct Mail</v>
      </c>
      <c r="AA28" s="13">
        <f>IF(Table8[[#This Row],[Gift_Aid_Eligible]]="Yes",Table8[[#This Row],[Gift_Amount]]*1.25,Table8[[#This Row],[Gift_Amount]])</f>
        <v>4628.0749999999998</v>
      </c>
      <c r="AB28" t="str">
        <f>IF(Table8[[#This Row],[Supporter_ID]]="","Review - missing supporter ID","")</f>
        <v/>
      </c>
      <c r="AC28" t="str">
        <f>IF(OR(Table8[[#This Row],[Response_Date]]&lt;Table8[[#This Row],[Start_Date]],Table8[[#This Row],[Response_Date]]&gt;Table8[[#This Row],[End_Date]]),"Review - response outside campaign dates","")</f>
        <v/>
      </c>
      <c r="AD28" t="str">
        <f>IF(Table8[[#This Row],[Campaign_Type]]="","Review - campaign code not found","")</f>
        <v/>
      </c>
    </row>
    <row r="29" spans="1:30" x14ac:dyDescent="0.25">
      <c r="A29" t="s">
        <v>3394</v>
      </c>
      <c r="B29" t="s">
        <v>1744</v>
      </c>
      <c r="C29" t="s">
        <v>3341</v>
      </c>
      <c r="D29" t="s">
        <v>3342</v>
      </c>
      <c r="E29" t="s">
        <v>91</v>
      </c>
      <c r="F29" s="17">
        <v>45722</v>
      </c>
      <c r="G29">
        <v>27.49</v>
      </c>
      <c r="H29" t="s">
        <v>36</v>
      </c>
      <c r="I29" t="s">
        <v>3328</v>
      </c>
      <c r="J29" t="str">
        <f>_xlfn.XLOOKUP(Table8[[#This Row],[Supporter_ID]],tb1_supporters[Supporter_ID ],tb1_supporters[Segment],"")</f>
        <v>Regular Giver</v>
      </c>
      <c r="K29" t="str">
        <f>_xlfn.XLOOKUP(Table8[[#This Row],[Supporter_ID]],tb1_supporters[Supporter_ID ],tb1_supporters[Acquisition_Source],"")</f>
        <v>Referral</v>
      </c>
      <c r="L29" t="str">
        <f>_xlfn.XLOOKUP(Table8[[#This Row],[Supporter_ID]],tb1_supporters[Supporter_ID ],tb1_supporters[County],"")</f>
        <v>Hampshire</v>
      </c>
      <c r="M29" t="str">
        <f>_xlfn.XLOOKUP(Table8[[#This Row],[Supporter_ID]],tb1_supporters[Supporter_ID ],tb1_supporters[Gender],"")</f>
        <v>Male</v>
      </c>
      <c r="N29" t="str">
        <f ca="1">_xlfn.XLOOKUP(Table8[[#This Row],[Supporter_ID]],tb1_supporters[Supporter_ID ],tb1_supporters[Age],"")</f>
        <v/>
      </c>
      <c r="O29" t="str">
        <f ca="1">_xlfn.XLOOKUP(Table8[[#This Row],[Supporter_ID]],tb1_supporters[Supporter_ID ],tb1_supporters[Age_Band],"")</f>
        <v/>
      </c>
      <c r="P29" t="str">
        <f ca="1">IF(Table8[[#This Row],[Age_Band]]="","Unknown",Table8[[#This Row],[Age_Band]])</f>
        <v>Unknown</v>
      </c>
      <c r="Q29" t="str">
        <f>_xlfn.XLOOKUP(Table8[[#This Row],[Supporter_ID]],tb1_supporters[Supporter_ID ],tb1_supporters[Communication_Preference],"")</f>
        <v>Email</v>
      </c>
      <c r="R29" t="str">
        <f>_xlfn.XLOOKUP(Table8[[#This Row],[Supporter_ID]],tb1_supporters[Supporter_ID ],tb1_supporters[Duplicate_Profile_Flag],"")</f>
        <v/>
      </c>
      <c r="S29" t="str">
        <f>_xlfn.XLOOKUP(Table8[[#This Row],[Supporter_ID]],tb1_supporters[Supporter_ID ],tb1_supporters[Preference_Compliance_Flag],"")</f>
        <v/>
      </c>
      <c r="T29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29" t="str">
        <f>_xlfn.XLOOKUP(Table8[[#This Row],[Campaign_Code]],tb3_CampaignMaster[Campaign_Code],tb3_CampaignMaster[Campaign_Type],"")</f>
        <v>Acquisition</v>
      </c>
      <c r="V29" t="str">
        <f>_xlfn.XLOOKUP(Table8[[#This Row],[Campaign_Code]],tb3_CampaignMaster[Campaign_Code],tb3_CampaignMaster[Target_Audience],"")</f>
        <v>Prospects</v>
      </c>
      <c r="W29" s="17">
        <f>_xlfn.XLOOKUP(Table8[[#This Row],[Campaign_Code]],tb3_CampaignMaster[Campaign_Code],tb3_CampaignMaster[Start_Date],"")</f>
        <v>45689</v>
      </c>
      <c r="X29" s="17">
        <f>_xlfn.XLOOKUP(Table8[[#This Row],[Campaign_Code]],tb3_CampaignMaster[Campaign_Code],tb3_CampaignMaster[End_Date],"")</f>
        <v>45777</v>
      </c>
      <c r="Y29">
        <f>_xlfn.XLOOKUP(Table8[[#This Row],[Campaign_Code]],tb3_CampaignMaster[Campaign_Code],tb3_CampaignMaster[Budget_GBP],"")</f>
        <v>20000</v>
      </c>
      <c r="Z29" t="str">
        <f>_xlfn.XLOOKUP(Table8[[#This Row],[Campaign_Code]],tb3_CampaignMaster[Campaign_Code],tb3_CampaignMaster[Primary_Channel],"")</f>
        <v>Digital</v>
      </c>
      <c r="AA29" s="13">
        <f>IF(Table8[[#This Row],[Gift_Aid_Eligible]]="Yes",Table8[[#This Row],[Gift_Amount]]*1.25,Table8[[#This Row],[Gift_Amount]])</f>
        <v>34.362499999999997</v>
      </c>
      <c r="AB29" t="str">
        <f>IF(Table8[[#This Row],[Supporter_ID]]="","Review - missing supporter ID","")</f>
        <v/>
      </c>
      <c r="AC29" t="str">
        <f>IF(OR(Table8[[#This Row],[Response_Date]]&lt;Table8[[#This Row],[Start_Date]],Table8[[#This Row],[Response_Date]]&gt;Table8[[#This Row],[End_Date]]),"Review - response outside campaign dates","")</f>
        <v/>
      </c>
      <c r="AD29" t="str">
        <f>IF(Table8[[#This Row],[Campaign_Type]]="","Review - campaign code not found","")</f>
        <v/>
      </c>
    </row>
    <row r="30" spans="1:30" x14ac:dyDescent="0.25">
      <c r="A30" t="s">
        <v>3396</v>
      </c>
      <c r="B30" t="s">
        <v>2272</v>
      </c>
      <c r="C30" t="s">
        <v>3325</v>
      </c>
      <c r="D30" t="s">
        <v>3326</v>
      </c>
      <c r="E30" t="s">
        <v>4</v>
      </c>
      <c r="F30" s="17">
        <v>45636</v>
      </c>
      <c r="G30">
        <v>85.01</v>
      </c>
      <c r="H30" t="s">
        <v>37</v>
      </c>
      <c r="I30" t="s">
        <v>3385</v>
      </c>
      <c r="J30" t="str">
        <f>_xlfn.XLOOKUP(Table8[[#This Row],[Supporter_ID]],tb1_supporters[Supporter_ID ],tb1_supporters[Segment],"")</f>
        <v>Legacy Pledger</v>
      </c>
      <c r="K30" t="str">
        <f>_xlfn.XLOOKUP(Table8[[#This Row],[Supporter_ID]],tb1_supporters[Supporter_ID ],tb1_supporters[Acquisition_Source],"")</f>
        <v>Event</v>
      </c>
      <c r="L30" t="str">
        <f>_xlfn.XLOOKUP(Table8[[#This Row],[Supporter_ID]],tb1_supporters[Supporter_ID ],tb1_supporters[County],"")</f>
        <v>Leicestershire</v>
      </c>
      <c r="M30" t="str">
        <f>_xlfn.XLOOKUP(Table8[[#This Row],[Supporter_ID]],tb1_supporters[Supporter_ID ],tb1_supporters[Gender],"")</f>
        <v>Male</v>
      </c>
      <c r="N30">
        <f ca="1">_xlfn.XLOOKUP(Table8[[#This Row],[Supporter_ID]],tb1_supporters[Supporter_ID ],tb1_supporters[Age],"")</f>
        <v>90</v>
      </c>
      <c r="O30" t="str">
        <f ca="1">_xlfn.XLOOKUP(Table8[[#This Row],[Supporter_ID]],tb1_supporters[Supporter_ID ],tb1_supporters[Age_Band],"")</f>
        <v>65+</v>
      </c>
      <c r="P30" t="str">
        <f ca="1">IF(Table8[[#This Row],[Age_Band]]="","Unknown",Table8[[#This Row],[Age_Band]])</f>
        <v>65+</v>
      </c>
      <c r="Q30" t="str">
        <f>_xlfn.XLOOKUP(Table8[[#This Row],[Supporter_ID]],tb1_supporters[Supporter_ID ],tb1_supporters[Communication_Preference],"")</f>
        <v>Phone</v>
      </c>
      <c r="R30" t="str">
        <f>_xlfn.XLOOKUP(Table8[[#This Row],[Supporter_ID]],tb1_supporters[Supporter_ID ],tb1_supporters[Duplicate_Profile_Flag],"")</f>
        <v/>
      </c>
      <c r="S30" t="str">
        <f>_xlfn.XLOOKUP(Table8[[#This Row],[Supporter_ID]],tb1_supporters[Supporter_ID ],tb1_supporters[Preference_Compliance_Flag],"")</f>
        <v/>
      </c>
      <c r="T30" t="str">
        <f ca="1">IF(Table8[[#This Row],[Age]]="","Review - missing DOB",IF(Table8[[#This Row],[Age]]&gt;TODAY(),"Review - future DOB",IF(Table8[[#This Row],[Age]]=0,"Review -  potential entry error (age 0)","")))</f>
        <v/>
      </c>
      <c r="U30" t="str">
        <f>_xlfn.XLOOKUP(Table8[[#This Row],[Campaign_Code]],tb3_CampaignMaster[Campaign_Code],tb3_CampaignMaster[Campaign_Type],"")</f>
        <v>Appeal</v>
      </c>
      <c r="V30" t="str">
        <f>_xlfn.XLOOKUP(Table8[[#This Row],[Campaign_Code]],tb3_CampaignMaster[Campaign_Code],tb3_CampaignMaster[Target_Audience],"")</f>
        <v>All Active</v>
      </c>
      <c r="W30" s="17">
        <f>_xlfn.XLOOKUP(Table8[[#This Row],[Campaign_Code]],tb3_CampaignMaster[Campaign_Code],tb3_CampaignMaster[Start_Date],"")</f>
        <v>45597</v>
      </c>
      <c r="X30" s="17">
        <f>_xlfn.XLOOKUP(Table8[[#This Row],[Campaign_Code]],tb3_CampaignMaster[Campaign_Code],tb3_CampaignMaster[End_Date],"")</f>
        <v>45657</v>
      </c>
      <c r="Y30">
        <f>_xlfn.XLOOKUP(Table8[[#This Row],[Campaign_Code]],tb3_CampaignMaster[Campaign_Code],tb3_CampaignMaster[Budget_GBP],"")</f>
        <v>25000</v>
      </c>
      <c r="Z30" t="str">
        <f>_xlfn.XLOOKUP(Table8[[#This Row],[Campaign_Code]],tb3_CampaignMaster[Campaign_Code],tb3_CampaignMaster[Primary_Channel],"")</f>
        <v>Multi-channel</v>
      </c>
      <c r="AA30" s="13">
        <f>IF(Table8[[#This Row],[Gift_Aid_Eligible]]="Yes",Table8[[#This Row],[Gift_Amount]]*1.25,Table8[[#This Row],[Gift_Amount]])</f>
        <v>85.01</v>
      </c>
      <c r="AB30" t="str">
        <f>IF(Table8[[#This Row],[Supporter_ID]]="","Review - missing supporter ID","")</f>
        <v/>
      </c>
      <c r="AC30" t="str">
        <f>IF(OR(Table8[[#This Row],[Response_Date]]&lt;Table8[[#This Row],[Start_Date]],Table8[[#This Row],[Response_Date]]&gt;Table8[[#This Row],[End_Date]]),"Review - response outside campaign dates","")</f>
        <v/>
      </c>
      <c r="AD30" t="str">
        <f>IF(Table8[[#This Row],[Campaign_Type]]="","Review - campaign code not found","")</f>
        <v/>
      </c>
    </row>
    <row r="31" spans="1:30" x14ac:dyDescent="0.25">
      <c r="A31" t="s">
        <v>3398</v>
      </c>
      <c r="B31" t="s">
        <v>2674</v>
      </c>
      <c r="C31" t="s">
        <v>3341</v>
      </c>
      <c r="D31" t="s">
        <v>3342</v>
      </c>
      <c r="E31" t="s">
        <v>91</v>
      </c>
      <c r="F31" s="17">
        <v>45733</v>
      </c>
      <c r="G31">
        <v>186.62</v>
      </c>
      <c r="H31" t="s">
        <v>36</v>
      </c>
      <c r="I31" t="s">
        <v>3318</v>
      </c>
      <c r="J31" t="str">
        <f>_xlfn.XLOOKUP(Table8[[#This Row],[Supporter_ID]],tb1_supporters[Supporter_ID ],tb1_supporters[Segment],"")</f>
        <v>Mid-Value</v>
      </c>
      <c r="K31" t="str">
        <f>_xlfn.XLOOKUP(Table8[[#This Row],[Supporter_ID]],tb1_supporters[Supporter_ID ],tb1_supporters[Acquisition_Source],"")</f>
        <v>Door-To-Door</v>
      </c>
      <c r="L31" t="str">
        <f>_xlfn.XLOOKUP(Table8[[#This Row],[Supporter_ID]],tb1_supporters[Supporter_ID ],tb1_supporters[County],"")</f>
        <v>Cheshire</v>
      </c>
      <c r="M31" t="str">
        <f>_xlfn.XLOOKUP(Table8[[#This Row],[Supporter_ID]],tb1_supporters[Supporter_ID ],tb1_supporters[Gender],"")</f>
        <v>Male</v>
      </c>
      <c r="N31">
        <f ca="1">_xlfn.XLOOKUP(Table8[[#This Row],[Supporter_ID]],tb1_supporters[Supporter_ID ],tb1_supporters[Age],"")</f>
        <v>73</v>
      </c>
      <c r="O31" t="str">
        <f ca="1">_xlfn.XLOOKUP(Table8[[#This Row],[Supporter_ID]],tb1_supporters[Supporter_ID ],tb1_supporters[Age_Band],"")</f>
        <v>65+</v>
      </c>
      <c r="P31" t="str">
        <f ca="1">IF(Table8[[#This Row],[Age_Band]]="","Unknown",Table8[[#This Row],[Age_Band]])</f>
        <v>65+</v>
      </c>
      <c r="Q31" t="str">
        <f>_xlfn.XLOOKUP(Table8[[#This Row],[Supporter_ID]],tb1_supporters[Supporter_ID ],tb1_supporters[Communication_Preference],"")</f>
        <v>Email</v>
      </c>
      <c r="R31" t="str">
        <f>_xlfn.XLOOKUP(Table8[[#This Row],[Supporter_ID]],tb1_supporters[Supporter_ID ],tb1_supporters[Duplicate_Profile_Flag],"")</f>
        <v/>
      </c>
      <c r="S31" t="str">
        <f>_xlfn.XLOOKUP(Table8[[#This Row],[Supporter_ID]],tb1_supporters[Supporter_ID ],tb1_supporters[Preference_Compliance_Flag],"")</f>
        <v/>
      </c>
      <c r="T31" t="str">
        <f ca="1">IF(Table8[[#This Row],[Age]]="","Review - missing DOB",IF(Table8[[#This Row],[Age]]&gt;TODAY(),"Review - future DOB",IF(Table8[[#This Row],[Age]]=0,"Review -  potential entry error (age 0)","")))</f>
        <v/>
      </c>
      <c r="U31" t="str">
        <f>_xlfn.XLOOKUP(Table8[[#This Row],[Campaign_Code]],tb3_CampaignMaster[Campaign_Code],tb3_CampaignMaster[Campaign_Type],"")</f>
        <v>Acquisition</v>
      </c>
      <c r="V31" t="str">
        <f>_xlfn.XLOOKUP(Table8[[#This Row],[Campaign_Code]],tb3_CampaignMaster[Campaign_Code],tb3_CampaignMaster[Target_Audience],"")</f>
        <v>Prospects</v>
      </c>
      <c r="W31" s="17">
        <f>_xlfn.XLOOKUP(Table8[[#This Row],[Campaign_Code]],tb3_CampaignMaster[Campaign_Code],tb3_CampaignMaster[Start_Date],"")</f>
        <v>45689</v>
      </c>
      <c r="X31" s="17">
        <f>_xlfn.XLOOKUP(Table8[[#This Row],[Campaign_Code]],tb3_CampaignMaster[Campaign_Code],tb3_CampaignMaster[End_Date],"")</f>
        <v>45777</v>
      </c>
      <c r="Y31">
        <f>_xlfn.XLOOKUP(Table8[[#This Row],[Campaign_Code]],tb3_CampaignMaster[Campaign_Code],tb3_CampaignMaster[Budget_GBP],"")</f>
        <v>20000</v>
      </c>
      <c r="Z31" t="str">
        <f>_xlfn.XLOOKUP(Table8[[#This Row],[Campaign_Code]],tb3_CampaignMaster[Campaign_Code],tb3_CampaignMaster[Primary_Channel],"")</f>
        <v>Digital</v>
      </c>
      <c r="AA31" s="13">
        <f>IF(Table8[[#This Row],[Gift_Aid_Eligible]]="Yes",Table8[[#This Row],[Gift_Amount]]*1.25,Table8[[#This Row],[Gift_Amount]])</f>
        <v>233.27500000000001</v>
      </c>
      <c r="AB31" t="str">
        <f>IF(Table8[[#This Row],[Supporter_ID]]="","Review - missing supporter ID","")</f>
        <v/>
      </c>
      <c r="AC31" t="str">
        <f>IF(OR(Table8[[#This Row],[Response_Date]]&lt;Table8[[#This Row],[Start_Date]],Table8[[#This Row],[Response_Date]]&gt;Table8[[#This Row],[End_Date]]),"Review - response outside campaign dates","")</f>
        <v/>
      </c>
      <c r="AD31" t="str">
        <f>IF(Table8[[#This Row],[Campaign_Type]]="","Review - campaign code not found","")</f>
        <v/>
      </c>
    </row>
    <row r="32" spans="1:30" x14ac:dyDescent="0.25">
      <c r="A32" t="s">
        <v>3400</v>
      </c>
      <c r="B32" t="s">
        <v>2906</v>
      </c>
      <c r="C32" t="s">
        <v>3325</v>
      </c>
      <c r="D32" t="s">
        <v>3326</v>
      </c>
      <c r="E32" t="s">
        <v>3338</v>
      </c>
      <c r="F32" s="17">
        <v>45626</v>
      </c>
      <c r="G32">
        <v>50.51</v>
      </c>
      <c r="H32" t="s">
        <v>36</v>
      </c>
      <c r="I32" t="s">
        <v>3328</v>
      </c>
      <c r="J32" t="str">
        <f>_xlfn.XLOOKUP(Table8[[#This Row],[Supporter_ID]],tb1_supporters[Supporter_ID ],tb1_supporters[Segment],"")</f>
        <v>Mid-Value</v>
      </c>
      <c r="K32" t="str">
        <f>_xlfn.XLOOKUP(Table8[[#This Row],[Supporter_ID]],tb1_supporters[Supporter_ID ],tb1_supporters[Acquisition_Source],"")</f>
        <v>Direct Mail</v>
      </c>
      <c r="L32" t="str">
        <f>_xlfn.XLOOKUP(Table8[[#This Row],[Supporter_ID]],tb1_supporters[Supporter_ID ],tb1_supporters[County],"")</f>
        <v>West Midlands</v>
      </c>
      <c r="M32" t="str">
        <f>_xlfn.XLOOKUP(Table8[[#This Row],[Supporter_ID]],tb1_supporters[Supporter_ID ],tb1_supporters[Gender],"")</f>
        <v>Male</v>
      </c>
      <c r="N32">
        <f ca="1">_xlfn.XLOOKUP(Table8[[#This Row],[Supporter_ID]],tb1_supporters[Supporter_ID ],tb1_supporters[Age],"")</f>
        <v>34</v>
      </c>
      <c r="O32" t="str">
        <f ca="1">_xlfn.XLOOKUP(Table8[[#This Row],[Supporter_ID]],tb1_supporters[Supporter_ID ],tb1_supporters[Age_Band],"")</f>
        <v>18-34</v>
      </c>
      <c r="P32" t="str">
        <f ca="1">IF(Table8[[#This Row],[Age_Band]]="","Unknown",Table8[[#This Row],[Age_Band]])</f>
        <v>18-34</v>
      </c>
      <c r="Q32" t="str">
        <f>_xlfn.XLOOKUP(Table8[[#This Row],[Supporter_ID]],tb1_supporters[Supporter_ID ],tb1_supporters[Communication_Preference],"")</f>
        <v>Email</v>
      </c>
      <c r="R32" t="str">
        <f>_xlfn.XLOOKUP(Table8[[#This Row],[Supporter_ID]],tb1_supporters[Supporter_ID ],tb1_supporters[Duplicate_Profile_Flag],"")</f>
        <v/>
      </c>
      <c r="S32" t="str">
        <f>_xlfn.XLOOKUP(Table8[[#This Row],[Supporter_ID]],tb1_supporters[Supporter_ID ],tb1_supporters[Preference_Compliance_Flag],"")</f>
        <v/>
      </c>
      <c r="T32" t="str">
        <f ca="1">IF(Table8[[#This Row],[Age]]="","Review - missing DOB",IF(Table8[[#This Row],[Age]]&gt;TODAY(),"Review - future DOB",IF(Table8[[#This Row],[Age]]=0,"Review -  potential entry error (age 0)","")))</f>
        <v/>
      </c>
      <c r="U32" t="str">
        <f>_xlfn.XLOOKUP(Table8[[#This Row],[Campaign_Code]],tb3_CampaignMaster[Campaign_Code],tb3_CampaignMaster[Campaign_Type],"")</f>
        <v>Appeal</v>
      </c>
      <c r="V32" t="str">
        <f>_xlfn.XLOOKUP(Table8[[#This Row],[Campaign_Code]],tb3_CampaignMaster[Campaign_Code],tb3_CampaignMaster[Target_Audience],"")</f>
        <v>All Active</v>
      </c>
      <c r="W32" s="17">
        <f>_xlfn.XLOOKUP(Table8[[#This Row],[Campaign_Code]],tb3_CampaignMaster[Campaign_Code],tb3_CampaignMaster[Start_Date],"")</f>
        <v>45597</v>
      </c>
      <c r="X32" s="17">
        <f>_xlfn.XLOOKUP(Table8[[#This Row],[Campaign_Code]],tb3_CampaignMaster[Campaign_Code],tb3_CampaignMaster[End_Date],"")</f>
        <v>45657</v>
      </c>
      <c r="Y32">
        <f>_xlfn.XLOOKUP(Table8[[#This Row],[Campaign_Code]],tb3_CampaignMaster[Campaign_Code],tb3_CampaignMaster[Budget_GBP],"")</f>
        <v>25000</v>
      </c>
      <c r="Z32" t="str">
        <f>_xlfn.XLOOKUP(Table8[[#This Row],[Campaign_Code]],tb3_CampaignMaster[Campaign_Code],tb3_CampaignMaster[Primary_Channel],"")</f>
        <v>Multi-channel</v>
      </c>
      <c r="AA32" s="13">
        <f>IF(Table8[[#This Row],[Gift_Aid_Eligible]]="Yes",Table8[[#This Row],[Gift_Amount]]*1.25,Table8[[#This Row],[Gift_Amount]])</f>
        <v>63.137499999999996</v>
      </c>
      <c r="AB32" t="str">
        <f>IF(Table8[[#This Row],[Supporter_ID]]="","Review - missing supporter ID","")</f>
        <v/>
      </c>
      <c r="AC32" t="str">
        <f>IF(OR(Table8[[#This Row],[Response_Date]]&lt;Table8[[#This Row],[Start_Date]],Table8[[#This Row],[Response_Date]]&gt;Table8[[#This Row],[End_Date]]),"Review - response outside campaign dates","")</f>
        <v/>
      </c>
      <c r="AD32" t="str">
        <f>IF(Table8[[#This Row],[Campaign_Type]]="","Review - campaign code not found","")</f>
        <v/>
      </c>
    </row>
    <row r="33" spans="1:30" x14ac:dyDescent="0.25">
      <c r="A33" t="s">
        <v>3402</v>
      </c>
      <c r="B33" t="s">
        <v>256</v>
      </c>
      <c r="C33" t="s">
        <v>3403</v>
      </c>
      <c r="D33" t="s">
        <v>3404</v>
      </c>
      <c r="E33" t="s">
        <v>4</v>
      </c>
      <c r="F33" s="17">
        <v>45646</v>
      </c>
      <c r="G33">
        <v>979.64</v>
      </c>
      <c r="H33" t="s">
        <v>37</v>
      </c>
      <c r="I33" t="s">
        <v>3334</v>
      </c>
      <c r="J33" t="str">
        <f>_xlfn.XLOOKUP(Table8[[#This Row],[Supporter_ID]],tb1_supporters[Supporter_ID ],tb1_supporters[Segment],"")</f>
        <v>Major Donor</v>
      </c>
      <c r="K33" t="str">
        <f>_xlfn.XLOOKUP(Table8[[#This Row],[Supporter_ID]],tb1_supporters[Supporter_ID ],tb1_supporters[Acquisition_Source],"")</f>
        <v>Website</v>
      </c>
      <c r="L33" t="str">
        <f>_xlfn.XLOOKUP(Table8[[#This Row],[Supporter_ID]],tb1_supporters[Supporter_ID ],tb1_supporters[County],"")</f>
        <v>Hampshire</v>
      </c>
      <c r="M33" t="str">
        <f>_xlfn.XLOOKUP(Table8[[#This Row],[Supporter_ID]],tb1_supporters[Supporter_ID ],tb1_supporters[Gender],"")</f>
        <v>Male</v>
      </c>
      <c r="N33">
        <f ca="1">_xlfn.XLOOKUP(Table8[[#This Row],[Supporter_ID]],tb1_supporters[Supporter_ID ],tb1_supporters[Age],"")</f>
        <v>49</v>
      </c>
      <c r="O33" t="str">
        <f ca="1">_xlfn.XLOOKUP(Table8[[#This Row],[Supporter_ID]],tb1_supporters[Supporter_ID ],tb1_supporters[Age_Band],"")</f>
        <v>35-49</v>
      </c>
      <c r="P33" t="str">
        <f ca="1">IF(Table8[[#This Row],[Age_Band]]="","Unknown",Table8[[#This Row],[Age_Band]])</f>
        <v>35-49</v>
      </c>
      <c r="Q33" t="str">
        <f>_xlfn.XLOOKUP(Table8[[#This Row],[Supporter_ID]],tb1_supporters[Supporter_ID ],tb1_supporters[Communication_Preference],"")</f>
        <v>No Preference</v>
      </c>
      <c r="R33" t="str">
        <f>_xlfn.XLOOKUP(Table8[[#This Row],[Supporter_ID]],tb1_supporters[Supporter_ID ],tb1_supporters[Duplicate_Profile_Flag],"")</f>
        <v/>
      </c>
      <c r="S33" t="str">
        <f>_xlfn.XLOOKUP(Table8[[#This Row],[Supporter_ID]],tb1_supporters[Supporter_ID ],tb1_supporters[Preference_Compliance_Flag],"")</f>
        <v/>
      </c>
      <c r="T33" t="str">
        <f ca="1">IF(Table8[[#This Row],[Age]]="","Review - missing DOB",IF(Table8[[#This Row],[Age]]&gt;TODAY(),"Review - future DOB",IF(Table8[[#This Row],[Age]]=0,"Review -  potential entry error (age 0)","")))</f>
        <v/>
      </c>
      <c r="U33" t="str">
        <f>_xlfn.XLOOKUP(Table8[[#This Row],[Campaign_Code]],tb3_CampaignMaster[Campaign_Code],tb3_CampaignMaster[Campaign_Type],"")</f>
        <v>Trading</v>
      </c>
      <c r="V33" t="str">
        <f>_xlfn.XLOOKUP(Table8[[#This Row],[Campaign_Code]],tb3_CampaignMaster[Campaign_Code],tb3_CampaignMaster[Target_Audience],"")</f>
        <v>All Active</v>
      </c>
      <c r="W33" s="17">
        <f>_xlfn.XLOOKUP(Table8[[#This Row],[Campaign_Code]],tb3_CampaignMaster[Campaign_Code],tb3_CampaignMaster[Start_Date],"")</f>
        <v>45580</v>
      </c>
      <c r="X33" s="17">
        <f>_xlfn.XLOOKUP(Table8[[#This Row],[Campaign_Code]],tb3_CampaignMaster[Campaign_Code],tb3_CampaignMaster[End_Date],"")</f>
        <v>45646</v>
      </c>
      <c r="Y33">
        <f>_xlfn.XLOOKUP(Table8[[#This Row],[Campaign_Code]],tb3_CampaignMaster[Campaign_Code],tb3_CampaignMaster[Budget_GBP],"")</f>
        <v>12000</v>
      </c>
      <c r="Z33" t="str">
        <f>_xlfn.XLOOKUP(Table8[[#This Row],[Campaign_Code]],tb3_CampaignMaster[Campaign_Code],tb3_CampaignMaster[Primary_Channel],"")</f>
        <v>Multi-channel</v>
      </c>
      <c r="AA33" s="13">
        <f>IF(Table8[[#This Row],[Gift_Aid_Eligible]]="Yes",Table8[[#This Row],[Gift_Amount]]*1.25,Table8[[#This Row],[Gift_Amount]])</f>
        <v>979.64</v>
      </c>
      <c r="AB33" t="str">
        <f>IF(Table8[[#This Row],[Supporter_ID]]="","Review - missing supporter ID","")</f>
        <v/>
      </c>
      <c r="AC33" t="str">
        <f>IF(OR(Table8[[#This Row],[Response_Date]]&lt;Table8[[#This Row],[Start_Date]],Table8[[#This Row],[Response_Date]]&gt;Table8[[#This Row],[End_Date]]),"Review - response outside campaign dates","")</f>
        <v/>
      </c>
      <c r="AD33" t="str">
        <f>IF(Table8[[#This Row],[Campaign_Type]]="","Review - campaign code not found","")</f>
        <v/>
      </c>
    </row>
    <row r="34" spans="1:30" x14ac:dyDescent="0.25">
      <c r="A34" t="s">
        <v>3406</v>
      </c>
      <c r="B34" t="s">
        <v>2263</v>
      </c>
      <c r="C34" t="s">
        <v>3367</v>
      </c>
      <c r="D34" t="s">
        <v>3368</v>
      </c>
      <c r="E34" t="s">
        <v>65</v>
      </c>
      <c r="F34" s="17">
        <v>45736</v>
      </c>
      <c r="G34">
        <v>30.12</v>
      </c>
      <c r="H34" t="s">
        <v>36</v>
      </c>
      <c r="I34" t="s">
        <v>3331</v>
      </c>
      <c r="J34" t="str">
        <f>_xlfn.XLOOKUP(Table8[[#This Row],[Supporter_ID]],tb1_supporters[Supporter_ID ],tb1_supporters[Segment],"")</f>
        <v>Lapsed</v>
      </c>
      <c r="K34" t="str">
        <f>_xlfn.XLOOKUP(Table8[[#This Row],[Supporter_ID]],tb1_supporters[Supporter_ID ],tb1_supporters[Acquisition_Source],"")</f>
        <v>Event</v>
      </c>
      <c r="L34" t="str">
        <f>_xlfn.XLOOKUP(Table8[[#This Row],[Supporter_ID]],tb1_supporters[Supporter_ID ],tb1_supporters[County],"")</f>
        <v>Tyne and Wear</v>
      </c>
      <c r="M34" t="str">
        <f>_xlfn.XLOOKUP(Table8[[#This Row],[Supporter_ID]],tb1_supporters[Supporter_ID ],tb1_supporters[Gender],"")</f>
        <v>Female</v>
      </c>
      <c r="N34">
        <f ca="1">_xlfn.XLOOKUP(Table8[[#This Row],[Supporter_ID]],tb1_supporters[Supporter_ID ],tb1_supporters[Age],"")</f>
        <v>34</v>
      </c>
      <c r="O34" t="str">
        <f ca="1">_xlfn.XLOOKUP(Table8[[#This Row],[Supporter_ID]],tb1_supporters[Supporter_ID ],tb1_supporters[Age_Band],"")</f>
        <v>18-34</v>
      </c>
      <c r="P34" t="str">
        <f ca="1">IF(Table8[[#This Row],[Age_Band]]="","Unknown",Table8[[#This Row],[Age_Band]])</f>
        <v>18-34</v>
      </c>
      <c r="Q34" t="str">
        <f>_xlfn.XLOOKUP(Table8[[#This Row],[Supporter_ID]],tb1_supporters[Supporter_ID ],tb1_supporters[Communication_Preference],"")</f>
        <v>Phone</v>
      </c>
      <c r="R34" t="str">
        <f>_xlfn.XLOOKUP(Table8[[#This Row],[Supporter_ID]],tb1_supporters[Supporter_ID ],tb1_supporters[Duplicate_Profile_Flag],"")</f>
        <v/>
      </c>
      <c r="S34" t="str">
        <f>_xlfn.XLOOKUP(Table8[[#This Row],[Supporter_ID]],tb1_supporters[Supporter_ID ],tb1_supporters[Preference_Compliance_Flag],"")</f>
        <v>Review - prefers phone but not opted in</v>
      </c>
      <c r="T34" t="str">
        <f ca="1">IF(Table8[[#This Row],[Age]]="","Review - missing DOB",IF(Table8[[#This Row],[Age]]&gt;TODAY(),"Review - future DOB",IF(Table8[[#This Row],[Age]]=0,"Review -  potential entry error (age 0)","")))</f>
        <v/>
      </c>
      <c r="U34" t="str">
        <f>_xlfn.XLOOKUP(Table8[[#This Row],[Campaign_Code]],tb3_CampaignMaster[Campaign_Code],tb3_CampaignMaster[Campaign_Type],"")</f>
        <v>Raffle</v>
      </c>
      <c r="V34" t="str">
        <f>_xlfn.XLOOKUP(Table8[[#This Row],[Campaign_Code]],tb3_CampaignMaster[Campaign_Code],tb3_CampaignMaster[Target_Audience],"")</f>
        <v>Regular Givers</v>
      </c>
      <c r="W34" s="17">
        <f>_xlfn.XLOOKUP(Table8[[#This Row],[Campaign_Code]],tb3_CampaignMaster[Campaign_Code],tb3_CampaignMaster[Start_Date],"")</f>
        <v>45717</v>
      </c>
      <c r="X34" s="17">
        <f>_xlfn.XLOOKUP(Table8[[#This Row],[Campaign_Code]],tb3_CampaignMaster[Campaign_Code],tb3_CampaignMaster[End_Date],"")</f>
        <v>45777</v>
      </c>
      <c r="Y34">
        <f>_xlfn.XLOOKUP(Table8[[#This Row],[Campaign_Code]],tb3_CampaignMaster[Campaign_Code],tb3_CampaignMaster[Budget_GBP],"")</f>
        <v>8000</v>
      </c>
      <c r="Z34" t="str">
        <f>_xlfn.XLOOKUP(Table8[[#This Row],[Campaign_Code]],tb3_CampaignMaster[Campaign_Code],tb3_CampaignMaster[Primary_Channel],"")</f>
        <v>Direct Mail</v>
      </c>
      <c r="AA34" s="13">
        <f>IF(Table8[[#This Row],[Gift_Aid_Eligible]]="Yes",Table8[[#This Row],[Gift_Amount]]*1.25,Table8[[#This Row],[Gift_Amount]])</f>
        <v>37.65</v>
      </c>
      <c r="AB34" t="str">
        <f>IF(Table8[[#This Row],[Supporter_ID]]="","Review - missing supporter ID","")</f>
        <v/>
      </c>
      <c r="AC34" t="str">
        <f>IF(OR(Table8[[#This Row],[Response_Date]]&lt;Table8[[#This Row],[Start_Date]],Table8[[#This Row],[Response_Date]]&gt;Table8[[#This Row],[End_Date]]),"Review - response outside campaign dates","")</f>
        <v/>
      </c>
      <c r="AD34" t="str">
        <f>IF(Table8[[#This Row],[Campaign_Type]]="","Review - campaign code not found","")</f>
        <v/>
      </c>
    </row>
    <row r="35" spans="1:30" x14ac:dyDescent="0.25">
      <c r="A35" t="s">
        <v>3408</v>
      </c>
      <c r="B35" t="s">
        <v>680</v>
      </c>
      <c r="C35" t="s">
        <v>3325</v>
      </c>
      <c r="D35" t="s">
        <v>3326</v>
      </c>
      <c r="E35" t="s">
        <v>65</v>
      </c>
      <c r="F35" s="17">
        <v>45600</v>
      </c>
      <c r="G35">
        <v>6.88</v>
      </c>
      <c r="H35" t="s">
        <v>37</v>
      </c>
      <c r="I35" t="s">
        <v>3323</v>
      </c>
      <c r="J35" t="str">
        <f>_xlfn.XLOOKUP(Table8[[#This Row],[Supporter_ID]],tb1_supporters[Supporter_ID ],tb1_supporters[Segment],"")</f>
        <v>Prospect</v>
      </c>
      <c r="K35" t="str">
        <f>_xlfn.XLOOKUP(Table8[[#This Row],[Supporter_ID]],tb1_supporters[Supporter_ID ],tb1_supporters[Acquisition_Source],"")</f>
        <v>Event</v>
      </c>
      <c r="L35" t="str">
        <f>_xlfn.XLOOKUP(Table8[[#This Row],[Supporter_ID]],tb1_supporters[Supporter_ID ],tb1_supporters[County],"")</f>
        <v>Hertfordshire</v>
      </c>
      <c r="M35" t="str">
        <f>_xlfn.XLOOKUP(Table8[[#This Row],[Supporter_ID]],tb1_supporters[Supporter_ID ],tb1_supporters[Gender],"")</f>
        <v>Male</v>
      </c>
      <c r="N35">
        <f ca="1">_xlfn.XLOOKUP(Table8[[#This Row],[Supporter_ID]],tb1_supporters[Supporter_ID ],tb1_supporters[Age],"")</f>
        <v>54</v>
      </c>
      <c r="O35" t="str">
        <f ca="1">_xlfn.XLOOKUP(Table8[[#This Row],[Supporter_ID]],tb1_supporters[Supporter_ID ],tb1_supporters[Age_Band],"")</f>
        <v>50-64</v>
      </c>
      <c r="P35" t="str">
        <f ca="1">IF(Table8[[#This Row],[Age_Band]]="","Unknown",Table8[[#This Row],[Age_Band]])</f>
        <v>50-64</v>
      </c>
      <c r="Q35" t="str">
        <f>_xlfn.XLOOKUP(Table8[[#This Row],[Supporter_ID]],tb1_supporters[Supporter_ID ],tb1_supporters[Communication_Preference],"")</f>
        <v>Post</v>
      </c>
      <c r="R35" t="str">
        <f>_xlfn.XLOOKUP(Table8[[#This Row],[Supporter_ID]],tb1_supporters[Supporter_ID ],tb1_supporters[Duplicate_Profile_Flag],"")</f>
        <v/>
      </c>
      <c r="S35" t="str">
        <f>_xlfn.XLOOKUP(Table8[[#This Row],[Supporter_ID]],tb1_supporters[Supporter_ID ],tb1_supporters[Preference_Compliance_Flag],"")</f>
        <v>Review - prefers post but not opted in</v>
      </c>
      <c r="T35" t="str">
        <f ca="1">IF(Table8[[#This Row],[Age]]="","Review - missing DOB",IF(Table8[[#This Row],[Age]]&gt;TODAY(),"Review - future DOB",IF(Table8[[#This Row],[Age]]=0,"Review -  potential entry error (age 0)","")))</f>
        <v/>
      </c>
      <c r="U35" t="str">
        <f>_xlfn.XLOOKUP(Table8[[#This Row],[Campaign_Code]],tb3_CampaignMaster[Campaign_Code],tb3_CampaignMaster[Campaign_Type],"")</f>
        <v>Appeal</v>
      </c>
      <c r="V35" t="str">
        <f>_xlfn.XLOOKUP(Table8[[#This Row],[Campaign_Code]],tb3_CampaignMaster[Campaign_Code],tb3_CampaignMaster[Target_Audience],"")</f>
        <v>All Active</v>
      </c>
      <c r="W35" s="17">
        <f>_xlfn.XLOOKUP(Table8[[#This Row],[Campaign_Code]],tb3_CampaignMaster[Campaign_Code],tb3_CampaignMaster[Start_Date],"")</f>
        <v>45597</v>
      </c>
      <c r="X35" s="17">
        <f>_xlfn.XLOOKUP(Table8[[#This Row],[Campaign_Code]],tb3_CampaignMaster[Campaign_Code],tb3_CampaignMaster[End_Date],"")</f>
        <v>45657</v>
      </c>
      <c r="Y35">
        <f>_xlfn.XLOOKUP(Table8[[#This Row],[Campaign_Code]],tb3_CampaignMaster[Campaign_Code],tb3_CampaignMaster[Budget_GBP],"")</f>
        <v>25000</v>
      </c>
      <c r="Z35" t="str">
        <f>_xlfn.XLOOKUP(Table8[[#This Row],[Campaign_Code]],tb3_CampaignMaster[Campaign_Code],tb3_CampaignMaster[Primary_Channel],"")</f>
        <v>Multi-channel</v>
      </c>
      <c r="AA35" s="13">
        <f>IF(Table8[[#This Row],[Gift_Aid_Eligible]]="Yes",Table8[[#This Row],[Gift_Amount]]*1.25,Table8[[#This Row],[Gift_Amount]])</f>
        <v>6.88</v>
      </c>
      <c r="AB35" t="str">
        <f>IF(Table8[[#This Row],[Supporter_ID]]="","Review - missing supporter ID","")</f>
        <v/>
      </c>
      <c r="AC35" t="str">
        <f>IF(OR(Table8[[#This Row],[Response_Date]]&lt;Table8[[#This Row],[Start_Date]],Table8[[#This Row],[Response_Date]]&gt;Table8[[#This Row],[End_Date]]),"Review - response outside campaign dates","")</f>
        <v/>
      </c>
      <c r="AD35" t="str">
        <f>IF(Table8[[#This Row],[Campaign_Type]]="","Review - campaign code not found","")</f>
        <v/>
      </c>
    </row>
    <row r="36" spans="1:30" x14ac:dyDescent="0.25">
      <c r="A36" t="s">
        <v>3411</v>
      </c>
      <c r="B36" t="s">
        <v>746</v>
      </c>
      <c r="C36" t="s">
        <v>3341</v>
      </c>
      <c r="D36" t="s">
        <v>3342</v>
      </c>
      <c r="E36" t="s">
        <v>4</v>
      </c>
      <c r="F36" s="17">
        <v>45700</v>
      </c>
      <c r="G36">
        <v>212.03</v>
      </c>
      <c r="H36" t="s">
        <v>36</v>
      </c>
      <c r="I36" t="s">
        <v>3331</v>
      </c>
      <c r="J36" t="str">
        <f>_xlfn.XLOOKUP(Table8[[#This Row],[Supporter_ID]],tb1_supporters[Supporter_ID ],tb1_supporters[Segment],"")</f>
        <v>Mid-Value</v>
      </c>
      <c r="K36" t="str">
        <f>_xlfn.XLOOKUP(Table8[[#This Row],[Supporter_ID]],tb1_supporters[Supporter_ID ],tb1_supporters[Acquisition_Source],"")</f>
        <v>Corporate Partner</v>
      </c>
      <c r="L36" t="str">
        <f>_xlfn.XLOOKUP(Table8[[#This Row],[Supporter_ID]],tb1_supporters[Supporter_ID ],tb1_supporters[County],"")</f>
        <v>South Glamorgan</v>
      </c>
      <c r="M36" t="str">
        <f>_xlfn.XLOOKUP(Table8[[#This Row],[Supporter_ID]],tb1_supporters[Supporter_ID ],tb1_supporters[Gender],"")</f>
        <v>Female</v>
      </c>
      <c r="N36">
        <f ca="1">_xlfn.XLOOKUP(Table8[[#This Row],[Supporter_ID]],tb1_supporters[Supporter_ID ],tb1_supporters[Age],"")</f>
        <v>53</v>
      </c>
      <c r="O36" t="str">
        <f ca="1">_xlfn.XLOOKUP(Table8[[#This Row],[Supporter_ID]],tb1_supporters[Supporter_ID ],tb1_supporters[Age_Band],"")</f>
        <v>50-64</v>
      </c>
      <c r="P36" t="str">
        <f ca="1">IF(Table8[[#This Row],[Age_Band]]="","Unknown",Table8[[#This Row],[Age_Band]])</f>
        <v>50-64</v>
      </c>
      <c r="Q36" t="str">
        <f>_xlfn.XLOOKUP(Table8[[#This Row],[Supporter_ID]],tb1_supporters[Supporter_ID ],tb1_supporters[Communication_Preference],"")</f>
        <v>Email</v>
      </c>
      <c r="R36" t="str">
        <f>_xlfn.XLOOKUP(Table8[[#This Row],[Supporter_ID]],tb1_supporters[Supporter_ID ],tb1_supporters[Duplicate_Profile_Flag],"")</f>
        <v/>
      </c>
      <c r="S36" t="str">
        <f>_xlfn.XLOOKUP(Table8[[#This Row],[Supporter_ID]],tb1_supporters[Supporter_ID ],tb1_supporters[Preference_Compliance_Flag],"")</f>
        <v/>
      </c>
      <c r="T36" t="str">
        <f ca="1">IF(Table8[[#This Row],[Age]]="","Review - missing DOB",IF(Table8[[#This Row],[Age]]&gt;TODAY(),"Review - future DOB",IF(Table8[[#This Row],[Age]]=0,"Review -  potential entry error (age 0)","")))</f>
        <v/>
      </c>
      <c r="U36" t="str">
        <f>_xlfn.XLOOKUP(Table8[[#This Row],[Campaign_Code]],tb3_CampaignMaster[Campaign_Code],tb3_CampaignMaster[Campaign_Type],"")</f>
        <v>Acquisition</v>
      </c>
      <c r="V36" t="str">
        <f>_xlfn.XLOOKUP(Table8[[#This Row],[Campaign_Code]],tb3_CampaignMaster[Campaign_Code],tb3_CampaignMaster[Target_Audience],"")</f>
        <v>Prospects</v>
      </c>
      <c r="W36" s="17">
        <f>_xlfn.XLOOKUP(Table8[[#This Row],[Campaign_Code]],tb3_CampaignMaster[Campaign_Code],tb3_CampaignMaster[Start_Date],"")</f>
        <v>45689</v>
      </c>
      <c r="X36" s="17">
        <f>_xlfn.XLOOKUP(Table8[[#This Row],[Campaign_Code]],tb3_CampaignMaster[Campaign_Code],tb3_CampaignMaster[End_Date],"")</f>
        <v>45777</v>
      </c>
      <c r="Y36">
        <f>_xlfn.XLOOKUP(Table8[[#This Row],[Campaign_Code]],tb3_CampaignMaster[Campaign_Code],tb3_CampaignMaster[Budget_GBP],"")</f>
        <v>20000</v>
      </c>
      <c r="Z36" t="str">
        <f>_xlfn.XLOOKUP(Table8[[#This Row],[Campaign_Code]],tb3_CampaignMaster[Campaign_Code],tb3_CampaignMaster[Primary_Channel],"")</f>
        <v>Digital</v>
      </c>
      <c r="AA36" s="13">
        <f>IF(Table8[[#This Row],[Gift_Aid_Eligible]]="Yes",Table8[[#This Row],[Gift_Amount]]*1.25,Table8[[#This Row],[Gift_Amount]])</f>
        <v>265.03750000000002</v>
      </c>
      <c r="AB36" t="str">
        <f>IF(Table8[[#This Row],[Supporter_ID]]="","Review - missing supporter ID","")</f>
        <v/>
      </c>
      <c r="AC36" t="str">
        <f>IF(OR(Table8[[#This Row],[Response_Date]]&lt;Table8[[#This Row],[Start_Date]],Table8[[#This Row],[Response_Date]]&gt;Table8[[#This Row],[End_Date]]),"Review - response outside campaign dates","")</f>
        <v/>
      </c>
      <c r="AD36" t="str">
        <f>IF(Table8[[#This Row],[Campaign_Type]]="","Review - campaign code not found","")</f>
        <v/>
      </c>
    </row>
    <row r="37" spans="1:30" x14ac:dyDescent="0.25">
      <c r="A37" t="s">
        <v>3413</v>
      </c>
      <c r="B37" t="s">
        <v>2278</v>
      </c>
      <c r="C37" t="s">
        <v>3341</v>
      </c>
      <c r="D37" t="s">
        <v>3342</v>
      </c>
      <c r="E37" t="s">
        <v>4</v>
      </c>
      <c r="F37" s="17">
        <v>45762</v>
      </c>
      <c r="G37">
        <v>1097.68</v>
      </c>
      <c r="H37" t="s">
        <v>36</v>
      </c>
      <c r="I37" t="s">
        <v>3365</v>
      </c>
      <c r="J37" t="str">
        <f>_xlfn.XLOOKUP(Table8[[#This Row],[Supporter_ID]],tb1_supporters[Supporter_ID ],tb1_supporters[Segment],"")</f>
        <v>Major Donor</v>
      </c>
      <c r="K37" t="str">
        <f>_xlfn.XLOOKUP(Table8[[#This Row],[Supporter_ID]],tb1_supporters[Supporter_ID ],tb1_supporters[Acquisition_Source],"")</f>
        <v>Direct Mail</v>
      </c>
      <c r="L37" t="str">
        <f>_xlfn.XLOOKUP(Table8[[#This Row],[Supporter_ID]],tb1_supporters[Supporter_ID ],tb1_supporters[County],"")</f>
        <v>Buckinghamshire</v>
      </c>
      <c r="M37" t="str">
        <f>_xlfn.XLOOKUP(Table8[[#This Row],[Supporter_ID]],tb1_supporters[Supporter_ID ],tb1_supporters[Gender],"")</f>
        <v>Female</v>
      </c>
      <c r="N37">
        <f ca="1">_xlfn.XLOOKUP(Table8[[#This Row],[Supporter_ID]],tb1_supporters[Supporter_ID ],tb1_supporters[Age],"")</f>
        <v>53</v>
      </c>
      <c r="O37" t="str">
        <f ca="1">_xlfn.XLOOKUP(Table8[[#This Row],[Supporter_ID]],tb1_supporters[Supporter_ID ],tb1_supporters[Age_Band],"")</f>
        <v>50-64</v>
      </c>
      <c r="P37" t="str">
        <f ca="1">IF(Table8[[#This Row],[Age_Band]]="","Unknown",Table8[[#This Row],[Age_Band]])</f>
        <v>50-64</v>
      </c>
      <c r="Q37" t="str">
        <f>_xlfn.XLOOKUP(Table8[[#This Row],[Supporter_ID]],tb1_supporters[Supporter_ID ],tb1_supporters[Communication_Preference],"")</f>
        <v>Post</v>
      </c>
      <c r="R37" t="str">
        <f>_xlfn.XLOOKUP(Table8[[#This Row],[Supporter_ID]],tb1_supporters[Supporter_ID ],tb1_supporters[Duplicate_Profile_Flag],"")</f>
        <v/>
      </c>
      <c r="S37" t="str">
        <f>_xlfn.XLOOKUP(Table8[[#This Row],[Supporter_ID]],tb1_supporters[Supporter_ID ],tb1_supporters[Preference_Compliance_Flag],"")</f>
        <v/>
      </c>
      <c r="T37" t="str">
        <f ca="1">IF(Table8[[#This Row],[Age]]="","Review - missing DOB",IF(Table8[[#This Row],[Age]]&gt;TODAY(),"Review - future DOB",IF(Table8[[#This Row],[Age]]=0,"Review -  potential entry error (age 0)","")))</f>
        <v/>
      </c>
      <c r="U37" t="str">
        <f>_xlfn.XLOOKUP(Table8[[#This Row],[Campaign_Code]],tb3_CampaignMaster[Campaign_Code],tb3_CampaignMaster[Campaign_Type],"")</f>
        <v>Acquisition</v>
      </c>
      <c r="V37" t="str">
        <f>_xlfn.XLOOKUP(Table8[[#This Row],[Campaign_Code]],tb3_CampaignMaster[Campaign_Code],tb3_CampaignMaster[Target_Audience],"")</f>
        <v>Prospects</v>
      </c>
      <c r="W37" s="17">
        <f>_xlfn.XLOOKUP(Table8[[#This Row],[Campaign_Code]],tb3_CampaignMaster[Campaign_Code],tb3_CampaignMaster[Start_Date],"")</f>
        <v>45689</v>
      </c>
      <c r="X37" s="17">
        <f>_xlfn.XLOOKUP(Table8[[#This Row],[Campaign_Code]],tb3_CampaignMaster[Campaign_Code],tb3_CampaignMaster[End_Date],"")</f>
        <v>45777</v>
      </c>
      <c r="Y37">
        <f>_xlfn.XLOOKUP(Table8[[#This Row],[Campaign_Code]],tb3_CampaignMaster[Campaign_Code],tb3_CampaignMaster[Budget_GBP],"")</f>
        <v>20000</v>
      </c>
      <c r="Z37" t="str">
        <f>_xlfn.XLOOKUP(Table8[[#This Row],[Campaign_Code]],tb3_CampaignMaster[Campaign_Code],tb3_CampaignMaster[Primary_Channel],"")</f>
        <v>Digital</v>
      </c>
      <c r="AA37" s="13">
        <f>IF(Table8[[#This Row],[Gift_Aid_Eligible]]="Yes",Table8[[#This Row],[Gift_Amount]]*1.25,Table8[[#This Row],[Gift_Amount]])</f>
        <v>1372.1000000000001</v>
      </c>
      <c r="AB37" t="str">
        <f>IF(Table8[[#This Row],[Supporter_ID]]="","Review - missing supporter ID","")</f>
        <v/>
      </c>
      <c r="AC37" t="str">
        <f>IF(OR(Table8[[#This Row],[Response_Date]]&lt;Table8[[#This Row],[Start_Date]],Table8[[#This Row],[Response_Date]]&gt;Table8[[#This Row],[End_Date]]),"Review - response outside campaign dates","")</f>
        <v/>
      </c>
      <c r="AD37" t="str">
        <f>IF(Table8[[#This Row],[Campaign_Type]]="","Review - campaign code not found","")</f>
        <v/>
      </c>
    </row>
    <row r="38" spans="1:30" x14ac:dyDescent="0.25">
      <c r="A38" t="s">
        <v>3415</v>
      </c>
      <c r="B38" t="s">
        <v>2159</v>
      </c>
      <c r="C38" t="s">
        <v>3325</v>
      </c>
      <c r="D38" t="s">
        <v>3326</v>
      </c>
      <c r="E38" t="s">
        <v>65</v>
      </c>
      <c r="F38" s="17">
        <v>45602</v>
      </c>
      <c r="G38">
        <v>39.479999999999997</v>
      </c>
      <c r="H38" t="s">
        <v>36</v>
      </c>
      <c r="I38" t="s">
        <v>3385</v>
      </c>
      <c r="J38" t="str">
        <f>_xlfn.XLOOKUP(Table8[[#This Row],[Supporter_ID]],tb1_supporters[Supporter_ID ],tb1_supporters[Segment],"")</f>
        <v>Lapsed</v>
      </c>
      <c r="K38" t="str">
        <f>_xlfn.XLOOKUP(Table8[[#This Row],[Supporter_ID]],tb1_supporters[Supporter_ID ],tb1_supporters[Acquisition_Source],"")</f>
        <v>Website</v>
      </c>
      <c r="L38" t="str">
        <f>_xlfn.XLOOKUP(Table8[[#This Row],[Supporter_ID]],tb1_supporters[Supporter_ID ],tb1_supporters[County],"")</f>
        <v>Hampshire</v>
      </c>
      <c r="M38" t="str">
        <f>_xlfn.XLOOKUP(Table8[[#This Row],[Supporter_ID]],tb1_supporters[Supporter_ID ],tb1_supporters[Gender],"")</f>
        <v>Male</v>
      </c>
      <c r="N38" t="str">
        <f ca="1">_xlfn.XLOOKUP(Table8[[#This Row],[Supporter_ID]],tb1_supporters[Supporter_ID ],tb1_supporters[Age],"")</f>
        <v/>
      </c>
      <c r="O38" t="str">
        <f ca="1">_xlfn.XLOOKUP(Table8[[#This Row],[Supporter_ID]],tb1_supporters[Supporter_ID ],tb1_supporters[Age_Band],"")</f>
        <v/>
      </c>
      <c r="P38" t="str">
        <f ca="1">IF(Table8[[#This Row],[Age_Band]]="","Unknown",Table8[[#This Row],[Age_Band]])</f>
        <v>Unknown</v>
      </c>
      <c r="Q38" t="str">
        <f>_xlfn.XLOOKUP(Table8[[#This Row],[Supporter_ID]],tb1_supporters[Supporter_ID ],tb1_supporters[Communication_Preference],"")</f>
        <v>Phone</v>
      </c>
      <c r="R38" t="str">
        <f>_xlfn.XLOOKUP(Table8[[#This Row],[Supporter_ID]],tb1_supporters[Supporter_ID ],tb1_supporters[Duplicate_Profile_Flag],"")</f>
        <v/>
      </c>
      <c r="S38" t="str">
        <f>_xlfn.XLOOKUP(Table8[[#This Row],[Supporter_ID]],tb1_supporters[Supporter_ID ],tb1_supporters[Preference_Compliance_Flag],"")</f>
        <v>Review - prefers phone but not opted in</v>
      </c>
      <c r="T38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38" t="str">
        <f>_xlfn.XLOOKUP(Table8[[#This Row],[Campaign_Code]],tb3_CampaignMaster[Campaign_Code],tb3_CampaignMaster[Campaign_Type],"")</f>
        <v>Appeal</v>
      </c>
      <c r="V38" t="str">
        <f>_xlfn.XLOOKUP(Table8[[#This Row],[Campaign_Code]],tb3_CampaignMaster[Campaign_Code],tb3_CampaignMaster[Target_Audience],"")</f>
        <v>All Active</v>
      </c>
      <c r="W38" s="17">
        <f>_xlfn.XLOOKUP(Table8[[#This Row],[Campaign_Code]],tb3_CampaignMaster[Campaign_Code],tb3_CampaignMaster[Start_Date],"")</f>
        <v>45597</v>
      </c>
      <c r="X38" s="17">
        <f>_xlfn.XLOOKUP(Table8[[#This Row],[Campaign_Code]],tb3_CampaignMaster[Campaign_Code],tb3_CampaignMaster[End_Date],"")</f>
        <v>45657</v>
      </c>
      <c r="Y38">
        <f>_xlfn.XLOOKUP(Table8[[#This Row],[Campaign_Code]],tb3_CampaignMaster[Campaign_Code],tb3_CampaignMaster[Budget_GBP],"")</f>
        <v>25000</v>
      </c>
      <c r="Z38" t="str">
        <f>_xlfn.XLOOKUP(Table8[[#This Row],[Campaign_Code]],tb3_CampaignMaster[Campaign_Code],tb3_CampaignMaster[Primary_Channel],"")</f>
        <v>Multi-channel</v>
      </c>
      <c r="AA38" s="13">
        <f>IF(Table8[[#This Row],[Gift_Aid_Eligible]]="Yes",Table8[[#This Row],[Gift_Amount]]*1.25,Table8[[#This Row],[Gift_Amount]])</f>
        <v>49.349999999999994</v>
      </c>
      <c r="AB38" t="str">
        <f>IF(Table8[[#This Row],[Supporter_ID]]="","Review - missing supporter ID","")</f>
        <v/>
      </c>
      <c r="AC38" t="str">
        <f>IF(OR(Table8[[#This Row],[Response_Date]]&lt;Table8[[#This Row],[Start_Date]],Table8[[#This Row],[Response_Date]]&gt;Table8[[#This Row],[End_Date]]),"Review - response outside campaign dates","")</f>
        <v/>
      </c>
      <c r="AD38" t="str">
        <f>IF(Table8[[#This Row],[Campaign_Type]]="","Review - campaign code not found","")</f>
        <v/>
      </c>
    </row>
    <row r="39" spans="1:30" x14ac:dyDescent="0.25">
      <c r="A39" t="s">
        <v>3417</v>
      </c>
      <c r="B39" t="s">
        <v>2764</v>
      </c>
      <c r="C39" t="s">
        <v>3354</v>
      </c>
      <c r="D39" t="s">
        <v>3355</v>
      </c>
      <c r="E39" t="s">
        <v>65</v>
      </c>
      <c r="F39" s="17">
        <v>45618</v>
      </c>
      <c r="G39">
        <v>80.83</v>
      </c>
      <c r="H39" t="s">
        <v>36</v>
      </c>
      <c r="I39" t="s">
        <v>3365</v>
      </c>
      <c r="J39" t="str">
        <f>_xlfn.XLOOKUP(Table8[[#This Row],[Supporter_ID]],tb1_supporters[Supporter_ID ],tb1_supporters[Segment],"")</f>
        <v>Lapsed</v>
      </c>
      <c r="K39" t="str">
        <f>_xlfn.XLOOKUP(Table8[[#This Row],[Supporter_ID]],tb1_supporters[Supporter_ID ],tb1_supporters[Acquisition_Source],"")</f>
        <v>Door-To-Door</v>
      </c>
      <c r="L39" t="str">
        <f>_xlfn.XLOOKUP(Table8[[#This Row],[Supporter_ID]],tb1_supporters[Supporter_ID ],tb1_supporters[County],"")</f>
        <v>West Yorkshire</v>
      </c>
      <c r="M39" t="str">
        <f>_xlfn.XLOOKUP(Table8[[#This Row],[Supporter_ID]],tb1_supporters[Supporter_ID ],tb1_supporters[Gender],"")</f>
        <v>Female</v>
      </c>
      <c r="N39">
        <f ca="1">_xlfn.XLOOKUP(Table8[[#This Row],[Supporter_ID]],tb1_supporters[Supporter_ID ],tb1_supporters[Age],"")</f>
        <v>37</v>
      </c>
      <c r="O39" t="str">
        <f ca="1">_xlfn.XLOOKUP(Table8[[#This Row],[Supporter_ID]],tb1_supporters[Supporter_ID ],tb1_supporters[Age_Band],"")</f>
        <v>35-49</v>
      </c>
      <c r="P39" t="str">
        <f ca="1">IF(Table8[[#This Row],[Age_Band]]="","Unknown",Table8[[#This Row],[Age_Band]])</f>
        <v>35-49</v>
      </c>
      <c r="Q39" t="str">
        <f>_xlfn.XLOOKUP(Table8[[#This Row],[Supporter_ID]],tb1_supporters[Supporter_ID ],tb1_supporters[Communication_Preference],"")</f>
        <v>Post</v>
      </c>
      <c r="R39" t="str">
        <f>_xlfn.XLOOKUP(Table8[[#This Row],[Supporter_ID]],tb1_supporters[Supporter_ID ],tb1_supporters[Duplicate_Profile_Flag],"")</f>
        <v/>
      </c>
      <c r="S39" t="str">
        <f>_xlfn.XLOOKUP(Table8[[#This Row],[Supporter_ID]],tb1_supporters[Supporter_ID ],tb1_supporters[Preference_Compliance_Flag],"")</f>
        <v/>
      </c>
      <c r="T39" t="str">
        <f ca="1">IF(Table8[[#This Row],[Age]]="","Review - missing DOB",IF(Table8[[#This Row],[Age]]&gt;TODAY(),"Review - future DOB",IF(Table8[[#This Row],[Age]]=0,"Review -  potential entry error (age 0)","")))</f>
        <v/>
      </c>
      <c r="U39" t="str">
        <f>_xlfn.XLOOKUP(Table8[[#This Row],[Campaign_Code]],tb3_CampaignMaster[Campaign_Code],tb3_CampaignMaster[Campaign_Type],"")</f>
        <v>Event</v>
      </c>
      <c r="V39" t="str">
        <f>_xlfn.XLOOKUP(Table8[[#This Row],[Campaign_Code]],tb3_CampaignMaster[Campaign_Code],tb3_CampaignMaster[Target_Audience],"")</f>
        <v>Volunteers</v>
      </c>
      <c r="W39" s="17">
        <f>_xlfn.XLOOKUP(Table8[[#This Row],[Campaign_Code]],tb3_CampaignMaster[Campaign_Code],tb3_CampaignMaster[Start_Date],"")</f>
        <v>45618</v>
      </c>
      <c r="X39" s="17">
        <f>_xlfn.XLOOKUP(Table8[[#This Row],[Campaign_Code]],tb3_CampaignMaster[Campaign_Code],tb3_CampaignMaster[End_Date],"")</f>
        <v>45618</v>
      </c>
      <c r="Y39">
        <f>_xlfn.XLOOKUP(Table8[[#This Row],[Campaign_Code]],tb3_CampaignMaster[Campaign_Code],tb3_CampaignMaster[Budget_GBP],"")</f>
        <v>3500</v>
      </c>
      <c r="Z39" t="str">
        <f>_xlfn.XLOOKUP(Table8[[#This Row],[Campaign_Code]],tb3_CampaignMaster[Campaign_Code],tb3_CampaignMaster[Primary_Channel],"")</f>
        <v>Email</v>
      </c>
      <c r="AA39" s="13">
        <f>IF(Table8[[#This Row],[Gift_Aid_Eligible]]="Yes",Table8[[#This Row],[Gift_Amount]]*1.25,Table8[[#This Row],[Gift_Amount]])</f>
        <v>101.03749999999999</v>
      </c>
      <c r="AB39" t="str">
        <f>IF(Table8[[#This Row],[Supporter_ID]]="","Review - missing supporter ID","")</f>
        <v/>
      </c>
      <c r="AC39" t="str">
        <f>IF(OR(Table8[[#This Row],[Response_Date]]&lt;Table8[[#This Row],[Start_Date]],Table8[[#This Row],[Response_Date]]&gt;Table8[[#This Row],[End_Date]]),"Review - response outside campaign dates","")</f>
        <v/>
      </c>
      <c r="AD39" t="str">
        <f>IF(Table8[[#This Row],[Campaign_Type]]="","Review - campaign code not found","")</f>
        <v/>
      </c>
    </row>
    <row r="40" spans="1:30" x14ac:dyDescent="0.25">
      <c r="A40" t="s">
        <v>3418</v>
      </c>
      <c r="B40" t="s">
        <v>553</v>
      </c>
      <c r="C40" t="s">
        <v>3314</v>
      </c>
      <c r="D40" t="s">
        <v>3315</v>
      </c>
      <c r="E40" t="s">
        <v>33</v>
      </c>
      <c r="F40" s="17">
        <v>45666</v>
      </c>
      <c r="G40">
        <v>11.66</v>
      </c>
      <c r="H40" t="s">
        <v>36</v>
      </c>
      <c r="I40" t="s">
        <v>3323</v>
      </c>
      <c r="J40" t="str">
        <f>_xlfn.XLOOKUP(Table8[[#This Row],[Supporter_ID]],tb1_supporters[Supporter_ID ],tb1_supporters[Segment],"")</f>
        <v>Regular Giver</v>
      </c>
      <c r="K40" t="str">
        <f>_xlfn.XLOOKUP(Table8[[#This Row],[Supporter_ID]],tb1_supporters[Supporter_ID ],tb1_supporters[Acquisition_Source],"")</f>
        <v>Telephone</v>
      </c>
      <c r="L40" t="str">
        <f>_xlfn.XLOOKUP(Table8[[#This Row],[Supporter_ID]],tb1_supporters[Supporter_ID ],tb1_supporters[County],"")</f>
        <v>Oxfordshire</v>
      </c>
      <c r="M40" t="str">
        <f>_xlfn.XLOOKUP(Table8[[#This Row],[Supporter_ID]],tb1_supporters[Supporter_ID ],tb1_supporters[Gender],"")</f>
        <v>Male</v>
      </c>
      <c r="N40">
        <f ca="1">_xlfn.XLOOKUP(Table8[[#This Row],[Supporter_ID]],tb1_supporters[Supporter_ID ],tb1_supporters[Age],"")</f>
        <v>29</v>
      </c>
      <c r="O40" t="str">
        <f ca="1">_xlfn.XLOOKUP(Table8[[#This Row],[Supporter_ID]],tb1_supporters[Supporter_ID ],tb1_supporters[Age_Band],"")</f>
        <v>18-34</v>
      </c>
      <c r="P40" t="str">
        <f ca="1">IF(Table8[[#This Row],[Age_Band]]="","Unknown",Table8[[#This Row],[Age_Band]])</f>
        <v>18-34</v>
      </c>
      <c r="Q40" t="str">
        <f>_xlfn.XLOOKUP(Table8[[#This Row],[Supporter_ID]],tb1_supporters[Supporter_ID ],tb1_supporters[Communication_Preference],"")</f>
        <v>Email</v>
      </c>
      <c r="R40" t="str">
        <f>_xlfn.XLOOKUP(Table8[[#This Row],[Supporter_ID]],tb1_supporters[Supporter_ID ],tb1_supporters[Duplicate_Profile_Flag],"")</f>
        <v/>
      </c>
      <c r="S40" t="str">
        <f>_xlfn.XLOOKUP(Table8[[#This Row],[Supporter_ID]],tb1_supporters[Supporter_ID ],tb1_supporters[Preference_Compliance_Flag],"")</f>
        <v/>
      </c>
      <c r="T40" t="str">
        <f ca="1">IF(Table8[[#This Row],[Age]]="","Review - missing DOB",IF(Table8[[#This Row],[Age]]&gt;TODAY(),"Review - future DOB",IF(Table8[[#This Row],[Age]]=0,"Review -  potential entry error (age 0)","")))</f>
        <v/>
      </c>
      <c r="U40" t="str">
        <f>_xlfn.XLOOKUP(Table8[[#This Row],[Campaign_Code]],tb3_CampaignMaster[Campaign_Code],tb3_CampaignMaster[Campaign_Type],"")</f>
        <v>Regular Giving</v>
      </c>
      <c r="V40" t="str">
        <f>_xlfn.XLOOKUP(Table8[[#This Row],[Campaign_Code]],tb3_CampaignMaster[Campaign_Code],tb3_CampaignMaster[Target_Audience],"")</f>
        <v>One-time Donors</v>
      </c>
      <c r="W40" s="17">
        <f>_xlfn.XLOOKUP(Table8[[#This Row],[Campaign_Code]],tb3_CampaignMaster[Campaign_Code],tb3_CampaignMaster[Start_Date],"")</f>
        <v>45663</v>
      </c>
      <c r="X40" s="17">
        <f>_xlfn.XLOOKUP(Table8[[#This Row],[Campaign_Code]],tb3_CampaignMaster[Campaign_Code],tb3_CampaignMaster[End_Date],"")</f>
        <v>45747</v>
      </c>
      <c r="Y40">
        <f>_xlfn.XLOOKUP(Table8[[#This Row],[Campaign_Code]],tb3_CampaignMaster[Campaign_Code],tb3_CampaignMaster[Budget_GBP],"")</f>
        <v>10000</v>
      </c>
      <c r="Z40" t="str">
        <f>_xlfn.XLOOKUP(Table8[[#This Row],[Campaign_Code]],tb3_CampaignMaster[Campaign_Code],tb3_CampaignMaster[Primary_Channel],"")</f>
        <v>Telephone</v>
      </c>
      <c r="AA40" s="13">
        <f>IF(Table8[[#This Row],[Gift_Aid_Eligible]]="Yes",Table8[[#This Row],[Gift_Amount]]*1.25,Table8[[#This Row],[Gift_Amount]])</f>
        <v>14.574999999999999</v>
      </c>
      <c r="AB40" t="str">
        <f>IF(Table8[[#This Row],[Supporter_ID]]="","Review - missing supporter ID","")</f>
        <v/>
      </c>
      <c r="AC40" t="str">
        <f>IF(OR(Table8[[#This Row],[Response_Date]]&lt;Table8[[#This Row],[Start_Date]],Table8[[#This Row],[Response_Date]]&gt;Table8[[#This Row],[End_Date]]),"Review - response outside campaign dates","")</f>
        <v/>
      </c>
      <c r="AD40" t="str">
        <f>IF(Table8[[#This Row],[Campaign_Type]]="","Review - campaign code not found","")</f>
        <v/>
      </c>
    </row>
    <row r="41" spans="1:30" x14ac:dyDescent="0.25">
      <c r="A41" t="s">
        <v>3420</v>
      </c>
      <c r="B41" t="s">
        <v>2163</v>
      </c>
      <c r="C41" t="s">
        <v>3403</v>
      </c>
      <c r="D41" t="s">
        <v>3404</v>
      </c>
      <c r="E41" t="s">
        <v>3316</v>
      </c>
      <c r="F41" s="17">
        <v>45637</v>
      </c>
      <c r="G41">
        <v>60.91</v>
      </c>
      <c r="H41" t="s">
        <v>37</v>
      </c>
      <c r="I41" t="s">
        <v>3385</v>
      </c>
      <c r="J41" t="str">
        <f>_xlfn.XLOOKUP(Table8[[#This Row],[Supporter_ID]],tb1_supporters[Supporter_ID ],tb1_supporters[Segment],"")</f>
        <v>One-Time Donor</v>
      </c>
      <c r="K41" t="str">
        <f>_xlfn.XLOOKUP(Table8[[#This Row],[Supporter_ID]],tb1_supporters[Supporter_ID ],tb1_supporters[Acquisition_Source],"")</f>
        <v>Door-To-Door</v>
      </c>
      <c r="L41" t="str">
        <f>_xlfn.XLOOKUP(Table8[[#This Row],[Supporter_ID]],tb1_supporters[Supporter_ID ],tb1_supporters[County],"")</f>
        <v>Avon</v>
      </c>
      <c r="M41" t="str">
        <f>_xlfn.XLOOKUP(Table8[[#This Row],[Supporter_ID]],tb1_supporters[Supporter_ID ],tb1_supporters[Gender],"")</f>
        <v>Female</v>
      </c>
      <c r="N41">
        <f ca="1">_xlfn.XLOOKUP(Table8[[#This Row],[Supporter_ID]],tb1_supporters[Supporter_ID ],tb1_supporters[Age],"")</f>
        <v>68</v>
      </c>
      <c r="O41" t="str">
        <f ca="1">_xlfn.XLOOKUP(Table8[[#This Row],[Supporter_ID]],tb1_supporters[Supporter_ID ],tb1_supporters[Age_Band],"")</f>
        <v>65+</v>
      </c>
      <c r="P41" t="str">
        <f ca="1">IF(Table8[[#This Row],[Age_Band]]="","Unknown",Table8[[#This Row],[Age_Band]])</f>
        <v>65+</v>
      </c>
      <c r="Q41" t="str">
        <f>_xlfn.XLOOKUP(Table8[[#This Row],[Supporter_ID]],tb1_supporters[Supporter_ID ],tb1_supporters[Communication_Preference],"")</f>
        <v>No Preference</v>
      </c>
      <c r="R41" t="str">
        <f>_xlfn.XLOOKUP(Table8[[#This Row],[Supporter_ID]],tb1_supporters[Supporter_ID ],tb1_supporters[Duplicate_Profile_Flag],"")</f>
        <v/>
      </c>
      <c r="S41" t="str">
        <f>_xlfn.XLOOKUP(Table8[[#This Row],[Supporter_ID]],tb1_supporters[Supporter_ID ],tb1_supporters[Preference_Compliance_Flag],"")</f>
        <v/>
      </c>
      <c r="T41" t="str">
        <f ca="1">IF(Table8[[#This Row],[Age]]="","Review - missing DOB",IF(Table8[[#This Row],[Age]]&gt;TODAY(),"Review - future DOB",IF(Table8[[#This Row],[Age]]=0,"Review -  potential entry error (age 0)","")))</f>
        <v/>
      </c>
      <c r="U41" t="str">
        <f>_xlfn.XLOOKUP(Table8[[#This Row],[Campaign_Code]],tb3_CampaignMaster[Campaign_Code],tb3_CampaignMaster[Campaign_Type],"")</f>
        <v>Trading</v>
      </c>
      <c r="V41" t="str">
        <f>_xlfn.XLOOKUP(Table8[[#This Row],[Campaign_Code]],tb3_CampaignMaster[Campaign_Code],tb3_CampaignMaster[Target_Audience],"")</f>
        <v>All Active</v>
      </c>
      <c r="W41" s="17">
        <f>_xlfn.XLOOKUP(Table8[[#This Row],[Campaign_Code]],tb3_CampaignMaster[Campaign_Code],tb3_CampaignMaster[Start_Date],"")</f>
        <v>45580</v>
      </c>
      <c r="X41" s="17">
        <f>_xlfn.XLOOKUP(Table8[[#This Row],[Campaign_Code]],tb3_CampaignMaster[Campaign_Code],tb3_CampaignMaster[End_Date],"")</f>
        <v>45646</v>
      </c>
      <c r="Y41">
        <f>_xlfn.XLOOKUP(Table8[[#This Row],[Campaign_Code]],tb3_CampaignMaster[Campaign_Code],tb3_CampaignMaster[Budget_GBP],"")</f>
        <v>12000</v>
      </c>
      <c r="Z41" t="str">
        <f>_xlfn.XLOOKUP(Table8[[#This Row],[Campaign_Code]],tb3_CampaignMaster[Campaign_Code],tb3_CampaignMaster[Primary_Channel],"")</f>
        <v>Multi-channel</v>
      </c>
      <c r="AA41" s="13">
        <f>IF(Table8[[#This Row],[Gift_Aid_Eligible]]="Yes",Table8[[#This Row],[Gift_Amount]]*1.25,Table8[[#This Row],[Gift_Amount]])</f>
        <v>60.91</v>
      </c>
      <c r="AB41" t="str">
        <f>IF(Table8[[#This Row],[Supporter_ID]]="","Review - missing supporter ID","")</f>
        <v/>
      </c>
      <c r="AC41" t="str">
        <f>IF(OR(Table8[[#This Row],[Response_Date]]&lt;Table8[[#This Row],[Start_Date]],Table8[[#This Row],[Response_Date]]&gt;Table8[[#This Row],[End_Date]]),"Review - response outside campaign dates","")</f>
        <v/>
      </c>
      <c r="AD41" t="str">
        <f>IF(Table8[[#This Row],[Campaign_Type]]="","Review - campaign code not found","")</f>
        <v/>
      </c>
    </row>
    <row r="42" spans="1:30" x14ac:dyDescent="0.25">
      <c r="A42" t="s">
        <v>3422</v>
      </c>
      <c r="B42" t="s">
        <v>458</v>
      </c>
      <c r="C42" t="s">
        <v>3325</v>
      </c>
      <c r="D42" t="s">
        <v>3326</v>
      </c>
      <c r="E42" t="s">
        <v>3316</v>
      </c>
      <c r="F42" s="17">
        <v>45614</v>
      </c>
      <c r="G42">
        <v>79.34</v>
      </c>
      <c r="H42" t="s">
        <v>36</v>
      </c>
      <c r="I42" t="s">
        <v>3334</v>
      </c>
      <c r="J42" t="str">
        <f>_xlfn.XLOOKUP(Table8[[#This Row],[Supporter_ID]],tb1_supporters[Supporter_ID ],tb1_supporters[Segment],"")</f>
        <v>Lapsed</v>
      </c>
      <c r="K42" t="str">
        <f>_xlfn.XLOOKUP(Table8[[#This Row],[Supporter_ID]],tb1_supporters[Supporter_ID ],tb1_supporters[Acquisition_Source],"")</f>
        <v>Direct Mail</v>
      </c>
      <c r="L42" t="str">
        <f>_xlfn.XLOOKUP(Table8[[#This Row],[Supporter_ID]],tb1_supporters[Supporter_ID ],tb1_supporters[County],"")</f>
        <v>Hertfordshire</v>
      </c>
      <c r="M42" t="str">
        <f>_xlfn.XLOOKUP(Table8[[#This Row],[Supporter_ID]],tb1_supporters[Supporter_ID ],tb1_supporters[Gender],"")</f>
        <v>Male</v>
      </c>
      <c r="N42">
        <f ca="1">_xlfn.XLOOKUP(Table8[[#This Row],[Supporter_ID]],tb1_supporters[Supporter_ID ],tb1_supporters[Age],"")</f>
        <v>36</v>
      </c>
      <c r="O42" t="str">
        <f ca="1">_xlfn.XLOOKUP(Table8[[#This Row],[Supporter_ID]],tb1_supporters[Supporter_ID ],tb1_supporters[Age_Band],"")</f>
        <v>35-49</v>
      </c>
      <c r="P42" t="str">
        <f ca="1">IF(Table8[[#This Row],[Age_Band]]="","Unknown",Table8[[#This Row],[Age_Band]])</f>
        <v>35-49</v>
      </c>
      <c r="Q42" t="str">
        <f>_xlfn.XLOOKUP(Table8[[#This Row],[Supporter_ID]],tb1_supporters[Supporter_ID ],tb1_supporters[Communication_Preference],"")</f>
        <v>Email</v>
      </c>
      <c r="R42" t="str">
        <f>_xlfn.XLOOKUP(Table8[[#This Row],[Supporter_ID]],tb1_supporters[Supporter_ID ],tb1_supporters[Duplicate_Profile_Flag],"")</f>
        <v/>
      </c>
      <c r="S42" t="str">
        <f>_xlfn.XLOOKUP(Table8[[#This Row],[Supporter_ID]],tb1_supporters[Supporter_ID ],tb1_supporters[Preference_Compliance_Flag],"")</f>
        <v/>
      </c>
      <c r="T42" t="str">
        <f ca="1">IF(Table8[[#This Row],[Age]]="","Review - missing DOB",IF(Table8[[#This Row],[Age]]&gt;TODAY(),"Review - future DOB",IF(Table8[[#This Row],[Age]]=0,"Review -  potential entry error (age 0)","")))</f>
        <v/>
      </c>
      <c r="U42" t="str">
        <f>_xlfn.XLOOKUP(Table8[[#This Row],[Campaign_Code]],tb3_CampaignMaster[Campaign_Code],tb3_CampaignMaster[Campaign_Type],"")</f>
        <v>Appeal</v>
      </c>
      <c r="V42" t="str">
        <f>_xlfn.XLOOKUP(Table8[[#This Row],[Campaign_Code]],tb3_CampaignMaster[Campaign_Code],tb3_CampaignMaster[Target_Audience],"")</f>
        <v>All Active</v>
      </c>
      <c r="W42" s="17">
        <f>_xlfn.XLOOKUP(Table8[[#This Row],[Campaign_Code]],tb3_CampaignMaster[Campaign_Code],tb3_CampaignMaster[Start_Date],"")</f>
        <v>45597</v>
      </c>
      <c r="X42" s="17">
        <f>_xlfn.XLOOKUP(Table8[[#This Row],[Campaign_Code]],tb3_CampaignMaster[Campaign_Code],tb3_CampaignMaster[End_Date],"")</f>
        <v>45657</v>
      </c>
      <c r="Y42">
        <f>_xlfn.XLOOKUP(Table8[[#This Row],[Campaign_Code]],tb3_CampaignMaster[Campaign_Code],tb3_CampaignMaster[Budget_GBP],"")</f>
        <v>25000</v>
      </c>
      <c r="Z42" t="str">
        <f>_xlfn.XLOOKUP(Table8[[#This Row],[Campaign_Code]],tb3_CampaignMaster[Campaign_Code],tb3_CampaignMaster[Primary_Channel],"")</f>
        <v>Multi-channel</v>
      </c>
      <c r="AA42" s="13">
        <f>IF(Table8[[#This Row],[Gift_Aid_Eligible]]="Yes",Table8[[#This Row],[Gift_Amount]]*1.25,Table8[[#This Row],[Gift_Amount]])</f>
        <v>99.175000000000011</v>
      </c>
      <c r="AB42" t="str">
        <f>IF(Table8[[#This Row],[Supporter_ID]]="","Review - missing supporter ID","")</f>
        <v/>
      </c>
      <c r="AC42" t="str">
        <f>IF(OR(Table8[[#This Row],[Response_Date]]&lt;Table8[[#This Row],[Start_Date]],Table8[[#This Row],[Response_Date]]&gt;Table8[[#This Row],[End_Date]]),"Review - response outside campaign dates","")</f>
        <v/>
      </c>
      <c r="AD42" t="str">
        <f>IF(Table8[[#This Row],[Campaign_Type]]="","Review - campaign code not found","")</f>
        <v/>
      </c>
    </row>
    <row r="43" spans="1:30" x14ac:dyDescent="0.25">
      <c r="A43" t="s">
        <v>3424</v>
      </c>
      <c r="B43" t="s">
        <v>119</v>
      </c>
      <c r="C43" t="s">
        <v>3354</v>
      </c>
      <c r="D43" t="s">
        <v>3355</v>
      </c>
      <c r="E43" t="s">
        <v>65</v>
      </c>
      <c r="F43" s="17">
        <v>45618</v>
      </c>
      <c r="G43">
        <v>48.2</v>
      </c>
      <c r="H43" t="s">
        <v>37</v>
      </c>
      <c r="I43" t="s">
        <v>3334</v>
      </c>
      <c r="J43" t="str">
        <f>_xlfn.XLOOKUP(Table8[[#This Row],[Supporter_ID]],tb1_supporters[Supporter_ID ],tb1_supporters[Segment],"")</f>
        <v>One-Time Donor</v>
      </c>
      <c r="K43" t="str">
        <f>_xlfn.XLOOKUP(Table8[[#This Row],[Supporter_ID]],tb1_supporters[Supporter_ID ],tb1_supporters[Acquisition_Source],"")</f>
        <v>Event</v>
      </c>
      <c r="L43" t="str">
        <f>_xlfn.XLOOKUP(Table8[[#This Row],[Supporter_ID]],tb1_supporters[Supporter_ID ],tb1_supporters[County],"")</f>
        <v>Somerset</v>
      </c>
      <c r="M43" t="str">
        <f>_xlfn.XLOOKUP(Table8[[#This Row],[Supporter_ID]],tb1_supporters[Supporter_ID ],tb1_supporters[Gender],"")</f>
        <v>Male</v>
      </c>
      <c r="N43">
        <f ca="1">_xlfn.XLOOKUP(Table8[[#This Row],[Supporter_ID]],tb1_supporters[Supporter_ID ],tb1_supporters[Age],"")</f>
        <v>93</v>
      </c>
      <c r="O43" t="str">
        <f ca="1">_xlfn.XLOOKUP(Table8[[#This Row],[Supporter_ID]],tb1_supporters[Supporter_ID ],tb1_supporters[Age_Band],"")</f>
        <v>65+</v>
      </c>
      <c r="P43" t="str">
        <f ca="1">IF(Table8[[#This Row],[Age_Band]]="","Unknown",Table8[[#This Row],[Age_Band]])</f>
        <v>65+</v>
      </c>
      <c r="Q43" t="str">
        <f>_xlfn.XLOOKUP(Table8[[#This Row],[Supporter_ID]],tb1_supporters[Supporter_ID ],tb1_supporters[Communication_Preference],"")</f>
        <v>Post</v>
      </c>
      <c r="R43" t="str">
        <f>_xlfn.XLOOKUP(Table8[[#This Row],[Supporter_ID]],tb1_supporters[Supporter_ID ],tb1_supporters[Duplicate_Profile_Flag],"")</f>
        <v/>
      </c>
      <c r="S43" t="str">
        <f>_xlfn.XLOOKUP(Table8[[#This Row],[Supporter_ID]],tb1_supporters[Supporter_ID ],tb1_supporters[Preference_Compliance_Flag],"")</f>
        <v/>
      </c>
      <c r="T43" t="str">
        <f ca="1">IF(Table8[[#This Row],[Age]]="","Review - missing DOB",IF(Table8[[#This Row],[Age]]&gt;TODAY(),"Review - future DOB",IF(Table8[[#This Row],[Age]]=0,"Review -  potential entry error (age 0)","")))</f>
        <v/>
      </c>
      <c r="U43" t="str">
        <f>_xlfn.XLOOKUP(Table8[[#This Row],[Campaign_Code]],tb3_CampaignMaster[Campaign_Code],tb3_CampaignMaster[Campaign_Type],"")</f>
        <v>Event</v>
      </c>
      <c r="V43" t="str">
        <f>_xlfn.XLOOKUP(Table8[[#This Row],[Campaign_Code]],tb3_CampaignMaster[Campaign_Code],tb3_CampaignMaster[Target_Audience],"")</f>
        <v>Volunteers</v>
      </c>
      <c r="W43" s="17">
        <f>_xlfn.XLOOKUP(Table8[[#This Row],[Campaign_Code]],tb3_CampaignMaster[Campaign_Code],tb3_CampaignMaster[Start_Date],"")</f>
        <v>45618</v>
      </c>
      <c r="X43" s="17">
        <f>_xlfn.XLOOKUP(Table8[[#This Row],[Campaign_Code]],tb3_CampaignMaster[Campaign_Code],tb3_CampaignMaster[End_Date],"")</f>
        <v>45618</v>
      </c>
      <c r="Y43">
        <f>_xlfn.XLOOKUP(Table8[[#This Row],[Campaign_Code]],tb3_CampaignMaster[Campaign_Code],tb3_CampaignMaster[Budget_GBP],"")</f>
        <v>3500</v>
      </c>
      <c r="Z43" t="str">
        <f>_xlfn.XLOOKUP(Table8[[#This Row],[Campaign_Code]],tb3_CampaignMaster[Campaign_Code],tb3_CampaignMaster[Primary_Channel],"")</f>
        <v>Email</v>
      </c>
      <c r="AA43" s="13">
        <f>IF(Table8[[#This Row],[Gift_Aid_Eligible]]="Yes",Table8[[#This Row],[Gift_Amount]]*1.25,Table8[[#This Row],[Gift_Amount]])</f>
        <v>48.2</v>
      </c>
      <c r="AB43" t="str">
        <f>IF(Table8[[#This Row],[Supporter_ID]]="","Review - missing supporter ID","")</f>
        <v/>
      </c>
      <c r="AC43" t="str">
        <f>IF(OR(Table8[[#This Row],[Response_Date]]&lt;Table8[[#This Row],[Start_Date]],Table8[[#This Row],[Response_Date]]&gt;Table8[[#This Row],[End_Date]]),"Review - response outside campaign dates","")</f>
        <v/>
      </c>
      <c r="AD43" t="str">
        <f>IF(Table8[[#This Row],[Campaign_Type]]="","Review - campaign code not found","")</f>
        <v/>
      </c>
    </row>
    <row r="44" spans="1:30" x14ac:dyDescent="0.25">
      <c r="A44" t="s">
        <v>3426</v>
      </c>
      <c r="B44" t="s">
        <v>2309</v>
      </c>
      <c r="C44" t="s">
        <v>3427</v>
      </c>
      <c r="D44" t="s">
        <v>3428</v>
      </c>
      <c r="E44" t="s">
        <v>65</v>
      </c>
      <c r="F44" s="17">
        <v>45488</v>
      </c>
      <c r="G44">
        <v>23.22</v>
      </c>
      <c r="H44" t="s">
        <v>37</v>
      </c>
      <c r="I44" t="s">
        <v>3365</v>
      </c>
      <c r="J44" t="str">
        <f>_xlfn.XLOOKUP(Table8[[#This Row],[Supporter_ID]],tb1_supporters[Supporter_ID ],tb1_supporters[Segment],"")</f>
        <v>Lapsed</v>
      </c>
      <c r="K44" t="str">
        <f>_xlfn.XLOOKUP(Table8[[#This Row],[Supporter_ID]],tb1_supporters[Supporter_ID ],tb1_supporters[Acquisition_Source],"")</f>
        <v>Social Media</v>
      </c>
      <c r="L44" t="str">
        <f>_xlfn.XLOOKUP(Table8[[#This Row],[Supporter_ID]],tb1_supporters[Supporter_ID ],tb1_supporters[County],"")</f>
        <v>Oxfordshire</v>
      </c>
      <c r="M44" t="str">
        <f>_xlfn.XLOOKUP(Table8[[#This Row],[Supporter_ID]],tb1_supporters[Supporter_ID ],tb1_supporters[Gender],"")</f>
        <v>Male</v>
      </c>
      <c r="N44">
        <f ca="1">_xlfn.XLOOKUP(Table8[[#This Row],[Supporter_ID]],tb1_supporters[Supporter_ID ],tb1_supporters[Age],"")</f>
        <v>64</v>
      </c>
      <c r="O44" t="str">
        <f ca="1">_xlfn.XLOOKUP(Table8[[#This Row],[Supporter_ID]],tb1_supporters[Supporter_ID ],tb1_supporters[Age_Band],"")</f>
        <v>50-64</v>
      </c>
      <c r="P44" t="str">
        <f ca="1">IF(Table8[[#This Row],[Age_Band]]="","Unknown",Table8[[#This Row],[Age_Band]])</f>
        <v>50-64</v>
      </c>
      <c r="Q44" t="str">
        <f>_xlfn.XLOOKUP(Table8[[#This Row],[Supporter_ID]],tb1_supporters[Supporter_ID ],tb1_supporters[Communication_Preference],"")</f>
        <v>Post</v>
      </c>
      <c r="R44" t="str">
        <f>_xlfn.XLOOKUP(Table8[[#This Row],[Supporter_ID]],tb1_supporters[Supporter_ID ],tb1_supporters[Duplicate_Profile_Flag],"")</f>
        <v/>
      </c>
      <c r="S44" t="str">
        <f>_xlfn.XLOOKUP(Table8[[#This Row],[Supporter_ID]],tb1_supporters[Supporter_ID ],tb1_supporters[Preference_Compliance_Flag],"")</f>
        <v/>
      </c>
      <c r="T44" t="str">
        <f ca="1">IF(Table8[[#This Row],[Age]]="","Review - missing DOB",IF(Table8[[#This Row],[Age]]&gt;TODAY(),"Review - future DOB",IF(Table8[[#This Row],[Age]]=0,"Review -  potential entry error (age 0)","")))</f>
        <v/>
      </c>
      <c r="U44" t="str">
        <f>_xlfn.XLOOKUP(Table8[[#This Row],[Campaign_Code]],tb3_CampaignMaster[Campaign_Code],tb3_CampaignMaster[Campaign_Type],"")</f>
        <v>Event</v>
      </c>
      <c r="V44" t="str">
        <f>_xlfn.XLOOKUP(Table8[[#This Row],[Campaign_Code]],tb3_CampaignMaster[Campaign_Code],tb3_CampaignMaster[Target_Audience],"")</f>
        <v>Major Donors</v>
      </c>
      <c r="W44" s="17">
        <f>_xlfn.XLOOKUP(Table8[[#This Row],[Campaign_Code]],tb3_CampaignMaster[Campaign_Code],tb3_CampaignMaster[Start_Date],"")</f>
        <v>45488</v>
      </c>
      <c r="X44" s="17">
        <f>_xlfn.XLOOKUP(Table8[[#This Row],[Campaign_Code]],tb3_CampaignMaster[Campaign_Code],tb3_CampaignMaster[End_Date],"")</f>
        <v>45488</v>
      </c>
      <c r="Y44">
        <f>_xlfn.XLOOKUP(Table8[[#This Row],[Campaign_Code]],tb3_CampaignMaster[Campaign_Code],tb3_CampaignMaster[Budget_GBP],"")</f>
        <v>45000</v>
      </c>
      <c r="Z44" t="str">
        <f>_xlfn.XLOOKUP(Table8[[#This Row],[Campaign_Code]],tb3_CampaignMaster[Campaign_Code],tb3_CampaignMaster[Primary_Channel],"")</f>
        <v>Direct Mail</v>
      </c>
      <c r="AA44" s="13">
        <f>IF(Table8[[#This Row],[Gift_Aid_Eligible]]="Yes",Table8[[#This Row],[Gift_Amount]]*1.25,Table8[[#This Row],[Gift_Amount]])</f>
        <v>23.22</v>
      </c>
      <c r="AB44" t="str">
        <f>IF(Table8[[#This Row],[Supporter_ID]]="","Review - missing supporter ID","")</f>
        <v/>
      </c>
      <c r="AC44" t="str">
        <f>IF(OR(Table8[[#This Row],[Response_Date]]&lt;Table8[[#This Row],[Start_Date]],Table8[[#This Row],[Response_Date]]&gt;Table8[[#This Row],[End_Date]]),"Review - response outside campaign dates","")</f>
        <v/>
      </c>
      <c r="AD44" t="str">
        <f>IF(Table8[[#This Row],[Campaign_Type]]="","Review - campaign code not found","")</f>
        <v/>
      </c>
    </row>
    <row r="45" spans="1:30" x14ac:dyDescent="0.25">
      <c r="A45" t="s">
        <v>3430</v>
      </c>
      <c r="B45" t="s">
        <v>825</v>
      </c>
      <c r="C45" t="s">
        <v>3362</v>
      </c>
      <c r="D45" t="s">
        <v>3363</v>
      </c>
      <c r="E45" t="s">
        <v>65</v>
      </c>
      <c r="F45" s="17">
        <v>45572</v>
      </c>
      <c r="G45">
        <v>28.55</v>
      </c>
      <c r="H45" t="s">
        <v>36</v>
      </c>
      <c r="I45" t="s">
        <v>3365</v>
      </c>
      <c r="J45" t="str">
        <f>_xlfn.XLOOKUP(Table8[[#This Row],[Supporter_ID]],tb1_supporters[Supporter_ID ],tb1_supporters[Segment],"")</f>
        <v>Lapsed</v>
      </c>
      <c r="K45" t="str">
        <f>_xlfn.XLOOKUP(Table8[[#This Row],[Supporter_ID]],tb1_supporters[Supporter_ID ],tb1_supporters[Acquisition_Source],"")</f>
        <v>Direct Mail</v>
      </c>
      <c r="L45" t="str">
        <f>_xlfn.XLOOKUP(Table8[[#This Row],[Supporter_ID]],tb1_supporters[Supporter_ID ],tb1_supporters[County],"")</f>
        <v>West Midlands</v>
      </c>
      <c r="M45" t="str">
        <f>_xlfn.XLOOKUP(Table8[[#This Row],[Supporter_ID]],tb1_supporters[Supporter_ID ],tb1_supporters[Gender],"")</f>
        <v>Male</v>
      </c>
      <c r="N45">
        <f ca="1">_xlfn.XLOOKUP(Table8[[#This Row],[Supporter_ID]],tb1_supporters[Supporter_ID ],tb1_supporters[Age],"")</f>
        <v>52</v>
      </c>
      <c r="O45" t="str">
        <f ca="1">_xlfn.XLOOKUP(Table8[[#This Row],[Supporter_ID]],tb1_supporters[Supporter_ID ],tb1_supporters[Age_Band],"")</f>
        <v>50-64</v>
      </c>
      <c r="P45" t="str">
        <f ca="1">IF(Table8[[#This Row],[Age_Band]]="","Unknown",Table8[[#This Row],[Age_Band]])</f>
        <v>50-64</v>
      </c>
      <c r="Q45" t="str">
        <f>_xlfn.XLOOKUP(Table8[[#This Row],[Supporter_ID]],tb1_supporters[Supporter_ID ],tb1_supporters[Communication_Preference],"")</f>
        <v>Phone</v>
      </c>
      <c r="R45" t="str">
        <f>_xlfn.XLOOKUP(Table8[[#This Row],[Supporter_ID]],tb1_supporters[Supporter_ID ],tb1_supporters[Duplicate_Profile_Flag],"")</f>
        <v/>
      </c>
      <c r="S45" t="str">
        <f>_xlfn.XLOOKUP(Table8[[#This Row],[Supporter_ID]],tb1_supporters[Supporter_ID ],tb1_supporters[Preference_Compliance_Flag],"")</f>
        <v/>
      </c>
      <c r="T45" t="str">
        <f ca="1">IF(Table8[[#This Row],[Age]]="","Review - missing DOB",IF(Table8[[#This Row],[Age]]&gt;TODAY(),"Review - future DOB",IF(Table8[[#This Row],[Age]]=0,"Review -  potential entry error (age 0)","")))</f>
        <v/>
      </c>
      <c r="U45" t="str">
        <f>_xlfn.XLOOKUP(Table8[[#This Row],[Campaign_Code]],tb3_CampaignMaster[Campaign_Code],tb3_CampaignMaster[Campaign_Type],"")</f>
        <v>Legacy</v>
      </c>
      <c r="V45" t="str">
        <f>_xlfn.XLOOKUP(Table8[[#This Row],[Campaign_Code]],tb3_CampaignMaster[Campaign_Code],tb3_CampaignMaster[Target_Audience],"")</f>
        <v>Over 55s</v>
      </c>
      <c r="W45" s="17">
        <f>_xlfn.XLOOKUP(Table8[[#This Row],[Campaign_Code]],tb3_CampaignMaster[Campaign_Code],tb3_CampaignMaster[Start_Date],"")</f>
        <v>45572</v>
      </c>
      <c r="X45" s="17">
        <f>_xlfn.XLOOKUP(Table8[[#This Row],[Campaign_Code]],tb3_CampaignMaster[Campaign_Code],tb3_CampaignMaster[End_Date],"")</f>
        <v>45578</v>
      </c>
      <c r="Y45">
        <f>_xlfn.XLOOKUP(Table8[[#This Row],[Campaign_Code]],tb3_CampaignMaster[Campaign_Code],tb3_CampaignMaster[Budget_GBP],"")</f>
        <v>5000</v>
      </c>
      <c r="Z45" t="str">
        <f>_xlfn.XLOOKUP(Table8[[#This Row],[Campaign_Code]],tb3_CampaignMaster[Campaign_Code],tb3_CampaignMaster[Primary_Channel],"")</f>
        <v>Direct Mail</v>
      </c>
      <c r="AA45" s="13">
        <f>IF(Table8[[#This Row],[Gift_Aid_Eligible]]="Yes",Table8[[#This Row],[Gift_Amount]]*1.25,Table8[[#This Row],[Gift_Amount]])</f>
        <v>35.6875</v>
      </c>
      <c r="AB45" t="str">
        <f>IF(Table8[[#This Row],[Supporter_ID]]="","Review - missing supporter ID","")</f>
        <v/>
      </c>
      <c r="AC45" t="str">
        <f>IF(OR(Table8[[#This Row],[Response_Date]]&lt;Table8[[#This Row],[Start_Date]],Table8[[#This Row],[Response_Date]]&gt;Table8[[#This Row],[End_Date]]),"Review - response outside campaign dates","")</f>
        <v/>
      </c>
      <c r="AD45" t="str">
        <f>IF(Table8[[#This Row],[Campaign_Type]]="","Review - campaign code not found","")</f>
        <v/>
      </c>
    </row>
    <row r="46" spans="1:30" x14ac:dyDescent="0.25">
      <c r="A46" t="s">
        <v>3432</v>
      </c>
      <c r="B46" t="s">
        <v>2574</v>
      </c>
      <c r="C46" t="s">
        <v>3320</v>
      </c>
      <c r="D46" t="s">
        <v>3321</v>
      </c>
      <c r="E46" t="s">
        <v>65</v>
      </c>
      <c r="F46" s="17">
        <v>45444</v>
      </c>
      <c r="G46">
        <v>478.2</v>
      </c>
      <c r="H46" t="s">
        <v>36</v>
      </c>
      <c r="I46" t="s">
        <v>3365</v>
      </c>
      <c r="J46" t="str">
        <f>_xlfn.XLOOKUP(Table8[[#This Row],[Supporter_ID]],tb1_supporters[Supporter_ID ],tb1_supporters[Segment],"")</f>
        <v>Legacy Pledger</v>
      </c>
      <c r="K46" t="str">
        <f>_xlfn.XLOOKUP(Table8[[#This Row],[Supporter_ID]],tb1_supporters[Supporter_ID ],tb1_supporters[Acquisition_Source],"")</f>
        <v>Social Media</v>
      </c>
      <c r="L46" t="str">
        <f>_xlfn.XLOOKUP(Table8[[#This Row],[Supporter_ID]],tb1_supporters[Supporter_ID ],tb1_supporters[County],"")</f>
        <v>Cambridgeshire</v>
      </c>
      <c r="M46" t="str">
        <f>_xlfn.XLOOKUP(Table8[[#This Row],[Supporter_ID]],tb1_supporters[Supporter_ID ],tb1_supporters[Gender],"")</f>
        <v>Male</v>
      </c>
      <c r="N46">
        <f ca="1">_xlfn.XLOOKUP(Table8[[#This Row],[Supporter_ID]],tb1_supporters[Supporter_ID ],tb1_supporters[Age],"")</f>
        <v>90</v>
      </c>
      <c r="O46" t="str">
        <f ca="1">_xlfn.XLOOKUP(Table8[[#This Row],[Supporter_ID]],tb1_supporters[Supporter_ID ],tb1_supporters[Age_Band],"")</f>
        <v>65+</v>
      </c>
      <c r="P46" t="str">
        <f ca="1">IF(Table8[[#This Row],[Age_Band]]="","Unknown",Table8[[#This Row],[Age_Band]])</f>
        <v>65+</v>
      </c>
      <c r="Q46" t="str">
        <f>_xlfn.XLOOKUP(Table8[[#This Row],[Supporter_ID]],tb1_supporters[Supporter_ID ],tb1_supporters[Communication_Preference],"")</f>
        <v>Email</v>
      </c>
      <c r="R46" t="str">
        <f>_xlfn.XLOOKUP(Table8[[#This Row],[Supporter_ID]],tb1_supporters[Supporter_ID ],tb1_supporters[Duplicate_Profile_Flag],"")</f>
        <v/>
      </c>
      <c r="S46" t="str">
        <f>_xlfn.XLOOKUP(Table8[[#This Row],[Supporter_ID]],tb1_supporters[Supporter_ID ],tb1_supporters[Preference_Compliance_Flag],"")</f>
        <v/>
      </c>
      <c r="T46" t="str">
        <f ca="1">IF(Table8[[#This Row],[Age]]="","Review - missing DOB",IF(Table8[[#This Row],[Age]]&gt;TODAY(),"Review - future DOB",IF(Table8[[#This Row],[Age]]=0,"Review -  potential entry error (age 0)","")))</f>
        <v/>
      </c>
      <c r="U46" t="str">
        <f>_xlfn.XLOOKUP(Table8[[#This Row],[Campaign_Code]],tb3_CampaignMaster[Campaign_Code],tb3_CampaignMaster[Campaign_Type],"")</f>
        <v>Stewardship</v>
      </c>
      <c r="V46" t="str">
        <f>_xlfn.XLOOKUP(Table8[[#This Row],[Campaign_Code]],tb3_CampaignMaster[Campaign_Code],tb3_CampaignMaster[Target_Audience],"")</f>
        <v>Major Donors</v>
      </c>
      <c r="W46" s="17">
        <f>_xlfn.XLOOKUP(Table8[[#This Row],[Campaign_Code]],tb3_CampaignMaster[Campaign_Code],tb3_CampaignMaster[Start_Date],"")</f>
        <v>45444</v>
      </c>
      <c r="X46" s="17">
        <f>_xlfn.XLOOKUP(Table8[[#This Row],[Campaign_Code]],tb3_CampaignMaster[Campaign_Code],tb3_CampaignMaster[End_Date],"")</f>
        <v>45473</v>
      </c>
      <c r="Y46">
        <f>_xlfn.XLOOKUP(Table8[[#This Row],[Campaign_Code]],tb3_CampaignMaster[Campaign_Code],tb3_CampaignMaster[Budget_GBP],"")</f>
        <v>7000</v>
      </c>
      <c r="Z46" t="str">
        <f>_xlfn.XLOOKUP(Table8[[#This Row],[Campaign_Code]],tb3_CampaignMaster[Campaign_Code],tb3_CampaignMaster[Primary_Channel],"")</f>
        <v>Direct Mail</v>
      </c>
      <c r="AA46" s="13">
        <f>IF(Table8[[#This Row],[Gift_Aid_Eligible]]="Yes",Table8[[#This Row],[Gift_Amount]]*1.25,Table8[[#This Row],[Gift_Amount]])</f>
        <v>597.75</v>
      </c>
      <c r="AB46" t="str">
        <f>IF(Table8[[#This Row],[Supporter_ID]]="","Review - missing supporter ID","")</f>
        <v/>
      </c>
      <c r="AC46" t="str">
        <f>IF(OR(Table8[[#This Row],[Response_Date]]&lt;Table8[[#This Row],[Start_Date]],Table8[[#This Row],[Response_Date]]&gt;Table8[[#This Row],[End_Date]]),"Review - response outside campaign dates","")</f>
        <v/>
      </c>
      <c r="AD46" t="str">
        <f>IF(Table8[[#This Row],[Campaign_Type]]="","Review - campaign code not found","")</f>
        <v/>
      </c>
    </row>
    <row r="47" spans="1:30" x14ac:dyDescent="0.25">
      <c r="A47" t="s">
        <v>3434</v>
      </c>
      <c r="B47" t="s">
        <v>740</v>
      </c>
      <c r="C47" t="s">
        <v>3325</v>
      </c>
      <c r="D47" t="s">
        <v>3326</v>
      </c>
      <c r="E47" t="s">
        <v>3316</v>
      </c>
      <c r="F47" s="17">
        <v>45656</v>
      </c>
      <c r="G47">
        <v>48.33</v>
      </c>
      <c r="H47" t="s">
        <v>37</v>
      </c>
      <c r="I47" t="s">
        <v>3334</v>
      </c>
      <c r="J47" t="str">
        <f>_xlfn.XLOOKUP(Table8[[#This Row],[Supporter_ID]],tb1_supporters[Supporter_ID ],tb1_supporters[Segment],"")</f>
        <v>Mid-Value</v>
      </c>
      <c r="K47" t="str">
        <f>_xlfn.XLOOKUP(Table8[[#This Row],[Supporter_ID]],tb1_supporters[Supporter_ID ],tb1_supporters[Acquisition_Source],"")</f>
        <v>Referral</v>
      </c>
      <c r="L47" t="str">
        <f>_xlfn.XLOOKUP(Table8[[#This Row],[Supporter_ID]],tb1_supporters[Supporter_ID ],tb1_supporters[County],"")</f>
        <v>Nottinghamshire</v>
      </c>
      <c r="M47" t="str">
        <f>_xlfn.XLOOKUP(Table8[[#This Row],[Supporter_ID]],tb1_supporters[Supporter_ID ],tb1_supporters[Gender],"")</f>
        <v>Female</v>
      </c>
      <c r="N47">
        <f ca="1">_xlfn.XLOOKUP(Table8[[#This Row],[Supporter_ID]],tb1_supporters[Supporter_ID ],tb1_supporters[Age],"")</f>
        <v>60</v>
      </c>
      <c r="O47" t="str">
        <f ca="1">_xlfn.XLOOKUP(Table8[[#This Row],[Supporter_ID]],tb1_supporters[Supporter_ID ],tb1_supporters[Age_Band],"")</f>
        <v>50-64</v>
      </c>
      <c r="P47" t="str">
        <f ca="1">IF(Table8[[#This Row],[Age_Band]]="","Unknown",Table8[[#This Row],[Age_Band]])</f>
        <v>50-64</v>
      </c>
      <c r="Q47" t="str">
        <f>_xlfn.XLOOKUP(Table8[[#This Row],[Supporter_ID]],tb1_supporters[Supporter_ID ],tb1_supporters[Communication_Preference],"")</f>
        <v>Email</v>
      </c>
      <c r="R47" t="str">
        <f>_xlfn.XLOOKUP(Table8[[#This Row],[Supporter_ID]],tb1_supporters[Supporter_ID ],tb1_supporters[Duplicate_Profile_Flag],"")</f>
        <v/>
      </c>
      <c r="S47" t="str">
        <f>_xlfn.XLOOKUP(Table8[[#This Row],[Supporter_ID]],tb1_supporters[Supporter_ID ],tb1_supporters[Preference_Compliance_Flag],"")</f>
        <v/>
      </c>
      <c r="T47" t="str">
        <f ca="1">IF(Table8[[#This Row],[Age]]="","Review - missing DOB",IF(Table8[[#This Row],[Age]]&gt;TODAY(),"Review - future DOB",IF(Table8[[#This Row],[Age]]=0,"Review -  potential entry error (age 0)","")))</f>
        <v/>
      </c>
      <c r="U47" t="str">
        <f>_xlfn.XLOOKUP(Table8[[#This Row],[Campaign_Code]],tb3_CampaignMaster[Campaign_Code],tb3_CampaignMaster[Campaign_Type],"")</f>
        <v>Appeal</v>
      </c>
      <c r="V47" t="str">
        <f>_xlfn.XLOOKUP(Table8[[#This Row],[Campaign_Code]],tb3_CampaignMaster[Campaign_Code],tb3_CampaignMaster[Target_Audience],"")</f>
        <v>All Active</v>
      </c>
      <c r="W47" s="17">
        <f>_xlfn.XLOOKUP(Table8[[#This Row],[Campaign_Code]],tb3_CampaignMaster[Campaign_Code],tb3_CampaignMaster[Start_Date],"")</f>
        <v>45597</v>
      </c>
      <c r="X47" s="17">
        <f>_xlfn.XLOOKUP(Table8[[#This Row],[Campaign_Code]],tb3_CampaignMaster[Campaign_Code],tb3_CampaignMaster[End_Date],"")</f>
        <v>45657</v>
      </c>
      <c r="Y47">
        <f>_xlfn.XLOOKUP(Table8[[#This Row],[Campaign_Code]],tb3_CampaignMaster[Campaign_Code],tb3_CampaignMaster[Budget_GBP],"")</f>
        <v>25000</v>
      </c>
      <c r="Z47" t="str">
        <f>_xlfn.XLOOKUP(Table8[[#This Row],[Campaign_Code]],tb3_CampaignMaster[Campaign_Code],tb3_CampaignMaster[Primary_Channel],"")</f>
        <v>Multi-channel</v>
      </c>
      <c r="AA47" s="13">
        <f>IF(Table8[[#This Row],[Gift_Aid_Eligible]]="Yes",Table8[[#This Row],[Gift_Amount]]*1.25,Table8[[#This Row],[Gift_Amount]])</f>
        <v>48.33</v>
      </c>
      <c r="AB47" t="str">
        <f>IF(Table8[[#This Row],[Supporter_ID]]="","Review - missing supporter ID","")</f>
        <v/>
      </c>
      <c r="AC47" t="str">
        <f>IF(OR(Table8[[#This Row],[Response_Date]]&lt;Table8[[#This Row],[Start_Date]],Table8[[#This Row],[Response_Date]]&gt;Table8[[#This Row],[End_Date]]),"Review - response outside campaign dates","")</f>
        <v/>
      </c>
      <c r="AD47" t="str">
        <f>IF(Table8[[#This Row],[Campaign_Type]]="","Review - campaign code not found","")</f>
        <v/>
      </c>
    </row>
    <row r="48" spans="1:30" x14ac:dyDescent="0.25">
      <c r="A48" t="s">
        <v>3436</v>
      </c>
      <c r="B48" t="s">
        <v>908</v>
      </c>
      <c r="C48" t="s">
        <v>3341</v>
      </c>
      <c r="D48" t="s">
        <v>3342</v>
      </c>
      <c r="E48" t="s">
        <v>3316</v>
      </c>
      <c r="F48" s="17">
        <v>45708</v>
      </c>
      <c r="G48">
        <v>273.94</v>
      </c>
      <c r="H48" t="s">
        <v>37</v>
      </c>
      <c r="I48" t="s">
        <v>3370</v>
      </c>
      <c r="J48" t="str">
        <f>_xlfn.XLOOKUP(Table8[[#This Row],[Supporter_ID]],tb1_supporters[Supporter_ID ],tb1_supporters[Segment],"")</f>
        <v>Legacy Pledger</v>
      </c>
      <c r="K48" t="str">
        <f>_xlfn.XLOOKUP(Table8[[#This Row],[Supporter_ID]],tb1_supporters[Supporter_ID ],tb1_supporters[Acquisition_Source],"")</f>
        <v>Telephone</v>
      </c>
      <c r="L48" t="str">
        <f>_xlfn.XLOOKUP(Table8[[#This Row],[Supporter_ID]],tb1_supporters[Supporter_ID ],tb1_supporters[County],"")</f>
        <v>Nottinghamshire</v>
      </c>
      <c r="M48" t="str">
        <f>_xlfn.XLOOKUP(Table8[[#This Row],[Supporter_ID]],tb1_supporters[Supporter_ID ],tb1_supporters[Gender],"")</f>
        <v>Male</v>
      </c>
      <c r="N48">
        <f ca="1">_xlfn.XLOOKUP(Table8[[#This Row],[Supporter_ID]],tb1_supporters[Supporter_ID ],tb1_supporters[Age],"")</f>
        <v>66</v>
      </c>
      <c r="O48" t="str">
        <f ca="1">_xlfn.XLOOKUP(Table8[[#This Row],[Supporter_ID]],tb1_supporters[Supporter_ID ],tb1_supporters[Age_Band],"")</f>
        <v>65+</v>
      </c>
      <c r="P48" t="str">
        <f ca="1">IF(Table8[[#This Row],[Age_Band]]="","Unknown",Table8[[#This Row],[Age_Band]])</f>
        <v>65+</v>
      </c>
      <c r="Q48" t="str">
        <f>_xlfn.XLOOKUP(Table8[[#This Row],[Supporter_ID]],tb1_supporters[Supporter_ID ],tb1_supporters[Communication_Preference],"")</f>
        <v>Email</v>
      </c>
      <c r="R48" t="str">
        <f>_xlfn.XLOOKUP(Table8[[#This Row],[Supporter_ID]],tb1_supporters[Supporter_ID ],tb1_supporters[Duplicate_Profile_Flag],"")</f>
        <v/>
      </c>
      <c r="S48" t="str">
        <f>_xlfn.XLOOKUP(Table8[[#This Row],[Supporter_ID]],tb1_supporters[Supporter_ID ],tb1_supporters[Preference_Compliance_Flag],"")</f>
        <v>Review - prefers email but not opted in</v>
      </c>
      <c r="T48" t="str">
        <f ca="1">IF(Table8[[#This Row],[Age]]="","Review - missing DOB",IF(Table8[[#This Row],[Age]]&gt;TODAY(),"Review - future DOB",IF(Table8[[#This Row],[Age]]=0,"Review -  potential entry error (age 0)","")))</f>
        <v/>
      </c>
      <c r="U48" t="str">
        <f>_xlfn.XLOOKUP(Table8[[#This Row],[Campaign_Code]],tb3_CampaignMaster[Campaign_Code],tb3_CampaignMaster[Campaign_Type],"")</f>
        <v>Acquisition</v>
      </c>
      <c r="V48" t="str">
        <f>_xlfn.XLOOKUP(Table8[[#This Row],[Campaign_Code]],tb3_CampaignMaster[Campaign_Code],tb3_CampaignMaster[Target_Audience],"")</f>
        <v>Prospects</v>
      </c>
      <c r="W48" s="17">
        <f>_xlfn.XLOOKUP(Table8[[#This Row],[Campaign_Code]],tb3_CampaignMaster[Campaign_Code],tb3_CampaignMaster[Start_Date],"")</f>
        <v>45689</v>
      </c>
      <c r="X48" s="17">
        <f>_xlfn.XLOOKUP(Table8[[#This Row],[Campaign_Code]],tb3_CampaignMaster[Campaign_Code],tb3_CampaignMaster[End_Date],"")</f>
        <v>45777</v>
      </c>
      <c r="Y48">
        <f>_xlfn.XLOOKUP(Table8[[#This Row],[Campaign_Code]],tb3_CampaignMaster[Campaign_Code],tb3_CampaignMaster[Budget_GBP],"")</f>
        <v>20000</v>
      </c>
      <c r="Z48" t="str">
        <f>_xlfn.XLOOKUP(Table8[[#This Row],[Campaign_Code]],tb3_CampaignMaster[Campaign_Code],tb3_CampaignMaster[Primary_Channel],"")</f>
        <v>Digital</v>
      </c>
      <c r="AA48" s="13">
        <f>IF(Table8[[#This Row],[Gift_Aid_Eligible]]="Yes",Table8[[#This Row],[Gift_Amount]]*1.25,Table8[[#This Row],[Gift_Amount]])</f>
        <v>273.94</v>
      </c>
      <c r="AB48" t="str">
        <f>IF(Table8[[#This Row],[Supporter_ID]]="","Review - missing supporter ID","")</f>
        <v/>
      </c>
      <c r="AC48" t="str">
        <f>IF(OR(Table8[[#This Row],[Response_Date]]&lt;Table8[[#This Row],[Start_Date]],Table8[[#This Row],[Response_Date]]&gt;Table8[[#This Row],[End_Date]]),"Review - response outside campaign dates","")</f>
        <v/>
      </c>
      <c r="AD48" t="str">
        <f>IF(Table8[[#This Row],[Campaign_Type]]="","Review - campaign code not found","")</f>
        <v/>
      </c>
    </row>
    <row r="49" spans="1:30" x14ac:dyDescent="0.25">
      <c r="A49" t="s">
        <v>3438</v>
      </c>
      <c r="B49" t="s">
        <v>1567</v>
      </c>
      <c r="C49" t="s">
        <v>3314</v>
      </c>
      <c r="D49" t="s">
        <v>3315</v>
      </c>
      <c r="E49" t="s">
        <v>3316</v>
      </c>
      <c r="F49" s="17">
        <v>45725</v>
      </c>
      <c r="G49">
        <v>46.97</v>
      </c>
      <c r="H49" t="s">
        <v>37</v>
      </c>
      <c r="I49" t="s">
        <v>3365</v>
      </c>
      <c r="J49" t="str">
        <f>_xlfn.XLOOKUP(Table8[[#This Row],[Supporter_ID]],tb1_supporters[Supporter_ID ],tb1_supporters[Segment],"")</f>
        <v>Lapsed</v>
      </c>
      <c r="K49" t="str">
        <f>_xlfn.XLOOKUP(Table8[[#This Row],[Supporter_ID]],tb1_supporters[Supporter_ID ],tb1_supporters[Acquisition_Source],"")</f>
        <v>Website</v>
      </c>
      <c r="L49" t="str">
        <f>_xlfn.XLOOKUP(Table8[[#This Row],[Supporter_ID]],tb1_supporters[Supporter_ID ],tb1_supporters[County],"")</f>
        <v>Merseyside</v>
      </c>
      <c r="M49" t="str">
        <f>_xlfn.XLOOKUP(Table8[[#This Row],[Supporter_ID]],tb1_supporters[Supporter_ID ],tb1_supporters[Gender],"")</f>
        <v>Male</v>
      </c>
      <c r="N49">
        <f ca="1">_xlfn.XLOOKUP(Table8[[#This Row],[Supporter_ID]],tb1_supporters[Supporter_ID ],tb1_supporters[Age],"")</f>
        <v>75</v>
      </c>
      <c r="O49" t="str">
        <f ca="1">_xlfn.XLOOKUP(Table8[[#This Row],[Supporter_ID]],tb1_supporters[Supporter_ID ],tb1_supporters[Age_Band],"")</f>
        <v>65+</v>
      </c>
      <c r="P49" t="str">
        <f ca="1">IF(Table8[[#This Row],[Age_Band]]="","Unknown",Table8[[#This Row],[Age_Band]])</f>
        <v>65+</v>
      </c>
      <c r="Q49" t="str">
        <f>_xlfn.XLOOKUP(Table8[[#This Row],[Supporter_ID]],tb1_supporters[Supporter_ID ],tb1_supporters[Communication_Preference],"")</f>
        <v>Email</v>
      </c>
      <c r="R49" t="str">
        <f>_xlfn.XLOOKUP(Table8[[#This Row],[Supporter_ID]],tb1_supporters[Supporter_ID ],tb1_supporters[Duplicate_Profile_Flag],"")</f>
        <v/>
      </c>
      <c r="S49" t="str">
        <f>_xlfn.XLOOKUP(Table8[[#This Row],[Supporter_ID]],tb1_supporters[Supporter_ID ],tb1_supporters[Preference_Compliance_Flag],"")</f>
        <v>Review - prefers email but not opted in</v>
      </c>
      <c r="T49" t="str">
        <f ca="1">IF(Table8[[#This Row],[Age]]="","Review - missing DOB",IF(Table8[[#This Row],[Age]]&gt;TODAY(),"Review - future DOB",IF(Table8[[#This Row],[Age]]=0,"Review -  potential entry error (age 0)","")))</f>
        <v/>
      </c>
      <c r="U49" t="str">
        <f>_xlfn.XLOOKUP(Table8[[#This Row],[Campaign_Code]],tb3_CampaignMaster[Campaign_Code],tb3_CampaignMaster[Campaign_Type],"")</f>
        <v>Regular Giving</v>
      </c>
      <c r="V49" t="str">
        <f>_xlfn.XLOOKUP(Table8[[#This Row],[Campaign_Code]],tb3_CampaignMaster[Campaign_Code],tb3_CampaignMaster[Target_Audience],"")</f>
        <v>One-time Donors</v>
      </c>
      <c r="W49" s="17">
        <f>_xlfn.XLOOKUP(Table8[[#This Row],[Campaign_Code]],tb3_CampaignMaster[Campaign_Code],tb3_CampaignMaster[Start_Date],"")</f>
        <v>45663</v>
      </c>
      <c r="X49" s="17">
        <f>_xlfn.XLOOKUP(Table8[[#This Row],[Campaign_Code]],tb3_CampaignMaster[Campaign_Code],tb3_CampaignMaster[End_Date],"")</f>
        <v>45747</v>
      </c>
      <c r="Y49">
        <f>_xlfn.XLOOKUP(Table8[[#This Row],[Campaign_Code]],tb3_CampaignMaster[Campaign_Code],tb3_CampaignMaster[Budget_GBP],"")</f>
        <v>10000</v>
      </c>
      <c r="Z49" t="str">
        <f>_xlfn.XLOOKUP(Table8[[#This Row],[Campaign_Code]],tb3_CampaignMaster[Campaign_Code],tb3_CampaignMaster[Primary_Channel],"")</f>
        <v>Telephone</v>
      </c>
      <c r="AA49" s="13">
        <f>IF(Table8[[#This Row],[Gift_Aid_Eligible]]="Yes",Table8[[#This Row],[Gift_Amount]]*1.25,Table8[[#This Row],[Gift_Amount]])</f>
        <v>46.97</v>
      </c>
      <c r="AB49" t="str">
        <f>IF(Table8[[#This Row],[Supporter_ID]]="","Review - missing supporter ID","")</f>
        <v/>
      </c>
      <c r="AC49" t="str">
        <f>IF(OR(Table8[[#This Row],[Response_Date]]&lt;Table8[[#This Row],[Start_Date]],Table8[[#This Row],[Response_Date]]&gt;Table8[[#This Row],[End_Date]]),"Review - response outside campaign dates","")</f>
        <v/>
      </c>
      <c r="AD49" t="str">
        <f>IF(Table8[[#This Row],[Campaign_Type]]="","Review - campaign code not found","")</f>
        <v/>
      </c>
    </row>
    <row r="50" spans="1:30" x14ac:dyDescent="0.25">
      <c r="A50" t="s">
        <v>3440</v>
      </c>
      <c r="B50" t="s">
        <v>1316</v>
      </c>
      <c r="C50" t="s">
        <v>3325</v>
      </c>
      <c r="D50" t="s">
        <v>3326</v>
      </c>
      <c r="E50" t="s">
        <v>65</v>
      </c>
      <c r="F50" s="17">
        <v>45627</v>
      </c>
      <c r="G50">
        <v>48.92</v>
      </c>
      <c r="H50" t="s">
        <v>36</v>
      </c>
      <c r="I50" t="s">
        <v>3365</v>
      </c>
      <c r="J50" t="str">
        <f>_xlfn.XLOOKUP(Table8[[#This Row],[Supporter_ID]],tb1_supporters[Supporter_ID ],tb1_supporters[Segment],"")</f>
        <v>Regular Giver</v>
      </c>
      <c r="K50" t="str">
        <f>_xlfn.XLOOKUP(Table8[[#This Row],[Supporter_ID]],tb1_supporters[Supporter_ID ],tb1_supporters[Acquisition_Source],"")</f>
        <v>Referral</v>
      </c>
      <c r="L50" t="str">
        <f>_xlfn.XLOOKUP(Table8[[#This Row],[Supporter_ID]],tb1_supporters[Supporter_ID ],tb1_supporters[County],"")</f>
        <v>North Yorkshire</v>
      </c>
      <c r="M50" t="str">
        <f>_xlfn.XLOOKUP(Table8[[#This Row],[Supporter_ID]],tb1_supporters[Supporter_ID ],tb1_supporters[Gender],"")</f>
        <v>Male</v>
      </c>
      <c r="N50">
        <f ca="1">_xlfn.XLOOKUP(Table8[[#This Row],[Supporter_ID]],tb1_supporters[Supporter_ID ],tb1_supporters[Age],"")</f>
        <v>76</v>
      </c>
      <c r="O50" t="str">
        <f ca="1">_xlfn.XLOOKUP(Table8[[#This Row],[Supporter_ID]],tb1_supporters[Supporter_ID ],tb1_supporters[Age_Band],"")</f>
        <v>65+</v>
      </c>
      <c r="P50" t="str">
        <f ca="1">IF(Table8[[#This Row],[Age_Band]]="","Unknown",Table8[[#This Row],[Age_Band]])</f>
        <v>65+</v>
      </c>
      <c r="Q50" t="str">
        <f>_xlfn.XLOOKUP(Table8[[#This Row],[Supporter_ID]],tb1_supporters[Supporter_ID ],tb1_supporters[Communication_Preference],"")</f>
        <v>Phone</v>
      </c>
      <c r="R50" t="str">
        <f>_xlfn.XLOOKUP(Table8[[#This Row],[Supporter_ID]],tb1_supporters[Supporter_ID ],tb1_supporters[Duplicate_Profile_Flag],"")</f>
        <v/>
      </c>
      <c r="S50" t="str">
        <f>_xlfn.XLOOKUP(Table8[[#This Row],[Supporter_ID]],tb1_supporters[Supporter_ID ],tb1_supporters[Preference_Compliance_Flag],"")</f>
        <v>Review - prefers phone but not opted in</v>
      </c>
      <c r="T50" t="str">
        <f ca="1">IF(Table8[[#This Row],[Age]]="","Review - missing DOB",IF(Table8[[#This Row],[Age]]&gt;TODAY(),"Review - future DOB",IF(Table8[[#This Row],[Age]]=0,"Review -  potential entry error (age 0)","")))</f>
        <v/>
      </c>
      <c r="U50" t="str">
        <f>_xlfn.XLOOKUP(Table8[[#This Row],[Campaign_Code]],tb3_CampaignMaster[Campaign_Code],tb3_CampaignMaster[Campaign_Type],"")</f>
        <v>Appeal</v>
      </c>
      <c r="V50" t="str">
        <f>_xlfn.XLOOKUP(Table8[[#This Row],[Campaign_Code]],tb3_CampaignMaster[Campaign_Code],tb3_CampaignMaster[Target_Audience],"")</f>
        <v>All Active</v>
      </c>
      <c r="W50" s="17">
        <f>_xlfn.XLOOKUP(Table8[[#This Row],[Campaign_Code]],tb3_CampaignMaster[Campaign_Code],tb3_CampaignMaster[Start_Date],"")</f>
        <v>45597</v>
      </c>
      <c r="X50" s="17">
        <f>_xlfn.XLOOKUP(Table8[[#This Row],[Campaign_Code]],tb3_CampaignMaster[Campaign_Code],tb3_CampaignMaster[End_Date],"")</f>
        <v>45657</v>
      </c>
      <c r="Y50">
        <f>_xlfn.XLOOKUP(Table8[[#This Row],[Campaign_Code]],tb3_CampaignMaster[Campaign_Code],tb3_CampaignMaster[Budget_GBP],"")</f>
        <v>25000</v>
      </c>
      <c r="Z50" t="str">
        <f>_xlfn.XLOOKUP(Table8[[#This Row],[Campaign_Code]],tb3_CampaignMaster[Campaign_Code],tb3_CampaignMaster[Primary_Channel],"")</f>
        <v>Multi-channel</v>
      </c>
      <c r="AA50" s="13">
        <f>IF(Table8[[#This Row],[Gift_Aid_Eligible]]="Yes",Table8[[#This Row],[Gift_Amount]]*1.25,Table8[[#This Row],[Gift_Amount]])</f>
        <v>61.150000000000006</v>
      </c>
      <c r="AB50" t="str">
        <f>IF(Table8[[#This Row],[Supporter_ID]]="","Review - missing supporter ID","")</f>
        <v/>
      </c>
      <c r="AC50" t="str">
        <f>IF(OR(Table8[[#This Row],[Response_Date]]&lt;Table8[[#This Row],[Start_Date]],Table8[[#This Row],[Response_Date]]&gt;Table8[[#This Row],[End_Date]]),"Review - response outside campaign dates","")</f>
        <v/>
      </c>
      <c r="AD50" t="str">
        <f>IF(Table8[[#This Row],[Campaign_Type]]="","Review - campaign code not found","")</f>
        <v/>
      </c>
    </row>
    <row r="51" spans="1:30" x14ac:dyDescent="0.25">
      <c r="A51" t="s">
        <v>3442</v>
      </c>
      <c r="B51" t="s">
        <v>927</v>
      </c>
      <c r="C51" t="s">
        <v>3336</v>
      </c>
      <c r="D51" t="s">
        <v>3337</v>
      </c>
      <c r="E51" t="s">
        <v>65</v>
      </c>
      <c r="F51" s="17">
        <v>45566</v>
      </c>
      <c r="G51">
        <v>4744.6000000000004</v>
      </c>
      <c r="H51" t="s">
        <v>37</v>
      </c>
      <c r="I51" t="s">
        <v>3385</v>
      </c>
      <c r="J51" t="str">
        <f>_xlfn.XLOOKUP(Table8[[#This Row],[Supporter_ID]],tb1_supporters[Supporter_ID ],tb1_supporters[Segment],"")</f>
        <v>Major Donor</v>
      </c>
      <c r="K51" t="str">
        <f>_xlfn.XLOOKUP(Table8[[#This Row],[Supporter_ID]],tb1_supporters[Supporter_ID ],tb1_supporters[Acquisition_Source],"")</f>
        <v>Referral</v>
      </c>
      <c r="L51" t="str">
        <f>_xlfn.XLOOKUP(Table8[[#This Row],[Supporter_ID]],tb1_supporters[Supporter_ID ],tb1_supporters[County],"")</f>
        <v>Angus</v>
      </c>
      <c r="M51" t="str">
        <f>_xlfn.XLOOKUP(Table8[[#This Row],[Supporter_ID]],tb1_supporters[Supporter_ID ],tb1_supporters[Gender],"")</f>
        <v>Male</v>
      </c>
      <c r="N51">
        <f ca="1">_xlfn.XLOOKUP(Table8[[#This Row],[Supporter_ID]],tb1_supporters[Supporter_ID ],tb1_supporters[Age],"")</f>
        <v>37</v>
      </c>
      <c r="O51" t="str">
        <f ca="1">_xlfn.XLOOKUP(Table8[[#This Row],[Supporter_ID]],tb1_supporters[Supporter_ID ],tb1_supporters[Age_Band],"")</f>
        <v>35-49</v>
      </c>
      <c r="P51" t="str">
        <f ca="1">IF(Table8[[#This Row],[Age_Band]]="","Unknown",Table8[[#This Row],[Age_Band]])</f>
        <v>35-49</v>
      </c>
      <c r="Q51" t="str">
        <f>_xlfn.XLOOKUP(Table8[[#This Row],[Supporter_ID]],tb1_supporters[Supporter_ID ],tb1_supporters[Communication_Preference],"")</f>
        <v>Email</v>
      </c>
      <c r="R51" t="str">
        <f>_xlfn.XLOOKUP(Table8[[#This Row],[Supporter_ID]],tb1_supporters[Supporter_ID ],tb1_supporters[Duplicate_Profile_Flag],"")</f>
        <v/>
      </c>
      <c r="S51" t="str">
        <f>_xlfn.XLOOKUP(Table8[[#This Row],[Supporter_ID]],tb1_supporters[Supporter_ID ],tb1_supporters[Preference_Compliance_Flag],"")</f>
        <v>Review - prefers email but not opted in</v>
      </c>
      <c r="T51" t="str">
        <f ca="1">IF(Table8[[#This Row],[Age]]="","Review - missing DOB",IF(Table8[[#This Row],[Age]]&gt;TODAY(),"Review - future DOB",IF(Table8[[#This Row],[Age]]=0,"Review -  potential entry error (age 0)","")))</f>
        <v/>
      </c>
      <c r="U51" t="str">
        <f>_xlfn.XLOOKUP(Table8[[#This Row],[Campaign_Code]],tb3_CampaignMaster[Campaign_Code],tb3_CampaignMaster[Campaign_Type],"")</f>
        <v>Appeal</v>
      </c>
      <c r="V51" t="str">
        <f>_xlfn.XLOOKUP(Table8[[#This Row],[Campaign_Code]],tb3_CampaignMaster[Campaign_Code],tb3_CampaignMaster[Target_Audience],"")</f>
        <v>All Supporters</v>
      </c>
      <c r="W51" s="17">
        <f>_xlfn.XLOOKUP(Table8[[#This Row],[Campaign_Code]],tb3_CampaignMaster[Campaign_Code],tb3_CampaignMaster[Start_Date],"")</f>
        <v>45545</v>
      </c>
      <c r="X51" s="17">
        <f>_xlfn.XLOOKUP(Table8[[#This Row],[Campaign_Code]],tb3_CampaignMaster[Campaign_Code],tb3_CampaignMaster[End_Date],"")</f>
        <v>45580</v>
      </c>
      <c r="Y51">
        <f>_xlfn.XLOOKUP(Table8[[#This Row],[Campaign_Code]],tb3_CampaignMaster[Campaign_Code],tb3_CampaignMaster[Budget_GBP],"")</f>
        <v>15000</v>
      </c>
      <c r="Z51" t="str">
        <f>_xlfn.XLOOKUP(Table8[[#This Row],[Campaign_Code]],tb3_CampaignMaster[Campaign_Code],tb3_CampaignMaster[Primary_Channel],"")</f>
        <v>Email</v>
      </c>
      <c r="AA51" s="13">
        <f>IF(Table8[[#This Row],[Gift_Aid_Eligible]]="Yes",Table8[[#This Row],[Gift_Amount]]*1.25,Table8[[#This Row],[Gift_Amount]])</f>
        <v>4744.6000000000004</v>
      </c>
      <c r="AB51" t="str">
        <f>IF(Table8[[#This Row],[Supporter_ID]]="","Review - missing supporter ID","")</f>
        <v/>
      </c>
      <c r="AC51" t="str">
        <f>IF(OR(Table8[[#This Row],[Response_Date]]&lt;Table8[[#This Row],[Start_Date]],Table8[[#This Row],[Response_Date]]&gt;Table8[[#This Row],[End_Date]]),"Review - response outside campaign dates","")</f>
        <v/>
      </c>
      <c r="AD51" t="str">
        <f>IF(Table8[[#This Row],[Campaign_Type]]="","Review - campaign code not found","")</f>
        <v/>
      </c>
    </row>
    <row r="52" spans="1:30" x14ac:dyDescent="0.25">
      <c r="A52" t="s">
        <v>3444</v>
      </c>
      <c r="B52" t="s">
        <v>2176</v>
      </c>
      <c r="C52" t="s">
        <v>3314</v>
      </c>
      <c r="D52" t="s">
        <v>3315</v>
      </c>
      <c r="E52" t="s">
        <v>65</v>
      </c>
      <c r="F52" s="17">
        <v>45746</v>
      </c>
      <c r="G52">
        <v>16.64</v>
      </c>
      <c r="H52" t="s">
        <v>36</v>
      </c>
      <c r="I52" t="s">
        <v>3370</v>
      </c>
      <c r="J52" t="str">
        <f>_xlfn.XLOOKUP(Table8[[#This Row],[Supporter_ID]],tb1_supporters[Supporter_ID ],tb1_supporters[Segment],"")</f>
        <v>Prospect</v>
      </c>
      <c r="K52" t="str">
        <f>_xlfn.XLOOKUP(Table8[[#This Row],[Supporter_ID]],tb1_supporters[Supporter_ID ],tb1_supporters[Acquisition_Source],"")</f>
        <v>Corporate Partner</v>
      </c>
      <c r="L52" t="str">
        <f>_xlfn.XLOOKUP(Table8[[#This Row],[Supporter_ID]],tb1_supporters[Supporter_ID ],tb1_supporters[County],"")</f>
        <v>Gloucestershire</v>
      </c>
      <c r="M52" t="str">
        <f>_xlfn.XLOOKUP(Table8[[#This Row],[Supporter_ID]],tb1_supporters[Supporter_ID ],tb1_supporters[Gender],"")</f>
        <v>Female</v>
      </c>
      <c r="N52">
        <f ca="1">_xlfn.XLOOKUP(Table8[[#This Row],[Supporter_ID]],tb1_supporters[Supporter_ID ],tb1_supporters[Age],"")</f>
        <v>36</v>
      </c>
      <c r="O52" t="str">
        <f ca="1">_xlfn.XLOOKUP(Table8[[#This Row],[Supporter_ID]],tb1_supporters[Supporter_ID ],tb1_supporters[Age_Band],"")</f>
        <v>35-49</v>
      </c>
      <c r="P52" t="str">
        <f ca="1">IF(Table8[[#This Row],[Age_Band]]="","Unknown",Table8[[#This Row],[Age_Band]])</f>
        <v>35-49</v>
      </c>
      <c r="Q52" t="str">
        <f>_xlfn.XLOOKUP(Table8[[#This Row],[Supporter_ID]],tb1_supporters[Supporter_ID ],tb1_supporters[Communication_Preference],"")</f>
        <v>Do Not Contact</v>
      </c>
      <c r="R52" t="str">
        <f>_xlfn.XLOOKUP(Table8[[#This Row],[Supporter_ID]],tb1_supporters[Supporter_ID ],tb1_supporters[Duplicate_Profile_Flag],"")</f>
        <v/>
      </c>
      <c r="S52" t="str">
        <f>_xlfn.XLOOKUP(Table8[[#This Row],[Supporter_ID]],tb1_supporters[Supporter_ID ],tb1_supporters[Preference_Compliance_Flag],"")</f>
        <v/>
      </c>
      <c r="T52" t="str">
        <f ca="1">IF(Table8[[#This Row],[Age]]="","Review - missing DOB",IF(Table8[[#This Row],[Age]]&gt;TODAY(),"Review - future DOB",IF(Table8[[#This Row],[Age]]=0,"Review -  potential entry error (age 0)","")))</f>
        <v/>
      </c>
      <c r="U52" t="str">
        <f>_xlfn.XLOOKUP(Table8[[#This Row],[Campaign_Code]],tb3_CampaignMaster[Campaign_Code],tb3_CampaignMaster[Campaign_Type],"")</f>
        <v>Regular Giving</v>
      </c>
      <c r="V52" t="str">
        <f>_xlfn.XLOOKUP(Table8[[#This Row],[Campaign_Code]],tb3_CampaignMaster[Campaign_Code],tb3_CampaignMaster[Target_Audience],"")</f>
        <v>One-time Donors</v>
      </c>
      <c r="W52" s="17">
        <f>_xlfn.XLOOKUP(Table8[[#This Row],[Campaign_Code]],tb3_CampaignMaster[Campaign_Code],tb3_CampaignMaster[Start_Date],"")</f>
        <v>45663</v>
      </c>
      <c r="X52" s="17">
        <f>_xlfn.XLOOKUP(Table8[[#This Row],[Campaign_Code]],tb3_CampaignMaster[Campaign_Code],tb3_CampaignMaster[End_Date],"")</f>
        <v>45747</v>
      </c>
      <c r="Y52">
        <f>_xlfn.XLOOKUP(Table8[[#This Row],[Campaign_Code]],tb3_CampaignMaster[Campaign_Code],tb3_CampaignMaster[Budget_GBP],"")</f>
        <v>10000</v>
      </c>
      <c r="Z52" t="str">
        <f>_xlfn.XLOOKUP(Table8[[#This Row],[Campaign_Code]],tb3_CampaignMaster[Campaign_Code],tb3_CampaignMaster[Primary_Channel],"")</f>
        <v>Telephone</v>
      </c>
      <c r="AA52" s="13">
        <f>IF(Table8[[#This Row],[Gift_Aid_Eligible]]="Yes",Table8[[#This Row],[Gift_Amount]]*1.25,Table8[[#This Row],[Gift_Amount]])</f>
        <v>20.8</v>
      </c>
      <c r="AB52" t="str">
        <f>IF(Table8[[#This Row],[Supporter_ID]]="","Review - missing supporter ID","")</f>
        <v/>
      </c>
      <c r="AC52" t="str">
        <f>IF(OR(Table8[[#This Row],[Response_Date]]&lt;Table8[[#This Row],[Start_Date]],Table8[[#This Row],[Response_Date]]&gt;Table8[[#This Row],[End_Date]]),"Review - response outside campaign dates","")</f>
        <v/>
      </c>
      <c r="AD52" t="str">
        <f>IF(Table8[[#This Row],[Campaign_Type]]="","Review - campaign code not found","")</f>
        <v/>
      </c>
    </row>
    <row r="53" spans="1:30" x14ac:dyDescent="0.25">
      <c r="A53" t="s">
        <v>3446</v>
      </c>
      <c r="B53" t="s">
        <v>1637</v>
      </c>
      <c r="C53" t="s">
        <v>3336</v>
      </c>
      <c r="D53" t="s">
        <v>3337</v>
      </c>
      <c r="E53" t="s">
        <v>3338</v>
      </c>
      <c r="F53" s="17">
        <v>45549</v>
      </c>
      <c r="G53">
        <v>46.05</v>
      </c>
      <c r="H53" t="s">
        <v>37</v>
      </c>
      <c r="I53" t="s">
        <v>3365</v>
      </c>
      <c r="J53" t="str">
        <f>_xlfn.XLOOKUP(Table8[[#This Row],[Supporter_ID]],tb1_supporters[Supporter_ID ],tb1_supporters[Segment],"")</f>
        <v>Regular Giver</v>
      </c>
      <c r="K53" t="str">
        <f>_xlfn.XLOOKUP(Table8[[#This Row],[Supporter_ID]],tb1_supporters[Supporter_ID ],tb1_supporters[Acquisition_Source],"")</f>
        <v>Social Media</v>
      </c>
      <c r="L53" t="str">
        <f>_xlfn.XLOOKUP(Table8[[#This Row],[Supporter_ID]],tb1_supporters[Supporter_ID ],tb1_supporters[County],"")</f>
        <v>Kent</v>
      </c>
      <c r="M53" t="str">
        <f>_xlfn.XLOOKUP(Table8[[#This Row],[Supporter_ID]],tb1_supporters[Supporter_ID ],tb1_supporters[Gender],"")</f>
        <v>Female</v>
      </c>
      <c r="N53">
        <f ca="1">_xlfn.XLOOKUP(Table8[[#This Row],[Supporter_ID]],tb1_supporters[Supporter_ID ],tb1_supporters[Age],"")</f>
        <v>45</v>
      </c>
      <c r="O53" t="str">
        <f ca="1">_xlfn.XLOOKUP(Table8[[#This Row],[Supporter_ID]],tb1_supporters[Supporter_ID ],tb1_supporters[Age_Band],"")</f>
        <v>35-49</v>
      </c>
      <c r="P53" t="str">
        <f ca="1">IF(Table8[[#This Row],[Age_Band]]="","Unknown",Table8[[#This Row],[Age_Band]])</f>
        <v>35-49</v>
      </c>
      <c r="Q53" t="str">
        <f>_xlfn.XLOOKUP(Table8[[#This Row],[Supporter_ID]],tb1_supporters[Supporter_ID ],tb1_supporters[Communication_Preference],"")</f>
        <v>Post</v>
      </c>
      <c r="R53" t="str">
        <f>_xlfn.XLOOKUP(Table8[[#This Row],[Supporter_ID]],tb1_supporters[Supporter_ID ],tb1_supporters[Duplicate_Profile_Flag],"")</f>
        <v/>
      </c>
      <c r="S53" t="str">
        <f>_xlfn.XLOOKUP(Table8[[#This Row],[Supporter_ID]],tb1_supporters[Supporter_ID ],tb1_supporters[Preference_Compliance_Flag],"")</f>
        <v>Review - prefers post but not opted in</v>
      </c>
      <c r="T53" t="str">
        <f ca="1">IF(Table8[[#This Row],[Age]]="","Review - missing DOB",IF(Table8[[#This Row],[Age]]&gt;TODAY(),"Review - future DOB",IF(Table8[[#This Row],[Age]]=0,"Review -  potential entry error (age 0)","")))</f>
        <v/>
      </c>
      <c r="U53" t="str">
        <f>_xlfn.XLOOKUP(Table8[[#This Row],[Campaign_Code]],tb3_CampaignMaster[Campaign_Code],tb3_CampaignMaster[Campaign_Type],"")</f>
        <v>Appeal</v>
      </c>
      <c r="V53" t="str">
        <f>_xlfn.XLOOKUP(Table8[[#This Row],[Campaign_Code]],tb3_CampaignMaster[Campaign_Code],tb3_CampaignMaster[Target_Audience],"")</f>
        <v>All Supporters</v>
      </c>
      <c r="W53" s="17">
        <f>_xlfn.XLOOKUP(Table8[[#This Row],[Campaign_Code]],tb3_CampaignMaster[Campaign_Code],tb3_CampaignMaster[Start_Date],"")</f>
        <v>45545</v>
      </c>
      <c r="X53" s="17">
        <f>_xlfn.XLOOKUP(Table8[[#This Row],[Campaign_Code]],tb3_CampaignMaster[Campaign_Code],tb3_CampaignMaster[End_Date],"")</f>
        <v>45580</v>
      </c>
      <c r="Y53">
        <f>_xlfn.XLOOKUP(Table8[[#This Row],[Campaign_Code]],tb3_CampaignMaster[Campaign_Code],tb3_CampaignMaster[Budget_GBP],"")</f>
        <v>15000</v>
      </c>
      <c r="Z53" t="str">
        <f>_xlfn.XLOOKUP(Table8[[#This Row],[Campaign_Code]],tb3_CampaignMaster[Campaign_Code],tb3_CampaignMaster[Primary_Channel],"")</f>
        <v>Email</v>
      </c>
      <c r="AA53" s="13">
        <f>IF(Table8[[#This Row],[Gift_Aid_Eligible]]="Yes",Table8[[#This Row],[Gift_Amount]]*1.25,Table8[[#This Row],[Gift_Amount]])</f>
        <v>46.05</v>
      </c>
      <c r="AB53" t="str">
        <f>IF(Table8[[#This Row],[Supporter_ID]]="","Review - missing supporter ID","")</f>
        <v/>
      </c>
      <c r="AC53" t="str">
        <f>IF(OR(Table8[[#This Row],[Response_Date]]&lt;Table8[[#This Row],[Start_Date]],Table8[[#This Row],[Response_Date]]&gt;Table8[[#This Row],[End_Date]]),"Review - response outside campaign dates","")</f>
        <v/>
      </c>
      <c r="AD53" t="str">
        <f>IF(Table8[[#This Row],[Campaign_Type]]="","Review - campaign code not found","")</f>
        <v/>
      </c>
    </row>
    <row r="54" spans="1:30" x14ac:dyDescent="0.25">
      <c r="A54" t="s">
        <v>3448</v>
      </c>
      <c r="B54" t="s">
        <v>2550</v>
      </c>
      <c r="C54" t="s">
        <v>3403</v>
      </c>
      <c r="D54" t="s">
        <v>3404</v>
      </c>
      <c r="E54" t="s">
        <v>65</v>
      </c>
      <c r="F54" s="17">
        <v>45613</v>
      </c>
      <c r="G54">
        <v>10.63</v>
      </c>
      <c r="H54" t="s">
        <v>37</v>
      </c>
      <c r="I54" t="s">
        <v>3323</v>
      </c>
      <c r="J54" t="str">
        <f>_xlfn.XLOOKUP(Table8[[#This Row],[Supporter_ID]],tb1_supporters[Supporter_ID ],tb1_supporters[Segment],"")</f>
        <v>Lapsed</v>
      </c>
      <c r="K54" t="str">
        <f>_xlfn.XLOOKUP(Table8[[#This Row],[Supporter_ID]],tb1_supporters[Supporter_ID ],tb1_supporters[Acquisition_Source],"")</f>
        <v>Corporate Partner</v>
      </c>
      <c r="L54" t="str">
        <f>_xlfn.XLOOKUP(Table8[[#This Row],[Supporter_ID]],tb1_supporters[Supporter_ID ],tb1_supporters[County],"")</f>
        <v>North Yorkshire</v>
      </c>
      <c r="M54" t="str">
        <f>_xlfn.XLOOKUP(Table8[[#This Row],[Supporter_ID]],tb1_supporters[Supporter_ID ],tb1_supporters[Gender],"")</f>
        <v>Male</v>
      </c>
      <c r="N54">
        <f ca="1">_xlfn.XLOOKUP(Table8[[#This Row],[Supporter_ID]],tb1_supporters[Supporter_ID ],tb1_supporters[Age],"")</f>
        <v>53</v>
      </c>
      <c r="O54" t="str">
        <f ca="1">_xlfn.XLOOKUP(Table8[[#This Row],[Supporter_ID]],tb1_supporters[Supporter_ID ],tb1_supporters[Age_Band],"")</f>
        <v>50-64</v>
      </c>
      <c r="P54" t="str">
        <f ca="1">IF(Table8[[#This Row],[Age_Band]]="","Unknown",Table8[[#This Row],[Age_Band]])</f>
        <v>50-64</v>
      </c>
      <c r="Q54" t="str">
        <f>_xlfn.XLOOKUP(Table8[[#This Row],[Supporter_ID]],tb1_supporters[Supporter_ID ],tb1_supporters[Communication_Preference],"")</f>
        <v>Email</v>
      </c>
      <c r="R54" t="str">
        <f>_xlfn.XLOOKUP(Table8[[#This Row],[Supporter_ID]],tb1_supporters[Supporter_ID ],tb1_supporters[Duplicate_Profile_Flag],"")</f>
        <v/>
      </c>
      <c r="S54" t="str">
        <f>_xlfn.XLOOKUP(Table8[[#This Row],[Supporter_ID]],tb1_supporters[Supporter_ID ],tb1_supporters[Preference_Compliance_Flag],"")</f>
        <v/>
      </c>
      <c r="T54" t="str">
        <f ca="1">IF(Table8[[#This Row],[Age]]="","Review - missing DOB",IF(Table8[[#This Row],[Age]]&gt;TODAY(),"Review - future DOB",IF(Table8[[#This Row],[Age]]=0,"Review -  potential entry error (age 0)","")))</f>
        <v/>
      </c>
      <c r="U54" t="str">
        <f>_xlfn.XLOOKUP(Table8[[#This Row],[Campaign_Code]],tb3_CampaignMaster[Campaign_Code],tb3_CampaignMaster[Campaign_Type],"")</f>
        <v>Trading</v>
      </c>
      <c r="V54" t="str">
        <f>_xlfn.XLOOKUP(Table8[[#This Row],[Campaign_Code]],tb3_CampaignMaster[Campaign_Code],tb3_CampaignMaster[Target_Audience],"")</f>
        <v>All Active</v>
      </c>
      <c r="W54" s="17">
        <f>_xlfn.XLOOKUP(Table8[[#This Row],[Campaign_Code]],tb3_CampaignMaster[Campaign_Code],tb3_CampaignMaster[Start_Date],"")</f>
        <v>45580</v>
      </c>
      <c r="X54" s="17">
        <f>_xlfn.XLOOKUP(Table8[[#This Row],[Campaign_Code]],tb3_CampaignMaster[Campaign_Code],tb3_CampaignMaster[End_Date],"")</f>
        <v>45646</v>
      </c>
      <c r="Y54">
        <f>_xlfn.XLOOKUP(Table8[[#This Row],[Campaign_Code]],tb3_CampaignMaster[Campaign_Code],tb3_CampaignMaster[Budget_GBP],"")</f>
        <v>12000</v>
      </c>
      <c r="Z54" t="str">
        <f>_xlfn.XLOOKUP(Table8[[#This Row],[Campaign_Code]],tb3_CampaignMaster[Campaign_Code],tb3_CampaignMaster[Primary_Channel],"")</f>
        <v>Multi-channel</v>
      </c>
      <c r="AA54" s="13">
        <f>IF(Table8[[#This Row],[Gift_Aid_Eligible]]="Yes",Table8[[#This Row],[Gift_Amount]]*1.25,Table8[[#This Row],[Gift_Amount]])</f>
        <v>10.63</v>
      </c>
      <c r="AB54" t="str">
        <f>IF(Table8[[#This Row],[Supporter_ID]]="","Review - missing supporter ID","")</f>
        <v/>
      </c>
      <c r="AC54" t="str">
        <f>IF(OR(Table8[[#This Row],[Response_Date]]&lt;Table8[[#This Row],[Start_Date]],Table8[[#This Row],[Response_Date]]&gt;Table8[[#This Row],[End_Date]]),"Review - response outside campaign dates","")</f>
        <v/>
      </c>
      <c r="AD54" t="str">
        <f>IF(Table8[[#This Row],[Campaign_Type]]="","Review - campaign code not found","")</f>
        <v/>
      </c>
    </row>
    <row r="55" spans="1:30" x14ac:dyDescent="0.25">
      <c r="A55" t="s">
        <v>3450</v>
      </c>
      <c r="B55" t="s">
        <v>1274</v>
      </c>
      <c r="C55" t="s">
        <v>3325</v>
      </c>
      <c r="D55" t="s">
        <v>3326</v>
      </c>
      <c r="E55" t="s">
        <v>4</v>
      </c>
      <c r="F55" s="17">
        <v>45598</v>
      </c>
      <c r="G55">
        <v>322.75</v>
      </c>
      <c r="H55" t="s">
        <v>37</v>
      </c>
      <c r="I55" t="s">
        <v>3385</v>
      </c>
      <c r="J55" t="str">
        <f>_xlfn.XLOOKUP(Table8[[#This Row],[Supporter_ID]],tb1_supporters[Supporter_ID ],tb1_supporters[Segment],"")</f>
        <v>Legacy Pledger</v>
      </c>
      <c r="K55" t="str">
        <f>_xlfn.XLOOKUP(Table8[[#This Row],[Supporter_ID]],tb1_supporters[Supporter_ID ],tb1_supporters[Acquisition_Source],"")</f>
        <v>Website</v>
      </c>
      <c r="L55" t="str">
        <f>_xlfn.XLOOKUP(Table8[[#This Row],[Supporter_ID]],tb1_supporters[Supporter_ID ],tb1_supporters[County],"")</f>
        <v>West Yorkshire</v>
      </c>
      <c r="M55" t="str">
        <f>_xlfn.XLOOKUP(Table8[[#This Row],[Supporter_ID]],tb1_supporters[Supporter_ID ],tb1_supporters[Gender],"")</f>
        <v>Male</v>
      </c>
      <c r="N55">
        <f ca="1">_xlfn.XLOOKUP(Table8[[#This Row],[Supporter_ID]],tb1_supporters[Supporter_ID ],tb1_supporters[Age],"")</f>
        <v>81</v>
      </c>
      <c r="O55" t="str">
        <f ca="1">_xlfn.XLOOKUP(Table8[[#This Row],[Supporter_ID]],tb1_supporters[Supporter_ID ],tb1_supporters[Age_Band],"")</f>
        <v>65+</v>
      </c>
      <c r="P55" t="str">
        <f ca="1">IF(Table8[[#This Row],[Age_Band]]="","Unknown",Table8[[#This Row],[Age_Band]])</f>
        <v>65+</v>
      </c>
      <c r="Q55" t="str">
        <f>_xlfn.XLOOKUP(Table8[[#This Row],[Supporter_ID]],tb1_supporters[Supporter_ID ],tb1_supporters[Communication_Preference],"")</f>
        <v>Post</v>
      </c>
      <c r="R55" t="str">
        <f>_xlfn.XLOOKUP(Table8[[#This Row],[Supporter_ID]],tb1_supporters[Supporter_ID ],tb1_supporters[Duplicate_Profile_Flag],"")</f>
        <v/>
      </c>
      <c r="S55" t="str">
        <f>_xlfn.XLOOKUP(Table8[[#This Row],[Supporter_ID]],tb1_supporters[Supporter_ID ],tb1_supporters[Preference_Compliance_Flag],"")</f>
        <v/>
      </c>
      <c r="T55" t="str">
        <f ca="1">IF(Table8[[#This Row],[Age]]="","Review - missing DOB",IF(Table8[[#This Row],[Age]]&gt;TODAY(),"Review - future DOB",IF(Table8[[#This Row],[Age]]=0,"Review -  potential entry error (age 0)","")))</f>
        <v/>
      </c>
      <c r="U55" t="str">
        <f>_xlfn.XLOOKUP(Table8[[#This Row],[Campaign_Code]],tb3_CampaignMaster[Campaign_Code],tb3_CampaignMaster[Campaign_Type],"")</f>
        <v>Appeal</v>
      </c>
      <c r="V55" t="str">
        <f>_xlfn.XLOOKUP(Table8[[#This Row],[Campaign_Code]],tb3_CampaignMaster[Campaign_Code],tb3_CampaignMaster[Target_Audience],"")</f>
        <v>All Active</v>
      </c>
      <c r="W55" s="17">
        <f>_xlfn.XLOOKUP(Table8[[#This Row],[Campaign_Code]],tb3_CampaignMaster[Campaign_Code],tb3_CampaignMaster[Start_Date],"")</f>
        <v>45597</v>
      </c>
      <c r="X55" s="17">
        <f>_xlfn.XLOOKUP(Table8[[#This Row],[Campaign_Code]],tb3_CampaignMaster[Campaign_Code],tb3_CampaignMaster[End_Date],"")</f>
        <v>45657</v>
      </c>
      <c r="Y55">
        <f>_xlfn.XLOOKUP(Table8[[#This Row],[Campaign_Code]],tb3_CampaignMaster[Campaign_Code],tb3_CampaignMaster[Budget_GBP],"")</f>
        <v>25000</v>
      </c>
      <c r="Z55" t="str">
        <f>_xlfn.XLOOKUP(Table8[[#This Row],[Campaign_Code]],tb3_CampaignMaster[Campaign_Code],tb3_CampaignMaster[Primary_Channel],"")</f>
        <v>Multi-channel</v>
      </c>
      <c r="AA55" s="13">
        <f>IF(Table8[[#This Row],[Gift_Aid_Eligible]]="Yes",Table8[[#This Row],[Gift_Amount]]*1.25,Table8[[#This Row],[Gift_Amount]])</f>
        <v>322.75</v>
      </c>
      <c r="AB55" t="str">
        <f>IF(Table8[[#This Row],[Supporter_ID]]="","Review - missing supporter ID","")</f>
        <v/>
      </c>
      <c r="AC55" t="str">
        <f>IF(OR(Table8[[#This Row],[Response_Date]]&lt;Table8[[#This Row],[Start_Date]],Table8[[#This Row],[Response_Date]]&gt;Table8[[#This Row],[End_Date]]),"Review - response outside campaign dates","")</f>
        <v/>
      </c>
      <c r="AD55" t="str">
        <f>IF(Table8[[#This Row],[Campaign_Type]]="","Review - campaign code not found","")</f>
        <v/>
      </c>
    </row>
    <row r="56" spans="1:30" x14ac:dyDescent="0.25">
      <c r="A56" t="s">
        <v>3452</v>
      </c>
      <c r="B56" t="s">
        <v>2112</v>
      </c>
      <c r="C56" t="s">
        <v>3320</v>
      </c>
      <c r="D56" t="s">
        <v>3321</v>
      </c>
      <c r="E56" t="s">
        <v>4</v>
      </c>
      <c r="F56" s="17">
        <v>45463</v>
      </c>
      <c r="G56">
        <v>241.31</v>
      </c>
      <c r="H56" t="s">
        <v>36</v>
      </c>
      <c r="I56" t="s">
        <v>3331</v>
      </c>
      <c r="J56" t="str">
        <f>_xlfn.XLOOKUP(Table8[[#This Row],[Supporter_ID]],tb1_supporters[Supporter_ID ],tb1_supporters[Segment],"")</f>
        <v>Mid-Value</v>
      </c>
      <c r="K56" t="str">
        <f>_xlfn.XLOOKUP(Table8[[#This Row],[Supporter_ID]],tb1_supporters[Supporter_ID ],tb1_supporters[Acquisition_Source],"")</f>
        <v>Event</v>
      </c>
      <c r="L56" t="str">
        <f>_xlfn.XLOOKUP(Table8[[#This Row],[Supporter_ID]],tb1_supporters[Supporter_ID ],tb1_supporters[County],"")</f>
        <v>Devon</v>
      </c>
      <c r="M56" t="str">
        <f>_xlfn.XLOOKUP(Table8[[#This Row],[Supporter_ID]],tb1_supporters[Supporter_ID ],tb1_supporters[Gender],"")</f>
        <v>Female</v>
      </c>
      <c r="N56">
        <f ca="1">_xlfn.XLOOKUP(Table8[[#This Row],[Supporter_ID]],tb1_supporters[Supporter_ID ],tb1_supporters[Age],"")</f>
        <v>66</v>
      </c>
      <c r="O56" t="str">
        <f ca="1">_xlfn.XLOOKUP(Table8[[#This Row],[Supporter_ID]],tb1_supporters[Supporter_ID ],tb1_supporters[Age_Band],"")</f>
        <v>65+</v>
      </c>
      <c r="P56" t="str">
        <f ca="1">IF(Table8[[#This Row],[Age_Band]]="","Unknown",Table8[[#This Row],[Age_Band]])</f>
        <v>65+</v>
      </c>
      <c r="Q56" t="str">
        <f>_xlfn.XLOOKUP(Table8[[#This Row],[Supporter_ID]],tb1_supporters[Supporter_ID ],tb1_supporters[Communication_Preference],"")</f>
        <v>Phone</v>
      </c>
      <c r="R56" t="str">
        <f>_xlfn.XLOOKUP(Table8[[#This Row],[Supporter_ID]],tb1_supporters[Supporter_ID ],tb1_supporters[Duplicate_Profile_Flag],"")</f>
        <v/>
      </c>
      <c r="S56" t="str">
        <f>_xlfn.XLOOKUP(Table8[[#This Row],[Supporter_ID]],tb1_supporters[Supporter_ID ],tb1_supporters[Preference_Compliance_Flag],"")</f>
        <v>Review - prefers phone but not opted in</v>
      </c>
      <c r="T56" t="str">
        <f ca="1">IF(Table8[[#This Row],[Age]]="","Review - missing DOB",IF(Table8[[#This Row],[Age]]&gt;TODAY(),"Review - future DOB",IF(Table8[[#This Row],[Age]]=0,"Review -  potential entry error (age 0)","")))</f>
        <v/>
      </c>
      <c r="U56" t="str">
        <f>_xlfn.XLOOKUP(Table8[[#This Row],[Campaign_Code]],tb3_CampaignMaster[Campaign_Code],tb3_CampaignMaster[Campaign_Type],"")</f>
        <v>Stewardship</v>
      </c>
      <c r="V56" t="str">
        <f>_xlfn.XLOOKUP(Table8[[#This Row],[Campaign_Code]],tb3_CampaignMaster[Campaign_Code],tb3_CampaignMaster[Target_Audience],"")</f>
        <v>Major Donors</v>
      </c>
      <c r="W56" s="17">
        <f>_xlfn.XLOOKUP(Table8[[#This Row],[Campaign_Code]],tb3_CampaignMaster[Campaign_Code],tb3_CampaignMaster[Start_Date],"")</f>
        <v>45444</v>
      </c>
      <c r="X56" s="17">
        <f>_xlfn.XLOOKUP(Table8[[#This Row],[Campaign_Code]],tb3_CampaignMaster[Campaign_Code],tb3_CampaignMaster[End_Date],"")</f>
        <v>45473</v>
      </c>
      <c r="Y56">
        <f>_xlfn.XLOOKUP(Table8[[#This Row],[Campaign_Code]],tb3_CampaignMaster[Campaign_Code],tb3_CampaignMaster[Budget_GBP],"")</f>
        <v>7000</v>
      </c>
      <c r="Z56" t="str">
        <f>_xlfn.XLOOKUP(Table8[[#This Row],[Campaign_Code]],tb3_CampaignMaster[Campaign_Code],tb3_CampaignMaster[Primary_Channel],"")</f>
        <v>Direct Mail</v>
      </c>
      <c r="AA56" s="13">
        <f>IF(Table8[[#This Row],[Gift_Aid_Eligible]]="Yes",Table8[[#This Row],[Gift_Amount]]*1.25,Table8[[#This Row],[Gift_Amount]])</f>
        <v>301.63749999999999</v>
      </c>
      <c r="AB56" t="str">
        <f>IF(Table8[[#This Row],[Supporter_ID]]="","Review - missing supporter ID","")</f>
        <v/>
      </c>
      <c r="AC56" t="str">
        <f>IF(OR(Table8[[#This Row],[Response_Date]]&lt;Table8[[#This Row],[Start_Date]],Table8[[#This Row],[Response_Date]]&gt;Table8[[#This Row],[End_Date]]),"Review - response outside campaign dates","")</f>
        <v/>
      </c>
      <c r="AD56" t="str">
        <f>IF(Table8[[#This Row],[Campaign_Type]]="","Review - campaign code not found","")</f>
        <v/>
      </c>
    </row>
    <row r="57" spans="1:30" x14ac:dyDescent="0.25">
      <c r="A57" t="s">
        <v>3454</v>
      </c>
      <c r="B57" t="s">
        <v>1688</v>
      </c>
      <c r="C57" t="s">
        <v>3320</v>
      </c>
      <c r="D57" t="s">
        <v>3321</v>
      </c>
      <c r="E57" t="s">
        <v>4</v>
      </c>
      <c r="F57" s="17">
        <v>45466</v>
      </c>
      <c r="G57">
        <v>57.48</v>
      </c>
      <c r="H57" t="s">
        <v>36</v>
      </c>
      <c r="I57" t="s">
        <v>3331</v>
      </c>
      <c r="J57" t="str">
        <f>_xlfn.XLOOKUP(Table8[[#This Row],[Supporter_ID]],tb1_supporters[Supporter_ID ],tb1_supporters[Segment],"")</f>
        <v>Mid-Value</v>
      </c>
      <c r="K57" t="str">
        <f>_xlfn.XLOOKUP(Table8[[#This Row],[Supporter_ID]],tb1_supporters[Supporter_ID ],tb1_supporters[Acquisition_Source],"")</f>
        <v>Social Media</v>
      </c>
      <c r="L57" t="str">
        <f>_xlfn.XLOOKUP(Table8[[#This Row],[Supporter_ID]],tb1_supporters[Supporter_ID ],tb1_supporters[County],"")</f>
        <v>Cheshire</v>
      </c>
      <c r="M57" t="str">
        <f>_xlfn.XLOOKUP(Table8[[#This Row],[Supporter_ID]],tb1_supporters[Supporter_ID ],tb1_supporters[Gender],"")</f>
        <v>Female</v>
      </c>
      <c r="N57">
        <f ca="1">_xlfn.XLOOKUP(Table8[[#This Row],[Supporter_ID]],tb1_supporters[Supporter_ID ],tb1_supporters[Age],"")</f>
        <v>66</v>
      </c>
      <c r="O57" t="str">
        <f ca="1">_xlfn.XLOOKUP(Table8[[#This Row],[Supporter_ID]],tb1_supporters[Supporter_ID ],tb1_supporters[Age_Band],"")</f>
        <v>65+</v>
      </c>
      <c r="P57" t="str">
        <f ca="1">IF(Table8[[#This Row],[Age_Band]]="","Unknown",Table8[[#This Row],[Age_Band]])</f>
        <v>65+</v>
      </c>
      <c r="Q57" t="str">
        <f>_xlfn.XLOOKUP(Table8[[#This Row],[Supporter_ID]],tb1_supporters[Supporter_ID ],tb1_supporters[Communication_Preference],"")</f>
        <v>Phone</v>
      </c>
      <c r="R57" t="str">
        <f>_xlfn.XLOOKUP(Table8[[#This Row],[Supporter_ID]],tb1_supporters[Supporter_ID ],tb1_supporters[Duplicate_Profile_Flag],"")</f>
        <v/>
      </c>
      <c r="S57" t="str">
        <f>_xlfn.XLOOKUP(Table8[[#This Row],[Supporter_ID]],tb1_supporters[Supporter_ID ],tb1_supporters[Preference_Compliance_Flag],"")</f>
        <v>Review - prefers phone but not opted in</v>
      </c>
      <c r="T57" t="str">
        <f ca="1">IF(Table8[[#This Row],[Age]]="","Review - missing DOB",IF(Table8[[#This Row],[Age]]&gt;TODAY(),"Review - future DOB",IF(Table8[[#This Row],[Age]]=0,"Review -  potential entry error (age 0)","")))</f>
        <v/>
      </c>
      <c r="U57" t="str">
        <f>_xlfn.XLOOKUP(Table8[[#This Row],[Campaign_Code]],tb3_CampaignMaster[Campaign_Code],tb3_CampaignMaster[Campaign_Type],"")</f>
        <v>Stewardship</v>
      </c>
      <c r="V57" t="str">
        <f>_xlfn.XLOOKUP(Table8[[#This Row],[Campaign_Code]],tb3_CampaignMaster[Campaign_Code],tb3_CampaignMaster[Target_Audience],"")</f>
        <v>Major Donors</v>
      </c>
      <c r="W57" s="17">
        <f>_xlfn.XLOOKUP(Table8[[#This Row],[Campaign_Code]],tb3_CampaignMaster[Campaign_Code],tb3_CampaignMaster[Start_Date],"")</f>
        <v>45444</v>
      </c>
      <c r="X57" s="17">
        <f>_xlfn.XLOOKUP(Table8[[#This Row],[Campaign_Code]],tb3_CampaignMaster[Campaign_Code],tb3_CampaignMaster[End_Date],"")</f>
        <v>45473</v>
      </c>
      <c r="Y57">
        <f>_xlfn.XLOOKUP(Table8[[#This Row],[Campaign_Code]],tb3_CampaignMaster[Campaign_Code],tb3_CampaignMaster[Budget_GBP],"")</f>
        <v>7000</v>
      </c>
      <c r="Z57" t="str">
        <f>_xlfn.XLOOKUP(Table8[[#This Row],[Campaign_Code]],tb3_CampaignMaster[Campaign_Code],tb3_CampaignMaster[Primary_Channel],"")</f>
        <v>Direct Mail</v>
      </c>
      <c r="AA57" s="13">
        <f>IF(Table8[[#This Row],[Gift_Aid_Eligible]]="Yes",Table8[[#This Row],[Gift_Amount]]*1.25,Table8[[#This Row],[Gift_Amount]])</f>
        <v>71.849999999999994</v>
      </c>
      <c r="AB57" t="str">
        <f>IF(Table8[[#This Row],[Supporter_ID]]="","Review - missing supporter ID","")</f>
        <v/>
      </c>
      <c r="AC57" t="str">
        <f>IF(OR(Table8[[#This Row],[Response_Date]]&lt;Table8[[#This Row],[Start_Date]],Table8[[#This Row],[Response_Date]]&gt;Table8[[#This Row],[End_Date]]),"Review - response outside campaign dates","")</f>
        <v/>
      </c>
      <c r="AD57" t="str">
        <f>IF(Table8[[#This Row],[Campaign_Type]]="","Review - campaign code not found","")</f>
        <v/>
      </c>
    </row>
    <row r="58" spans="1:30" x14ac:dyDescent="0.25">
      <c r="A58" t="s">
        <v>3456</v>
      </c>
      <c r="B58" t="s">
        <v>3009</v>
      </c>
      <c r="C58" t="s">
        <v>3427</v>
      </c>
      <c r="D58" t="s">
        <v>3428</v>
      </c>
      <c r="E58" t="s">
        <v>4</v>
      </c>
      <c r="F58" s="17">
        <v>45488</v>
      </c>
      <c r="G58">
        <v>92.35</v>
      </c>
      <c r="H58" t="s">
        <v>36</v>
      </c>
      <c r="I58" t="s">
        <v>3334</v>
      </c>
      <c r="J58" t="str">
        <f>_xlfn.XLOOKUP(Table8[[#This Row],[Supporter_ID]],tb1_supporters[Supporter_ID ],tb1_supporters[Segment],"")</f>
        <v>One-Time Donor</v>
      </c>
      <c r="K58" t="str">
        <f>_xlfn.XLOOKUP(Table8[[#This Row],[Supporter_ID]],tb1_supporters[Supporter_ID ],tb1_supporters[Acquisition_Source],"")</f>
        <v>Telephone</v>
      </c>
      <c r="L58" t="str">
        <f>_xlfn.XLOOKUP(Table8[[#This Row],[Supporter_ID]],tb1_supporters[Supporter_ID ],tb1_supporters[County],"")</f>
        <v>Cambridgeshire</v>
      </c>
      <c r="M58" t="str">
        <f>_xlfn.XLOOKUP(Table8[[#This Row],[Supporter_ID]],tb1_supporters[Supporter_ID ],tb1_supporters[Gender],"")</f>
        <v>Female</v>
      </c>
      <c r="N58">
        <f ca="1">_xlfn.XLOOKUP(Table8[[#This Row],[Supporter_ID]],tb1_supporters[Supporter_ID ],tb1_supporters[Age],"")</f>
        <v>63</v>
      </c>
      <c r="O58" t="str">
        <f ca="1">_xlfn.XLOOKUP(Table8[[#This Row],[Supporter_ID]],tb1_supporters[Supporter_ID ],tb1_supporters[Age_Band],"")</f>
        <v>50-64</v>
      </c>
      <c r="P58" t="str">
        <f ca="1">IF(Table8[[#This Row],[Age_Band]]="","Unknown",Table8[[#This Row],[Age_Band]])</f>
        <v>50-64</v>
      </c>
      <c r="Q58" t="str">
        <f>_xlfn.XLOOKUP(Table8[[#This Row],[Supporter_ID]],tb1_supporters[Supporter_ID ],tb1_supporters[Communication_Preference],"")</f>
        <v>Email</v>
      </c>
      <c r="R58" t="str">
        <f>_xlfn.XLOOKUP(Table8[[#This Row],[Supporter_ID]],tb1_supporters[Supporter_ID ],tb1_supporters[Duplicate_Profile_Flag],"")</f>
        <v/>
      </c>
      <c r="S58" t="str">
        <f>_xlfn.XLOOKUP(Table8[[#This Row],[Supporter_ID]],tb1_supporters[Supporter_ID ],tb1_supporters[Preference_Compliance_Flag],"")</f>
        <v/>
      </c>
      <c r="T58" t="str">
        <f ca="1">IF(Table8[[#This Row],[Age]]="","Review - missing DOB",IF(Table8[[#This Row],[Age]]&gt;TODAY(),"Review - future DOB",IF(Table8[[#This Row],[Age]]=0,"Review -  potential entry error (age 0)","")))</f>
        <v/>
      </c>
      <c r="U58" t="str">
        <f>_xlfn.XLOOKUP(Table8[[#This Row],[Campaign_Code]],tb3_CampaignMaster[Campaign_Code],tb3_CampaignMaster[Campaign_Type],"")</f>
        <v>Event</v>
      </c>
      <c r="V58" t="str">
        <f>_xlfn.XLOOKUP(Table8[[#This Row],[Campaign_Code]],tb3_CampaignMaster[Campaign_Code],tb3_CampaignMaster[Target_Audience],"")</f>
        <v>Major Donors</v>
      </c>
      <c r="W58" s="17">
        <f>_xlfn.XLOOKUP(Table8[[#This Row],[Campaign_Code]],tb3_CampaignMaster[Campaign_Code],tb3_CampaignMaster[Start_Date],"")</f>
        <v>45488</v>
      </c>
      <c r="X58" s="17">
        <f>_xlfn.XLOOKUP(Table8[[#This Row],[Campaign_Code]],tb3_CampaignMaster[Campaign_Code],tb3_CampaignMaster[End_Date],"")</f>
        <v>45488</v>
      </c>
      <c r="Y58">
        <f>_xlfn.XLOOKUP(Table8[[#This Row],[Campaign_Code]],tb3_CampaignMaster[Campaign_Code],tb3_CampaignMaster[Budget_GBP],"")</f>
        <v>45000</v>
      </c>
      <c r="Z58" t="str">
        <f>_xlfn.XLOOKUP(Table8[[#This Row],[Campaign_Code]],tb3_CampaignMaster[Campaign_Code],tb3_CampaignMaster[Primary_Channel],"")</f>
        <v>Direct Mail</v>
      </c>
      <c r="AA58" s="13">
        <f>IF(Table8[[#This Row],[Gift_Aid_Eligible]]="Yes",Table8[[#This Row],[Gift_Amount]]*1.25,Table8[[#This Row],[Gift_Amount]])</f>
        <v>115.4375</v>
      </c>
      <c r="AB58" t="str">
        <f>IF(Table8[[#This Row],[Supporter_ID]]="","Review - missing supporter ID","")</f>
        <v/>
      </c>
      <c r="AC58" t="str">
        <f>IF(OR(Table8[[#This Row],[Response_Date]]&lt;Table8[[#This Row],[Start_Date]],Table8[[#This Row],[Response_Date]]&gt;Table8[[#This Row],[End_Date]]),"Review - response outside campaign dates","")</f>
        <v/>
      </c>
      <c r="AD58" t="str">
        <f>IF(Table8[[#This Row],[Campaign_Type]]="","Review - campaign code not found","")</f>
        <v/>
      </c>
    </row>
    <row r="59" spans="1:30" x14ac:dyDescent="0.25">
      <c r="A59" t="s">
        <v>3457</v>
      </c>
      <c r="B59" t="s">
        <v>3003</v>
      </c>
      <c r="C59" t="s">
        <v>3341</v>
      </c>
      <c r="D59" t="s">
        <v>3342</v>
      </c>
      <c r="E59" t="s">
        <v>4</v>
      </c>
      <c r="F59" s="17">
        <v>45774</v>
      </c>
      <c r="G59">
        <v>278.52</v>
      </c>
      <c r="H59" t="s">
        <v>37</v>
      </c>
      <c r="I59" t="s">
        <v>3331</v>
      </c>
      <c r="J59" t="str">
        <f>_xlfn.XLOOKUP(Table8[[#This Row],[Supporter_ID]],tb1_supporters[Supporter_ID ],tb1_supporters[Segment],"")</f>
        <v>Legacy Pledger</v>
      </c>
      <c r="K59" t="str">
        <f>_xlfn.XLOOKUP(Table8[[#This Row],[Supporter_ID]],tb1_supporters[Supporter_ID ],tb1_supporters[Acquisition_Source],"")</f>
        <v>Corporate Partner</v>
      </c>
      <c r="L59" t="str">
        <f>_xlfn.XLOOKUP(Table8[[#This Row],[Supporter_ID]],tb1_supporters[Supporter_ID ],tb1_supporters[County],"")</f>
        <v>South Yorkshire</v>
      </c>
      <c r="M59" t="str">
        <f>_xlfn.XLOOKUP(Table8[[#This Row],[Supporter_ID]],tb1_supporters[Supporter_ID ],tb1_supporters[Gender],"")</f>
        <v>Male</v>
      </c>
      <c r="N59">
        <f ca="1">_xlfn.XLOOKUP(Table8[[#This Row],[Supporter_ID]],tb1_supporters[Supporter_ID ],tb1_supporters[Age],"")</f>
        <v>86</v>
      </c>
      <c r="O59" t="str">
        <f ca="1">_xlfn.XLOOKUP(Table8[[#This Row],[Supporter_ID]],tb1_supporters[Supporter_ID ],tb1_supporters[Age_Band],"")</f>
        <v>65+</v>
      </c>
      <c r="P59" t="str">
        <f ca="1">IF(Table8[[#This Row],[Age_Band]]="","Unknown",Table8[[#This Row],[Age_Band]])</f>
        <v>65+</v>
      </c>
      <c r="Q59" t="str">
        <f>_xlfn.XLOOKUP(Table8[[#This Row],[Supporter_ID]],tb1_supporters[Supporter_ID ],tb1_supporters[Communication_Preference],"")</f>
        <v>No Preference</v>
      </c>
      <c r="R59" t="str">
        <f>_xlfn.XLOOKUP(Table8[[#This Row],[Supporter_ID]],tb1_supporters[Supporter_ID ],tb1_supporters[Duplicate_Profile_Flag],"")</f>
        <v/>
      </c>
      <c r="S59" t="str">
        <f>_xlfn.XLOOKUP(Table8[[#This Row],[Supporter_ID]],tb1_supporters[Supporter_ID ],tb1_supporters[Preference_Compliance_Flag],"")</f>
        <v/>
      </c>
      <c r="T59" t="str">
        <f ca="1">IF(Table8[[#This Row],[Age]]="","Review - missing DOB",IF(Table8[[#This Row],[Age]]&gt;TODAY(),"Review - future DOB",IF(Table8[[#This Row],[Age]]=0,"Review -  potential entry error (age 0)","")))</f>
        <v/>
      </c>
      <c r="U59" t="str">
        <f>_xlfn.XLOOKUP(Table8[[#This Row],[Campaign_Code]],tb3_CampaignMaster[Campaign_Code],tb3_CampaignMaster[Campaign_Type],"")</f>
        <v>Acquisition</v>
      </c>
      <c r="V59" t="str">
        <f>_xlfn.XLOOKUP(Table8[[#This Row],[Campaign_Code]],tb3_CampaignMaster[Campaign_Code],tb3_CampaignMaster[Target_Audience],"")</f>
        <v>Prospects</v>
      </c>
      <c r="W59" s="17">
        <f>_xlfn.XLOOKUP(Table8[[#This Row],[Campaign_Code]],tb3_CampaignMaster[Campaign_Code],tb3_CampaignMaster[Start_Date],"")</f>
        <v>45689</v>
      </c>
      <c r="X59" s="17">
        <f>_xlfn.XLOOKUP(Table8[[#This Row],[Campaign_Code]],tb3_CampaignMaster[Campaign_Code],tb3_CampaignMaster[End_Date],"")</f>
        <v>45777</v>
      </c>
      <c r="Y59">
        <f>_xlfn.XLOOKUP(Table8[[#This Row],[Campaign_Code]],tb3_CampaignMaster[Campaign_Code],tb3_CampaignMaster[Budget_GBP],"")</f>
        <v>20000</v>
      </c>
      <c r="Z59" t="str">
        <f>_xlfn.XLOOKUP(Table8[[#This Row],[Campaign_Code]],tb3_CampaignMaster[Campaign_Code],tb3_CampaignMaster[Primary_Channel],"")</f>
        <v>Digital</v>
      </c>
      <c r="AA59" s="13">
        <f>IF(Table8[[#This Row],[Gift_Aid_Eligible]]="Yes",Table8[[#This Row],[Gift_Amount]]*1.25,Table8[[#This Row],[Gift_Amount]])</f>
        <v>278.52</v>
      </c>
      <c r="AB59" t="str">
        <f>IF(Table8[[#This Row],[Supporter_ID]]="","Review - missing supporter ID","")</f>
        <v/>
      </c>
      <c r="AC59" t="str">
        <f>IF(OR(Table8[[#This Row],[Response_Date]]&lt;Table8[[#This Row],[Start_Date]],Table8[[#This Row],[Response_Date]]&gt;Table8[[#This Row],[End_Date]]),"Review - response outside campaign dates","")</f>
        <v/>
      </c>
      <c r="AD59" t="str">
        <f>IF(Table8[[#This Row],[Campaign_Type]]="","Review - campaign code not found","")</f>
        <v/>
      </c>
    </row>
    <row r="60" spans="1:30" x14ac:dyDescent="0.25">
      <c r="A60" t="s">
        <v>3460</v>
      </c>
      <c r="B60" t="s">
        <v>330</v>
      </c>
      <c r="C60" t="s">
        <v>3354</v>
      </c>
      <c r="D60" t="s">
        <v>3355</v>
      </c>
      <c r="E60" t="s">
        <v>65</v>
      </c>
      <c r="F60" s="17">
        <v>45618</v>
      </c>
      <c r="G60">
        <v>38.14</v>
      </c>
      <c r="H60" t="s">
        <v>36</v>
      </c>
      <c r="I60" t="s">
        <v>3334</v>
      </c>
      <c r="J60" t="str">
        <f>_xlfn.XLOOKUP(Table8[[#This Row],[Supporter_ID]],tb1_supporters[Supporter_ID ],tb1_supporters[Segment],"")</f>
        <v>Regular Giver</v>
      </c>
      <c r="K60" t="str">
        <f>_xlfn.XLOOKUP(Table8[[#This Row],[Supporter_ID]],tb1_supporters[Supporter_ID ],tb1_supporters[Acquisition_Source],"")</f>
        <v>Referral</v>
      </c>
      <c r="L60" t="str">
        <f>_xlfn.XLOOKUP(Table8[[#This Row],[Supporter_ID]],tb1_supporters[Supporter_ID ],tb1_supporters[County],"")</f>
        <v>Norfolk</v>
      </c>
      <c r="M60" t="str">
        <f>_xlfn.XLOOKUP(Table8[[#This Row],[Supporter_ID]],tb1_supporters[Supporter_ID ],tb1_supporters[Gender],"")</f>
        <v>Male</v>
      </c>
      <c r="N60">
        <f ca="1">_xlfn.XLOOKUP(Table8[[#This Row],[Supporter_ID]],tb1_supporters[Supporter_ID ],tb1_supporters[Age],"")</f>
        <v>52</v>
      </c>
      <c r="O60" t="str">
        <f ca="1">_xlfn.XLOOKUP(Table8[[#This Row],[Supporter_ID]],tb1_supporters[Supporter_ID ],tb1_supporters[Age_Band],"")</f>
        <v>50-64</v>
      </c>
      <c r="P60" t="str">
        <f ca="1">IF(Table8[[#This Row],[Age_Band]]="","Unknown",Table8[[#This Row],[Age_Band]])</f>
        <v>50-64</v>
      </c>
      <c r="Q60" t="str">
        <f>_xlfn.XLOOKUP(Table8[[#This Row],[Supporter_ID]],tb1_supporters[Supporter_ID ],tb1_supporters[Communication_Preference],"")</f>
        <v>Post</v>
      </c>
      <c r="R60" t="str">
        <f>_xlfn.XLOOKUP(Table8[[#This Row],[Supporter_ID]],tb1_supporters[Supporter_ID ],tb1_supporters[Duplicate_Profile_Flag],"")</f>
        <v/>
      </c>
      <c r="S60" t="str">
        <f>_xlfn.XLOOKUP(Table8[[#This Row],[Supporter_ID]],tb1_supporters[Supporter_ID ],tb1_supporters[Preference_Compliance_Flag],"")</f>
        <v/>
      </c>
      <c r="T60" t="str">
        <f ca="1">IF(Table8[[#This Row],[Age]]="","Review - missing DOB",IF(Table8[[#This Row],[Age]]&gt;TODAY(),"Review - future DOB",IF(Table8[[#This Row],[Age]]=0,"Review -  potential entry error (age 0)","")))</f>
        <v/>
      </c>
      <c r="U60" t="str">
        <f>_xlfn.XLOOKUP(Table8[[#This Row],[Campaign_Code]],tb3_CampaignMaster[Campaign_Code],tb3_CampaignMaster[Campaign_Type],"")</f>
        <v>Event</v>
      </c>
      <c r="V60" t="str">
        <f>_xlfn.XLOOKUP(Table8[[#This Row],[Campaign_Code]],tb3_CampaignMaster[Campaign_Code],tb3_CampaignMaster[Target_Audience],"")</f>
        <v>Volunteers</v>
      </c>
      <c r="W60" s="17">
        <f>_xlfn.XLOOKUP(Table8[[#This Row],[Campaign_Code]],tb3_CampaignMaster[Campaign_Code],tb3_CampaignMaster[Start_Date],"")</f>
        <v>45618</v>
      </c>
      <c r="X60" s="17">
        <f>_xlfn.XLOOKUP(Table8[[#This Row],[Campaign_Code]],tb3_CampaignMaster[Campaign_Code],tb3_CampaignMaster[End_Date],"")</f>
        <v>45618</v>
      </c>
      <c r="Y60">
        <f>_xlfn.XLOOKUP(Table8[[#This Row],[Campaign_Code]],tb3_CampaignMaster[Campaign_Code],tb3_CampaignMaster[Budget_GBP],"")</f>
        <v>3500</v>
      </c>
      <c r="Z60" t="str">
        <f>_xlfn.XLOOKUP(Table8[[#This Row],[Campaign_Code]],tb3_CampaignMaster[Campaign_Code],tb3_CampaignMaster[Primary_Channel],"")</f>
        <v>Email</v>
      </c>
      <c r="AA60" s="13">
        <f>IF(Table8[[#This Row],[Gift_Aid_Eligible]]="Yes",Table8[[#This Row],[Gift_Amount]]*1.25,Table8[[#This Row],[Gift_Amount]])</f>
        <v>47.674999999999997</v>
      </c>
      <c r="AB60" t="str">
        <f>IF(Table8[[#This Row],[Supporter_ID]]="","Review - missing supporter ID","")</f>
        <v/>
      </c>
      <c r="AC60" t="str">
        <f>IF(OR(Table8[[#This Row],[Response_Date]]&lt;Table8[[#This Row],[Start_Date]],Table8[[#This Row],[Response_Date]]&gt;Table8[[#This Row],[End_Date]]),"Review - response outside campaign dates","")</f>
        <v/>
      </c>
      <c r="AD60" t="str">
        <f>IF(Table8[[#This Row],[Campaign_Type]]="","Review - campaign code not found","")</f>
        <v/>
      </c>
    </row>
    <row r="61" spans="1:30" x14ac:dyDescent="0.25">
      <c r="A61" t="s">
        <v>3461</v>
      </c>
      <c r="B61" t="s">
        <v>3077</v>
      </c>
      <c r="C61" t="s">
        <v>3320</v>
      </c>
      <c r="D61" t="s">
        <v>3321</v>
      </c>
      <c r="E61" t="s">
        <v>4</v>
      </c>
      <c r="F61" s="17">
        <v>45445</v>
      </c>
      <c r="G61">
        <v>158.62</v>
      </c>
      <c r="H61" t="s">
        <v>37</v>
      </c>
      <c r="I61" t="s">
        <v>3370</v>
      </c>
      <c r="J61" t="str">
        <f>_xlfn.XLOOKUP(Table8[[#This Row],[Supporter_ID]],tb1_supporters[Supporter_ID ],tb1_supporters[Segment],"")</f>
        <v>Legacy Pledger</v>
      </c>
      <c r="K61" t="str">
        <f>_xlfn.XLOOKUP(Table8[[#This Row],[Supporter_ID]],tb1_supporters[Supporter_ID ],tb1_supporters[Acquisition_Source],"")</f>
        <v>Social Media</v>
      </c>
      <c r="L61" t="str">
        <f>_xlfn.XLOOKUP(Table8[[#This Row],[Supporter_ID]],tb1_supporters[Supporter_ID ],tb1_supporters[County],"")</f>
        <v>Hertfordshire</v>
      </c>
      <c r="M61" t="str">
        <f>_xlfn.XLOOKUP(Table8[[#This Row],[Supporter_ID]],tb1_supporters[Supporter_ID ],tb1_supporters[Gender],"")</f>
        <v>Female</v>
      </c>
      <c r="N61">
        <f ca="1">_xlfn.XLOOKUP(Table8[[#This Row],[Supporter_ID]],tb1_supporters[Supporter_ID ],tb1_supporters[Age],"")</f>
        <v>83</v>
      </c>
      <c r="O61" t="str">
        <f ca="1">_xlfn.XLOOKUP(Table8[[#This Row],[Supporter_ID]],tb1_supporters[Supporter_ID ],tb1_supporters[Age_Band],"")</f>
        <v>65+</v>
      </c>
      <c r="P61" t="str">
        <f ca="1">IF(Table8[[#This Row],[Age_Band]]="","Unknown",Table8[[#This Row],[Age_Band]])</f>
        <v>65+</v>
      </c>
      <c r="Q61" t="str">
        <f>_xlfn.XLOOKUP(Table8[[#This Row],[Supporter_ID]],tb1_supporters[Supporter_ID ],tb1_supporters[Communication_Preference],"")</f>
        <v>Email</v>
      </c>
      <c r="R61" t="str">
        <f>_xlfn.XLOOKUP(Table8[[#This Row],[Supporter_ID]],tb1_supporters[Supporter_ID ],tb1_supporters[Duplicate_Profile_Flag],"")</f>
        <v/>
      </c>
      <c r="S61" t="str">
        <f>_xlfn.XLOOKUP(Table8[[#This Row],[Supporter_ID]],tb1_supporters[Supporter_ID ],tb1_supporters[Preference_Compliance_Flag],"")</f>
        <v/>
      </c>
      <c r="T61" t="str">
        <f ca="1">IF(Table8[[#This Row],[Age]]="","Review - missing DOB",IF(Table8[[#This Row],[Age]]&gt;TODAY(),"Review - future DOB",IF(Table8[[#This Row],[Age]]=0,"Review -  potential entry error (age 0)","")))</f>
        <v/>
      </c>
      <c r="U61" t="str">
        <f>_xlfn.XLOOKUP(Table8[[#This Row],[Campaign_Code]],tb3_CampaignMaster[Campaign_Code],tb3_CampaignMaster[Campaign_Type],"")</f>
        <v>Stewardship</v>
      </c>
      <c r="V61" t="str">
        <f>_xlfn.XLOOKUP(Table8[[#This Row],[Campaign_Code]],tb3_CampaignMaster[Campaign_Code],tb3_CampaignMaster[Target_Audience],"")</f>
        <v>Major Donors</v>
      </c>
      <c r="W61" s="17">
        <f>_xlfn.XLOOKUP(Table8[[#This Row],[Campaign_Code]],tb3_CampaignMaster[Campaign_Code],tb3_CampaignMaster[Start_Date],"")</f>
        <v>45444</v>
      </c>
      <c r="X61" s="17">
        <f>_xlfn.XLOOKUP(Table8[[#This Row],[Campaign_Code]],tb3_CampaignMaster[Campaign_Code],tb3_CampaignMaster[End_Date],"")</f>
        <v>45473</v>
      </c>
      <c r="Y61">
        <f>_xlfn.XLOOKUP(Table8[[#This Row],[Campaign_Code]],tb3_CampaignMaster[Campaign_Code],tb3_CampaignMaster[Budget_GBP],"")</f>
        <v>7000</v>
      </c>
      <c r="Z61" t="str">
        <f>_xlfn.XLOOKUP(Table8[[#This Row],[Campaign_Code]],tb3_CampaignMaster[Campaign_Code],tb3_CampaignMaster[Primary_Channel],"")</f>
        <v>Direct Mail</v>
      </c>
      <c r="AA61" s="13">
        <f>IF(Table8[[#This Row],[Gift_Aid_Eligible]]="Yes",Table8[[#This Row],[Gift_Amount]]*1.25,Table8[[#This Row],[Gift_Amount]])</f>
        <v>158.62</v>
      </c>
      <c r="AB61" t="str">
        <f>IF(Table8[[#This Row],[Supporter_ID]]="","Review - missing supporter ID","")</f>
        <v/>
      </c>
      <c r="AC61" t="str">
        <f>IF(OR(Table8[[#This Row],[Response_Date]]&lt;Table8[[#This Row],[Start_Date]],Table8[[#This Row],[Response_Date]]&gt;Table8[[#This Row],[End_Date]]),"Review - response outside campaign dates","")</f>
        <v/>
      </c>
      <c r="AD61" t="str">
        <f>IF(Table8[[#This Row],[Campaign_Type]]="","Review - campaign code not found","")</f>
        <v/>
      </c>
    </row>
    <row r="62" spans="1:30" x14ac:dyDescent="0.25">
      <c r="A62" t="s">
        <v>3463</v>
      </c>
      <c r="B62" t="s">
        <v>272</v>
      </c>
      <c r="C62" t="s">
        <v>3367</v>
      </c>
      <c r="D62" t="s">
        <v>3368</v>
      </c>
      <c r="E62" t="s">
        <v>65</v>
      </c>
      <c r="F62" s="17">
        <v>45741</v>
      </c>
      <c r="G62">
        <v>18.809999999999999</v>
      </c>
      <c r="H62" t="s">
        <v>36</v>
      </c>
      <c r="I62" t="s">
        <v>3328</v>
      </c>
      <c r="J62" t="str">
        <f>_xlfn.XLOOKUP(Table8[[#This Row],[Supporter_ID]],tb1_supporters[Supporter_ID ],tb1_supporters[Segment],"")</f>
        <v>Prospect</v>
      </c>
      <c r="K62" t="str">
        <f>_xlfn.XLOOKUP(Table8[[#This Row],[Supporter_ID]],tb1_supporters[Supporter_ID ],tb1_supporters[Acquisition_Source],"")</f>
        <v>Door-To-Door</v>
      </c>
      <c r="L62" t="str">
        <f>_xlfn.XLOOKUP(Table8[[#This Row],[Supporter_ID]],tb1_supporters[Supporter_ID ],tb1_supporters[County],"")</f>
        <v>West Glamorgan</v>
      </c>
      <c r="M62" t="str">
        <f>_xlfn.XLOOKUP(Table8[[#This Row],[Supporter_ID]],tb1_supporters[Supporter_ID ],tb1_supporters[Gender],"")</f>
        <v>Female</v>
      </c>
      <c r="N62">
        <f ca="1">_xlfn.XLOOKUP(Table8[[#This Row],[Supporter_ID]],tb1_supporters[Supporter_ID ],tb1_supporters[Age],"")</f>
        <v>68</v>
      </c>
      <c r="O62" t="str">
        <f ca="1">_xlfn.XLOOKUP(Table8[[#This Row],[Supporter_ID]],tb1_supporters[Supporter_ID ],tb1_supporters[Age_Band],"")</f>
        <v>65+</v>
      </c>
      <c r="P62" t="str">
        <f ca="1">IF(Table8[[#This Row],[Age_Band]]="","Unknown",Table8[[#This Row],[Age_Band]])</f>
        <v>65+</v>
      </c>
      <c r="Q62" t="str">
        <f>_xlfn.XLOOKUP(Table8[[#This Row],[Supporter_ID]],tb1_supporters[Supporter_ID ],tb1_supporters[Communication_Preference],"")</f>
        <v>Post</v>
      </c>
      <c r="R62" t="str">
        <f>_xlfn.XLOOKUP(Table8[[#This Row],[Supporter_ID]],tb1_supporters[Supporter_ID ],tb1_supporters[Duplicate_Profile_Flag],"")</f>
        <v>Review - duplicate record, see Supporter_Duplicates tab</v>
      </c>
      <c r="S62" t="str">
        <f>_xlfn.XLOOKUP(Table8[[#This Row],[Supporter_ID]],tb1_supporters[Supporter_ID ],tb1_supporters[Preference_Compliance_Flag],"")</f>
        <v/>
      </c>
      <c r="T62" t="str">
        <f ca="1">IF(Table8[[#This Row],[Age]]="","Review - missing DOB",IF(Table8[[#This Row],[Age]]&gt;TODAY(),"Review - future DOB",IF(Table8[[#This Row],[Age]]=0,"Review -  potential entry error (age 0)","")))</f>
        <v/>
      </c>
      <c r="U62" t="str">
        <f>_xlfn.XLOOKUP(Table8[[#This Row],[Campaign_Code]],tb3_CampaignMaster[Campaign_Code],tb3_CampaignMaster[Campaign_Type],"")</f>
        <v>Raffle</v>
      </c>
      <c r="V62" t="str">
        <f>_xlfn.XLOOKUP(Table8[[#This Row],[Campaign_Code]],tb3_CampaignMaster[Campaign_Code],tb3_CampaignMaster[Target_Audience],"")</f>
        <v>Regular Givers</v>
      </c>
      <c r="W62" s="17">
        <f>_xlfn.XLOOKUP(Table8[[#This Row],[Campaign_Code]],tb3_CampaignMaster[Campaign_Code],tb3_CampaignMaster[Start_Date],"")</f>
        <v>45717</v>
      </c>
      <c r="X62" s="17">
        <f>_xlfn.XLOOKUP(Table8[[#This Row],[Campaign_Code]],tb3_CampaignMaster[Campaign_Code],tb3_CampaignMaster[End_Date],"")</f>
        <v>45777</v>
      </c>
      <c r="Y62">
        <f>_xlfn.XLOOKUP(Table8[[#This Row],[Campaign_Code]],tb3_CampaignMaster[Campaign_Code],tb3_CampaignMaster[Budget_GBP],"")</f>
        <v>8000</v>
      </c>
      <c r="Z62" t="str">
        <f>_xlfn.XLOOKUP(Table8[[#This Row],[Campaign_Code]],tb3_CampaignMaster[Campaign_Code],tb3_CampaignMaster[Primary_Channel],"")</f>
        <v>Direct Mail</v>
      </c>
      <c r="AA62" s="13">
        <f>IF(Table8[[#This Row],[Gift_Aid_Eligible]]="Yes",Table8[[#This Row],[Gift_Amount]]*1.25,Table8[[#This Row],[Gift_Amount]])</f>
        <v>23.512499999999999</v>
      </c>
      <c r="AB62" t="str">
        <f>IF(Table8[[#This Row],[Supporter_ID]]="","Review - missing supporter ID","")</f>
        <v/>
      </c>
      <c r="AC62" t="str">
        <f>IF(OR(Table8[[#This Row],[Response_Date]]&lt;Table8[[#This Row],[Start_Date]],Table8[[#This Row],[Response_Date]]&gt;Table8[[#This Row],[End_Date]]),"Review - response outside campaign dates","")</f>
        <v/>
      </c>
      <c r="AD62" t="str">
        <f>IF(Table8[[#This Row],[Campaign_Type]]="","Review - campaign code not found","")</f>
        <v/>
      </c>
    </row>
    <row r="63" spans="1:30" x14ac:dyDescent="0.25">
      <c r="A63" t="s">
        <v>3465</v>
      </c>
      <c r="B63" t="s">
        <v>1059</v>
      </c>
      <c r="C63" t="s">
        <v>3427</v>
      </c>
      <c r="D63" t="s">
        <v>3428</v>
      </c>
      <c r="E63" t="s">
        <v>65</v>
      </c>
      <c r="F63" s="17">
        <v>45488</v>
      </c>
      <c r="G63">
        <v>324.07</v>
      </c>
      <c r="H63" t="s">
        <v>36</v>
      </c>
      <c r="I63" t="s">
        <v>3370</v>
      </c>
      <c r="J63" t="str">
        <f>_xlfn.XLOOKUP(Table8[[#This Row],[Supporter_ID]],tb1_supporters[Supporter_ID ],tb1_supporters[Segment],"")</f>
        <v>Legacy Pledger</v>
      </c>
      <c r="K63" t="str">
        <f>_xlfn.XLOOKUP(Table8[[#This Row],[Supporter_ID]],tb1_supporters[Supporter_ID ],tb1_supporters[Acquisition_Source],"")</f>
        <v>Direct Mail</v>
      </c>
      <c r="L63" t="str">
        <f>_xlfn.XLOOKUP(Table8[[#This Row],[Supporter_ID]],tb1_supporters[Supporter_ID ],tb1_supporters[County],"")</f>
        <v>Oxfordshire</v>
      </c>
      <c r="M63" t="str">
        <f>_xlfn.XLOOKUP(Table8[[#This Row],[Supporter_ID]],tb1_supporters[Supporter_ID ],tb1_supporters[Gender],"")</f>
        <v>Male</v>
      </c>
      <c r="N63">
        <f ca="1">_xlfn.XLOOKUP(Table8[[#This Row],[Supporter_ID]],tb1_supporters[Supporter_ID ],tb1_supporters[Age],"")</f>
        <v>36</v>
      </c>
      <c r="O63" t="str">
        <f ca="1">_xlfn.XLOOKUP(Table8[[#This Row],[Supporter_ID]],tb1_supporters[Supporter_ID ],tb1_supporters[Age_Band],"")</f>
        <v>35-49</v>
      </c>
      <c r="P63" t="str">
        <f ca="1">IF(Table8[[#This Row],[Age_Band]]="","Unknown",Table8[[#This Row],[Age_Band]])</f>
        <v>35-49</v>
      </c>
      <c r="Q63" t="str">
        <f>_xlfn.XLOOKUP(Table8[[#This Row],[Supporter_ID]],tb1_supporters[Supporter_ID ],tb1_supporters[Communication_Preference],"")</f>
        <v>Post</v>
      </c>
      <c r="R63" t="str">
        <f>_xlfn.XLOOKUP(Table8[[#This Row],[Supporter_ID]],tb1_supporters[Supporter_ID ],tb1_supporters[Duplicate_Profile_Flag],"")</f>
        <v/>
      </c>
      <c r="S63" t="str">
        <f>_xlfn.XLOOKUP(Table8[[#This Row],[Supporter_ID]],tb1_supporters[Supporter_ID ],tb1_supporters[Preference_Compliance_Flag],"")</f>
        <v/>
      </c>
      <c r="T63" t="str">
        <f ca="1">IF(Table8[[#This Row],[Age]]="","Review - missing DOB",IF(Table8[[#This Row],[Age]]&gt;TODAY(),"Review - future DOB",IF(Table8[[#This Row],[Age]]=0,"Review -  potential entry error (age 0)","")))</f>
        <v/>
      </c>
      <c r="U63" t="str">
        <f>_xlfn.XLOOKUP(Table8[[#This Row],[Campaign_Code]],tb3_CampaignMaster[Campaign_Code],tb3_CampaignMaster[Campaign_Type],"")</f>
        <v>Event</v>
      </c>
      <c r="V63" t="str">
        <f>_xlfn.XLOOKUP(Table8[[#This Row],[Campaign_Code]],tb3_CampaignMaster[Campaign_Code],tb3_CampaignMaster[Target_Audience],"")</f>
        <v>Major Donors</v>
      </c>
      <c r="W63" s="17">
        <f>_xlfn.XLOOKUP(Table8[[#This Row],[Campaign_Code]],tb3_CampaignMaster[Campaign_Code],tb3_CampaignMaster[Start_Date],"")</f>
        <v>45488</v>
      </c>
      <c r="X63" s="17">
        <f>_xlfn.XLOOKUP(Table8[[#This Row],[Campaign_Code]],tb3_CampaignMaster[Campaign_Code],tb3_CampaignMaster[End_Date],"")</f>
        <v>45488</v>
      </c>
      <c r="Y63">
        <f>_xlfn.XLOOKUP(Table8[[#This Row],[Campaign_Code]],tb3_CampaignMaster[Campaign_Code],tb3_CampaignMaster[Budget_GBP],"")</f>
        <v>45000</v>
      </c>
      <c r="Z63" t="str">
        <f>_xlfn.XLOOKUP(Table8[[#This Row],[Campaign_Code]],tb3_CampaignMaster[Campaign_Code],tb3_CampaignMaster[Primary_Channel],"")</f>
        <v>Direct Mail</v>
      </c>
      <c r="AA63" s="13">
        <f>IF(Table8[[#This Row],[Gift_Aid_Eligible]]="Yes",Table8[[#This Row],[Gift_Amount]]*1.25,Table8[[#This Row],[Gift_Amount]])</f>
        <v>405.08749999999998</v>
      </c>
      <c r="AB63" t="str">
        <f>IF(Table8[[#This Row],[Supporter_ID]]="","Review - missing supporter ID","")</f>
        <v/>
      </c>
      <c r="AC63" t="str">
        <f>IF(OR(Table8[[#This Row],[Response_Date]]&lt;Table8[[#This Row],[Start_Date]],Table8[[#This Row],[Response_Date]]&gt;Table8[[#This Row],[End_Date]]),"Review - response outside campaign dates","")</f>
        <v/>
      </c>
      <c r="AD63" t="str">
        <f>IF(Table8[[#This Row],[Campaign_Type]]="","Review - campaign code not found","")</f>
        <v/>
      </c>
    </row>
    <row r="64" spans="1:30" x14ac:dyDescent="0.25">
      <c r="A64" t="s">
        <v>3466</v>
      </c>
      <c r="B64" t="s">
        <v>688</v>
      </c>
      <c r="C64" t="s">
        <v>3320</v>
      </c>
      <c r="D64" t="s">
        <v>3321</v>
      </c>
      <c r="E64" t="s">
        <v>65</v>
      </c>
      <c r="F64" s="17">
        <v>45459</v>
      </c>
      <c r="G64">
        <v>40.270000000000003</v>
      </c>
      <c r="H64" t="s">
        <v>36</v>
      </c>
      <c r="I64" t="s">
        <v>3370</v>
      </c>
      <c r="J64" t="str">
        <f>_xlfn.XLOOKUP(Table8[[#This Row],[Supporter_ID]],tb1_supporters[Supporter_ID ],tb1_supporters[Segment],"")</f>
        <v>Regular Giver</v>
      </c>
      <c r="K64" t="str">
        <f>_xlfn.XLOOKUP(Table8[[#This Row],[Supporter_ID]],tb1_supporters[Supporter_ID ],tb1_supporters[Acquisition_Source],"")</f>
        <v>Corporate Partner</v>
      </c>
      <c r="L64" t="str">
        <f>_xlfn.XLOOKUP(Table8[[#This Row],[Supporter_ID]],tb1_supporters[Supporter_ID ],tb1_supporters[County],"")</f>
        <v>Gloucestershire</v>
      </c>
      <c r="M64" t="str">
        <f>_xlfn.XLOOKUP(Table8[[#This Row],[Supporter_ID]],tb1_supporters[Supporter_ID ],tb1_supporters[Gender],"")</f>
        <v>Male</v>
      </c>
      <c r="N64">
        <f ca="1">_xlfn.XLOOKUP(Table8[[#This Row],[Supporter_ID]],tb1_supporters[Supporter_ID ],tb1_supporters[Age],"")</f>
        <v>87</v>
      </c>
      <c r="O64" t="str">
        <f ca="1">_xlfn.XLOOKUP(Table8[[#This Row],[Supporter_ID]],tb1_supporters[Supporter_ID ],tb1_supporters[Age_Band],"")</f>
        <v>65+</v>
      </c>
      <c r="P64" t="str">
        <f ca="1">IF(Table8[[#This Row],[Age_Band]]="","Unknown",Table8[[#This Row],[Age_Band]])</f>
        <v>65+</v>
      </c>
      <c r="Q64" t="str">
        <f>_xlfn.XLOOKUP(Table8[[#This Row],[Supporter_ID]],tb1_supporters[Supporter_ID ],tb1_supporters[Communication_Preference],"")</f>
        <v>Post</v>
      </c>
      <c r="R64" t="str">
        <f>_xlfn.XLOOKUP(Table8[[#This Row],[Supporter_ID]],tb1_supporters[Supporter_ID ],tb1_supporters[Duplicate_Profile_Flag],"")</f>
        <v/>
      </c>
      <c r="S64" t="str">
        <f>_xlfn.XLOOKUP(Table8[[#This Row],[Supporter_ID]],tb1_supporters[Supporter_ID ],tb1_supporters[Preference_Compliance_Flag],"")</f>
        <v/>
      </c>
      <c r="T64" t="str">
        <f ca="1">IF(Table8[[#This Row],[Age]]="","Review - missing DOB",IF(Table8[[#This Row],[Age]]&gt;TODAY(),"Review - future DOB",IF(Table8[[#This Row],[Age]]=0,"Review -  potential entry error (age 0)","")))</f>
        <v/>
      </c>
      <c r="U64" t="str">
        <f>_xlfn.XLOOKUP(Table8[[#This Row],[Campaign_Code]],tb3_CampaignMaster[Campaign_Code],tb3_CampaignMaster[Campaign_Type],"")</f>
        <v>Stewardship</v>
      </c>
      <c r="V64" t="str">
        <f>_xlfn.XLOOKUP(Table8[[#This Row],[Campaign_Code]],tb3_CampaignMaster[Campaign_Code],tb3_CampaignMaster[Target_Audience],"")</f>
        <v>Major Donors</v>
      </c>
      <c r="W64" s="17">
        <f>_xlfn.XLOOKUP(Table8[[#This Row],[Campaign_Code]],tb3_CampaignMaster[Campaign_Code],tb3_CampaignMaster[Start_Date],"")</f>
        <v>45444</v>
      </c>
      <c r="X64" s="17">
        <f>_xlfn.XLOOKUP(Table8[[#This Row],[Campaign_Code]],tb3_CampaignMaster[Campaign_Code],tb3_CampaignMaster[End_Date],"")</f>
        <v>45473</v>
      </c>
      <c r="Y64">
        <f>_xlfn.XLOOKUP(Table8[[#This Row],[Campaign_Code]],tb3_CampaignMaster[Campaign_Code],tb3_CampaignMaster[Budget_GBP],"")</f>
        <v>7000</v>
      </c>
      <c r="Z64" t="str">
        <f>_xlfn.XLOOKUP(Table8[[#This Row],[Campaign_Code]],tb3_CampaignMaster[Campaign_Code],tb3_CampaignMaster[Primary_Channel],"")</f>
        <v>Direct Mail</v>
      </c>
      <c r="AA64" s="13">
        <f>IF(Table8[[#This Row],[Gift_Aid_Eligible]]="Yes",Table8[[#This Row],[Gift_Amount]]*1.25,Table8[[#This Row],[Gift_Amount]])</f>
        <v>50.337500000000006</v>
      </c>
      <c r="AB64" t="str">
        <f>IF(Table8[[#This Row],[Supporter_ID]]="","Review - missing supporter ID","")</f>
        <v/>
      </c>
      <c r="AC64" t="str">
        <f>IF(OR(Table8[[#This Row],[Response_Date]]&lt;Table8[[#This Row],[Start_Date]],Table8[[#This Row],[Response_Date]]&gt;Table8[[#This Row],[End_Date]]),"Review - response outside campaign dates","")</f>
        <v/>
      </c>
      <c r="AD64" t="str">
        <f>IF(Table8[[#This Row],[Campaign_Type]]="","Review - campaign code not found","")</f>
        <v/>
      </c>
    </row>
    <row r="65" spans="1:30" x14ac:dyDescent="0.25">
      <c r="A65" t="s">
        <v>3468</v>
      </c>
      <c r="B65" t="s">
        <v>2393</v>
      </c>
      <c r="C65" t="s">
        <v>3314</v>
      </c>
      <c r="D65" t="s">
        <v>3315</v>
      </c>
      <c r="E65" t="s">
        <v>3316</v>
      </c>
      <c r="F65" s="17">
        <v>45734</v>
      </c>
      <c r="G65">
        <v>36.9</v>
      </c>
      <c r="H65" t="s">
        <v>36</v>
      </c>
      <c r="I65" t="s">
        <v>3334</v>
      </c>
      <c r="J65" t="str">
        <f>_xlfn.XLOOKUP(Table8[[#This Row],[Supporter_ID]],tb1_supporters[Supporter_ID ],tb1_supporters[Segment],"")</f>
        <v>Lapsed</v>
      </c>
      <c r="K65" t="str">
        <f>_xlfn.XLOOKUP(Table8[[#This Row],[Supporter_ID]],tb1_supporters[Supporter_ID ],tb1_supporters[Acquisition_Source],"")</f>
        <v>Corporate Partner</v>
      </c>
      <c r="L65" t="str">
        <f>_xlfn.XLOOKUP(Table8[[#This Row],[Supporter_ID]],tb1_supporters[Supporter_ID ],tb1_supporters[County],"")</f>
        <v>Dorset</v>
      </c>
      <c r="M65" t="str">
        <f>_xlfn.XLOOKUP(Table8[[#This Row],[Supporter_ID]],tb1_supporters[Supporter_ID ],tb1_supporters[Gender],"")</f>
        <v>Female</v>
      </c>
      <c r="N65">
        <f ca="1">_xlfn.XLOOKUP(Table8[[#This Row],[Supporter_ID]],tb1_supporters[Supporter_ID ],tb1_supporters[Age],"")</f>
        <v>76</v>
      </c>
      <c r="O65" t="str">
        <f ca="1">_xlfn.XLOOKUP(Table8[[#This Row],[Supporter_ID]],tb1_supporters[Supporter_ID ],tb1_supporters[Age_Band],"")</f>
        <v>65+</v>
      </c>
      <c r="P65" t="str">
        <f ca="1">IF(Table8[[#This Row],[Age_Band]]="","Unknown",Table8[[#This Row],[Age_Band]])</f>
        <v>65+</v>
      </c>
      <c r="Q65" t="str">
        <f>_xlfn.XLOOKUP(Table8[[#This Row],[Supporter_ID]],tb1_supporters[Supporter_ID ],tb1_supporters[Communication_Preference],"")</f>
        <v>Email</v>
      </c>
      <c r="R65" t="str">
        <f>_xlfn.XLOOKUP(Table8[[#This Row],[Supporter_ID]],tb1_supporters[Supporter_ID ],tb1_supporters[Duplicate_Profile_Flag],"")</f>
        <v/>
      </c>
      <c r="S65" t="str">
        <f>_xlfn.XLOOKUP(Table8[[#This Row],[Supporter_ID]],tb1_supporters[Supporter_ID ],tb1_supporters[Preference_Compliance_Flag],"")</f>
        <v/>
      </c>
      <c r="T65" t="str">
        <f ca="1">IF(Table8[[#This Row],[Age]]="","Review - missing DOB",IF(Table8[[#This Row],[Age]]&gt;TODAY(),"Review - future DOB",IF(Table8[[#This Row],[Age]]=0,"Review -  potential entry error (age 0)","")))</f>
        <v/>
      </c>
      <c r="U65" t="str">
        <f>_xlfn.XLOOKUP(Table8[[#This Row],[Campaign_Code]],tb3_CampaignMaster[Campaign_Code],tb3_CampaignMaster[Campaign_Type],"")</f>
        <v>Regular Giving</v>
      </c>
      <c r="V65" t="str">
        <f>_xlfn.XLOOKUP(Table8[[#This Row],[Campaign_Code]],tb3_CampaignMaster[Campaign_Code],tb3_CampaignMaster[Target_Audience],"")</f>
        <v>One-time Donors</v>
      </c>
      <c r="W65" s="17">
        <f>_xlfn.XLOOKUP(Table8[[#This Row],[Campaign_Code]],tb3_CampaignMaster[Campaign_Code],tb3_CampaignMaster[Start_Date],"")</f>
        <v>45663</v>
      </c>
      <c r="X65" s="17">
        <f>_xlfn.XLOOKUP(Table8[[#This Row],[Campaign_Code]],tb3_CampaignMaster[Campaign_Code],tb3_CampaignMaster[End_Date],"")</f>
        <v>45747</v>
      </c>
      <c r="Y65">
        <f>_xlfn.XLOOKUP(Table8[[#This Row],[Campaign_Code]],tb3_CampaignMaster[Campaign_Code],tb3_CampaignMaster[Budget_GBP],"")</f>
        <v>10000</v>
      </c>
      <c r="Z65" t="str">
        <f>_xlfn.XLOOKUP(Table8[[#This Row],[Campaign_Code]],tb3_CampaignMaster[Campaign_Code],tb3_CampaignMaster[Primary_Channel],"")</f>
        <v>Telephone</v>
      </c>
      <c r="AA65" s="13">
        <f>IF(Table8[[#This Row],[Gift_Aid_Eligible]]="Yes",Table8[[#This Row],[Gift_Amount]]*1.25,Table8[[#This Row],[Gift_Amount]])</f>
        <v>46.125</v>
      </c>
      <c r="AB65" t="str">
        <f>IF(Table8[[#This Row],[Supporter_ID]]="","Review - missing supporter ID","")</f>
        <v/>
      </c>
      <c r="AC65" t="str">
        <f>IF(OR(Table8[[#This Row],[Response_Date]]&lt;Table8[[#This Row],[Start_Date]],Table8[[#This Row],[Response_Date]]&gt;Table8[[#This Row],[End_Date]]),"Review - response outside campaign dates","")</f>
        <v/>
      </c>
      <c r="AD65" t="str">
        <f>IF(Table8[[#This Row],[Campaign_Type]]="","Review - campaign code not found","")</f>
        <v/>
      </c>
    </row>
    <row r="66" spans="1:30" x14ac:dyDescent="0.25">
      <c r="A66" t="s">
        <v>3470</v>
      </c>
      <c r="B66" t="s">
        <v>1405</v>
      </c>
      <c r="C66" t="s">
        <v>3427</v>
      </c>
      <c r="D66" t="s">
        <v>3428</v>
      </c>
      <c r="E66" t="s">
        <v>65</v>
      </c>
      <c r="F66" s="17">
        <v>45488</v>
      </c>
      <c r="G66">
        <v>98.95</v>
      </c>
      <c r="H66" t="s">
        <v>36</v>
      </c>
      <c r="I66" t="s">
        <v>3323</v>
      </c>
      <c r="J66" t="str">
        <f>_xlfn.XLOOKUP(Table8[[#This Row],[Supporter_ID]],tb1_supporters[Supporter_ID ],tb1_supporters[Segment],"")</f>
        <v>Mid-Value</v>
      </c>
      <c r="K66" t="str">
        <f>_xlfn.XLOOKUP(Table8[[#This Row],[Supporter_ID]],tb1_supporters[Supporter_ID ],tb1_supporters[Acquisition_Source],"")</f>
        <v>Event</v>
      </c>
      <c r="L66" t="str">
        <f>_xlfn.XLOOKUP(Table8[[#This Row],[Supporter_ID]],tb1_supporters[Supporter_ID ],tb1_supporters[County],"")</f>
        <v>South Glamorgan</v>
      </c>
      <c r="M66" t="str">
        <f>_xlfn.XLOOKUP(Table8[[#This Row],[Supporter_ID]],tb1_supporters[Supporter_ID ],tb1_supporters[Gender],"")</f>
        <v>Female</v>
      </c>
      <c r="N66">
        <f ca="1">_xlfn.XLOOKUP(Table8[[#This Row],[Supporter_ID]],tb1_supporters[Supporter_ID ],tb1_supporters[Age],"")</f>
        <v>95</v>
      </c>
      <c r="O66" t="str">
        <f ca="1">_xlfn.XLOOKUP(Table8[[#This Row],[Supporter_ID]],tb1_supporters[Supporter_ID ],tb1_supporters[Age_Band],"")</f>
        <v>65+</v>
      </c>
      <c r="P66" t="str">
        <f ca="1">IF(Table8[[#This Row],[Age_Band]]="","Unknown",Table8[[#This Row],[Age_Band]])</f>
        <v>65+</v>
      </c>
      <c r="Q66" t="str">
        <f>_xlfn.XLOOKUP(Table8[[#This Row],[Supporter_ID]],tb1_supporters[Supporter_ID ],tb1_supporters[Communication_Preference],"")</f>
        <v>Email</v>
      </c>
      <c r="R66" t="str">
        <f>_xlfn.XLOOKUP(Table8[[#This Row],[Supporter_ID]],tb1_supporters[Supporter_ID ],tb1_supporters[Duplicate_Profile_Flag],"")</f>
        <v/>
      </c>
      <c r="S66" t="str">
        <f>_xlfn.XLOOKUP(Table8[[#This Row],[Supporter_ID]],tb1_supporters[Supporter_ID ],tb1_supporters[Preference_Compliance_Flag],"")</f>
        <v/>
      </c>
      <c r="T66" t="str">
        <f ca="1">IF(Table8[[#This Row],[Age]]="","Review - missing DOB",IF(Table8[[#This Row],[Age]]&gt;TODAY(),"Review - future DOB",IF(Table8[[#This Row],[Age]]=0,"Review -  potential entry error (age 0)","")))</f>
        <v/>
      </c>
      <c r="U66" t="str">
        <f>_xlfn.XLOOKUP(Table8[[#This Row],[Campaign_Code]],tb3_CampaignMaster[Campaign_Code],tb3_CampaignMaster[Campaign_Type],"")</f>
        <v>Event</v>
      </c>
      <c r="V66" t="str">
        <f>_xlfn.XLOOKUP(Table8[[#This Row],[Campaign_Code]],tb3_CampaignMaster[Campaign_Code],tb3_CampaignMaster[Target_Audience],"")</f>
        <v>Major Donors</v>
      </c>
      <c r="W66" s="17">
        <f>_xlfn.XLOOKUP(Table8[[#This Row],[Campaign_Code]],tb3_CampaignMaster[Campaign_Code],tb3_CampaignMaster[Start_Date],"")</f>
        <v>45488</v>
      </c>
      <c r="X66" s="17">
        <f>_xlfn.XLOOKUP(Table8[[#This Row],[Campaign_Code]],tb3_CampaignMaster[Campaign_Code],tb3_CampaignMaster[End_Date],"")</f>
        <v>45488</v>
      </c>
      <c r="Y66">
        <f>_xlfn.XLOOKUP(Table8[[#This Row],[Campaign_Code]],tb3_CampaignMaster[Campaign_Code],tb3_CampaignMaster[Budget_GBP],"")</f>
        <v>45000</v>
      </c>
      <c r="Z66" t="str">
        <f>_xlfn.XLOOKUP(Table8[[#This Row],[Campaign_Code]],tb3_CampaignMaster[Campaign_Code],tb3_CampaignMaster[Primary_Channel],"")</f>
        <v>Direct Mail</v>
      </c>
      <c r="AA66" s="13">
        <f>IF(Table8[[#This Row],[Gift_Aid_Eligible]]="Yes",Table8[[#This Row],[Gift_Amount]]*1.25,Table8[[#This Row],[Gift_Amount]])</f>
        <v>123.6875</v>
      </c>
      <c r="AB66" t="str">
        <f>IF(Table8[[#This Row],[Supporter_ID]]="","Review - missing supporter ID","")</f>
        <v/>
      </c>
      <c r="AC66" t="str">
        <f>IF(OR(Table8[[#This Row],[Response_Date]]&lt;Table8[[#This Row],[Start_Date]],Table8[[#This Row],[Response_Date]]&gt;Table8[[#This Row],[End_Date]]),"Review - response outside campaign dates","")</f>
        <v/>
      </c>
      <c r="AD66" t="str">
        <f>IF(Table8[[#This Row],[Campaign_Type]]="","Review - campaign code not found","")</f>
        <v/>
      </c>
    </row>
    <row r="67" spans="1:30" x14ac:dyDescent="0.25">
      <c r="A67" t="s">
        <v>3472</v>
      </c>
      <c r="B67" t="s">
        <v>1808</v>
      </c>
      <c r="C67" t="s">
        <v>3336</v>
      </c>
      <c r="D67" t="s">
        <v>3337</v>
      </c>
      <c r="E67" t="s">
        <v>3338</v>
      </c>
      <c r="F67" s="17">
        <v>45554</v>
      </c>
      <c r="G67">
        <v>60.74</v>
      </c>
      <c r="H67" t="s">
        <v>36</v>
      </c>
      <c r="I67" t="s">
        <v>3331</v>
      </c>
      <c r="J67" t="str">
        <f>_xlfn.XLOOKUP(Table8[[#This Row],[Supporter_ID]],tb1_supporters[Supporter_ID ],tb1_supporters[Segment],"")</f>
        <v>Lapsed</v>
      </c>
      <c r="K67" t="str">
        <f>_xlfn.XLOOKUP(Table8[[#This Row],[Supporter_ID]],tb1_supporters[Supporter_ID ],tb1_supporters[Acquisition_Source],"")</f>
        <v>Event</v>
      </c>
      <c r="L67" t="str">
        <f>_xlfn.XLOOKUP(Table8[[#This Row],[Supporter_ID]],tb1_supporters[Supporter_ID ],tb1_supporters[County],"")</f>
        <v>Wiltshire</v>
      </c>
      <c r="M67" t="str">
        <f>_xlfn.XLOOKUP(Table8[[#This Row],[Supporter_ID]],tb1_supporters[Supporter_ID ],tb1_supporters[Gender],"")</f>
        <v>Female</v>
      </c>
      <c r="N67">
        <f ca="1">_xlfn.XLOOKUP(Table8[[#This Row],[Supporter_ID]],tb1_supporters[Supporter_ID ],tb1_supporters[Age],"")</f>
        <v>0</v>
      </c>
      <c r="O67" t="str">
        <f ca="1">_xlfn.XLOOKUP(Table8[[#This Row],[Supporter_ID]],tb1_supporters[Supporter_ID ],tb1_supporters[Age_Band],"")</f>
        <v>Under 18</v>
      </c>
      <c r="P67" t="str">
        <f ca="1">IF(Table8[[#This Row],[Age_Band]]="","Unknown",Table8[[#This Row],[Age_Band]])</f>
        <v>Under 18</v>
      </c>
      <c r="Q67" t="str">
        <f>_xlfn.XLOOKUP(Table8[[#This Row],[Supporter_ID]],tb1_supporters[Supporter_ID ],tb1_supporters[Communication_Preference],"")</f>
        <v>Post</v>
      </c>
      <c r="R67" t="str">
        <f>_xlfn.XLOOKUP(Table8[[#This Row],[Supporter_ID]],tb1_supporters[Supporter_ID ],tb1_supporters[Duplicate_Profile_Flag],"")</f>
        <v/>
      </c>
      <c r="S67" t="str">
        <f>_xlfn.XLOOKUP(Table8[[#This Row],[Supporter_ID]],tb1_supporters[Supporter_ID ],tb1_supporters[Preference_Compliance_Flag],"")</f>
        <v>Review - prefers post but not opted in</v>
      </c>
      <c r="T67" t="str">
        <f ca="1">IF(Table8[[#This Row],[Age]]="","Review - missing DOB",IF(Table8[[#This Row],[Age]]&gt;TODAY(),"Review - future DOB",IF(Table8[[#This Row],[Age]]=0,"Review -  potential entry error (age 0)","")))</f>
        <v>Review -  potential entry error (age 0)</v>
      </c>
      <c r="U67" t="str">
        <f>_xlfn.XLOOKUP(Table8[[#This Row],[Campaign_Code]],tb3_CampaignMaster[Campaign_Code],tb3_CampaignMaster[Campaign_Type],"")</f>
        <v>Appeal</v>
      </c>
      <c r="V67" t="str">
        <f>_xlfn.XLOOKUP(Table8[[#This Row],[Campaign_Code]],tb3_CampaignMaster[Campaign_Code],tb3_CampaignMaster[Target_Audience],"")</f>
        <v>All Supporters</v>
      </c>
      <c r="W67" s="17">
        <f>_xlfn.XLOOKUP(Table8[[#This Row],[Campaign_Code]],tb3_CampaignMaster[Campaign_Code],tb3_CampaignMaster[Start_Date],"")</f>
        <v>45545</v>
      </c>
      <c r="X67" s="17">
        <f>_xlfn.XLOOKUP(Table8[[#This Row],[Campaign_Code]],tb3_CampaignMaster[Campaign_Code],tb3_CampaignMaster[End_Date],"")</f>
        <v>45580</v>
      </c>
      <c r="Y67">
        <f>_xlfn.XLOOKUP(Table8[[#This Row],[Campaign_Code]],tb3_CampaignMaster[Campaign_Code],tb3_CampaignMaster[Budget_GBP],"")</f>
        <v>15000</v>
      </c>
      <c r="Z67" t="str">
        <f>_xlfn.XLOOKUP(Table8[[#This Row],[Campaign_Code]],tb3_CampaignMaster[Campaign_Code],tb3_CampaignMaster[Primary_Channel],"")</f>
        <v>Email</v>
      </c>
      <c r="AA67" s="13">
        <f>IF(Table8[[#This Row],[Gift_Aid_Eligible]]="Yes",Table8[[#This Row],[Gift_Amount]]*1.25,Table8[[#This Row],[Gift_Amount]])</f>
        <v>75.924999999999997</v>
      </c>
      <c r="AB67" t="str">
        <f>IF(Table8[[#This Row],[Supporter_ID]]="","Review - missing supporter ID","")</f>
        <v/>
      </c>
      <c r="AC67" t="str">
        <f>IF(OR(Table8[[#This Row],[Response_Date]]&lt;Table8[[#This Row],[Start_Date]],Table8[[#This Row],[Response_Date]]&gt;Table8[[#This Row],[End_Date]]),"Review - response outside campaign dates","")</f>
        <v/>
      </c>
      <c r="AD67" t="str">
        <f>IF(Table8[[#This Row],[Campaign_Type]]="","Review - campaign code not found","")</f>
        <v/>
      </c>
    </row>
    <row r="68" spans="1:30" x14ac:dyDescent="0.25">
      <c r="A68" t="s">
        <v>3474</v>
      </c>
      <c r="B68" t="s">
        <v>2439</v>
      </c>
      <c r="C68" t="s">
        <v>3427</v>
      </c>
      <c r="D68" t="s">
        <v>3428</v>
      </c>
      <c r="E68" t="s">
        <v>4</v>
      </c>
      <c r="F68" s="17">
        <v>45488</v>
      </c>
      <c r="G68">
        <v>166.94</v>
      </c>
      <c r="H68" t="s">
        <v>37</v>
      </c>
      <c r="I68" t="s">
        <v>3331</v>
      </c>
      <c r="J68" t="str">
        <f>_xlfn.XLOOKUP(Table8[[#This Row],[Supporter_ID]],tb1_supporters[Supporter_ID ],tb1_supporters[Segment],"")</f>
        <v>Mid-Value</v>
      </c>
      <c r="K68" t="str">
        <f>_xlfn.XLOOKUP(Table8[[#This Row],[Supporter_ID]],tb1_supporters[Supporter_ID ],tb1_supporters[Acquisition_Source],"")</f>
        <v>Website</v>
      </c>
      <c r="L68" t="str">
        <f>_xlfn.XLOOKUP(Table8[[#This Row],[Supporter_ID]],tb1_supporters[Supporter_ID ],tb1_supporters[County],"")</f>
        <v>Devon</v>
      </c>
      <c r="M68" t="str">
        <f>_xlfn.XLOOKUP(Table8[[#This Row],[Supporter_ID]],tb1_supporters[Supporter_ID ],tb1_supporters[Gender],"")</f>
        <v>Male</v>
      </c>
      <c r="N68">
        <f ca="1">_xlfn.XLOOKUP(Table8[[#This Row],[Supporter_ID]],tb1_supporters[Supporter_ID ],tb1_supporters[Age],"")</f>
        <v>41</v>
      </c>
      <c r="O68" t="str">
        <f ca="1">_xlfn.XLOOKUP(Table8[[#This Row],[Supporter_ID]],tb1_supporters[Supporter_ID ],tb1_supporters[Age_Band],"")</f>
        <v>35-49</v>
      </c>
      <c r="P68" t="str">
        <f ca="1">IF(Table8[[#This Row],[Age_Band]]="","Unknown",Table8[[#This Row],[Age_Band]])</f>
        <v>35-49</v>
      </c>
      <c r="Q68" t="str">
        <f>_xlfn.XLOOKUP(Table8[[#This Row],[Supporter_ID]],tb1_supporters[Supporter_ID ],tb1_supporters[Communication_Preference],"")</f>
        <v>Email</v>
      </c>
      <c r="R68" t="str">
        <f>_xlfn.XLOOKUP(Table8[[#This Row],[Supporter_ID]],tb1_supporters[Supporter_ID ],tb1_supporters[Duplicate_Profile_Flag],"")</f>
        <v/>
      </c>
      <c r="S68" t="str">
        <f>_xlfn.XLOOKUP(Table8[[#This Row],[Supporter_ID]],tb1_supporters[Supporter_ID ],tb1_supporters[Preference_Compliance_Flag],"")</f>
        <v>Review - prefers email but not opted in</v>
      </c>
      <c r="T68" t="str">
        <f ca="1">IF(Table8[[#This Row],[Age]]="","Review - missing DOB",IF(Table8[[#This Row],[Age]]&gt;TODAY(),"Review - future DOB",IF(Table8[[#This Row],[Age]]=0,"Review -  potential entry error (age 0)","")))</f>
        <v/>
      </c>
      <c r="U68" t="str">
        <f>_xlfn.XLOOKUP(Table8[[#This Row],[Campaign_Code]],tb3_CampaignMaster[Campaign_Code],tb3_CampaignMaster[Campaign_Type],"")</f>
        <v>Event</v>
      </c>
      <c r="V68" t="str">
        <f>_xlfn.XLOOKUP(Table8[[#This Row],[Campaign_Code]],tb3_CampaignMaster[Campaign_Code],tb3_CampaignMaster[Target_Audience],"")</f>
        <v>Major Donors</v>
      </c>
      <c r="W68" s="17">
        <f>_xlfn.XLOOKUP(Table8[[#This Row],[Campaign_Code]],tb3_CampaignMaster[Campaign_Code],tb3_CampaignMaster[Start_Date],"")</f>
        <v>45488</v>
      </c>
      <c r="X68" s="17">
        <f>_xlfn.XLOOKUP(Table8[[#This Row],[Campaign_Code]],tb3_CampaignMaster[Campaign_Code],tb3_CampaignMaster[End_Date],"")</f>
        <v>45488</v>
      </c>
      <c r="Y68">
        <f>_xlfn.XLOOKUP(Table8[[#This Row],[Campaign_Code]],tb3_CampaignMaster[Campaign_Code],tb3_CampaignMaster[Budget_GBP],"")</f>
        <v>45000</v>
      </c>
      <c r="Z68" t="str">
        <f>_xlfn.XLOOKUP(Table8[[#This Row],[Campaign_Code]],tb3_CampaignMaster[Campaign_Code],tb3_CampaignMaster[Primary_Channel],"")</f>
        <v>Direct Mail</v>
      </c>
      <c r="AA68" s="13">
        <f>IF(Table8[[#This Row],[Gift_Aid_Eligible]]="Yes",Table8[[#This Row],[Gift_Amount]]*1.25,Table8[[#This Row],[Gift_Amount]])</f>
        <v>166.94</v>
      </c>
      <c r="AB68" t="str">
        <f>IF(Table8[[#This Row],[Supporter_ID]]="","Review - missing supporter ID","")</f>
        <v/>
      </c>
      <c r="AC68" t="str">
        <f>IF(OR(Table8[[#This Row],[Response_Date]]&lt;Table8[[#This Row],[Start_Date]],Table8[[#This Row],[Response_Date]]&gt;Table8[[#This Row],[End_Date]]),"Review - response outside campaign dates","")</f>
        <v/>
      </c>
      <c r="AD68" t="str">
        <f>IF(Table8[[#This Row],[Campaign_Type]]="","Review - campaign code not found","")</f>
        <v/>
      </c>
    </row>
    <row r="69" spans="1:30" x14ac:dyDescent="0.25">
      <c r="A69" t="s">
        <v>3475</v>
      </c>
      <c r="B69" t="s">
        <v>2106</v>
      </c>
      <c r="C69" t="s">
        <v>3320</v>
      </c>
      <c r="D69" t="s">
        <v>3321</v>
      </c>
      <c r="E69" t="s">
        <v>4</v>
      </c>
      <c r="F69" s="17">
        <v>45450</v>
      </c>
      <c r="G69">
        <v>149.34</v>
      </c>
      <c r="H69" t="s">
        <v>37</v>
      </c>
      <c r="I69" t="s">
        <v>3328</v>
      </c>
      <c r="J69" t="str">
        <f>_xlfn.XLOOKUP(Table8[[#This Row],[Supporter_ID]],tb1_supporters[Supporter_ID ],tb1_supporters[Segment],"")</f>
        <v>Mid-Value</v>
      </c>
      <c r="K69" t="str">
        <f>_xlfn.XLOOKUP(Table8[[#This Row],[Supporter_ID]],tb1_supporters[Supporter_ID ],tb1_supporters[Acquisition_Source],"")</f>
        <v>Website</v>
      </c>
      <c r="L69" t="str">
        <f>_xlfn.XLOOKUP(Table8[[#This Row],[Supporter_ID]],tb1_supporters[Supporter_ID ],tb1_supporters[County],"")</f>
        <v>Devon</v>
      </c>
      <c r="M69" t="str">
        <f>_xlfn.XLOOKUP(Table8[[#This Row],[Supporter_ID]],tb1_supporters[Supporter_ID ],tb1_supporters[Gender],"")</f>
        <v>Male</v>
      </c>
      <c r="N69">
        <f ca="1">_xlfn.XLOOKUP(Table8[[#This Row],[Supporter_ID]],tb1_supporters[Supporter_ID ],tb1_supporters[Age],"")</f>
        <v>50</v>
      </c>
      <c r="O69" t="str">
        <f ca="1">_xlfn.XLOOKUP(Table8[[#This Row],[Supporter_ID]],tb1_supporters[Supporter_ID ],tb1_supporters[Age_Band],"")</f>
        <v>50-64</v>
      </c>
      <c r="P69" t="str">
        <f ca="1">IF(Table8[[#This Row],[Age_Band]]="","Unknown",Table8[[#This Row],[Age_Band]])</f>
        <v>50-64</v>
      </c>
      <c r="Q69" t="str">
        <f>_xlfn.XLOOKUP(Table8[[#This Row],[Supporter_ID]],tb1_supporters[Supporter_ID ],tb1_supporters[Communication_Preference],"")</f>
        <v>Post</v>
      </c>
      <c r="R69" t="str">
        <f>_xlfn.XLOOKUP(Table8[[#This Row],[Supporter_ID]],tb1_supporters[Supporter_ID ],tb1_supporters[Duplicate_Profile_Flag],"")</f>
        <v/>
      </c>
      <c r="S69" t="str">
        <f>_xlfn.XLOOKUP(Table8[[#This Row],[Supporter_ID]],tb1_supporters[Supporter_ID ],tb1_supporters[Preference_Compliance_Flag],"")</f>
        <v/>
      </c>
      <c r="T69" t="str">
        <f ca="1">IF(Table8[[#This Row],[Age]]="","Review - missing DOB",IF(Table8[[#This Row],[Age]]&gt;TODAY(),"Review - future DOB",IF(Table8[[#This Row],[Age]]=0,"Review -  potential entry error (age 0)","")))</f>
        <v/>
      </c>
      <c r="U69" t="str">
        <f>_xlfn.XLOOKUP(Table8[[#This Row],[Campaign_Code]],tb3_CampaignMaster[Campaign_Code],tb3_CampaignMaster[Campaign_Type],"")</f>
        <v>Stewardship</v>
      </c>
      <c r="V69" t="str">
        <f>_xlfn.XLOOKUP(Table8[[#This Row],[Campaign_Code]],tb3_CampaignMaster[Campaign_Code],tb3_CampaignMaster[Target_Audience],"")</f>
        <v>Major Donors</v>
      </c>
      <c r="W69" s="17">
        <f>_xlfn.XLOOKUP(Table8[[#This Row],[Campaign_Code]],tb3_CampaignMaster[Campaign_Code],tb3_CampaignMaster[Start_Date],"")</f>
        <v>45444</v>
      </c>
      <c r="X69" s="17">
        <f>_xlfn.XLOOKUP(Table8[[#This Row],[Campaign_Code]],tb3_CampaignMaster[Campaign_Code],tb3_CampaignMaster[End_Date],"")</f>
        <v>45473</v>
      </c>
      <c r="Y69">
        <f>_xlfn.XLOOKUP(Table8[[#This Row],[Campaign_Code]],tb3_CampaignMaster[Campaign_Code],tb3_CampaignMaster[Budget_GBP],"")</f>
        <v>7000</v>
      </c>
      <c r="Z69" t="str">
        <f>_xlfn.XLOOKUP(Table8[[#This Row],[Campaign_Code]],tb3_CampaignMaster[Campaign_Code],tb3_CampaignMaster[Primary_Channel],"")</f>
        <v>Direct Mail</v>
      </c>
      <c r="AA69" s="13">
        <f>IF(Table8[[#This Row],[Gift_Aid_Eligible]]="Yes",Table8[[#This Row],[Gift_Amount]]*1.25,Table8[[#This Row],[Gift_Amount]])</f>
        <v>149.34</v>
      </c>
      <c r="AB69" t="str">
        <f>IF(Table8[[#This Row],[Supporter_ID]]="","Review - missing supporter ID","")</f>
        <v/>
      </c>
      <c r="AC69" t="str">
        <f>IF(OR(Table8[[#This Row],[Response_Date]]&lt;Table8[[#This Row],[Start_Date]],Table8[[#This Row],[Response_Date]]&gt;Table8[[#This Row],[End_Date]]),"Review - response outside campaign dates","")</f>
        <v/>
      </c>
      <c r="AD69" t="str">
        <f>IF(Table8[[#This Row],[Campaign_Type]]="","Review - campaign code not found","")</f>
        <v/>
      </c>
    </row>
    <row r="70" spans="1:30" x14ac:dyDescent="0.25">
      <c r="A70" t="s">
        <v>3477</v>
      </c>
      <c r="B70" t="s">
        <v>2519</v>
      </c>
      <c r="C70" t="s">
        <v>3427</v>
      </c>
      <c r="D70" t="s">
        <v>3428</v>
      </c>
      <c r="E70" t="s">
        <v>4</v>
      </c>
      <c r="F70" s="17">
        <v>45488</v>
      </c>
      <c r="G70">
        <v>33.380000000000003</v>
      </c>
      <c r="H70" t="s">
        <v>37</v>
      </c>
      <c r="I70" t="s">
        <v>3334</v>
      </c>
      <c r="J70" t="str">
        <f>_xlfn.XLOOKUP(Table8[[#This Row],[Supporter_ID]],tb1_supporters[Supporter_ID ],tb1_supporters[Segment],"")</f>
        <v>Regular Giver</v>
      </c>
      <c r="K70" t="str">
        <f>_xlfn.XLOOKUP(Table8[[#This Row],[Supporter_ID]],tb1_supporters[Supporter_ID ],tb1_supporters[Acquisition_Source],"")</f>
        <v>Direct Mail</v>
      </c>
      <c r="L70" t="str">
        <f>_xlfn.XLOOKUP(Table8[[#This Row],[Supporter_ID]],tb1_supporters[Supporter_ID ],tb1_supporters[County],"")</f>
        <v>Wiltshire</v>
      </c>
      <c r="M70" t="str">
        <f>_xlfn.XLOOKUP(Table8[[#This Row],[Supporter_ID]],tb1_supporters[Supporter_ID ],tb1_supporters[Gender],"")</f>
        <v>Female</v>
      </c>
      <c r="N70">
        <f ca="1">_xlfn.XLOOKUP(Table8[[#This Row],[Supporter_ID]],tb1_supporters[Supporter_ID ],tb1_supporters[Age],"")</f>
        <v>59</v>
      </c>
      <c r="O70" t="str">
        <f ca="1">_xlfn.XLOOKUP(Table8[[#This Row],[Supporter_ID]],tb1_supporters[Supporter_ID ],tb1_supporters[Age_Band],"")</f>
        <v>50-64</v>
      </c>
      <c r="P70" t="str">
        <f ca="1">IF(Table8[[#This Row],[Age_Band]]="","Unknown",Table8[[#This Row],[Age_Band]])</f>
        <v>50-64</v>
      </c>
      <c r="Q70" t="str">
        <f>_xlfn.XLOOKUP(Table8[[#This Row],[Supporter_ID]],tb1_supporters[Supporter_ID ],tb1_supporters[Communication_Preference],"")</f>
        <v>Post</v>
      </c>
      <c r="R70" t="str">
        <f>_xlfn.XLOOKUP(Table8[[#This Row],[Supporter_ID]],tb1_supporters[Supporter_ID ],tb1_supporters[Duplicate_Profile_Flag],"")</f>
        <v/>
      </c>
      <c r="S70" t="str">
        <f>_xlfn.XLOOKUP(Table8[[#This Row],[Supporter_ID]],tb1_supporters[Supporter_ID ],tb1_supporters[Preference_Compliance_Flag],"")</f>
        <v/>
      </c>
      <c r="T70" t="str">
        <f ca="1">IF(Table8[[#This Row],[Age]]="","Review - missing DOB",IF(Table8[[#This Row],[Age]]&gt;TODAY(),"Review - future DOB",IF(Table8[[#This Row],[Age]]=0,"Review -  potential entry error (age 0)","")))</f>
        <v/>
      </c>
      <c r="U70" t="str">
        <f>_xlfn.XLOOKUP(Table8[[#This Row],[Campaign_Code]],tb3_CampaignMaster[Campaign_Code],tb3_CampaignMaster[Campaign_Type],"")</f>
        <v>Event</v>
      </c>
      <c r="V70" t="str">
        <f>_xlfn.XLOOKUP(Table8[[#This Row],[Campaign_Code]],tb3_CampaignMaster[Campaign_Code],tb3_CampaignMaster[Target_Audience],"")</f>
        <v>Major Donors</v>
      </c>
      <c r="W70" s="17">
        <f>_xlfn.XLOOKUP(Table8[[#This Row],[Campaign_Code]],tb3_CampaignMaster[Campaign_Code],tb3_CampaignMaster[Start_Date],"")</f>
        <v>45488</v>
      </c>
      <c r="X70" s="17">
        <f>_xlfn.XLOOKUP(Table8[[#This Row],[Campaign_Code]],tb3_CampaignMaster[Campaign_Code],tb3_CampaignMaster[End_Date],"")</f>
        <v>45488</v>
      </c>
      <c r="Y70">
        <f>_xlfn.XLOOKUP(Table8[[#This Row],[Campaign_Code]],tb3_CampaignMaster[Campaign_Code],tb3_CampaignMaster[Budget_GBP],"")</f>
        <v>45000</v>
      </c>
      <c r="Z70" t="str">
        <f>_xlfn.XLOOKUP(Table8[[#This Row],[Campaign_Code]],tb3_CampaignMaster[Campaign_Code],tb3_CampaignMaster[Primary_Channel],"")</f>
        <v>Direct Mail</v>
      </c>
      <c r="AA70" s="13">
        <f>IF(Table8[[#This Row],[Gift_Aid_Eligible]]="Yes",Table8[[#This Row],[Gift_Amount]]*1.25,Table8[[#This Row],[Gift_Amount]])</f>
        <v>33.380000000000003</v>
      </c>
      <c r="AB70" t="str">
        <f>IF(Table8[[#This Row],[Supporter_ID]]="","Review - missing supporter ID","")</f>
        <v/>
      </c>
      <c r="AC70" t="str">
        <f>IF(OR(Table8[[#This Row],[Response_Date]]&lt;Table8[[#This Row],[Start_Date]],Table8[[#This Row],[Response_Date]]&gt;Table8[[#This Row],[End_Date]]),"Review - response outside campaign dates","")</f>
        <v/>
      </c>
      <c r="AD70" t="str">
        <f>IF(Table8[[#This Row],[Campaign_Type]]="","Review - campaign code not found","")</f>
        <v/>
      </c>
    </row>
    <row r="71" spans="1:30" x14ac:dyDescent="0.25">
      <c r="A71" t="s">
        <v>3479</v>
      </c>
      <c r="B71" t="s">
        <v>541</v>
      </c>
      <c r="C71" t="s">
        <v>3314</v>
      </c>
      <c r="D71" t="s">
        <v>3315</v>
      </c>
      <c r="E71" t="s">
        <v>65</v>
      </c>
      <c r="F71" s="17">
        <v>45703</v>
      </c>
      <c r="G71">
        <v>18.84</v>
      </c>
      <c r="H71" t="s">
        <v>36</v>
      </c>
      <c r="I71" t="s">
        <v>3334</v>
      </c>
      <c r="J71" t="str">
        <f>_xlfn.XLOOKUP(Table8[[#This Row],[Supporter_ID]],tb1_supporters[Supporter_ID ],tb1_supporters[Segment],"")</f>
        <v>Lapsed</v>
      </c>
      <c r="K71" t="str">
        <f>_xlfn.XLOOKUP(Table8[[#This Row],[Supporter_ID]],tb1_supporters[Supporter_ID ],tb1_supporters[Acquisition_Source],"")</f>
        <v>Social Media</v>
      </c>
      <c r="L71" t="str">
        <f>_xlfn.XLOOKUP(Table8[[#This Row],[Supporter_ID]],tb1_supporters[Supporter_ID ],tb1_supporters[County],"")</f>
        <v>Merseyside</v>
      </c>
      <c r="M71" t="str">
        <f>_xlfn.XLOOKUP(Table8[[#This Row],[Supporter_ID]],tb1_supporters[Supporter_ID ],tb1_supporters[Gender],"")</f>
        <v>Male</v>
      </c>
      <c r="N71">
        <f ca="1">_xlfn.XLOOKUP(Table8[[#This Row],[Supporter_ID]],tb1_supporters[Supporter_ID ],tb1_supporters[Age],"")</f>
        <v>83</v>
      </c>
      <c r="O71" t="str">
        <f ca="1">_xlfn.XLOOKUP(Table8[[#This Row],[Supporter_ID]],tb1_supporters[Supporter_ID ],tb1_supporters[Age_Band],"")</f>
        <v>65+</v>
      </c>
      <c r="P71" t="str">
        <f ca="1">IF(Table8[[#This Row],[Age_Band]]="","Unknown",Table8[[#This Row],[Age_Band]])</f>
        <v>65+</v>
      </c>
      <c r="Q71" t="str">
        <f>_xlfn.XLOOKUP(Table8[[#This Row],[Supporter_ID]],tb1_supporters[Supporter_ID ],tb1_supporters[Communication_Preference],"")</f>
        <v>No Preference</v>
      </c>
      <c r="R71" t="str">
        <f>_xlfn.XLOOKUP(Table8[[#This Row],[Supporter_ID]],tb1_supporters[Supporter_ID ],tb1_supporters[Duplicate_Profile_Flag],"")</f>
        <v/>
      </c>
      <c r="S71" t="str">
        <f>_xlfn.XLOOKUP(Table8[[#This Row],[Supporter_ID]],tb1_supporters[Supporter_ID ],tb1_supporters[Preference_Compliance_Flag],"")</f>
        <v/>
      </c>
      <c r="T71" t="str">
        <f ca="1">IF(Table8[[#This Row],[Age]]="","Review - missing DOB",IF(Table8[[#This Row],[Age]]&gt;TODAY(),"Review - future DOB",IF(Table8[[#This Row],[Age]]=0,"Review -  potential entry error (age 0)","")))</f>
        <v/>
      </c>
      <c r="U71" t="str">
        <f>_xlfn.XLOOKUP(Table8[[#This Row],[Campaign_Code]],tb3_CampaignMaster[Campaign_Code],tb3_CampaignMaster[Campaign_Type],"")</f>
        <v>Regular Giving</v>
      </c>
      <c r="V71" t="str">
        <f>_xlfn.XLOOKUP(Table8[[#This Row],[Campaign_Code]],tb3_CampaignMaster[Campaign_Code],tb3_CampaignMaster[Target_Audience],"")</f>
        <v>One-time Donors</v>
      </c>
      <c r="W71" s="17">
        <f>_xlfn.XLOOKUP(Table8[[#This Row],[Campaign_Code]],tb3_CampaignMaster[Campaign_Code],tb3_CampaignMaster[Start_Date],"")</f>
        <v>45663</v>
      </c>
      <c r="X71" s="17">
        <f>_xlfn.XLOOKUP(Table8[[#This Row],[Campaign_Code]],tb3_CampaignMaster[Campaign_Code],tb3_CampaignMaster[End_Date],"")</f>
        <v>45747</v>
      </c>
      <c r="Y71">
        <f>_xlfn.XLOOKUP(Table8[[#This Row],[Campaign_Code]],tb3_CampaignMaster[Campaign_Code],tb3_CampaignMaster[Budget_GBP],"")</f>
        <v>10000</v>
      </c>
      <c r="Z71" t="str">
        <f>_xlfn.XLOOKUP(Table8[[#This Row],[Campaign_Code]],tb3_CampaignMaster[Campaign_Code],tb3_CampaignMaster[Primary_Channel],"")</f>
        <v>Telephone</v>
      </c>
      <c r="AA71" s="13">
        <f>IF(Table8[[#This Row],[Gift_Aid_Eligible]]="Yes",Table8[[#This Row],[Gift_Amount]]*1.25,Table8[[#This Row],[Gift_Amount]])</f>
        <v>23.55</v>
      </c>
      <c r="AB71" t="str">
        <f>IF(Table8[[#This Row],[Supporter_ID]]="","Review - missing supporter ID","")</f>
        <v/>
      </c>
      <c r="AC71" t="str">
        <f>IF(OR(Table8[[#This Row],[Response_Date]]&lt;Table8[[#This Row],[Start_Date]],Table8[[#This Row],[Response_Date]]&gt;Table8[[#This Row],[End_Date]]),"Review - response outside campaign dates","")</f>
        <v/>
      </c>
      <c r="AD71" t="str">
        <f>IF(Table8[[#This Row],[Campaign_Type]]="","Review - campaign code not found","")</f>
        <v/>
      </c>
    </row>
    <row r="72" spans="1:30" x14ac:dyDescent="0.25">
      <c r="A72" t="s">
        <v>3482</v>
      </c>
      <c r="B72" t="s">
        <v>1405</v>
      </c>
      <c r="C72" t="s">
        <v>3336</v>
      </c>
      <c r="D72" t="s">
        <v>3337</v>
      </c>
      <c r="E72" t="s">
        <v>4</v>
      </c>
      <c r="F72" s="17">
        <v>45574</v>
      </c>
      <c r="G72">
        <v>181.16</v>
      </c>
      <c r="H72" t="s">
        <v>37</v>
      </c>
      <c r="I72" t="s">
        <v>3370</v>
      </c>
      <c r="J72" t="str">
        <f>_xlfn.XLOOKUP(Table8[[#This Row],[Supporter_ID]],tb1_supporters[Supporter_ID ],tb1_supporters[Segment],"")</f>
        <v>Mid-Value</v>
      </c>
      <c r="K72" t="str">
        <f>_xlfn.XLOOKUP(Table8[[#This Row],[Supporter_ID]],tb1_supporters[Supporter_ID ],tb1_supporters[Acquisition_Source],"")</f>
        <v>Event</v>
      </c>
      <c r="L72" t="str">
        <f>_xlfn.XLOOKUP(Table8[[#This Row],[Supporter_ID]],tb1_supporters[Supporter_ID ],tb1_supporters[County],"")</f>
        <v>South Glamorgan</v>
      </c>
      <c r="M72" t="str">
        <f>_xlfn.XLOOKUP(Table8[[#This Row],[Supporter_ID]],tb1_supporters[Supporter_ID ],tb1_supporters[Gender],"")</f>
        <v>Female</v>
      </c>
      <c r="N72">
        <f ca="1">_xlfn.XLOOKUP(Table8[[#This Row],[Supporter_ID]],tb1_supporters[Supporter_ID ],tb1_supporters[Age],"")</f>
        <v>95</v>
      </c>
      <c r="O72" t="str">
        <f ca="1">_xlfn.XLOOKUP(Table8[[#This Row],[Supporter_ID]],tb1_supporters[Supporter_ID ],tb1_supporters[Age_Band],"")</f>
        <v>65+</v>
      </c>
      <c r="P72" t="str">
        <f ca="1">IF(Table8[[#This Row],[Age_Band]]="","Unknown",Table8[[#This Row],[Age_Band]])</f>
        <v>65+</v>
      </c>
      <c r="Q72" t="str">
        <f>_xlfn.XLOOKUP(Table8[[#This Row],[Supporter_ID]],tb1_supporters[Supporter_ID ],tb1_supporters[Communication_Preference],"")</f>
        <v>Email</v>
      </c>
      <c r="R72" t="str">
        <f>_xlfn.XLOOKUP(Table8[[#This Row],[Supporter_ID]],tb1_supporters[Supporter_ID ],tb1_supporters[Duplicate_Profile_Flag],"")</f>
        <v/>
      </c>
      <c r="S72" t="str">
        <f>_xlfn.XLOOKUP(Table8[[#This Row],[Supporter_ID]],tb1_supporters[Supporter_ID ],tb1_supporters[Preference_Compliance_Flag],"")</f>
        <v/>
      </c>
      <c r="T72" t="str">
        <f ca="1">IF(Table8[[#This Row],[Age]]="","Review - missing DOB",IF(Table8[[#This Row],[Age]]&gt;TODAY(),"Review - future DOB",IF(Table8[[#This Row],[Age]]=0,"Review -  potential entry error (age 0)","")))</f>
        <v/>
      </c>
      <c r="U72" t="str">
        <f>_xlfn.XLOOKUP(Table8[[#This Row],[Campaign_Code]],tb3_CampaignMaster[Campaign_Code],tb3_CampaignMaster[Campaign_Type],"")</f>
        <v>Appeal</v>
      </c>
      <c r="V72" t="str">
        <f>_xlfn.XLOOKUP(Table8[[#This Row],[Campaign_Code]],tb3_CampaignMaster[Campaign_Code],tb3_CampaignMaster[Target_Audience],"")</f>
        <v>All Supporters</v>
      </c>
      <c r="W72" s="17">
        <f>_xlfn.XLOOKUP(Table8[[#This Row],[Campaign_Code]],tb3_CampaignMaster[Campaign_Code],tb3_CampaignMaster[Start_Date],"")</f>
        <v>45545</v>
      </c>
      <c r="X72" s="17">
        <f>_xlfn.XLOOKUP(Table8[[#This Row],[Campaign_Code]],tb3_CampaignMaster[Campaign_Code],tb3_CampaignMaster[End_Date],"")</f>
        <v>45580</v>
      </c>
      <c r="Y72">
        <f>_xlfn.XLOOKUP(Table8[[#This Row],[Campaign_Code]],tb3_CampaignMaster[Campaign_Code],tb3_CampaignMaster[Budget_GBP],"")</f>
        <v>15000</v>
      </c>
      <c r="Z72" t="str">
        <f>_xlfn.XLOOKUP(Table8[[#This Row],[Campaign_Code]],tb3_CampaignMaster[Campaign_Code],tb3_CampaignMaster[Primary_Channel],"")</f>
        <v>Email</v>
      </c>
      <c r="AA72" s="13">
        <f>IF(Table8[[#This Row],[Gift_Aid_Eligible]]="Yes",Table8[[#This Row],[Gift_Amount]]*1.25,Table8[[#This Row],[Gift_Amount]])</f>
        <v>181.16</v>
      </c>
      <c r="AB72" t="str">
        <f>IF(Table8[[#This Row],[Supporter_ID]]="","Review - missing supporter ID","")</f>
        <v/>
      </c>
      <c r="AC72" t="str">
        <f>IF(OR(Table8[[#This Row],[Response_Date]]&lt;Table8[[#This Row],[Start_Date]],Table8[[#This Row],[Response_Date]]&gt;Table8[[#This Row],[End_Date]]),"Review - response outside campaign dates","")</f>
        <v/>
      </c>
      <c r="AD72" t="str">
        <f>IF(Table8[[#This Row],[Campaign_Type]]="","Review - campaign code not found","")</f>
        <v/>
      </c>
    </row>
    <row r="73" spans="1:30" x14ac:dyDescent="0.25">
      <c r="A73" t="s">
        <v>3484</v>
      </c>
      <c r="B73" t="s">
        <v>1921</v>
      </c>
      <c r="C73" t="s">
        <v>3367</v>
      </c>
      <c r="D73" t="s">
        <v>3368</v>
      </c>
      <c r="E73" t="s">
        <v>65</v>
      </c>
      <c r="F73" s="17">
        <v>45755</v>
      </c>
      <c r="G73">
        <v>274.42</v>
      </c>
      <c r="H73" t="s">
        <v>36</v>
      </c>
      <c r="I73" t="s">
        <v>3370</v>
      </c>
      <c r="J73" t="str">
        <f>_xlfn.XLOOKUP(Table8[[#This Row],[Supporter_ID]],tb1_supporters[Supporter_ID ],tb1_supporters[Segment],"")</f>
        <v>Legacy Pledger</v>
      </c>
      <c r="K73" t="str">
        <f>_xlfn.XLOOKUP(Table8[[#This Row],[Supporter_ID]],tb1_supporters[Supporter_ID ],tb1_supporters[Acquisition_Source],"")</f>
        <v>Referral</v>
      </c>
      <c r="L73" t="str">
        <f>_xlfn.XLOOKUP(Table8[[#This Row],[Supporter_ID]],tb1_supporters[Supporter_ID ],tb1_supporters[County],"")</f>
        <v>Grampian</v>
      </c>
      <c r="M73" t="str">
        <f>_xlfn.XLOOKUP(Table8[[#This Row],[Supporter_ID]],tb1_supporters[Supporter_ID ],tb1_supporters[Gender],"")</f>
        <v>Male</v>
      </c>
      <c r="N73">
        <f ca="1">_xlfn.XLOOKUP(Table8[[#This Row],[Supporter_ID]],tb1_supporters[Supporter_ID ],tb1_supporters[Age],"")</f>
        <v>82</v>
      </c>
      <c r="O73" t="str">
        <f ca="1">_xlfn.XLOOKUP(Table8[[#This Row],[Supporter_ID]],tb1_supporters[Supporter_ID ],tb1_supporters[Age_Band],"")</f>
        <v>65+</v>
      </c>
      <c r="P73" t="str">
        <f ca="1">IF(Table8[[#This Row],[Age_Band]]="","Unknown",Table8[[#This Row],[Age_Band]])</f>
        <v>65+</v>
      </c>
      <c r="Q73" t="str">
        <f>_xlfn.XLOOKUP(Table8[[#This Row],[Supporter_ID]],tb1_supporters[Supporter_ID ],tb1_supporters[Communication_Preference],"")</f>
        <v>Phone</v>
      </c>
      <c r="R73" t="str">
        <f>_xlfn.XLOOKUP(Table8[[#This Row],[Supporter_ID]],tb1_supporters[Supporter_ID ],tb1_supporters[Duplicate_Profile_Flag],"")</f>
        <v/>
      </c>
      <c r="S73" t="str">
        <f>_xlfn.XLOOKUP(Table8[[#This Row],[Supporter_ID]],tb1_supporters[Supporter_ID ],tb1_supporters[Preference_Compliance_Flag],"")</f>
        <v>Review - prefers phone but not opted in</v>
      </c>
      <c r="T73" t="str">
        <f ca="1">IF(Table8[[#This Row],[Age]]="","Review - missing DOB",IF(Table8[[#This Row],[Age]]&gt;TODAY(),"Review - future DOB",IF(Table8[[#This Row],[Age]]=0,"Review -  potential entry error (age 0)","")))</f>
        <v/>
      </c>
      <c r="U73" t="str">
        <f>_xlfn.XLOOKUP(Table8[[#This Row],[Campaign_Code]],tb3_CampaignMaster[Campaign_Code],tb3_CampaignMaster[Campaign_Type],"")</f>
        <v>Raffle</v>
      </c>
      <c r="V73" t="str">
        <f>_xlfn.XLOOKUP(Table8[[#This Row],[Campaign_Code]],tb3_CampaignMaster[Campaign_Code],tb3_CampaignMaster[Target_Audience],"")</f>
        <v>Regular Givers</v>
      </c>
      <c r="W73" s="17">
        <f>_xlfn.XLOOKUP(Table8[[#This Row],[Campaign_Code]],tb3_CampaignMaster[Campaign_Code],tb3_CampaignMaster[Start_Date],"")</f>
        <v>45717</v>
      </c>
      <c r="X73" s="17">
        <f>_xlfn.XLOOKUP(Table8[[#This Row],[Campaign_Code]],tb3_CampaignMaster[Campaign_Code],tb3_CampaignMaster[End_Date],"")</f>
        <v>45777</v>
      </c>
      <c r="Y73">
        <f>_xlfn.XLOOKUP(Table8[[#This Row],[Campaign_Code]],tb3_CampaignMaster[Campaign_Code],tb3_CampaignMaster[Budget_GBP],"")</f>
        <v>8000</v>
      </c>
      <c r="Z73" t="str">
        <f>_xlfn.XLOOKUP(Table8[[#This Row],[Campaign_Code]],tb3_CampaignMaster[Campaign_Code],tb3_CampaignMaster[Primary_Channel],"")</f>
        <v>Direct Mail</v>
      </c>
      <c r="AA73" s="13">
        <f>IF(Table8[[#This Row],[Gift_Aid_Eligible]]="Yes",Table8[[#This Row],[Gift_Amount]]*1.25,Table8[[#This Row],[Gift_Amount]])</f>
        <v>343.02500000000003</v>
      </c>
      <c r="AB73" t="str">
        <f>IF(Table8[[#This Row],[Supporter_ID]]="","Review - missing supporter ID","")</f>
        <v/>
      </c>
      <c r="AC73" t="str">
        <f>IF(OR(Table8[[#This Row],[Response_Date]]&lt;Table8[[#This Row],[Start_Date]],Table8[[#This Row],[Response_Date]]&gt;Table8[[#This Row],[End_Date]]),"Review - response outside campaign dates","")</f>
        <v/>
      </c>
      <c r="AD73" t="str">
        <f>IF(Table8[[#This Row],[Campaign_Type]]="","Review - campaign code not found","")</f>
        <v/>
      </c>
    </row>
    <row r="74" spans="1:30" x14ac:dyDescent="0.25">
      <c r="A74" t="s">
        <v>3486</v>
      </c>
      <c r="B74" t="s">
        <v>2580</v>
      </c>
      <c r="C74" t="s">
        <v>3367</v>
      </c>
      <c r="D74" t="s">
        <v>3368</v>
      </c>
      <c r="E74" t="s">
        <v>4</v>
      </c>
      <c r="F74" s="17">
        <v>45741</v>
      </c>
      <c r="G74">
        <v>40.35</v>
      </c>
      <c r="H74" t="s">
        <v>37</v>
      </c>
      <c r="I74" t="s">
        <v>3318</v>
      </c>
      <c r="J74" t="str">
        <f>_xlfn.XLOOKUP(Table8[[#This Row],[Supporter_ID]],tb1_supporters[Supporter_ID ],tb1_supporters[Segment],"")</f>
        <v>Mid-Value</v>
      </c>
      <c r="K74" t="str">
        <f>_xlfn.XLOOKUP(Table8[[#This Row],[Supporter_ID]],tb1_supporters[Supporter_ID ],tb1_supporters[Acquisition_Source],"")</f>
        <v>Website</v>
      </c>
      <c r="L74" t="str">
        <f>_xlfn.XLOOKUP(Table8[[#This Row],[Supporter_ID]],tb1_supporters[Supporter_ID ],tb1_supporters[County],"")</f>
        <v>Kent</v>
      </c>
      <c r="M74" t="str">
        <f>_xlfn.XLOOKUP(Table8[[#This Row],[Supporter_ID]],tb1_supporters[Supporter_ID ],tb1_supporters[Gender],"")</f>
        <v>Male</v>
      </c>
      <c r="N74">
        <f ca="1">_xlfn.XLOOKUP(Table8[[#This Row],[Supporter_ID]],tb1_supporters[Supporter_ID ],tb1_supporters[Age],"")</f>
        <v>71</v>
      </c>
      <c r="O74" t="str">
        <f ca="1">_xlfn.XLOOKUP(Table8[[#This Row],[Supporter_ID]],tb1_supporters[Supporter_ID ],tb1_supporters[Age_Band],"")</f>
        <v>65+</v>
      </c>
      <c r="P74" t="str">
        <f ca="1">IF(Table8[[#This Row],[Age_Band]]="","Unknown",Table8[[#This Row],[Age_Band]])</f>
        <v>65+</v>
      </c>
      <c r="Q74" t="str">
        <f>_xlfn.XLOOKUP(Table8[[#This Row],[Supporter_ID]],tb1_supporters[Supporter_ID ],tb1_supporters[Communication_Preference],"")</f>
        <v>Email</v>
      </c>
      <c r="R74" t="str">
        <f>_xlfn.XLOOKUP(Table8[[#This Row],[Supporter_ID]],tb1_supporters[Supporter_ID ],tb1_supporters[Duplicate_Profile_Flag],"")</f>
        <v/>
      </c>
      <c r="S74" t="str">
        <f>_xlfn.XLOOKUP(Table8[[#This Row],[Supporter_ID]],tb1_supporters[Supporter_ID ],tb1_supporters[Preference_Compliance_Flag],"")</f>
        <v/>
      </c>
      <c r="T74" t="str">
        <f ca="1">IF(Table8[[#This Row],[Age]]="","Review - missing DOB",IF(Table8[[#This Row],[Age]]&gt;TODAY(),"Review - future DOB",IF(Table8[[#This Row],[Age]]=0,"Review -  potential entry error (age 0)","")))</f>
        <v/>
      </c>
      <c r="U74" t="str">
        <f>_xlfn.XLOOKUP(Table8[[#This Row],[Campaign_Code]],tb3_CampaignMaster[Campaign_Code],tb3_CampaignMaster[Campaign_Type],"")</f>
        <v>Raffle</v>
      </c>
      <c r="V74" t="str">
        <f>_xlfn.XLOOKUP(Table8[[#This Row],[Campaign_Code]],tb3_CampaignMaster[Campaign_Code],tb3_CampaignMaster[Target_Audience],"")</f>
        <v>Regular Givers</v>
      </c>
      <c r="W74" s="17">
        <f>_xlfn.XLOOKUP(Table8[[#This Row],[Campaign_Code]],tb3_CampaignMaster[Campaign_Code],tb3_CampaignMaster[Start_Date],"")</f>
        <v>45717</v>
      </c>
      <c r="X74" s="17">
        <f>_xlfn.XLOOKUP(Table8[[#This Row],[Campaign_Code]],tb3_CampaignMaster[Campaign_Code],tb3_CampaignMaster[End_Date],"")</f>
        <v>45777</v>
      </c>
      <c r="Y74">
        <f>_xlfn.XLOOKUP(Table8[[#This Row],[Campaign_Code]],tb3_CampaignMaster[Campaign_Code],tb3_CampaignMaster[Budget_GBP],"")</f>
        <v>8000</v>
      </c>
      <c r="Z74" t="str">
        <f>_xlfn.XLOOKUP(Table8[[#This Row],[Campaign_Code]],tb3_CampaignMaster[Campaign_Code],tb3_CampaignMaster[Primary_Channel],"")</f>
        <v>Direct Mail</v>
      </c>
      <c r="AA74" s="13">
        <f>IF(Table8[[#This Row],[Gift_Aid_Eligible]]="Yes",Table8[[#This Row],[Gift_Amount]]*1.25,Table8[[#This Row],[Gift_Amount]])</f>
        <v>40.35</v>
      </c>
      <c r="AB74" t="str">
        <f>IF(Table8[[#This Row],[Supporter_ID]]="","Review - missing supporter ID","")</f>
        <v/>
      </c>
      <c r="AC74" t="str">
        <f>IF(OR(Table8[[#This Row],[Response_Date]]&lt;Table8[[#This Row],[Start_Date]],Table8[[#This Row],[Response_Date]]&gt;Table8[[#This Row],[End_Date]]),"Review - response outside campaign dates","")</f>
        <v/>
      </c>
      <c r="AD74" t="str">
        <f>IF(Table8[[#This Row],[Campaign_Type]]="","Review - campaign code not found","")</f>
        <v/>
      </c>
    </row>
    <row r="75" spans="1:30" x14ac:dyDescent="0.25">
      <c r="A75" t="s">
        <v>3489</v>
      </c>
      <c r="B75" t="s">
        <v>1180</v>
      </c>
      <c r="C75" t="s">
        <v>3314</v>
      </c>
      <c r="D75" t="s">
        <v>3315</v>
      </c>
      <c r="E75" t="s">
        <v>65</v>
      </c>
      <c r="F75" s="17">
        <v>45704</v>
      </c>
      <c r="G75">
        <v>4179.5</v>
      </c>
      <c r="H75" t="s">
        <v>36</v>
      </c>
      <c r="I75" t="s">
        <v>3328</v>
      </c>
      <c r="J75" t="str">
        <f>_xlfn.XLOOKUP(Table8[[#This Row],[Supporter_ID]],tb1_supporters[Supporter_ID ],tb1_supporters[Segment],"")</f>
        <v>Major Donor</v>
      </c>
      <c r="K75" t="str">
        <f>_xlfn.XLOOKUP(Table8[[#This Row],[Supporter_ID]],tb1_supporters[Supporter_ID ],tb1_supporters[Acquisition_Source],"")</f>
        <v>Direct Mail</v>
      </c>
      <c r="L75" t="str">
        <f>_xlfn.XLOOKUP(Table8[[#This Row],[Supporter_ID]],tb1_supporters[Supporter_ID ],tb1_supporters[County],"")</f>
        <v>Strathclyde</v>
      </c>
      <c r="M75" t="str">
        <f>_xlfn.XLOOKUP(Table8[[#This Row],[Supporter_ID]],tb1_supporters[Supporter_ID ],tb1_supporters[Gender],"")</f>
        <v>Female</v>
      </c>
      <c r="N75">
        <f ca="1">_xlfn.XLOOKUP(Table8[[#This Row],[Supporter_ID]],tb1_supporters[Supporter_ID ],tb1_supporters[Age],"")</f>
        <v>61</v>
      </c>
      <c r="O75" t="str">
        <f ca="1">_xlfn.XLOOKUP(Table8[[#This Row],[Supporter_ID]],tb1_supporters[Supporter_ID ],tb1_supporters[Age_Band],"")</f>
        <v>50-64</v>
      </c>
      <c r="P75" t="str">
        <f ca="1">IF(Table8[[#This Row],[Age_Band]]="","Unknown",Table8[[#This Row],[Age_Band]])</f>
        <v>50-64</v>
      </c>
      <c r="Q75" t="str">
        <f>_xlfn.XLOOKUP(Table8[[#This Row],[Supporter_ID]],tb1_supporters[Supporter_ID ],tb1_supporters[Communication_Preference],"")</f>
        <v>Email</v>
      </c>
      <c r="R75" t="str">
        <f>_xlfn.XLOOKUP(Table8[[#This Row],[Supporter_ID]],tb1_supporters[Supporter_ID ],tb1_supporters[Duplicate_Profile_Flag],"")</f>
        <v/>
      </c>
      <c r="S75" t="str">
        <f>_xlfn.XLOOKUP(Table8[[#This Row],[Supporter_ID]],tb1_supporters[Supporter_ID ],tb1_supporters[Preference_Compliance_Flag],"")</f>
        <v/>
      </c>
      <c r="T75" t="str">
        <f ca="1">IF(Table8[[#This Row],[Age]]="","Review - missing DOB",IF(Table8[[#This Row],[Age]]&gt;TODAY(),"Review - future DOB",IF(Table8[[#This Row],[Age]]=0,"Review -  potential entry error (age 0)","")))</f>
        <v/>
      </c>
      <c r="U75" t="str">
        <f>_xlfn.XLOOKUP(Table8[[#This Row],[Campaign_Code]],tb3_CampaignMaster[Campaign_Code],tb3_CampaignMaster[Campaign_Type],"")</f>
        <v>Regular Giving</v>
      </c>
      <c r="V75" t="str">
        <f>_xlfn.XLOOKUP(Table8[[#This Row],[Campaign_Code]],tb3_CampaignMaster[Campaign_Code],tb3_CampaignMaster[Target_Audience],"")</f>
        <v>One-time Donors</v>
      </c>
      <c r="W75" s="17">
        <f>_xlfn.XLOOKUP(Table8[[#This Row],[Campaign_Code]],tb3_CampaignMaster[Campaign_Code],tb3_CampaignMaster[Start_Date],"")</f>
        <v>45663</v>
      </c>
      <c r="X75" s="17">
        <f>_xlfn.XLOOKUP(Table8[[#This Row],[Campaign_Code]],tb3_CampaignMaster[Campaign_Code],tb3_CampaignMaster[End_Date],"")</f>
        <v>45747</v>
      </c>
      <c r="Y75">
        <f>_xlfn.XLOOKUP(Table8[[#This Row],[Campaign_Code]],tb3_CampaignMaster[Campaign_Code],tb3_CampaignMaster[Budget_GBP],"")</f>
        <v>10000</v>
      </c>
      <c r="Z75" t="str">
        <f>_xlfn.XLOOKUP(Table8[[#This Row],[Campaign_Code]],tb3_CampaignMaster[Campaign_Code],tb3_CampaignMaster[Primary_Channel],"")</f>
        <v>Telephone</v>
      </c>
      <c r="AA75" s="13">
        <f>IF(Table8[[#This Row],[Gift_Aid_Eligible]]="Yes",Table8[[#This Row],[Gift_Amount]]*1.25,Table8[[#This Row],[Gift_Amount]])</f>
        <v>5224.375</v>
      </c>
      <c r="AB75" t="str">
        <f>IF(Table8[[#This Row],[Supporter_ID]]="","Review - missing supporter ID","")</f>
        <v/>
      </c>
      <c r="AC75" t="str">
        <f>IF(OR(Table8[[#This Row],[Response_Date]]&lt;Table8[[#This Row],[Start_Date]],Table8[[#This Row],[Response_Date]]&gt;Table8[[#This Row],[End_Date]]),"Review - response outside campaign dates","")</f>
        <v/>
      </c>
      <c r="AD75" t="str">
        <f>IF(Table8[[#This Row],[Campaign_Type]]="","Review - campaign code not found","")</f>
        <v/>
      </c>
    </row>
    <row r="76" spans="1:30" x14ac:dyDescent="0.25">
      <c r="A76" t="s">
        <v>3491</v>
      </c>
      <c r="B76" t="s">
        <v>3254</v>
      </c>
      <c r="C76" t="s">
        <v>3336</v>
      </c>
      <c r="D76" t="s">
        <v>3337</v>
      </c>
      <c r="E76" t="s">
        <v>3338</v>
      </c>
      <c r="F76" s="17">
        <v>45565</v>
      </c>
      <c r="G76">
        <v>38.06</v>
      </c>
      <c r="H76" t="s">
        <v>37</v>
      </c>
      <c r="I76" t="s">
        <v>3334</v>
      </c>
      <c r="J76" t="str">
        <f>_xlfn.XLOOKUP(Table8[[#This Row],[Supporter_ID]],tb1_supporters[Supporter_ID ],tb1_supporters[Segment],"")</f>
        <v>Lapsed</v>
      </c>
      <c r="K76" t="str">
        <f>_xlfn.XLOOKUP(Table8[[#This Row],[Supporter_ID]],tb1_supporters[Supporter_ID ],tb1_supporters[Acquisition_Source],"")</f>
        <v>Telephone</v>
      </c>
      <c r="L76" t="str">
        <f>_xlfn.XLOOKUP(Table8[[#This Row],[Supporter_ID]],tb1_supporters[Supporter_ID ],tb1_supporters[County],"")</f>
        <v>Antrim</v>
      </c>
      <c r="M76" t="str">
        <f>_xlfn.XLOOKUP(Table8[[#This Row],[Supporter_ID]],tb1_supporters[Supporter_ID ],tb1_supporters[Gender],"")</f>
        <v>Male</v>
      </c>
      <c r="N76">
        <f ca="1">_xlfn.XLOOKUP(Table8[[#This Row],[Supporter_ID]],tb1_supporters[Supporter_ID ],tb1_supporters[Age],"")</f>
        <v>95</v>
      </c>
      <c r="O76" t="str">
        <f ca="1">_xlfn.XLOOKUP(Table8[[#This Row],[Supporter_ID]],tb1_supporters[Supporter_ID ],tb1_supporters[Age_Band],"")</f>
        <v>65+</v>
      </c>
      <c r="P76" t="str">
        <f ca="1">IF(Table8[[#This Row],[Age_Band]]="","Unknown",Table8[[#This Row],[Age_Band]])</f>
        <v>65+</v>
      </c>
      <c r="Q76" t="str">
        <f>_xlfn.XLOOKUP(Table8[[#This Row],[Supporter_ID]],tb1_supporters[Supporter_ID ],tb1_supporters[Communication_Preference],"")</f>
        <v>No Preference</v>
      </c>
      <c r="R76" t="str">
        <f>_xlfn.XLOOKUP(Table8[[#This Row],[Supporter_ID]],tb1_supporters[Supporter_ID ],tb1_supporters[Duplicate_Profile_Flag],"")</f>
        <v/>
      </c>
      <c r="S76" t="str">
        <f>_xlfn.XLOOKUP(Table8[[#This Row],[Supporter_ID]],tb1_supporters[Supporter_ID ],tb1_supporters[Preference_Compliance_Flag],"")</f>
        <v/>
      </c>
      <c r="T76" t="str">
        <f ca="1">IF(Table8[[#This Row],[Age]]="","Review - missing DOB",IF(Table8[[#This Row],[Age]]&gt;TODAY(),"Review - future DOB",IF(Table8[[#This Row],[Age]]=0,"Review -  potential entry error (age 0)","")))</f>
        <v/>
      </c>
      <c r="U76" t="str">
        <f>_xlfn.XLOOKUP(Table8[[#This Row],[Campaign_Code]],tb3_CampaignMaster[Campaign_Code],tb3_CampaignMaster[Campaign_Type],"")</f>
        <v>Appeal</v>
      </c>
      <c r="V76" t="str">
        <f>_xlfn.XLOOKUP(Table8[[#This Row],[Campaign_Code]],tb3_CampaignMaster[Campaign_Code],tb3_CampaignMaster[Target_Audience],"")</f>
        <v>All Supporters</v>
      </c>
      <c r="W76" s="17">
        <f>_xlfn.XLOOKUP(Table8[[#This Row],[Campaign_Code]],tb3_CampaignMaster[Campaign_Code],tb3_CampaignMaster[Start_Date],"")</f>
        <v>45545</v>
      </c>
      <c r="X76" s="17">
        <f>_xlfn.XLOOKUP(Table8[[#This Row],[Campaign_Code]],tb3_CampaignMaster[Campaign_Code],tb3_CampaignMaster[End_Date],"")</f>
        <v>45580</v>
      </c>
      <c r="Y76">
        <f>_xlfn.XLOOKUP(Table8[[#This Row],[Campaign_Code]],tb3_CampaignMaster[Campaign_Code],tb3_CampaignMaster[Budget_GBP],"")</f>
        <v>15000</v>
      </c>
      <c r="Z76" t="str">
        <f>_xlfn.XLOOKUP(Table8[[#This Row],[Campaign_Code]],tb3_CampaignMaster[Campaign_Code],tb3_CampaignMaster[Primary_Channel],"")</f>
        <v>Email</v>
      </c>
      <c r="AA76" s="13">
        <f>IF(Table8[[#This Row],[Gift_Aid_Eligible]]="Yes",Table8[[#This Row],[Gift_Amount]]*1.25,Table8[[#This Row],[Gift_Amount]])</f>
        <v>38.06</v>
      </c>
      <c r="AB76" t="str">
        <f>IF(Table8[[#This Row],[Supporter_ID]]="","Review - missing supporter ID","")</f>
        <v/>
      </c>
      <c r="AC76" t="str">
        <f>IF(OR(Table8[[#This Row],[Response_Date]]&lt;Table8[[#This Row],[Start_Date]],Table8[[#This Row],[Response_Date]]&gt;Table8[[#This Row],[End_Date]]),"Review - response outside campaign dates","")</f>
        <v/>
      </c>
      <c r="AD76" t="str">
        <f>IF(Table8[[#This Row],[Campaign_Type]]="","Review - campaign code not found","")</f>
        <v/>
      </c>
    </row>
    <row r="77" spans="1:30" x14ac:dyDescent="0.25">
      <c r="A77" t="s">
        <v>3493</v>
      </c>
      <c r="B77" t="s">
        <v>2657</v>
      </c>
      <c r="C77" t="s">
        <v>3362</v>
      </c>
      <c r="D77" t="s">
        <v>3363</v>
      </c>
      <c r="E77" t="s">
        <v>65</v>
      </c>
      <c r="F77" s="17">
        <v>45573</v>
      </c>
      <c r="G77">
        <v>49.08</v>
      </c>
      <c r="H77" t="s">
        <v>36</v>
      </c>
      <c r="I77" t="s">
        <v>3365</v>
      </c>
      <c r="J77" t="str">
        <f>_xlfn.XLOOKUP(Table8[[#This Row],[Supporter_ID]],tb1_supporters[Supporter_ID ],tb1_supporters[Segment],"")</f>
        <v>Regular Giver</v>
      </c>
      <c r="K77" t="str">
        <f>_xlfn.XLOOKUP(Table8[[#This Row],[Supporter_ID]],tb1_supporters[Supporter_ID ],tb1_supporters[Acquisition_Source],"")</f>
        <v>Corporate Partner</v>
      </c>
      <c r="L77" t="str">
        <f>_xlfn.XLOOKUP(Table8[[#This Row],[Supporter_ID]],tb1_supporters[Supporter_ID ],tb1_supporters[County],"")</f>
        <v>Suffolk</v>
      </c>
      <c r="M77" t="str">
        <f>_xlfn.XLOOKUP(Table8[[#This Row],[Supporter_ID]],tb1_supporters[Supporter_ID ],tb1_supporters[Gender],"")</f>
        <v>Male</v>
      </c>
      <c r="N77">
        <f ca="1">_xlfn.XLOOKUP(Table8[[#This Row],[Supporter_ID]],tb1_supporters[Supporter_ID ],tb1_supporters[Age],"")</f>
        <v>61</v>
      </c>
      <c r="O77" t="str">
        <f ca="1">_xlfn.XLOOKUP(Table8[[#This Row],[Supporter_ID]],tb1_supporters[Supporter_ID ],tb1_supporters[Age_Band],"")</f>
        <v>50-64</v>
      </c>
      <c r="P77" t="str">
        <f ca="1">IF(Table8[[#This Row],[Age_Band]]="","Unknown",Table8[[#This Row],[Age_Band]])</f>
        <v>50-64</v>
      </c>
      <c r="Q77" t="str">
        <f>_xlfn.XLOOKUP(Table8[[#This Row],[Supporter_ID]],tb1_supporters[Supporter_ID ],tb1_supporters[Communication_Preference],"")</f>
        <v>No Preference</v>
      </c>
      <c r="R77" t="str">
        <f>_xlfn.XLOOKUP(Table8[[#This Row],[Supporter_ID]],tb1_supporters[Supporter_ID ],tb1_supporters[Duplicate_Profile_Flag],"")</f>
        <v/>
      </c>
      <c r="S77" t="str">
        <f>_xlfn.XLOOKUP(Table8[[#This Row],[Supporter_ID]],tb1_supporters[Supporter_ID ],tb1_supporters[Preference_Compliance_Flag],"")</f>
        <v/>
      </c>
      <c r="T77" t="str">
        <f ca="1">IF(Table8[[#This Row],[Age]]="","Review - missing DOB",IF(Table8[[#This Row],[Age]]&gt;TODAY(),"Review - future DOB",IF(Table8[[#This Row],[Age]]=0,"Review -  potential entry error (age 0)","")))</f>
        <v/>
      </c>
      <c r="U77" t="str">
        <f>_xlfn.XLOOKUP(Table8[[#This Row],[Campaign_Code]],tb3_CampaignMaster[Campaign_Code],tb3_CampaignMaster[Campaign_Type],"")</f>
        <v>Legacy</v>
      </c>
      <c r="V77" t="str">
        <f>_xlfn.XLOOKUP(Table8[[#This Row],[Campaign_Code]],tb3_CampaignMaster[Campaign_Code],tb3_CampaignMaster[Target_Audience],"")</f>
        <v>Over 55s</v>
      </c>
      <c r="W77" s="17">
        <f>_xlfn.XLOOKUP(Table8[[#This Row],[Campaign_Code]],tb3_CampaignMaster[Campaign_Code],tb3_CampaignMaster[Start_Date],"")</f>
        <v>45572</v>
      </c>
      <c r="X77" s="17">
        <f>_xlfn.XLOOKUP(Table8[[#This Row],[Campaign_Code]],tb3_CampaignMaster[Campaign_Code],tb3_CampaignMaster[End_Date],"")</f>
        <v>45578</v>
      </c>
      <c r="Y77">
        <f>_xlfn.XLOOKUP(Table8[[#This Row],[Campaign_Code]],tb3_CampaignMaster[Campaign_Code],tb3_CampaignMaster[Budget_GBP],"")</f>
        <v>5000</v>
      </c>
      <c r="Z77" t="str">
        <f>_xlfn.XLOOKUP(Table8[[#This Row],[Campaign_Code]],tb3_CampaignMaster[Campaign_Code],tb3_CampaignMaster[Primary_Channel],"")</f>
        <v>Direct Mail</v>
      </c>
      <c r="AA77" s="13">
        <f>IF(Table8[[#This Row],[Gift_Aid_Eligible]]="Yes",Table8[[#This Row],[Gift_Amount]]*1.25,Table8[[#This Row],[Gift_Amount]])</f>
        <v>61.349999999999994</v>
      </c>
      <c r="AB77" t="str">
        <f>IF(Table8[[#This Row],[Supporter_ID]]="","Review - missing supporter ID","")</f>
        <v/>
      </c>
      <c r="AC77" t="str">
        <f>IF(OR(Table8[[#This Row],[Response_Date]]&lt;Table8[[#This Row],[Start_Date]],Table8[[#This Row],[Response_Date]]&gt;Table8[[#This Row],[End_Date]]),"Review - response outside campaign dates","")</f>
        <v/>
      </c>
      <c r="AD77" t="str">
        <f>IF(Table8[[#This Row],[Campaign_Type]]="","Review - campaign code not found","")</f>
        <v/>
      </c>
    </row>
    <row r="78" spans="1:30" x14ac:dyDescent="0.25">
      <c r="A78" t="s">
        <v>3495</v>
      </c>
      <c r="B78" t="s">
        <v>1613</v>
      </c>
      <c r="C78" t="s">
        <v>3320</v>
      </c>
      <c r="D78" t="s">
        <v>3321</v>
      </c>
      <c r="E78" t="s">
        <v>4</v>
      </c>
      <c r="F78" s="17">
        <v>45460</v>
      </c>
      <c r="G78">
        <v>33.909999999999997</v>
      </c>
      <c r="H78" t="s">
        <v>36</v>
      </c>
      <c r="I78" t="s">
        <v>3328</v>
      </c>
      <c r="J78" t="str">
        <f>_xlfn.XLOOKUP(Table8[[#This Row],[Supporter_ID]],tb1_supporters[Supporter_ID ],tb1_supporters[Segment],"")</f>
        <v>Lapsed</v>
      </c>
      <c r="K78" t="str">
        <f>_xlfn.XLOOKUP(Table8[[#This Row],[Supporter_ID]],tb1_supporters[Supporter_ID ],tb1_supporters[Acquisition_Source],"")</f>
        <v>Door-To-Door</v>
      </c>
      <c r="L78" t="str">
        <f>_xlfn.XLOOKUP(Table8[[#This Row],[Supporter_ID]],tb1_supporters[Supporter_ID ],tb1_supporters[County],"")</f>
        <v>North Yorkshire</v>
      </c>
      <c r="M78" t="str">
        <f>_xlfn.XLOOKUP(Table8[[#This Row],[Supporter_ID]],tb1_supporters[Supporter_ID ],tb1_supporters[Gender],"")</f>
        <v>Female</v>
      </c>
      <c r="N78">
        <f ca="1">_xlfn.XLOOKUP(Table8[[#This Row],[Supporter_ID]],tb1_supporters[Supporter_ID ],tb1_supporters[Age],"")</f>
        <v>45</v>
      </c>
      <c r="O78" t="str">
        <f ca="1">_xlfn.XLOOKUP(Table8[[#This Row],[Supporter_ID]],tb1_supporters[Supporter_ID ],tb1_supporters[Age_Band],"")</f>
        <v>35-49</v>
      </c>
      <c r="P78" t="str">
        <f ca="1">IF(Table8[[#This Row],[Age_Band]]="","Unknown",Table8[[#This Row],[Age_Band]])</f>
        <v>35-49</v>
      </c>
      <c r="Q78" t="str">
        <f>_xlfn.XLOOKUP(Table8[[#This Row],[Supporter_ID]],tb1_supporters[Supporter_ID ],tb1_supporters[Communication_Preference],"")</f>
        <v>Email</v>
      </c>
      <c r="R78" t="str">
        <f>_xlfn.XLOOKUP(Table8[[#This Row],[Supporter_ID]],tb1_supporters[Supporter_ID ],tb1_supporters[Duplicate_Profile_Flag],"")</f>
        <v/>
      </c>
      <c r="S78" t="str">
        <f>_xlfn.XLOOKUP(Table8[[#This Row],[Supporter_ID]],tb1_supporters[Supporter_ID ],tb1_supporters[Preference_Compliance_Flag],"")</f>
        <v/>
      </c>
      <c r="T78" t="str">
        <f ca="1">IF(Table8[[#This Row],[Age]]="","Review - missing DOB",IF(Table8[[#This Row],[Age]]&gt;TODAY(),"Review - future DOB",IF(Table8[[#This Row],[Age]]=0,"Review -  potential entry error (age 0)","")))</f>
        <v/>
      </c>
      <c r="U78" t="str">
        <f>_xlfn.XLOOKUP(Table8[[#This Row],[Campaign_Code]],tb3_CampaignMaster[Campaign_Code],tb3_CampaignMaster[Campaign_Type],"")</f>
        <v>Stewardship</v>
      </c>
      <c r="V78" t="str">
        <f>_xlfn.XLOOKUP(Table8[[#This Row],[Campaign_Code]],tb3_CampaignMaster[Campaign_Code],tb3_CampaignMaster[Target_Audience],"")</f>
        <v>Major Donors</v>
      </c>
      <c r="W78" s="17">
        <f>_xlfn.XLOOKUP(Table8[[#This Row],[Campaign_Code]],tb3_CampaignMaster[Campaign_Code],tb3_CampaignMaster[Start_Date],"")</f>
        <v>45444</v>
      </c>
      <c r="X78" s="17">
        <f>_xlfn.XLOOKUP(Table8[[#This Row],[Campaign_Code]],tb3_CampaignMaster[Campaign_Code],tb3_CampaignMaster[End_Date],"")</f>
        <v>45473</v>
      </c>
      <c r="Y78">
        <f>_xlfn.XLOOKUP(Table8[[#This Row],[Campaign_Code]],tb3_CampaignMaster[Campaign_Code],tb3_CampaignMaster[Budget_GBP],"")</f>
        <v>7000</v>
      </c>
      <c r="Z78" t="str">
        <f>_xlfn.XLOOKUP(Table8[[#This Row],[Campaign_Code]],tb3_CampaignMaster[Campaign_Code],tb3_CampaignMaster[Primary_Channel],"")</f>
        <v>Direct Mail</v>
      </c>
      <c r="AA78" s="13">
        <f>IF(Table8[[#This Row],[Gift_Aid_Eligible]]="Yes",Table8[[#This Row],[Gift_Amount]]*1.25,Table8[[#This Row],[Gift_Amount]])</f>
        <v>42.387499999999996</v>
      </c>
      <c r="AB78" t="str">
        <f>IF(Table8[[#This Row],[Supporter_ID]]="","Review - missing supporter ID","")</f>
        <v/>
      </c>
      <c r="AC78" t="str">
        <f>IF(OR(Table8[[#This Row],[Response_Date]]&lt;Table8[[#This Row],[Start_Date]],Table8[[#This Row],[Response_Date]]&gt;Table8[[#This Row],[End_Date]]),"Review - response outside campaign dates","")</f>
        <v/>
      </c>
      <c r="AD78" t="str">
        <f>IF(Table8[[#This Row],[Campaign_Type]]="","Review - campaign code not found","")</f>
        <v/>
      </c>
    </row>
    <row r="79" spans="1:30" x14ac:dyDescent="0.25">
      <c r="A79" t="s">
        <v>3497</v>
      </c>
      <c r="B79" t="s">
        <v>1135</v>
      </c>
      <c r="C79" t="s">
        <v>3325</v>
      </c>
      <c r="D79" t="s">
        <v>3326</v>
      </c>
      <c r="E79" t="s">
        <v>4</v>
      </c>
      <c r="F79" s="17">
        <v>45610</v>
      </c>
      <c r="G79">
        <v>78.27</v>
      </c>
      <c r="H79" t="s">
        <v>36</v>
      </c>
      <c r="I79" t="s">
        <v>3370</v>
      </c>
      <c r="J79" t="str">
        <f>_xlfn.XLOOKUP(Table8[[#This Row],[Supporter_ID]],tb1_supporters[Supporter_ID ],tb1_supporters[Segment],"")</f>
        <v>One-Time Donor</v>
      </c>
      <c r="K79" t="str">
        <f>_xlfn.XLOOKUP(Table8[[#This Row],[Supporter_ID]],tb1_supporters[Supporter_ID ],tb1_supporters[Acquisition_Source],"")</f>
        <v>Social Media</v>
      </c>
      <c r="L79" t="str">
        <f>_xlfn.XLOOKUP(Table8[[#This Row],[Supporter_ID]],tb1_supporters[Supporter_ID ],tb1_supporters[County],"")</f>
        <v>Norfolk</v>
      </c>
      <c r="M79" t="str">
        <f>_xlfn.XLOOKUP(Table8[[#This Row],[Supporter_ID]],tb1_supporters[Supporter_ID ],tb1_supporters[Gender],"")</f>
        <v>Male</v>
      </c>
      <c r="N79">
        <f ca="1">_xlfn.XLOOKUP(Table8[[#This Row],[Supporter_ID]],tb1_supporters[Supporter_ID ],tb1_supporters[Age],"")</f>
        <v>61</v>
      </c>
      <c r="O79" t="str">
        <f ca="1">_xlfn.XLOOKUP(Table8[[#This Row],[Supporter_ID]],tb1_supporters[Supporter_ID ],tb1_supporters[Age_Band],"")</f>
        <v>50-64</v>
      </c>
      <c r="P79" t="str">
        <f ca="1">IF(Table8[[#This Row],[Age_Band]]="","Unknown",Table8[[#This Row],[Age_Band]])</f>
        <v>50-64</v>
      </c>
      <c r="Q79" t="str">
        <f>_xlfn.XLOOKUP(Table8[[#This Row],[Supporter_ID]],tb1_supporters[Supporter_ID ],tb1_supporters[Communication_Preference],"")</f>
        <v>Email</v>
      </c>
      <c r="R79" t="str">
        <f>_xlfn.XLOOKUP(Table8[[#This Row],[Supporter_ID]],tb1_supporters[Supporter_ID ],tb1_supporters[Duplicate_Profile_Flag],"")</f>
        <v/>
      </c>
      <c r="S79" t="str">
        <f>_xlfn.XLOOKUP(Table8[[#This Row],[Supporter_ID]],tb1_supporters[Supporter_ID ],tb1_supporters[Preference_Compliance_Flag],"")</f>
        <v/>
      </c>
      <c r="T79" t="str">
        <f ca="1">IF(Table8[[#This Row],[Age]]="","Review - missing DOB",IF(Table8[[#This Row],[Age]]&gt;TODAY(),"Review - future DOB",IF(Table8[[#This Row],[Age]]=0,"Review -  potential entry error (age 0)","")))</f>
        <v/>
      </c>
      <c r="U79" t="str">
        <f>_xlfn.XLOOKUP(Table8[[#This Row],[Campaign_Code]],tb3_CampaignMaster[Campaign_Code],tb3_CampaignMaster[Campaign_Type],"")</f>
        <v>Appeal</v>
      </c>
      <c r="V79" t="str">
        <f>_xlfn.XLOOKUP(Table8[[#This Row],[Campaign_Code]],tb3_CampaignMaster[Campaign_Code],tb3_CampaignMaster[Target_Audience],"")</f>
        <v>All Active</v>
      </c>
      <c r="W79" s="17">
        <f>_xlfn.XLOOKUP(Table8[[#This Row],[Campaign_Code]],tb3_CampaignMaster[Campaign_Code],tb3_CampaignMaster[Start_Date],"")</f>
        <v>45597</v>
      </c>
      <c r="X79" s="17">
        <f>_xlfn.XLOOKUP(Table8[[#This Row],[Campaign_Code]],tb3_CampaignMaster[Campaign_Code],tb3_CampaignMaster[End_Date],"")</f>
        <v>45657</v>
      </c>
      <c r="Y79">
        <f>_xlfn.XLOOKUP(Table8[[#This Row],[Campaign_Code]],tb3_CampaignMaster[Campaign_Code],tb3_CampaignMaster[Budget_GBP],"")</f>
        <v>25000</v>
      </c>
      <c r="Z79" t="str">
        <f>_xlfn.XLOOKUP(Table8[[#This Row],[Campaign_Code]],tb3_CampaignMaster[Campaign_Code],tb3_CampaignMaster[Primary_Channel],"")</f>
        <v>Multi-channel</v>
      </c>
      <c r="AA79" s="13">
        <f>IF(Table8[[#This Row],[Gift_Aid_Eligible]]="Yes",Table8[[#This Row],[Gift_Amount]]*1.25,Table8[[#This Row],[Gift_Amount]])</f>
        <v>97.837499999999991</v>
      </c>
      <c r="AB79" t="str">
        <f>IF(Table8[[#This Row],[Supporter_ID]]="","Review - missing supporter ID","")</f>
        <v/>
      </c>
      <c r="AC79" t="str">
        <f>IF(OR(Table8[[#This Row],[Response_Date]]&lt;Table8[[#This Row],[Start_Date]],Table8[[#This Row],[Response_Date]]&gt;Table8[[#This Row],[End_Date]]),"Review - response outside campaign dates","")</f>
        <v/>
      </c>
      <c r="AD79" t="str">
        <f>IF(Table8[[#This Row],[Campaign_Type]]="","Review - campaign code not found","")</f>
        <v/>
      </c>
    </row>
    <row r="80" spans="1:30" x14ac:dyDescent="0.25">
      <c r="A80" t="s">
        <v>3499</v>
      </c>
      <c r="B80" t="s">
        <v>412</v>
      </c>
      <c r="C80" t="s">
        <v>3341</v>
      </c>
      <c r="D80" t="s">
        <v>3342</v>
      </c>
      <c r="E80" t="s">
        <v>3316</v>
      </c>
      <c r="F80" s="17">
        <v>45770</v>
      </c>
      <c r="G80">
        <v>143.80000000000001</v>
      </c>
      <c r="H80" t="s">
        <v>36</v>
      </c>
      <c r="I80" t="s">
        <v>3318</v>
      </c>
      <c r="J80" t="str">
        <f>_xlfn.XLOOKUP(Table8[[#This Row],[Supporter_ID]],tb1_supporters[Supporter_ID ],tb1_supporters[Segment],"")</f>
        <v>One-Time Donor</v>
      </c>
      <c r="K80" t="str">
        <f>_xlfn.XLOOKUP(Table8[[#This Row],[Supporter_ID]],tb1_supporters[Supporter_ID ],tb1_supporters[Acquisition_Source],"")</f>
        <v>Direct Mail</v>
      </c>
      <c r="L80" t="str">
        <f>_xlfn.XLOOKUP(Table8[[#This Row],[Supporter_ID]],tb1_supporters[Supporter_ID ],tb1_supporters[County],"")</f>
        <v>Hertfordshire</v>
      </c>
      <c r="M80" t="str">
        <f>_xlfn.XLOOKUP(Table8[[#This Row],[Supporter_ID]],tb1_supporters[Supporter_ID ],tb1_supporters[Gender],"")</f>
        <v>Female</v>
      </c>
      <c r="N80">
        <f ca="1">_xlfn.XLOOKUP(Table8[[#This Row],[Supporter_ID]],tb1_supporters[Supporter_ID ],tb1_supporters[Age],"")</f>
        <v>57</v>
      </c>
      <c r="O80" t="str">
        <f ca="1">_xlfn.XLOOKUP(Table8[[#This Row],[Supporter_ID]],tb1_supporters[Supporter_ID ],tb1_supporters[Age_Band],"")</f>
        <v>50-64</v>
      </c>
      <c r="P80" t="str">
        <f ca="1">IF(Table8[[#This Row],[Age_Band]]="","Unknown",Table8[[#This Row],[Age_Band]])</f>
        <v>50-64</v>
      </c>
      <c r="Q80" t="str">
        <f>_xlfn.XLOOKUP(Table8[[#This Row],[Supporter_ID]],tb1_supporters[Supporter_ID ],tb1_supporters[Communication_Preference],"")</f>
        <v>No Preference</v>
      </c>
      <c r="R80" t="str">
        <f>_xlfn.XLOOKUP(Table8[[#This Row],[Supporter_ID]],tb1_supporters[Supporter_ID ],tb1_supporters[Duplicate_Profile_Flag],"")</f>
        <v/>
      </c>
      <c r="S80" t="str">
        <f>_xlfn.XLOOKUP(Table8[[#This Row],[Supporter_ID]],tb1_supporters[Supporter_ID ],tb1_supporters[Preference_Compliance_Flag],"")</f>
        <v/>
      </c>
      <c r="T80" t="str">
        <f ca="1">IF(Table8[[#This Row],[Age]]="","Review - missing DOB",IF(Table8[[#This Row],[Age]]&gt;TODAY(),"Review - future DOB",IF(Table8[[#This Row],[Age]]=0,"Review -  potential entry error (age 0)","")))</f>
        <v/>
      </c>
      <c r="U80" t="str">
        <f>_xlfn.XLOOKUP(Table8[[#This Row],[Campaign_Code]],tb3_CampaignMaster[Campaign_Code],tb3_CampaignMaster[Campaign_Type],"")</f>
        <v>Acquisition</v>
      </c>
      <c r="V80" t="str">
        <f>_xlfn.XLOOKUP(Table8[[#This Row],[Campaign_Code]],tb3_CampaignMaster[Campaign_Code],tb3_CampaignMaster[Target_Audience],"")</f>
        <v>Prospects</v>
      </c>
      <c r="W80" s="17">
        <f>_xlfn.XLOOKUP(Table8[[#This Row],[Campaign_Code]],tb3_CampaignMaster[Campaign_Code],tb3_CampaignMaster[Start_Date],"")</f>
        <v>45689</v>
      </c>
      <c r="X80" s="17">
        <f>_xlfn.XLOOKUP(Table8[[#This Row],[Campaign_Code]],tb3_CampaignMaster[Campaign_Code],tb3_CampaignMaster[End_Date],"")</f>
        <v>45777</v>
      </c>
      <c r="Y80">
        <f>_xlfn.XLOOKUP(Table8[[#This Row],[Campaign_Code]],tb3_CampaignMaster[Campaign_Code],tb3_CampaignMaster[Budget_GBP],"")</f>
        <v>20000</v>
      </c>
      <c r="Z80" t="str">
        <f>_xlfn.XLOOKUP(Table8[[#This Row],[Campaign_Code]],tb3_CampaignMaster[Campaign_Code],tb3_CampaignMaster[Primary_Channel],"")</f>
        <v>Digital</v>
      </c>
      <c r="AA80" s="13">
        <f>IF(Table8[[#This Row],[Gift_Aid_Eligible]]="Yes",Table8[[#This Row],[Gift_Amount]]*1.25,Table8[[#This Row],[Gift_Amount]])</f>
        <v>179.75</v>
      </c>
      <c r="AB80" t="str">
        <f>IF(Table8[[#This Row],[Supporter_ID]]="","Review - missing supporter ID","")</f>
        <v/>
      </c>
      <c r="AC80" t="str">
        <f>IF(OR(Table8[[#This Row],[Response_Date]]&lt;Table8[[#This Row],[Start_Date]],Table8[[#This Row],[Response_Date]]&gt;Table8[[#This Row],[End_Date]]),"Review - response outside campaign dates","")</f>
        <v/>
      </c>
      <c r="AD80" t="str">
        <f>IF(Table8[[#This Row],[Campaign_Type]]="","Review - campaign code not found","")</f>
        <v/>
      </c>
    </row>
    <row r="81" spans="1:30" x14ac:dyDescent="0.25">
      <c r="A81" t="s">
        <v>3501</v>
      </c>
      <c r="B81" t="s">
        <v>613</v>
      </c>
      <c r="C81" t="s">
        <v>3427</v>
      </c>
      <c r="D81" t="s">
        <v>3428</v>
      </c>
      <c r="E81" t="s">
        <v>4</v>
      </c>
      <c r="F81" s="17">
        <v>45488</v>
      </c>
      <c r="G81">
        <v>34.19</v>
      </c>
      <c r="H81" t="s">
        <v>36</v>
      </c>
      <c r="I81" t="s">
        <v>3365</v>
      </c>
      <c r="J81" t="str">
        <f>_xlfn.XLOOKUP(Table8[[#This Row],[Supporter_ID]],tb1_supporters[Supporter_ID ],tb1_supporters[Segment],"")</f>
        <v>Lapsed</v>
      </c>
      <c r="K81" t="str">
        <f>_xlfn.XLOOKUP(Table8[[#This Row],[Supporter_ID]],tb1_supporters[Supporter_ID ],tb1_supporters[Acquisition_Source],"")</f>
        <v>Social Media</v>
      </c>
      <c r="L81" t="str">
        <f>_xlfn.XLOOKUP(Table8[[#This Row],[Supporter_ID]],tb1_supporters[Supporter_ID ],tb1_supporters[County],"")</f>
        <v>Wiltshire</v>
      </c>
      <c r="M81" t="str">
        <f>_xlfn.XLOOKUP(Table8[[#This Row],[Supporter_ID]],tb1_supporters[Supporter_ID ],tb1_supporters[Gender],"")</f>
        <v>Female</v>
      </c>
      <c r="N81">
        <f ca="1">_xlfn.XLOOKUP(Table8[[#This Row],[Supporter_ID]],tb1_supporters[Supporter_ID ],tb1_supporters[Age],"")</f>
        <v>50</v>
      </c>
      <c r="O81" t="str">
        <f ca="1">_xlfn.XLOOKUP(Table8[[#This Row],[Supporter_ID]],tb1_supporters[Supporter_ID ],tb1_supporters[Age_Band],"")</f>
        <v>50-64</v>
      </c>
      <c r="P81" t="str">
        <f ca="1">IF(Table8[[#This Row],[Age_Band]]="","Unknown",Table8[[#This Row],[Age_Band]])</f>
        <v>50-64</v>
      </c>
      <c r="Q81" t="str">
        <f>_xlfn.XLOOKUP(Table8[[#This Row],[Supporter_ID]],tb1_supporters[Supporter_ID ],tb1_supporters[Communication_Preference],"")</f>
        <v>Phone</v>
      </c>
      <c r="R81" t="str">
        <f>_xlfn.XLOOKUP(Table8[[#This Row],[Supporter_ID]],tb1_supporters[Supporter_ID ],tb1_supporters[Duplicate_Profile_Flag],"")</f>
        <v/>
      </c>
      <c r="S81" t="str">
        <f>_xlfn.XLOOKUP(Table8[[#This Row],[Supporter_ID]],tb1_supporters[Supporter_ID ],tb1_supporters[Preference_Compliance_Flag],"")</f>
        <v>Review - prefers phone but not opted in</v>
      </c>
      <c r="T81" t="str">
        <f ca="1">IF(Table8[[#This Row],[Age]]="","Review - missing DOB",IF(Table8[[#This Row],[Age]]&gt;TODAY(),"Review - future DOB",IF(Table8[[#This Row],[Age]]=0,"Review -  potential entry error (age 0)","")))</f>
        <v/>
      </c>
      <c r="U81" t="str">
        <f>_xlfn.XLOOKUP(Table8[[#This Row],[Campaign_Code]],tb3_CampaignMaster[Campaign_Code],tb3_CampaignMaster[Campaign_Type],"")</f>
        <v>Event</v>
      </c>
      <c r="V81" t="str">
        <f>_xlfn.XLOOKUP(Table8[[#This Row],[Campaign_Code]],tb3_CampaignMaster[Campaign_Code],tb3_CampaignMaster[Target_Audience],"")</f>
        <v>Major Donors</v>
      </c>
      <c r="W81" s="17">
        <f>_xlfn.XLOOKUP(Table8[[#This Row],[Campaign_Code]],tb3_CampaignMaster[Campaign_Code],tb3_CampaignMaster[Start_Date],"")</f>
        <v>45488</v>
      </c>
      <c r="X81" s="17">
        <f>_xlfn.XLOOKUP(Table8[[#This Row],[Campaign_Code]],tb3_CampaignMaster[Campaign_Code],tb3_CampaignMaster[End_Date],"")</f>
        <v>45488</v>
      </c>
      <c r="Y81">
        <f>_xlfn.XLOOKUP(Table8[[#This Row],[Campaign_Code]],tb3_CampaignMaster[Campaign_Code],tb3_CampaignMaster[Budget_GBP],"")</f>
        <v>45000</v>
      </c>
      <c r="Z81" t="str">
        <f>_xlfn.XLOOKUP(Table8[[#This Row],[Campaign_Code]],tb3_CampaignMaster[Campaign_Code],tb3_CampaignMaster[Primary_Channel],"")</f>
        <v>Direct Mail</v>
      </c>
      <c r="AA81" s="13">
        <f>IF(Table8[[#This Row],[Gift_Aid_Eligible]]="Yes",Table8[[#This Row],[Gift_Amount]]*1.25,Table8[[#This Row],[Gift_Amount]])</f>
        <v>42.737499999999997</v>
      </c>
      <c r="AB81" t="str">
        <f>IF(Table8[[#This Row],[Supporter_ID]]="","Review - missing supporter ID","")</f>
        <v/>
      </c>
      <c r="AC81" t="str">
        <f>IF(OR(Table8[[#This Row],[Response_Date]]&lt;Table8[[#This Row],[Start_Date]],Table8[[#This Row],[Response_Date]]&gt;Table8[[#This Row],[End_Date]]),"Review - response outside campaign dates","")</f>
        <v/>
      </c>
      <c r="AD81" t="str">
        <f>IF(Table8[[#This Row],[Campaign_Type]]="","Review - campaign code not found","")</f>
        <v/>
      </c>
    </row>
    <row r="82" spans="1:30" x14ac:dyDescent="0.25">
      <c r="A82" t="s">
        <v>3502</v>
      </c>
      <c r="B82" t="s">
        <v>2870</v>
      </c>
      <c r="C82" t="s">
        <v>3427</v>
      </c>
      <c r="D82" t="s">
        <v>3428</v>
      </c>
      <c r="E82" t="s">
        <v>65</v>
      </c>
      <c r="F82" s="17">
        <v>45488</v>
      </c>
      <c r="G82">
        <v>93.77</v>
      </c>
      <c r="H82" t="s">
        <v>36</v>
      </c>
      <c r="I82" t="s">
        <v>3323</v>
      </c>
      <c r="J82" t="str">
        <f>_xlfn.XLOOKUP(Table8[[#This Row],[Supporter_ID]],tb1_supporters[Supporter_ID ],tb1_supporters[Segment],"")</f>
        <v>One-Time Donor</v>
      </c>
      <c r="K82" t="str">
        <f>_xlfn.XLOOKUP(Table8[[#This Row],[Supporter_ID]],tb1_supporters[Supporter_ID ],tb1_supporters[Acquisition_Source],"")</f>
        <v>Website</v>
      </c>
      <c r="L82" t="str">
        <f>_xlfn.XLOOKUP(Table8[[#This Row],[Supporter_ID]],tb1_supporters[Supporter_ID ],tb1_supporters[County],"")</f>
        <v>Suffolk</v>
      </c>
      <c r="M82" t="str">
        <f>_xlfn.XLOOKUP(Table8[[#This Row],[Supporter_ID]],tb1_supporters[Supporter_ID ],tb1_supporters[Gender],"")</f>
        <v>Female</v>
      </c>
      <c r="N82">
        <f ca="1">_xlfn.XLOOKUP(Table8[[#This Row],[Supporter_ID]],tb1_supporters[Supporter_ID ],tb1_supporters[Age],"")</f>
        <v>0</v>
      </c>
      <c r="O82" t="str">
        <f ca="1">_xlfn.XLOOKUP(Table8[[#This Row],[Supporter_ID]],tb1_supporters[Supporter_ID ],tb1_supporters[Age_Band],"")</f>
        <v>Under 18</v>
      </c>
      <c r="P82" t="str">
        <f ca="1">IF(Table8[[#This Row],[Age_Band]]="","Unknown",Table8[[#This Row],[Age_Band]])</f>
        <v>Under 18</v>
      </c>
      <c r="Q82" t="str">
        <f>_xlfn.XLOOKUP(Table8[[#This Row],[Supporter_ID]],tb1_supporters[Supporter_ID ],tb1_supporters[Communication_Preference],"")</f>
        <v>No Preference</v>
      </c>
      <c r="R82" t="str">
        <f>_xlfn.XLOOKUP(Table8[[#This Row],[Supporter_ID]],tb1_supporters[Supporter_ID ],tb1_supporters[Duplicate_Profile_Flag],"")</f>
        <v/>
      </c>
      <c r="S82" t="str">
        <f>_xlfn.XLOOKUP(Table8[[#This Row],[Supporter_ID]],tb1_supporters[Supporter_ID ],tb1_supporters[Preference_Compliance_Flag],"")</f>
        <v/>
      </c>
      <c r="T82" t="str">
        <f ca="1">IF(Table8[[#This Row],[Age]]="","Review - missing DOB",IF(Table8[[#This Row],[Age]]&gt;TODAY(),"Review - future DOB",IF(Table8[[#This Row],[Age]]=0,"Review -  potential entry error (age 0)","")))</f>
        <v>Review -  potential entry error (age 0)</v>
      </c>
      <c r="U82" t="str">
        <f>_xlfn.XLOOKUP(Table8[[#This Row],[Campaign_Code]],tb3_CampaignMaster[Campaign_Code],tb3_CampaignMaster[Campaign_Type],"")</f>
        <v>Event</v>
      </c>
      <c r="V82" t="str">
        <f>_xlfn.XLOOKUP(Table8[[#This Row],[Campaign_Code]],tb3_CampaignMaster[Campaign_Code],tb3_CampaignMaster[Target_Audience],"")</f>
        <v>Major Donors</v>
      </c>
      <c r="W82" s="17">
        <f>_xlfn.XLOOKUP(Table8[[#This Row],[Campaign_Code]],tb3_CampaignMaster[Campaign_Code],tb3_CampaignMaster[Start_Date],"")</f>
        <v>45488</v>
      </c>
      <c r="X82" s="17">
        <f>_xlfn.XLOOKUP(Table8[[#This Row],[Campaign_Code]],tb3_CampaignMaster[Campaign_Code],tb3_CampaignMaster[End_Date],"")</f>
        <v>45488</v>
      </c>
      <c r="Y82">
        <f>_xlfn.XLOOKUP(Table8[[#This Row],[Campaign_Code]],tb3_CampaignMaster[Campaign_Code],tb3_CampaignMaster[Budget_GBP],"")</f>
        <v>45000</v>
      </c>
      <c r="Z82" t="str">
        <f>_xlfn.XLOOKUP(Table8[[#This Row],[Campaign_Code]],tb3_CampaignMaster[Campaign_Code],tb3_CampaignMaster[Primary_Channel],"")</f>
        <v>Direct Mail</v>
      </c>
      <c r="AA82" s="13">
        <f>IF(Table8[[#This Row],[Gift_Aid_Eligible]]="Yes",Table8[[#This Row],[Gift_Amount]]*1.25,Table8[[#This Row],[Gift_Amount]])</f>
        <v>117.21249999999999</v>
      </c>
      <c r="AB82" t="str">
        <f>IF(Table8[[#This Row],[Supporter_ID]]="","Review - missing supporter ID","")</f>
        <v/>
      </c>
      <c r="AC82" t="str">
        <f>IF(OR(Table8[[#This Row],[Response_Date]]&lt;Table8[[#This Row],[Start_Date]],Table8[[#This Row],[Response_Date]]&gt;Table8[[#This Row],[End_Date]]),"Review - response outside campaign dates","")</f>
        <v/>
      </c>
      <c r="AD82" t="str">
        <f>IF(Table8[[#This Row],[Campaign_Type]]="","Review - campaign code not found","")</f>
        <v/>
      </c>
    </row>
    <row r="83" spans="1:30" x14ac:dyDescent="0.25">
      <c r="A83" t="s">
        <v>3503</v>
      </c>
      <c r="B83" t="s">
        <v>2609</v>
      </c>
      <c r="C83" t="s">
        <v>3336</v>
      </c>
      <c r="D83" t="s">
        <v>3337</v>
      </c>
      <c r="E83" t="s">
        <v>65</v>
      </c>
      <c r="F83" s="17">
        <v>45553</v>
      </c>
      <c r="G83">
        <v>27.4</v>
      </c>
      <c r="H83" t="s">
        <v>36</v>
      </c>
      <c r="I83" t="s">
        <v>3318</v>
      </c>
      <c r="J83" t="str">
        <f>_xlfn.XLOOKUP(Table8[[#This Row],[Supporter_ID]],tb1_supporters[Supporter_ID ],tb1_supporters[Segment],"")</f>
        <v>Prospect</v>
      </c>
      <c r="K83" t="str">
        <f>_xlfn.XLOOKUP(Table8[[#This Row],[Supporter_ID]],tb1_supporters[Supporter_ID ],tb1_supporters[Acquisition_Source],"")</f>
        <v>Website</v>
      </c>
      <c r="L83" t="str">
        <f>_xlfn.XLOOKUP(Table8[[#This Row],[Supporter_ID]],tb1_supporters[Supporter_ID ],tb1_supporters[County],"")</f>
        <v>West Yorkshire</v>
      </c>
      <c r="M83" t="str">
        <f>_xlfn.XLOOKUP(Table8[[#This Row],[Supporter_ID]],tb1_supporters[Supporter_ID ],tb1_supporters[Gender],"")</f>
        <v>Female</v>
      </c>
      <c r="N83">
        <f ca="1">_xlfn.XLOOKUP(Table8[[#This Row],[Supporter_ID]],tb1_supporters[Supporter_ID ],tb1_supporters[Age],"")</f>
        <v>69</v>
      </c>
      <c r="O83" t="str">
        <f ca="1">_xlfn.XLOOKUP(Table8[[#This Row],[Supporter_ID]],tb1_supporters[Supporter_ID ],tb1_supporters[Age_Band],"")</f>
        <v>65+</v>
      </c>
      <c r="P83" t="str">
        <f ca="1">IF(Table8[[#This Row],[Age_Band]]="","Unknown",Table8[[#This Row],[Age_Band]])</f>
        <v>65+</v>
      </c>
      <c r="Q83" t="str">
        <f>_xlfn.XLOOKUP(Table8[[#This Row],[Supporter_ID]],tb1_supporters[Supporter_ID ],tb1_supporters[Communication_Preference],"")</f>
        <v>Post</v>
      </c>
      <c r="R83" t="str">
        <f>_xlfn.XLOOKUP(Table8[[#This Row],[Supporter_ID]],tb1_supporters[Supporter_ID ],tb1_supporters[Duplicate_Profile_Flag],"")</f>
        <v/>
      </c>
      <c r="S83" t="str">
        <f>_xlfn.XLOOKUP(Table8[[#This Row],[Supporter_ID]],tb1_supporters[Supporter_ID ],tb1_supporters[Preference_Compliance_Flag],"")</f>
        <v/>
      </c>
      <c r="T83" t="str">
        <f ca="1">IF(Table8[[#This Row],[Age]]="","Review - missing DOB",IF(Table8[[#This Row],[Age]]&gt;TODAY(),"Review - future DOB",IF(Table8[[#This Row],[Age]]=0,"Review -  potential entry error (age 0)","")))</f>
        <v/>
      </c>
      <c r="U83" t="str">
        <f>_xlfn.XLOOKUP(Table8[[#This Row],[Campaign_Code]],tb3_CampaignMaster[Campaign_Code],tb3_CampaignMaster[Campaign_Type],"")</f>
        <v>Appeal</v>
      </c>
      <c r="V83" t="str">
        <f>_xlfn.XLOOKUP(Table8[[#This Row],[Campaign_Code]],tb3_CampaignMaster[Campaign_Code],tb3_CampaignMaster[Target_Audience],"")</f>
        <v>All Supporters</v>
      </c>
      <c r="W83" s="17">
        <f>_xlfn.XLOOKUP(Table8[[#This Row],[Campaign_Code]],tb3_CampaignMaster[Campaign_Code],tb3_CampaignMaster[Start_Date],"")</f>
        <v>45545</v>
      </c>
      <c r="X83" s="17">
        <f>_xlfn.XLOOKUP(Table8[[#This Row],[Campaign_Code]],tb3_CampaignMaster[Campaign_Code],tb3_CampaignMaster[End_Date],"")</f>
        <v>45580</v>
      </c>
      <c r="Y83">
        <f>_xlfn.XLOOKUP(Table8[[#This Row],[Campaign_Code]],tb3_CampaignMaster[Campaign_Code],tb3_CampaignMaster[Budget_GBP],"")</f>
        <v>15000</v>
      </c>
      <c r="Z83" t="str">
        <f>_xlfn.XLOOKUP(Table8[[#This Row],[Campaign_Code]],tb3_CampaignMaster[Campaign_Code],tb3_CampaignMaster[Primary_Channel],"")</f>
        <v>Email</v>
      </c>
      <c r="AA83" s="13">
        <f>IF(Table8[[#This Row],[Gift_Aid_Eligible]]="Yes",Table8[[#This Row],[Gift_Amount]]*1.25,Table8[[#This Row],[Gift_Amount]])</f>
        <v>34.25</v>
      </c>
      <c r="AB83" t="str">
        <f>IF(Table8[[#This Row],[Supporter_ID]]="","Review - missing supporter ID","")</f>
        <v/>
      </c>
      <c r="AC83" t="str">
        <f>IF(OR(Table8[[#This Row],[Response_Date]]&lt;Table8[[#This Row],[Start_Date]],Table8[[#This Row],[Response_Date]]&gt;Table8[[#This Row],[End_Date]]),"Review - response outside campaign dates","")</f>
        <v/>
      </c>
      <c r="AD83" t="str">
        <f>IF(Table8[[#This Row],[Campaign_Type]]="","Review - campaign code not found","")</f>
        <v/>
      </c>
    </row>
    <row r="84" spans="1:30" x14ac:dyDescent="0.25">
      <c r="A84" t="s">
        <v>3505</v>
      </c>
      <c r="B84" t="s">
        <v>2439</v>
      </c>
      <c r="C84" t="s">
        <v>3320</v>
      </c>
      <c r="D84" t="s">
        <v>3321</v>
      </c>
      <c r="E84" t="s">
        <v>4</v>
      </c>
      <c r="F84" s="17">
        <v>45463</v>
      </c>
      <c r="G84">
        <v>138.93</v>
      </c>
      <c r="H84" t="s">
        <v>36</v>
      </c>
      <c r="I84" t="s">
        <v>3370</v>
      </c>
      <c r="J84" t="str">
        <f>_xlfn.XLOOKUP(Table8[[#This Row],[Supporter_ID]],tb1_supporters[Supporter_ID ],tb1_supporters[Segment],"")</f>
        <v>Mid-Value</v>
      </c>
      <c r="K84" t="str">
        <f>_xlfn.XLOOKUP(Table8[[#This Row],[Supporter_ID]],tb1_supporters[Supporter_ID ],tb1_supporters[Acquisition_Source],"")</f>
        <v>Website</v>
      </c>
      <c r="L84" t="str">
        <f>_xlfn.XLOOKUP(Table8[[#This Row],[Supporter_ID]],tb1_supporters[Supporter_ID ],tb1_supporters[County],"")</f>
        <v>Devon</v>
      </c>
      <c r="M84" t="str">
        <f>_xlfn.XLOOKUP(Table8[[#This Row],[Supporter_ID]],tb1_supporters[Supporter_ID ],tb1_supporters[Gender],"")</f>
        <v>Male</v>
      </c>
      <c r="N84">
        <f ca="1">_xlfn.XLOOKUP(Table8[[#This Row],[Supporter_ID]],tb1_supporters[Supporter_ID ],tb1_supporters[Age],"")</f>
        <v>41</v>
      </c>
      <c r="O84" t="str">
        <f ca="1">_xlfn.XLOOKUP(Table8[[#This Row],[Supporter_ID]],tb1_supporters[Supporter_ID ],tb1_supporters[Age_Band],"")</f>
        <v>35-49</v>
      </c>
      <c r="P84" t="str">
        <f ca="1">IF(Table8[[#This Row],[Age_Band]]="","Unknown",Table8[[#This Row],[Age_Band]])</f>
        <v>35-49</v>
      </c>
      <c r="Q84" t="str">
        <f>_xlfn.XLOOKUP(Table8[[#This Row],[Supporter_ID]],tb1_supporters[Supporter_ID ],tb1_supporters[Communication_Preference],"")</f>
        <v>Email</v>
      </c>
      <c r="R84" t="str">
        <f>_xlfn.XLOOKUP(Table8[[#This Row],[Supporter_ID]],tb1_supporters[Supporter_ID ],tb1_supporters[Duplicate_Profile_Flag],"")</f>
        <v/>
      </c>
      <c r="S84" t="str">
        <f>_xlfn.XLOOKUP(Table8[[#This Row],[Supporter_ID]],tb1_supporters[Supporter_ID ],tb1_supporters[Preference_Compliance_Flag],"")</f>
        <v>Review - prefers email but not opted in</v>
      </c>
      <c r="T84" t="str">
        <f ca="1">IF(Table8[[#This Row],[Age]]="","Review - missing DOB",IF(Table8[[#This Row],[Age]]&gt;TODAY(),"Review - future DOB",IF(Table8[[#This Row],[Age]]=0,"Review -  potential entry error (age 0)","")))</f>
        <v/>
      </c>
      <c r="U84" t="str">
        <f>_xlfn.XLOOKUP(Table8[[#This Row],[Campaign_Code]],tb3_CampaignMaster[Campaign_Code],tb3_CampaignMaster[Campaign_Type],"")</f>
        <v>Stewardship</v>
      </c>
      <c r="V84" t="str">
        <f>_xlfn.XLOOKUP(Table8[[#This Row],[Campaign_Code]],tb3_CampaignMaster[Campaign_Code],tb3_CampaignMaster[Target_Audience],"")</f>
        <v>Major Donors</v>
      </c>
      <c r="W84" s="17">
        <f>_xlfn.XLOOKUP(Table8[[#This Row],[Campaign_Code]],tb3_CampaignMaster[Campaign_Code],tb3_CampaignMaster[Start_Date],"")</f>
        <v>45444</v>
      </c>
      <c r="X84" s="17">
        <f>_xlfn.XLOOKUP(Table8[[#This Row],[Campaign_Code]],tb3_CampaignMaster[Campaign_Code],tb3_CampaignMaster[End_Date],"")</f>
        <v>45473</v>
      </c>
      <c r="Y84">
        <f>_xlfn.XLOOKUP(Table8[[#This Row],[Campaign_Code]],tb3_CampaignMaster[Campaign_Code],tb3_CampaignMaster[Budget_GBP],"")</f>
        <v>7000</v>
      </c>
      <c r="Z84" t="str">
        <f>_xlfn.XLOOKUP(Table8[[#This Row],[Campaign_Code]],tb3_CampaignMaster[Campaign_Code],tb3_CampaignMaster[Primary_Channel],"")</f>
        <v>Direct Mail</v>
      </c>
      <c r="AA84" s="13">
        <f>IF(Table8[[#This Row],[Gift_Aid_Eligible]]="Yes",Table8[[#This Row],[Gift_Amount]]*1.25,Table8[[#This Row],[Gift_Amount]])</f>
        <v>173.66250000000002</v>
      </c>
      <c r="AB84" t="str">
        <f>IF(Table8[[#This Row],[Supporter_ID]]="","Review - missing supporter ID","")</f>
        <v/>
      </c>
      <c r="AC84" t="str">
        <f>IF(OR(Table8[[#This Row],[Response_Date]]&lt;Table8[[#This Row],[Start_Date]],Table8[[#This Row],[Response_Date]]&gt;Table8[[#This Row],[End_Date]]),"Review - response outside campaign dates","")</f>
        <v/>
      </c>
      <c r="AD84" t="str">
        <f>IF(Table8[[#This Row],[Campaign_Type]]="","Review - campaign code not found","")</f>
        <v/>
      </c>
    </row>
    <row r="85" spans="1:30" x14ac:dyDescent="0.25">
      <c r="A85" t="s">
        <v>3507</v>
      </c>
      <c r="B85" t="s">
        <v>212</v>
      </c>
      <c r="C85" t="s">
        <v>3367</v>
      </c>
      <c r="D85" t="s">
        <v>3368</v>
      </c>
      <c r="E85" t="s">
        <v>4</v>
      </c>
      <c r="F85" s="17">
        <v>45741</v>
      </c>
      <c r="G85">
        <v>21.69</v>
      </c>
      <c r="H85" t="s">
        <v>37</v>
      </c>
      <c r="I85" t="s">
        <v>3334</v>
      </c>
      <c r="J85" t="str">
        <f>_xlfn.XLOOKUP(Table8[[#This Row],[Supporter_ID]],tb1_supporters[Supporter_ID ],tb1_supporters[Segment],"")</f>
        <v>Prospect</v>
      </c>
      <c r="K85" t="str">
        <f>_xlfn.XLOOKUP(Table8[[#This Row],[Supporter_ID]],tb1_supporters[Supporter_ID ],tb1_supporters[Acquisition_Source],"")</f>
        <v>Social Media</v>
      </c>
      <c r="L85" t="str">
        <f>_xlfn.XLOOKUP(Table8[[#This Row],[Supporter_ID]],tb1_supporters[Supporter_ID ],tb1_supporters[County],"")</f>
        <v>Devon</v>
      </c>
      <c r="M85" t="str">
        <f>_xlfn.XLOOKUP(Table8[[#This Row],[Supporter_ID]],tb1_supporters[Supporter_ID ],tb1_supporters[Gender],"")</f>
        <v>Male</v>
      </c>
      <c r="N85">
        <f ca="1">_xlfn.XLOOKUP(Table8[[#This Row],[Supporter_ID]],tb1_supporters[Supporter_ID ],tb1_supporters[Age],"")</f>
        <v>0</v>
      </c>
      <c r="O85" t="str">
        <f ca="1">_xlfn.XLOOKUP(Table8[[#This Row],[Supporter_ID]],tb1_supporters[Supporter_ID ],tb1_supporters[Age_Band],"")</f>
        <v>Under 18</v>
      </c>
      <c r="P85" t="str">
        <f ca="1">IF(Table8[[#This Row],[Age_Band]]="","Unknown",Table8[[#This Row],[Age_Band]])</f>
        <v>Under 18</v>
      </c>
      <c r="Q85" t="str">
        <f>_xlfn.XLOOKUP(Table8[[#This Row],[Supporter_ID]],tb1_supporters[Supporter_ID ],tb1_supporters[Communication_Preference],"")</f>
        <v>Email</v>
      </c>
      <c r="R85" t="str">
        <f>_xlfn.XLOOKUP(Table8[[#This Row],[Supporter_ID]],tb1_supporters[Supporter_ID ],tb1_supporters[Duplicate_Profile_Flag],"")</f>
        <v/>
      </c>
      <c r="S85" t="str">
        <f>_xlfn.XLOOKUP(Table8[[#This Row],[Supporter_ID]],tb1_supporters[Supporter_ID ],tb1_supporters[Preference_Compliance_Flag],"")</f>
        <v/>
      </c>
      <c r="T85" t="str">
        <f ca="1">IF(Table8[[#This Row],[Age]]="","Review - missing DOB",IF(Table8[[#This Row],[Age]]&gt;TODAY(),"Review - future DOB",IF(Table8[[#This Row],[Age]]=0,"Review -  potential entry error (age 0)","")))</f>
        <v>Review -  potential entry error (age 0)</v>
      </c>
      <c r="U85" t="str">
        <f>_xlfn.XLOOKUP(Table8[[#This Row],[Campaign_Code]],tb3_CampaignMaster[Campaign_Code],tb3_CampaignMaster[Campaign_Type],"")</f>
        <v>Raffle</v>
      </c>
      <c r="V85" t="str">
        <f>_xlfn.XLOOKUP(Table8[[#This Row],[Campaign_Code]],tb3_CampaignMaster[Campaign_Code],tb3_CampaignMaster[Target_Audience],"")</f>
        <v>Regular Givers</v>
      </c>
      <c r="W85" s="17">
        <f>_xlfn.XLOOKUP(Table8[[#This Row],[Campaign_Code]],tb3_CampaignMaster[Campaign_Code],tb3_CampaignMaster[Start_Date],"")</f>
        <v>45717</v>
      </c>
      <c r="X85" s="17">
        <f>_xlfn.XLOOKUP(Table8[[#This Row],[Campaign_Code]],tb3_CampaignMaster[Campaign_Code],tb3_CampaignMaster[End_Date],"")</f>
        <v>45777</v>
      </c>
      <c r="Y85">
        <f>_xlfn.XLOOKUP(Table8[[#This Row],[Campaign_Code]],tb3_CampaignMaster[Campaign_Code],tb3_CampaignMaster[Budget_GBP],"")</f>
        <v>8000</v>
      </c>
      <c r="Z85" t="str">
        <f>_xlfn.XLOOKUP(Table8[[#This Row],[Campaign_Code]],tb3_CampaignMaster[Campaign_Code],tb3_CampaignMaster[Primary_Channel],"")</f>
        <v>Direct Mail</v>
      </c>
      <c r="AA85" s="13">
        <f>IF(Table8[[#This Row],[Gift_Aid_Eligible]]="Yes",Table8[[#This Row],[Gift_Amount]]*1.25,Table8[[#This Row],[Gift_Amount]])</f>
        <v>21.69</v>
      </c>
      <c r="AB85" t="str">
        <f>IF(Table8[[#This Row],[Supporter_ID]]="","Review - missing supporter ID","")</f>
        <v/>
      </c>
      <c r="AC85" t="str">
        <f>IF(OR(Table8[[#This Row],[Response_Date]]&lt;Table8[[#This Row],[Start_Date]],Table8[[#This Row],[Response_Date]]&gt;Table8[[#This Row],[End_Date]]),"Review - response outside campaign dates","")</f>
        <v/>
      </c>
      <c r="AD85" t="str">
        <f>IF(Table8[[#This Row],[Campaign_Type]]="","Review - campaign code not found","")</f>
        <v/>
      </c>
    </row>
    <row r="86" spans="1:30" x14ac:dyDescent="0.25">
      <c r="A86" t="s">
        <v>3509</v>
      </c>
      <c r="B86" t="s">
        <v>1872</v>
      </c>
      <c r="C86" t="s">
        <v>3341</v>
      </c>
      <c r="D86" t="s">
        <v>3342</v>
      </c>
      <c r="E86" t="s">
        <v>91</v>
      </c>
      <c r="F86" s="17">
        <v>45751</v>
      </c>
      <c r="G86">
        <v>507.16</v>
      </c>
      <c r="H86" t="s">
        <v>36</v>
      </c>
      <c r="I86" t="s">
        <v>3323</v>
      </c>
      <c r="J86" t="str">
        <f>_xlfn.XLOOKUP(Table8[[#This Row],[Supporter_ID]],tb1_supporters[Supporter_ID ],tb1_supporters[Segment],"")</f>
        <v>Major Donor</v>
      </c>
      <c r="K86" t="str">
        <f>_xlfn.XLOOKUP(Table8[[#This Row],[Supporter_ID]],tb1_supporters[Supporter_ID ],tb1_supporters[Acquisition_Source],"")</f>
        <v>Social Media</v>
      </c>
      <c r="L86" t="str">
        <f>_xlfn.XLOOKUP(Table8[[#This Row],[Supporter_ID]],tb1_supporters[Supporter_ID ],tb1_supporters[County],"")</f>
        <v>Berkshire</v>
      </c>
      <c r="M86" t="str">
        <f>_xlfn.XLOOKUP(Table8[[#This Row],[Supporter_ID]],tb1_supporters[Supporter_ID ],tb1_supporters[Gender],"")</f>
        <v>Female</v>
      </c>
      <c r="N86">
        <f ca="1">_xlfn.XLOOKUP(Table8[[#This Row],[Supporter_ID]],tb1_supporters[Supporter_ID ],tb1_supporters[Age],"")</f>
        <v>32</v>
      </c>
      <c r="O86" t="str">
        <f ca="1">_xlfn.XLOOKUP(Table8[[#This Row],[Supporter_ID]],tb1_supporters[Supporter_ID ],tb1_supporters[Age_Band],"")</f>
        <v>18-34</v>
      </c>
      <c r="P86" t="str">
        <f ca="1">IF(Table8[[#This Row],[Age_Band]]="","Unknown",Table8[[#This Row],[Age_Band]])</f>
        <v>18-34</v>
      </c>
      <c r="Q86" t="str">
        <f>_xlfn.XLOOKUP(Table8[[#This Row],[Supporter_ID]],tb1_supporters[Supporter_ID ],tb1_supporters[Communication_Preference],"")</f>
        <v>Post</v>
      </c>
      <c r="R86" t="str">
        <f>_xlfn.XLOOKUP(Table8[[#This Row],[Supporter_ID]],tb1_supporters[Supporter_ID ],tb1_supporters[Duplicate_Profile_Flag],"")</f>
        <v/>
      </c>
      <c r="S86" t="str">
        <f>_xlfn.XLOOKUP(Table8[[#This Row],[Supporter_ID]],tb1_supporters[Supporter_ID ],tb1_supporters[Preference_Compliance_Flag],"")</f>
        <v/>
      </c>
      <c r="T86" t="str">
        <f ca="1">IF(Table8[[#This Row],[Age]]="","Review - missing DOB",IF(Table8[[#This Row],[Age]]&gt;TODAY(),"Review - future DOB",IF(Table8[[#This Row],[Age]]=0,"Review -  potential entry error (age 0)","")))</f>
        <v/>
      </c>
      <c r="U86" t="str">
        <f>_xlfn.XLOOKUP(Table8[[#This Row],[Campaign_Code]],tb3_CampaignMaster[Campaign_Code],tb3_CampaignMaster[Campaign_Type],"")</f>
        <v>Acquisition</v>
      </c>
      <c r="V86" t="str">
        <f>_xlfn.XLOOKUP(Table8[[#This Row],[Campaign_Code]],tb3_CampaignMaster[Campaign_Code],tb3_CampaignMaster[Target_Audience],"")</f>
        <v>Prospects</v>
      </c>
      <c r="W86" s="17">
        <f>_xlfn.XLOOKUP(Table8[[#This Row],[Campaign_Code]],tb3_CampaignMaster[Campaign_Code],tb3_CampaignMaster[Start_Date],"")</f>
        <v>45689</v>
      </c>
      <c r="X86" s="17">
        <f>_xlfn.XLOOKUP(Table8[[#This Row],[Campaign_Code]],tb3_CampaignMaster[Campaign_Code],tb3_CampaignMaster[End_Date],"")</f>
        <v>45777</v>
      </c>
      <c r="Y86">
        <f>_xlfn.XLOOKUP(Table8[[#This Row],[Campaign_Code]],tb3_CampaignMaster[Campaign_Code],tb3_CampaignMaster[Budget_GBP],"")</f>
        <v>20000</v>
      </c>
      <c r="Z86" t="str">
        <f>_xlfn.XLOOKUP(Table8[[#This Row],[Campaign_Code]],tb3_CampaignMaster[Campaign_Code],tb3_CampaignMaster[Primary_Channel],"")</f>
        <v>Digital</v>
      </c>
      <c r="AA86" s="13">
        <f>IF(Table8[[#This Row],[Gift_Aid_Eligible]]="Yes",Table8[[#This Row],[Gift_Amount]]*1.25,Table8[[#This Row],[Gift_Amount]])</f>
        <v>633.95000000000005</v>
      </c>
      <c r="AB86" t="str">
        <f>IF(Table8[[#This Row],[Supporter_ID]]="","Review - missing supporter ID","")</f>
        <v/>
      </c>
      <c r="AC86" t="str">
        <f>IF(OR(Table8[[#This Row],[Response_Date]]&lt;Table8[[#This Row],[Start_Date]],Table8[[#This Row],[Response_Date]]&gt;Table8[[#This Row],[End_Date]]),"Review - response outside campaign dates","")</f>
        <v/>
      </c>
      <c r="AD86" t="str">
        <f>IF(Table8[[#This Row],[Campaign_Type]]="","Review - campaign code not found","")</f>
        <v/>
      </c>
    </row>
    <row r="87" spans="1:30" x14ac:dyDescent="0.25">
      <c r="A87" t="s">
        <v>3511</v>
      </c>
      <c r="B87" t="s">
        <v>1567</v>
      </c>
      <c r="C87" t="s">
        <v>3341</v>
      </c>
      <c r="D87" t="s">
        <v>3342</v>
      </c>
      <c r="E87" t="s">
        <v>91</v>
      </c>
      <c r="F87" s="17">
        <v>45769</v>
      </c>
      <c r="G87">
        <v>78.72</v>
      </c>
      <c r="H87" t="s">
        <v>36</v>
      </c>
      <c r="I87" t="s">
        <v>3328</v>
      </c>
      <c r="J87" t="str">
        <f>_xlfn.XLOOKUP(Table8[[#This Row],[Supporter_ID]],tb1_supporters[Supporter_ID ],tb1_supporters[Segment],"")</f>
        <v>Lapsed</v>
      </c>
      <c r="K87" t="str">
        <f>_xlfn.XLOOKUP(Table8[[#This Row],[Supporter_ID]],tb1_supporters[Supporter_ID ],tb1_supporters[Acquisition_Source],"")</f>
        <v>Website</v>
      </c>
      <c r="L87" t="str">
        <f>_xlfn.XLOOKUP(Table8[[#This Row],[Supporter_ID]],tb1_supporters[Supporter_ID ],tb1_supporters[County],"")</f>
        <v>Merseyside</v>
      </c>
      <c r="M87" t="str">
        <f>_xlfn.XLOOKUP(Table8[[#This Row],[Supporter_ID]],tb1_supporters[Supporter_ID ],tb1_supporters[Gender],"")</f>
        <v>Male</v>
      </c>
      <c r="N87">
        <f ca="1">_xlfn.XLOOKUP(Table8[[#This Row],[Supporter_ID]],tb1_supporters[Supporter_ID ],tb1_supporters[Age],"")</f>
        <v>75</v>
      </c>
      <c r="O87" t="str">
        <f ca="1">_xlfn.XLOOKUP(Table8[[#This Row],[Supporter_ID]],tb1_supporters[Supporter_ID ],tb1_supporters[Age_Band],"")</f>
        <v>65+</v>
      </c>
      <c r="P87" t="str">
        <f ca="1">IF(Table8[[#This Row],[Age_Band]]="","Unknown",Table8[[#This Row],[Age_Band]])</f>
        <v>65+</v>
      </c>
      <c r="Q87" t="str">
        <f>_xlfn.XLOOKUP(Table8[[#This Row],[Supporter_ID]],tb1_supporters[Supporter_ID ],tb1_supporters[Communication_Preference],"")</f>
        <v>Email</v>
      </c>
      <c r="R87" t="str">
        <f>_xlfn.XLOOKUP(Table8[[#This Row],[Supporter_ID]],tb1_supporters[Supporter_ID ],tb1_supporters[Duplicate_Profile_Flag],"")</f>
        <v/>
      </c>
      <c r="S87" t="str">
        <f>_xlfn.XLOOKUP(Table8[[#This Row],[Supporter_ID]],tb1_supporters[Supporter_ID ],tb1_supporters[Preference_Compliance_Flag],"")</f>
        <v>Review - prefers email but not opted in</v>
      </c>
      <c r="T87" t="str">
        <f ca="1">IF(Table8[[#This Row],[Age]]="","Review - missing DOB",IF(Table8[[#This Row],[Age]]&gt;TODAY(),"Review - future DOB",IF(Table8[[#This Row],[Age]]=0,"Review -  potential entry error (age 0)","")))</f>
        <v/>
      </c>
      <c r="U87" t="str">
        <f>_xlfn.XLOOKUP(Table8[[#This Row],[Campaign_Code]],tb3_CampaignMaster[Campaign_Code],tb3_CampaignMaster[Campaign_Type],"")</f>
        <v>Acquisition</v>
      </c>
      <c r="V87" t="str">
        <f>_xlfn.XLOOKUP(Table8[[#This Row],[Campaign_Code]],tb3_CampaignMaster[Campaign_Code],tb3_CampaignMaster[Target_Audience],"")</f>
        <v>Prospects</v>
      </c>
      <c r="W87" s="17">
        <f>_xlfn.XLOOKUP(Table8[[#This Row],[Campaign_Code]],tb3_CampaignMaster[Campaign_Code],tb3_CampaignMaster[Start_Date],"")</f>
        <v>45689</v>
      </c>
      <c r="X87" s="17">
        <f>_xlfn.XLOOKUP(Table8[[#This Row],[Campaign_Code]],tb3_CampaignMaster[Campaign_Code],tb3_CampaignMaster[End_Date],"")</f>
        <v>45777</v>
      </c>
      <c r="Y87">
        <f>_xlfn.XLOOKUP(Table8[[#This Row],[Campaign_Code]],tb3_CampaignMaster[Campaign_Code],tb3_CampaignMaster[Budget_GBP],"")</f>
        <v>20000</v>
      </c>
      <c r="Z87" t="str">
        <f>_xlfn.XLOOKUP(Table8[[#This Row],[Campaign_Code]],tb3_CampaignMaster[Campaign_Code],tb3_CampaignMaster[Primary_Channel],"")</f>
        <v>Digital</v>
      </c>
      <c r="AA87" s="13">
        <f>IF(Table8[[#This Row],[Gift_Aid_Eligible]]="Yes",Table8[[#This Row],[Gift_Amount]]*1.25,Table8[[#This Row],[Gift_Amount]])</f>
        <v>98.4</v>
      </c>
      <c r="AB87" t="str">
        <f>IF(Table8[[#This Row],[Supporter_ID]]="","Review - missing supporter ID","")</f>
        <v/>
      </c>
      <c r="AC87" t="str">
        <f>IF(OR(Table8[[#This Row],[Response_Date]]&lt;Table8[[#This Row],[Start_Date]],Table8[[#This Row],[Response_Date]]&gt;Table8[[#This Row],[End_Date]]),"Review - response outside campaign dates","")</f>
        <v/>
      </c>
      <c r="AD87" t="str">
        <f>IF(Table8[[#This Row],[Campaign_Type]]="","Review - campaign code not found","")</f>
        <v/>
      </c>
    </row>
    <row r="88" spans="1:30" x14ac:dyDescent="0.25">
      <c r="A88" t="s">
        <v>3513</v>
      </c>
      <c r="B88" t="s">
        <v>1280</v>
      </c>
      <c r="C88" t="s">
        <v>3320</v>
      </c>
      <c r="D88" t="s">
        <v>3321</v>
      </c>
      <c r="E88" t="s">
        <v>65</v>
      </c>
      <c r="F88" s="17">
        <v>45465</v>
      </c>
      <c r="G88">
        <v>41.64</v>
      </c>
      <c r="H88" t="s">
        <v>37</v>
      </c>
      <c r="I88" t="s">
        <v>3328</v>
      </c>
      <c r="J88" t="str">
        <f>_xlfn.XLOOKUP(Table8[[#This Row],[Supporter_ID]],tb1_supporters[Supporter_ID ],tb1_supporters[Segment],"")</f>
        <v>Regular Giver</v>
      </c>
      <c r="K88" t="str">
        <f>_xlfn.XLOOKUP(Table8[[#This Row],[Supporter_ID]],tb1_supporters[Supporter_ID ],tb1_supporters[Acquisition_Source],"")</f>
        <v>Social Media</v>
      </c>
      <c r="L88" t="str">
        <f>_xlfn.XLOOKUP(Table8[[#This Row],[Supporter_ID]],tb1_supporters[Supporter_ID ],tb1_supporters[County],"")</f>
        <v>Bedfordshire</v>
      </c>
      <c r="M88" t="str">
        <f>_xlfn.XLOOKUP(Table8[[#This Row],[Supporter_ID]],tb1_supporters[Supporter_ID ],tb1_supporters[Gender],"")</f>
        <v>Male</v>
      </c>
      <c r="N88">
        <f ca="1">_xlfn.XLOOKUP(Table8[[#This Row],[Supporter_ID]],tb1_supporters[Supporter_ID ],tb1_supporters[Age],"")</f>
        <v>71</v>
      </c>
      <c r="O88" t="str">
        <f ca="1">_xlfn.XLOOKUP(Table8[[#This Row],[Supporter_ID]],tb1_supporters[Supporter_ID ],tb1_supporters[Age_Band],"")</f>
        <v>65+</v>
      </c>
      <c r="P88" t="str">
        <f ca="1">IF(Table8[[#This Row],[Age_Band]]="","Unknown",Table8[[#This Row],[Age_Band]])</f>
        <v>65+</v>
      </c>
      <c r="Q88" t="str">
        <f>_xlfn.XLOOKUP(Table8[[#This Row],[Supporter_ID]],tb1_supporters[Supporter_ID ],tb1_supporters[Communication_Preference],"")</f>
        <v>Email</v>
      </c>
      <c r="R88" t="str">
        <f>_xlfn.XLOOKUP(Table8[[#This Row],[Supporter_ID]],tb1_supporters[Supporter_ID ],tb1_supporters[Duplicate_Profile_Flag],"")</f>
        <v/>
      </c>
      <c r="S88" t="str">
        <f>_xlfn.XLOOKUP(Table8[[#This Row],[Supporter_ID]],tb1_supporters[Supporter_ID ],tb1_supporters[Preference_Compliance_Flag],"")</f>
        <v/>
      </c>
      <c r="T88" t="str">
        <f ca="1">IF(Table8[[#This Row],[Age]]="","Review - missing DOB",IF(Table8[[#This Row],[Age]]&gt;TODAY(),"Review - future DOB",IF(Table8[[#This Row],[Age]]=0,"Review -  potential entry error (age 0)","")))</f>
        <v/>
      </c>
      <c r="U88" t="str">
        <f>_xlfn.XLOOKUP(Table8[[#This Row],[Campaign_Code]],tb3_CampaignMaster[Campaign_Code],tb3_CampaignMaster[Campaign_Type],"")</f>
        <v>Stewardship</v>
      </c>
      <c r="V88" t="str">
        <f>_xlfn.XLOOKUP(Table8[[#This Row],[Campaign_Code]],tb3_CampaignMaster[Campaign_Code],tb3_CampaignMaster[Target_Audience],"")</f>
        <v>Major Donors</v>
      </c>
      <c r="W88" s="17">
        <f>_xlfn.XLOOKUP(Table8[[#This Row],[Campaign_Code]],tb3_CampaignMaster[Campaign_Code],tb3_CampaignMaster[Start_Date],"")</f>
        <v>45444</v>
      </c>
      <c r="X88" s="17">
        <f>_xlfn.XLOOKUP(Table8[[#This Row],[Campaign_Code]],tb3_CampaignMaster[Campaign_Code],tb3_CampaignMaster[End_Date],"")</f>
        <v>45473</v>
      </c>
      <c r="Y88">
        <f>_xlfn.XLOOKUP(Table8[[#This Row],[Campaign_Code]],tb3_CampaignMaster[Campaign_Code],tb3_CampaignMaster[Budget_GBP],"")</f>
        <v>7000</v>
      </c>
      <c r="Z88" t="str">
        <f>_xlfn.XLOOKUP(Table8[[#This Row],[Campaign_Code]],tb3_CampaignMaster[Campaign_Code],tb3_CampaignMaster[Primary_Channel],"")</f>
        <v>Direct Mail</v>
      </c>
      <c r="AA88" s="13">
        <f>IF(Table8[[#This Row],[Gift_Aid_Eligible]]="Yes",Table8[[#This Row],[Gift_Amount]]*1.25,Table8[[#This Row],[Gift_Amount]])</f>
        <v>41.64</v>
      </c>
      <c r="AB88" t="str">
        <f>IF(Table8[[#This Row],[Supporter_ID]]="","Review - missing supporter ID","")</f>
        <v/>
      </c>
      <c r="AC88" t="str">
        <f>IF(OR(Table8[[#This Row],[Response_Date]]&lt;Table8[[#This Row],[Start_Date]],Table8[[#This Row],[Response_Date]]&gt;Table8[[#This Row],[End_Date]]),"Review - response outside campaign dates","")</f>
        <v/>
      </c>
      <c r="AD88" t="str">
        <f>IF(Table8[[#This Row],[Campaign_Type]]="","Review - campaign code not found","")</f>
        <v/>
      </c>
    </row>
    <row r="89" spans="1:30" x14ac:dyDescent="0.25">
      <c r="A89" t="s">
        <v>3515</v>
      </c>
      <c r="C89" t="s">
        <v>3403</v>
      </c>
      <c r="D89" t="s">
        <v>3404</v>
      </c>
      <c r="E89" t="s">
        <v>65</v>
      </c>
      <c r="F89" s="17">
        <v>45614</v>
      </c>
      <c r="G89">
        <v>1776.69</v>
      </c>
      <c r="H89" t="s">
        <v>37</v>
      </c>
      <c r="I89" t="s">
        <v>3334</v>
      </c>
      <c r="J89" t="str">
        <f>_xlfn.XLOOKUP(Table8[[#This Row],[Supporter_ID]],tb1_supporters[Supporter_ID ],tb1_supporters[Segment],"")</f>
        <v/>
      </c>
      <c r="K89" t="str">
        <f>_xlfn.XLOOKUP(Table8[[#This Row],[Supporter_ID]],tb1_supporters[Supporter_ID ],tb1_supporters[Acquisition_Source],"")</f>
        <v/>
      </c>
      <c r="L89" t="str">
        <f>_xlfn.XLOOKUP(Table8[[#This Row],[Supporter_ID]],tb1_supporters[Supporter_ID ],tb1_supporters[County],"")</f>
        <v/>
      </c>
      <c r="M89" t="str">
        <f>_xlfn.XLOOKUP(Table8[[#This Row],[Supporter_ID]],tb1_supporters[Supporter_ID ],tb1_supporters[Gender],"")</f>
        <v/>
      </c>
      <c r="N89" t="str">
        <f>_xlfn.XLOOKUP(Table8[[#This Row],[Supporter_ID]],tb1_supporters[Supporter_ID ],tb1_supporters[Age],"")</f>
        <v/>
      </c>
      <c r="O89" t="str">
        <f>_xlfn.XLOOKUP(Table8[[#This Row],[Supporter_ID]],tb1_supporters[Supporter_ID ],tb1_supporters[Age_Band],"")</f>
        <v/>
      </c>
      <c r="P89" t="str">
        <f>IF(Table8[[#This Row],[Age_Band]]="","Unknown",Table8[[#This Row],[Age_Band]])</f>
        <v>Unknown</v>
      </c>
      <c r="Q89" t="str">
        <f>_xlfn.XLOOKUP(Table8[[#This Row],[Supporter_ID]],tb1_supporters[Supporter_ID ],tb1_supporters[Communication_Preference],"")</f>
        <v/>
      </c>
      <c r="R89" t="str">
        <f>_xlfn.XLOOKUP(Table8[[#This Row],[Supporter_ID]],tb1_supporters[Supporter_ID ],tb1_supporters[Duplicate_Profile_Flag],"")</f>
        <v/>
      </c>
      <c r="S89" t="str">
        <f>_xlfn.XLOOKUP(Table8[[#This Row],[Supporter_ID]],tb1_supporters[Supporter_ID ],tb1_supporters[Preference_Compliance_Flag],"")</f>
        <v/>
      </c>
      <c r="T89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89" t="str">
        <f>_xlfn.XLOOKUP(Table8[[#This Row],[Campaign_Code]],tb3_CampaignMaster[Campaign_Code],tb3_CampaignMaster[Campaign_Type],"")</f>
        <v>Trading</v>
      </c>
      <c r="V89" t="str">
        <f>_xlfn.XLOOKUP(Table8[[#This Row],[Campaign_Code]],tb3_CampaignMaster[Campaign_Code],tb3_CampaignMaster[Target_Audience],"")</f>
        <v>All Active</v>
      </c>
      <c r="W89" s="17">
        <f>_xlfn.XLOOKUP(Table8[[#This Row],[Campaign_Code]],tb3_CampaignMaster[Campaign_Code],tb3_CampaignMaster[Start_Date],"")</f>
        <v>45580</v>
      </c>
      <c r="X89" s="17">
        <f>_xlfn.XLOOKUP(Table8[[#This Row],[Campaign_Code]],tb3_CampaignMaster[Campaign_Code],tb3_CampaignMaster[End_Date],"")</f>
        <v>45646</v>
      </c>
      <c r="Y89">
        <f>_xlfn.XLOOKUP(Table8[[#This Row],[Campaign_Code]],tb3_CampaignMaster[Campaign_Code],tb3_CampaignMaster[Budget_GBP],"")</f>
        <v>12000</v>
      </c>
      <c r="Z89" t="str">
        <f>_xlfn.XLOOKUP(Table8[[#This Row],[Campaign_Code]],tb3_CampaignMaster[Campaign_Code],tb3_CampaignMaster[Primary_Channel],"")</f>
        <v>Multi-channel</v>
      </c>
      <c r="AA89" s="13">
        <f>IF(Table8[[#This Row],[Gift_Aid_Eligible]]="Yes",Table8[[#This Row],[Gift_Amount]]*1.25,Table8[[#This Row],[Gift_Amount]])</f>
        <v>1776.69</v>
      </c>
      <c r="AB89" t="str">
        <f>IF(Table8[[#This Row],[Supporter_ID]]="","Review - missing supporter ID","")</f>
        <v>Review - missing supporter ID</v>
      </c>
      <c r="AC89" t="str">
        <f>IF(OR(Table8[[#This Row],[Response_Date]]&lt;Table8[[#This Row],[Start_Date]],Table8[[#This Row],[Response_Date]]&gt;Table8[[#This Row],[End_Date]]),"Review - response outside campaign dates","")</f>
        <v/>
      </c>
      <c r="AD89" t="str">
        <f>IF(Table8[[#This Row],[Campaign_Type]]="","Review - campaign code not found","")</f>
        <v/>
      </c>
    </row>
    <row r="90" spans="1:30" x14ac:dyDescent="0.25">
      <c r="A90" t="s">
        <v>3517</v>
      </c>
      <c r="B90" t="s">
        <v>559</v>
      </c>
      <c r="C90" t="s">
        <v>3336</v>
      </c>
      <c r="D90" t="s">
        <v>3337</v>
      </c>
      <c r="E90" t="s">
        <v>4</v>
      </c>
      <c r="F90" s="17">
        <v>45553</v>
      </c>
      <c r="G90">
        <v>16.829999999999998</v>
      </c>
      <c r="H90" t="s">
        <v>36</v>
      </c>
      <c r="I90" t="s">
        <v>3328</v>
      </c>
      <c r="J90" t="str">
        <f>_xlfn.XLOOKUP(Table8[[#This Row],[Supporter_ID]],tb1_supporters[Supporter_ID ],tb1_supporters[Segment],"")</f>
        <v>Regular Giver</v>
      </c>
      <c r="K90" t="str">
        <f>_xlfn.XLOOKUP(Table8[[#This Row],[Supporter_ID]],tb1_supporters[Supporter_ID ],tb1_supporters[Acquisition_Source],"")</f>
        <v>Website</v>
      </c>
      <c r="L90" t="str">
        <f>_xlfn.XLOOKUP(Table8[[#This Row],[Supporter_ID]],tb1_supporters[Supporter_ID ],tb1_supporters[County],"")</f>
        <v>Greater London</v>
      </c>
      <c r="M90" t="str">
        <f>_xlfn.XLOOKUP(Table8[[#This Row],[Supporter_ID]],tb1_supporters[Supporter_ID ],tb1_supporters[Gender],"")</f>
        <v>Male</v>
      </c>
      <c r="N90">
        <f ca="1">_xlfn.XLOOKUP(Table8[[#This Row],[Supporter_ID]],tb1_supporters[Supporter_ID ],tb1_supporters[Age],"")</f>
        <v>74</v>
      </c>
      <c r="O90" t="str">
        <f ca="1">_xlfn.XLOOKUP(Table8[[#This Row],[Supporter_ID]],tb1_supporters[Supporter_ID ],tb1_supporters[Age_Band],"")</f>
        <v>65+</v>
      </c>
      <c r="P90" t="str">
        <f ca="1">IF(Table8[[#This Row],[Age_Band]]="","Unknown",Table8[[#This Row],[Age_Band]])</f>
        <v>65+</v>
      </c>
      <c r="Q90" t="str">
        <f>_xlfn.XLOOKUP(Table8[[#This Row],[Supporter_ID]],tb1_supporters[Supporter_ID ],tb1_supporters[Communication_Preference],"")</f>
        <v>Email</v>
      </c>
      <c r="R90" t="str">
        <f>_xlfn.XLOOKUP(Table8[[#This Row],[Supporter_ID]],tb1_supporters[Supporter_ID ],tb1_supporters[Duplicate_Profile_Flag],"")</f>
        <v/>
      </c>
      <c r="S90" t="str">
        <f>_xlfn.XLOOKUP(Table8[[#This Row],[Supporter_ID]],tb1_supporters[Supporter_ID ],tb1_supporters[Preference_Compliance_Flag],"")</f>
        <v/>
      </c>
      <c r="T90" t="str">
        <f ca="1">IF(Table8[[#This Row],[Age]]="","Review - missing DOB",IF(Table8[[#This Row],[Age]]&gt;TODAY(),"Review - future DOB",IF(Table8[[#This Row],[Age]]=0,"Review -  potential entry error (age 0)","")))</f>
        <v/>
      </c>
      <c r="U90" t="str">
        <f>_xlfn.XLOOKUP(Table8[[#This Row],[Campaign_Code]],tb3_CampaignMaster[Campaign_Code],tb3_CampaignMaster[Campaign_Type],"")</f>
        <v>Appeal</v>
      </c>
      <c r="V90" t="str">
        <f>_xlfn.XLOOKUP(Table8[[#This Row],[Campaign_Code]],tb3_CampaignMaster[Campaign_Code],tb3_CampaignMaster[Target_Audience],"")</f>
        <v>All Supporters</v>
      </c>
      <c r="W90" s="17">
        <f>_xlfn.XLOOKUP(Table8[[#This Row],[Campaign_Code]],tb3_CampaignMaster[Campaign_Code],tb3_CampaignMaster[Start_Date],"")</f>
        <v>45545</v>
      </c>
      <c r="X90" s="17">
        <f>_xlfn.XLOOKUP(Table8[[#This Row],[Campaign_Code]],tb3_CampaignMaster[Campaign_Code],tb3_CampaignMaster[End_Date],"")</f>
        <v>45580</v>
      </c>
      <c r="Y90">
        <f>_xlfn.XLOOKUP(Table8[[#This Row],[Campaign_Code]],tb3_CampaignMaster[Campaign_Code],tb3_CampaignMaster[Budget_GBP],"")</f>
        <v>15000</v>
      </c>
      <c r="Z90" t="str">
        <f>_xlfn.XLOOKUP(Table8[[#This Row],[Campaign_Code]],tb3_CampaignMaster[Campaign_Code],tb3_CampaignMaster[Primary_Channel],"")</f>
        <v>Email</v>
      </c>
      <c r="AA90" s="13">
        <f>IF(Table8[[#This Row],[Gift_Aid_Eligible]]="Yes",Table8[[#This Row],[Gift_Amount]]*1.25,Table8[[#This Row],[Gift_Amount]])</f>
        <v>21.037499999999998</v>
      </c>
      <c r="AB90" t="str">
        <f>IF(Table8[[#This Row],[Supporter_ID]]="","Review - missing supporter ID","")</f>
        <v/>
      </c>
      <c r="AC90" t="str">
        <f>IF(OR(Table8[[#This Row],[Response_Date]]&lt;Table8[[#This Row],[Start_Date]],Table8[[#This Row],[Response_Date]]&gt;Table8[[#This Row],[End_Date]]),"Review - response outside campaign dates","")</f>
        <v/>
      </c>
      <c r="AD90" t="str">
        <f>IF(Table8[[#This Row],[Campaign_Type]]="","Review - campaign code not found","")</f>
        <v/>
      </c>
    </row>
    <row r="91" spans="1:30" x14ac:dyDescent="0.25">
      <c r="A91" t="s">
        <v>3519</v>
      </c>
      <c r="B91" t="s">
        <v>3287</v>
      </c>
      <c r="C91" t="s">
        <v>3341</v>
      </c>
      <c r="D91" t="s">
        <v>3342</v>
      </c>
      <c r="E91" t="s">
        <v>3316</v>
      </c>
      <c r="F91" s="17">
        <v>45775</v>
      </c>
      <c r="G91">
        <v>111.64</v>
      </c>
      <c r="H91" t="s">
        <v>37</v>
      </c>
      <c r="I91" t="s">
        <v>3385</v>
      </c>
      <c r="J91" t="str">
        <f>_xlfn.XLOOKUP(Table8[[#This Row],[Supporter_ID]],tb1_supporters[Supporter_ID ],tb1_supporters[Segment],"")</f>
        <v>One-Time Donor</v>
      </c>
      <c r="K91" t="str">
        <f>_xlfn.XLOOKUP(Table8[[#This Row],[Supporter_ID]],tb1_supporters[Supporter_ID ],tb1_supporters[Acquisition_Source],"")</f>
        <v>Website</v>
      </c>
      <c r="L91" t="str">
        <f>_xlfn.XLOOKUP(Table8[[#This Row],[Supporter_ID]],tb1_supporters[Supporter_ID ],tb1_supporters[County],"")</f>
        <v>North Yorkshire</v>
      </c>
      <c r="M91" t="str">
        <f>_xlfn.XLOOKUP(Table8[[#This Row],[Supporter_ID]],tb1_supporters[Supporter_ID ],tb1_supporters[Gender],"")</f>
        <v>Male</v>
      </c>
      <c r="N91">
        <f ca="1">_xlfn.XLOOKUP(Table8[[#This Row],[Supporter_ID]],tb1_supporters[Supporter_ID ],tb1_supporters[Age],"")</f>
        <v>65</v>
      </c>
      <c r="O91" t="str">
        <f ca="1">_xlfn.XLOOKUP(Table8[[#This Row],[Supporter_ID]],tb1_supporters[Supporter_ID ],tb1_supporters[Age_Band],"")</f>
        <v>65+</v>
      </c>
      <c r="P91" t="str">
        <f ca="1">IF(Table8[[#This Row],[Age_Band]]="","Unknown",Table8[[#This Row],[Age_Band]])</f>
        <v>65+</v>
      </c>
      <c r="Q91" t="str">
        <f>_xlfn.XLOOKUP(Table8[[#This Row],[Supporter_ID]],tb1_supporters[Supporter_ID ],tb1_supporters[Communication_Preference],"")</f>
        <v>Email</v>
      </c>
      <c r="R91" t="str">
        <f>_xlfn.XLOOKUP(Table8[[#This Row],[Supporter_ID]],tb1_supporters[Supporter_ID ],tb1_supporters[Duplicate_Profile_Flag],"")</f>
        <v/>
      </c>
      <c r="S91" t="str">
        <f>_xlfn.XLOOKUP(Table8[[#This Row],[Supporter_ID]],tb1_supporters[Supporter_ID ],tb1_supporters[Preference_Compliance_Flag],"")</f>
        <v/>
      </c>
      <c r="T91" t="str">
        <f ca="1">IF(Table8[[#This Row],[Age]]="","Review - missing DOB",IF(Table8[[#This Row],[Age]]&gt;TODAY(),"Review - future DOB",IF(Table8[[#This Row],[Age]]=0,"Review -  potential entry error (age 0)","")))</f>
        <v/>
      </c>
      <c r="U91" t="str">
        <f>_xlfn.XLOOKUP(Table8[[#This Row],[Campaign_Code]],tb3_CampaignMaster[Campaign_Code],tb3_CampaignMaster[Campaign_Type],"")</f>
        <v>Acquisition</v>
      </c>
      <c r="V91" t="str">
        <f>_xlfn.XLOOKUP(Table8[[#This Row],[Campaign_Code]],tb3_CampaignMaster[Campaign_Code],tb3_CampaignMaster[Target_Audience],"")</f>
        <v>Prospects</v>
      </c>
      <c r="W91" s="17">
        <f>_xlfn.XLOOKUP(Table8[[#This Row],[Campaign_Code]],tb3_CampaignMaster[Campaign_Code],tb3_CampaignMaster[Start_Date],"")</f>
        <v>45689</v>
      </c>
      <c r="X91" s="17">
        <f>_xlfn.XLOOKUP(Table8[[#This Row],[Campaign_Code]],tb3_CampaignMaster[Campaign_Code],tb3_CampaignMaster[End_Date],"")</f>
        <v>45777</v>
      </c>
      <c r="Y91">
        <f>_xlfn.XLOOKUP(Table8[[#This Row],[Campaign_Code]],tb3_CampaignMaster[Campaign_Code],tb3_CampaignMaster[Budget_GBP],"")</f>
        <v>20000</v>
      </c>
      <c r="Z91" t="str">
        <f>_xlfn.XLOOKUP(Table8[[#This Row],[Campaign_Code]],tb3_CampaignMaster[Campaign_Code],tb3_CampaignMaster[Primary_Channel],"")</f>
        <v>Digital</v>
      </c>
      <c r="AA91" s="13">
        <f>IF(Table8[[#This Row],[Gift_Aid_Eligible]]="Yes",Table8[[#This Row],[Gift_Amount]]*1.25,Table8[[#This Row],[Gift_Amount]])</f>
        <v>111.64</v>
      </c>
      <c r="AB91" t="str">
        <f>IF(Table8[[#This Row],[Supporter_ID]]="","Review - missing supporter ID","")</f>
        <v/>
      </c>
      <c r="AC91" t="str">
        <f>IF(OR(Table8[[#This Row],[Response_Date]]&lt;Table8[[#This Row],[Start_Date]],Table8[[#This Row],[Response_Date]]&gt;Table8[[#This Row],[End_Date]]),"Review - response outside campaign dates","")</f>
        <v/>
      </c>
      <c r="AD91" t="str">
        <f>IF(Table8[[#This Row],[Campaign_Type]]="","Review - campaign code not found","")</f>
        <v/>
      </c>
    </row>
    <row r="92" spans="1:30" x14ac:dyDescent="0.25">
      <c r="A92" t="s">
        <v>3521</v>
      </c>
      <c r="B92" t="s">
        <v>1173</v>
      </c>
      <c r="C92" t="s">
        <v>3354</v>
      </c>
      <c r="D92" t="s">
        <v>3355</v>
      </c>
      <c r="E92" t="s">
        <v>4</v>
      </c>
      <c r="F92" s="17">
        <v>45618</v>
      </c>
      <c r="G92">
        <v>30.69</v>
      </c>
      <c r="H92" t="s">
        <v>37</v>
      </c>
      <c r="I92" t="s">
        <v>3334</v>
      </c>
      <c r="J92" t="str">
        <f>_xlfn.XLOOKUP(Table8[[#This Row],[Supporter_ID]],tb1_supporters[Supporter_ID ],tb1_supporters[Segment],"")</f>
        <v>Mid-Value</v>
      </c>
      <c r="K92" t="str">
        <f>_xlfn.XLOOKUP(Table8[[#This Row],[Supporter_ID]],tb1_supporters[Supporter_ID ],tb1_supporters[Acquisition_Source],"")</f>
        <v>Door-To-Door</v>
      </c>
      <c r="L92" t="str">
        <f>_xlfn.XLOOKUP(Table8[[#This Row],[Supporter_ID]],tb1_supporters[Supporter_ID ],tb1_supporters[County],"")</f>
        <v>Buckinghamshire</v>
      </c>
      <c r="M92" t="str">
        <f>_xlfn.XLOOKUP(Table8[[#This Row],[Supporter_ID]],tb1_supporters[Supporter_ID ],tb1_supporters[Gender],"")</f>
        <v>Female</v>
      </c>
      <c r="N92">
        <f ca="1">_xlfn.XLOOKUP(Table8[[#This Row],[Supporter_ID]],tb1_supporters[Supporter_ID ],tb1_supporters[Age],"")</f>
        <v>67</v>
      </c>
      <c r="O92" t="str">
        <f ca="1">_xlfn.XLOOKUP(Table8[[#This Row],[Supporter_ID]],tb1_supporters[Supporter_ID ],tb1_supporters[Age_Band],"")</f>
        <v>65+</v>
      </c>
      <c r="P92" t="str">
        <f ca="1">IF(Table8[[#This Row],[Age_Band]]="","Unknown",Table8[[#This Row],[Age_Band]])</f>
        <v>65+</v>
      </c>
      <c r="Q92" t="str">
        <f>_xlfn.XLOOKUP(Table8[[#This Row],[Supporter_ID]],tb1_supporters[Supporter_ID ],tb1_supporters[Communication_Preference],"")</f>
        <v>Post</v>
      </c>
      <c r="R92" t="str">
        <f>_xlfn.XLOOKUP(Table8[[#This Row],[Supporter_ID]],tb1_supporters[Supporter_ID ],tb1_supporters[Duplicate_Profile_Flag],"")</f>
        <v/>
      </c>
      <c r="S92" t="str">
        <f>_xlfn.XLOOKUP(Table8[[#This Row],[Supporter_ID]],tb1_supporters[Supporter_ID ],tb1_supporters[Preference_Compliance_Flag],"")</f>
        <v/>
      </c>
      <c r="T92" t="str">
        <f ca="1">IF(Table8[[#This Row],[Age]]="","Review - missing DOB",IF(Table8[[#This Row],[Age]]&gt;TODAY(),"Review - future DOB",IF(Table8[[#This Row],[Age]]=0,"Review -  potential entry error (age 0)","")))</f>
        <v/>
      </c>
      <c r="U92" t="str">
        <f>_xlfn.XLOOKUP(Table8[[#This Row],[Campaign_Code]],tb3_CampaignMaster[Campaign_Code],tb3_CampaignMaster[Campaign_Type],"")</f>
        <v>Event</v>
      </c>
      <c r="V92" t="str">
        <f>_xlfn.XLOOKUP(Table8[[#This Row],[Campaign_Code]],tb3_CampaignMaster[Campaign_Code],tb3_CampaignMaster[Target_Audience],"")</f>
        <v>Volunteers</v>
      </c>
      <c r="W92" s="17">
        <f>_xlfn.XLOOKUP(Table8[[#This Row],[Campaign_Code]],tb3_CampaignMaster[Campaign_Code],tb3_CampaignMaster[Start_Date],"")</f>
        <v>45618</v>
      </c>
      <c r="X92" s="17">
        <f>_xlfn.XLOOKUP(Table8[[#This Row],[Campaign_Code]],tb3_CampaignMaster[Campaign_Code],tb3_CampaignMaster[End_Date],"")</f>
        <v>45618</v>
      </c>
      <c r="Y92">
        <f>_xlfn.XLOOKUP(Table8[[#This Row],[Campaign_Code]],tb3_CampaignMaster[Campaign_Code],tb3_CampaignMaster[Budget_GBP],"")</f>
        <v>3500</v>
      </c>
      <c r="Z92" t="str">
        <f>_xlfn.XLOOKUP(Table8[[#This Row],[Campaign_Code]],tb3_CampaignMaster[Campaign_Code],tb3_CampaignMaster[Primary_Channel],"")</f>
        <v>Email</v>
      </c>
      <c r="AA92" s="13">
        <f>IF(Table8[[#This Row],[Gift_Aid_Eligible]]="Yes",Table8[[#This Row],[Gift_Amount]]*1.25,Table8[[#This Row],[Gift_Amount]])</f>
        <v>30.69</v>
      </c>
      <c r="AB92" t="str">
        <f>IF(Table8[[#This Row],[Supporter_ID]]="","Review - missing supporter ID","")</f>
        <v/>
      </c>
      <c r="AC92" t="str">
        <f>IF(OR(Table8[[#This Row],[Response_Date]]&lt;Table8[[#This Row],[Start_Date]],Table8[[#This Row],[Response_Date]]&gt;Table8[[#This Row],[End_Date]]),"Review - response outside campaign dates","")</f>
        <v/>
      </c>
      <c r="AD92" t="str">
        <f>IF(Table8[[#This Row],[Campaign_Type]]="","Review - campaign code not found","")</f>
        <v/>
      </c>
    </row>
    <row r="93" spans="1:30" x14ac:dyDescent="0.25">
      <c r="A93" t="s">
        <v>3523</v>
      </c>
      <c r="B93" t="s">
        <v>850</v>
      </c>
      <c r="C93" t="s">
        <v>3320</v>
      </c>
      <c r="D93" t="s">
        <v>3321</v>
      </c>
      <c r="E93" t="s">
        <v>65</v>
      </c>
      <c r="F93" s="17">
        <v>45458</v>
      </c>
      <c r="G93">
        <v>23.11</v>
      </c>
      <c r="H93" t="s">
        <v>36</v>
      </c>
      <c r="I93" t="s">
        <v>3328</v>
      </c>
      <c r="J93" t="str">
        <f>_xlfn.XLOOKUP(Table8[[#This Row],[Supporter_ID]],tb1_supporters[Supporter_ID ],tb1_supporters[Segment],"")</f>
        <v>Prospect</v>
      </c>
      <c r="K93" t="str">
        <f>_xlfn.XLOOKUP(Table8[[#This Row],[Supporter_ID]],tb1_supporters[Supporter_ID ],tb1_supporters[Acquisition_Source],"")</f>
        <v>Website</v>
      </c>
      <c r="L93" t="str">
        <f>_xlfn.XLOOKUP(Table8[[#This Row],[Supporter_ID]],tb1_supporters[Supporter_ID ],tb1_supporters[County],"")</f>
        <v>Tyne and Wear</v>
      </c>
      <c r="M93" t="str">
        <f>_xlfn.XLOOKUP(Table8[[#This Row],[Supporter_ID]],tb1_supporters[Supporter_ID ],tb1_supporters[Gender],"")</f>
        <v>Female</v>
      </c>
      <c r="N93">
        <f ca="1">_xlfn.XLOOKUP(Table8[[#This Row],[Supporter_ID]],tb1_supporters[Supporter_ID ],tb1_supporters[Age],"")</f>
        <v>21</v>
      </c>
      <c r="O93" t="str">
        <f ca="1">_xlfn.XLOOKUP(Table8[[#This Row],[Supporter_ID]],tb1_supporters[Supporter_ID ],tb1_supporters[Age_Band],"")</f>
        <v>18-34</v>
      </c>
      <c r="P93" t="str">
        <f ca="1">IF(Table8[[#This Row],[Age_Band]]="","Unknown",Table8[[#This Row],[Age_Band]])</f>
        <v>18-34</v>
      </c>
      <c r="Q93" t="str">
        <f>_xlfn.XLOOKUP(Table8[[#This Row],[Supporter_ID]],tb1_supporters[Supporter_ID ],tb1_supporters[Communication_Preference],"")</f>
        <v>Post</v>
      </c>
      <c r="R93" t="str">
        <f>_xlfn.XLOOKUP(Table8[[#This Row],[Supporter_ID]],tb1_supporters[Supporter_ID ],tb1_supporters[Duplicate_Profile_Flag],"")</f>
        <v/>
      </c>
      <c r="S93" t="str">
        <f>_xlfn.XLOOKUP(Table8[[#This Row],[Supporter_ID]],tb1_supporters[Supporter_ID ],tb1_supporters[Preference_Compliance_Flag],"")</f>
        <v>Review - prefers post but not opted in</v>
      </c>
      <c r="T93" t="str">
        <f ca="1">IF(Table8[[#This Row],[Age]]="","Review - missing DOB",IF(Table8[[#This Row],[Age]]&gt;TODAY(),"Review - future DOB",IF(Table8[[#This Row],[Age]]=0,"Review -  potential entry error (age 0)","")))</f>
        <v/>
      </c>
      <c r="U93" t="str">
        <f>_xlfn.XLOOKUP(Table8[[#This Row],[Campaign_Code]],tb3_CampaignMaster[Campaign_Code],tb3_CampaignMaster[Campaign_Type],"")</f>
        <v>Stewardship</v>
      </c>
      <c r="V93" t="str">
        <f>_xlfn.XLOOKUP(Table8[[#This Row],[Campaign_Code]],tb3_CampaignMaster[Campaign_Code],tb3_CampaignMaster[Target_Audience],"")</f>
        <v>Major Donors</v>
      </c>
      <c r="W93" s="17">
        <f>_xlfn.XLOOKUP(Table8[[#This Row],[Campaign_Code]],tb3_CampaignMaster[Campaign_Code],tb3_CampaignMaster[Start_Date],"")</f>
        <v>45444</v>
      </c>
      <c r="X93" s="17">
        <f>_xlfn.XLOOKUP(Table8[[#This Row],[Campaign_Code]],tb3_CampaignMaster[Campaign_Code],tb3_CampaignMaster[End_Date],"")</f>
        <v>45473</v>
      </c>
      <c r="Y93">
        <f>_xlfn.XLOOKUP(Table8[[#This Row],[Campaign_Code]],tb3_CampaignMaster[Campaign_Code],tb3_CampaignMaster[Budget_GBP],"")</f>
        <v>7000</v>
      </c>
      <c r="Z93" t="str">
        <f>_xlfn.XLOOKUP(Table8[[#This Row],[Campaign_Code]],tb3_CampaignMaster[Campaign_Code],tb3_CampaignMaster[Primary_Channel],"")</f>
        <v>Direct Mail</v>
      </c>
      <c r="AA93" s="13">
        <f>IF(Table8[[#This Row],[Gift_Aid_Eligible]]="Yes",Table8[[#This Row],[Gift_Amount]]*1.25,Table8[[#This Row],[Gift_Amount]])</f>
        <v>28.887499999999999</v>
      </c>
      <c r="AB93" t="str">
        <f>IF(Table8[[#This Row],[Supporter_ID]]="","Review - missing supporter ID","")</f>
        <v/>
      </c>
      <c r="AC93" t="str">
        <f>IF(OR(Table8[[#This Row],[Response_Date]]&lt;Table8[[#This Row],[Start_Date]],Table8[[#This Row],[Response_Date]]&gt;Table8[[#This Row],[End_Date]]),"Review - response outside campaign dates","")</f>
        <v/>
      </c>
      <c r="AD93" t="str">
        <f>IF(Table8[[#This Row],[Campaign_Type]]="","Review - campaign code not found","")</f>
        <v/>
      </c>
    </row>
    <row r="94" spans="1:30" x14ac:dyDescent="0.25">
      <c r="A94" t="s">
        <v>3525</v>
      </c>
      <c r="B94" t="s">
        <v>2836</v>
      </c>
      <c r="C94" t="s">
        <v>3362</v>
      </c>
      <c r="D94" t="s">
        <v>3363</v>
      </c>
      <c r="E94" t="s">
        <v>65</v>
      </c>
      <c r="F94" s="17">
        <v>45578</v>
      </c>
      <c r="G94">
        <v>38.770000000000003</v>
      </c>
      <c r="H94" t="s">
        <v>36</v>
      </c>
      <c r="I94" t="s">
        <v>3331</v>
      </c>
      <c r="J94" t="str">
        <f>_xlfn.XLOOKUP(Table8[[#This Row],[Supporter_ID]],tb1_supporters[Supporter_ID ],tb1_supporters[Segment],"")</f>
        <v>Mid-Value</v>
      </c>
      <c r="K94" t="str">
        <f>_xlfn.XLOOKUP(Table8[[#This Row],[Supporter_ID]],tb1_supporters[Supporter_ID ],tb1_supporters[Acquisition_Source],"")</f>
        <v>Social Media</v>
      </c>
      <c r="L94" t="str">
        <f>_xlfn.XLOOKUP(Table8[[#This Row],[Supporter_ID]],tb1_supporters[Supporter_ID ],tb1_supporters[County],"")</f>
        <v>Devon</v>
      </c>
      <c r="M94" t="str">
        <f>_xlfn.XLOOKUP(Table8[[#This Row],[Supporter_ID]],tb1_supporters[Supporter_ID ],tb1_supporters[Gender],"")</f>
        <v>Male</v>
      </c>
      <c r="N94">
        <f ca="1">_xlfn.XLOOKUP(Table8[[#This Row],[Supporter_ID]],tb1_supporters[Supporter_ID ],tb1_supporters[Age],"")</f>
        <v>42</v>
      </c>
      <c r="O94" t="str">
        <f ca="1">_xlfn.XLOOKUP(Table8[[#This Row],[Supporter_ID]],tb1_supporters[Supporter_ID ],tb1_supporters[Age_Band],"")</f>
        <v>35-49</v>
      </c>
      <c r="P94" t="str">
        <f ca="1">IF(Table8[[#This Row],[Age_Band]]="","Unknown",Table8[[#This Row],[Age_Band]])</f>
        <v>35-49</v>
      </c>
      <c r="Q94" t="str">
        <f>_xlfn.XLOOKUP(Table8[[#This Row],[Supporter_ID]],tb1_supporters[Supporter_ID ],tb1_supporters[Communication_Preference],"")</f>
        <v>No Preference</v>
      </c>
      <c r="R94" t="str">
        <f>_xlfn.XLOOKUP(Table8[[#This Row],[Supporter_ID]],tb1_supporters[Supporter_ID ],tb1_supporters[Duplicate_Profile_Flag],"")</f>
        <v/>
      </c>
      <c r="S94" t="str">
        <f>_xlfn.XLOOKUP(Table8[[#This Row],[Supporter_ID]],tb1_supporters[Supporter_ID ],tb1_supporters[Preference_Compliance_Flag],"")</f>
        <v/>
      </c>
      <c r="T94" t="str">
        <f ca="1">IF(Table8[[#This Row],[Age]]="","Review - missing DOB",IF(Table8[[#This Row],[Age]]&gt;TODAY(),"Review - future DOB",IF(Table8[[#This Row],[Age]]=0,"Review -  potential entry error (age 0)","")))</f>
        <v/>
      </c>
      <c r="U94" t="str">
        <f>_xlfn.XLOOKUP(Table8[[#This Row],[Campaign_Code]],tb3_CampaignMaster[Campaign_Code],tb3_CampaignMaster[Campaign_Type],"")</f>
        <v>Legacy</v>
      </c>
      <c r="V94" t="str">
        <f>_xlfn.XLOOKUP(Table8[[#This Row],[Campaign_Code]],tb3_CampaignMaster[Campaign_Code],tb3_CampaignMaster[Target_Audience],"")</f>
        <v>Over 55s</v>
      </c>
      <c r="W94" s="17">
        <f>_xlfn.XLOOKUP(Table8[[#This Row],[Campaign_Code]],tb3_CampaignMaster[Campaign_Code],tb3_CampaignMaster[Start_Date],"")</f>
        <v>45572</v>
      </c>
      <c r="X94" s="17">
        <f>_xlfn.XLOOKUP(Table8[[#This Row],[Campaign_Code]],tb3_CampaignMaster[Campaign_Code],tb3_CampaignMaster[End_Date],"")</f>
        <v>45578</v>
      </c>
      <c r="Y94">
        <f>_xlfn.XLOOKUP(Table8[[#This Row],[Campaign_Code]],tb3_CampaignMaster[Campaign_Code],tb3_CampaignMaster[Budget_GBP],"")</f>
        <v>5000</v>
      </c>
      <c r="Z94" t="str">
        <f>_xlfn.XLOOKUP(Table8[[#This Row],[Campaign_Code]],tb3_CampaignMaster[Campaign_Code],tb3_CampaignMaster[Primary_Channel],"")</f>
        <v>Direct Mail</v>
      </c>
      <c r="AA94" s="13">
        <f>IF(Table8[[#This Row],[Gift_Aid_Eligible]]="Yes",Table8[[#This Row],[Gift_Amount]]*1.25,Table8[[#This Row],[Gift_Amount]])</f>
        <v>48.462500000000006</v>
      </c>
      <c r="AB94" t="str">
        <f>IF(Table8[[#This Row],[Supporter_ID]]="","Review - missing supporter ID","")</f>
        <v/>
      </c>
      <c r="AC94" t="str">
        <f>IF(OR(Table8[[#This Row],[Response_Date]]&lt;Table8[[#This Row],[Start_Date]],Table8[[#This Row],[Response_Date]]&gt;Table8[[#This Row],[End_Date]]),"Review - response outside campaign dates","")</f>
        <v/>
      </c>
      <c r="AD94" t="str">
        <f>IF(Table8[[#This Row],[Campaign_Type]]="","Review - campaign code not found","")</f>
        <v/>
      </c>
    </row>
    <row r="95" spans="1:30" x14ac:dyDescent="0.25">
      <c r="A95" t="s">
        <v>3527</v>
      </c>
      <c r="B95" t="s">
        <v>3188</v>
      </c>
      <c r="C95" t="s">
        <v>3314</v>
      </c>
      <c r="D95" t="s">
        <v>3315</v>
      </c>
      <c r="E95" t="s">
        <v>65</v>
      </c>
      <c r="F95" s="17">
        <v>45681</v>
      </c>
      <c r="G95">
        <v>202.17</v>
      </c>
      <c r="H95" t="s">
        <v>36</v>
      </c>
      <c r="I95" t="s">
        <v>3331</v>
      </c>
      <c r="J95" t="str">
        <f>_xlfn.XLOOKUP(Table8[[#This Row],[Supporter_ID]],tb1_supporters[Supporter_ID ],tb1_supporters[Segment],"")</f>
        <v>Mid-Value</v>
      </c>
      <c r="K95" t="str">
        <f>_xlfn.XLOOKUP(Table8[[#This Row],[Supporter_ID]],tb1_supporters[Supporter_ID ],tb1_supporters[Acquisition_Source],"")</f>
        <v>Event</v>
      </c>
      <c r="L95" t="str">
        <f>_xlfn.XLOOKUP(Table8[[#This Row],[Supporter_ID]],tb1_supporters[Supporter_ID ],tb1_supporters[County],"")</f>
        <v>Tyne and Wear</v>
      </c>
      <c r="M95" t="str">
        <f>_xlfn.XLOOKUP(Table8[[#This Row],[Supporter_ID]],tb1_supporters[Supporter_ID ],tb1_supporters[Gender],"")</f>
        <v>Female</v>
      </c>
      <c r="N95">
        <f ca="1">_xlfn.XLOOKUP(Table8[[#This Row],[Supporter_ID]],tb1_supporters[Supporter_ID ],tb1_supporters[Age],"")</f>
        <v>81</v>
      </c>
      <c r="O95" t="str">
        <f ca="1">_xlfn.XLOOKUP(Table8[[#This Row],[Supporter_ID]],tb1_supporters[Supporter_ID ],tb1_supporters[Age_Band],"")</f>
        <v>65+</v>
      </c>
      <c r="P95" t="str">
        <f ca="1">IF(Table8[[#This Row],[Age_Band]]="","Unknown",Table8[[#This Row],[Age_Band]])</f>
        <v>65+</v>
      </c>
      <c r="Q95" t="str">
        <f>_xlfn.XLOOKUP(Table8[[#This Row],[Supporter_ID]],tb1_supporters[Supporter_ID ],tb1_supporters[Communication_Preference],"")</f>
        <v>Email</v>
      </c>
      <c r="R95" t="str">
        <f>_xlfn.XLOOKUP(Table8[[#This Row],[Supporter_ID]],tb1_supporters[Supporter_ID ],tb1_supporters[Duplicate_Profile_Flag],"")</f>
        <v/>
      </c>
      <c r="S95" t="str">
        <f>_xlfn.XLOOKUP(Table8[[#This Row],[Supporter_ID]],tb1_supporters[Supporter_ID ],tb1_supporters[Preference_Compliance_Flag],"")</f>
        <v>Review - prefers email but not opted in</v>
      </c>
      <c r="T95" t="str">
        <f ca="1">IF(Table8[[#This Row],[Age]]="","Review - missing DOB",IF(Table8[[#This Row],[Age]]&gt;TODAY(),"Review - future DOB",IF(Table8[[#This Row],[Age]]=0,"Review -  potential entry error (age 0)","")))</f>
        <v/>
      </c>
      <c r="U95" t="str">
        <f>_xlfn.XLOOKUP(Table8[[#This Row],[Campaign_Code]],tb3_CampaignMaster[Campaign_Code],tb3_CampaignMaster[Campaign_Type],"")</f>
        <v>Regular Giving</v>
      </c>
      <c r="V95" t="str">
        <f>_xlfn.XLOOKUP(Table8[[#This Row],[Campaign_Code]],tb3_CampaignMaster[Campaign_Code],tb3_CampaignMaster[Target_Audience],"")</f>
        <v>One-time Donors</v>
      </c>
      <c r="W95" s="17">
        <f>_xlfn.XLOOKUP(Table8[[#This Row],[Campaign_Code]],tb3_CampaignMaster[Campaign_Code],tb3_CampaignMaster[Start_Date],"")</f>
        <v>45663</v>
      </c>
      <c r="X95" s="17">
        <f>_xlfn.XLOOKUP(Table8[[#This Row],[Campaign_Code]],tb3_CampaignMaster[Campaign_Code],tb3_CampaignMaster[End_Date],"")</f>
        <v>45747</v>
      </c>
      <c r="Y95">
        <f>_xlfn.XLOOKUP(Table8[[#This Row],[Campaign_Code]],tb3_CampaignMaster[Campaign_Code],tb3_CampaignMaster[Budget_GBP],"")</f>
        <v>10000</v>
      </c>
      <c r="Z95" t="str">
        <f>_xlfn.XLOOKUP(Table8[[#This Row],[Campaign_Code]],tb3_CampaignMaster[Campaign_Code],tb3_CampaignMaster[Primary_Channel],"")</f>
        <v>Telephone</v>
      </c>
      <c r="AA95" s="13">
        <f>IF(Table8[[#This Row],[Gift_Aid_Eligible]]="Yes",Table8[[#This Row],[Gift_Amount]]*1.25,Table8[[#This Row],[Gift_Amount]])</f>
        <v>252.71249999999998</v>
      </c>
      <c r="AB95" t="str">
        <f>IF(Table8[[#This Row],[Supporter_ID]]="","Review - missing supporter ID","")</f>
        <v/>
      </c>
      <c r="AC95" t="str">
        <f>IF(OR(Table8[[#This Row],[Response_Date]]&lt;Table8[[#This Row],[Start_Date]],Table8[[#This Row],[Response_Date]]&gt;Table8[[#This Row],[End_Date]]),"Review - response outside campaign dates","")</f>
        <v/>
      </c>
      <c r="AD95" t="str">
        <f>IF(Table8[[#This Row],[Campaign_Type]]="","Review - campaign code not found","")</f>
        <v/>
      </c>
    </row>
    <row r="96" spans="1:30" x14ac:dyDescent="0.25">
      <c r="A96" t="s">
        <v>3529</v>
      </c>
      <c r="B96" t="s">
        <v>2142</v>
      </c>
      <c r="C96" t="s">
        <v>3336</v>
      </c>
      <c r="D96" t="s">
        <v>3337</v>
      </c>
      <c r="E96" t="s">
        <v>3316</v>
      </c>
      <c r="F96" s="17">
        <v>45564</v>
      </c>
      <c r="G96">
        <v>40.090000000000003</v>
      </c>
      <c r="H96" t="s">
        <v>36</v>
      </c>
      <c r="I96" t="s">
        <v>3323</v>
      </c>
      <c r="J96" t="str">
        <f>_xlfn.XLOOKUP(Table8[[#This Row],[Supporter_ID]],tb1_supporters[Supporter_ID ],tb1_supporters[Segment],"")</f>
        <v>Mid-Value</v>
      </c>
      <c r="K96" t="str">
        <f>_xlfn.XLOOKUP(Table8[[#This Row],[Supporter_ID]],tb1_supporters[Supporter_ID ],tb1_supporters[Acquisition_Source],"")</f>
        <v>Social Media</v>
      </c>
      <c r="L96" t="str">
        <f>_xlfn.XLOOKUP(Table8[[#This Row],[Supporter_ID]],tb1_supporters[Supporter_ID ],tb1_supporters[County],"")</f>
        <v>Tyne and Wear</v>
      </c>
      <c r="M96" t="str">
        <f>_xlfn.XLOOKUP(Table8[[#This Row],[Supporter_ID]],tb1_supporters[Supporter_ID ],tb1_supporters[Gender],"")</f>
        <v>Female</v>
      </c>
      <c r="N96">
        <f ca="1">_xlfn.XLOOKUP(Table8[[#This Row],[Supporter_ID]],tb1_supporters[Supporter_ID ],tb1_supporters[Age],"")</f>
        <v>77</v>
      </c>
      <c r="O96" t="str">
        <f ca="1">_xlfn.XLOOKUP(Table8[[#This Row],[Supporter_ID]],tb1_supporters[Supporter_ID ],tb1_supporters[Age_Band],"")</f>
        <v>65+</v>
      </c>
      <c r="P96" t="str">
        <f ca="1">IF(Table8[[#This Row],[Age_Band]]="","Unknown",Table8[[#This Row],[Age_Band]])</f>
        <v>65+</v>
      </c>
      <c r="Q96" t="str">
        <f>_xlfn.XLOOKUP(Table8[[#This Row],[Supporter_ID]],tb1_supporters[Supporter_ID ],tb1_supporters[Communication_Preference],"")</f>
        <v>Email</v>
      </c>
      <c r="R96" t="str">
        <f>_xlfn.XLOOKUP(Table8[[#This Row],[Supporter_ID]],tb1_supporters[Supporter_ID ],tb1_supporters[Duplicate_Profile_Flag],"")</f>
        <v/>
      </c>
      <c r="S96" t="str">
        <f>_xlfn.XLOOKUP(Table8[[#This Row],[Supporter_ID]],tb1_supporters[Supporter_ID ],tb1_supporters[Preference_Compliance_Flag],"")</f>
        <v/>
      </c>
      <c r="T96" t="str">
        <f ca="1">IF(Table8[[#This Row],[Age]]="","Review - missing DOB",IF(Table8[[#This Row],[Age]]&gt;TODAY(),"Review - future DOB",IF(Table8[[#This Row],[Age]]=0,"Review -  potential entry error (age 0)","")))</f>
        <v/>
      </c>
      <c r="U96" t="str">
        <f>_xlfn.XLOOKUP(Table8[[#This Row],[Campaign_Code]],tb3_CampaignMaster[Campaign_Code],tb3_CampaignMaster[Campaign_Type],"")</f>
        <v>Appeal</v>
      </c>
      <c r="V96" t="str">
        <f>_xlfn.XLOOKUP(Table8[[#This Row],[Campaign_Code]],tb3_CampaignMaster[Campaign_Code],tb3_CampaignMaster[Target_Audience],"")</f>
        <v>All Supporters</v>
      </c>
      <c r="W96" s="17">
        <f>_xlfn.XLOOKUP(Table8[[#This Row],[Campaign_Code]],tb3_CampaignMaster[Campaign_Code],tb3_CampaignMaster[Start_Date],"")</f>
        <v>45545</v>
      </c>
      <c r="X96" s="17">
        <f>_xlfn.XLOOKUP(Table8[[#This Row],[Campaign_Code]],tb3_CampaignMaster[Campaign_Code],tb3_CampaignMaster[End_Date],"")</f>
        <v>45580</v>
      </c>
      <c r="Y96">
        <f>_xlfn.XLOOKUP(Table8[[#This Row],[Campaign_Code]],tb3_CampaignMaster[Campaign_Code],tb3_CampaignMaster[Budget_GBP],"")</f>
        <v>15000</v>
      </c>
      <c r="Z96" t="str">
        <f>_xlfn.XLOOKUP(Table8[[#This Row],[Campaign_Code]],tb3_CampaignMaster[Campaign_Code],tb3_CampaignMaster[Primary_Channel],"")</f>
        <v>Email</v>
      </c>
      <c r="AA96" s="13">
        <f>IF(Table8[[#This Row],[Gift_Aid_Eligible]]="Yes",Table8[[#This Row],[Gift_Amount]]*1.25,Table8[[#This Row],[Gift_Amount]])</f>
        <v>50.112500000000004</v>
      </c>
      <c r="AB96" t="str">
        <f>IF(Table8[[#This Row],[Supporter_ID]]="","Review - missing supporter ID","")</f>
        <v/>
      </c>
      <c r="AC96" t="str">
        <f>IF(OR(Table8[[#This Row],[Response_Date]]&lt;Table8[[#This Row],[Start_Date]],Table8[[#This Row],[Response_Date]]&gt;Table8[[#This Row],[End_Date]]),"Review - response outside campaign dates","")</f>
        <v/>
      </c>
      <c r="AD96" t="str">
        <f>IF(Table8[[#This Row],[Campaign_Type]]="","Review - campaign code not found","")</f>
        <v/>
      </c>
    </row>
    <row r="97" spans="1:30" x14ac:dyDescent="0.25">
      <c r="A97" t="s">
        <v>3531</v>
      </c>
      <c r="B97" t="s">
        <v>2981</v>
      </c>
      <c r="C97" t="s">
        <v>3320</v>
      </c>
      <c r="D97" t="s">
        <v>3321</v>
      </c>
      <c r="E97" t="s">
        <v>65</v>
      </c>
      <c r="F97" s="17">
        <v>45473</v>
      </c>
      <c r="G97">
        <v>84.17</v>
      </c>
      <c r="H97" t="s">
        <v>36</v>
      </c>
      <c r="I97" t="s">
        <v>3334</v>
      </c>
      <c r="J97" t="str">
        <f>_xlfn.XLOOKUP(Table8[[#This Row],[Supporter_ID]],tb1_supporters[Supporter_ID ],tb1_supporters[Segment],"")</f>
        <v>Lapsed</v>
      </c>
      <c r="K97" t="str">
        <f>_xlfn.XLOOKUP(Table8[[#This Row],[Supporter_ID]],tb1_supporters[Supporter_ID ],tb1_supporters[Acquisition_Source],"")</f>
        <v>Telephone</v>
      </c>
      <c r="L97" t="str">
        <f>_xlfn.XLOOKUP(Table8[[#This Row],[Supporter_ID]],tb1_supporters[Supporter_ID ],tb1_supporters[County],"")</f>
        <v>Hampshire</v>
      </c>
      <c r="M97" t="str">
        <f>_xlfn.XLOOKUP(Table8[[#This Row],[Supporter_ID]],tb1_supporters[Supporter_ID ],tb1_supporters[Gender],"")</f>
        <v>Male</v>
      </c>
      <c r="N97">
        <f ca="1">_xlfn.XLOOKUP(Table8[[#This Row],[Supporter_ID]],tb1_supporters[Supporter_ID ],tb1_supporters[Age],"")</f>
        <v>67</v>
      </c>
      <c r="O97" t="str">
        <f ca="1">_xlfn.XLOOKUP(Table8[[#This Row],[Supporter_ID]],tb1_supporters[Supporter_ID ],tb1_supporters[Age_Band],"")</f>
        <v>65+</v>
      </c>
      <c r="P97" t="str">
        <f ca="1">IF(Table8[[#This Row],[Age_Band]]="","Unknown",Table8[[#This Row],[Age_Band]])</f>
        <v>65+</v>
      </c>
      <c r="Q97" t="str">
        <f>_xlfn.XLOOKUP(Table8[[#This Row],[Supporter_ID]],tb1_supporters[Supporter_ID ],tb1_supporters[Communication_Preference],"")</f>
        <v>Post</v>
      </c>
      <c r="R97" t="str">
        <f>_xlfn.XLOOKUP(Table8[[#This Row],[Supporter_ID]],tb1_supporters[Supporter_ID ],tb1_supporters[Duplicate_Profile_Flag],"")</f>
        <v/>
      </c>
      <c r="S97" t="str">
        <f>_xlfn.XLOOKUP(Table8[[#This Row],[Supporter_ID]],tb1_supporters[Supporter_ID ],tb1_supporters[Preference_Compliance_Flag],"")</f>
        <v/>
      </c>
      <c r="T97" t="str">
        <f ca="1">IF(Table8[[#This Row],[Age]]="","Review - missing DOB",IF(Table8[[#This Row],[Age]]&gt;TODAY(),"Review - future DOB",IF(Table8[[#This Row],[Age]]=0,"Review -  potential entry error (age 0)","")))</f>
        <v/>
      </c>
      <c r="U97" t="str">
        <f>_xlfn.XLOOKUP(Table8[[#This Row],[Campaign_Code]],tb3_CampaignMaster[Campaign_Code],tb3_CampaignMaster[Campaign_Type],"")</f>
        <v>Stewardship</v>
      </c>
      <c r="V97" t="str">
        <f>_xlfn.XLOOKUP(Table8[[#This Row],[Campaign_Code]],tb3_CampaignMaster[Campaign_Code],tb3_CampaignMaster[Target_Audience],"")</f>
        <v>Major Donors</v>
      </c>
      <c r="W97" s="17">
        <f>_xlfn.XLOOKUP(Table8[[#This Row],[Campaign_Code]],tb3_CampaignMaster[Campaign_Code],tb3_CampaignMaster[Start_Date],"")</f>
        <v>45444</v>
      </c>
      <c r="X97" s="17">
        <f>_xlfn.XLOOKUP(Table8[[#This Row],[Campaign_Code]],tb3_CampaignMaster[Campaign_Code],tb3_CampaignMaster[End_Date],"")</f>
        <v>45473</v>
      </c>
      <c r="Y97">
        <f>_xlfn.XLOOKUP(Table8[[#This Row],[Campaign_Code]],tb3_CampaignMaster[Campaign_Code],tb3_CampaignMaster[Budget_GBP],"")</f>
        <v>7000</v>
      </c>
      <c r="Z97" t="str">
        <f>_xlfn.XLOOKUP(Table8[[#This Row],[Campaign_Code]],tb3_CampaignMaster[Campaign_Code],tb3_CampaignMaster[Primary_Channel],"")</f>
        <v>Direct Mail</v>
      </c>
      <c r="AA97" s="13">
        <f>IF(Table8[[#This Row],[Gift_Aid_Eligible]]="Yes",Table8[[#This Row],[Gift_Amount]]*1.25,Table8[[#This Row],[Gift_Amount]])</f>
        <v>105.21250000000001</v>
      </c>
      <c r="AB97" t="str">
        <f>IF(Table8[[#This Row],[Supporter_ID]]="","Review - missing supporter ID","")</f>
        <v/>
      </c>
      <c r="AC97" t="str">
        <f>IF(OR(Table8[[#This Row],[Response_Date]]&lt;Table8[[#This Row],[Start_Date]],Table8[[#This Row],[Response_Date]]&gt;Table8[[#This Row],[End_Date]]),"Review - response outside campaign dates","")</f>
        <v/>
      </c>
      <c r="AD97" t="str">
        <f>IF(Table8[[#This Row],[Campaign_Type]]="","Review - campaign code not found","")</f>
        <v/>
      </c>
    </row>
    <row r="98" spans="1:30" x14ac:dyDescent="0.25">
      <c r="A98" t="s">
        <v>3533</v>
      </c>
      <c r="B98" t="s">
        <v>2627</v>
      </c>
      <c r="C98" t="s">
        <v>3320</v>
      </c>
      <c r="D98" t="s">
        <v>3321</v>
      </c>
      <c r="E98" t="s">
        <v>4</v>
      </c>
      <c r="F98" s="17">
        <v>45458</v>
      </c>
      <c r="G98">
        <v>34.840000000000003</v>
      </c>
      <c r="H98" t="s">
        <v>37</v>
      </c>
      <c r="I98" t="s">
        <v>3331</v>
      </c>
      <c r="J98" t="str">
        <f>_xlfn.XLOOKUP(Table8[[#This Row],[Supporter_ID]],tb1_supporters[Supporter_ID ],tb1_supporters[Segment],"")</f>
        <v>Lapsed</v>
      </c>
      <c r="K98" t="str">
        <f>_xlfn.XLOOKUP(Table8[[#This Row],[Supporter_ID]],tb1_supporters[Supporter_ID ],tb1_supporters[Acquisition_Source],"")</f>
        <v>Social Media</v>
      </c>
      <c r="L98" t="str">
        <f>_xlfn.XLOOKUP(Table8[[#This Row],[Supporter_ID]],tb1_supporters[Supporter_ID ],tb1_supporters[County],"")</f>
        <v>Grampian</v>
      </c>
      <c r="M98" t="str">
        <f>_xlfn.XLOOKUP(Table8[[#This Row],[Supporter_ID]],tb1_supporters[Supporter_ID ],tb1_supporters[Gender],"")</f>
        <v>Male</v>
      </c>
      <c r="N98">
        <f ca="1">_xlfn.XLOOKUP(Table8[[#This Row],[Supporter_ID]],tb1_supporters[Supporter_ID ],tb1_supporters[Age],"")</f>
        <v>92</v>
      </c>
      <c r="O98" t="str">
        <f ca="1">_xlfn.XLOOKUP(Table8[[#This Row],[Supporter_ID]],tb1_supporters[Supporter_ID ],tb1_supporters[Age_Band],"")</f>
        <v>65+</v>
      </c>
      <c r="P98" t="str">
        <f ca="1">IF(Table8[[#This Row],[Age_Band]]="","Unknown",Table8[[#This Row],[Age_Band]])</f>
        <v>65+</v>
      </c>
      <c r="Q98" t="str">
        <f>_xlfn.XLOOKUP(Table8[[#This Row],[Supporter_ID]],tb1_supporters[Supporter_ID ],tb1_supporters[Communication_Preference],"")</f>
        <v>Phone</v>
      </c>
      <c r="R98" t="str">
        <f>_xlfn.XLOOKUP(Table8[[#This Row],[Supporter_ID]],tb1_supporters[Supporter_ID ],tb1_supporters[Duplicate_Profile_Flag],"")</f>
        <v/>
      </c>
      <c r="S98" t="str">
        <f>_xlfn.XLOOKUP(Table8[[#This Row],[Supporter_ID]],tb1_supporters[Supporter_ID ],tb1_supporters[Preference_Compliance_Flag],"")</f>
        <v>Review - prefers phone but not opted in</v>
      </c>
      <c r="T98" t="str">
        <f ca="1">IF(Table8[[#This Row],[Age]]="","Review - missing DOB",IF(Table8[[#This Row],[Age]]&gt;TODAY(),"Review - future DOB",IF(Table8[[#This Row],[Age]]=0,"Review -  potential entry error (age 0)","")))</f>
        <v/>
      </c>
      <c r="U98" t="str">
        <f>_xlfn.XLOOKUP(Table8[[#This Row],[Campaign_Code]],tb3_CampaignMaster[Campaign_Code],tb3_CampaignMaster[Campaign_Type],"")</f>
        <v>Stewardship</v>
      </c>
      <c r="V98" t="str">
        <f>_xlfn.XLOOKUP(Table8[[#This Row],[Campaign_Code]],tb3_CampaignMaster[Campaign_Code],tb3_CampaignMaster[Target_Audience],"")</f>
        <v>Major Donors</v>
      </c>
      <c r="W98" s="17">
        <f>_xlfn.XLOOKUP(Table8[[#This Row],[Campaign_Code]],tb3_CampaignMaster[Campaign_Code],tb3_CampaignMaster[Start_Date],"")</f>
        <v>45444</v>
      </c>
      <c r="X98" s="17">
        <f>_xlfn.XLOOKUP(Table8[[#This Row],[Campaign_Code]],tb3_CampaignMaster[Campaign_Code],tb3_CampaignMaster[End_Date],"")</f>
        <v>45473</v>
      </c>
      <c r="Y98">
        <f>_xlfn.XLOOKUP(Table8[[#This Row],[Campaign_Code]],tb3_CampaignMaster[Campaign_Code],tb3_CampaignMaster[Budget_GBP],"")</f>
        <v>7000</v>
      </c>
      <c r="Z98" t="str">
        <f>_xlfn.XLOOKUP(Table8[[#This Row],[Campaign_Code]],tb3_CampaignMaster[Campaign_Code],tb3_CampaignMaster[Primary_Channel],"")</f>
        <v>Direct Mail</v>
      </c>
      <c r="AA98" s="13">
        <f>IF(Table8[[#This Row],[Gift_Aid_Eligible]]="Yes",Table8[[#This Row],[Gift_Amount]]*1.25,Table8[[#This Row],[Gift_Amount]])</f>
        <v>34.840000000000003</v>
      </c>
      <c r="AB98" t="str">
        <f>IF(Table8[[#This Row],[Supporter_ID]]="","Review - missing supporter ID","")</f>
        <v/>
      </c>
      <c r="AC98" t="str">
        <f>IF(OR(Table8[[#This Row],[Response_Date]]&lt;Table8[[#This Row],[Start_Date]],Table8[[#This Row],[Response_Date]]&gt;Table8[[#This Row],[End_Date]]),"Review - response outside campaign dates","")</f>
        <v/>
      </c>
      <c r="AD98" t="str">
        <f>IF(Table8[[#This Row],[Campaign_Type]]="","Review - campaign code not found","")</f>
        <v/>
      </c>
    </row>
    <row r="99" spans="1:30" x14ac:dyDescent="0.25">
      <c r="A99" t="s">
        <v>3535</v>
      </c>
      <c r="B99" t="s">
        <v>1329</v>
      </c>
      <c r="C99" t="s">
        <v>3367</v>
      </c>
      <c r="D99" t="s">
        <v>3368</v>
      </c>
      <c r="E99" t="s">
        <v>4</v>
      </c>
      <c r="F99" s="17">
        <v>45729</v>
      </c>
      <c r="G99">
        <v>22.21</v>
      </c>
      <c r="H99" t="s">
        <v>37</v>
      </c>
      <c r="I99" t="s">
        <v>3331</v>
      </c>
      <c r="J99" t="str">
        <f>_xlfn.XLOOKUP(Table8[[#This Row],[Supporter_ID]],tb1_supporters[Supporter_ID ],tb1_supporters[Segment],"")</f>
        <v>Lapsed</v>
      </c>
      <c r="K99" t="str">
        <f>_xlfn.XLOOKUP(Table8[[#This Row],[Supporter_ID]],tb1_supporters[Supporter_ID ],tb1_supporters[Acquisition_Source],"")</f>
        <v>Direct Mail</v>
      </c>
      <c r="L99" t="str">
        <f>_xlfn.XLOOKUP(Table8[[#This Row],[Supporter_ID]],tb1_supporters[Supporter_ID ],tb1_supporters[County],"")</f>
        <v>Grampian</v>
      </c>
      <c r="M99" t="str">
        <f>_xlfn.XLOOKUP(Table8[[#This Row],[Supporter_ID]],tb1_supporters[Supporter_ID ],tb1_supporters[Gender],"")</f>
        <v>Female</v>
      </c>
      <c r="N99">
        <f ca="1">_xlfn.XLOOKUP(Table8[[#This Row],[Supporter_ID]],tb1_supporters[Supporter_ID ],tb1_supporters[Age],"")</f>
        <v>28</v>
      </c>
      <c r="O99" t="str">
        <f ca="1">_xlfn.XLOOKUP(Table8[[#This Row],[Supporter_ID]],tb1_supporters[Supporter_ID ],tb1_supporters[Age_Band],"")</f>
        <v>18-34</v>
      </c>
      <c r="P99" t="str">
        <f ca="1">IF(Table8[[#This Row],[Age_Band]]="","Unknown",Table8[[#This Row],[Age_Band]])</f>
        <v>18-34</v>
      </c>
      <c r="Q99" t="str">
        <f>_xlfn.XLOOKUP(Table8[[#This Row],[Supporter_ID]],tb1_supporters[Supporter_ID ],tb1_supporters[Communication_Preference],"")</f>
        <v>Email</v>
      </c>
      <c r="R99" t="str">
        <f>_xlfn.XLOOKUP(Table8[[#This Row],[Supporter_ID]],tb1_supporters[Supporter_ID ],tb1_supporters[Duplicate_Profile_Flag],"")</f>
        <v/>
      </c>
      <c r="S99" t="str">
        <f>_xlfn.XLOOKUP(Table8[[#This Row],[Supporter_ID]],tb1_supporters[Supporter_ID ],tb1_supporters[Preference_Compliance_Flag],"")</f>
        <v/>
      </c>
      <c r="T99" t="str">
        <f ca="1">IF(Table8[[#This Row],[Age]]="","Review - missing DOB",IF(Table8[[#This Row],[Age]]&gt;TODAY(),"Review - future DOB",IF(Table8[[#This Row],[Age]]=0,"Review -  potential entry error (age 0)","")))</f>
        <v/>
      </c>
      <c r="U99" t="str">
        <f>_xlfn.XLOOKUP(Table8[[#This Row],[Campaign_Code]],tb3_CampaignMaster[Campaign_Code],tb3_CampaignMaster[Campaign_Type],"")</f>
        <v>Raffle</v>
      </c>
      <c r="V99" t="str">
        <f>_xlfn.XLOOKUP(Table8[[#This Row],[Campaign_Code]],tb3_CampaignMaster[Campaign_Code],tb3_CampaignMaster[Target_Audience],"")</f>
        <v>Regular Givers</v>
      </c>
      <c r="W99" s="17">
        <f>_xlfn.XLOOKUP(Table8[[#This Row],[Campaign_Code]],tb3_CampaignMaster[Campaign_Code],tb3_CampaignMaster[Start_Date],"")</f>
        <v>45717</v>
      </c>
      <c r="X99" s="17">
        <f>_xlfn.XLOOKUP(Table8[[#This Row],[Campaign_Code]],tb3_CampaignMaster[Campaign_Code],tb3_CampaignMaster[End_Date],"")</f>
        <v>45777</v>
      </c>
      <c r="Y99">
        <f>_xlfn.XLOOKUP(Table8[[#This Row],[Campaign_Code]],tb3_CampaignMaster[Campaign_Code],tb3_CampaignMaster[Budget_GBP],"")</f>
        <v>8000</v>
      </c>
      <c r="Z99" t="str">
        <f>_xlfn.XLOOKUP(Table8[[#This Row],[Campaign_Code]],tb3_CampaignMaster[Campaign_Code],tb3_CampaignMaster[Primary_Channel],"")</f>
        <v>Direct Mail</v>
      </c>
      <c r="AA99" s="13">
        <f>IF(Table8[[#This Row],[Gift_Aid_Eligible]]="Yes",Table8[[#This Row],[Gift_Amount]]*1.25,Table8[[#This Row],[Gift_Amount]])</f>
        <v>22.21</v>
      </c>
      <c r="AB99" t="str">
        <f>IF(Table8[[#This Row],[Supporter_ID]]="","Review - missing supporter ID","")</f>
        <v/>
      </c>
      <c r="AC99" t="str">
        <f>IF(OR(Table8[[#This Row],[Response_Date]]&lt;Table8[[#This Row],[Start_Date]],Table8[[#This Row],[Response_Date]]&gt;Table8[[#This Row],[End_Date]]),"Review - response outside campaign dates","")</f>
        <v/>
      </c>
      <c r="AD99" t="str">
        <f>IF(Table8[[#This Row],[Campaign_Type]]="","Review - campaign code not found","")</f>
        <v/>
      </c>
    </row>
    <row r="100" spans="1:30" x14ac:dyDescent="0.25">
      <c r="A100" t="s">
        <v>3537</v>
      </c>
      <c r="B100" t="s">
        <v>2469</v>
      </c>
      <c r="C100" t="s">
        <v>3341</v>
      </c>
      <c r="D100" t="s">
        <v>3342</v>
      </c>
      <c r="E100" t="s">
        <v>4</v>
      </c>
      <c r="F100" s="17">
        <v>45745</v>
      </c>
      <c r="G100">
        <v>218.38</v>
      </c>
      <c r="H100" t="s">
        <v>36</v>
      </c>
      <c r="I100" t="s">
        <v>3385</v>
      </c>
      <c r="J100" t="str">
        <f>_xlfn.XLOOKUP(Table8[[#This Row],[Supporter_ID]],tb1_supporters[Supporter_ID ],tb1_supporters[Segment],"")</f>
        <v>Legacy Pledger</v>
      </c>
      <c r="K100" t="str">
        <f>_xlfn.XLOOKUP(Table8[[#This Row],[Supporter_ID]],tb1_supporters[Supporter_ID ],tb1_supporters[Acquisition_Source],"")</f>
        <v>Direct Mail</v>
      </c>
      <c r="L100" t="str">
        <f>_xlfn.XLOOKUP(Table8[[#This Row],[Supporter_ID]],tb1_supporters[Supporter_ID ],tb1_supporters[County],"")</f>
        <v>Angus</v>
      </c>
      <c r="M100" t="str">
        <f>_xlfn.XLOOKUP(Table8[[#This Row],[Supporter_ID]],tb1_supporters[Supporter_ID ],tb1_supporters[Gender],"")</f>
        <v>Female</v>
      </c>
      <c r="N100">
        <f ca="1">_xlfn.XLOOKUP(Table8[[#This Row],[Supporter_ID]],tb1_supporters[Supporter_ID ],tb1_supporters[Age],"")</f>
        <v>57</v>
      </c>
      <c r="O100" t="str">
        <f ca="1">_xlfn.XLOOKUP(Table8[[#This Row],[Supporter_ID]],tb1_supporters[Supporter_ID ],tb1_supporters[Age_Band],"")</f>
        <v>50-64</v>
      </c>
      <c r="P100" t="str">
        <f ca="1">IF(Table8[[#This Row],[Age_Band]]="","Unknown",Table8[[#This Row],[Age_Band]])</f>
        <v>50-64</v>
      </c>
      <c r="Q100" t="str">
        <f>_xlfn.XLOOKUP(Table8[[#This Row],[Supporter_ID]],tb1_supporters[Supporter_ID ],tb1_supporters[Communication_Preference],"")</f>
        <v>No Preference</v>
      </c>
      <c r="R100" t="str">
        <f>_xlfn.XLOOKUP(Table8[[#This Row],[Supporter_ID]],tb1_supporters[Supporter_ID ],tb1_supporters[Duplicate_Profile_Flag],"")</f>
        <v/>
      </c>
      <c r="S100" t="str">
        <f>_xlfn.XLOOKUP(Table8[[#This Row],[Supporter_ID]],tb1_supporters[Supporter_ID ],tb1_supporters[Preference_Compliance_Flag],"")</f>
        <v/>
      </c>
      <c r="T100" t="str">
        <f ca="1">IF(Table8[[#This Row],[Age]]="","Review - missing DOB",IF(Table8[[#This Row],[Age]]&gt;TODAY(),"Review - future DOB",IF(Table8[[#This Row],[Age]]=0,"Review -  potential entry error (age 0)","")))</f>
        <v/>
      </c>
      <c r="U100" t="str">
        <f>_xlfn.XLOOKUP(Table8[[#This Row],[Campaign_Code]],tb3_CampaignMaster[Campaign_Code],tb3_CampaignMaster[Campaign_Type],"")</f>
        <v>Acquisition</v>
      </c>
      <c r="V100" t="str">
        <f>_xlfn.XLOOKUP(Table8[[#This Row],[Campaign_Code]],tb3_CampaignMaster[Campaign_Code],tb3_CampaignMaster[Target_Audience],"")</f>
        <v>Prospects</v>
      </c>
      <c r="W100" s="17">
        <f>_xlfn.XLOOKUP(Table8[[#This Row],[Campaign_Code]],tb3_CampaignMaster[Campaign_Code],tb3_CampaignMaster[Start_Date],"")</f>
        <v>45689</v>
      </c>
      <c r="X100" s="17">
        <f>_xlfn.XLOOKUP(Table8[[#This Row],[Campaign_Code]],tb3_CampaignMaster[Campaign_Code],tb3_CampaignMaster[End_Date],"")</f>
        <v>45777</v>
      </c>
      <c r="Y100">
        <f>_xlfn.XLOOKUP(Table8[[#This Row],[Campaign_Code]],tb3_CampaignMaster[Campaign_Code],tb3_CampaignMaster[Budget_GBP],"")</f>
        <v>20000</v>
      </c>
      <c r="Z100" t="str">
        <f>_xlfn.XLOOKUP(Table8[[#This Row],[Campaign_Code]],tb3_CampaignMaster[Campaign_Code],tb3_CampaignMaster[Primary_Channel],"")</f>
        <v>Digital</v>
      </c>
      <c r="AA100" s="13">
        <f>IF(Table8[[#This Row],[Gift_Aid_Eligible]]="Yes",Table8[[#This Row],[Gift_Amount]]*1.25,Table8[[#This Row],[Gift_Amount]])</f>
        <v>272.97500000000002</v>
      </c>
      <c r="AB100" t="str">
        <f>IF(Table8[[#This Row],[Supporter_ID]]="","Review - missing supporter ID","")</f>
        <v/>
      </c>
      <c r="AC100" t="str">
        <f>IF(OR(Table8[[#This Row],[Response_Date]]&lt;Table8[[#This Row],[Start_Date]],Table8[[#This Row],[Response_Date]]&gt;Table8[[#This Row],[End_Date]]),"Review - response outside campaign dates","")</f>
        <v/>
      </c>
      <c r="AD100" t="str">
        <f>IF(Table8[[#This Row],[Campaign_Type]]="","Review - campaign code not found","")</f>
        <v/>
      </c>
    </row>
    <row r="101" spans="1:30" x14ac:dyDescent="0.25">
      <c r="A101" t="s">
        <v>3539</v>
      </c>
      <c r="B101" t="s">
        <v>817</v>
      </c>
      <c r="C101" t="s">
        <v>3325</v>
      </c>
      <c r="D101" t="s">
        <v>3326</v>
      </c>
      <c r="E101" t="s">
        <v>4</v>
      </c>
      <c r="F101" s="17">
        <v>45652</v>
      </c>
      <c r="G101">
        <v>33.229999999999997</v>
      </c>
      <c r="H101" t="s">
        <v>37</v>
      </c>
      <c r="I101" t="s">
        <v>3334</v>
      </c>
      <c r="J101" t="str">
        <f>_xlfn.XLOOKUP(Table8[[#This Row],[Supporter_ID]],tb1_supporters[Supporter_ID ],tb1_supporters[Segment],"")</f>
        <v>Regular Giver</v>
      </c>
      <c r="K101" t="str">
        <f>_xlfn.XLOOKUP(Table8[[#This Row],[Supporter_ID]],tb1_supporters[Supporter_ID ],tb1_supporters[Acquisition_Source],"")</f>
        <v>Telephone</v>
      </c>
      <c r="L101" t="str">
        <f>_xlfn.XLOOKUP(Table8[[#This Row],[Supporter_ID]],tb1_supporters[Supporter_ID ],tb1_supporters[County],"")</f>
        <v>West Glamorgan</v>
      </c>
      <c r="M101" t="str">
        <f>_xlfn.XLOOKUP(Table8[[#This Row],[Supporter_ID]],tb1_supporters[Supporter_ID ],tb1_supporters[Gender],"")</f>
        <v>Female</v>
      </c>
      <c r="N101">
        <f ca="1">_xlfn.XLOOKUP(Table8[[#This Row],[Supporter_ID]],tb1_supporters[Supporter_ID ],tb1_supporters[Age],"")</f>
        <v>93</v>
      </c>
      <c r="O101" t="str">
        <f ca="1">_xlfn.XLOOKUP(Table8[[#This Row],[Supporter_ID]],tb1_supporters[Supporter_ID ],tb1_supporters[Age_Band],"")</f>
        <v>65+</v>
      </c>
      <c r="P101" t="str">
        <f ca="1">IF(Table8[[#This Row],[Age_Band]]="","Unknown",Table8[[#This Row],[Age_Band]])</f>
        <v>65+</v>
      </c>
      <c r="Q101" t="str">
        <f>_xlfn.XLOOKUP(Table8[[#This Row],[Supporter_ID]],tb1_supporters[Supporter_ID ],tb1_supporters[Communication_Preference],"")</f>
        <v>No Preference</v>
      </c>
      <c r="R101" t="str">
        <f>_xlfn.XLOOKUP(Table8[[#This Row],[Supporter_ID]],tb1_supporters[Supporter_ID ],tb1_supporters[Duplicate_Profile_Flag],"")</f>
        <v/>
      </c>
      <c r="S101" t="str">
        <f>_xlfn.XLOOKUP(Table8[[#This Row],[Supporter_ID]],tb1_supporters[Supporter_ID ],tb1_supporters[Preference_Compliance_Flag],"")</f>
        <v/>
      </c>
      <c r="T101" t="str">
        <f ca="1">IF(Table8[[#This Row],[Age]]="","Review - missing DOB",IF(Table8[[#This Row],[Age]]&gt;TODAY(),"Review - future DOB",IF(Table8[[#This Row],[Age]]=0,"Review -  potential entry error (age 0)","")))</f>
        <v/>
      </c>
      <c r="U101" t="str">
        <f>_xlfn.XLOOKUP(Table8[[#This Row],[Campaign_Code]],tb3_CampaignMaster[Campaign_Code],tb3_CampaignMaster[Campaign_Type],"")</f>
        <v>Appeal</v>
      </c>
      <c r="V101" t="str">
        <f>_xlfn.XLOOKUP(Table8[[#This Row],[Campaign_Code]],tb3_CampaignMaster[Campaign_Code],tb3_CampaignMaster[Target_Audience],"")</f>
        <v>All Active</v>
      </c>
      <c r="W101" s="17">
        <f>_xlfn.XLOOKUP(Table8[[#This Row],[Campaign_Code]],tb3_CampaignMaster[Campaign_Code],tb3_CampaignMaster[Start_Date],"")</f>
        <v>45597</v>
      </c>
      <c r="X101" s="17">
        <f>_xlfn.XLOOKUP(Table8[[#This Row],[Campaign_Code]],tb3_CampaignMaster[Campaign_Code],tb3_CampaignMaster[End_Date],"")</f>
        <v>45657</v>
      </c>
      <c r="Y101">
        <f>_xlfn.XLOOKUP(Table8[[#This Row],[Campaign_Code]],tb3_CampaignMaster[Campaign_Code],tb3_CampaignMaster[Budget_GBP],"")</f>
        <v>25000</v>
      </c>
      <c r="Z101" t="str">
        <f>_xlfn.XLOOKUP(Table8[[#This Row],[Campaign_Code]],tb3_CampaignMaster[Campaign_Code],tb3_CampaignMaster[Primary_Channel],"")</f>
        <v>Multi-channel</v>
      </c>
      <c r="AA101" s="13">
        <f>IF(Table8[[#This Row],[Gift_Aid_Eligible]]="Yes",Table8[[#This Row],[Gift_Amount]]*1.25,Table8[[#This Row],[Gift_Amount]])</f>
        <v>33.229999999999997</v>
      </c>
      <c r="AB101" t="str">
        <f>IF(Table8[[#This Row],[Supporter_ID]]="","Review - missing supporter ID","")</f>
        <v/>
      </c>
      <c r="AC101" t="str">
        <f>IF(OR(Table8[[#This Row],[Response_Date]]&lt;Table8[[#This Row],[Start_Date]],Table8[[#This Row],[Response_Date]]&gt;Table8[[#This Row],[End_Date]]),"Review - response outside campaign dates","")</f>
        <v/>
      </c>
      <c r="AD101" t="str">
        <f>IF(Table8[[#This Row],[Campaign_Type]]="","Review - campaign code not found","")</f>
        <v/>
      </c>
    </row>
    <row r="102" spans="1:30" x14ac:dyDescent="0.25">
      <c r="A102" t="s">
        <v>3541</v>
      </c>
      <c r="B102" t="s">
        <v>831</v>
      </c>
      <c r="C102" t="s">
        <v>3354</v>
      </c>
      <c r="D102" t="s">
        <v>3355</v>
      </c>
      <c r="E102" t="s">
        <v>65</v>
      </c>
      <c r="F102" s="17">
        <v>45618</v>
      </c>
      <c r="G102">
        <v>1439.27</v>
      </c>
      <c r="H102" t="s">
        <v>37</v>
      </c>
      <c r="I102" t="s">
        <v>3385</v>
      </c>
      <c r="J102" t="str">
        <f>_xlfn.XLOOKUP(Table8[[#This Row],[Supporter_ID]],tb1_supporters[Supporter_ID ],tb1_supporters[Segment],"")</f>
        <v>Major Donor</v>
      </c>
      <c r="K102" t="str">
        <f>_xlfn.XLOOKUP(Table8[[#This Row],[Supporter_ID]],tb1_supporters[Supporter_ID ],tb1_supporters[Acquisition_Source],"")</f>
        <v>Referral</v>
      </c>
      <c r="L102" t="str">
        <f>_xlfn.XLOOKUP(Table8[[#This Row],[Supporter_ID]],tb1_supporters[Supporter_ID ],tb1_supporters[County],"")</f>
        <v>Kent</v>
      </c>
      <c r="M102" t="str">
        <f>_xlfn.XLOOKUP(Table8[[#This Row],[Supporter_ID]],tb1_supporters[Supporter_ID ],tb1_supporters[Gender],"")</f>
        <v>Male</v>
      </c>
      <c r="N102">
        <f ca="1">_xlfn.XLOOKUP(Table8[[#This Row],[Supporter_ID]],tb1_supporters[Supporter_ID ],tb1_supporters[Age],"")</f>
        <v>66</v>
      </c>
      <c r="O102" t="str">
        <f ca="1">_xlfn.XLOOKUP(Table8[[#This Row],[Supporter_ID]],tb1_supporters[Supporter_ID ],tb1_supporters[Age_Band],"")</f>
        <v>65+</v>
      </c>
      <c r="P102" t="str">
        <f ca="1">IF(Table8[[#This Row],[Age_Band]]="","Unknown",Table8[[#This Row],[Age_Band]])</f>
        <v>65+</v>
      </c>
      <c r="Q102" t="str">
        <f>_xlfn.XLOOKUP(Table8[[#This Row],[Supporter_ID]],tb1_supporters[Supporter_ID ],tb1_supporters[Communication_Preference],"")</f>
        <v>Phone</v>
      </c>
      <c r="R102" t="str">
        <f>_xlfn.XLOOKUP(Table8[[#This Row],[Supporter_ID]],tb1_supporters[Supporter_ID ],tb1_supporters[Duplicate_Profile_Flag],"")</f>
        <v/>
      </c>
      <c r="S102" t="str">
        <f>_xlfn.XLOOKUP(Table8[[#This Row],[Supporter_ID]],tb1_supporters[Supporter_ID ],tb1_supporters[Preference_Compliance_Flag],"")</f>
        <v>Review - prefers phone but not opted in</v>
      </c>
      <c r="T102" t="str">
        <f ca="1">IF(Table8[[#This Row],[Age]]="","Review - missing DOB",IF(Table8[[#This Row],[Age]]&gt;TODAY(),"Review - future DOB",IF(Table8[[#This Row],[Age]]=0,"Review -  potential entry error (age 0)","")))</f>
        <v/>
      </c>
      <c r="U102" t="str">
        <f>_xlfn.XLOOKUP(Table8[[#This Row],[Campaign_Code]],tb3_CampaignMaster[Campaign_Code],tb3_CampaignMaster[Campaign_Type],"")</f>
        <v>Event</v>
      </c>
      <c r="V102" t="str">
        <f>_xlfn.XLOOKUP(Table8[[#This Row],[Campaign_Code]],tb3_CampaignMaster[Campaign_Code],tb3_CampaignMaster[Target_Audience],"")</f>
        <v>Volunteers</v>
      </c>
      <c r="W102" s="17">
        <f>_xlfn.XLOOKUP(Table8[[#This Row],[Campaign_Code]],tb3_CampaignMaster[Campaign_Code],tb3_CampaignMaster[Start_Date],"")</f>
        <v>45618</v>
      </c>
      <c r="X102" s="17">
        <f>_xlfn.XLOOKUP(Table8[[#This Row],[Campaign_Code]],tb3_CampaignMaster[Campaign_Code],tb3_CampaignMaster[End_Date],"")</f>
        <v>45618</v>
      </c>
      <c r="Y102">
        <f>_xlfn.XLOOKUP(Table8[[#This Row],[Campaign_Code]],tb3_CampaignMaster[Campaign_Code],tb3_CampaignMaster[Budget_GBP],"")</f>
        <v>3500</v>
      </c>
      <c r="Z102" t="str">
        <f>_xlfn.XLOOKUP(Table8[[#This Row],[Campaign_Code]],tb3_CampaignMaster[Campaign_Code],tb3_CampaignMaster[Primary_Channel],"")</f>
        <v>Email</v>
      </c>
      <c r="AA102" s="13">
        <f>IF(Table8[[#This Row],[Gift_Aid_Eligible]]="Yes",Table8[[#This Row],[Gift_Amount]]*1.25,Table8[[#This Row],[Gift_Amount]])</f>
        <v>1439.27</v>
      </c>
      <c r="AB102" t="str">
        <f>IF(Table8[[#This Row],[Supporter_ID]]="","Review - missing supporter ID","")</f>
        <v/>
      </c>
      <c r="AC102" t="str">
        <f>IF(OR(Table8[[#This Row],[Response_Date]]&lt;Table8[[#This Row],[Start_Date]],Table8[[#This Row],[Response_Date]]&gt;Table8[[#This Row],[End_Date]]),"Review - response outside campaign dates","")</f>
        <v/>
      </c>
      <c r="AD102" t="str">
        <f>IF(Table8[[#This Row],[Campaign_Type]]="","Review - campaign code not found","")</f>
        <v/>
      </c>
    </row>
    <row r="103" spans="1:30" x14ac:dyDescent="0.25">
      <c r="A103" t="s">
        <v>3542</v>
      </c>
      <c r="B103" t="s">
        <v>81</v>
      </c>
      <c r="C103" t="s">
        <v>3325</v>
      </c>
      <c r="D103" t="s">
        <v>3326</v>
      </c>
      <c r="E103" t="s">
        <v>3338</v>
      </c>
      <c r="F103" s="17">
        <v>45641</v>
      </c>
      <c r="G103">
        <v>80.290000000000006</v>
      </c>
      <c r="H103" t="s">
        <v>36</v>
      </c>
      <c r="I103" t="s">
        <v>3318</v>
      </c>
      <c r="J103" t="str">
        <f>_xlfn.XLOOKUP(Table8[[#This Row],[Supporter_ID]],tb1_supporters[Supporter_ID ],tb1_supporters[Segment],"")</f>
        <v>One-Time Donor</v>
      </c>
      <c r="K103" t="str">
        <f>_xlfn.XLOOKUP(Table8[[#This Row],[Supporter_ID]],tb1_supporters[Supporter_ID ],tb1_supporters[Acquisition_Source],"")</f>
        <v>Social Media</v>
      </c>
      <c r="L103" t="str">
        <f>_xlfn.XLOOKUP(Table8[[#This Row],[Supporter_ID]],tb1_supporters[Supporter_ID ],tb1_supporters[County],"")</f>
        <v>Cambridgeshire</v>
      </c>
      <c r="M103" t="str">
        <f>_xlfn.XLOOKUP(Table8[[#This Row],[Supporter_ID]],tb1_supporters[Supporter_ID ],tb1_supporters[Gender],"")</f>
        <v>Male</v>
      </c>
      <c r="N103">
        <f ca="1">_xlfn.XLOOKUP(Table8[[#This Row],[Supporter_ID]],tb1_supporters[Supporter_ID ],tb1_supporters[Age],"")</f>
        <v>85</v>
      </c>
      <c r="O103" t="str">
        <f ca="1">_xlfn.XLOOKUP(Table8[[#This Row],[Supporter_ID]],tb1_supporters[Supporter_ID ],tb1_supporters[Age_Band],"")</f>
        <v>65+</v>
      </c>
      <c r="P103" t="str">
        <f ca="1">IF(Table8[[#This Row],[Age_Band]]="","Unknown",Table8[[#This Row],[Age_Band]])</f>
        <v>65+</v>
      </c>
      <c r="Q103" t="str">
        <f>_xlfn.XLOOKUP(Table8[[#This Row],[Supporter_ID]],tb1_supporters[Supporter_ID ],tb1_supporters[Communication_Preference],"")</f>
        <v>Post</v>
      </c>
      <c r="R103" t="str">
        <f>_xlfn.XLOOKUP(Table8[[#This Row],[Supporter_ID]],tb1_supporters[Supporter_ID ],tb1_supporters[Duplicate_Profile_Flag],"")</f>
        <v/>
      </c>
      <c r="S103" t="str">
        <f>_xlfn.XLOOKUP(Table8[[#This Row],[Supporter_ID]],tb1_supporters[Supporter_ID ],tb1_supporters[Preference_Compliance_Flag],"")</f>
        <v>Review - prefers post but not opted in</v>
      </c>
      <c r="T103" t="str">
        <f ca="1">IF(Table8[[#This Row],[Age]]="","Review - missing DOB",IF(Table8[[#This Row],[Age]]&gt;TODAY(),"Review - future DOB",IF(Table8[[#This Row],[Age]]=0,"Review -  potential entry error (age 0)","")))</f>
        <v/>
      </c>
      <c r="U103" t="str">
        <f>_xlfn.XLOOKUP(Table8[[#This Row],[Campaign_Code]],tb3_CampaignMaster[Campaign_Code],tb3_CampaignMaster[Campaign_Type],"")</f>
        <v>Appeal</v>
      </c>
      <c r="V103" t="str">
        <f>_xlfn.XLOOKUP(Table8[[#This Row],[Campaign_Code]],tb3_CampaignMaster[Campaign_Code],tb3_CampaignMaster[Target_Audience],"")</f>
        <v>All Active</v>
      </c>
      <c r="W103" s="17">
        <f>_xlfn.XLOOKUP(Table8[[#This Row],[Campaign_Code]],tb3_CampaignMaster[Campaign_Code],tb3_CampaignMaster[Start_Date],"")</f>
        <v>45597</v>
      </c>
      <c r="X103" s="17">
        <f>_xlfn.XLOOKUP(Table8[[#This Row],[Campaign_Code]],tb3_CampaignMaster[Campaign_Code],tb3_CampaignMaster[End_Date],"")</f>
        <v>45657</v>
      </c>
      <c r="Y103">
        <f>_xlfn.XLOOKUP(Table8[[#This Row],[Campaign_Code]],tb3_CampaignMaster[Campaign_Code],tb3_CampaignMaster[Budget_GBP],"")</f>
        <v>25000</v>
      </c>
      <c r="Z103" t="str">
        <f>_xlfn.XLOOKUP(Table8[[#This Row],[Campaign_Code]],tb3_CampaignMaster[Campaign_Code],tb3_CampaignMaster[Primary_Channel],"")</f>
        <v>Multi-channel</v>
      </c>
      <c r="AA103" s="13">
        <f>IF(Table8[[#This Row],[Gift_Aid_Eligible]]="Yes",Table8[[#This Row],[Gift_Amount]]*1.25,Table8[[#This Row],[Gift_Amount]])</f>
        <v>100.36250000000001</v>
      </c>
      <c r="AB103" t="str">
        <f>IF(Table8[[#This Row],[Supporter_ID]]="","Review - missing supporter ID","")</f>
        <v/>
      </c>
      <c r="AC103" t="str">
        <f>IF(OR(Table8[[#This Row],[Response_Date]]&lt;Table8[[#This Row],[Start_Date]],Table8[[#This Row],[Response_Date]]&gt;Table8[[#This Row],[End_Date]]),"Review - response outside campaign dates","")</f>
        <v/>
      </c>
      <c r="AD103" t="str">
        <f>IF(Table8[[#This Row],[Campaign_Type]]="","Review - campaign code not found","")</f>
        <v/>
      </c>
    </row>
    <row r="104" spans="1:30" x14ac:dyDescent="0.25">
      <c r="A104" t="s">
        <v>3544</v>
      </c>
      <c r="B104" t="s">
        <v>920</v>
      </c>
      <c r="C104" t="s">
        <v>3314</v>
      </c>
      <c r="D104" t="s">
        <v>3315</v>
      </c>
      <c r="E104" t="s">
        <v>3316</v>
      </c>
      <c r="F104" s="17">
        <v>45739</v>
      </c>
      <c r="G104">
        <v>83.03</v>
      </c>
      <c r="H104" t="s">
        <v>36</v>
      </c>
      <c r="I104" t="s">
        <v>3365</v>
      </c>
      <c r="J104" t="str">
        <f>_xlfn.XLOOKUP(Table8[[#This Row],[Supporter_ID]],tb1_supporters[Supporter_ID ],tb1_supporters[Segment],"")</f>
        <v>Mid-Value</v>
      </c>
      <c r="K104" t="str">
        <f>_xlfn.XLOOKUP(Table8[[#This Row],[Supporter_ID]],tb1_supporters[Supporter_ID ],tb1_supporters[Acquisition_Source],"")</f>
        <v>Door-To-Door</v>
      </c>
      <c r="L104" t="str">
        <f>_xlfn.XLOOKUP(Table8[[#This Row],[Supporter_ID]],tb1_supporters[Supporter_ID ],tb1_supporters[County],"")</f>
        <v>Devon</v>
      </c>
      <c r="M104" t="str">
        <f>_xlfn.XLOOKUP(Table8[[#This Row],[Supporter_ID]],tb1_supporters[Supporter_ID ],tb1_supporters[Gender],"")</f>
        <v>Male</v>
      </c>
      <c r="N104">
        <f ca="1">_xlfn.XLOOKUP(Table8[[#This Row],[Supporter_ID]],tb1_supporters[Supporter_ID ],tb1_supporters[Age],"")</f>
        <v>64</v>
      </c>
      <c r="O104" t="str">
        <f ca="1">_xlfn.XLOOKUP(Table8[[#This Row],[Supporter_ID]],tb1_supporters[Supporter_ID ],tb1_supporters[Age_Band],"")</f>
        <v>50-64</v>
      </c>
      <c r="P104" t="str">
        <f ca="1">IF(Table8[[#This Row],[Age_Band]]="","Unknown",Table8[[#This Row],[Age_Band]])</f>
        <v>50-64</v>
      </c>
      <c r="Q104" t="str">
        <f>_xlfn.XLOOKUP(Table8[[#This Row],[Supporter_ID]],tb1_supporters[Supporter_ID ],tb1_supporters[Communication_Preference],"")</f>
        <v>Email</v>
      </c>
      <c r="R104" t="str">
        <f>_xlfn.XLOOKUP(Table8[[#This Row],[Supporter_ID]],tb1_supporters[Supporter_ID ],tb1_supporters[Duplicate_Profile_Flag],"")</f>
        <v/>
      </c>
      <c r="S104" t="str">
        <f>_xlfn.XLOOKUP(Table8[[#This Row],[Supporter_ID]],tb1_supporters[Supporter_ID ],tb1_supporters[Preference_Compliance_Flag],"")</f>
        <v>Review - prefers email but not opted in</v>
      </c>
      <c r="T104" t="str">
        <f ca="1">IF(Table8[[#This Row],[Age]]="","Review - missing DOB",IF(Table8[[#This Row],[Age]]&gt;TODAY(),"Review - future DOB",IF(Table8[[#This Row],[Age]]=0,"Review -  potential entry error (age 0)","")))</f>
        <v/>
      </c>
      <c r="U104" t="str">
        <f>_xlfn.XLOOKUP(Table8[[#This Row],[Campaign_Code]],tb3_CampaignMaster[Campaign_Code],tb3_CampaignMaster[Campaign_Type],"")</f>
        <v>Regular Giving</v>
      </c>
      <c r="V104" t="str">
        <f>_xlfn.XLOOKUP(Table8[[#This Row],[Campaign_Code]],tb3_CampaignMaster[Campaign_Code],tb3_CampaignMaster[Target_Audience],"")</f>
        <v>One-time Donors</v>
      </c>
      <c r="W104" s="17">
        <f>_xlfn.XLOOKUP(Table8[[#This Row],[Campaign_Code]],tb3_CampaignMaster[Campaign_Code],tb3_CampaignMaster[Start_Date],"")</f>
        <v>45663</v>
      </c>
      <c r="X104" s="17">
        <f>_xlfn.XLOOKUP(Table8[[#This Row],[Campaign_Code]],tb3_CampaignMaster[Campaign_Code],tb3_CampaignMaster[End_Date],"")</f>
        <v>45747</v>
      </c>
      <c r="Y104">
        <f>_xlfn.XLOOKUP(Table8[[#This Row],[Campaign_Code]],tb3_CampaignMaster[Campaign_Code],tb3_CampaignMaster[Budget_GBP],"")</f>
        <v>10000</v>
      </c>
      <c r="Z104" t="str">
        <f>_xlfn.XLOOKUP(Table8[[#This Row],[Campaign_Code]],tb3_CampaignMaster[Campaign_Code],tb3_CampaignMaster[Primary_Channel],"")</f>
        <v>Telephone</v>
      </c>
      <c r="AA104" s="13">
        <f>IF(Table8[[#This Row],[Gift_Aid_Eligible]]="Yes",Table8[[#This Row],[Gift_Amount]]*1.25,Table8[[#This Row],[Gift_Amount]])</f>
        <v>103.78749999999999</v>
      </c>
      <c r="AB104" t="str">
        <f>IF(Table8[[#This Row],[Supporter_ID]]="","Review - missing supporter ID","")</f>
        <v/>
      </c>
      <c r="AC104" t="str">
        <f>IF(OR(Table8[[#This Row],[Response_Date]]&lt;Table8[[#This Row],[Start_Date]],Table8[[#This Row],[Response_Date]]&gt;Table8[[#This Row],[End_Date]]),"Review - response outside campaign dates","")</f>
        <v/>
      </c>
      <c r="AD104" t="str">
        <f>IF(Table8[[#This Row],[Campaign_Type]]="","Review - campaign code not found","")</f>
        <v/>
      </c>
    </row>
    <row r="105" spans="1:30" x14ac:dyDescent="0.25">
      <c r="A105" t="s">
        <v>3545</v>
      </c>
      <c r="B105" t="s">
        <v>3089</v>
      </c>
      <c r="C105" t="s">
        <v>3403</v>
      </c>
      <c r="D105" t="s">
        <v>3404</v>
      </c>
      <c r="E105" t="s">
        <v>4</v>
      </c>
      <c r="F105" s="17">
        <v>45596</v>
      </c>
      <c r="G105">
        <v>25.93</v>
      </c>
      <c r="H105" t="s">
        <v>36</v>
      </c>
      <c r="I105" t="s">
        <v>3331</v>
      </c>
      <c r="J105" t="str">
        <f>_xlfn.XLOOKUP(Table8[[#This Row],[Supporter_ID]],tb1_supporters[Supporter_ID ],tb1_supporters[Segment],"")</f>
        <v>Prospect</v>
      </c>
      <c r="K105" t="str">
        <f>_xlfn.XLOOKUP(Table8[[#This Row],[Supporter_ID]],tb1_supporters[Supporter_ID ],tb1_supporters[Acquisition_Source],"")</f>
        <v>Direct Mail</v>
      </c>
      <c r="L105" t="str">
        <f>_xlfn.XLOOKUP(Table8[[#This Row],[Supporter_ID]],tb1_supporters[Supporter_ID ],tb1_supporters[County],"")</f>
        <v>Hampshire</v>
      </c>
      <c r="M105" t="str">
        <f>_xlfn.XLOOKUP(Table8[[#This Row],[Supporter_ID]],tb1_supporters[Supporter_ID ],tb1_supporters[Gender],"")</f>
        <v>Male</v>
      </c>
      <c r="N105">
        <f ca="1">_xlfn.XLOOKUP(Table8[[#This Row],[Supporter_ID]],tb1_supporters[Supporter_ID ],tb1_supporters[Age],"")</f>
        <v>76</v>
      </c>
      <c r="O105" t="str">
        <f ca="1">_xlfn.XLOOKUP(Table8[[#This Row],[Supporter_ID]],tb1_supporters[Supporter_ID ],tb1_supporters[Age_Band],"")</f>
        <v>65+</v>
      </c>
      <c r="P105" t="str">
        <f ca="1">IF(Table8[[#This Row],[Age_Band]]="","Unknown",Table8[[#This Row],[Age_Band]])</f>
        <v>65+</v>
      </c>
      <c r="Q105" t="str">
        <f>_xlfn.XLOOKUP(Table8[[#This Row],[Supporter_ID]],tb1_supporters[Supporter_ID ],tb1_supporters[Communication_Preference],"")</f>
        <v>Email</v>
      </c>
      <c r="R105" t="str">
        <f>_xlfn.XLOOKUP(Table8[[#This Row],[Supporter_ID]],tb1_supporters[Supporter_ID ],tb1_supporters[Duplicate_Profile_Flag],"")</f>
        <v/>
      </c>
      <c r="S105" t="str">
        <f>_xlfn.XLOOKUP(Table8[[#This Row],[Supporter_ID]],tb1_supporters[Supporter_ID ],tb1_supporters[Preference_Compliance_Flag],"")</f>
        <v>Review - prefers email but not opted in</v>
      </c>
      <c r="T105" t="str">
        <f ca="1">IF(Table8[[#This Row],[Age]]="","Review - missing DOB",IF(Table8[[#This Row],[Age]]&gt;TODAY(),"Review - future DOB",IF(Table8[[#This Row],[Age]]=0,"Review -  potential entry error (age 0)","")))</f>
        <v/>
      </c>
      <c r="U105" t="str">
        <f>_xlfn.XLOOKUP(Table8[[#This Row],[Campaign_Code]],tb3_CampaignMaster[Campaign_Code],tb3_CampaignMaster[Campaign_Type],"")</f>
        <v>Trading</v>
      </c>
      <c r="V105" t="str">
        <f>_xlfn.XLOOKUP(Table8[[#This Row],[Campaign_Code]],tb3_CampaignMaster[Campaign_Code],tb3_CampaignMaster[Target_Audience],"")</f>
        <v>All Active</v>
      </c>
      <c r="W105" s="17">
        <f>_xlfn.XLOOKUP(Table8[[#This Row],[Campaign_Code]],tb3_CampaignMaster[Campaign_Code],tb3_CampaignMaster[Start_Date],"")</f>
        <v>45580</v>
      </c>
      <c r="X105" s="17">
        <f>_xlfn.XLOOKUP(Table8[[#This Row],[Campaign_Code]],tb3_CampaignMaster[Campaign_Code],tb3_CampaignMaster[End_Date],"")</f>
        <v>45646</v>
      </c>
      <c r="Y105">
        <f>_xlfn.XLOOKUP(Table8[[#This Row],[Campaign_Code]],tb3_CampaignMaster[Campaign_Code],tb3_CampaignMaster[Budget_GBP],"")</f>
        <v>12000</v>
      </c>
      <c r="Z105" t="str">
        <f>_xlfn.XLOOKUP(Table8[[#This Row],[Campaign_Code]],tb3_CampaignMaster[Campaign_Code],tb3_CampaignMaster[Primary_Channel],"")</f>
        <v>Multi-channel</v>
      </c>
      <c r="AA105" s="13">
        <f>IF(Table8[[#This Row],[Gift_Aid_Eligible]]="Yes",Table8[[#This Row],[Gift_Amount]]*1.25,Table8[[#This Row],[Gift_Amount]])</f>
        <v>32.412500000000001</v>
      </c>
      <c r="AB105" t="str">
        <f>IF(Table8[[#This Row],[Supporter_ID]]="","Review - missing supporter ID","")</f>
        <v/>
      </c>
      <c r="AC105" t="str">
        <f>IF(OR(Table8[[#This Row],[Response_Date]]&lt;Table8[[#This Row],[Start_Date]],Table8[[#This Row],[Response_Date]]&gt;Table8[[#This Row],[End_Date]]),"Review - response outside campaign dates","")</f>
        <v/>
      </c>
      <c r="AD105" t="str">
        <f>IF(Table8[[#This Row],[Campaign_Type]]="","Review - campaign code not found","")</f>
        <v/>
      </c>
    </row>
    <row r="106" spans="1:30" x14ac:dyDescent="0.25">
      <c r="A106" t="s">
        <v>3547</v>
      </c>
      <c r="B106" t="s">
        <v>1982</v>
      </c>
      <c r="C106" t="s">
        <v>3320</v>
      </c>
      <c r="D106" t="s">
        <v>3321</v>
      </c>
      <c r="E106" t="s">
        <v>4</v>
      </c>
      <c r="F106" s="17">
        <v>45328</v>
      </c>
      <c r="G106">
        <v>497.59</v>
      </c>
      <c r="H106" t="s">
        <v>37</v>
      </c>
      <c r="I106" t="s">
        <v>3318</v>
      </c>
      <c r="J106" t="str">
        <f>_xlfn.XLOOKUP(Table8[[#This Row],[Supporter_ID]],tb1_supporters[Supporter_ID ],tb1_supporters[Segment],"")</f>
        <v>Legacy Pledger</v>
      </c>
      <c r="K106" t="str">
        <f>_xlfn.XLOOKUP(Table8[[#This Row],[Supporter_ID]],tb1_supporters[Supporter_ID ],tb1_supporters[Acquisition_Source],"")</f>
        <v>Direct Mail</v>
      </c>
      <c r="L106" t="str">
        <f>_xlfn.XLOOKUP(Table8[[#This Row],[Supporter_ID]],tb1_supporters[Supporter_ID ],tb1_supporters[County],"")</f>
        <v>Buckinghamshire</v>
      </c>
      <c r="M106" t="str">
        <f>_xlfn.XLOOKUP(Table8[[#This Row],[Supporter_ID]],tb1_supporters[Supporter_ID ],tb1_supporters[Gender],"")</f>
        <v>Male</v>
      </c>
      <c r="N106">
        <f ca="1">_xlfn.XLOOKUP(Table8[[#This Row],[Supporter_ID]],tb1_supporters[Supporter_ID ],tb1_supporters[Age],"")</f>
        <v>71</v>
      </c>
      <c r="O106" t="str">
        <f ca="1">_xlfn.XLOOKUP(Table8[[#This Row],[Supporter_ID]],tb1_supporters[Supporter_ID ],tb1_supporters[Age_Band],"")</f>
        <v>65+</v>
      </c>
      <c r="P106" t="str">
        <f ca="1">IF(Table8[[#This Row],[Age_Band]]="","Unknown",Table8[[#This Row],[Age_Band]])</f>
        <v>65+</v>
      </c>
      <c r="Q106" t="str">
        <f>_xlfn.XLOOKUP(Table8[[#This Row],[Supporter_ID]],tb1_supporters[Supporter_ID ],tb1_supporters[Communication_Preference],"")</f>
        <v>Post</v>
      </c>
      <c r="R106" t="str">
        <f>_xlfn.XLOOKUP(Table8[[#This Row],[Supporter_ID]],tb1_supporters[Supporter_ID ],tb1_supporters[Duplicate_Profile_Flag],"")</f>
        <v/>
      </c>
      <c r="S106" t="str">
        <f>_xlfn.XLOOKUP(Table8[[#This Row],[Supporter_ID]],tb1_supporters[Supporter_ID ],tb1_supporters[Preference_Compliance_Flag],"")</f>
        <v/>
      </c>
      <c r="T106" t="str">
        <f ca="1">IF(Table8[[#This Row],[Age]]="","Review - missing DOB",IF(Table8[[#This Row],[Age]]&gt;TODAY(),"Review - future DOB",IF(Table8[[#This Row],[Age]]=0,"Review -  potential entry error (age 0)","")))</f>
        <v/>
      </c>
      <c r="U106" t="str">
        <f>_xlfn.XLOOKUP(Table8[[#This Row],[Campaign_Code]],tb3_CampaignMaster[Campaign_Code],tb3_CampaignMaster[Campaign_Type],"")</f>
        <v>Stewardship</v>
      </c>
      <c r="V106" t="str">
        <f>_xlfn.XLOOKUP(Table8[[#This Row],[Campaign_Code]],tb3_CampaignMaster[Campaign_Code],tb3_CampaignMaster[Target_Audience],"")</f>
        <v>Major Donors</v>
      </c>
      <c r="W106" s="17">
        <f>_xlfn.XLOOKUP(Table8[[#This Row],[Campaign_Code]],tb3_CampaignMaster[Campaign_Code],tb3_CampaignMaster[Start_Date],"")</f>
        <v>45444</v>
      </c>
      <c r="X106" s="17">
        <f>_xlfn.XLOOKUP(Table8[[#This Row],[Campaign_Code]],tb3_CampaignMaster[Campaign_Code],tb3_CampaignMaster[End_Date],"")</f>
        <v>45473</v>
      </c>
      <c r="Y106">
        <f>_xlfn.XLOOKUP(Table8[[#This Row],[Campaign_Code]],tb3_CampaignMaster[Campaign_Code],tb3_CampaignMaster[Budget_GBP],"")</f>
        <v>7000</v>
      </c>
      <c r="Z106" t="str">
        <f>_xlfn.XLOOKUP(Table8[[#This Row],[Campaign_Code]],tb3_CampaignMaster[Campaign_Code],tb3_CampaignMaster[Primary_Channel],"")</f>
        <v>Direct Mail</v>
      </c>
      <c r="AA106" s="13">
        <f>IF(Table8[[#This Row],[Gift_Aid_Eligible]]="Yes",Table8[[#This Row],[Gift_Amount]]*1.25,Table8[[#This Row],[Gift_Amount]])</f>
        <v>497.59</v>
      </c>
      <c r="AB106" t="str">
        <f>IF(Table8[[#This Row],[Supporter_ID]]="","Review - missing supporter ID","")</f>
        <v/>
      </c>
      <c r="AC106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106" t="str">
        <f>IF(Table8[[#This Row],[Campaign_Type]]="","Review - campaign code not found","")</f>
        <v/>
      </c>
    </row>
    <row r="107" spans="1:30" x14ac:dyDescent="0.25">
      <c r="A107" t="s">
        <v>3549</v>
      </c>
      <c r="B107" t="s">
        <v>2268</v>
      </c>
      <c r="C107" t="s">
        <v>3403</v>
      </c>
      <c r="D107" t="s">
        <v>3404</v>
      </c>
      <c r="E107" t="s">
        <v>4</v>
      </c>
      <c r="F107" s="17">
        <v>45646</v>
      </c>
      <c r="G107">
        <v>12.83</v>
      </c>
      <c r="H107" t="s">
        <v>36</v>
      </c>
      <c r="I107" t="s">
        <v>3385</v>
      </c>
      <c r="J107" t="str">
        <f>_xlfn.XLOOKUP(Table8[[#This Row],[Supporter_ID]],tb1_supporters[Supporter_ID ],tb1_supporters[Segment],"")</f>
        <v>Lapsed</v>
      </c>
      <c r="K107" t="str">
        <f>_xlfn.XLOOKUP(Table8[[#This Row],[Supporter_ID]],tb1_supporters[Supporter_ID ],tb1_supporters[Acquisition_Source],"")</f>
        <v>Corporate Partner</v>
      </c>
      <c r="L107" t="str">
        <f>_xlfn.XLOOKUP(Table8[[#This Row],[Supporter_ID]],tb1_supporters[Supporter_ID ],tb1_supporters[County],"")</f>
        <v>South Glamorgan</v>
      </c>
      <c r="M107" t="str">
        <f>_xlfn.XLOOKUP(Table8[[#This Row],[Supporter_ID]],tb1_supporters[Supporter_ID ],tb1_supporters[Gender],"")</f>
        <v>Male</v>
      </c>
      <c r="N107" t="str">
        <f ca="1">_xlfn.XLOOKUP(Table8[[#This Row],[Supporter_ID]],tb1_supporters[Supporter_ID ],tb1_supporters[Age],"")</f>
        <v/>
      </c>
      <c r="O107" t="str">
        <f ca="1">_xlfn.XLOOKUP(Table8[[#This Row],[Supporter_ID]],tb1_supporters[Supporter_ID ],tb1_supporters[Age_Band],"")</f>
        <v/>
      </c>
      <c r="P107" t="str">
        <f ca="1">IF(Table8[[#This Row],[Age_Band]]="","Unknown",Table8[[#This Row],[Age_Band]])</f>
        <v>Unknown</v>
      </c>
      <c r="Q107" t="str">
        <f>_xlfn.XLOOKUP(Table8[[#This Row],[Supporter_ID]],tb1_supporters[Supporter_ID ],tb1_supporters[Communication_Preference],"")</f>
        <v>Post</v>
      </c>
      <c r="R107" t="str">
        <f>_xlfn.XLOOKUP(Table8[[#This Row],[Supporter_ID]],tb1_supporters[Supporter_ID ],tb1_supporters[Duplicate_Profile_Flag],"")</f>
        <v/>
      </c>
      <c r="S107" t="str">
        <f>_xlfn.XLOOKUP(Table8[[#This Row],[Supporter_ID]],tb1_supporters[Supporter_ID ],tb1_supporters[Preference_Compliance_Flag],"")</f>
        <v/>
      </c>
      <c r="T107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107" t="str">
        <f>_xlfn.XLOOKUP(Table8[[#This Row],[Campaign_Code]],tb3_CampaignMaster[Campaign_Code],tb3_CampaignMaster[Campaign_Type],"")</f>
        <v>Trading</v>
      </c>
      <c r="V107" t="str">
        <f>_xlfn.XLOOKUP(Table8[[#This Row],[Campaign_Code]],tb3_CampaignMaster[Campaign_Code],tb3_CampaignMaster[Target_Audience],"")</f>
        <v>All Active</v>
      </c>
      <c r="W107" s="17">
        <f>_xlfn.XLOOKUP(Table8[[#This Row],[Campaign_Code]],tb3_CampaignMaster[Campaign_Code],tb3_CampaignMaster[Start_Date],"")</f>
        <v>45580</v>
      </c>
      <c r="X107" s="17">
        <f>_xlfn.XLOOKUP(Table8[[#This Row],[Campaign_Code]],tb3_CampaignMaster[Campaign_Code],tb3_CampaignMaster[End_Date],"")</f>
        <v>45646</v>
      </c>
      <c r="Y107">
        <f>_xlfn.XLOOKUP(Table8[[#This Row],[Campaign_Code]],tb3_CampaignMaster[Campaign_Code],tb3_CampaignMaster[Budget_GBP],"")</f>
        <v>12000</v>
      </c>
      <c r="Z107" t="str">
        <f>_xlfn.XLOOKUP(Table8[[#This Row],[Campaign_Code]],tb3_CampaignMaster[Campaign_Code],tb3_CampaignMaster[Primary_Channel],"")</f>
        <v>Multi-channel</v>
      </c>
      <c r="AA107" s="13">
        <f>IF(Table8[[#This Row],[Gift_Aid_Eligible]]="Yes",Table8[[#This Row],[Gift_Amount]]*1.25,Table8[[#This Row],[Gift_Amount]])</f>
        <v>16.037500000000001</v>
      </c>
      <c r="AB107" t="str">
        <f>IF(Table8[[#This Row],[Supporter_ID]]="","Review - missing supporter ID","")</f>
        <v/>
      </c>
      <c r="AC107" t="str">
        <f>IF(OR(Table8[[#This Row],[Response_Date]]&lt;Table8[[#This Row],[Start_Date]],Table8[[#This Row],[Response_Date]]&gt;Table8[[#This Row],[End_Date]]),"Review - response outside campaign dates","")</f>
        <v/>
      </c>
      <c r="AD107" t="str">
        <f>IF(Table8[[#This Row],[Campaign_Type]]="","Review - campaign code not found","")</f>
        <v/>
      </c>
    </row>
    <row r="108" spans="1:30" x14ac:dyDescent="0.25">
      <c r="A108" t="s">
        <v>3550</v>
      </c>
      <c r="B108" t="s">
        <v>2475</v>
      </c>
      <c r="C108" t="s">
        <v>3367</v>
      </c>
      <c r="D108" t="s">
        <v>3368</v>
      </c>
      <c r="E108" t="s">
        <v>4</v>
      </c>
      <c r="F108" s="17">
        <v>45760</v>
      </c>
      <c r="G108">
        <v>25.11</v>
      </c>
      <c r="H108" t="s">
        <v>36</v>
      </c>
      <c r="I108" t="s">
        <v>3323</v>
      </c>
      <c r="J108" t="str">
        <f>_xlfn.XLOOKUP(Table8[[#This Row],[Supporter_ID]],tb1_supporters[Supporter_ID ],tb1_supporters[Segment],"")</f>
        <v>Prospect</v>
      </c>
      <c r="K108" t="str">
        <f>_xlfn.XLOOKUP(Table8[[#This Row],[Supporter_ID]],tb1_supporters[Supporter_ID ],tb1_supporters[Acquisition_Source],"")</f>
        <v>Referral</v>
      </c>
      <c r="L108" t="str">
        <f>_xlfn.XLOOKUP(Table8[[#This Row],[Supporter_ID]],tb1_supporters[Supporter_ID ],tb1_supporters[County],"")</f>
        <v>Greater Manchester</v>
      </c>
      <c r="M108" t="str">
        <f>_xlfn.XLOOKUP(Table8[[#This Row],[Supporter_ID]],tb1_supporters[Supporter_ID ],tb1_supporters[Gender],"")</f>
        <v>Female</v>
      </c>
      <c r="N108">
        <f ca="1">_xlfn.XLOOKUP(Table8[[#This Row],[Supporter_ID]],tb1_supporters[Supporter_ID ],tb1_supporters[Age],"")</f>
        <v>52</v>
      </c>
      <c r="O108" t="str">
        <f ca="1">_xlfn.XLOOKUP(Table8[[#This Row],[Supporter_ID]],tb1_supporters[Supporter_ID ],tb1_supporters[Age_Band],"")</f>
        <v>50-64</v>
      </c>
      <c r="P108" t="str">
        <f ca="1">IF(Table8[[#This Row],[Age_Band]]="","Unknown",Table8[[#This Row],[Age_Band]])</f>
        <v>50-64</v>
      </c>
      <c r="Q108" t="str">
        <f>_xlfn.XLOOKUP(Table8[[#This Row],[Supporter_ID]],tb1_supporters[Supporter_ID ],tb1_supporters[Communication_Preference],"")</f>
        <v>Email</v>
      </c>
      <c r="R108" t="str">
        <f>_xlfn.XLOOKUP(Table8[[#This Row],[Supporter_ID]],tb1_supporters[Supporter_ID ],tb1_supporters[Duplicate_Profile_Flag],"")</f>
        <v/>
      </c>
      <c r="S108" t="str">
        <f>_xlfn.XLOOKUP(Table8[[#This Row],[Supporter_ID]],tb1_supporters[Supporter_ID ],tb1_supporters[Preference_Compliance_Flag],"")</f>
        <v/>
      </c>
      <c r="T108" t="str">
        <f ca="1">IF(Table8[[#This Row],[Age]]="","Review - missing DOB",IF(Table8[[#This Row],[Age]]&gt;TODAY(),"Review - future DOB",IF(Table8[[#This Row],[Age]]=0,"Review -  potential entry error (age 0)","")))</f>
        <v/>
      </c>
      <c r="U108" t="str">
        <f>_xlfn.XLOOKUP(Table8[[#This Row],[Campaign_Code]],tb3_CampaignMaster[Campaign_Code],tb3_CampaignMaster[Campaign_Type],"")</f>
        <v>Raffle</v>
      </c>
      <c r="V108" t="str">
        <f>_xlfn.XLOOKUP(Table8[[#This Row],[Campaign_Code]],tb3_CampaignMaster[Campaign_Code],tb3_CampaignMaster[Target_Audience],"")</f>
        <v>Regular Givers</v>
      </c>
      <c r="W108" s="17">
        <f>_xlfn.XLOOKUP(Table8[[#This Row],[Campaign_Code]],tb3_CampaignMaster[Campaign_Code],tb3_CampaignMaster[Start_Date],"")</f>
        <v>45717</v>
      </c>
      <c r="X108" s="17">
        <f>_xlfn.XLOOKUP(Table8[[#This Row],[Campaign_Code]],tb3_CampaignMaster[Campaign_Code],tb3_CampaignMaster[End_Date],"")</f>
        <v>45777</v>
      </c>
      <c r="Y108">
        <f>_xlfn.XLOOKUP(Table8[[#This Row],[Campaign_Code]],tb3_CampaignMaster[Campaign_Code],tb3_CampaignMaster[Budget_GBP],"")</f>
        <v>8000</v>
      </c>
      <c r="Z108" t="str">
        <f>_xlfn.XLOOKUP(Table8[[#This Row],[Campaign_Code]],tb3_CampaignMaster[Campaign_Code],tb3_CampaignMaster[Primary_Channel],"")</f>
        <v>Direct Mail</v>
      </c>
      <c r="AA108" s="13">
        <f>IF(Table8[[#This Row],[Gift_Aid_Eligible]]="Yes",Table8[[#This Row],[Gift_Amount]]*1.25,Table8[[#This Row],[Gift_Amount]])</f>
        <v>31.387499999999999</v>
      </c>
      <c r="AB108" t="str">
        <f>IF(Table8[[#This Row],[Supporter_ID]]="","Review - missing supporter ID","")</f>
        <v/>
      </c>
      <c r="AC108" t="str">
        <f>IF(OR(Table8[[#This Row],[Response_Date]]&lt;Table8[[#This Row],[Start_Date]],Table8[[#This Row],[Response_Date]]&gt;Table8[[#This Row],[End_Date]]),"Review - response outside campaign dates","")</f>
        <v/>
      </c>
      <c r="AD108" t="str">
        <f>IF(Table8[[#This Row],[Campaign_Type]]="","Review - campaign code not found","")</f>
        <v/>
      </c>
    </row>
    <row r="109" spans="1:30" x14ac:dyDescent="0.25">
      <c r="A109" t="s">
        <v>3552</v>
      </c>
      <c r="B109" t="s">
        <v>2711</v>
      </c>
      <c r="C109" t="s">
        <v>3427</v>
      </c>
      <c r="D109" t="s">
        <v>3428</v>
      </c>
      <c r="E109" t="s">
        <v>65</v>
      </c>
      <c r="F109" s="17">
        <v>45488</v>
      </c>
      <c r="G109">
        <v>469.57</v>
      </c>
      <c r="H109" t="s">
        <v>37</v>
      </c>
      <c r="I109" t="s">
        <v>3370</v>
      </c>
      <c r="J109" t="str">
        <f>_xlfn.XLOOKUP(Table8[[#This Row],[Supporter_ID]],tb1_supporters[Supporter_ID ],tb1_supporters[Segment],"")</f>
        <v>Legacy Pledger</v>
      </c>
      <c r="K109" t="str">
        <f>_xlfn.XLOOKUP(Table8[[#This Row],[Supporter_ID]],tb1_supporters[Supporter_ID ],tb1_supporters[Acquisition_Source],"")</f>
        <v>Social Media</v>
      </c>
      <c r="L109" t="str">
        <f>_xlfn.XLOOKUP(Table8[[#This Row],[Supporter_ID]],tb1_supporters[Supporter_ID ],tb1_supporters[County],"")</f>
        <v>Suffolk</v>
      </c>
      <c r="M109" t="str">
        <f>_xlfn.XLOOKUP(Table8[[#This Row],[Supporter_ID]],tb1_supporters[Supporter_ID ],tb1_supporters[Gender],"")</f>
        <v>Female</v>
      </c>
      <c r="N109">
        <f ca="1">_xlfn.XLOOKUP(Table8[[#This Row],[Supporter_ID]],tb1_supporters[Supporter_ID ],tb1_supporters[Age],"")</f>
        <v>88</v>
      </c>
      <c r="O109" t="str">
        <f ca="1">_xlfn.XLOOKUP(Table8[[#This Row],[Supporter_ID]],tb1_supporters[Supporter_ID ],tb1_supporters[Age_Band],"")</f>
        <v>65+</v>
      </c>
      <c r="P109" t="str">
        <f ca="1">IF(Table8[[#This Row],[Age_Band]]="","Unknown",Table8[[#This Row],[Age_Band]])</f>
        <v>65+</v>
      </c>
      <c r="Q109" t="str">
        <f>_xlfn.XLOOKUP(Table8[[#This Row],[Supporter_ID]],tb1_supporters[Supporter_ID ],tb1_supporters[Communication_Preference],"")</f>
        <v>Phone</v>
      </c>
      <c r="R109" t="str">
        <f>_xlfn.XLOOKUP(Table8[[#This Row],[Supporter_ID]],tb1_supporters[Supporter_ID ],tb1_supporters[Duplicate_Profile_Flag],"")</f>
        <v/>
      </c>
      <c r="S109" t="str">
        <f>_xlfn.XLOOKUP(Table8[[#This Row],[Supporter_ID]],tb1_supporters[Supporter_ID ],tb1_supporters[Preference_Compliance_Flag],"")</f>
        <v>Review - prefers phone but not opted in</v>
      </c>
      <c r="T109" t="str">
        <f ca="1">IF(Table8[[#This Row],[Age]]="","Review - missing DOB",IF(Table8[[#This Row],[Age]]&gt;TODAY(),"Review - future DOB",IF(Table8[[#This Row],[Age]]=0,"Review -  potential entry error (age 0)","")))</f>
        <v/>
      </c>
      <c r="U109" t="str">
        <f>_xlfn.XLOOKUP(Table8[[#This Row],[Campaign_Code]],tb3_CampaignMaster[Campaign_Code],tb3_CampaignMaster[Campaign_Type],"")</f>
        <v>Event</v>
      </c>
      <c r="V109" t="str">
        <f>_xlfn.XLOOKUP(Table8[[#This Row],[Campaign_Code]],tb3_CampaignMaster[Campaign_Code],tb3_CampaignMaster[Target_Audience],"")</f>
        <v>Major Donors</v>
      </c>
      <c r="W109" s="17">
        <f>_xlfn.XLOOKUP(Table8[[#This Row],[Campaign_Code]],tb3_CampaignMaster[Campaign_Code],tb3_CampaignMaster[Start_Date],"")</f>
        <v>45488</v>
      </c>
      <c r="X109" s="17">
        <f>_xlfn.XLOOKUP(Table8[[#This Row],[Campaign_Code]],tb3_CampaignMaster[Campaign_Code],tb3_CampaignMaster[End_Date],"")</f>
        <v>45488</v>
      </c>
      <c r="Y109">
        <f>_xlfn.XLOOKUP(Table8[[#This Row],[Campaign_Code]],tb3_CampaignMaster[Campaign_Code],tb3_CampaignMaster[Budget_GBP],"")</f>
        <v>45000</v>
      </c>
      <c r="Z109" t="str">
        <f>_xlfn.XLOOKUP(Table8[[#This Row],[Campaign_Code]],tb3_CampaignMaster[Campaign_Code],tb3_CampaignMaster[Primary_Channel],"")</f>
        <v>Direct Mail</v>
      </c>
      <c r="AA109" s="13">
        <f>IF(Table8[[#This Row],[Gift_Aid_Eligible]]="Yes",Table8[[#This Row],[Gift_Amount]]*1.25,Table8[[#This Row],[Gift_Amount]])</f>
        <v>469.57</v>
      </c>
      <c r="AB109" t="str">
        <f>IF(Table8[[#This Row],[Supporter_ID]]="","Review - missing supporter ID","")</f>
        <v/>
      </c>
      <c r="AC109" t="str">
        <f>IF(OR(Table8[[#This Row],[Response_Date]]&lt;Table8[[#This Row],[Start_Date]],Table8[[#This Row],[Response_Date]]&gt;Table8[[#This Row],[End_Date]]),"Review - response outside campaign dates","")</f>
        <v/>
      </c>
      <c r="AD109" t="str">
        <f>IF(Table8[[#This Row],[Campaign_Type]]="","Review - campaign code not found","")</f>
        <v/>
      </c>
    </row>
    <row r="110" spans="1:30" x14ac:dyDescent="0.25">
      <c r="A110" t="s">
        <v>3553</v>
      </c>
      <c r="B110" t="s">
        <v>2284</v>
      </c>
      <c r="C110" t="s">
        <v>3362</v>
      </c>
      <c r="D110" t="s">
        <v>3363</v>
      </c>
      <c r="E110" t="s">
        <v>65</v>
      </c>
      <c r="F110" s="17">
        <v>45574</v>
      </c>
      <c r="G110">
        <v>3919.37</v>
      </c>
      <c r="H110" t="s">
        <v>37</v>
      </c>
      <c r="I110" t="s">
        <v>3334</v>
      </c>
      <c r="J110" t="str">
        <f>_xlfn.XLOOKUP(Table8[[#This Row],[Supporter_ID]],tb1_supporters[Supporter_ID ],tb1_supporters[Segment],"")</f>
        <v>Major Donor</v>
      </c>
      <c r="K110" t="str">
        <f>_xlfn.XLOOKUP(Table8[[#This Row],[Supporter_ID]],tb1_supporters[Supporter_ID ],tb1_supporters[Acquisition_Source],"")</f>
        <v>Corporate Partner</v>
      </c>
      <c r="L110" t="str">
        <f>_xlfn.XLOOKUP(Table8[[#This Row],[Supporter_ID]],tb1_supporters[Supporter_ID ],tb1_supporters[County],"")</f>
        <v>Berkshire</v>
      </c>
      <c r="M110" t="str">
        <f>_xlfn.XLOOKUP(Table8[[#This Row],[Supporter_ID]],tb1_supporters[Supporter_ID ],tb1_supporters[Gender],"")</f>
        <v>Male</v>
      </c>
      <c r="N110" t="str">
        <f ca="1">_xlfn.XLOOKUP(Table8[[#This Row],[Supporter_ID]],tb1_supporters[Supporter_ID ],tb1_supporters[Age],"")</f>
        <v/>
      </c>
      <c r="O110" t="str">
        <f ca="1">_xlfn.XLOOKUP(Table8[[#This Row],[Supporter_ID]],tb1_supporters[Supporter_ID ],tb1_supporters[Age_Band],"")</f>
        <v/>
      </c>
      <c r="P110" t="str">
        <f ca="1">IF(Table8[[#This Row],[Age_Band]]="","Unknown",Table8[[#This Row],[Age_Band]])</f>
        <v>Unknown</v>
      </c>
      <c r="Q110" t="str">
        <f>_xlfn.XLOOKUP(Table8[[#This Row],[Supporter_ID]],tb1_supporters[Supporter_ID ],tb1_supporters[Communication_Preference],"")</f>
        <v>No Preference</v>
      </c>
      <c r="R110" t="str">
        <f>_xlfn.XLOOKUP(Table8[[#This Row],[Supporter_ID]],tb1_supporters[Supporter_ID ],tb1_supporters[Duplicate_Profile_Flag],"")</f>
        <v/>
      </c>
      <c r="S110" t="str">
        <f>_xlfn.XLOOKUP(Table8[[#This Row],[Supporter_ID]],tb1_supporters[Supporter_ID ],tb1_supporters[Preference_Compliance_Flag],"")</f>
        <v/>
      </c>
      <c r="T110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110" t="str">
        <f>_xlfn.XLOOKUP(Table8[[#This Row],[Campaign_Code]],tb3_CampaignMaster[Campaign_Code],tb3_CampaignMaster[Campaign_Type],"")</f>
        <v>Legacy</v>
      </c>
      <c r="V110" t="str">
        <f>_xlfn.XLOOKUP(Table8[[#This Row],[Campaign_Code]],tb3_CampaignMaster[Campaign_Code],tb3_CampaignMaster[Target_Audience],"")</f>
        <v>Over 55s</v>
      </c>
      <c r="W110" s="17">
        <f>_xlfn.XLOOKUP(Table8[[#This Row],[Campaign_Code]],tb3_CampaignMaster[Campaign_Code],tb3_CampaignMaster[Start_Date],"")</f>
        <v>45572</v>
      </c>
      <c r="X110" s="17">
        <f>_xlfn.XLOOKUP(Table8[[#This Row],[Campaign_Code]],tb3_CampaignMaster[Campaign_Code],tb3_CampaignMaster[End_Date],"")</f>
        <v>45578</v>
      </c>
      <c r="Y110">
        <f>_xlfn.XLOOKUP(Table8[[#This Row],[Campaign_Code]],tb3_CampaignMaster[Campaign_Code],tb3_CampaignMaster[Budget_GBP],"")</f>
        <v>5000</v>
      </c>
      <c r="Z110" t="str">
        <f>_xlfn.XLOOKUP(Table8[[#This Row],[Campaign_Code]],tb3_CampaignMaster[Campaign_Code],tb3_CampaignMaster[Primary_Channel],"")</f>
        <v>Direct Mail</v>
      </c>
      <c r="AA110" s="13">
        <f>IF(Table8[[#This Row],[Gift_Aid_Eligible]]="Yes",Table8[[#This Row],[Gift_Amount]]*1.25,Table8[[#This Row],[Gift_Amount]])</f>
        <v>3919.37</v>
      </c>
      <c r="AB110" t="str">
        <f>IF(Table8[[#This Row],[Supporter_ID]]="","Review - missing supporter ID","")</f>
        <v/>
      </c>
      <c r="AC110" t="str">
        <f>IF(OR(Table8[[#This Row],[Response_Date]]&lt;Table8[[#This Row],[Start_Date]],Table8[[#This Row],[Response_Date]]&gt;Table8[[#This Row],[End_Date]]),"Review - response outside campaign dates","")</f>
        <v/>
      </c>
      <c r="AD110" t="str">
        <f>IF(Table8[[#This Row],[Campaign_Type]]="","Review - campaign code not found","")</f>
        <v/>
      </c>
    </row>
    <row r="111" spans="1:30" x14ac:dyDescent="0.25">
      <c r="A111" t="s">
        <v>3555</v>
      </c>
      <c r="B111" t="s">
        <v>2200</v>
      </c>
      <c r="C111" t="s">
        <v>3314</v>
      </c>
      <c r="D111" t="s">
        <v>3315</v>
      </c>
      <c r="E111" t="s">
        <v>3316</v>
      </c>
      <c r="F111" s="17">
        <v>45734</v>
      </c>
      <c r="G111">
        <v>470.21</v>
      </c>
      <c r="H111" t="s">
        <v>36</v>
      </c>
      <c r="I111" t="s">
        <v>3334</v>
      </c>
      <c r="J111" t="str">
        <f>_xlfn.XLOOKUP(Table8[[#This Row],[Supporter_ID]],tb1_supporters[Supporter_ID ],tb1_supporters[Segment],"")</f>
        <v>Major Donor</v>
      </c>
      <c r="K111" t="str">
        <f>_xlfn.XLOOKUP(Table8[[#This Row],[Supporter_ID]],tb1_supporters[Supporter_ID ],tb1_supporters[Acquisition_Source],"")</f>
        <v>Telephone</v>
      </c>
      <c r="L111" t="str">
        <f>_xlfn.XLOOKUP(Table8[[#This Row],[Supporter_ID]],tb1_supporters[Supporter_ID ],tb1_supporters[County],"")</f>
        <v>Hertfordshire</v>
      </c>
      <c r="M111" t="str">
        <f>_xlfn.XLOOKUP(Table8[[#This Row],[Supporter_ID]],tb1_supporters[Supporter_ID ],tb1_supporters[Gender],"")</f>
        <v>Female</v>
      </c>
      <c r="N111">
        <f ca="1">_xlfn.XLOOKUP(Table8[[#This Row],[Supporter_ID]],tb1_supporters[Supporter_ID ],tb1_supporters[Age],"")</f>
        <v>66</v>
      </c>
      <c r="O111" t="str">
        <f ca="1">_xlfn.XLOOKUP(Table8[[#This Row],[Supporter_ID]],tb1_supporters[Supporter_ID ],tb1_supporters[Age_Band],"")</f>
        <v>65+</v>
      </c>
      <c r="P111" t="str">
        <f ca="1">IF(Table8[[#This Row],[Age_Band]]="","Unknown",Table8[[#This Row],[Age_Band]])</f>
        <v>65+</v>
      </c>
      <c r="Q111" t="str">
        <f>_xlfn.XLOOKUP(Table8[[#This Row],[Supporter_ID]],tb1_supporters[Supporter_ID ],tb1_supporters[Communication_Preference],"")</f>
        <v>Email</v>
      </c>
      <c r="R111" t="str">
        <f>_xlfn.XLOOKUP(Table8[[#This Row],[Supporter_ID]],tb1_supporters[Supporter_ID ],tb1_supporters[Duplicate_Profile_Flag],"")</f>
        <v/>
      </c>
      <c r="S111" t="str">
        <f>_xlfn.XLOOKUP(Table8[[#This Row],[Supporter_ID]],tb1_supporters[Supporter_ID ],tb1_supporters[Preference_Compliance_Flag],"")</f>
        <v/>
      </c>
      <c r="T111" t="str">
        <f ca="1">IF(Table8[[#This Row],[Age]]="","Review - missing DOB",IF(Table8[[#This Row],[Age]]&gt;TODAY(),"Review - future DOB",IF(Table8[[#This Row],[Age]]=0,"Review -  potential entry error (age 0)","")))</f>
        <v/>
      </c>
      <c r="U111" t="str">
        <f>_xlfn.XLOOKUP(Table8[[#This Row],[Campaign_Code]],tb3_CampaignMaster[Campaign_Code],tb3_CampaignMaster[Campaign_Type],"")</f>
        <v>Regular Giving</v>
      </c>
      <c r="V111" t="str">
        <f>_xlfn.XLOOKUP(Table8[[#This Row],[Campaign_Code]],tb3_CampaignMaster[Campaign_Code],tb3_CampaignMaster[Target_Audience],"")</f>
        <v>One-time Donors</v>
      </c>
      <c r="W111" s="17">
        <f>_xlfn.XLOOKUP(Table8[[#This Row],[Campaign_Code]],tb3_CampaignMaster[Campaign_Code],tb3_CampaignMaster[Start_Date],"")</f>
        <v>45663</v>
      </c>
      <c r="X111" s="17">
        <f>_xlfn.XLOOKUP(Table8[[#This Row],[Campaign_Code]],tb3_CampaignMaster[Campaign_Code],tb3_CampaignMaster[End_Date],"")</f>
        <v>45747</v>
      </c>
      <c r="Y111">
        <f>_xlfn.XLOOKUP(Table8[[#This Row],[Campaign_Code]],tb3_CampaignMaster[Campaign_Code],tb3_CampaignMaster[Budget_GBP],"")</f>
        <v>10000</v>
      </c>
      <c r="Z111" t="str">
        <f>_xlfn.XLOOKUP(Table8[[#This Row],[Campaign_Code]],tb3_CampaignMaster[Campaign_Code],tb3_CampaignMaster[Primary_Channel],"")</f>
        <v>Telephone</v>
      </c>
      <c r="AA111" s="13">
        <f>IF(Table8[[#This Row],[Gift_Aid_Eligible]]="Yes",Table8[[#This Row],[Gift_Amount]]*1.25,Table8[[#This Row],[Gift_Amount]])</f>
        <v>587.76249999999993</v>
      </c>
      <c r="AB111" t="str">
        <f>IF(Table8[[#This Row],[Supporter_ID]]="","Review - missing supporter ID","")</f>
        <v/>
      </c>
      <c r="AC111" t="str">
        <f>IF(OR(Table8[[#This Row],[Response_Date]]&lt;Table8[[#This Row],[Start_Date]],Table8[[#This Row],[Response_Date]]&gt;Table8[[#This Row],[End_Date]]),"Review - response outside campaign dates","")</f>
        <v/>
      </c>
      <c r="AD111" t="str">
        <f>IF(Table8[[#This Row],[Campaign_Type]]="","Review - campaign code not found","")</f>
        <v/>
      </c>
    </row>
    <row r="112" spans="1:30" x14ac:dyDescent="0.25">
      <c r="A112" t="s">
        <v>3557</v>
      </c>
      <c r="B112" t="s">
        <v>920</v>
      </c>
      <c r="C112" t="s">
        <v>3325</v>
      </c>
      <c r="D112" t="s">
        <v>3326</v>
      </c>
      <c r="E112" t="s">
        <v>3338</v>
      </c>
      <c r="F112" s="17">
        <v>45306</v>
      </c>
      <c r="G112">
        <v>130.08000000000001</v>
      </c>
      <c r="H112" t="s">
        <v>37</v>
      </c>
      <c r="I112" t="s">
        <v>3328</v>
      </c>
      <c r="J112" t="str">
        <f>_xlfn.XLOOKUP(Table8[[#This Row],[Supporter_ID]],tb1_supporters[Supporter_ID ],tb1_supporters[Segment],"")</f>
        <v>Mid-Value</v>
      </c>
      <c r="K112" t="str">
        <f>_xlfn.XLOOKUP(Table8[[#This Row],[Supporter_ID]],tb1_supporters[Supporter_ID ],tb1_supporters[Acquisition_Source],"")</f>
        <v>Door-To-Door</v>
      </c>
      <c r="L112" t="str">
        <f>_xlfn.XLOOKUP(Table8[[#This Row],[Supporter_ID]],tb1_supporters[Supporter_ID ],tb1_supporters[County],"")</f>
        <v>Devon</v>
      </c>
      <c r="M112" t="str">
        <f>_xlfn.XLOOKUP(Table8[[#This Row],[Supporter_ID]],tb1_supporters[Supporter_ID ],tb1_supporters[Gender],"")</f>
        <v>Male</v>
      </c>
      <c r="N112">
        <f ca="1">_xlfn.XLOOKUP(Table8[[#This Row],[Supporter_ID]],tb1_supporters[Supporter_ID ],tb1_supporters[Age],"")</f>
        <v>64</v>
      </c>
      <c r="O112" t="str">
        <f ca="1">_xlfn.XLOOKUP(Table8[[#This Row],[Supporter_ID]],tb1_supporters[Supporter_ID ],tb1_supporters[Age_Band],"")</f>
        <v>50-64</v>
      </c>
      <c r="P112" t="str">
        <f ca="1">IF(Table8[[#This Row],[Age_Band]]="","Unknown",Table8[[#This Row],[Age_Band]])</f>
        <v>50-64</v>
      </c>
      <c r="Q112" t="str">
        <f>_xlfn.XLOOKUP(Table8[[#This Row],[Supporter_ID]],tb1_supporters[Supporter_ID ],tb1_supporters[Communication_Preference],"")</f>
        <v>Email</v>
      </c>
      <c r="R112" t="str">
        <f>_xlfn.XLOOKUP(Table8[[#This Row],[Supporter_ID]],tb1_supporters[Supporter_ID ],tb1_supporters[Duplicate_Profile_Flag],"")</f>
        <v/>
      </c>
      <c r="S112" t="str">
        <f>_xlfn.XLOOKUP(Table8[[#This Row],[Supporter_ID]],tb1_supporters[Supporter_ID ],tb1_supporters[Preference_Compliance_Flag],"")</f>
        <v>Review - prefers email but not opted in</v>
      </c>
      <c r="T112" t="str">
        <f ca="1">IF(Table8[[#This Row],[Age]]="","Review - missing DOB",IF(Table8[[#This Row],[Age]]&gt;TODAY(),"Review - future DOB",IF(Table8[[#This Row],[Age]]=0,"Review -  potential entry error (age 0)","")))</f>
        <v/>
      </c>
      <c r="U112" t="str">
        <f>_xlfn.XLOOKUP(Table8[[#This Row],[Campaign_Code]],tb3_CampaignMaster[Campaign_Code],tb3_CampaignMaster[Campaign_Type],"")</f>
        <v>Appeal</v>
      </c>
      <c r="V112" t="str">
        <f>_xlfn.XLOOKUP(Table8[[#This Row],[Campaign_Code]],tb3_CampaignMaster[Campaign_Code],tb3_CampaignMaster[Target_Audience],"")</f>
        <v>All Active</v>
      </c>
      <c r="W112" s="17">
        <f>_xlfn.XLOOKUP(Table8[[#This Row],[Campaign_Code]],tb3_CampaignMaster[Campaign_Code],tb3_CampaignMaster[Start_Date],"")</f>
        <v>45597</v>
      </c>
      <c r="X112" s="17">
        <f>_xlfn.XLOOKUP(Table8[[#This Row],[Campaign_Code]],tb3_CampaignMaster[Campaign_Code],tb3_CampaignMaster[End_Date],"")</f>
        <v>45657</v>
      </c>
      <c r="Y112">
        <f>_xlfn.XLOOKUP(Table8[[#This Row],[Campaign_Code]],tb3_CampaignMaster[Campaign_Code],tb3_CampaignMaster[Budget_GBP],"")</f>
        <v>25000</v>
      </c>
      <c r="Z112" t="str">
        <f>_xlfn.XLOOKUP(Table8[[#This Row],[Campaign_Code]],tb3_CampaignMaster[Campaign_Code],tb3_CampaignMaster[Primary_Channel],"")</f>
        <v>Multi-channel</v>
      </c>
      <c r="AA112" s="13">
        <f>IF(Table8[[#This Row],[Gift_Aid_Eligible]]="Yes",Table8[[#This Row],[Gift_Amount]]*1.25,Table8[[#This Row],[Gift_Amount]])</f>
        <v>130.08000000000001</v>
      </c>
      <c r="AB112" t="str">
        <f>IF(Table8[[#This Row],[Supporter_ID]]="","Review - missing supporter ID","")</f>
        <v/>
      </c>
      <c r="AC112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112" t="str">
        <f>IF(Table8[[#This Row],[Campaign_Type]]="","Review - campaign code not found","")</f>
        <v/>
      </c>
    </row>
    <row r="113" spans="1:30" x14ac:dyDescent="0.25">
      <c r="A113" t="s">
        <v>3559</v>
      </c>
      <c r="B113" t="s">
        <v>3217</v>
      </c>
      <c r="C113" t="s">
        <v>3403</v>
      </c>
      <c r="D113" t="s">
        <v>3404</v>
      </c>
      <c r="E113" t="s">
        <v>4</v>
      </c>
      <c r="F113" s="17">
        <v>45630</v>
      </c>
      <c r="G113">
        <v>2557.13</v>
      </c>
      <c r="H113" t="s">
        <v>36</v>
      </c>
      <c r="I113" t="s">
        <v>3334</v>
      </c>
      <c r="J113" t="str">
        <f>_xlfn.XLOOKUP(Table8[[#This Row],[Supporter_ID]],tb1_supporters[Supporter_ID ],tb1_supporters[Segment],"")</f>
        <v>Major Donor</v>
      </c>
      <c r="K113" t="str">
        <f>_xlfn.XLOOKUP(Table8[[#This Row],[Supporter_ID]],tb1_supporters[Supporter_ID ],tb1_supporters[Acquisition_Source],"")</f>
        <v>Telephone</v>
      </c>
      <c r="L113" t="str">
        <f>_xlfn.XLOOKUP(Table8[[#This Row],[Supporter_ID]],tb1_supporters[Supporter_ID ],tb1_supporters[County],"")</f>
        <v>Oxfordshire</v>
      </c>
      <c r="M113" t="str">
        <f>_xlfn.XLOOKUP(Table8[[#This Row],[Supporter_ID]],tb1_supporters[Supporter_ID ],tb1_supporters[Gender],"")</f>
        <v>Female</v>
      </c>
      <c r="N113">
        <f ca="1">_xlfn.XLOOKUP(Table8[[#This Row],[Supporter_ID]],tb1_supporters[Supporter_ID ],tb1_supporters[Age],"")</f>
        <v>75</v>
      </c>
      <c r="O113" t="str">
        <f ca="1">_xlfn.XLOOKUP(Table8[[#This Row],[Supporter_ID]],tb1_supporters[Supporter_ID ],tb1_supporters[Age_Band],"")</f>
        <v>65+</v>
      </c>
      <c r="P113" t="str">
        <f ca="1">IF(Table8[[#This Row],[Age_Band]]="","Unknown",Table8[[#This Row],[Age_Band]])</f>
        <v>65+</v>
      </c>
      <c r="Q113" t="str">
        <f>_xlfn.XLOOKUP(Table8[[#This Row],[Supporter_ID]],tb1_supporters[Supporter_ID ],tb1_supporters[Communication_Preference],"")</f>
        <v>Email</v>
      </c>
      <c r="R113" t="str">
        <f>_xlfn.XLOOKUP(Table8[[#This Row],[Supporter_ID]],tb1_supporters[Supporter_ID ],tb1_supporters[Duplicate_Profile_Flag],"")</f>
        <v/>
      </c>
      <c r="S113" t="str">
        <f>_xlfn.XLOOKUP(Table8[[#This Row],[Supporter_ID]],tb1_supporters[Supporter_ID ],tb1_supporters[Preference_Compliance_Flag],"")</f>
        <v/>
      </c>
      <c r="T113" t="str">
        <f ca="1">IF(Table8[[#This Row],[Age]]="","Review - missing DOB",IF(Table8[[#This Row],[Age]]&gt;TODAY(),"Review - future DOB",IF(Table8[[#This Row],[Age]]=0,"Review -  potential entry error (age 0)","")))</f>
        <v/>
      </c>
      <c r="U113" t="str">
        <f>_xlfn.XLOOKUP(Table8[[#This Row],[Campaign_Code]],tb3_CampaignMaster[Campaign_Code],tb3_CampaignMaster[Campaign_Type],"")</f>
        <v>Trading</v>
      </c>
      <c r="V113" t="str">
        <f>_xlfn.XLOOKUP(Table8[[#This Row],[Campaign_Code]],tb3_CampaignMaster[Campaign_Code],tb3_CampaignMaster[Target_Audience],"")</f>
        <v>All Active</v>
      </c>
      <c r="W113" s="17">
        <f>_xlfn.XLOOKUP(Table8[[#This Row],[Campaign_Code]],tb3_CampaignMaster[Campaign_Code],tb3_CampaignMaster[Start_Date],"")</f>
        <v>45580</v>
      </c>
      <c r="X113" s="17">
        <f>_xlfn.XLOOKUP(Table8[[#This Row],[Campaign_Code]],tb3_CampaignMaster[Campaign_Code],tb3_CampaignMaster[End_Date],"")</f>
        <v>45646</v>
      </c>
      <c r="Y113">
        <f>_xlfn.XLOOKUP(Table8[[#This Row],[Campaign_Code]],tb3_CampaignMaster[Campaign_Code],tb3_CampaignMaster[Budget_GBP],"")</f>
        <v>12000</v>
      </c>
      <c r="Z113" t="str">
        <f>_xlfn.XLOOKUP(Table8[[#This Row],[Campaign_Code]],tb3_CampaignMaster[Campaign_Code],tb3_CampaignMaster[Primary_Channel],"")</f>
        <v>Multi-channel</v>
      </c>
      <c r="AA113" s="13">
        <f>IF(Table8[[#This Row],[Gift_Aid_Eligible]]="Yes",Table8[[#This Row],[Gift_Amount]]*1.25,Table8[[#This Row],[Gift_Amount]])</f>
        <v>3196.4125000000004</v>
      </c>
      <c r="AB113" t="str">
        <f>IF(Table8[[#This Row],[Supporter_ID]]="","Review - missing supporter ID","")</f>
        <v/>
      </c>
      <c r="AC113" t="str">
        <f>IF(OR(Table8[[#This Row],[Response_Date]]&lt;Table8[[#This Row],[Start_Date]],Table8[[#This Row],[Response_Date]]&gt;Table8[[#This Row],[End_Date]]),"Review - response outside campaign dates","")</f>
        <v/>
      </c>
      <c r="AD113" t="str">
        <f>IF(Table8[[#This Row],[Campaign_Type]]="","Review - campaign code not found","")</f>
        <v/>
      </c>
    </row>
    <row r="114" spans="1:30" x14ac:dyDescent="0.25">
      <c r="A114" t="s">
        <v>3561</v>
      </c>
      <c r="B114" t="s">
        <v>2433</v>
      </c>
      <c r="C114" t="s">
        <v>3367</v>
      </c>
      <c r="D114" t="s">
        <v>3368</v>
      </c>
      <c r="E114" t="s">
        <v>4</v>
      </c>
      <c r="F114" s="17">
        <v>45773</v>
      </c>
      <c r="G114">
        <v>241.63</v>
      </c>
      <c r="H114" t="s">
        <v>37</v>
      </c>
      <c r="I114" t="s">
        <v>3318</v>
      </c>
      <c r="J114" t="str">
        <f>_xlfn.XLOOKUP(Table8[[#This Row],[Supporter_ID]],tb1_supporters[Supporter_ID ],tb1_supporters[Segment],"")</f>
        <v>Mid-Value</v>
      </c>
      <c r="K114" t="str">
        <f>_xlfn.XLOOKUP(Table8[[#This Row],[Supporter_ID]],tb1_supporters[Supporter_ID ],tb1_supporters[Acquisition_Source],"")</f>
        <v>Door-To-Door</v>
      </c>
      <c r="L114" t="str">
        <f>_xlfn.XLOOKUP(Table8[[#This Row],[Supporter_ID]],tb1_supporters[Supporter_ID ],tb1_supporters[County],"")</f>
        <v>Leicestershire</v>
      </c>
      <c r="M114" t="str">
        <f>_xlfn.XLOOKUP(Table8[[#This Row],[Supporter_ID]],tb1_supporters[Supporter_ID ],tb1_supporters[Gender],"")</f>
        <v>Female</v>
      </c>
      <c r="N114">
        <f ca="1">_xlfn.XLOOKUP(Table8[[#This Row],[Supporter_ID]],tb1_supporters[Supporter_ID ],tb1_supporters[Age],"")</f>
        <v>43</v>
      </c>
      <c r="O114" t="str">
        <f ca="1">_xlfn.XLOOKUP(Table8[[#This Row],[Supporter_ID]],tb1_supporters[Supporter_ID ],tb1_supporters[Age_Band],"")</f>
        <v>35-49</v>
      </c>
      <c r="P114" t="str">
        <f ca="1">IF(Table8[[#This Row],[Age_Band]]="","Unknown",Table8[[#This Row],[Age_Band]])</f>
        <v>35-49</v>
      </c>
      <c r="Q114" t="str">
        <f>_xlfn.XLOOKUP(Table8[[#This Row],[Supporter_ID]],tb1_supporters[Supporter_ID ],tb1_supporters[Communication_Preference],"")</f>
        <v>Do Not Contact</v>
      </c>
      <c r="R114" t="str">
        <f>_xlfn.XLOOKUP(Table8[[#This Row],[Supporter_ID]],tb1_supporters[Supporter_ID ],tb1_supporters[Duplicate_Profile_Flag],"")</f>
        <v/>
      </c>
      <c r="S114" t="str">
        <f>_xlfn.XLOOKUP(Table8[[#This Row],[Supporter_ID]],tb1_supporters[Supporter_ID ],tb1_supporters[Preference_Compliance_Flag],"")</f>
        <v/>
      </c>
      <c r="T114" t="str">
        <f ca="1">IF(Table8[[#This Row],[Age]]="","Review - missing DOB",IF(Table8[[#This Row],[Age]]&gt;TODAY(),"Review - future DOB",IF(Table8[[#This Row],[Age]]=0,"Review -  potential entry error (age 0)","")))</f>
        <v/>
      </c>
      <c r="U114" t="str">
        <f>_xlfn.XLOOKUP(Table8[[#This Row],[Campaign_Code]],tb3_CampaignMaster[Campaign_Code],tb3_CampaignMaster[Campaign_Type],"")</f>
        <v>Raffle</v>
      </c>
      <c r="V114" t="str">
        <f>_xlfn.XLOOKUP(Table8[[#This Row],[Campaign_Code]],tb3_CampaignMaster[Campaign_Code],tb3_CampaignMaster[Target_Audience],"")</f>
        <v>Regular Givers</v>
      </c>
      <c r="W114" s="17">
        <f>_xlfn.XLOOKUP(Table8[[#This Row],[Campaign_Code]],tb3_CampaignMaster[Campaign_Code],tb3_CampaignMaster[Start_Date],"")</f>
        <v>45717</v>
      </c>
      <c r="X114" s="17">
        <f>_xlfn.XLOOKUP(Table8[[#This Row],[Campaign_Code]],tb3_CampaignMaster[Campaign_Code],tb3_CampaignMaster[End_Date],"")</f>
        <v>45777</v>
      </c>
      <c r="Y114">
        <f>_xlfn.XLOOKUP(Table8[[#This Row],[Campaign_Code]],tb3_CampaignMaster[Campaign_Code],tb3_CampaignMaster[Budget_GBP],"")</f>
        <v>8000</v>
      </c>
      <c r="Z114" t="str">
        <f>_xlfn.XLOOKUP(Table8[[#This Row],[Campaign_Code]],tb3_CampaignMaster[Campaign_Code],tb3_CampaignMaster[Primary_Channel],"")</f>
        <v>Direct Mail</v>
      </c>
      <c r="AA114" s="13">
        <f>IF(Table8[[#This Row],[Gift_Aid_Eligible]]="Yes",Table8[[#This Row],[Gift_Amount]]*1.25,Table8[[#This Row],[Gift_Amount]])</f>
        <v>241.63</v>
      </c>
      <c r="AB114" t="str">
        <f>IF(Table8[[#This Row],[Supporter_ID]]="","Review - missing supporter ID","")</f>
        <v/>
      </c>
      <c r="AC114" t="str">
        <f>IF(OR(Table8[[#This Row],[Response_Date]]&lt;Table8[[#This Row],[Start_Date]],Table8[[#This Row],[Response_Date]]&gt;Table8[[#This Row],[End_Date]]),"Review - response outside campaign dates","")</f>
        <v/>
      </c>
      <c r="AD114" t="str">
        <f>IF(Table8[[#This Row],[Campaign_Type]]="","Review - campaign code not found","")</f>
        <v/>
      </c>
    </row>
    <row r="115" spans="1:30" x14ac:dyDescent="0.25">
      <c r="A115" t="s">
        <v>3563</v>
      </c>
      <c r="B115" t="s">
        <v>2900</v>
      </c>
      <c r="C115" t="s">
        <v>3314</v>
      </c>
      <c r="D115" t="s">
        <v>3315</v>
      </c>
      <c r="E115" t="s">
        <v>3316</v>
      </c>
      <c r="F115" s="17">
        <v>45684</v>
      </c>
      <c r="G115">
        <v>115.5</v>
      </c>
      <c r="H115" t="s">
        <v>36</v>
      </c>
      <c r="I115" t="s">
        <v>3370</v>
      </c>
      <c r="J115" t="str">
        <f>_xlfn.XLOOKUP(Table8[[#This Row],[Supporter_ID]],tb1_supporters[Supporter_ID ],tb1_supporters[Segment],"")</f>
        <v>One-Time Donor</v>
      </c>
      <c r="K115" t="str">
        <f>_xlfn.XLOOKUP(Table8[[#This Row],[Supporter_ID]],tb1_supporters[Supporter_ID ],tb1_supporters[Acquisition_Source],"")</f>
        <v>Telephone</v>
      </c>
      <c r="L115" t="str">
        <f>_xlfn.XLOOKUP(Table8[[#This Row],[Supporter_ID]],tb1_supporters[Supporter_ID ],tb1_supporters[County],"")</f>
        <v>Somerset</v>
      </c>
      <c r="M115" t="str">
        <f>_xlfn.XLOOKUP(Table8[[#This Row],[Supporter_ID]],tb1_supporters[Supporter_ID ],tb1_supporters[Gender],"")</f>
        <v>Male</v>
      </c>
      <c r="N115">
        <f ca="1">_xlfn.XLOOKUP(Table8[[#This Row],[Supporter_ID]],tb1_supporters[Supporter_ID ],tb1_supporters[Age],"")</f>
        <v>73</v>
      </c>
      <c r="O115" t="str">
        <f ca="1">_xlfn.XLOOKUP(Table8[[#This Row],[Supporter_ID]],tb1_supporters[Supporter_ID ],tb1_supporters[Age_Band],"")</f>
        <v>65+</v>
      </c>
      <c r="P115" t="str">
        <f ca="1">IF(Table8[[#This Row],[Age_Band]]="","Unknown",Table8[[#This Row],[Age_Band]])</f>
        <v>65+</v>
      </c>
      <c r="Q115" t="str">
        <f>_xlfn.XLOOKUP(Table8[[#This Row],[Supporter_ID]],tb1_supporters[Supporter_ID ],tb1_supporters[Communication_Preference],"")</f>
        <v>Email</v>
      </c>
      <c r="R115" t="str">
        <f>_xlfn.XLOOKUP(Table8[[#This Row],[Supporter_ID]],tb1_supporters[Supporter_ID ],tb1_supporters[Duplicate_Profile_Flag],"")</f>
        <v/>
      </c>
      <c r="S115" t="str">
        <f>_xlfn.XLOOKUP(Table8[[#This Row],[Supporter_ID]],tb1_supporters[Supporter_ID ],tb1_supporters[Preference_Compliance_Flag],"")</f>
        <v/>
      </c>
      <c r="T115" t="str">
        <f ca="1">IF(Table8[[#This Row],[Age]]="","Review - missing DOB",IF(Table8[[#This Row],[Age]]&gt;TODAY(),"Review - future DOB",IF(Table8[[#This Row],[Age]]=0,"Review -  potential entry error (age 0)","")))</f>
        <v/>
      </c>
      <c r="U115" t="str">
        <f>_xlfn.XLOOKUP(Table8[[#This Row],[Campaign_Code]],tb3_CampaignMaster[Campaign_Code],tb3_CampaignMaster[Campaign_Type],"")</f>
        <v>Regular Giving</v>
      </c>
      <c r="V115" t="str">
        <f>_xlfn.XLOOKUP(Table8[[#This Row],[Campaign_Code]],tb3_CampaignMaster[Campaign_Code],tb3_CampaignMaster[Target_Audience],"")</f>
        <v>One-time Donors</v>
      </c>
      <c r="W115" s="17">
        <f>_xlfn.XLOOKUP(Table8[[#This Row],[Campaign_Code]],tb3_CampaignMaster[Campaign_Code],tb3_CampaignMaster[Start_Date],"")</f>
        <v>45663</v>
      </c>
      <c r="X115" s="17">
        <f>_xlfn.XLOOKUP(Table8[[#This Row],[Campaign_Code]],tb3_CampaignMaster[Campaign_Code],tb3_CampaignMaster[End_Date],"")</f>
        <v>45747</v>
      </c>
      <c r="Y115">
        <f>_xlfn.XLOOKUP(Table8[[#This Row],[Campaign_Code]],tb3_CampaignMaster[Campaign_Code],tb3_CampaignMaster[Budget_GBP],"")</f>
        <v>10000</v>
      </c>
      <c r="Z115" t="str">
        <f>_xlfn.XLOOKUP(Table8[[#This Row],[Campaign_Code]],tb3_CampaignMaster[Campaign_Code],tb3_CampaignMaster[Primary_Channel],"")</f>
        <v>Telephone</v>
      </c>
      <c r="AA115" s="13">
        <f>IF(Table8[[#This Row],[Gift_Aid_Eligible]]="Yes",Table8[[#This Row],[Gift_Amount]]*1.25,Table8[[#This Row],[Gift_Amount]])</f>
        <v>144.375</v>
      </c>
      <c r="AB115" t="str">
        <f>IF(Table8[[#This Row],[Supporter_ID]]="","Review - missing supporter ID","")</f>
        <v/>
      </c>
      <c r="AC115" t="str">
        <f>IF(OR(Table8[[#This Row],[Response_Date]]&lt;Table8[[#This Row],[Start_Date]],Table8[[#This Row],[Response_Date]]&gt;Table8[[#This Row],[End_Date]]),"Review - response outside campaign dates","")</f>
        <v/>
      </c>
      <c r="AD115" t="str">
        <f>IF(Table8[[#This Row],[Campaign_Type]]="","Review - campaign code not found","")</f>
        <v/>
      </c>
    </row>
    <row r="116" spans="1:30" x14ac:dyDescent="0.25">
      <c r="A116" t="s">
        <v>3564</v>
      </c>
      <c r="B116" t="s">
        <v>1921</v>
      </c>
      <c r="C116" t="s">
        <v>3403</v>
      </c>
      <c r="D116" t="s">
        <v>3404</v>
      </c>
      <c r="E116" t="s">
        <v>4</v>
      </c>
      <c r="F116" s="17">
        <v>45485</v>
      </c>
      <c r="G116">
        <v>282.35000000000002</v>
      </c>
      <c r="H116" t="s">
        <v>37</v>
      </c>
      <c r="I116" t="s">
        <v>3365</v>
      </c>
      <c r="J116" t="str">
        <f>_xlfn.XLOOKUP(Table8[[#This Row],[Supporter_ID]],tb1_supporters[Supporter_ID ],tb1_supporters[Segment],"")</f>
        <v>Legacy Pledger</v>
      </c>
      <c r="K116" t="str">
        <f>_xlfn.XLOOKUP(Table8[[#This Row],[Supporter_ID]],tb1_supporters[Supporter_ID ],tb1_supporters[Acquisition_Source],"")</f>
        <v>Referral</v>
      </c>
      <c r="L116" t="str">
        <f>_xlfn.XLOOKUP(Table8[[#This Row],[Supporter_ID]],tb1_supporters[Supporter_ID ],tb1_supporters[County],"")</f>
        <v>Grampian</v>
      </c>
      <c r="M116" t="str">
        <f>_xlfn.XLOOKUP(Table8[[#This Row],[Supporter_ID]],tb1_supporters[Supporter_ID ],tb1_supporters[Gender],"")</f>
        <v>Male</v>
      </c>
      <c r="N116">
        <f ca="1">_xlfn.XLOOKUP(Table8[[#This Row],[Supporter_ID]],tb1_supporters[Supporter_ID ],tb1_supporters[Age],"")</f>
        <v>82</v>
      </c>
      <c r="O116" t="str">
        <f ca="1">_xlfn.XLOOKUP(Table8[[#This Row],[Supporter_ID]],tb1_supporters[Supporter_ID ],tb1_supporters[Age_Band],"")</f>
        <v>65+</v>
      </c>
      <c r="P116" t="str">
        <f ca="1">IF(Table8[[#This Row],[Age_Band]]="","Unknown",Table8[[#This Row],[Age_Band]])</f>
        <v>65+</v>
      </c>
      <c r="Q116" t="str">
        <f>_xlfn.XLOOKUP(Table8[[#This Row],[Supporter_ID]],tb1_supporters[Supporter_ID ],tb1_supporters[Communication_Preference],"")</f>
        <v>Phone</v>
      </c>
      <c r="R116" t="str">
        <f>_xlfn.XLOOKUP(Table8[[#This Row],[Supporter_ID]],tb1_supporters[Supporter_ID ],tb1_supporters[Duplicate_Profile_Flag],"")</f>
        <v/>
      </c>
      <c r="S116" t="str">
        <f>_xlfn.XLOOKUP(Table8[[#This Row],[Supporter_ID]],tb1_supporters[Supporter_ID ],tb1_supporters[Preference_Compliance_Flag],"")</f>
        <v>Review - prefers phone but not opted in</v>
      </c>
      <c r="T116" t="str">
        <f ca="1">IF(Table8[[#This Row],[Age]]="","Review - missing DOB",IF(Table8[[#This Row],[Age]]&gt;TODAY(),"Review - future DOB",IF(Table8[[#This Row],[Age]]=0,"Review -  potential entry error (age 0)","")))</f>
        <v/>
      </c>
      <c r="U116" t="str">
        <f>_xlfn.XLOOKUP(Table8[[#This Row],[Campaign_Code]],tb3_CampaignMaster[Campaign_Code],tb3_CampaignMaster[Campaign_Type],"")</f>
        <v>Trading</v>
      </c>
      <c r="V116" t="str">
        <f>_xlfn.XLOOKUP(Table8[[#This Row],[Campaign_Code]],tb3_CampaignMaster[Campaign_Code],tb3_CampaignMaster[Target_Audience],"")</f>
        <v>All Active</v>
      </c>
      <c r="W116" s="17">
        <f>_xlfn.XLOOKUP(Table8[[#This Row],[Campaign_Code]],tb3_CampaignMaster[Campaign_Code],tb3_CampaignMaster[Start_Date],"")</f>
        <v>45580</v>
      </c>
      <c r="X116" s="17">
        <f>_xlfn.XLOOKUP(Table8[[#This Row],[Campaign_Code]],tb3_CampaignMaster[Campaign_Code],tb3_CampaignMaster[End_Date],"")</f>
        <v>45646</v>
      </c>
      <c r="Y116">
        <f>_xlfn.XLOOKUP(Table8[[#This Row],[Campaign_Code]],tb3_CampaignMaster[Campaign_Code],tb3_CampaignMaster[Budget_GBP],"")</f>
        <v>12000</v>
      </c>
      <c r="Z116" t="str">
        <f>_xlfn.XLOOKUP(Table8[[#This Row],[Campaign_Code]],tb3_CampaignMaster[Campaign_Code],tb3_CampaignMaster[Primary_Channel],"")</f>
        <v>Multi-channel</v>
      </c>
      <c r="AA116" s="13">
        <f>IF(Table8[[#This Row],[Gift_Aid_Eligible]]="Yes",Table8[[#This Row],[Gift_Amount]]*1.25,Table8[[#This Row],[Gift_Amount]])</f>
        <v>282.35000000000002</v>
      </c>
      <c r="AB116" t="str">
        <f>IF(Table8[[#This Row],[Supporter_ID]]="","Review - missing supporter ID","")</f>
        <v/>
      </c>
      <c r="AC116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116" t="str">
        <f>IF(Table8[[#This Row],[Campaign_Type]]="","Review - campaign code not found","")</f>
        <v/>
      </c>
    </row>
    <row r="117" spans="1:30" x14ac:dyDescent="0.25">
      <c r="A117" t="s">
        <v>3566</v>
      </c>
      <c r="B117" t="s">
        <v>1511</v>
      </c>
      <c r="C117" t="s">
        <v>3354</v>
      </c>
      <c r="D117" t="s">
        <v>3355</v>
      </c>
      <c r="E117" t="s">
        <v>65</v>
      </c>
      <c r="F117" s="17">
        <v>45618</v>
      </c>
      <c r="G117">
        <v>156.12</v>
      </c>
      <c r="H117" t="s">
        <v>37</v>
      </c>
      <c r="I117" t="s">
        <v>3370</v>
      </c>
      <c r="J117" t="str">
        <f>_xlfn.XLOOKUP(Table8[[#This Row],[Supporter_ID]],tb1_supporters[Supporter_ID ],tb1_supporters[Segment],"")</f>
        <v>Mid-Value</v>
      </c>
      <c r="K117" t="str">
        <f>_xlfn.XLOOKUP(Table8[[#This Row],[Supporter_ID]],tb1_supporters[Supporter_ID ],tb1_supporters[Acquisition_Source],"")</f>
        <v>Referral</v>
      </c>
      <c r="L117" t="str">
        <f>_xlfn.XLOOKUP(Table8[[#This Row],[Supporter_ID]],tb1_supporters[Supporter_ID ],tb1_supporters[County],"")</f>
        <v>South Yorkshire</v>
      </c>
      <c r="M117" t="str">
        <f>_xlfn.XLOOKUP(Table8[[#This Row],[Supporter_ID]],tb1_supporters[Supporter_ID ],tb1_supporters[Gender],"")</f>
        <v>Female</v>
      </c>
      <c r="N117">
        <f ca="1">_xlfn.XLOOKUP(Table8[[#This Row],[Supporter_ID]],tb1_supporters[Supporter_ID ],tb1_supporters[Age],"")</f>
        <v>64</v>
      </c>
      <c r="O117" t="str">
        <f ca="1">_xlfn.XLOOKUP(Table8[[#This Row],[Supporter_ID]],tb1_supporters[Supporter_ID ],tb1_supporters[Age_Band],"")</f>
        <v>50-64</v>
      </c>
      <c r="P117" t="str">
        <f ca="1">IF(Table8[[#This Row],[Age_Band]]="","Unknown",Table8[[#This Row],[Age_Band]])</f>
        <v>50-64</v>
      </c>
      <c r="Q117" t="str">
        <f>_xlfn.XLOOKUP(Table8[[#This Row],[Supporter_ID]],tb1_supporters[Supporter_ID ],tb1_supporters[Communication_Preference],"")</f>
        <v>Email</v>
      </c>
      <c r="R117" t="str">
        <f>_xlfn.XLOOKUP(Table8[[#This Row],[Supporter_ID]],tb1_supporters[Supporter_ID ],tb1_supporters[Duplicate_Profile_Flag],"")</f>
        <v>Review - duplicate record, see Supporter_Duplicates tab</v>
      </c>
      <c r="S117" t="str">
        <f>_xlfn.XLOOKUP(Table8[[#This Row],[Supporter_ID]],tb1_supporters[Supporter_ID ],tb1_supporters[Preference_Compliance_Flag],"")</f>
        <v/>
      </c>
      <c r="T117" t="str">
        <f ca="1">IF(Table8[[#This Row],[Age]]="","Review - missing DOB",IF(Table8[[#This Row],[Age]]&gt;TODAY(),"Review - future DOB",IF(Table8[[#This Row],[Age]]=0,"Review -  potential entry error (age 0)","")))</f>
        <v/>
      </c>
      <c r="U117" t="str">
        <f>_xlfn.XLOOKUP(Table8[[#This Row],[Campaign_Code]],tb3_CampaignMaster[Campaign_Code],tb3_CampaignMaster[Campaign_Type],"")</f>
        <v>Event</v>
      </c>
      <c r="V117" t="str">
        <f>_xlfn.XLOOKUP(Table8[[#This Row],[Campaign_Code]],tb3_CampaignMaster[Campaign_Code],tb3_CampaignMaster[Target_Audience],"")</f>
        <v>Volunteers</v>
      </c>
      <c r="W117" s="17">
        <f>_xlfn.XLOOKUP(Table8[[#This Row],[Campaign_Code]],tb3_CampaignMaster[Campaign_Code],tb3_CampaignMaster[Start_Date],"")</f>
        <v>45618</v>
      </c>
      <c r="X117" s="17">
        <f>_xlfn.XLOOKUP(Table8[[#This Row],[Campaign_Code]],tb3_CampaignMaster[Campaign_Code],tb3_CampaignMaster[End_Date],"")</f>
        <v>45618</v>
      </c>
      <c r="Y117">
        <f>_xlfn.XLOOKUP(Table8[[#This Row],[Campaign_Code]],tb3_CampaignMaster[Campaign_Code],tb3_CampaignMaster[Budget_GBP],"")</f>
        <v>3500</v>
      </c>
      <c r="Z117" t="str">
        <f>_xlfn.XLOOKUP(Table8[[#This Row],[Campaign_Code]],tb3_CampaignMaster[Campaign_Code],tb3_CampaignMaster[Primary_Channel],"")</f>
        <v>Email</v>
      </c>
      <c r="AA117" s="13">
        <f>IF(Table8[[#This Row],[Gift_Aid_Eligible]]="Yes",Table8[[#This Row],[Gift_Amount]]*1.25,Table8[[#This Row],[Gift_Amount]])</f>
        <v>156.12</v>
      </c>
      <c r="AB117" t="str">
        <f>IF(Table8[[#This Row],[Supporter_ID]]="","Review - missing supporter ID","")</f>
        <v/>
      </c>
      <c r="AC117" t="str">
        <f>IF(OR(Table8[[#This Row],[Response_Date]]&lt;Table8[[#This Row],[Start_Date]],Table8[[#This Row],[Response_Date]]&gt;Table8[[#This Row],[End_Date]]),"Review - response outside campaign dates","")</f>
        <v/>
      </c>
      <c r="AD117" t="str">
        <f>IF(Table8[[#This Row],[Campaign_Type]]="","Review - campaign code not found","")</f>
        <v/>
      </c>
    </row>
    <row r="118" spans="1:30" x14ac:dyDescent="0.25">
      <c r="A118" t="s">
        <v>3567</v>
      </c>
      <c r="B118" t="s">
        <v>967</v>
      </c>
      <c r="C118" t="s">
        <v>3341</v>
      </c>
      <c r="D118" t="s">
        <v>3342</v>
      </c>
      <c r="E118" t="s">
        <v>4</v>
      </c>
      <c r="F118" s="17">
        <v>45718</v>
      </c>
      <c r="G118">
        <v>38.21</v>
      </c>
      <c r="H118" t="s">
        <v>37</v>
      </c>
      <c r="I118" t="s">
        <v>3370</v>
      </c>
      <c r="J118" t="str">
        <f>_xlfn.XLOOKUP(Table8[[#This Row],[Supporter_ID]],tb1_supporters[Supporter_ID ],tb1_supporters[Segment],"")</f>
        <v>Lapsed</v>
      </c>
      <c r="K118" t="str">
        <f>_xlfn.XLOOKUP(Table8[[#This Row],[Supporter_ID]],tb1_supporters[Supporter_ID ],tb1_supporters[Acquisition_Source],"")</f>
        <v>Social Media</v>
      </c>
      <c r="L118" t="str">
        <f>_xlfn.XLOOKUP(Table8[[#This Row],[Supporter_ID]],tb1_supporters[Supporter_ID ],tb1_supporters[County],"")</f>
        <v>Tyne and Wear</v>
      </c>
      <c r="M118" t="str">
        <f>_xlfn.XLOOKUP(Table8[[#This Row],[Supporter_ID]],tb1_supporters[Supporter_ID ],tb1_supporters[Gender],"")</f>
        <v>Female</v>
      </c>
      <c r="N118">
        <f ca="1">_xlfn.XLOOKUP(Table8[[#This Row],[Supporter_ID]],tb1_supporters[Supporter_ID ],tb1_supporters[Age],"")</f>
        <v>21</v>
      </c>
      <c r="O118" t="str">
        <f ca="1">_xlfn.XLOOKUP(Table8[[#This Row],[Supporter_ID]],tb1_supporters[Supporter_ID ],tb1_supporters[Age_Band],"")</f>
        <v>18-34</v>
      </c>
      <c r="P118" t="str">
        <f ca="1">IF(Table8[[#This Row],[Age_Band]]="","Unknown",Table8[[#This Row],[Age_Band]])</f>
        <v>18-34</v>
      </c>
      <c r="Q118" t="str">
        <f>_xlfn.XLOOKUP(Table8[[#This Row],[Supporter_ID]],tb1_supporters[Supporter_ID ],tb1_supporters[Communication_Preference],"")</f>
        <v>Phone</v>
      </c>
      <c r="R118" t="str">
        <f>_xlfn.XLOOKUP(Table8[[#This Row],[Supporter_ID]],tb1_supporters[Supporter_ID ],tb1_supporters[Duplicate_Profile_Flag],"")</f>
        <v/>
      </c>
      <c r="S118" t="str">
        <f>_xlfn.XLOOKUP(Table8[[#This Row],[Supporter_ID]],tb1_supporters[Supporter_ID ],tb1_supporters[Preference_Compliance_Flag],"")</f>
        <v/>
      </c>
      <c r="T118" t="str">
        <f ca="1">IF(Table8[[#This Row],[Age]]="","Review - missing DOB",IF(Table8[[#This Row],[Age]]&gt;TODAY(),"Review - future DOB",IF(Table8[[#This Row],[Age]]=0,"Review -  potential entry error (age 0)","")))</f>
        <v/>
      </c>
      <c r="U118" t="str">
        <f>_xlfn.XLOOKUP(Table8[[#This Row],[Campaign_Code]],tb3_CampaignMaster[Campaign_Code],tb3_CampaignMaster[Campaign_Type],"")</f>
        <v>Acquisition</v>
      </c>
      <c r="V118" t="str">
        <f>_xlfn.XLOOKUP(Table8[[#This Row],[Campaign_Code]],tb3_CampaignMaster[Campaign_Code],tb3_CampaignMaster[Target_Audience],"")</f>
        <v>Prospects</v>
      </c>
      <c r="W118" s="17">
        <f>_xlfn.XLOOKUP(Table8[[#This Row],[Campaign_Code]],tb3_CampaignMaster[Campaign_Code],tb3_CampaignMaster[Start_Date],"")</f>
        <v>45689</v>
      </c>
      <c r="X118" s="17">
        <f>_xlfn.XLOOKUP(Table8[[#This Row],[Campaign_Code]],tb3_CampaignMaster[Campaign_Code],tb3_CampaignMaster[End_Date],"")</f>
        <v>45777</v>
      </c>
      <c r="Y118">
        <f>_xlfn.XLOOKUP(Table8[[#This Row],[Campaign_Code]],tb3_CampaignMaster[Campaign_Code],tb3_CampaignMaster[Budget_GBP],"")</f>
        <v>20000</v>
      </c>
      <c r="Z118" t="str">
        <f>_xlfn.XLOOKUP(Table8[[#This Row],[Campaign_Code]],tb3_CampaignMaster[Campaign_Code],tb3_CampaignMaster[Primary_Channel],"")</f>
        <v>Digital</v>
      </c>
      <c r="AA118" s="13">
        <f>IF(Table8[[#This Row],[Gift_Aid_Eligible]]="Yes",Table8[[#This Row],[Gift_Amount]]*1.25,Table8[[#This Row],[Gift_Amount]])</f>
        <v>38.21</v>
      </c>
      <c r="AB118" t="str">
        <f>IF(Table8[[#This Row],[Supporter_ID]]="","Review - missing supporter ID","")</f>
        <v/>
      </c>
      <c r="AC118" t="str">
        <f>IF(OR(Table8[[#This Row],[Response_Date]]&lt;Table8[[#This Row],[Start_Date]],Table8[[#This Row],[Response_Date]]&gt;Table8[[#This Row],[End_Date]]),"Review - response outside campaign dates","")</f>
        <v/>
      </c>
      <c r="AD118" t="str">
        <f>IF(Table8[[#This Row],[Campaign_Type]]="","Review - campaign code not found","")</f>
        <v/>
      </c>
    </row>
    <row r="119" spans="1:30" x14ac:dyDescent="0.25">
      <c r="A119" t="s">
        <v>3569</v>
      </c>
      <c r="B119" t="s">
        <v>272</v>
      </c>
      <c r="C119" t="s">
        <v>3354</v>
      </c>
      <c r="D119" t="s">
        <v>3355</v>
      </c>
      <c r="E119" t="s">
        <v>4</v>
      </c>
      <c r="F119" s="17">
        <v>45618</v>
      </c>
      <c r="G119">
        <v>28.27</v>
      </c>
      <c r="H119" t="s">
        <v>37</v>
      </c>
      <c r="I119" t="s">
        <v>3385</v>
      </c>
      <c r="J119" t="str">
        <f>_xlfn.XLOOKUP(Table8[[#This Row],[Supporter_ID]],tb1_supporters[Supporter_ID ],tb1_supporters[Segment],"")</f>
        <v>Prospect</v>
      </c>
      <c r="K119" t="str">
        <f>_xlfn.XLOOKUP(Table8[[#This Row],[Supporter_ID]],tb1_supporters[Supporter_ID ],tb1_supporters[Acquisition_Source],"")</f>
        <v>Door-To-Door</v>
      </c>
      <c r="L119" t="str">
        <f>_xlfn.XLOOKUP(Table8[[#This Row],[Supporter_ID]],tb1_supporters[Supporter_ID ],tb1_supporters[County],"")</f>
        <v>West Glamorgan</v>
      </c>
      <c r="M119" t="str">
        <f>_xlfn.XLOOKUP(Table8[[#This Row],[Supporter_ID]],tb1_supporters[Supporter_ID ],tb1_supporters[Gender],"")</f>
        <v>Female</v>
      </c>
      <c r="N119">
        <f ca="1">_xlfn.XLOOKUP(Table8[[#This Row],[Supporter_ID]],tb1_supporters[Supporter_ID ],tb1_supporters[Age],"")</f>
        <v>68</v>
      </c>
      <c r="O119" t="str">
        <f ca="1">_xlfn.XLOOKUP(Table8[[#This Row],[Supporter_ID]],tb1_supporters[Supporter_ID ],tb1_supporters[Age_Band],"")</f>
        <v>65+</v>
      </c>
      <c r="P119" t="str">
        <f ca="1">IF(Table8[[#This Row],[Age_Band]]="","Unknown",Table8[[#This Row],[Age_Band]])</f>
        <v>65+</v>
      </c>
      <c r="Q119" t="str">
        <f>_xlfn.XLOOKUP(Table8[[#This Row],[Supporter_ID]],tb1_supporters[Supporter_ID ],tb1_supporters[Communication_Preference],"")</f>
        <v>Post</v>
      </c>
      <c r="R119" t="str">
        <f>_xlfn.XLOOKUP(Table8[[#This Row],[Supporter_ID]],tb1_supporters[Supporter_ID ],tb1_supporters[Duplicate_Profile_Flag],"")</f>
        <v>Review - duplicate record, see Supporter_Duplicates tab</v>
      </c>
      <c r="S119" t="str">
        <f>_xlfn.XLOOKUP(Table8[[#This Row],[Supporter_ID]],tb1_supporters[Supporter_ID ],tb1_supporters[Preference_Compliance_Flag],"")</f>
        <v/>
      </c>
      <c r="T119" t="str">
        <f ca="1">IF(Table8[[#This Row],[Age]]="","Review - missing DOB",IF(Table8[[#This Row],[Age]]&gt;TODAY(),"Review - future DOB",IF(Table8[[#This Row],[Age]]=0,"Review -  potential entry error (age 0)","")))</f>
        <v/>
      </c>
      <c r="U119" t="str">
        <f>_xlfn.XLOOKUP(Table8[[#This Row],[Campaign_Code]],tb3_CampaignMaster[Campaign_Code],tb3_CampaignMaster[Campaign_Type],"")</f>
        <v>Event</v>
      </c>
      <c r="V119" t="str">
        <f>_xlfn.XLOOKUP(Table8[[#This Row],[Campaign_Code]],tb3_CampaignMaster[Campaign_Code],tb3_CampaignMaster[Target_Audience],"")</f>
        <v>Volunteers</v>
      </c>
      <c r="W119" s="17">
        <f>_xlfn.XLOOKUP(Table8[[#This Row],[Campaign_Code]],tb3_CampaignMaster[Campaign_Code],tb3_CampaignMaster[Start_Date],"")</f>
        <v>45618</v>
      </c>
      <c r="X119" s="17">
        <f>_xlfn.XLOOKUP(Table8[[#This Row],[Campaign_Code]],tb3_CampaignMaster[Campaign_Code],tb3_CampaignMaster[End_Date],"")</f>
        <v>45618</v>
      </c>
      <c r="Y119">
        <f>_xlfn.XLOOKUP(Table8[[#This Row],[Campaign_Code]],tb3_CampaignMaster[Campaign_Code],tb3_CampaignMaster[Budget_GBP],"")</f>
        <v>3500</v>
      </c>
      <c r="Z119" t="str">
        <f>_xlfn.XLOOKUP(Table8[[#This Row],[Campaign_Code]],tb3_CampaignMaster[Campaign_Code],tb3_CampaignMaster[Primary_Channel],"")</f>
        <v>Email</v>
      </c>
      <c r="AA119" s="13">
        <f>IF(Table8[[#This Row],[Gift_Aid_Eligible]]="Yes",Table8[[#This Row],[Gift_Amount]]*1.25,Table8[[#This Row],[Gift_Amount]])</f>
        <v>28.27</v>
      </c>
      <c r="AB119" t="str">
        <f>IF(Table8[[#This Row],[Supporter_ID]]="","Review - missing supporter ID","")</f>
        <v/>
      </c>
      <c r="AC119" t="str">
        <f>IF(OR(Table8[[#This Row],[Response_Date]]&lt;Table8[[#This Row],[Start_Date]],Table8[[#This Row],[Response_Date]]&gt;Table8[[#This Row],[End_Date]]),"Review - response outside campaign dates","")</f>
        <v/>
      </c>
      <c r="AD119" t="str">
        <f>IF(Table8[[#This Row],[Campaign_Type]]="","Review - campaign code not found","")</f>
        <v/>
      </c>
    </row>
    <row r="120" spans="1:30" x14ac:dyDescent="0.25">
      <c r="A120" t="s">
        <v>3570</v>
      </c>
      <c r="B120" t="s">
        <v>2427</v>
      </c>
      <c r="C120" t="s">
        <v>3341</v>
      </c>
      <c r="D120" t="s">
        <v>3342</v>
      </c>
      <c r="E120" t="s">
        <v>4</v>
      </c>
      <c r="F120" s="17">
        <v>45730</v>
      </c>
      <c r="G120">
        <v>89.81</v>
      </c>
      <c r="H120" t="s">
        <v>36</v>
      </c>
      <c r="I120" t="s">
        <v>3323</v>
      </c>
      <c r="J120" t="str">
        <f>_xlfn.XLOOKUP(Table8[[#This Row],[Supporter_ID]],tb1_supporters[Supporter_ID ],tb1_supporters[Segment],"")</f>
        <v>One-Time Donor</v>
      </c>
      <c r="K120" t="str">
        <f>_xlfn.XLOOKUP(Table8[[#This Row],[Supporter_ID]],tb1_supporters[Supporter_ID ],tb1_supporters[Acquisition_Source],"")</f>
        <v>Telephone</v>
      </c>
      <c r="L120" t="str">
        <f>_xlfn.XLOOKUP(Table8[[#This Row],[Supporter_ID]],tb1_supporters[Supporter_ID ],tb1_supporters[County],"")</f>
        <v>Surrey</v>
      </c>
      <c r="M120" t="str">
        <f>_xlfn.XLOOKUP(Table8[[#This Row],[Supporter_ID]],tb1_supporters[Supporter_ID ],tb1_supporters[Gender],"")</f>
        <v>Female</v>
      </c>
      <c r="N120">
        <f ca="1">_xlfn.XLOOKUP(Table8[[#This Row],[Supporter_ID]],tb1_supporters[Supporter_ID ],tb1_supporters[Age],"")</f>
        <v>56</v>
      </c>
      <c r="O120" t="str">
        <f ca="1">_xlfn.XLOOKUP(Table8[[#This Row],[Supporter_ID]],tb1_supporters[Supporter_ID ],tb1_supporters[Age_Band],"")</f>
        <v>50-64</v>
      </c>
      <c r="P120" t="str">
        <f ca="1">IF(Table8[[#This Row],[Age_Band]]="","Unknown",Table8[[#This Row],[Age_Band]])</f>
        <v>50-64</v>
      </c>
      <c r="Q120" t="str">
        <f>_xlfn.XLOOKUP(Table8[[#This Row],[Supporter_ID]],tb1_supporters[Supporter_ID ],tb1_supporters[Communication_Preference],"")</f>
        <v>Email</v>
      </c>
      <c r="R120" t="str">
        <f>_xlfn.XLOOKUP(Table8[[#This Row],[Supporter_ID]],tb1_supporters[Supporter_ID ],tb1_supporters[Duplicate_Profile_Flag],"")</f>
        <v/>
      </c>
      <c r="S120" t="str">
        <f>_xlfn.XLOOKUP(Table8[[#This Row],[Supporter_ID]],tb1_supporters[Supporter_ID ],tb1_supporters[Preference_Compliance_Flag],"")</f>
        <v/>
      </c>
      <c r="T120" t="str">
        <f ca="1">IF(Table8[[#This Row],[Age]]="","Review - missing DOB",IF(Table8[[#This Row],[Age]]&gt;TODAY(),"Review - future DOB",IF(Table8[[#This Row],[Age]]=0,"Review -  potential entry error (age 0)","")))</f>
        <v/>
      </c>
      <c r="U120" t="str">
        <f>_xlfn.XLOOKUP(Table8[[#This Row],[Campaign_Code]],tb3_CampaignMaster[Campaign_Code],tb3_CampaignMaster[Campaign_Type],"")</f>
        <v>Acquisition</v>
      </c>
      <c r="V120" t="str">
        <f>_xlfn.XLOOKUP(Table8[[#This Row],[Campaign_Code]],tb3_CampaignMaster[Campaign_Code],tb3_CampaignMaster[Target_Audience],"")</f>
        <v>Prospects</v>
      </c>
      <c r="W120" s="17">
        <f>_xlfn.XLOOKUP(Table8[[#This Row],[Campaign_Code]],tb3_CampaignMaster[Campaign_Code],tb3_CampaignMaster[Start_Date],"")</f>
        <v>45689</v>
      </c>
      <c r="X120" s="17">
        <f>_xlfn.XLOOKUP(Table8[[#This Row],[Campaign_Code]],tb3_CampaignMaster[Campaign_Code],tb3_CampaignMaster[End_Date],"")</f>
        <v>45777</v>
      </c>
      <c r="Y120">
        <f>_xlfn.XLOOKUP(Table8[[#This Row],[Campaign_Code]],tb3_CampaignMaster[Campaign_Code],tb3_CampaignMaster[Budget_GBP],"")</f>
        <v>20000</v>
      </c>
      <c r="Z120" t="str">
        <f>_xlfn.XLOOKUP(Table8[[#This Row],[Campaign_Code]],tb3_CampaignMaster[Campaign_Code],tb3_CampaignMaster[Primary_Channel],"")</f>
        <v>Digital</v>
      </c>
      <c r="AA120" s="13">
        <f>IF(Table8[[#This Row],[Gift_Aid_Eligible]]="Yes",Table8[[#This Row],[Gift_Amount]]*1.25,Table8[[#This Row],[Gift_Amount]])</f>
        <v>112.2625</v>
      </c>
      <c r="AB120" t="str">
        <f>IF(Table8[[#This Row],[Supporter_ID]]="","Review - missing supporter ID","")</f>
        <v/>
      </c>
      <c r="AC120" t="str">
        <f>IF(OR(Table8[[#This Row],[Response_Date]]&lt;Table8[[#This Row],[Start_Date]],Table8[[#This Row],[Response_Date]]&gt;Table8[[#This Row],[End_Date]]),"Review - response outside campaign dates","")</f>
        <v/>
      </c>
      <c r="AD120" t="str">
        <f>IF(Table8[[#This Row],[Campaign_Type]]="","Review - campaign code not found","")</f>
        <v/>
      </c>
    </row>
    <row r="121" spans="1:30" x14ac:dyDescent="0.25">
      <c r="A121" t="s">
        <v>3572</v>
      </c>
      <c r="B121" t="s">
        <v>844</v>
      </c>
      <c r="C121" t="s">
        <v>3320</v>
      </c>
      <c r="D121" t="s">
        <v>3321</v>
      </c>
      <c r="E121" t="s">
        <v>4</v>
      </c>
      <c r="F121" s="17">
        <v>45453</v>
      </c>
      <c r="G121">
        <v>11.52</v>
      </c>
      <c r="H121" t="s">
        <v>36</v>
      </c>
      <c r="I121" t="s">
        <v>3365</v>
      </c>
      <c r="J121" t="str">
        <f>_xlfn.XLOOKUP(Table8[[#This Row],[Supporter_ID]],tb1_supporters[Supporter_ID ],tb1_supporters[Segment],"")</f>
        <v>Prospect</v>
      </c>
      <c r="K121" t="str">
        <f>_xlfn.XLOOKUP(Table8[[#This Row],[Supporter_ID]],tb1_supporters[Supporter_ID ],tb1_supporters[Acquisition_Source],"")</f>
        <v>Social Media</v>
      </c>
      <c r="L121" t="str">
        <f>_xlfn.XLOOKUP(Table8[[#This Row],[Supporter_ID]],tb1_supporters[Supporter_ID ],tb1_supporters[County],"")</f>
        <v>Leicestershire</v>
      </c>
      <c r="M121" t="str">
        <f>_xlfn.XLOOKUP(Table8[[#This Row],[Supporter_ID]],tb1_supporters[Supporter_ID ],tb1_supporters[Gender],"")</f>
        <v>Male</v>
      </c>
      <c r="N121">
        <f ca="1">_xlfn.XLOOKUP(Table8[[#This Row],[Supporter_ID]],tb1_supporters[Supporter_ID ],tb1_supporters[Age],"")</f>
        <v>60</v>
      </c>
      <c r="O121" t="str">
        <f ca="1">_xlfn.XLOOKUP(Table8[[#This Row],[Supporter_ID]],tb1_supporters[Supporter_ID ],tb1_supporters[Age_Band],"")</f>
        <v>50-64</v>
      </c>
      <c r="P121" t="str">
        <f ca="1">IF(Table8[[#This Row],[Age_Band]]="","Unknown",Table8[[#This Row],[Age_Band]])</f>
        <v>50-64</v>
      </c>
      <c r="Q121" t="str">
        <f>_xlfn.XLOOKUP(Table8[[#This Row],[Supporter_ID]],tb1_supporters[Supporter_ID ],tb1_supporters[Communication_Preference],"")</f>
        <v>Email</v>
      </c>
      <c r="R121" t="str">
        <f>_xlfn.XLOOKUP(Table8[[#This Row],[Supporter_ID]],tb1_supporters[Supporter_ID ],tb1_supporters[Duplicate_Profile_Flag],"")</f>
        <v/>
      </c>
      <c r="S121" t="str">
        <f>_xlfn.XLOOKUP(Table8[[#This Row],[Supporter_ID]],tb1_supporters[Supporter_ID ],tb1_supporters[Preference_Compliance_Flag],"")</f>
        <v>Review - prefers email but not opted in</v>
      </c>
      <c r="T121" t="str">
        <f ca="1">IF(Table8[[#This Row],[Age]]="","Review - missing DOB",IF(Table8[[#This Row],[Age]]&gt;TODAY(),"Review - future DOB",IF(Table8[[#This Row],[Age]]=0,"Review -  potential entry error (age 0)","")))</f>
        <v/>
      </c>
      <c r="U121" t="str">
        <f>_xlfn.XLOOKUP(Table8[[#This Row],[Campaign_Code]],tb3_CampaignMaster[Campaign_Code],tb3_CampaignMaster[Campaign_Type],"")</f>
        <v>Stewardship</v>
      </c>
      <c r="V121" t="str">
        <f>_xlfn.XLOOKUP(Table8[[#This Row],[Campaign_Code]],tb3_CampaignMaster[Campaign_Code],tb3_CampaignMaster[Target_Audience],"")</f>
        <v>Major Donors</v>
      </c>
      <c r="W121" s="17">
        <f>_xlfn.XLOOKUP(Table8[[#This Row],[Campaign_Code]],tb3_CampaignMaster[Campaign_Code],tb3_CampaignMaster[Start_Date],"")</f>
        <v>45444</v>
      </c>
      <c r="X121" s="17">
        <f>_xlfn.XLOOKUP(Table8[[#This Row],[Campaign_Code]],tb3_CampaignMaster[Campaign_Code],tb3_CampaignMaster[End_Date],"")</f>
        <v>45473</v>
      </c>
      <c r="Y121">
        <f>_xlfn.XLOOKUP(Table8[[#This Row],[Campaign_Code]],tb3_CampaignMaster[Campaign_Code],tb3_CampaignMaster[Budget_GBP],"")</f>
        <v>7000</v>
      </c>
      <c r="Z121" t="str">
        <f>_xlfn.XLOOKUP(Table8[[#This Row],[Campaign_Code]],tb3_CampaignMaster[Campaign_Code],tb3_CampaignMaster[Primary_Channel],"")</f>
        <v>Direct Mail</v>
      </c>
      <c r="AA121" s="13">
        <f>IF(Table8[[#This Row],[Gift_Aid_Eligible]]="Yes",Table8[[#This Row],[Gift_Amount]]*1.25,Table8[[#This Row],[Gift_Amount]])</f>
        <v>14.399999999999999</v>
      </c>
      <c r="AB121" t="str">
        <f>IF(Table8[[#This Row],[Supporter_ID]]="","Review - missing supporter ID","")</f>
        <v/>
      </c>
      <c r="AC121" t="str">
        <f>IF(OR(Table8[[#This Row],[Response_Date]]&lt;Table8[[#This Row],[Start_Date]],Table8[[#This Row],[Response_Date]]&gt;Table8[[#This Row],[End_Date]]),"Review - response outside campaign dates","")</f>
        <v/>
      </c>
      <c r="AD121" t="str">
        <f>IF(Table8[[#This Row],[Campaign_Type]]="","Review - campaign code not found","")</f>
        <v/>
      </c>
    </row>
    <row r="122" spans="1:30" x14ac:dyDescent="0.25">
      <c r="A122" t="s">
        <v>3574</v>
      </c>
      <c r="B122" t="s">
        <v>1994</v>
      </c>
      <c r="C122" t="s">
        <v>3314</v>
      </c>
      <c r="D122" t="s">
        <v>3315</v>
      </c>
      <c r="E122" t="s">
        <v>3316</v>
      </c>
      <c r="F122" s="17">
        <v>45711</v>
      </c>
      <c r="G122">
        <v>77.489999999999995</v>
      </c>
      <c r="H122" t="s">
        <v>37</v>
      </c>
      <c r="I122" t="s">
        <v>3365</v>
      </c>
      <c r="J122" t="str">
        <f>_xlfn.XLOOKUP(Table8[[#This Row],[Supporter_ID]],tb1_supporters[Supporter_ID ],tb1_supporters[Segment],"")</f>
        <v>One-Time Donor</v>
      </c>
      <c r="K122" t="str">
        <f>_xlfn.XLOOKUP(Table8[[#This Row],[Supporter_ID]],tb1_supporters[Supporter_ID ],tb1_supporters[Acquisition_Source],"")</f>
        <v>Corporate Partner</v>
      </c>
      <c r="L122" t="str">
        <f>_xlfn.XLOOKUP(Table8[[#This Row],[Supporter_ID]],tb1_supporters[Supporter_ID ],tb1_supporters[County],"")</f>
        <v>Wiltshire</v>
      </c>
      <c r="M122" t="str">
        <f>_xlfn.XLOOKUP(Table8[[#This Row],[Supporter_ID]],tb1_supporters[Supporter_ID ],tb1_supporters[Gender],"")</f>
        <v>Male</v>
      </c>
      <c r="N122">
        <f ca="1">_xlfn.XLOOKUP(Table8[[#This Row],[Supporter_ID]],tb1_supporters[Supporter_ID ],tb1_supporters[Age],"")</f>
        <v>65</v>
      </c>
      <c r="O122" t="str">
        <f ca="1">_xlfn.XLOOKUP(Table8[[#This Row],[Supporter_ID]],tb1_supporters[Supporter_ID ],tb1_supporters[Age_Band],"")</f>
        <v>65+</v>
      </c>
      <c r="P122" t="str">
        <f ca="1">IF(Table8[[#This Row],[Age_Band]]="","Unknown",Table8[[#This Row],[Age_Band]])</f>
        <v>65+</v>
      </c>
      <c r="Q122" t="str">
        <f>_xlfn.XLOOKUP(Table8[[#This Row],[Supporter_ID]],tb1_supporters[Supporter_ID ],tb1_supporters[Communication_Preference],"")</f>
        <v>Email</v>
      </c>
      <c r="R122" t="str">
        <f>_xlfn.XLOOKUP(Table8[[#This Row],[Supporter_ID]],tb1_supporters[Supporter_ID ],tb1_supporters[Duplicate_Profile_Flag],"")</f>
        <v/>
      </c>
      <c r="S122" t="str">
        <f>_xlfn.XLOOKUP(Table8[[#This Row],[Supporter_ID]],tb1_supporters[Supporter_ID ],tb1_supporters[Preference_Compliance_Flag],"")</f>
        <v/>
      </c>
      <c r="T122" t="str">
        <f ca="1">IF(Table8[[#This Row],[Age]]="","Review - missing DOB",IF(Table8[[#This Row],[Age]]&gt;TODAY(),"Review - future DOB",IF(Table8[[#This Row],[Age]]=0,"Review -  potential entry error (age 0)","")))</f>
        <v/>
      </c>
      <c r="U122" t="str">
        <f>_xlfn.XLOOKUP(Table8[[#This Row],[Campaign_Code]],tb3_CampaignMaster[Campaign_Code],tb3_CampaignMaster[Campaign_Type],"")</f>
        <v>Regular Giving</v>
      </c>
      <c r="V122" t="str">
        <f>_xlfn.XLOOKUP(Table8[[#This Row],[Campaign_Code]],tb3_CampaignMaster[Campaign_Code],tb3_CampaignMaster[Target_Audience],"")</f>
        <v>One-time Donors</v>
      </c>
      <c r="W122" s="17">
        <f>_xlfn.XLOOKUP(Table8[[#This Row],[Campaign_Code]],tb3_CampaignMaster[Campaign_Code],tb3_CampaignMaster[Start_Date],"")</f>
        <v>45663</v>
      </c>
      <c r="X122" s="17">
        <f>_xlfn.XLOOKUP(Table8[[#This Row],[Campaign_Code]],tb3_CampaignMaster[Campaign_Code],tb3_CampaignMaster[End_Date],"")</f>
        <v>45747</v>
      </c>
      <c r="Y122">
        <f>_xlfn.XLOOKUP(Table8[[#This Row],[Campaign_Code]],tb3_CampaignMaster[Campaign_Code],tb3_CampaignMaster[Budget_GBP],"")</f>
        <v>10000</v>
      </c>
      <c r="Z122" t="str">
        <f>_xlfn.XLOOKUP(Table8[[#This Row],[Campaign_Code]],tb3_CampaignMaster[Campaign_Code],tb3_CampaignMaster[Primary_Channel],"")</f>
        <v>Telephone</v>
      </c>
      <c r="AA122" s="13">
        <f>IF(Table8[[#This Row],[Gift_Aid_Eligible]]="Yes",Table8[[#This Row],[Gift_Amount]]*1.25,Table8[[#This Row],[Gift_Amount]])</f>
        <v>77.489999999999995</v>
      </c>
      <c r="AB122" t="str">
        <f>IF(Table8[[#This Row],[Supporter_ID]]="","Review - missing supporter ID","")</f>
        <v/>
      </c>
      <c r="AC122" t="str">
        <f>IF(OR(Table8[[#This Row],[Response_Date]]&lt;Table8[[#This Row],[Start_Date]],Table8[[#This Row],[Response_Date]]&gt;Table8[[#This Row],[End_Date]]),"Review - response outside campaign dates","")</f>
        <v/>
      </c>
      <c r="AD122" t="str">
        <f>IF(Table8[[#This Row],[Campaign_Type]]="","Review - campaign code not found","")</f>
        <v/>
      </c>
    </row>
    <row r="123" spans="1:30" x14ac:dyDescent="0.25">
      <c r="A123" t="s">
        <v>3576</v>
      </c>
      <c r="B123" t="s">
        <v>2188</v>
      </c>
      <c r="C123" t="s">
        <v>3336</v>
      </c>
      <c r="D123" t="s">
        <v>3337</v>
      </c>
      <c r="E123" t="s">
        <v>3316</v>
      </c>
      <c r="F123" s="17">
        <v>45575</v>
      </c>
      <c r="G123">
        <v>38.369999999999997</v>
      </c>
      <c r="H123" t="s">
        <v>36</v>
      </c>
      <c r="I123" t="s">
        <v>3328</v>
      </c>
      <c r="J123" t="str">
        <f>_xlfn.XLOOKUP(Table8[[#This Row],[Supporter_ID]],tb1_supporters[Supporter_ID ],tb1_supporters[Segment],"")</f>
        <v>One-Time Donor</v>
      </c>
      <c r="K123" t="str">
        <f>_xlfn.XLOOKUP(Table8[[#This Row],[Supporter_ID]],tb1_supporters[Supporter_ID ],tb1_supporters[Acquisition_Source],"")</f>
        <v>Event</v>
      </c>
      <c r="L123" t="str">
        <f>_xlfn.XLOOKUP(Table8[[#This Row],[Supporter_ID]],tb1_supporters[Supporter_ID ],tb1_supporters[County],"")</f>
        <v>Cambridgeshire</v>
      </c>
      <c r="M123" t="str">
        <f>_xlfn.XLOOKUP(Table8[[#This Row],[Supporter_ID]],tb1_supporters[Supporter_ID ],tb1_supporters[Gender],"")</f>
        <v>Male</v>
      </c>
      <c r="N123">
        <f ca="1">_xlfn.XLOOKUP(Table8[[#This Row],[Supporter_ID]],tb1_supporters[Supporter_ID ],tb1_supporters[Age],"")</f>
        <v>63</v>
      </c>
      <c r="O123" t="str">
        <f ca="1">_xlfn.XLOOKUP(Table8[[#This Row],[Supporter_ID]],tb1_supporters[Supporter_ID ],tb1_supporters[Age_Band],"")</f>
        <v>50-64</v>
      </c>
      <c r="P123" t="str">
        <f ca="1">IF(Table8[[#This Row],[Age_Band]]="","Unknown",Table8[[#This Row],[Age_Band]])</f>
        <v>50-64</v>
      </c>
      <c r="Q123" t="str">
        <f>_xlfn.XLOOKUP(Table8[[#This Row],[Supporter_ID]],tb1_supporters[Supporter_ID ],tb1_supporters[Communication_Preference],"")</f>
        <v>Email</v>
      </c>
      <c r="R123" t="str">
        <f>_xlfn.XLOOKUP(Table8[[#This Row],[Supporter_ID]],tb1_supporters[Supporter_ID ],tb1_supporters[Duplicate_Profile_Flag],"")</f>
        <v/>
      </c>
      <c r="S123" t="str">
        <f>_xlfn.XLOOKUP(Table8[[#This Row],[Supporter_ID]],tb1_supporters[Supporter_ID ],tb1_supporters[Preference_Compliance_Flag],"")</f>
        <v>Review - prefers email but not opted in</v>
      </c>
      <c r="T123" t="str">
        <f ca="1">IF(Table8[[#This Row],[Age]]="","Review - missing DOB",IF(Table8[[#This Row],[Age]]&gt;TODAY(),"Review - future DOB",IF(Table8[[#This Row],[Age]]=0,"Review -  potential entry error (age 0)","")))</f>
        <v/>
      </c>
      <c r="U123" t="str">
        <f>_xlfn.XLOOKUP(Table8[[#This Row],[Campaign_Code]],tb3_CampaignMaster[Campaign_Code],tb3_CampaignMaster[Campaign_Type],"")</f>
        <v>Appeal</v>
      </c>
      <c r="V123" t="str">
        <f>_xlfn.XLOOKUP(Table8[[#This Row],[Campaign_Code]],tb3_CampaignMaster[Campaign_Code],tb3_CampaignMaster[Target_Audience],"")</f>
        <v>All Supporters</v>
      </c>
      <c r="W123" s="17">
        <f>_xlfn.XLOOKUP(Table8[[#This Row],[Campaign_Code]],tb3_CampaignMaster[Campaign_Code],tb3_CampaignMaster[Start_Date],"")</f>
        <v>45545</v>
      </c>
      <c r="X123" s="17">
        <f>_xlfn.XLOOKUP(Table8[[#This Row],[Campaign_Code]],tb3_CampaignMaster[Campaign_Code],tb3_CampaignMaster[End_Date],"")</f>
        <v>45580</v>
      </c>
      <c r="Y123">
        <f>_xlfn.XLOOKUP(Table8[[#This Row],[Campaign_Code]],tb3_CampaignMaster[Campaign_Code],tb3_CampaignMaster[Budget_GBP],"")</f>
        <v>15000</v>
      </c>
      <c r="Z123" t="str">
        <f>_xlfn.XLOOKUP(Table8[[#This Row],[Campaign_Code]],tb3_CampaignMaster[Campaign_Code],tb3_CampaignMaster[Primary_Channel],"")</f>
        <v>Email</v>
      </c>
      <c r="AA123" s="13">
        <f>IF(Table8[[#This Row],[Gift_Aid_Eligible]]="Yes",Table8[[#This Row],[Gift_Amount]]*1.25,Table8[[#This Row],[Gift_Amount]])</f>
        <v>47.962499999999999</v>
      </c>
      <c r="AB123" t="str">
        <f>IF(Table8[[#This Row],[Supporter_ID]]="","Review - missing supporter ID","")</f>
        <v/>
      </c>
      <c r="AC123" t="str">
        <f>IF(OR(Table8[[#This Row],[Response_Date]]&lt;Table8[[#This Row],[Start_Date]],Table8[[#This Row],[Response_Date]]&gt;Table8[[#This Row],[End_Date]]),"Review - response outside campaign dates","")</f>
        <v/>
      </c>
      <c r="AD123" t="str">
        <f>IF(Table8[[#This Row],[Campaign_Type]]="","Review - campaign code not found","")</f>
        <v/>
      </c>
    </row>
    <row r="124" spans="1:30" x14ac:dyDescent="0.25">
      <c r="A124" t="s">
        <v>3578</v>
      </c>
      <c r="B124" t="s">
        <v>2513</v>
      </c>
      <c r="C124" t="s">
        <v>3336</v>
      </c>
      <c r="D124" t="s">
        <v>3337</v>
      </c>
      <c r="E124" t="s">
        <v>3338</v>
      </c>
      <c r="F124" s="17">
        <v>45564</v>
      </c>
      <c r="G124">
        <v>3217.7</v>
      </c>
      <c r="H124" t="s">
        <v>36</v>
      </c>
      <c r="I124" t="s">
        <v>3318</v>
      </c>
      <c r="J124" t="str">
        <f>_xlfn.XLOOKUP(Table8[[#This Row],[Supporter_ID]],tb1_supporters[Supporter_ID ],tb1_supporters[Segment],"")</f>
        <v>Major Donor</v>
      </c>
      <c r="K124" t="str">
        <f>_xlfn.XLOOKUP(Table8[[#This Row],[Supporter_ID]],tb1_supporters[Supporter_ID ],tb1_supporters[Acquisition_Source],"")</f>
        <v>Corporate Partner</v>
      </c>
      <c r="L124" t="str">
        <f>_xlfn.XLOOKUP(Table8[[#This Row],[Supporter_ID]],tb1_supporters[Supporter_ID ],tb1_supporters[County],"")</f>
        <v>Berkshire</v>
      </c>
      <c r="M124" t="str">
        <f>_xlfn.XLOOKUP(Table8[[#This Row],[Supporter_ID]],tb1_supporters[Supporter_ID ],tb1_supporters[Gender],"")</f>
        <v>Female</v>
      </c>
      <c r="N124">
        <f ca="1">_xlfn.XLOOKUP(Table8[[#This Row],[Supporter_ID]],tb1_supporters[Supporter_ID ],tb1_supporters[Age],"")</f>
        <v>53</v>
      </c>
      <c r="O124" t="str">
        <f ca="1">_xlfn.XLOOKUP(Table8[[#This Row],[Supporter_ID]],tb1_supporters[Supporter_ID ],tb1_supporters[Age_Band],"")</f>
        <v>50-64</v>
      </c>
      <c r="P124" t="str">
        <f ca="1">IF(Table8[[#This Row],[Age_Band]]="","Unknown",Table8[[#This Row],[Age_Band]])</f>
        <v>50-64</v>
      </c>
      <c r="Q124" t="str">
        <f>_xlfn.XLOOKUP(Table8[[#This Row],[Supporter_ID]],tb1_supporters[Supporter_ID ],tb1_supporters[Communication_Preference],"")</f>
        <v>Email</v>
      </c>
      <c r="R124" t="str">
        <f>_xlfn.XLOOKUP(Table8[[#This Row],[Supporter_ID]],tb1_supporters[Supporter_ID ],tb1_supporters[Duplicate_Profile_Flag],"")</f>
        <v/>
      </c>
      <c r="S124" t="str">
        <f>_xlfn.XLOOKUP(Table8[[#This Row],[Supporter_ID]],tb1_supporters[Supporter_ID ],tb1_supporters[Preference_Compliance_Flag],"")</f>
        <v/>
      </c>
      <c r="T124" t="str">
        <f ca="1">IF(Table8[[#This Row],[Age]]="","Review - missing DOB",IF(Table8[[#This Row],[Age]]&gt;TODAY(),"Review - future DOB",IF(Table8[[#This Row],[Age]]=0,"Review -  potential entry error (age 0)","")))</f>
        <v/>
      </c>
      <c r="U124" t="str">
        <f>_xlfn.XLOOKUP(Table8[[#This Row],[Campaign_Code]],tb3_CampaignMaster[Campaign_Code],tb3_CampaignMaster[Campaign_Type],"")</f>
        <v>Appeal</v>
      </c>
      <c r="V124" t="str">
        <f>_xlfn.XLOOKUP(Table8[[#This Row],[Campaign_Code]],tb3_CampaignMaster[Campaign_Code],tb3_CampaignMaster[Target_Audience],"")</f>
        <v>All Supporters</v>
      </c>
      <c r="W124" s="17">
        <f>_xlfn.XLOOKUP(Table8[[#This Row],[Campaign_Code]],tb3_CampaignMaster[Campaign_Code],tb3_CampaignMaster[Start_Date],"")</f>
        <v>45545</v>
      </c>
      <c r="X124" s="17">
        <f>_xlfn.XLOOKUP(Table8[[#This Row],[Campaign_Code]],tb3_CampaignMaster[Campaign_Code],tb3_CampaignMaster[End_Date],"")</f>
        <v>45580</v>
      </c>
      <c r="Y124">
        <f>_xlfn.XLOOKUP(Table8[[#This Row],[Campaign_Code]],tb3_CampaignMaster[Campaign_Code],tb3_CampaignMaster[Budget_GBP],"")</f>
        <v>15000</v>
      </c>
      <c r="Z124" t="str">
        <f>_xlfn.XLOOKUP(Table8[[#This Row],[Campaign_Code]],tb3_CampaignMaster[Campaign_Code],tb3_CampaignMaster[Primary_Channel],"")</f>
        <v>Email</v>
      </c>
      <c r="AA124" s="13">
        <f>IF(Table8[[#This Row],[Gift_Aid_Eligible]]="Yes",Table8[[#This Row],[Gift_Amount]]*1.25,Table8[[#This Row],[Gift_Amount]])</f>
        <v>4022.125</v>
      </c>
      <c r="AB124" t="str">
        <f>IF(Table8[[#This Row],[Supporter_ID]]="","Review - missing supporter ID","")</f>
        <v/>
      </c>
      <c r="AC124" t="str">
        <f>IF(OR(Table8[[#This Row],[Response_Date]]&lt;Table8[[#This Row],[Start_Date]],Table8[[#This Row],[Response_Date]]&gt;Table8[[#This Row],[End_Date]]),"Review - response outside campaign dates","")</f>
        <v/>
      </c>
      <c r="AD124" t="str">
        <f>IF(Table8[[#This Row],[Campaign_Type]]="","Review - campaign code not found","")</f>
        <v/>
      </c>
    </row>
    <row r="125" spans="1:30" x14ac:dyDescent="0.25">
      <c r="A125" t="s">
        <v>3580</v>
      </c>
      <c r="B125" t="s">
        <v>1591</v>
      </c>
      <c r="C125" t="s">
        <v>3336</v>
      </c>
      <c r="D125" t="s">
        <v>3337</v>
      </c>
      <c r="E125" t="s">
        <v>65</v>
      </c>
      <c r="F125" s="17">
        <v>45554</v>
      </c>
      <c r="G125">
        <v>28.32</v>
      </c>
      <c r="H125" t="s">
        <v>37</v>
      </c>
      <c r="I125" t="s">
        <v>3334</v>
      </c>
      <c r="J125" t="str">
        <f>_xlfn.XLOOKUP(Table8[[#This Row],[Supporter_ID]],tb1_supporters[Supporter_ID ],tb1_supporters[Segment],"")</f>
        <v>Mid-Value</v>
      </c>
      <c r="K125" t="str">
        <f>_xlfn.XLOOKUP(Table8[[#This Row],[Supporter_ID]],tb1_supporters[Supporter_ID ],tb1_supporters[Acquisition_Source],"")</f>
        <v>Corporate Partner</v>
      </c>
      <c r="L125" t="str">
        <f>_xlfn.XLOOKUP(Table8[[#This Row],[Supporter_ID]],tb1_supporters[Supporter_ID ],tb1_supporters[County],"")</f>
        <v>South Glamorgan</v>
      </c>
      <c r="M125" t="str">
        <f>_xlfn.XLOOKUP(Table8[[#This Row],[Supporter_ID]],tb1_supporters[Supporter_ID ],tb1_supporters[Gender],"")</f>
        <v>Male</v>
      </c>
      <c r="N125">
        <f ca="1">_xlfn.XLOOKUP(Table8[[#This Row],[Supporter_ID]],tb1_supporters[Supporter_ID ],tb1_supporters[Age],"")</f>
        <v>72</v>
      </c>
      <c r="O125" t="str">
        <f ca="1">_xlfn.XLOOKUP(Table8[[#This Row],[Supporter_ID]],tb1_supporters[Supporter_ID ],tb1_supporters[Age_Band],"")</f>
        <v>65+</v>
      </c>
      <c r="P125" t="str">
        <f ca="1">IF(Table8[[#This Row],[Age_Band]]="","Unknown",Table8[[#This Row],[Age_Band]])</f>
        <v>65+</v>
      </c>
      <c r="Q125" t="str">
        <f>_xlfn.XLOOKUP(Table8[[#This Row],[Supporter_ID]],tb1_supporters[Supporter_ID ],tb1_supporters[Communication_Preference],"")</f>
        <v>Email</v>
      </c>
      <c r="R125" t="str">
        <f>_xlfn.XLOOKUP(Table8[[#This Row],[Supporter_ID]],tb1_supporters[Supporter_ID ],tb1_supporters[Duplicate_Profile_Flag],"")</f>
        <v/>
      </c>
      <c r="S125" t="str">
        <f>_xlfn.XLOOKUP(Table8[[#This Row],[Supporter_ID]],tb1_supporters[Supporter_ID ],tb1_supporters[Preference_Compliance_Flag],"")</f>
        <v/>
      </c>
      <c r="T125" t="str">
        <f ca="1">IF(Table8[[#This Row],[Age]]="","Review - missing DOB",IF(Table8[[#This Row],[Age]]&gt;TODAY(),"Review - future DOB",IF(Table8[[#This Row],[Age]]=0,"Review -  potential entry error (age 0)","")))</f>
        <v/>
      </c>
      <c r="U125" t="str">
        <f>_xlfn.XLOOKUP(Table8[[#This Row],[Campaign_Code]],tb3_CampaignMaster[Campaign_Code],tb3_CampaignMaster[Campaign_Type],"")</f>
        <v>Appeal</v>
      </c>
      <c r="V125" t="str">
        <f>_xlfn.XLOOKUP(Table8[[#This Row],[Campaign_Code]],tb3_CampaignMaster[Campaign_Code],tb3_CampaignMaster[Target_Audience],"")</f>
        <v>All Supporters</v>
      </c>
      <c r="W125" s="17">
        <f>_xlfn.XLOOKUP(Table8[[#This Row],[Campaign_Code]],tb3_CampaignMaster[Campaign_Code],tb3_CampaignMaster[Start_Date],"")</f>
        <v>45545</v>
      </c>
      <c r="X125" s="17">
        <f>_xlfn.XLOOKUP(Table8[[#This Row],[Campaign_Code]],tb3_CampaignMaster[Campaign_Code],tb3_CampaignMaster[End_Date],"")</f>
        <v>45580</v>
      </c>
      <c r="Y125">
        <f>_xlfn.XLOOKUP(Table8[[#This Row],[Campaign_Code]],tb3_CampaignMaster[Campaign_Code],tb3_CampaignMaster[Budget_GBP],"")</f>
        <v>15000</v>
      </c>
      <c r="Z125" t="str">
        <f>_xlfn.XLOOKUP(Table8[[#This Row],[Campaign_Code]],tb3_CampaignMaster[Campaign_Code],tb3_CampaignMaster[Primary_Channel],"")</f>
        <v>Email</v>
      </c>
      <c r="AA125" s="13">
        <f>IF(Table8[[#This Row],[Gift_Aid_Eligible]]="Yes",Table8[[#This Row],[Gift_Amount]]*1.25,Table8[[#This Row],[Gift_Amount]])</f>
        <v>28.32</v>
      </c>
      <c r="AB125" t="str">
        <f>IF(Table8[[#This Row],[Supporter_ID]]="","Review - missing supporter ID","")</f>
        <v/>
      </c>
      <c r="AC125" t="str">
        <f>IF(OR(Table8[[#This Row],[Response_Date]]&lt;Table8[[#This Row],[Start_Date]],Table8[[#This Row],[Response_Date]]&gt;Table8[[#This Row],[End_Date]]),"Review - response outside campaign dates","")</f>
        <v/>
      </c>
      <c r="AD125" t="str">
        <f>IF(Table8[[#This Row],[Campaign_Type]]="","Review - campaign code not found","")</f>
        <v/>
      </c>
    </row>
    <row r="126" spans="1:30" x14ac:dyDescent="0.25">
      <c r="A126" t="s">
        <v>3582</v>
      </c>
      <c r="B126" t="s">
        <v>2350</v>
      </c>
      <c r="C126" t="s">
        <v>3341</v>
      </c>
      <c r="D126" t="s">
        <v>3342</v>
      </c>
      <c r="E126" t="s">
        <v>4</v>
      </c>
      <c r="F126" s="17">
        <v>45994</v>
      </c>
      <c r="G126">
        <v>27.21</v>
      </c>
      <c r="H126" t="s">
        <v>36</v>
      </c>
      <c r="I126" t="s">
        <v>3331</v>
      </c>
      <c r="J126" t="str">
        <f>_xlfn.XLOOKUP(Table8[[#This Row],[Supporter_ID]],tb1_supporters[Supporter_ID ],tb1_supporters[Segment],"")</f>
        <v>Prospect</v>
      </c>
      <c r="K126" t="str">
        <f>_xlfn.XLOOKUP(Table8[[#This Row],[Supporter_ID]],tb1_supporters[Supporter_ID ],tb1_supporters[Acquisition_Source],"")</f>
        <v>Social Media</v>
      </c>
      <c r="L126" t="str">
        <f>_xlfn.XLOOKUP(Table8[[#This Row],[Supporter_ID]],tb1_supporters[Supporter_ID ],tb1_supporters[County],"")</f>
        <v>South Yorkshire</v>
      </c>
      <c r="M126" t="str">
        <f>_xlfn.XLOOKUP(Table8[[#This Row],[Supporter_ID]],tb1_supporters[Supporter_ID ],tb1_supporters[Gender],"")</f>
        <v>Female</v>
      </c>
      <c r="N126">
        <f ca="1">_xlfn.XLOOKUP(Table8[[#This Row],[Supporter_ID]],tb1_supporters[Supporter_ID ],tb1_supporters[Age],"")</f>
        <v>48</v>
      </c>
      <c r="O126" t="str">
        <f ca="1">_xlfn.XLOOKUP(Table8[[#This Row],[Supporter_ID]],tb1_supporters[Supporter_ID ],tb1_supporters[Age_Band],"")</f>
        <v>35-49</v>
      </c>
      <c r="P126" t="str">
        <f ca="1">IF(Table8[[#This Row],[Age_Band]]="","Unknown",Table8[[#This Row],[Age_Band]])</f>
        <v>35-49</v>
      </c>
      <c r="Q126" t="str">
        <f>_xlfn.XLOOKUP(Table8[[#This Row],[Supporter_ID]],tb1_supporters[Supporter_ID ],tb1_supporters[Communication_Preference],"")</f>
        <v>Post</v>
      </c>
      <c r="R126" t="str">
        <f>_xlfn.XLOOKUP(Table8[[#This Row],[Supporter_ID]],tb1_supporters[Supporter_ID ],tb1_supporters[Duplicate_Profile_Flag],"")</f>
        <v/>
      </c>
      <c r="S126" t="str">
        <f>_xlfn.XLOOKUP(Table8[[#This Row],[Supporter_ID]],tb1_supporters[Supporter_ID ],tb1_supporters[Preference_Compliance_Flag],"")</f>
        <v/>
      </c>
      <c r="T126" t="str">
        <f ca="1">IF(Table8[[#This Row],[Age]]="","Review - missing DOB",IF(Table8[[#This Row],[Age]]&gt;TODAY(),"Review - future DOB",IF(Table8[[#This Row],[Age]]=0,"Review -  potential entry error (age 0)","")))</f>
        <v/>
      </c>
      <c r="U126" t="str">
        <f>_xlfn.XLOOKUP(Table8[[#This Row],[Campaign_Code]],tb3_CampaignMaster[Campaign_Code],tb3_CampaignMaster[Campaign_Type],"")</f>
        <v>Acquisition</v>
      </c>
      <c r="V126" t="str">
        <f>_xlfn.XLOOKUP(Table8[[#This Row],[Campaign_Code]],tb3_CampaignMaster[Campaign_Code],tb3_CampaignMaster[Target_Audience],"")</f>
        <v>Prospects</v>
      </c>
      <c r="W126" s="17">
        <f>_xlfn.XLOOKUP(Table8[[#This Row],[Campaign_Code]],tb3_CampaignMaster[Campaign_Code],tb3_CampaignMaster[Start_Date],"")</f>
        <v>45689</v>
      </c>
      <c r="X126" s="17">
        <f>_xlfn.XLOOKUP(Table8[[#This Row],[Campaign_Code]],tb3_CampaignMaster[Campaign_Code],tb3_CampaignMaster[End_Date],"")</f>
        <v>45777</v>
      </c>
      <c r="Y126">
        <f>_xlfn.XLOOKUP(Table8[[#This Row],[Campaign_Code]],tb3_CampaignMaster[Campaign_Code],tb3_CampaignMaster[Budget_GBP],"")</f>
        <v>20000</v>
      </c>
      <c r="Z126" t="str">
        <f>_xlfn.XLOOKUP(Table8[[#This Row],[Campaign_Code]],tb3_CampaignMaster[Campaign_Code],tb3_CampaignMaster[Primary_Channel],"")</f>
        <v>Digital</v>
      </c>
      <c r="AA126" s="13">
        <f>IF(Table8[[#This Row],[Gift_Aid_Eligible]]="Yes",Table8[[#This Row],[Gift_Amount]]*1.25,Table8[[#This Row],[Gift_Amount]])</f>
        <v>34.012500000000003</v>
      </c>
      <c r="AB126" t="str">
        <f>IF(Table8[[#This Row],[Supporter_ID]]="","Review - missing supporter ID","")</f>
        <v/>
      </c>
      <c r="AC126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126" t="str">
        <f>IF(Table8[[#This Row],[Campaign_Type]]="","Review - campaign code not found","")</f>
        <v/>
      </c>
    </row>
    <row r="127" spans="1:30" x14ac:dyDescent="0.25">
      <c r="A127" t="s">
        <v>3584</v>
      </c>
      <c r="B127" t="s">
        <v>2405</v>
      </c>
      <c r="C127" t="s">
        <v>3367</v>
      </c>
      <c r="D127" t="s">
        <v>3368</v>
      </c>
      <c r="E127" t="s">
        <v>65</v>
      </c>
      <c r="F127" s="17">
        <v>45764</v>
      </c>
      <c r="G127">
        <v>3728.32</v>
      </c>
      <c r="H127" t="s">
        <v>37</v>
      </c>
      <c r="I127" t="s">
        <v>3365</v>
      </c>
      <c r="J127" t="str">
        <f>_xlfn.XLOOKUP(Table8[[#This Row],[Supporter_ID]],tb1_supporters[Supporter_ID ],tb1_supporters[Segment],"")</f>
        <v>Major Donor</v>
      </c>
      <c r="K127" t="str">
        <f>_xlfn.XLOOKUP(Table8[[#This Row],[Supporter_ID]],tb1_supporters[Supporter_ID ],tb1_supporters[Acquisition_Source],"")</f>
        <v>Referral</v>
      </c>
      <c r="L127" t="str">
        <f>_xlfn.XLOOKUP(Table8[[#This Row],[Supporter_ID]],tb1_supporters[Supporter_ID ],tb1_supporters[County],"")</f>
        <v>Nottinghamshire</v>
      </c>
      <c r="M127" t="str">
        <f>_xlfn.XLOOKUP(Table8[[#This Row],[Supporter_ID]],tb1_supporters[Supporter_ID ],tb1_supporters[Gender],"")</f>
        <v>Female</v>
      </c>
      <c r="N127">
        <f ca="1">_xlfn.XLOOKUP(Table8[[#This Row],[Supporter_ID]],tb1_supporters[Supporter_ID ],tb1_supporters[Age],"")</f>
        <v>23</v>
      </c>
      <c r="O127" t="str">
        <f ca="1">_xlfn.XLOOKUP(Table8[[#This Row],[Supporter_ID]],tb1_supporters[Supporter_ID ],tb1_supporters[Age_Band],"")</f>
        <v>18-34</v>
      </c>
      <c r="P127" t="str">
        <f ca="1">IF(Table8[[#This Row],[Age_Band]]="","Unknown",Table8[[#This Row],[Age_Band]])</f>
        <v>18-34</v>
      </c>
      <c r="Q127" t="str">
        <f>_xlfn.XLOOKUP(Table8[[#This Row],[Supporter_ID]],tb1_supporters[Supporter_ID ],tb1_supporters[Communication_Preference],"")</f>
        <v>Email</v>
      </c>
      <c r="R127" t="str">
        <f>_xlfn.XLOOKUP(Table8[[#This Row],[Supporter_ID]],tb1_supporters[Supporter_ID ],tb1_supporters[Duplicate_Profile_Flag],"")</f>
        <v/>
      </c>
      <c r="S127" t="str">
        <f>_xlfn.XLOOKUP(Table8[[#This Row],[Supporter_ID]],tb1_supporters[Supporter_ID ],tb1_supporters[Preference_Compliance_Flag],"")</f>
        <v/>
      </c>
      <c r="T127" t="str">
        <f ca="1">IF(Table8[[#This Row],[Age]]="","Review - missing DOB",IF(Table8[[#This Row],[Age]]&gt;TODAY(),"Review - future DOB",IF(Table8[[#This Row],[Age]]=0,"Review -  potential entry error (age 0)","")))</f>
        <v/>
      </c>
      <c r="U127" t="str">
        <f>_xlfn.XLOOKUP(Table8[[#This Row],[Campaign_Code]],tb3_CampaignMaster[Campaign_Code],tb3_CampaignMaster[Campaign_Type],"")</f>
        <v>Raffle</v>
      </c>
      <c r="V127" t="str">
        <f>_xlfn.XLOOKUP(Table8[[#This Row],[Campaign_Code]],tb3_CampaignMaster[Campaign_Code],tb3_CampaignMaster[Target_Audience],"")</f>
        <v>Regular Givers</v>
      </c>
      <c r="W127" s="17">
        <f>_xlfn.XLOOKUP(Table8[[#This Row],[Campaign_Code]],tb3_CampaignMaster[Campaign_Code],tb3_CampaignMaster[Start_Date],"")</f>
        <v>45717</v>
      </c>
      <c r="X127" s="17">
        <f>_xlfn.XLOOKUP(Table8[[#This Row],[Campaign_Code]],tb3_CampaignMaster[Campaign_Code],tb3_CampaignMaster[End_Date],"")</f>
        <v>45777</v>
      </c>
      <c r="Y127">
        <f>_xlfn.XLOOKUP(Table8[[#This Row],[Campaign_Code]],tb3_CampaignMaster[Campaign_Code],tb3_CampaignMaster[Budget_GBP],"")</f>
        <v>8000</v>
      </c>
      <c r="Z127" t="str">
        <f>_xlfn.XLOOKUP(Table8[[#This Row],[Campaign_Code]],tb3_CampaignMaster[Campaign_Code],tb3_CampaignMaster[Primary_Channel],"")</f>
        <v>Direct Mail</v>
      </c>
      <c r="AA127" s="13">
        <f>IF(Table8[[#This Row],[Gift_Aid_Eligible]]="Yes",Table8[[#This Row],[Gift_Amount]]*1.25,Table8[[#This Row],[Gift_Amount]])</f>
        <v>3728.32</v>
      </c>
      <c r="AB127" t="str">
        <f>IF(Table8[[#This Row],[Supporter_ID]]="","Review - missing supporter ID","")</f>
        <v/>
      </c>
      <c r="AC127" t="str">
        <f>IF(OR(Table8[[#This Row],[Response_Date]]&lt;Table8[[#This Row],[Start_Date]],Table8[[#This Row],[Response_Date]]&gt;Table8[[#This Row],[End_Date]]),"Review - response outside campaign dates","")</f>
        <v/>
      </c>
      <c r="AD127" t="str">
        <f>IF(Table8[[#This Row],[Campaign_Type]]="","Review - campaign code not found","")</f>
        <v/>
      </c>
    </row>
    <row r="128" spans="1:30" x14ac:dyDescent="0.25">
      <c r="A128" t="s">
        <v>3586</v>
      </c>
      <c r="B128" t="s">
        <v>2789</v>
      </c>
      <c r="C128" t="s">
        <v>3427</v>
      </c>
      <c r="D128" t="s">
        <v>3428</v>
      </c>
      <c r="E128" t="s">
        <v>65</v>
      </c>
      <c r="F128" s="17">
        <v>45488</v>
      </c>
      <c r="G128">
        <v>29.01</v>
      </c>
      <c r="H128" t="s">
        <v>37</v>
      </c>
      <c r="I128" t="s">
        <v>3323</v>
      </c>
      <c r="J128" t="str">
        <f>_xlfn.XLOOKUP(Table8[[#This Row],[Supporter_ID]],tb1_supporters[Supporter_ID ],tb1_supporters[Segment],"")</f>
        <v>Prospect</v>
      </c>
      <c r="K128" t="str">
        <f>_xlfn.XLOOKUP(Table8[[#This Row],[Supporter_ID]],tb1_supporters[Supporter_ID ],tb1_supporters[Acquisition_Source],"")</f>
        <v>Corporate Partner</v>
      </c>
      <c r="L128" t="str">
        <f>_xlfn.XLOOKUP(Table8[[#This Row],[Supporter_ID]],tb1_supporters[Supporter_ID ],tb1_supporters[County],"")</f>
        <v>Hampshire</v>
      </c>
      <c r="M128" t="str">
        <f>_xlfn.XLOOKUP(Table8[[#This Row],[Supporter_ID]],tb1_supporters[Supporter_ID ],tb1_supporters[Gender],"")</f>
        <v>Female</v>
      </c>
      <c r="N128">
        <f ca="1">_xlfn.XLOOKUP(Table8[[#This Row],[Supporter_ID]],tb1_supporters[Supporter_ID ],tb1_supporters[Age],"")</f>
        <v>49</v>
      </c>
      <c r="O128" t="str">
        <f ca="1">_xlfn.XLOOKUP(Table8[[#This Row],[Supporter_ID]],tb1_supporters[Supporter_ID ],tb1_supporters[Age_Band],"")</f>
        <v>35-49</v>
      </c>
      <c r="P128" t="str">
        <f ca="1">IF(Table8[[#This Row],[Age_Band]]="","Unknown",Table8[[#This Row],[Age_Band]])</f>
        <v>35-49</v>
      </c>
      <c r="Q128" t="str">
        <f>_xlfn.XLOOKUP(Table8[[#This Row],[Supporter_ID]],tb1_supporters[Supporter_ID ],tb1_supporters[Communication_Preference],"")</f>
        <v>Post</v>
      </c>
      <c r="R128" t="str">
        <f>_xlfn.XLOOKUP(Table8[[#This Row],[Supporter_ID]],tb1_supporters[Supporter_ID ],tb1_supporters[Duplicate_Profile_Flag],"")</f>
        <v/>
      </c>
      <c r="S128" t="str">
        <f>_xlfn.XLOOKUP(Table8[[#This Row],[Supporter_ID]],tb1_supporters[Supporter_ID ],tb1_supporters[Preference_Compliance_Flag],"")</f>
        <v/>
      </c>
      <c r="T128" t="str">
        <f ca="1">IF(Table8[[#This Row],[Age]]="","Review - missing DOB",IF(Table8[[#This Row],[Age]]&gt;TODAY(),"Review - future DOB",IF(Table8[[#This Row],[Age]]=0,"Review -  potential entry error (age 0)","")))</f>
        <v/>
      </c>
      <c r="U128" t="str">
        <f>_xlfn.XLOOKUP(Table8[[#This Row],[Campaign_Code]],tb3_CampaignMaster[Campaign_Code],tb3_CampaignMaster[Campaign_Type],"")</f>
        <v>Event</v>
      </c>
      <c r="V128" t="str">
        <f>_xlfn.XLOOKUP(Table8[[#This Row],[Campaign_Code]],tb3_CampaignMaster[Campaign_Code],tb3_CampaignMaster[Target_Audience],"")</f>
        <v>Major Donors</v>
      </c>
      <c r="W128" s="17">
        <f>_xlfn.XLOOKUP(Table8[[#This Row],[Campaign_Code]],tb3_CampaignMaster[Campaign_Code],tb3_CampaignMaster[Start_Date],"")</f>
        <v>45488</v>
      </c>
      <c r="X128" s="17">
        <f>_xlfn.XLOOKUP(Table8[[#This Row],[Campaign_Code]],tb3_CampaignMaster[Campaign_Code],tb3_CampaignMaster[End_Date],"")</f>
        <v>45488</v>
      </c>
      <c r="Y128">
        <f>_xlfn.XLOOKUP(Table8[[#This Row],[Campaign_Code]],tb3_CampaignMaster[Campaign_Code],tb3_CampaignMaster[Budget_GBP],"")</f>
        <v>45000</v>
      </c>
      <c r="Z128" t="str">
        <f>_xlfn.XLOOKUP(Table8[[#This Row],[Campaign_Code]],tb3_CampaignMaster[Campaign_Code],tb3_CampaignMaster[Primary_Channel],"")</f>
        <v>Direct Mail</v>
      </c>
      <c r="AA128" s="13">
        <f>IF(Table8[[#This Row],[Gift_Aid_Eligible]]="Yes",Table8[[#This Row],[Gift_Amount]]*1.25,Table8[[#This Row],[Gift_Amount]])</f>
        <v>29.01</v>
      </c>
      <c r="AB128" t="str">
        <f>IF(Table8[[#This Row],[Supporter_ID]]="","Review - missing supporter ID","")</f>
        <v/>
      </c>
      <c r="AC128" t="str">
        <f>IF(OR(Table8[[#This Row],[Response_Date]]&lt;Table8[[#This Row],[Start_Date]],Table8[[#This Row],[Response_Date]]&gt;Table8[[#This Row],[End_Date]]),"Review - response outside campaign dates","")</f>
        <v/>
      </c>
      <c r="AD128" t="str">
        <f>IF(Table8[[#This Row],[Campaign_Type]]="","Review - campaign code not found","")</f>
        <v/>
      </c>
    </row>
    <row r="129" spans="1:30" x14ac:dyDescent="0.25">
      <c r="A129" t="s">
        <v>3588</v>
      </c>
      <c r="B129" t="s">
        <v>2562</v>
      </c>
      <c r="C129" t="s">
        <v>3354</v>
      </c>
      <c r="D129" t="s">
        <v>3355</v>
      </c>
      <c r="E129" t="s">
        <v>65</v>
      </c>
      <c r="F129" s="17">
        <v>45618</v>
      </c>
      <c r="G129">
        <v>61.73</v>
      </c>
      <c r="H129" t="s">
        <v>36</v>
      </c>
      <c r="I129" t="s">
        <v>3328</v>
      </c>
      <c r="J129" t="str">
        <f>_xlfn.XLOOKUP(Table8[[#This Row],[Supporter_ID]],tb1_supporters[Supporter_ID ],tb1_supporters[Segment],"")</f>
        <v>Mid-Value</v>
      </c>
      <c r="K129" t="str">
        <f>_xlfn.XLOOKUP(Table8[[#This Row],[Supporter_ID]],tb1_supporters[Supporter_ID ],tb1_supporters[Acquisition_Source],"")</f>
        <v>Social Media</v>
      </c>
      <c r="L129" t="str">
        <f>_xlfn.XLOOKUP(Table8[[#This Row],[Supporter_ID]],tb1_supporters[Supporter_ID ],tb1_supporters[County],"")</f>
        <v>West Midlands</v>
      </c>
      <c r="M129" t="str">
        <f>_xlfn.XLOOKUP(Table8[[#This Row],[Supporter_ID]],tb1_supporters[Supporter_ID ],tb1_supporters[Gender],"")</f>
        <v>Female</v>
      </c>
      <c r="N129">
        <f ca="1">_xlfn.XLOOKUP(Table8[[#This Row],[Supporter_ID]],tb1_supporters[Supporter_ID ],tb1_supporters[Age],"")</f>
        <v>41</v>
      </c>
      <c r="O129" t="str">
        <f ca="1">_xlfn.XLOOKUP(Table8[[#This Row],[Supporter_ID]],tb1_supporters[Supporter_ID ],tb1_supporters[Age_Band],"")</f>
        <v>35-49</v>
      </c>
      <c r="P129" t="str">
        <f ca="1">IF(Table8[[#This Row],[Age_Band]]="","Unknown",Table8[[#This Row],[Age_Band]])</f>
        <v>35-49</v>
      </c>
      <c r="Q129" t="str">
        <f>_xlfn.XLOOKUP(Table8[[#This Row],[Supporter_ID]],tb1_supporters[Supporter_ID ],tb1_supporters[Communication_Preference],"")</f>
        <v>Phone</v>
      </c>
      <c r="R129" t="str">
        <f>_xlfn.XLOOKUP(Table8[[#This Row],[Supporter_ID]],tb1_supporters[Supporter_ID ],tb1_supporters[Duplicate_Profile_Flag],"")</f>
        <v/>
      </c>
      <c r="S129" t="str">
        <f>_xlfn.XLOOKUP(Table8[[#This Row],[Supporter_ID]],tb1_supporters[Supporter_ID ],tb1_supporters[Preference_Compliance_Flag],"")</f>
        <v/>
      </c>
      <c r="T129" t="str">
        <f ca="1">IF(Table8[[#This Row],[Age]]="","Review - missing DOB",IF(Table8[[#This Row],[Age]]&gt;TODAY(),"Review - future DOB",IF(Table8[[#This Row],[Age]]=0,"Review -  potential entry error (age 0)","")))</f>
        <v/>
      </c>
      <c r="U129" t="str">
        <f>_xlfn.XLOOKUP(Table8[[#This Row],[Campaign_Code]],tb3_CampaignMaster[Campaign_Code],tb3_CampaignMaster[Campaign_Type],"")</f>
        <v>Event</v>
      </c>
      <c r="V129" t="str">
        <f>_xlfn.XLOOKUP(Table8[[#This Row],[Campaign_Code]],tb3_CampaignMaster[Campaign_Code],tb3_CampaignMaster[Target_Audience],"")</f>
        <v>Volunteers</v>
      </c>
      <c r="W129" s="17">
        <f>_xlfn.XLOOKUP(Table8[[#This Row],[Campaign_Code]],tb3_CampaignMaster[Campaign_Code],tb3_CampaignMaster[Start_Date],"")</f>
        <v>45618</v>
      </c>
      <c r="X129" s="17">
        <f>_xlfn.XLOOKUP(Table8[[#This Row],[Campaign_Code]],tb3_CampaignMaster[Campaign_Code],tb3_CampaignMaster[End_Date],"")</f>
        <v>45618</v>
      </c>
      <c r="Y129">
        <f>_xlfn.XLOOKUP(Table8[[#This Row],[Campaign_Code]],tb3_CampaignMaster[Campaign_Code],tb3_CampaignMaster[Budget_GBP],"")</f>
        <v>3500</v>
      </c>
      <c r="Z129" t="str">
        <f>_xlfn.XLOOKUP(Table8[[#This Row],[Campaign_Code]],tb3_CampaignMaster[Campaign_Code],tb3_CampaignMaster[Primary_Channel],"")</f>
        <v>Email</v>
      </c>
      <c r="AA129" s="13">
        <f>IF(Table8[[#This Row],[Gift_Aid_Eligible]]="Yes",Table8[[#This Row],[Gift_Amount]]*1.25,Table8[[#This Row],[Gift_Amount]])</f>
        <v>77.162499999999994</v>
      </c>
      <c r="AB129" t="str">
        <f>IF(Table8[[#This Row],[Supporter_ID]]="","Review - missing supporter ID","")</f>
        <v/>
      </c>
      <c r="AC129" t="str">
        <f>IF(OR(Table8[[#This Row],[Response_Date]]&lt;Table8[[#This Row],[Start_Date]],Table8[[#This Row],[Response_Date]]&gt;Table8[[#This Row],[End_Date]]),"Review - response outside campaign dates","")</f>
        <v/>
      </c>
      <c r="AD129" t="str">
        <f>IF(Table8[[#This Row],[Campaign_Type]]="","Review - campaign code not found","")</f>
        <v/>
      </c>
    </row>
    <row r="130" spans="1:30" x14ac:dyDescent="0.25">
      <c r="A130" t="s">
        <v>3590</v>
      </c>
      <c r="B130" t="s">
        <v>2142</v>
      </c>
      <c r="C130" t="s">
        <v>3314</v>
      </c>
      <c r="D130" t="s">
        <v>3315</v>
      </c>
      <c r="E130" t="s">
        <v>33</v>
      </c>
      <c r="F130" s="17">
        <v>45694</v>
      </c>
      <c r="G130">
        <v>125.49</v>
      </c>
      <c r="H130" t="s">
        <v>37</v>
      </c>
      <c r="I130" t="s">
        <v>3323</v>
      </c>
      <c r="J130" t="str">
        <f>_xlfn.XLOOKUP(Table8[[#This Row],[Supporter_ID]],tb1_supporters[Supporter_ID ],tb1_supporters[Segment],"")</f>
        <v>Mid-Value</v>
      </c>
      <c r="K130" t="str">
        <f>_xlfn.XLOOKUP(Table8[[#This Row],[Supporter_ID]],tb1_supporters[Supporter_ID ],tb1_supporters[Acquisition_Source],"")</f>
        <v>Social Media</v>
      </c>
      <c r="L130" t="str">
        <f>_xlfn.XLOOKUP(Table8[[#This Row],[Supporter_ID]],tb1_supporters[Supporter_ID ],tb1_supporters[County],"")</f>
        <v>Tyne and Wear</v>
      </c>
      <c r="M130" t="str">
        <f>_xlfn.XLOOKUP(Table8[[#This Row],[Supporter_ID]],tb1_supporters[Supporter_ID ],tb1_supporters[Gender],"")</f>
        <v>Female</v>
      </c>
      <c r="N130">
        <f ca="1">_xlfn.XLOOKUP(Table8[[#This Row],[Supporter_ID]],tb1_supporters[Supporter_ID ],tb1_supporters[Age],"")</f>
        <v>77</v>
      </c>
      <c r="O130" t="str">
        <f ca="1">_xlfn.XLOOKUP(Table8[[#This Row],[Supporter_ID]],tb1_supporters[Supporter_ID ],tb1_supporters[Age_Band],"")</f>
        <v>65+</v>
      </c>
      <c r="P130" t="str">
        <f ca="1">IF(Table8[[#This Row],[Age_Band]]="","Unknown",Table8[[#This Row],[Age_Band]])</f>
        <v>65+</v>
      </c>
      <c r="Q130" t="str">
        <f>_xlfn.XLOOKUP(Table8[[#This Row],[Supporter_ID]],tb1_supporters[Supporter_ID ],tb1_supporters[Communication_Preference],"")</f>
        <v>Email</v>
      </c>
      <c r="R130" t="str">
        <f>_xlfn.XLOOKUP(Table8[[#This Row],[Supporter_ID]],tb1_supporters[Supporter_ID ],tb1_supporters[Duplicate_Profile_Flag],"")</f>
        <v/>
      </c>
      <c r="S130" t="str">
        <f>_xlfn.XLOOKUP(Table8[[#This Row],[Supporter_ID]],tb1_supporters[Supporter_ID ],tb1_supporters[Preference_Compliance_Flag],"")</f>
        <v/>
      </c>
      <c r="T130" t="str">
        <f ca="1">IF(Table8[[#This Row],[Age]]="","Review - missing DOB",IF(Table8[[#This Row],[Age]]&gt;TODAY(),"Review - future DOB",IF(Table8[[#This Row],[Age]]=0,"Review -  potential entry error (age 0)","")))</f>
        <v/>
      </c>
      <c r="U130" t="str">
        <f>_xlfn.XLOOKUP(Table8[[#This Row],[Campaign_Code]],tb3_CampaignMaster[Campaign_Code],tb3_CampaignMaster[Campaign_Type],"")</f>
        <v>Regular Giving</v>
      </c>
      <c r="V130" t="str">
        <f>_xlfn.XLOOKUP(Table8[[#This Row],[Campaign_Code]],tb3_CampaignMaster[Campaign_Code],tb3_CampaignMaster[Target_Audience],"")</f>
        <v>One-time Donors</v>
      </c>
      <c r="W130" s="17">
        <f>_xlfn.XLOOKUP(Table8[[#This Row],[Campaign_Code]],tb3_CampaignMaster[Campaign_Code],tb3_CampaignMaster[Start_Date],"")</f>
        <v>45663</v>
      </c>
      <c r="X130" s="17">
        <f>_xlfn.XLOOKUP(Table8[[#This Row],[Campaign_Code]],tb3_CampaignMaster[Campaign_Code],tb3_CampaignMaster[End_Date],"")</f>
        <v>45747</v>
      </c>
      <c r="Y130">
        <f>_xlfn.XLOOKUP(Table8[[#This Row],[Campaign_Code]],tb3_CampaignMaster[Campaign_Code],tb3_CampaignMaster[Budget_GBP],"")</f>
        <v>10000</v>
      </c>
      <c r="Z130" t="str">
        <f>_xlfn.XLOOKUP(Table8[[#This Row],[Campaign_Code]],tb3_CampaignMaster[Campaign_Code],tb3_CampaignMaster[Primary_Channel],"")</f>
        <v>Telephone</v>
      </c>
      <c r="AA130" s="13">
        <f>IF(Table8[[#This Row],[Gift_Aid_Eligible]]="Yes",Table8[[#This Row],[Gift_Amount]]*1.25,Table8[[#This Row],[Gift_Amount]])</f>
        <v>125.49</v>
      </c>
      <c r="AB130" t="str">
        <f>IF(Table8[[#This Row],[Supporter_ID]]="","Review - missing supporter ID","")</f>
        <v/>
      </c>
      <c r="AC130" t="str">
        <f>IF(OR(Table8[[#This Row],[Response_Date]]&lt;Table8[[#This Row],[Start_Date]],Table8[[#This Row],[Response_Date]]&gt;Table8[[#This Row],[End_Date]]),"Review - response outside campaign dates","")</f>
        <v/>
      </c>
      <c r="AD130" t="str">
        <f>IF(Table8[[#This Row],[Campaign_Type]]="","Review - campaign code not found","")</f>
        <v/>
      </c>
    </row>
    <row r="131" spans="1:30" x14ac:dyDescent="0.25">
      <c r="A131" t="s">
        <v>3592</v>
      </c>
      <c r="B131" t="s">
        <v>2200</v>
      </c>
      <c r="C131" t="s">
        <v>3341</v>
      </c>
      <c r="D131" t="s">
        <v>3342</v>
      </c>
      <c r="E131" t="s">
        <v>4</v>
      </c>
      <c r="F131" s="17">
        <v>45753</v>
      </c>
      <c r="G131">
        <v>2936.9</v>
      </c>
      <c r="H131" t="s">
        <v>36</v>
      </c>
      <c r="I131" t="s">
        <v>3318</v>
      </c>
      <c r="J131" t="str">
        <f>_xlfn.XLOOKUP(Table8[[#This Row],[Supporter_ID]],tb1_supporters[Supporter_ID ],tb1_supporters[Segment],"")</f>
        <v>Major Donor</v>
      </c>
      <c r="K131" t="str">
        <f>_xlfn.XLOOKUP(Table8[[#This Row],[Supporter_ID]],tb1_supporters[Supporter_ID ],tb1_supporters[Acquisition_Source],"")</f>
        <v>Telephone</v>
      </c>
      <c r="L131" t="str">
        <f>_xlfn.XLOOKUP(Table8[[#This Row],[Supporter_ID]],tb1_supporters[Supporter_ID ],tb1_supporters[County],"")</f>
        <v>Hertfordshire</v>
      </c>
      <c r="M131" t="str">
        <f>_xlfn.XLOOKUP(Table8[[#This Row],[Supporter_ID]],tb1_supporters[Supporter_ID ],tb1_supporters[Gender],"")</f>
        <v>Female</v>
      </c>
      <c r="N131">
        <f ca="1">_xlfn.XLOOKUP(Table8[[#This Row],[Supporter_ID]],tb1_supporters[Supporter_ID ],tb1_supporters[Age],"")</f>
        <v>66</v>
      </c>
      <c r="O131" t="str">
        <f ca="1">_xlfn.XLOOKUP(Table8[[#This Row],[Supporter_ID]],tb1_supporters[Supporter_ID ],tb1_supporters[Age_Band],"")</f>
        <v>65+</v>
      </c>
      <c r="P131" t="str">
        <f ca="1">IF(Table8[[#This Row],[Age_Band]]="","Unknown",Table8[[#This Row],[Age_Band]])</f>
        <v>65+</v>
      </c>
      <c r="Q131" t="str">
        <f>_xlfn.XLOOKUP(Table8[[#This Row],[Supporter_ID]],tb1_supporters[Supporter_ID ],tb1_supporters[Communication_Preference],"")</f>
        <v>Email</v>
      </c>
      <c r="R131" t="str">
        <f>_xlfn.XLOOKUP(Table8[[#This Row],[Supporter_ID]],tb1_supporters[Supporter_ID ],tb1_supporters[Duplicate_Profile_Flag],"")</f>
        <v/>
      </c>
      <c r="S131" t="str">
        <f>_xlfn.XLOOKUP(Table8[[#This Row],[Supporter_ID]],tb1_supporters[Supporter_ID ],tb1_supporters[Preference_Compliance_Flag],"")</f>
        <v/>
      </c>
      <c r="T131" t="str">
        <f ca="1">IF(Table8[[#This Row],[Age]]="","Review - missing DOB",IF(Table8[[#This Row],[Age]]&gt;TODAY(),"Review - future DOB",IF(Table8[[#This Row],[Age]]=0,"Review -  potential entry error (age 0)","")))</f>
        <v/>
      </c>
      <c r="U131" t="str">
        <f>_xlfn.XLOOKUP(Table8[[#This Row],[Campaign_Code]],tb3_CampaignMaster[Campaign_Code],tb3_CampaignMaster[Campaign_Type],"")</f>
        <v>Acquisition</v>
      </c>
      <c r="V131" t="str">
        <f>_xlfn.XLOOKUP(Table8[[#This Row],[Campaign_Code]],tb3_CampaignMaster[Campaign_Code],tb3_CampaignMaster[Target_Audience],"")</f>
        <v>Prospects</v>
      </c>
      <c r="W131" s="17">
        <f>_xlfn.XLOOKUP(Table8[[#This Row],[Campaign_Code]],tb3_CampaignMaster[Campaign_Code],tb3_CampaignMaster[Start_Date],"")</f>
        <v>45689</v>
      </c>
      <c r="X131" s="17">
        <f>_xlfn.XLOOKUP(Table8[[#This Row],[Campaign_Code]],tb3_CampaignMaster[Campaign_Code],tb3_CampaignMaster[End_Date],"")</f>
        <v>45777</v>
      </c>
      <c r="Y131">
        <f>_xlfn.XLOOKUP(Table8[[#This Row],[Campaign_Code]],tb3_CampaignMaster[Campaign_Code],tb3_CampaignMaster[Budget_GBP],"")</f>
        <v>20000</v>
      </c>
      <c r="Z131" t="str">
        <f>_xlfn.XLOOKUP(Table8[[#This Row],[Campaign_Code]],tb3_CampaignMaster[Campaign_Code],tb3_CampaignMaster[Primary_Channel],"")</f>
        <v>Digital</v>
      </c>
      <c r="AA131" s="13">
        <f>IF(Table8[[#This Row],[Gift_Aid_Eligible]]="Yes",Table8[[#This Row],[Gift_Amount]]*1.25,Table8[[#This Row],[Gift_Amount]])</f>
        <v>3671.125</v>
      </c>
      <c r="AB131" t="str">
        <f>IF(Table8[[#This Row],[Supporter_ID]]="","Review - missing supporter ID","")</f>
        <v/>
      </c>
      <c r="AC131" t="str">
        <f>IF(OR(Table8[[#This Row],[Response_Date]]&lt;Table8[[#This Row],[Start_Date]],Table8[[#This Row],[Response_Date]]&gt;Table8[[#This Row],[End_Date]]),"Review - response outside campaign dates","")</f>
        <v/>
      </c>
      <c r="AD131" t="str">
        <f>IF(Table8[[#This Row],[Campaign_Type]]="","Review - campaign code not found","")</f>
        <v/>
      </c>
    </row>
    <row r="132" spans="1:30" x14ac:dyDescent="0.25">
      <c r="A132" t="s">
        <v>3594</v>
      </c>
      <c r="B132" t="s">
        <v>1778</v>
      </c>
      <c r="C132" t="s">
        <v>3403</v>
      </c>
      <c r="D132" t="s">
        <v>3404</v>
      </c>
      <c r="E132" t="s">
        <v>4</v>
      </c>
      <c r="F132" s="17">
        <v>45621</v>
      </c>
      <c r="G132">
        <v>29.57</v>
      </c>
      <c r="H132" t="s">
        <v>37</v>
      </c>
      <c r="I132" t="s">
        <v>3370</v>
      </c>
      <c r="J132" t="str">
        <f>_xlfn.XLOOKUP(Table8[[#This Row],[Supporter_ID]],tb1_supporters[Supporter_ID ],tb1_supporters[Segment],"")</f>
        <v>One-Time Donor</v>
      </c>
      <c r="K132" t="str">
        <f>_xlfn.XLOOKUP(Table8[[#This Row],[Supporter_ID]],tb1_supporters[Supporter_ID ],tb1_supporters[Acquisition_Source],"")</f>
        <v>Direct Mail</v>
      </c>
      <c r="L132" t="str">
        <f>_xlfn.XLOOKUP(Table8[[#This Row],[Supporter_ID]],tb1_supporters[Supporter_ID ],tb1_supporters[County],"")</f>
        <v>Norfolk</v>
      </c>
      <c r="M132" t="str">
        <f>_xlfn.XLOOKUP(Table8[[#This Row],[Supporter_ID]],tb1_supporters[Supporter_ID ],tb1_supporters[Gender],"")</f>
        <v>Female</v>
      </c>
      <c r="N132">
        <f ca="1">_xlfn.XLOOKUP(Table8[[#This Row],[Supporter_ID]],tb1_supporters[Supporter_ID ],tb1_supporters[Age],"")</f>
        <v>75</v>
      </c>
      <c r="O132" t="str">
        <f ca="1">_xlfn.XLOOKUP(Table8[[#This Row],[Supporter_ID]],tb1_supporters[Supporter_ID ],tb1_supporters[Age_Band],"")</f>
        <v>65+</v>
      </c>
      <c r="P132" t="str">
        <f ca="1">IF(Table8[[#This Row],[Age_Band]]="","Unknown",Table8[[#This Row],[Age_Band]])</f>
        <v>65+</v>
      </c>
      <c r="Q132" t="str">
        <f>_xlfn.XLOOKUP(Table8[[#This Row],[Supporter_ID]],tb1_supporters[Supporter_ID ],tb1_supporters[Communication_Preference],"")</f>
        <v>No Preference</v>
      </c>
      <c r="R132" t="str">
        <f>_xlfn.XLOOKUP(Table8[[#This Row],[Supporter_ID]],tb1_supporters[Supporter_ID ],tb1_supporters[Duplicate_Profile_Flag],"")</f>
        <v/>
      </c>
      <c r="S132" t="str">
        <f>_xlfn.XLOOKUP(Table8[[#This Row],[Supporter_ID]],tb1_supporters[Supporter_ID ],tb1_supporters[Preference_Compliance_Flag],"")</f>
        <v/>
      </c>
      <c r="T132" t="str">
        <f ca="1">IF(Table8[[#This Row],[Age]]="","Review - missing DOB",IF(Table8[[#This Row],[Age]]&gt;TODAY(),"Review - future DOB",IF(Table8[[#This Row],[Age]]=0,"Review -  potential entry error (age 0)","")))</f>
        <v/>
      </c>
      <c r="U132" t="str">
        <f>_xlfn.XLOOKUP(Table8[[#This Row],[Campaign_Code]],tb3_CampaignMaster[Campaign_Code],tb3_CampaignMaster[Campaign_Type],"")</f>
        <v>Trading</v>
      </c>
      <c r="V132" t="str">
        <f>_xlfn.XLOOKUP(Table8[[#This Row],[Campaign_Code]],tb3_CampaignMaster[Campaign_Code],tb3_CampaignMaster[Target_Audience],"")</f>
        <v>All Active</v>
      </c>
      <c r="W132" s="17">
        <f>_xlfn.XLOOKUP(Table8[[#This Row],[Campaign_Code]],tb3_CampaignMaster[Campaign_Code],tb3_CampaignMaster[Start_Date],"")</f>
        <v>45580</v>
      </c>
      <c r="X132" s="17">
        <f>_xlfn.XLOOKUP(Table8[[#This Row],[Campaign_Code]],tb3_CampaignMaster[Campaign_Code],tb3_CampaignMaster[End_Date],"")</f>
        <v>45646</v>
      </c>
      <c r="Y132">
        <f>_xlfn.XLOOKUP(Table8[[#This Row],[Campaign_Code]],tb3_CampaignMaster[Campaign_Code],tb3_CampaignMaster[Budget_GBP],"")</f>
        <v>12000</v>
      </c>
      <c r="Z132" t="str">
        <f>_xlfn.XLOOKUP(Table8[[#This Row],[Campaign_Code]],tb3_CampaignMaster[Campaign_Code],tb3_CampaignMaster[Primary_Channel],"")</f>
        <v>Multi-channel</v>
      </c>
      <c r="AA132" s="13">
        <f>IF(Table8[[#This Row],[Gift_Aid_Eligible]]="Yes",Table8[[#This Row],[Gift_Amount]]*1.25,Table8[[#This Row],[Gift_Amount]])</f>
        <v>29.57</v>
      </c>
      <c r="AB132" t="str">
        <f>IF(Table8[[#This Row],[Supporter_ID]]="","Review - missing supporter ID","")</f>
        <v/>
      </c>
      <c r="AC132" t="str">
        <f>IF(OR(Table8[[#This Row],[Response_Date]]&lt;Table8[[#This Row],[Start_Date]],Table8[[#This Row],[Response_Date]]&gt;Table8[[#This Row],[End_Date]]),"Review - response outside campaign dates","")</f>
        <v/>
      </c>
      <c r="AD132" t="str">
        <f>IF(Table8[[#This Row],[Campaign_Type]]="","Review - campaign code not found","")</f>
        <v/>
      </c>
    </row>
    <row r="133" spans="1:30" x14ac:dyDescent="0.25">
      <c r="A133" t="s">
        <v>3596</v>
      </c>
      <c r="B133" t="s">
        <v>1522</v>
      </c>
      <c r="C133" t="s">
        <v>3354</v>
      </c>
      <c r="D133" t="s">
        <v>3355</v>
      </c>
      <c r="E133" t="s">
        <v>65</v>
      </c>
      <c r="F133" s="17">
        <v>45618</v>
      </c>
      <c r="G133">
        <v>88.91</v>
      </c>
      <c r="H133" t="s">
        <v>36</v>
      </c>
      <c r="I133" t="s">
        <v>3365</v>
      </c>
      <c r="J133" t="str">
        <f>_xlfn.XLOOKUP(Table8[[#This Row],[Supporter_ID]],tb1_supporters[Supporter_ID ],tb1_supporters[Segment],"")</f>
        <v>One-Time Donor</v>
      </c>
      <c r="K133" t="str">
        <f>_xlfn.XLOOKUP(Table8[[#This Row],[Supporter_ID]],tb1_supporters[Supporter_ID ],tb1_supporters[Acquisition_Source],"")</f>
        <v>Website</v>
      </c>
      <c r="L133" t="str">
        <f>_xlfn.XLOOKUP(Table8[[#This Row],[Supporter_ID]],tb1_supporters[Supporter_ID ],tb1_supporters[County],"")</f>
        <v>Angus</v>
      </c>
      <c r="M133" t="str">
        <f>_xlfn.XLOOKUP(Table8[[#This Row],[Supporter_ID]],tb1_supporters[Supporter_ID ],tb1_supporters[Gender],"")</f>
        <v>Male</v>
      </c>
      <c r="N133">
        <f ca="1">_xlfn.XLOOKUP(Table8[[#This Row],[Supporter_ID]],tb1_supporters[Supporter_ID ],tb1_supporters[Age],"")</f>
        <v>61</v>
      </c>
      <c r="O133" t="str">
        <f ca="1">_xlfn.XLOOKUP(Table8[[#This Row],[Supporter_ID]],tb1_supporters[Supporter_ID ],tb1_supporters[Age_Band],"")</f>
        <v>50-64</v>
      </c>
      <c r="P133" t="str">
        <f ca="1">IF(Table8[[#This Row],[Age_Band]]="","Unknown",Table8[[#This Row],[Age_Band]])</f>
        <v>50-64</v>
      </c>
      <c r="Q133" t="str">
        <f>_xlfn.XLOOKUP(Table8[[#This Row],[Supporter_ID]],tb1_supporters[Supporter_ID ],tb1_supporters[Communication_Preference],"")</f>
        <v>Email</v>
      </c>
      <c r="R133" t="str">
        <f>_xlfn.XLOOKUP(Table8[[#This Row],[Supporter_ID]],tb1_supporters[Supporter_ID ],tb1_supporters[Duplicate_Profile_Flag],"")</f>
        <v/>
      </c>
      <c r="S133" t="str">
        <f>_xlfn.XLOOKUP(Table8[[#This Row],[Supporter_ID]],tb1_supporters[Supporter_ID ],tb1_supporters[Preference_Compliance_Flag],"")</f>
        <v/>
      </c>
      <c r="T133" t="str">
        <f ca="1">IF(Table8[[#This Row],[Age]]="","Review - missing DOB",IF(Table8[[#This Row],[Age]]&gt;TODAY(),"Review - future DOB",IF(Table8[[#This Row],[Age]]=0,"Review -  potential entry error (age 0)","")))</f>
        <v/>
      </c>
      <c r="U133" t="str">
        <f>_xlfn.XLOOKUP(Table8[[#This Row],[Campaign_Code]],tb3_CampaignMaster[Campaign_Code],tb3_CampaignMaster[Campaign_Type],"")</f>
        <v>Event</v>
      </c>
      <c r="V133" t="str">
        <f>_xlfn.XLOOKUP(Table8[[#This Row],[Campaign_Code]],tb3_CampaignMaster[Campaign_Code],tb3_CampaignMaster[Target_Audience],"")</f>
        <v>Volunteers</v>
      </c>
      <c r="W133" s="17">
        <f>_xlfn.XLOOKUP(Table8[[#This Row],[Campaign_Code]],tb3_CampaignMaster[Campaign_Code],tb3_CampaignMaster[Start_Date],"")</f>
        <v>45618</v>
      </c>
      <c r="X133" s="17">
        <f>_xlfn.XLOOKUP(Table8[[#This Row],[Campaign_Code]],tb3_CampaignMaster[Campaign_Code],tb3_CampaignMaster[End_Date],"")</f>
        <v>45618</v>
      </c>
      <c r="Y133">
        <f>_xlfn.XLOOKUP(Table8[[#This Row],[Campaign_Code]],tb3_CampaignMaster[Campaign_Code],tb3_CampaignMaster[Budget_GBP],"")</f>
        <v>3500</v>
      </c>
      <c r="Z133" t="str">
        <f>_xlfn.XLOOKUP(Table8[[#This Row],[Campaign_Code]],tb3_CampaignMaster[Campaign_Code],tb3_CampaignMaster[Primary_Channel],"")</f>
        <v>Email</v>
      </c>
      <c r="AA133" s="13">
        <f>IF(Table8[[#This Row],[Gift_Aid_Eligible]]="Yes",Table8[[#This Row],[Gift_Amount]]*1.25,Table8[[#This Row],[Gift_Amount]])</f>
        <v>111.13749999999999</v>
      </c>
      <c r="AB133" t="str">
        <f>IF(Table8[[#This Row],[Supporter_ID]]="","Review - missing supporter ID","")</f>
        <v/>
      </c>
      <c r="AC133" t="str">
        <f>IF(OR(Table8[[#This Row],[Response_Date]]&lt;Table8[[#This Row],[Start_Date]],Table8[[#This Row],[Response_Date]]&gt;Table8[[#This Row],[End_Date]]),"Review - response outside campaign dates","")</f>
        <v/>
      </c>
      <c r="AD133" t="str">
        <f>IF(Table8[[#This Row],[Campaign_Type]]="","Review - campaign code not found","")</f>
        <v/>
      </c>
    </row>
    <row r="134" spans="1:30" x14ac:dyDescent="0.25">
      <c r="A134" t="s">
        <v>3597</v>
      </c>
      <c r="B134" t="s">
        <v>1147</v>
      </c>
      <c r="C134" t="s">
        <v>3314</v>
      </c>
      <c r="D134" t="s">
        <v>3315</v>
      </c>
      <c r="E134" t="s">
        <v>65</v>
      </c>
      <c r="F134" s="17">
        <v>45746</v>
      </c>
      <c r="G134">
        <v>40.880000000000003</v>
      </c>
      <c r="H134" t="s">
        <v>36</v>
      </c>
      <c r="I134" t="s">
        <v>3323</v>
      </c>
      <c r="J134" t="str">
        <f>_xlfn.XLOOKUP(Table8[[#This Row],[Supporter_ID]],tb1_supporters[Supporter_ID ],tb1_supporters[Segment],"")</f>
        <v>Regular Giver</v>
      </c>
      <c r="K134" t="str">
        <f>_xlfn.XLOOKUP(Table8[[#This Row],[Supporter_ID]],tb1_supporters[Supporter_ID ],tb1_supporters[Acquisition_Source],"")</f>
        <v>Social Media</v>
      </c>
      <c r="L134" t="str">
        <f>_xlfn.XLOOKUP(Table8[[#This Row],[Supporter_ID]],tb1_supporters[Supporter_ID ],tb1_supporters[County],"")</f>
        <v>Greater Manchester</v>
      </c>
      <c r="M134" t="str">
        <f>_xlfn.XLOOKUP(Table8[[#This Row],[Supporter_ID]],tb1_supporters[Supporter_ID ],tb1_supporters[Gender],"")</f>
        <v>Female</v>
      </c>
      <c r="N134">
        <f ca="1">_xlfn.XLOOKUP(Table8[[#This Row],[Supporter_ID]],tb1_supporters[Supporter_ID ],tb1_supporters[Age],"")</f>
        <v>67</v>
      </c>
      <c r="O134" t="str">
        <f ca="1">_xlfn.XLOOKUP(Table8[[#This Row],[Supporter_ID]],tb1_supporters[Supporter_ID ],tb1_supporters[Age_Band],"")</f>
        <v>65+</v>
      </c>
      <c r="P134" t="str">
        <f ca="1">IF(Table8[[#This Row],[Age_Band]]="","Unknown",Table8[[#This Row],[Age_Band]])</f>
        <v>65+</v>
      </c>
      <c r="Q134" t="str">
        <f>_xlfn.XLOOKUP(Table8[[#This Row],[Supporter_ID]],tb1_supporters[Supporter_ID ],tb1_supporters[Communication_Preference],"")</f>
        <v>Phone</v>
      </c>
      <c r="R134" t="str">
        <f>_xlfn.XLOOKUP(Table8[[#This Row],[Supporter_ID]],tb1_supporters[Supporter_ID ],tb1_supporters[Duplicate_Profile_Flag],"")</f>
        <v/>
      </c>
      <c r="S134" t="str">
        <f>_xlfn.XLOOKUP(Table8[[#This Row],[Supporter_ID]],tb1_supporters[Supporter_ID ],tb1_supporters[Preference_Compliance_Flag],"")</f>
        <v/>
      </c>
      <c r="T134" t="str">
        <f ca="1">IF(Table8[[#This Row],[Age]]="","Review - missing DOB",IF(Table8[[#This Row],[Age]]&gt;TODAY(),"Review - future DOB",IF(Table8[[#This Row],[Age]]=0,"Review -  potential entry error (age 0)","")))</f>
        <v/>
      </c>
      <c r="U134" t="str">
        <f>_xlfn.XLOOKUP(Table8[[#This Row],[Campaign_Code]],tb3_CampaignMaster[Campaign_Code],tb3_CampaignMaster[Campaign_Type],"")</f>
        <v>Regular Giving</v>
      </c>
      <c r="V134" t="str">
        <f>_xlfn.XLOOKUP(Table8[[#This Row],[Campaign_Code]],tb3_CampaignMaster[Campaign_Code],tb3_CampaignMaster[Target_Audience],"")</f>
        <v>One-time Donors</v>
      </c>
      <c r="W134" s="17">
        <f>_xlfn.XLOOKUP(Table8[[#This Row],[Campaign_Code]],tb3_CampaignMaster[Campaign_Code],tb3_CampaignMaster[Start_Date],"")</f>
        <v>45663</v>
      </c>
      <c r="X134" s="17">
        <f>_xlfn.XLOOKUP(Table8[[#This Row],[Campaign_Code]],tb3_CampaignMaster[Campaign_Code],tb3_CampaignMaster[End_Date],"")</f>
        <v>45747</v>
      </c>
      <c r="Y134">
        <f>_xlfn.XLOOKUP(Table8[[#This Row],[Campaign_Code]],tb3_CampaignMaster[Campaign_Code],tb3_CampaignMaster[Budget_GBP],"")</f>
        <v>10000</v>
      </c>
      <c r="Z134" t="str">
        <f>_xlfn.XLOOKUP(Table8[[#This Row],[Campaign_Code]],tb3_CampaignMaster[Campaign_Code],tb3_CampaignMaster[Primary_Channel],"")</f>
        <v>Telephone</v>
      </c>
      <c r="AA134" s="13">
        <f>IF(Table8[[#This Row],[Gift_Aid_Eligible]]="Yes",Table8[[#This Row],[Gift_Amount]]*1.25,Table8[[#This Row],[Gift_Amount]])</f>
        <v>51.1</v>
      </c>
      <c r="AB134" t="str">
        <f>IF(Table8[[#This Row],[Supporter_ID]]="","Review - missing supporter ID","")</f>
        <v/>
      </c>
      <c r="AC134" t="str">
        <f>IF(OR(Table8[[#This Row],[Response_Date]]&lt;Table8[[#This Row],[Start_Date]],Table8[[#This Row],[Response_Date]]&gt;Table8[[#This Row],[End_Date]]),"Review - response outside campaign dates","")</f>
        <v/>
      </c>
      <c r="AD134" t="str">
        <f>IF(Table8[[#This Row],[Campaign_Type]]="","Review - campaign code not found","")</f>
        <v/>
      </c>
    </row>
    <row r="135" spans="1:30" x14ac:dyDescent="0.25">
      <c r="A135" t="s">
        <v>3599</v>
      </c>
      <c r="B135" t="s">
        <v>363</v>
      </c>
      <c r="C135" t="s">
        <v>3325</v>
      </c>
      <c r="D135" t="s">
        <v>3326</v>
      </c>
      <c r="E135" t="s">
        <v>4</v>
      </c>
      <c r="F135" s="17">
        <v>45656</v>
      </c>
      <c r="G135">
        <v>142.38999999999999</v>
      </c>
      <c r="H135" t="s">
        <v>36</v>
      </c>
      <c r="I135" t="s">
        <v>3334</v>
      </c>
      <c r="J135" t="str">
        <f>_xlfn.XLOOKUP(Table8[[#This Row],[Supporter_ID]],tb1_supporters[Supporter_ID ],tb1_supporters[Segment],"")</f>
        <v>Mid-Value</v>
      </c>
      <c r="K135" t="str">
        <f>_xlfn.XLOOKUP(Table8[[#This Row],[Supporter_ID]],tb1_supporters[Supporter_ID ],tb1_supporters[Acquisition_Source],"")</f>
        <v>Telephone</v>
      </c>
      <c r="L135" t="str">
        <f>_xlfn.XLOOKUP(Table8[[#This Row],[Supporter_ID]],tb1_supporters[Supporter_ID ],tb1_supporters[County],"")</f>
        <v>Kent</v>
      </c>
      <c r="M135" t="str">
        <f>_xlfn.XLOOKUP(Table8[[#This Row],[Supporter_ID]],tb1_supporters[Supporter_ID ],tb1_supporters[Gender],"")</f>
        <v>Male</v>
      </c>
      <c r="N135">
        <f ca="1">_xlfn.XLOOKUP(Table8[[#This Row],[Supporter_ID]],tb1_supporters[Supporter_ID ],tb1_supporters[Age],"")</f>
        <v>63</v>
      </c>
      <c r="O135" t="str">
        <f ca="1">_xlfn.XLOOKUP(Table8[[#This Row],[Supporter_ID]],tb1_supporters[Supporter_ID ],tb1_supporters[Age_Band],"")</f>
        <v>50-64</v>
      </c>
      <c r="P135" t="str">
        <f ca="1">IF(Table8[[#This Row],[Age_Band]]="","Unknown",Table8[[#This Row],[Age_Band]])</f>
        <v>50-64</v>
      </c>
      <c r="Q135" t="str">
        <f>_xlfn.XLOOKUP(Table8[[#This Row],[Supporter_ID]],tb1_supporters[Supporter_ID ],tb1_supporters[Communication_Preference],"")</f>
        <v>Phone</v>
      </c>
      <c r="R135" t="str">
        <f>_xlfn.XLOOKUP(Table8[[#This Row],[Supporter_ID]],tb1_supporters[Supporter_ID ],tb1_supporters[Duplicate_Profile_Flag],"")</f>
        <v/>
      </c>
      <c r="S135" t="str">
        <f>_xlfn.XLOOKUP(Table8[[#This Row],[Supporter_ID]],tb1_supporters[Supporter_ID ],tb1_supporters[Preference_Compliance_Flag],"")</f>
        <v>Review - prefers phone but not opted in</v>
      </c>
      <c r="T135" t="str">
        <f ca="1">IF(Table8[[#This Row],[Age]]="","Review - missing DOB",IF(Table8[[#This Row],[Age]]&gt;TODAY(),"Review - future DOB",IF(Table8[[#This Row],[Age]]=0,"Review -  potential entry error (age 0)","")))</f>
        <v/>
      </c>
      <c r="U135" t="str">
        <f>_xlfn.XLOOKUP(Table8[[#This Row],[Campaign_Code]],tb3_CampaignMaster[Campaign_Code],tb3_CampaignMaster[Campaign_Type],"")</f>
        <v>Appeal</v>
      </c>
      <c r="V135" t="str">
        <f>_xlfn.XLOOKUP(Table8[[#This Row],[Campaign_Code]],tb3_CampaignMaster[Campaign_Code],tb3_CampaignMaster[Target_Audience],"")</f>
        <v>All Active</v>
      </c>
      <c r="W135" s="17">
        <f>_xlfn.XLOOKUP(Table8[[#This Row],[Campaign_Code]],tb3_CampaignMaster[Campaign_Code],tb3_CampaignMaster[Start_Date],"")</f>
        <v>45597</v>
      </c>
      <c r="X135" s="17">
        <f>_xlfn.XLOOKUP(Table8[[#This Row],[Campaign_Code]],tb3_CampaignMaster[Campaign_Code],tb3_CampaignMaster[End_Date],"")</f>
        <v>45657</v>
      </c>
      <c r="Y135">
        <f>_xlfn.XLOOKUP(Table8[[#This Row],[Campaign_Code]],tb3_CampaignMaster[Campaign_Code],tb3_CampaignMaster[Budget_GBP],"")</f>
        <v>25000</v>
      </c>
      <c r="Z135" t="str">
        <f>_xlfn.XLOOKUP(Table8[[#This Row],[Campaign_Code]],tb3_CampaignMaster[Campaign_Code],tb3_CampaignMaster[Primary_Channel],"")</f>
        <v>Multi-channel</v>
      </c>
      <c r="AA135" s="13">
        <f>IF(Table8[[#This Row],[Gift_Aid_Eligible]]="Yes",Table8[[#This Row],[Gift_Amount]]*1.25,Table8[[#This Row],[Gift_Amount]])</f>
        <v>177.98749999999998</v>
      </c>
      <c r="AB135" t="str">
        <f>IF(Table8[[#This Row],[Supporter_ID]]="","Review - missing supporter ID","")</f>
        <v/>
      </c>
      <c r="AC135" t="str">
        <f>IF(OR(Table8[[#This Row],[Response_Date]]&lt;Table8[[#This Row],[Start_Date]],Table8[[#This Row],[Response_Date]]&gt;Table8[[#This Row],[End_Date]]),"Review - response outside campaign dates","")</f>
        <v/>
      </c>
      <c r="AD135" t="str">
        <f>IF(Table8[[#This Row],[Campaign_Type]]="","Review - campaign code not found","")</f>
        <v/>
      </c>
    </row>
    <row r="136" spans="1:30" x14ac:dyDescent="0.25">
      <c r="A136" t="s">
        <v>3601</v>
      </c>
      <c r="B136" t="s">
        <v>2088</v>
      </c>
      <c r="C136" t="s">
        <v>3314</v>
      </c>
      <c r="D136" t="s">
        <v>3315</v>
      </c>
      <c r="E136" t="s">
        <v>33</v>
      </c>
      <c r="F136" s="17">
        <v>45709</v>
      </c>
      <c r="G136">
        <v>44.18</v>
      </c>
      <c r="H136" t="s">
        <v>36</v>
      </c>
      <c r="I136" t="s">
        <v>3318</v>
      </c>
      <c r="J136" t="str">
        <f>_xlfn.XLOOKUP(Table8[[#This Row],[Supporter_ID]],tb1_supporters[Supporter_ID ],tb1_supporters[Segment],"")</f>
        <v>Regular Giver</v>
      </c>
      <c r="K136" t="str">
        <f>_xlfn.XLOOKUP(Table8[[#This Row],[Supporter_ID]],tb1_supporters[Supporter_ID ],tb1_supporters[Acquisition_Source],"")</f>
        <v>Referral</v>
      </c>
      <c r="L136" t="str">
        <f>_xlfn.XLOOKUP(Table8[[#This Row],[Supporter_ID]],tb1_supporters[Supporter_ID ],tb1_supporters[County],"")</f>
        <v>Hertfordshire</v>
      </c>
      <c r="M136" t="str">
        <f>_xlfn.XLOOKUP(Table8[[#This Row],[Supporter_ID]],tb1_supporters[Supporter_ID ],tb1_supporters[Gender],"")</f>
        <v>Male</v>
      </c>
      <c r="N136">
        <f ca="1">_xlfn.XLOOKUP(Table8[[#This Row],[Supporter_ID]],tb1_supporters[Supporter_ID ],tb1_supporters[Age],"")</f>
        <v>57</v>
      </c>
      <c r="O136" t="str">
        <f ca="1">_xlfn.XLOOKUP(Table8[[#This Row],[Supporter_ID]],tb1_supporters[Supporter_ID ],tb1_supporters[Age_Band],"")</f>
        <v>50-64</v>
      </c>
      <c r="P136" t="str">
        <f ca="1">IF(Table8[[#This Row],[Age_Band]]="","Unknown",Table8[[#This Row],[Age_Band]])</f>
        <v>50-64</v>
      </c>
      <c r="Q136" t="str">
        <f>_xlfn.XLOOKUP(Table8[[#This Row],[Supporter_ID]],tb1_supporters[Supporter_ID ],tb1_supporters[Communication_Preference],"")</f>
        <v>No Preference</v>
      </c>
      <c r="R136" t="str">
        <f>_xlfn.XLOOKUP(Table8[[#This Row],[Supporter_ID]],tb1_supporters[Supporter_ID ],tb1_supporters[Duplicate_Profile_Flag],"")</f>
        <v/>
      </c>
      <c r="S136" t="str">
        <f>_xlfn.XLOOKUP(Table8[[#This Row],[Supporter_ID]],tb1_supporters[Supporter_ID ],tb1_supporters[Preference_Compliance_Flag],"")</f>
        <v/>
      </c>
      <c r="T136" t="str">
        <f ca="1">IF(Table8[[#This Row],[Age]]="","Review - missing DOB",IF(Table8[[#This Row],[Age]]&gt;TODAY(),"Review - future DOB",IF(Table8[[#This Row],[Age]]=0,"Review -  potential entry error (age 0)","")))</f>
        <v/>
      </c>
      <c r="U136" t="str">
        <f>_xlfn.XLOOKUP(Table8[[#This Row],[Campaign_Code]],tb3_CampaignMaster[Campaign_Code],tb3_CampaignMaster[Campaign_Type],"")</f>
        <v>Regular Giving</v>
      </c>
      <c r="V136" t="str">
        <f>_xlfn.XLOOKUP(Table8[[#This Row],[Campaign_Code]],tb3_CampaignMaster[Campaign_Code],tb3_CampaignMaster[Target_Audience],"")</f>
        <v>One-time Donors</v>
      </c>
      <c r="W136" s="17">
        <f>_xlfn.XLOOKUP(Table8[[#This Row],[Campaign_Code]],tb3_CampaignMaster[Campaign_Code],tb3_CampaignMaster[Start_Date],"")</f>
        <v>45663</v>
      </c>
      <c r="X136" s="17">
        <f>_xlfn.XLOOKUP(Table8[[#This Row],[Campaign_Code]],tb3_CampaignMaster[Campaign_Code],tb3_CampaignMaster[End_Date],"")</f>
        <v>45747</v>
      </c>
      <c r="Y136">
        <f>_xlfn.XLOOKUP(Table8[[#This Row],[Campaign_Code]],tb3_CampaignMaster[Campaign_Code],tb3_CampaignMaster[Budget_GBP],"")</f>
        <v>10000</v>
      </c>
      <c r="Z136" t="str">
        <f>_xlfn.XLOOKUP(Table8[[#This Row],[Campaign_Code]],tb3_CampaignMaster[Campaign_Code],tb3_CampaignMaster[Primary_Channel],"")</f>
        <v>Telephone</v>
      </c>
      <c r="AA136" s="13">
        <f>IF(Table8[[#This Row],[Gift_Aid_Eligible]]="Yes",Table8[[#This Row],[Gift_Amount]]*1.25,Table8[[#This Row],[Gift_Amount]])</f>
        <v>55.225000000000001</v>
      </c>
      <c r="AB136" t="str">
        <f>IF(Table8[[#This Row],[Supporter_ID]]="","Review - missing supporter ID","")</f>
        <v/>
      </c>
      <c r="AC136" t="str">
        <f>IF(OR(Table8[[#This Row],[Response_Date]]&lt;Table8[[#This Row],[Start_Date]],Table8[[#This Row],[Response_Date]]&gt;Table8[[#This Row],[End_Date]]),"Review - response outside campaign dates","")</f>
        <v/>
      </c>
      <c r="AD136" t="str">
        <f>IF(Table8[[#This Row],[Campaign_Type]]="","Review - campaign code not found","")</f>
        <v/>
      </c>
    </row>
    <row r="137" spans="1:30" x14ac:dyDescent="0.25">
      <c r="A137" t="s">
        <v>3603</v>
      </c>
      <c r="B137" t="s">
        <v>535</v>
      </c>
      <c r="C137" t="s">
        <v>3403</v>
      </c>
      <c r="D137" t="s">
        <v>3404</v>
      </c>
      <c r="E137" t="s">
        <v>4</v>
      </c>
      <c r="F137" s="17">
        <v>45584</v>
      </c>
      <c r="G137">
        <v>21.88</v>
      </c>
      <c r="H137" t="s">
        <v>37</v>
      </c>
      <c r="I137" t="s">
        <v>3331</v>
      </c>
      <c r="J137" t="str">
        <f>_xlfn.XLOOKUP(Table8[[#This Row],[Supporter_ID]],tb1_supporters[Supporter_ID ],tb1_supporters[Segment],"")</f>
        <v>Prospect</v>
      </c>
      <c r="K137" t="str">
        <f>_xlfn.XLOOKUP(Table8[[#This Row],[Supporter_ID]],tb1_supporters[Supporter_ID ],tb1_supporters[Acquisition_Source],"")</f>
        <v>Social Media</v>
      </c>
      <c r="L137" t="str">
        <f>_xlfn.XLOOKUP(Table8[[#This Row],[Supporter_ID]],tb1_supporters[Supporter_ID ],tb1_supporters[County],"")</f>
        <v>West Glamorgan</v>
      </c>
      <c r="M137" t="str">
        <f>_xlfn.XLOOKUP(Table8[[#This Row],[Supporter_ID]],tb1_supporters[Supporter_ID ],tb1_supporters[Gender],"")</f>
        <v>Female</v>
      </c>
      <c r="N137" t="str">
        <f ca="1">_xlfn.XLOOKUP(Table8[[#This Row],[Supporter_ID]],tb1_supporters[Supporter_ID ],tb1_supporters[Age],"")</f>
        <v/>
      </c>
      <c r="O137" t="str">
        <f ca="1">_xlfn.XLOOKUP(Table8[[#This Row],[Supporter_ID]],tb1_supporters[Supporter_ID ],tb1_supporters[Age_Band],"")</f>
        <v/>
      </c>
      <c r="P137" t="str">
        <f ca="1">IF(Table8[[#This Row],[Age_Band]]="","Unknown",Table8[[#This Row],[Age_Band]])</f>
        <v>Unknown</v>
      </c>
      <c r="Q137" t="str">
        <f>_xlfn.XLOOKUP(Table8[[#This Row],[Supporter_ID]],tb1_supporters[Supporter_ID ],tb1_supporters[Communication_Preference],"")</f>
        <v>No Preference</v>
      </c>
      <c r="R137" t="str">
        <f>_xlfn.XLOOKUP(Table8[[#This Row],[Supporter_ID]],tb1_supporters[Supporter_ID ],tb1_supporters[Duplicate_Profile_Flag],"")</f>
        <v/>
      </c>
      <c r="S137" t="str">
        <f>_xlfn.XLOOKUP(Table8[[#This Row],[Supporter_ID]],tb1_supporters[Supporter_ID ],tb1_supporters[Preference_Compliance_Flag],"")</f>
        <v/>
      </c>
      <c r="T137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137" t="str">
        <f>_xlfn.XLOOKUP(Table8[[#This Row],[Campaign_Code]],tb3_CampaignMaster[Campaign_Code],tb3_CampaignMaster[Campaign_Type],"")</f>
        <v>Trading</v>
      </c>
      <c r="V137" t="str">
        <f>_xlfn.XLOOKUP(Table8[[#This Row],[Campaign_Code]],tb3_CampaignMaster[Campaign_Code],tb3_CampaignMaster[Target_Audience],"")</f>
        <v>All Active</v>
      </c>
      <c r="W137" s="17">
        <f>_xlfn.XLOOKUP(Table8[[#This Row],[Campaign_Code]],tb3_CampaignMaster[Campaign_Code],tb3_CampaignMaster[Start_Date],"")</f>
        <v>45580</v>
      </c>
      <c r="X137" s="17">
        <f>_xlfn.XLOOKUP(Table8[[#This Row],[Campaign_Code]],tb3_CampaignMaster[Campaign_Code],tb3_CampaignMaster[End_Date],"")</f>
        <v>45646</v>
      </c>
      <c r="Y137">
        <f>_xlfn.XLOOKUP(Table8[[#This Row],[Campaign_Code]],tb3_CampaignMaster[Campaign_Code],tb3_CampaignMaster[Budget_GBP],"")</f>
        <v>12000</v>
      </c>
      <c r="Z137" t="str">
        <f>_xlfn.XLOOKUP(Table8[[#This Row],[Campaign_Code]],tb3_CampaignMaster[Campaign_Code],tb3_CampaignMaster[Primary_Channel],"")</f>
        <v>Multi-channel</v>
      </c>
      <c r="AA137" s="13">
        <f>IF(Table8[[#This Row],[Gift_Aid_Eligible]]="Yes",Table8[[#This Row],[Gift_Amount]]*1.25,Table8[[#This Row],[Gift_Amount]])</f>
        <v>21.88</v>
      </c>
      <c r="AB137" t="str">
        <f>IF(Table8[[#This Row],[Supporter_ID]]="","Review - missing supporter ID","")</f>
        <v/>
      </c>
      <c r="AC137" t="str">
        <f>IF(OR(Table8[[#This Row],[Response_Date]]&lt;Table8[[#This Row],[Start_Date]],Table8[[#This Row],[Response_Date]]&gt;Table8[[#This Row],[End_Date]]),"Review - response outside campaign dates","")</f>
        <v/>
      </c>
      <c r="AD137" t="str">
        <f>IF(Table8[[#This Row],[Campaign_Type]]="","Review - campaign code not found","")</f>
        <v/>
      </c>
    </row>
    <row r="138" spans="1:30" x14ac:dyDescent="0.25">
      <c r="A138" t="s">
        <v>3605</v>
      </c>
      <c r="B138" t="s">
        <v>723</v>
      </c>
      <c r="C138" t="s">
        <v>3362</v>
      </c>
      <c r="D138" t="s">
        <v>3363</v>
      </c>
      <c r="E138" t="s">
        <v>65</v>
      </c>
      <c r="F138" s="17">
        <v>45572</v>
      </c>
      <c r="G138">
        <v>4877.93</v>
      </c>
      <c r="H138" t="s">
        <v>36</v>
      </c>
      <c r="I138" t="s">
        <v>3331</v>
      </c>
      <c r="J138" t="str">
        <f>_xlfn.XLOOKUP(Table8[[#This Row],[Supporter_ID]],tb1_supporters[Supporter_ID ],tb1_supporters[Segment],"")</f>
        <v>Major Donor</v>
      </c>
      <c r="K138" t="str">
        <f>_xlfn.XLOOKUP(Table8[[#This Row],[Supporter_ID]],tb1_supporters[Supporter_ID ],tb1_supporters[Acquisition_Source],"")</f>
        <v>Corporate Partner</v>
      </c>
      <c r="L138" t="str">
        <f>_xlfn.XLOOKUP(Table8[[#This Row],[Supporter_ID]],tb1_supporters[Supporter_ID ],tb1_supporters[County],"")</f>
        <v>Gloucestershire</v>
      </c>
      <c r="M138" t="str">
        <f>_xlfn.XLOOKUP(Table8[[#This Row],[Supporter_ID]],tb1_supporters[Supporter_ID ],tb1_supporters[Gender],"")</f>
        <v>Male</v>
      </c>
      <c r="N138">
        <f ca="1">_xlfn.XLOOKUP(Table8[[#This Row],[Supporter_ID]],tb1_supporters[Supporter_ID ],tb1_supporters[Age],"")</f>
        <v>86</v>
      </c>
      <c r="O138" t="str">
        <f ca="1">_xlfn.XLOOKUP(Table8[[#This Row],[Supporter_ID]],tb1_supporters[Supporter_ID ],tb1_supporters[Age_Band],"")</f>
        <v>65+</v>
      </c>
      <c r="P138" t="str">
        <f ca="1">IF(Table8[[#This Row],[Age_Band]]="","Unknown",Table8[[#This Row],[Age_Band]])</f>
        <v>65+</v>
      </c>
      <c r="Q138" t="str">
        <f>_xlfn.XLOOKUP(Table8[[#This Row],[Supporter_ID]],tb1_supporters[Supporter_ID ],tb1_supporters[Communication_Preference],"")</f>
        <v>Email</v>
      </c>
      <c r="R138" t="str">
        <f>_xlfn.XLOOKUP(Table8[[#This Row],[Supporter_ID]],tb1_supporters[Supporter_ID ],tb1_supporters[Duplicate_Profile_Flag],"")</f>
        <v>Review - duplicate record, see Supporter_Duplicates tab</v>
      </c>
      <c r="S138" t="str">
        <f>_xlfn.XLOOKUP(Table8[[#This Row],[Supporter_ID]],tb1_supporters[Supporter_ID ],tb1_supporters[Preference_Compliance_Flag],"")</f>
        <v/>
      </c>
      <c r="T138" t="str">
        <f ca="1">IF(Table8[[#This Row],[Age]]="","Review - missing DOB",IF(Table8[[#This Row],[Age]]&gt;TODAY(),"Review - future DOB",IF(Table8[[#This Row],[Age]]=0,"Review -  potential entry error (age 0)","")))</f>
        <v/>
      </c>
      <c r="U138" t="str">
        <f>_xlfn.XLOOKUP(Table8[[#This Row],[Campaign_Code]],tb3_CampaignMaster[Campaign_Code],tb3_CampaignMaster[Campaign_Type],"")</f>
        <v>Legacy</v>
      </c>
      <c r="V138" t="str">
        <f>_xlfn.XLOOKUP(Table8[[#This Row],[Campaign_Code]],tb3_CampaignMaster[Campaign_Code],tb3_CampaignMaster[Target_Audience],"")</f>
        <v>Over 55s</v>
      </c>
      <c r="W138" s="17">
        <f>_xlfn.XLOOKUP(Table8[[#This Row],[Campaign_Code]],tb3_CampaignMaster[Campaign_Code],tb3_CampaignMaster[Start_Date],"")</f>
        <v>45572</v>
      </c>
      <c r="X138" s="17">
        <f>_xlfn.XLOOKUP(Table8[[#This Row],[Campaign_Code]],tb3_CampaignMaster[Campaign_Code],tb3_CampaignMaster[End_Date],"")</f>
        <v>45578</v>
      </c>
      <c r="Y138">
        <f>_xlfn.XLOOKUP(Table8[[#This Row],[Campaign_Code]],tb3_CampaignMaster[Campaign_Code],tb3_CampaignMaster[Budget_GBP],"")</f>
        <v>5000</v>
      </c>
      <c r="Z138" t="str">
        <f>_xlfn.XLOOKUP(Table8[[#This Row],[Campaign_Code]],tb3_CampaignMaster[Campaign_Code],tb3_CampaignMaster[Primary_Channel],"")</f>
        <v>Direct Mail</v>
      </c>
      <c r="AA138" s="13">
        <f>IF(Table8[[#This Row],[Gift_Aid_Eligible]]="Yes",Table8[[#This Row],[Gift_Amount]]*1.25,Table8[[#This Row],[Gift_Amount]])</f>
        <v>6097.4125000000004</v>
      </c>
      <c r="AB138" t="str">
        <f>IF(Table8[[#This Row],[Supporter_ID]]="","Review - missing supporter ID","")</f>
        <v/>
      </c>
      <c r="AC138" t="str">
        <f>IF(OR(Table8[[#This Row],[Response_Date]]&lt;Table8[[#This Row],[Start_Date]],Table8[[#This Row],[Response_Date]]&gt;Table8[[#This Row],[End_Date]]),"Review - response outside campaign dates","")</f>
        <v/>
      </c>
      <c r="AD138" t="str">
        <f>IF(Table8[[#This Row],[Campaign_Type]]="","Review - campaign code not found","")</f>
        <v/>
      </c>
    </row>
    <row r="139" spans="1:30" x14ac:dyDescent="0.25">
      <c r="A139" t="s">
        <v>3607</v>
      </c>
      <c r="B139" t="s">
        <v>1348</v>
      </c>
      <c r="C139" t="s">
        <v>3362</v>
      </c>
      <c r="D139" t="s">
        <v>3363</v>
      </c>
      <c r="E139" t="s">
        <v>65</v>
      </c>
      <c r="F139" s="17">
        <v>45574</v>
      </c>
      <c r="G139">
        <v>12.57</v>
      </c>
      <c r="H139" t="s">
        <v>37</v>
      </c>
      <c r="I139" t="s">
        <v>3323</v>
      </c>
      <c r="J139" t="str">
        <f>_xlfn.XLOOKUP(Table8[[#This Row],[Supporter_ID]],tb1_supporters[Supporter_ID ],tb1_supporters[Segment],"")</f>
        <v>Prospect</v>
      </c>
      <c r="K139" t="str">
        <f>_xlfn.XLOOKUP(Table8[[#This Row],[Supporter_ID]],tb1_supporters[Supporter_ID ],tb1_supporters[Acquisition_Source],"")</f>
        <v>Social Media</v>
      </c>
      <c r="L139" t="str">
        <f>_xlfn.XLOOKUP(Table8[[#This Row],[Supporter_ID]],tb1_supporters[Supporter_ID ],tb1_supporters[County],"")</f>
        <v>Leicestershire</v>
      </c>
      <c r="M139" t="str">
        <f>_xlfn.XLOOKUP(Table8[[#This Row],[Supporter_ID]],tb1_supporters[Supporter_ID ],tb1_supporters[Gender],"")</f>
        <v>Male</v>
      </c>
      <c r="N139">
        <f ca="1">_xlfn.XLOOKUP(Table8[[#This Row],[Supporter_ID]],tb1_supporters[Supporter_ID ],tb1_supporters[Age],"")</f>
        <v>58</v>
      </c>
      <c r="O139" t="str">
        <f ca="1">_xlfn.XLOOKUP(Table8[[#This Row],[Supporter_ID]],tb1_supporters[Supporter_ID ],tb1_supporters[Age_Band],"")</f>
        <v>50-64</v>
      </c>
      <c r="P139" t="str">
        <f ca="1">IF(Table8[[#This Row],[Age_Band]]="","Unknown",Table8[[#This Row],[Age_Band]])</f>
        <v>50-64</v>
      </c>
      <c r="Q139" t="str">
        <f>_xlfn.XLOOKUP(Table8[[#This Row],[Supporter_ID]],tb1_supporters[Supporter_ID ],tb1_supporters[Communication_Preference],"")</f>
        <v>Post</v>
      </c>
      <c r="R139" t="str">
        <f>_xlfn.XLOOKUP(Table8[[#This Row],[Supporter_ID]],tb1_supporters[Supporter_ID ],tb1_supporters[Duplicate_Profile_Flag],"")</f>
        <v/>
      </c>
      <c r="S139" t="str">
        <f>_xlfn.XLOOKUP(Table8[[#This Row],[Supporter_ID]],tb1_supporters[Supporter_ID ],tb1_supporters[Preference_Compliance_Flag],"")</f>
        <v>Review - prefers post but not opted in</v>
      </c>
      <c r="T139" t="str">
        <f ca="1">IF(Table8[[#This Row],[Age]]="","Review - missing DOB",IF(Table8[[#This Row],[Age]]&gt;TODAY(),"Review - future DOB",IF(Table8[[#This Row],[Age]]=0,"Review -  potential entry error (age 0)","")))</f>
        <v/>
      </c>
      <c r="U139" t="str">
        <f>_xlfn.XLOOKUP(Table8[[#This Row],[Campaign_Code]],tb3_CampaignMaster[Campaign_Code],tb3_CampaignMaster[Campaign_Type],"")</f>
        <v>Legacy</v>
      </c>
      <c r="V139" t="str">
        <f>_xlfn.XLOOKUP(Table8[[#This Row],[Campaign_Code]],tb3_CampaignMaster[Campaign_Code],tb3_CampaignMaster[Target_Audience],"")</f>
        <v>Over 55s</v>
      </c>
      <c r="W139" s="17">
        <f>_xlfn.XLOOKUP(Table8[[#This Row],[Campaign_Code]],tb3_CampaignMaster[Campaign_Code],tb3_CampaignMaster[Start_Date],"")</f>
        <v>45572</v>
      </c>
      <c r="X139" s="17">
        <f>_xlfn.XLOOKUP(Table8[[#This Row],[Campaign_Code]],tb3_CampaignMaster[Campaign_Code],tb3_CampaignMaster[End_Date],"")</f>
        <v>45578</v>
      </c>
      <c r="Y139">
        <f>_xlfn.XLOOKUP(Table8[[#This Row],[Campaign_Code]],tb3_CampaignMaster[Campaign_Code],tb3_CampaignMaster[Budget_GBP],"")</f>
        <v>5000</v>
      </c>
      <c r="Z139" t="str">
        <f>_xlfn.XLOOKUP(Table8[[#This Row],[Campaign_Code]],tb3_CampaignMaster[Campaign_Code],tb3_CampaignMaster[Primary_Channel],"")</f>
        <v>Direct Mail</v>
      </c>
      <c r="AA139" s="13">
        <f>IF(Table8[[#This Row],[Gift_Aid_Eligible]]="Yes",Table8[[#This Row],[Gift_Amount]]*1.25,Table8[[#This Row],[Gift_Amount]])</f>
        <v>12.57</v>
      </c>
      <c r="AB139" t="str">
        <f>IF(Table8[[#This Row],[Supporter_ID]]="","Review - missing supporter ID","")</f>
        <v/>
      </c>
      <c r="AC139" t="str">
        <f>IF(OR(Table8[[#This Row],[Response_Date]]&lt;Table8[[#This Row],[Start_Date]],Table8[[#This Row],[Response_Date]]&gt;Table8[[#This Row],[End_Date]]),"Review - response outside campaign dates","")</f>
        <v/>
      </c>
      <c r="AD139" t="str">
        <f>IF(Table8[[#This Row],[Campaign_Type]]="","Review - campaign code not found","")</f>
        <v/>
      </c>
    </row>
    <row r="140" spans="1:30" x14ac:dyDescent="0.25">
      <c r="A140" t="s">
        <v>3608</v>
      </c>
      <c r="B140" t="s">
        <v>863</v>
      </c>
      <c r="C140" t="s">
        <v>3341</v>
      </c>
      <c r="D140" t="s">
        <v>3342</v>
      </c>
      <c r="E140" t="s">
        <v>4</v>
      </c>
      <c r="F140" s="17">
        <v>45744</v>
      </c>
      <c r="G140">
        <v>17.37</v>
      </c>
      <c r="H140" t="s">
        <v>37</v>
      </c>
      <c r="I140" t="s">
        <v>3331</v>
      </c>
      <c r="J140" t="str">
        <f>_xlfn.XLOOKUP(Table8[[#This Row],[Supporter_ID]],tb1_supporters[Supporter_ID ],tb1_supporters[Segment],"")</f>
        <v>Prospect</v>
      </c>
      <c r="K140" t="str">
        <f>_xlfn.XLOOKUP(Table8[[#This Row],[Supporter_ID]],tb1_supporters[Supporter_ID ],tb1_supporters[Acquisition_Source],"")</f>
        <v>Social Media</v>
      </c>
      <c r="L140" t="str">
        <f>_xlfn.XLOOKUP(Table8[[#This Row],[Supporter_ID]],tb1_supporters[Supporter_ID ],tb1_supporters[County],"")</f>
        <v>West Midlands</v>
      </c>
      <c r="M140" t="str">
        <f>_xlfn.XLOOKUP(Table8[[#This Row],[Supporter_ID]],tb1_supporters[Supporter_ID ],tb1_supporters[Gender],"")</f>
        <v>Male</v>
      </c>
      <c r="N140" t="str">
        <f ca="1">_xlfn.XLOOKUP(Table8[[#This Row],[Supporter_ID]],tb1_supporters[Supporter_ID ],tb1_supporters[Age],"")</f>
        <v/>
      </c>
      <c r="O140" t="str">
        <f ca="1">_xlfn.XLOOKUP(Table8[[#This Row],[Supporter_ID]],tb1_supporters[Supporter_ID ],tb1_supporters[Age_Band],"")</f>
        <v/>
      </c>
      <c r="P140" t="str">
        <f ca="1">IF(Table8[[#This Row],[Age_Band]]="","Unknown",Table8[[#This Row],[Age_Band]])</f>
        <v>Unknown</v>
      </c>
      <c r="Q140" t="str">
        <f>_xlfn.XLOOKUP(Table8[[#This Row],[Supporter_ID]],tb1_supporters[Supporter_ID ],tb1_supporters[Communication_Preference],"")</f>
        <v>Email</v>
      </c>
      <c r="R140" t="str">
        <f>_xlfn.XLOOKUP(Table8[[#This Row],[Supporter_ID]],tb1_supporters[Supporter_ID ],tb1_supporters[Duplicate_Profile_Flag],"")</f>
        <v/>
      </c>
      <c r="S140" t="str">
        <f>_xlfn.XLOOKUP(Table8[[#This Row],[Supporter_ID]],tb1_supporters[Supporter_ID ],tb1_supporters[Preference_Compliance_Flag],"")</f>
        <v/>
      </c>
      <c r="T140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140" t="str">
        <f>_xlfn.XLOOKUP(Table8[[#This Row],[Campaign_Code]],tb3_CampaignMaster[Campaign_Code],tb3_CampaignMaster[Campaign_Type],"")</f>
        <v>Acquisition</v>
      </c>
      <c r="V140" t="str">
        <f>_xlfn.XLOOKUP(Table8[[#This Row],[Campaign_Code]],tb3_CampaignMaster[Campaign_Code],tb3_CampaignMaster[Target_Audience],"")</f>
        <v>Prospects</v>
      </c>
      <c r="W140" s="17">
        <f>_xlfn.XLOOKUP(Table8[[#This Row],[Campaign_Code]],tb3_CampaignMaster[Campaign_Code],tb3_CampaignMaster[Start_Date],"")</f>
        <v>45689</v>
      </c>
      <c r="X140" s="17">
        <f>_xlfn.XLOOKUP(Table8[[#This Row],[Campaign_Code]],tb3_CampaignMaster[Campaign_Code],tb3_CampaignMaster[End_Date],"")</f>
        <v>45777</v>
      </c>
      <c r="Y140">
        <f>_xlfn.XLOOKUP(Table8[[#This Row],[Campaign_Code]],tb3_CampaignMaster[Campaign_Code],tb3_CampaignMaster[Budget_GBP],"")</f>
        <v>20000</v>
      </c>
      <c r="Z140" t="str">
        <f>_xlfn.XLOOKUP(Table8[[#This Row],[Campaign_Code]],tb3_CampaignMaster[Campaign_Code],tb3_CampaignMaster[Primary_Channel],"")</f>
        <v>Digital</v>
      </c>
      <c r="AA140" s="13">
        <f>IF(Table8[[#This Row],[Gift_Aid_Eligible]]="Yes",Table8[[#This Row],[Gift_Amount]]*1.25,Table8[[#This Row],[Gift_Amount]])</f>
        <v>17.37</v>
      </c>
      <c r="AB140" t="str">
        <f>IF(Table8[[#This Row],[Supporter_ID]]="","Review - missing supporter ID","")</f>
        <v/>
      </c>
      <c r="AC140" t="str">
        <f>IF(OR(Table8[[#This Row],[Response_Date]]&lt;Table8[[#This Row],[Start_Date]],Table8[[#This Row],[Response_Date]]&gt;Table8[[#This Row],[End_Date]]),"Review - response outside campaign dates","")</f>
        <v/>
      </c>
      <c r="AD140" t="str">
        <f>IF(Table8[[#This Row],[Campaign_Type]]="","Review - campaign code not found","")</f>
        <v/>
      </c>
    </row>
    <row r="141" spans="1:30" x14ac:dyDescent="0.25">
      <c r="A141" t="s">
        <v>3610</v>
      </c>
      <c r="B141" t="s">
        <v>1714</v>
      </c>
      <c r="C141" t="s">
        <v>3367</v>
      </c>
      <c r="D141" t="s">
        <v>3368</v>
      </c>
      <c r="E141" t="s">
        <v>65</v>
      </c>
      <c r="F141" s="17">
        <v>45726</v>
      </c>
      <c r="G141">
        <v>95.83</v>
      </c>
      <c r="H141" t="s">
        <v>36</v>
      </c>
      <c r="I141" t="s">
        <v>3323</v>
      </c>
      <c r="J141" t="str">
        <f>_xlfn.XLOOKUP(Table8[[#This Row],[Supporter_ID]],tb1_supporters[Supporter_ID ],tb1_supporters[Segment],"")</f>
        <v>Lapsed</v>
      </c>
      <c r="K141" t="str">
        <f>_xlfn.XLOOKUP(Table8[[#This Row],[Supporter_ID]],tb1_supporters[Supporter_ID ],tb1_supporters[Acquisition_Source],"")</f>
        <v>Event</v>
      </c>
      <c r="L141" t="str">
        <f>_xlfn.XLOOKUP(Table8[[#This Row],[Supporter_ID]],tb1_supporters[Supporter_ID ],tb1_supporters[County],"")</f>
        <v>Nottinghamshire</v>
      </c>
      <c r="M141" t="str">
        <f>_xlfn.XLOOKUP(Table8[[#This Row],[Supporter_ID]],tb1_supporters[Supporter_ID ],tb1_supporters[Gender],"")</f>
        <v>Male</v>
      </c>
      <c r="N141">
        <f ca="1">_xlfn.XLOOKUP(Table8[[#This Row],[Supporter_ID]],tb1_supporters[Supporter_ID ],tb1_supporters[Age],"")</f>
        <v>56</v>
      </c>
      <c r="O141" t="str">
        <f ca="1">_xlfn.XLOOKUP(Table8[[#This Row],[Supporter_ID]],tb1_supporters[Supporter_ID ],tb1_supporters[Age_Band],"")</f>
        <v>50-64</v>
      </c>
      <c r="P141" t="str">
        <f ca="1">IF(Table8[[#This Row],[Age_Band]]="","Unknown",Table8[[#This Row],[Age_Band]])</f>
        <v>50-64</v>
      </c>
      <c r="Q141" t="str">
        <f>_xlfn.XLOOKUP(Table8[[#This Row],[Supporter_ID]],tb1_supporters[Supporter_ID ],tb1_supporters[Communication_Preference],"")</f>
        <v>Email</v>
      </c>
      <c r="R141" t="str">
        <f>_xlfn.XLOOKUP(Table8[[#This Row],[Supporter_ID]],tb1_supporters[Supporter_ID ],tb1_supporters[Duplicate_Profile_Flag],"")</f>
        <v/>
      </c>
      <c r="S141" t="str">
        <f>_xlfn.XLOOKUP(Table8[[#This Row],[Supporter_ID]],tb1_supporters[Supporter_ID ],tb1_supporters[Preference_Compliance_Flag],"")</f>
        <v>Review - prefers email but not opted in</v>
      </c>
      <c r="T141" t="str">
        <f ca="1">IF(Table8[[#This Row],[Age]]="","Review - missing DOB",IF(Table8[[#This Row],[Age]]&gt;TODAY(),"Review - future DOB",IF(Table8[[#This Row],[Age]]=0,"Review -  potential entry error (age 0)","")))</f>
        <v/>
      </c>
      <c r="U141" t="str">
        <f>_xlfn.XLOOKUP(Table8[[#This Row],[Campaign_Code]],tb3_CampaignMaster[Campaign_Code],tb3_CampaignMaster[Campaign_Type],"")</f>
        <v>Raffle</v>
      </c>
      <c r="V141" t="str">
        <f>_xlfn.XLOOKUP(Table8[[#This Row],[Campaign_Code]],tb3_CampaignMaster[Campaign_Code],tb3_CampaignMaster[Target_Audience],"")</f>
        <v>Regular Givers</v>
      </c>
      <c r="W141" s="17">
        <f>_xlfn.XLOOKUP(Table8[[#This Row],[Campaign_Code]],tb3_CampaignMaster[Campaign_Code],tb3_CampaignMaster[Start_Date],"")</f>
        <v>45717</v>
      </c>
      <c r="X141" s="17">
        <f>_xlfn.XLOOKUP(Table8[[#This Row],[Campaign_Code]],tb3_CampaignMaster[Campaign_Code],tb3_CampaignMaster[End_Date],"")</f>
        <v>45777</v>
      </c>
      <c r="Y141">
        <f>_xlfn.XLOOKUP(Table8[[#This Row],[Campaign_Code]],tb3_CampaignMaster[Campaign_Code],tb3_CampaignMaster[Budget_GBP],"")</f>
        <v>8000</v>
      </c>
      <c r="Z141" t="str">
        <f>_xlfn.XLOOKUP(Table8[[#This Row],[Campaign_Code]],tb3_CampaignMaster[Campaign_Code],tb3_CampaignMaster[Primary_Channel],"")</f>
        <v>Direct Mail</v>
      </c>
      <c r="AA141" s="13">
        <f>IF(Table8[[#This Row],[Gift_Aid_Eligible]]="Yes",Table8[[#This Row],[Gift_Amount]]*1.25,Table8[[#This Row],[Gift_Amount]])</f>
        <v>119.78749999999999</v>
      </c>
      <c r="AB141" t="str">
        <f>IF(Table8[[#This Row],[Supporter_ID]]="","Review - missing supporter ID","")</f>
        <v/>
      </c>
      <c r="AC141" t="str">
        <f>IF(OR(Table8[[#This Row],[Response_Date]]&lt;Table8[[#This Row],[Start_Date]],Table8[[#This Row],[Response_Date]]&gt;Table8[[#This Row],[End_Date]]),"Review - response outside campaign dates","")</f>
        <v/>
      </c>
      <c r="AD141" t="str">
        <f>IF(Table8[[#This Row],[Campaign_Type]]="","Review - campaign code not found","")</f>
        <v/>
      </c>
    </row>
    <row r="142" spans="1:30" x14ac:dyDescent="0.25">
      <c r="A142" t="s">
        <v>3612</v>
      </c>
      <c r="B142" t="s">
        <v>620</v>
      </c>
      <c r="C142" t="s">
        <v>3354</v>
      </c>
      <c r="D142" t="s">
        <v>3355</v>
      </c>
      <c r="E142" t="s">
        <v>4</v>
      </c>
      <c r="F142" s="17">
        <v>45618</v>
      </c>
      <c r="G142">
        <v>124.88</v>
      </c>
      <c r="H142" t="s">
        <v>37</v>
      </c>
      <c r="I142" t="s">
        <v>3318</v>
      </c>
      <c r="J142" t="str">
        <f>_xlfn.XLOOKUP(Table8[[#This Row],[Supporter_ID]],tb1_supporters[Supporter_ID ],tb1_supporters[Segment],"")</f>
        <v>Mid-Value</v>
      </c>
      <c r="K142" t="str">
        <f>_xlfn.XLOOKUP(Table8[[#This Row],[Supporter_ID]],tb1_supporters[Supporter_ID ],tb1_supporters[Acquisition_Source],"")</f>
        <v>Telephone</v>
      </c>
      <c r="L142" t="str">
        <f>_xlfn.XLOOKUP(Table8[[#This Row],[Supporter_ID]],tb1_supporters[Supporter_ID ],tb1_supporters[County],"")</f>
        <v>Berkshire</v>
      </c>
      <c r="M142" t="str">
        <f>_xlfn.XLOOKUP(Table8[[#This Row],[Supporter_ID]],tb1_supporters[Supporter_ID ],tb1_supporters[Gender],"")</f>
        <v>Male</v>
      </c>
      <c r="N142">
        <f ca="1">_xlfn.XLOOKUP(Table8[[#This Row],[Supporter_ID]],tb1_supporters[Supporter_ID ],tb1_supporters[Age],"")</f>
        <v>52</v>
      </c>
      <c r="O142" t="str">
        <f ca="1">_xlfn.XLOOKUP(Table8[[#This Row],[Supporter_ID]],tb1_supporters[Supporter_ID ],tb1_supporters[Age_Band],"")</f>
        <v>50-64</v>
      </c>
      <c r="P142" t="str">
        <f ca="1">IF(Table8[[#This Row],[Age_Band]]="","Unknown",Table8[[#This Row],[Age_Band]])</f>
        <v>50-64</v>
      </c>
      <c r="Q142" t="str">
        <f>_xlfn.XLOOKUP(Table8[[#This Row],[Supporter_ID]],tb1_supporters[Supporter_ID ],tb1_supporters[Communication_Preference],"")</f>
        <v>Email</v>
      </c>
      <c r="R142" t="str">
        <f>_xlfn.XLOOKUP(Table8[[#This Row],[Supporter_ID]],tb1_supporters[Supporter_ID ],tb1_supporters[Duplicate_Profile_Flag],"")</f>
        <v/>
      </c>
      <c r="S142" t="str">
        <f>_xlfn.XLOOKUP(Table8[[#This Row],[Supporter_ID]],tb1_supporters[Supporter_ID ],tb1_supporters[Preference_Compliance_Flag],"")</f>
        <v/>
      </c>
      <c r="T142" t="str">
        <f ca="1">IF(Table8[[#This Row],[Age]]="","Review - missing DOB",IF(Table8[[#This Row],[Age]]&gt;TODAY(),"Review - future DOB",IF(Table8[[#This Row],[Age]]=0,"Review -  potential entry error (age 0)","")))</f>
        <v/>
      </c>
      <c r="U142" t="str">
        <f>_xlfn.XLOOKUP(Table8[[#This Row],[Campaign_Code]],tb3_CampaignMaster[Campaign_Code],tb3_CampaignMaster[Campaign_Type],"")</f>
        <v>Event</v>
      </c>
      <c r="V142" t="str">
        <f>_xlfn.XLOOKUP(Table8[[#This Row],[Campaign_Code]],tb3_CampaignMaster[Campaign_Code],tb3_CampaignMaster[Target_Audience],"")</f>
        <v>Volunteers</v>
      </c>
      <c r="W142" s="17">
        <f>_xlfn.XLOOKUP(Table8[[#This Row],[Campaign_Code]],tb3_CampaignMaster[Campaign_Code],tb3_CampaignMaster[Start_Date],"")</f>
        <v>45618</v>
      </c>
      <c r="X142" s="17">
        <f>_xlfn.XLOOKUP(Table8[[#This Row],[Campaign_Code]],tb3_CampaignMaster[Campaign_Code],tb3_CampaignMaster[End_Date],"")</f>
        <v>45618</v>
      </c>
      <c r="Y142">
        <f>_xlfn.XLOOKUP(Table8[[#This Row],[Campaign_Code]],tb3_CampaignMaster[Campaign_Code],tb3_CampaignMaster[Budget_GBP],"")</f>
        <v>3500</v>
      </c>
      <c r="Z142" t="str">
        <f>_xlfn.XLOOKUP(Table8[[#This Row],[Campaign_Code]],tb3_CampaignMaster[Campaign_Code],tb3_CampaignMaster[Primary_Channel],"")</f>
        <v>Email</v>
      </c>
      <c r="AA142" s="13">
        <f>IF(Table8[[#This Row],[Gift_Aid_Eligible]]="Yes",Table8[[#This Row],[Gift_Amount]]*1.25,Table8[[#This Row],[Gift_Amount]])</f>
        <v>124.88</v>
      </c>
      <c r="AB142" t="str">
        <f>IF(Table8[[#This Row],[Supporter_ID]]="","Review - missing supporter ID","")</f>
        <v/>
      </c>
      <c r="AC142" t="str">
        <f>IF(OR(Table8[[#This Row],[Response_Date]]&lt;Table8[[#This Row],[Start_Date]],Table8[[#This Row],[Response_Date]]&gt;Table8[[#This Row],[End_Date]]),"Review - response outside campaign dates","")</f>
        <v/>
      </c>
      <c r="AD142" t="str">
        <f>IF(Table8[[#This Row],[Campaign_Type]]="","Review - campaign code not found","")</f>
        <v/>
      </c>
    </row>
    <row r="143" spans="1:30" x14ac:dyDescent="0.25">
      <c r="A143" t="s">
        <v>3613</v>
      </c>
      <c r="B143" t="s">
        <v>212</v>
      </c>
      <c r="C143" t="s">
        <v>3403</v>
      </c>
      <c r="D143" t="s">
        <v>3404</v>
      </c>
      <c r="E143" t="s">
        <v>65</v>
      </c>
      <c r="F143" s="17">
        <v>45591</v>
      </c>
      <c r="G143">
        <v>21.59</v>
      </c>
      <c r="H143" t="s">
        <v>36</v>
      </c>
      <c r="I143" t="s">
        <v>3331</v>
      </c>
      <c r="J143" t="str">
        <f>_xlfn.XLOOKUP(Table8[[#This Row],[Supporter_ID]],tb1_supporters[Supporter_ID ],tb1_supporters[Segment],"")</f>
        <v>Prospect</v>
      </c>
      <c r="K143" t="str">
        <f>_xlfn.XLOOKUP(Table8[[#This Row],[Supporter_ID]],tb1_supporters[Supporter_ID ],tb1_supporters[Acquisition_Source],"")</f>
        <v>Social Media</v>
      </c>
      <c r="L143" t="str">
        <f>_xlfn.XLOOKUP(Table8[[#This Row],[Supporter_ID]],tb1_supporters[Supporter_ID ],tb1_supporters[County],"")</f>
        <v>Devon</v>
      </c>
      <c r="M143" t="str">
        <f>_xlfn.XLOOKUP(Table8[[#This Row],[Supporter_ID]],tb1_supporters[Supporter_ID ],tb1_supporters[Gender],"")</f>
        <v>Male</v>
      </c>
      <c r="N143">
        <f ca="1">_xlfn.XLOOKUP(Table8[[#This Row],[Supporter_ID]],tb1_supporters[Supporter_ID ],tb1_supporters[Age],"")</f>
        <v>0</v>
      </c>
      <c r="O143" t="str">
        <f ca="1">_xlfn.XLOOKUP(Table8[[#This Row],[Supporter_ID]],tb1_supporters[Supporter_ID ],tb1_supporters[Age_Band],"")</f>
        <v>Under 18</v>
      </c>
      <c r="P143" t="str">
        <f ca="1">IF(Table8[[#This Row],[Age_Band]]="","Unknown",Table8[[#This Row],[Age_Band]])</f>
        <v>Under 18</v>
      </c>
      <c r="Q143" t="str">
        <f>_xlfn.XLOOKUP(Table8[[#This Row],[Supporter_ID]],tb1_supporters[Supporter_ID ],tb1_supporters[Communication_Preference],"")</f>
        <v>Email</v>
      </c>
      <c r="R143" t="str">
        <f>_xlfn.XLOOKUP(Table8[[#This Row],[Supporter_ID]],tb1_supporters[Supporter_ID ],tb1_supporters[Duplicate_Profile_Flag],"")</f>
        <v/>
      </c>
      <c r="S143" t="str">
        <f>_xlfn.XLOOKUP(Table8[[#This Row],[Supporter_ID]],tb1_supporters[Supporter_ID ],tb1_supporters[Preference_Compliance_Flag],"")</f>
        <v/>
      </c>
      <c r="T143" t="str">
        <f ca="1">IF(Table8[[#This Row],[Age]]="","Review - missing DOB",IF(Table8[[#This Row],[Age]]&gt;TODAY(),"Review - future DOB",IF(Table8[[#This Row],[Age]]=0,"Review -  potential entry error (age 0)","")))</f>
        <v>Review -  potential entry error (age 0)</v>
      </c>
      <c r="U143" t="str">
        <f>_xlfn.XLOOKUP(Table8[[#This Row],[Campaign_Code]],tb3_CampaignMaster[Campaign_Code],tb3_CampaignMaster[Campaign_Type],"")</f>
        <v>Trading</v>
      </c>
      <c r="V143" t="str">
        <f>_xlfn.XLOOKUP(Table8[[#This Row],[Campaign_Code]],tb3_CampaignMaster[Campaign_Code],tb3_CampaignMaster[Target_Audience],"")</f>
        <v>All Active</v>
      </c>
      <c r="W143" s="17">
        <f>_xlfn.XLOOKUP(Table8[[#This Row],[Campaign_Code]],tb3_CampaignMaster[Campaign_Code],tb3_CampaignMaster[Start_Date],"")</f>
        <v>45580</v>
      </c>
      <c r="X143" s="17">
        <f>_xlfn.XLOOKUP(Table8[[#This Row],[Campaign_Code]],tb3_CampaignMaster[Campaign_Code],tb3_CampaignMaster[End_Date],"")</f>
        <v>45646</v>
      </c>
      <c r="Y143">
        <f>_xlfn.XLOOKUP(Table8[[#This Row],[Campaign_Code]],tb3_CampaignMaster[Campaign_Code],tb3_CampaignMaster[Budget_GBP],"")</f>
        <v>12000</v>
      </c>
      <c r="Z143" t="str">
        <f>_xlfn.XLOOKUP(Table8[[#This Row],[Campaign_Code]],tb3_CampaignMaster[Campaign_Code],tb3_CampaignMaster[Primary_Channel],"")</f>
        <v>Multi-channel</v>
      </c>
      <c r="AA143" s="13">
        <f>IF(Table8[[#This Row],[Gift_Aid_Eligible]]="Yes",Table8[[#This Row],[Gift_Amount]]*1.25,Table8[[#This Row],[Gift_Amount]])</f>
        <v>26.987500000000001</v>
      </c>
      <c r="AB143" t="str">
        <f>IF(Table8[[#This Row],[Supporter_ID]]="","Review - missing supporter ID","")</f>
        <v/>
      </c>
      <c r="AC143" t="str">
        <f>IF(OR(Table8[[#This Row],[Response_Date]]&lt;Table8[[#This Row],[Start_Date]],Table8[[#This Row],[Response_Date]]&gt;Table8[[#This Row],[End_Date]]),"Review - response outside campaign dates","")</f>
        <v/>
      </c>
      <c r="AD143" t="str">
        <f>IF(Table8[[#This Row],[Campaign_Type]]="","Review - campaign code not found","")</f>
        <v/>
      </c>
    </row>
    <row r="144" spans="1:30" x14ac:dyDescent="0.25">
      <c r="A144" t="s">
        <v>3615</v>
      </c>
      <c r="B144" t="s">
        <v>3118</v>
      </c>
      <c r="C144" t="s">
        <v>3325</v>
      </c>
      <c r="D144" t="s">
        <v>3326</v>
      </c>
      <c r="E144" t="s">
        <v>4</v>
      </c>
      <c r="F144" s="17">
        <v>45602</v>
      </c>
      <c r="G144">
        <v>17.71</v>
      </c>
      <c r="H144" t="s">
        <v>36</v>
      </c>
      <c r="I144" t="s">
        <v>3334</v>
      </c>
      <c r="J144" t="str">
        <f>_xlfn.XLOOKUP(Table8[[#This Row],[Supporter_ID]],tb1_supporters[Supporter_ID ],tb1_supporters[Segment],"")</f>
        <v>Regular Giver</v>
      </c>
      <c r="K144" t="str">
        <f>_xlfn.XLOOKUP(Table8[[#This Row],[Supporter_ID]],tb1_supporters[Supporter_ID ],tb1_supporters[Acquisition_Source],"")</f>
        <v>Referral</v>
      </c>
      <c r="L144" t="str">
        <f>_xlfn.XLOOKUP(Table8[[#This Row],[Supporter_ID]],tb1_supporters[Supporter_ID ],tb1_supporters[County],"")</f>
        <v>Dorset</v>
      </c>
      <c r="M144" t="str">
        <f>_xlfn.XLOOKUP(Table8[[#This Row],[Supporter_ID]],tb1_supporters[Supporter_ID ],tb1_supporters[Gender],"")</f>
        <v>Female</v>
      </c>
      <c r="N144">
        <f ca="1">_xlfn.XLOOKUP(Table8[[#This Row],[Supporter_ID]],tb1_supporters[Supporter_ID ],tb1_supporters[Age],"")</f>
        <v>62</v>
      </c>
      <c r="O144" t="str">
        <f ca="1">_xlfn.XLOOKUP(Table8[[#This Row],[Supporter_ID]],tb1_supporters[Supporter_ID ],tb1_supporters[Age_Band],"")</f>
        <v>50-64</v>
      </c>
      <c r="P144" t="str">
        <f ca="1">IF(Table8[[#This Row],[Age_Band]]="","Unknown",Table8[[#This Row],[Age_Band]])</f>
        <v>50-64</v>
      </c>
      <c r="Q144" t="str">
        <f>_xlfn.XLOOKUP(Table8[[#This Row],[Supporter_ID]],tb1_supporters[Supporter_ID ],tb1_supporters[Communication_Preference],"")</f>
        <v>Post</v>
      </c>
      <c r="R144" t="str">
        <f>_xlfn.XLOOKUP(Table8[[#This Row],[Supporter_ID]],tb1_supporters[Supporter_ID ],tb1_supporters[Duplicate_Profile_Flag],"")</f>
        <v/>
      </c>
      <c r="S144" t="str">
        <f>_xlfn.XLOOKUP(Table8[[#This Row],[Supporter_ID]],tb1_supporters[Supporter_ID ],tb1_supporters[Preference_Compliance_Flag],"")</f>
        <v/>
      </c>
      <c r="T144" t="str">
        <f ca="1">IF(Table8[[#This Row],[Age]]="","Review - missing DOB",IF(Table8[[#This Row],[Age]]&gt;TODAY(),"Review - future DOB",IF(Table8[[#This Row],[Age]]=0,"Review -  potential entry error (age 0)","")))</f>
        <v/>
      </c>
      <c r="U144" t="str">
        <f>_xlfn.XLOOKUP(Table8[[#This Row],[Campaign_Code]],tb3_CampaignMaster[Campaign_Code],tb3_CampaignMaster[Campaign_Type],"")</f>
        <v>Appeal</v>
      </c>
      <c r="V144" t="str">
        <f>_xlfn.XLOOKUP(Table8[[#This Row],[Campaign_Code]],tb3_CampaignMaster[Campaign_Code],tb3_CampaignMaster[Target_Audience],"")</f>
        <v>All Active</v>
      </c>
      <c r="W144" s="17">
        <f>_xlfn.XLOOKUP(Table8[[#This Row],[Campaign_Code]],tb3_CampaignMaster[Campaign_Code],tb3_CampaignMaster[Start_Date],"")</f>
        <v>45597</v>
      </c>
      <c r="X144" s="17">
        <f>_xlfn.XLOOKUP(Table8[[#This Row],[Campaign_Code]],tb3_CampaignMaster[Campaign_Code],tb3_CampaignMaster[End_Date],"")</f>
        <v>45657</v>
      </c>
      <c r="Y144">
        <f>_xlfn.XLOOKUP(Table8[[#This Row],[Campaign_Code]],tb3_CampaignMaster[Campaign_Code],tb3_CampaignMaster[Budget_GBP],"")</f>
        <v>25000</v>
      </c>
      <c r="Z144" t="str">
        <f>_xlfn.XLOOKUP(Table8[[#This Row],[Campaign_Code]],tb3_CampaignMaster[Campaign_Code],tb3_CampaignMaster[Primary_Channel],"")</f>
        <v>Multi-channel</v>
      </c>
      <c r="AA144" s="13">
        <f>IF(Table8[[#This Row],[Gift_Aid_Eligible]]="Yes",Table8[[#This Row],[Gift_Amount]]*1.25,Table8[[#This Row],[Gift_Amount]])</f>
        <v>22.137500000000003</v>
      </c>
      <c r="AB144" t="str">
        <f>IF(Table8[[#This Row],[Supporter_ID]]="","Review - missing supporter ID","")</f>
        <v/>
      </c>
      <c r="AC144" t="str">
        <f>IF(OR(Table8[[#This Row],[Response_Date]]&lt;Table8[[#This Row],[Start_Date]],Table8[[#This Row],[Response_Date]]&gt;Table8[[#This Row],[End_Date]]),"Review - response outside campaign dates","")</f>
        <v/>
      </c>
      <c r="AD144" t="str">
        <f>IF(Table8[[#This Row],[Campaign_Type]]="","Review - campaign code not found","")</f>
        <v/>
      </c>
    </row>
    <row r="145" spans="1:30" x14ac:dyDescent="0.25">
      <c r="A145" t="s">
        <v>3617</v>
      </c>
      <c r="B145" t="s">
        <v>336</v>
      </c>
      <c r="C145" t="s">
        <v>3325</v>
      </c>
      <c r="D145" t="s">
        <v>3326</v>
      </c>
      <c r="E145" t="s">
        <v>3338</v>
      </c>
      <c r="F145" s="17">
        <v>45302</v>
      </c>
      <c r="G145">
        <v>348.83</v>
      </c>
      <c r="H145" t="s">
        <v>36</v>
      </c>
      <c r="I145" t="s">
        <v>3385</v>
      </c>
      <c r="J145" t="str">
        <f>_xlfn.XLOOKUP(Table8[[#This Row],[Supporter_ID]],tb1_supporters[Supporter_ID ],tb1_supporters[Segment],"")</f>
        <v>Legacy Pledger</v>
      </c>
      <c r="K145" t="str">
        <f>_xlfn.XLOOKUP(Table8[[#This Row],[Supporter_ID]],tb1_supporters[Supporter_ID ],tb1_supporters[Acquisition_Source],"")</f>
        <v>Direct Mail</v>
      </c>
      <c r="L145" t="str">
        <f>_xlfn.XLOOKUP(Table8[[#This Row],[Supporter_ID]],tb1_supporters[Supporter_ID ],tb1_supporters[County],"")</f>
        <v>Tyne and Wear</v>
      </c>
      <c r="M145" t="str">
        <f>_xlfn.XLOOKUP(Table8[[#This Row],[Supporter_ID]],tb1_supporters[Supporter_ID ],tb1_supporters[Gender],"")</f>
        <v>Male</v>
      </c>
      <c r="N145">
        <f ca="1">_xlfn.XLOOKUP(Table8[[#This Row],[Supporter_ID]],tb1_supporters[Supporter_ID ],tb1_supporters[Age],"")</f>
        <v>37</v>
      </c>
      <c r="O145" t="str">
        <f ca="1">_xlfn.XLOOKUP(Table8[[#This Row],[Supporter_ID]],tb1_supporters[Supporter_ID ],tb1_supporters[Age_Band],"")</f>
        <v>35-49</v>
      </c>
      <c r="P145" t="str">
        <f ca="1">IF(Table8[[#This Row],[Age_Band]]="","Unknown",Table8[[#This Row],[Age_Band]])</f>
        <v>35-49</v>
      </c>
      <c r="Q145" t="str">
        <f>_xlfn.XLOOKUP(Table8[[#This Row],[Supporter_ID]],tb1_supporters[Supporter_ID ],tb1_supporters[Communication_Preference],"")</f>
        <v>Phone</v>
      </c>
      <c r="R145" t="str">
        <f>_xlfn.XLOOKUP(Table8[[#This Row],[Supporter_ID]],tb1_supporters[Supporter_ID ],tb1_supporters[Duplicate_Profile_Flag],"")</f>
        <v/>
      </c>
      <c r="S145" t="str">
        <f>_xlfn.XLOOKUP(Table8[[#This Row],[Supporter_ID]],tb1_supporters[Supporter_ID ],tb1_supporters[Preference_Compliance_Flag],"")</f>
        <v>Review - prefers phone but not opted in</v>
      </c>
      <c r="T145" t="str">
        <f ca="1">IF(Table8[[#This Row],[Age]]="","Review - missing DOB",IF(Table8[[#This Row],[Age]]&gt;TODAY(),"Review - future DOB",IF(Table8[[#This Row],[Age]]=0,"Review -  potential entry error (age 0)","")))</f>
        <v/>
      </c>
      <c r="U145" t="str">
        <f>_xlfn.XLOOKUP(Table8[[#This Row],[Campaign_Code]],tb3_CampaignMaster[Campaign_Code],tb3_CampaignMaster[Campaign_Type],"")</f>
        <v>Appeal</v>
      </c>
      <c r="V145" t="str">
        <f>_xlfn.XLOOKUP(Table8[[#This Row],[Campaign_Code]],tb3_CampaignMaster[Campaign_Code],tb3_CampaignMaster[Target_Audience],"")</f>
        <v>All Active</v>
      </c>
      <c r="W145" s="17">
        <f>_xlfn.XLOOKUP(Table8[[#This Row],[Campaign_Code]],tb3_CampaignMaster[Campaign_Code],tb3_CampaignMaster[Start_Date],"")</f>
        <v>45597</v>
      </c>
      <c r="X145" s="17">
        <f>_xlfn.XLOOKUP(Table8[[#This Row],[Campaign_Code]],tb3_CampaignMaster[Campaign_Code],tb3_CampaignMaster[End_Date],"")</f>
        <v>45657</v>
      </c>
      <c r="Y145">
        <f>_xlfn.XLOOKUP(Table8[[#This Row],[Campaign_Code]],tb3_CampaignMaster[Campaign_Code],tb3_CampaignMaster[Budget_GBP],"")</f>
        <v>25000</v>
      </c>
      <c r="Z145" t="str">
        <f>_xlfn.XLOOKUP(Table8[[#This Row],[Campaign_Code]],tb3_CampaignMaster[Campaign_Code],tb3_CampaignMaster[Primary_Channel],"")</f>
        <v>Multi-channel</v>
      </c>
      <c r="AA145" s="13">
        <f>IF(Table8[[#This Row],[Gift_Aid_Eligible]]="Yes",Table8[[#This Row],[Gift_Amount]]*1.25,Table8[[#This Row],[Gift_Amount]])</f>
        <v>436.03749999999997</v>
      </c>
      <c r="AB145" t="str">
        <f>IF(Table8[[#This Row],[Supporter_ID]]="","Review - missing supporter ID","")</f>
        <v/>
      </c>
      <c r="AC145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145" t="str">
        <f>IF(Table8[[#This Row],[Campaign_Type]]="","Review - campaign code not found","")</f>
        <v/>
      </c>
    </row>
    <row r="146" spans="1:30" x14ac:dyDescent="0.25">
      <c r="A146" t="s">
        <v>3619</v>
      </c>
      <c r="B146" t="s">
        <v>2475</v>
      </c>
      <c r="C146" t="s">
        <v>3403</v>
      </c>
      <c r="D146" t="s">
        <v>3404</v>
      </c>
      <c r="E146" t="s">
        <v>4</v>
      </c>
      <c r="F146" s="17">
        <v>45612</v>
      </c>
      <c r="G146">
        <v>15.02</v>
      </c>
      <c r="H146" t="s">
        <v>36</v>
      </c>
      <c r="I146" t="s">
        <v>3334</v>
      </c>
      <c r="J146" t="str">
        <f>_xlfn.XLOOKUP(Table8[[#This Row],[Supporter_ID]],tb1_supporters[Supporter_ID ],tb1_supporters[Segment],"")</f>
        <v>Prospect</v>
      </c>
      <c r="K146" t="str">
        <f>_xlfn.XLOOKUP(Table8[[#This Row],[Supporter_ID]],tb1_supporters[Supporter_ID ],tb1_supporters[Acquisition_Source],"")</f>
        <v>Referral</v>
      </c>
      <c r="L146" t="str">
        <f>_xlfn.XLOOKUP(Table8[[#This Row],[Supporter_ID]],tb1_supporters[Supporter_ID ],tb1_supporters[County],"")</f>
        <v>Greater Manchester</v>
      </c>
      <c r="M146" t="str">
        <f>_xlfn.XLOOKUP(Table8[[#This Row],[Supporter_ID]],tb1_supporters[Supporter_ID ],tb1_supporters[Gender],"")</f>
        <v>Female</v>
      </c>
      <c r="N146">
        <f ca="1">_xlfn.XLOOKUP(Table8[[#This Row],[Supporter_ID]],tb1_supporters[Supporter_ID ],tb1_supporters[Age],"")</f>
        <v>52</v>
      </c>
      <c r="O146" t="str">
        <f ca="1">_xlfn.XLOOKUP(Table8[[#This Row],[Supporter_ID]],tb1_supporters[Supporter_ID ],tb1_supporters[Age_Band],"")</f>
        <v>50-64</v>
      </c>
      <c r="P146" t="str">
        <f ca="1">IF(Table8[[#This Row],[Age_Band]]="","Unknown",Table8[[#This Row],[Age_Band]])</f>
        <v>50-64</v>
      </c>
      <c r="Q146" t="str">
        <f>_xlfn.XLOOKUP(Table8[[#This Row],[Supporter_ID]],tb1_supporters[Supporter_ID ],tb1_supporters[Communication_Preference],"")</f>
        <v>Email</v>
      </c>
      <c r="R146" t="str">
        <f>_xlfn.XLOOKUP(Table8[[#This Row],[Supporter_ID]],tb1_supporters[Supporter_ID ],tb1_supporters[Duplicate_Profile_Flag],"")</f>
        <v/>
      </c>
      <c r="S146" t="str">
        <f>_xlfn.XLOOKUP(Table8[[#This Row],[Supporter_ID]],tb1_supporters[Supporter_ID ],tb1_supporters[Preference_Compliance_Flag],"")</f>
        <v/>
      </c>
      <c r="T146" t="str">
        <f ca="1">IF(Table8[[#This Row],[Age]]="","Review - missing DOB",IF(Table8[[#This Row],[Age]]&gt;TODAY(),"Review - future DOB",IF(Table8[[#This Row],[Age]]=0,"Review -  potential entry error (age 0)","")))</f>
        <v/>
      </c>
      <c r="U146" t="str">
        <f>_xlfn.XLOOKUP(Table8[[#This Row],[Campaign_Code]],tb3_CampaignMaster[Campaign_Code],tb3_CampaignMaster[Campaign_Type],"")</f>
        <v>Trading</v>
      </c>
      <c r="V146" t="str">
        <f>_xlfn.XLOOKUP(Table8[[#This Row],[Campaign_Code]],tb3_CampaignMaster[Campaign_Code],tb3_CampaignMaster[Target_Audience],"")</f>
        <v>All Active</v>
      </c>
      <c r="W146" s="17">
        <f>_xlfn.XLOOKUP(Table8[[#This Row],[Campaign_Code]],tb3_CampaignMaster[Campaign_Code],tb3_CampaignMaster[Start_Date],"")</f>
        <v>45580</v>
      </c>
      <c r="X146" s="17">
        <f>_xlfn.XLOOKUP(Table8[[#This Row],[Campaign_Code]],tb3_CampaignMaster[Campaign_Code],tb3_CampaignMaster[End_Date],"")</f>
        <v>45646</v>
      </c>
      <c r="Y146">
        <f>_xlfn.XLOOKUP(Table8[[#This Row],[Campaign_Code]],tb3_CampaignMaster[Campaign_Code],tb3_CampaignMaster[Budget_GBP],"")</f>
        <v>12000</v>
      </c>
      <c r="Z146" t="str">
        <f>_xlfn.XLOOKUP(Table8[[#This Row],[Campaign_Code]],tb3_CampaignMaster[Campaign_Code],tb3_CampaignMaster[Primary_Channel],"")</f>
        <v>Multi-channel</v>
      </c>
      <c r="AA146" s="13">
        <f>IF(Table8[[#This Row],[Gift_Aid_Eligible]]="Yes",Table8[[#This Row],[Gift_Amount]]*1.25,Table8[[#This Row],[Gift_Amount]])</f>
        <v>18.774999999999999</v>
      </c>
      <c r="AB146" t="str">
        <f>IF(Table8[[#This Row],[Supporter_ID]]="","Review - missing supporter ID","")</f>
        <v/>
      </c>
      <c r="AC146" t="str">
        <f>IF(OR(Table8[[#This Row],[Response_Date]]&lt;Table8[[#This Row],[Start_Date]],Table8[[#This Row],[Response_Date]]&gt;Table8[[#This Row],[End_Date]]),"Review - response outside campaign dates","")</f>
        <v/>
      </c>
      <c r="AD146" t="str">
        <f>IF(Table8[[#This Row],[Campaign_Type]]="","Review - campaign code not found","")</f>
        <v/>
      </c>
    </row>
    <row r="147" spans="1:30" x14ac:dyDescent="0.25">
      <c r="A147" t="s">
        <v>3621</v>
      </c>
      <c r="B147" t="s">
        <v>901</v>
      </c>
      <c r="C147" t="s">
        <v>3427</v>
      </c>
      <c r="D147" t="s">
        <v>3428</v>
      </c>
      <c r="E147" t="s">
        <v>65</v>
      </c>
      <c r="F147" s="17">
        <v>45488</v>
      </c>
      <c r="G147">
        <v>110.75</v>
      </c>
      <c r="H147" t="s">
        <v>36</v>
      </c>
      <c r="I147" t="s">
        <v>3334</v>
      </c>
      <c r="J147" t="str">
        <f>_xlfn.XLOOKUP(Table8[[#This Row],[Supporter_ID]],tb1_supporters[Supporter_ID ],tb1_supporters[Segment],"")</f>
        <v>Mid-Value</v>
      </c>
      <c r="K147" t="str">
        <f>_xlfn.XLOOKUP(Table8[[#This Row],[Supporter_ID]],tb1_supporters[Supporter_ID ],tb1_supporters[Acquisition_Source],"")</f>
        <v>Corporate Partner</v>
      </c>
      <c r="L147" t="str">
        <f>_xlfn.XLOOKUP(Table8[[#This Row],[Supporter_ID]],tb1_supporters[Supporter_ID ],tb1_supporters[County],"")</f>
        <v>Norfolk</v>
      </c>
      <c r="M147" t="str">
        <f>_xlfn.XLOOKUP(Table8[[#This Row],[Supporter_ID]],tb1_supporters[Supporter_ID ],tb1_supporters[Gender],"")</f>
        <v>Female</v>
      </c>
      <c r="N147">
        <f ca="1">_xlfn.XLOOKUP(Table8[[#This Row],[Supporter_ID]],tb1_supporters[Supporter_ID ],tb1_supporters[Age],"")</f>
        <v>54</v>
      </c>
      <c r="O147" t="str">
        <f ca="1">_xlfn.XLOOKUP(Table8[[#This Row],[Supporter_ID]],tb1_supporters[Supporter_ID ],tb1_supporters[Age_Band],"")</f>
        <v>50-64</v>
      </c>
      <c r="P147" t="str">
        <f ca="1">IF(Table8[[#This Row],[Age_Band]]="","Unknown",Table8[[#This Row],[Age_Band]])</f>
        <v>50-64</v>
      </c>
      <c r="Q147" t="str">
        <f>_xlfn.XLOOKUP(Table8[[#This Row],[Supporter_ID]],tb1_supporters[Supporter_ID ],tb1_supporters[Communication_Preference],"")</f>
        <v>Email</v>
      </c>
      <c r="R147" t="str">
        <f>_xlfn.XLOOKUP(Table8[[#This Row],[Supporter_ID]],tb1_supporters[Supporter_ID ],tb1_supporters[Duplicate_Profile_Flag],"")</f>
        <v/>
      </c>
      <c r="S147" t="str">
        <f>_xlfn.XLOOKUP(Table8[[#This Row],[Supporter_ID]],tb1_supporters[Supporter_ID ],tb1_supporters[Preference_Compliance_Flag],"")</f>
        <v/>
      </c>
      <c r="T147" t="str">
        <f ca="1">IF(Table8[[#This Row],[Age]]="","Review - missing DOB",IF(Table8[[#This Row],[Age]]&gt;TODAY(),"Review - future DOB",IF(Table8[[#This Row],[Age]]=0,"Review -  potential entry error (age 0)","")))</f>
        <v/>
      </c>
      <c r="U147" t="str">
        <f>_xlfn.XLOOKUP(Table8[[#This Row],[Campaign_Code]],tb3_CampaignMaster[Campaign_Code],tb3_CampaignMaster[Campaign_Type],"")</f>
        <v>Event</v>
      </c>
      <c r="V147" t="str">
        <f>_xlfn.XLOOKUP(Table8[[#This Row],[Campaign_Code]],tb3_CampaignMaster[Campaign_Code],tb3_CampaignMaster[Target_Audience],"")</f>
        <v>Major Donors</v>
      </c>
      <c r="W147" s="17">
        <f>_xlfn.XLOOKUP(Table8[[#This Row],[Campaign_Code]],tb3_CampaignMaster[Campaign_Code],tb3_CampaignMaster[Start_Date],"")</f>
        <v>45488</v>
      </c>
      <c r="X147" s="17">
        <f>_xlfn.XLOOKUP(Table8[[#This Row],[Campaign_Code]],tb3_CampaignMaster[Campaign_Code],tb3_CampaignMaster[End_Date],"")</f>
        <v>45488</v>
      </c>
      <c r="Y147">
        <f>_xlfn.XLOOKUP(Table8[[#This Row],[Campaign_Code]],tb3_CampaignMaster[Campaign_Code],tb3_CampaignMaster[Budget_GBP],"")</f>
        <v>45000</v>
      </c>
      <c r="Z147" t="str">
        <f>_xlfn.XLOOKUP(Table8[[#This Row],[Campaign_Code]],tb3_CampaignMaster[Campaign_Code],tb3_CampaignMaster[Primary_Channel],"")</f>
        <v>Direct Mail</v>
      </c>
      <c r="AA147" s="13">
        <f>IF(Table8[[#This Row],[Gift_Aid_Eligible]]="Yes",Table8[[#This Row],[Gift_Amount]]*1.25,Table8[[#This Row],[Gift_Amount]])</f>
        <v>138.4375</v>
      </c>
      <c r="AB147" t="str">
        <f>IF(Table8[[#This Row],[Supporter_ID]]="","Review - missing supporter ID","")</f>
        <v/>
      </c>
      <c r="AC147" t="str">
        <f>IF(OR(Table8[[#This Row],[Response_Date]]&lt;Table8[[#This Row],[Start_Date]],Table8[[#This Row],[Response_Date]]&gt;Table8[[#This Row],[End_Date]]),"Review - response outside campaign dates","")</f>
        <v/>
      </c>
      <c r="AD147" t="str">
        <f>IF(Table8[[#This Row],[Campaign_Type]]="","Review - campaign code not found","")</f>
        <v/>
      </c>
    </row>
    <row r="148" spans="1:30" x14ac:dyDescent="0.25">
      <c r="A148" t="s">
        <v>3622</v>
      </c>
      <c r="B148" t="s">
        <v>1274</v>
      </c>
      <c r="C148" t="s">
        <v>3354</v>
      </c>
      <c r="D148" t="s">
        <v>3355</v>
      </c>
      <c r="E148" t="s">
        <v>4</v>
      </c>
      <c r="F148" s="17">
        <v>45618</v>
      </c>
      <c r="G148">
        <v>457.62</v>
      </c>
      <c r="H148" t="s">
        <v>36</v>
      </c>
      <c r="I148" t="s">
        <v>3323</v>
      </c>
      <c r="J148" t="str">
        <f>_xlfn.XLOOKUP(Table8[[#This Row],[Supporter_ID]],tb1_supporters[Supporter_ID ],tb1_supporters[Segment],"")</f>
        <v>Legacy Pledger</v>
      </c>
      <c r="K148" t="str">
        <f>_xlfn.XLOOKUP(Table8[[#This Row],[Supporter_ID]],tb1_supporters[Supporter_ID ],tb1_supporters[Acquisition_Source],"")</f>
        <v>Website</v>
      </c>
      <c r="L148" t="str">
        <f>_xlfn.XLOOKUP(Table8[[#This Row],[Supporter_ID]],tb1_supporters[Supporter_ID ],tb1_supporters[County],"")</f>
        <v>West Yorkshire</v>
      </c>
      <c r="M148" t="str">
        <f>_xlfn.XLOOKUP(Table8[[#This Row],[Supporter_ID]],tb1_supporters[Supporter_ID ],tb1_supporters[Gender],"")</f>
        <v>Male</v>
      </c>
      <c r="N148">
        <f ca="1">_xlfn.XLOOKUP(Table8[[#This Row],[Supporter_ID]],tb1_supporters[Supporter_ID ],tb1_supporters[Age],"")</f>
        <v>81</v>
      </c>
      <c r="O148" t="str">
        <f ca="1">_xlfn.XLOOKUP(Table8[[#This Row],[Supporter_ID]],tb1_supporters[Supporter_ID ],tb1_supporters[Age_Band],"")</f>
        <v>65+</v>
      </c>
      <c r="P148" t="str">
        <f ca="1">IF(Table8[[#This Row],[Age_Band]]="","Unknown",Table8[[#This Row],[Age_Band]])</f>
        <v>65+</v>
      </c>
      <c r="Q148" t="str">
        <f>_xlfn.XLOOKUP(Table8[[#This Row],[Supporter_ID]],tb1_supporters[Supporter_ID ],tb1_supporters[Communication_Preference],"")</f>
        <v>Post</v>
      </c>
      <c r="R148" t="str">
        <f>_xlfn.XLOOKUP(Table8[[#This Row],[Supporter_ID]],tb1_supporters[Supporter_ID ],tb1_supporters[Duplicate_Profile_Flag],"")</f>
        <v/>
      </c>
      <c r="S148" t="str">
        <f>_xlfn.XLOOKUP(Table8[[#This Row],[Supporter_ID]],tb1_supporters[Supporter_ID ],tb1_supporters[Preference_Compliance_Flag],"")</f>
        <v/>
      </c>
      <c r="T148" t="str">
        <f ca="1">IF(Table8[[#This Row],[Age]]="","Review - missing DOB",IF(Table8[[#This Row],[Age]]&gt;TODAY(),"Review - future DOB",IF(Table8[[#This Row],[Age]]=0,"Review -  potential entry error (age 0)","")))</f>
        <v/>
      </c>
      <c r="U148" t="str">
        <f>_xlfn.XLOOKUP(Table8[[#This Row],[Campaign_Code]],tb3_CampaignMaster[Campaign_Code],tb3_CampaignMaster[Campaign_Type],"")</f>
        <v>Event</v>
      </c>
      <c r="V148" t="str">
        <f>_xlfn.XLOOKUP(Table8[[#This Row],[Campaign_Code]],tb3_CampaignMaster[Campaign_Code],tb3_CampaignMaster[Target_Audience],"")</f>
        <v>Volunteers</v>
      </c>
      <c r="W148" s="17">
        <f>_xlfn.XLOOKUP(Table8[[#This Row],[Campaign_Code]],tb3_CampaignMaster[Campaign_Code],tb3_CampaignMaster[Start_Date],"")</f>
        <v>45618</v>
      </c>
      <c r="X148" s="17">
        <f>_xlfn.XLOOKUP(Table8[[#This Row],[Campaign_Code]],tb3_CampaignMaster[Campaign_Code],tb3_CampaignMaster[End_Date],"")</f>
        <v>45618</v>
      </c>
      <c r="Y148">
        <f>_xlfn.XLOOKUP(Table8[[#This Row],[Campaign_Code]],tb3_CampaignMaster[Campaign_Code],tb3_CampaignMaster[Budget_GBP],"")</f>
        <v>3500</v>
      </c>
      <c r="Z148" t="str">
        <f>_xlfn.XLOOKUP(Table8[[#This Row],[Campaign_Code]],tb3_CampaignMaster[Campaign_Code],tb3_CampaignMaster[Primary_Channel],"")</f>
        <v>Email</v>
      </c>
      <c r="AA148" s="13">
        <f>IF(Table8[[#This Row],[Gift_Aid_Eligible]]="Yes",Table8[[#This Row],[Gift_Amount]]*1.25,Table8[[#This Row],[Gift_Amount]])</f>
        <v>572.02499999999998</v>
      </c>
      <c r="AB148" t="str">
        <f>IF(Table8[[#This Row],[Supporter_ID]]="","Review - missing supporter ID","")</f>
        <v/>
      </c>
      <c r="AC148" t="str">
        <f>IF(OR(Table8[[#This Row],[Response_Date]]&lt;Table8[[#This Row],[Start_Date]],Table8[[#This Row],[Response_Date]]&gt;Table8[[#This Row],[End_Date]]),"Review - response outside campaign dates","")</f>
        <v/>
      </c>
      <c r="AD148" t="str">
        <f>IF(Table8[[#This Row],[Campaign_Type]]="","Review - campaign code not found","")</f>
        <v/>
      </c>
    </row>
    <row r="149" spans="1:30" x14ac:dyDescent="0.25">
      <c r="A149" t="s">
        <v>3624</v>
      </c>
      <c r="B149" t="s">
        <v>589</v>
      </c>
      <c r="C149" t="s">
        <v>3403</v>
      </c>
      <c r="D149" t="s">
        <v>3404</v>
      </c>
      <c r="E149" t="s">
        <v>4</v>
      </c>
      <c r="F149" s="17">
        <v>45638</v>
      </c>
      <c r="G149">
        <v>90.34</v>
      </c>
      <c r="H149" t="s">
        <v>36</v>
      </c>
      <c r="I149" t="s">
        <v>3323</v>
      </c>
      <c r="J149" t="str">
        <f>_xlfn.XLOOKUP(Table8[[#This Row],[Supporter_ID]],tb1_supporters[Supporter_ID ],tb1_supporters[Segment],"")</f>
        <v>Lapsed</v>
      </c>
      <c r="K149" t="str">
        <f>_xlfn.XLOOKUP(Table8[[#This Row],[Supporter_ID]],tb1_supporters[Supporter_ID ],tb1_supporters[Acquisition_Source],"")</f>
        <v>Direct Mail</v>
      </c>
      <c r="L149" t="str">
        <f>_xlfn.XLOOKUP(Table8[[#This Row],[Supporter_ID]],tb1_supporters[Supporter_ID ],tb1_supporters[County],"")</f>
        <v>Avon</v>
      </c>
      <c r="M149" t="str">
        <f>_xlfn.XLOOKUP(Table8[[#This Row],[Supporter_ID]],tb1_supporters[Supporter_ID ],tb1_supporters[Gender],"")</f>
        <v>Female</v>
      </c>
      <c r="N149">
        <f ca="1">_xlfn.XLOOKUP(Table8[[#This Row],[Supporter_ID]],tb1_supporters[Supporter_ID ],tb1_supporters[Age],"")</f>
        <v>59</v>
      </c>
      <c r="O149" t="str">
        <f ca="1">_xlfn.XLOOKUP(Table8[[#This Row],[Supporter_ID]],tb1_supporters[Supporter_ID ],tb1_supporters[Age_Band],"")</f>
        <v>50-64</v>
      </c>
      <c r="P149" t="str">
        <f ca="1">IF(Table8[[#This Row],[Age_Band]]="","Unknown",Table8[[#This Row],[Age_Band]])</f>
        <v>50-64</v>
      </c>
      <c r="Q149" t="str">
        <f>_xlfn.XLOOKUP(Table8[[#This Row],[Supporter_ID]],tb1_supporters[Supporter_ID ],tb1_supporters[Communication_Preference],"")</f>
        <v>Phone</v>
      </c>
      <c r="R149" t="str">
        <f>_xlfn.XLOOKUP(Table8[[#This Row],[Supporter_ID]],tb1_supporters[Supporter_ID ],tb1_supporters[Duplicate_Profile_Flag],"")</f>
        <v/>
      </c>
      <c r="S149" t="str">
        <f>_xlfn.XLOOKUP(Table8[[#This Row],[Supporter_ID]],tb1_supporters[Supporter_ID ],tb1_supporters[Preference_Compliance_Flag],"")</f>
        <v/>
      </c>
      <c r="T149" t="str">
        <f ca="1">IF(Table8[[#This Row],[Age]]="","Review - missing DOB",IF(Table8[[#This Row],[Age]]&gt;TODAY(),"Review - future DOB",IF(Table8[[#This Row],[Age]]=0,"Review -  potential entry error (age 0)","")))</f>
        <v/>
      </c>
      <c r="U149" t="str">
        <f>_xlfn.XLOOKUP(Table8[[#This Row],[Campaign_Code]],tb3_CampaignMaster[Campaign_Code],tb3_CampaignMaster[Campaign_Type],"")</f>
        <v>Trading</v>
      </c>
      <c r="V149" t="str">
        <f>_xlfn.XLOOKUP(Table8[[#This Row],[Campaign_Code]],tb3_CampaignMaster[Campaign_Code],tb3_CampaignMaster[Target_Audience],"")</f>
        <v>All Active</v>
      </c>
      <c r="W149" s="17">
        <f>_xlfn.XLOOKUP(Table8[[#This Row],[Campaign_Code]],tb3_CampaignMaster[Campaign_Code],tb3_CampaignMaster[Start_Date],"")</f>
        <v>45580</v>
      </c>
      <c r="X149" s="17">
        <f>_xlfn.XLOOKUP(Table8[[#This Row],[Campaign_Code]],tb3_CampaignMaster[Campaign_Code],tb3_CampaignMaster[End_Date],"")</f>
        <v>45646</v>
      </c>
      <c r="Y149">
        <f>_xlfn.XLOOKUP(Table8[[#This Row],[Campaign_Code]],tb3_CampaignMaster[Campaign_Code],tb3_CampaignMaster[Budget_GBP],"")</f>
        <v>12000</v>
      </c>
      <c r="Z149" t="str">
        <f>_xlfn.XLOOKUP(Table8[[#This Row],[Campaign_Code]],tb3_CampaignMaster[Campaign_Code],tb3_CampaignMaster[Primary_Channel],"")</f>
        <v>Multi-channel</v>
      </c>
      <c r="AA149" s="13">
        <f>IF(Table8[[#This Row],[Gift_Aid_Eligible]]="Yes",Table8[[#This Row],[Gift_Amount]]*1.25,Table8[[#This Row],[Gift_Amount]])</f>
        <v>112.92500000000001</v>
      </c>
      <c r="AB149" t="str">
        <f>IF(Table8[[#This Row],[Supporter_ID]]="","Review - missing supporter ID","")</f>
        <v/>
      </c>
      <c r="AC149" t="str">
        <f>IF(OR(Table8[[#This Row],[Response_Date]]&lt;Table8[[#This Row],[Start_Date]],Table8[[#This Row],[Response_Date]]&gt;Table8[[#This Row],[End_Date]]),"Review - response outside campaign dates","")</f>
        <v/>
      </c>
      <c r="AD149" t="str">
        <f>IF(Table8[[#This Row],[Campaign_Type]]="","Review - campaign code not found","")</f>
        <v/>
      </c>
    </row>
    <row r="150" spans="1:30" x14ac:dyDescent="0.25">
      <c r="A150" t="s">
        <v>3626</v>
      </c>
      <c r="B150" t="s">
        <v>1591</v>
      </c>
      <c r="C150" t="s">
        <v>3325</v>
      </c>
      <c r="D150" t="s">
        <v>3326</v>
      </c>
      <c r="E150" t="s">
        <v>4</v>
      </c>
      <c r="F150" s="17">
        <v>45608</v>
      </c>
      <c r="G150">
        <v>28.73</v>
      </c>
      <c r="H150" t="s">
        <v>37</v>
      </c>
      <c r="I150" t="s">
        <v>3331</v>
      </c>
      <c r="J150" t="str">
        <f>_xlfn.XLOOKUP(Table8[[#This Row],[Supporter_ID]],tb1_supporters[Supporter_ID ],tb1_supporters[Segment],"")</f>
        <v>Mid-Value</v>
      </c>
      <c r="K150" t="str">
        <f>_xlfn.XLOOKUP(Table8[[#This Row],[Supporter_ID]],tb1_supporters[Supporter_ID ],tb1_supporters[Acquisition_Source],"")</f>
        <v>Corporate Partner</v>
      </c>
      <c r="L150" t="str">
        <f>_xlfn.XLOOKUP(Table8[[#This Row],[Supporter_ID]],tb1_supporters[Supporter_ID ],tb1_supporters[County],"")</f>
        <v>South Glamorgan</v>
      </c>
      <c r="M150" t="str">
        <f>_xlfn.XLOOKUP(Table8[[#This Row],[Supporter_ID]],tb1_supporters[Supporter_ID ],tb1_supporters[Gender],"")</f>
        <v>Male</v>
      </c>
      <c r="N150">
        <f ca="1">_xlfn.XLOOKUP(Table8[[#This Row],[Supporter_ID]],tb1_supporters[Supporter_ID ],tb1_supporters[Age],"")</f>
        <v>72</v>
      </c>
      <c r="O150" t="str">
        <f ca="1">_xlfn.XLOOKUP(Table8[[#This Row],[Supporter_ID]],tb1_supporters[Supporter_ID ],tb1_supporters[Age_Band],"")</f>
        <v>65+</v>
      </c>
      <c r="P150" t="str">
        <f ca="1">IF(Table8[[#This Row],[Age_Band]]="","Unknown",Table8[[#This Row],[Age_Band]])</f>
        <v>65+</v>
      </c>
      <c r="Q150" t="str">
        <f>_xlfn.XLOOKUP(Table8[[#This Row],[Supporter_ID]],tb1_supporters[Supporter_ID ],tb1_supporters[Communication_Preference],"")</f>
        <v>Email</v>
      </c>
      <c r="R150" t="str">
        <f>_xlfn.XLOOKUP(Table8[[#This Row],[Supporter_ID]],tb1_supporters[Supporter_ID ],tb1_supporters[Duplicate_Profile_Flag],"")</f>
        <v/>
      </c>
      <c r="S150" t="str">
        <f>_xlfn.XLOOKUP(Table8[[#This Row],[Supporter_ID]],tb1_supporters[Supporter_ID ],tb1_supporters[Preference_Compliance_Flag],"")</f>
        <v/>
      </c>
      <c r="T150" t="str">
        <f ca="1">IF(Table8[[#This Row],[Age]]="","Review - missing DOB",IF(Table8[[#This Row],[Age]]&gt;TODAY(),"Review - future DOB",IF(Table8[[#This Row],[Age]]=0,"Review -  potential entry error (age 0)","")))</f>
        <v/>
      </c>
      <c r="U150" t="str">
        <f>_xlfn.XLOOKUP(Table8[[#This Row],[Campaign_Code]],tb3_CampaignMaster[Campaign_Code],tb3_CampaignMaster[Campaign_Type],"")</f>
        <v>Appeal</v>
      </c>
      <c r="V150" t="str">
        <f>_xlfn.XLOOKUP(Table8[[#This Row],[Campaign_Code]],tb3_CampaignMaster[Campaign_Code],tb3_CampaignMaster[Target_Audience],"")</f>
        <v>All Active</v>
      </c>
      <c r="W150" s="17">
        <f>_xlfn.XLOOKUP(Table8[[#This Row],[Campaign_Code]],tb3_CampaignMaster[Campaign_Code],tb3_CampaignMaster[Start_Date],"")</f>
        <v>45597</v>
      </c>
      <c r="X150" s="17">
        <f>_xlfn.XLOOKUP(Table8[[#This Row],[Campaign_Code]],tb3_CampaignMaster[Campaign_Code],tb3_CampaignMaster[End_Date],"")</f>
        <v>45657</v>
      </c>
      <c r="Y150">
        <f>_xlfn.XLOOKUP(Table8[[#This Row],[Campaign_Code]],tb3_CampaignMaster[Campaign_Code],tb3_CampaignMaster[Budget_GBP],"")</f>
        <v>25000</v>
      </c>
      <c r="Z150" t="str">
        <f>_xlfn.XLOOKUP(Table8[[#This Row],[Campaign_Code]],tb3_CampaignMaster[Campaign_Code],tb3_CampaignMaster[Primary_Channel],"")</f>
        <v>Multi-channel</v>
      </c>
      <c r="AA150" s="13">
        <f>IF(Table8[[#This Row],[Gift_Aid_Eligible]]="Yes",Table8[[#This Row],[Gift_Amount]]*1.25,Table8[[#This Row],[Gift_Amount]])</f>
        <v>28.73</v>
      </c>
      <c r="AB150" t="str">
        <f>IF(Table8[[#This Row],[Supporter_ID]]="","Review - missing supporter ID","")</f>
        <v/>
      </c>
      <c r="AC150" t="str">
        <f>IF(OR(Table8[[#This Row],[Response_Date]]&lt;Table8[[#This Row],[Start_Date]],Table8[[#This Row],[Response_Date]]&gt;Table8[[#This Row],[End_Date]]),"Review - response outside campaign dates","")</f>
        <v/>
      </c>
      <c r="AD150" t="str">
        <f>IF(Table8[[#This Row],[Campaign_Type]]="","Review - campaign code not found","")</f>
        <v/>
      </c>
    </row>
    <row r="151" spans="1:30" x14ac:dyDescent="0.25">
      <c r="A151" t="s">
        <v>3628</v>
      </c>
      <c r="B151" t="s">
        <v>2802</v>
      </c>
      <c r="C151" t="s">
        <v>3320</v>
      </c>
      <c r="D151" t="s">
        <v>3321</v>
      </c>
      <c r="E151" t="s">
        <v>65</v>
      </c>
      <c r="F151" s="17">
        <v>45471</v>
      </c>
      <c r="G151">
        <v>202.36</v>
      </c>
      <c r="H151" t="s">
        <v>37</v>
      </c>
      <c r="I151" t="s">
        <v>3385</v>
      </c>
      <c r="J151" t="str">
        <f>_xlfn.XLOOKUP(Table8[[#This Row],[Supporter_ID]],tb1_supporters[Supporter_ID ],tb1_supporters[Segment],"")</f>
        <v>Mid-Value</v>
      </c>
      <c r="K151" t="str">
        <f>_xlfn.XLOOKUP(Table8[[#This Row],[Supporter_ID]],tb1_supporters[Supporter_ID ],tb1_supporters[Acquisition_Source],"")</f>
        <v>Direct Mail</v>
      </c>
      <c r="L151" t="str">
        <f>_xlfn.XLOOKUP(Table8[[#This Row],[Supporter_ID]],tb1_supporters[Supporter_ID ],tb1_supporters[County],"")</f>
        <v>East Sussex</v>
      </c>
      <c r="M151" t="str">
        <f>_xlfn.XLOOKUP(Table8[[#This Row],[Supporter_ID]],tb1_supporters[Supporter_ID ],tb1_supporters[Gender],"")</f>
        <v>Female</v>
      </c>
      <c r="N151" t="str">
        <f ca="1">_xlfn.XLOOKUP(Table8[[#This Row],[Supporter_ID]],tb1_supporters[Supporter_ID ],tb1_supporters[Age],"")</f>
        <v/>
      </c>
      <c r="O151" t="str">
        <f ca="1">_xlfn.XLOOKUP(Table8[[#This Row],[Supporter_ID]],tb1_supporters[Supporter_ID ],tb1_supporters[Age_Band],"")</f>
        <v/>
      </c>
      <c r="P151" t="str">
        <f ca="1">IF(Table8[[#This Row],[Age_Band]]="","Unknown",Table8[[#This Row],[Age_Band]])</f>
        <v>Unknown</v>
      </c>
      <c r="Q151" t="str">
        <f>_xlfn.XLOOKUP(Table8[[#This Row],[Supporter_ID]],tb1_supporters[Supporter_ID ],tb1_supporters[Communication_Preference],"")</f>
        <v>Post</v>
      </c>
      <c r="R151" t="str">
        <f>_xlfn.XLOOKUP(Table8[[#This Row],[Supporter_ID]],tb1_supporters[Supporter_ID ],tb1_supporters[Duplicate_Profile_Flag],"")</f>
        <v/>
      </c>
      <c r="S151" t="str">
        <f>_xlfn.XLOOKUP(Table8[[#This Row],[Supporter_ID]],tb1_supporters[Supporter_ID ],tb1_supporters[Preference_Compliance_Flag],"")</f>
        <v/>
      </c>
      <c r="T151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151" t="str">
        <f>_xlfn.XLOOKUP(Table8[[#This Row],[Campaign_Code]],tb3_CampaignMaster[Campaign_Code],tb3_CampaignMaster[Campaign_Type],"")</f>
        <v>Stewardship</v>
      </c>
      <c r="V151" t="str">
        <f>_xlfn.XLOOKUP(Table8[[#This Row],[Campaign_Code]],tb3_CampaignMaster[Campaign_Code],tb3_CampaignMaster[Target_Audience],"")</f>
        <v>Major Donors</v>
      </c>
      <c r="W151" s="17">
        <f>_xlfn.XLOOKUP(Table8[[#This Row],[Campaign_Code]],tb3_CampaignMaster[Campaign_Code],tb3_CampaignMaster[Start_Date],"")</f>
        <v>45444</v>
      </c>
      <c r="X151" s="17">
        <f>_xlfn.XLOOKUP(Table8[[#This Row],[Campaign_Code]],tb3_CampaignMaster[Campaign_Code],tb3_CampaignMaster[End_Date],"")</f>
        <v>45473</v>
      </c>
      <c r="Y151">
        <f>_xlfn.XLOOKUP(Table8[[#This Row],[Campaign_Code]],tb3_CampaignMaster[Campaign_Code],tb3_CampaignMaster[Budget_GBP],"")</f>
        <v>7000</v>
      </c>
      <c r="Z151" t="str">
        <f>_xlfn.XLOOKUP(Table8[[#This Row],[Campaign_Code]],tb3_CampaignMaster[Campaign_Code],tb3_CampaignMaster[Primary_Channel],"")</f>
        <v>Direct Mail</v>
      </c>
      <c r="AA151" s="13">
        <f>IF(Table8[[#This Row],[Gift_Aid_Eligible]]="Yes",Table8[[#This Row],[Gift_Amount]]*1.25,Table8[[#This Row],[Gift_Amount]])</f>
        <v>202.36</v>
      </c>
      <c r="AB151" t="str">
        <f>IF(Table8[[#This Row],[Supporter_ID]]="","Review - missing supporter ID","")</f>
        <v/>
      </c>
      <c r="AC151" t="str">
        <f>IF(OR(Table8[[#This Row],[Response_Date]]&lt;Table8[[#This Row],[Start_Date]],Table8[[#This Row],[Response_Date]]&gt;Table8[[#This Row],[End_Date]]),"Review - response outside campaign dates","")</f>
        <v/>
      </c>
      <c r="AD151" t="str">
        <f>IF(Table8[[#This Row],[Campaign_Type]]="","Review - campaign code not found","")</f>
        <v/>
      </c>
    </row>
    <row r="152" spans="1:30" x14ac:dyDescent="0.25">
      <c r="A152" t="s">
        <v>3630</v>
      </c>
      <c r="B152" t="s">
        <v>2059</v>
      </c>
      <c r="C152" t="s">
        <v>3314</v>
      </c>
      <c r="D152" t="s">
        <v>3315</v>
      </c>
      <c r="E152" t="s">
        <v>65</v>
      </c>
      <c r="F152" s="17">
        <v>45702</v>
      </c>
      <c r="G152">
        <v>88.9</v>
      </c>
      <c r="H152" t="s">
        <v>36</v>
      </c>
      <c r="I152" t="s">
        <v>3385</v>
      </c>
      <c r="J152" t="str">
        <f>_xlfn.XLOOKUP(Table8[[#This Row],[Supporter_ID]],tb1_supporters[Supporter_ID ],tb1_supporters[Segment],"")</f>
        <v>One-Time Donor</v>
      </c>
      <c r="K152" t="str">
        <f>_xlfn.XLOOKUP(Table8[[#This Row],[Supporter_ID]],tb1_supporters[Supporter_ID ],tb1_supporters[Acquisition_Source],"")</f>
        <v>Direct Mail</v>
      </c>
      <c r="L152" t="str">
        <f>_xlfn.XLOOKUP(Table8[[#This Row],[Supporter_ID]],tb1_supporters[Supporter_ID ],tb1_supporters[County],"")</f>
        <v>Bedfordshire</v>
      </c>
      <c r="M152" t="str">
        <f>_xlfn.XLOOKUP(Table8[[#This Row],[Supporter_ID]],tb1_supporters[Supporter_ID ],tb1_supporters[Gender],"")</f>
        <v>Male</v>
      </c>
      <c r="N152">
        <f ca="1">_xlfn.XLOOKUP(Table8[[#This Row],[Supporter_ID]],tb1_supporters[Supporter_ID ],tb1_supporters[Age],"")</f>
        <v>30</v>
      </c>
      <c r="O152" t="str">
        <f ca="1">_xlfn.XLOOKUP(Table8[[#This Row],[Supporter_ID]],tb1_supporters[Supporter_ID ],tb1_supporters[Age_Band],"")</f>
        <v>18-34</v>
      </c>
      <c r="P152" t="str">
        <f ca="1">IF(Table8[[#This Row],[Age_Band]]="","Unknown",Table8[[#This Row],[Age_Band]])</f>
        <v>18-34</v>
      </c>
      <c r="Q152" t="str">
        <f>_xlfn.XLOOKUP(Table8[[#This Row],[Supporter_ID]],tb1_supporters[Supporter_ID ],tb1_supporters[Communication_Preference],"")</f>
        <v>No Preference</v>
      </c>
      <c r="R152" t="str">
        <f>_xlfn.XLOOKUP(Table8[[#This Row],[Supporter_ID]],tb1_supporters[Supporter_ID ],tb1_supporters[Duplicate_Profile_Flag],"")</f>
        <v/>
      </c>
      <c r="S152" t="str">
        <f>_xlfn.XLOOKUP(Table8[[#This Row],[Supporter_ID]],tb1_supporters[Supporter_ID ],tb1_supporters[Preference_Compliance_Flag],"")</f>
        <v/>
      </c>
      <c r="T152" t="str">
        <f ca="1">IF(Table8[[#This Row],[Age]]="","Review - missing DOB",IF(Table8[[#This Row],[Age]]&gt;TODAY(),"Review - future DOB",IF(Table8[[#This Row],[Age]]=0,"Review -  potential entry error (age 0)","")))</f>
        <v/>
      </c>
      <c r="U152" t="str">
        <f>_xlfn.XLOOKUP(Table8[[#This Row],[Campaign_Code]],tb3_CampaignMaster[Campaign_Code],tb3_CampaignMaster[Campaign_Type],"")</f>
        <v>Regular Giving</v>
      </c>
      <c r="V152" t="str">
        <f>_xlfn.XLOOKUP(Table8[[#This Row],[Campaign_Code]],tb3_CampaignMaster[Campaign_Code],tb3_CampaignMaster[Target_Audience],"")</f>
        <v>One-time Donors</v>
      </c>
      <c r="W152" s="17">
        <f>_xlfn.XLOOKUP(Table8[[#This Row],[Campaign_Code]],tb3_CampaignMaster[Campaign_Code],tb3_CampaignMaster[Start_Date],"")</f>
        <v>45663</v>
      </c>
      <c r="X152" s="17">
        <f>_xlfn.XLOOKUP(Table8[[#This Row],[Campaign_Code]],tb3_CampaignMaster[Campaign_Code],tb3_CampaignMaster[End_Date],"")</f>
        <v>45747</v>
      </c>
      <c r="Y152">
        <f>_xlfn.XLOOKUP(Table8[[#This Row],[Campaign_Code]],tb3_CampaignMaster[Campaign_Code],tb3_CampaignMaster[Budget_GBP],"")</f>
        <v>10000</v>
      </c>
      <c r="Z152" t="str">
        <f>_xlfn.XLOOKUP(Table8[[#This Row],[Campaign_Code]],tb3_CampaignMaster[Campaign_Code],tb3_CampaignMaster[Primary_Channel],"")</f>
        <v>Telephone</v>
      </c>
      <c r="AA152" s="13">
        <f>IF(Table8[[#This Row],[Gift_Aid_Eligible]]="Yes",Table8[[#This Row],[Gift_Amount]]*1.25,Table8[[#This Row],[Gift_Amount]])</f>
        <v>111.125</v>
      </c>
      <c r="AB152" t="str">
        <f>IF(Table8[[#This Row],[Supporter_ID]]="","Review - missing supporter ID","")</f>
        <v/>
      </c>
      <c r="AC152" t="str">
        <f>IF(OR(Table8[[#This Row],[Response_Date]]&lt;Table8[[#This Row],[Start_Date]],Table8[[#This Row],[Response_Date]]&gt;Table8[[#This Row],[End_Date]]),"Review - response outside campaign dates","")</f>
        <v/>
      </c>
      <c r="AD152" t="str">
        <f>IF(Table8[[#This Row],[Campaign_Type]]="","Review - campaign code not found","")</f>
        <v/>
      </c>
    </row>
    <row r="153" spans="1:30" x14ac:dyDescent="0.25">
      <c r="A153" t="s">
        <v>3632</v>
      </c>
      <c r="B153" t="s">
        <v>1059</v>
      </c>
      <c r="C153" t="s">
        <v>3320</v>
      </c>
      <c r="D153" t="s">
        <v>3321</v>
      </c>
      <c r="E153" t="s">
        <v>65</v>
      </c>
      <c r="F153" s="17">
        <v>45452</v>
      </c>
      <c r="G153">
        <v>425.67</v>
      </c>
      <c r="H153" t="s">
        <v>37</v>
      </c>
      <c r="I153" t="s">
        <v>3370</v>
      </c>
      <c r="J153" t="str">
        <f>_xlfn.XLOOKUP(Table8[[#This Row],[Supporter_ID]],tb1_supporters[Supporter_ID ],tb1_supporters[Segment],"")</f>
        <v>Legacy Pledger</v>
      </c>
      <c r="K153" t="str">
        <f>_xlfn.XLOOKUP(Table8[[#This Row],[Supporter_ID]],tb1_supporters[Supporter_ID ],tb1_supporters[Acquisition_Source],"")</f>
        <v>Direct Mail</v>
      </c>
      <c r="L153" t="str">
        <f>_xlfn.XLOOKUP(Table8[[#This Row],[Supporter_ID]],tb1_supporters[Supporter_ID ],tb1_supporters[County],"")</f>
        <v>Oxfordshire</v>
      </c>
      <c r="M153" t="str">
        <f>_xlfn.XLOOKUP(Table8[[#This Row],[Supporter_ID]],tb1_supporters[Supporter_ID ],tb1_supporters[Gender],"")</f>
        <v>Male</v>
      </c>
      <c r="N153">
        <f ca="1">_xlfn.XLOOKUP(Table8[[#This Row],[Supporter_ID]],tb1_supporters[Supporter_ID ],tb1_supporters[Age],"")</f>
        <v>36</v>
      </c>
      <c r="O153" t="str">
        <f ca="1">_xlfn.XLOOKUP(Table8[[#This Row],[Supporter_ID]],tb1_supporters[Supporter_ID ],tb1_supporters[Age_Band],"")</f>
        <v>35-49</v>
      </c>
      <c r="P153" t="str">
        <f ca="1">IF(Table8[[#This Row],[Age_Band]]="","Unknown",Table8[[#This Row],[Age_Band]])</f>
        <v>35-49</v>
      </c>
      <c r="Q153" t="str">
        <f>_xlfn.XLOOKUP(Table8[[#This Row],[Supporter_ID]],tb1_supporters[Supporter_ID ],tb1_supporters[Communication_Preference],"")</f>
        <v>Post</v>
      </c>
      <c r="R153" t="str">
        <f>_xlfn.XLOOKUP(Table8[[#This Row],[Supporter_ID]],tb1_supporters[Supporter_ID ],tb1_supporters[Duplicate_Profile_Flag],"")</f>
        <v/>
      </c>
      <c r="S153" t="str">
        <f>_xlfn.XLOOKUP(Table8[[#This Row],[Supporter_ID]],tb1_supporters[Supporter_ID ],tb1_supporters[Preference_Compliance_Flag],"")</f>
        <v/>
      </c>
      <c r="T153" t="str">
        <f ca="1">IF(Table8[[#This Row],[Age]]="","Review - missing DOB",IF(Table8[[#This Row],[Age]]&gt;TODAY(),"Review - future DOB",IF(Table8[[#This Row],[Age]]=0,"Review -  potential entry error (age 0)","")))</f>
        <v/>
      </c>
      <c r="U153" t="str">
        <f>_xlfn.XLOOKUP(Table8[[#This Row],[Campaign_Code]],tb3_CampaignMaster[Campaign_Code],tb3_CampaignMaster[Campaign_Type],"")</f>
        <v>Stewardship</v>
      </c>
      <c r="V153" t="str">
        <f>_xlfn.XLOOKUP(Table8[[#This Row],[Campaign_Code]],tb3_CampaignMaster[Campaign_Code],tb3_CampaignMaster[Target_Audience],"")</f>
        <v>Major Donors</v>
      </c>
      <c r="W153" s="17">
        <f>_xlfn.XLOOKUP(Table8[[#This Row],[Campaign_Code]],tb3_CampaignMaster[Campaign_Code],tb3_CampaignMaster[Start_Date],"")</f>
        <v>45444</v>
      </c>
      <c r="X153" s="17">
        <f>_xlfn.XLOOKUP(Table8[[#This Row],[Campaign_Code]],tb3_CampaignMaster[Campaign_Code],tb3_CampaignMaster[End_Date],"")</f>
        <v>45473</v>
      </c>
      <c r="Y153">
        <f>_xlfn.XLOOKUP(Table8[[#This Row],[Campaign_Code]],tb3_CampaignMaster[Campaign_Code],tb3_CampaignMaster[Budget_GBP],"")</f>
        <v>7000</v>
      </c>
      <c r="Z153" t="str">
        <f>_xlfn.XLOOKUP(Table8[[#This Row],[Campaign_Code]],tb3_CampaignMaster[Campaign_Code],tb3_CampaignMaster[Primary_Channel],"")</f>
        <v>Direct Mail</v>
      </c>
      <c r="AA153" s="13">
        <f>IF(Table8[[#This Row],[Gift_Aid_Eligible]]="Yes",Table8[[#This Row],[Gift_Amount]]*1.25,Table8[[#This Row],[Gift_Amount]])</f>
        <v>425.67</v>
      </c>
      <c r="AB153" t="str">
        <f>IF(Table8[[#This Row],[Supporter_ID]]="","Review - missing supporter ID","")</f>
        <v/>
      </c>
      <c r="AC153" t="str">
        <f>IF(OR(Table8[[#This Row],[Response_Date]]&lt;Table8[[#This Row],[Start_Date]],Table8[[#This Row],[Response_Date]]&gt;Table8[[#This Row],[End_Date]]),"Review - response outside campaign dates","")</f>
        <v/>
      </c>
      <c r="AD153" t="str">
        <f>IF(Table8[[#This Row],[Campaign_Type]]="","Review - campaign code not found","")</f>
        <v/>
      </c>
    </row>
    <row r="154" spans="1:30" x14ac:dyDescent="0.25">
      <c r="A154" t="s">
        <v>3634</v>
      </c>
      <c r="B154" t="s">
        <v>2770</v>
      </c>
      <c r="C154" t="s">
        <v>3341</v>
      </c>
      <c r="D154" t="s">
        <v>3342</v>
      </c>
      <c r="E154" t="s">
        <v>4</v>
      </c>
      <c r="F154" s="17">
        <v>45934</v>
      </c>
      <c r="G154">
        <v>12.84</v>
      </c>
      <c r="H154" t="s">
        <v>36</v>
      </c>
      <c r="I154" t="s">
        <v>3365</v>
      </c>
      <c r="J154" t="str">
        <f>_xlfn.XLOOKUP(Table8[[#This Row],[Supporter_ID]],tb1_supporters[Supporter_ID ],tb1_supporters[Segment],"")</f>
        <v>Prospect</v>
      </c>
      <c r="K154" t="str">
        <f>_xlfn.XLOOKUP(Table8[[#This Row],[Supporter_ID]],tb1_supporters[Supporter_ID ],tb1_supporters[Acquisition_Source],"")</f>
        <v>Website</v>
      </c>
      <c r="L154" t="str">
        <f>_xlfn.XLOOKUP(Table8[[#This Row],[Supporter_ID]],tb1_supporters[Supporter_ID ],tb1_supporters[County],"")</f>
        <v>Surrey</v>
      </c>
      <c r="M154" t="str">
        <f>_xlfn.XLOOKUP(Table8[[#This Row],[Supporter_ID]],tb1_supporters[Supporter_ID ],tb1_supporters[Gender],"")</f>
        <v>Female</v>
      </c>
      <c r="N154">
        <f ca="1">_xlfn.XLOOKUP(Table8[[#This Row],[Supporter_ID]],tb1_supporters[Supporter_ID ],tb1_supporters[Age],"")</f>
        <v>54</v>
      </c>
      <c r="O154" t="str">
        <f ca="1">_xlfn.XLOOKUP(Table8[[#This Row],[Supporter_ID]],tb1_supporters[Supporter_ID ],tb1_supporters[Age_Band],"")</f>
        <v>50-64</v>
      </c>
      <c r="P154" t="str">
        <f ca="1">IF(Table8[[#This Row],[Age_Band]]="","Unknown",Table8[[#This Row],[Age_Band]])</f>
        <v>50-64</v>
      </c>
      <c r="Q154" t="str">
        <f>_xlfn.XLOOKUP(Table8[[#This Row],[Supporter_ID]],tb1_supporters[Supporter_ID ],tb1_supporters[Communication_Preference],"")</f>
        <v>Email</v>
      </c>
      <c r="R154" t="str">
        <f>_xlfn.XLOOKUP(Table8[[#This Row],[Supporter_ID]],tb1_supporters[Supporter_ID ],tb1_supporters[Duplicate_Profile_Flag],"")</f>
        <v/>
      </c>
      <c r="S154" t="str">
        <f>_xlfn.XLOOKUP(Table8[[#This Row],[Supporter_ID]],tb1_supporters[Supporter_ID ],tb1_supporters[Preference_Compliance_Flag],"")</f>
        <v>Review - prefers email but not opted in</v>
      </c>
      <c r="T154" t="str">
        <f ca="1">IF(Table8[[#This Row],[Age]]="","Review - missing DOB",IF(Table8[[#This Row],[Age]]&gt;TODAY(),"Review - future DOB",IF(Table8[[#This Row],[Age]]=0,"Review -  potential entry error (age 0)","")))</f>
        <v/>
      </c>
      <c r="U154" t="str">
        <f>_xlfn.XLOOKUP(Table8[[#This Row],[Campaign_Code]],tb3_CampaignMaster[Campaign_Code],tb3_CampaignMaster[Campaign_Type],"")</f>
        <v>Acquisition</v>
      </c>
      <c r="V154" t="str">
        <f>_xlfn.XLOOKUP(Table8[[#This Row],[Campaign_Code]],tb3_CampaignMaster[Campaign_Code],tb3_CampaignMaster[Target_Audience],"")</f>
        <v>Prospects</v>
      </c>
      <c r="W154" s="17">
        <f>_xlfn.XLOOKUP(Table8[[#This Row],[Campaign_Code]],tb3_CampaignMaster[Campaign_Code],tb3_CampaignMaster[Start_Date],"")</f>
        <v>45689</v>
      </c>
      <c r="X154" s="17">
        <f>_xlfn.XLOOKUP(Table8[[#This Row],[Campaign_Code]],tb3_CampaignMaster[Campaign_Code],tb3_CampaignMaster[End_Date],"")</f>
        <v>45777</v>
      </c>
      <c r="Y154">
        <f>_xlfn.XLOOKUP(Table8[[#This Row],[Campaign_Code]],tb3_CampaignMaster[Campaign_Code],tb3_CampaignMaster[Budget_GBP],"")</f>
        <v>20000</v>
      </c>
      <c r="Z154" t="str">
        <f>_xlfn.XLOOKUP(Table8[[#This Row],[Campaign_Code]],tb3_CampaignMaster[Campaign_Code],tb3_CampaignMaster[Primary_Channel],"")</f>
        <v>Digital</v>
      </c>
      <c r="AA154" s="13">
        <f>IF(Table8[[#This Row],[Gift_Aid_Eligible]]="Yes",Table8[[#This Row],[Gift_Amount]]*1.25,Table8[[#This Row],[Gift_Amount]])</f>
        <v>16.05</v>
      </c>
      <c r="AB154" t="str">
        <f>IF(Table8[[#This Row],[Supporter_ID]]="","Review - missing supporter ID","")</f>
        <v/>
      </c>
      <c r="AC154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154" t="str">
        <f>IF(Table8[[#This Row],[Campaign_Type]]="","Review - campaign code not found","")</f>
        <v/>
      </c>
    </row>
    <row r="155" spans="1:30" x14ac:dyDescent="0.25">
      <c r="A155" t="s">
        <v>3636</v>
      </c>
      <c r="B155" t="s">
        <v>3217</v>
      </c>
      <c r="C155" t="s">
        <v>3367</v>
      </c>
      <c r="D155" t="s">
        <v>3368</v>
      </c>
      <c r="E155" t="s">
        <v>65</v>
      </c>
      <c r="F155" s="17">
        <v>45772</v>
      </c>
      <c r="G155">
        <v>2250.5</v>
      </c>
      <c r="H155" t="s">
        <v>37</v>
      </c>
      <c r="I155" t="s">
        <v>3334</v>
      </c>
      <c r="J155" t="str">
        <f>_xlfn.XLOOKUP(Table8[[#This Row],[Supporter_ID]],tb1_supporters[Supporter_ID ],tb1_supporters[Segment],"")</f>
        <v>Major Donor</v>
      </c>
      <c r="K155" t="str">
        <f>_xlfn.XLOOKUP(Table8[[#This Row],[Supporter_ID]],tb1_supporters[Supporter_ID ],tb1_supporters[Acquisition_Source],"")</f>
        <v>Telephone</v>
      </c>
      <c r="L155" t="str">
        <f>_xlfn.XLOOKUP(Table8[[#This Row],[Supporter_ID]],tb1_supporters[Supporter_ID ],tb1_supporters[County],"")</f>
        <v>Oxfordshire</v>
      </c>
      <c r="M155" t="str">
        <f>_xlfn.XLOOKUP(Table8[[#This Row],[Supporter_ID]],tb1_supporters[Supporter_ID ],tb1_supporters[Gender],"")</f>
        <v>Female</v>
      </c>
      <c r="N155">
        <f ca="1">_xlfn.XLOOKUP(Table8[[#This Row],[Supporter_ID]],tb1_supporters[Supporter_ID ],tb1_supporters[Age],"")</f>
        <v>75</v>
      </c>
      <c r="O155" t="str">
        <f ca="1">_xlfn.XLOOKUP(Table8[[#This Row],[Supporter_ID]],tb1_supporters[Supporter_ID ],tb1_supporters[Age_Band],"")</f>
        <v>65+</v>
      </c>
      <c r="P155" t="str">
        <f ca="1">IF(Table8[[#This Row],[Age_Band]]="","Unknown",Table8[[#This Row],[Age_Band]])</f>
        <v>65+</v>
      </c>
      <c r="Q155" t="str">
        <f>_xlfn.XLOOKUP(Table8[[#This Row],[Supporter_ID]],tb1_supporters[Supporter_ID ],tb1_supporters[Communication_Preference],"")</f>
        <v>Email</v>
      </c>
      <c r="R155" t="str">
        <f>_xlfn.XLOOKUP(Table8[[#This Row],[Supporter_ID]],tb1_supporters[Supporter_ID ],tb1_supporters[Duplicate_Profile_Flag],"")</f>
        <v/>
      </c>
      <c r="S155" t="str">
        <f>_xlfn.XLOOKUP(Table8[[#This Row],[Supporter_ID]],tb1_supporters[Supporter_ID ],tb1_supporters[Preference_Compliance_Flag],"")</f>
        <v/>
      </c>
      <c r="T155" t="str">
        <f ca="1">IF(Table8[[#This Row],[Age]]="","Review - missing DOB",IF(Table8[[#This Row],[Age]]&gt;TODAY(),"Review - future DOB",IF(Table8[[#This Row],[Age]]=0,"Review -  potential entry error (age 0)","")))</f>
        <v/>
      </c>
      <c r="U155" t="str">
        <f>_xlfn.XLOOKUP(Table8[[#This Row],[Campaign_Code]],tb3_CampaignMaster[Campaign_Code],tb3_CampaignMaster[Campaign_Type],"")</f>
        <v>Raffle</v>
      </c>
      <c r="V155" t="str">
        <f>_xlfn.XLOOKUP(Table8[[#This Row],[Campaign_Code]],tb3_CampaignMaster[Campaign_Code],tb3_CampaignMaster[Target_Audience],"")</f>
        <v>Regular Givers</v>
      </c>
      <c r="W155" s="17">
        <f>_xlfn.XLOOKUP(Table8[[#This Row],[Campaign_Code]],tb3_CampaignMaster[Campaign_Code],tb3_CampaignMaster[Start_Date],"")</f>
        <v>45717</v>
      </c>
      <c r="X155" s="17">
        <f>_xlfn.XLOOKUP(Table8[[#This Row],[Campaign_Code]],tb3_CampaignMaster[Campaign_Code],tb3_CampaignMaster[End_Date],"")</f>
        <v>45777</v>
      </c>
      <c r="Y155">
        <f>_xlfn.XLOOKUP(Table8[[#This Row],[Campaign_Code]],tb3_CampaignMaster[Campaign_Code],tb3_CampaignMaster[Budget_GBP],"")</f>
        <v>8000</v>
      </c>
      <c r="Z155" t="str">
        <f>_xlfn.XLOOKUP(Table8[[#This Row],[Campaign_Code]],tb3_CampaignMaster[Campaign_Code],tb3_CampaignMaster[Primary_Channel],"")</f>
        <v>Direct Mail</v>
      </c>
      <c r="AA155" s="13">
        <f>IF(Table8[[#This Row],[Gift_Aid_Eligible]]="Yes",Table8[[#This Row],[Gift_Amount]]*1.25,Table8[[#This Row],[Gift_Amount]])</f>
        <v>2250.5</v>
      </c>
      <c r="AB155" t="str">
        <f>IF(Table8[[#This Row],[Supporter_ID]]="","Review - missing supporter ID","")</f>
        <v/>
      </c>
      <c r="AC155" t="str">
        <f>IF(OR(Table8[[#This Row],[Response_Date]]&lt;Table8[[#This Row],[Start_Date]],Table8[[#This Row],[Response_Date]]&gt;Table8[[#This Row],[End_Date]]),"Review - response outside campaign dates","")</f>
        <v/>
      </c>
      <c r="AD155" t="str">
        <f>IF(Table8[[#This Row],[Campaign_Type]]="","Review - campaign code not found","")</f>
        <v/>
      </c>
    </row>
    <row r="156" spans="1:30" x14ac:dyDescent="0.25">
      <c r="A156" t="s">
        <v>3638</v>
      </c>
      <c r="B156" t="s">
        <v>1969</v>
      </c>
      <c r="C156" t="s">
        <v>3320</v>
      </c>
      <c r="D156" t="s">
        <v>3321</v>
      </c>
      <c r="E156" t="s">
        <v>4</v>
      </c>
      <c r="F156" s="17">
        <v>45460</v>
      </c>
      <c r="G156">
        <v>3693.76</v>
      </c>
      <c r="H156" t="s">
        <v>36</v>
      </c>
      <c r="I156" t="s">
        <v>3331</v>
      </c>
      <c r="J156" t="str">
        <f>_xlfn.XLOOKUP(Table8[[#This Row],[Supporter_ID]],tb1_supporters[Supporter_ID ],tb1_supporters[Segment],"")</f>
        <v>Major Donor</v>
      </c>
      <c r="K156" t="str">
        <f>_xlfn.XLOOKUP(Table8[[#This Row],[Supporter_ID]],tb1_supporters[Supporter_ID ],tb1_supporters[Acquisition_Source],"")</f>
        <v>Corporate Partner</v>
      </c>
      <c r="L156" t="str">
        <f>_xlfn.XLOOKUP(Table8[[#This Row],[Supporter_ID]],tb1_supporters[Supporter_ID ],tb1_supporters[County],"")</f>
        <v>Dorset</v>
      </c>
      <c r="M156" t="str">
        <f>_xlfn.XLOOKUP(Table8[[#This Row],[Supporter_ID]],tb1_supporters[Supporter_ID ],tb1_supporters[Gender],"")</f>
        <v>Female</v>
      </c>
      <c r="N156">
        <f ca="1">_xlfn.XLOOKUP(Table8[[#This Row],[Supporter_ID]],tb1_supporters[Supporter_ID ],tb1_supporters[Age],"")</f>
        <v>60</v>
      </c>
      <c r="O156" t="str">
        <f ca="1">_xlfn.XLOOKUP(Table8[[#This Row],[Supporter_ID]],tb1_supporters[Supporter_ID ],tb1_supporters[Age_Band],"")</f>
        <v>50-64</v>
      </c>
      <c r="P156" t="str">
        <f ca="1">IF(Table8[[#This Row],[Age_Band]]="","Unknown",Table8[[#This Row],[Age_Band]])</f>
        <v>50-64</v>
      </c>
      <c r="Q156" t="str">
        <f>_xlfn.XLOOKUP(Table8[[#This Row],[Supporter_ID]],tb1_supporters[Supporter_ID ],tb1_supporters[Communication_Preference],"")</f>
        <v>Phone</v>
      </c>
      <c r="R156" t="str">
        <f>_xlfn.XLOOKUP(Table8[[#This Row],[Supporter_ID]],tb1_supporters[Supporter_ID ],tb1_supporters[Duplicate_Profile_Flag],"")</f>
        <v/>
      </c>
      <c r="S156" t="str">
        <f>_xlfn.XLOOKUP(Table8[[#This Row],[Supporter_ID]],tb1_supporters[Supporter_ID ],tb1_supporters[Preference_Compliance_Flag],"")</f>
        <v/>
      </c>
      <c r="T156" t="str">
        <f ca="1">IF(Table8[[#This Row],[Age]]="","Review - missing DOB",IF(Table8[[#This Row],[Age]]&gt;TODAY(),"Review - future DOB",IF(Table8[[#This Row],[Age]]=0,"Review -  potential entry error (age 0)","")))</f>
        <v/>
      </c>
      <c r="U156" t="str">
        <f>_xlfn.XLOOKUP(Table8[[#This Row],[Campaign_Code]],tb3_CampaignMaster[Campaign_Code],tb3_CampaignMaster[Campaign_Type],"")</f>
        <v>Stewardship</v>
      </c>
      <c r="V156" t="str">
        <f>_xlfn.XLOOKUP(Table8[[#This Row],[Campaign_Code]],tb3_CampaignMaster[Campaign_Code],tb3_CampaignMaster[Target_Audience],"")</f>
        <v>Major Donors</v>
      </c>
      <c r="W156" s="17">
        <f>_xlfn.XLOOKUP(Table8[[#This Row],[Campaign_Code]],tb3_CampaignMaster[Campaign_Code],tb3_CampaignMaster[Start_Date],"")</f>
        <v>45444</v>
      </c>
      <c r="X156" s="17">
        <f>_xlfn.XLOOKUP(Table8[[#This Row],[Campaign_Code]],tb3_CampaignMaster[Campaign_Code],tb3_CampaignMaster[End_Date],"")</f>
        <v>45473</v>
      </c>
      <c r="Y156">
        <f>_xlfn.XLOOKUP(Table8[[#This Row],[Campaign_Code]],tb3_CampaignMaster[Campaign_Code],tb3_CampaignMaster[Budget_GBP],"")</f>
        <v>7000</v>
      </c>
      <c r="Z156" t="str">
        <f>_xlfn.XLOOKUP(Table8[[#This Row],[Campaign_Code]],tb3_CampaignMaster[Campaign_Code],tb3_CampaignMaster[Primary_Channel],"")</f>
        <v>Direct Mail</v>
      </c>
      <c r="AA156" s="13">
        <f>IF(Table8[[#This Row],[Gift_Aid_Eligible]]="Yes",Table8[[#This Row],[Gift_Amount]]*1.25,Table8[[#This Row],[Gift_Amount]])</f>
        <v>4617.2000000000007</v>
      </c>
      <c r="AB156" t="str">
        <f>IF(Table8[[#This Row],[Supporter_ID]]="","Review - missing supporter ID","")</f>
        <v/>
      </c>
      <c r="AC156" t="str">
        <f>IF(OR(Table8[[#This Row],[Response_Date]]&lt;Table8[[#This Row],[Start_Date]],Table8[[#This Row],[Response_Date]]&gt;Table8[[#This Row],[End_Date]]),"Review - response outside campaign dates","")</f>
        <v/>
      </c>
      <c r="AD156" t="str">
        <f>IF(Table8[[#This Row],[Campaign_Type]]="","Review - campaign code not found","")</f>
        <v/>
      </c>
    </row>
    <row r="157" spans="1:30" x14ac:dyDescent="0.25">
      <c r="A157" t="s">
        <v>3639</v>
      </c>
      <c r="B157" t="s">
        <v>1417</v>
      </c>
      <c r="C157" t="s">
        <v>3367</v>
      </c>
      <c r="D157" t="s">
        <v>3368</v>
      </c>
      <c r="E157" t="s">
        <v>65</v>
      </c>
      <c r="F157" s="17">
        <v>45965</v>
      </c>
      <c r="G157">
        <v>69.03</v>
      </c>
      <c r="H157" t="s">
        <v>36</v>
      </c>
      <c r="I157" t="s">
        <v>3370</v>
      </c>
      <c r="J157" t="str">
        <f>_xlfn.XLOOKUP(Table8[[#This Row],[Supporter_ID]],tb1_supporters[Supporter_ID ],tb1_supporters[Segment],"")</f>
        <v>Lapsed</v>
      </c>
      <c r="K157" t="str">
        <f>_xlfn.XLOOKUP(Table8[[#This Row],[Supporter_ID]],tb1_supporters[Supporter_ID ],tb1_supporters[Acquisition_Source],"")</f>
        <v>Referral</v>
      </c>
      <c r="L157" t="str">
        <f>_xlfn.XLOOKUP(Table8[[#This Row],[Supporter_ID]],tb1_supporters[Supporter_ID ],tb1_supporters[County],"")</f>
        <v>Tyne and Wear</v>
      </c>
      <c r="M157" t="str">
        <f>_xlfn.XLOOKUP(Table8[[#This Row],[Supporter_ID]],tb1_supporters[Supporter_ID ],tb1_supporters[Gender],"")</f>
        <v>Female</v>
      </c>
      <c r="N157">
        <f ca="1">_xlfn.XLOOKUP(Table8[[#This Row],[Supporter_ID]],tb1_supporters[Supporter_ID ],tb1_supporters[Age],"")</f>
        <v>82</v>
      </c>
      <c r="O157" t="str">
        <f ca="1">_xlfn.XLOOKUP(Table8[[#This Row],[Supporter_ID]],tb1_supporters[Supporter_ID ],tb1_supporters[Age_Band],"")</f>
        <v>65+</v>
      </c>
      <c r="P157" t="str">
        <f ca="1">IF(Table8[[#This Row],[Age_Band]]="","Unknown",Table8[[#This Row],[Age_Band]])</f>
        <v>65+</v>
      </c>
      <c r="Q157" t="str">
        <f>_xlfn.XLOOKUP(Table8[[#This Row],[Supporter_ID]],tb1_supporters[Supporter_ID ],tb1_supporters[Communication_Preference],"")</f>
        <v>Post</v>
      </c>
      <c r="R157" t="str">
        <f>_xlfn.XLOOKUP(Table8[[#This Row],[Supporter_ID]],tb1_supporters[Supporter_ID ],tb1_supporters[Duplicate_Profile_Flag],"")</f>
        <v/>
      </c>
      <c r="S157" t="str">
        <f>_xlfn.XLOOKUP(Table8[[#This Row],[Supporter_ID]],tb1_supporters[Supporter_ID ],tb1_supporters[Preference_Compliance_Flag],"")</f>
        <v/>
      </c>
      <c r="T157" t="str">
        <f ca="1">IF(Table8[[#This Row],[Age]]="","Review - missing DOB",IF(Table8[[#This Row],[Age]]&gt;TODAY(),"Review - future DOB",IF(Table8[[#This Row],[Age]]=0,"Review -  potential entry error (age 0)","")))</f>
        <v/>
      </c>
      <c r="U157" t="str">
        <f>_xlfn.XLOOKUP(Table8[[#This Row],[Campaign_Code]],tb3_CampaignMaster[Campaign_Code],tb3_CampaignMaster[Campaign_Type],"")</f>
        <v>Raffle</v>
      </c>
      <c r="V157" t="str">
        <f>_xlfn.XLOOKUP(Table8[[#This Row],[Campaign_Code]],tb3_CampaignMaster[Campaign_Code],tb3_CampaignMaster[Target_Audience],"")</f>
        <v>Regular Givers</v>
      </c>
      <c r="W157" s="17">
        <f>_xlfn.XLOOKUP(Table8[[#This Row],[Campaign_Code]],tb3_CampaignMaster[Campaign_Code],tb3_CampaignMaster[Start_Date],"")</f>
        <v>45717</v>
      </c>
      <c r="X157" s="17">
        <f>_xlfn.XLOOKUP(Table8[[#This Row],[Campaign_Code]],tb3_CampaignMaster[Campaign_Code],tb3_CampaignMaster[End_Date],"")</f>
        <v>45777</v>
      </c>
      <c r="Y157">
        <f>_xlfn.XLOOKUP(Table8[[#This Row],[Campaign_Code]],tb3_CampaignMaster[Campaign_Code],tb3_CampaignMaster[Budget_GBP],"")</f>
        <v>8000</v>
      </c>
      <c r="Z157" t="str">
        <f>_xlfn.XLOOKUP(Table8[[#This Row],[Campaign_Code]],tb3_CampaignMaster[Campaign_Code],tb3_CampaignMaster[Primary_Channel],"")</f>
        <v>Direct Mail</v>
      </c>
      <c r="AA157" s="13">
        <f>IF(Table8[[#This Row],[Gift_Aid_Eligible]]="Yes",Table8[[#This Row],[Gift_Amount]]*1.25,Table8[[#This Row],[Gift_Amount]])</f>
        <v>86.287499999999994</v>
      </c>
      <c r="AB157" t="str">
        <f>IF(Table8[[#This Row],[Supporter_ID]]="","Review - missing supporter ID","")</f>
        <v/>
      </c>
      <c r="AC157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157" t="str">
        <f>IF(Table8[[#This Row],[Campaign_Type]]="","Review - campaign code not found","")</f>
        <v/>
      </c>
    </row>
    <row r="158" spans="1:30" x14ac:dyDescent="0.25">
      <c r="A158" t="s">
        <v>3641</v>
      </c>
      <c r="B158" t="s">
        <v>2940</v>
      </c>
      <c r="C158" t="s">
        <v>3320</v>
      </c>
      <c r="D158" t="s">
        <v>3321</v>
      </c>
      <c r="E158" t="s">
        <v>65</v>
      </c>
      <c r="F158" s="17">
        <v>45446</v>
      </c>
      <c r="G158">
        <v>216.31</v>
      </c>
      <c r="H158" t="s">
        <v>37</v>
      </c>
      <c r="I158" t="s">
        <v>3365</v>
      </c>
      <c r="J158" t="str">
        <f>_xlfn.XLOOKUP(Table8[[#This Row],[Supporter_ID]],tb1_supporters[Supporter_ID ],tb1_supporters[Segment],"")</f>
        <v>Legacy Pledger</v>
      </c>
      <c r="K158" t="str">
        <f>_xlfn.XLOOKUP(Table8[[#This Row],[Supporter_ID]],tb1_supporters[Supporter_ID ],tb1_supporters[Acquisition_Source],"")</f>
        <v>Door-To-Door</v>
      </c>
      <c r="L158" t="str">
        <f>_xlfn.XLOOKUP(Table8[[#This Row],[Supporter_ID]],tb1_supporters[Supporter_ID ],tb1_supporters[County],"")</f>
        <v>Norfolk</v>
      </c>
      <c r="M158" t="str">
        <f>_xlfn.XLOOKUP(Table8[[#This Row],[Supporter_ID]],tb1_supporters[Supporter_ID ],tb1_supporters[Gender],"")</f>
        <v>Male</v>
      </c>
      <c r="N158">
        <f ca="1">_xlfn.XLOOKUP(Table8[[#This Row],[Supporter_ID]],tb1_supporters[Supporter_ID ],tb1_supporters[Age],"")</f>
        <v>90</v>
      </c>
      <c r="O158" t="str">
        <f ca="1">_xlfn.XLOOKUP(Table8[[#This Row],[Supporter_ID]],tb1_supporters[Supporter_ID ],tb1_supporters[Age_Band],"")</f>
        <v>65+</v>
      </c>
      <c r="P158" t="str">
        <f ca="1">IF(Table8[[#This Row],[Age_Band]]="","Unknown",Table8[[#This Row],[Age_Band]])</f>
        <v>65+</v>
      </c>
      <c r="Q158" t="str">
        <f>_xlfn.XLOOKUP(Table8[[#This Row],[Supporter_ID]],tb1_supporters[Supporter_ID ],tb1_supporters[Communication_Preference],"")</f>
        <v>Post</v>
      </c>
      <c r="R158" t="str">
        <f>_xlfn.XLOOKUP(Table8[[#This Row],[Supporter_ID]],tb1_supporters[Supporter_ID ],tb1_supporters[Duplicate_Profile_Flag],"")</f>
        <v/>
      </c>
      <c r="S158" t="str">
        <f>_xlfn.XLOOKUP(Table8[[#This Row],[Supporter_ID]],tb1_supporters[Supporter_ID ],tb1_supporters[Preference_Compliance_Flag],"")</f>
        <v/>
      </c>
      <c r="T158" t="str">
        <f ca="1">IF(Table8[[#This Row],[Age]]="","Review - missing DOB",IF(Table8[[#This Row],[Age]]&gt;TODAY(),"Review - future DOB",IF(Table8[[#This Row],[Age]]=0,"Review -  potential entry error (age 0)","")))</f>
        <v/>
      </c>
      <c r="U158" t="str">
        <f>_xlfn.XLOOKUP(Table8[[#This Row],[Campaign_Code]],tb3_CampaignMaster[Campaign_Code],tb3_CampaignMaster[Campaign_Type],"")</f>
        <v>Stewardship</v>
      </c>
      <c r="V158" t="str">
        <f>_xlfn.XLOOKUP(Table8[[#This Row],[Campaign_Code]],tb3_CampaignMaster[Campaign_Code],tb3_CampaignMaster[Target_Audience],"")</f>
        <v>Major Donors</v>
      </c>
      <c r="W158" s="17">
        <f>_xlfn.XLOOKUP(Table8[[#This Row],[Campaign_Code]],tb3_CampaignMaster[Campaign_Code],tb3_CampaignMaster[Start_Date],"")</f>
        <v>45444</v>
      </c>
      <c r="X158" s="17">
        <f>_xlfn.XLOOKUP(Table8[[#This Row],[Campaign_Code]],tb3_CampaignMaster[Campaign_Code],tb3_CampaignMaster[End_Date],"")</f>
        <v>45473</v>
      </c>
      <c r="Y158">
        <f>_xlfn.XLOOKUP(Table8[[#This Row],[Campaign_Code]],tb3_CampaignMaster[Campaign_Code],tb3_CampaignMaster[Budget_GBP],"")</f>
        <v>7000</v>
      </c>
      <c r="Z158" t="str">
        <f>_xlfn.XLOOKUP(Table8[[#This Row],[Campaign_Code]],tb3_CampaignMaster[Campaign_Code],tb3_CampaignMaster[Primary_Channel],"")</f>
        <v>Direct Mail</v>
      </c>
      <c r="AA158" s="13">
        <f>IF(Table8[[#This Row],[Gift_Aid_Eligible]]="Yes",Table8[[#This Row],[Gift_Amount]]*1.25,Table8[[#This Row],[Gift_Amount]])</f>
        <v>216.31</v>
      </c>
      <c r="AB158" t="str">
        <f>IF(Table8[[#This Row],[Supporter_ID]]="","Review - missing supporter ID","")</f>
        <v/>
      </c>
      <c r="AC158" t="str">
        <f>IF(OR(Table8[[#This Row],[Response_Date]]&lt;Table8[[#This Row],[Start_Date]],Table8[[#This Row],[Response_Date]]&gt;Table8[[#This Row],[End_Date]]),"Review - response outside campaign dates","")</f>
        <v/>
      </c>
      <c r="AD158" t="str">
        <f>IF(Table8[[#This Row],[Campaign_Type]]="","Review - campaign code not found","")</f>
        <v/>
      </c>
    </row>
    <row r="159" spans="1:30" x14ac:dyDescent="0.25">
      <c r="A159" t="s">
        <v>3643</v>
      </c>
      <c r="B159" t="s">
        <v>1135</v>
      </c>
      <c r="C159" t="s">
        <v>3367</v>
      </c>
      <c r="D159" t="s">
        <v>3368</v>
      </c>
      <c r="E159" t="s">
        <v>4</v>
      </c>
      <c r="F159" s="17">
        <v>45934</v>
      </c>
      <c r="G159">
        <v>116.87</v>
      </c>
      <c r="H159" t="s">
        <v>37</v>
      </c>
      <c r="I159" t="s">
        <v>3365</v>
      </c>
      <c r="J159" t="str">
        <f>_xlfn.XLOOKUP(Table8[[#This Row],[Supporter_ID]],tb1_supporters[Supporter_ID ],tb1_supporters[Segment],"")</f>
        <v>One-Time Donor</v>
      </c>
      <c r="K159" t="str">
        <f>_xlfn.XLOOKUP(Table8[[#This Row],[Supporter_ID]],tb1_supporters[Supporter_ID ],tb1_supporters[Acquisition_Source],"")</f>
        <v>Social Media</v>
      </c>
      <c r="L159" t="str">
        <f>_xlfn.XLOOKUP(Table8[[#This Row],[Supporter_ID]],tb1_supporters[Supporter_ID ],tb1_supporters[County],"")</f>
        <v>Norfolk</v>
      </c>
      <c r="M159" t="str">
        <f>_xlfn.XLOOKUP(Table8[[#This Row],[Supporter_ID]],tb1_supporters[Supporter_ID ],tb1_supporters[Gender],"")</f>
        <v>Male</v>
      </c>
      <c r="N159">
        <f ca="1">_xlfn.XLOOKUP(Table8[[#This Row],[Supporter_ID]],tb1_supporters[Supporter_ID ],tb1_supporters[Age],"")</f>
        <v>61</v>
      </c>
      <c r="O159" t="str">
        <f ca="1">_xlfn.XLOOKUP(Table8[[#This Row],[Supporter_ID]],tb1_supporters[Supporter_ID ],tb1_supporters[Age_Band],"")</f>
        <v>50-64</v>
      </c>
      <c r="P159" t="str">
        <f ca="1">IF(Table8[[#This Row],[Age_Band]]="","Unknown",Table8[[#This Row],[Age_Band]])</f>
        <v>50-64</v>
      </c>
      <c r="Q159" t="str">
        <f>_xlfn.XLOOKUP(Table8[[#This Row],[Supporter_ID]],tb1_supporters[Supporter_ID ],tb1_supporters[Communication_Preference],"")</f>
        <v>Email</v>
      </c>
      <c r="R159" t="str">
        <f>_xlfn.XLOOKUP(Table8[[#This Row],[Supporter_ID]],tb1_supporters[Supporter_ID ],tb1_supporters[Duplicate_Profile_Flag],"")</f>
        <v/>
      </c>
      <c r="S159" t="str">
        <f>_xlfn.XLOOKUP(Table8[[#This Row],[Supporter_ID]],tb1_supporters[Supporter_ID ],tb1_supporters[Preference_Compliance_Flag],"")</f>
        <v/>
      </c>
      <c r="T159" t="str">
        <f ca="1">IF(Table8[[#This Row],[Age]]="","Review - missing DOB",IF(Table8[[#This Row],[Age]]&gt;TODAY(),"Review - future DOB",IF(Table8[[#This Row],[Age]]=0,"Review -  potential entry error (age 0)","")))</f>
        <v/>
      </c>
      <c r="U159" t="str">
        <f>_xlfn.XLOOKUP(Table8[[#This Row],[Campaign_Code]],tb3_CampaignMaster[Campaign_Code],tb3_CampaignMaster[Campaign_Type],"")</f>
        <v>Raffle</v>
      </c>
      <c r="V159" t="str">
        <f>_xlfn.XLOOKUP(Table8[[#This Row],[Campaign_Code]],tb3_CampaignMaster[Campaign_Code],tb3_CampaignMaster[Target_Audience],"")</f>
        <v>Regular Givers</v>
      </c>
      <c r="W159" s="17">
        <f>_xlfn.XLOOKUP(Table8[[#This Row],[Campaign_Code]],tb3_CampaignMaster[Campaign_Code],tb3_CampaignMaster[Start_Date],"")</f>
        <v>45717</v>
      </c>
      <c r="X159" s="17">
        <f>_xlfn.XLOOKUP(Table8[[#This Row],[Campaign_Code]],tb3_CampaignMaster[Campaign_Code],tb3_CampaignMaster[End_Date],"")</f>
        <v>45777</v>
      </c>
      <c r="Y159">
        <f>_xlfn.XLOOKUP(Table8[[#This Row],[Campaign_Code]],tb3_CampaignMaster[Campaign_Code],tb3_CampaignMaster[Budget_GBP],"")</f>
        <v>8000</v>
      </c>
      <c r="Z159" t="str">
        <f>_xlfn.XLOOKUP(Table8[[#This Row],[Campaign_Code]],tb3_CampaignMaster[Campaign_Code],tb3_CampaignMaster[Primary_Channel],"")</f>
        <v>Direct Mail</v>
      </c>
      <c r="AA159" s="13">
        <f>IF(Table8[[#This Row],[Gift_Aid_Eligible]]="Yes",Table8[[#This Row],[Gift_Amount]]*1.25,Table8[[#This Row],[Gift_Amount]])</f>
        <v>116.87</v>
      </c>
      <c r="AB159" t="str">
        <f>IF(Table8[[#This Row],[Supporter_ID]]="","Review - missing supporter ID","")</f>
        <v/>
      </c>
      <c r="AC159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159" t="str">
        <f>IF(Table8[[#This Row],[Campaign_Type]]="","Review - campaign code not found","")</f>
        <v/>
      </c>
    </row>
    <row r="160" spans="1:30" x14ac:dyDescent="0.25">
      <c r="A160" t="s">
        <v>3644</v>
      </c>
      <c r="B160" t="s">
        <v>565</v>
      </c>
      <c r="C160" t="s">
        <v>3325</v>
      </c>
      <c r="D160" t="s">
        <v>3326</v>
      </c>
      <c r="E160" t="s">
        <v>3316</v>
      </c>
      <c r="F160" s="17">
        <v>45649</v>
      </c>
      <c r="G160">
        <v>19.91</v>
      </c>
      <c r="H160" t="s">
        <v>36</v>
      </c>
      <c r="I160" t="s">
        <v>3370</v>
      </c>
      <c r="J160" t="str">
        <f>_xlfn.XLOOKUP(Table8[[#This Row],[Supporter_ID]],tb1_supporters[Supporter_ID ],tb1_supporters[Segment],"")</f>
        <v>Prospect</v>
      </c>
      <c r="K160" t="str">
        <f>_xlfn.XLOOKUP(Table8[[#This Row],[Supporter_ID]],tb1_supporters[Supporter_ID ],tb1_supporters[Acquisition_Source],"")</f>
        <v>Telephone</v>
      </c>
      <c r="L160" t="str">
        <f>_xlfn.XLOOKUP(Table8[[#This Row],[Supporter_ID]],tb1_supporters[Supporter_ID ],tb1_supporters[County],"")</f>
        <v>Tyne and Wear</v>
      </c>
      <c r="M160" t="str">
        <f>_xlfn.XLOOKUP(Table8[[#This Row],[Supporter_ID]],tb1_supporters[Supporter_ID ],tb1_supporters[Gender],"")</f>
        <v>Male</v>
      </c>
      <c r="N160">
        <f ca="1">_xlfn.XLOOKUP(Table8[[#This Row],[Supporter_ID]],tb1_supporters[Supporter_ID ],tb1_supporters[Age],"")</f>
        <v>73</v>
      </c>
      <c r="O160" t="str">
        <f ca="1">_xlfn.XLOOKUP(Table8[[#This Row],[Supporter_ID]],tb1_supporters[Supporter_ID ],tb1_supporters[Age_Band],"")</f>
        <v>65+</v>
      </c>
      <c r="P160" t="str">
        <f ca="1">IF(Table8[[#This Row],[Age_Band]]="","Unknown",Table8[[#This Row],[Age_Band]])</f>
        <v>65+</v>
      </c>
      <c r="Q160" t="str">
        <f>_xlfn.XLOOKUP(Table8[[#This Row],[Supporter_ID]],tb1_supporters[Supporter_ID ],tb1_supporters[Communication_Preference],"")</f>
        <v>Email</v>
      </c>
      <c r="R160" t="str">
        <f>_xlfn.XLOOKUP(Table8[[#This Row],[Supporter_ID]],tb1_supporters[Supporter_ID ],tb1_supporters[Duplicate_Profile_Flag],"")</f>
        <v/>
      </c>
      <c r="S160" t="str">
        <f>_xlfn.XLOOKUP(Table8[[#This Row],[Supporter_ID]],tb1_supporters[Supporter_ID ],tb1_supporters[Preference_Compliance_Flag],"")</f>
        <v>Review - prefers email but not opted in</v>
      </c>
      <c r="T160" t="str">
        <f ca="1">IF(Table8[[#This Row],[Age]]="","Review - missing DOB",IF(Table8[[#This Row],[Age]]&gt;TODAY(),"Review - future DOB",IF(Table8[[#This Row],[Age]]=0,"Review -  potential entry error (age 0)","")))</f>
        <v/>
      </c>
      <c r="U160" t="str">
        <f>_xlfn.XLOOKUP(Table8[[#This Row],[Campaign_Code]],tb3_CampaignMaster[Campaign_Code],tb3_CampaignMaster[Campaign_Type],"")</f>
        <v>Appeal</v>
      </c>
      <c r="V160" t="str">
        <f>_xlfn.XLOOKUP(Table8[[#This Row],[Campaign_Code]],tb3_CampaignMaster[Campaign_Code],tb3_CampaignMaster[Target_Audience],"")</f>
        <v>All Active</v>
      </c>
      <c r="W160" s="17">
        <f>_xlfn.XLOOKUP(Table8[[#This Row],[Campaign_Code]],tb3_CampaignMaster[Campaign_Code],tb3_CampaignMaster[Start_Date],"")</f>
        <v>45597</v>
      </c>
      <c r="X160" s="17">
        <f>_xlfn.XLOOKUP(Table8[[#This Row],[Campaign_Code]],tb3_CampaignMaster[Campaign_Code],tb3_CampaignMaster[End_Date],"")</f>
        <v>45657</v>
      </c>
      <c r="Y160">
        <f>_xlfn.XLOOKUP(Table8[[#This Row],[Campaign_Code]],tb3_CampaignMaster[Campaign_Code],tb3_CampaignMaster[Budget_GBP],"")</f>
        <v>25000</v>
      </c>
      <c r="Z160" t="str">
        <f>_xlfn.XLOOKUP(Table8[[#This Row],[Campaign_Code]],tb3_CampaignMaster[Campaign_Code],tb3_CampaignMaster[Primary_Channel],"")</f>
        <v>Multi-channel</v>
      </c>
      <c r="AA160" s="13">
        <f>IF(Table8[[#This Row],[Gift_Aid_Eligible]]="Yes",Table8[[#This Row],[Gift_Amount]]*1.25,Table8[[#This Row],[Gift_Amount]])</f>
        <v>24.887499999999999</v>
      </c>
      <c r="AB160" t="str">
        <f>IF(Table8[[#This Row],[Supporter_ID]]="","Review - missing supporter ID","")</f>
        <v/>
      </c>
      <c r="AC160" t="str">
        <f>IF(OR(Table8[[#This Row],[Response_Date]]&lt;Table8[[#This Row],[Start_Date]],Table8[[#This Row],[Response_Date]]&gt;Table8[[#This Row],[End_Date]]),"Review - response outside campaign dates","")</f>
        <v/>
      </c>
      <c r="AD160" t="str">
        <f>IF(Table8[[#This Row],[Campaign_Type]]="","Review - campaign code not found","")</f>
        <v/>
      </c>
    </row>
    <row r="161" spans="1:30" x14ac:dyDescent="0.25">
      <c r="A161" t="s">
        <v>3646</v>
      </c>
      <c r="B161" t="s">
        <v>2246</v>
      </c>
      <c r="C161" t="s">
        <v>3341</v>
      </c>
      <c r="D161" t="s">
        <v>3342</v>
      </c>
      <c r="E161" t="s">
        <v>91</v>
      </c>
      <c r="F161" s="17">
        <v>45729</v>
      </c>
      <c r="G161">
        <v>1886.12</v>
      </c>
      <c r="H161" t="s">
        <v>36</v>
      </c>
      <c r="I161" t="s">
        <v>3370</v>
      </c>
      <c r="J161" t="str">
        <f>_xlfn.XLOOKUP(Table8[[#This Row],[Supporter_ID]],tb1_supporters[Supporter_ID ],tb1_supporters[Segment],"")</f>
        <v>Major Donor</v>
      </c>
      <c r="K161" t="str">
        <f>_xlfn.XLOOKUP(Table8[[#This Row],[Supporter_ID]],tb1_supporters[Supporter_ID ],tb1_supporters[Acquisition_Source],"")</f>
        <v>Referral</v>
      </c>
      <c r="L161" t="str">
        <f>_xlfn.XLOOKUP(Table8[[#This Row],[Supporter_ID]],tb1_supporters[Supporter_ID ],tb1_supporters[County],"")</f>
        <v>Dorset</v>
      </c>
      <c r="M161" t="str">
        <f>_xlfn.XLOOKUP(Table8[[#This Row],[Supporter_ID]],tb1_supporters[Supporter_ID ],tb1_supporters[Gender],"")</f>
        <v>Male</v>
      </c>
      <c r="N161">
        <f ca="1">_xlfn.XLOOKUP(Table8[[#This Row],[Supporter_ID]],tb1_supporters[Supporter_ID ],tb1_supporters[Age],"")</f>
        <v>48</v>
      </c>
      <c r="O161" t="str">
        <f ca="1">_xlfn.XLOOKUP(Table8[[#This Row],[Supporter_ID]],tb1_supporters[Supporter_ID ],tb1_supporters[Age_Band],"")</f>
        <v>35-49</v>
      </c>
      <c r="P161" t="str">
        <f ca="1">IF(Table8[[#This Row],[Age_Band]]="","Unknown",Table8[[#This Row],[Age_Band]])</f>
        <v>35-49</v>
      </c>
      <c r="Q161" t="str">
        <f>_xlfn.XLOOKUP(Table8[[#This Row],[Supporter_ID]],tb1_supporters[Supporter_ID ],tb1_supporters[Communication_Preference],"")</f>
        <v>Email</v>
      </c>
      <c r="R161" t="str">
        <f>_xlfn.XLOOKUP(Table8[[#This Row],[Supporter_ID]],tb1_supporters[Supporter_ID ],tb1_supporters[Duplicate_Profile_Flag],"")</f>
        <v/>
      </c>
      <c r="S161" t="str">
        <f>_xlfn.XLOOKUP(Table8[[#This Row],[Supporter_ID]],tb1_supporters[Supporter_ID ],tb1_supporters[Preference_Compliance_Flag],"")</f>
        <v/>
      </c>
      <c r="T161" t="str">
        <f ca="1">IF(Table8[[#This Row],[Age]]="","Review - missing DOB",IF(Table8[[#This Row],[Age]]&gt;TODAY(),"Review - future DOB",IF(Table8[[#This Row],[Age]]=0,"Review -  potential entry error (age 0)","")))</f>
        <v/>
      </c>
      <c r="U161" t="str">
        <f>_xlfn.XLOOKUP(Table8[[#This Row],[Campaign_Code]],tb3_CampaignMaster[Campaign_Code],tb3_CampaignMaster[Campaign_Type],"")</f>
        <v>Acquisition</v>
      </c>
      <c r="V161" t="str">
        <f>_xlfn.XLOOKUP(Table8[[#This Row],[Campaign_Code]],tb3_CampaignMaster[Campaign_Code],tb3_CampaignMaster[Target_Audience],"")</f>
        <v>Prospects</v>
      </c>
      <c r="W161" s="17">
        <f>_xlfn.XLOOKUP(Table8[[#This Row],[Campaign_Code]],tb3_CampaignMaster[Campaign_Code],tb3_CampaignMaster[Start_Date],"")</f>
        <v>45689</v>
      </c>
      <c r="X161" s="17">
        <f>_xlfn.XLOOKUP(Table8[[#This Row],[Campaign_Code]],tb3_CampaignMaster[Campaign_Code],tb3_CampaignMaster[End_Date],"")</f>
        <v>45777</v>
      </c>
      <c r="Y161">
        <f>_xlfn.XLOOKUP(Table8[[#This Row],[Campaign_Code]],tb3_CampaignMaster[Campaign_Code],tb3_CampaignMaster[Budget_GBP],"")</f>
        <v>20000</v>
      </c>
      <c r="Z161" t="str">
        <f>_xlfn.XLOOKUP(Table8[[#This Row],[Campaign_Code]],tb3_CampaignMaster[Campaign_Code],tb3_CampaignMaster[Primary_Channel],"")</f>
        <v>Digital</v>
      </c>
      <c r="AA161" s="13">
        <f>IF(Table8[[#This Row],[Gift_Aid_Eligible]]="Yes",Table8[[#This Row],[Gift_Amount]]*1.25,Table8[[#This Row],[Gift_Amount]])</f>
        <v>2357.6499999999996</v>
      </c>
      <c r="AB161" t="str">
        <f>IF(Table8[[#This Row],[Supporter_ID]]="","Review - missing supporter ID","")</f>
        <v/>
      </c>
      <c r="AC161" t="str">
        <f>IF(OR(Table8[[#This Row],[Response_Date]]&lt;Table8[[#This Row],[Start_Date]],Table8[[#This Row],[Response_Date]]&gt;Table8[[#This Row],[End_Date]]),"Review - response outside campaign dates","")</f>
        <v/>
      </c>
      <c r="AD161" t="str">
        <f>IF(Table8[[#This Row],[Campaign_Type]]="","Review - campaign code not found","")</f>
        <v/>
      </c>
    </row>
    <row r="162" spans="1:30" x14ac:dyDescent="0.25">
      <c r="A162" t="s">
        <v>3648</v>
      </c>
      <c r="B162" t="s">
        <v>2011</v>
      </c>
      <c r="C162" t="s">
        <v>3354</v>
      </c>
      <c r="D162" t="s">
        <v>3355</v>
      </c>
      <c r="E162" t="s">
        <v>4</v>
      </c>
      <c r="F162" s="17">
        <v>45618</v>
      </c>
      <c r="G162">
        <v>41.25</v>
      </c>
      <c r="H162" t="s">
        <v>36</v>
      </c>
      <c r="I162" t="s">
        <v>3365</v>
      </c>
      <c r="J162" t="str">
        <f>_xlfn.XLOOKUP(Table8[[#This Row],[Supporter_ID]],tb1_supporters[Supporter_ID ],tb1_supporters[Segment],"")</f>
        <v>Regular Giver</v>
      </c>
      <c r="K162" t="str">
        <f>_xlfn.XLOOKUP(Table8[[#This Row],[Supporter_ID]],tb1_supporters[Supporter_ID ],tb1_supporters[Acquisition_Source],"")</f>
        <v>Door-To-Door</v>
      </c>
      <c r="L162" t="str">
        <f>_xlfn.XLOOKUP(Table8[[#This Row],[Supporter_ID]],tb1_supporters[Supporter_ID ],tb1_supporters[County],"")</f>
        <v>South Glamorgan</v>
      </c>
      <c r="M162" t="str">
        <f>_xlfn.XLOOKUP(Table8[[#This Row],[Supporter_ID]],tb1_supporters[Supporter_ID ],tb1_supporters[Gender],"")</f>
        <v>Female</v>
      </c>
      <c r="N162">
        <f ca="1">_xlfn.XLOOKUP(Table8[[#This Row],[Supporter_ID]],tb1_supporters[Supporter_ID ],tb1_supporters[Age],"")</f>
        <v>23</v>
      </c>
      <c r="O162" t="str">
        <f ca="1">_xlfn.XLOOKUP(Table8[[#This Row],[Supporter_ID]],tb1_supporters[Supporter_ID ],tb1_supporters[Age_Band],"")</f>
        <v>18-34</v>
      </c>
      <c r="P162" t="str">
        <f ca="1">IF(Table8[[#This Row],[Age_Band]]="","Unknown",Table8[[#This Row],[Age_Band]])</f>
        <v>18-34</v>
      </c>
      <c r="Q162" t="str">
        <f>_xlfn.XLOOKUP(Table8[[#This Row],[Supporter_ID]],tb1_supporters[Supporter_ID ],tb1_supporters[Communication_Preference],"")</f>
        <v>Email</v>
      </c>
      <c r="R162" t="str">
        <f>_xlfn.XLOOKUP(Table8[[#This Row],[Supporter_ID]],tb1_supporters[Supporter_ID ],tb1_supporters[Duplicate_Profile_Flag],"")</f>
        <v/>
      </c>
      <c r="S162" t="str">
        <f>_xlfn.XLOOKUP(Table8[[#This Row],[Supporter_ID]],tb1_supporters[Supporter_ID ],tb1_supporters[Preference_Compliance_Flag],"")</f>
        <v/>
      </c>
      <c r="T162" t="str">
        <f ca="1">IF(Table8[[#This Row],[Age]]="","Review - missing DOB",IF(Table8[[#This Row],[Age]]&gt;TODAY(),"Review - future DOB",IF(Table8[[#This Row],[Age]]=0,"Review -  potential entry error (age 0)","")))</f>
        <v/>
      </c>
      <c r="U162" t="str">
        <f>_xlfn.XLOOKUP(Table8[[#This Row],[Campaign_Code]],tb3_CampaignMaster[Campaign_Code],tb3_CampaignMaster[Campaign_Type],"")</f>
        <v>Event</v>
      </c>
      <c r="V162" t="str">
        <f>_xlfn.XLOOKUP(Table8[[#This Row],[Campaign_Code]],tb3_CampaignMaster[Campaign_Code],tb3_CampaignMaster[Target_Audience],"")</f>
        <v>Volunteers</v>
      </c>
      <c r="W162" s="17">
        <f>_xlfn.XLOOKUP(Table8[[#This Row],[Campaign_Code]],tb3_CampaignMaster[Campaign_Code],tb3_CampaignMaster[Start_Date],"")</f>
        <v>45618</v>
      </c>
      <c r="X162" s="17">
        <f>_xlfn.XLOOKUP(Table8[[#This Row],[Campaign_Code]],tb3_CampaignMaster[Campaign_Code],tb3_CampaignMaster[End_Date],"")</f>
        <v>45618</v>
      </c>
      <c r="Y162">
        <f>_xlfn.XLOOKUP(Table8[[#This Row],[Campaign_Code]],tb3_CampaignMaster[Campaign_Code],tb3_CampaignMaster[Budget_GBP],"")</f>
        <v>3500</v>
      </c>
      <c r="Z162" t="str">
        <f>_xlfn.XLOOKUP(Table8[[#This Row],[Campaign_Code]],tb3_CampaignMaster[Campaign_Code],tb3_CampaignMaster[Primary_Channel],"")</f>
        <v>Email</v>
      </c>
      <c r="AA162" s="13">
        <f>IF(Table8[[#This Row],[Gift_Aid_Eligible]]="Yes",Table8[[#This Row],[Gift_Amount]]*1.25,Table8[[#This Row],[Gift_Amount]])</f>
        <v>51.5625</v>
      </c>
      <c r="AB162" t="str">
        <f>IF(Table8[[#This Row],[Supporter_ID]]="","Review - missing supporter ID","")</f>
        <v/>
      </c>
      <c r="AC162" t="str">
        <f>IF(OR(Table8[[#This Row],[Response_Date]]&lt;Table8[[#This Row],[Start_Date]],Table8[[#This Row],[Response_Date]]&gt;Table8[[#This Row],[End_Date]]),"Review - response outside campaign dates","")</f>
        <v/>
      </c>
      <c r="AD162" t="str">
        <f>IF(Table8[[#This Row],[Campaign_Type]]="","Review - campaign code not found","")</f>
        <v/>
      </c>
    </row>
    <row r="163" spans="1:30" x14ac:dyDescent="0.25">
      <c r="A163" t="s">
        <v>3650</v>
      </c>
      <c r="B163" t="s">
        <v>156</v>
      </c>
      <c r="C163" t="s">
        <v>3362</v>
      </c>
      <c r="D163" t="s">
        <v>3363</v>
      </c>
      <c r="E163" t="s">
        <v>65</v>
      </c>
      <c r="F163" s="17">
        <v>45578</v>
      </c>
      <c r="G163">
        <v>21.22</v>
      </c>
      <c r="H163" t="s">
        <v>36</v>
      </c>
      <c r="I163" t="s">
        <v>3334</v>
      </c>
      <c r="J163" t="str">
        <f>_xlfn.XLOOKUP(Table8[[#This Row],[Supporter_ID]],tb1_supporters[Supporter_ID ],tb1_supporters[Segment],"")</f>
        <v>Regular Giver</v>
      </c>
      <c r="K163" t="str">
        <f>_xlfn.XLOOKUP(Table8[[#This Row],[Supporter_ID]],tb1_supporters[Supporter_ID ],tb1_supporters[Acquisition_Source],"")</f>
        <v>Door-To-Door</v>
      </c>
      <c r="L163" t="str">
        <f>_xlfn.XLOOKUP(Table8[[#This Row],[Supporter_ID]],tb1_supporters[Supporter_ID ],tb1_supporters[County],"")</f>
        <v>South Yorkshire</v>
      </c>
      <c r="M163" t="str">
        <f>_xlfn.XLOOKUP(Table8[[#This Row],[Supporter_ID]],tb1_supporters[Supporter_ID ],tb1_supporters[Gender],"")</f>
        <v>Male</v>
      </c>
      <c r="N163">
        <f ca="1">_xlfn.XLOOKUP(Table8[[#This Row],[Supporter_ID]],tb1_supporters[Supporter_ID ],tb1_supporters[Age],"")</f>
        <v>59</v>
      </c>
      <c r="O163" t="str">
        <f ca="1">_xlfn.XLOOKUP(Table8[[#This Row],[Supporter_ID]],tb1_supporters[Supporter_ID ],tb1_supporters[Age_Band],"")</f>
        <v>50-64</v>
      </c>
      <c r="P163" t="str">
        <f ca="1">IF(Table8[[#This Row],[Age_Band]]="","Unknown",Table8[[#This Row],[Age_Band]])</f>
        <v>50-64</v>
      </c>
      <c r="Q163" t="str">
        <f>_xlfn.XLOOKUP(Table8[[#This Row],[Supporter_ID]],tb1_supporters[Supporter_ID ],tb1_supporters[Communication_Preference],"")</f>
        <v>Post</v>
      </c>
      <c r="R163" t="str">
        <f>_xlfn.XLOOKUP(Table8[[#This Row],[Supporter_ID]],tb1_supporters[Supporter_ID ],tb1_supporters[Duplicate_Profile_Flag],"")</f>
        <v>Review - duplicate record, see Supporter_Duplicates tab</v>
      </c>
      <c r="S163" t="str">
        <f>_xlfn.XLOOKUP(Table8[[#This Row],[Supporter_ID]],tb1_supporters[Supporter_ID ],tb1_supporters[Preference_Compliance_Flag],"")</f>
        <v/>
      </c>
      <c r="T163" t="str">
        <f ca="1">IF(Table8[[#This Row],[Age]]="","Review - missing DOB",IF(Table8[[#This Row],[Age]]&gt;TODAY(),"Review - future DOB",IF(Table8[[#This Row],[Age]]=0,"Review -  potential entry error (age 0)","")))</f>
        <v/>
      </c>
      <c r="U163" t="str">
        <f>_xlfn.XLOOKUP(Table8[[#This Row],[Campaign_Code]],tb3_CampaignMaster[Campaign_Code],tb3_CampaignMaster[Campaign_Type],"")</f>
        <v>Legacy</v>
      </c>
      <c r="V163" t="str">
        <f>_xlfn.XLOOKUP(Table8[[#This Row],[Campaign_Code]],tb3_CampaignMaster[Campaign_Code],tb3_CampaignMaster[Target_Audience],"")</f>
        <v>Over 55s</v>
      </c>
      <c r="W163" s="17">
        <f>_xlfn.XLOOKUP(Table8[[#This Row],[Campaign_Code]],tb3_CampaignMaster[Campaign_Code],tb3_CampaignMaster[Start_Date],"")</f>
        <v>45572</v>
      </c>
      <c r="X163" s="17">
        <f>_xlfn.XLOOKUP(Table8[[#This Row],[Campaign_Code]],tb3_CampaignMaster[Campaign_Code],tb3_CampaignMaster[End_Date],"")</f>
        <v>45578</v>
      </c>
      <c r="Y163">
        <f>_xlfn.XLOOKUP(Table8[[#This Row],[Campaign_Code]],tb3_CampaignMaster[Campaign_Code],tb3_CampaignMaster[Budget_GBP],"")</f>
        <v>5000</v>
      </c>
      <c r="Z163" t="str">
        <f>_xlfn.XLOOKUP(Table8[[#This Row],[Campaign_Code]],tb3_CampaignMaster[Campaign_Code],tb3_CampaignMaster[Primary_Channel],"")</f>
        <v>Direct Mail</v>
      </c>
      <c r="AA163" s="13">
        <f>IF(Table8[[#This Row],[Gift_Aid_Eligible]]="Yes",Table8[[#This Row],[Gift_Amount]]*1.25,Table8[[#This Row],[Gift_Amount]])</f>
        <v>26.524999999999999</v>
      </c>
      <c r="AB163" t="str">
        <f>IF(Table8[[#This Row],[Supporter_ID]]="","Review - missing supporter ID","")</f>
        <v/>
      </c>
      <c r="AC163" t="str">
        <f>IF(OR(Table8[[#This Row],[Response_Date]]&lt;Table8[[#This Row],[Start_Date]],Table8[[#This Row],[Response_Date]]&gt;Table8[[#This Row],[End_Date]]),"Review - response outside campaign dates","")</f>
        <v/>
      </c>
      <c r="AD163" t="str">
        <f>IF(Table8[[#This Row],[Campaign_Type]]="","Review - campaign code not found","")</f>
        <v/>
      </c>
    </row>
    <row r="164" spans="1:30" x14ac:dyDescent="0.25">
      <c r="A164" t="s">
        <v>3652</v>
      </c>
      <c r="B164" t="s">
        <v>1065</v>
      </c>
      <c r="C164" t="s">
        <v>3367</v>
      </c>
      <c r="D164" t="s">
        <v>3368</v>
      </c>
      <c r="E164" t="s">
        <v>65</v>
      </c>
      <c r="F164" s="17">
        <v>45744</v>
      </c>
      <c r="G164">
        <v>269.76</v>
      </c>
      <c r="H164" t="s">
        <v>36</v>
      </c>
      <c r="I164" t="s">
        <v>3370</v>
      </c>
      <c r="J164" t="str">
        <f>_xlfn.XLOOKUP(Table8[[#This Row],[Supporter_ID]],tb1_supporters[Supporter_ID ],tb1_supporters[Segment],"")</f>
        <v>Legacy Pledger</v>
      </c>
      <c r="K164" t="str">
        <f>_xlfn.XLOOKUP(Table8[[#This Row],[Supporter_ID]],tb1_supporters[Supporter_ID ],tb1_supporters[Acquisition_Source],"")</f>
        <v>Website</v>
      </c>
      <c r="L164" t="str">
        <f>_xlfn.XLOOKUP(Table8[[#This Row],[Supporter_ID]],tb1_supporters[Supporter_ID ],tb1_supporters[County],"")</f>
        <v>Merseyside</v>
      </c>
      <c r="M164" t="str">
        <f>_xlfn.XLOOKUP(Table8[[#This Row],[Supporter_ID]],tb1_supporters[Supporter_ID ],tb1_supporters[Gender],"")</f>
        <v>Male</v>
      </c>
      <c r="N164">
        <f ca="1">_xlfn.XLOOKUP(Table8[[#This Row],[Supporter_ID]],tb1_supporters[Supporter_ID ],tb1_supporters[Age],"")</f>
        <v>56</v>
      </c>
      <c r="O164" t="str">
        <f ca="1">_xlfn.XLOOKUP(Table8[[#This Row],[Supporter_ID]],tb1_supporters[Supporter_ID ],tb1_supporters[Age_Band],"")</f>
        <v>50-64</v>
      </c>
      <c r="P164" t="str">
        <f ca="1">IF(Table8[[#This Row],[Age_Band]]="","Unknown",Table8[[#This Row],[Age_Band]])</f>
        <v>50-64</v>
      </c>
      <c r="Q164" t="str">
        <f>_xlfn.XLOOKUP(Table8[[#This Row],[Supporter_ID]],tb1_supporters[Supporter_ID ],tb1_supporters[Communication_Preference],"")</f>
        <v>Email</v>
      </c>
      <c r="R164" t="str">
        <f>_xlfn.XLOOKUP(Table8[[#This Row],[Supporter_ID]],tb1_supporters[Supporter_ID ],tb1_supporters[Duplicate_Profile_Flag],"")</f>
        <v/>
      </c>
      <c r="S164" t="str">
        <f>_xlfn.XLOOKUP(Table8[[#This Row],[Supporter_ID]],tb1_supporters[Supporter_ID ],tb1_supporters[Preference_Compliance_Flag],"")</f>
        <v>Review - prefers email but not opted in</v>
      </c>
      <c r="T164" t="str">
        <f ca="1">IF(Table8[[#This Row],[Age]]="","Review - missing DOB",IF(Table8[[#This Row],[Age]]&gt;TODAY(),"Review - future DOB",IF(Table8[[#This Row],[Age]]=0,"Review -  potential entry error (age 0)","")))</f>
        <v/>
      </c>
      <c r="U164" t="str">
        <f>_xlfn.XLOOKUP(Table8[[#This Row],[Campaign_Code]],tb3_CampaignMaster[Campaign_Code],tb3_CampaignMaster[Campaign_Type],"")</f>
        <v>Raffle</v>
      </c>
      <c r="V164" t="str">
        <f>_xlfn.XLOOKUP(Table8[[#This Row],[Campaign_Code]],tb3_CampaignMaster[Campaign_Code],tb3_CampaignMaster[Target_Audience],"")</f>
        <v>Regular Givers</v>
      </c>
      <c r="W164" s="17">
        <f>_xlfn.XLOOKUP(Table8[[#This Row],[Campaign_Code]],tb3_CampaignMaster[Campaign_Code],tb3_CampaignMaster[Start_Date],"")</f>
        <v>45717</v>
      </c>
      <c r="X164" s="17">
        <f>_xlfn.XLOOKUP(Table8[[#This Row],[Campaign_Code]],tb3_CampaignMaster[Campaign_Code],tb3_CampaignMaster[End_Date],"")</f>
        <v>45777</v>
      </c>
      <c r="Y164">
        <f>_xlfn.XLOOKUP(Table8[[#This Row],[Campaign_Code]],tb3_CampaignMaster[Campaign_Code],tb3_CampaignMaster[Budget_GBP],"")</f>
        <v>8000</v>
      </c>
      <c r="Z164" t="str">
        <f>_xlfn.XLOOKUP(Table8[[#This Row],[Campaign_Code]],tb3_CampaignMaster[Campaign_Code],tb3_CampaignMaster[Primary_Channel],"")</f>
        <v>Direct Mail</v>
      </c>
      <c r="AA164" s="13">
        <f>IF(Table8[[#This Row],[Gift_Aid_Eligible]]="Yes",Table8[[#This Row],[Gift_Amount]]*1.25,Table8[[#This Row],[Gift_Amount]])</f>
        <v>337.2</v>
      </c>
      <c r="AB164" t="str">
        <f>IF(Table8[[#This Row],[Supporter_ID]]="","Review - missing supporter ID","")</f>
        <v/>
      </c>
      <c r="AC164" t="str">
        <f>IF(OR(Table8[[#This Row],[Response_Date]]&lt;Table8[[#This Row],[Start_Date]],Table8[[#This Row],[Response_Date]]&gt;Table8[[#This Row],[End_Date]]),"Review - response outside campaign dates","")</f>
        <v/>
      </c>
      <c r="AD164" t="str">
        <f>IF(Table8[[#This Row],[Campaign_Type]]="","Review - campaign code not found","")</f>
        <v/>
      </c>
    </row>
    <row r="165" spans="1:30" x14ac:dyDescent="0.25">
      <c r="A165" t="s">
        <v>3654</v>
      </c>
      <c r="B165" t="s">
        <v>1749</v>
      </c>
      <c r="C165" t="s">
        <v>3325</v>
      </c>
      <c r="D165" t="s">
        <v>3326</v>
      </c>
      <c r="E165" t="s">
        <v>3338</v>
      </c>
      <c r="F165" s="17">
        <v>45639</v>
      </c>
      <c r="G165">
        <v>44.34</v>
      </c>
      <c r="H165" t="s">
        <v>36</v>
      </c>
      <c r="I165" t="s">
        <v>3370</v>
      </c>
      <c r="J165" t="str">
        <f>_xlfn.XLOOKUP(Table8[[#This Row],[Supporter_ID]],tb1_supporters[Supporter_ID ],tb1_supporters[Segment],"")</f>
        <v>One-Time Donor</v>
      </c>
      <c r="K165" t="str">
        <f>_xlfn.XLOOKUP(Table8[[#This Row],[Supporter_ID]],tb1_supporters[Supporter_ID ],tb1_supporters[Acquisition_Source],"")</f>
        <v>Social Media</v>
      </c>
      <c r="L165" t="str">
        <f>_xlfn.XLOOKUP(Table8[[#This Row],[Supporter_ID]],tb1_supporters[Supporter_ID ],tb1_supporters[County],"")</f>
        <v>Bedfordshire</v>
      </c>
      <c r="M165" t="str">
        <f>_xlfn.XLOOKUP(Table8[[#This Row],[Supporter_ID]],tb1_supporters[Supporter_ID ],tb1_supporters[Gender],"")</f>
        <v>Female</v>
      </c>
      <c r="N165">
        <f ca="1">_xlfn.XLOOKUP(Table8[[#This Row],[Supporter_ID]],tb1_supporters[Supporter_ID ],tb1_supporters[Age],"")</f>
        <v>58</v>
      </c>
      <c r="O165" t="str">
        <f ca="1">_xlfn.XLOOKUP(Table8[[#This Row],[Supporter_ID]],tb1_supporters[Supporter_ID ],tb1_supporters[Age_Band],"")</f>
        <v>50-64</v>
      </c>
      <c r="P165" t="str">
        <f ca="1">IF(Table8[[#This Row],[Age_Band]]="","Unknown",Table8[[#This Row],[Age_Band]])</f>
        <v>50-64</v>
      </c>
      <c r="Q165" t="str">
        <f>_xlfn.XLOOKUP(Table8[[#This Row],[Supporter_ID]],tb1_supporters[Supporter_ID ],tb1_supporters[Communication_Preference],"")</f>
        <v>Email</v>
      </c>
      <c r="R165" t="str">
        <f>_xlfn.XLOOKUP(Table8[[#This Row],[Supporter_ID]],tb1_supporters[Supporter_ID ],tb1_supporters[Duplicate_Profile_Flag],"")</f>
        <v/>
      </c>
      <c r="S165" t="str">
        <f>_xlfn.XLOOKUP(Table8[[#This Row],[Supporter_ID]],tb1_supporters[Supporter_ID ],tb1_supporters[Preference_Compliance_Flag],"")</f>
        <v/>
      </c>
      <c r="T165" t="str">
        <f ca="1">IF(Table8[[#This Row],[Age]]="","Review - missing DOB",IF(Table8[[#This Row],[Age]]&gt;TODAY(),"Review - future DOB",IF(Table8[[#This Row],[Age]]=0,"Review -  potential entry error (age 0)","")))</f>
        <v/>
      </c>
      <c r="U165" t="str">
        <f>_xlfn.XLOOKUP(Table8[[#This Row],[Campaign_Code]],tb3_CampaignMaster[Campaign_Code],tb3_CampaignMaster[Campaign_Type],"")</f>
        <v>Appeal</v>
      </c>
      <c r="V165" t="str">
        <f>_xlfn.XLOOKUP(Table8[[#This Row],[Campaign_Code]],tb3_CampaignMaster[Campaign_Code],tb3_CampaignMaster[Target_Audience],"")</f>
        <v>All Active</v>
      </c>
      <c r="W165" s="17">
        <f>_xlfn.XLOOKUP(Table8[[#This Row],[Campaign_Code]],tb3_CampaignMaster[Campaign_Code],tb3_CampaignMaster[Start_Date],"")</f>
        <v>45597</v>
      </c>
      <c r="X165" s="17">
        <f>_xlfn.XLOOKUP(Table8[[#This Row],[Campaign_Code]],tb3_CampaignMaster[Campaign_Code],tb3_CampaignMaster[End_Date],"")</f>
        <v>45657</v>
      </c>
      <c r="Y165">
        <f>_xlfn.XLOOKUP(Table8[[#This Row],[Campaign_Code]],tb3_CampaignMaster[Campaign_Code],tb3_CampaignMaster[Budget_GBP],"")</f>
        <v>25000</v>
      </c>
      <c r="Z165" t="str">
        <f>_xlfn.XLOOKUP(Table8[[#This Row],[Campaign_Code]],tb3_CampaignMaster[Campaign_Code],tb3_CampaignMaster[Primary_Channel],"")</f>
        <v>Multi-channel</v>
      </c>
      <c r="AA165" s="13">
        <f>IF(Table8[[#This Row],[Gift_Aid_Eligible]]="Yes",Table8[[#This Row],[Gift_Amount]]*1.25,Table8[[#This Row],[Gift_Amount]])</f>
        <v>55.425000000000004</v>
      </c>
      <c r="AB165" t="str">
        <f>IF(Table8[[#This Row],[Supporter_ID]]="","Review - missing supporter ID","")</f>
        <v/>
      </c>
      <c r="AC165" t="str">
        <f>IF(OR(Table8[[#This Row],[Response_Date]]&lt;Table8[[#This Row],[Start_Date]],Table8[[#This Row],[Response_Date]]&gt;Table8[[#This Row],[End_Date]]),"Review - response outside campaign dates","")</f>
        <v/>
      </c>
      <c r="AD165" t="str">
        <f>IF(Table8[[#This Row],[Campaign_Type]]="","Review - campaign code not found","")</f>
        <v/>
      </c>
    </row>
    <row r="166" spans="1:30" x14ac:dyDescent="0.25">
      <c r="A166" t="s">
        <v>3656</v>
      </c>
      <c r="B166" t="s">
        <v>1161</v>
      </c>
      <c r="C166" t="s">
        <v>3320</v>
      </c>
      <c r="D166" t="s">
        <v>3321</v>
      </c>
      <c r="E166" t="s">
        <v>4</v>
      </c>
      <c r="F166" s="17">
        <v>45453</v>
      </c>
      <c r="G166">
        <v>133.04</v>
      </c>
      <c r="H166" t="s">
        <v>37</v>
      </c>
      <c r="I166" t="s">
        <v>3323</v>
      </c>
      <c r="J166" t="str">
        <f>_xlfn.XLOOKUP(Table8[[#This Row],[Supporter_ID]],tb1_supporters[Supporter_ID ],tb1_supporters[Segment],"")</f>
        <v>Mid-Value</v>
      </c>
      <c r="K166" t="str">
        <f>_xlfn.XLOOKUP(Table8[[#This Row],[Supporter_ID]],tb1_supporters[Supporter_ID ],tb1_supporters[Acquisition_Source],"")</f>
        <v>Referral</v>
      </c>
      <c r="L166" t="str">
        <f>_xlfn.XLOOKUP(Table8[[#This Row],[Supporter_ID]],tb1_supporters[Supporter_ID ],tb1_supporters[County],"")</f>
        <v>Nottinghamshire</v>
      </c>
      <c r="M166" t="str">
        <f>_xlfn.XLOOKUP(Table8[[#This Row],[Supporter_ID]],tb1_supporters[Supporter_ID ],tb1_supporters[Gender],"")</f>
        <v>Male</v>
      </c>
      <c r="N166">
        <f ca="1">_xlfn.XLOOKUP(Table8[[#This Row],[Supporter_ID]],tb1_supporters[Supporter_ID ],tb1_supporters[Age],"")</f>
        <v>35</v>
      </c>
      <c r="O166" t="str">
        <f ca="1">_xlfn.XLOOKUP(Table8[[#This Row],[Supporter_ID]],tb1_supporters[Supporter_ID ],tb1_supporters[Age_Band],"")</f>
        <v>35-49</v>
      </c>
      <c r="P166" t="str">
        <f ca="1">IF(Table8[[#This Row],[Age_Band]]="","Unknown",Table8[[#This Row],[Age_Band]])</f>
        <v>35-49</v>
      </c>
      <c r="Q166" t="str">
        <f>_xlfn.XLOOKUP(Table8[[#This Row],[Supporter_ID]],tb1_supporters[Supporter_ID ],tb1_supporters[Communication_Preference],"")</f>
        <v>Email</v>
      </c>
      <c r="R166" t="str">
        <f>_xlfn.XLOOKUP(Table8[[#This Row],[Supporter_ID]],tb1_supporters[Supporter_ID ],tb1_supporters[Duplicate_Profile_Flag],"")</f>
        <v/>
      </c>
      <c r="S166" t="str">
        <f>_xlfn.XLOOKUP(Table8[[#This Row],[Supporter_ID]],tb1_supporters[Supporter_ID ],tb1_supporters[Preference_Compliance_Flag],"")</f>
        <v/>
      </c>
      <c r="T166" t="str">
        <f ca="1">IF(Table8[[#This Row],[Age]]="","Review - missing DOB",IF(Table8[[#This Row],[Age]]&gt;TODAY(),"Review - future DOB",IF(Table8[[#This Row],[Age]]=0,"Review -  potential entry error (age 0)","")))</f>
        <v/>
      </c>
      <c r="U166" t="str">
        <f>_xlfn.XLOOKUP(Table8[[#This Row],[Campaign_Code]],tb3_CampaignMaster[Campaign_Code],tb3_CampaignMaster[Campaign_Type],"")</f>
        <v>Stewardship</v>
      </c>
      <c r="V166" t="str">
        <f>_xlfn.XLOOKUP(Table8[[#This Row],[Campaign_Code]],tb3_CampaignMaster[Campaign_Code],tb3_CampaignMaster[Target_Audience],"")</f>
        <v>Major Donors</v>
      </c>
      <c r="W166" s="17">
        <f>_xlfn.XLOOKUP(Table8[[#This Row],[Campaign_Code]],tb3_CampaignMaster[Campaign_Code],tb3_CampaignMaster[Start_Date],"")</f>
        <v>45444</v>
      </c>
      <c r="X166" s="17">
        <f>_xlfn.XLOOKUP(Table8[[#This Row],[Campaign_Code]],tb3_CampaignMaster[Campaign_Code],tb3_CampaignMaster[End_Date],"")</f>
        <v>45473</v>
      </c>
      <c r="Y166">
        <f>_xlfn.XLOOKUP(Table8[[#This Row],[Campaign_Code]],tb3_CampaignMaster[Campaign_Code],tb3_CampaignMaster[Budget_GBP],"")</f>
        <v>7000</v>
      </c>
      <c r="Z166" t="str">
        <f>_xlfn.XLOOKUP(Table8[[#This Row],[Campaign_Code]],tb3_CampaignMaster[Campaign_Code],tb3_CampaignMaster[Primary_Channel],"")</f>
        <v>Direct Mail</v>
      </c>
      <c r="AA166" s="13">
        <f>IF(Table8[[#This Row],[Gift_Aid_Eligible]]="Yes",Table8[[#This Row],[Gift_Amount]]*1.25,Table8[[#This Row],[Gift_Amount]])</f>
        <v>133.04</v>
      </c>
      <c r="AB166" t="str">
        <f>IF(Table8[[#This Row],[Supporter_ID]]="","Review - missing supporter ID","")</f>
        <v/>
      </c>
      <c r="AC166" t="str">
        <f>IF(OR(Table8[[#This Row],[Response_Date]]&lt;Table8[[#This Row],[Start_Date]],Table8[[#This Row],[Response_Date]]&gt;Table8[[#This Row],[End_Date]]),"Review - response outside campaign dates","")</f>
        <v/>
      </c>
      <c r="AD166" t="str">
        <f>IF(Table8[[#This Row],[Campaign_Type]]="","Review - campaign code not found","")</f>
        <v/>
      </c>
    </row>
    <row r="167" spans="1:30" x14ac:dyDescent="0.25">
      <c r="A167" t="s">
        <v>3658</v>
      </c>
      <c r="B167" t="s">
        <v>1380</v>
      </c>
      <c r="C167" t="s">
        <v>3336</v>
      </c>
      <c r="D167" t="s">
        <v>3337</v>
      </c>
      <c r="E167" t="s">
        <v>3338</v>
      </c>
      <c r="F167" s="17">
        <v>45551</v>
      </c>
      <c r="G167">
        <v>57.35</v>
      </c>
      <c r="H167" t="s">
        <v>36</v>
      </c>
      <c r="I167" t="s">
        <v>3385</v>
      </c>
      <c r="J167" t="str">
        <f>_xlfn.XLOOKUP(Table8[[#This Row],[Supporter_ID]],tb1_supporters[Supporter_ID ],tb1_supporters[Segment],"")</f>
        <v>Mid-Value</v>
      </c>
      <c r="K167" t="str">
        <f>_xlfn.XLOOKUP(Table8[[#This Row],[Supporter_ID]],tb1_supporters[Supporter_ID ],tb1_supporters[Acquisition_Source],"")</f>
        <v>Direct Mail</v>
      </c>
      <c r="L167" t="str">
        <f>_xlfn.XLOOKUP(Table8[[#This Row],[Supporter_ID]],tb1_supporters[Supporter_ID ],tb1_supporters[County],"")</f>
        <v>Kent</v>
      </c>
      <c r="M167" t="str">
        <f>_xlfn.XLOOKUP(Table8[[#This Row],[Supporter_ID]],tb1_supporters[Supporter_ID ],tb1_supporters[Gender],"")</f>
        <v>Male</v>
      </c>
      <c r="N167">
        <f ca="1">_xlfn.XLOOKUP(Table8[[#This Row],[Supporter_ID]],tb1_supporters[Supporter_ID ],tb1_supporters[Age],"")</f>
        <v>65</v>
      </c>
      <c r="O167" t="str">
        <f ca="1">_xlfn.XLOOKUP(Table8[[#This Row],[Supporter_ID]],tb1_supporters[Supporter_ID ],tb1_supporters[Age_Band],"")</f>
        <v>65+</v>
      </c>
      <c r="P167" t="str">
        <f ca="1">IF(Table8[[#This Row],[Age_Band]]="","Unknown",Table8[[#This Row],[Age_Band]])</f>
        <v>65+</v>
      </c>
      <c r="Q167" t="str">
        <f>_xlfn.XLOOKUP(Table8[[#This Row],[Supporter_ID]],tb1_supporters[Supporter_ID ],tb1_supporters[Communication_Preference],"")</f>
        <v>Do Not Contact</v>
      </c>
      <c r="R167" t="str">
        <f>_xlfn.XLOOKUP(Table8[[#This Row],[Supporter_ID]],tb1_supporters[Supporter_ID ],tb1_supporters[Duplicate_Profile_Flag],"")</f>
        <v/>
      </c>
      <c r="S167" t="str">
        <f>_xlfn.XLOOKUP(Table8[[#This Row],[Supporter_ID]],tb1_supporters[Supporter_ID ],tb1_supporters[Preference_Compliance_Flag],"")</f>
        <v/>
      </c>
      <c r="T167" t="str">
        <f ca="1">IF(Table8[[#This Row],[Age]]="","Review - missing DOB",IF(Table8[[#This Row],[Age]]&gt;TODAY(),"Review - future DOB",IF(Table8[[#This Row],[Age]]=0,"Review -  potential entry error (age 0)","")))</f>
        <v/>
      </c>
      <c r="U167" t="str">
        <f>_xlfn.XLOOKUP(Table8[[#This Row],[Campaign_Code]],tb3_CampaignMaster[Campaign_Code],tb3_CampaignMaster[Campaign_Type],"")</f>
        <v>Appeal</v>
      </c>
      <c r="V167" t="str">
        <f>_xlfn.XLOOKUP(Table8[[#This Row],[Campaign_Code]],tb3_CampaignMaster[Campaign_Code],tb3_CampaignMaster[Target_Audience],"")</f>
        <v>All Supporters</v>
      </c>
      <c r="W167" s="17">
        <f>_xlfn.XLOOKUP(Table8[[#This Row],[Campaign_Code]],tb3_CampaignMaster[Campaign_Code],tb3_CampaignMaster[Start_Date],"")</f>
        <v>45545</v>
      </c>
      <c r="X167" s="17">
        <f>_xlfn.XLOOKUP(Table8[[#This Row],[Campaign_Code]],tb3_CampaignMaster[Campaign_Code],tb3_CampaignMaster[End_Date],"")</f>
        <v>45580</v>
      </c>
      <c r="Y167">
        <f>_xlfn.XLOOKUP(Table8[[#This Row],[Campaign_Code]],tb3_CampaignMaster[Campaign_Code],tb3_CampaignMaster[Budget_GBP],"")</f>
        <v>15000</v>
      </c>
      <c r="Z167" t="str">
        <f>_xlfn.XLOOKUP(Table8[[#This Row],[Campaign_Code]],tb3_CampaignMaster[Campaign_Code],tb3_CampaignMaster[Primary_Channel],"")</f>
        <v>Email</v>
      </c>
      <c r="AA167" s="13">
        <f>IF(Table8[[#This Row],[Gift_Aid_Eligible]]="Yes",Table8[[#This Row],[Gift_Amount]]*1.25,Table8[[#This Row],[Gift_Amount]])</f>
        <v>71.6875</v>
      </c>
      <c r="AB167" t="str">
        <f>IF(Table8[[#This Row],[Supporter_ID]]="","Review - missing supporter ID","")</f>
        <v/>
      </c>
      <c r="AC167" t="str">
        <f>IF(OR(Table8[[#This Row],[Response_Date]]&lt;Table8[[#This Row],[Start_Date]],Table8[[#This Row],[Response_Date]]&gt;Table8[[#This Row],[End_Date]]),"Review - response outside campaign dates","")</f>
        <v/>
      </c>
      <c r="AD167" t="str">
        <f>IF(Table8[[#This Row],[Campaign_Type]]="","Review - campaign code not found","")</f>
        <v/>
      </c>
    </row>
    <row r="168" spans="1:30" x14ac:dyDescent="0.25">
      <c r="A168" t="s">
        <v>3660</v>
      </c>
      <c r="B168" t="s">
        <v>38</v>
      </c>
      <c r="C168" t="s">
        <v>3314</v>
      </c>
      <c r="D168" t="s">
        <v>3315</v>
      </c>
      <c r="E168" t="s">
        <v>65</v>
      </c>
      <c r="F168" s="17">
        <v>45688</v>
      </c>
      <c r="G168">
        <v>13.14</v>
      </c>
      <c r="H168" t="s">
        <v>37</v>
      </c>
      <c r="I168" t="s">
        <v>3323</v>
      </c>
      <c r="J168" t="str">
        <f>_xlfn.XLOOKUP(Table8[[#This Row],[Supporter_ID]],tb1_supporters[Supporter_ID ],tb1_supporters[Segment],"")</f>
        <v>Prospect</v>
      </c>
      <c r="K168" t="str">
        <f>_xlfn.XLOOKUP(Table8[[#This Row],[Supporter_ID]],tb1_supporters[Supporter_ID ],tb1_supporters[Acquisition_Source],"")</f>
        <v>Referral</v>
      </c>
      <c r="L168" t="str">
        <f>_xlfn.XLOOKUP(Table8[[#This Row],[Supporter_ID]],tb1_supporters[Supporter_ID ],tb1_supporters[County],"")</f>
        <v>Grampian</v>
      </c>
      <c r="M168" t="str">
        <f>_xlfn.XLOOKUP(Table8[[#This Row],[Supporter_ID]],tb1_supporters[Supporter_ID ],tb1_supporters[Gender],"")</f>
        <v>Female</v>
      </c>
      <c r="N168">
        <f ca="1">_xlfn.XLOOKUP(Table8[[#This Row],[Supporter_ID]],tb1_supporters[Supporter_ID ],tb1_supporters[Age],"")</f>
        <v>75</v>
      </c>
      <c r="O168" t="str">
        <f ca="1">_xlfn.XLOOKUP(Table8[[#This Row],[Supporter_ID]],tb1_supporters[Supporter_ID ],tb1_supporters[Age_Band],"")</f>
        <v>65+</v>
      </c>
      <c r="P168" t="str">
        <f ca="1">IF(Table8[[#This Row],[Age_Band]]="","Unknown",Table8[[#This Row],[Age_Band]])</f>
        <v>65+</v>
      </c>
      <c r="Q168" t="str">
        <f>_xlfn.XLOOKUP(Table8[[#This Row],[Supporter_ID]],tb1_supporters[Supporter_ID ],tb1_supporters[Communication_Preference],"")</f>
        <v>No Preference</v>
      </c>
      <c r="R168" t="str">
        <f>_xlfn.XLOOKUP(Table8[[#This Row],[Supporter_ID]],tb1_supporters[Supporter_ID ],tb1_supporters[Duplicate_Profile_Flag],"")</f>
        <v/>
      </c>
      <c r="S168" t="str">
        <f>_xlfn.XLOOKUP(Table8[[#This Row],[Supporter_ID]],tb1_supporters[Supporter_ID ],tb1_supporters[Preference_Compliance_Flag],"")</f>
        <v/>
      </c>
      <c r="T168" t="str">
        <f ca="1">IF(Table8[[#This Row],[Age]]="","Review - missing DOB",IF(Table8[[#This Row],[Age]]&gt;TODAY(),"Review - future DOB",IF(Table8[[#This Row],[Age]]=0,"Review -  potential entry error (age 0)","")))</f>
        <v/>
      </c>
      <c r="U168" t="str">
        <f>_xlfn.XLOOKUP(Table8[[#This Row],[Campaign_Code]],tb3_CampaignMaster[Campaign_Code],tb3_CampaignMaster[Campaign_Type],"")</f>
        <v>Regular Giving</v>
      </c>
      <c r="V168" t="str">
        <f>_xlfn.XLOOKUP(Table8[[#This Row],[Campaign_Code]],tb3_CampaignMaster[Campaign_Code],tb3_CampaignMaster[Target_Audience],"")</f>
        <v>One-time Donors</v>
      </c>
      <c r="W168" s="17">
        <f>_xlfn.XLOOKUP(Table8[[#This Row],[Campaign_Code]],tb3_CampaignMaster[Campaign_Code],tb3_CampaignMaster[Start_Date],"")</f>
        <v>45663</v>
      </c>
      <c r="X168" s="17">
        <f>_xlfn.XLOOKUP(Table8[[#This Row],[Campaign_Code]],tb3_CampaignMaster[Campaign_Code],tb3_CampaignMaster[End_Date],"")</f>
        <v>45747</v>
      </c>
      <c r="Y168">
        <f>_xlfn.XLOOKUP(Table8[[#This Row],[Campaign_Code]],tb3_CampaignMaster[Campaign_Code],tb3_CampaignMaster[Budget_GBP],"")</f>
        <v>10000</v>
      </c>
      <c r="Z168" t="str">
        <f>_xlfn.XLOOKUP(Table8[[#This Row],[Campaign_Code]],tb3_CampaignMaster[Campaign_Code],tb3_CampaignMaster[Primary_Channel],"")</f>
        <v>Telephone</v>
      </c>
      <c r="AA168" s="13">
        <f>IF(Table8[[#This Row],[Gift_Aid_Eligible]]="Yes",Table8[[#This Row],[Gift_Amount]]*1.25,Table8[[#This Row],[Gift_Amount]])</f>
        <v>13.14</v>
      </c>
      <c r="AB168" t="str">
        <f>IF(Table8[[#This Row],[Supporter_ID]]="","Review - missing supporter ID","")</f>
        <v/>
      </c>
      <c r="AC168" t="str">
        <f>IF(OR(Table8[[#This Row],[Response_Date]]&lt;Table8[[#This Row],[Start_Date]],Table8[[#This Row],[Response_Date]]&gt;Table8[[#This Row],[End_Date]]),"Review - response outside campaign dates","")</f>
        <v/>
      </c>
      <c r="AD168" t="str">
        <f>IF(Table8[[#This Row],[Campaign_Type]]="","Review - campaign code not found","")</f>
        <v/>
      </c>
    </row>
    <row r="169" spans="1:30" x14ac:dyDescent="0.25">
      <c r="A169" t="s">
        <v>3662</v>
      </c>
      <c r="B169" t="s">
        <v>1982</v>
      </c>
      <c r="C169" t="s">
        <v>3403</v>
      </c>
      <c r="D169" t="s">
        <v>3404</v>
      </c>
      <c r="E169" t="s">
        <v>65</v>
      </c>
      <c r="F169" s="17">
        <v>45623</v>
      </c>
      <c r="G169">
        <v>185.87</v>
      </c>
      <c r="H169" t="s">
        <v>36</v>
      </c>
      <c r="I169" t="s">
        <v>3328</v>
      </c>
      <c r="J169" t="str">
        <f>_xlfn.XLOOKUP(Table8[[#This Row],[Supporter_ID]],tb1_supporters[Supporter_ID ],tb1_supporters[Segment],"")</f>
        <v>Legacy Pledger</v>
      </c>
      <c r="K169" t="str">
        <f>_xlfn.XLOOKUP(Table8[[#This Row],[Supporter_ID]],tb1_supporters[Supporter_ID ],tb1_supporters[Acquisition_Source],"")</f>
        <v>Direct Mail</v>
      </c>
      <c r="L169" t="str">
        <f>_xlfn.XLOOKUP(Table8[[#This Row],[Supporter_ID]],tb1_supporters[Supporter_ID ],tb1_supporters[County],"")</f>
        <v>Buckinghamshire</v>
      </c>
      <c r="M169" t="str">
        <f>_xlfn.XLOOKUP(Table8[[#This Row],[Supporter_ID]],tb1_supporters[Supporter_ID ],tb1_supporters[Gender],"")</f>
        <v>Male</v>
      </c>
      <c r="N169">
        <f ca="1">_xlfn.XLOOKUP(Table8[[#This Row],[Supporter_ID]],tb1_supporters[Supporter_ID ],tb1_supporters[Age],"")</f>
        <v>71</v>
      </c>
      <c r="O169" t="str">
        <f ca="1">_xlfn.XLOOKUP(Table8[[#This Row],[Supporter_ID]],tb1_supporters[Supporter_ID ],tb1_supporters[Age_Band],"")</f>
        <v>65+</v>
      </c>
      <c r="P169" t="str">
        <f ca="1">IF(Table8[[#This Row],[Age_Band]]="","Unknown",Table8[[#This Row],[Age_Band]])</f>
        <v>65+</v>
      </c>
      <c r="Q169" t="str">
        <f>_xlfn.XLOOKUP(Table8[[#This Row],[Supporter_ID]],tb1_supporters[Supporter_ID ],tb1_supporters[Communication_Preference],"")</f>
        <v>Post</v>
      </c>
      <c r="R169" t="str">
        <f>_xlfn.XLOOKUP(Table8[[#This Row],[Supporter_ID]],tb1_supporters[Supporter_ID ],tb1_supporters[Duplicate_Profile_Flag],"")</f>
        <v/>
      </c>
      <c r="S169" t="str">
        <f>_xlfn.XLOOKUP(Table8[[#This Row],[Supporter_ID]],tb1_supporters[Supporter_ID ],tb1_supporters[Preference_Compliance_Flag],"")</f>
        <v/>
      </c>
      <c r="T169" t="str">
        <f ca="1">IF(Table8[[#This Row],[Age]]="","Review - missing DOB",IF(Table8[[#This Row],[Age]]&gt;TODAY(),"Review - future DOB",IF(Table8[[#This Row],[Age]]=0,"Review -  potential entry error (age 0)","")))</f>
        <v/>
      </c>
      <c r="U169" t="str">
        <f>_xlfn.XLOOKUP(Table8[[#This Row],[Campaign_Code]],tb3_CampaignMaster[Campaign_Code],tb3_CampaignMaster[Campaign_Type],"")</f>
        <v>Trading</v>
      </c>
      <c r="V169" t="str">
        <f>_xlfn.XLOOKUP(Table8[[#This Row],[Campaign_Code]],tb3_CampaignMaster[Campaign_Code],tb3_CampaignMaster[Target_Audience],"")</f>
        <v>All Active</v>
      </c>
      <c r="W169" s="17">
        <f>_xlfn.XLOOKUP(Table8[[#This Row],[Campaign_Code]],tb3_CampaignMaster[Campaign_Code],tb3_CampaignMaster[Start_Date],"")</f>
        <v>45580</v>
      </c>
      <c r="X169" s="17">
        <f>_xlfn.XLOOKUP(Table8[[#This Row],[Campaign_Code]],tb3_CampaignMaster[Campaign_Code],tb3_CampaignMaster[End_Date],"")</f>
        <v>45646</v>
      </c>
      <c r="Y169">
        <f>_xlfn.XLOOKUP(Table8[[#This Row],[Campaign_Code]],tb3_CampaignMaster[Campaign_Code],tb3_CampaignMaster[Budget_GBP],"")</f>
        <v>12000</v>
      </c>
      <c r="Z169" t="str">
        <f>_xlfn.XLOOKUP(Table8[[#This Row],[Campaign_Code]],tb3_CampaignMaster[Campaign_Code],tb3_CampaignMaster[Primary_Channel],"")</f>
        <v>Multi-channel</v>
      </c>
      <c r="AA169" s="13">
        <f>IF(Table8[[#This Row],[Gift_Aid_Eligible]]="Yes",Table8[[#This Row],[Gift_Amount]]*1.25,Table8[[#This Row],[Gift_Amount]])</f>
        <v>232.33750000000001</v>
      </c>
      <c r="AB169" t="str">
        <f>IF(Table8[[#This Row],[Supporter_ID]]="","Review - missing supporter ID","")</f>
        <v/>
      </c>
      <c r="AC169" t="str">
        <f>IF(OR(Table8[[#This Row],[Response_Date]]&lt;Table8[[#This Row],[Start_Date]],Table8[[#This Row],[Response_Date]]&gt;Table8[[#This Row],[End_Date]]),"Review - response outside campaign dates","")</f>
        <v/>
      </c>
      <c r="AD169" t="str">
        <f>IF(Table8[[#This Row],[Campaign_Type]]="","Review - campaign code not found","")</f>
        <v/>
      </c>
    </row>
    <row r="170" spans="1:30" x14ac:dyDescent="0.25">
      <c r="A170" t="s">
        <v>3664</v>
      </c>
      <c r="B170" t="s">
        <v>2813</v>
      </c>
      <c r="C170" t="s">
        <v>3325</v>
      </c>
      <c r="D170" t="s">
        <v>3326</v>
      </c>
      <c r="E170" t="s">
        <v>3316</v>
      </c>
      <c r="F170" s="17">
        <v>45657</v>
      </c>
      <c r="G170">
        <v>147.26</v>
      </c>
      <c r="H170" t="s">
        <v>36</v>
      </c>
      <c r="I170" t="s">
        <v>3323</v>
      </c>
      <c r="J170" t="str">
        <f>_xlfn.XLOOKUP(Table8[[#This Row],[Supporter_ID]],tb1_supporters[Supporter_ID ],tb1_supporters[Segment],"")</f>
        <v>Legacy Pledger</v>
      </c>
      <c r="K170" t="str">
        <f>_xlfn.XLOOKUP(Table8[[#This Row],[Supporter_ID]],tb1_supporters[Supporter_ID ],tb1_supporters[Acquisition_Source],"")</f>
        <v>Corporate Partner</v>
      </c>
      <c r="L170" t="str">
        <f>_xlfn.XLOOKUP(Table8[[#This Row],[Supporter_ID]],tb1_supporters[Supporter_ID ],tb1_supporters[County],"")</f>
        <v>Somerset</v>
      </c>
      <c r="M170" t="str">
        <f>_xlfn.XLOOKUP(Table8[[#This Row],[Supporter_ID]],tb1_supporters[Supporter_ID ],tb1_supporters[Gender],"")</f>
        <v>Male</v>
      </c>
      <c r="N170">
        <f ca="1">_xlfn.XLOOKUP(Table8[[#This Row],[Supporter_ID]],tb1_supporters[Supporter_ID ],tb1_supporters[Age],"")</f>
        <v>74</v>
      </c>
      <c r="O170" t="str">
        <f ca="1">_xlfn.XLOOKUP(Table8[[#This Row],[Supporter_ID]],tb1_supporters[Supporter_ID ],tb1_supporters[Age_Band],"")</f>
        <v>65+</v>
      </c>
      <c r="P170" t="str">
        <f ca="1">IF(Table8[[#This Row],[Age_Band]]="","Unknown",Table8[[#This Row],[Age_Band]])</f>
        <v>65+</v>
      </c>
      <c r="Q170" t="str">
        <f>_xlfn.XLOOKUP(Table8[[#This Row],[Supporter_ID]],tb1_supporters[Supporter_ID ],tb1_supporters[Communication_Preference],"")</f>
        <v>Post</v>
      </c>
      <c r="R170" t="str">
        <f>_xlfn.XLOOKUP(Table8[[#This Row],[Supporter_ID]],tb1_supporters[Supporter_ID ],tb1_supporters[Duplicate_Profile_Flag],"")</f>
        <v/>
      </c>
      <c r="S170" t="str">
        <f>_xlfn.XLOOKUP(Table8[[#This Row],[Supporter_ID]],tb1_supporters[Supporter_ID ],tb1_supporters[Preference_Compliance_Flag],"")</f>
        <v/>
      </c>
      <c r="T170" t="str">
        <f ca="1">IF(Table8[[#This Row],[Age]]="","Review - missing DOB",IF(Table8[[#This Row],[Age]]&gt;TODAY(),"Review - future DOB",IF(Table8[[#This Row],[Age]]=0,"Review -  potential entry error (age 0)","")))</f>
        <v/>
      </c>
      <c r="U170" t="str">
        <f>_xlfn.XLOOKUP(Table8[[#This Row],[Campaign_Code]],tb3_CampaignMaster[Campaign_Code],tb3_CampaignMaster[Campaign_Type],"")</f>
        <v>Appeal</v>
      </c>
      <c r="V170" t="str">
        <f>_xlfn.XLOOKUP(Table8[[#This Row],[Campaign_Code]],tb3_CampaignMaster[Campaign_Code],tb3_CampaignMaster[Target_Audience],"")</f>
        <v>All Active</v>
      </c>
      <c r="W170" s="17">
        <f>_xlfn.XLOOKUP(Table8[[#This Row],[Campaign_Code]],tb3_CampaignMaster[Campaign_Code],tb3_CampaignMaster[Start_Date],"")</f>
        <v>45597</v>
      </c>
      <c r="X170" s="17">
        <f>_xlfn.XLOOKUP(Table8[[#This Row],[Campaign_Code]],tb3_CampaignMaster[Campaign_Code],tb3_CampaignMaster[End_Date],"")</f>
        <v>45657</v>
      </c>
      <c r="Y170">
        <f>_xlfn.XLOOKUP(Table8[[#This Row],[Campaign_Code]],tb3_CampaignMaster[Campaign_Code],tb3_CampaignMaster[Budget_GBP],"")</f>
        <v>25000</v>
      </c>
      <c r="Z170" t="str">
        <f>_xlfn.XLOOKUP(Table8[[#This Row],[Campaign_Code]],tb3_CampaignMaster[Campaign_Code],tb3_CampaignMaster[Primary_Channel],"")</f>
        <v>Multi-channel</v>
      </c>
      <c r="AA170" s="13">
        <f>IF(Table8[[#This Row],[Gift_Aid_Eligible]]="Yes",Table8[[#This Row],[Gift_Amount]]*1.25,Table8[[#This Row],[Gift_Amount]])</f>
        <v>184.07499999999999</v>
      </c>
      <c r="AB170" t="str">
        <f>IF(Table8[[#This Row],[Supporter_ID]]="","Review - missing supporter ID","")</f>
        <v/>
      </c>
      <c r="AC170" t="str">
        <f>IF(OR(Table8[[#This Row],[Response_Date]]&lt;Table8[[#This Row],[Start_Date]],Table8[[#This Row],[Response_Date]]&gt;Table8[[#This Row],[End_Date]]),"Review - response outside campaign dates","")</f>
        <v/>
      </c>
      <c r="AD170" t="str">
        <f>IF(Table8[[#This Row],[Campaign_Type]]="","Review - campaign code not found","")</f>
        <v/>
      </c>
    </row>
    <row r="171" spans="1:30" x14ac:dyDescent="0.25">
      <c r="A171" t="s">
        <v>3666</v>
      </c>
      <c r="B171" t="s">
        <v>1077</v>
      </c>
      <c r="C171" t="s">
        <v>3367</v>
      </c>
      <c r="D171" t="s">
        <v>3368</v>
      </c>
      <c r="E171" t="s">
        <v>4</v>
      </c>
      <c r="F171" s="17">
        <v>45735</v>
      </c>
      <c r="G171">
        <v>71.28</v>
      </c>
      <c r="H171" t="s">
        <v>37</v>
      </c>
      <c r="I171" t="s">
        <v>3385</v>
      </c>
      <c r="J171" t="str">
        <f>_xlfn.XLOOKUP(Table8[[#This Row],[Supporter_ID]],tb1_supporters[Supporter_ID ],tb1_supporters[Segment],"")</f>
        <v>Lapsed</v>
      </c>
      <c r="K171" t="str">
        <f>_xlfn.XLOOKUP(Table8[[#This Row],[Supporter_ID]],tb1_supporters[Supporter_ID ],tb1_supporters[Acquisition_Source],"")</f>
        <v>Referral</v>
      </c>
      <c r="L171" t="str">
        <f>_xlfn.XLOOKUP(Table8[[#This Row],[Supporter_ID]],tb1_supporters[Supporter_ID ],tb1_supporters[County],"")</f>
        <v>Angus</v>
      </c>
      <c r="M171" t="str">
        <f>_xlfn.XLOOKUP(Table8[[#This Row],[Supporter_ID]],tb1_supporters[Supporter_ID ],tb1_supporters[Gender],"")</f>
        <v>Female</v>
      </c>
      <c r="N171">
        <f ca="1">_xlfn.XLOOKUP(Table8[[#This Row],[Supporter_ID]],tb1_supporters[Supporter_ID ],tb1_supporters[Age],"")</f>
        <v>60</v>
      </c>
      <c r="O171" t="str">
        <f ca="1">_xlfn.XLOOKUP(Table8[[#This Row],[Supporter_ID]],tb1_supporters[Supporter_ID ],tb1_supporters[Age_Band],"")</f>
        <v>50-64</v>
      </c>
      <c r="P171" t="str">
        <f ca="1">IF(Table8[[#This Row],[Age_Band]]="","Unknown",Table8[[#This Row],[Age_Band]])</f>
        <v>50-64</v>
      </c>
      <c r="Q171" t="str">
        <f>_xlfn.XLOOKUP(Table8[[#This Row],[Supporter_ID]],tb1_supporters[Supporter_ID ],tb1_supporters[Communication_Preference],"")</f>
        <v>Phone</v>
      </c>
      <c r="R171" t="str">
        <f>_xlfn.XLOOKUP(Table8[[#This Row],[Supporter_ID]],tb1_supporters[Supporter_ID ],tb1_supporters[Duplicate_Profile_Flag],"")</f>
        <v/>
      </c>
      <c r="S171" t="str">
        <f>_xlfn.XLOOKUP(Table8[[#This Row],[Supporter_ID]],tb1_supporters[Supporter_ID ],tb1_supporters[Preference_Compliance_Flag],"")</f>
        <v/>
      </c>
      <c r="T171" t="str">
        <f ca="1">IF(Table8[[#This Row],[Age]]="","Review - missing DOB",IF(Table8[[#This Row],[Age]]&gt;TODAY(),"Review - future DOB",IF(Table8[[#This Row],[Age]]=0,"Review -  potential entry error (age 0)","")))</f>
        <v/>
      </c>
      <c r="U171" t="str">
        <f>_xlfn.XLOOKUP(Table8[[#This Row],[Campaign_Code]],tb3_CampaignMaster[Campaign_Code],tb3_CampaignMaster[Campaign_Type],"")</f>
        <v>Raffle</v>
      </c>
      <c r="V171" t="str">
        <f>_xlfn.XLOOKUP(Table8[[#This Row],[Campaign_Code]],tb3_CampaignMaster[Campaign_Code],tb3_CampaignMaster[Target_Audience],"")</f>
        <v>Regular Givers</v>
      </c>
      <c r="W171" s="17">
        <f>_xlfn.XLOOKUP(Table8[[#This Row],[Campaign_Code]],tb3_CampaignMaster[Campaign_Code],tb3_CampaignMaster[Start_Date],"")</f>
        <v>45717</v>
      </c>
      <c r="X171" s="17">
        <f>_xlfn.XLOOKUP(Table8[[#This Row],[Campaign_Code]],tb3_CampaignMaster[Campaign_Code],tb3_CampaignMaster[End_Date],"")</f>
        <v>45777</v>
      </c>
      <c r="Y171">
        <f>_xlfn.XLOOKUP(Table8[[#This Row],[Campaign_Code]],tb3_CampaignMaster[Campaign_Code],tb3_CampaignMaster[Budget_GBP],"")</f>
        <v>8000</v>
      </c>
      <c r="Z171" t="str">
        <f>_xlfn.XLOOKUP(Table8[[#This Row],[Campaign_Code]],tb3_CampaignMaster[Campaign_Code],tb3_CampaignMaster[Primary_Channel],"")</f>
        <v>Direct Mail</v>
      </c>
      <c r="AA171" s="13">
        <f>IF(Table8[[#This Row],[Gift_Aid_Eligible]]="Yes",Table8[[#This Row],[Gift_Amount]]*1.25,Table8[[#This Row],[Gift_Amount]])</f>
        <v>71.28</v>
      </c>
      <c r="AB171" t="str">
        <f>IF(Table8[[#This Row],[Supporter_ID]]="","Review - missing supporter ID","")</f>
        <v/>
      </c>
      <c r="AC171" t="str">
        <f>IF(OR(Table8[[#This Row],[Response_Date]]&lt;Table8[[#This Row],[Start_Date]],Table8[[#This Row],[Response_Date]]&gt;Table8[[#This Row],[End_Date]]),"Review - response outside campaign dates","")</f>
        <v/>
      </c>
      <c r="AD171" t="str">
        <f>IF(Table8[[#This Row],[Campaign_Type]]="","Review - campaign code not found","")</f>
        <v/>
      </c>
    </row>
    <row r="172" spans="1:30" x14ac:dyDescent="0.25">
      <c r="A172" t="s">
        <v>3668</v>
      </c>
      <c r="B172" t="s">
        <v>2603</v>
      </c>
      <c r="C172" t="s">
        <v>3325</v>
      </c>
      <c r="D172" t="s">
        <v>3326</v>
      </c>
      <c r="E172" t="s">
        <v>4</v>
      </c>
      <c r="F172" s="17">
        <v>45622</v>
      </c>
      <c r="G172">
        <v>223.59</v>
      </c>
      <c r="H172" t="s">
        <v>37</v>
      </c>
      <c r="I172" t="s">
        <v>3328</v>
      </c>
      <c r="J172" t="str">
        <f>_xlfn.XLOOKUP(Table8[[#This Row],[Supporter_ID]],tb1_supporters[Supporter_ID ],tb1_supporters[Segment],"")</f>
        <v>Mid-Value</v>
      </c>
      <c r="K172" t="str">
        <f>_xlfn.XLOOKUP(Table8[[#This Row],[Supporter_ID]],tb1_supporters[Supporter_ID ],tb1_supporters[Acquisition_Source],"")</f>
        <v>Social Media</v>
      </c>
      <c r="L172" t="str">
        <f>_xlfn.XLOOKUP(Table8[[#This Row],[Supporter_ID]],tb1_supporters[Supporter_ID ],tb1_supporters[County],"")</f>
        <v>West Midlands</v>
      </c>
      <c r="M172" t="str">
        <f>_xlfn.XLOOKUP(Table8[[#This Row],[Supporter_ID]],tb1_supporters[Supporter_ID ],tb1_supporters[Gender],"")</f>
        <v>Female</v>
      </c>
      <c r="N172">
        <f ca="1">_xlfn.XLOOKUP(Table8[[#This Row],[Supporter_ID]],tb1_supporters[Supporter_ID ],tb1_supporters[Age],"")</f>
        <v>40</v>
      </c>
      <c r="O172" t="str">
        <f ca="1">_xlfn.XLOOKUP(Table8[[#This Row],[Supporter_ID]],tb1_supporters[Supporter_ID ],tb1_supporters[Age_Band],"")</f>
        <v>35-49</v>
      </c>
      <c r="P172" t="str">
        <f ca="1">IF(Table8[[#This Row],[Age_Band]]="","Unknown",Table8[[#This Row],[Age_Band]])</f>
        <v>35-49</v>
      </c>
      <c r="Q172" t="str">
        <f>_xlfn.XLOOKUP(Table8[[#This Row],[Supporter_ID]],tb1_supporters[Supporter_ID ],tb1_supporters[Communication_Preference],"")</f>
        <v>Post</v>
      </c>
      <c r="R172" t="str">
        <f>_xlfn.XLOOKUP(Table8[[#This Row],[Supporter_ID]],tb1_supporters[Supporter_ID ],tb1_supporters[Duplicate_Profile_Flag],"")</f>
        <v/>
      </c>
      <c r="S172" t="str">
        <f>_xlfn.XLOOKUP(Table8[[#This Row],[Supporter_ID]],tb1_supporters[Supporter_ID ],tb1_supporters[Preference_Compliance_Flag],"")</f>
        <v>Review - prefers post but not opted in</v>
      </c>
      <c r="T172" t="str">
        <f ca="1">IF(Table8[[#This Row],[Age]]="","Review - missing DOB",IF(Table8[[#This Row],[Age]]&gt;TODAY(),"Review - future DOB",IF(Table8[[#This Row],[Age]]=0,"Review -  potential entry error (age 0)","")))</f>
        <v/>
      </c>
      <c r="U172" t="str">
        <f>_xlfn.XLOOKUP(Table8[[#This Row],[Campaign_Code]],tb3_CampaignMaster[Campaign_Code],tb3_CampaignMaster[Campaign_Type],"")</f>
        <v>Appeal</v>
      </c>
      <c r="V172" t="str">
        <f>_xlfn.XLOOKUP(Table8[[#This Row],[Campaign_Code]],tb3_CampaignMaster[Campaign_Code],tb3_CampaignMaster[Target_Audience],"")</f>
        <v>All Active</v>
      </c>
      <c r="W172" s="17">
        <f>_xlfn.XLOOKUP(Table8[[#This Row],[Campaign_Code]],tb3_CampaignMaster[Campaign_Code],tb3_CampaignMaster[Start_Date],"")</f>
        <v>45597</v>
      </c>
      <c r="X172" s="17">
        <f>_xlfn.XLOOKUP(Table8[[#This Row],[Campaign_Code]],tb3_CampaignMaster[Campaign_Code],tb3_CampaignMaster[End_Date],"")</f>
        <v>45657</v>
      </c>
      <c r="Y172">
        <f>_xlfn.XLOOKUP(Table8[[#This Row],[Campaign_Code]],tb3_CampaignMaster[Campaign_Code],tb3_CampaignMaster[Budget_GBP],"")</f>
        <v>25000</v>
      </c>
      <c r="Z172" t="str">
        <f>_xlfn.XLOOKUP(Table8[[#This Row],[Campaign_Code]],tb3_CampaignMaster[Campaign_Code],tb3_CampaignMaster[Primary_Channel],"")</f>
        <v>Multi-channel</v>
      </c>
      <c r="AA172" s="13">
        <f>IF(Table8[[#This Row],[Gift_Aid_Eligible]]="Yes",Table8[[#This Row],[Gift_Amount]]*1.25,Table8[[#This Row],[Gift_Amount]])</f>
        <v>223.59</v>
      </c>
      <c r="AB172" t="str">
        <f>IF(Table8[[#This Row],[Supporter_ID]]="","Review - missing supporter ID","")</f>
        <v/>
      </c>
      <c r="AC172" t="str">
        <f>IF(OR(Table8[[#This Row],[Response_Date]]&lt;Table8[[#This Row],[Start_Date]],Table8[[#This Row],[Response_Date]]&gt;Table8[[#This Row],[End_Date]]),"Review - response outside campaign dates","")</f>
        <v/>
      </c>
      <c r="AD172" t="str">
        <f>IF(Table8[[#This Row],[Campaign_Type]]="","Review - campaign code not found","")</f>
        <v/>
      </c>
    </row>
    <row r="173" spans="1:30" x14ac:dyDescent="0.25">
      <c r="A173" t="s">
        <v>3670</v>
      </c>
      <c r="B173" t="s">
        <v>2644</v>
      </c>
      <c r="C173" t="s">
        <v>3314</v>
      </c>
      <c r="D173" t="s">
        <v>3315</v>
      </c>
      <c r="E173" t="s">
        <v>65</v>
      </c>
      <c r="F173" s="17">
        <v>45714</v>
      </c>
      <c r="G173">
        <v>23.03</v>
      </c>
      <c r="H173" t="s">
        <v>37</v>
      </c>
      <c r="I173" t="s">
        <v>3318</v>
      </c>
      <c r="J173" t="str">
        <f>_xlfn.XLOOKUP(Table8[[#This Row],[Supporter_ID]],tb1_supporters[Supporter_ID ],tb1_supporters[Segment],"")</f>
        <v>Prospect</v>
      </c>
      <c r="K173" t="str">
        <f>_xlfn.XLOOKUP(Table8[[#This Row],[Supporter_ID]],tb1_supporters[Supporter_ID ],tb1_supporters[Acquisition_Source],"")</f>
        <v>Door-To-Door</v>
      </c>
      <c r="L173" t="str">
        <f>_xlfn.XLOOKUP(Table8[[#This Row],[Supporter_ID]],tb1_supporters[Supporter_ID ],tb1_supporters[County],"")</f>
        <v>Cheshire</v>
      </c>
      <c r="M173" t="str">
        <f>_xlfn.XLOOKUP(Table8[[#This Row],[Supporter_ID]],tb1_supporters[Supporter_ID ],tb1_supporters[Gender],"")</f>
        <v>Female</v>
      </c>
      <c r="N173">
        <f ca="1">_xlfn.XLOOKUP(Table8[[#This Row],[Supporter_ID]],tb1_supporters[Supporter_ID ],tb1_supporters[Age],"")</f>
        <v>49</v>
      </c>
      <c r="O173" t="str">
        <f ca="1">_xlfn.XLOOKUP(Table8[[#This Row],[Supporter_ID]],tb1_supporters[Supporter_ID ],tb1_supporters[Age_Band],"")</f>
        <v>35-49</v>
      </c>
      <c r="P173" t="str">
        <f ca="1">IF(Table8[[#This Row],[Age_Band]]="","Unknown",Table8[[#This Row],[Age_Band]])</f>
        <v>35-49</v>
      </c>
      <c r="Q173" t="str">
        <f>_xlfn.XLOOKUP(Table8[[#This Row],[Supporter_ID]],tb1_supporters[Supporter_ID ],tb1_supporters[Communication_Preference],"")</f>
        <v>Post</v>
      </c>
      <c r="R173" t="str">
        <f>_xlfn.XLOOKUP(Table8[[#This Row],[Supporter_ID]],tb1_supporters[Supporter_ID ],tb1_supporters[Duplicate_Profile_Flag],"")</f>
        <v/>
      </c>
      <c r="S173" t="str">
        <f>_xlfn.XLOOKUP(Table8[[#This Row],[Supporter_ID]],tb1_supporters[Supporter_ID ],tb1_supporters[Preference_Compliance_Flag],"")</f>
        <v/>
      </c>
      <c r="T173" t="str">
        <f ca="1">IF(Table8[[#This Row],[Age]]="","Review - missing DOB",IF(Table8[[#This Row],[Age]]&gt;TODAY(),"Review - future DOB",IF(Table8[[#This Row],[Age]]=0,"Review -  potential entry error (age 0)","")))</f>
        <v/>
      </c>
      <c r="U173" t="str">
        <f>_xlfn.XLOOKUP(Table8[[#This Row],[Campaign_Code]],tb3_CampaignMaster[Campaign_Code],tb3_CampaignMaster[Campaign_Type],"")</f>
        <v>Regular Giving</v>
      </c>
      <c r="V173" t="str">
        <f>_xlfn.XLOOKUP(Table8[[#This Row],[Campaign_Code]],tb3_CampaignMaster[Campaign_Code],tb3_CampaignMaster[Target_Audience],"")</f>
        <v>One-time Donors</v>
      </c>
      <c r="W173" s="17">
        <f>_xlfn.XLOOKUP(Table8[[#This Row],[Campaign_Code]],tb3_CampaignMaster[Campaign_Code],tb3_CampaignMaster[Start_Date],"")</f>
        <v>45663</v>
      </c>
      <c r="X173" s="17">
        <f>_xlfn.XLOOKUP(Table8[[#This Row],[Campaign_Code]],tb3_CampaignMaster[Campaign_Code],tb3_CampaignMaster[End_Date],"")</f>
        <v>45747</v>
      </c>
      <c r="Y173">
        <f>_xlfn.XLOOKUP(Table8[[#This Row],[Campaign_Code]],tb3_CampaignMaster[Campaign_Code],tb3_CampaignMaster[Budget_GBP],"")</f>
        <v>10000</v>
      </c>
      <c r="Z173" t="str">
        <f>_xlfn.XLOOKUP(Table8[[#This Row],[Campaign_Code]],tb3_CampaignMaster[Campaign_Code],tb3_CampaignMaster[Primary_Channel],"")</f>
        <v>Telephone</v>
      </c>
      <c r="AA173" s="13">
        <f>IF(Table8[[#This Row],[Gift_Aid_Eligible]]="Yes",Table8[[#This Row],[Gift_Amount]]*1.25,Table8[[#This Row],[Gift_Amount]])</f>
        <v>23.03</v>
      </c>
      <c r="AB173" t="str">
        <f>IF(Table8[[#This Row],[Supporter_ID]]="","Review - missing supporter ID","")</f>
        <v/>
      </c>
      <c r="AC173" t="str">
        <f>IF(OR(Table8[[#This Row],[Response_Date]]&lt;Table8[[#This Row],[Start_Date]],Table8[[#This Row],[Response_Date]]&gt;Table8[[#This Row],[End_Date]]),"Review - response outside campaign dates","")</f>
        <v/>
      </c>
      <c r="AD173" t="str">
        <f>IF(Table8[[#This Row],[Campaign_Type]]="","Review - campaign code not found","")</f>
        <v/>
      </c>
    </row>
    <row r="174" spans="1:30" x14ac:dyDescent="0.25">
      <c r="A174" t="s">
        <v>3672</v>
      </c>
      <c r="B174" t="s">
        <v>106</v>
      </c>
      <c r="C174" t="s">
        <v>3320</v>
      </c>
      <c r="D174" t="s">
        <v>3321</v>
      </c>
      <c r="E174" t="s">
        <v>65</v>
      </c>
      <c r="F174" s="17">
        <v>45470</v>
      </c>
      <c r="G174">
        <v>19.95</v>
      </c>
      <c r="H174" t="s">
        <v>37</v>
      </c>
      <c r="I174" t="s">
        <v>3318</v>
      </c>
      <c r="J174" t="str">
        <f>_xlfn.XLOOKUP(Table8[[#This Row],[Supporter_ID]],tb1_supporters[Supporter_ID ],tb1_supporters[Segment],"")</f>
        <v>Prospect</v>
      </c>
      <c r="K174" t="str">
        <f>_xlfn.XLOOKUP(Table8[[#This Row],[Supporter_ID]],tb1_supporters[Supporter_ID ],tb1_supporters[Acquisition_Source],"")</f>
        <v>Event</v>
      </c>
      <c r="L174" t="str">
        <f>_xlfn.XLOOKUP(Table8[[#This Row],[Supporter_ID]],tb1_supporters[Supporter_ID ],tb1_supporters[County],"")</f>
        <v>Hampshire</v>
      </c>
      <c r="M174" t="str">
        <f>_xlfn.XLOOKUP(Table8[[#This Row],[Supporter_ID]],tb1_supporters[Supporter_ID ],tb1_supporters[Gender],"")</f>
        <v>Male</v>
      </c>
      <c r="N174">
        <f ca="1">_xlfn.XLOOKUP(Table8[[#This Row],[Supporter_ID]],tb1_supporters[Supporter_ID ],tb1_supporters[Age],"")</f>
        <v>19</v>
      </c>
      <c r="O174" t="str">
        <f ca="1">_xlfn.XLOOKUP(Table8[[#This Row],[Supporter_ID]],tb1_supporters[Supporter_ID ],tb1_supporters[Age_Band],"")</f>
        <v>18-34</v>
      </c>
      <c r="P174" t="str">
        <f ca="1">IF(Table8[[#This Row],[Age_Band]]="","Unknown",Table8[[#This Row],[Age_Band]])</f>
        <v>18-34</v>
      </c>
      <c r="Q174" t="str">
        <f>_xlfn.XLOOKUP(Table8[[#This Row],[Supporter_ID]],tb1_supporters[Supporter_ID ],tb1_supporters[Communication_Preference],"")</f>
        <v>Email</v>
      </c>
      <c r="R174" t="str">
        <f>_xlfn.XLOOKUP(Table8[[#This Row],[Supporter_ID]],tb1_supporters[Supporter_ID ],tb1_supporters[Duplicate_Profile_Flag],"")</f>
        <v/>
      </c>
      <c r="S174" t="str">
        <f>_xlfn.XLOOKUP(Table8[[#This Row],[Supporter_ID]],tb1_supporters[Supporter_ID ],tb1_supporters[Preference_Compliance_Flag],"")</f>
        <v/>
      </c>
      <c r="T174" t="str">
        <f ca="1">IF(Table8[[#This Row],[Age]]="","Review - missing DOB",IF(Table8[[#This Row],[Age]]&gt;TODAY(),"Review - future DOB",IF(Table8[[#This Row],[Age]]=0,"Review -  potential entry error (age 0)","")))</f>
        <v/>
      </c>
      <c r="U174" t="str">
        <f>_xlfn.XLOOKUP(Table8[[#This Row],[Campaign_Code]],tb3_CampaignMaster[Campaign_Code],tb3_CampaignMaster[Campaign_Type],"")</f>
        <v>Stewardship</v>
      </c>
      <c r="V174" t="str">
        <f>_xlfn.XLOOKUP(Table8[[#This Row],[Campaign_Code]],tb3_CampaignMaster[Campaign_Code],tb3_CampaignMaster[Target_Audience],"")</f>
        <v>Major Donors</v>
      </c>
      <c r="W174" s="17">
        <f>_xlfn.XLOOKUP(Table8[[#This Row],[Campaign_Code]],tb3_CampaignMaster[Campaign_Code],tb3_CampaignMaster[Start_Date],"")</f>
        <v>45444</v>
      </c>
      <c r="X174" s="17">
        <f>_xlfn.XLOOKUP(Table8[[#This Row],[Campaign_Code]],tb3_CampaignMaster[Campaign_Code],tb3_CampaignMaster[End_Date],"")</f>
        <v>45473</v>
      </c>
      <c r="Y174">
        <f>_xlfn.XLOOKUP(Table8[[#This Row],[Campaign_Code]],tb3_CampaignMaster[Campaign_Code],tb3_CampaignMaster[Budget_GBP],"")</f>
        <v>7000</v>
      </c>
      <c r="Z174" t="str">
        <f>_xlfn.XLOOKUP(Table8[[#This Row],[Campaign_Code]],tb3_CampaignMaster[Campaign_Code],tb3_CampaignMaster[Primary_Channel],"")</f>
        <v>Direct Mail</v>
      </c>
      <c r="AA174" s="13">
        <f>IF(Table8[[#This Row],[Gift_Aid_Eligible]]="Yes",Table8[[#This Row],[Gift_Amount]]*1.25,Table8[[#This Row],[Gift_Amount]])</f>
        <v>19.95</v>
      </c>
      <c r="AB174" t="str">
        <f>IF(Table8[[#This Row],[Supporter_ID]]="","Review - missing supporter ID","")</f>
        <v/>
      </c>
      <c r="AC174" t="str">
        <f>IF(OR(Table8[[#This Row],[Response_Date]]&lt;Table8[[#This Row],[Start_Date]],Table8[[#This Row],[Response_Date]]&gt;Table8[[#This Row],[End_Date]]),"Review - response outside campaign dates","")</f>
        <v/>
      </c>
      <c r="AD174" t="str">
        <f>IF(Table8[[#This Row],[Campaign_Type]]="","Review - campaign code not found","")</f>
        <v/>
      </c>
    </row>
    <row r="175" spans="1:30" x14ac:dyDescent="0.25">
      <c r="A175" t="s">
        <v>3674</v>
      </c>
      <c r="B175" t="s">
        <v>2303</v>
      </c>
      <c r="C175" t="s">
        <v>3362</v>
      </c>
      <c r="D175" t="s">
        <v>3363</v>
      </c>
      <c r="E175" t="s">
        <v>65</v>
      </c>
      <c r="F175" s="17">
        <v>45577</v>
      </c>
      <c r="G175">
        <v>22.76</v>
      </c>
      <c r="H175" t="s">
        <v>37</v>
      </c>
      <c r="I175" t="s">
        <v>3331</v>
      </c>
      <c r="J175" t="str">
        <f>_xlfn.XLOOKUP(Table8[[#This Row],[Supporter_ID]],tb1_supporters[Supporter_ID ],tb1_supporters[Segment],"")</f>
        <v>Prospect</v>
      </c>
      <c r="K175" t="str">
        <f>_xlfn.XLOOKUP(Table8[[#This Row],[Supporter_ID]],tb1_supporters[Supporter_ID ],tb1_supporters[Acquisition_Source],"")</f>
        <v>Direct Mail</v>
      </c>
      <c r="L175" t="str">
        <f>_xlfn.XLOOKUP(Table8[[#This Row],[Supporter_ID]],tb1_supporters[Supporter_ID ],tb1_supporters[County],"")</f>
        <v>Angus</v>
      </c>
      <c r="M175" t="str">
        <f>_xlfn.XLOOKUP(Table8[[#This Row],[Supporter_ID]],tb1_supporters[Supporter_ID ],tb1_supporters[Gender],"")</f>
        <v>Female</v>
      </c>
      <c r="N175" t="str">
        <f ca="1">_xlfn.XLOOKUP(Table8[[#This Row],[Supporter_ID]],tb1_supporters[Supporter_ID ],tb1_supporters[Age],"")</f>
        <v/>
      </c>
      <c r="O175" t="str">
        <f ca="1">_xlfn.XLOOKUP(Table8[[#This Row],[Supporter_ID]],tb1_supporters[Supporter_ID ],tb1_supporters[Age_Band],"")</f>
        <v/>
      </c>
      <c r="P175" t="str">
        <f ca="1">IF(Table8[[#This Row],[Age_Band]]="","Unknown",Table8[[#This Row],[Age_Band]])</f>
        <v>Unknown</v>
      </c>
      <c r="Q175" t="str">
        <f>_xlfn.XLOOKUP(Table8[[#This Row],[Supporter_ID]],tb1_supporters[Supporter_ID ],tb1_supporters[Communication_Preference],"")</f>
        <v>No Preference</v>
      </c>
      <c r="R175" t="str">
        <f>_xlfn.XLOOKUP(Table8[[#This Row],[Supporter_ID]],tb1_supporters[Supporter_ID ],tb1_supporters[Duplicate_Profile_Flag],"")</f>
        <v/>
      </c>
      <c r="S175" t="str">
        <f>_xlfn.XLOOKUP(Table8[[#This Row],[Supporter_ID]],tb1_supporters[Supporter_ID ],tb1_supporters[Preference_Compliance_Flag],"")</f>
        <v/>
      </c>
      <c r="T175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175" t="str">
        <f>_xlfn.XLOOKUP(Table8[[#This Row],[Campaign_Code]],tb3_CampaignMaster[Campaign_Code],tb3_CampaignMaster[Campaign_Type],"")</f>
        <v>Legacy</v>
      </c>
      <c r="V175" t="str">
        <f>_xlfn.XLOOKUP(Table8[[#This Row],[Campaign_Code]],tb3_CampaignMaster[Campaign_Code],tb3_CampaignMaster[Target_Audience],"")</f>
        <v>Over 55s</v>
      </c>
      <c r="W175" s="17">
        <f>_xlfn.XLOOKUP(Table8[[#This Row],[Campaign_Code]],tb3_CampaignMaster[Campaign_Code],tb3_CampaignMaster[Start_Date],"")</f>
        <v>45572</v>
      </c>
      <c r="X175" s="17">
        <f>_xlfn.XLOOKUP(Table8[[#This Row],[Campaign_Code]],tb3_CampaignMaster[Campaign_Code],tb3_CampaignMaster[End_Date],"")</f>
        <v>45578</v>
      </c>
      <c r="Y175">
        <f>_xlfn.XLOOKUP(Table8[[#This Row],[Campaign_Code]],tb3_CampaignMaster[Campaign_Code],tb3_CampaignMaster[Budget_GBP],"")</f>
        <v>5000</v>
      </c>
      <c r="Z175" t="str">
        <f>_xlfn.XLOOKUP(Table8[[#This Row],[Campaign_Code]],tb3_CampaignMaster[Campaign_Code],tb3_CampaignMaster[Primary_Channel],"")</f>
        <v>Direct Mail</v>
      </c>
      <c r="AA175" s="13">
        <f>IF(Table8[[#This Row],[Gift_Aid_Eligible]]="Yes",Table8[[#This Row],[Gift_Amount]]*1.25,Table8[[#This Row],[Gift_Amount]])</f>
        <v>22.76</v>
      </c>
      <c r="AB175" t="str">
        <f>IF(Table8[[#This Row],[Supporter_ID]]="","Review - missing supporter ID","")</f>
        <v/>
      </c>
      <c r="AC175" t="str">
        <f>IF(OR(Table8[[#This Row],[Response_Date]]&lt;Table8[[#This Row],[Start_Date]],Table8[[#This Row],[Response_Date]]&gt;Table8[[#This Row],[End_Date]]),"Review - response outside campaign dates","")</f>
        <v/>
      </c>
      <c r="AD175" t="str">
        <f>IF(Table8[[#This Row],[Campaign_Type]]="","Review - campaign code not found","")</f>
        <v/>
      </c>
    </row>
    <row r="176" spans="1:30" x14ac:dyDescent="0.25">
      <c r="A176" t="s">
        <v>3675</v>
      </c>
      <c r="B176" t="s">
        <v>1053</v>
      </c>
      <c r="C176" t="s">
        <v>3427</v>
      </c>
      <c r="D176" t="s">
        <v>3428</v>
      </c>
      <c r="E176" t="s">
        <v>4</v>
      </c>
      <c r="F176" s="17">
        <v>45488</v>
      </c>
      <c r="G176">
        <v>61.53</v>
      </c>
      <c r="H176" t="s">
        <v>37</v>
      </c>
      <c r="I176" t="s">
        <v>3331</v>
      </c>
      <c r="J176" t="str">
        <f>_xlfn.XLOOKUP(Table8[[#This Row],[Supporter_ID]],tb1_supporters[Supporter_ID ],tb1_supporters[Segment],"")</f>
        <v>Lapsed</v>
      </c>
      <c r="K176" t="str">
        <f>_xlfn.XLOOKUP(Table8[[#This Row],[Supporter_ID]],tb1_supporters[Supporter_ID ],tb1_supporters[Acquisition_Source],"")</f>
        <v>Event</v>
      </c>
      <c r="L176" t="str">
        <f>_xlfn.XLOOKUP(Table8[[#This Row],[Supporter_ID]],tb1_supporters[Supporter_ID ],tb1_supporters[County],"")</f>
        <v>South Glamorgan</v>
      </c>
      <c r="M176" t="str">
        <f>_xlfn.XLOOKUP(Table8[[#This Row],[Supporter_ID]],tb1_supporters[Supporter_ID ],tb1_supporters[Gender],"")</f>
        <v>Female</v>
      </c>
      <c r="N176">
        <f ca="1">_xlfn.XLOOKUP(Table8[[#This Row],[Supporter_ID]],tb1_supporters[Supporter_ID ],tb1_supporters[Age],"")</f>
        <v>78</v>
      </c>
      <c r="O176" t="str">
        <f ca="1">_xlfn.XLOOKUP(Table8[[#This Row],[Supporter_ID]],tb1_supporters[Supporter_ID ],tb1_supporters[Age_Band],"")</f>
        <v>65+</v>
      </c>
      <c r="P176" t="str">
        <f ca="1">IF(Table8[[#This Row],[Age_Band]]="","Unknown",Table8[[#This Row],[Age_Band]])</f>
        <v>65+</v>
      </c>
      <c r="Q176" t="str">
        <f>_xlfn.XLOOKUP(Table8[[#This Row],[Supporter_ID]],tb1_supporters[Supporter_ID ],tb1_supporters[Communication_Preference],"")</f>
        <v>Phone</v>
      </c>
      <c r="R176" t="str">
        <f>_xlfn.XLOOKUP(Table8[[#This Row],[Supporter_ID]],tb1_supporters[Supporter_ID ],tb1_supporters[Duplicate_Profile_Flag],"")</f>
        <v/>
      </c>
      <c r="S176" t="str">
        <f>_xlfn.XLOOKUP(Table8[[#This Row],[Supporter_ID]],tb1_supporters[Supporter_ID ],tb1_supporters[Preference_Compliance_Flag],"")</f>
        <v>Review - prefers phone but not opted in</v>
      </c>
      <c r="T176" t="str">
        <f ca="1">IF(Table8[[#This Row],[Age]]="","Review - missing DOB",IF(Table8[[#This Row],[Age]]&gt;TODAY(),"Review - future DOB",IF(Table8[[#This Row],[Age]]=0,"Review -  potential entry error (age 0)","")))</f>
        <v/>
      </c>
      <c r="U176" t="str">
        <f>_xlfn.XLOOKUP(Table8[[#This Row],[Campaign_Code]],tb3_CampaignMaster[Campaign_Code],tb3_CampaignMaster[Campaign_Type],"")</f>
        <v>Event</v>
      </c>
      <c r="V176" t="str">
        <f>_xlfn.XLOOKUP(Table8[[#This Row],[Campaign_Code]],tb3_CampaignMaster[Campaign_Code],tb3_CampaignMaster[Target_Audience],"")</f>
        <v>Major Donors</v>
      </c>
      <c r="W176" s="17">
        <f>_xlfn.XLOOKUP(Table8[[#This Row],[Campaign_Code]],tb3_CampaignMaster[Campaign_Code],tb3_CampaignMaster[Start_Date],"")</f>
        <v>45488</v>
      </c>
      <c r="X176" s="17">
        <f>_xlfn.XLOOKUP(Table8[[#This Row],[Campaign_Code]],tb3_CampaignMaster[Campaign_Code],tb3_CampaignMaster[End_Date],"")</f>
        <v>45488</v>
      </c>
      <c r="Y176">
        <f>_xlfn.XLOOKUP(Table8[[#This Row],[Campaign_Code]],tb3_CampaignMaster[Campaign_Code],tb3_CampaignMaster[Budget_GBP],"")</f>
        <v>45000</v>
      </c>
      <c r="Z176" t="str">
        <f>_xlfn.XLOOKUP(Table8[[#This Row],[Campaign_Code]],tb3_CampaignMaster[Campaign_Code],tb3_CampaignMaster[Primary_Channel],"")</f>
        <v>Direct Mail</v>
      </c>
      <c r="AA176" s="13">
        <f>IF(Table8[[#This Row],[Gift_Aid_Eligible]]="Yes",Table8[[#This Row],[Gift_Amount]]*1.25,Table8[[#This Row],[Gift_Amount]])</f>
        <v>61.53</v>
      </c>
      <c r="AB176" t="str">
        <f>IF(Table8[[#This Row],[Supporter_ID]]="","Review - missing supporter ID","")</f>
        <v/>
      </c>
      <c r="AC176" t="str">
        <f>IF(OR(Table8[[#This Row],[Response_Date]]&lt;Table8[[#This Row],[Start_Date]],Table8[[#This Row],[Response_Date]]&gt;Table8[[#This Row],[End_Date]]),"Review - response outside campaign dates","")</f>
        <v/>
      </c>
      <c r="AD176" t="str">
        <f>IF(Table8[[#This Row],[Campaign_Type]]="","Review - campaign code not found","")</f>
        <v/>
      </c>
    </row>
    <row r="177" spans="1:30" x14ac:dyDescent="0.25">
      <c r="A177" t="s">
        <v>3676</v>
      </c>
      <c r="B177" t="s">
        <v>1464</v>
      </c>
      <c r="C177" t="s">
        <v>3325</v>
      </c>
      <c r="D177" t="s">
        <v>3326</v>
      </c>
      <c r="E177" t="s">
        <v>65</v>
      </c>
      <c r="F177" s="17">
        <v>45602</v>
      </c>
      <c r="G177">
        <v>497.91</v>
      </c>
      <c r="H177" t="s">
        <v>36</v>
      </c>
      <c r="I177" t="s">
        <v>3365</v>
      </c>
      <c r="J177" t="str">
        <f>_xlfn.XLOOKUP(Table8[[#This Row],[Supporter_ID]],tb1_supporters[Supporter_ID ],tb1_supporters[Segment],"")</f>
        <v>Legacy Pledger</v>
      </c>
      <c r="K177" t="str">
        <f>_xlfn.XLOOKUP(Table8[[#This Row],[Supporter_ID]],tb1_supporters[Supporter_ID ],tb1_supporters[Acquisition_Source],"")</f>
        <v>Referral</v>
      </c>
      <c r="L177" t="str">
        <f>_xlfn.XLOOKUP(Table8[[#This Row],[Supporter_ID]],tb1_supporters[Supporter_ID ],tb1_supporters[County],"")</f>
        <v>Greater London</v>
      </c>
      <c r="M177" t="str">
        <f>_xlfn.XLOOKUP(Table8[[#This Row],[Supporter_ID]],tb1_supporters[Supporter_ID ],tb1_supporters[Gender],"")</f>
        <v>Female</v>
      </c>
      <c r="N177">
        <f ca="1">_xlfn.XLOOKUP(Table8[[#This Row],[Supporter_ID]],tb1_supporters[Supporter_ID ],tb1_supporters[Age],"")</f>
        <v>72</v>
      </c>
      <c r="O177" t="str">
        <f ca="1">_xlfn.XLOOKUP(Table8[[#This Row],[Supporter_ID]],tb1_supporters[Supporter_ID ],tb1_supporters[Age_Band],"")</f>
        <v>65+</v>
      </c>
      <c r="P177" t="str">
        <f ca="1">IF(Table8[[#This Row],[Age_Band]]="","Unknown",Table8[[#This Row],[Age_Band]])</f>
        <v>65+</v>
      </c>
      <c r="Q177" t="str">
        <f>_xlfn.XLOOKUP(Table8[[#This Row],[Supporter_ID]],tb1_supporters[Supporter_ID ],tb1_supporters[Communication_Preference],"")</f>
        <v>No Preference</v>
      </c>
      <c r="R177" t="str">
        <f>_xlfn.XLOOKUP(Table8[[#This Row],[Supporter_ID]],tb1_supporters[Supporter_ID ],tb1_supporters[Duplicate_Profile_Flag],"")</f>
        <v/>
      </c>
      <c r="S177" t="str">
        <f>_xlfn.XLOOKUP(Table8[[#This Row],[Supporter_ID]],tb1_supporters[Supporter_ID ],tb1_supporters[Preference_Compliance_Flag],"")</f>
        <v/>
      </c>
      <c r="T177" t="str">
        <f ca="1">IF(Table8[[#This Row],[Age]]="","Review - missing DOB",IF(Table8[[#This Row],[Age]]&gt;TODAY(),"Review - future DOB",IF(Table8[[#This Row],[Age]]=0,"Review -  potential entry error (age 0)","")))</f>
        <v/>
      </c>
      <c r="U177" t="str">
        <f>_xlfn.XLOOKUP(Table8[[#This Row],[Campaign_Code]],tb3_CampaignMaster[Campaign_Code],tb3_CampaignMaster[Campaign_Type],"")</f>
        <v>Appeal</v>
      </c>
      <c r="V177" t="str">
        <f>_xlfn.XLOOKUP(Table8[[#This Row],[Campaign_Code]],tb3_CampaignMaster[Campaign_Code],tb3_CampaignMaster[Target_Audience],"")</f>
        <v>All Active</v>
      </c>
      <c r="W177" s="17">
        <f>_xlfn.XLOOKUP(Table8[[#This Row],[Campaign_Code]],tb3_CampaignMaster[Campaign_Code],tb3_CampaignMaster[Start_Date],"")</f>
        <v>45597</v>
      </c>
      <c r="X177" s="17">
        <f>_xlfn.XLOOKUP(Table8[[#This Row],[Campaign_Code]],tb3_CampaignMaster[Campaign_Code],tb3_CampaignMaster[End_Date],"")</f>
        <v>45657</v>
      </c>
      <c r="Y177">
        <f>_xlfn.XLOOKUP(Table8[[#This Row],[Campaign_Code]],tb3_CampaignMaster[Campaign_Code],tb3_CampaignMaster[Budget_GBP],"")</f>
        <v>25000</v>
      </c>
      <c r="Z177" t="str">
        <f>_xlfn.XLOOKUP(Table8[[#This Row],[Campaign_Code]],tb3_CampaignMaster[Campaign_Code],tb3_CampaignMaster[Primary_Channel],"")</f>
        <v>Multi-channel</v>
      </c>
      <c r="AA177" s="13">
        <f>IF(Table8[[#This Row],[Gift_Aid_Eligible]]="Yes",Table8[[#This Row],[Gift_Amount]]*1.25,Table8[[#This Row],[Gift_Amount]])</f>
        <v>622.38750000000005</v>
      </c>
      <c r="AB177" t="str">
        <f>IF(Table8[[#This Row],[Supporter_ID]]="","Review - missing supporter ID","")</f>
        <v/>
      </c>
      <c r="AC177" t="str">
        <f>IF(OR(Table8[[#This Row],[Response_Date]]&lt;Table8[[#This Row],[Start_Date]],Table8[[#This Row],[Response_Date]]&gt;Table8[[#This Row],[End_Date]]),"Review - response outside campaign dates","")</f>
        <v/>
      </c>
      <c r="AD177" t="str">
        <f>IF(Table8[[#This Row],[Campaign_Type]]="","Review - campaign code not found","")</f>
        <v/>
      </c>
    </row>
    <row r="178" spans="1:30" x14ac:dyDescent="0.25">
      <c r="A178" t="s">
        <v>3677</v>
      </c>
      <c r="B178" t="s">
        <v>2621</v>
      </c>
      <c r="C178" t="s">
        <v>3325</v>
      </c>
      <c r="D178" t="s">
        <v>3326</v>
      </c>
      <c r="E178" t="s">
        <v>65</v>
      </c>
      <c r="F178" s="17">
        <v>45601</v>
      </c>
      <c r="G178">
        <v>335.22</v>
      </c>
      <c r="H178" t="s">
        <v>36</v>
      </c>
      <c r="I178" t="s">
        <v>3331</v>
      </c>
      <c r="J178" t="str">
        <f>_xlfn.XLOOKUP(Table8[[#This Row],[Supporter_ID]],tb1_supporters[Supporter_ID ],tb1_supporters[Segment],"")</f>
        <v>Major Donor</v>
      </c>
      <c r="K178" t="str">
        <f>_xlfn.XLOOKUP(Table8[[#This Row],[Supporter_ID]],tb1_supporters[Supporter_ID ],tb1_supporters[Acquisition_Source],"")</f>
        <v>Referral</v>
      </c>
      <c r="L178" t="str">
        <f>_xlfn.XLOOKUP(Table8[[#This Row],[Supporter_ID]],tb1_supporters[Supporter_ID ],tb1_supporters[County],"")</f>
        <v>Leicestershire</v>
      </c>
      <c r="M178" t="str">
        <f>_xlfn.XLOOKUP(Table8[[#This Row],[Supporter_ID]],tb1_supporters[Supporter_ID ],tb1_supporters[Gender],"")</f>
        <v>Male</v>
      </c>
      <c r="N178">
        <f ca="1">_xlfn.XLOOKUP(Table8[[#This Row],[Supporter_ID]],tb1_supporters[Supporter_ID ],tb1_supporters[Age],"")</f>
        <v>67</v>
      </c>
      <c r="O178" t="str">
        <f ca="1">_xlfn.XLOOKUP(Table8[[#This Row],[Supporter_ID]],tb1_supporters[Supporter_ID ],tb1_supporters[Age_Band],"")</f>
        <v>65+</v>
      </c>
      <c r="P178" t="str">
        <f ca="1">IF(Table8[[#This Row],[Age_Band]]="","Unknown",Table8[[#This Row],[Age_Band]])</f>
        <v>65+</v>
      </c>
      <c r="Q178" t="str">
        <f>_xlfn.XLOOKUP(Table8[[#This Row],[Supporter_ID]],tb1_supporters[Supporter_ID ],tb1_supporters[Communication_Preference],"")</f>
        <v>Email</v>
      </c>
      <c r="R178" t="str">
        <f>_xlfn.XLOOKUP(Table8[[#This Row],[Supporter_ID]],tb1_supporters[Supporter_ID ],tb1_supporters[Duplicate_Profile_Flag],"")</f>
        <v/>
      </c>
      <c r="S178" t="str">
        <f>_xlfn.XLOOKUP(Table8[[#This Row],[Supporter_ID]],tb1_supporters[Supporter_ID ],tb1_supporters[Preference_Compliance_Flag],"")</f>
        <v/>
      </c>
      <c r="T178" t="str">
        <f ca="1">IF(Table8[[#This Row],[Age]]="","Review - missing DOB",IF(Table8[[#This Row],[Age]]&gt;TODAY(),"Review - future DOB",IF(Table8[[#This Row],[Age]]=0,"Review -  potential entry error (age 0)","")))</f>
        <v/>
      </c>
      <c r="U178" t="str">
        <f>_xlfn.XLOOKUP(Table8[[#This Row],[Campaign_Code]],tb3_CampaignMaster[Campaign_Code],tb3_CampaignMaster[Campaign_Type],"")</f>
        <v>Appeal</v>
      </c>
      <c r="V178" t="str">
        <f>_xlfn.XLOOKUP(Table8[[#This Row],[Campaign_Code]],tb3_CampaignMaster[Campaign_Code],tb3_CampaignMaster[Target_Audience],"")</f>
        <v>All Active</v>
      </c>
      <c r="W178" s="17">
        <f>_xlfn.XLOOKUP(Table8[[#This Row],[Campaign_Code]],tb3_CampaignMaster[Campaign_Code],tb3_CampaignMaster[Start_Date],"")</f>
        <v>45597</v>
      </c>
      <c r="X178" s="17">
        <f>_xlfn.XLOOKUP(Table8[[#This Row],[Campaign_Code]],tb3_CampaignMaster[Campaign_Code],tb3_CampaignMaster[End_Date],"")</f>
        <v>45657</v>
      </c>
      <c r="Y178">
        <f>_xlfn.XLOOKUP(Table8[[#This Row],[Campaign_Code]],tb3_CampaignMaster[Campaign_Code],tb3_CampaignMaster[Budget_GBP],"")</f>
        <v>25000</v>
      </c>
      <c r="Z178" t="str">
        <f>_xlfn.XLOOKUP(Table8[[#This Row],[Campaign_Code]],tb3_CampaignMaster[Campaign_Code],tb3_CampaignMaster[Primary_Channel],"")</f>
        <v>Multi-channel</v>
      </c>
      <c r="AA178" s="13">
        <f>IF(Table8[[#This Row],[Gift_Aid_Eligible]]="Yes",Table8[[#This Row],[Gift_Amount]]*1.25,Table8[[#This Row],[Gift_Amount]])</f>
        <v>419.02500000000003</v>
      </c>
      <c r="AB178" t="str">
        <f>IF(Table8[[#This Row],[Supporter_ID]]="","Review - missing supporter ID","")</f>
        <v/>
      </c>
      <c r="AC178" t="str">
        <f>IF(OR(Table8[[#This Row],[Response_Date]]&lt;Table8[[#This Row],[Start_Date]],Table8[[#This Row],[Response_Date]]&gt;Table8[[#This Row],[End_Date]]),"Review - response outside campaign dates","")</f>
        <v/>
      </c>
      <c r="AD178" t="str">
        <f>IF(Table8[[#This Row],[Campaign_Type]]="","Review - campaign code not found","")</f>
        <v/>
      </c>
    </row>
    <row r="179" spans="1:30" x14ac:dyDescent="0.25">
      <c r="A179" t="s">
        <v>3679</v>
      </c>
      <c r="B179" t="s">
        <v>2053</v>
      </c>
      <c r="C179" t="s">
        <v>3325</v>
      </c>
      <c r="D179" t="s">
        <v>3326</v>
      </c>
      <c r="E179" t="s">
        <v>3316</v>
      </c>
      <c r="F179" s="17">
        <v>45639</v>
      </c>
      <c r="G179">
        <v>55.3</v>
      </c>
      <c r="H179" t="s">
        <v>36</v>
      </c>
      <c r="I179" t="s">
        <v>3331</v>
      </c>
      <c r="J179" t="str">
        <f>_xlfn.XLOOKUP(Table8[[#This Row],[Supporter_ID]],tb1_supporters[Supporter_ID ],tb1_supporters[Segment],"")</f>
        <v>Lapsed</v>
      </c>
      <c r="K179" t="str">
        <f>_xlfn.XLOOKUP(Table8[[#This Row],[Supporter_ID]],tb1_supporters[Supporter_ID ],tb1_supporters[Acquisition_Source],"")</f>
        <v>Corporate Partner</v>
      </c>
      <c r="L179" t="str">
        <f>_xlfn.XLOOKUP(Table8[[#This Row],[Supporter_ID]],tb1_supporters[Supporter_ID ],tb1_supporters[County],"")</f>
        <v>Lothian</v>
      </c>
      <c r="M179" t="str">
        <f>_xlfn.XLOOKUP(Table8[[#This Row],[Supporter_ID]],tb1_supporters[Supporter_ID ],tb1_supporters[Gender],"")</f>
        <v>Male</v>
      </c>
      <c r="N179">
        <f ca="1">_xlfn.XLOOKUP(Table8[[#This Row],[Supporter_ID]],tb1_supporters[Supporter_ID ],tb1_supporters[Age],"")</f>
        <v>77</v>
      </c>
      <c r="O179" t="str">
        <f ca="1">_xlfn.XLOOKUP(Table8[[#This Row],[Supporter_ID]],tb1_supporters[Supporter_ID ],tb1_supporters[Age_Band],"")</f>
        <v>65+</v>
      </c>
      <c r="P179" t="str">
        <f ca="1">IF(Table8[[#This Row],[Age_Band]]="","Unknown",Table8[[#This Row],[Age_Band]])</f>
        <v>65+</v>
      </c>
      <c r="Q179" t="str">
        <f>_xlfn.XLOOKUP(Table8[[#This Row],[Supporter_ID]],tb1_supporters[Supporter_ID ],tb1_supporters[Communication_Preference],"")</f>
        <v>Email</v>
      </c>
      <c r="R179" t="str">
        <f>_xlfn.XLOOKUP(Table8[[#This Row],[Supporter_ID]],tb1_supporters[Supporter_ID ],tb1_supporters[Duplicate_Profile_Flag],"")</f>
        <v/>
      </c>
      <c r="S179" t="str">
        <f>_xlfn.XLOOKUP(Table8[[#This Row],[Supporter_ID]],tb1_supporters[Supporter_ID ],tb1_supporters[Preference_Compliance_Flag],"")</f>
        <v/>
      </c>
      <c r="T179" t="str">
        <f ca="1">IF(Table8[[#This Row],[Age]]="","Review - missing DOB",IF(Table8[[#This Row],[Age]]&gt;TODAY(),"Review - future DOB",IF(Table8[[#This Row],[Age]]=0,"Review -  potential entry error (age 0)","")))</f>
        <v/>
      </c>
      <c r="U179" t="str">
        <f>_xlfn.XLOOKUP(Table8[[#This Row],[Campaign_Code]],tb3_CampaignMaster[Campaign_Code],tb3_CampaignMaster[Campaign_Type],"")</f>
        <v>Appeal</v>
      </c>
      <c r="V179" t="str">
        <f>_xlfn.XLOOKUP(Table8[[#This Row],[Campaign_Code]],tb3_CampaignMaster[Campaign_Code],tb3_CampaignMaster[Target_Audience],"")</f>
        <v>All Active</v>
      </c>
      <c r="W179" s="17">
        <f>_xlfn.XLOOKUP(Table8[[#This Row],[Campaign_Code]],tb3_CampaignMaster[Campaign_Code],tb3_CampaignMaster[Start_Date],"")</f>
        <v>45597</v>
      </c>
      <c r="X179" s="17">
        <f>_xlfn.XLOOKUP(Table8[[#This Row],[Campaign_Code]],tb3_CampaignMaster[Campaign_Code],tb3_CampaignMaster[End_Date],"")</f>
        <v>45657</v>
      </c>
      <c r="Y179">
        <f>_xlfn.XLOOKUP(Table8[[#This Row],[Campaign_Code]],tb3_CampaignMaster[Campaign_Code],tb3_CampaignMaster[Budget_GBP],"")</f>
        <v>25000</v>
      </c>
      <c r="Z179" t="str">
        <f>_xlfn.XLOOKUP(Table8[[#This Row],[Campaign_Code]],tb3_CampaignMaster[Campaign_Code],tb3_CampaignMaster[Primary_Channel],"")</f>
        <v>Multi-channel</v>
      </c>
      <c r="AA179" s="13">
        <f>IF(Table8[[#This Row],[Gift_Aid_Eligible]]="Yes",Table8[[#This Row],[Gift_Amount]]*1.25,Table8[[#This Row],[Gift_Amount]])</f>
        <v>69.125</v>
      </c>
      <c r="AB179" t="str">
        <f>IF(Table8[[#This Row],[Supporter_ID]]="","Review - missing supporter ID","")</f>
        <v/>
      </c>
      <c r="AC179" t="str">
        <f>IF(OR(Table8[[#This Row],[Response_Date]]&lt;Table8[[#This Row],[Start_Date]],Table8[[#This Row],[Response_Date]]&gt;Table8[[#This Row],[End_Date]]),"Review - response outside campaign dates","")</f>
        <v/>
      </c>
      <c r="AD179" t="str">
        <f>IF(Table8[[#This Row],[Campaign_Type]]="","Review - campaign code not found","")</f>
        <v/>
      </c>
    </row>
    <row r="180" spans="1:30" x14ac:dyDescent="0.25">
      <c r="A180" t="s">
        <v>3680</v>
      </c>
      <c r="B180" t="s">
        <v>245</v>
      </c>
      <c r="C180" t="s">
        <v>3427</v>
      </c>
      <c r="D180" t="s">
        <v>3428</v>
      </c>
      <c r="E180" t="s">
        <v>65</v>
      </c>
      <c r="F180" s="17">
        <v>45488</v>
      </c>
      <c r="G180">
        <v>55.8</v>
      </c>
      <c r="H180" t="s">
        <v>37</v>
      </c>
      <c r="I180" t="s">
        <v>3323</v>
      </c>
      <c r="J180" t="str">
        <f>_xlfn.XLOOKUP(Table8[[#This Row],[Supporter_ID]],tb1_supporters[Supporter_ID ],tb1_supporters[Segment],"")</f>
        <v>Mid-Value</v>
      </c>
      <c r="K180" t="str">
        <f>_xlfn.XLOOKUP(Table8[[#This Row],[Supporter_ID]],tb1_supporters[Supporter_ID ],tb1_supporters[Acquisition_Source],"")</f>
        <v>Referral</v>
      </c>
      <c r="L180" t="str">
        <f>_xlfn.XLOOKUP(Table8[[#This Row],[Supporter_ID]],tb1_supporters[Supporter_ID ],tb1_supporters[County],"")</f>
        <v>Norfolk</v>
      </c>
      <c r="M180" t="str">
        <f>_xlfn.XLOOKUP(Table8[[#This Row],[Supporter_ID]],tb1_supporters[Supporter_ID ],tb1_supporters[Gender],"")</f>
        <v>Female</v>
      </c>
      <c r="N180">
        <f ca="1">_xlfn.XLOOKUP(Table8[[#This Row],[Supporter_ID]],tb1_supporters[Supporter_ID ],tb1_supporters[Age],"")</f>
        <v>68</v>
      </c>
      <c r="O180" t="str">
        <f ca="1">_xlfn.XLOOKUP(Table8[[#This Row],[Supporter_ID]],tb1_supporters[Supporter_ID ],tb1_supporters[Age_Band],"")</f>
        <v>65+</v>
      </c>
      <c r="P180" t="str">
        <f ca="1">IF(Table8[[#This Row],[Age_Band]]="","Unknown",Table8[[#This Row],[Age_Band]])</f>
        <v>65+</v>
      </c>
      <c r="Q180" t="str">
        <f>_xlfn.XLOOKUP(Table8[[#This Row],[Supporter_ID]],tb1_supporters[Supporter_ID ],tb1_supporters[Communication_Preference],"")</f>
        <v>No Preference</v>
      </c>
      <c r="R180" t="str">
        <f>_xlfn.XLOOKUP(Table8[[#This Row],[Supporter_ID]],tb1_supporters[Supporter_ID ],tb1_supporters[Duplicate_Profile_Flag],"")</f>
        <v/>
      </c>
      <c r="S180" t="str">
        <f>_xlfn.XLOOKUP(Table8[[#This Row],[Supporter_ID]],tb1_supporters[Supporter_ID ],tb1_supporters[Preference_Compliance_Flag],"")</f>
        <v/>
      </c>
      <c r="T180" t="str">
        <f ca="1">IF(Table8[[#This Row],[Age]]="","Review - missing DOB",IF(Table8[[#This Row],[Age]]&gt;TODAY(),"Review - future DOB",IF(Table8[[#This Row],[Age]]=0,"Review -  potential entry error (age 0)","")))</f>
        <v/>
      </c>
      <c r="U180" t="str">
        <f>_xlfn.XLOOKUP(Table8[[#This Row],[Campaign_Code]],tb3_CampaignMaster[Campaign_Code],tb3_CampaignMaster[Campaign_Type],"")</f>
        <v>Event</v>
      </c>
      <c r="V180" t="str">
        <f>_xlfn.XLOOKUP(Table8[[#This Row],[Campaign_Code]],tb3_CampaignMaster[Campaign_Code],tb3_CampaignMaster[Target_Audience],"")</f>
        <v>Major Donors</v>
      </c>
      <c r="W180" s="17">
        <f>_xlfn.XLOOKUP(Table8[[#This Row],[Campaign_Code]],tb3_CampaignMaster[Campaign_Code],tb3_CampaignMaster[Start_Date],"")</f>
        <v>45488</v>
      </c>
      <c r="X180" s="17">
        <f>_xlfn.XLOOKUP(Table8[[#This Row],[Campaign_Code]],tb3_CampaignMaster[Campaign_Code],tb3_CampaignMaster[End_Date],"")</f>
        <v>45488</v>
      </c>
      <c r="Y180">
        <f>_xlfn.XLOOKUP(Table8[[#This Row],[Campaign_Code]],tb3_CampaignMaster[Campaign_Code],tb3_CampaignMaster[Budget_GBP],"")</f>
        <v>45000</v>
      </c>
      <c r="Z180" t="str">
        <f>_xlfn.XLOOKUP(Table8[[#This Row],[Campaign_Code]],tb3_CampaignMaster[Campaign_Code],tb3_CampaignMaster[Primary_Channel],"")</f>
        <v>Direct Mail</v>
      </c>
      <c r="AA180" s="13">
        <f>IF(Table8[[#This Row],[Gift_Aid_Eligible]]="Yes",Table8[[#This Row],[Gift_Amount]]*1.25,Table8[[#This Row],[Gift_Amount]])</f>
        <v>55.8</v>
      </c>
      <c r="AB180" t="str">
        <f>IF(Table8[[#This Row],[Supporter_ID]]="","Review - missing supporter ID","")</f>
        <v/>
      </c>
      <c r="AC180" t="str">
        <f>IF(OR(Table8[[#This Row],[Response_Date]]&lt;Table8[[#This Row],[Start_Date]],Table8[[#This Row],[Response_Date]]&gt;Table8[[#This Row],[End_Date]]),"Review - response outside campaign dates","")</f>
        <v/>
      </c>
      <c r="AD180" t="str">
        <f>IF(Table8[[#This Row],[Campaign_Type]]="","Review - campaign code not found","")</f>
        <v/>
      </c>
    </row>
    <row r="181" spans="1:30" x14ac:dyDescent="0.25">
      <c r="A181" t="s">
        <v>3682</v>
      </c>
      <c r="B181" t="s">
        <v>1778</v>
      </c>
      <c r="C181" t="s">
        <v>3354</v>
      </c>
      <c r="D181" t="s">
        <v>3355</v>
      </c>
      <c r="E181" t="s">
        <v>4</v>
      </c>
      <c r="F181" s="17">
        <v>45618</v>
      </c>
      <c r="G181">
        <v>100.16</v>
      </c>
      <c r="H181" t="s">
        <v>36</v>
      </c>
      <c r="I181" t="s">
        <v>3328</v>
      </c>
      <c r="J181" t="str">
        <f>_xlfn.XLOOKUP(Table8[[#This Row],[Supporter_ID]],tb1_supporters[Supporter_ID ],tb1_supporters[Segment],"")</f>
        <v>One-Time Donor</v>
      </c>
      <c r="K181" t="str">
        <f>_xlfn.XLOOKUP(Table8[[#This Row],[Supporter_ID]],tb1_supporters[Supporter_ID ],tb1_supporters[Acquisition_Source],"")</f>
        <v>Direct Mail</v>
      </c>
      <c r="L181" t="str">
        <f>_xlfn.XLOOKUP(Table8[[#This Row],[Supporter_ID]],tb1_supporters[Supporter_ID ],tb1_supporters[County],"")</f>
        <v>Norfolk</v>
      </c>
      <c r="M181" t="str">
        <f>_xlfn.XLOOKUP(Table8[[#This Row],[Supporter_ID]],tb1_supporters[Supporter_ID ],tb1_supporters[Gender],"")</f>
        <v>Female</v>
      </c>
      <c r="N181">
        <f ca="1">_xlfn.XLOOKUP(Table8[[#This Row],[Supporter_ID]],tb1_supporters[Supporter_ID ],tb1_supporters[Age],"")</f>
        <v>75</v>
      </c>
      <c r="O181" t="str">
        <f ca="1">_xlfn.XLOOKUP(Table8[[#This Row],[Supporter_ID]],tb1_supporters[Supporter_ID ],tb1_supporters[Age_Band],"")</f>
        <v>65+</v>
      </c>
      <c r="P181" t="str">
        <f ca="1">IF(Table8[[#This Row],[Age_Band]]="","Unknown",Table8[[#This Row],[Age_Band]])</f>
        <v>65+</v>
      </c>
      <c r="Q181" t="str">
        <f>_xlfn.XLOOKUP(Table8[[#This Row],[Supporter_ID]],tb1_supporters[Supporter_ID ],tb1_supporters[Communication_Preference],"")</f>
        <v>No Preference</v>
      </c>
      <c r="R181" t="str">
        <f>_xlfn.XLOOKUP(Table8[[#This Row],[Supporter_ID]],tb1_supporters[Supporter_ID ],tb1_supporters[Duplicate_Profile_Flag],"")</f>
        <v/>
      </c>
      <c r="S181" t="str">
        <f>_xlfn.XLOOKUP(Table8[[#This Row],[Supporter_ID]],tb1_supporters[Supporter_ID ],tb1_supporters[Preference_Compliance_Flag],"")</f>
        <v/>
      </c>
      <c r="T181" t="str">
        <f ca="1">IF(Table8[[#This Row],[Age]]="","Review - missing DOB",IF(Table8[[#This Row],[Age]]&gt;TODAY(),"Review - future DOB",IF(Table8[[#This Row],[Age]]=0,"Review -  potential entry error (age 0)","")))</f>
        <v/>
      </c>
      <c r="U181" t="str">
        <f>_xlfn.XLOOKUP(Table8[[#This Row],[Campaign_Code]],tb3_CampaignMaster[Campaign_Code],tb3_CampaignMaster[Campaign_Type],"")</f>
        <v>Event</v>
      </c>
      <c r="V181" t="str">
        <f>_xlfn.XLOOKUP(Table8[[#This Row],[Campaign_Code]],tb3_CampaignMaster[Campaign_Code],tb3_CampaignMaster[Target_Audience],"")</f>
        <v>Volunteers</v>
      </c>
      <c r="W181" s="17">
        <f>_xlfn.XLOOKUP(Table8[[#This Row],[Campaign_Code]],tb3_CampaignMaster[Campaign_Code],tb3_CampaignMaster[Start_Date],"")</f>
        <v>45618</v>
      </c>
      <c r="X181" s="17">
        <f>_xlfn.XLOOKUP(Table8[[#This Row],[Campaign_Code]],tb3_CampaignMaster[Campaign_Code],tb3_CampaignMaster[End_Date],"")</f>
        <v>45618</v>
      </c>
      <c r="Y181">
        <f>_xlfn.XLOOKUP(Table8[[#This Row],[Campaign_Code]],tb3_CampaignMaster[Campaign_Code],tb3_CampaignMaster[Budget_GBP],"")</f>
        <v>3500</v>
      </c>
      <c r="Z181" t="str">
        <f>_xlfn.XLOOKUP(Table8[[#This Row],[Campaign_Code]],tb3_CampaignMaster[Campaign_Code],tb3_CampaignMaster[Primary_Channel],"")</f>
        <v>Email</v>
      </c>
      <c r="AA181" s="13">
        <f>IF(Table8[[#This Row],[Gift_Aid_Eligible]]="Yes",Table8[[#This Row],[Gift_Amount]]*1.25,Table8[[#This Row],[Gift_Amount]])</f>
        <v>125.19999999999999</v>
      </c>
      <c r="AB181" t="str">
        <f>IF(Table8[[#This Row],[Supporter_ID]]="","Review - missing supporter ID","")</f>
        <v/>
      </c>
      <c r="AC181" t="str">
        <f>IF(OR(Table8[[#This Row],[Response_Date]]&lt;Table8[[#This Row],[Start_Date]],Table8[[#This Row],[Response_Date]]&gt;Table8[[#This Row],[End_Date]]),"Review - response outside campaign dates","")</f>
        <v/>
      </c>
      <c r="AD181" t="str">
        <f>IF(Table8[[#This Row],[Campaign_Type]]="","Review - campaign code not found","")</f>
        <v/>
      </c>
    </row>
    <row r="182" spans="1:30" x14ac:dyDescent="0.25">
      <c r="A182" t="s">
        <v>3683</v>
      </c>
      <c r="B182" t="s">
        <v>2568</v>
      </c>
      <c r="C182" t="s">
        <v>3367</v>
      </c>
      <c r="D182" t="s">
        <v>3368</v>
      </c>
      <c r="E182" t="s">
        <v>4</v>
      </c>
      <c r="F182" s="17">
        <v>45745</v>
      </c>
      <c r="G182">
        <v>65.34</v>
      </c>
      <c r="H182" t="s">
        <v>37</v>
      </c>
      <c r="I182" t="s">
        <v>3365</v>
      </c>
      <c r="J182" t="str">
        <f>_xlfn.XLOOKUP(Table8[[#This Row],[Supporter_ID]],tb1_supporters[Supporter_ID ],tb1_supporters[Segment],"")</f>
        <v>Legacy Pledger</v>
      </c>
      <c r="K182" t="str">
        <f>_xlfn.XLOOKUP(Table8[[#This Row],[Supporter_ID]],tb1_supporters[Supporter_ID ],tb1_supporters[Acquisition_Source],"")</f>
        <v>Door-To-Door</v>
      </c>
      <c r="L182" t="str">
        <f>_xlfn.XLOOKUP(Table8[[#This Row],[Supporter_ID]],tb1_supporters[Supporter_ID ],tb1_supporters[County],"")</f>
        <v>West Glamorgan</v>
      </c>
      <c r="M182" t="str">
        <f>_xlfn.XLOOKUP(Table8[[#This Row],[Supporter_ID]],tb1_supporters[Supporter_ID ],tb1_supporters[Gender],"")</f>
        <v>Female</v>
      </c>
      <c r="N182">
        <f ca="1">_xlfn.XLOOKUP(Table8[[#This Row],[Supporter_ID]],tb1_supporters[Supporter_ID ],tb1_supporters[Age],"")</f>
        <v>62</v>
      </c>
      <c r="O182" t="str">
        <f ca="1">_xlfn.XLOOKUP(Table8[[#This Row],[Supporter_ID]],tb1_supporters[Supporter_ID ],tb1_supporters[Age_Band],"")</f>
        <v>50-64</v>
      </c>
      <c r="P182" t="str">
        <f ca="1">IF(Table8[[#This Row],[Age_Band]]="","Unknown",Table8[[#This Row],[Age_Band]])</f>
        <v>50-64</v>
      </c>
      <c r="Q182" t="str">
        <f>_xlfn.XLOOKUP(Table8[[#This Row],[Supporter_ID]],tb1_supporters[Supporter_ID ],tb1_supporters[Communication_Preference],"")</f>
        <v>Post</v>
      </c>
      <c r="R182" t="str">
        <f>_xlfn.XLOOKUP(Table8[[#This Row],[Supporter_ID]],tb1_supporters[Supporter_ID ],tb1_supporters[Duplicate_Profile_Flag],"")</f>
        <v/>
      </c>
      <c r="S182" t="str">
        <f>_xlfn.XLOOKUP(Table8[[#This Row],[Supporter_ID]],tb1_supporters[Supporter_ID ],tb1_supporters[Preference_Compliance_Flag],"")</f>
        <v/>
      </c>
      <c r="T182" t="str">
        <f ca="1">IF(Table8[[#This Row],[Age]]="","Review - missing DOB",IF(Table8[[#This Row],[Age]]&gt;TODAY(),"Review - future DOB",IF(Table8[[#This Row],[Age]]=0,"Review -  potential entry error (age 0)","")))</f>
        <v/>
      </c>
      <c r="U182" t="str">
        <f>_xlfn.XLOOKUP(Table8[[#This Row],[Campaign_Code]],tb3_CampaignMaster[Campaign_Code],tb3_CampaignMaster[Campaign_Type],"")</f>
        <v>Raffle</v>
      </c>
      <c r="V182" t="str">
        <f>_xlfn.XLOOKUP(Table8[[#This Row],[Campaign_Code]],tb3_CampaignMaster[Campaign_Code],tb3_CampaignMaster[Target_Audience],"")</f>
        <v>Regular Givers</v>
      </c>
      <c r="W182" s="17">
        <f>_xlfn.XLOOKUP(Table8[[#This Row],[Campaign_Code]],tb3_CampaignMaster[Campaign_Code],tb3_CampaignMaster[Start_Date],"")</f>
        <v>45717</v>
      </c>
      <c r="X182" s="17">
        <f>_xlfn.XLOOKUP(Table8[[#This Row],[Campaign_Code]],tb3_CampaignMaster[Campaign_Code],tb3_CampaignMaster[End_Date],"")</f>
        <v>45777</v>
      </c>
      <c r="Y182">
        <f>_xlfn.XLOOKUP(Table8[[#This Row],[Campaign_Code]],tb3_CampaignMaster[Campaign_Code],tb3_CampaignMaster[Budget_GBP],"")</f>
        <v>8000</v>
      </c>
      <c r="Z182" t="str">
        <f>_xlfn.XLOOKUP(Table8[[#This Row],[Campaign_Code]],tb3_CampaignMaster[Campaign_Code],tb3_CampaignMaster[Primary_Channel],"")</f>
        <v>Direct Mail</v>
      </c>
      <c r="AA182" s="13">
        <f>IF(Table8[[#This Row],[Gift_Aid_Eligible]]="Yes",Table8[[#This Row],[Gift_Amount]]*1.25,Table8[[#This Row],[Gift_Amount]])</f>
        <v>65.34</v>
      </c>
      <c r="AB182" t="str">
        <f>IF(Table8[[#This Row],[Supporter_ID]]="","Review - missing supporter ID","")</f>
        <v/>
      </c>
      <c r="AC182" t="str">
        <f>IF(OR(Table8[[#This Row],[Response_Date]]&lt;Table8[[#This Row],[Start_Date]],Table8[[#This Row],[Response_Date]]&gt;Table8[[#This Row],[End_Date]]),"Review - response outside campaign dates","")</f>
        <v/>
      </c>
      <c r="AD182" t="str">
        <f>IF(Table8[[#This Row],[Campaign_Type]]="","Review - campaign code not found","")</f>
        <v/>
      </c>
    </row>
    <row r="183" spans="1:30" x14ac:dyDescent="0.25">
      <c r="A183" t="s">
        <v>3685</v>
      </c>
      <c r="B183" t="s">
        <v>1631</v>
      </c>
      <c r="C183" t="s">
        <v>3325</v>
      </c>
      <c r="D183" t="s">
        <v>3326</v>
      </c>
      <c r="E183" t="s">
        <v>65</v>
      </c>
      <c r="F183" s="17">
        <v>45621</v>
      </c>
      <c r="G183">
        <v>14.46</v>
      </c>
      <c r="H183" t="s">
        <v>37</v>
      </c>
      <c r="I183" t="s">
        <v>3370</v>
      </c>
      <c r="J183" t="str">
        <f>_xlfn.XLOOKUP(Table8[[#This Row],[Supporter_ID]],tb1_supporters[Supporter_ID ],tb1_supporters[Segment],"")</f>
        <v>Regular Giver</v>
      </c>
      <c r="K183" t="str">
        <f>_xlfn.XLOOKUP(Table8[[#This Row],[Supporter_ID]],tb1_supporters[Supporter_ID ],tb1_supporters[Acquisition_Source],"")</f>
        <v>Social Media</v>
      </c>
      <c r="L183" t="str">
        <f>_xlfn.XLOOKUP(Table8[[#This Row],[Supporter_ID]],tb1_supporters[Supporter_ID ],tb1_supporters[County],"")</f>
        <v>Somerset</v>
      </c>
      <c r="M183" t="str">
        <f>_xlfn.XLOOKUP(Table8[[#This Row],[Supporter_ID]],tb1_supporters[Supporter_ID ],tb1_supporters[Gender],"")</f>
        <v>Male</v>
      </c>
      <c r="N183">
        <f ca="1">_xlfn.XLOOKUP(Table8[[#This Row],[Supporter_ID]],tb1_supporters[Supporter_ID ],tb1_supporters[Age],"")</f>
        <v>76</v>
      </c>
      <c r="O183" t="str">
        <f ca="1">_xlfn.XLOOKUP(Table8[[#This Row],[Supporter_ID]],tb1_supporters[Supporter_ID ],tb1_supporters[Age_Band],"")</f>
        <v>65+</v>
      </c>
      <c r="P183" t="str">
        <f ca="1">IF(Table8[[#This Row],[Age_Band]]="","Unknown",Table8[[#This Row],[Age_Band]])</f>
        <v>65+</v>
      </c>
      <c r="Q183" t="str">
        <f>_xlfn.XLOOKUP(Table8[[#This Row],[Supporter_ID]],tb1_supporters[Supporter_ID ],tb1_supporters[Communication_Preference],"")</f>
        <v>Email</v>
      </c>
      <c r="R183" t="str">
        <f>_xlfn.XLOOKUP(Table8[[#This Row],[Supporter_ID]],tb1_supporters[Supporter_ID ],tb1_supporters[Duplicate_Profile_Flag],"")</f>
        <v/>
      </c>
      <c r="S183" t="str">
        <f>_xlfn.XLOOKUP(Table8[[#This Row],[Supporter_ID]],tb1_supporters[Supporter_ID ],tb1_supporters[Preference_Compliance_Flag],"")</f>
        <v/>
      </c>
      <c r="T183" t="str">
        <f ca="1">IF(Table8[[#This Row],[Age]]="","Review - missing DOB",IF(Table8[[#This Row],[Age]]&gt;TODAY(),"Review - future DOB",IF(Table8[[#This Row],[Age]]=0,"Review -  potential entry error (age 0)","")))</f>
        <v/>
      </c>
      <c r="U183" t="str">
        <f>_xlfn.XLOOKUP(Table8[[#This Row],[Campaign_Code]],tb3_CampaignMaster[Campaign_Code],tb3_CampaignMaster[Campaign_Type],"")</f>
        <v>Appeal</v>
      </c>
      <c r="V183" t="str">
        <f>_xlfn.XLOOKUP(Table8[[#This Row],[Campaign_Code]],tb3_CampaignMaster[Campaign_Code],tb3_CampaignMaster[Target_Audience],"")</f>
        <v>All Active</v>
      </c>
      <c r="W183" s="17">
        <f>_xlfn.XLOOKUP(Table8[[#This Row],[Campaign_Code]],tb3_CampaignMaster[Campaign_Code],tb3_CampaignMaster[Start_Date],"")</f>
        <v>45597</v>
      </c>
      <c r="X183" s="17">
        <f>_xlfn.XLOOKUP(Table8[[#This Row],[Campaign_Code]],tb3_CampaignMaster[Campaign_Code],tb3_CampaignMaster[End_Date],"")</f>
        <v>45657</v>
      </c>
      <c r="Y183">
        <f>_xlfn.XLOOKUP(Table8[[#This Row],[Campaign_Code]],tb3_CampaignMaster[Campaign_Code],tb3_CampaignMaster[Budget_GBP],"")</f>
        <v>25000</v>
      </c>
      <c r="Z183" t="str">
        <f>_xlfn.XLOOKUP(Table8[[#This Row],[Campaign_Code]],tb3_CampaignMaster[Campaign_Code],tb3_CampaignMaster[Primary_Channel],"")</f>
        <v>Multi-channel</v>
      </c>
      <c r="AA183" s="13">
        <f>IF(Table8[[#This Row],[Gift_Aid_Eligible]]="Yes",Table8[[#This Row],[Gift_Amount]]*1.25,Table8[[#This Row],[Gift_Amount]])</f>
        <v>14.46</v>
      </c>
      <c r="AB183" t="str">
        <f>IF(Table8[[#This Row],[Supporter_ID]]="","Review - missing supporter ID","")</f>
        <v/>
      </c>
      <c r="AC183" t="str">
        <f>IF(OR(Table8[[#This Row],[Response_Date]]&lt;Table8[[#This Row],[Start_Date]],Table8[[#This Row],[Response_Date]]&gt;Table8[[#This Row],[End_Date]]),"Review - response outside campaign dates","")</f>
        <v/>
      </c>
      <c r="AD183" t="str">
        <f>IF(Table8[[#This Row],[Campaign_Type]]="","Review - campaign code not found","")</f>
        <v/>
      </c>
    </row>
    <row r="184" spans="1:30" x14ac:dyDescent="0.25">
      <c r="A184" t="s">
        <v>3687</v>
      </c>
      <c r="B184" t="s">
        <v>2303</v>
      </c>
      <c r="C184" t="s">
        <v>3314</v>
      </c>
      <c r="D184" t="s">
        <v>3315</v>
      </c>
      <c r="E184" t="s">
        <v>3316</v>
      </c>
      <c r="F184" s="17">
        <v>45704</v>
      </c>
      <c r="G184">
        <v>27.11</v>
      </c>
      <c r="H184" t="s">
        <v>36</v>
      </c>
      <c r="I184" t="s">
        <v>3318</v>
      </c>
      <c r="J184" t="str">
        <f>_xlfn.XLOOKUP(Table8[[#This Row],[Supporter_ID]],tb1_supporters[Supporter_ID ],tb1_supporters[Segment],"")</f>
        <v>Prospect</v>
      </c>
      <c r="K184" t="str">
        <f>_xlfn.XLOOKUP(Table8[[#This Row],[Supporter_ID]],tb1_supporters[Supporter_ID ],tb1_supporters[Acquisition_Source],"")</f>
        <v>Direct Mail</v>
      </c>
      <c r="L184" t="str">
        <f>_xlfn.XLOOKUP(Table8[[#This Row],[Supporter_ID]],tb1_supporters[Supporter_ID ],tb1_supporters[County],"")</f>
        <v>Angus</v>
      </c>
      <c r="M184" t="str">
        <f>_xlfn.XLOOKUP(Table8[[#This Row],[Supporter_ID]],tb1_supporters[Supporter_ID ],tb1_supporters[Gender],"")</f>
        <v>Female</v>
      </c>
      <c r="N184" t="str">
        <f ca="1">_xlfn.XLOOKUP(Table8[[#This Row],[Supporter_ID]],tb1_supporters[Supporter_ID ],tb1_supporters[Age],"")</f>
        <v/>
      </c>
      <c r="O184" t="str">
        <f ca="1">_xlfn.XLOOKUP(Table8[[#This Row],[Supporter_ID]],tb1_supporters[Supporter_ID ],tb1_supporters[Age_Band],"")</f>
        <v/>
      </c>
      <c r="P184" t="str">
        <f ca="1">IF(Table8[[#This Row],[Age_Band]]="","Unknown",Table8[[#This Row],[Age_Band]])</f>
        <v>Unknown</v>
      </c>
      <c r="Q184" t="str">
        <f>_xlfn.XLOOKUP(Table8[[#This Row],[Supporter_ID]],tb1_supporters[Supporter_ID ],tb1_supporters[Communication_Preference],"")</f>
        <v>No Preference</v>
      </c>
      <c r="R184" t="str">
        <f>_xlfn.XLOOKUP(Table8[[#This Row],[Supporter_ID]],tb1_supporters[Supporter_ID ],tb1_supporters[Duplicate_Profile_Flag],"")</f>
        <v/>
      </c>
      <c r="S184" t="str">
        <f>_xlfn.XLOOKUP(Table8[[#This Row],[Supporter_ID]],tb1_supporters[Supporter_ID ],tb1_supporters[Preference_Compliance_Flag],"")</f>
        <v/>
      </c>
      <c r="T184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184" t="str">
        <f>_xlfn.XLOOKUP(Table8[[#This Row],[Campaign_Code]],tb3_CampaignMaster[Campaign_Code],tb3_CampaignMaster[Campaign_Type],"")</f>
        <v>Regular Giving</v>
      </c>
      <c r="V184" t="str">
        <f>_xlfn.XLOOKUP(Table8[[#This Row],[Campaign_Code]],tb3_CampaignMaster[Campaign_Code],tb3_CampaignMaster[Target_Audience],"")</f>
        <v>One-time Donors</v>
      </c>
      <c r="W184" s="17">
        <f>_xlfn.XLOOKUP(Table8[[#This Row],[Campaign_Code]],tb3_CampaignMaster[Campaign_Code],tb3_CampaignMaster[Start_Date],"")</f>
        <v>45663</v>
      </c>
      <c r="X184" s="17">
        <f>_xlfn.XLOOKUP(Table8[[#This Row],[Campaign_Code]],tb3_CampaignMaster[Campaign_Code],tb3_CampaignMaster[End_Date],"")</f>
        <v>45747</v>
      </c>
      <c r="Y184">
        <f>_xlfn.XLOOKUP(Table8[[#This Row],[Campaign_Code]],tb3_CampaignMaster[Campaign_Code],tb3_CampaignMaster[Budget_GBP],"")</f>
        <v>10000</v>
      </c>
      <c r="Z184" t="str">
        <f>_xlfn.XLOOKUP(Table8[[#This Row],[Campaign_Code]],tb3_CampaignMaster[Campaign_Code],tb3_CampaignMaster[Primary_Channel],"")</f>
        <v>Telephone</v>
      </c>
      <c r="AA184" s="13">
        <f>IF(Table8[[#This Row],[Gift_Aid_Eligible]]="Yes",Table8[[#This Row],[Gift_Amount]]*1.25,Table8[[#This Row],[Gift_Amount]])</f>
        <v>33.887500000000003</v>
      </c>
      <c r="AB184" t="str">
        <f>IF(Table8[[#This Row],[Supporter_ID]]="","Review - missing supporter ID","")</f>
        <v/>
      </c>
      <c r="AC184" t="str">
        <f>IF(OR(Table8[[#This Row],[Response_Date]]&lt;Table8[[#This Row],[Start_Date]],Table8[[#This Row],[Response_Date]]&gt;Table8[[#This Row],[End_Date]]),"Review - response outside campaign dates","")</f>
        <v/>
      </c>
      <c r="AD184" t="str">
        <f>IF(Table8[[#This Row],[Campaign_Type]]="","Review - campaign code not found","")</f>
        <v/>
      </c>
    </row>
    <row r="185" spans="1:30" x14ac:dyDescent="0.25">
      <c r="A185" t="s">
        <v>3689</v>
      </c>
      <c r="B185" t="s">
        <v>2735</v>
      </c>
      <c r="C185" t="s">
        <v>3336</v>
      </c>
      <c r="D185" t="s">
        <v>3337</v>
      </c>
      <c r="E185" t="s">
        <v>4</v>
      </c>
      <c r="F185" s="17">
        <v>45578</v>
      </c>
      <c r="G185">
        <v>4033.79</v>
      </c>
      <c r="H185" t="s">
        <v>36</v>
      </c>
      <c r="I185" t="s">
        <v>3331</v>
      </c>
      <c r="J185" t="str">
        <f>_xlfn.XLOOKUP(Table8[[#This Row],[Supporter_ID]],tb1_supporters[Supporter_ID ],tb1_supporters[Segment],"")</f>
        <v>Major Donor</v>
      </c>
      <c r="K185" t="str">
        <f>_xlfn.XLOOKUP(Table8[[#This Row],[Supporter_ID]],tb1_supporters[Supporter_ID ],tb1_supporters[Acquisition_Source],"")</f>
        <v>Door-To-Door</v>
      </c>
      <c r="L185" t="str">
        <f>_xlfn.XLOOKUP(Table8[[#This Row],[Supporter_ID]],tb1_supporters[Supporter_ID ],tb1_supporters[County],"")</f>
        <v>North Yorkshire</v>
      </c>
      <c r="M185" t="str">
        <f>_xlfn.XLOOKUP(Table8[[#This Row],[Supporter_ID]],tb1_supporters[Supporter_ID ],tb1_supporters[Gender],"")</f>
        <v>Male</v>
      </c>
      <c r="N185">
        <f ca="1">_xlfn.XLOOKUP(Table8[[#This Row],[Supporter_ID]],tb1_supporters[Supporter_ID ],tb1_supporters[Age],"")</f>
        <v>49</v>
      </c>
      <c r="O185" t="str">
        <f ca="1">_xlfn.XLOOKUP(Table8[[#This Row],[Supporter_ID]],tb1_supporters[Supporter_ID ],tb1_supporters[Age_Band],"")</f>
        <v>35-49</v>
      </c>
      <c r="P185" t="str">
        <f ca="1">IF(Table8[[#This Row],[Age_Band]]="","Unknown",Table8[[#This Row],[Age_Band]])</f>
        <v>35-49</v>
      </c>
      <c r="Q185" t="str">
        <f>_xlfn.XLOOKUP(Table8[[#This Row],[Supporter_ID]],tb1_supporters[Supporter_ID ],tb1_supporters[Communication_Preference],"")</f>
        <v>Email</v>
      </c>
      <c r="R185" t="str">
        <f>_xlfn.XLOOKUP(Table8[[#This Row],[Supporter_ID]],tb1_supporters[Supporter_ID ],tb1_supporters[Duplicate_Profile_Flag],"")</f>
        <v/>
      </c>
      <c r="S185" t="str">
        <f>_xlfn.XLOOKUP(Table8[[#This Row],[Supporter_ID]],tb1_supporters[Supporter_ID ],tb1_supporters[Preference_Compliance_Flag],"")</f>
        <v>Review - prefers email but not opted in</v>
      </c>
      <c r="T185" t="str">
        <f ca="1">IF(Table8[[#This Row],[Age]]="","Review - missing DOB",IF(Table8[[#This Row],[Age]]&gt;TODAY(),"Review - future DOB",IF(Table8[[#This Row],[Age]]=0,"Review -  potential entry error (age 0)","")))</f>
        <v/>
      </c>
      <c r="U185" t="str">
        <f>_xlfn.XLOOKUP(Table8[[#This Row],[Campaign_Code]],tb3_CampaignMaster[Campaign_Code],tb3_CampaignMaster[Campaign_Type],"")</f>
        <v>Appeal</v>
      </c>
      <c r="V185" t="str">
        <f>_xlfn.XLOOKUP(Table8[[#This Row],[Campaign_Code]],tb3_CampaignMaster[Campaign_Code],tb3_CampaignMaster[Target_Audience],"")</f>
        <v>All Supporters</v>
      </c>
      <c r="W185" s="17">
        <f>_xlfn.XLOOKUP(Table8[[#This Row],[Campaign_Code]],tb3_CampaignMaster[Campaign_Code],tb3_CampaignMaster[Start_Date],"")</f>
        <v>45545</v>
      </c>
      <c r="X185" s="17">
        <f>_xlfn.XLOOKUP(Table8[[#This Row],[Campaign_Code]],tb3_CampaignMaster[Campaign_Code],tb3_CampaignMaster[End_Date],"")</f>
        <v>45580</v>
      </c>
      <c r="Y185">
        <f>_xlfn.XLOOKUP(Table8[[#This Row],[Campaign_Code]],tb3_CampaignMaster[Campaign_Code],tb3_CampaignMaster[Budget_GBP],"")</f>
        <v>15000</v>
      </c>
      <c r="Z185" t="str">
        <f>_xlfn.XLOOKUP(Table8[[#This Row],[Campaign_Code]],tb3_CampaignMaster[Campaign_Code],tb3_CampaignMaster[Primary_Channel],"")</f>
        <v>Email</v>
      </c>
      <c r="AA185" s="13">
        <f>IF(Table8[[#This Row],[Gift_Aid_Eligible]]="Yes",Table8[[#This Row],[Gift_Amount]]*1.25,Table8[[#This Row],[Gift_Amount]])</f>
        <v>5042.2375000000002</v>
      </c>
      <c r="AB185" t="str">
        <f>IF(Table8[[#This Row],[Supporter_ID]]="","Review - missing supporter ID","")</f>
        <v/>
      </c>
      <c r="AC185" t="str">
        <f>IF(OR(Table8[[#This Row],[Response_Date]]&lt;Table8[[#This Row],[Start_Date]],Table8[[#This Row],[Response_Date]]&gt;Table8[[#This Row],[End_Date]]),"Review - response outside campaign dates","")</f>
        <v/>
      </c>
      <c r="AD185" t="str">
        <f>IF(Table8[[#This Row],[Campaign_Type]]="","Review - campaign code not found","")</f>
        <v/>
      </c>
    </row>
    <row r="186" spans="1:30" x14ac:dyDescent="0.25">
      <c r="A186" t="s">
        <v>3691</v>
      </c>
      <c r="B186" t="s">
        <v>3193</v>
      </c>
      <c r="C186" t="s">
        <v>3320</v>
      </c>
      <c r="D186" t="s">
        <v>3321</v>
      </c>
      <c r="E186" t="s">
        <v>65</v>
      </c>
      <c r="F186" s="17">
        <v>45462</v>
      </c>
      <c r="G186">
        <v>21.2</v>
      </c>
      <c r="H186" t="s">
        <v>36</v>
      </c>
      <c r="I186" t="s">
        <v>3331</v>
      </c>
      <c r="J186" t="str">
        <f>_xlfn.XLOOKUP(Table8[[#This Row],[Supporter_ID]],tb1_supporters[Supporter_ID ],tb1_supporters[Segment],"")</f>
        <v>Prospect</v>
      </c>
      <c r="K186" t="str">
        <f>_xlfn.XLOOKUP(Table8[[#This Row],[Supporter_ID]],tb1_supporters[Supporter_ID ],tb1_supporters[Acquisition_Source],"")</f>
        <v>Event</v>
      </c>
      <c r="L186" t="str">
        <f>_xlfn.XLOOKUP(Table8[[#This Row],[Supporter_ID]],tb1_supporters[Supporter_ID ],tb1_supporters[County],"")</f>
        <v>Merseyside</v>
      </c>
      <c r="M186" t="str">
        <f>_xlfn.XLOOKUP(Table8[[#This Row],[Supporter_ID]],tb1_supporters[Supporter_ID ],tb1_supporters[Gender],"")</f>
        <v>Female</v>
      </c>
      <c r="N186">
        <f ca="1">_xlfn.XLOOKUP(Table8[[#This Row],[Supporter_ID]],tb1_supporters[Supporter_ID ],tb1_supporters[Age],"")</f>
        <v>63</v>
      </c>
      <c r="O186" t="str">
        <f ca="1">_xlfn.XLOOKUP(Table8[[#This Row],[Supporter_ID]],tb1_supporters[Supporter_ID ],tb1_supporters[Age_Band],"")</f>
        <v>50-64</v>
      </c>
      <c r="P186" t="str">
        <f ca="1">IF(Table8[[#This Row],[Age_Band]]="","Unknown",Table8[[#This Row],[Age_Band]])</f>
        <v>50-64</v>
      </c>
      <c r="Q186" t="str">
        <f>_xlfn.XLOOKUP(Table8[[#This Row],[Supporter_ID]],tb1_supporters[Supporter_ID ],tb1_supporters[Communication_Preference],"")</f>
        <v>Email</v>
      </c>
      <c r="R186" t="str">
        <f>_xlfn.XLOOKUP(Table8[[#This Row],[Supporter_ID]],tb1_supporters[Supporter_ID ],tb1_supporters[Duplicate_Profile_Flag],"")</f>
        <v/>
      </c>
      <c r="S186" t="str">
        <f>_xlfn.XLOOKUP(Table8[[#This Row],[Supporter_ID]],tb1_supporters[Supporter_ID ],tb1_supporters[Preference_Compliance_Flag],"")</f>
        <v>Review - prefers email but not opted in</v>
      </c>
      <c r="T186" t="str">
        <f ca="1">IF(Table8[[#This Row],[Age]]="","Review - missing DOB",IF(Table8[[#This Row],[Age]]&gt;TODAY(),"Review - future DOB",IF(Table8[[#This Row],[Age]]=0,"Review -  potential entry error (age 0)","")))</f>
        <v/>
      </c>
      <c r="U186" t="str">
        <f>_xlfn.XLOOKUP(Table8[[#This Row],[Campaign_Code]],tb3_CampaignMaster[Campaign_Code],tb3_CampaignMaster[Campaign_Type],"")</f>
        <v>Stewardship</v>
      </c>
      <c r="V186" t="str">
        <f>_xlfn.XLOOKUP(Table8[[#This Row],[Campaign_Code]],tb3_CampaignMaster[Campaign_Code],tb3_CampaignMaster[Target_Audience],"")</f>
        <v>Major Donors</v>
      </c>
      <c r="W186" s="17">
        <f>_xlfn.XLOOKUP(Table8[[#This Row],[Campaign_Code]],tb3_CampaignMaster[Campaign_Code],tb3_CampaignMaster[Start_Date],"")</f>
        <v>45444</v>
      </c>
      <c r="X186" s="17">
        <f>_xlfn.XLOOKUP(Table8[[#This Row],[Campaign_Code]],tb3_CampaignMaster[Campaign_Code],tb3_CampaignMaster[End_Date],"")</f>
        <v>45473</v>
      </c>
      <c r="Y186">
        <f>_xlfn.XLOOKUP(Table8[[#This Row],[Campaign_Code]],tb3_CampaignMaster[Campaign_Code],tb3_CampaignMaster[Budget_GBP],"")</f>
        <v>7000</v>
      </c>
      <c r="Z186" t="str">
        <f>_xlfn.XLOOKUP(Table8[[#This Row],[Campaign_Code]],tb3_CampaignMaster[Campaign_Code],tb3_CampaignMaster[Primary_Channel],"")</f>
        <v>Direct Mail</v>
      </c>
      <c r="AA186" s="13">
        <f>IF(Table8[[#This Row],[Gift_Aid_Eligible]]="Yes",Table8[[#This Row],[Gift_Amount]]*1.25,Table8[[#This Row],[Gift_Amount]])</f>
        <v>26.5</v>
      </c>
      <c r="AB186" t="str">
        <f>IF(Table8[[#This Row],[Supporter_ID]]="","Review - missing supporter ID","")</f>
        <v/>
      </c>
      <c r="AC186" t="str">
        <f>IF(OR(Table8[[#This Row],[Response_Date]]&lt;Table8[[#This Row],[Start_Date]],Table8[[#This Row],[Response_Date]]&gt;Table8[[#This Row],[End_Date]]),"Review - response outside campaign dates","")</f>
        <v/>
      </c>
      <c r="AD186" t="str">
        <f>IF(Table8[[#This Row],[Campaign_Type]]="","Review - campaign code not found","")</f>
        <v/>
      </c>
    </row>
    <row r="187" spans="1:30" x14ac:dyDescent="0.25">
      <c r="A187" t="s">
        <v>3693</v>
      </c>
      <c r="B187" t="s">
        <v>2332</v>
      </c>
      <c r="C187" t="s">
        <v>3336</v>
      </c>
      <c r="D187" t="s">
        <v>3337</v>
      </c>
      <c r="E187" t="s">
        <v>3316</v>
      </c>
      <c r="F187" s="17">
        <v>45557</v>
      </c>
      <c r="G187">
        <v>146.19999999999999</v>
      </c>
      <c r="H187" t="s">
        <v>37</v>
      </c>
      <c r="I187" t="s">
        <v>3328</v>
      </c>
      <c r="J187" t="str">
        <f>_xlfn.XLOOKUP(Table8[[#This Row],[Supporter_ID]],tb1_supporters[Supporter_ID ],tb1_supporters[Segment],"")</f>
        <v>Legacy Pledger</v>
      </c>
      <c r="K187" t="str">
        <f>_xlfn.XLOOKUP(Table8[[#This Row],[Supporter_ID]],tb1_supporters[Supporter_ID ],tb1_supporters[Acquisition_Source],"")</f>
        <v>Telephone</v>
      </c>
      <c r="L187" t="str">
        <f>_xlfn.XLOOKUP(Table8[[#This Row],[Supporter_ID]],tb1_supporters[Supporter_ID ],tb1_supporters[County],"")</f>
        <v>Strathclyde</v>
      </c>
      <c r="M187" t="str">
        <f>_xlfn.XLOOKUP(Table8[[#This Row],[Supporter_ID]],tb1_supporters[Supporter_ID ],tb1_supporters[Gender],"")</f>
        <v>Male</v>
      </c>
      <c r="N187">
        <f ca="1">_xlfn.XLOOKUP(Table8[[#This Row],[Supporter_ID]],tb1_supporters[Supporter_ID ],tb1_supporters[Age],"")</f>
        <v>37</v>
      </c>
      <c r="O187" t="str">
        <f ca="1">_xlfn.XLOOKUP(Table8[[#This Row],[Supporter_ID]],tb1_supporters[Supporter_ID ],tb1_supporters[Age_Band],"")</f>
        <v>35-49</v>
      </c>
      <c r="P187" t="str">
        <f ca="1">IF(Table8[[#This Row],[Age_Band]]="","Unknown",Table8[[#This Row],[Age_Band]])</f>
        <v>35-49</v>
      </c>
      <c r="Q187" t="str">
        <f>_xlfn.XLOOKUP(Table8[[#This Row],[Supporter_ID]],tb1_supporters[Supporter_ID ],tb1_supporters[Communication_Preference],"")</f>
        <v>Email</v>
      </c>
      <c r="R187" t="str">
        <f>_xlfn.XLOOKUP(Table8[[#This Row],[Supporter_ID]],tb1_supporters[Supporter_ID ],tb1_supporters[Duplicate_Profile_Flag],"")</f>
        <v/>
      </c>
      <c r="S187" t="str">
        <f>_xlfn.XLOOKUP(Table8[[#This Row],[Supporter_ID]],tb1_supporters[Supporter_ID ],tb1_supporters[Preference_Compliance_Flag],"")</f>
        <v>Review - prefers email but not opted in</v>
      </c>
      <c r="T187" t="str">
        <f ca="1">IF(Table8[[#This Row],[Age]]="","Review - missing DOB",IF(Table8[[#This Row],[Age]]&gt;TODAY(),"Review - future DOB",IF(Table8[[#This Row],[Age]]=0,"Review -  potential entry error (age 0)","")))</f>
        <v/>
      </c>
      <c r="U187" t="str">
        <f>_xlfn.XLOOKUP(Table8[[#This Row],[Campaign_Code]],tb3_CampaignMaster[Campaign_Code],tb3_CampaignMaster[Campaign_Type],"")</f>
        <v>Appeal</v>
      </c>
      <c r="V187" t="str">
        <f>_xlfn.XLOOKUP(Table8[[#This Row],[Campaign_Code]],tb3_CampaignMaster[Campaign_Code],tb3_CampaignMaster[Target_Audience],"")</f>
        <v>All Supporters</v>
      </c>
      <c r="W187" s="17">
        <f>_xlfn.XLOOKUP(Table8[[#This Row],[Campaign_Code]],tb3_CampaignMaster[Campaign_Code],tb3_CampaignMaster[Start_Date],"")</f>
        <v>45545</v>
      </c>
      <c r="X187" s="17">
        <f>_xlfn.XLOOKUP(Table8[[#This Row],[Campaign_Code]],tb3_CampaignMaster[Campaign_Code],tb3_CampaignMaster[End_Date],"")</f>
        <v>45580</v>
      </c>
      <c r="Y187">
        <f>_xlfn.XLOOKUP(Table8[[#This Row],[Campaign_Code]],tb3_CampaignMaster[Campaign_Code],tb3_CampaignMaster[Budget_GBP],"")</f>
        <v>15000</v>
      </c>
      <c r="Z187" t="str">
        <f>_xlfn.XLOOKUP(Table8[[#This Row],[Campaign_Code]],tb3_CampaignMaster[Campaign_Code],tb3_CampaignMaster[Primary_Channel],"")</f>
        <v>Email</v>
      </c>
      <c r="AA187" s="13">
        <f>IF(Table8[[#This Row],[Gift_Aid_Eligible]]="Yes",Table8[[#This Row],[Gift_Amount]]*1.25,Table8[[#This Row],[Gift_Amount]])</f>
        <v>146.19999999999999</v>
      </c>
      <c r="AB187" t="str">
        <f>IF(Table8[[#This Row],[Supporter_ID]]="","Review - missing supporter ID","")</f>
        <v/>
      </c>
      <c r="AC187" t="str">
        <f>IF(OR(Table8[[#This Row],[Response_Date]]&lt;Table8[[#This Row],[Start_Date]],Table8[[#This Row],[Response_Date]]&gt;Table8[[#This Row],[End_Date]]),"Review - response outside campaign dates","")</f>
        <v/>
      </c>
      <c r="AD187" t="str">
        <f>IF(Table8[[#This Row],[Campaign_Type]]="","Review - campaign code not found","")</f>
        <v/>
      </c>
    </row>
    <row r="188" spans="1:30" x14ac:dyDescent="0.25">
      <c r="A188" t="s">
        <v>3695</v>
      </c>
      <c r="B188" t="s">
        <v>1755</v>
      </c>
      <c r="C188" t="s">
        <v>3403</v>
      </c>
      <c r="D188" t="s">
        <v>3404</v>
      </c>
      <c r="E188" t="s">
        <v>4</v>
      </c>
      <c r="F188" s="17">
        <v>45610</v>
      </c>
      <c r="G188">
        <v>18.84</v>
      </c>
      <c r="H188" t="s">
        <v>36</v>
      </c>
      <c r="I188" t="s">
        <v>3323</v>
      </c>
      <c r="J188" t="str">
        <f>_xlfn.XLOOKUP(Table8[[#This Row],[Supporter_ID]],tb1_supporters[Supporter_ID ],tb1_supporters[Segment],"")</f>
        <v>Regular Giver</v>
      </c>
      <c r="K188" t="str">
        <f>_xlfn.XLOOKUP(Table8[[#This Row],[Supporter_ID]],tb1_supporters[Supporter_ID ],tb1_supporters[Acquisition_Source],"")</f>
        <v>Telephone</v>
      </c>
      <c r="L188" t="str">
        <f>_xlfn.XLOOKUP(Table8[[#This Row],[Supporter_ID]],tb1_supporters[Supporter_ID ],tb1_supporters[County],"")</f>
        <v>Gloucestershire</v>
      </c>
      <c r="M188" t="str">
        <f>_xlfn.XLOOKUP(Table8[[#This Row],[Supporter_ID]],tb1_supporters[Supporter_ID ],tb1_supporters[Gender],"")</f>
        <v>Male</v>
      </c>
      <c r="N188">
        <f ca="1">_xlfn.XLOOKUP(Table8[[#This Row],[Supporter_ID]],tb1_supporters[Supporter_ID ],tb1_supporters[Age],"")</f>
        <v>28</v>
      </c>
      <c r="O188" t="str">
        <f ca="1">_xlfn.XLOOKUP(Table8[[#This Row],[Supporter_ID]],tb1_supporters[Supporter_ID ],tb1_supporters[Age_Band],"")</f>
        <v>18-34</v>
      </c>
      <c r="P188" t="str">
        <f ca="1">IF(Table8[[#This Row],[Age_Band]]="","Unknown",Table8[[#This Row],[Age_Band]])</f>
        <v>18-34</v>
      </c>
      <c r="Q188" t="str">
        <f>_xlfn.XLOOKUP(Table8[[#This Row],[Supporter_ID]],tb1_supporters[Supporter_ID ],tb1_supporters[Communication_Preference],"")</f>
        <v>Post</v>
      </c>
      <c r="R188" t="str">
        <f>_xlfn.XLOOKUP(Table8[[#This Row],[Supporter_ID]],tb1_supporters[Supporter_ID ],tb1_supporters[Duplicate_Profile_Flag],"")</f>
        <v/>
      </c>
      <c r="S188" t="str">
        <f>_xlfn.XLOOKUP(Table8[[#This Row],[Supporter_ID]],tb1_supporters[Supporter_ID ],tb1_supporters[Preference_Compliance_Flag],"")</f>
        <v/>
      </c>
      <c r="T188" t="str">
        <f ca="1">IF(Table8[[#This Row],[Age]]="","Review - missing DOB",IF(Table8[[#This Row],[Age]]&gt;TODAY(),"Review - future DOB",IF(Table8[[#This Row],[Age]]=0,"Review -  potential entry error (age 0)","")))</f>
        <v/>
      </c>
      <c r="U188" t="str">
        <f>_xlfn.XLOOKUP(Table8[[#This Row],[Campaign_Code]],tb3_CampaignMaster[Campaign_Code],tb3_CampaignMaster[Campaign_Type],"")</f>
        <v>Trading</v>
      </c>
      <c r="V188" t="str">
        <f>_xlfn.XLOOKUP(Table8[[#This Row],[Campaign_Code]],tb3_CampaignMaster[Campaign_Code],tb3_CampaignMaster[Target_Audience],"")</f>
        <v>All Active</v>
      </c>
      <c r="W188" s="17">
        <f>_xlfn.XLOOKUP(Table8[[#This Row],[Campaign_Code]],tb3_CampaignMaster[Campaign_Code],tb3_CampaignMaster[Start_Date],"")</f>
        <v>45580</v>
      </c>
      <c r="X188" s="17">
        <f>_xlfn.XLOOKUP(Table8[[#This Row],[Campaign_Code]],tb3_CampaignMaster[Campaign_Code],tb3_CampaignMaster[End_Date],"")</f>
        <v>45646</v>
      </c>
      <c r="Y188">
        <f>_xlfn.XLOOKUP(Table8[[#This Row],[Campaign_Code]],tb3_CampaignMaster[Campaign_Code],tb3_CampaignMaster[Budget_GBP],"")</f>
        <v>12000</v>
      </c>
      <c r="Z188" t="str">
        <f>_xlfn.XLOOKUP(Table8[[#This Row],[Campaign_Code]],tb3_CampaignMaster[Campaign_Code],tb3_CampaignMaster[Primary_Channel],"")</f>
        <v>Multi-channel</v>
      </c>
      <c r="AA188" s="13">
        <f>IF(Table8[[#This Row],[Gift_Aid_Eligible]]="Yes",Table8[[#This Row],[Gift_Amount]]*1.25,Table8[[#This Row],[Gift_Amount]])</f>
        <v>23.55</v>
      </c>
      <c r="AB188" t="str">
        <f>IF(Table8[[#This Row],[Supporter_ID]]="","Review - missing supporter ID","")</f>
        <v/>
      </c>
      <c r="AC188" t="str">
        <f>IF(OR(Table8[[#This Row],[Response_Date]]&lt;Table8[[#This Row],[Start_Date]],Table8[[#This Row],[Response_Date]]&gt;Table8[[#This Row],[End_Date]]),"Review - response outside campaign dates","")</f>
        <v/>
      </c>
      <c r="AD188" t="str">
        <f>IF(Table8[[#This Row],[Campaign_Type]]="","Review - campaign code not found","")</f>
        <v/>
      </c>
    </row>
    <row r="189" spans="1:30" x14ac:dyDescent="0.25">
      <c r="A189" t="s">
        <v>3697</v>
      </c>
      <c r="B189" t="s">
        <v>323</v>
      </c>
      <c r="C189" t="s">
        <v>3427</v>
      </c>
      <c r="D189" t="s">
        <v>3428</v>
      </c>
      <c r="E189" t="s">
        <v>4</v>
      </c>
      <c r="F189" s="17">
        <v>45488</v>
      </c>
      <c r="G189">
        <v>4729.3599999999997</v>
      </c>
      <c r="H189" t="s">
        <v>36</v>
      </c>
      <c r="I189" t="s">
        <v>3323</v>
      </c>
      <c r="J189" t="str">
        <f>_xlfn.XLOOKUP(Table8[[#This Row],[Supporter_ID]],tb1_supporters[Supporter_ID ],tb1_supporters[Segment],"")</f>
        <v>Major Donor</v>
      </c>
      <c r="K189" t="str">
        <f>_xlfn.XLOOKUP(Table8[[#This Row],[Supporter_ID]],tb1_supporters[Supporter_ID ],tb1_supporters[Acquisition_Source],"")</f>
        <v>Website</v>
      </c>
      <c r="L189" t="str">
        <f>_xlfn.XLOOKUP(Table8[[#This Row],[Supporter_ID]],tb1_supporters[Supporter_ID ],tb1_supporters[County],"")</f>
        <v>West Glamorgan</v>
      </c>
      <c r="M189" t="str">
        <f>_xlfn.XLOOKUP(Table8[[#This Row],[Supporter_ID]],tb1_supporters[Supporter_ID ],tb1_supporters[Gender],"")</f>
        <v>Male</v>
      </c>
      <c r="N189" t="str">
        <f ca="1">_xlfn.XLOOKUP(Table8[[#This Row],[Supporter_ID]],tb1_supporters[Supporter_ID ],tb1_supporters[Age],"")</f>
        <v/>
      </c>
      <c r="O189" t="str">
        <f ca="1">_xlfn.XLOOKUP(Table8[[#This Row],[Supporter_ID]],tb1_supporters[Supporter_ID ],tb1_supporters[Age_Band],"")</f>
        <v/>
      </c>
      <c r="P189" t="str">
        <f ca="1">IF(Table8[[#This Row],[Age_Band]]="","Unknown",Table8[[#This Row],[Age_Band]])</f>
        <v>Unknown</v>
      </c>
      <c r="Q189" t="str">
        <f>_xlfn.XLOOKUP(Table8[[#This Row],[Supporter_ID]],tb1_supporters[Supporter_ID ],tb1_supporters[Communication_Preference],"")</f>
        <v>Phone</v>
      </c>
      <c r="R189" t="str">
        <f>_xlfn.XLOOKUP(Table8[[#This Row],[Supporter_ID]],tb1_supporters[Supporter_ID ],tb1_supporters[Duplicate_Profile_Flag],"")</f>
        <v/>
      </c>
      <c r="S189" t="str">
        <f>_xlfn.XLOOKUP(Table8[[#This Row],[Supporter_ID]],tb1_supporters[Supporter_ID ],tb1_supporters[Preference_Compliance_Flag],"")</f>
        <v/>
      </c>
      <c r="T189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189" t="str">
        <f>_xlfn.XLOOKUP(Table8[[#This Row],[Campaign_Code]],tb3_CampaignMaster[Campaign_Code],tb3_CampaignMaster[Campaign_Type],"")</f>
        <v>Event</v>
      </c>
      <c r="V189" t="str">
        <f>_xlfn.XLOOKUP(Table8[[#This Row],[Campaign_Code]],tb3_CampaignMaster[Campaign_Code],tb3_CampaignMaster[Target_Audience],"")</f>
        <v>Major Donors</v>
      </c>
      <c r="W189" s="17">
        <f>_xlfn.XLOOKUP(Table8[[#This Row],[Campaign_Code]],tb3_CampaignMaster[Campaign_Code],tb3_CampaignMaster[Start_Date],"")</f>
        <v>45488</v>
      </c>
      <c r="X189" s="17">
        <f>_xlfn.XLOOKUP(Table8[[#This Row],[Campaign_Code]],tb3_CampaignMaster[Campaign_Code],tb3_CampaignMaster[End_Date],"")</f>
        <v>45488</v>
      </c>
      <c r="Y189">
        <f>_xlfn.XLOOKUP(Table8[[#This Row],[Campaign_Code]],tb3_CampaignMaster[Campaign_Code],tb3_CampaignMaster[Budget_GBP],"")</f>
        <v>45000</v>
      </c>
      <c r="Z189" t="str">
        <f>_xlfn.XLOOKUP(Table8[[#This Row],[Campaign_Code]],tb3_CampaignMaster[Campaign_Code],tb3_CampaignMaster[Primary_Channel],"")</f>
        <v>Direct Mail</v>
      </c>
      <c r="AA189" s="13">
        <f>IF(Table8[[#This Row],[Gift_Aid_Eligible]]="Yes",Table8[[#This Row],[Gift_Amount]]*1.25,Table8[[#This Row],[Gift_Amount]])</f>
        <v>5911.7</v>
      </c>
      <c r="AB189" t="str">
        <f>IF(Table8[[#This Row],[Supporter_ID]]="","Review - missing supporter ID","")</f>
        <v/>
      </c>
      <c r="AC189" t="str">
        <f>IF(OR(Table8[[#This Row],[Response_Date]]&lt;Table8[[#This Row],[Start_Date]],Table8[[#This Row],[Response_Date]]&gt;Table8[[#This Row],[End_Date]]),"Review - response outside campaign dates","")</f>
        <v/>
      </c>
      <c r="AD189" t="str">
        <f>IF(Table8[[#This Row],[Campaign_Type]]="","Review - campaign code not found","")</f>
        <v/>
      </c>
    </row>
    <row r="190" spans="1:30" x14ac:dyDescent="0.25">
      <c r="A190" t="s">
        <v>3699</v>
      </c>
      <c r="B190" t="s">
        <v>391</v>
      </c>
      <c r="C190" t="s">
        <v>3341</v>
      </c>
      <c r="D190" t="s">
        <v>3342</v>
      </c>
      <c r="E190" t="s">
        <v>91</v>
      </c>
      <c r="F190" s="17">
        <v>45751</v>
      </c>
      <c r="G190">
        <v>4228.91</v>
      </c>
      <c r="H190" t="s">
        <v>36</v>
      </c>
      <c r="I190" t="s">
        <v>3331</v>
      </c>
      <c r="J190" t="str">
        <f>_xlfn.XLOOKUP(Table8[[#This Row],[Supporter_ID]],tb1_supporters[Supporter_ID ],tb1_supporters[Segment],"")</f>
        <v>Major Donor</v>
      </c>
      <c r="K190" t="str">
        <f>_xlfn.XLOOKUP(Table8[[#This Row],[Supporter_ID]],tb1_supporters[Supporter_ID ],tb1_supporters[Acquisition_Source],"")</f>
        <v>Social Media</v>
      </c>
      <c r="L190" t="str">
        <f>_xlfn.XLOOKUP(Table8[[#This Row],[Supporter_ID]],tb1_supporters[Supporter_ID ],tb1_supporters[County],"")</f>
        <v>Devon</v>
      </c>
      <c r="M190" t="str">
        <f>_xlfn.XLOOKUP(Table8[[#This Row],[Supporter_ID]],tb1_supporters[Supporter_ID ],tb1_supporters[Gender],"")</f>
        <v>Female</v>
      </c>
      <c r="N190">
        <f ca="1">_xlfn.XLOOKUP(Table8[[#This Row],[Supporter_ID]],tb1_supporters[Supporter_ID ],tb1_supporters[Age],"")</f>
        <v>41</v>
      </c>
      <c r="O190" t="str">
        <f ca="1">_xlfn.XLOOKUP(Table8[[#This Row],[Supporter_ID]],tb1_supporters[Supporter_ID ],tb1_supporters[Age_Band],"")</f>
        <v>35-49</v>
      </c>
      <c r="P190" t="str">
        <f ca="1">IF(Table8[[#This Row],[Age_Band]]="","Unknown",Table8[[#This Row],[Age_Band]])</f>
        <v>35-49</v>
      </c>
      <c r="Q190" t="str">
        <f>_xlfn.XLOOKUP(Table8[[#This Row],[Supporter_ID]],tb1_supporters[Supporter_ID ],tb1_supporters[Communication_Preference],"")</f>
        <v>Email</v>
      </c>
      <c r="R190" t="str">
        <f>_xlfn.XLOOKUP(Table8[[#This Row],[Supporter_ID]],tb1_supporters[Supporter_ID ],tb1_supporters[Duplicate_Profile_Flag],"")</f>
        <v/>
      </c>
      <c r="S190" t="str">
        <f>_xlfn.XLOOKUP(Table8[[#This Row],[Supporter_ID]],tb1_supporters[Supporter_ID ],tb1_supporters[Preference_Compliance_Flag],"")</f>
        <v/>
      </c>
      <c r="T190" t="str">
        <f ca="1">IF(Table8[[#This Row],[Age]]="","Review - missing DOB",IF(Table8[[#This Row],[Age]]&gt;TODAY(),"Review - future DOB",IF(Table8[[#This Row],[Age]]=0,"Review -  potential entry error (age 0)","")))</f>
        <v/>
      </c>
      <c r="U190" t="str">
        <f>_xlfn.XLOOKUP(Table8[[#This Row],[Campaign_Code]],tb3_CampaignMaster[Campaign_Code],tb3_CampaignMaster[Campaign_Type],"")</f>
        <v>Acquisition</v>
      </c>
      <c r="V190" t="str">
        <f>_xlfn.XLOOKUP(Table8[[#This Row],[Campaign_Code]],tb3_CampaignMaster[Campaign_Code],tb3_CampaignMaster[Target_Audience],"")</f>
        <v>Prospects</v>
      </c>
      <c r="W190" s="17">
        <f>_xlfn.XLOOKUP(Table8[[#This Row],[Campaign_Code]],tb3_CampaignMaster[Campaign_Code],tb3_CampaignMaster[Start_Date],"")</f>
        <v>45689</v>
      </c>
      <c r="X190" s="17">
        <f>_xlfn.XLOOKUP(Table8[[#This Row],[Campaign_Code]],tb3_CampaignMaster[Campaign_Code],tb3_CampaignMaster[End_Date],"")</f>
        <v>45777</v>
      </c>
      <c r="Y190">
        <f>_xlfn.XLOOKUP(Table8[[#This Row],[Campaign_Code]],tb3_CampaignMaster[Campaign_Code],tb3_CampaignMaster[Budget_GBP],"")</f>
        <v>20000</v>
      </c>
      <c r="Z190" t="str">
        <f>_xlfn.XLOOKUP(Table8[[#This Row],[Campaign_Code]],tb3_CampaignMaster[Campaign_Code],tb3_CampaignMaster[Primary_Channel],"")</f>
        <v>Digital</v>
      </c>
      <c r="AA190" s="13">
        <f>IF(Table8[[#This Row],[Gift_Aid_Eligible]]="Yes",Table8[[#This Row],[Gift_Amount]]*1.25,Table8[[#This Row],[Gift_Amount]])</f>
        <v>5286.1374999999998</v>
      </c>
      <c r="AB190" t="str">
        <f>IF(Table8[[#This Row],[Supporter_ID]]="","Review - missing supporter ID","")</f>
        <v/>
      </c>
      <c r="AC190" t="str">
        <f>IF(OR(Table8[[#This Row],[Response_Date]]&lt;Table8[[#This Row],[Start_Date]],Table8[[#This Row],[Response_Date]]&gt;Table8[[#This Row],[End_Date]]),"Review - response outside campaign dates","")</f>
        <v/>
      </c>
      <c r="AD190" t="str">
        <f>IF(Table8[[#This Row],[Campaign_Type]]="","Review - campaign code not found","")</f>
        <v/>
      </c>
    </row>
    <row r="191" spans="1:30" x14ac:dyDescent="0.25">
      <c r="A191" t="s">
        <v>3701</v>
      </c>
      <c r="B191" t="s">
        <v>2011</v>
      </c>
      <c r="C191" t="s">
        <v>3314</v>
      </c>
      <c r="D191" t="s">
        <v>3315</v>
      </c>
      <c r="E191" t="s">
        <v>3316</v>
      </c>
      <c r="F191" s="17">
        <v>45679</v>
      </c>
      <c r="G191">
        <v>46.46</v>
      </c>
      <c r="H191" t="s">
        <v>36</v>
      </c>
      <c r="I191" t="s">
        <v>3331</v>
      </c>
      <c r="J191" t="str">
        <f>_xlfn.XLOOKUP(Table8[[#This Row],[Supporter_ID]],tb1_supporters[Supporter_ID ],tb1_supporters[Segment],"")</f>
        <v>Regular Giver</v>
      </c>
      <c r="K191" t="str">
        <f>_xlfn.XLOOKUP(Table8[[#This Row],[Supporter_ID]],tb1_supporters[Supporter_ID ],tb1_supporters[Acquisition_Source],"")</f>
        <v>Door-To-Door</v>
      </c>
      <c r="L191" t="str">
        <f>_xlfn.XLOOKUP(Table8[[#This Row],[Supporter_ID]],tb1_supporters[Supporter_ID ],tb1_supporters[County],"")</f>
        <v>South Glamorgan</v>
      </c>
      <c r="M191" t="str">
        <f>_xlfn.XLOOKUP(Table8[[#This Row],[Supporter_ID]],tb1_supporters[Supporter_ID ],tb1_supporters[Gender],"")</f>
        <v>Female</v>
      </c>
      <c r="N191">
        <f ca="1">_xlfn.XLOOKUP(Table8[[#This Row],[Supporter_ID]],tb1_supporters[Supporter_ID ],tb1_supporters[Age],"")</f>
        <v>23</v>
      </c>
      <c r="O191" t="str">
        <f ca="1">_xlfn.XLOOKUP(Table8[[#This Row],[Supporter_ID]],tb1_supporters[Supporter_ID ],tb1_supporters[Age_Band],"")</f>
        <v>18-34</v>
      </c>
      <c r="P191" t="str">
        <f ca="1">IF(Table8[[#This Row],[Age_Band]]="","Unknown",Table8[[#This Row],[Age_Band]])</f>
        <v>18-34</v>
      </c>
      <c r="Q191" t="str">
        <f>_xlfn.XLOOKUP(Table8[[#This Row],[Supporter_ID]],tb1_supporters[Supporter_ID ],tb1_supporters[Communication_Preference],"")</f>
        <v>Email</v>
      </c>
      <c r="R191" t="str">
        <f>_xlfn.XLOOKUP(Table8[[#This Row],[Supporter_ID]],tb1_supporters[Supporter_ID ],tb1_supporters[Duplicate_Profile_Flag],"")</f>
        <v/>
      </c>
      <c r="S191" t="str">
        <f>_xlfn.XLOOKUP(Table8[[#This Row],[Supporter_ID]],tb1_supporters[Supporter_ID ],tb1_supporters[Preference_Compliance_Flag],"")</f>
        <v/>
      </c>
      <c r="T191" t="str">
        <f ca="1">IF(Table8[[#This Row],[Age]]="","Review - missing DOB",IF(Table8[[#This Row],[Age]]&gt;TODAY(),"Review - future DOB",IF(Table8[[#This Row],[Age]]=0,"Review -  potential entry error (age 0)","")))</f>
        <v/>
      </c>
      <c r="U191" t="str">
        <f>_xlfn.XLOOKUP(Table8[[#This Row],[Campaign_Code]],tb3_CampaignMaster[Campaign_Code],tb3_CampaignMaster[Campaign_Type],"")</f>
        <v>Regular Giving</v>
      </c>
      <c r="V191" t="str">
        <f>_xlfn.XLOOKUP(Table8[[#This Row],[Campaign_Code]],tb3_CampaignMaster[Campaign_Code],tb3_CampaignMaster[Target_Audience],"")</f>
        <v>One-time Donors</v>
      </c>
      <c r="W191" s="17">
        <f>_xlfn.XLOOKUP(Table8[[#This Row],[Campaign_Code]],tb3_CampaignMaster[Campaign_Code],tb3_CampaignMaster[Start_Date],"")</f>
        <v>45663</v>
      </c>
      <c r="X191" s="17">
        <f>_xlfn.XLOOKUP(Table8[[#This Row],[Campaign_Code]],tb3_CampaignMaster[Campaign_Code],tb3_CampaignMaster[End_Date],"")</f>
        <v>45747</v>
      </c>
      <c r="Y191">
        <f>_xlfn.XLOOKUP(Table8[[#This Row],[Campaign_Code]],tb3_CampaignMaster[Campaign_Code],tb3_CampaignMaster[Budget_GBP],"")</f>
        <v>10000</v>
      </c>
      <c r="Z191" t="str">
        <f>_xlfn.XLOOKUP(Table8[[#This Row],[Campaign_Code]],tb3_CampaignMaster[Campaign_Code],tb3_CampaignMaster[Primary_Channel],"")</f>
        <v>Telephone</v>
      </c>
      <c r="AA191" s="13">
        <f>IF(Table8[[#This Row],[Gift_Aid_Eligible]]="Yes",Table8[[#This Row],[Gift_Amount]]*1.25,Table8[[#This Row],[Gift_Amount]])</f>
        <v>58.075000000000003</v>
      </c>
      <c r="AB191" t="str">
        <f>IF(Table8[[#This Row],[Supporter_ID]]="","Review - missing supporter ID","")</f>
        <v/>
      </c>
      <c r="AC191" t="str">
        <f>IF(OR(Table8[[#This Row],[Response_Date]]&lt;Table8[[#This Row],[Start_Date]],Table8[[#This Row],[Response_Date]]&gt;Table8[[#This Row],[End_Date]]),"Review - response outside campaign dates","")</f>
        <v/>
      </c>
      <c r="AD191" t="str">
        <f>IF(Table8[[#This Row],[Campaign_Type]]="","Review - campaign code not found","")</f>
        <v/>
      </c>
    </row>
    <row r="192" spans="1:30" x14ac:dyDescent="0.25">
      <c r="A192" t="s">
        <v>3703</v>
      </c>
      <c r="B192" t="s">
        <v>1410</v>
      </c>
      <c r="C192" t="s">
        <v>3320</v>
      </c>
      <c r="D192" t="s">
        <v>3321</v>
      </c>
      <c r="E192" t="s">
        <v>65</v>
      </c>
      <c r="F192" s="17">
        <v>45470</v>
      </c>
      <c r="G192">
        <v>390.11</v>
      </c>
      <c r="H192" t="s">
        <v>36</v>
      </c>
      <c r="I192" t="s">
        <v>3323</v>
      </c>
      <c r="J192" t="str">
        <f>_xlfn.XLOOKUP(Table8[[#This Row],[Supporter_ID]],tb1_supporters[Supporter_ID ],tb1_supporters[Segment],"")</f>
        <v>Legacy Pledger</v>
      </c>
      <c r="K192" t="str">
        <f>_xlfn.XLOOKUP(Table8[[#This Row],[Supporter_ID]],tb1_supporters[Supporter_ID ],tb1_supporters[Acquisition_Source],"")</f>
        <v>Corporate Partner</v>
      </c>
      <c r="L192" t="str">
        <f>_xlfn.XLOOKUP(Table8[[#This Row],[Supporter_ID]],tb1_supporters[Supporter_ID ],tb1_supporters[County],"")</f>
        <v>Avon</v>
      </c>
      <c r="M192" t="str">
        <f>_xlfn.XLOOKUP(Table8[[#This Row],[Supporter_ID]],tb1_supporters[Supporter_ID ],tb1_supporters[Gender],"")</f>
        <v>Female</v>
      </c>
      <c r="N192">
        <f ca="1">_xlfn.XLOOKUP(Table8[[#This Row],[Supporter_ID]],tb1_supporters[Supporter_ID ],tb1_supporters[Age],"")</f>
        <v>83</v>
      </c>
      <c r="O192" t="str">
        <f ca="1">_xlfn.XLOOKUP(Table8[[#This Row],[Supporter_ID]],tb1_supporters[Supporter_ID ],tb1_supporters[Age_Band],"")</f>
        <v>65+</v>
      </c>
      <c r="P192" t="str">
        <f ca="1">IF(Table8[[#This Row],[Age_Band]]="","Unknown",Table8[[#This Row],[Age_Band]])</f>
        <v>65+</v>
      </c>
      <c r="Q192" t="str">
        <f>_xlfn.XLOOKUP(Table8[[#This Row],[Supporter_ID]],tb1_supporters[Supporter_ID ],tb1_supporters[Communication_Preference],"")</f>
        <v>Email</v>
      </c>
      <c r="R192" t="str">
        <f>_xlfn.XLOOKUP(Table8[[#This Row],[Supporter_ID]],tb1_supporters[Supporter_ID ],tb1_supporters[Duplicate_Profile_Flag],"")</f>
        <v/>
      </c>
      <c r="S192" t="str">
        <f>_xlfn.XLOOKUP(Table8[[#This Row],[Supporter_ID]],tb1_supporters[Supporter_ID ],tb1_supporters[Preference_Compliance_Flag],"")</f>
        <v/>
      </c>
      <c r="T192" t="str">
        <f ca="1">IF(Table8[[#This Row],[Age]]="","Review - missing DOB",IF(Table8[[#This Row],[Age]]&gt;TODAY(),"Review - future DOB",IF(Table8[[#This Row],[Age]]=0,"Review -  potential entry error (age 0)","")))</f>
        <v/>
      </c>
      <c r="U192" t="str">
        <f>_xlfn.XLOOKUP(Table8[[#This Row],[Campaign_Code]],tb3_CampaignMaster[Campaign_Code],tb3_CampaignMaster[Campaign_Type],"")</f>
        <v>Stewardship</v>
      </c>
      <c r="V192" t="str">
        <f>_xlfn.XLOOKUP(Table8[[#This Row],[Campaign_Code]],tb3_CampaignMaster[Campaign_Code],tb3_CampaignMaster[Target_Audience],"")</f>
        <v>Major Donors</v>
      </c>
      <c r="W192" s="17">
        <f>_xlfn.XLOOKUP(Table8[[#This Row],[Campaign_Code]],tb3_CampaignMaster[Campaign_Code],tb3_CampaignMaster[Start_Date],"")</f>
        <v>45444</v>
      </c>
      <c r="X192" s="17">
        <f>_xlfn.XLOOKUP(Table8[[#This Row],[Campaign_Code]],tb3_CampaignMaster[Campaign_Code],tb3_CampaignMaster[End_Date],"")</f>
        <v>45473</v>
      </c>
      <c r="Y192">
        <f>_xlfn.XLOOKUP(Table8[[#This Row],[Campaign_Code]],tb3_CampaignMaster[Campaign_Code],tb3_CampaignMaster[Budget_GBP],"")</f>
        <v>7000</v>
      </c>
      <c r="Z192" t="str">
        <f>_xlfn.XLOOKUP(Table8[[#This Row],[Campaign_Code]],tb3_CampaignMaster[Campaign_Code],tb3_CampaignMaster[Primary_Channel],"")</f>
        <v>Direct Mail</v>
      </c>
      <c r="AA192" s="13">
        <f>IF(Table8[[#This Row],[Gift_Aid_Eligible]]="Yes",Table8[[#This Row],[Gift_Amount]]*1.25,Table8[[#This Row],[Gift_Amount]])</f>
        <v>487.63750000000005</v>
      </c>
      <c r="AB192" t="str">
        <f>IF(Table8[[#This Row],[Supporter_ID]]="","Review - missing supporter ID","")</f>
        <v/>
      </c>
      <c r="AC192" t="str">
        <f>IF(OR(Table8[[#This Row],[Response_Date]]&lt;Table8[[#This Row],[Start_Date]],Table8[[#This Row],[Response_Date]]&gt;Table8[[#This Row],[End_Date]]),"Review - response outside campaign dates","")</f>
        <v/>
      </c>
      <c r="AD192" t="str">
        <f>IF(Table8[[#This Row],[Campaign_Type]]="","Review - campaign code not found","")</f>
        <v/>
      </c>
    </row>
    <row r="193" spans="1:30" x14ac:dyDescent="0.25">
      <c r="A193" t="s">
        <v>3705</v>
      </c>
      <c r="B193" t="s">
        <v>2483</v>
      </c>
      <c r="C193" t="s">
        <v>3403</v>
      </c>
      <c r="D193" t="s">
        <v>3404</v>
      </c>
      <c r="E193" t="s">
        <v>65</v>
      </c>
      <c r="F193" s="17">
        <v>45594</v>
      </c>
      <c r="G193">
        <v>12.57</v>
      </c>
      <c r="H193" t="s">
        <v>36</v>
      </c>
      <c r="I193" t="s">
        <v>3318</v>
      </c>
      <c r="J193" t="str">
        <f>_xlfn.XLOOKUP(Table8[[#This Row],[Supporter_ID]],tb1_supporters[Supporter_ID ],tb1_supporters[Segment],"")</f>
        <v>Prospect</v>
      </c>
      <c r="K193" t="str">
        <f>_xlfn.XLOOKUP(Table8[[#This Row],[Supporter_ID]],tb1_supporters[Supporter_ID ],tb1_supporters[Acquisition_Source],"")</f>
        <v>Door-To-Door</v>
      </c>
      <c r="L193" t="str">
        <f>_xlfn.XLOOKUP(Table8[[#This Row],[Supporter_ID]],tb1_supporters[Supporter_ID ],tb1_supporters[County],"")</f>
        <v>Buckinghamshire</v>
      </c>
      <c r="M193" t="str">
        <f>_xlfn.XLOOKUP(Table8[[#This Row],[Supporter_ID]],tb1_supporters[Supporter_ID ],tb1_supporters[Gender],"")</f>
        <v>Female</v>
      </c>
      <c r="N193">
        <f ca="1">_xlfn.XLOOKUP(Table8[[#This Row],[Supporter_ID]],tb1_supporters[Supporter_ID ],tb1_supporters[Age],"")</f>
        <v>22</v>
      </c>
      <c r="O193" t="str">
        <f ca="1">_xlfn.XLOOKUP(Table8[[#This Row],[Supporter_ID]],tb1_supporters[Supporter_ID ],tb1_supporters[Age_Band],"")</f>
        <v>18-34</v>
      </c>
      <c r="P193" t="str">
        <f ca="1">IF(Table8[[#This Row],[Age_Band]]="","Unknown",Table8[[#This Row],[Age_Band]])</f>
        <v>18-34</v>
      </c>
      <c r="Q193" t="str">
        <f>_xlfn.XLOOKUP(Table8[[#This Row],[Supporter_ID]],tb1_supporters[Supporter_ID ],tb1_supporters[Communication_Preference],"")</f>
        <v>Email</v>
      </c>
      <c r="R193" t="str">
        <f>_xlfn.XLOOKUP(Table8[[#This Row],[Supporter_ID]],tb1_supporters[Supporter_ID ],tb1_supporters[Duplicate_Profile_Flag],"")</f>
        <v/>
      </c>
      <c r="S193" t="str">
        <f>_xlfn.XLOOKUP(Table8[[#This Row],[Supporter_ID]],tb1_supporters[Supporter_ID ],tb1_supporters[Preference_Compliance_Flag],"")</f>
        <v/>
      </c>
      <c r="T193" t="str">
        <f ca="1">IF(Table8[[#This Row],[Age]]="","Review - missing DOB",IF(Table8[[#This Row],[Age]]&gt;TODAY(),"Review - future DOB",IF(Table8[[#This Row],[Age]]=0,"Review -  potential entry error (age 0)","")))</f>
        <v/>
      </c>
      <c r="U193" t="str">
        <f>_xlfn.XLOOKUP(Table8[[#This Row],[Campaign_Code]],tb3_CampaignMaster[Campaign_Code],tb3_CampaignMaster[Campaign_Type],"")</f>
        <v>Trading</v>
      </c>
      <c r="V193" t="str">
        <f>_xlfn.XLOOKUP(Table8[[#This Row],[Campaign_Code]],tb3_CampaignMaster[Campaign_Code],tb3_CampaignMaster[Target_Audience],"")</f>
        <v>All Active</v>
      </c>
      <c r="W193" s="17">
        <f>_xlfn.XLOOKUP(Table8[[#This Row],[Campaign_Code]],tb3_CampaignMaster[Campaign_Code],tb3_CampaignMaster[Start_Date],"")</f>
        <v>45580</v>
      </c>
      <c r="X193" s="17">
        <f>_xlfn.XLOOKUP(Table8[[#This Row],[Campaign_Code]],tb3_CampaignMaster[Campaign_Code],tb3_CampaignMaster[End_Date],"")</f>
        <v>45646</v>
      </c>
      <c r="Y193">
        <f>_xlfn.XLOOKUP(Table8[[#This Row],[Campaign_Code]],tb3_CampaignMaster[Campaign_Code],tb3_CampaignMaster[Budget_GBP],"")</f>
        <v>12000</v>
      </c>
      <c r="Z193" t="str">
        <f>_xlfn.XLOOKUP(Table8[[#This Row],[Campaign_Code]],tb3_CampaignMaster[Campaign_Code],tb3_CampaignMaster[Primary_Channel],"")</f>
        <v>Multi-channel</v>
      </c>
      <c r="AA193" s="13">
        <f>IF(Table8[[#This Row],[Gift_Aid_Eligible]]="Yes",Table8[[#This Row],[Gift_Amount]]*1.25,Table8[[#This Row],[Gift_Amount]])</f>
        <v>15.7125</v>
      </c>
      <c r="AB193" t="str">
        <f>IF(Table8[[#This Row],[Supporter_ID]]="","Review - missing supporter ID","")</f>
        <v/>
      </c>
      <c r="AC193" t="str">
        <f>IF(OR(Table8[[#This Row],[Response_Date]]&lt;Table8[[#This Row],[Start_Date]],Table8[[#This Row],[Response_Date]]&gt;Table8[[#This Row],[End_Date]]),"Review - response outside campaign dates","")</f>
        <v/>
      </c>
      <c r="AD193" t="str">
        <f>IF(Table8[[#This Row],[Campaign_Type]]="","Review - campaign code not found","")</f>
        <v/>
      </c>
    </row>
    <row r="194" spans="1:30" x14ac:dyDescent="0.25">
      <c r="A194" t="s">
        <v>3706</v>
      </c>
      <c r="B194" t="s">
        <v>2538</v>
      </c>
      <c r="C194" t="s">
        <v>3320</v>
      </c>
      <c r="D194" t="s">
        <v>3321</v>
      </c>
      <c r="E194" t="s">
        <v>4</v>
      </c>
      <c r="F194" s="17">
        <v>45464</v>
      </c>
      <c r="G194">
        <v>78.67</v>
      </c>
      <c r="H194" t="s">
        <v>36</v>
      </c>
      <c r="I194" t="s">
        <v>3385</v>
      </c>
      <c r="J194" t="str">
        <f>_xlfn.XLOOKUP(Table8[[#This Row],[Supporter_ID]],tb1_supporters[Supporter_ID ],tb1_supporters[Segment],"")</f>
        <v>One-Time Donor</v>
      </c>
      <c r="K194" t="str">
        <f>_xlfn.XLOOKUP(Table8[[#This Row],[Supporter_ID]],tb1_supporters[Supporter_ID ],tb1_supporters[Acquisition_Source],"")</f>
        <v>Social Media</v>
      </c>
      <c r="L194" t="str">
        <f>_xlfn.XLOOKUP(Table8[[#This Row],[Supporter_ID]],tb1_supporters[Supporter_ID ],tb1_supporters[County],"")</f>
        <v>Somerset</v>
      </c>
      <c r="M194" t="str">
        <f>_xlfn.XLOOKUP(Table8[[#This Row],[Supporter_ID]],tb1_supporters[Supporter_ID ],tb1_supporters[Gender],"")</f>
        <v>Female</v>
      </c>
      <c r="N194">
        <f ca="1">_xlfn.XLOOKUP(Table8[[#This Row],[Supporter_ID]],tb1_supporters[Supporter_ID ],tb1_supporters[Age],"")</f>
        <v>55</v>
      </c>
      <c r="O194" t="str">
        <f ca="1">_xlfn.XLOOKUP(Table8[[#This Row],[Supporter_ID]],tb1_supporters[Supporter_ID ],tb1_supporters[Age_Band],"")</f>
        <v>50-64</v>
      </c>
      <c r="P194" t="str">
        <f ca="1">IF(Table8[[#This Row],[Age_Band]]="","Unknown",Table8[[#This Row],[Age_Band]])</f>
        <v>50-64</v>
      </c>
      <c r="Q194" t="str">
        <f>_xlfn.XLOOKUP(Table8[[#This Row],[Supporter_ID]],tb1_supporters[Supporter_ID ],tb1_supporters[Communication_Preference],"")</f>
        <v>Email</v>
      </c>
      <c r="R194" t="str">
        <f>_xlfn.XLOOKUP(Table8[[#This Row],[Supporter_ID]],tb1_supporters[Supporter_ID ],tb1_supporters[Duplicate_Profile_Flag],"")</f>
        <v/>
      </c>
      <c r="S194" t="str">
        <f>_xlfn.XLOOKUP(Table8[[#This Row],[Supporter_ID]],tb1_supporters[Supporter_ID ],tb1_supporters[Preference_Compliance_Flag],"")</f>
        <v/>
      </c>
      <c r="T194" t="str">
        <f ca="1">IF(Table8[[#This Row],[Age]]="","Review - missing DOB",IF(Table8[[#This Row],[Age]]&gt;TODAY(),"Review - future DOB",IF(Table8[[#This Row],[Age]]=0,"Review -  potential entry error (age 0)","")))</f>
        <v/>
      </c>
      <c r="U194" t="str">
        <f>_xlfn.XLOOKUP(Table8[[#This Row],[Campaign_Code]],tb3_CampaignMaster[Campaign_Code],tb3_CampaignMaster[Campaign_Type],"")</f>
        <v>Stewardship</v>
      </c>
      <c r="V194" t="str">
        <f>_xlfn.XLOOKUP(Table8[[#This Row],[Campaign_Code]],tb3_CampaignMaster[Campaign_Code],tb3_CampaignMaster[Target_Audience],"")</f>
        <v>Major Donors</v>
      </c>
      <c r="W194" s="17">
        <f>_xlfn.XLOOKUP(Table8[[#This Row],[Campaign_Code]],tb3_CampaignMaster[Campaign_Code],tb3_CampaignMaster[Start_Date],"")</f>
        <v>45444</v>
      </c>
      <c r="X194" s="17">
        <f>_xlfn.XLOOKUP(Table8[[#This Row],[Campaign_Code]],tb3_CampaignMaster[Campaign_Code],tb3_CampaignMaster[End_Date],"")</f>
        <v>45473</v>
      </c>
      <c r="Y194">
        <f>_xlfn.XLOOKUP(Table8[[#This Row],[Campaign_Code]],tb3_CampaignMaster[Campaign_Code],tb3_CampaignMaster[Budget_GBP],"")</f>
        <v>7000</v>
      </c>
      <c r="Z194" t="str">
        <f>_xlfn.XLOOKUP(Table8[[#This Row],[Campaign_Code]],tb3_CampaignMaster[Campaign_Code],tb3_CampaignMaster[Primary_Channel],"")</f>
        <v>Direct Mail</v>
      </c>
      <c r="AA194" s="13">
        <f>IF(Table8[[#This Row],[Gift_Aid_Eligible]]="Yes",Table8[[#This Row],[Gift_Amount]]*1.25,Table8[[#This Row],[Gift_Amount]])</f>
        <v>98.337500000000006</v>
      </c>
      <c r="AB194" t="str">
        <f>IF(Table8[[#This Row],[Supporter_ID]]="","Review - missing supporter ID","")</f>
        <v/>
      </c>
      <c r="AC194" t="str">
        <f>IF(OR(Table8[[#This Row],[Response_Date]]&lt;Table8[[#This Row],[Start_Date]],Table8[[#This Row],[Response_Date]]&gt;Table8[[#This Row],[End_Date]]),"Review - response outside campaign dates","")</f>
        <v/>
      </c>
      <c r="AD194" t="str">
        <f>IF(Table8[[#This Row],[Campaign_Type]]="","Review - campaign code not found","")</f>
        <v/>
      </c>
    </row>
    <row r="195" spans="1:30" x14ac:dyDescent="0.25">
      <c r="A195" t="s">
        <v>3708</v>
      </c>
      <c r="B195" t="s">
        <v>3043</v>
      </c>
      <c r="C195" t="s">
        <v>3367</v>
      </c>
      <c r="D195" t="s">
        <v>3368</v>
      </c>
      <c r="E195" t="s">
        <v>65</v>
      </c>
      <c r="F195" s="17">
        <v>45766</v>
      </c>
      <c r="G195">
        <v>135.06</v>
      </c>
      <c r="H195" t="s">
        <v>36</v>
      </c>
      <c r="I195" t="s">
        <v>3328</v>
      </c>
      <c r="J195" t="str">
        <f>_xlfn.XLOOKUP(Table8[[#This Row],[Supporter_ID]],tb1_supporters[Supporter_ID ],tb1_supporters[Segment],"")</f>
        <v>One-Time Donor</v>
      </c>
      <c r="K195" t="str">
        <f>_xlfn.XLOOKUP(Table8[[#This Row],[Supporter_ID]],tb1_supporters[Supporter_ID ],tb1_supporters[Acquisition_Source],"")</f>
        <v>Telephone</v>
      </c>
      <c r="L195" t="str">
        <f>_xlfn.XLOOKUP(Table8[[#This Row],[Supporter_ID]],tb1_supporters[Supporter_ID ],tb1_supporters[County],"")</f>
        <v>Devon</v>
      </c>
      <c r="M195" t="str">
        <f>_xlfn.XLOOKUP(Table8[[#This Row],[Supporter_ID]],tb1_supporters[Supporter_ID ],tb1_supporters[Gender],"")</f>
        <v>Female</v>
      </c>
      <c r="N195">
        <f ca="1">_xlfn.XLOOKUP(Table8[[#This Row],[Supporter_ID]],tb1_supporters[Supporter_ID ],tb1_supporters[Age],"")</f>
        <v>75</v>
      </c>
      <c r="O195" t="str">
        <f ca="1">_xlfn.XLOOKUP(Table8[[#This Row],[Supporter_ID]],tb1_supporters[Supporter_ID ],tb1_supporters[Age_Band],"")</f>
        <v>65+</v>
      </c>
      <c r="P195" t="str">
        <f ca="1">IF(Table8[[#This Row],[Age_Band]]="","Unknown",Table8[[#This Row],[Age_Band]])</f>
        <v>65+</v>
      </c>
      <c r="Q195" t="str">
        <f>_xlfn.XLOOKUP(Table8[[#This Row],[Supporter_ID]],tb1_supporters[Supporter_ID ],tb1_supporters[Communication_Preference],"")</f>
        <v>No Preference</v>
      </c>
      <c r="R195" t="str">
        <f>_xlfn.XLOOKUP(Table8[[#This Row],[Supporter_ID]],tb1_supporters[Supporter_ID ],tb1_supporters[Duplicate_Profile_Flag],"")</f>
        <v/>
      </c>
      <c r="S195" t="str">
        <f>_xlfn.XLOOKUP(Table8[[#This Row],[Supporter_ID]],tb1_supporters[Supporter_ID ],tb1_supporters[Preference_Compliance_Flag],"")</f>
        <v/>
      </c>
      <c r="T195" t="str">
        <f ca="1">IF(Table8[[#This Row],[Age]]="","Review - missing DOB",IF(Table8[[#This Row],[Age]]&gt;TODAY(),"Review - future DOB",IF(Table8[[#This Row],[Age]]=0,"Review -  potential entry error (age 0)","")))</f>
        <v/>
      </c>
      <c r="U195" t="str">
        <f>_xlfn.XLOOKUP(Table8[[#This Row],[Campaign_Code]],tb3_CampaignMaster[Campaign_Code],tb3_CampaignMaster[Campaign_Type],"")</f>
        <v>Raffle</v>
      </c>
      <c r="V195" t="str">
        <f>_xlfn.XLOOKUP(Table8[[#This Row],[Campaign_Code]],tb3_CampaignMaster[Campaign_Code],tb3_CampaignMaster[Target_Audience],"")</f>
        <v>Regular Givers</v>
      </c>
      <c r="W195" s="17">
        <f>_xlfn.XLOOKUP(Table8[[#This Row],[Campaign_Code]],tb3_CampaignMaster[Campaign_Code],tb3_CampaignMaster[Start_Date],"")</f>
        <v>45717</v>
      </c>
      <c r="X195" s="17">
        <f>_xlfn.XLOOKUP(Table8[[#This Row],[Campaign_Code]],tb3_CampaignMaster[Campaign_Code],tb3_CampaignMaster[End_Date],"")</f>
        <v>45777</v>
      </c>
      <c r="Y195">
        <f>_xlfn.XLOOKUP(Table8[[#This Row],[Campaign_Code]],tb3_CampaignMaster[Campaign_Code],tb3_CampaignMaster[Budget_GBP],"")</f>
        <v>8000</v>
      </c>
      <c r="Z195" t="str">
        <f>_xlfn.XLOOKUP(Table8[[#This Row],[Campaign_Code]],tb3_CampaignMaster[Campaign_Code],tb3_CampaignMaster[Primary_Channel],"")</f>
        <v>Direct Mail</v>
      </c>
      <c r="AA195" s="13">
        <f>IF(Table8[[#This Row],[Gift_Aid_Eligible]]="Yes",Table8[[#This Row],[Gift_Amount]]*1.25,Table8[[#This Row],[Gift_Amount]])</f>
        <v>168.82499999999999</v>
      </c>
      <c r="AB195" t="str">
        <f>IF(Table8[[#This Row],[Supporter_ID]]="","Review - missing supporter ID","")</f>
        <v/>
      </c>
      <c r="AC195" t="str">
        <f>IF(OR(Table8[[#This Row],[Response_Date]]&lt;Table8[[#This Row],[Start_Date]],Table8[[#This Row],[Response_Date]]&gt;Table8[[#This Row],[End_Date]]),"Review - response outside campaign dates","")</f>
        <v/>
      </c>
      <c r="AD195" t="str">
        <f>IF(Table8[[#This Row],[Campaign_Type]]="","Review - campaign code not found","")</f>
        <v/>
      </c>
    </row>
    <row r="196" spans="1:30" x14ac:dyDescent="0.25">
      <c r="A196" t="s">
        <v>3711</v>
      </c>
      <c r="B196" t="s">
        <v>487</v>
      </c>
      <c r="C196" t="s">
        <v>3325</v>
      </c>
      <c r="D196" t="s">
        <v>3326</v>
      </c>
      <c r="E196" t="s">
        <v>3316</v>
      </c>
      <c r="F196" s="17">
        <v>45650</v>
      </c>
      <c r="G196">
        <v>50000</v>
      </c>
      <c r="H196" t="s">
        <v>37</v>
      </c>
      <c r="I196" t="s">
        <v>3365</v>
      </c>
      <c r="J196" t="str">
        <f>_xlfn.XLOOKUP(Table8[[#This Row],[Supporter_ID]],tb1_supporters[Supporter_ID ],tb1_supporters[Segment],"")</f>
        <v>One-Time Donor</v>
      </c>
      <c r="K196" t="str">
        <f>_xlfn.XLOOKUP(Table8[[#This Row],[Supporter_ID]],tb1_supporters[Supporter_ID ],tb1_supporters[Acquisition_Source],"")</f>
        <v>Referral</v>
      </c>
      <c r="L196" t="str">
        <f>_xlfn.XLOOKUP(Table8[[#This Row],[Supporter_ID]],tb1_supporters[Supporter_ID ],tb1_supporters[County],"")</f>
        <v>South Glamorgan</v>
      </c>
      <c r="M196" t="str">
        <f>_xlfn.XLOOKUP(Table8[[#This Row],[Supporter_ID]],tb1_supporters[Supporter_ID ],tb1_supporters[Gender],"")</f>
        <v>Female</v>
      </c>
      <c r="N196">
        <f ca="1">_xlfn.XLOOKUP(Table8[[#This Row],[Supporter_ID]],tb1_supporters[Supporter_ID ],tb1_supporters[Age],"")</f>
        <v>59</v>
      </c>
      <c r="O196" t="str">
        <f ca="1">_xlfn.XLOOKUP(Table8[[#This Row],[Supporter_ID]],tb1_supporters[Supporter_ID ],tb1_supporters[Age_Band],"")</f>
        <v>50-64</v>
      </c>
      <c r="P196" t="str">
        <f ca="1">IF(Table8[[#This Row],[Age_Band]]="","Unknown",Table8[[#This Row],[Age_Band]])</f>
        <v>50-64</v>
      </c>
      <c r="Q196" t="str">
        <f>_xlfn.XLOOKUP(Table8[[#This Row],[Supporter_ID]],tb1_supporters[Supporter_ID ],tb1_supporters[Communication_Preference],"")</f>
        <v>Post</v>
      </c>
      <c r="R196" t="str">
        <f>_xlfn.XLOOKUP(Table8[[#This Row],[Supporter_ID]],tb1_supporters[Supporter_ID ],tb1_supporters[Duplicate_Profile_Flag],"")</f>
        <v/>
      </c>
      <c r="S196" t="str">
        <f>_xlfn.XLOOKUP(Table8[[#This Row],[Supporter_ID]],tb1_supporters[Supporter_ID ],tb1_supporters[Preference_Compliance_Flag],"")</f>
        <v/>
      </c>
      <c r="T196" t="str">
        <f ca="1">IF(Table8[[#This Row],[Age]]="","Review - missing DOB",IF(Table8[[#This Row],[Age]]&gt;TODAY(),"Review - future DOB",IF(Table8[[#This Row],[Age]]=0,"Review -  potential entry error (age 0)","")))</f>
        <v/>
      </c>
      <c r="U196" t="str">
        <f>_xlfn.XLOOKUP(Table8[[#This Row],[Campaign_Code]],tb3_CampaignMaster[Campaign_Code],tb3_CampaignMaster[Campaign_Type],"")</f>
        <v>Appeal</v>
      </c>
      <c r="V196" t="str">
        <f>_xlfn.XLOOKUP(Table8[[#This Row],[Campaign_Code]],tb3_CampaignMaster[Campaign_Code],tb3_CampaignMaster[Target_Audience],"")</f>
        <v>All Active</v>
      </c>
      <c r="W196" s="17">
        <f>_xlfn.XLOOKUP(Table8[[#This Row],[Campaign_Code]],tb3_CampaignMaster[Campaign_Code],tb3_CampaignMaster[Start_Date],"")</f>
        <v>45597</v>
      </c>
      <c r="X196" s="17">
        <f>_xlfn.XLOOKUP(Table8[[#This Row],[Campaign_Code]],tb3_CampaignMaster[Campaign_Code],tb3_CampaignMaster[End_Date],"")</f>
        <v>45657</v>
      </c>
      <c r="Y196">
        <f>_xlfn.XLOOKUP(Table8[[#This Row],[Campaign_Code]],tb3_CampaignMaster[Campaign_Code],tb3_CampaignMaster[Budget_GBP],"")</f>
        <v>25000</v>
      </c>
      <c r="Z196" t="str">
        <f>_xlfn.XLOOKUP(Table8[[#This Row],[Campaign_Code]],tb3_CampaignMaster[Campaign_Code],tb3_CampaignMaster[Primary_Channel],"")</f>
        <v>Multi-channel</v>
      </c>
      <c r="AA196" s="13">
        <f>IF(Table8[[#This Row],[Gift_Aid_Eligible]]="Yes",Table8[[#This Row],[Gift_Amount]]*1.25,Table8[[#This Row],[Gift_Amount]])</f>
        <v>50000</v>
      </c>
      <c r="AB196" t="str">
        <f>IF(Table8[[#This Row],[Supporter_ID]]="","Review - missing supporter ID","")</f>
        <v/>
      </c>
      <c r="AC196" t="str">
        <f>IF(OR(Table8[[#This Row],[Response_Date]]&lt;Table8[[#This Row],[Start_Date]],Table8[[#This Row],[Response_Date]]&gt;Table8[[#This Row],[End_Date]]),"Review - response outside campaign dates","")</f>
        <v/>
      </c>
      <c r="AD196" t="str">
        <f>IF(Table8[[#This Row],[Campaign_Type]]="","Review - campaign code not found","")</f>
        <v/>
      </c>
    </row>
    <row r="197" spans="1:30" x14ac:dyDescent="0.25">
      <c r="A197" t="s">
        <v>3713</v>
      </c>
      <c r="B197" t="s">
        <v>1192</v>
      </c>
      <c r="C197" t="s">
        <v>3427</v>
      </c>
      <c r="D197" t="s">
        <v>3428</v>
      </c>
      <c r="E197" t="s">
        <v>65</v>
      </c>
      <c r="F197" s="17">
        <v>45488</v>
      </c>
      <c r="G197">
        <v>239.13</v>
      </c>
      <c r="H197" t="s">
        <v>36</v>
      </c>
      <c r="I197" t="s">
        <v>3331</v>
      </c>
      <c r="J197" t="str">
        <f>_xlfn.XLOOKUP(Table8[[#This Row],[Supporter_ID]],tb1_supporters[Supporter_ID ],tb1_supporters[Segment],"")</f>
        <v>Mid-Value</v>
      </c>
      <c r="K197" t="str">
        <f>_xlfn.XLOOKUP(Table8[[#This Row],[Supporter_ID]],tb1_supporters[Supporter_ID ],tb1_supporters[Acquisition_Source],"")</f>
        <v>Website</v>
      </c>
      <c r="L197" t="str">
        <f>_xlfn.XLOOKUP(Table8[[#This Row],[Supporter_ID]],tb1_supporters[Supporter_ID ],tb1_supporters[County],"")</f>
        <v>Merseyside</v>
      </c>
      <c r="M197" t="str">
        <f>_xlfn.XLOOKUP(Table8[[#This Row],[Supporter_ID]],tb1_supporters[Supporter_ID ],tb1_supporters[Gender],"")</f>
        <v>Male</v>
      </c>
      <c r="N197">
        <f ca="1">_xlfn.XLOOKUP(Table8[[#This Row],[Supporter_ID]],tb1_supporters[Supporter_ID ],tb1_supporters[Age],"")</f>
        <v>74</v>
      </c>
      <c r="O197" t="str">
        <f ca="1">_xlfn.XLOOKUP(Table8[[#This Row],[Supporter_ID]],tb1_supporters[Supporter_ID ],tb1_supporters[Age_Band],"")</f>
        <v>65+</v>
      </c>
      <c r="P197" t="str">
        <f ca="1">IF(Table8[[#This Row],[Age_Band]]="","Unknown",Table8[[#This Row],[Age_Band]])</f>
        <v>65+</v>
      </c>
      <c r="Q197" t="str">
        <f>_xlfn.XLOOKUP(Table8[[#This Row],[Supporter_ID]],tb1_supporters[Supporter_ID ],tb1_supporters[Communication_Preference],"")</f>
        <v>Email</v>
      </c>
      <c r="R197" t="str">
        <f>_xlfn.XLOOKUP(Table8[[#This Row],[Supporter_ID]],tb1_supporters[Supporter_ID ],tb1_supporters[Duplicate_Profile_Flag],"")</f>
        <v/>
      </c>
      <c r="S197" t="str">
        <f>_xlfn.XLOOKUP(Table8[[#This Row],[Supporter_ID]],tb1_supporters[Supporter_ID ],tb1_supporters[Preference_Compliance_Flag],"")</f>
        <v/>
      </c>
      <c r="T197" t="str">
        <f ca="1">IF(Table8[[#This Row],[Age]]="","Review - missing DOB",IF(Table8[[#This Row],[Age]]&gt;TODAY(),"Review - future DOB",IF(Table8[[#This Row],[Age]]=0,"Review -  potential entry error (age 0)","")))</f>
        <v/>
      </c>
      <c r="U197" t="str">
        <f>_xlfn.XLOOKUP(Table8[[#This Row],[Campaign_Code]],tb3_CampaignMaster[Campaign_Code],tb3_CampaignMaster[Campaign_Type],"")</f>
        <v>Event</v>
      </c>
      <c r="V197" t="str">
        <f>_xlfn.XLOOKUP(Table8[[#This Row],[Campaign_Code]],tb3_CampaignMaster[Campaign_Code],tb3_CampaignMaster[Target_Audience],"")</f>
        <v>Major Donors</v>
      </c>
      <c r="W197" s="17">
        <f>_xlfn.XLOOKUP(Table8[[#This Row],[Campaign_Code]],tb3_CampaignMaster[Campaign_Code],tb3_CampaignMaster[Start_Date],"")</f>
        <v>45488</v>
      </c>
      <c r="X197" s="17">
        <f>_xlfn.XLOOKUP(Table8[[#This Row],[Campaign_Code]],tb3_CampaignMaster[Campaign_Code],tb3_CampaignMaster[End_Date],"")</f>
        <v>45488</v>
      </c>
      <c r="Y197">
        <f>_xlfn.XLOOKUP(Table8[[#This Row],[Campaign_Code]],tb3_CampaignMaster[Campaign_Code],tb3_CampaignMaster[Budget_GBP],"")</f>
        <v>45000</v>
      </c>
      <c r="Z197" t="str">
        <f>_xlfn.XLOOKUP(Table8[[#This Row],[Campaign_Code]],tb3_CampaignMaster[Campaign_Code],tb3_CampaignMaster[Primary_Channel],"")</f>
        <v>Direct Mail</v>
      </c>
      <c r="AA197" s="13">
        <f>IF(Table8[[#This Row],[Gift_Aid_Eligible]]="Yes",Table8[[#This Row],[Gift_Amount]]*1.25,Table8[[#This Row],[Gift_Amount]])</f>
        <v>298.91250000000002</v>
      </c>
      <c r="AB197" t="str">
        <f>IF(Table8[[#This Row],[Supporter_ID]]="","Review - missing supporter ID","")</f>
        <v/>
      </c>
      <c r="AC197" t="str">
        <f>IF(OR(Table8[[#This Row],[Response_Date]]&lt;Table8[[#This Row],[Start_Date]],Table8[[#This Row],[Response_Date]]&gt;Table8[[#This Row],[End_Date]]),"Review - response outside campaign dates","")</f>
        <v/>
      </c>
      <c r="AD197" t="str">
        <f>IF(Table8[[#This Row],[Campaign_Type]]="","Review - campaign code not found","")</f>
        <v/>
      </c>
    </row>
    <row r="198" spans="1:30" x14ac:dyDescent="0.25">
      <c r="A198" t="s">
        <v>3714</v>
      </c>
      <c r="B198" t="s">
        <v>1643</v>
      </c>
      <c r="C198" t="s">
        <v>3325</v>
      </c>
      <c r="D198" t="s">
        <v>3326</v>
      </c>
      <c r="E198" t="s">
        <v>65</v>
      </c>
      <c r="F198" s="17">
        <v>46208</v>
      </c>
      <c r="G198">
        <v>589.96</v>
      </c>
      <c r="H198" t="s">
        <v>36</v>
      </c>
      <c r="I198" t="s">
        <v>3318</v>
      </c>
      <c r="J198" t="str">
        <f>_xlfn.XLOOKUP(Table8[[#This Row],[Supporter_ID]],tb1_supporters[Supporter_ID ],tb1_supporters[Segment],"")</f>
        <v>Major Donor</v>
      </c>
      <c r="K198" t="str">
        <f>_xlfn.XLOOKUP(Table8[[#This Row],[Supporter_ID]],tb1_supporters[Supporter_ID ],tb1_supporters[Acquisition_Source],"")</f>
        <v>Direct Mail</v>
      </c>
      <c r="L198" t="str">
        <f>_xlfn.XLOOKUP(Table8[[#This Row],[Supporter_ID]],tb1_supporters[Supporter_ID ],tb1_supporters[County],"")</f>
        <v>Hampshire</v>
      </c>
      <c r="M198" t="str">
        <f>_xlfn.XLOOKUP(Table8[[#This Row],[Supporter_ID]],tb1_supporters[Supporter_ID ],tb1_supporters[Gender],"")</f>
        <v>Male</v>
      </c>
      <c r="N198">
        <f ca="1">_xlfn.XLOOKUP(Table8[[#This Row],[Supporter_ID]],tb1_supporters[Supporter_ID ],tb1_supporters[Age],"")</f>
        <v>22</v>
      </c>
      <c r="O198" t="str">
        <f ca="1">_xlfn.XLOOKUP(Table8[[#This Row],[Supporter_ID]],tb1_supporters[Supporter_ID ],tb1_supporters[Age_Band],"")</f>
        <v>18-34</v>
      </c>
      <c r="P198" t="str">
        <f ca="1">IF(Table8[[#This Row],[Age_Band]]="","Unknown",Table8[[#This Row],[Age_Band]])</f>
        <v>18-34</v>
      </c>
      <c r="Q198" t="str">
        <f>_xlfn.XLOOKUP(Table8[[#This Row],[Supporter_ID]],tb1_supporters[Supporter_ID ],tb1_supporters[Communication_Preference],"")</f>
        <v>Do Not Contact</v>
      </c>
      <c r="R198" t="str">
        <f>_xlfn.XLOOKUP(Table8[[#This Row],[Supporter_ID]],tb1_supporters[Supporter_ID ],tb1_supporters[Duplicate_Profile_Flag],"")</f>
        <v/>
      </c>
      <c r="S198" t="str">
        <f>_xlfn.XLOOKUP(Table8[[#This Row],[Supporter_ID]],tb1_supporters[Supporter_ID ],tb1_supporters[Preference_Compliance_Flag],"")</f>
        <v/>
      </c>
      <c r="T198" t="str">
        <f ca="1">IF(Table8[[#This Row],[Age]]="","Review - missing DOB",IF(Table8[[#This Row],[Age]]&gt;TODAY(),"Review - future DOB",IF(Table8[[#This Row],[Age]]=0,"Review -  potential entry error (age 0)","")))</f>
        <v/>
      </c>
      <c r="U198" t="str">
        <f>_xlfn.XLOOKUP(Table8[[#This Row],[Campaign_Code]],tb3_CampaignMaster[Campaign_Code],tb3_CampaignMaster[Campaign_Type],"")</f>
        <v>Appeal</v>
      </c>
      <c r="V198" t="str">
        <f>_xlfn.XLOOKUP(Table8[[#This Row],[Campaign_Code]],tb3_CampaignMaster[Campaign_Code],tb3_CampaignMaster[Target_Audience],"")</f>
        <v>All Active</v>
      </c>
      <c r="W198" s="17">
        <f>_xlfn.XLOOKUP(Table8[[#This Row],[Campaign_Code]],tb3_CampaignMaster[Campaign_Code],tb3_CampaignMaster[Start_Date],"")</f>
        <v>45597</v>
      </c>
      <c r="X198" s="17">
        <f>_xlfn.XLOOKUP(Table8[[#This Row],[Campaign_Code]],tb3_CampaignMaster[Campaign_Code],tb3_CampaignMaster[End_Date],"")</f>
        <v>45657</v>
      </c>
      <c r="Y198">
        <f>_xlfn.XLOOKUP(Table8[[#This Row],[Campaign_Code]],tb3_CampaignMaster[Campaign_Code],tb3_CampaignMaster[Budget_GBP],"")</f>
        <v>25000</v>
      </c>
      <c r="Z198" t="str">
        <f>_xlfn.XLOOKUP(Table8[[#This Row],[Campaign_Code]],tb3_CampaignMaster[Campaign_Code],tb3_CampaignMaster[Primary_Channel],"")</f>
        <v>Multi-channel</v>
      </c>
      <c r="AA198" s="13">
        <f>IF(Table8[[#This Row],[Gift_Aid_Eligible]]="Yes",Table8[[#This Row],[Gift_Amount]]*1.25,Table8[[#This Row],[Gift_Amount]])</f>
        <v>737.45</v>
      </c>
      <c r="AB198" t="str">
        <f>IF(Table8[[#This Row],[Supporter_ID]]="","Review - missing supporter ID","")</f>
        <v/>
      </c>
      <c r="AC198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198" t="str">
        <f>IF(Table8[[#This Row],[Campaign_Type]]="","Review - campaign code not found","")</f>
        <v/>
      </c>
    </row>
    <row r="199" spans="1:30" x14ac:dyDescent="0.25">
      <c r="A199" t="s">
        <v>3716</v>
      </c>
      <c r="B199" t="s">
        <v>38</v>
      </c>
      <c r="C199" t="s">
        <v>3336</v>
      </c>
      <c r="D199" t="s">
        <v>3337</v>
      </c>
      <c r="E199" t="s">
        <v>65</v>
      </c>
      <c r="F199" s="17">
        <v>45569</v>
      </c>
      <c r="G199">
        <v>28.76</v>
      </c>
      <c r="H199" t="s">
        <v>36</v>
      </c>
      <c r="I199" t="s">
        <v>3334</v>
      </c>
      <c r="J199" t="str">
        <f>_xlfn.XLOOKUP(Table8[[#This Row],[Supporter_ID]],tb1_supporters[Supporter_ID ],tb1_supporters[Segment],"")</f>
        <v>Prospect</v>
      </c>
      <c r="K199" t="str">
        <f>_xlfn.XLOOKUP(Table8[[#This Row],[Supporter_ID]],tb1_supporters[Supporter_ID ],tb1_supporters[Acquisition_Source],"")</f>
        <v>Referral</v>
      </c>
      <c r="L199" t="str">
        <f>_xlfn.XLOOKUP(Table8[[#This Row],[Supporter_ID]],tb1_supporters[Supporter_ID ],tb1_supporters[County],"")</f>
        <v>Grampian</v>
      </c>
      <c r="M199" t="str">
        <f>_xlfn.XLOOKUP(Table8[[#This Row],[Supporter_ID]],tb1_supporters[Supporter_ID ],tb1_supporters[Gender],"")</f>
        <v>Female</v>
      </c>
      <c r="N199">
        <f ca="1">_xlfn.XLOOKUP(Table8[[#This Row],[Supporter_ID]],tb1_supporters[Supporter_ID ],tb1_supporters[Age],"")</f>
        <v>75</v>
      </c>
      <c r="O199" t="str">
        <f ca="1">_xlfn.XLOOKUP(Table8[[#This Row],[Supporter_ID]],tb1_supporters[Supporter_ID ],tb1_supporters[Age_Band],"")</f>
        <v>65+</v>
      </c>
      <c r="P199" t="str">
        <f ca="1">IF(Table8[[#This Row],[Age_Band]]="","Unknown",Table8[[#This Row],[Age_Band]])</f>
        <v>65+</v>
      </c>
      <c r="Q199" t="str">
        <f>_xlfn.XLOOKUP(Table8[[#This Row],[Supporter_ID]],tb1_supporters[Supporter_ID ],tb1_supporters[Communication_Preference],"")</f>
        <v>No Preference</v>
      </c>
      <c r="R199" t="str">
        <f>_xlfn.XLOOKUP(Table8[[#This Row],[Supporter_ID]],tb1_supporters[Supporter_ID ],tb1_supporters[Duplicate_Profile_Flag],"")</f>
        <v/>
      </c>
      <c r="S199" t="str">
        <f>_xlfn.XLOOKUP(Table8[[#This Row],[Supporter_ID]],tb1_supporters[Supporter_ID ],tb1_supporters[Preference_Compliance_Flag],"")</f>
        <v/>
      </c>
      <c r="T199" t="str">
        <f ca="1">IF(Table8[[#This Row],[Age]]="","Review - missing DOB",IF(Table8[[#This Row],[Age]]&gt;TODAY(),"Review - future DOB",IF(Table8[[#This Row],[Age]]=0,"Review -  potential entry error (age 0)","")))</f>
        <v/>
      </c>
      <c r="U199" t="str">
        <f>_xlfn.XLOOKUP(Table8[[#This Row],[Campaign_Code]],tb3_CampaignMaster[Campaign_Code],tb3_CampaignMaster[Campaign_Type],"")</f>
        <v>Appeal</v>
      </c>
      <c r="V199" t="str">
        <f>_xlfn.XLOOKUP(Table8[[#This Row],[Campaign_Code]],tb3_CampaignMaster[Campaign_Code],tb3_CampaignMaster[Target_Audience],"")</f>
        <v>All Supporters</v>
      </c>
      <c r="W199" s="17">
        <f>_xlfn.XLOOKUP(Table8[[#This Row],[Campaign_Code]],tb3_CampaignMaster[Campaign_Code],tb3_CampaignMaster[Start_Date],"")</f>
        <v>45545</v>
      </c>
      <c r="X199" s="17">
        <f>_xlfn.XLOOKUP(Table8[[#This Row],[Campaign_Code]],tb3_CampaignMaster[Campaign_Code],tb3_CampaignMaster[End_Date],"")</f>
        <v>45580</v>
      </c>
      <c r="Y199">
        <f>_xlfn.XLOOKUP(Table8[[#This Row],[Campaign_Code]],tb3_CampaignMaster[Campaign_Code],tb3_CampaignMaster[Budget_GBP],"")</f>
        <v>15000</v>
      </c>
      <c r="Z199" t="str">
        <f>_xlfn.XLOOKUP(Table8[[#This Row],[Campaign_Code]],tb3_CampaignMaster[Campaign_Code],tb3_CampaignMaster[Primary_Channel],"")</f>
        <v>Email</v>
      </c>
      <c r="AA199" s="13">
        <f>IF(Table8[[#This Row],[Gift_Aid_Eligible]]="Yes",Table8[[#This Row],[Gift_Amount]]*1.25,Table8[[#This Row],[Gift_Amount]])</f>
        <v>35.950000000000003</v>
      </c>
      <c r="AB199" t="str">
        <f>IF(Table8[[#This Row],[Supporter_ID]]="","Review - missing supporter ID","")</f>
        <v/>
      </c>
      <c r="AC199" t="str">
        <f>IF(OR(Table8[[#This Row],[Response_Date]]&lt;Table8[[#This Row],[Start_Date]],Table8[[#This Row],[Response_Date]]&gt;Table8[[#This Row],[End_Date]]),"Review - response outside campaign dates","")</f>
        <v/>
      </c>
      <c r="AD199" t="str">
        <f>IF(Table8[[#This Row],[Campaign_Type]]="","Review - campaign code not found","")</f>
        <v/>
      </c>
    </row>
    <row r="200" spans="1:30" x14ac:dyDescent="0.25">
      <c r="A200" t="s">
        <v>3718</v>
      </c>
      <c r="B200" t="s">
        <v>3290</v>
      </c>
      <c r="C200" t="s">
        <v>3403</v>
      </c>
      <c r="D200" t="s">
        <v>3404</v>
      </c>
      <c r="E200" t="s">
        <v>4</v>
      </c>
      <c r="F200" s="17">
        <v>45583</v>
      </c>
      <c r="G200">
        <v>126.59</v>
      </c>
      <c r="H200" t="s">
        <v>37</v>
      </c>
      <c r="I200" t="s">
        <v>3385</v>
      </c>
      <c r="J200" t="str">
        <f>_xlfn.XLOOKUP(Table8[[#This Row],[Supporter_ID]],tb1_supporters[Supporter_ID ],tb1_supporters[Segment],"")</f>
        <v>Mid-Value</v>
      </c>
      <c r="K200" t="str">
        <f>_xlfn.XLOOKUP(Table8[[#This Row],[Supporter_ID]],tb1_supporters[Supporter_ID ],tb1_supporters[Acquisition_Source],"")</f>
        <v>Referral</v>
      </c>
      <c r="L200" t="str">
        <f>_xlfn.XLOOKUP(Table8[[#This Row],[Supporter_ID]],tb1_supporters[Supporter_ID ],tb1_supporters[County],"")</f>
        <v>South Yorkshire</v>
      </c>
      <c r="M200" t="str">
        <f>_xlfn.XLOOKUP(Table8[[#This Row],[Supporter_ID]],tb1_supporters[Supporter_ID ],tb1_supporters[Gender],"")</f>
        <v>Female</v>
      </c>
      <c r="N200">
        <f ca="1">_xlfn.XLOOKUP(Table8[[#This Row],[Supporter_ID]],tb1_supporters[Supporter_ID ],tb1_supporters[Age],"")</f>
        <v>64</v>
      </c>
      <c r="O200" t="str">
        <f ca="1">_xlfn.XLOOKUP(Table8[[#This Row],[Supporter_ID]],tb1_supporters[Supporter_ID ],tb1_supporters[Age_Band],"")</f>
        <v>50-64</v>
      </c>
      <c r="P200" t="str">
        <f ca="1">IF(Table8[[#This Row],[Age_Band]]="","Unknown",Table8[[#This Row],[Age_Band]])</f>
        <v>50-64</v>
      </c>
      <c r="Q200" t="str">
        <f>_xlfn.XLOOKUP(Table8[[#This Row],[Supporter_ID]],tb1_supporters[Supporter_ID ],tb1_supporters[Communication_Preference],"")</f>
        <v>Email</v>
      </c>
      <c r="R200" t="str">
        <f>_xlfn.XLOOKUP(Table8[[#This Row],[Supporter_ID]],tb1_supporters[Supporter_ID ],tb1_supporters[Duplicate_Profile_Flag],"")</f>
        <v>Review - duplicate record, see Supporter_Duplicates tab</v>
      </c>
      <c r="S200" t="str">
        <f>_xlfn.XLOOKUP(Table8[[#This Row],[Supporter_ID]],tb1_supporters[Supporter_ID ],tb1_supporters[Preference_Compliance_Flag],"")</f>
        <v/>
      </c>
      <c r="T200" t="str">
        <f ca="1">IF(Table8[[#This Row],[Age]]="","Review - missing DOB",IF(Table8[[#This Row],[Age]]&gt;TODAY(),"Review - future DOB",IF(Table8[[#This Row],[Age]]=0,"Review -  potential entry error (age 0)","")))</f>
        <v/>
      </c>
      <c r="U200" t="str">
        <f>_xlfn.XLOOKUP(Table8[[#This Row],[Campaign_Code]],tb3_CampaignMaster[Campaign_Code],tb3_CampaignMaster[Campaign_Type],"")</f>
        <v>Trading</v>
      </c>
      <c r="V200" t="str">
        <f>_xlfn.XLOOKUP(Table8[[#This Row],[Campaign_Code]],tb3_CampaignMaster[Campaign_Code],tb3_CampaignMaster[Target_Audience],"")</f>
        <v>All Active</v>
      </c>
      <c r="W200" s="17">
        <f>_xlfn.XLOOKUP(Table8[[#This Row],[Campaign_Code]],tb3_CampaignMaster[Campaign_Code],tb3_CampaignMaster[Start_Date],"")</f>
        <v>45580</v>
      </c>
      <c r="X200" s="17">
        <f>_xlfn.XLOOKUP(Table8[[#This Row],[Campaign_Code]],tb3_CampaignMaster[Campaign_Code],tb3_CampaignMaster[End_Date],"")</f>
        <v>45646</v>
      </c>
      <c r="Y200">
        <f>_xlfn.XLOOKUP(Table8[[#This Row],[Campaign_Code]],tb3_CampaignMaster[Campaign_Code],tb3_CampaignMaster[Budget_GBP],"")</f>
        <v>12000</v>
      </c>
      <c r="Z200" t="str">
        <f>_xlfn.XLOOKUP(Table8[[#This Row],[Campaign_Code]],tb3_CampaignMaster[Campaign_Code],tb3_CampaignMaster[Primary_Channel],"")</f>
        <v>Multi-channel</v>
      </c>
      <c r="AA200" s="13">
        <f>IF(Table8[[#This Row],[Gift_Aid_Eligible]]="Yes",Table8[[#This Row],[Gift_Amount]]*1.25,Table8[[#This Row],[Gift_Amount]])</f>
        <v>126.59</v>
      </c>
      <c r="AB200" t="str">
        <f>IF(Table8[[#This Row],[Supporter_ID]]="","Review - missing supporter ID","")</f>
        <v/>
      </c>
      <c r="AC200" t="str">
        <f>IF(OR(Table8[[#This Row],[Response_Date]]&lt;Table8[[#This Row],[Start_Date]],Table8[[#This Row],[Response_Date]]&gt;Table8[[#This Row],[End_Date]]),"Review - response outside campaign dates","")</f>
        <v/>
      </c>
      <c r="AD200" t="str">
        <f>IF(Table8[[#This Row],[Campaign_Type]]="","Review - campaign code not found","")</f>
        <v/>
      </c>
    </row>
    <row r="201" spans="1:30" x14ac:dyDescent="0.25">
      <c r="A201" t="s">
        <v>3720</v>
      </c>
      <c r="B201" t="s">
        <v>1567</v>
      </c>
      <c r="C201" t="s">
        <v>3427</v>
      </c>
      <c r="D201" t="s">
        <v>3428</v>
      </c>
      <c r="E201" t="s">
        <v>4</v>
      </c>
      <c r="F201" s="17">
        <v>45488</v>
      </c>
      <c r="G201">
        <v>39.049999999999997</v>
      </c>
      <c r="H201" t="s">
        <v>36</v>
      </c>
      <c r="I201" t="s">
        <v>3385</v>
      </c>
      <c r="J201" t="str">
        <f>_xlfn.XLOOKUP(Table8[[#This Row],[Supporter_ID]],tb1_supporters[Supporter_ID ],tb1_supporters[Segment],"")</f>
        <v>Lapsed</v>
      </c>
      <c r="K201" t="str">
        <f>_xlfn.XLOOKUP(Table8[[#This Row],[Supporter_ID]],tb1_supporters[Supporter_ID ],tb1_supporters[Acquisition_Source],"")</f>
        <v>Website</v>
      </c>
      <c r="L201" t="str">
        <f>_xlfn.XLOOKUP(Table8[[#This Row],[Supporter_ID]],tb1_supporters[Supporter_ID ],tb1_supporters[County],"")</f>
        <v>Merseyside</v>
      </c>
      <c r="M201" t="str">
        <f>_xlfn.XLOOKUP(Table8[[#This Row],[Supporter_ID]],tb1_supporters[Supporter_ID ],tb1_supporters[Gender],"")</f>
        <v>Male</v>
      </c>
      <c r="N201">
        <f ca="1">_xlfn.XLOOKUP(Table8[[#This Row],[Supporter_ID]],tb1_supporters[Supporter_ID ],tb1_supporters[Age],"")</f>
        <v>75</v>
      </c>
      <c r="O201" t="str">
        <f ca="1">_xlfn.XLOOKUP(Table8[[#This Row],[Supporter_ID]],tb1_supporters[Supporter_ID ],tb1_supporters[Age_Band],"")</f>
        <v>65+</v>
      </c>
      <c r="P201" t="str">
        <f ca="1">IF(Table8[[#This Row],[Age_Band]]="","Unknown",Table8[[#This Row],[Age_Band]])</f>
        <v>65+</v>
      </c>
      <c r="Q201" t="str">
        <f>_xlfn.XLOOKUP(Table8[[#This Row],[Supporter_ID]],tb1_supporters[Supporter_ID ],tb1_supporters[Communication_Preference],"")</f>
        <v>Email</v>
      </c>
      <c r="R201" t="str">
        <f>_xlfn.XLOOKUP(Table8[[#This Row],[Supporter_ID]],tb1_supporters[Supporter_ID ],tb1_supporters[Duplicate_Profile_Flag],"")</f>
        <v/>
      </c>
      <c r="S201" t="str">
        <f>_xlfn.XLOOKUP(Table8[[#This Row],[Supporter_ID]],tb1_supporters[Supporter_ID ],tb1_supporters[Preference_Compliance_Flag],"")</f>
        <v>Review - prefers email but not opted in</v>
      </c>
      <c r="T201" t="str">
        <f ca="1">IF(Table8[[#This Row],[Age]]="","Review - missing DOB",IF(Table8[[#This Row],[Age]]&gt;TODAY(),"Review - future DOB",IF(Table8[[#This Row],[Age]]=0,"Review -  potential entry error (age 0)","")))</f>
        <v/>
      </c>
      <c r="U201" t="str">
        <f>_xlfn.XLOOKUP(Table8[[#This Row],[Campaign_Code]],tb3_CampaignMaster[Campaign_Code],tb3_CampaignMaster[Campaign_Type],"")</f>
        <v>Event</v>
      </c>
      <c r="V201" t="str">
        <f>_xlfn.XLOOKUP(Table8[[#This Row],[Campaign_Code]],tb3_CampaignMaster[Campaign_Code],tb3_CampaignMaster[Target_Audience],"")</f>
        <v>Major Donors</v>
      </c>
      <c r="W201" s="17">
        <f>_xlfn.XLOOKUP(Table8[[#This Row],[Campaign_Code]],tb3_CampaignMaster[Campaign_Code],tb3_CampaignMaster[Start_Date],"")</f>
        <v>45488</v>
      </c>
      <c r="X201" s="17">
        <f>_xlfn.XLOOKUP(Table8[[#This Row],[Campaign_Code]],tb3_CampaignMaster[Campaign_Code],tb3_CampaignMaster[End_Date],"")</f>
        <v>45488</v>
      </c>
      <c r="Y201">
        <f>_xlfn.XLOOKUP(Table8[[#This Row],[Campaign_Code]],tb3_CampaignMaster[Campaign_Code],tb3_CampaignMaster[Budget_GBP],"")</f>
        <v>45000</v>
      </c>
      <c r="Z201" t="str">
        <f>_xlfn.XLOOKUP(Table8[[#This Row],[Campaign_Code]],tb3_CampaignMaster[Campaign_Code],tb3_CampaignMaster[Primary_Channel],"")</f>
        <v>Direct Mail</v>
      </c>
      <c r="AA201" s="13">
        <f>IF(Table8[[#This Row],[Gift_Aid_Eligible]]="Yes",Table8[[#This Row],[Gift_Amount]]*1.25,Table8[[#This Row],[Gift_Amount]])</f>
        <v>48.8125</v>
      </c>
      <c r="AB201" t="str">
        <f>IF(Table8[[#This Row],[Supporter_ID]]="","Review - missing supporter ID","")</f>
        <v/>
      </c>
      <c r="AC201" t="str">
        <f>IF(OR(Table8[[#This Row],[Response_Date]]&lt;Table8[[#This Row],[Start_Date]],Table8[[#This Row],[Response_Date]]&gt;Table8[[#This Row],[End_Date]]),"Review - response outside campaign dates","")</f>
        <v/>
      </c>
      <c r="AD201" t="str">
        <f>IF(Table8[[#This Row],[Campaign_Type]]="","Review - campaign code not found","")</f>
        <v/>
      </c>
    </row>
    <row r="202" spans="1:30" x14ac:dyDescent="0.25">
      <c r="A202" t="s">
        <v>3721</v>
      </c>
      <c r="B202" t="s">
        <v>1207</v>
      </c>
      <c r="C202" t="s">
        <v>3341</v>
      </c>
      <c r="D202" t="s">
        <v>3342</v>
      </c>
      <c r="E202" t="s">
        <v>4</v>
      </c>
      <c r="F202" s="17">
        <v>45711</v>
      </c>
      <c r="G202">
        <v>13.76</v>
      </c>
      <c r="H202" t="s">
        <v>37</v>
      </c>
      <c r="I202" t="s">
        <v>3385</v>
      </c>
      <c r="J202" t="str">
        <f>_xlfn.XLOOKUP(Table8[[#This Row],[Supporter_ID]],tb1_supporters[Supporter_ID ],tb1_supporters[Segment],"")</f>
        <v>Regular Giver</v>
      </c>
      <c r="K202" t="str">
        <f>_xlfn.XLOOKUP(Table8[[#This Row],[Supporter_ID]],tb1_supporters[Supporter_ID ],tb1_supporters[Acquisition_Source],"")</f>
        <v>Website</v>
      </c>
      <c r="L202" t="str">
        <f>_xlfn.XLOOKUP(Table8[[#This Row],[Supporter_ID]],tb1_supporters[Supporter_ID ],tb1_supporters[County],"")</f>
        <v>South Yorkshire</v>
      </c>
      <c r="M202" t="str">
        <f>_xlfn.XLOOKUP(Table8[[#This Row],[Supporter_ID]],tb1_supporters[Supporter_ID ],tb1_supporters[Gender],"")</f>
        <v>Male</v>
      </c>
      <c r="N202">
        <f ca="1">_xlfn.XLOOKUP(Table8[[#This Row],[Supporter_ID]],tb1_supporters[Supporter_ID ],tb1_supporters[Age],"")</f>
        <v>53</v>
      </c>
      <c r="O202" t="str">
        <f ca="1">_xlfn.XLOOKUP(Table8[[#This Row],[Supporter_ID]],tb1_supporters[Supporter_ID ],tb1_supporters[Age_Band],"")</f>
        <v>50-64</v>
      </c>
      <c r="P202" t="str">
        <f ca="1">IF(Table8[[#This Row],[Age_Band]]="","Unknown",Table8[[#This Row],[Age_Band]])</f>
        <v>50-64</v>
      </c>
      <c r="Q202" t="str">
        <f>_xlfn.XLOOKUP(Table8[[#This Row],[Supporter_ID]],tb1_supporters[Supporter_ID ],tb1_supporters[Communication_Preference],"")</f>
        <v>Post</v>
      </c>
      <c r="R202" t="str">
        <f>_xlfn.XLOOKUP(Table8[[#This Row],[Supporter_ID]],tb1_supporters[Supporter_ID ],tb1_supporters[Duplicate_Profile_Flag],"")</f>
        <v/>
      </c>
      <c r="S202" t="str">
        <f>_xlfn.XLOOKUP(Table8[[#This Row],[Supporter_ID]],tb1_supporters[Supporter_ID ],tb1_supporters[Preference_Compliance_Flag],"")</f>
        <v/>
      </c>
      <c r="T202" t="str">
        <f ca="1">IF(Table8[[#This Row],[Age]]="","Review - missing DOB",IF(Table8[[#This Row],[Age]]&gt;TODAY(),"Review - future DOB",IF(Table8[[#This Row],[Age]]=0,"Review -  potential entry error (age 0)","")))</f>
        <v/>
      </c>
      <c r="U202" t="str">
        <f>_xlfn.XLOOKUP(Table8[[#This Row],[Campaign_Code]],tb3_CampaignMaster[Campaign_Code],tb3_CampaignMaster[Campaign_Type],"")</f>
        <v>Acquisition</v>
      </c>
      <c r="V202" t="str">
        <f>_xlfn.XLOOKUP(Table8[[#This Row],[Campaign_Code]],tb3_CampaignMaster[Campaign_Code],tb3_CampaignMaster[Target_Audience],"")</f>
        <v>Prospects</v>
      </c>
      <c r="W202" s="17">
        <f>_xlfn.XLOOKUP(Table8[[#This Row],[Campaign_Code]],tb3_CampaignMaster[Campaign_Code],tb3_CampaignMaster[Start_Date],"")</f>
        <v>45689</v>
      </c>
      <c r="X202" s="17">
        <f>_xlfn.XLOOKUP(Table8[[#This Row],[Campaign_Code]],tb3_CampaignMaster[Campaign_Code],tb3_CampaignMaster[End_Date],"")</f>
        <v>45777</v>
      </c>
      <c r="Y202">
        <f>_xlfn.XLOOKUP(Table8[[#This Row],[Campaign_Code]],tb3_CampaignMaster[Campaign_Code],tb3_CampaignMaster[Budget_GBP],"")</f>
        <v>20000</v>
      </c>
      <c r="Z202" t="str">
        <f>_xlfn.XLOOKUP(Table8[[#This Row],[Campaign_Code]],tb3_CampaignMaster[Campaign_Code],tb3_CampaignMaster[Primary_Channel],"")</f>
        <v>Digital</v>
      </c>
      <c r="AA202" s="13">
        <f>IF(Table8[[#This Row],[Gift_Aid_Eligible]]="Yes",Table8[[#This Row],[Gift_Amount]]*1.25,Table8[[#This Row],[Gift_Amount]])</f>
        <v>13.76</v>
      </c>
      <c r="AB202" t="str">
        <f>IF(Table8[[#This Row],[Supporter_ID]]="","Review - missing supporter ID","")</f>
        <v/>
      </c>
      <c r="AC202" t="str">
        <f>IF(OR(Table8[[#This Row],[Response_Date]]&lt;Table8[[#This Row],[Start_Date]],Table8[[#This Row],[Response_Date]]&gt;Table8[[#This Row],[End_Date]]),"Review - response outside campaign dates","")</f>
        <v/>
      </c>
      <c r="AD202" t="str">
        <f>IF(Table8[[#This Row],[Campaign_Type]]="","Review - campaign code not found","")</f>
        <v/>
      </c>
    </row>
    <row r="203" spans="1:30" x14ac:dyDescent="0.25">
      <c r="A203" t="s">
        <v>3723</v>
      </c>
      <c r="B203" t="s">
        <v>790</v>
      </c>
      <c r="C203" t="s">
        <v>3403</v>
      </c>
      <c r="D203" t="s">
        <v>3404</v>
      </c>
      <c r="E203" t="s">
        <v>4</v>
      </c>
      <c r="F203" s="17">
        <v>45631</v>
      </c>
      <c r="G203">
        <v>39.340000000000003</v>
      </c>
      <c r="H203" t="s">
        <v>36</v>
      </c>
      <c r="I203" t="s">
        <v>3370</v>
      </c>
      <c r="J203" t="str">
        <f>_xlfn.XLOOKUP(Table8[[#This Row],[Supporter_ID]],tb1_supporters[Supporter_ID ],tb1_supporters[Segment],"")</f>
        <v>Regular Giver</v>
      </c>
      <c r="K203" t="str">
        <f>_xlfn.XLOOKUP(Table8[[#This Row],[Supporter_ID]],tb1_supporters[Supporter_ID ],tb1_supporters[Acquisition_Source],"")</f>
        <v>Referral</v>
      </c>
      <c r="L203" t="str">
        <f>_xlfn.XLOOKUP(Table8[[#This Row],[Supporter_ID]],tb1_supporters[Supporter_ID ],tb1_supporters[County],"")</f>
        <v>Gloucestershire</v>
      </c>
      <c r="M203" t="str">
        <f>_xlfn.XLOOKUP(Table8[[#This Row],[Supporter_ID]],tb1_supporters[Supporter_ID ],tb1_supporters[Gender],"")</f>
        <v>Female</v>
      </c>
      <c r="N203">
        <f ca="1">_xlfn.XLOOKUP(Table8[[#This Row],[Supporter_ID]],tb1_supporters[Supporter_ID ],tb1_supporters[Age],"")</f>
        <v>51</v>
      </c>
      <c r="O203" t="str">
        <f ca="1">_xlfn.XLOOKUP(Table8[[#This Row],[Supporter_ID]],tb1_supporters[Supporter_ID ],tb1_supporters[Age_Band],"")</f>
        <v>50-64</v>
      </c>
      <c r="P203" t="str">
        <f ca="1">IF(Table8[[#This Row],[Age_Band]]="","Unknown",Table8[[#This Row],[Age_Band]])</f>
        <v>50-64</v>
      </c>
      <c r="Q203" t="str">
        <f>_xlfn.XLOOKUP(Table8[[#This Row],[Supporter_ID]],tb1_supporters[Supporter_ID ],tb1_supporters[Communication_Preference],"")</f>
        <v>Email</v>
      </c>
      <c r="R203" t="str">
        <f>_xlfn.XLOOKUP(Table8[[#This Row],[Supporter_ID]],tb1_supporters[Supporter_ID ],tb1_supporters[Duplicate_Profile_Flag],"")</f>
        <v/>
      </c>
      <c r="S203" t="str">
        <f>_xlfn.XLOOKUP(Table8[[#This Row],[Supporter_ID]],tb1_supporters[Supporter_ID ],tb1_supporters[Preference_Compliance_Flag],"")</f>
        <v>Review - prefers email but not opted in</v>
      </c>
      <c r="T203" t="str">
        <f ca="1">IF(Table8[[#This Row],[Age]]="","Review - missing DOB",IF(Table8[[#This Row],[Age]]&gt;TODAY(),"Review - future DOB",IF(Table8[[#This Row],[Age]]=0,"Review -  potential entry error (age 0)","")))</f>
        <v/>
      </c>
      <c r="U203" t="str">
        <f>_xlfn.XLOOKUP(Table8[[#This Row],[Campaign_Code]],tb3_CampaignMaster[Campaign_Code],tb3_CampaignMaster[Campaign_Type],"")</f>
        <v>Trading</v>
      </c>
      <c r="V203" t="str">
        <f>_xlfn.XLOOKUP(Table8[[#This Row],[Campaign_Code]],tb3_CampaignMaster[Campaign_Code],tb3_CampaignMaster[Target_Audience],"")</f>
        <v>All Active</v>
      </c>
      <c r="W203" s="17">
        <f>_xlfn.XLOOKUP(Table8[[#This Row],[Campaign_Code]],tb3_CampaignMaster[Campaign_Code],tb3_CampaignMaster[Start_Date],"")</f>
        <v>45580</v>
      </c>
      <c r="X203" s="17">
        <f>_xlfn.XLOOKUP(Table8[[#This Row],[Campaign_Code]],tb3_CampaignMaster[Campaign_Code],tb3_CampaignMaster[End_Date],"")</f>
        <v>45646</v>
      </c>
      <c r="Y203">
        <f>_xlfn.XLOOKUP(Table8[[#This Row],[Campaign_Code]],tb3_CampaignMaster[Campaign_Code],tb3_CampaignMaster[Budget_GBP],"")</f>
        <v>12000</v>
      </c>
      <c r="Z203" t="str">
        <f>_xlfn.XLOOKUP(Table8[[#This Row],[Campaign_Code]],tb3_CampaignMaster[Campaign_Code],tb3_CampaignMaster[Primary_Channel],"")</f>
        <v>Multi-channel</v>
      </c>
      <c r="AA203" s="13">
        <f>IF(Table8[[#This Row],[Gift_Aid_Eligible]]="Yes",Table8[[#This Row],[Gift_Amount]]*1.25,Table8[[#This Row],[Gift_Amount]])</f>
        <v>49.175000000000004</v>
      </c>
      <c r="AB203" t="str">
        <f>IF(Table8[[#This Row],[Supporter_ID]]="","Review - missing supporter ID","")</f>
        <v/>
      </c>
      <c r="AC203" t="str">
        <f>IF(OR(Table8[[#This Row],[Response_Date]]&lt;Table8[[#This Row],[Start_Date]],Table8[[#This Row],[Response_Date]]&gt;Table8[[#This Row],[End_Date]]),"Review - response outside campaign dates","")</f>
        <v/>
      </c>
      <c r="AD203" t="str">
        <f>IF(Table8[[#This Row],[Campaign_Type]]="","Review - campaign code not found","")</f>
        <v/>
      </c>
    </row>
    <row r="204" spans="1:30" x14ac:dyDescent="0.25">
      <c r="A204" t="s">
        <v>3725</v>
      </c>
      <c r="B204" t="s">
        <v>1855</v>
      </c>
      <c r="C204" t="s">
        <v>3341</v>
      </c>
      <c r="D204" t="s">
        <v>3342</v>
      </c>
      <c r="E204" t="s">
        <v>91</v>
      </c>
      <c r="F204" s="17">
        <v>45703</v>
      </c>
      <c r="G204">
        <v>213.54</v>
      </c>
      <c r="H204" t="s">
        <v>36</v>
      </c>
      <c r="I204" t="s">
        <v>3318</v>
      </c>
      <c r="J204" t="str">
        <f>_xlfn.XLOOKUP(Table8[[#This Row],[Supporter_ID]],tb1_supporters[Supporter_ID ],tb1_supporters[Segment],"")</f>
        <v>Mid-Value</v>
      </c>
      <c r="K204" t="str">
        <f>_xlfn.XLOOKUP(Table8[[#This Row],[Supporter_ID]],tb1_supporters[Supporter_ID ],tb1_supporters[Acquisition_Source],"")</f>
        <v>Social Media</v>
      </c>
      <c r="L204" t="str">
        <f>_xlfn.XLOOKUP(Table8[[#This Row],[Supporter_ID]],tb1_supporters[Supporter_ID ],tb1_supporters[County],"")</f>
        <v>Cambridgeshire</v>
      </c>
      <c r="M204" t="str">
        <f>_xlfn.XLOOKUP(Table8[[#This Row],[Supporter_ID]],tb1_supporters[Supporter_ID ],tb1_supporters[Gender],"")</f>
        <v>Male</v>
      </c>
      <c r="N204">
        <f ca="1">_xlfn.XLOOKUP(Table8[[#This Row],[Supporter_ID]],tb1_supporters[Supporter_ID ],tb1_supporters[Age],"")</f>
        <v>49</v>
      </c>
      <c r="O204" t="str">
        <f ca="1">_xlfn.XLOOKUP(Table8[[#This Row],[Supporter_ID]],tb1_supporters[Supporter_ID ],tb1_supporters[Age_Band],"")</f>
        <v>35-49</v>
      </c>
      <c r="P204" t="str">
        <f ca="1">IF(Table8[[#This Row],[Age_Band]]="","Unknown",Table8[[#This Row],[Age_Band]])</f>
        <v>35-49</v>
      </c>
      <c r="Q204" t="str">
        <f>_xlfn.XLOOKUP(Table8[[#This Row],[Supporter_ID]],tb1_supporters[Supporter_ID ],tb1_supporters[Communication_Preference],"")</f>
        <v>Email</v>
      </c>
      <c r="R204" t="str">
        <f>_xlfn.XLOOKUP(Table8[[#This Row],[Supporter_ID]],tb1_supporters[Supporter_ID ],tb1_supporters[Duplicate_Profile_Flag],"")</f>
        <v/>
      </c>
      <c r="S204" t="str">
        <f>_xlfn.XLOOKUP(Table8[[#This Row],[Supporter_ID]],tb1_supporters[Supporter_ID ],tb1_supporters[Preference_Compliance_Flag],"")</f>
        <v/>
      </c>
      <c r="T204" t="str">
        <f ca="1">IF(Table8[[#This Row],[Age]]="","Review - missing DOB",IF(Table8[[#This Row],[Age]]&gt;TODAY(),"Review - future DOB",IF(Table8[[#This Row],[Age]]=0,"Review -  potential entry error (age 0)","")))</f>
        <v/>
      </c>
      <c r="U204" t="str">
        <f>_xlfn.XLOOKUP(Table8[[#This Row],[Campaign_Code]],tb3_CampaignMaster[Campaign_Code],tb3_CampaignMaster[Campaign_Type],"")</f>
        <v>Acquisition</v>
      </c>
      <c r="V204" t="str">
        <f>_xlfn.XLOOKUP(Table8[[#This Row],[Campaign_Code]],tb3_CampaignMaster[Campaign_Code],tb3_CampaignMaster[Target_Audience],"")</f>
        <v>Prospects</v>
      </c>
      <c r="W204" s="17">
        <f>_xlfn.XLOOKUP(Table8[[#This Row],[Campaign_Code]],tb3_CampaignMaster[Campaign_Code],tb3_CampaignMaster[Start_Date],"")</f>
        <v>45689</v>
      </c>
      <c r="X204" s="17">
        <f>_xlfn.XLOOKUP(Table8[[#This Row],[Campaign_Code]],tb3_CampaignMaster[Campaign_Code],tb3_CampaignMaster[End_Date],"")</f>
        <v>45777</v>
      </c>
      <c r="Y204">
        <f>_xlfn.XLOOKUP(Table8[[#This Row],[Campaign_Code]],tb3_CampaignMaster[Campaign_Code],tb3_CampaignMaster[Budget_GBP],"")</f>
        <v>20000</v>
      </c>
      <c r="Z204" t="str">
        <f>_xlfn.XLOOKUP(Table8[[#This Row],[Campaign_Code]],tb3_CampaignMaster[Campaign_Code],tb3_CampaignMaster[Primary_Channel],"")</f>
        <v>Digital</v>
      </c>
      <c r="AA204" s="13">
        <f>IF(Table8[[#This Row],[Gift_Aid_Eligible]]="Yes",Table8[[#This Row],[Gift_Amount]]*1.25,Table8[[#This Row],[Gift_Amount]])</f>
        <v>266.92500000000001</v>
      </c>
      <c r="AB204" t="str">
        <f>IF(Table8[[#This Row],[Supporter_ID]]="","Review - missing supporter ID","")</f>
        <v/>
      </c>
      <c r="AC204" t="str">
        <f>IF(OR(Table8[[#This Row],[Response_Date]]&lt;Table8[[#This Row],[Start_Date]],Table8[[#This Row],[Response_Date]]&gt;Table8[[#This Row],[End_Date]]),"Review - response outside campaign dates","")</f>
        <v/>
      </c>
      <c r="AD204" t="str">
        <f>IF(Table8[[#This Row],[Campaign_Type]]="","Review - campaign code not found","")</f>
        <v/>
      </c>
    </row>
    <row r="205" spans="1:30" x14ac:dyDescent="0.25">
      <c r="A205" t="s">
        <v>3727</v>
      </c>
      <c r="B205" t="s">
        <v>2046</v>
      </c>
      <c r="C205" t="s">
        <v>3325</v>
      </c>
      <c r="D205" t="s">
        <v>3326</v>
      </c>
      <c r="E205" t="s">
        <v>3338</v>
      </c>
      <c r="F205" s="17">
        <v>45633</v>
      </c>
      <c r="G205">
        <v>372.32</v>
      </c>
      <c r="H205" t="s">
        <v>36</v>
      </c>
      <c r="I205" t="s">
        <v>3328</v>
      </c>
      <c r="J205" t="str">
        <f>_xlfn.XLOOKUP(Table8[[#This Row],[Supporter_ID]],tb1_supporters[Supporter_ID ],tb1_supporters[Segment],"")</f>
        <v>Legacy Pledger</v>
      </c>
      <c r="K205" t="str">
        <f>_xlfn.XLOOKUP(Table8[[#This Row],[Supporter_ID]],tb1_supporters[Supporter_ID ],tb1_supporters[Acquisition_Source],"")</f>
        <v>Referral</v>
      </c>
      <c r="L205" t="str">
        <f>_xlfn.XLOOKUP(Table8[[#This Row],[Supporter_ID]],tb1_supporters[Supporter_ID ],tb1_supporters[County],"")</f>
        <v>Cheshire</v>
      </c>
      <c r="M205" t="str">
        <f>_xlfn.XLOOKUP(Table8[[#This Row],[Supporter_ID]],tb1_supporters[Supporter_ID ],tb1_supporters[Gender],"")</f>
        <v>Male</v>
      </c>
      <c r="N205">
        <f ca="1">_xlfn.XLOOKUP(Table8[[#This Row],[Supporter_ID]],tb1_supporters[Supporter_ID ],tb1_supporters[Age],"")</f>
        <v>34</v>
      </c>
      <c r="O205" t="str">
        <f ca="1">_xlfn.XLOOKUP(Table8[[#This Row],[Supporter_ID]],tb1_supporters[Supporter_ID ],tb1_supporters[Age_Band],"")</f>
        <v>18-34</v>
      </c>
      <c r="P205" t="str">
        <f ca="1">IF(Table8[[#This Row],[Age_Band]]="","Unknown",Table8[[#This Row],[Age_Band]])</f>
        <v>18-34</v>
      </c>
      <c r="Q205" t="str">
        <f>_xlfn.XLOOKUP(Table8[[#This Row],[Supporter_ID]],tb1_supporters[Supporter_ID ],tb1_supporters[Communication_Preference],"")</f>
        <v>No Preference</v>
      </c>
      <c r="R205" t="str">
        <f>_xlfn.XLOOKUP(Table8[[#This Row],[Supporter_ID]],tb1_supporters[Supporter_ID ],tb1_supporters[Duplicate_Profile_Flag],"")</f>
        <v/>
      </c>
      <c r="S205" t="str">
        <f>_xlfn.XLOOKUP(Table8[[#This Row],[Supporter_ID]],tb1_supporters[Supporter_ID ],tb1_supporters[Preference_Compliance_Flag],"")</f>
        <v/>
      </c>
      <c r="T205" t="str">
        <f ca="1">IF(Table8[[#This Row],[Age]]="","Review - missing DOB",IF(Table8[[#This Row],[Age]]&gt;TODAY(),"Review - future DOB",IF(Table8[[#This Row],[Age]]=0,"Review -  potential entry error (age 0)","")))</f>
        <v/>
      </c>
      <c r="U205" t="str">
        <f>_xlfn.XLOOKUP(Table8[[#This Row],[Campaign_Code]],tb3_CampaignMaster[Campaign_Code],tb3_CampaignMaster[Campaign_Type],"")</f>
        <v>Appeal</v>
      </c>
      <c r="V205" t="str">
        <f>_xlfn.XLOOKUP(Table8[[#This Row],[Campaign_Code]],tb3_CampaignMaster[Campaign_Code],tb3_CampaignMaster[Target_Audience],"")</f>
        <v>All Active</v>
      </c>
      <c r="W205" s="17">
        <f>_xlfn.XLOOKUP(Table8[[#This Row],[Campaign_Code]],tb3_CampaignMaster[Campaign_Code],tb3_CampaignMaster[Start_Date],"")</f>
        <v>45597</v>
      </c>
      <c r="X205" s="17">
        <f>_xlfn.XLOOKUP(Table8[[#This Row],[Campaign_Code]],tb3_CampaignMaster[Campaign_Code],tb3_CampaignMaster[End_Date],"")</f>
        <v>45657</v>
      </c>
      <c r="Y205">
        <f>_xlfn.XLOOKUP(Table8[[#This Row],[Campaign_Code]],tb3_CampaignMaster[Campaign_Code],tb3_CampaignMaster[Budget_GBP],"")</f>
        <v>25000</v>
      </c>
      <c r="Z205" t="str">
        <f>_xlfn.XLOOKUP(Table8[[#This Row],[Campaign_Code]],tb3_CampaignMaster[Campaign_Code],tb3_CampaignMaster[Primary_Channel],"")</f>
        <v>Multi-channel</v>
      </c>
      <c r="AA205" s="13">
        <f>IF(Table8[[#This Row],[Gift_Aid_Eligible]]="Yes",Table8[[#This Row],[Gift_Amount]]*1.25,Table8[[#This Row],[Gift_Amount]])</f>
        <v>465.4</v>
      </c>
      <c r="AB205" t="str">
        <f>IF(Table8[[#This Row],[Supporter_ID]]="","Review - missing supporter ID","")</f>
        <v/>
      </c>
      <c r="AC205" t="str">
        <f>IF(OR(Table8[[#This Row],[Response_Date]]&lt;Table8[[#This Row],[Start_Date]],Table8[[#This Row],[Response_Date]]&gt;Table8[[#This Row],[End_Date]]),"Review - response outside campaign dates","")</f>
        <v/>
      </c>
      <c r="AD205" t="str">
        <f>IF(Table8[[#This Row],[Campaign_Type]]="","Review - campaign code not found","")</f>
        <v/>
      </c>
    </row>
    <row r="206" spans="1:30" x14ac:dyDescent="0.25">
      <c r="A206" t="s">
        <v>3729</v>
      </c>
      <c r="B206" t="s">
        <v>802</v>
      </c>
      <c r="C206" t="s">
        <v>3320</v>
      </c>
      <c r="D206" t="s">
        <v>3321</v>
      </c>
      <c r="E206" t="s">
        <v>65</v>
      </c>
      <c r="F206" s="17">
        <v>45469</v>
      </c>
      <c r="G206">
        <v>252.27</v>
      </c>
      <c r="H206" t="s">
        <v>36</v>
      </c>
      <c r="I206" t="s">
        <v>3331</v>
      </c>
      <c r="J206" t="str">
        <f>_xlfn.XLOOKUP(Table8[[#This Row],[Supporter_ID]],tb1_supporters[Supporter_ID ],tb1_supporters[Segment],"")</f>
        <v>Legacy Pledger</v>
      </c>
      <c r="K206" t="str">
        <f>_xlfn.XLOOKUP(Table8[[#This Row],[Supporter_ID]],tb1_supporters[Supporter_ID ],tb1_supporters[Acquisition_Source],"")</f>
        <v>Telephone</v>
      </c>
      <c r="L206" t="str">
        <f>_xlfn.XLOOKUP(Table8[[#This Row],[Supporter_ID]],tb1_supporters[Supporter_ID ],tb1_supporters[County],"")</f>
        <v>Leicestershire</v>
      </c>
      <c r="M206" t="str">
        <f>_xlfn.XLOOKUP(Table8[[#This Row],[Supporter_ID]],tb1_supporters[Supporter_ID ],tb1_supporters[Gender],"")</f>
        <v>Female</v>
      </c>
      <c r="N206">
        <f ca="1">_xlfn.XLOOKUP(Table8[[#This Row],[Supporter_ID]],tb1_supporters[Supporter_ID ],tb1_supporters[Age],"")</f>
        <v>40</v>
      </c>
      <c r="O206" t="str">
        <f ca="1">_xlfn.XLOOKUP(Table8[[#This Row],[Supporter_ID]],tb1_supporters[Supporter_ID ],tb1_supporters[Age_Band],"")</f>
        <v>35-49</v>
      </c>
      <c r="P206" t="str">
        <f ca="1">IF(Table8[[#This Row],[Age_Band]]="","Unknown",Table8[[#This Row],[Age_Band]])</f>
        <v>35-49</v>
      </c>
      <c r="Q206" t="str">
        <f>_xlfn.XLOOKUP(Table8[[#This Row],[Supporter_ID]],tb1_supporters[Supporter_ID ],tb1_supporters[Communication_Preference],"")</f>
        <v>No Preference</v>
      </c>
      <c r="R206" t="str">
        <f>_xlfn.XLOOKUP(Table8[[#This Row],[Supporter_ID]],tb1_supporters[Supporter_ID ],tb1_supporters[Duplicate_Profile_Flag],"")</f>
        <v/>
      </c>
      <c r="S206" t="str">
        <f>_xlfn.XLOOKUP(Table8[[#This Row],[Supporter_ID]],tb1_supporters[Supporter_ID ],tb1_supporters[Preference_Compliance_Flag],"")</f>
        <v/>
      </c>
      <c r="T206" t="str">
        <f ca="1">IF(Table8[[#This Row],[Age]]="","Review - missing DOB",IF(Table8[[#This Row],[Age]]&gt;TODAY(),"Review - future DOB",IF(Table8[[#This Row],[Age]]=0,"Review -  potential entry error (age 0)","")))</f>
        <v/>
      </c>
      <c r="U206" t="str">
        <f>_xlfn.XLOOKUP(Table8[[#This Row],[Campaign_Code]],tb3_CampaignMaster[Campaign_Code],tb3_CampaignMaster[Campaign_Type],"")</f>
        <v>Stewardship</v>
      </c>
      <c r="V206" t="str">
        <f>_xlfn.XLOOKUP(Table8[[#This Row],[Campaign_Code]],tb3_CampaignMaster[Campaign_Code],tb3_CampaignMaster[Target_Audience],"")</f>
        <v>Major Donors</v>
      </c>
      <c r="W206" s="17">
        <f>_xlfn.XLOOKUP(Table8[[#This Row],[Campaign_Code]],tb3_CampaignMaster[Campaign_Code],tb3_CampaignMaster[Start_Date],"")</f>
        <v>45444</v>
      </c>
      <c r="X206" s="17">
        <f>_xlfn.XLOOKUP(Table8[[#This Row],[Campaign_Code]],tb3_CampaignMaster[Campaign_Code],tb3_CampaignMaster[End_Date],"")</f>
        <v>45473</v>
      </c>
      <c r="Y206">
        <f>_xlfn.XLOOKUP(Table8[[#This Row],[Campaign_Code]],tb3_CampaignMaster[Campaign_Code],tb3_CampaignMaster[Budget_GBP],"")</f>
        <v>7000</v>
      </c>
      <c r="Z206" t="str">
        <f>_xlfn.XLOOKUP(Table8[[#This Row],[Campaign_Code]],tb3_CampaignMaster[Campaign_Code],tb3_CampaignMaster[Primary_Channel],"")</f>
        <v>Direct Mail</v>
      </c>
      <c r="AA206" s="13">
        <f>IF(Table8[[#This Row],[Gift_Aid_Eligible]]="Yes",Table8[[#This Row],[Gift_Amount]]*1.25,Table8[[#This Row],[Gift_Amount]])</f>
        <v>315.33750000000003</v>
      </c>
      <c r="AB206" t="str">
        <f>IF(Table8[[#This Row],[Supporter_ID]]="","Review - missing supporter ID","")</f>
        <v/>
      </c>
      <c r="AC206" t="str">
        <f>IF(OR(Table8[[#This Row],[Response_Date]]&lt;Table8[[#This Row],[Start_Date]],Table8[[#This Row],[Response_Date]]&gt;Table8[[#This Row],[End_Date]]),"Review - response outside campaign dates","")</f>
        <v/>
      </c>
      <c r="AD206" t="str">
        <f>IF(Table8[[#This Row],[Campaign_Type]]="","Review - campaign code not found","")</f>
        <v/>
      </c>
    </row>
    <row r="207" spans="1:30" x14ac:dyDescent="0.25">
      <c r="A207" t="s">
        <v>3731</v>
      </c>
      <c r="B207" t="s">
        <v>2638</v>
      </c>
      <c r="C207" t="s">
        <v>3336</v>
      </c>
      <c r="D207" t="s">
        <v>3337</v>
      </c>
      <c r="E207" t="s">
        <v>3316</v>
      </c>
      <c r="F207" s="17">
        <v>45564</v>
      </c>
      <c r="G207">
        <v>349.18</v>
      </c>
      <c r="H207" t="s">
        <v>36</v>
      </c>
      <c r="I207" t="s">
        <v>3334</v>
      </c>
      <c r="J207" t="str">
        <f>_xlfn.XLOOKUP(Table8[[#This Row],[Supporter_ID]],tb1_supporters[Supporter_ID ],tb1_supporters[Segment],"")</f>
        <v>Legacy Pledger</v>
      </c>
      <c r="K207" t="str">
        <f>_xlfn.XLOOKUP(Table8[[#This Row],[Supporter_ID]],tb1_supporters[Supporter_ID ],tb1_supporters[Acquisition_Source],"")</f>
        <v>Website</v>
      </c>
      <c r="L207" t="str">
        <f>_xlfn.XLOOKUP(Table8[[#This Row],[Supporter_ID]],tb1_supporters[Supporter_ID ],tb1_supporters[County],"")</f>
        <v>Hampshire</v>
      </c>
      <c r="M207" t="str">
        <f>_xlfn.XLOOKUP(Table8[[#This Row],[Supporter_ID]],tb1_supporters[Supporter_ID ],tb1_supporters[Gender],"")</f>
        <v>Male</v>
      </c>
      <c r="N207">
        <f ca="1">_xlfn.XLOOKUP(Table8[[#This Row],[Supporter_ID]],tb1_supporters[Supporter_ID ],tb1_supporters[Age],"")</f>
        <v>50</v>
      </c>
      <c r="O207" t="str">
        <f ca="1">_xlfn.XLOOKUP(Table8[[#This Row],[Supporter_ID]],tb1_supporters[Supporter_ID ],tb1_supporters[Age_Band],"")</f>
        <v>50-64</v>
      </c>
      <c r="P207" t="str">
        <f ca="1">IF(Table8[[#This Row],[Age_Band]]="","Unknown",Table8[[#This Row],[Age_Band]])</f>
        <v>50-64</v>
      </c>
      <c r="Q207" t="str">
        <f>_xlfn.XLOOKUP(Table8[[#This Row],[Supporter_ID]],tb1_supporters[Supporter_ID ],tb1_supporters[Communication_Preference],"")</f>
        <v>Email</v>
      </c>
      <c r="R207" t="str">
        <f>_xlfn.XLOOKUP(Table8[[#This Row],[Supporter_ID]],tb1_supporters[Supporter_ID ],tb1_supporters[Duplicate_Profile_Flag],"")</f>
        <v/>
      </c>
      <c r="S207" t="str">
        <f>_xlfn.XLOOKUP(Table8[[#This Row],[Supporter_ID]],tb1_supporters[Supporter_ID ],tb1_supporters[Preference_Compliance_Flag],"")</f>
        <v/>
      </c>
      <c r="T207" t="str">
        <f ca="1">IF(Table8[[#This Row],[Age]]="","Review - missing DOB",IF(Table8[[#This Row],[Age]]&gt;TODAY(),"Review - future DOB",IF(Table8[[#This Row],[Age]]=0,"Review -  potential entry error (age 0)","")))</f>
        <v/>
      </c>
      <c r="U207" t="str">
        <f>_xlfn.XLOOKUP(Table8[[#This Row],[Campaign_Code]],tb3_CampaignMaster[Campaign_Code],tb3_CampaignMaster[Campaign_Type],"")</f>
        <v>Appeal</v>
      </c>
      <c r="V207" t="str">
        <f>_xlfn.XLOOKUP(Table8[[#This Row],[Campaign_Code]],tb3_CampaignMaster[Campaign_Code],tb3_CampaignMaster[Target_Audience],"")</f>
        <v>All Supporters</v>
      </c>
      <c r="W207" s="17">
        <f>_xlfn.XLOOKUP(Table8[[#This Row],[Campaign_Code]],tb3_CampaignMaster[Campaign_Code],tb3_CampaignMaster[Start_Date],"")</f>
        <v>45545</v>
      </c>
      <c r="X207" s="17">
        <f>_xlfn.XLOOKUP(Table8[[#This Row],[Campaign_Code]],tb3_CampaignMaster[Campaign_Code],tb3_CampaignMaster[End_Date],"")</f>
        <v>45580</v>
      </c>
      <c r="Y207">
        <f>_xlfn.XLOOKUP(Table8[[#This Row],[Campaign_Code]],tb3_CampaignMaster[Campaign_Code],tb3_CampaignMaster[Budget_GBP],"")</f>
        <v>15000</v>
      </c>
      <c r="Z207" t="str">
        <f>_xlfn.XLOOKUP(Table8[[#This Row],[Campaign_Code]],tb3_CampaignMaster[Campaign_Code],tb3_CampaignMaster[Primary_Channel],"")</f>
        <v>Email</v>
      </c>
      <c r="AA207" s="13">
        <f>IF(Table8[[#This Row],[Gift_Aid_Eligible]]="Yes",Table8[[#This Row],[Gift_Amount]]*1.25,Table8[[#This Row],[Gift_Amount]])</f>
        <v>436.47500000000002</v>
      </c>
      <c r="AB207" t="str">
        <f>IF(Table8[[#This Row],[Supporter_ID]]="","Review - missing supporter ID","")</f>
        <v/>
      </c>
      <c r="AC207" t="str">
        <f>IF(OR(Table8[[#This Row],[Response_Date]]&lt;Table8[[#This Row],[Start_Date]],Table8[[#This Row],[Response_Date]]&gt;Table8[[#This Row],[End_Date]]),"Review - response outside campaign dates","")</f>
        <v/>
      </c>
      <c r="AD207" t="str">
        <f>IF(Table8[[#This Row],[Campaign_Type]]="","Review - campaign code not found","")</f>
        <v/>
      </c>
    </row>
    <row r="208" spans="1:30" x14ac:dyDescent="0.25">
      <c r="A208" t="s">
        <v>3733</v>
      </c>
      <c r="B208" t="s">
        <v>1186</v>
      </c>
      <c r="C208" t="s">
        <v>3325</v>
      </c>
      <c r="D208" t="s">
        <v>3326</v>
      </c>
      <c r="E208" t="s">
        <v>3316</v>
      </c>
      <c r="F208" s="17">
        <v>45637</v>
      </c>
      <c r="G208">
        <v>1496.64</v>
      </c>
      <c r="H208" t="s">
        <v>37</v>
      </c>
      <c r="I208" t="s">
        <v>3331</v>
      </c>
      <c r="J208" t="str">
        <f>_xlfn.XLOOKUP(Table8[[#This Row],[Supporter_ID]],tb1_supporters[Supporter_ID ],tb1_supporters[Segment],"")</f>
        <v>Major Donor</v>
      </c>
      <c r="K208" t="str">
        <f>_xlfn.XLOOKUP(Table8[[#This Row],[Supporter_ID]],tb1_supporters[Supporter_ID ],tb1_supporters[Acquisition_Source],"")</f>
        <v>Social Media</v>
      </c>
      <c r="L208" t="str">
        <f>_xlfn.XLOOKUP(Table8[[#This Row],[Supporter_ID]],tb1_supporters[Supporter_ID ],tb1_supporters[County],"")</f>
        <v>Hampshire</v>
      </c>
      <c r="M208" t="str">
        <f>_xlfn.XLOOKUP(Table8[[#This Row],[Supporter_ID]],tb1_supporters[Supporter_ID ],tb1_supporters[Gender],"")</f>
        <v>Female</v>
      </c>
      <c r="N208">
        <f ca="1">_xlfn.XLOOKUP(Table8[[#This Row],[Supporter_ID]],tb1_supporters[Supporter_ID ],tb1_supporters[Age],"")</f>
        <v>49</v>
      </c>
      <c r="O208" t="str">
        <f ca="1">_xlfn.XLOOKUP(Table8[[#This Row],[Supporter_ID]],tb1_supporters[Supporter_ID ],tb1_supporters[Age_Band],"")</f>
        <v>35-49</v>
      </c>
      <c r="P208" t="str">
        <f ca="1">IF(Table8[[#This Row],[Age_Band]]="","Unknown",Table8[[#This Row],[Age_Band]])</f>
        <v>35-49</v>
      </c>
      <c r="Q208" t="str">
        <f>_xlfn.XLOOKUP(Table8[[#This Row],[Supporter_ID]],tb1_supporters[Supporter_ID ],tb1_supporters[Communication_Preference],"")</f>
        <v>Email</v>
      </c>
      <c r="R208" t="str">
        <f>_xlfn.XLOOKUP(Table8[[#This Row],[Supporter_ID]],tb1_supporters[Supporter_ID ],tb1_supporters[Duplicate_Profile_Flag],"")</f>
        <v/>
      </c>
      <c r="S208" t="str">
        <f>_xlfn.XLOOKUP(Table8[[#This Row],[Supporter_ID]],tb1_supporters[Supporter_ID ],tb1_supporters[Preference_Compliance_Flag],"")</f>
        <v/>
      </c>
      <c r="T208" t="str">
        <f ca="1">IF(Table8[[#This Row],[Age]]="","Review - missing DOB",IF(Table8[[#This Row],[Age]]&gt;TODAY(),"Review - future DOB",IF(Table8[[#This Row],[Age]]=0,"Review -  potential entry error (age 0)","")))</f>
        <v/>
      </c>
      <c r="U208" t="str">
        <f>_xlfn.XLOOKUP(Table8[[#This Row],[Campaign_Code]],tb3_CampaignMaster[Campaign_Code],tb3_CampaignMaster[Campaign_Type],"")</f>
        <v>Appeal</v>
      </c>
      <c r="V208" t="str">
        <f>_xlfn.XLOOKUP(Table8[[#This Row],[Campaign_Code]],tb3_CampaignMaster[Campaign_Code],tb3_CampaignMaster[Target_Audience],"")</f>
        <v>All Active</v>
      </c>
      <c r="W208" s="17">
        <f>_xlfn.XLOOKUP(Table8[[#This Row],[Campaign_Code]],tb3_CampaignMaster[Campaign_Code],tb3_CampaignMaster[Start_Date],"")</f>
        <v>45597</v>
      </c>
      <c r="X208" s="17">
        <f>_xlfn.XLOOKUP(Table8[[#This Row],[Campaign_Code]],tb3_CampaignMaster[Campaign_Code],tb3_CampaignMaster[End_Date],"")</f>
        <v>45657</v>
      </c>
      <c r="Y208">
        <f>_xlfn.XLOOKUP(Table8[[#This Row],[Campaign_Code]],tb3_CampaignMaster[Campaign_Code],tb3_CampaignMaster[Budget_GBP],"")</f>
        <v>25000</v>
      </c>
      <c r="Z208" t="str">
        <f>_xlfn.XLOOKUP(Table8[[#This Row],[Campaign_Code]],tb3_CampaignMaster[Campaign_Code],tb3_CampaignMaster[Primary_Channel],"")</f>
        <v>Multi-channel</v>
      </c>
      <c r="AA208" s="13">
        <f>IF(Table8[[#This Row],[Gift_Aid_Eligible]]="Yes",Table8[[#This Row],[Gift_Amount]]*1.25,Table8[[#This Row],[Gift_Amount]])</f>
        <v>1496.64</v>
      </c>
      <c r="AB208" t="str">
        <f>IF(Table8[[#This Row],[Supporter_ID]]="","Review - missing supporter ID","")</f>
        <v/>
      </c>
      <c r="AC208" t="str">
        <f>IF(OR(Table8[[#This Row],[Response_Date]]&lt;Table8[[#This Row],[Start_Date]],Table8[[#This Row],[Response_Date]]&gt;Table8[[#This Row],[End_Date]]),"Review - response outside campaign dates","")</f>
        <v/>
      </c>
      <c r="AD208" t="str">
        <f>IF(Table8[[#This Row],[Campaign_Type]]="","Review - campaign code not found","")</f>
        <v/>
      </c>
    </row>
    <row r="209" spans="1:30" x14ac:dyDescent="0.25">
      <c r="A209" t="s">
        <v>3734</v>
      </c>
      <c r="B209" t="s">
        <v>3171</v>
      </c>
      <c r="C209" t="s">
        <v>3325</v>
      </c>
      <c r="D209" t="s">
        <v>3326</v>
      </c>
      <c r="E209" t="s">
        <v>3316</v>
      </c>
      <c r="F209" s="17">
        <v>45638</v>
      </c>
      <c r="G209">
        <v>9.91</v>
      </c>
      <c r="H209" t="s">
        <v>36</v>
      </c>
      <c r="I209" t="s">
        <v>3323</v>
      </c>
      <c r="J209" t="str">
        <f>_xlfn.XLOOKUP(Table8[[#This Row],[Supporter_ID]],tb1_supporters[Supporter_ID ],tb1_supporters[Segment],"")</f>
        <v>Regular Giver</v>
      </c>
      <c r="K209" t="str">
        <f>_xlfn.XLOOKUP(Table8[[#This Row],[Supporter_ID]],tb1_supporters[Supporter_ID ],tb1_supporters[Acquisition_Source],"")</f>
        <v>Door-To-Door</v>
      </c>
      <c r="L209" t="str">
        <f>_xlfn.XLOOKUP(Table8[[#This Row],[Supporter_ID]],tb1_supporters[Supporter_ID ],tb1_supporters[County],"")</f>
        <v>East Sussex</v>
      </c>
      <c r="M209" t="str">
        <f>_xlfn.XLOOKUP(Table8[[#This Row],[Supporter_ID]],tb1_supporters[Supporter_ID ],tb1_supporters[Gender],"")</f>
        <v>Female</v>
      </c>
      <c r="N209">
        <f ca="1">_xlfn.XLOOKUP(Table8[[#This Row],[Supporter_ID]],tb1_supporters[Supporter_ID ],tb1_supporters[Age],"")</f>
        <v>50</v>
      </c>
      <c r="O209" t="str">
        <f ca="1">_xlfn.XLOOKUP(Table8[[#This Row],[Supporter_ID]],tb1_supporters[Supporter_ID ],tb1_supporters[Age_Band],"")</f>
        <v>50-64</v>
      </c>
      <c r="P209" t="str">
        <f ca="1">IF(Table8[[#This Row],[Age_Band]]="","Unknown",Table8[[#This Row],[Age_Band]])</f>
        <v>50-64</v>
      </c>
      <c r="Q209" t="str">
        <f>_xlfn.XLOOKUP(Table8[[#This Row],[Supporter_ID]],tb1_supporters[Supporter_ID ],tb1_supporters[Communication_Preference],"")</f>
        <v>Email</v>
      </c>
      <c r="R209" t="str">
        <f>_xlfn.XLOOKUP(Table8[[#This Row],[Supporter_ID]],tb1_supporters[Supporter_ID ],tb1_supporters[Duplicate_Profile_Flag],"")</f>
        <v/>
      </c>
      <c r="S209" t="str">
        <f>_xlfn.XLOOKUP(Table8[[#This Row],[Supporter_ID]],tb1_supporters[Supporter_ID ],tb1_supporters[Preference_Compliance_Flag],"")</f>
        <v/>
      </c>
      <c r="T209" t="str">
        <f ca="1">IF(Table8[[#This Row],[Age]]="","Review - missing DOB",IF(Table8[[#This Row],[Age]]&gt;TODAY(),"Review - future DOB",IF(Table8[[#This Row],[Age]]=0,"Review -  potential entry error (age 0)","")))</f>
        <v/>
      </c>
      <c r="U209" t="str">
        <f>_xlfn.XLOOKUP(Table8[[#This Row],[Campaign_Code]],tb3_CampaignMaster[Campaign_Code],tb3_CampaignMaster[Campaign_Type],"")</f>
        <v>Appeal</v>
      </c>
      <c r="V209" t="str">
        <f>_xlfn.XLOOKUP(Table8[[#This Row],[Campaign_Code]],tb3_CampaignMaster[Campaign_Code],tb3_CampaignMaster[Target_Audience],"")</f>
        <v>All Active</v>
      </c>
      <c r="W209" s="17">
        <f>_xlfn.XLOOKUP(Table8[[#This Row],[Campaign_Code]],tb3_CampaignMaster[Campaign_Code],tb3_CampaignMaster[Start_Date],"")</f>
        <v>45597</v>
      </c>
      <c r="X209" s="17">
        <f>_xlfn.XLOOKUP(Table8[[#This Row],[Campaign_Code]],tb3_CampaignMaster[Campaign_Code],tb3_CampaignMaster[End_Date],"")</f>
        <v>45657</v>
      </c>
      <c r="Y209">
        <f>_xlfn.XLOOKUP(Table8[[#This Row],[Campaign_Code]],tb3_CampaignMaster[Campaign_Code],tb3_CampaignMaster[Budget_GBP],"")</f>
        <v>25000</v>
      </c>
      <c r="Z209" t="str">
        <f>_xlfn.XLOOKUP(Table8[[#This Row],[Campaign_Code]],tb3_CampaignMaster[Campaign_Code],tb3_CampaignMaster[Primary_Channel],"")</f>
        <v>Multi-channel</v>
      </c>
      <c r="AA209" s="13">
        <f>IF(Table8[[#This Row],[Gift_Aid_Eligible]]="Yes",Table8[[#This Row],[Gift_Amount]]*1.25,Table8[[#This Row],[Gift_Amount]])</f>
        <v>12.387499999999999</v>
      </c>
      <c r="AB209" t="str">
        <f>IF(Table8[[#This Row],[Supporter_ID]]="","Review - missing supporter ID","")</f>
        <v/>
      </c>
      <c r="AC209" t="str">
        <f>IF(OR(Table8[[#This Row],[Response_Date]]&lt;Table8[[#This Row],[Start_Date]],Table8[[#This Row],[Response_Date]]&gt;Table8[[#This Row],[End_Date]]),"Review - response outside campaign dates","")</f>
        <v/>
      </c>
      <c r="AD209" t="str">
        <f>IF(Table8[[#This Row],[Campaign_Type]]="","Review - campaign code not found","")</f>
        <v/>
      </c>
    </row>
    <row r="210" spans="1:30" x14ac:dyDescent="0.25">
      <c r="A210" t="s">
        <v>3736</v>
      </c>
      <c r="B210" t="s">
        <v>1059</v>
      </c>
      <c r="C210" t="s">
        <v>3354</v>
      </c>
      <c r="D210" t="s">
        <v>3355</v>
      </c>
      <c r="E210" t="s">
        <v>4</v>
      </c>
      <c r="F210" s="17">
        <v>45618</v>
      </c>
      <c r="G210">
        <v>368.28</v>
      </c>
      <c r="H210" t="s">
        <v>36</v>
      </c>
      <c r="I210" t="s">
        <v>3370</v>
      </c>
      <c r="J210" t="str">
        <f>_xlfn.XLOOKUP(Table8[[#This Row],[Supporter_ID]],tb1_supporters[Supporter_ID ],tb1_supporters[Segment],"")</f>
        <v>Legacy Pledger</v>
      </c>
      <c r="K210" t="str">
        <f>_xlfn.XLOOKUP(Table8[[#This Row],[Supporter_ID]],tb1_supporters[Supporter_ID ],tb1_supporters[Acquisition_Source],"")</f>
        <v>Direct Mail</v>
      </c>
      <c r="L210" t="str">
        <f>_xlfn.XLOOKUP(Table8[[#This Row],[Supporter_ID]],tb1_supporters[Supporter_ID ],tb1_supporters[County],"")</f>
        <v>Oxfordshire</v>
      </c>
      <c r="M210" t="str">
        <f>_xlfn.XLOOKUP(Table8[[#This Row],[Supporter_ID]],tb1_supporters[Supporter_ID ],tb1_supporters[Gender],"")</f>
        <v>Male</v>
      </c>
      <c r="N210">
        <f ca="1">_xlfn.XLOOKUP(Table8[[#This Row],[Supporter_ID]],tb1_supporters[Supporter_ID ],tb1_supporters[Age],"")</f>
        <v>36</v>
      </c>
      <c r="O210" t="str">
        <f ca="1">_xlfn.XLOOKUP(Table8[[#This Row],[Supporter_ID]],tb1_supporters[Supporter_ID ],tb1_supporters[Age_Band],"")</f>
        <v>35-49</v>
      </c>
      <c r="P210" t="str">
        <f ca="1">IF(Table8[[#This Row],[Age_Band]]="","Unknown",Table8[[#This Row],[Age_Band]])</f>
        <v>35-49</v>
      </c>
      <c r="Q210" t="str">
        <f>_xlfn.XLOOKUP(Table8[[#This Row],[Supporter_ID]],tb1_supporters[Supporter_ID ],tb1_supporters[Communication_Preference],"")</f>
        <v>Post</v>
      </c>
      <c r="R210" t="str">
        <f>_xlfn.XLOOKUP(Table8[[#This Row],[Supporter_ID]],tb1_supporters[Supporter_ID ],tb1_supporters[Duplicate_Profile_Flag],"")</f>
        <v/>
      </c>
      <c r="S210" t="str">
        <f>_xlfn.XLOOKUP(Table8[[#This Row],[Supporter_ID]],tb1_supporters[Supporter_ID ],tb1_supporters[Preference_Compliance_Flag],"")</f>
        <v/>
      </c>
      <c r="T210" t="str">
        <f ca="1">IF(Table8[[#This Row],[Age]]="","Review - missing DOB",IF(Table8[[#This Row],[Age]]&gt;TODAY(),"Review - future DOB",IF(Table8[[#This Row],[Age]]=0,"Review -  potential entry error (age 0)","")))</f>
        <v/>
      </c>
      <c r="U210" t="str">
        <f>_xlfn.XLOOKUP(Table8[[#This Row],[Campaign_Code]],tb3_CampaignMaster[Campaign_Code],tb3_CampaignMaster[Campaign_Type],"")</f>
        <v>Event</v>
      </c>
      <c r="V210" t="str">
        <f>_xlfn.XLOOKUP(Table8[[#This Row],[Campaign_Code]],tb3_CampaignMaster[Campaign_Code],tb3_CampaignMaster[Target_Audience],"")</f>
        <v>Volunteers</v>
      </c>
      <c r="W210" s="17">
        <f>_xlfn.XLOOKUP(Table8[[#This Row],[Campaign_Code]],tb3_CampaignMaster[Campaign_Code],tb3_CampaignMaster[Start_Date],"")</f>
        <v>45618</v>
      </c>
      <c r="X210" s="17">
        <f>_xlfn.XLOOKUP(Table8[[#This Row],[Campaign_Code]],tb3_CampaignMaster[Campaign_Code],tb3_CampaignMaster[End_Date],"")</f>
        <v>45618</v>
      </c>
      <c r="Y210">
        <f>_xlfn.XLOOKUP(Table8[[#This Row],[Campaign_Code]],tb3_CampaignMaster[Campaign_Code],tb3_CampaignMaster[Budget_GBP],"")</f>
        <v>3500</v>
      </c>
      <c r="Z210" t="str">
        <f>_xlfn.XLOOKUP(Table8[[#This Row],[Campaign_Code]],tb3_CampaignMaster[Campaign_Code],tb3_CampaignMaster[Primary_Channel],"")</f>
        <v>Email</v>
      </c>
      <c r="AA210" s="13">
        <f>IF(Table8[[#This Row],[Gift_Aid_Eligible]]="Yes",Table8[[#This Row],[Gift_Amount]]*1.25,Table8[[#This Row],[Gift_Amount]])</f>
        <v>460.34999999999997</v>
      </c>
      <c r="AB210" t="str">
        <f>IF(Table8[[#This Row],[Supporter_ID]]="","Review - missing supporter ID","")</f>
        <v/>
      </c>
      <c r="AC210" t="str">
        <f>IF(OR(Table8[[#This Row],[Response_Date]]&lt;Table8[[#This Row],[Start_Date]],Table8[[#This Row],[Response_Date]]&gt;Table8[[#This Row],[End_Date]]),"Review - response outside campaign dates","")</f>
        <v/>
      </c>
      <c r="AD210" t="str">
        <f>IF(Table8[[#This Row],[Campaign_Type]]="","Review - campaign code not found","")</f>
        <v/>
      </c>
    </row>
    <row r="211" spans="1:30" x14ac:dyDescent="0.25">
      <c r="A211" t="s">
        <v>3737</v>
      </c>
      <c r="B211" t="s">
        <v>2386</v>
      </c>
      <c r="C211" t="s">
        <v>3320</v>
      </c>
      <c r="D211" t="s">
        <v>3321</v>
      </c>
      <c r="E211" t="s">
        <v>65</v>
      </c>
      <c r="F211" s="17">
        <v>45448</v>
      </c>
      <c r="G211">
        <v>432.99</v>
      </c>
      <c r="H211" t="s">
        <v>37</v>
      </c>
      <c r="I211" t="s">
        <v>3323</v>
      </c>
      <c r="J211" t="str">
        <f>_xlfn.XLOOKUP(Table8[[#This Row],[Supporter_ID]],tb1_supporters[Supporter_ID ],tb1_supporters[Segment],"")</f>
        <v>Legacy Pledger</v>
      </c>
      <c r="K211" t="str">
        <f>_xlfn.XLOOKUP(Table8[[#This Row],[Supporter_ID]],tb1_supporters[Supporter_ID ],tb1_supporters[Acquisition_Source],"")</f>
        <v>Corporate Partner</v>
      </c>
      <c r="L211" t="str">
        <f>_xlfn.XLOOKUP(Table8[[#This Row],[Supporter_ID]],tb1_supporters[Supporter_ID ],tb1_supporters[County],"")</f>
        <v>Greater Manchester</v>
      </c>
      <c r="M211" t="str">
        <f>_xlfn.XLOOKUP(Table8[[#This Row],[Supporter_ID]],tb1_supporters[Supporter_ID ],tb1_supporters[Gender],"")</f>
        <v>Male</v>
      </c>
      <c r="N211">
        <f ca="1">_xlfn.XLOOKUP(Table8[[#This Row],[Supporter_ID]],tb1_supporters[Supporter_ID ],tb1_supporters[Age],"")</f>
        <v>32</v>
      </c>
      <c r="O211" t="str">
        <f ca="1">_xlfn.XLOOKUP(Table8[[#This Row],[Supporter_ID]],tb1_supporters[Supporter_ID ],tb1_supporters[Age_Band],"")</f>
        <v>18-34</v>
      </c>
      <c r="P211" t="str">
        <f ca="1">IF(Table8[[#This Row],[Age_Band]]="","Unknown",Table8[[#This Row],[Age_Band]])</f>
        <v>18-34</v>
      </c>
      <c r="Q211" t="str">
        <f>_xlfn.XLOOKUP(Table8[[#This Row],[Supporter_ID]],tb1_supporters[Supporter_ID ],tb1_supporters[Communication_Preference],"")</f>
        <v>No Preference</v>
      </c>
      <c r="R211" t="str">
        <f>_xlfn.XLOOKUP(Table8[[#This Row],[Supporter_ID]],tb1_supporters[Supporter_ID ],tb1_supporters[Duplicate_Profile_Flag],"")</f>
        <v/>
      </c>
      <c r="S211" t="str">
        <f>_xlfn.XLOOKUP(Table8[[#This Row],[Supporter_ID]],tb1_supporters[Supporter_ID ],tb1_supporters[Preference_Compliance_Flag],"")</f>
        <v/>
      </c>
      <c r="T211" t="str">
        <f ca="1">IF(Table8[[#This Row],[Age]]="","Review - missing DOB",IF(Table8[[#This Row],[Age]]&gt;TODAY(),"Review - future DOB",IF(Table8[[#This Row],[Age]]=0,"Review -  potential entry error (age 0)","")))</f>
        <v/>
      </c>
      <c r="U211" t="str">
        <f>_xlfn.XLOOKUP(Table8[[#This Row],[Campaign_Code]],tb3_CampaignMaster[Campaign_Code],tb3_CampaignMaster[Campaign_Type],"")</f>
        <v>Stewardship</v>
      </c>
      <c r="V211" t="str">
        <f>_xlfn.XLOOKUP(Table8[[#This Row],[Campaign_Code]],tb3_CampaignMaster[Campaign_Code],tb3_CampaignMaster[Target_Audience],"")</f>
        <v>Major Donors</v>
      </c>
      <c r="W211" s="17">
        <f>_xlfn.XLOOKUP(Table8[[#This Row],[Campaign_Code]],tb3_CampaignMaster[Campaign_Code],tb3_CampaignMaster[Start_Date],"")</f>
        <v>45444</v>
      </c>
      <c r="X211" s="17">
        <f>_xlfn.XLOOKUP(Table8[[#This Row],[Campaign_Code]],tb3_CampaignMaster[Campaign_Code],tb3_CampaignMaster[End_Date],"")</f>
        <v>45473</v>
      </c>
      <c r="Y211">
        <f>_xlfn.XLOOKUP(Table8[[#This Row],[Campaign_Code]],tb3_CampaignMaster[Campaign_Code],tb3_CampaignMaster[Budget_GBP],"")</f>
        <v>7000</v>
      </c>
      <c r="Z211" t="str">
        <f>_xlfn.XLOOKUP(Table8[[#This Row],[Campaign_Code]],tb3_CampaignMaster[Campaign_Code],tb3_CampaignMaster[Primary_Channel],"")</f>
        <v>Direct Mail</v>
      </c>
      <c r="AA211" s="13">
        <f>IF(Table8[[#This Row],[Gift_Aid_Eligible]]="Yes",Table8[[#This Row],[Gift_Amount]]*1.25,Table8[[#This Row],[Gift_Amount]])</f>
        <v>432.99</v>
      </c>
      <c r="AB211" t="str">
        <f>IF(Table8[[#This Row],[Supporter_ID]]="","Review - missing supporter ID","")</f>
        <v/>
      </c>
      <c r="AC211" t="str">
        <f>IF(OR(Table8[[#This Row],[Response_Date]]&lt;Table8[[#This Row],[Start_Date]],Table8[[#This Row],[Response_Date]]&gt;Table8[[#This Row],[End_Date]]),"Review - response outside campaign dates","")</f>
        <v/>
      </c>
      <c r="AD211" t="str">
        <f>IF(Table8[[#This Row],[Campaign_Type]]="","Review - campaign code not found","")</f>
        <v/>
      </c>
    </row>
    <row r="212" spans="1:30" x14ac:dyDescent="0.25">
      <c r="A212" t="s">
        <v>3739</v>
      </c>
      <c r="B212" t="s">
        <v>2309</v>
      </c>
      <c r="C212" t="s">
        <v>3320</v>
      </c>
      <c r="D212" t="s">
        <v>3321</v>
      </c>
      <c r="E212" t="s">
        <v>65</v>
      </c>
      <c r="F212" s="17">
        <v>45444</v>
      </c>
      <c r="G212">
        <v>56</v>
      </c>
      <c r="H212" t="s">
        <v>36</v>
      </c>
      <c r="I212" t="s">
        <v>3323</v>
      </c>
      <c r="J212" t="str">
        <f>_xlfn.XLOOKUP(Table8[[#This Row],[Supporter_ID]],tb1_supporters[Supporter_ID ],tb1_supporters[Segment],"")</f>
        <v>Lapsed</v>
      </c>
      <c r="K212" t="str">
        <f>_xlfn.XLOOKUP(Table8[[#This Row],[Supporter_ID]],tb1_supporters[Supporter_ID ],tb1_supporters[Acquisition_Source],"")</f>
        <v>Social Media</v>
      </c>
      <c r="L212" t="str">
        <f>_xlfn.XLOOKUP(Table8[[#This Row],[Supporter_ID]],tb1_supporters[Supporter_ID ],tb1_supporters[County],"")</f>
        <v>Oxfordshire</v>
      </c>
      <c r="M212" t="str">
        <f>_xlfn.XLOOKUP(Table8[[#This Row],[Supporter_ID]],tb1_supporters[Supporter_ID ],tb1_supporters[Gender],"")</f>
        <v>Male</v>
      </c>
      <c r="N212">
        <f ca="1">_xlfn.XLOOKUP(Table8[[#This Row],[Supporter_ID]],tb1_supporters[Supporter_ID ],tb1_supporters[Age],"")</f>
        <v>64</v>
      </c>
      <c r="O212" t="str">
        <f ca="1">_xlfn.XLOOKUP(Table8[[#This Row],[Supporter_ID]],tb1_supporters[Supporter_ID ],tb1_supporters[Age_Band],"")</f>
        <v>50-64</v>
      </c>
      <c r="P212" t="str">
        <f ca="1">IF(Table8[[#This Row],[Age_Band]]="","Unknown",Table8[[#This Row],[Age_Band]])</f>
        <v>50-64</v>
      </c>
      <c r="Q212" t="str">
        <f>_xlfn.XLOOKUP(Table8[[#This Row],[Supporter_ID]],tb1_supporters[Supporter_ID ],tb1_supporters[Communication_Preference],"")</f>
        <v>Post</v>
      </c>
      <c r="R212" t="str">
        <f>_xlfn.XLOOKUP(Table8[[#This Row],[Supporter_ID]],tb1_supporters[Supporter_ID ],tb1_supporters[Duplicate_Profile_Flag],"")</f>
        <v/>
      </c>
      <c r="S212" t="str">
        <f>_xlfn.XLOOKUP(Table8[[#This Row],[Supporter_ID]],tb1_supporters[Supporter_ID ],tb1_supporters[Preference_Compliance_Flag],"")</f>
        <v/>
      </c>
      <c r="T212" t="str">
        <f ca="1">IF(Table8[[#This Row],[Age]]="","Review - missing DOB",IF(Table8[[#This Row],[Age]]&gt;TODAY(),"Review - future DOB",IF(Table8[[#This Row],[Age]]=0,"Review -  potential entry error (age 0)","")))</f>
        <v/>
      </c>
      <c r="U212" t="str">
        <f>_xlfn.XLOOKUP(Table8[[#This Row],[Campaign_Code]],tb3_CampaignMaster[Campaign_Code],tb3_CampaignMaster[Campaign_Type],"")</f>
        <v>Stewardship</v>
      </c>
      <c r="V212" t="str">
        <f>_xlfn.XLOOKUP(Table8[[#This Row],[Campaign_Code]],tb3_CampaignMaster[Campaign_Code],tb3_CampaignMaster[Target_Audience],"")</f>
        <v>Major Donors</v>
      </c>
      <c r="W212" s="17">
        <f>_xlfn.XLOOKUP(Table8[[#This Row],[Campaign_Code]],tb3_CampaignMaster[Campaign_Code],tb3_CampaignMaster[Start_Date],"")</f>
        <v>45444</v>
      </c>
      <c r="X212" s="17">
        <f>_xlfn.XLOOKUP(Table8[[#This Row],[Campaign_Code]],tb3_CampaignMaster[Campaign_Code],tb3_CampaignMaster[End_Date],"")</f>
        <v>45473</v>
      </c>
      <c r="Y212">
        <f>_xlfn.XLOOKUP(Table8[[#This Row],[Campaign_Code]],tb3_CampaignMaster[Campaign_Code],tb3_CampaignMaster[Budget_GBP],"")</f>
        <v>7000</v>
      </c>
      <c r="Z212" t="str">
        <f>_xlfn.XLOOKUP(Table8[[#This Row],[Campaign_Code]],tb3_CampaignMaster[Campaign_Code],tb3_CampaignMaster[Primary_Channel],"")</f>
        <v>Direct Mail</v>
      </c>
      <c r="AA212" s="13">
        <f>IF(Table8[[#This Row],[Gift_Aid_Eligible]]="Yes",Table8[[#This Row],[Gift_Amount]]*1.25,Table8[[#This Row],[Gift_Amount]])</f>
        <v>70</v>
      </c>
      <c r="AB212" t="str">
        <f>IF(Table8[[#This Row],[Supporter_ID]]="","Review - missing supporter ID","")</f>
        <v/>
      </c>
      <c r="AC212" t="str">
        <f>IF(OR(Table8[[#This Row],[Response_Date]]&lt;Table8[[#This Row],[Start_Date]],Table8[[#This Row],[Response_Date]]&gt;Table8[[#This Row],[End_Date]]),"Review - response outside campaign dates","")</f>
        <v/>
      </c>
      <c r="AD212" t="str">
        <f>IF(Table8[[#This Row],[Campaign_Type]]="","Review - campaign code not found","")</f>
        <v/>
      </c>
    </row>
    <row r="213" spans="1:30" x14ac:dyDescent="0.25">
      <c r="A213" t="s">
        <v>3741</v>
      </c>
      <c r="B213" t="s">
        <v>1167</v>
      </c>
      <c r="C213" t="s">
        <v>3354</v>
      </c>
      <c r="D213" t="s">
        <v>3355</v>
      </c>
      <c r="E213" t="s">
        <v>65</v>
      </c>
      <c r="F213" s="17">
        <v>45618</v>
      </c>
      <c r="G213">
        <v>32.07</v>
      </c>
      <c r="H213" t="s">
        <v>36</v>
      </c>
      <c r="I213" t="s">
        <v>3385</v>
      </c>
      <c r="J213" t="str">
        <f>_xlfn.XLOOKUP(Table8[[#This Row],[Supporter_ID]],tb1_supporters[Supporter_ID ],tb1_supporters[Segment],"")</f>
        <v>Regular Giver</v>
      </c>
      <c r="K213" t="str">
        <f>_xlfn.XLOOKUP(Table8[[#This Row],[Supporter_ID]],tb1_supporters[Supporter_ID ],tb1_supporters[Acquisition_Source],"")</f>
        <v>Direct Mail</v>
      </c>
      <c r="L213" t="str">
        <f>_xlfn.XLOOKUP(Table8[[#This Row],[Supporter_ID]],tb1_supporters[Supporter_ID ],tb1_supporters[County],"")</f>
        <v>Lothian</v>
      </c>
      <c r="M213" t="str">
        <f>_xlfn.XLOOKUP(Table8[[#This Row],[Supporter_ID]],tb1_supporters[Supporter_ID ],tb1_supporters[Gender],"")</f>
        <v>Female</v>
      </c>
      <c r="N213">
        <f ca="1">_xlfn.XLOOKUP(Table8[[#This Row],[Supporter_ID]],tb1_supporters[Supporter_ID ],tb1_supporters[Age],"")</f>
        <v>68</v>
      </c>
      <c r="O213" t="str">
        <f ca="1">_xlfn.XLOOKUP(Table8[[#This Row],[Supporter_ID]],tb1_supporters[Supporter_ID ],tb1_supporters[Age_Band],"")</f>
        <v>65+</v>
      </c>
      <c r="P213" t="str">
        <f ca="1">IF(Table8[[#This Row],[Age_Band]]="","Unknown",Table8[[#This Row],[Age_Band]])</f>
        <v>65+</v>
      </c>
      <c r="Q213" t="str">
        <f>_xlfn.XLOOKUP(Table8[[#This Row],[Supporter_ID]],tb1_supporters[Supporter_ID ],tb1_supporters[Communication_Preference],"")</f>
        <v>Phone</v>
      </c>
      <c r="R213" t="str">
        <f>_xlfn.XLOOKUP(Table8[[#This Row],[Supporter_ID]],tb1_supporters[Supporter_ID ],tb1_supporters[Duplicate_Profile_Flag],"")</f>
        <v/>
      </c>
      <c r="S213" t="str">
        <f>_xlfn.XLOOKUP(Table8[[#This Row],[Supporter_ID]],tb1_supporters[Supporter_ID ],tb1_supporters[Preference_Compliance_Flag],"")</f>
        <v/>
      </c>
      <c r="T213" t="str">
        <f ca="1">IF(Table8[[#This Row],[Age]]="","Review - missing DOB",IF(Table8[[#This Row],[Age]]&gt;TODAY(),"Review - future DOB",IF(Table8[[#This Row],[Age]]=0,"Review -  potential entry error (age 0)","")))</f>
        <v/>
      </c>
      <c r="U213" t="str">
        <f>_xlfn.XLOOKUP(Table8[[#This Row],[Campaign_Code]],tb3_CampaignMaster[Campaign_Code],tb3_CampaignMaster[Campaign_Type],"")</f>
        <v>Event</v>
      </c>
      <c r="V213" t="str">
        <f>_xlfn.XLOOKUP(Table8[[#This Row],[Campaign_Code]],tb3_CampaignMaster[Campaign_Code],tb3_CampaignMaster[Target_Audience],"")</f>
        <v>Volunteers</v>
      </c>
      <c r="W213" s="17">
        <f>_xlfn.XLOOKUP(Table8[[#This Row],[Campaign_Code]],tb3_CampaignMaster[Campaign_Code],tb3_CampaignMaster[Start_Date],"")</f>
        <v>45618</v>
      </c>
      <c r="X213" s="17">
        <f>_xlfn.XLOOKUP(Table8[[#This Row],[Campaign_Code]],tb3_CampaignMaster[Campaign_Code],tb3_CampaignMaster[End_Date],"")</f>
        <v>45618</v>
      </c>
      <c r="Y213">
        <f>_xlfn.XLOOKUP(Table8[[#This Row],[Campaign_Code]],tb3_CampaignMaster[Campaign_Code],tb3_CampaignMaster[Budget_GBP],"")</f>
        <v>3500</v>
      </c>
      <c r="Z213" t="str">
        <f>_xlfn.XLOOKUP(Table8[[#This Row],[Campaign_Code]],tb3_CampaignMaster[Campaign_Code],tb3_CampaignMaster[Primary_Channel],"")</f>
        <v>Email</v>
      </c>
      <c r="AA213" s="13">
        <f>IF(Table8[[#This Row],[Gift_Aid_Eligible]]="Yes",Table8[[#This Row],[Gift_Amount]]*1.25,Table8[[#This Row],[Gift_Amount]])</f>
        <v>40.087499999999999</v>
      </c>
      <c r="AB213" t="str">
        <f>IF(Table8[[#This Row],[Supporter_ID]]="","Review - missing supporter ID","")</f>
        <v/>
      </c>
      <c r="AC213" t="str">
        <f>IF(OR(Table8[[#This Row],[Response_Date]]&lt;Table8[[#This Row],[Start_Date]],Table8[[#This Row],[Response_Date]]&gt;Table8[[#This Row],[End_Date]]),"Review - response outside campaign dates","")</f>
        <v/>
      </c>
      <c r="AD213" t="str">
        <f>IF(Table8[[#This Row],[Campaign_Type]]="","Review - campaign code not found","")</f>
        <v/>
      </c>
    </row>
    <row r="214" spans="1:30" x14ac:dyDescent="0.25">
      <c r="A214" t="s">
        <v>3742</v>
      </c>
      <c r="B214" t="s">
        <v>3266</v>
      </c>
      <c r="C214" t="s">
        <v>3314</v>
      </c>
      <c r="D214" t="s">
        <v>3315</v>
      </c>
      <c r="E214" t="s">
        <v>3316</v>
      </c>
      <c r="F214" s="17">
        <v>45683</v>
      </c>
      <c r="G214">
        <v>140.05000000000001</v>
      </c>
      <c r="H214" t="s">
        <v>36</v>
      </c>
      <c r="I214" t="s">
        <v>3318</v>
      </c>
      <c r="J214" t="str">
        <f>_xlfn.XLOOKUP(Table8[[#This Row],[Supporter_ID]],tb1_supporters[Supporter_ID ],tb1_supporters[Segment],"")</f>
        <v>Mid-Value</v>
      </c>
      <c r="K214" t="str">
        <f>_xlfn.XLOOKUP(Table8[[#This Row],[Supporter_ID]],tb1_supporters[Supporter_ID ],tb1_supporters[Acquisition_Source],"")</f>
        <v>Door-To-Door</v>
      </c>
      <c r="L214" t="str">
        <f>_xlfn.XLOOKUP(Table8[[#This Row],[Supporter_ID]],tb1_supporters[Supporter_ID ],tb1_supporters[County],"")</f>
        <v>Angus</v>
      </c>
      <c r="M214" t="str">
        <f>_xlfn.XLOOKUP(Table8[[#This Row],[Supporter_ID]],tb1_supporters[Supporter_ID ],tb1_supporters[Gender],"")</f>
        <v>Female</v>
      </c>
      <c r="N214">
        <f ca="1">_xlfn.XLOOKUP(Table8[[#This Row],[Supporter_ID]],tb1_supporters[Supporter_ID ],tb1_supporters[Age],"")</f>
        <v>59</v>
      </c>
      <c r="O214" t="str">
        <f ca="1">_xlfn.XLOOKUP(Table8[[#This Row],[Supporter_ID]],tb1_supporters[Supporter_ID ],tb1_supporters[Age_Band],"")</f>
        <v>50-64</v>
      </c>
      <c r="P214" t="str">
        <f ca="1">IF(Table8[[#This Row],[Age_Band]]="","Unknown",Table8[[#This Row],[Age_Band]])</f>
        <v>50-64</v>
      </c>
      <c r="Q214" t="str">
        <f>_xlfn.XLOOKUP(Table8[[#This Row],[Supporter_ID]],tb1_supporters[Supporter_ID ],tb1_supporters[Communication_Preference],"")</f>
        <v>Post</v>
      </c>
      <c r="R214" t="str">
        <f>_xlfn.XLOOKUP(Table8[[#This Row],[Supporter_ID]],tb1_supporters[Supporter_ID ],tb1_supporters[Duplicate_Profile_Flag],"")</f>
        <v/>
      </c>
      <c r="S214" t="str">
        <f>_xlfn.XLOOKUP(Table8[[#This Row],[Supporter_ID]],tb1_supporters[Supporter_ID ],tb1_supporters[Preference_Compliance_Flag],"")</f>
        <v>Review - prefers post but not opted in</v>
      </c>
      <c r="T214" t="str">
        <f ca="1">IF(Table8[[#This Row],[Age]]="","Review - missing DOB",IF(Table8[[#This Row],[Age]]&gt;TODAY(),"Review - future DOB",IF(Table8[[#This Row],[Age]]=0,"Review -  potential entry error (age 0)","")))</f>
        <v/>
      </c>
      <c r="U214" t="str">
        <f>_xlfn.XLOOKUP(Table8[[#This Row],[Campaign_Code]],tb3_CampaignMaster[Campaign_Code],tb3_CampaignMaster[Campaign_Type],"")</f>
        <v>Regular Giving</v>
      </c>
      <c r="V214" t="str">
        <f>_xlfn.XLOOKUP(Table8[[#This Row],[Campaign_Code]],tb3_CampaignMaster[Campaign_Code],tb3_CampaignMaster[Target_Audience],"")</f>
        <v>One-time Donors</v>
      </c>
      <c r="W214" s="17">
        <f>_xlfn.XLOOKUP(Table8[[#This Row],[Campaign_Code]],tb3_CampaignMaster[Campaign_Code],tb3_CampaignMaster[Start_Date],"")</f>
        <v>45663</v>
      </c>
      <c r="X214" s="17">
        <f>_xlfn.XLOOKUP(Table8[[#This Row],[Campaign_Code]],tb3_CampaignMaster[Campaign_Code],tb3_CampaignMaster[End_Date],"")</f>
        <v>45747</v>
      </c>
      <c r="Y214">
        <f>_xlfn.XLOOKUP(Table8[[#This Row],[Campaign_Code]],tb3_CampaignMaster[Campaign_Code],tb3_CampaignMaster[Budget_GBP],"")</f>
        <v>10000</v>
      </c>
      <c r="Z214" t="str">
        <f>_xlfn.XLOOKUP(Table8[[#This Row],[Campaign_Code]],tb3_CampaignMaster[Campaign_Code],tb3_CampaignMaster[Primary_Channel],"")</f>
        <v>Telephone</v>
      </c>
      <c r="AA214" s="13">
        <f>IF(Table8[[#This Row],[Gift_Aid_Eligible]]="Yes",Table8[[#This Row],[Gift_Amount]]*1.25,Table8[[#This Row],[Gift_Amount]])</f>
        <v>175.0625</v>
      </c>
      <c r="AB214" t="str">
        <f>IF(Table8[[#This Row],[Supporter_ID]]="","Review - missing supporter ID","")</f>
        <v/>
      </c>
      <c r="AC214" t="str">
        <f>IF(OR(Table8[[#This Row],[Response_Date]]&lt;Table8[[#This Row],[Start_Date]],Table8[[#This Row],[Response_Date]]&gt;Table8[[#This Row],[End_Date]]),"Review - response outside campaign dates","")</f>
        <v/>
      </c>
      <c r="AD214" t="str">
        <f>IF(Table8[[#This Row],[Campaign_Type]]="","Review - campaign code not found","")</f>
        <v/>
      </c>
    </row>
    <row r="215" spans="1:30" x14ac:dyDescent="0.25">
      <c r="A215" t="s">
        <v>3744</v>
      </c>
      <c r="B215" t="s">
        <v>2218</v>
      </c>
      <c r="C215" t="s">
        <v>3362</v>
      </c>
      <c r="D215" t="s">
        <v>3363</v>
      </c>
      <c r="E215" t="s">
        <v>65</v>
      </c>
      <c r="F215" s="17">
        <v>45577</v>
      </c>
      <c r="G215">
        <v>28.34</v>
      </c>
      <c r="H215" t="s">
        <v>36</v>
      </c>
      <c r="I215" t="s">
        <v>3318</v>
      </c>
      <c r="J215" t="str">
        <f>_xlfn.XLOOKUP(Table8[[#This Row],[Supporter_ID]],tb1_supporters[Supporter_ID ],tb1_supporters[Segment],"")</f>
        <v>Regular Giver</v>
      </c>
      <c r="K215" t="str">
        <f>_xlfn.XLOOKUP(Table8[[#This Row],[Supporter_ID]],tb1_supporters[Supporter_ID ],tb1_supporters[Acquisition_Source],"")</f>
        <v>Referral</v>
      </c>
      <c r="L215" t="str">
        <f>_xlfn.XLOOKUP(Table8[[#This Row],[Supporter_ID]],tb1_supporters[Supporter_ID ],tb1_supporters[County],"")</f>
        <v>Merseyside</v>
      </c>
      <c r="M215" t="str">
        <f>_xlfn.XLOOKUP(Table8[[#This Row],[Supporter_ID]],tb1_supporters[Supporter_ID ],tb1_supporters[Gender],"")</f>
        <v>Male</v>
      </c>
      <c r="N215">
        <f ca="1">_xlfn.XLOOKUP(Table8[[#This Row],[Supporter_ID]],tb1_supporters[Supporter_ID ],tb1_supporters[Age],"")</f>
        <v>42</v>
      </c>
      <c r="O215" t="str">
        <f ca="1">_xlfn.XLOOKUP(Table8[[#This Row],[Supporter_ID]],tb1_supporters[Supporter_ID ],tb1_supporters[Age_Band],"")</f>
        <v>35-49</v>
      </c>
      <c r="P215" t="str">
        <f ca="1">IF(Table8[[#This Row],[Age_Band]]="","Unknown",Table8[[#This Row],[Age_Band]])</f>
        <v>35-49</v>
      </c>
      <c r="Q215" t="str">
        <f>_xlfn.XLOOKUP(Table8[[#This Row],[Supporter_ID]],tb1_supporters[Supporter_ID ],tb1_supporters[Communication_Preference],"")</f>
        <v>Phone</v>
      </c>
      <c r="R215" t="str">
        <f>_xlfn.XLOOKUP(Table8[[#This Row],[Supporter_ID]],tb1_supporters[Supporter_ID ],tb1_supporters[Duplicate_Profile_Flag],"")</f>
        <v/>
      </c>
      <c r="S215" t="str">
        <f>_xlfn.XLOOKUP(Table8[[#This Row],[Supporter_ID]],tb1_supporters[Supporter_ID ],tb1_supporters[Preference_Compliance_Flag],"")</f>
        <v/>
      </c>
      <c r="T215" t="str">
        <f ca="1">IF(Table8[[#This Row],[Age]]="","Review - missing DOB",IF(Table8[[#This Row],[Age]]&gt;TODAY(),"Review - future DOB",IF(Table8[[#This Row],[Age]]=0,"Review -  potential entry error (age 0)","")))</f>
        <v/>
      </c>
      <c r="U215" t="str">
        <f>_xlfn.XLOOKUP(Table8[[#This Row],[Campaign_Code]],tb3_CampaignMaster[Campaign_Code],tb3_CampaignMaster[Campaign_Type],"")</f>
        <v>Legacy</v>
      </c>
      <c r="V215" t="str">
        <f>_xlfn.XLOOKUP(Table8[[#This Row],[Campaign_Code]],tb3_CampaignMaster[Campaign_Code],tb3_CampaignMaster[Target_Audience],"")</f>
        <v>Over 55s</v>
      </c>
      <c r="W215" s="17">
        <f>_xlfn.XLOOKUP(Table8[[#This Row],[Campaign_Code]],tb3_CampaignMaster[Campaign_Code],tb3_CampaignMaster[Start_Date],"")</f>
        <v>45572</v>
      </c>
      <c r="X215" s="17">
        <f>_xlfn.XLOOKUP(Table8[[#This Row],[Campaign_Code]],tb3_CampaignMaster[Campaign_Code],tb3_CampaignMaster[End_Date],"")</f>
        <v>45578</v>
      </c>
      <c r="Y215">
        <f>_xlfn.XLOOKUP(Table8[[#This Row],[Campaign_Code]],tb3_CampaignMaster[Campaign_Code],tb3_CampaignMaster[Budget_GBP],"")</f>
        <v>5000</v>
      </c>
      <c r="Z215" t="str">
        <f>_xlfn.XLOOKUP(Table8[[#This Row],[Campaign_Code]],tb3_CampaignMaster[Campaign_Code],tb3_CampaignMaster[Primary_Channel],"")</f>
        <v>Direct Mail</v>
      </c>
      <c r="AA215" s="13">
        <f>IF(Table8[[#This Row],[Gift_Aid_Eligible]]="Yes",Table8[[#This Row],[Gift_Amount]]*1.25,Table8[[#This Row],[Gift_Amount]])</f>
        <v>35.424999999999997</v>
      </c>
      <c r="AB215" t="str">
        <f>IF(Table8[[#This Row],[Supporter_ID]]="","Review - missing supporter ID","")</f>
        <v/>
      </c>
      <c r="AC215" t="str">
        <f>IF(OR(Table8[[#This Row],[Response_Date]]&lt;Table8[[#This Row],[Start_Date]],Table8[[#This Row],[Response_Date]]&gt;Table8[[#This Row],[End_Date]]),"Review - response outside campaign dates","")</f>
        <v/>
      </c>
      <c r="AD215" t="str">
        <f>IF(Table8[[#This Row],[Campaign_Type]]="","Review - campaign code not found","")</f>
        <v/>
      </c>
    </row>
    <row r="216" spans="1:30" x14ac:dyDescent="0.25">
      <c r="A216" t="s">
        <v>3745</v>
      </c>
      <c r="B216" t="s">
        <v>1957</v>
      </c>
      <c r="C216" t="s">
        <v>3314</v>
      </c>
      <c r="D216" t="s">
        <v>3315</v>
      </c>
      <c r="E216" t="s">
        <v>3316</v>
      </c>
      <c r="F216" s="17">
        <v>45672</v>
      </c>
      <c r="G216">
        <v>29.89</v>
      </c>
      <c r="H216" t="s">
        <v>37</v>
      </c>
      <c r="I216" t="s">
        <v>3328</v>
      </c>
      <c r="J216" t="str">
        <f>_xlfn.XLOOKUP(Table8[[#This Row],[Supporter_ID]],tb1_supporters[Supporter_ID ],tb1_supporters[Segment],"")</f>
        <v>Prospect</v>
      </c>
      <c r="K216" t="str">
        <f>_xlfn.XLOOKUP(Table8[[#This Row],[Supporter_ID]],tb1_supporters[Supporter_ID ],tb1_supporters[Acquisition_Source],"")</f>
        <v>Direct Mail</v>
      </c>
      <c r="L216" t="str">
        <f>_xlfn.XLOOKUP(Table8[[#This Row],[Supporter_ID]],tb1_supporters[Supporter_ID ],tb1_supporters[County],"")</f>
        <v>West Midlands</v>
      </c>
      <c r="M216" t="str">
        <f>_xlfn.XLOOKUP(Table8[[#This Row],[Supporter_ID]],tb1_supporters[Supporter_ID ],tb1_supporters[Gender],"")</f>
        <v>Female</v>
      </c>
      <c r="N216">
        <f ca="1">_xlfn.XLOOKUP(Table8[[#This Row],[Supporter_ID]],tb1_supporters[Supporter_ID ],tb1_supporters[Age],"")</f>
        <v>58</v>
      </c>
      <c r="O216" t="str">
        <f ca="1">_xlfn.XLOOKUP(Table8[[#This Row],[Supporter_ID]],tb1_supporters[Supporter_ID ],tb1_supporters[Age_Band],"")</f>
        <v>50-64</v>
      </c>
      <c r="P216" t="str">
        <f ca="1">IF(Table8[[#This Row],[Age_Band]]="","Unknown",Table8[[#This Row],[Age_Band]])</f>
        <v>50-64</v>
      </c>
      <c r="Q216" t="str">
        <f>_xlfn.XLOOKUP(Table8[[#This Row],[Supporter_ID]],tb1_supporters[Supporter_ID ],tb1_supporters[Communication_Preference],"")</f>
        <v>Email</v>
      </c>
      <c r="R216" t="str">
        <f>_xlfn.XLOOKUP(Table8[[#This Row],[Supporter_ID]],tb1_supporters[Supporter_ID ],tb1_supporters[Duplicate_Profile_Flag],"")</f>
        <v/>
      </c>
      <c r="S216" t="str">
        <f>_xlfn.XLOOKUP(Table8[[#This Row],[Supporter_ID]],tb1_supporters[Supporter_ID ],tb1_supporters[Preference_Compliance_Flag],"")</f>
        <v>Review - prefers email but not opted in</v>
      </c>
      <c r="T216" t="str">
        <f ca="1">IF(Table8[[#This Row],[Age]]="","Review - missing DOB",IF(Table8[[#This Row],[Age]]&gt;TODAY(),"Review - future DOB",IF(Table8[[#This Row],[Age]]=0,"Review -  potential entry error (age 0)","")))</f>
        <v/>
      </c>
      <c r="U216" t="str">
        <f>_xlfn.XLOOKUP(Table8[[#This Row],[Campaign_Code]],tb3_CampaignMaster[Campaign_Code],tb3_CampaignMaster[Campaign_Type],"")</f>
        <v>Regular Giving</v>
      </c>
      <c r="V216" t="str">
        <f>_xlfn.XLOOKUP(Table8[[#This Row],[Campaign_Code]],tb3_CampaignMaster[Campaign_Code],tb3_CampaignMaster[Target_Audience],"")</f>
        <v>One-time Donors</v>
      </c>
      <c r="W216" s="17">
        <f>_xlfn.XLOOKUP(Table8[[#This Row],[Campaign_Code]],tb3_CampaignMaster[Campaign_Code],tb3_CampaignMaster[Start_Date],"")</f>
        <v>45663</v>
      </c>
      <c r="X216" s="17">
        <f>_xlfn.XLOOKUP(Table8[[#This Row],[Campaign_Code]],tb3_CampaignMaster[Campaign_Code],tb3_CampaignMaster[End_Date],"")</f>
        <v>45747</v>
      </c>
      <c r="Y216">
        <f>_xlfn.XLOOKUP(Table8[[#This Row],[Campaign_Code]],tb3_CampaignMaster[Campaign_Code],tb3_CampaignMaster[Budget_GBP],"")</f>
        <v>10000</v>
      </c>
      <c r="Z216" t="str">
        <f>_xlfn.XLOOKUP(Table8[[#This Row],[Campaign_Code]],tb3_CampaignMaster[Campaign_Code],tb3_CampaignMaster[Primary_Channel],"")</f>
        <v>Telephone</v>
      </c>
      <c r="AA216" s="13">
        <f>IF(Table8[[#This Row],[Gift_Aid_Eligible]]="Yes",Table8[[#This Row],[Gift_Amount]]*1.25,Table8[[#This Row],[Gift_Amount]])</f>
        <v>29.89</v>
      </c>
      <c r="AB216" t="str">
        <f>IF(Table8[[#This Row],[Supporter_ID]]="","Review - missing supporter ID","")</f>
        <v/>
      </c>
      <c r="AC216" t="str">
        <f>IF(OR(Table8[[#This Row],[Response_Date]]&lt;Table8[[#This Row],[Start_Date]],Table8[[#This Row],[Response_Date]]&gt;Table8[[#This Row],[End_Date]]),"Review - response outside campaign dates","")</f>
        <v/>
      </c>
      <c r="AD216" t="str">
        <f>IF(Table8[[#This Row],[Campaign_Type]]="","Review - campaign code not found","")</f>
        <v/>
      </c>
    </row>
    <row r="217" spans="1:30" x14ac:dyDescent="0.25">
      <c r="A217" t="s">
        <v>3747</v>
      </c>
      <c r="B217" t="s">
        <v>2764</v>
      </c>
      <c r="C217" t="s">
        <v>3341</v>
      </c>
      <c r="D217" t="s">
        <v>3342</v>
      </c>
      <c r="E217" t="s">
        <v>91</v>
      </c>
      <c r="F217" s="17">
        <v>45773</v>
      </c>
      <c r="G217">
        <v>10.43</v>
      </c>
      <c r="H217" t="s">
        <v>36</v>
      </c>
      <c r="I217" t="s">
        <v>3370</v>
      </c>
      <c r="J217" t="str">
        <f>_xlfn.XLOOKUP(Table8[[#This Row],[Supporter_ID]],tb1_supporters[Supporter_ID ],tb1_supporters[Segment],"")</f>
        <v>Lapsed</v>
      </c>
      <c r="K217" t="str">
        <f>_xlfn.XLOOKUP(Table8[[#This Row],[Supporter_ID]],tb1_supporters[Supporter_ID ],tb1_supporters[Acquisition_Source],"")</f>
        <v>Door-To-Door</v>
      </c>
      <c r="L217" t="str">
        <f>_xlfn.XLOOKUP(Table8[[#This Row],[Supporter_ID]],tb1_supporters[Supporter_ID ],tb1_supporters[County],"")</f>
        <v>West Yorkshire</v>
      </c>
      <c r="M217" t="str">
        <f>_xlfn.XLOOKUP(Table8[[#This Row],[Supporter_ID]],tb1_supporters[Supporter_ID ],tb1_supporters[Gender],"")</f>
        <v>Female</v>
      </c>
      <c r="N217">
        <f ca="1">_xlfn.XLOOKUP(Table8[[#This Row],[Supporter_ID]],tb1_supporters[Supporter_ID ],tb1_supporters[Age],"")</f>
        <v>37</v>
      </c>
      <c r="O217" t="str">
        <f ca="1">_xlfn.XLOOKUP(Table8[[#This Row],[Supporter_ID]],tb1_supporters[Supporter_ID ],tb1_supporters[Age_Band],"")</f>
        <v>35-49</v>
      </c>
      <c r="P217" t="str">
        <f ca="1">IF(Table8[[#This Row],[Age_Band]]="","Unknown",Table8[[#This Row],[Age_Band]])</f>
        <v>35-49</v>
      </c>
      <c r="Q217" t="str">
        <f>_xlfn.XLOOKUP(Table8[[#This Row],[Supporter_ID]],tb1_supporters[Supporter_ID ],tb1_supporters[Communication_Preference],"")</f>
        <v>Post</v>
      </c>
      <c r="R217" t="str">
        <f>_xlfn.XLOOKUP(Table8[[#This Row],[Supporter_ID]],tb1_supporters[Supporter_ID ],tb1_supporters[Duplicate_Profile_Flag],"")</f>
        <v/>
      </c>
      <c r="S217" t="str">
        <f>_xlfn.XLOOKUP(Table8[[#This Row],[Supporter_ID]],tb1_supporters[Supporter_ID ],tb1_supporters[Preference_Compliance_Flag],"")</f>
        <v/>
      </c>
      <c r="T217" t="str">
        <f ca="1">IF(Table8[[#This Row],[Age]]="","Review - missing DOB",IF(Table8[[#This Row],[Age]]&gt;TODAY(),"Review - future DOB",IF(Table8[[#This Row],[Age]]=0,"Review -  potential entry error (age 0)","")))</f>
        <v/>
      </c>
      <c r="U217" t="str">
        <f>_xlfn.XLOOKUP(Table8[[#This Row],[Campaign_Code]],tb3_CampaignMaster[Campaign_Code],tb3_CampaignMaster[Campaign_Type],"")</f>
        <v>Acquisition</v>
      </c>
      <c r="V217" t="str">
        <f>_xlfn.XLOOKUP(Table8[[#This Row],[Campaign_Code]],tb3_CampaignMaster[Campaign_Code],tb3_CampaignMaster[Target_Audience],"")</f>
        <v>Prospects</v>
      </c>
      <c r="W217" s="17">
        <f>_xlfn.XLOOKUP(Table8[[#This Row],[Campaign_Code]],tb3_CampaignMaster[Campaign_Code],tb3_CampaignMaster[Start_Date],"")</f>
        <v>45689</v>
      </c>
      <c r="X217" s="17">
        <f>_xlfn.XLOOKUP(Table8[[#This Row],[Campaign_Code]],tb3_CampaignMaster[Campaign_Code],tb3_CampaignMaster[End_Date],"")</f>
        <v>45777</v>
      </c>
      <c r="Y217">
        <f>_xlfn.XLOOKUP(Table8[[#This Row],[Campaign_Code]],tb3_CampaignMaster[Campaign_Code],tb3_CampaignMaster[Budget_GBP],"")</f>
        <v>20000</v>
      </c>
      <c r="Z217" t="str">
        <f>_xlfn.XLOOKUP(Table8[[#This Row],[Campaign_Code]],tb3_CampaignMaster[Campaign_Code],tb3_CampaignMaster[Primary_Channel],"")</f>
        <v>Digital</v>
      </c>
      <c r="AA217" s="13">
        <f>IF(Table8[[#This Row],[Gift_Aid_Eligible]]="Yes",Table8[[#This Row],[Gift_Amount]]*1.25,Table8[[#This Row],[Gift_Amount]])</f>
        <v>13.0375</v>
      </c>
      <c r="AB217" t="str">
        <f>IF(Table8[[#This Row],[Supporter_ID]]="","Review - missing supporter ID","")</f>
        <v/>
      </c>
      <c r="AC217" t="str">
        <f>IF(OR(Table8[[#This Row],[Response_Date]]&lt;Table8[[#This Row],[Start_Date]],Table8[[#This Row],[Response_Date]]&gt;Table8[[#This Row],[End_Date]]),"Review - response outside campaign dates","")</f>
        <v/>
      </c>
      <c r="AD217" t="str">
        <f>IF(Table8[[#This Row],[Campaign_Type]]="","Review - campaign code not found","")</f>
        <v/>
      </c>
    </row>
    <row r="218" spans="1:30" x14ac:dyDescent="0.25">
      <c r="A218" t="s">
        <v>3749</v>
      </c>
      <c r="B218" t="s">
        <v>3147</v>
      </c>
      <c r="C218" t="s">
        <v>3354</v>
      </c>
      <c r="D218" t="s">
        <v>3355</v>
      </c>
      <c r="E218" t="s">
        <v>4</v>
      </c>
      <c r="F218" s="17">
        <v>45618</v>
      </c>
      <c r="G218">
        <v>49.45</v>
      </c>
      <c r="H218" t="s">
        <v>36</v>
      </c>
      <c r="I218" t="s">
        <v>3334</v>
      </c>
      <c r="J218" t="str">
        <f>_xlfn.XLOOKUP(Table8[[#This Row],[Supporter_ID]],tb1_supporters[Supporter_ID ],tb1_supporters[Segment],"")</f>
        <v>Regular Giver</v>
      </c>
      <c r="K218" t="str">
        <f>_xlfn.XLOOKUP(Table8[[#This Row],[Supporter_ID]],tb1_supporters[Supporter_ID ],tb1_supporters[Acquisition_Source],"")</f>
        <v>Door-To-Door</v>
      </c>
      <c r="L218" t="str">
        <f>_xlfn.XLOOKUP(Table8[[#This Row],[Supporter_ID]],tb1_supporters[Supporter_ID ],tb1_supporters[County],"")</f>
        <v>Tyne and Wear</v>
      </c>
      <c r="M218" t="str">
        <f>_xlfn.XLOOKUP(Table8[[#This Row],[Supporter_ID]],tb1_supporters[Supporter_ID ],tb1_supporters[Gender],"")</f>
        <v>Male</v>
      </c>
      <c r="N218">
        <f ca="1">_xlfn.XLOOKUP(Table8[[#This Row],[Supporter_ID]],tb1_supporters[Supporter_ID ],tb1_supporters[Age],"")</f>
        <v>88</v>
      </c>
      <c r="O218" t="str">
        <f ca="1">_xlfn.XLOOKUP(Table8[[#This Row],[Supporter_ID]],tb1_supporters[Supporter_ID ],tb1_supporters[Age_Band],"")</f>
        <v>65+</v>
      </c>
      <c r="P218" t="str">
        <f ca="1">IF(Table8[[#This Row],[Age_Band]]="","Unknown",Table8[[#This Row],[Age_Band]])</f>
        <v>65+</v>
      </c>
      <c r="Q218" t="str">
        <f>_xlfn.XLOOKUP(Table8[[#This Row],[Supporter_ID]],tb1_supporters[Supporter_ID ],tb1_supporters[Communication_Preference],"")</f>
        <v>Phone</v>
      </c>
      <c r="R218" t="str">
        <f>_xlfn.XLOOKUP(Table8[[#This Row],[Supporter_ID]],tb1_supporters[Supporter_ID ],tb1_supporters[Duplicate_Profile_Flag],"")</f>
        <v/>
      </c>
      <c r="S218" t="str">
        <f>_xlfn.XLOOKUP(Table8[[#This Row],[Supporter_ID]],tb1_supporters[Supporter_ID ],tb1_supporters[Preference_Compliance_Flag],"")</f>
        <v/>
      </c>
      <c r="T218" t="str">
        <f ca="1">IF(Table8[[#This Row],[Age]]="","Review - missing DOB",IF(Table8[[#This Row],[Age]]&gt;TODAY(),"Review - future DOB",IF(Table8[[#This Row],[Age]]=0,"Review -  potential entry error (age 0)","")))</f>
        <v/>
      </c>
      <c r="U218" t="str">
        <f>_xlfn.XLOOKUP(Table8[[#This Row],[Campaign_Code]],tb3_CampaignMaster[Campaign_Code],tb3_CampaignMaster[Campaign_Type],"")</f>
        <v>Event</v>
      </c>
      <c r="V218" t="str">
        <f>_xlfn.XLOOKUP(Table8[[#This Row],[Campaign_Code]],tb3_CampaignMaster[Campaign_Code],tb3_CampaignMaster[Target_Audience],"")</f>
        <v>Volunteers</v>
      </c>
      <c r="W218" s="17">
        <f>_xlfn.XLOOKUP(Table8[[#This Row],[Campaign_Code]],tb3_CampaignMaster[Campaign_Code],tb3_CampaignMaster[Start_Date],"")</f>
        <v>45618</v>
      </c>
      <c r="X218" s="17">
        <f>_xlfn.XLOOKUP(Table8[[#This Row],[Campaign_Code]],tb3_CampaignMaster[Campaign_Code],tb3_CampaignMaster[End_Date],"")</f>
        <v>45618</v>
      </c>
      <c r="Y218">
        <f>_xlfn.XLOOKUP(Table8[[#This Row],[Campaign_Code]],tb3_CampaignMaster[Campaign_Code],tb3_CampaignMaster[Budget_GBP],"")</f>
        <v>3500</v>
      </c>
      <c r="Z218" t="str">
        <f>_xlfn.XLOOKUP(Table8[[#This Row],[Campaign_Code]],tb3_CampaignMaster[Campaign_Code],tb3_CampaignMaster[Primary_Channel],"")</f>
        <v>Email</v>
      </c>
      <c r="AA218" s="13">
        <f>IF(Table8[[#This Row],[Gift_Aid_Eligible]]="Yes",Table8[[#This Row],[Gift_Amount]]*1.25,Table8[[#This Row],[Gift_Amount]])</f>
        <v>61.8125</v>
      </c>
      <c r="AB218" t="str">
        <f>IF(Table8[[#This Row],[Supporter_ID]]="","Review - missing supporter ID","")</f>
        <v/>
      </c>
      <c r="AC218" t="str">
        <f>IF(OR(Table8[[#This Row],[Response_Date]]&lt;Table8[[#This Row],[Start_Date]],Table8[[#This Row],[Response_Date]]&gt;Table8[[#This Row],[End_Date]]),"Review - response outside campaign dates","")</f>
        <v/>
      </c>
      <c r="AD218" t="str">
        <f>IF(Table8[[#This Row],[Campaign_Type]]="","Review - campaign code not found","")</f>
        <v/>
      </c>
    </row>
    <row r="219" spans="1:30" x14ac:dyDescent="0.25">
      <c r="A219" t="s">
        <v>3750</v>
      </c>
      <c r="B219" t="s">
        <v>3235</v>
      </c>
      <c r="C219" t="s">
        <v>3336</v>
      </c>
      <c r="D219" t="s">
        <v>3337</v>
      </c>
      <c r="E219" t="s">
        <v>3338</v>
      </c>
      <c r="F219" s="17">
        <v>45562</v>
      </c>
      <c r="G219">
        <v>90.59</v>
      </c>
      <c r="H219" t="s">
        <v>37</v>
      </c>
      <c r="I219" t="s">
        <v>3318</v>
      </c>
      <c r="J219" t="str">
        <f>_xlfn.XLOOKUP(Table8[[#This Row],[Supporter_ID]],tb1_supporters[Supporter_ID ],tb1_supporters[Segment],"")</f>
        <v>One-Time Donor</v>
      </c>
      <c r="K219" t="str">
        <f>_xlfn.XLOOKUP(Table8[[#This Row],[Supporter_ID]],tb1_supporters[Supporter_ID ],tb1_supporters[Acquisition_Source],"")</f>
        <v>Telephone</v>
      </c>
      <c r="L219" t="str">
        <f>_xlfn.XLOOKUP(Table8[[#This Row],[Supporter_ID]],tb1_supporters[Supporter_ID ],tb1_supporters[County],"")</f>
        <v>Leicestershire</v>
      </c>
      <c r="M219" t="str">
        <f>_xlfn.XLOOKUP(Table8[[#This Row],[Supporter_ID]],tb1_supporters[Supporter_ID ],tb1_supporters[Gender],"")</f>
        <v>Female</v>
      </c>
      <c r="N219">
        <f ca="1">_xlfn.XLOOKUP(Table8[[#This Row],[Supporter_ID]],tb1_supporters[Supporter_ID ],tb1_supporters[Age],"")</f>
        <v>80</v>
      </c>
      <c r="O219" t="str">
        <f ca="1">_xlfn.XLOOKUP(Table8[[#This Row],[Supporter_ID]],tb1_supporters[Supporter_ID ],tb1_supporters[Age_Band],"")</f>
        <v>65+</v>
      </c>
      <c r="P219" t="str">
        <f ca="1">IF(Table8[[#This Row],[Age_Band]]="","Unknown",Table8[[#This Row],[Age_Band]])</f>
        <v>65+</v>
      </c>
      <c r="Q219" t="str">
        <f>_xlfn.XLOOKUP(Table8[[#This Row],[Supporter_ID]],tb1_supporters[Supporter_ID ],tb1_supporters[Communication_Preference],"")</f>
        <v>Post</v>
      </c>
      <c r="R219" t="str">
        <f>_xlfn.XLOOKUP(Table8[[#This Row],[Supporter_ID]],tb1_supporters[Supporter_ID ],tb1_supporters[Duplicate_Profile_Flag],"")</f>
        <v/>
      </c>
      <c r="S219" t="str">
        <f>_xlfn.XLOOKUP(Table8[[#This Row],[Supporter_ID]],tb1_supporters[Supporter_ID ],tb1_supporters[Preference_Compliance_Flag],"")</f>
        <v/>
      </c>
      <c r="T219" t="str">
        <f ca="1">IF(Table8[[#This Row],[Age]]="","Review - missing DOB",IF(Table8[[#This Row],[Age]]&gt;TODAY(),"Review - future DOB",IF(Table8[[#This Row],[Age]]=0,"Review -  potential entry error (age 0)","")))</f>
        <v/>
      </c>
      <c r="U219" t="str">
        <f>_xlfn.XLOOKUP(Table8[[#This Row],[Campaign_Code]],tb3_CampaignMaster[Campaign_Code],tb3_CampaignMaster[Campaign_Type],"")</f>
        <v>Appeal</v>
      </c>
      <c r="V219" t="str">
        <f>_xlfn.XLOOKUP(Table8[[#This Row],[Campaign_Code]],tb3_CampaignMaster[Campaign_Code],tb3_CampaignMaster[Target_Audience],"")</f>
        <v>All Supporters</v>
      </c>
      <c r="W219" s="17">
        <f>_xlfn.XLOOKUP(Table8[[#This Row],[Campaign_Code]],tb3_CampaignMaster[Campaign_Code],tb3_CampaignMaster[Start_Date],"")</f>
        <v>45545</v>
      </c>
      <c r="X219" s="17">
        <f>_xlfn.XLOOKUP(Table8[[#This Row],[Campaign_Code]],tb3_CampaignMaster[Campaign_Code],tb3_CampaignMaster[End_Date],"")</f>
        <v>45580</v>
      </c>
      <c r="Y219">
        <f>_xlfn.XLOOKUP(Table8[[#This Row],[Campaign_Code]],tb3_CampaignMaster[Campaign_Code],tb3_CampaignMaster[Budget_GBP],"")</f>
        <v>15000</v>
      </c>
      <c r="Z219" t="str">
        <f>_xlfn.XLOOKUP(Table8[[#This Row],[Campaign_Code]],tb3_CampaignMaster[Campaign_Code],tb3_CampaignMaster[Primary_Channel],"")</f>
        <v>Email</v>
      </c>
      <c r="AA219" s="13">
        <f>IF(Table8[[#This Row],[Gift_Aid_Eligible]]="Yes",Table8[[#This Row],[Gift_Amount]]*1.25,Table8[[#This Row],[Gift_Amount]])</f>
        <v>90.59</v>
      </c>
      <c r="AB219" t="str">
        <f>IF(Table8[[#This Row],[Supporter_ID]]="","Review - missing supporter ID","")</f>
        <v/>
      </c>
      <c r="AC219" t="str">
        <f>IF(OR(Table8[[#This Row],[Response_Date]]&lt;Table8[[#This Row],[Start_Date]],Table8[[#This Row],[Response_Date]]&gt;Table8[[#This Row],[End_Date]]),"Review - response outside campaign dates","")</f>
        <v/>
      </c>
      <c r="AD219" t="str">
        <f>IF(Table8[[#This Row],[Campaign_Type]]="","Review - campaign code not found","")</f>
        <v/>
      </c>
    </row>
    <row r="220" spans="1:30" x14ac:dyDescent="0.25">
      <c r="A220" t="s">
        <v>3752</v>
      </c>
      <c r="B220" t="s">
        <v>256</v>
      </c>
      <c r="C220" t="s">
        <v>3325</v>
      </c>
      <c r="D220" t="s">
        <v>3326</v>
      </c>
      <c r="E220" t="s">
        <v>65</v>
      </c>
      <c r="F220" s="17">
        <v>45634</v>
      </c>
      <c r="G220">
        <v>4794.68</v>
      </c>
      <c r="H220" t="s">
        <v>36</v>
      </c>
      <c r="I220" t="s">
        <v>3328</v>
      </c>
      <c r="J220" t="str">
        <f>_xlfn.XLOOKUP(Table8[[#This Row],[Supporter_ID]],tb1_supporters[Supporter_ID ],tb1_supporters[Segment],"")</f>
        <v>Major Donor</v>
      </c>
      <c r="K220" t="str">
        <f>_xlfn.XLOOKUP(Table8[[#This Row],[Supporter_ID]],tb1_supporters[Supporter_ID ],tb1_supporters[Acquisition_Source],"")</f>
        <v>Website</v>
      </c>
      <c r="L220" t="str">
        <f>_xlfn.XLOOKUP(Table8[[#This Row],[Supporter_ID]],tb1_supporters[Supporter_ID ],tb1_supporters[County],"")</f>
        <v>Hampshire</v>
      </c>
      <c r="M220" t="str">
        <f>_xlfn.XLOOKUP(Table8[[#This Row],[Supporter_ID]],tb1_supporters[Supporter_ID ],tb1_supporters[Gender],"")</f>
        <v>Male</v>
      </c>
      <c r="N220">
        <f ca="1">_xlfn.XLOOKUP(Table8[[#This Row],[Supporter_ID]],tb1_supporters[Supporter_ID ],tb1_supporters[Age],"")</f>
        <v>49</v>
      </c>
      <c r="O220" t="str">
        <f ca="1">_xlfn.XLOOKUP(Table8[[#This Row],[Supporter_ID]],tb1_supporters[Supporter_ID ],tb1_supporters[Age_Band],"")</f>
        <v>35-49</v>
      </c>
      <c r="P220" t="str">
        <f ca="1">IF(Table8[[#This Row],[Age_Band]]="","Unknown",Table8[[#This Row],[Age_Band]])</f>
        <v>35-49</v>
      </c>
      <c r="Q220" t="str">
        <f>_xlfn.XLOOKUP(Table8[[#This Row],[Supporter_ID]],tb1_supporters[Supporter_ID ],tb1_supporters[Communication_Preference],"")</f>
        <v>No Preference</v>
      </c>
      <c r="R220" t="str">
        <f>_xlfn.XLOOKUP(Table8[[#This Row],[Supporter_ID]],tb1_supporters[Supporter_ID ],tb1_supporters[Duplicate_Profile_Flag],"")</f>
        <v/>
      </c>
      <c r="S220" t="str">
        <f>_xlfn.XLOOKUP(Table8[[#This Row],[Supporter_ID]],tb1_supporters[Supporter_ID ],tb1_supporters[Preference_Compliance_Flag],"")</f>
        <v/>
      </c>
      <c r="T220" t="str">
        <f ca="1">IF(Table8[[#This Row],[Age]]="","Review - missing DOB",IF(Table8[[#This Row],[Age]]&gt;TODAY(),"Review - future DOB",IF(Table8[[#This Row],[Age]]=0,"Review -  potential entry error (age 0)","")))</f>
        <v/>
      </c>
      <c r="U220" t="str">
        <f>_xlfn.XLOOKUP(Table8[[#This Row],[Campaign_Code]],tb3_CampaignMaster[Campaign_Code],tb3_CampaignMaster[Campaign_Type],"")</f>
        <v>Appeal</v>
      </c>
      <c r="V220" t="str">
        <f>_xlfn.XLOOKUP(Table8[[#This Row],[Campaign_Code]],tb3_CampaignMaster[Campaign_Code],tb3_CampaignMaster[Target_Audience],"")</f>
        <v>All Active</v>
      </c>
      <c r="W220" s="17">
        <f>_xlfn.XLOOKUP(Table8[[#This Row],[Campaign_Code]],tb3_CampaignMaster[Campaign_Code],tb3_CampaignMaster[Start_Date],"")</f>
        <v>45597</v>
      </c>
      <c r="X220" s="17">
        <f>_xlfn.XLOOKUP(Table8[[#This Row],[Campaign_Code]],tb3_CampaignMaster[Campaign_Code],tb3_CampaignMaster[End_Date],"")</f>
        <v>45657</v>
      </c>
      <c r="Y220">
        <f>_xlfn.XLOOKUP(Table8[[#This Row],[Campaign_Code]],tb3_CampaignMaster[Campaign_Code],tb3_CampaignMaster[Budget_GBP],"")</f>
        <v>25000</v>
      </c>
      <c r="Z220" t="str">
        <f>_xlfn.XLOOKUP(Table8[[#This Row],[Campaign_Code]],tb3_CampaignMaster[Campaign_Code],tb3_CampaignMaster[Primary_Channel],"")</f>
        <v>Multi-channel</v>
      </c>
      <c r="AA220" s="13">
        <f>IF(Table8[[#This Row],[Gift_Aid_Eligible]]="Yes",Table8[[#This Row],[Gift_Amount]]*1.25,Table8[[#This Row],[Gift_Amount]])</f>
        <v>5993.35</v>
      </c>
      <c r="AB220" t="str">
        <f>IF(Table8[[#This Row],[Supporter_ID]]="","Review - missing supporter ID","")</f>
        <v/>
      </c>
      <c r="AC220" t="str">
        <f>IF(OR(Table8[[#This Row],[Response_Date]]&lt;Table8[[#This Row],[Start_Date]],Table8[[#This Row],[Response_Date]]&gt;Table8[[#This Row],[End_Date]]),"Review - response outside campaign dates","")</f>
        <v/>
      </c>
      <c r="AD220" t="str">
        <f>IF(Table8[[#This Row],[Campaign_Type]]="","Review - campaign code not found","")</f>
        <v/>
      </c>
    </row>
    <row r="221" spans="1:30" x14ac:dyDescent="0.25">
      <c r="A221" t="s">
        <v>3755</v>
      </c>
      <c r="B221" t="s">
        <v>2263</v>
      </c>
      <c r="C221" t="s">
        <v>3325</v>
      </c>
      <c r="D221" t="s">
        <v>3326</v>
      </c>
      <c r="E221" t="s">
        <v>3338</v>
      </c>
      <c r="F221" s="17">
        <v>45610</v>
      </c>
      <c r="G221">
        <v>71.95</v>
      </c>
      <c r="H221" t="s">
        <v>36</v>
      </c>
      <c r="I221" t="s">
        <v>3318</v>
      </c>
      <c r="J221" t="str">
        <f>_xlfn.XLOOKUP(Table8[[#This Row],[Supporter_ID]],tb1_supporters[Supporter_ID ],tb1_supporters[Segment],"")</f>
        <v>Lapsed</v>
      </c>
      <c r="K221" t="str">
        <f>_xlfn.XLOOKUP(Table8[[#This Row],[Supporter_ID]],tb1_supporters[Supporter_ID ],tb1_supporters[Acquisition_Source],"")</f>
        <v>Event</v>
      </c>
      <c r="L221" t="str">
        <f>_xlfn.XLOOKUP(Table8[[#This Row],[Supporter_ID]],tb1_supporters[Supporter_ID ],tb1_supporters[County],"")</f>
        <v>Tyne and Wear</v>
      </c>
      <c r="M221" t="str">
        <f>_xlfn.XLOOKUP(Table8[[#This Row],[Supporter_ID]],tb1_supporters[Supporter_ID ],tb1_supporters[Gender],"")</f>
        <v>Female</v>
      </c>
      <c r="N221">
        <f ca="1">_xlfn.XLOOKUP(Table8[[#This Row],[Supporter_ID]],tb1_supporters[Supporter_ID ],tb1_supporters[Age],"")</f>
        <v>34</v>
      </c>
      <c r="O221" t="str">
        <f ca="1">_xlfn.XLOOKUP(Table8[[#This Row],[Supporter_ID]],tb1_supporters[Supporter_ID ],tb1_supporters[Age_Band],"")</f>
        <v>18-34</v>
      </c>
      <c r="P221" t="str">
        <f ca="1">IF(Table8[[#This Row],[Age_Band]]="","Unknown",Table8[[#This Row],[Age_Band]])</f>
        <v>18-34</v>
      </c>
      <c r="Q221" t="str">
        <f>_xlfn.XLOOKUP(Table8[[#This Row],[Supporter_ID]],tb1_supporters[Supporter_ID ],tb1_supporters[Communication_Preference],"")</f>
        <v>Phone</v>
      </c>
      <c r="R221" t="str">
        <f>_xlfn.XLOOKUP(Table8[[#This Row],[Supporter_ID]],tb1_supporters[Supporter_ID ],tb1_supporters[Duplicate_Profile_Flag],"")</f>
        <v/>
      </c>
      <c r="S221" t="str">
        <f>_xlfn.XLOOKUP(Table8[[#This Row],[Supporter_ID]],tb1_supporters[Supporter_ID ],tb1_supporters[Preference_Compliance_Flag],"")</f>
        <v>Review - prefers phone but not opted in</v>
      </c>
      <c r="T221" t="str">
        <f ca="1">IF(Table8[[#This Row],[Age]]="","Review - missing DOB",IF(Table8[[#This Row],[Age]]&gt;TODAY(),"Review - future DOB",IF(Table8[[#This Row],[Age]]=0,"Review -  potential entry error (age 0)","")))</f>
        <v/>
      </c>
      <c r="U221" t="str">
        <f>_xlfn.XLOOKUP(Table8[[#This Row],[Campaign_Code]],tb3_CampaignMaster[Campaign_Code],tb3_CampaignMaster[Campaign_Type],"")</f>
        <v>Appeal</v>
      </c>
      <c r="V221" t="str">
        <f>_xlfn.XLOOKUP(Table8[[#This Row],[Campaign_Code]],tb3_CampaignMaster[Campaign_Code],tb3_CampaignMaster[Target_Audience],"")</f>
        <v>All Active</v>
      </c>
      <c r="W221" s="17">
        <f>_xlfn.XLOOKUP(Table8[[#This Row],[Campaign_Code]],tb3_CampaignMaster[Campaign_Code],tb3_CampaignMaster[Start_Date],"")</f>
        <v>45597</v>
      </c>
      <c r="X221" s="17">
        <f>_xlfn.XLOOKUP(Table8[[#This Row],[Campaign_Code]],tb3_CampaignMaster[Campaign_Code],tb3_CampaignMaster[End_Date],"")</f>
        <v>45657</v>
      </c>
      <c r="Y221">
        <f>_xlfn.XLOOKUP(Table8[[#This Row],[Campaign_Code]],tb3_CampaignMaster[Campaign_Code],tb3_CampaignMaster[Budget_GBP],"")</f>
        <v>25000</v>
      </c>
      <c r="Z221" t="str">
        <f>_xlfn.XLOOKUP(Table8[[#This Row],[Campaign_Code]],tb3_CampaignMaster[Campaign_Code],tb3_CampaignMaster[Primary_Channel],"")</f>
        <v>Multi-channel</v>
      </c>
      <c r="AA221" s="13">
        <f>IF(Table8[[#This Row],[Gift_Aid_Eligible]]="Yes",Table8[[#This Row],[Gift_Amount]]*1.25,Table8[[#This Row],[Gift_Amount]])</f>
        <v>89.9375</v>
      </c>
      <c r="AB221" t="str">
        <f>IF(Table8[[#This Row],[Supporter_ID]]="","Review - missing supporter ID","")</f>
        <v/>
      </c>
      <c r="AC221" t="str">
        <f>IF(OR(Table8[[#This Row],[Response_Date]]&lt;Table8[[#This Row],[Start_Date]],Table8[[#This Row],[Response_Date]]&gt;Table8[[#This Row],[End_Date]]),"Review - response outside campaign dates","")</f>
        <v/>
      </c>
      <c r="AD221" t="str">
        <f>IF(Table8[[#This Row],[Campaign_Type]]="","Review - campaign code not found","")</f>
        <v/>
      </c>
    </row>
    <row r="222" spans="1:30" x14ac:dyDescent="0.25">
      <c r="A222" t="s">
        <v>3757</v>
      </c>
      <c r="B222" t="s">
        <v>2082</v>
      </c>
      <c r="C222" t="s">
        <v>3367</v>
      </c>
      <c r="D222" t="s">
        <v>3368</v>
      </c>
      <c r="E222" t="s">
        <v>65</v>
      </c>
      <c r="F222" s="17">
        <v>45752</v>
      </c>
      <c r="G222">
        <v>70.16</v>
      </c>
      <c r="H222" t="s">
        <v>37</v>
      </c>
      <c r="I222" t="s">
        <v>3385</v>
      </c>
      <c r="J222" t="str">
        <f>_xlfn.XLOOKUP(Table8[[#This Row],[Supporter_ID]],tb1_supporters[Supporter_ID ],tb1_supporters[Segment],"")</f>
        <v>One-Time Donor</v>
      </c>
      <c r="K222" t="str">
        <f>_xlfn.XLOOKUP(Table8[[#This Row],[Supporter_ID]],tb1_supporters[Supporter_ID ],tb1_supporters[Acquisition_Source],"")</f>
        <v>Direct Mail</v>
      </c>
      <c r="L222" t="str">
        <f>_xlfn.XLOOKUP(Table8[[#This Row],[Supporter_ID]],tb1_supporters[Supporter_ID ],tb1_supporters[County],"")</f>
        <v>Antrim</v>
      </c>
      <c r="M222" t="str">
        <f>_xlfn.XLOOKUP(Table8[[#This Row],[Supporter_ID]],tb1_supporters[Supporter_ID ],tb1_supporters[Gender],"")</f>
        <v>Male</v>
      </c>
      <c r="N222">
        <f ca="1">_xlfn.XLOOKUP(Table8[[#This Row],[Supporter_ID]],tb1_supporters[Supporter_ID ],tb1_supporters[Age],"")</f>
        <v>38</v>
      </c>
      <c r="O222" t="str">
        <f ca="1">_xlfn.XLOOKUP(Table8[[#This Row],[Supporter_ID]],tb1_supporters[Supporter_ID ],tb1_supporters[Age_Band],"")</f>
        <v>35-49</v>
      </c>
      <c r="P222" t="str">
        <f ca="1">IF(Table8[[#This Row],[Age_Band]]="","Unknown",Table8[[#This Row],[Age_Band]])</f>
        <v>35-49</v>
      </c>
      <c r="Q222" t="str">
        <f>_xlfn.XLOOKUP(Table8[[#This Row],[Supporter_ID]],tb1_supporters[Supporter_ID ],tb1_supporters[Communication_Preference],"")</f>
        <v>Post</v>
      </c>
      <c r="R222" t="str">
        <f>_xlfn.XLOOKUP(Table8[[#This Row],[Supporter_ID]],tb1_supporters[Supporter_ID ],tb1_supporters[Duplicate_Profile_Flag],"")</f>
        <v/>
      </c>
      <c r="S222" t="str">
        <f>_xlfn.XLOOKUP(Table8[[#This Row],[Supporter_ID]],tb1_supporters[Supporter_ID ],tb1_supporters[Preference_Compliance_Flag],"")</f>
        <v/>
      </c>
      <c r="T222" t="str">
        <f ca="1">IF(Table8[[#This Row],[Age]]="","Review - missing DOB",IF(Table8[[#This Row],[Age]]&gt;TODAY(),"Review - future DOB",IF(Table8[[#This Row],[Age]]=0,"Review -  potential entry error (age 0)","")))</f>
        <v/>
      </c>
      <c r="U222" t="str">
        <f>_xlfn.XLOOKUP(Table8[[#This Row],[Campaign_Code]],tb3_CampaignMaster[Campaign_Code],tb3_CampaignMaster[Campaign_Type],"")</f>
        <v>Raffle</v>
      </c>
      <c r="V222" t="str">
        <f>_xlfn.XLOOKUP(Table8[[#This Row],[Campaign_Code]],tb3_CampaignMaster[Campaign_Code],tb3_CampaignMaster[Target_Audience],"")</f>
        <v>Regular Givers</v>
      </c>
      <c r="W222" s="17">
        <f>_xlfn.XLOOKUP(Table8[[#This Row],[Campaign_Code]],tb3_CampaignMaster[Campaign_Code],tb3_CampaignMaster[Start_Date],"")</f>
        <v>45717</v>
      </c>
      <c r="X222" s="17">
        <f>_xlfn.XLOOKUP(Table8[[#This Row],[Campaign_Code]],tb3_CampaignMaster[Campaign_Code],tb3_CampaignMaster[End_Date],"")</f>
        <v>45777</v>
      </c>
      <c r="Y222">
        <f>_xlfn.XLOOKUP(Table8[[#This Row],[Campaign_Code]],tb3_CampaignMaster[Campaign_Code],tb3_CampaignMaster[Budget_GBP],"")</f>
        <v>8000</v>
      </c>
      <c r="Z222" t="str">
        <f>_xlfn.XLOOKUP(Table8[[#This Row],[Campaign_Code]],tb3_CampaignMaster[Campaign_Code],tb3_CampaignMaster[Primary_Channel],"")</f>
        <v>Direct Mail</v>
      </c>
      <c r="AA222" s="13">
        <f>IF(Table8[[#This Row],[Gift_Aid_Eligible]]="Yes",Table8[[#This Row],[Gift_Amount]]*1.25,Table8[[#This Row],[Gift_Amount]])</f>
        <v>70.16</v>
      </c>
      <c r="AB222" t="str">
        <f>IF(Table8[[#This Row],[Supporter_ID]]="","Review - missing supporter ID","")</f>
        <v/>
      </c>
      <c r="AC222" t="str">
        <f>IF(OR(Table8[[#This Row],[Response_Date]]&lt;Table8[[#This Row],[Start_Date]],Table8[[#This Row],[Response_Date]]&gt;Table8[[#This Row],[End_Date]]),"Review - response outside campaign dates","")</f>
        <v/>
      </c>
      <c r="AD222" t="str">
        <f>IF(Table8[[#This Row],[Campaign_Type]]="","Review - campaign code not found","")</f>
        <v/>
      </c>
    </row>
    <row r="223" spans="1:30" x14ac:dyDescent="0.25">
      <c r="A223" t="s">
        <v>3759</v>
      </c>
      <c r="B223" t="s">
        <v>2118</v>
      </c>
      <c r="C223" t="s">
        <v>3341</v>
      </c>
      <c r="D223" t="s">
        <v>3342</v>
      </c>
      <c r="E223" t="s">
        <v>3316</v>
      </c>
      <c r="F223" s="17">
        <v>45736</v>
      </c>
      <c r="G223">
        <v>148.19</v>
      </c>
      <c r="H223" t="s">
        <v>36</v>
      </c>
      <c r="I223" t="s">
        <v>3328</v>
      </c>
      <c r="J223" t="str">
        <f>_xlfn.XLOOKUP(Table8[[#This Row],[Supporter_ID]],tb1_supporters[Supporter_ID ],tb1_supporters[Segment],"")</f>
        <v>One-Time Donor</v>
      </c>
      <c r="K223" t="str">
        <f>_xlfn.XLOOKUP(Table8[[#This Row],[Supporter_ID]],tb1_supporters[Supporter_ID ],tb1_supporters[Acquisition_Source],"")</f>
        <v>Website</v>
      </c>
      <c r="L223" t="str">
        <f>_xlfn.XLOOKUP(Table8[[#This Row],[Supporter_ID]],tb1_supporters[Supporter_ID ],tb1_supporters[County],"")</f>
        <v>Wiltshire</v>
      </c>
      <c r="M223" t="str">
        <f>_xlfn.XLOOKUP(Table8[[#This Row],[Supporter_ID]],tb1_supporters[Supporter_ID ],tb1_supporters[Gender],"")</f>
        <v>Female</v>
      </c>
      <c r="N223">
        <f ca="1">_xlfn.XLOOKUP(Table8[[#This Row],[Supporter_ID]],tb1_supporters[Supporter_ID ],tb1_supporters[Age],"")</f>
        <v>85</v>
      </c>
      <c r="O223" t="str">
        <f ca="1">_xlfn.XLOOKUP(Table8[[#This Row],[Supporter_ID]],tb1_supporters[Supporter_ID ],tb1_supporters[Age_Band],"")</f>
        <v>65+</v>
      </c>
      <c r="P223" t="str">
        <f ca="1">IF(Table8[[#This Row],[Age_Band]]="","Unknown",Table8[[#This Row],[Age_Band]])</f>
        <v>65+</v>
      </c>
      <c r="Q223" t="str">
        <f>_xlfn.XLOOKUP(Table8[[#This Row],[Supporter_ID]],tb1_supporters[Supporter_ID ],tb1_supporters[Communication_Preference],"")</f>
        <v>No Preference</v>
      </c>
      <c r="R223" t="str">
        <f>_xlfn.XLOOKUP(Table8[[#This Row],[Supporter_ID]],tb1_supporters[Supporter_ID ],tb1_supporters[Duplicate_Profile_Flag],"")</f>
        <v/>
      </c>
      <c r="S223" t="str">
        <f>_xlfn.XLOOKUP(Table8[[#This Row],[Supporter_ID]],tb1_supporters[Supporter_ID ],tb1_supporters[Preference_Compliance_Flag],"")</f>
        <v/>
      </c>
      <c r="T223" t="str">
        <f ca="1">IF(Table8[[#This Row],[Age]]="","Review - missing DOB",IF(Table8[[#This Row],[Age]]&gt;TODAY(),"Review - future DOB",IF(Table8[[#This Row],[Age]]=0,"Review -  potential entry error (age 0)","")))</f>
        <v/>
      </c>
      <c r="U223" t="str">
        <f>_xlfn.XLOOKUP(Table8[[#This Row],[Campaign_Code]],tb3_CampaignMaster[Campaign_Code],tb3_CampaignMaster[Campaign_Type],"")</f>
        <v>Acquisition</v>
      </c>
      <c r="V223" t="str">
        <f>_xlfn.XLOOKUP(Table8[[#This Row],[Campaign_Code]],tb3_CampaignMaster[Campaign_Code],tb3_CampaignMaster[Target_Audience],"")</f>
        <v>Prospects</v>
      </c>
      <c r="W223" s="17">
        <f>_xlfn.XLOOKUP(Table8[[#This Row],[Campaign_Code]],tb3_CampaignMaster[Campaign_Code],tb3_CampaignMaster[Start_Date],"")</f>
        <v>45689</v>
      </c>
      <c r="X223" s="17">
        <f>_xlfn.XLOOKUP(Table8[[#This Row],[Campaign_Code]],tb3_CampaignMaster[Campaign_Code],tb3_CampaignMaster[End_Date],"")</f>
        <v>45777</v>
      </c>
      <c r="Y223">
        <f>_xlfn.XLOOKUP(Table8[[#This Row],[Campaign_Code]],tb3_CampaignMaster[Campaign_Code],tb3_CampaignMaster[Budget_GBP],"")</f>
        <v>20000</v>
      </c>
      <c r="Z223" t="str">
        <f>_xlfn.XLOOKUP(Table8[[#This Row],[Campaign_Code]],tb3_CampaignMaster[Campaign_Code],tb3_CampaignMaster[Primary_Channel],"")</f>
        <v>Digital</v>
      </c>
      <c r="AA223" s="13">
        <f>IF(Table8[[#This Row],[Gift_Aid_Eligible]]="Yes",Table8[[#This Row],[Gift_Amount]]*1.25,Table8[[#This Row],[Gift_Amount]])</f>
        <v>185.23750000000001</v>
      </c>
      <c r="AB223" t="str">
        <f>IF(Table8[[#This Row],[Supporter_ID]]="","Review - missing supporter ID","")</f>
        <v/>
      </c>
      <c r="AC223" t="str">
        <f>IF(OR(Table8[[#This Row],[Response_Date]]&lt;Table8[[#This Row],[Start_Date]],Table8[[#This Row],[Response_Date]]&gt;Table8[[#This Row],[End_Date]]),"Review - response outside campaign dates","")</f>
        <v/>
      </c>
      <c r="AD223" t="str">
        <f>IF(Table8[[#This Row],[Campaign_Type]]="","Review - campaign code not found","")</f>
        <v/>
      </c>
    </row>
    <row r="224" spans="1:30" x14ac:dyDescent="0.25">
      <c r="A224" t="s">
        <v>3761</v>
      </c>
      <c r="B224" t="s">
        <v>2928</v>
      </c>
      <c r="C224" t="s">
        <v>3341</v>
      </c>
      <c r="D224" t="s">
        <v>3342</v>
      </c>
      <c r="E224" t="s">
        <v>91</v>
      </c>
      <c r="F224" s="17">
        <v>45700</v>
      </c>
      <c r="G224">
        <v>25.72</v>
      </c>
      <c r="H224" t="s">
        <v>36</v>
      </c>
      <c r="I224" t="s">
        <v>3328</v>
      </c>
      <c r="J224" t="str">
        <f>_xlfn.XLOOKUP(Table8[[#This Row],[Supporter_ID]],tb1_supporters[Supporter_ID ],tb1_supporters[Segment],"")</f>
        <v>Prospect</v>
      </c>
      <c r="K224" t="str">
        <f>_xlfn.XLOOKUP(Table8[[#This Row],[Supporter_ID]],tb1_supporters[Supporter_ID ],tb1_supporters[Acquisition_Source],"")</f>
        <v>Door-To-Door</v>
      </c>
      <c r="L224" t="str">
        <f>_xlfn.XLOOKUP(Table8[[#This Row],[Supporter_ID]],tb1_supporters[Supporter_ID ],tb1_supporters[County],"")</f>
        <v>North Yorkshire</v>
      </c>
      <c r="M224" t="str">
        <f>_xlfn.XLOOKUP(Table8[[#This Row],[Supporter_ID]],tb1_supporters[Supporter_ID ],tb1_supporters[Gender],"")</f>
        <v>Female</v>
      </c>
      <c r="N224">
        <f ca="1">_xlfn.XLOOKUP(Table8[[#This Row],[Supporter_ID]],tb1_supporters[Supporter_ID ],tb1_supporters[Age],"")</f>
        <v>75</v>
      </c>
      <c r="O224" t="str">
        <f ca="1">_xlfn.XLOOKUP(Table8[[#This Row],[Supporter_ID]],tb1_supporters[Supporter_ID ],tb1_supporters[Age_Band],"")</f>
        <v>65+</v>
      </c>
      <c r="P224" t="str">
        <f ca="1">IF(Table8[[#This Row],[Age_Band]]="","Unknown",Table8[[#This Row],[Age_Band]])</f>
        <v>65+</v>
      </c>
      <c r="Q224" t="str">
        <f>_xlfn.XLOOKUP(Table8[[#This Row],[Supporter_ID]],tb1_supporters[Supporter_ID ],tb1_supporters[Communication_Preference],"")</f>
        <v>Email</v>
      </c>
      <c r="R224" t="str">
        <f>_xlfn.XLOOKUP(Table8[[#This Row],[Supporter_ID]],tb1_supporters[Supporter_ID ],tb1_supporters[Duplicate_Profile_Flag],"")</f>
        <v/>
      </c>
      <c r="S224" t="str">
        <f>_xlfn.XLOOKUP(Table8[[#This Row],[Supporter_ID]],tb1_supporters[Supporter_ID ],tb1_supporters[Preference_Compliance_Flag],"")</f>
        <v/>
      </c>
      <c r="T224" t="str">
        <f ca="1">IF(Table8[[#This Row],[Age]]="","Review - missing DOB",IF(Table8[[#This Row],[Age]]&gt;TODAY(),"Review - future DOB",IF(Table8[[#This Row],[Age]]=0,"Review -  potential entry error (age 0)","")))</f>
        <v/>
      </c>
      <c r="U224" t="str">
        <f>_xlfn.XLOOKUP(Table8[[#This Row],[Campaign_Code]],tb3_CampaignMaster[Campaign_Code],tb3_CampaignMaster[Campaign_Type],"")</f>
        <v>Acquisition</v>
      </c>
      <c r="V224" t="str">
        <f>_xlfn.XLOOKUP(Table8[[#This Row],[Campaign_Code]],tb3_CampaignMaster[Campaign_Code],tb3_CampaignMaster[Target_Audience],"")</f>
        <v>Prospects</v>
      </c>
      <c r="W224" s="17">
        <f>_xlfn.XLOOKUP(Table8[[#This Row],[Campaign_Code]],tb3_CampaignMaster[Campaign_Code],tb3_CampaignMaster[Start_Date],"")</f>
        <v>45689</v>
      </c>
      <c r="X224" s="17">
        <f>_xlfn.XLOOKUP(Table8[[#This Row],[Campaign_Code]],tb3_CampaignMaster[Campaign_Code],tb3_CampaignMaster[End_Date],"")</f>
        <v>45777</v>
      </c>
      <c r="Y224">
        <f>_xlfn.XLOOKUP(Table8[[#This Row],[Campaign_Code]],tb3_CampaignMaster[Campaign_Code],tb3_CampaignMaster[Budget_GBP],"")</f>
        <v>20000</v>
      </c>
      <c r="Z224" t="str">
        <f>_xlfn.XLOOKUP(Table8[[#This Row],[Campaign_Code]],tb3_CampaignMaster[Campaign_Code],tb3_CampaignMaster[Primary_Channel],"")</f>
        <v>Digital</v>
      </c>
      <c r="AA224" s="13">
        <f>IF(Table8[[#This Row],[Gift_Aid_Eligible]]="Yes",Table8[[#This Row],[Gift_Amount]]*1.25,Table8[[#This Row],[Gift_Amount]])</f>
        <v>32.15</v>
      </c>
      <c r="AB224" t="str">
        <f>IF(Table8[[#This Row],[Supporter_ID]]="","Review - missing supporter ID","")</f>
        <v/>
      </c>
      <c r="AC224" t="str">
        <f>IF(OR(Table8[[#This Row],[Response_Date]]&lt;Table8[[#This Row],[Start_Date]],Table8[[#This Row],[Response_Date]]&gt;Table8[[#This Row],[End_Date]]),"Review - response outside campaign dates","")</f>
        <v/>
      </c>
      <c r="AD224" t="str">
        <f>IF(Table8[[#This Row],[Campaign_Type]]="","Review - campaign code not found","")</f>
        <v/>
      </c>
    </row>
    <row r="225" spans="1:30" x14ac:dyDescent="0.25">
      <c r="A225" t="s">
        <v>3763</v>
      </c>
      <c r="B225" t="s">
        <v>234</v>
      </c>
      <c r="C225" t="s">
        <v>3403</v>
      </c>
      <c r="D225" t="s">
        <v>3404</v>
      </c>
      <c r="E225" t="s">
        <v>3316</v>
      </c>
      <c r="F225" s="17">
        <v>45624</v>
      </c>
      <c r="G225">
        <v>305.92</v>
      </c>
      <c r="H225" t="s">
        <v>37</v>
      </c>
      <c r="I225" t="s">
        <v>3331</v>
      </c>
      <c r="J225" t="str">
        <f>_xlfn.XLOOKUP(Table8[[#This Row],[Supporter_ID]],tb1_supporters[Supporter_ID ],tb1_supporters[Segment],"")</f>
        <v>Legacy Pledger</v>
      </c>
      <c r="K225" t="str">
        <f>_xlfn.XLOOKUP(Table8[[#This Row],[Supporter_ID]],tb1_supporters[Supporter_ID ],tb1_supporters[Acquisition_Source],"")</f>
        <v>Telephone</v>
      </c>
      <c r="L225" t="str">
        <f>_xlfn.XLOOKUP(Table8[[#This Row],[Supporter_ID]],tb1_supporters[Supporter_ID ],tb1_supporters[County],"")</f>
        <v>West Midlands</v>
      </c>
      <c r="M225" t="str">
        <f>_xlfn.XLOOKUP(Table8[[#This Row],[Supporter_ID]],tb1_supporters[Supporter_ID ],tb1_supporters[Gender],"")</f>
        <v>Female</v>
      </c>
      <c r="N225">
        <f ca="1">_xlfn.XLOOKUP(Table8[[#This Row],[Supporter_ID]],tb1_supporters[Supporter_ID ],tb1_supporters[Age],"")</f>
        <v>26</v>
      </c>
      <c r="O225" t="str">
        <f ca="1">_xlfn.XLOOKUP(Table8[[#This Row],[Supporter_ID]],tb1_supporters[Supporter_ID ],tb1_supporters[Age_Band],"")</f>
        <v>18-34</v>
      </c>
      <c r="P225" t="str">
        <f ca="1">IF(Table8[[#This Row],[Age_Band]]="","Unknown",Table8[[#This Row],[Age_Band]])</f>
        <v>18-34</v>
      </c>
      <c r="Q225" t="str">
        <f>_xlfn.XLOOKUP(Table8[[#This Row],[Supporter_ID]],tb1_supporters[Supporter_ID ],tb1_supporters[Communication_Preference],"")</f>
        <v>Email</v>
      </c>
      <c r="R225" t="str">
        <f>_xlfn.XLOOKUP(Table8[[#This Row],[Supporter_ID]],tb1_supporters[Supporter_ID ],tb1_supporters[Duplicate_Profile_Flag],"")</f>
        <v/>
      </c>
      <c r="S225" t="str">
        <f>_xlfn.XLOOKUP(Table8[[#This Row],[Supporter_ID]],tb1_supporters[Supporter_ID ],tb1_supporters[Preference_Compliance_Flag],"")</f>
        <v/>
      </c>
      <c r="T225" t="str">
        <f ca="1">IF(Table8[[#This Row],[Age]]="","Review - missing DOB",IF(Table8[[#This Row],[Age]]&gt;TODAY(),"Review - future DOB",IF(Table8[[#This Row],[Age]]=0,"Review -  potential entry error (age 0)","")))</f>
        <v/>
      </c>
      <c r="U225" t="str">
        <f>_xlfn.XLOOKUP(Table8[[#This Row],[Campaign_Code]],tb3_CampaignMaster[Campaign_Code],tb3_CampaignMaster[Campaign_Type],"")</f>
        <v>Trading</v>
      </c>
      <c r="V225" t="str">
        <f>_xlfn.XLOOKUP(Table8[[#This Row],[Campaign_Code]],tb3_CampaignMaster[Campaign_Code],tb3_CampaignMaster[Target_Audience],"")</f>
        <v>All Active</v>
      </c>
      <c r="W225" s="17">
        <f>_xlfn.XLOOKUP(Table8[[#This Row],[Campaign_Code]],tb3_CampaignMaster[Campaign_Code],tb3_CampaignMaster[Start_Date],"")</f>
        <v>45580</v>
      </c>
      <c r="X225" s="17">
        <f>_xlfn.XLOOKUP(Table8[[#This Row],[Campaign_Code]],tb3_CampaignMaster[Campaign_Code],tb3_CampaignMaster[End_Date],"")</f>
        <v>45646</v>
      </c>
      <c r="Y225">
        <f>_xlfn.XLOOKUP(Table8[[#This Row],[Campaign_Code]],tb3_CampaignMaster[Campaign_Code],tb3_CampaignMaster[Budget_GBP],"")</f>
        <v>12000</v>
      </c>
      <c r="Z225" t="str">
        <f>_xlfn.XLOOKUP(Table8[[#This Row],[Campaign_Code]],tb3_CampaignMaster[Campaign_Code],tb3_CampaignMaster[Primary_Channel],"")</f>
        <v>Multi-channel</v>
      </c>
      <c r="AA225" s="13">
        <f>IF(Table8[[#This Row],[Gift_Aid_Eligible]]="Yes",Table8[[#This Row],[Gift_Amount]]*1.25,Table8[[#This Row],[Gift_Amount]])</f>
        <v>305.92</v>
      </c>
      <c r="AB225" t="str">
        <f>IF(Table8[[#This Row],[Supporter_ID]]="","Review - missing supporter ID","")</f>
        <v/>
      </c>
      <c r="AC225" t="str">
        <f>IF(OR(Table8[[#This Row],[Response_Date]]&lt;Table8[[#This Row],[Start_Date]],Table8[[#This Row],[Response_Date]]&gt;Table8[[#This Row],[End_Date]]),"Review - response outside campaign dates","")</f>
        <v/>
      </c>
      <c r="AD225" t="str">
        <f>IF(Table8[[#This Row],[Campaign_Type]]="","Review - campaign code not found","")</f>
        <v/>
      </c>
    </row>
    <row r="226" spans="1:30" x14ac:dyDescent="0.25">
      <c r="A226" t="s">
        <v>3765</v>
      </c>
      <c r="B226" t="s">
        <v>1097</v>
      </c>
      <c r="C226" t="s">
        <v>3336</v>
      </c>
      <c r="D226" t="s">
        <v>3337</v>
      </c>
      <c r="E226" t="s">
        <v>3316</v>
      </c>
      <c r="F226" s="17">
        <v>45564</v>
      </c>
      <c r="G226">
        <v>17.809999999999999</v>
      </c>
      <c r="H226" t="s">
        <v>36</v>
      </c>
      <c r="I226" t="s">
        <v>3331</v>
      </c>
      <c r="J226" t="str">
        <f>_xlfn.XLOOKUP(Table8[[#This Row],[Supporter_ID]],tb1_supporters[Supporter_ID ],tb1_supporters[Segment],"")</f>
        <v>Prospect</v>
      </c>
      <c r="K226" t="str">
        <f>_xlfn.XLOOKUP(Table8[[#This Row],[Supporter_ID]],tb1_supporters[Supporter_ID ],tb1_supporters[Acquisition_Source],"")</f>
        <v>Social Media</v>
      </c>
      <c r="L226" t="str">
        <f>_xlfn.XLOOKUP(Table8[[#This Row],[Supporter_ID]],tb1_supporters[Supporter_ID ],tb1_supporters[County],"")</f>
        <v>West Midlands</v>
      </c>
      <c r="M226" t="str">
        <f>_xlfn.XLOOKUP(Table8[[#This Row],[Supporter_ID]],tb1_supporters[Supporter_ID ],tb1_supporters[Gender],"")</f>
        <v>Male</v>
      </c>
      <c r="N226">
        <f ca="1">_xlfn.XLOOKUP(Table8[[#This Row],[Supporter_ID]],tb1_supporters[Supporter_ID ],tb1_supporters[Age],"")</f>
        <v>61</v>
      </c>
      <c r="O226" t="str">
        <f ca="1">_xlfn.XLOOKUP(Table8[[#This Row],[Supporter_ID]],tb1_supporters[Supporter_ID ],tb1_supporters[Age_Band],"")</f>
        <v>50-64</v>
      </c>
      <c r="P226" t="str">
        <f ca="1">IF(Table8[[#This Row],[Age_Band]]="","Unknown",Table8[[#This Row],[Age_Band]])</f>
        <v>50-64</v>
      </c>
      <c r="Q226" t="str">
        <f>_xlfn.XLOOKUP(Table8[[#This Row],[Supporter_ID]],tb1_supporters[Supporter_ID ],tb1_supporters[Communication_Preference],"")</f>
        <v>Do Not Contact</v>
      </c>
      <c r="R226" t="str">
        <f>_xlfn.XLOOKUP(Table8[[#This Row],[Supporter_ID]],tb1_supporters[Supporter_ID ],tb1_supporters[Duplicate_Profile_Flag],"")</f>
        <v/>
      </c>
      <c r="S226" t="str">
        <f>_xlfn.XLOOKUP(Table8[[#This Row],[Supporter_ID]],tb1_supporters[Supporter_ID ],tb1_supporters[Preference_Compliance_Flag],"")</f>
        <v/>
      </c>
      <c r="T226" t="str">
        <f ca="1">IF(Table8[[#This Row],[Age]]="","Review - missing DOB",IF(Table8[[#This Row],[Age]]&gt;TODAY(),"Review - future DOB",IF(Table8[[#This Row],[Age]]=0,"Review -  potential entry error (age 0)","")))</f>
        <v/>
      </c>
      <c r="U226" t="str">
        <f>_xlfn.XLOOKUP(Table8[[#This Row],[Campaign_Code]],tb3_CampaignMaster[Campaign_Code],tb3_CampaignMaster[Campaign_Type],"")</f>
        <v>Appeal</v>
      </c>
      <c r="V226" t="str">
        <f>_xlfn.XLOOKUP(Table8[[#This Row],[Campaign_Code]],tb3_CampaignMaster[Campaign_Code],tb3_CampaignMaster[Target_Audience],"")</f>
        <v>All Supporters</v>
      </c>
      <c r="W226" s="17">
        <f>_xlfn.XLOOKUP(Table8[[#This Row],[Campaign_Code]],tb3_CampaignMaster[Campaign_Code],tb3_CampaignMaster[Start_Date],"")</f>
        <v>45545</v>
      </c>
      <c r="X226" s="17">
        <f>_xlfn.XLOOKUP(Table8[[#This Row],[Campaign_Code]],tb3_CampaignMaster[Campaign_Code],tb3_CampaignMaster[End_Date],"")</f>
        <v>45580</v>
      </c>
      <c r="Y226">
        <f>_xlfn.XLOOKUP(Table8[[#This Row],[Campaign_Code]],tb3_CampaignMaster[Campaign_Code],tb3_CampaignMaster[Budget_GBP],"")</f>
        <v>15000</v>
      </c>
      <c r="Z226" t="str">
        <f>_xlfn.XLOOKUP(Table8[[#This Row],[Campaign_Code]],tb3_CampaignMaster[Campaign_Code],tb3_CampaignMaster[Primary_Channel],"")</f>
        <v>Email</v>
      </c>
      <c r="AA226" s="13">
        <f>IF(Table8[[#This Row],[Gift_Aid_Eligible]]="Yes",Table8[[#This Row],[Gift_Amount]]*1.25,Table8[[#This Row],[Gift_Amount]])</f>
        <v>22.262499999999999</v>
      </c>
      <c r="AB226" t="str">
        <f>IF(Table8[[#This Row],[Supporter_ID]]="","Review - missing supporter ID","")</f>
        <v/>
      </c>
      <c r="AC226" t="str">
        <f>IF(OR(Table8[[#This Row],[Response_Date]]&lt;Table8[[#This Row],[Start_Date]],Table8[[#This Row],[Response_Date]]&gt;Table8[[#This Row],[End_Date]]),"Review - response outside campaign dates","")</f>
        <v/>
      </c>
      <c r="AD226" t="str">
        <f>IF(Table8[[#This Row],[Campaign_Type]]="","Review - campaign code not found","")</f>
        <v/>
      </c>
    </row>
    <row r="227" spans="1:30" x14ac:dyDescent="0.25">
      <c r="A227" t="s">
        <v>3767</v>
      </c>
      <c r="B227" t="s">
        <v>3021</v>
      </c>
      <c r="C227" t="s">
        <v>3367</v>
      </c>
      <c r="D227" t="s">
        <v>3368</v>
      </c>
      <c r="E227" t="s">
        <v>4</v>
      </c>
      <c r="F227" s="17">
        <v>45776</v>
      </c>
      <c r="G227">
        <v>17.7</v>
      </c>
      <c r="H227" t="s">
        <v>37</v>
      </c>
      <c r="I227" t="s">
        <v>3318</v>
      </c>
      <c r="J227" t="str">
        <f>_xlfn.XLOOKUP(Table8[[#This Row],[Supporter_ID]],tb1_supporters[Supporter_ID ],tb1_supporters[Segment],"")</f>
        <v>Lapsed</v>
      </c>
      <c r="K227" t="str">
        <f>_xlfn.XLOOKUP(Table8[[#This Row],[Supporter_ID]],tb1_supporters[Supporter_ID ],tb1_supporters[Acquisition_Source],"")</f>
        <v>Door-To-Door</v>
      </c>
      <c r="L227" t="str">
        <f>_xlfn.XLOOKUP(Table8[[#This Row],[Supporter_ID]],tb1_supporters[Supporter_ID ],tb1_supporters[County],"")</f>
        <v>Strathclyde</v>
      </c>
      <c r="M227" t="str">
        <f>_xlfn.XLOOKUP(Table8[[#This Row],[Supporter_ID]],tb1_supporters[Supporter_ID ],tb1_supporters[Gender],"")</f>
        <v>Female</v>
      </c>
      <c r="N227">
        <f ca="1">_xlfn.XLOOKUP(Table8[[#This Row],[Supporter_ID]],tb1_supporters[Supporter_ID ],tb1_supporters[Age],"")</f>
        <v>86</v>
      </c>
      <c r="O227" t="str">
        <f ca="1">_xlfn.XLOOKUP(Table8[[#This Row],[Supporter_ID]],tb1_supporters[Supporter_ID ],tb1_supporters[Age_Band],"")</f>
        <v>65+</v>
      </c>
      <c r="P227" t="str">
        <f ca="1">IF(Table8[[#This Row],[Age_Band]]="","Unknown",Table8[[#This Row],[Age_Band]])</f>
        <v>65+</v>
      </c>
      <c r="Q227" t="str">
        <f>_xlfn.XLOOKUP(Table8[[#This Row],[Supporter_ID]],tb1_supporters[Supporter_ID ],tb1_supporters[Communication_Preference],"")</f>
        <v>Email</v>
      </c>
      <c r="R227" t="str">
        <f>_xlfn.XLOOKUP(Table8[[#This Row],[Supporter_ID]],tb1_supporters[Supporter_ID ],tb1_supporters[Duplicate_Profile_Flag],"")</f>
        <v/>
      </c>
      <c r="S227" t="str">
        <f>_xlfn.XLOOKUP(Table8[[#This Row],[Supporter_ID]],tb1_supporters[Supporter_ID ],tb1_supporters[Preference_Compliance_Flag],"")</f>
        <v/>
      </c>
      <c r="T227" t="str">
        <f ca="1">IF(Table8[[#This Row],[Age]]="","Review - missing DOB",IF(Table8[[#This Row],[Age]]&gt;TODAY(),"Review - future DOB",IF(Table8[[#This Row],[Age]]=0,"Review -  potential entry error (age 0)","")))</f>
        <v/>
      </c>
      <c r="U227" t="str">
        <f>_xlfn.XLOOKUP(Table8[[#This Row],[Campaign_Code]],tb3_CampaignMaster[Campaign_Code],tb3_CampaignMaster[Campaign_Type],"")</f>
        <v>Raffle</v>
      </c>
      <c r="V227" t="str">
        <f>_xlfn.XLOOKUP(Table8[[#This Row],[Campaign_Code]],tb3_CampaignMaster[Campaign_Code],tb3_CampaignMaster[Target_Audience],"")</f>
        <v>Regular Givers</v>
      </c>
      <c r="W227" s="17">
        <f>_xlfn.XLOOKUP(Table8[[#This Row],[Campaign_Code]],tb3_CampaignMaster[Campaign_Code],tb3_CampaignMaster[Start_Date],"")</f>
        <v>45717</v>
      </c>
      <c r="X227" s="17">
        <f>_xlfn.XLOOKUP(Table8[[#This Row],[Campaign_Code]],tb3_CampaignMaster[Campaign_Code],tb3_CampaignMaster[End_Date],"")</f>
        <v>45777</v>
      </c>
      <c r="Y227">
        <f>_xlfn.XLOOKUP(Table8[[#This Row],[Campaign_Code]],tb3_CampaignMaster[Campaign_Code],tb3_CampaignMaster[Budget_GBP],"")</f>
        <v>8000</v>
      </c>
      <c r="Z227" t="str">
        <f>_xlfn.XLOOKUP(Table8[[#This Row],[Campaign_Code]],tb3_CampaignMaster[Campaign_Code],tb3_CampaignMaster[Primary_Channel],"")</f>
        <v>Direct Mail</v>
      </c>
      <c r="AA227" s="13">
        <f>IF(Table8[[#This Row],[Gift_Aid_Eligible]]="Yes",Table8[[#This Row],[Gift_Amount]]*1.25,Table8[[#This Row],[Gift_Amount]])</f>
        <v>17.7</v>
      </c>
      <c r="AB227" t="str">
        <f>IF(Table8[[#This Row],[Supporter_ID]]="","Review - missing supporter ID","")</f>
        <v/>
      </c>
      <c r="AC227" t="str">
        <f>IF(OR(Table8[[#This Row],[Response_Date]]&lt;Table8[[#This Row],[Start_Date]],Table8[[#This Row],[Response_Date]]&gt;Table8[[#This Row],[End_Date]]),"Review - response outside campaign dates","")</f>
        <v/>
      </c>
      <c r="AD227" t="str">
        <f>IF(Table8[[#This Row],[Campaign_Type]]="","Review - campaign code not found","")</f>
        <v/>
      </c>
    </row>
    <row r="228" spans="1:30" x14ac:dyDescent="0.25">
      <c r="A228" t="s">
        <v>3769</v>
      </c>
      <c r="B228" t="s">
        <v>1976</v>
      </c>
      <c r="C228" t="s">
        <v>3336</v>
      </c>
      <c r="D228" t="s">
        <v>3337</v>
      </c>
      <c r="E228" t="s">
        <v>65</v>
      </c>
      <c r="F228" s="17">
        <v>45555</v>
      </c>
      <c r="G228">
        <v>399.43</v>
      </c>
      <c r="H228" t="s">
        <v>37</v>
      </c>
      <c r="I228" t="s">
        <v>3334</v>
      </c>
      <c r="J228" t="str">
        <f>_xlfn.XLOOKUP(Table8[[#This Row],[Supporter_ID]],tb1_supporters[Supporter_ID ],tb1_supporters[Segment],"")</f>
        <v>Major Donor</v>
      </c>
      <c r="K228" t="str">
        <f>_xlfn.XLOOKUP(Table8[[#This Row],[Supporter_ID]],tb1_supporters[Supporter_ID ],tb1_supporters[Acquisition_Source],"")</f>
        <v>Referral</v>
      </c>
      <c r="L228" t="str">
        <f>_xlfn.XLOOKUP(Table8[[#This Row],[Supporter_ID]],tb1_supporters[Supporter_ID ],tb1_supporters[County],"")</f>
        <v>East Sussex</v>
      </c>
      <c r="M228" t="str">
        <f>_xlfn.XLOOKUP(Table8[[#This Row],[Supporter_ID]],tb1_supporters[Supporter_ID ],tb1_supporters[Gender],"")</f>
        <v>Female</v>
      </c>
      <c r="N228">
        <f ca="1">_xlfn.XLOOKUP(Table8[[#This Row],[Supporter_ID]],tb1_supporters[Supporter_ID ],tb1_supporters[Age],"")</f>
        <v>75</v>
      </c>
      <c r="O228" t="str">
        <f ca="1">_xlfn.XLOOKUP(Table8[[#This Row],[Supporter_ID]],tb1_supporters[Supporter_ID ],tb1_supporters[Age_Band],"")</f>
        <v>65+</v>
      </c>
      <c r="P228" t="str">
        <f ca="1">IF(Table8[[#This Row],[Age_Band]]="","Unknown",Table8[[#This Row],[Age_Band]])</f>
        <v>65+</v>
      </c>
      <c r="Q228" t="str">
        <f>_xlfn.XLOOKUP(Table8[[#This Row],[Supporter_ID]],tb1_supporters[Supporter_ID ],tb1_supporters[Communication_Preference],"")</f>
        <v>Email</v>
      </c>
      <c r="R228" t="str">
        <f>_xlfn.XLOOKUP(Table8[[#This Row],[Supporter_ID]],tb1_supporters[Supporter_ID ],tb1_supporters[Duplicate_Profile_Flag],"")</f>
        <v/>
      </c>
      <c r="S228" t="str">
        <f>_xlfn.XLOOKUP(Table8[[#This Row],[Supporter_ID]],tb1_supporters[Supporter_ID ],tb1_supporters[Preference_Compliance_Flag],"")</f>
        <v/>
      </c>
      <c r="T228" t="str">
        <f ca="1">IF(Table8[[#This Row],[Age]]="","Review - missing DOB",IF(Table8[[#This Row],[Age]]&gt;TODAY(),"Review - future DOB",IF(Table8[[#This Row],[Age]]=0,"Review -  potential entry error (age 0)","")))</f>
        <v/>
      </c>
      <c r="U228" t="str">
        <f>_xlfn.XLOOKUP(Table8[[#This Row],[Campaign_Code]],tb3_CampaignMaster[Campaign_Code],tb3_CampaignMaster[Campaign_Type],"")</f>
        <v>Appeal</v>
      </c>
      <c r="V228" t="str">
        <f>_xlfn.XLOOKUP(Table8[[#This Row],[Campaign_Code]],tb3_CampaignMaster[Campaign_Code],tb3_CampaignMaster[Target_Audience],"")</f>
        <v>All Supporters</v>
      </c>
      <c r="W228" s="17">
        <f>_xlfn.XLOOKUP(Table8[[#This Row],[Campaign_Code]],tb3_CampaignMaster[Campaign_Code],tb3_CampaignMaster[Start_Date],"")</f>
        <v>45545</v>
      </c>
      <c r="X228" s="17">
        <f>_xlfn.XLOOKUP(Table8[[#This Row],[Campaign_Code]],tb3_CampaignMaster[Campaign_Code],tb3_CampaignMaster[End_Date],"")</f>
        <v>45580</v>
      </c>
      <c r="Y228">
        <f>_xlfn.XLOOKUP(Table8[[#This Row],[Campaign_Code]],tb3_CampaignMaster[Campaign_Code],tb3_CampaignMaster[Budget_GBP],"")</f>
        <v>15000</v>
      </c>
      <c r="Z228" t="str">
        <f>_xlfn.XLOOKUP(Table8[[#This Row],[Campaign_Code]],tb3_CampaignMaster[Campaign_Code],tb3_CampaignMaster[Primary_Channel],"")</f>
        <v>Email</v>
      </c>
      <c r="AA228" s="13">
        <f>IF(Table8[[#This Row],[Gift_Aid_Eligible]]="Yes",Table8[[#This Row],[Gift_Amount]]*1.25,Table8[[#This Row],[Gift_Amount]])</f>
        <v>399.43</v>
      </c>
      <c r="AB228" t="str">
        <f>IF(Table8[[#This Row],[Supporter_ID]]="","Review - missing supporter ID","")</f>
        <v/>
      </c>
      <c r="AC228" t="str">
        <f>IF(OR(Table8[[#This Row],[Response_Date]]&lt;Table8[[#This Row],[Start_Date]],Table8[[#This Row],[Response_Date]]&gt;Table8[[#This Row],[End_Date]]),"Review - response outside campaign dates","")</f>
        <v/>
      </c>
      <c r="AD228" t="str">
        <f>IF(Table8[[#This Row],[Campaign_Type]]="","Review - campaign code not found","")</f>
        <v/>
      </c>
    </row>
    <row r="229" spans="1:30" x14ac:dyDescent="0.25">
      <c r="A229" t="s">
        <v>3771</v>
      </c>
      <c r="B229" t="s">
        <v>2976</v>
      </c>
      <c r="C229" t="s">
        <v>3367</v>
      </c>
      <c r="D229" t="s">
        <v>3368</v>
      </c>
      <c r="E229" t="s">
        <v>65</v>
      </c>
      <c r="F229" s="17">
        <v>45736</v>
      </c>
      <c r="G229">
        <v>10.72</v>
      </c>
      <c r="H229" t="s">
        <v>37</v>
      </c>
      <c r="I229" t="s">
        <v>3334</v>
      </c>
      <c r="J229" t="str">
        <f>_xlfn.XLOOKUP(Table8[[#This Row],[Supporter_ID]],tb1_supporters[Supporter_ID ],tb1_supporters[Segment],"")</f>
        <v>Regular Giver</v>
      </c>
      <c r="K229" t="str">
        <f>_xlfn.XLOOKUP(Table8[[#This Row],[Supporter_ID]],tb1_supporters[Supporter_ID ],tb1_supporters[Acquisition_Source],"")</f>
        <v>Telephone</v>
      </c>
      <c r="L229" t="str">
        <f>_xlfn.XLOOKUP(Table8[[#This Row],[Supporter_ID]],tb1_supporters[Supporter_ID ],tb1_supporters[County],"")</f>
        <v>Strathclyde</v>
      </c>
      <c r="M229" t="str">
        <f>_xlfn.XLOOKUP(Table8[[#This Row],[Supporter_ID]],tb1_supporters[Supporter_ID ],tb1_supporters[Gender],"")</f>
        <v>Male</v>
      </c>
      <c r="N229">
        <f ca="1">_xlfn.XLOOKUP(Table8[[#This Row],[Supporter_ID]],tb1_supporters[Supporter_ID ],tb1_supporters[Age],"")</f>
        <v>57</v>
      </c>
      <c r="O229" t="str">
        <f ca="1">_xlfn.XLOOKUP(Table8[[#This Row],[Supporter_ID]],tb1_supporters[Supporter_ID ],tb1_supporters[Age_Band],"")</f>
        <v>50-64</v>
      </c>
      <c r="P229" t="str">
        <f ca="1">IF(Table8[[#This Row],[Age_Band]]="","Unknown",Table8[[#This Row],[Age_Band]])</f>
        <v>50-64</v>
      </c>
      <c r="Q229" t="str">
        <f>_xlfn.XLOOKUP(Table8[[#This Row],[Supporter_ID]],tb1_supporters[Supporter_ID ],tb1_supporters[Communication_Preference],"")</f>
        <v>Post</v>
      </c>
      <c r="R229" t="str">
        <f>_xlfn.XLOOKUP(Table8[[#This Row],[Supporter_ID]],tb1_supporters[Supporter_ID ],tb1_supporters[Duplicate_Profile_Flag],"")</f>
        <v/>
      </c>
      <c r="S229" t="str">
        <f>_xlfn.XLOOKUP(Table8[[#This Row],[Supporter_ID]],tb1_supporters[Supporter_ID ],tb1_supporters[Preference_Compliance_Flag],"")</f>
        <v/>
      </c>
      <c r="T229" t="str">
        <f ca="1">IF(Table8[[#This Row],[Age]]="","Review - missing DOB",IF(Table8[[#This Row],[Age]]&gt;TODAY(),"Review - future DOB",IF(Table8[[#This Row],[Age]]=0,"Review -  potential entry error (age 0)","")))</f>
        <v/>
      </c>
      <c r="U229" t="str">
        <f>_xlfn.XLOOKUP(Table8[[#This Row],[Campaign_Code]],tb3_CampaignMaster[Campaign_Code],tb3_CampaignMaster[Campaign_Type],"")</f>
        <v>Raffle</v>
      </c>
      <c r="V229" t="str">
        <f>_xlfn.XLOOKUP(Table8[[#This Row],[Campaign_Code]],tb3_CampaignMaster[Campaign_Code],tb3_CampaignMaster[Target_Audience],"")</f>
        <v>Regular Givers</v>
      </c>
      <c r="W229" s="17">
        <f>_xlfn.XLOOKUP(Table8[[#This Row],[Campaign_Code]],tb3_CampaignMaster[Campaign_Code],tb3_CampaignMaster[Start_Date],"")</f>
        <v>45717</v>
      </c>
      <c r="X229" s="17">
        <f>_xlfn.XLOOKUP(Table8[[#This Row],[Campaign_Code]],tb3_CampaignMaster[Campaign_Code],tb3_CampaignMaster[End_Date],"")</f>
        <v>45777</v>
      </c>
      <c r="Y229">
        <f>_xlfn.XLOOKUP(Table8[[#This Row],[Campaign_Code]],tb3_CampaignMaster[Campaign_Code],tb3_CampaignMaster[Budget_GBP],"")</f>
        <v>8000</v>
      </c>
      <c r="Z229" t="str">
        <f>_xlfn.XLOOKUP(Table8[[#This Row],[Campaign_Code]],tb3_CampaignMaster[Campaign_Code],tb3_CampaignMaster[Primary_Channel],"")</f>
        <v>Direct Mail</v>
      </c>
      <c r="AA229" s="13">
        <f>IF(Table8[[#This Row],[Gift_Aid_Eligible]]="Yes",Table8[[#This Row],[Gift_Amount]]*1.25,Table8[[#This Row],[Gift_Amount]])</f>
        <v>10.72</v>
      </c>
      <c r="AB229" t="str">
        <f>IF(Table8[[#This Row],[Supporter_ID]]="","Review - missing supporter ID","")</f>
        <v/>
      </c>
      <c r="AC229" t="str">
        <f>IF(OR(Table8[[#This Row],[Response_Date]]&lt;Table8[[#This Row],[Start_Date]],Table8[[#This Row],[Response_Date]]&gt;Table8[[#This Row],[End_Date]]),"Review - response outside campaign dates","")</f>
        <v/>
      </c>
      <c r="AD229" t="str">
        <f>IF(Table8[[#This Row],[Campaign_Type]]="","Review - campaign code not found","")</f>
        <v/>
      </c>
    </row>
    <row r="230" spans="1:30" x14ac:dyDescent="0.25">
      <c r="A230" t="s">
        <v>3773</v>
      </c>
      <c r="B230" t="s">
        <v>1591</v>
      </c>
      <c r="C230" t="s">
        <v>3314</v>
      </c>
      <c r="D230" t="s">
        <v>3315</v>
      </c>
      <c r="E230" t="s">
        <v>65</v>
      </c>
      <c r="F230" s="17">
        <v>45743</v>
      </c>
      <c r="G230">
        <v>174.45</v>
      </c>
      <c r="H230" t="s">
        <v>37</v>
      </c>
      <c r="I230" t="s">
        <v>3334</v>
      </c>
      <c r="J230" t="str">
        <f>_xlfn.XLOOKUP(Table8[[#This Row],[Supporter_ID]],tb1_supporters[Supporter_ID ],tb1_supporters[Segment],"")</f>
        <v>Mid-Value</v>
      </c>
      <c r="K230" t="str">
        <f>_xlfn.XLOOKUP(Table8[[#This Row],[Supporter_ID]],tb1_supporters[Supporter_ID ],tb1_supporters[Acquisition_Source],"")</f>
        <v>Corporate Partner</v>
      </c>
      <c r="L230" t="str">
        <f>_xlfn.XLOOKUP(Table8[[#This Row],[Supporter_ID]],tb1_supporters[Supporter_ID ],tb1_supporters[County],"")</f>
        <v>South Glamorgan</v>
      </c>
      <c r="M230" t="str">
        <f>_xlfn.XLOOKUP(Table8[[#This Row],[Supporter_ID]],tb1_supporters[Supporter_ID ],tb1_supporters[Gender],"")</f>
        <v>Male</v>
      </c>
      <c r="N230">
        <f ca="1">_xlfn.XLOOKUP(Table8[[#This Row],[Supporter_ID]],tb1_supporters[Supporter_ID ],tb1_supporters[Age],"")</f>
        <v>72</v>
      </c>
      <c r="O230" t="str">
        <f ca="1">_xlfn.XLOOKUP(Table8[[#This Row],[Supporter_ID]],tb1_supporters[Supporter_ID ],tb1_supporters[Age_Band],"")</f>
        <v>65+</v>
      </c>
      <c r="P230" t="str">
        <f ca="1">IF(Table8[[#This Row],[Age_Band]]="","Unknown",Table8[[#This Row],[Age_Band]])</f>
        <v>65+</v>
      </c>
      <c r="Q230" t="str">
        <f>_xlfn.XLOOKUP(Table8[[#This Row],[Supporter_ID]],tb1_supporters[Supporter_ID ],tb1_supporters[Communication_Preference],"")</f>
        <v>Email</v>
      </c>
      <c r="R230" t="str">
        <f>_xlfn.XLOOKUP(Table8[[#This Row],[Supporter_ID]],tb1_supporters[Supporter_ID ],tb1_supporters[Duplicate_Profile_Flag],"")</f>
        <v/>
      </c>
      <c r="S230" t="str">
        <f>_xlfn.XLOOKUP(Table8[[#This Row],[Supporter_ID]],tb1_supporters[Supporter_ID ],tb1_supporters[Preference_Compliance_Flag],"")</f>
        <v/>
      </c>
      <c r="T230" t="str">
        <f ca="1">IF(Table8[[#This Row],[Age]]="","Review - missing DOB",IF(Table8[[#This Row],[Age]]&gt;TODAY(),"Review - future DOB",IF(Table8[[#This Row],[Age]]=0,"Review -  potential entry error (age 0)","")))</f>
        <v/>
      </c>
      <c r="U230" t="str">
        <f>_xlfn.XLOOKUP(Table8[[#This Row],[Campaign_Code]],tb3_CampaignMaster[Campaign_Code],tb3_CampaignMaster[Campaign_Type],"")</f>
        <v>Regular Giving</v>
      </c>
      <c r="V230" t="str">
        <f>_xlfn.XLOOKUP(Table8[[#This Row],[Campaign_Code]],tb3_CampaignMaster[Campaign_Code],tb3_CampaignMaster[Target_Audience],"")</f>
        <v>One-time Donors</v>
      </c>
      <c r="W230" s="17">
        <f>_xlfn.XLOOKUP(Table8[[#This Row],[Campaign_Code]],tb3_CampaignMaster[Campaign_Code],tb3_CampaignMaster[Start_Date],"")</f>
        <v>45663</v>
      </c>
      <c r="X230" s="17">
        <f>_xlfn.XLOOKUP(Table8[[#This Row],[Campaign_Code]],tb3_CampaignMaster[Campaign_Code],tb3_CampaignMaster[End_Date],"")</f>
        <v>45747</v>
      </c>
      <c r="Y230">
        <f>_xlfn.XLOOKUP(Table8[[#This Row],[Campaign_Code]],tb3_CampaignMaster[Campaign_Code],tb3_CampaignMaster[Budget_GBP],"")</f>
        <v>10000</v>
      </c>
      <c r="Z230" t="str">
        <f>_xlfn.XLOOKUP(Table8[[#This Row],[Campaign_Code]],tb3_CampaignMaster[Campaign_Code],tb3_CampaignMaster[Primary_Channel],"")</f>
        <v>Telephone</v>
      </c>
      <c r="AA230" s="13">
        <f>IF(Table8[[#This Row],[Gift_Aid_Eligible]]="Yes",Table8[[#This Row],[Gift_Amount]]*1.25,Table8[[#This Row],[Gift_Amount]])</f>
        <v>174.45</v>
      </c>
      <c r="AB230" t="str">
        <f>IF(Table8[[#This Row],[Supporter_ID]]="","Review - missing supporter ID","")</f>
        <v/>
      </c>
      <c r="AC230" t="str">
        <f>IF(OR(Table8[[#This Row],[Response_Date]]&lt;Table8[[#This Row],[Start_Date]],Table8[[#This Row],[Response_Date]]&gt;Table8[[#This Row],[End_Date]]),"Review - response outside campaign dates","")</f>
        <v/>
      </c>
      <c r="AD230" t="str">
        <f>IF(Table8[[#This Row],[Campaign_Type]]="","Review - campaign code not found","")</f>
        <v/>
      </c>
    </row>
    <row r="231" spans="1:30" x14ac:dyDescent="0.25">
      <c r="A231" t="s">
        <v>3775</v>
      </c>
      <c r="B231" t="s">
        <v>2981</v>
      </c>
      <c r="C231" t="s">
        <v>3367</v>
      </c>
      <c r="D231" t="s">
        <v>3368</v>
      </c>
      <c r="E231" t="s">
        <v>65</v>
      </c>
      <c r="F231" s="17">
        <v>45741</v>
      </c>
      <c r="G231">
        <v>38.9</v>
      </c>
      <c r="H231" t="s">
        <v>37</v>
      </c>
      <c r="I231" t="s">
        <v>3385</v>
      </c>
      <c r="J231" t="str">
        <f>_xlfn.XLOOKUP(Table8[[#This Row],[Supporter_ID]],tb1_supporters[Supporter_ID ],tb1_supporters[Segment],"")</f>
        <v>Lapsed</v>
      </c>
      <c r="K231" t="str">
        <f>_xlfn.XLOOKUP(Table8[[#This Row],[Supporter_ID]],tb1_supporters[Supporter_ID ],tb1_supporters[Acquisition_Source],"")</f>
        <v>Telephone</v>
      </c>
      <c r="L231" t="str">
        <f>_xlfn.XLOOKUP(Table8[[#This Row],[Supporter_ID]],tb1_supporters[Supporter_ID ],tb1_supporters[County],"")</f>
        <v>Hampshire</v>
      </c>
      <c r="M231" t="str">
        <f>_xlfn.XLOOKUP(Table8[[#This Row],[Supporter_ID]],tb1_supporters[Supporter_ID ],tb1_supporters[Gender],"")</f>
        <v>Male</v>
      </c>
      <c r="N231">
        <f ca="1">_xlfn.XLOOKUP(Table8[[#This Row],[Supporter_ID]],tb1_supporters[Supporter_ID ],tb1_supporters[Age],"")</f>
        <v>67</v>
      </c>
      <c r="O231" t="str">
        <f ca="1">_xlfn.XLOOKUP(Table8[[#This Row],[Supporter_ID]],tb1_supporters[Supporter_ID ],tb1_supporters[Age_Band],"")</f>
        <v>65+</v>
      </c>
      <c r="P231" t="str">
        <f ca="1">IF(Table8[[#This Row],[Age_Band]]="","Unknown",Table8[[#This Row],[Age_Band]])</f>
        <v>65+</v>
      </c>
      <c r="Q231" t="str">
        <f>_xlfn.XLOOKUP(Table8[[#This Row],[Supporter_ID]],tb1_supporters[Supporter_ID ],tb1_supporters[Communication_Preference],"")</f>
        <v>Post</v>
      </c>
      <c r="R231" t="str">
        <f>_xlfn.XLOOKUP(Table8[[#This Row],[Supporter_ID]],tb1_supporters[Supporter_ID ],tb1_supporters[Duplicate_Profile_Flag],"")</f>
        <v/>
      </c>
      <c r="S231" t="str">
        <f>_xlfn.XLOOKUP(Table8[[#This Row],[Supporter_ID]],tb1_supporters[Supporter_ID ],tb1_supporters[Preference_Compliance_Flag],"")</f>
        <v/>
      </c>
      <c r="T231" t="str">
        <f ca="1">IF(Table8[[#This Row],[Age]]="","Review - missing DOB",IF(Table8[[#This Row],[Age]]&gt;TODAY(),"Review - future DOB",IF(Table8[[#This Row],[Age]]=0,"Review -  potential entry error (age 0)","")))</f>
        <v/>
      </c>
      <c r="U231" t="str">
        <f>_xlfn.XLOOKUP(Table8[[#This Row],[Campaign_Code]],tb3_CampaignMaster[Campaign_Code],tb3_CampaignMaster[Campaign_Type],"")</f>
        <v>Raffle</v>
      </c>
      <c r="V231" t="str">
        <f>_xlfn.XLOOKUP(Table8[[#This Row],[Campaign_Code]],tb3_CampaignMaster[Campaign_Code],tb3_CampaignMaster[Target_Audience],"")</f>
        <v>Regular Givers</v>
      </c>
      <c r="W231" s="17">
        <f>_xlfn.XLOOKUP(Table8[[#This Row],[Campaign_Code]],tb3_CampaignMaster[Campaign_Code],tb3_CampaignMaster[Start_Date],"")</f>
        <v>45717</v>
      </c>
      <c r="X231" s="17">
        <f>_xlfn.XLOOKUP(Table8[[#This Row],[Campaign_Code]],tb3_CampaignMaster[Campaign_Code],tb3_CampaignMaster[End_Date],"")</f>
        <v>45777</v>
      </c>
      <c r="Y231">
        <f>_xlfn.XLOOKUP(Table8[[#This Row],[Campaign_Code]],tb3_CampaignMaster[Campaign_Code],tb3_CampaignMaster[Budget_GBP],"")</f>
        <v>8000</v>
      </c>
      <c r="Z231" t="str">
        <f>_xlfn.XLOOKUP(Table8[[#This Row],[Campaign_Code]],tb3_CampaignMaster[Campaign_Code],tb3_CampaignMaster[Primary_Channel],"")</f>
        <v>Direct Mail</v>
      </c>
      <c r="AA231" s="13">
        <f>IF(Table8[[#This Row],[Gift_Aid_Eligible]]="Yes",Table8[[#This Row],[Gift_Amount]]*1.25,Table8[[#This Row],[Gift_Amount]])</f>
        <v>38.9</v>
      </c>
      <c r="AB231" t="str">
        <f>IF(Table8[[#This Row],[Supporter_ID]]="","Review - missing supporter ID","")</f>
        <v/>
      </c>
      <c r="AC231" t="str">
        <f>IF(OR(Table8[[#This Row],[Response_Date]]&lt;Table8[[#This Row],[Start_Date]],Table8[[#This Row],[Response_Date]]&gt;Table8[[#This Row],[End_Date]]),"Review - response outside campaign dates","")</f>
        <v/>
      </c>
      <c r="AD231" t="str">
        <f>IF(Table8[[#This Row],[Campaign_Type]]="","Review - campaign code not found","")</f>
        <v/>
      </c>
    </row>
    <row r="232" spans="1:30" x14ac:dyDescent="0.25">
      <c r="A232" t="s">
        <v>3776</v>
      </c>
      <c r="B232" t="s">
        <v>784</v>
      </c>
      <c r="C232" t="s">
        <v>3320</v>
      </c>
      <c r="D232" t="s">
        <v>3321</v>
      </c>
      <c r="E232" t="s">
        <v>65</v>
      </c>
      <c r="F232" s="17">
        <v>45462</v>
      </c>
      <c r="G232">
        <v>27.32</v>
      </c>
      <c r="H232" t="s">
        <v>36</v>
      </c>
      <c r="I232" t="s">
        <v>3365</v>
      </c>
      <c r="J232" t="str">
        <f>_xlfn.XLOOKUP(Table8[[#This Row],[Supporter_ID]],tb1_supporters[Supporter_ID ],tb1_supporters[Segment],"")</f>
        <v>Mid-Value</v>
      </c>
      <c r="K232" t="str">
        <f>_xlfn.XLOOKUP(Table8[[#This Row],[Supporter_ID]],tb1_supporters[Supporter_ID ],tb1_supporters[Acquisition_Source],"")</f>
        <v>Website</v>
      </c>
      <c r="L232" t="str">
        <f>_xlfn.XLOOKUP(Table8[[#This Row],[Supporter_ID]],tb1_supporters[Supporter_ID ],tb1_supporters[County],"")</f>
        <v>East Sussex</v>
      </c>
      <c r="M232" t="str">
        <f>_xlfn.XLOOKUP(Table8[[#This Row],[Supporter_ID]],tb1_supporters[Supporter_ID ],tb1_supporters[Gender],"")</f>
        <v>Female</v>
      </c>
      <c r="N232">
        <f ca="1">_xlfn.XLOOKUP(Table8[[#This Row],[Supporter_ID]],tb1_supporters[Supporter_ID ],tb1_supporters[Age],"")</f>
        <v>71</v>
      </c>
      <c r="O232" t="str">
        <f ca="1">_xlfn.XLOOKUP(Table8[[#This Row],[Supporter_ID]],tb1_supporters[Supporter_ID ],tb1_supporters[Age_Band],"")</f>
        <v>65+</v>
      </c>
      <c r="P232" t="str">
        <f ca="1">IF(Table8[[#This Row],[Age_Band]]="","Unknown",Table8[[#This Row],[Age_Band]])</f>
        <v>65+</v>
      </c>
      <c r="Q232" t="str">
        <f>_xlfn.XLOOKUP(Table8[[#This Row],[Supporter_ID]],tb1_supporters[Supporter_ID ],tb1_supporters[Communication_Preference],"")</f>
        <v>Post</v>
      </c>
      <c r="R232" t="str">
        <f>_xlfn.XLOOKUP(Table8[[#This Row],[Supporter_ID]],tb1_supporters[Supporter_ID ],tb1_supporters[Duplicate_Profile_Flag],"")</f>
        <v/>
      </c>
      <c r="S232" t="str">
        <f>_xlfn.XLOOKUP(Table8[[#This Row],[Supporter_ID]],tb1_supporters[Supporter_ID ],tb1_supporters[Preference_Compliance_Flag],"")</f>
        <v/>
      </c>
      <c r="T232" t="str">
        <f ca="1">IF(Table8[[#This Row],[Age]]="","Review - missing DOB",IF(Table8[[#This Row],[Age]]&gt;TODAY(),"Review - future DOB",IF(Table8[[#This Row],[Age]]=0,"Review -  potential entry error (age 0)","")))</f>
        <v/>
      </c>
      <c r="U232" t="str">
        <f>_xlfn.XLOOKUP(Table8[[#This Row],[Campaign_Code]],tb3_CampaignMaster[Campaign_Code],tb3_CampaignMaster[Campaign_Type],"")</f>
        <v>Stewardship</v>
      </c>
      <c r="V232" t="str">
        <f>_xlfn.XLOOKUP(Table8[[#This Row],[Campaign_Code]],tb3_CampaignMaster[Campaign_Code],tb3_CampaignMaster[Target_Audience],"")</f>
        <v>Major Donors</v>
      </c>
      <c r="W232" s="17">
        <f>_xlfn.XLOOKUP(Table8[[#This Row],[Campaign_Code]],tb3_CampaignMaster[Campaign_Code],tb3_CampaignMaster[Start_Date],"")</f>
        <v>45444</v>
      </c>
      <c r="X232" s="17">
        <f>_xlfn.XLOOKUP(Table8[[#This Row],[Campaign_Code]],tb3_CampaignMaster[Campaign_Code],tb3_CampaignMaster[End_Date],"")</f>
        <v>45473</v>
      </c>
      <c r="Y232">
        <f>_xlfn.XLOOKUP(Table8[[#This Row],[Campaign_Code]],tb3_CampaignMaster[Campaign_Code],tb3_CampaignMaster[Budget_GBP],"")</f>
        <v>7000</v>
      </c>
      <c r="Z232" t="str">
        <f>_xlfn.XLOOKUP(Table8[[#This Row],[Campaign_Code]],tb3_CampaignMaster[Campaign_Code],tb3_CampaignMaster[Primary_Channel],"")</f>
        <v>Direct Mail</v>
      </c>
      <c r="AA232" s="13">
        <f>IF(Table8[[#This Row],[Gift_Aid_Eligible]]="Yes",Table8[[#This Row],[Gift_Amount]]*1.25,Table8[[#This Row],[Gift_Amount]])</f>
        <v>34.15</v>
      </c>
      <c r="AB232" t="str">
        <f>IF(Table8[[#This Row],[Supporter_ID]]="","Review - missing supporter ID","")</f>
        <v/>
      </c>
      <c r="AC232" t="str">
        <f>IF(OR(Table8[[#This Row],[Response_Date]]&lt;Table8[[#This Row],[Start_Date]],Table8[[#This Row],[Response_Date]]&gt;Table8[[#This Row],[End_Date]]),"Review - response outside campaign dates","")</f>
        <v/>
      </c>
      <c r="AD232" t="str">
        <f>IF(Table8[[#This Row],[Campaign_Type]]="","Review - campaign code not found","")</f>
        <v/>
      </c>
    </row>
    <row r="233" spans="1:30" x14ac:dyDescent="0.25">
      <c r="A233" t="s">
        <v>3778</v>
      </c>
      <c r="B233" t="s">
        <v>1207</v>
      </c>
      <c r="C233" t="s">
        <v>3336</v>
      </c>
      <c r="D233" t="s">
        <v>3337</v>
      </c>
      <c r="E233" t="s">
        <v>4</v>
      </c>
      <c r="F233" s="17">
        <v>45564</v>
      </c>
      <c r="G233">
        <v>17.36</v>
      </c>
      <c r="H233" t="s">
        <v>37</v>
      </c>
      <c r="I233" t="s">
        <v>3370</v>
      </c>
      <c r="J233" t="str">
        <f>_xlfn.XLOOKUP(Table8[[#This Row],[Supporter_ID]],tb1_supporters[Supporter_ID ],tb1_supporters[Segment],"")</f>
        <v>Regular Giver</v>
      </c>
      <c r="K233" t="str">
        <f>_xlfn.XLOOKUP(Table8[[#This Row],[Supporter_ID]],tb1_supporters[Supporter_ID ],tb1_supporters[Acquisition_Source],"")</f>
        <v>Website</v>
      </c>
      <c r="L233" t="str">
        <f>_xlfn.XLOOKUP(Table8[[#This Row],[Supporter_ID]],tb1_supporters[Supporter_ID ],tb1_supporters[County],"")</f>
        <v>South Yorkshire</v>
      </c>
      <c r="M233" t="str">
        <f>_xlfn.XLOOKUP(Table8[[#This Row],[Supporter_ID]],tb1_supporters[Supporter_ID ],tb1_supporters[Gender],"")</f>
        <v>Male</v>
      </c>
      <c r="N233">
        <f ca="1">_xlfn.XLOOKUP(Table8[[#This Row],[Supporter_ID]],tb1_supporters[Supporter_ID ],tb1_supporters[Age],"")</f>
        <v>53</v>
      </c>
      <c r="O233" t="str">
        <f ca="1">_xlfn.XLOOKUP(Table8[[#This Row],[Supporter_ID]],tb1_supporters[Supporter_ID ],tb1_supporters[Age_Band],"")</f>
        <v>50-64</v>
      </c>
      <c r="P233" t="str">
        <f ca="1">IF(Table8[[#This Row],[Age_Band]]="","Unknown",Table8[[#This Row],[Age_Band]])</f>
        <v>50-64</v>
      </c>
      <c r="Q233" t="str">
        <f>_xlfn.XLOOKUP(Table8[[#This Row],[Supporter_ID]],tb1_supporters[Supporter_ID ],tb1_supporters[Communication_Preference],"")</f>
        <v>Post</v>
      </c>
      <c r="R233" t="str">
        <f>_xlfn.XLOOKUP(Table8[[#This Row],[Supporter_ID]],tb1_supporters[Supporter_ID ],tb1_supporters[Duplicate_Profile_Flag],"")</f>
        <v/>
      </c>
      <c r="S233" t="str">
        <f>_xlfn.XLOOKUP(Table8[[#This Row],[Supporter_ID]],tb1_supporters[Supporter_ID ],tb1_supporters[Preference_Compliance_Flag],"")</f>
        <v/>
      </c>
      <c r="T233" t="str">
        <f ca="1">IF(Table8[[#This Row],[Age]]="","Review - missing DOB",IF(Table8[[#This Row],[Age]]&gt;TODAY(),"Review - future DOB",IF(Table8[[#This Row],[Age]]=0,"Review -  potential entry error (age 0)","")))</f>
        <v/>
      </c>
      <c r="U233" t="str">
        <f>_xlfn.XLOOKUP(Table8[[#This Row],[Campaign_Code]],tb3_CampaignMaster[Campaign_Code],tb3_CampaignMaster[Campaign_Type],"")</f>
        <v>Appeal</v>
      </c>
      <c r="V233" t="str">
        <f>_xlfn.XLOOKUP(Table8[[#This Row],[Campaign_Code]],tb3_CampaignMaster[Campaign_Code],tb3_CampaignMaster[Target_Audience],"")</f>
        <v>All Supporters</v>
      </c>
      <c r="W233" s="17">
        <f>_xlfn.XLOOKUP(Table8[[#This Row],[Campaign_Code]],tb3_CampaignMaster[Campaign_Code],tb3_CampaignMaster[Start_Date],"")</f>
        <v>45545</v>
      </c>
      <c r="X233" s="17">
        <f>_xlfn.XLOOKUP(Table8[[#This Row],[Campaign_Code]],tb3_CampaignMaster[Campaign_Code],tb3_CampaignMaster[End_Date],"")</f>
        <v>45580</v>
      </c>
      <c r="Y233">
        <f>_xlfn.XLOOKUP(Table8[[#This Row],[Campaign_Code]],tb3_CampaignMaster[Campaign_Code],tb3_CampaignMaster[Budget_GBP],"")</f>
        <v>15000</v>
      </c>
      <c r="Z233" t="str">
        <f>_xlfn.XLOOKUP(Table8[[#This Row],[Campaign_Code]],tb3_CampaignMaster[Campaign_Code],tb3_CampaignMaster[Primary_Channel],"")</f>
        <v>Email</v>
      </c>
      <c r="AA233" s="13">
        <f>IF(Table8[[#This Row],[Gift_Aid_Eligible]]="Yes",Table8[[#This Row],[Gift_Amount]]*1.25,Table8[[#This Row],[Gift_Amount]])</f>
        <v>17.36</v>
      </c>
      <c r="AB233" t="str">
        <f>IF(Table8[[#This Row],[Supporter_ID]]="","Review - missing supporter ID","")</f>
        <v/>
      </c>
      <c r="AC233" t="str">
        <f>IF(OR(Table8[[#This Row],[Response_Date]]&lt;Table8[[#This Row],[Start_Date]],Table8[[#This Row],[Response_Date]]&gt;Table8[[#This Row],[End_Date]]),"Review - response outside campaign dates","")</f>
        <v/>
      </c>
      <c r="AD233" t="str">
        <f>IF(Table8[[#This Row],[Campaign_Type]]="","Review - campaign code not found","")</f>
        <v/>
      </c>
    </row>
    <row r="234" spans="1:30" x14ac:dyDescent="0.25">
      <c r="A234" t="s">
        <v>3779</v>
      </c>
      <c r="B234" t="s">
        <v>1897</v>
      </c>
      <c r="C234" t="s">
        <v>3367</v>
      </c>
      <c r="D234" t="s">
        <v>3368</v>
      </c>
      <c r="E234" t="s">
        <v>65</v>
      </c>
      <c r="F234" s="17">
        <v>45723</v>
      </c>
      <c r="G234">
        <v>219.18</v>
      </c>
      <c r="H234" t="s">
        <v>37</v>
      </c>
      <c r="I234" t="s">
        <v>3385</v>
      </c>
      <c r="J234" t="str">
        <f>_xlfn.XLOOKUP(Table8[[#This Row],[Supporter_ID]],tb1_supporters[Supporter_ID ],tb1_supporters[Segment],"")</f>
        <v>Legacy Pledger</v>
      </c>
      <c r="K234" t="str">
        <f>_xlfn.XLOOKUP(Table8[[#This Row],[Supporter_ID]],tb1_supporters[Supporter_ID ],tb1_supporters[Acquisition_Source],"")</f>
        <v>Referral</v>
      </c>
      <c r="L234" t="str">
        <f>_xlfn.XLOOKUP(Table8[[#This Row],[Supporter_ID]],tb1_supporters[Supporter_ID ],tb1_supporters[County],"")</f>
        <v>Surrey</v>
      </c>
      <c r="M234" t="str">
        <f>_xlfn.XLOOKUP(Table8[[#This Row],[Supporter_ID]],tb1_supporters[Supporter_ID ],tb1_supporters[Gender],"")</f>
        <v>Male</v>
      </c>
      <c r="N234">
        <f ca="1">_xlfn.XLOOKUP(Table8[[#This Row],[Supporter_ID]],tb1_supporters[Supporter_ID ],tb1_supporters[Age],"")</f>
        <v>43</v>
      </c>
      <c r="O234" t="str">
        <f ca="1">_xlfn.XLOOKUP(Table8[[#This Row],[Supporter_ID]],tb1_supporters[Supporter_ID ],tb1_supporters[Age_Band],"")</f>
        <v>35-49</v>
      </c>
      <c r="P234" t="str">
        <f ca="1">IF(Table8[[#This Row],[Age_Band]]="","Unknown",Table8[[#This Row],[Age_Band]])</f>
        <v>35-49</v>
      </c>
      <c r="Q234" t="str">
        <f>_xlfn.XLOOKUP(Table8[[#This Row],[Supporter_ID]],tb1_supporters[Supporter_ID ],tb1_supporters[Communication_Preference],"")</f>
        <v>Post</v>
      </c>
      <c r="R234" t="str">
        <f>_xlfn.XLOOKUP(Table8[[#This Row],[Supporter_ID]],tb1_supporters[Supporter_ID ],tb1_supporters[Duplicate_Profile_Flag],"")</f>
        <v/>
      </c>
      <c r="S234" t="str">
        <f>_xlfn.XLOOKUP(Table8[[#This Row],[Supporter_ID]],tb1_supporters[Supporter_ID ],tb1_supporters[Preference_Compliance_Flag],"")</f>
        <v/>
      </c>
      <c r="T234" t="str">
        <f ca="1">IF(Table8[[#This Row],[Age]]="","Review - missing DOB",IF(Table8[[#This Row],[Age]]&gt;TODAY(),"Review - future DOB",IF(Table8[[#This Row],[Age]]=0,"Review -  potential entry error (age 0)","")))</f>
        <v/>
      </c>
      <c r="U234" t="str">
        <f>_xlfn.XLOOKUP(Table8[[#This Row],[Campaign_Code]],tb3_CampaignMaster[Campaign_Code],tb3_CampaignMaster[Campaign_Type],"")</f>
        <v>Raffle</v>
      </c>
      <c r="V234" t="str">
        <f>_xlfn.XLOOKUP(Table8[[#This Row],[Campaign_Code]],tb3_CampaignMaster[Campaign_Code],tb3_CampaignMaster[Target_Audience],"")</f>
        <v>Regular Givers</v>
      </c>
      <c r="W234" s="17">
        <f>_xlfn.XLOOKUP(Table8[[#This Row],[Campaign_Code]],tb3_CampaignMaster[Campaign_Code],tb3_CampaignMaster[Start_Date],"")</f>
        <v>45717</v>
      </c>
      <c r="X234" s="17">
        <f>_xlfn.XLOOKUP(Table8[[#This Row],[Campaign_Code]],tb3_CampaignMaster[Campaign_Code],tb3_CampaignMaster[End_Date],"")</f>
        <v>45777</v>
      </c>
      <c r="Y234">
        <f>_xlfn.XLOOKUP(Table8[[#This Row],[Campaign_Code]],tb3_CampaignMaster[Campaign_Code],tb3_CampaignMaster[Budget_GBP],"")</f>
        <v>8000</v>
      </c>
      <c r="Z234" t="str">
        <f>_xlfn.XLOOKUP(Table8[[#This Row],[Campaign_Code]],tb3_CampaignMaster[Campaign_Code],tb3_CampaignMaster[Primary_Channel],"")</f>
        <v>Direct Mail</v>
      </c>
      <c r="AA234" s="13">
        <f>IF(Table8[[#This Row],[Gift_Aid_Eligible]]="Yes",Table8[[#This Row],[Gift_Amount]]*1.25,Table8[[#This Row],[Gift_Amount]])</f>
        <v>219.18</v>
      </c>
      <c r="AB234" t="str">
        <f>IF(Table8[[#This Row],[Supporter_ID]]="","Review - missing supporter ID","")</f>
        <v/>
      </c>
      <c r="AC234" t="str">
        <f>IF(OR(Table8[[#This Row],[Response_Date]]&lt;Table8[[#This Row],[Start_Date]],Table8[[#This Row],[Response_Date]]&gt;Table8[[#This Row],[End_Date]]),"Review - response outside campaign dates","")</f>
        <v/>
      </c>
      <c r="AD234" t="str">
        <f>IF(Table8[[#This Row],[Campaign_Type]]="","Review - campaign code not found","")</f>
        <v/>
      </c>
    </row>
    <row r="235" spans="1:30" x14ac:dyDescent="0.25">
      <c r="A235" t="s">
        <v>3781</v>
      </c>
      <c r="B235" t="s">
        <v>3026</v>
      </c>
      <c r="C235" t="s">
        <v>3314</v>
      </c>
      <c r="D235" t="s">
        <v>3315</v>
      </c>
      <c r="E235" t="s">
        <v>65</v>
      </c>
      <c r="F235" s="17">
        <v>45711</v>
      </c>
      <c r="G235">
        <v>148.16999999999999</v>
      </c>
      <c r="H235" t="s">
        <v>37</v>
      </c>
      <c r="I235" t="s">
        <v>3365</v>
      </c>
      <c r="J235" t="str">
        <f>_xlfn.XLOOKUP(Table8[[#This Row],[Supporter_ID]],tb1_supporters[Supporter_ID ],tb1_supporters[Segment],"")</f>
        <v>One-Time Donor</v>
      </c>
      <c r="K235" t="str">
        <f>_xlfn.XLOOKUP(Table8[[#This Row],[Supporter_ID]],tb1_supporters[Supporter_ID ],tb1_supporters[Acquisition_Source],"")</f>
        <v>Event</v>
      </c>
      <c r="L235" t="str">
        <f>_xlfn.XLOOKUP(Table8[[#This Row],[Supporter_ID]],tb1_supporters[Supporter_ID ],tb1_supporters[County],"")</f>
        <v>West Midlands</v>
      </c>
      <c r="M235" t="str">
        <f>_xlfn.XLOOKUP(Table8[[#This Row],[Supporter_ID]],tb1_supporters[Supporter_ID ],tb1_supporters[Gender],"")</f>
        <v>Male</v>
      </c>
      <c r="N235">
        <f ca="1">_xlfn.XLOOKUP(Table8[[#This Row],[Supporter_ID]],tb1_supporters[Supporter_ID ],tb1_supporters[Age],"")</f>
        <v>64</v>
      </c>
      <c r="O235" t="str">
        <f ca="1">_xlfn.XLOOKUP(Table8[[#This Row],[Supporter_ID]],tb1_supporters[Supporter_ID ],tb1_supporters[Age_Band],"")</f>
        <v>50-64</v>
      </c>
      <c r="P235" t="str">
        <f ca="1">IF(Table8[[#This Row],[Age_Band]]="","Unknown",Table8[[#This Row],[Age_Band]])</f>
        <v>50-64</v>
      </c>
      <c r="Q235" t="str">
        <f>_xlfn.XLOOKUP(Table8[[#This Row],[Supporter_ID]],tb1_supporters[Supporter_ID ],tb1_supporters[Communication_Preference],"")</f>
        <v>Email</v>
      </c>
      <c r="R235" t="str">
        <f>_xlfn.XLOOKUP(Table8[[#This Row],[Supporter_ID]],tb1_supporters[Supporter_ID ],tb1_supporters[Duplicate_Profile_Flag],"")</f>
        <v/>
      </c>
      <c r="S235" t="str">
        <f>_xlfn.XLOOKUP(Table8[[#This Row],[Supporter_ID]],tb1_supporters[Supporter_ID ],tb1_supporters[Preference_Compliance_Flag],"")</f>
        <v>Review - prefers email but not opted in</v>
      </c>
      <c r="T235" t="str">
        <f ca="1">IF(Table8[[#This Row],[Age]]="","Review - missing DOB",IF(Table8[[#This Row],[Age]]&gt;TODAY(),"Review - future DOB",IF(Table8[[#This Row],[Age]]=0,"Review -  potential entry error (age 0)","")))</f>
        <v/>
      </c>
      <c r="U235" t="str">
        <f>_xlfn.XLOOKUP(Table8[[#This Row],[Campaign_Code]],tb3_CampaignMaster[Campaign_Code],tb3_CampaignMaster[Campaign_Type],"")</f>
        <v>Regular Giving</v>
      </c>
      <c r="V235" t="str">
        <f>_xlfn.XLOOKUP(Table8[[#This Row],[Campaign_Code]],tb3_CampaignMaster[Campaign_Code],tb3_CampaignMaster[Target_Audience],"")</f>
        <v>One-time Donors</v>
      </c>
      <c r="W235" s="17">
        <f>_xlfn.XLOOKUP(Table8[[#This Row],[Campaign_Code]],tb3_CampaignMaster[Campaign_Code],tb3_CampaignMaster[Start_Date],"")</f>
        <v>45663</v>
      </c>
      <c r="X235" s="17">
        <f>_xlfn.XLOOKUP(Table8[[#This Row],[Campaign_Code]],tb3_CampaignMaster[Campaign_Code],tb3_CampaignMaster[End_Date],"")</f>
        <v>45747</v>
      </c>
      <c r="Y235">
        <f>_xlfn.XLOOKUP(Table8[[#This Row],[Campaign_Code]],tb3_CampaignMaster[Campaign_Code],tb3_CampaignMaster[Budget_GBP],"")</f>
        <v>10000</v>
      </c>
      <c r="Z235" t="str">
        <f>_xlfn.XLOOKUP(Table8[[#This Row],[Campaign_Code]],tb3_CampaignMaster[Campaign_Code],tb3_CampaignMaster[Primary_Channel],"")</f>
        <v>Telephone</v>
      </c>
      <c r="AA235" s="13">
        <f>IF(Table8[[#This Row],[Gift_Aid_Eligible]]="Yes",Table8[[#This Row],[Gift_Amount]]*1.25,Table8[[#This Row],[Gift_Amount]])</f>
        <v>148.16999999999999</v>
      </c>
      <c r="AB235" t="str">
        <f>IF(Table8[[#This Row],[Supporter_ID]]="","Review - missing supporter ID","")</f>
        <v/>
      </c>
      <c r="AC235" t="str">
        <f>IF(OR(Table8[[#This Row],[Response_Date]]&lt;Table8[[#This Row],[Start_Date]],Table8[[#This Row],[Response_Date]]&gt;Table8[[#This Row],[End_Date]]),"Review - response outside campaign dates","")</f>
        <v/>
      </c>
      <c r="AD235" t="str">
        <f>IF(Table8[[#This Row],[Campaign_Type]]="","Review - campaign code not found","")</f>
        <v/>
      </c>
    </row>
    <row r="236" spans="1:30" x14ac:dyDescent="0.25">
      <c r="A236" t="s">
        <v>3782</v>
      </c>
      <c r="B236" t="s">
        <v>447</v>
      </c>
      <c r="C236" t="s">
        <v>3341</v>
      </c>
      <c r="D236" t="s">
        <v>3342</v>
      </c>
      <c r="E236" t="s">
        <v>4</v>
      </c>
      <c r="F236" s="17">
        <v>45756</v>
      </c>
      <c r="G236">
        <v>102.78</v>
      </c>
      <c r="H236" t="s">
        <v>36</v>
      </c>
      <c r="I236" t="s">
        <v>3334</v>
      </c>
      <c r="J236" t="str">
        <f>_xlfn.XLOOKUP(Table8[[#This Row],[Supporter_ID]],tb1_supporters[Supporter_ID ],tb1_supporters[Segment],"")</f>
        <v>Legacy Pledger</v>
      </c>
      <c r="K236" t="str">
        <f>_xlfn.XLOOKUP(Table8[[#This Row],[Supporter_ID]],tb1_supporters[Supporter_ID ],tb1_supporters[Acquisition_Source],"")</f>
        <v>Corporate Partner</v>
      </c>
      <c r="L236" t="str">
        <f>_xlfn.XLOOKUP(Table8[[#This Row],[Supporter_ID]],tb1_supporters[Supporter_ID ],tb1_supporters[County],"")</f>
        <v>Dorset</v>
      </c>
      <c r="M236" t="str">
        <f>_xlfn.XLOOKUP(Table8[[#This Row],[Supporter_ID]],tb1_supporters[Supporter_ID ],tb1_supporters[Gender],"")</f>
        <v>Male</v>
      </c>
      <c r="N236">
        <f ca="1">_xlfn.XLOOKUP(Table8[[#This Row],[Supporter_ID]],tb1_supporters[Supporter_ID ],tb1_supporters[Age],"")</f>
        <v>94</v>
      </c>
      <c r="O236" t="str">
        <f ca="1">_xlfn.XLOOKUP(Table8[[#This Row],[Supporter_ID]],tb1_supporters[Supporter_ID ],tb1_supporters[Age_Band],"")</f>
        <v>65+</v>
      </c>
      <c r="P236" t="str">
        <f ca="1">IF(Table8[[#This Row],[Age_Band]]="","Unknown",Table8[[#This Row],[Age_Band]])</f>
        <v>65+</v>
      </c>
      <c r="Q236" t="str">
        <f>_xlfn.XLOOKUP(Table8[[#This Row],[Supporter_ID]],tb1_supporters[Supporter_ID ],tb1_supporters[Communication_Preference],"")</f>
        <v>Phone</v>
      </c>
      <c r="R236" t="str">
        <f>_xlfn.XLOOKUP(Table8[[#This Row],[Supporter_ID]],tb1_supporters[Supporter_ID ],tb1_supporters[Duplicate_Profile_Flag],"")</f>
        <v/>
      </c>
      <c r="S236" t="str">
        <f>_xlfn.XLOOKUP(Table8[[#This Row],[Supporter_ID]],tb1_supporters[Supporter_ID ],tb1_supporters[Preference_Compliance_Flag],"")</f>
        <v>Review - prefers phone but not opted in</v>
      </c>
      <c r="T236" t="str">
        <f ca="1">IF(Table8[[#This Row],[Age]]="","Review - missing DOB",IF(Table8[[#This Row],[Age]]&gt;TODAY(),"Review - future DOB",IF(Table8[[#This Row],[Age]]=0,"Review -  potential entry error (age 0)","")))</f>
        <v/>
      </c>
      <c r="U236" t="str">
        <f>_xlfn.XLOOKUP(Table8[[#This Row],[Campaign_Code]],tb3_CampaignMaster[Campaign_Code],tb3_CampaignMaster[Campaign_Type],"")</f>
        <v>Acquisition</v>
      </c>
      <c r="V236" t="str">
        <f>_xlfn.XLOOKUP(Table8[[#This Row],[Campaign_Code]],tb3_CampaignMaster[Campaign_Code],tb3_CampaignMaster[Target_Audience],"")</f>
        <v>Prospects</v>
      </c>
      <c r="W236" s="17">
        <f>_xlfn.XLOOKUP(Table8[[#This Row],[Campaign_Code]],tb3_CampaignMaster[Campaign_Code],tb3_CampaignMaster[Start_Date],"")</f>
        <v>45689</v>
      </c>
      <c r="X236" s="17">
        <f>_xlfn.XLOOKUP(Table8[[#This Row],[Campaign_Code]],tb3_CampaignMaster[Campaign_Code],tb3_CampaignMaster[End_Date],"")</f>
        <v>45777</v>
      </c>
      <c r="Y236">
        <f>_xlfn.XLOOKUP(Table8[[#This Row],[Campaign_Code]],tb3_CampaignMaster[Campaign_Code],tb3_CampaignMaster[Budget_GBP],"")</f>
        <v>20000</v>
      </c>
      <c r="Z236" t="str">
        <f>_xlfn.XLOOKUP(Table8[[#This Row],[Campaign_Code]],tb3_CampaignMaster[Campaign_Code],tb3_CampaignMaster[Primary_Channel],"")</f>
        <v>Digital</v>
      </c>
      <c r="AA236" s="13">
        <f>IF(Table8[[#This Row],[Gift_Aid_Eligible]]="Yes",Table8[[#This Row],[Gift_Amount]]*1.25,Table8[[#This Row],[Gift_Amount]])</f>
        <v>128.47499999999999</v>
      </c>
      <c r="AB236" t="str">
        <f>IF(Table8[[#This Row],[Supporter_ID]]="","Review - missing supporter ID","")</f>
        <v/>
      </c>
      <c r="AC236" t="str">
        <f>IF(OR(Table8[[#This Row],[Response_Date]]&lt;Table8[[#This Row],[Start_Date]],Table8[[#This Row],[Response_Date]]&gt;Table8[[#This Row],[End_Date]]),"Review - response outside campaign dates","")</f>
        <v/>
      </c>
      <c r="AD236" t="str">
        <f>IF(Table8[[#This Row],[Campaign_Type]]="","Review - campaign code not found","")</f>
        <v/>
      </c>
    </row>
    <row r="237" spans="1:30" x14ac:dyDescent="0.25">
      <c r="A237" t="s">
        <v>3784</v>
      </c>
      <c r="B237" t="s">
        <v>2224</v>
      </c>
      <c r="C237" t="s">
        <v>3403</v>
      </c>
      <c r="D237" t="s">
        <v>3404</v>
      </c>
      <c r="E237" t="s">
        <v>4</v>
      </c>
      <c r="F237" s="17">
        <v>45585</v>
      </c>
      <c r="G237">
        <v>21.96</v>
      </c>
      <c r="H237" t="s">
        <v>36</v>
      </c>
      <c r="I237" t="s">
        <v>3323</v>
      </c>
      <c r="J237" t="str">
        <f>_xlfn.XLOOKUP(Table8[[#This Row],[Supporter_ID]],tb1_supporters[Supporter_ID ],tb1_supporters[Segment],"")</f>
        <v>Prospect</v>
      </c>
      <c r="K237" t="str">
        <f>_xlfn.XLOOKUP(Table8[[#This Row],[Supporter_ID]],tb1_supporters[Supporter_ID ],tb1_supporters[Acquisition_Source],"")</f>
        <v>Event</v>
      </c>
      <c r="L237" t="str">
        <f>_xlfn.XLOOKUP(Table8[[#This Row],[Supporter_ID]],tb1_supporters[Supporter_ID ],tb1_supporters[County],"")</f>
        <v>Tyne and Wear</v>
      </c>
      <c r="M237" t="str">
        <f>_xlfn.XLOOKUP(Table8[[#This Row],[Supporter_ID]],tb1_supporters[Supporter_ID ],tb1_supporters[Gender],"")</f>
        <v>Male</v>
      </c>
      <c r="N237">
        <f ca="1">_xlfn.XLOOKUP(Table8[[#This Row],[Supporter_ID]],tb1_supporters[Supporter_ID ],tb1_supporters[Age],"")</f>
        <v>29</v>
      </c>
      <c r="O237" t="str">
        <f ca="1">_xlfn.XLOOKUP(Table8[[#This Row],[Supporter_ID]],tb1_supporters[Supporter_ID ],tb1_supporters[Age_Band],"")</f>
        <v>18-34</v>
      </c>
      <c r="P237" t="str">
        <f ca="1">IF(Table8[[#This Row],[Age_Band]]="","Unknown",Table8[[#This Row],[Age_Band]])</f>
        <v>18-34</v>
      </c>
      <c r="Q237" t="str">
        <f>_xlfn.XLOOKUP(Table8[[#This Row],[Supporter_ID]],tb1_supporters[Supporter_ID ],tb1_supporters[Communication_Preference],"")</f>
        <v>No Preference</v>
      </c>
      <c r="R237" t="str">
        <f>_xlfn.XLOOKUP(Table8[[#This Row],[Supporter_ID]],tb1_supporters[Supporter_ID ],tb1_supporters[Duplicate_Profile_Flag],"")</f>
        <v/>
      </c>
      <c r="S237" t="str">
        <f>_xlfn.XLOOKUP(Table8[[#This Row],[Supporter_ID]],tb1_supporters[Supporter_ID ],tb1_supporters[Preference_Compliance_Flag],"")</f>
        <v/>
      </c>
      <c r="T237" t="str">
        <f ca="1">IF(Table8[[#This Row],[Age]]="","Review - missing DOB",IF(Table8[[#This Row],[Age]]&gt;TODAY(),"Review - future DOB",IF(Table8[[#This Row],[Age]]=0,"Review -  potential entry error (age 0)","")))</f>
        <v/>
      </c>
      <c r="U237" t="str">
        <f>_xlfn.XLOOKUP(Table8[[#This Row],[Campaign_Code]],tb3_CampaignMaster[Campaign_Code],tb3_CampaignMaster[Campaign_Type],"")</f>
        <v>Trading</v>
      </c>
      <c r="V237" t="str">
        <f>_xlfn.XLOOKUP(Table8[[#This Row],[Campaign_Code]],tb3_CampaignMaster[Campaign_Code],tb3_CampaignMaster[Target_Audience],"")</f>
        <v>All Active</v>
      </c>
      <c r="W237" s="17">
        <f>_xlfn.XLOOKUP(Table8[[#This Row],[Campaign_Code]],tb3_CampaignMaster[Campaign_Code],tb3_CampaignMaster[Start_Date],"")</f>
        <v>45580</v>
      </c>
      <c r="X237" s="17">
        <f>_xlfn.XLOOKUP(Table8[[#This Row],[Campaign_Code]],tb3_CampaignMaster[Campaign_Code],tb3_CampaignMaster[End_Date],"")</f>
        <v>45646</v>
      </c>
      <c r="Y237">
        <f>_xlfn.XLOOKUP(Table8[[#This Row],[Campaign_Code]],tb3_CampaignMaster[Campaign_Code],tb3_CampaignMaster[Budget_GBP],"")</f>
        <v>12000</v>
      </c>
      <c r="Z237" t="str">
        <f>_xlfn.XLOOKUP(Table8[[#This Row],[Campaign_Code]],tb3_CampaignMaster[Campaign_Code],tb3_CampaignMaster[Primary_Channel],"")</f>
        <v>Multi-channel</v>
      </c>
      <c r="AA237" s="13">
        <f>IF(Table8[[#This Row],[Gift_Aid_Eligible]]="Yes",Table8[[#This Row],[Gift_Amount]]*1.25,Table8[[#This Row],[Gift_Amount]])</f>
        <v>27.450000000000003</v>
      </c>
      <c r="AB237" t="str">
        <f>IF(Table8[[#This Row],[Supporter_ID]]="","Review - missing supporter ID","")</f>
        <v/>
      </c>
      <c r="AC237" t="str">
        <f>IF(OR(Table8[[#This Row],[Response_Date]]&lt;Table8[[#This Row],[Start_Date]],Table8[[#This Row],[Response_Date]]&gt;Table8[[#This Row],[End_Date]]),"Review - response outside campaign dates","")</f>
        <v/>
      </c>
      <c r="AD237" t="str">
        <f>IF(Table8[[#This Row],[Campaign_Type]]="","Review - campaign code not found","")</f>
        <v/>
      </c>
    </row>
    <row r="238" spans="1:30" x14ac:dyDescent="0.25">
      <c r="A238" t="s">
        <v>3786</v>
      </c>
      <c r="B238" t="s">
        <v>2976</v>
      </c>
      <c r="C238" t="s">
        <v>3336</v>
      </c>
      <c r="D238" t="s">
        <v>3337</v>
      </c>
      <c r="E238" t="s">
        <v>3316</v>
      </c>
      <c r="F238" s="17">
        <v>45576</v>
      </c>
      <c r="G238">
        <v>36.72</v>
      </c>
      <c r="H238" t="s">
        <v>37</v>
      </c>
      <c r="I238" t="s">
        <v>3328</v>
      </c>
      <c r="J238" t="str">
        <f>_xlfn.XLOOKUP(Table8[[#This Row],[Supporter_ID]],tb1_supporters[Supporter_ID ],tb1_supporters[Segment],"")</f>
        <v>Regular Giver</v>
      </c>
      <c r="K238" t="str">
        <f>_xlfn.XLOOKUP(Table8[[#This Row],[Supporter_ID]],tb1_supporters[Supporter_ID ],tb1_supporters[Acquisition_Source],"")</f>
        <v>Telephone</v>
      </c>
      <c r="L238" t="str">
        <f>_xlfn.XLOOKUP(Table8[[#This Row],[Supporter_ID]],tb1_supporters[Supporter_ID ],tb1_supporters[County],"")</f>
        <v>Strathclyde</v>
      </c>
      <c r="M238" t="str">
        <f>_xlfn.XLOOKUP(Table8[[#This Row],[Supporter_ID]],tb1_supporters[Supporter_ID ],tb1_supporters[Gender],"")</f>
        <v>Male</v>
      </c>
      <c r="N238">
        <f ca="1">_xlfn.XLOOKUP(Table8[[#This Row],[Supporter_ID]],tb1_supporters[Supporter_ID ],tb1_supporters[Age],"")</f>
        <v>57</v>
      </c>
      <c r="O238" t="str">
        <f ca="1">_xlfn.XLOOKUP(Table8[[#This Row],[Supporter_ID]],tb1_supporters[Supporter_ID ],tb1_supporters[Age_Band],"")</f>
        <v>50-64</v>
      </c>
      <c r="P238" t="str">
        <f ca="1">IF(Table8[[#This Row],[Age_Band]]="","Unknown",Table8[[#This Row],[Age_Band]])</f>
        <v>50-64</v>
      </c>
      <c r="Q238" t="str">
        <f>_xlfn.XLOOKUP(Table8[[#This Row],[Supporter_ID]],tb1_supporters[Supporter_ID ],tb1_supporters[Communication_Preference],"")</f>
        <v>Post</v>
      </c>
      <c r="R238" t="str">
        <f>_xlfn.XLOOKUP(Table8[[#This Row],[Supporter_ID]],tb1_supporters[Supporter_ID ],tb1_supporters[Duplicate_Profile_Flag],"")</f>
        <v/>
      </c>
      <c r="S238" t="str">
        <f>_xlfn.XLOOKUP(Table8[[#This Row],[Supporter_ID]],tb1_supporters[Supporter_ID ],tb1_supporters[Preference_Compliance_Flag],"")</f>
        <v/>
      </c>
      <c r="T238" t="str">
        <f ca="1">IF(Table8[[#This Row],[Age]]="","Review - missing DOB",IF(Table8[[#This Row],[Age]]&gt;TODAY(),"Review - future DOB",IF(Table8[[#This Row],[Age]]=0,"Review -  potential entry error (age 0)","")))</f>
        <v/>
      </c>
      <c r="U238" t="str">
        <f>_xlfn.XLOOKUP(Table8[[#This Row],[Campaign_Code]],tb3_CampaignMaster[Campaign_Code],tb3_CampaignMaster[Campaign_Type],"")</f>
        <v>Appeal</v>
      </c>
      <c r="V238" t="str">
        <f>_xlfn.XLOOKUP(Table8[[#This Row],[Campaign_Code]],tb3_CampaignMaster[Campaign_Code],tb3_CampaignMaster[Target_Audience],"")</f>
        <v>All Supporters</v>
      </c>
      <c r="W238" s="17">
        <f>_xlfn.XLOOKUP(Table8[[#This Row],[Campaign_Code]],tb3_CampaignMaster[Campaign_Code],tb3_CampaignMaster[Start_Date],"")</f>
        <v>45545</v>
      </c>
      <c r="X238" s="17">
        <f>_xlfn.XLOOKUP(Table8[[#This Row],[Campaign_Code]],tb3_CampaignMaster[Campaign_Code],tb3_CampaignMaster[End_Date],"")</f>
        <v>45580</v>
      </c>
      <c r="Y238">
        <f>_xlfn.XLOOKUP(Table8[[#This Row],[Campaign_Code]],tb3_CampaignMaster[Campaign_Code],tb3_CampaignMaster[Budget_GBP],"")</f>
        <v>15000</v>
      </c>
      <c r="Z238" t="str">
        <f>_xlfn.XLOOKUP(Table8[[#This Row],[Campaign_Code]],tb3_CampaignMaster[Campaign_Code],tb3_CampaignMaster[Primary_Channel],"")</f>
        <v>Email</v>
      </c>
      <c r="AA238" s="13">
        <f>IF(Table8[[#This Row],[Gift_Aid_Eligible]]="Yes",Table8[[#This Row],[Gift_Amount]]*1.25,Table8[[#This Row],[Gift_Amount]])</f>
        <v>36.72</v>
      </c>
      <c r="AB238" t="str">
        <f>IF(Table8[[#This Row],[Supporter_ID]]="","Review - missing supporter ID","")</f>
        <v/>
      </c>
      <c r="AC238" t="str">
        <f>IF(OR(Table8[[#This Row],[Response_Date]]&lt;Table8[[#This Row],[Start_Date]],Table8[[#This Row],[Response_Date]]&gt;Table8[[#This Row],[End_Date]]),"Review - response outside campaign dates","")</f>
        <v/>
      </c>
      <c r="AD238" t="str">
        <f>IF(Table8[[#This Row],[Campaign_Type]]="","Review - campaign code not found","")</f>
        <v/>
      </c>
    </row>
    <row r="239" spans="1:30" x14ac:dyDescent="0.25">
      <c r="A239" t="s">
        <v>3788</v>
      </c>
      <c r="B239" t="s">
        <v>3009</v>
      </c>
      <c r="C239" t="s">
        <v>3367</v>
      </c>
      <c r="D239" t="s">
        <v>3368</v>
      </c>
      <c r="E239" t="s">
        <v>4</v>
      </c>
      <c r="F239" s="17">
        <v>45758</v>
      </c>
      <c r="G239">
        <v>141.16999999999999</v>
      </c>
      <c r="H239" t="s">
        <v>36</v>
      </c>
      <c r="I239" t="s">
        <v>3365</v>
      </c>
      <c r="J239" t="str">
        <f>_xlfn.XLOOKUP(Table8[[#This Row],[Supporter_ID]],tb1_supporters[Supporter_ID ],tb1_supporters[Segment],"")</f>
        <v>One-Time Donor</v>
      </c>
      <c r="K239" t="str">
        <f>_xlfn.XLOOKUP(Table8[[#This Row],[Supporter_ID]],tb1_supporters[Supporter_ID ],tb1_supporters[Acquisition_Source],"")</f>
        <v>Telephone</v>
      </c>
      <c r="L239" t="str">
        <f>_xlfn.XLOOKUP(Table8[[#This Row],[Supporter_ID]],tb1_supporters[Supporter_ID ],tb1_supporters[County],"")</f>
        <v>Cambridgeshire</v>
      </c>
      <c r="M239" t="str">
        <f>_xlfn.XLOOKUP(Table8[[#This Row],[Supporter_ID]],tb1_supporters[Supporter_ID ],tb1_supporters[Gender],"")</f>
        <v>Female</v>
      </c>
      <c r="N239">
        <f ca="1">_xlfn.XLOOKUP(Table8[[#This Row],[Supporter_ID]],tb1_supporters[Supporter_ID ],tb1_supporters[Age],"")</f>
        <v>63</v>
      </c>
      <c r="O239" t="str">
        <f ca="1">_xlfn.XLOOKUP(Table8[[#This Row],[Supporter_ID]],tb1_supporters[Supporter_ID ],tb1_supporters[Age_Band],"")</f>
        <v>50-64</v>
      </c>
      <c r="P239" t="str">
        <f ca="1">IF(Table8[[#This Row],[Age_Band]]="","Unknown",Table8[[#This Row],[Age_Band]])</f>
        <v>50-64</v>
      </c>
      <c r="Q239" t="str">
        <f>_xlfn.XLOOKUP(Table8[[#This Row],[Supporter_ID]],tb1_supporters[Supporter_ID ],tb1_supporters[Communication_Preference],"")</f>
        <v>Email</v>
      </c>
      <c r="R239" t="str">
        <f>_xlfn.XLOOKUP(Table8[[#This Row],[Supporter_ID]],tb1_supporters[Supporter_ID ],tb1_supporters[Duplicate_Profile_Flag],"")</f>
        <v/>
      </c>
      <c r="S239" t="str">
        <f>_xlfn.XLOOKUP(Table8[[#This Row],[Supporter_ID]],tb1_supporters[Supporter_ID ],tb1_supporters[Preference_Compliance_Flag],"")</f>
        <v/>
      </c>
      <c r="T239" t="str">
        <f ca="1">IF(Table8[[#This Row],[Age]]="","Review - missing DOB",IF(Table8[[#This Row],[Age]]&gt;TODAY(),"Review - future DOB",IF(Table8[[#This Row],[Age]]=0,"Review -  potential entry error (age 0)","")))</f>
        <v/>
      </c>
      <c r="U239" t="str">
        <f>_xlfn.XLOOKUP(Table8[[#This Row],[Campaign_Code]],tb3_CampaignMaster[Campaign_Code],tb3_CampaignMaster[Campaign_Type],"")</f>
        <v>Raffle</v>
      </c>
      <c r="V239" t="str">
        <f>_xlfn.XLOOKUP(Table8[[#This Row],[Campaign_Code]],tb3_CampaignMaster[Campaign_Code],tb3_CampaignMaster[Target_Audience],"")</f>
        <v>Regular Givers</v>
      </c>
      <c r="W239" s="17">
        <f>_xlfn.XLOOKUP(Table8[[#This Row],[Campaign_Code]],tb3_CampaignMaster[Campaign_Code],tb3_CampaignMaster[Start_Date],"")</f>
        <v>45717</v>
      </c>
      <c r="X239" s="17">
        <f>_xlfn.XLOOKUP(Table8[[#This Row],[Campaign_Code]],tb3_CampaignMaster[Campaign_Code],tb3_CampaignMaster[End_Date],"")</f>
        <v>45777</v>
      </c>
      <c r="Y239">
        <f>_xlfn.XLOOKUP(Table8[[#This Row],[Campaign_Code]],tb3_CampaignMaster[Campaign_Code],tb3_CampaignMaster[Budget_GBP],"")</f>
        <v>8000</v>
      </c>
      <c r="Z239" t="str">
        <f>_xlfn.XLOOKUP(Table8[[#This Row],[Campaign_Code]],tb3_CampaignMaster[Campaign_Code],tb3_CampaignMaster[Primary_Channel],"")</f>
        <v>Direct Mail</v>
      </c>
      <c r="AA239" s="13">
        <f>IF(Table8[[#This Row],[Gift_Aid_Eligible]]="Yes",Table8[[#This Row],[Gift_Amount]]*1.25,Table8[[#This Row],[Gift_Amount]])</f>
        <v>176.46249999999998</v>
      </c>
      <c r="AB239" t="str">
        <f>IF(Table8[[#This Row],[Supporter_ID]]="","Review - missing supporter ID","")</f>
        <v/>
      </c>
      <c r="AC239" t="str">
        <f>IF(OR(Table8[[#This Row],[Response_Date]]&lt;Table8[[#This Row],[Start_Date]],Table8[[#This Row],[Response_Date]]&gt;Table8[[#This Row],[End_Date]]),"Review - response outside campaign dates","")</f>
        <v/>
      </c>
      <c r="AD239" t="str">
        <f>IF(Table8[[#This Row],[Campaign_Type]]="","Review - campaign code not found","")</f>
        <v/>
      </c>
    </row>
    <row r="240" spans="1:30" x14ac:dyDescent="0.25">
      <c r="A240" t="s">
        <v>3790</v>
      </c>
      <c r="B240" t="s">
        <v>2770</v>
      </c>
      <c r="C240" t="s">
        <v>3403</v>
      </c>
      <c r="D240" t="s">
        <v>3404</v>
      </c>
      <c r="E240" t="s">
        <v>3316</v>
      </c>
      <c r="F240" s="17">
        <v>45616</v>
      </c>
      <c r="G240">
        <v>9.5</v>
      </c>
      <c r="H240" t="s">
        <v>36</v>
      </c>
      <c r="I240" t="s">
        <v>3331</v>
      </c>
      <c r="J240" t="str">
        <f>_xlfn.XLOOKUP(Table8[[#This Row],[Supporter_ID]],tb1_supporters[Supporter_ID ],tb1_supporters[Segment],"")</f>
        <v>Prospect</v>
      </c>
      <c r="K240" t="str">
        <f>_xlfn.XLOOKUP(Table8[[#This Row],[Supporter_ID]],tb1_supporters[Supporter_ID ],tb1_supporters[Acquisition_Source],"")</f>
        <v>Website</v>
      </c>
      <c r="L240" t="str">
        <f>_xlfn.XLOOKUP(Table8[[#This Row],[Supporter_ID]],tb1_supporters[Supporter_ID ],tb1_supporters[County],"")</f>
        <v>Surrey</v>
      </c>
      <c r="M240" t="str">
        <f>_xlfn.XLOOKUP(Table8[[#This Row],[Supporter_ID]],tb1_supporters[Supporter_ID ],tb1_supporters[Gender],"")</f>
        <v>Female</v>
      </c>
      <c r="N240">
        <f ca="1">_xlfn.XLOOKUP(Table8[[#This Row],[Supporter_ID]],tb1_supporters[Supporter_ID ],tb1_supporters[Age],"")</f>
        <v>54</v>
      </c>
      <c r="O240" t="str">
        <f ca="1">_xlfn.XLOOKUP(Table8[[#This Row],[Supporter_ID]],tb1_supporters[Supporter_ID ],tb1_supporters[Age_Band],"")</f>
        <v>50-64</v>
      </c>
      <c r="P240" t="str">
        <f ca="1">IF(Table8[[#This Row],[Age_Band]]="","Unknown",Table8[[#This Row],[Age_Band]])</f>
        <v>50-64</v>
      </c>
      <c r="Q240" t="str">
        <f>_xlfn.XLOOKUP(Table8[[#This Row],[Supporter_ID]],tb1_supporters[Supporter_ID ],tb1_supporters[Communication_Preference],"")</f>
        <v>Email</v>
      </c>
      <c r="R240" t="str">
        <f>_xlfn.XLOOKUP(Table8[[#This Row],[Supporter_ID]],tb1_supporters[Supporter_ID ],tb1_supporters[Duplicate_Profile_Flag],"")</f>
        <v/>
      </c>
      <c r="S240" t="str">
        <f>_xlfn.XLOOKUP(Table8[[#This Row],[Supporter_ID]],tb1_supporters[Supporter_ID ],tb1_supporters[Preference_Compliance_Flag],"")</f>
        <v>Review - prefers email but not opted in</v>
      </c>
      <c r="T240" t="str">
        <f ca="1">IF(Table8[[#This Row],[Age]]="","Review - missing DOB",IF(Table8[[#This Row],[Age]]&gt;TODAY(),"Review - future DOB",IF(Table8[[#This Row],[Age]]=0,"Review -  potential entry error (age 0)","")))</f>
        <v/>
      </c>
      <c r="U240" t="str">
        <f>_xlfn.XLOOKUP(Table8[[#This Row],[Campaign_Code]],tb3_CampaignMaster[Campaign_Code],tb3_CampaignMaster[Campaign_Type],"")</f>
        <v>Trading</v>
      </c>
      <c r="V240" t="str">
        <f>_xlfn.XLOOKUP(Table8[[#This Row],[Campaign_Code]],tb3_CampaignMaster[Campaign_Code],tb3_CampaignMaster[Target_Audience],"")</f>
        <v>All Active</v>
      </c>
      <c r="W240" s="17">
        <f>_xlfn.XLOOKUP(Table8[[#This Row],[Campaign_Code]],tb3_CampaignMaster[Campaign_Code],tb3_CampaignMaster[Start_Date],"")</f>
        <v>45580</v>
      </c>
      <c r="X240" s="17">
        <f>_xlfn.XLOOKUP(Table8[[#This Row],[Campaign_Code]],tb3_CampaignMaster[Campaign_Code],tb3_CampaignMaster[End_Date],"")</f>
        <v>45646</v>
      </c>
      <c r="Y240">
        <f>_xlfn.XLOOKUP(Table8[[#This Row],[Campaign_Code]],tb3_CampaignMaster[Campaign_Code],tb3_CampaignMaster[Budget_GBP],"")</f>
        <v>12000</v>
      </c>
      <c r="Z240" t="str">
        <f>_xlfn.XLOOKUP(Table8[[#This Row],[Campaign_Code]],tb3_CampaignMaster[Campaign_Code],tb3_CampaignMaster[Primary_Channel],"")</f>
        <v>Multi-channel</v>
      </c>
      <c r="AA240" s="13">
        <f>IF(Table8[[#This Row],[Gift_Aid_Eligible]]="Yes",Table8[[#This Row],[Gift_Amount]]*1.25,Table8[[#This Row],[Gift_Amount]])</f>
        <v>11.875</v>
      </c>
      <c r="AB240" t="str">
        <f>IF(Table8[[#This Row],[Supporter_ID]]="","Review - missing supporter ID","")</f>
        <v/>
      </c>
      <c r="AC240" t="str">
        <f>IF(OR(Table8[[#This Row],[Response_Date]]&lt;Table8[[#This Row],[Start_Date]],Table8[[#This Row],[Response_Date]]&gt;Table8[[#This Row],[End_Date]]),"Review - response outside campaign dates","")</f>
        <v/>
      </c>
      <c r="AD240" t="str">
        <f>IF(Table8[[#This Row],[Campaign_Type]]="","Review - campaign code not found","")</f>
        <v/>
      </c>
    </row>
    <row r="241" spans="1:30" x14ac:dyDescent="0.25">
      <c r="A241" t="s">
        <v>3792</v>
      </c>
      <c r="B241" t="s">
        <v>2483</v>
      </c>
      <c r="C241" t="s">
        <v>3427</v>
      </c>
      <c r="D241" t="s">
        <v>3428</v>
      </c>
      <c r="E241" t="s">
        <v>4</v>
      </c>
      <c r="F241" s="17">
        <v>45488</v>
      </c>
      <c r="G241">
        <v>24.66</v>
      </c>
      <c r="H241" t="s">
        <v>36</v>
      </c>
      <c r="I241" t="s">
        <v>3385</v>
      </c>
      <c r="J241" t="str">
        <f>_xlfn.XLOOKUP(Table8[[#This Row],[Supporter_ID]],tb1_supporters[Supporter_ID ],tb1_supporters[Segment],"")</f>
        <v>Prospect</v>
      </c>
      <c r="K241" t="str">
        <f>_xlfn.XLOOKUP(Table8[[#This Row],[Supporter_ID]],tb1_supporters[Supporter_ID ],tb1_supporters[Acquisition_Source],"")</f>
        <v>Door-To-Door</v>
      </c>
      <c r="L241" t="str">
        <f>_xlfn.XLOOKUP(Table8[[#This Row],[Supporter_ID]],tb1_supporters[Supporter_ID ],tb1_supporters[County],"")</f>
        <v>Buckinghamshire</v>
      </c>
      <c r="M241" t="str">
        <f>_xlfn.XLOOKUP(Table8[[#This Row],[Supporter_ID]],tb1_supporters[Supporter_ID ],tb1_supporters[Gender],"")</f>
        <v>Female</v>
      </c>
      <c r="N241">
        <f ca="1">_xlfn.XLOOKUP(Table8[[#This Row],[Supporter_ID]],tb1_supporters[Supporter_ID ],tb1_supporters[Age],"")</f>
        <v>22</v>
      </c>
      <c r="O241" t="str">
        <f ca="1">_xlfn.XLOOKUP(Table8[[#This Row],[Supporter_ID]],tb1_supporters[Supporter_ID ],tb1_supporters[Age_Band],"")</f>
        <v>18-34</v>
      </c>
      <c r="P241" t="str">
        <f ca="1">IF(Table8[[#This Row],[Age_Band]]="","Unknown",Table8[[#This Row],[Age_Band]])</f>
        <v>18-34</v>
      </c>
      <c r="Q241" t="str">
        <f>_xlfn.XLOOKUP(Table8[[#This Row],[Supporter_ID]],tb1_supporters[Supporter_ID ],tb1_supporters[Communication_Preference],"")</f>
        <v>Email</v>
      </c>
      <c r="R241" t="str">
        <f>_xlfn.XLOOKUP(Table8[[#This Row],[Supporter_ID]],tb1_supporters[Supporter_ID ],tb1_supporters[Duplicate_Profile_Flag],"")</f>
        <v/>
      </c>
      <c r="S241" t="str">
        <f>_xlfn.XLOOKUP(Table8[[#This Row],[Supporter_ID]],tb1_supporters[Supporter_ID ],tb1_supporters[Preference_Compliance_Flag],"")</f>
        <v/>
      </c>
      <c r="T241" t="str">
        <f ca="1">IF(Table8[[#This Row],[Age]]="","Review - missing DOB",IF(Table8[[#This Row],[Age]]&gt;TODAY(),"Review - future DOB",IF(Table8[[#This Row],[Age]]=0,"Review -  potential entry error (age 0)","")))</f>
        <v/>
      </c>
      <c r="U241" t="str">
        <f>_xlfn.XLOOKUP(Table8[[#This Row],[Campaign_Code]],tb3_CampaignMaster[Campaign_Code],tb3_CampaignMaster[Campaign_Type],"")</f>
        <v>Event</v>
      </c>
      <c r="V241" t="str">
        <f>_xlfn.XLOOKUP(Table8[[#This Row],[Campaign_Code]],tb3_CampaignMaster[Campaign_Code],tb3_CampaignMaster[Target_Audience],"")</f>
        <v>Major Donors</v>
      </c>
      <c r="W241" s="17">
        <f>_xlfn.XLOOKUP(Table8[[#This Row],[Campaign_Code]],tb3_CampaignMaster[Campaign_Code],tb3_CampaignMaster[Start_Date],"")</f>
        <v>45488</v>
      </c>
      <c r="X241" s="17">
        <f>_xlfn.XLOOKUP(Table8[[#This Row],[Campaign_Code]],tb3_CampaignMaster[Campaign_Code],tb3_CampaignMaster[End_Date],"")</f>
        <v>45488</v>
      </c>
      <c r="Y241">
        <f>_xlfn.XLOOKUP(Table8[[#This Row],[Campaign_Code]],tb3_CampaignMaster[Campaign_Code],tb3_CampaignMaster[Budget_GBP],"")</f>
        <v>45000</v>
      </c>
      <c r="Z241" t="str">
        <f>_xlfn.XLOOKUP(Table8[[#This Row],[Campaign_Code]],tb3_CampaignMaster[Campaign_Code],tb3_CampaignMaster[Primary_Channel],"")</f>
        <v>Direct Mail</v>
      </c>
      <c r="AA241" s="13">
        <f>IF(Table8[[#This Row],[Gift_Aid_Eligible]]="Yes",Table8[[#This Row],[Gift_Amount]]*1.25,Table8[[#This Row],[Gift_Amount]])</f>
        <v>30.824999999999999</v>
      </c>
      <c r="AB241" t="str">
        <f>IF(Table8[[#This Row],[Supporter_ID]]="","Review - missing supporter ID","")</f>
        <v/>
      </c>
      <c r="AC241" t="str">
        <f>IF(OR(Table8[[#This Row],[Response_Date]]&lt;Table8[[#This Row],[Start_Date]],Table8[[#This Row],[Response_Date]]&gt;Table8[[#This Row],[End_Date]]),"Review - response outside campaign dates","")</f>
        <v/>
      </c>
      <c r="AD241" t="str">
        <f>IF(Table8[[#This Row],[Campaign_Type]]="","Review - campaign code not found","")</f>
        <v/>
      </c>
    </row>
    <row r="242" spans="1:30" x14ac:dyDescent="0.25">
      <c r="A242" t="s">
        <v>3793</v>
      </c>
      <c r="B242" t="s">
        <v>2154</v>
      </c>
      <c r="C242" t="s">
        <v>3427</v>
      </c>
      <c r="D242" t="s">
        <v>3428</v>
      </c>
      <c r="E242" t="s">
        <v>4</v>
      </c>
      <c r="F242" s="17">
        <v>45488</v>
      </c>
      <c r="G242">
        <v>4358.37</v>
      </c>
      <c r="H242" t="s">
        <v>36</v>
      </c>
      <c r="I242" t="s">
        <v>3323</v>
      </c>
      <c r="J242" t="str">
        <f>_xlfn.XLOOKUP(Table8[[#This Row],[Supporter_ID]],tb1_supporters[Supporter_ID ],tb1_supporters[Segment],"")</f>
        <v>Major Donor</v>
      </c>
      <c r="K242" t="str">
        <f>_xlfn.XLOOKUP(Table8[[#This Row],[Supporter_ID]],tb1_supporters[Supporter_ID ],tb1_supporters[Acquisition_Source],"")</f>
        <v>Corporate Partner</v>
      </c>
      <c r="L242" t="str">
        <f>_xlfn.XLOOKUP(Table8[[#This Row],[Supporter_ID]],tb1_supporters[Supporter_ID ],tb1_supporters[County],"")</f>
        <v>Surrey</v>
      </c>
      <c r="M242" t="str">
        <f>_xlfn.XLOOKUP(Table8[[#This Row],[Supporter_ID]],tb1_supporters[Supporter_ID ],tb1_supporters[Gender],"")</f>
        <v>Female</v>
      </c>
      <c r="N242" t="str">
        <f ca="1">_xlfn.XLOOKUP(Table8[[#This Row],[Supporter_ID]],tb1_supporters[Supporter_ID ],tb1_supporters[Age],"")</f>
        <v/>
      </c>
      <c r="O242" t="str">
        <f ca="1">_xlfn.XLOOKUP(Table8[[#This Row],[Supporter_ID]],tb1_supporters[Supporter_ID ],tb1_supporters[Age_Band],"")</f>
        <v/>
      </c>
      <c r="P242" t="str">
        <f ca="1">IF(Table8[[#This Row],[Age_Band]]="","Unknown",Table8[[#This Row],[Age_Band]])</f>
        <v>Unknown</v>
      </c>
      <c r="Q242" t="str">
        <f>_xlfn.XLOOKUP(Table8[[#This Row],[Supporter_ID]],tb1_supporters[Supporter_ID ],tb1_supporters[Communication_Preference],"")</f>
        <v>Phone</v>
      </c>
      <c r="R242" t="str">
        <f>_xlfn.XLOOKUP(Table8[[#This Row],[Supporter_ID]],tb1_supporters[Supporter_ID ],tb1_supporters[Duplicate_Profile_Flag],"")</f>
        <v/>
      </c>
      <c r="S242" t="str">
        <f>_xlfn.XLOOKUP(Table8[[#This Row],[Supporter_ID]],tb1_supporters[Supporter_ID ],tb1_supporters[Preference_Compliance_Flag],"")</f>
        <v/>
      </c>
      <c r="T242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242" t="str">
        <f>_xlfn.XLOOKUP(Table8[[#This Row],[Campaign_Code]],tb3_CampaignMaster[Campaign_Code],tb3_CampaignMaster[Campaign_Type],"")</f>
        <v>Event</v>
      </c>
      <c r="V242" t="str">
        <f>_xlfn.XLOOKUP(Table8[[#This Row],[Campaign_Code]],tb3_CampaignMaster[Campaign_Code],tb3_CampaignMaster[Target_Audience],"")</f>
        <v>Major Donors</v>
      </c>
      <c r="W242" s="17">
        <f>_xlfn.XLOOKUP(Table8[[#This Row],[Campaign_Code]],tb3_CampaignMaster[Campaign_Code],tb3_CampaignMaster[Start_Date],"")</f>
        <v>45488</v>
      </c>
      <c r="X242" s="17">
        <f>_xlfn.XLOOKUP(Table8[[#This Row],[Campaign_Code]],tb3_CampaignMaster[Campaign_Code],tb3_CampaignMaster[End_Date],"")</f>
        <v>45488</v>
      </c>
      <c r="Y242">
        <f>_xlfn.XLOOKUP(Table8[[#This Row],[Campaign_Code]],tb3_CampaignMaster[Campaign_Code],tb3_CampaignMaster[Budget_GBP],"")</f>
        <v>45000</v>
      </c>
      <c r="Z242" t="str">
        <f>_xlfn.XLOOKUP(Table8[[#This Row],[Campaign_Code]],tb3_CampaignMaster[Campaign_Code],tb3_CampaignMaster[Primary_Channel],"")</f>
        <v>Direct Mail</v>
      </c>
      <c r="AA242" s="13">
        <f>IF(Table8[[#This Row],[Gift_Aid_Eligible]]="Yes",Table8[[#This Row],[Gift_Amount]]*1.25,Table8[[#This Row],[Gift_Amount]])</f>
        <v>5447.9624999999996</v>
      </c>
      <c r="AB242" t="str">
        <f>IF(Table8[[#This Row],[Supporter_ID]]="","Review - missing supporter ID","")</f>
        <v/>
      </c>
      <c r="AC242" t="str">
        <f>IF(OR(Table8[[#This Row],[Response_Date]]&lt;Table8[[#This Row],[Start_Date]],Table8[[#This Row],[Response_Date]]&gt;Table8[[#This Row],[End_Date]]),"Review - response outside campaign dates","")</f>
        <v/>
      </c>
      <c r="AD242" t="str">
        <f>IF(Table8[[#This Row],[Campaign_Type]]="","Review - campaign code not found","")</f>
        <v/>
      </c>
    </row>
    <row r="243" spans="1:30" x14ac:dyDescent="0.25">
      <c r="A243" t="s">
        <v>3794</v>
      </c>
      <c r="B243" t="s">
        <v>433</v>
      </c>
      <c r="C243" t="s">
        <v>3320</v>
      </c>
      <c r="D243" t="s">
        <v>3321</v>
      </c>
      <c r="E243" t="s">
        <v>4</v>
      </c>
      <c r="F243" s="17">
        <v>45458</v>
      </c>
      <c r="G243">
        <v>17.32</v>
      </c>
      <c r="H243" t="s">
        <v>37</v>
      </c>
      <c r="I243" t="s">
        <v>3331</v>
      </c>
      <c r="J243" t="str">
        <f>_xlfn.XLOOKUP(Table8[[#This Row],[Supporter_ID]],tb1_supporters[Supporter_ID ],tb1_supporters[Segment],"")</f>
        <v>Lapsed</v>
      </c>
      <c r="K243" t="str">
        <f>_xlfn.XLOOKUP(Table8[[#This Row],[Supporter_ID]],tb1_supporters[Supporter_ID ],tb1_supporters[Acquisition_Source],"")</f>
        <v>Event</v>
      </c>
      <c r="L243" t="str">
        <f>_xlfn.XLOOKUP(Table8[[#This Row],[Supporter_ID]],tb1_supporters[Supporter_ID ],tb1_supporters[County],"")</f>
        <v>Hertfordshire</v>
      </c>
      <c r="M243" t="str">
        <f>_xlfn.XLOOKUP(Table8[[#This Row],[Supporter_ID]],tb1_supporters[Supporter_ID ],tb1_supporters[Gender],"")</f>
        <v>Male</v>
      </c>
      <c r="N243">
        <f ca="1">_xlfn.XLOOKUP(Table8[[#This Row],[Supporter_ID]],tb1_supporters[Supporter_ID ],tb1_supporters[Age],"")</f>
        <v>81</v>
      </c>
      <c r="O243" t="str">
        <f ca="1">_xlfn.XLOOKUP(Table8[[#This Row],[Supporter_ID]],tb1_supporters[Supporter_ID ],tb1_supporters[Age_Band],"")</f>
        <v>65+</v>
      </c>
      <c r="P243" t="str">
        <f ca="1">IF(Table8[[#This Row],[Age_Band]]="","Unknown",Table8[[#This Row],[Age_Band]])</f>
        <v>65+</v>
      </c>
      <c r="Q243" t="str">
        <f>_xlfn.XLOOKUP(Table8[[#This Row],[Supporter_ID]],tb1_supporters[Supporter_ID ],tb1_supporters[Communication_Preference],"")</f>
        <v>No Preference</v>
      </c>
      <c r="R243" t="str">
        <f>_xlfn.XLOOKUP(Table8[[#This Row],[Supporter_ID]],tb1_supporters[Supporter_ID ],tb1_supporters[Duplicate_Profile_Flag],"")</f>
        <v/>
      </c>
      <c r="S243" t="str">
        <f>_xlfn.XLOOKUP(Table8[[#This Row],[Supporter_ID]],tb1_supporters[Supporter_ID ],tb1_supporters[Preference_Compliance_Flag],"")</f>
        <v/>
      </c>
      <c r="T243" t="str">
        <f ca="1">IF(Table8[[#This Row],[Age]]="","Review - missing DOB",IF(Table8[[#This Row],[Age]]&gt;TODAY(),"Review - future DOB",IF(Table8[[#This Row],[Age]]=0,"Review -  potential entry error (age 0)","")))</f>
        <v/>
      </c>
      <c r="U243" t="str">
        <f>_xlfn.XLOOKUP(Table8[[#This Row],[Campaign_Code]],tb3_CampaignMaster[Campaign_Code],tb3_CampaignMaster[Campaign_Type],"")</f>
        <v>Stewardship</v>
      </c>
      <c r="V243" t="str">
        <f>_xlfn.XLOOKUP(Table8[[#This Row],[Campaign_Code]],tb3_CampaignMaster[Campaign_Code],tb3_CampaignMaster[Target_Audience],"")</f>
        <v>Major Donors</v>
      </c>
      <c r="W243" s="17">
        <f>_xlfn.XLOOKUP(Table8[[#This Row],[Campaign_Code]],tb3_CampaignMaster[Campaign_Code],tb3_CampaignMaster[Start_Date],"")</f>
        <v>45444</v>
      </c>
      <c r="X243" s="17">
        <f>_xlfn.XLOOKUP(Table8[[#This Row],[Campaign_Code]],tb3_CampaignMaster[Campaign_Code],tb3_CampaignMaster[End_Date],"")</f>
        <v>45473</v>
      </c>
      <c r="Y243">
        <f>_xlfn.XLOOKUP(Table8[[#This Row],[Campaign_Code]],tb3_CampaignMaster[Campaign_Code],tb3_CampaignMaster[Budget_GBP],"")</f>
        <v>7000</v>
      </c>
      <c r="Z243" t="str">
        <f>_xlfn.XLOOKUP(Table8[[#This Row],[Campaign_Code]],tb3_CampaignMaster[Campaign_Code],tb3_CampaignMaster[Primary_Channel],"")</f>
        <v>Direct Mail</v>
      </c>
      <c r="AA243" s="13">
        <f>IF(Table8[[#This Row],[Gift_Aid_Eligible]]="Yes",Table8[[#This Row],[Gift_Amount]]*1.25,Table8[[#This Row],[Gift_Amount]])</f>
        <v>17.32</v>
      </c>
      <c r="AB243" t="str">
        <f>IF(Table8[[#This Row],[Supporter_ID]]="","Review - missing supporter ID","")</f>
        <v/>
      </c>
      <c r="AC243" t="str">
        <f>IF(OR(Table8[[#This Row],[Response_Date]]&lt;Table8[[#This Row],[Start_Date]],Table8[[#This Row],[Response_Date]]&gt;Table8[[#This Row],[End_Date]]),"Review - response outside campaign dates","")</f>
        <v/>
      </c>
      <c r="AD243" t="str">
        <f>IF(Table8[[#This Row],[Campaign_Type]]="","Review - campaign code not found","")</f>
        <v/>
      </c>
    </row>
    <row r="244" spans="1:30" x14ac:dyDescent="0.25">
      <c r="A244" t="s">
        <v>3795</v>
      </c>
      <c r="B244" t="s">
        <v>1167</v>
      </c>
      <c r="C244" t="s">
        <v>3314</v>
      </c>
      <c r="D244" t="s">
        <v>3315</v>
      </c>
      <c r="E244" t="s">
        <v>65</v>
      </c>
      <c r="F244" s="17">
        <v>45685</v>
      </c>
      <c r="G244">
        <v>37.54</v>
      </c>
      <c r="H244" t="s">
        <v>36</v>
      </c>
      <c r="I244" t="s">
        <v>3318</v>
      </c>
      <c r="J244" t="str">
        <f>_xlfn.XLOOKUP(Table8[[#This Row],[Supporter_ID]],tb1_supporters[Supporter_ID ],tb1_supporters[Segment],"")</f>
        <v>Regular Giver</v>
      </c>
      <c r="K244" t="str">
        <f>_xlfn.XLOOKUP(Table8[[#This Row],[Supporter_ID]],tb1_supporters[Supporter_ID ],tb1_supporters[Acquisition_Source],"")</f>
        <v>Direct Mail</v>
      </c>
      <c r="L244" t="str">
        <f>_xlfn.XLOOKUP(Table8[[#This Row],[Supporter_ID]],tb1_supporters[Supporter_ID ],tb1_supporters[County],"")</f>
        <v>Lothian</v>
      </c>
      <c r="M244" t="str">
        <f>_xlfn.XLOOKUP(Table8[[#This Row],[Supporter_ID]],tb1_supporters[Supporter_ID ],tb1_supporters[Gender],"")</f>
        <v>Female</v>
      </c>
      <c r="N244">
        <f ca="1">_xlfn.XLOOKUP(Table8[[#This Row],[Supporter_ID]],tb1_supporters[Supporter_ID ],tb1_supporters[Age],"")</f>
        <v>68</v>
      </c>
      <c r="O244" t="str">
        <f ca="1">_xlfn.XLOOKUP(Table8[[#This Row],[Supporter_ID]],tb1_supporters[Supporter_ID ],tb1_supporters[Age_Band],"")</f>
        <v>65+</v>
      </c>
      <c r="P244" t="str">
        <f ca="1">IF(Table8[[#This Row],[Age_Band]]="","Unknown",Table8[[#This Row],[Age_Band]])</f>
        <v>65+</v>
      </c>
      <c r="Q244" t="str">
        <f>_xlfn.XLOOKUP(Table8[[#This Row],[Supporter_ID]],tb1_supporters[Supporter_ID ],tb1_supporters[Communication_Preference],"")</f>
        <v>Phone</v>
      </c>
      <c r="R244" t="str">
        <f>_xlfn.XLOOKUP(Table8[[#This Row],[Supporter_ID]],tb1_supporters[Supporter_ID ],tb1_supporters[Duplicate_Profile_Flag],"")</f>
        <v/>
      </c>
      <c r="S244" t="str">
        <f>_xlfn.XLOOKUP(Table8[[#This Row],[Supporter_ID]],tb1_supporters[Supporter_ID ],tb1_supporters[Preference_Compliance_Flag],"")</f>
        <v/>
      </c>
      <c r="T244" t="str">
        <f ca="1">IF(Table8[[#This Row],[Age]]="","Review - missing DOB",IF(Table8[[#This Row],[Age]]&gt;TODAY(),"Review - future DOB",IF(Table8[[#This Row],[Age]]=0,"Review -  potential entry error (age 0)","")))</f>
        <v/>
      </c>
      <c r="U244" t="str">
        <f>_xlfn.XLOOKUP(Table8[[#This Row],[Campaign_Code]],tb3_CampaignMaster[Campaign_Code],tb3_CampaignMaster[Campaign_Type],"")</f>
        <v>Regular Giving</v>
      </c>
      <c r="V244" t="str">
        <f>_xlfn.XLOOKUP(Table8[[#This Row],[Campaign_Code]],tb3_CampaignMaster[Campaign_Code],tb3_CampaignMaster[Target_Audience],"")</f>
        <v>One-time Donors</v>
      </c>
      <c r="W244" s="17">
        <f>_xlfn.XLOOKUP(Table8[[#This Row],[Campaign_Code]],tb3_CampaignMaster[Campaign_Code],tb3_CampaignMaster[Start_Date],"")</f>
        <v>45663</v>
      </c>
      <c r="X244" s="17">
        <f>_xlfn.XLOOKUP(Table8[[#This Row],[Campaign_Code]],tb3_CampaignMaster[Campaign_Code],tb3_CampaignMaster[End_Date],"")</f>
        <v>45747</v>
      </c>
      <c r="Y244">
        <f>_xlfn.XLOOKUP(Table8[[#This Row],[Campaign_Code]],tb3_CampaignMaster[Campaign_Code],tb3_CampaignMaster[Budget_GBP],"")</f>
        <v>10000</v>
      </c>
      <c r="Z244" t="str">
        <f>_xlfn.XLOOKUP(Table8[[#This Row],[Campaign_Code]],tb3_CampaignMaster[Campaign_Code],tb3_CampaignMaster[Primary_Channel],"")</f>
        <v>Telephone</v>
      </c>
      <c r="AA244" s="13">
        <f>IF(Table8[[#This Row],[Gift_Aid_Eligible]]="Yes",Table8[[#This Row],[Gift_Amount]]*1.25,Table8[[#This Row],[Gift_Amount]])</f>
        <v>46.924999999999997</v>
      </c>
      <c r="AB244" t="str">
        <f>IF(Table8[[#This Row],[Supporter_ID]]="","Review - missing supporter ID","")</f>
        <v/>
      </c>
      <c r="AC244" t="str">
        <f>IF(OR(Table8[[#This Row],[Response_Date]]&lt;Table8[[#This Row],[Start_Date]],Table8[[#This Row],[Response_Date]]&gt;Table8[[#This Row],[End_Date]]),"Review - response outside campaign dates","")</f>
        <v/>
      </c>
      <c r="AD244" t="str">
        <f>IF(Table8[[#This Row],[Campaign_Type]]="","Review - campaign code not found","")</f>
        <v/>
      </c>
    </row>
    <row r="245" spans="1:30" x14ac:dyDescent="0.25">
      <c r="A245" t="s">
        <v>3797</v>
      </c>
      <c r="B245" t="s">
        <v>1976</v>
      </c>
      <c r="C245" t="s">
        <v>3403</v>
      </c>
      <c r="D245" t="s">
        <v>3404</v>
      </c>
      <c r="E245" t="s">
        <v>4</v>
      </c>
      <c r="F245" s="17">
        <v>45631</v>
      </c>
      <c r="G245">
        <v>2557.66</v>
      </c>
      <c r="H245" t="s">
        <v>36</v>
      </c>
      <c r="I245" t="s">
        <v>3385</v>
      </c>
      <c r="J245" t="str">
        <f>_xlfn.XLOOKUP(Table8[[#This Row],[Supporter_ID]],tb1_supporters[Supporter_ID ],tb1_supporters[Segment],"")</f>
        <v>Major Donor</v>
      </c>
      <c r="K245" t="str">
        <f>_xlfn.XLOOKUP(Table8[[#This Row],[Supporter_ID]],tb1_supporters[Supporter_ID ],tb1_supporters[Acquisition_Source],"")</f>
        <v>Referral</v>
      </c>
      <c r="L245" t="str">
        <f>_xlfn.XLOOKUP(Table8[[#This Row],[Supporter_ID]],tb1_supporters[Supporter_ID ],tb1_supporters[County],"")</f>
        <v>East Sussex</v>
      </c>
      <c r="M245" t="str">
        <f>_xlfn.XLOOKUP(Table8[[#This Row],[Supporter_ID]],tb1_supporters[Supporter_ID ],tb1_supporters[Gender],"")</f>
        <v>Female</v>
      </c>
      <c r="N245">
        <f ca="1">_xlfn.XLOOKUP(Table8[[#This Row],[Supporter_ID]],tb1_supporters[Supporter_ID ],tb1_supporters[Age],"")</f>
        <v>75</v>
      </c>
      <c r="O245" t="str">
        <f ca="1">_xlfn.XLOOKUP(Table8[[#This Row],[Supporter_ID]],tb1_supporters[Supporter_ID ],tb1_supporters[Age_Band],"")</f>
        <v>65+</v>
      </c>
      <c r="P245" t="str">
        <f ca="1">IF(Table8[[#This Row],[Age_Band]]="","Unknown",Table8[[#This Row],[Age_Band]])</f>
        <v>65+</v>
      </c>
      <c r="Q245" t="str">
        <f>_xlfn.XLOOKUP(Table8[[#This Row],[Supporter_ID]],tb1_supporters[Supporter_ID ],tb1_supporters[Communication_Preference],"")</f>
        <v>Email</v>
      </c>
      <c r="R245" t="str">
        <f>_xlfn.XLOOKUP(Table8[[#This Row],[Supporter_ID]],tb1_supporters[Supporter_ID ],tb1_supporters[Duplicate_Profile_Flag],"")</f>
        <v/>
      </c>
      <c r="S245" t="str">
        <f>_xlfn.XLOOKUP(Table8[[#This Row],[Supporter_ID]],tb1_supporters[Supporter_ID ],tb1_supporters[Preference_Compliance_Flag],"")</f>
        <v/>
      </c>
      <c r="T245" t="str">
        <f ca="1">IF(Table8[[#This Row],[Age]]="","Review - missing DOB",IF(Table8[[#This Row],[Age]]&gt;TODAY(),"Review - future DOB",IF(Table8[[#This Row],[Age]]=0,"Review -  potential entry error (age 0)","")))</f>
        <v/>
      </c>
      <c r="U245" t="str">
        <f>_xlfn.XLOOKUP(Table8[[#This Row],[Campaign_Code]],tb3_CampaignMaster[Campaign_Code],tb3_CampaignMaster[Campaign_Type],"")</f>
        <v>Trading</v>
      </c>
      <c r="V245" t="str">
        <f>_xlfn.XLOOKUP(Table8[[#This Row],[Campaign_Code]],tb3_CampaignMaster[Campaign_Code],tb3_CampaignMaster[Target_Audience],"")</f>
        <v>All Active</v>
      </c>
      <c r="W245" s="17">
        <f>_xlfn.XLOOKUP(Table8[[#This Row],[Campaign_Code]],tb3_CampaignMaster[Campaign_Code],tb3_CampaignMaster[Start_Date],"")</f>
        <v>45580</v>
      </c>
      <c r="X245" s="17">
        <f>_xlfn.XLOOKUP(Table8[[#This Row],[Campaign_Code]],tb3_CampaignMaster[Campaign_Code],tb3_CampaignMaster[End_Date],"")</f>
        <v>45646</v>
      </c>
      <c r="Y245">
        <f>_xlfn.XLOOKUP(Table8[[#This Row],[Campaign_Code]],tb3_CampaignMaster[Campaign_Code],tb3_CampaignMaster[Budget_GBP],"")</f>
        <v>12000</v>
      </c>
      <c r="Z245" t="str">
        <f>_xlfn.XLOOKUP(Table8[[#This Row],[Campaign_Code]],tb3_CampaignMaster[Campaign_Code],tb3_CampaignMaster[Primary_Channel],"")</f>
        <v>Multi-channel</v>
      </c>
      <c r="AA245" s="13">
        <f>IF(Table8[[#This Row],[Gift_Aid_Eligible]]="Yes",Table8[[#This Row],[Gift_Amount]]*1.25,Table8[[#This Row],[Gift_Amount]])</f>
        <v>3197.0749999999998</v>
      </c>
      <c r="AB245" t="str">
        <f>IF(Table8[[#This Row],[Supporter_ID]]="","Review - missing supporter ID","")</f>
        <v/>
      </c>
      <c r="AC245" t="str">
        <f>IF(OR(Table8[[#This Row],[Response_Date]]&lt;Table8[[#This Row],[Start_Date]],Table8[[#This Row],[Response_Date]]&gt;Table8[[#This Row],[End_Date]]),"Review - response outside campaign dates","")</f>
        <v/>
      </c>
      <c r="AD245" t="str">
        <f>IF(Table8[[#This Row],[Campaign_Type]]="","Review - campaign code not found","")</f>
        <v/>
      </c>
    </row>
    <row r="246" spans="1:30" x14ac:dyDescent="0.25">
      <c r="A246" t="s">
        <v>3799</v>
      </c>
      <c r="B246" t="s">
        <v>1608</v>
      </c>
      <c r="C246" t="s">
        <v>3336</v>
      </c>
      <c r="D246" t="s">
        <v>3337</v>
      </c>
      <c r="E246" t="s">
        <v>3338</v>
      </c>
      <c r="F246" s="17">
        <v>45557</v>
      </c>
      <c r="G246">
        <v>26.11</v>
      </c>
      <c r="H246" t="s">
        <v>36</v>
      </c>
      <c r="I246" t="s">
        <v>3318</v>
      </c>
      <c r="J246" t="str">
        <f>_xlfn.XLOOKUP(Table8[[#This Row],[Supporter_ID]],tb1_supporters[Supporter_ID ],tb1_supporters[Segment],"")</f>
        <v>Lapsed</v>
      </c>
      <c r="K246" t="str">
        <f>_xlfn.XLOOKUP(Table8[[#This Row],[Supporter_ID]],tb1_supporters[Supporter_ID ],tb1_supporters[Acquisition_Source],"")</f>
        <v>Event</v>
      </c>
      <c r="L246" t="str">
        <f>_xlfn.XLOOKUP(Table8[[#This Row],[Supporter_ID]],tb1_supporters[Supporter_ID ],tb1_supporters[County],"")</f>
        <v>Berkshire</v>
      </c>
      <c r="M246" t="str">
        <f>_xlfn.XLOOKUP(Table8[[#This Row],[Supporter_ID]],tb1_supporters[Supporter_ID ],tb1_supporters[Gender],"")</f>
        <v>Female</v>
      </c>
      <c r="N246" t="str">
        <f ca="1">_xlfn.XLOOKUP(Table8[[#This Row],[Supporter_ID]],tb1_supporters[Supporter_ID ],tb1_supporters[Age],"")</f>
        <v/>
      </c>
      <c r="O246" t="str">
        <f ca="1">_xlfn.XLOOKUP(Table8[[#This Row],[Supporter_ID]],tb1_supporters[Supporter_ID ],tb1_supporters[Age_Band],"")</f>
        <v/>
      </c>
      <c r="P246" t="str">
        <f ca="1">IF(Table8[[#This Row],[Age_Band]]="","Unknown",Table8[[#This Row],[Age_Band]])</f>
        <v>Unknown</v>
      </c>
      <c r="Q246" t="str">
        <f>_xlfn.XLOOKUP(Table8[[#This Row],[Supporter_ID]],tb1_supporters[Supporter_ID ],tb1_supporters[Communication_Preference],"")</f>
        <v>Email</v>
      </c>
      <c r="R246" t="str">
        <f>_xlfn.XLOOKUP(Table8[[#This Row],[Supporter_ID]],tb1_supporters[Supporter_ID ],tb1_supporters[Duplicate_Profile_Flag],"")</f>
        <v/>
      </c>
      <c r="S246" t="str">
        <f>_xlfn.XLOOKUP(Table8[[#This Row],[Supporter_ID]],tb1_supporters[Supporter_ID ],tb1_supporters[Preference_Compliance_Flag],"")</f>
        <v/>
      </c>
      <c r="T246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246" t="str">
        <f>_xlfn.XLOOKUP(Table8[[#This Row],[Campaign_Code]],tb3_CampaignMaster[Campaign_Code],tb3_CampaignMaster[Campaign_Type],"")</f>
        <v>Appeal</v>
      </c>
      <c r="V246" t="str">
        <f>_xlfn.XLOOKUP(Table8[[#This Row],[Campaign_Code]],tb3_CampaignMaster[Campaign_Code],tb3_CampaignMaster[Target_Audience],"")</f>
        <v>All Supporters</v>
      </c>
      <c r="W246" s="17">
        <f>_xlfn.XLOOKUP(Table8[[#This Row],[Campaign_Code]],tb3_CampaignMaster[Campaign_Code],tb3_CampaignMaster[Start_Date],"")</f>
        <v>45545</v>
      </c>
      <c r="X246" s="17">
        <f>_xlfn.XLOOKUP(Table8[[#This Row],[Campaign_Code]],tb3_CampaignMaster[Campaign_Code],tb3_CampaignMaster[End_Date],"")</f>
        <v>45580</v>
      </c>
      <c r="Y246">
        <f>_xlfn.XLOOKUP(Table8[[#This Row],[Campaign_Code]],tb3_CampaignMaster[Campaign_Code],tb3_CampaignMaster[Budget_GBP],"")</f>
        <v>15000</v>
      </c>
      <c r="Z246" t="str">
        <f>_xlfn.XLOOKUP(Table8[[#This Row],[Campaign_Code]],tb3_CampaignMaster[Campaign_Code],tb3_CampaignMaster[Primary_Channel],"")</f>
        <v>Email</v>
      </c>
      <c r="AA246" s="13">
        <f>IF(Table8[[#This Row],[Gift_Aid_Eligible]]="Yes",Table8[[#This Row],[Gift_Amount]]*1.25,Table8[[#This Row],[Gift_Amount]])</f>
        <v>32.637500000000003</v>
      </c>
      <c r="AB246" t="str">
        <f>IF(Table8[[#This Row],[Supporter_ID]]="","Review - missing supporter ID","")</f>
        <v/>
      </c>
      <c r="AC246" t="str">
        <f>IF(OR(Table8[[#This Row],[Response_Date]]&lt;Table8[[#This Row],[Start_Date]],Table8[[#This Row],[Response_Date]]&gt;Table8[[#This Row],[End_Date]]),"Review - response outside campaign dates","")</f>
        <v/>
      </c>
      <c r="AD246" t="str">
        <f>IF(Table8[[#This Row],[Campaign_Type]]="","Review - campaign code not found","")</f>
        <v/>
      </c>
    </row>
    <row r="247" spans="1:30" x14ac:dyDescent="0.25">
      <c r="A247" t="s">
        <v>3801</v>
      </c>
      <c r="B247" t="s">
        <v>1219</v>
      </c>
      <c r="C247" t="s">
        <v>3341</v>
      </c>
      <c r="D247" t="s">
        <v>3342</v>
      </c>
      <c r="E247" t="s">
        <v>3316</v>
      </c>
      <c r="F247" s="17">
        <v>45690</v>
      </c>
      <c r="G247">
        <v>96.72</v>
      </c>
      <c r="H247" t="s">
        <v>37</v>
      </c>
      <c r="I247" t="s">
        <v>3365</v>
      </c>
      <c r="J247" t="str">
        <f>_xlfn.XLOOKUP(Table8[[#This Row],[Supporter_ID]],tb1_supporters[Supporter_ID ],tb1_supporters[Segment],"")</f>
        <v>Lapsed</v>
      </c>
      <c r="K247" t="str">
        <f>_xlfn.XLOOKUP(Table8[[#This Row],[Supporter_ID]],tb1_supporters[Supporter_ID ],tb1_supporters[Acquisition_Source],"")</f>
        <v>Telephone</v>
      </c>
      <c r="L247" t="str">
        <f>_xlfn.XLOOKUP(Table8[[#This Row],[Supporter_ID]],tb1_supporters[Supporter_ID ],tb1_supporters[County],"")</f>
        <v>West Midlands</v>
      </c>
      <c r="M247" t="str">
        <f>_xlfn.XLOOKUP(Table8[[#This Row],[Supporter_ID]],tb1_supporters[Supporter_ID ],tb1_supporters[Gender],"")</f>
        <v>Male</v>
      </c>
      <c r="N247">
        <f ca="1">_xlfn.XLOOKUP(Table8[[#This Row],[Supporter_ID]],tb1_supporters[Supporter_ID ],tb1_supporters[Age],"")</f>
        <v>48</v>
      </c>
      <c r="O247" t="str">
        <f ca="1">_xlfn.XLOOKUP(Table8[[#This Row],[Supporter_ID]],tb1_supporters[Supporter_ID ],tb1_supporters[Age_Band],"")</f>
        <v>35-49</v>
      </c>
      <c r="P247" t="str">
        <f ca="1">IF(Table8[[#This Row],[Age_Band]]="","Unknown",Table8[[#This Row],[Age_Band]])</f>
        <v>35-49</v>
      </c>
      <c r="Q247" t="str">
        <f>_xlfn.XLOOKUP(Table8[[#This Row],[Supporter_ID]],tb1_supporters[Supporter_ID ],tb1_supporters[Communication_Preference],"")</f>
        <v>Post</v>
      </c>
      <c r="R247" t="str">
        <f>_xlfn.XLOOKUP(Table8[[#This Row],[Supporter_ID]],tb1_supporters[Supporter_ID ],tb1_supporters[Duplicate_Profile_Flag],"")</f>
        <v/>
      </c>
      <c r="S247" t="str">
        <f>_xlfn.XLOOKUP(Table8[[#This Row],[Supporter_ID]],tb1_supporters[Supporter_ID ],tb1_supporters[Preference_Compliance_Flag],"")</f>
        <v/>
      </c>
      <c r="T247" t="str">
        <f ca="1">IF(Table8[[#This Row],[Age]]="","Review - missing DOB",IF(Table8[[#This Row],[Age]]&gt;TODAY(),"Review - future DOB",IF(Table8[[#This Row],[Age]]=0,"Review -  potential entry error (age 0)","")))</f>
        <v/>
      </c>
      <c r="U247" t="str">
        <f>_xlfn.XLOOKUP(Table8[[#This Row],[Campaign_Code]],tb3_CampaignMaster[Campaign_Code],tb3_CampaignMaster[Campaign_Type],"")</f>
        <v>Acquisition</v>
      </c>
      <c r="V247" t="str">
        <f>_xlfn.XLOOKUP(Table8[[#This Row],[Campaign_Code]],tb3_CampaignMaster[Campaign_Code],tb3_CampaignMaster[Target_Audience],"")</f>
        <v>Prospects</v>
      </c>
      <c r="W247" s="17">
        <f>_xlfn.XLOOKUP(Table8[[#This Row],[Campaign_Code]],tb3_CampaignMaster[Campaign_Code],tb3_CampaignMaster[Start_Date],"")</f>
        <v>45689</v>
      </c>
      <c r="X247" s="17">
        <f>_xlfn.XLOOKUP(Table8[[#This Row],[Campaign_Code]],tb3_CampaignMaster[Campaign_Code],tb3_CampaignMaster[End_Date],"")</f>
        <v>45777</v>
      </c>
      <c r="Y247">
        <f>_xlfn.XLOOKUP(Table8[[#This Row],[Campaign_Code]],tb3_CampaignMaster[Campaign_Code],tb3_CampaignMaster[Budget_GBP],"")</f>
        <v>20000</v>
      </c>
      <c r="Z247" t="str">
        <f>_xlfn.XLOOKUP(Table8[[#This Row],[Campaign_Code]],tb3_CampaignMaster[Campaign_Code],tb3_CampaignMaster[Primary_Channel],"")</f>
        <v>Digital</v>
      </c>
      <c r="AA247" s="13">
        <f>IF(Table8[[#This Row],[Gift_Aid_Eligible]]="Yes",Table8[[#This Row],[Gift_Amount]]*1.25,Table8[[#This Row],[Gift_Amount]])</f>
        <v>96.72</v>
      </c>
      <c r="AB247" t="str">
        <f>IF(Table8[[#This Row],[Supporter_ID]]="","Review - missing supporter ID","")</f>
        <v/>
      </c>
      <c r="AC247" t="str">
        <f>IF(OR(Table8[[#This Row],[Response_Date]]&lt;Table8[[#This Row],[Start_Date]],Table8[[#This Row],[Response_Date]]&gt;Table8[[#This Row],[End_Date]]),"Review - response outside campaign dates","")</f>
        <v/>
      </c>
      <c r="AD247" t="str">
        <f>IF(Table8[[#This Row],[Campaign_Type]]="","Review - campaign code not found","")</f>
        <v/>
      </c>
    </row>
    <row r="248" spans="1:30" x14ac:dyDescent="0.25">
      <c r="A248" t="s">
        <v>3803</v>
      </c>
      <c r="B248" t="s">
        <v>2235</v>
      </c>
      <c r="C248" t="s">
        <v>3336</v>
      </c>
      <c r="D248" t="s">
        <v>3337</v>
      </c>
      <c r="E248" t="s">
        <v>3316</v>
      </c>
      <c r="F248" s="17">
        <v>45553</v>
      </c>
      <c r="G248">
        <v>25.83</v>
      </c>
      <c r="H248" t="s">
        <v>36</v>
      </c>
      <c r="I248" t="s">
        <v>3385</v>
      </c>
      <c r="J248" t="str">
        <f>_xlfn.XLOOKUP(Table8[[#This Row],[Supporter_ID]],tb1_supporters[Supporter_ID ],tb1_supporters[Segment],"")</f>
        <v>Regular Giver</v>
      </c>
      <c r="K248" t="str">
        <f>_xlfn.XLOOKUP(Table8[[#This Row],[Supporter_ID]],tb1_supporters[Supporter_ID ],tb1_supporters[Acquisition_Source],"")</f>
        <v>Telephone</v>
      </c>
      <c r="L248" t="str">
        <f>_xlfn.XLOOKUP(Table8[[#This Row],[Supporter_ID]],tb1_supporters[Supporter_ID ],tb1_supporters[County],"")</f>
        <v>South Yorkshire</v>
      </c>
      <c r="M248" t="str">
        <f>_xlfn.XLOOKUP(Table8[[#This Row],[Supporter_ID]],tb1_supporters[Supporter_ID ],tb1_supporters[Gender],"")</f>
        <v>Male</v>
      </c>
      <c r="N248">
        <f ca="1">_xlfn.XLOOKUP(Table8[[#This Row],[Supporter_ID]],tb1_supporters[Supporter_ID ],tb1_supporters[Age],"")</f>
        <v>76</v>
      </c>
      <c r="O248" t="str">
        <f ca="1">_xlfn.XLOOKUP(Table8[[#This Row],[Supporter_ID]],tb1_supporters[Supporter_ID ],tb1_supporters[Age_Band],"")</f>
        <v>65+</v>
      </c>
      <c r="P248" t="str">
        <f ca="1">IF(Table8[[#This Row],[Age_Band]]="","Unknown",Table8[[#This Row],[Age_Band]])</f>
        <v>65+</v>
      </c>
      <c r="Q248" t="str">
        <f>_xlfn.XLOOKUP(Table8[[#This Row],[Supporter_ID]],tb1_supporters[Supporter_ID ],tb1_supporters[Communication_Preference],"")</f>
        <v>Email</v>
      </c>
      <c r="R248" t="str">
        <f>_xlfn.XLOOKUP(Table8[[#This Row],[Supporter_ID]],tb1_supporters[Supporter_ID ],tb1_supporters[Duplicate_Profile_Flag],"")</f>
        <v/>
      </c>
      <c r="S248" t="str">
        <f>_xlfn.XLOOKUP(Table8[[#This Row],[Supporter_ID]],tb1_supporters[Supporter_ID ],tb1_supporters[Preference_Compliance_Flag],"")</f>
        <v/>
      </c>
      <c r="T248" t="str">
        <f ca="1">IF(Table8[[#This Row],[Age]]="","Review - missing DOB",IF(Table8[[#This Row],[Age]]&gt;TODAY(),"Review - future DOB",IF(Table8[[#This Row],[Age]]=0,"Review -  potential entry error (age 0)","")))</f>
        <v/>
      </c>
      <c r="U248" t="str">
        <f>_xlfn.XLOOKUP(Table8[[#This Row],[Campaign_Code]],tb3_CampaignMaster[Campaign_Code],tb3_CampaignMaster[Campaign_Type],"")</f>
        <v>Appeal</v>
      </c>
      <c r="V248" t="str">
        <f>_xlfn.XLOOKUP(Table8[[#This Row],[Campaign_Code]],tb3_CampaignMaster[Campaign_Code],tb3_CampaignMaster[Target_Audience],"")</f>
        <v>All Supporters</v>
      </c>
      <c r="W248" s="17">
        <f>_xlfn.XLOOKUP(Table8[[#This Row],[Campaign_Code]],tb3_CampaignMaster[Campaign_Code],tb3_CampaignMaster[Start_Date],"")</f>
        <v>45545</v>
      </c>
      <c r="X248" s="17">
        <f>_xlfn.XLOOKUP(Table8[[#This Row],[Campaign_Code]],tb3_CampaignMaster[Campaign_Code],tb3_CampaignMaster[End_Date],"")</f>
        <v>45580</v>
      </c>
      <c r="Y248">
        <f>_xlfn.XLOOKUP(Table8[[#This Row],[Campaign_Code]],tb3_CampaignMaster[Campaign_Code],tb3_CampaignMaster[Budget_GBP],"")</f>
        <v>15000</v>
      </c>
      <c r="Z248" t="str">
        <f>_xlfn.XLOOKUP(Table8[[#This Row],[Campaign_Code]],tb3_CampaignMaster[Campaign_Code],tb3_CampaignMaster[Primary_Channel],"")</f>
        <v>Email</v>
      </c>
      <c r="AA248" s="13">
        <f>IF(Table8[[#This Row],[Gift_Aid_Eligible]]="Yes",Table8[[#This Row],[Gift_Amount]]*1.25,Table8[[#This Row],[Gift_Amount]])</f>
        <v>32.287499999999994</v>
      </c>
      <c r="AB248" t="str">
        <f>IF(Table8[[#This Row],[Supporter_ID]]="","Review - missing supporter ID","")</f>
        <v/>
      </c>
      <c r="AC248" t="str">
        <f>IF(OR(Table8[[#This Row],[Response_Date]]&lt;Table8[[#This Row],[Start_Date]],Table8[[#This Row],[Response_Date]]&gt;Table8[[#This Row],[End_Date]]),"Review - response outside campaign dates","")</f>
        <v/>
      </c>
      <c r="AD248" t="str">
        <f>IF(Table8[[#This Row],[Campaign_Type]]="","Review - campaign code not found","")</f>
        <v/>
      </c>
    </row>
    <row r="249" spans="1:30" x14ac:dyDescent="0.25">
      <c r="A249" t="s">
        <v>3805</v>
      </c>
      <c r="B249" t="s">
        <v>2632</v>
      </c>
      <c r="C249" t="s">
        <v>3354</v>
      </c>
      <c r="D249" t="s">
        <v>3355</v>
      </c>
      <c r="E249" t="s">
        <v>4</v>
      </c>
      <c r="F249" s="17">
        <v>45618</v>
      </c>
      <c r="G249">
        <v>12.91</v>
      </c>
      <c r="H249" t="s">
        <v>36</v>
      </c>
      <c r="I249" t="s">
        <v>3385</v>
      </c>
      <c r="J249" t="str">
        <f>_xlfn.XLOOKUP(Table8[[#This Row],[Supporter_ID]],tb1_supporters[Supporter_ID ],tb1_supporters[Segment],"")</f>
        <v>Prospect</v>
      </c>
      <c r="K249" t="str">
        <f>_xlfn.XLOOKUP(Table8[[#This Row],[Supporter_ID]],tb1_supporters[Supporter_ID ],tb1_supporters[Acquisition_Source],"")</f>
        <v>Website</v>
      </c>
      <c r="L249" t="str">
        <f>_xlfn.XLOOKUP(Table8[[#This Row],[Supporter_ID]],tb1_supporters[Supporter_ID ],tb1_supporters[County],"")</f>
        <v>West Glamorgan</v>
      </c>
      <c r="M249" t="str">
        <f>_xlfn.XLOOKUP(Table8[[#This Row],[Supporter_ID]],tb1_supporters[Supporter_ID ],tb1_supporters[Gender],"")</f>
        <v>Male</v>
      </c>
      <c r="N249">
        <f ca="1">_xlfn.XLOOKUP(Table8[[#This Row],[Supporter_ID]],tb1_supporters[Supporter_ID ],tb1_supporters[Age],"")</f>
        <v>62</v>
      </c>
      <c r="O249" t="str">
        <f ca="1">_xlfn.XLOOKUP(Table8[[#This Row],[Supporter_ID]],tb1_supporters[Supporter_ID ],tb1_supporters[Age_Band],"")</f>
        <v>50-64</v>
      </c>
      <c r="P249" t="str">
        <f ca="1">IF(Table8[[#This Row],[Age_Band]]="","Unknown",Table8[[#This Row],[Age_Band]])</f>
        <v>50-64</v>
      </c>
      <c r="Q249" t="str">
        <f>_xlfn.XLOOKUP(Table8[[#This Row],[Supporter_ID]],tb1_supporters[Supporter_ID ],tb1_supporters[Communication_Preference],"")</f>
        <v>Phone</v>
      </c>
      <c r="R249" t="str">
        <f>_xlfn.XLOOKUP(Table8[[#This Row],[Supporter_ID]],tb1_supporters[Supporter_ID ],tb1_supporters[Duplicate_Profile_Flag],"")</f>
        <v/>
      </c>
      <c r="S249" t="str">
        <f>_xlfn.XLOOKUP(Table8[[#This Row],[Supporter_ID]],tb1_supporters[Supporter_ID ],tb1_supporters[Preference_Compliance_Flag],"")</f>
        <v>Review - prefers phone but not opted in</v>
      </c>
      <c r="T249" t="str">
        <f ca="1">IF(Table8[[#This Row],[Age]]="","Review - missing DOB",IF(Table8[[#This Row],[Age]]&gt;TODAY(),"Review - future DOB",IF(Table8[[#This Row],[Age]]=0,"Review -  potential entry error (age 0)","")))</f>
        <v/>
      </c>
      <c r="U249" t="str">
        <f>_xlfn.XLOOKUP(Table8[[#This Row],[Campaign_Code]],tb3_CampaignMaster[Campaign_Code],tb3_CampaignMaster[Campaign_Type],"")</f>
        <v>Event</v>
      </c>
      <c r="V249" t="str">
        <f>_xlfn.XLOOKUP(Table8[[#This Row],[Campaign_Code]],tb3_CampaignMaster[Campaign_Code],tb3_CampaignMaster[Target_Audience],"")</f>
        <v>Volunteers</v>
      </c>
      <c r="W249" s="17">
        <f>_xlfn.XLOOKUP(Table8[[#This Row],[Campaign_Code]],tb3_CampaignMaster[Campaign_Code],tb3_CampaignMaster[Start_Date],"")</f>
        <v>45618</v>
      </c>
      <c r="X249" s="17">
        <f>_xlfn.XLOOKUP(Table8[[#This Row],[Campaign_Code]],tb3_CampaignMaster[Campaign_Code],tb3_CampaignMaster[End_Date],"")</f>
        <v>45618</v>
      </c>
      <c r="Y249">
        <f>_xlfn.XLOOKUP(Table8[[#This Row],[Campaign_Code]],tb3_CampaignMaster[Campaign_Code],tb3_CampaignMaster[Budget_GBP],"")</f>
        <v>3500</v>
      </c>
      <c r="Z249" t="str">
        <f>_xlfn.XLOOKUP(Table8[[#This Row],[Campaign_Code]],tb3_CampaignMaster[Campaign_Code],tb3_CampaignMaster[Primary_Channel],"")</f>
        <v>Email</v>
      </c>
      <c r="AA249" s="13">
        <f>IF(Table8[[#This Row],[Gift_Aid_Eligible]]="Yes",Table8[[#This Row],[Gift_Amount]]*1.25,Table8[[#This Row],[Gift_Amount]])</f>
        <v>16.137499999999999</v>
      </c>
      <c r="AB249" t="str">
        <f>IF(Table8[[#This Row],[Supporter_ID]]="","Review - missing supporter ID","")</f>
        <v/>
      </c>
      <c r="AC249" t="str">
        <f>IF(OR(Table8[[#This Row],[Response_Date]]&lt;Table8[[#This Row],[Start_Date]],Table8[[#This Row],[Response_Date]]&gt;Table8[[#This Row],[End_Date]]),"Review - response outside campaign dates","")</f>
        <v/>
      </c>
      <c r="AD249" t="str">
        <f>IF(Table8[[#This Row],[Campaign_Type]]="","Review - campaign code not found","")</f>
        <v/>
      </c>
    </row>
    <row r="250" spans="1:30" x14ac:dyDescent="0.25">
      <c r="A250" t="s">
        <v>3806</v>
      </c>
      <c r="B250" t="s">
        <v>336</v>
      </c>
      <c r="C250" t="s">
        <v>3427</v>
      </c>
      <c r="D250" t="s">
        <v>3428</v>
      </c>
      <c r="E250" t="s">
        <v>65</v>
      </c>
      <c r="F250" s="17">
        <v>45488</v>
      </c>
      <c r="G250">
        <v>458.47</v>
      </c>
      <c r="H250" t="s">
        <v>36</v>
      </c>
      <c r="I250" t="s">
        <v>3331</v>
      </c>
      <c r="J250" t="str">
        <f>_xlfn.XLOOKUP(Table8[[#This Row],[Supporter_ID]],tb1_supporters[Supporter_ID ],tb1_supporters[Segment],"")</f>
        <v>Legacy Pledger</v>
      </c>
      <c r="K250" t="str">
        <f>_xlfn.XLOOKUP(Table8[[#This Row],[Supporter_ID]],tb1_supporters[Supporter_ID ],tb1_supporters[Acquisition_Source],"")</f>
        <v>Direct Mail</v>
      </c>
      <c r="L250" t="str">
        <f>_xlfn.XLOOKUP(Table8[[#This Row],[Supporter_ID]],tb1_supporters[Supporter_ID ],tb1_supporters[County],"")</f>
        <v>Tyne and Wear</v>
      </c>
      <c r="M250" t="str">
        <f>_xlfn.XLOOKUP(Table8[[#This Row],[Supporter_ID]],tb1_supporters[Supporter_ID ],tb1_supporters[Gender],"")</f>
        <v>Male</v>
      </c>
      <c r="N250">
        <f ca="1">_xlfn.XLOOKUP(Table8[[#This Row],[Supporter_ID]],tb1_supporters[Supporter_ID ],tb1_supporters[Age],"")</f>
        <v>37</v>
      </c>
      <c r="O250" t="str">
        <f ca="1">_xlfn.XLOOKUP(Table8[[#This Row],[Supporter_ID]],tb1_supporters[Supporter_ID ],tb1_supporters[Age_Band],"")</f>
        <v>35-49</v>
      </c>
      <c r="P250" t="str">
        <f ca="1">IF(Table8[[#This Row],[Age_Band]]="","Unknown",Table8[[#This Row],[Age_Band]])</f>
        <v>35-49</v>
      </c>
      <c r="Q250" t="str">
        <f>_xlfn.XLOOKUP(Table8[[#This Row],[Supporter_ID]],tb1_supporters[Supporter_ID ],tb1_supporters[Communication_Preference],"")</f>
        <v>Phone</v>
      </c>
      <c r="R250" t="str">
        <f>_xlfn.XLOOKUP(Table8[[#This Row],[Supporter_ID]],tb1_supporters[Supporter_ID ],tb1_supporters[Duplicate_Profile_Flag],"")</f>
        <v/>
      </c>
      <c r="S250" t="str">
        <f>_xlfn.XLOOKUP(Table8[[#This Row],[Supporter_ID]],tb1_supporters[Supporter_ID ],tb1_supporters[Preference_Compliance_Flag],"")</f>
        <v>Review - prefers phone but not opted in</v>
      </c>
      <c r="T250" t="str">
        <f ca="1">IF(Table8[[#This Row],[Age]]="","Review - missing DOB",IF(Table8[[#This Row],[Age]]&gt;TODAY(),"Review - future DOB",IF(Table8[[#This Row],[Age]]=0,"Review -  potential entry error (age 0)","")))</f>
        <v/>
      </c>
      <c r="U250" t="str">
        <f>_xlfn.XLOOKUP(Table8[[#This Row],[Campaign_Code]],tb3_CampaignMaster[Campaign_Code],tb3_CampaignMaster[Campaign_Type],"")</f>
        <v>Event</v>
      </c>
      <c r="V250" t="str">
        <f>_xlfn.XLOOKUP(Table8[[#This Row],[Campaign_Code]],tb3_CampaignMaster[Campaign_Code],tb3_CampaignMaster[Target_Audience],"")</f>
        <v>Major Donors</v>
      </c>
      <c r="W250" s="17">
        <f>_xlfn.XLOOKUP(Table8[[#This Row],[Campaign_Code]],tb3_CampaignMaster[Campaign_Code],tb3_CampaignMaster[Start_Date],"")</f>
        <v>45488</v>
      </c>
      <c r="X250" s="17">
        <f>_xlfn.XLOOKUP(Table8[[#This Row],[Campaign_Code]],tb3_CampaignMaster[Campaign_Code],tb3_CampaignMaster[End_Date],"")</f>
        <v>45488</v>
      </c>
      <c r="Y250">
        <f>_xlfn.XLOOKUP(Table8[[#This Row],[Campaign_Code]],tb3_CampaignMaster[Campaign_Code],tb3_CampaignMaster[Budget_GBP],"")</f>
        <v>45000</v>
      </c>
      <c r="Z250" t="str">
        <f>_xlfn.XLOOKUP(Table8[[#This Row],[Campaign_Code]],tb3_CampaignMaster[Campaign_Code],tb3_CampaignMaster[Primary_Channel],"")</f>
        <v>Direct Mail</v>
      </c>
      <c r="AA250" s="13">
        <f>IF(Table8[[#This Row],[Gift_Aid_Eligible]]="Yes",Table8[[#This Row],[Gift_Amount]]*1.25,Table8[[#This Row],[Gift_Amount]])</f>
        <v>573.08750000000009</v>
      </c>
      <c r="AB250" t="str">
        <f>IF(Table8[[#This Row],[Supporter_ID]]="","Review - missing supporter ID","")</f>
        <v/>
      </c>
      <c r="AC250" t="str">
        <f>IF(OR(Table8[[#This Row],[Response_Date]]&lt;Table8[[#This Row],[Start_Date]],Table8[[#This Row],[Response_Date]]&gt;Table8[[#This Row],[End_Date]]),"Review - response outside campaign dates","")</f>
        <v/>
      </c>
      <c r="AD250" t="str">
        <f>IF(Table8[[#This Row],[Campaign_Type]]="","Review - campaign code not found","")</f>
        <v/>
      </c>
    </row>
    <row r="251" spans="1:30" x14ac:dyDescent="0.25">
      <c r="A251" t="s">
        <v>3807</v>
      </c>
      <c r="B251" t="s">
        <v>734</v>
      </c>
      <c r="C251" t="s">
        <v>3314</v>
      </c>
      <c r="D251" t="s">
        <v>3315</v>
      </c>
      <c r="E251" t="s">
        <v>33</v>
      </c>
      <c r="F251" s="17">
        <v>45670</v>
      </c>
      <c r="G251">
        <v>39.299999999999997</v>
      </c>
      <c r="H251" t="s">
        <v>37</v>
      </c>
      <c r="I251" t="s">
        <v>3328</v>
      </c>
      <c r="J251" t="str">
        <f>_xlfn.XLOOKUP(Table8[[#This Row],[Supporter_ID]],tb1_supporters[Supporter_ID ],tb1_supporters[Segment],"")</f>
        <v>Regular Giver</v>
      </c>
      <c r="K251" t="str">
        <f>_xlfn.XLOOKUP(Table8[[#This Row],[Supporter_ID]],tb1_supporters[Supporter_ID ],tb1_supporters[Acquisition_Source],"")</f>
        <v>Referral</v>
      </c>
      <c r="L251" t="str">
        <f>_xlfn.XLOOKUP(Table8[[#This Row],[Supporter_ID]],tb1_supporters[Supporter_ID ],tb1_supporters[County],"")</f>
        <v>Devon</v>
      </c>
      <c r="M251" t="str">
        <f>_xlfn.XLOOKUP(Table8[[#This Row],[Supporter_ID]],tb1_supporters[Supporter_ID ],tb1_supporters[Gender],"")</f>
        <v>Female</v>
      </c>
      <c r="N251">
        <f ca="1">_xlfn.XLOOKUP(Table8[[#This Row],[Supporter_ID]],tb1_supporters[Supporter_ID ],tb1_supporters[Age],"")</f>
        <v>54</v>
      </c>
      <c r="O251" t="str">
        <f ca="1">_xlfn.XLOOKUP(Table8[[#This Row],[Supporter_ID]],tb1_supporters[Supporter_ID ],tb1_supporters[Age_Band],"")</f>
        <v>50-64</v>
      </c>
      <c r="P251" t="str">
        <f ca="1">IF(Table8[[#This Row],[Age_Band]]="","Unknown",Table8[[#This Row],[Age_Band]])</f>
        <v>50-64</v>
      </c>
      <c r="Q251" t="str">
        <f>_xlfn.XLOOKUP(Table8[[#This Row],[Supporter_ID]],tb1_supporters[Supporter_ID ],tb1_supporters[Communication_Preference],"")</f>
        <v>Post</v>
      </c>
      <c r="R251" t="str">
        <f>_xlfn.XLOOKUP(Table8[[#This Row],[Supporter_ID]],tb1_supporters[Supporter_ID ],tb1_supporters[Duplicate_Profile_Flag],"")</f>
        <v/>
      </c>
      <c r="S251" t="str">
        <f>_xlfn.XLOOKUP(Table8[[#This Row],[Supporter_ID]],tb1_supporters[Supporter_ID ],tb1_supporters[Preference_Compliance_Flag],"")</f>
        <v>Review - prefers post but not opted in</v>
      </c>
      <c r="T251" t="str">
        <f ca="1">IF(Table8[[#This Row],[Age]]="","Review - missing DOB",IF(Table8[[#This Row],[Age]]&gt;TODAY(),"Review - future DOB",IF(Table8[[#This Row],[Age]]=0,"Review -  potential entry error (age 0)","")))</f>
        <v/>
      </c>
      <c r="U251" t="str">
        <f>_xlfn.XLOOKUP(Table8[[#This Row],[Campaign_Code]],tb3_CampaignMaster[Campaign_Code],tb3_CampaignMaster[Campaign_Type],"")</f>
        <v>Regular Giving</v>
      </c>
      <c r="V251" t="str">
        <f>_xlfn.XLOOKUP(Table8[[#This Row],[Campaign_Code]],tb3_CampaignMaster[Campaign_Code],tb3_CampaignMaster[Target_Audience],"")</f>
        <v>One-time Donors</v>
      </c>
      <c r="W251" s="17">
        <f>_xlfn.XLOOKUP(Table8[[#This Row],[Campaign_Code]],tb3_CampaignMaster[Campaign_Code],tb3_CampaignMaster[Start_Date],"")</f>
        <v>45663</v>
      </c>
      <c r="X251" s="17">
        <f>_xlfn.XLOOKUP(Table8[[#This Row],[Campaign_Code]],tb3_CampaignMaster[Campaign_Code],tb3_CampaignMaster[End_Date],"")</f>
        <v>45747</v>
      </c>
      <c r="Y251">
        <f>_xlfn.XLOOKUP(Table8[[#This Row],[Campaign_Code]],tb3_CampaignMaster[Campaign_Code],tb3_CampaignMaster[Budget_GBP],"")</f>
        <v>10000</v>
      </c>
      <c r="Z251" t="str">
        <f>_xlfn.XLOOKUP(Table8[[#This Row],[Campaign_Code]],tb3_CampaignMaster[Campaign_Code],tb3_CampaignMaster[Primary_Channel],"")</f>
        <v>Telephone</v>
      </c>
      <c r="AA251" s="13">
        <f>IF(Table8[[#This Row],[Gift_Aid_Eligible]]="Yes",Table8[[#This Row],[Gift_Amount]]*1.25,Table8[[#This Row],[Gift_Amount]])</f>
        <v>39.299999999999997</v>
      </c>
      <c r="AB251" t="str">
        <f>IF(Table8[[#This Row],[Supporter_ID]]="","Review - missing supporter ID","")</f>
        <v/>
      </c>
      <c r="AC251" t="str">
        <f>IF(OR(Table8[[#This Row],[Response_Date]]&lt;Table8[[#This Row],[Start_Date]],Table8[[#This Row],[Response_Date]]&gt;Table8[[#This Row],[End_Date]]),"Review - response outside campaign dates","")</f>
        <v/>
      </c>
      <c r="AD251" t="str">
        <f>IF(Table8[[#This Row],[Campaign_Type]]="","Review - campaign code not found","")</f>
        <v/>
      </c>
    </row>
    <row r="252" spans="1:30" x14ac:dyDescent="0.25">
      <c r="A252" t="s">
        <v>3809</v>
      </c>
      <c r="B252" t="s">
        <v>1104</v>
      </c>
      <c r="C252" t="s">
        <v>3367</v>
      </c>
      <c r="D252" t="s">
        <v>3368</v>
      </c>
      <c r="E252" t="s">
        <v>4</v>
      </c>
      <c r="F252" s="17">
        <v>45772</v>
      </c>
      <c r="G252">
        <v>22.58</v>
      </c>
      <c r="H252" t="s">
        <v>36</v>
      </c>
      <c r="I252" t="s">
        <v>3385</v>
      </c>
      <c r="J252" t="str">
        <f>_xlfn.XLOOKUP(Table8[[#This Row],[Supporter_ID]],tb1_supporters[Supporter_ID ],tb1_supporters[Segment],"")</f>
        <v>Prospect</v>
      </c>
      <c r="K252" t="str">
        <f>_xlfn.XLOOKUP(Table8[[#This Row],[Supporter_ID]],tb1_supporters[Supporter_ID ],tb1_supporters[Acquisition_Source],"")</f>
        <v>Event</v>
      </c>
      <c r="L252" t="str">
        <f>_xlfn.XLOOKUP(Table8[[#This Row],[Supporter_ID]],tb1_supporters[Supporter_ID ],tb1_supporters[County],"")</f>
        <v>Antrim</v>
      </c>
      <c r="M252" t="str">
        <f>_xlfn.XLOOKUP(Table8[[#This Row],[Supporter_ID]],tb1_supporters[Supporter_ID ],tb1_supporters[Gender],"")</f>
        <v>Male</v>
      </c>
      <c r="N252">
        <f ca="1">_xlfn.XLOOKUP(Table8[[#This Row],[Supporter_ID]],tb1_supporters[Supporter_ID ],tb1_supporters[Age],"")</f>
        <v>70</v>
      </c>
      <c r="O252" t="str">
        <f ca="1">_xlfn.XLOOKUP(Table8[[#This Row],[Supporter_ID]],tb1_supporters[Supporter_ID ],tb1_supporters[Age_Band],"")</f>
        <v>65+</v>
      </c>
      <c r="P252" t="str">
        <f ca="1">IF(Table8[[#This Row],[Age_Band]]="","Unknown",Table8[[#This Row],[Age_Band]])</f>
        <v>65+</v>
      </c>
      <c r="Q252" t="str">
        <f>_xlfn.XLOOKUP(Table8[[#This Row],[Supporter_ID]],tb1_supporters[Supporter_ID ],tb1_supporters[Communication_Preference],"")</f>
        <v>Phone</v>
      </c>
      <c r="R252" t="str">
        <f>_xlfn.XLOOKUP(Table8[[#This Row],[Supporter_ID]],tb1_supporters[Supporter_ID ],tb1_supporters[Duplicate_Profile_Flag],"")</f>
        <v/>
      </c>
      <c r="S252" t="str">
        <f>_xlfn.XLOOKUP(Table8[[#This Row],[Supporter_ID]],tb1_supporters[Supporter_ID ],tb1_supporters[Preference_Compliance_Flag],"")</f>
        <v/>
      </c>
      <c r="T252" t="str">
        <f ca="1">IF(Table8[[#This Row],[Age]]="","Review - missing DOB",IF(Table8[[#This Row],[Age]]&gt;TODAY(),"Review - future DOB",IF(Table8[[#This Row],[Age]]=0,"Review -  potential entry error (age 0)","")))</f>
        <v/>
      </c>
      <c r="U252" t="str">
        <f>_xlfn.XLOOKUP(Table8[[#This Row],[Campaign_Code]],tb3_CampaignMaster[Campaign_Code],tb3_CampaignMaster[Campaign_Type],"")</f>
        <v>Raffle</v>
      </c>
      <c r="V252" t="str">
        <f>_xlfn.XLOOKUP(Table8[[#This Row],[Campaign_Code]],tb3_CampaignMaster[Campaign_Code],tb3_CampaignMaster[Target_Audience],"")</f>
        <v>Regular Givers</v>
      </c>
      <c r="W252" s="17">
        <f>_xlfn.XLOOKUP(Table8[[#This Row],[Campaign_Code]],tb3_CampaignMaster[Campaign_Code],tb3_CampaignMaster[Start_Date],"")</f>
        <v>45717</v>
      </c>
      <c r="X252" s="17">
        <f>_xlfn.XLOOKUP(Table8[[#This Row],[Campaign_Code]],tb3_CampaignMaster[Campaign_Code],tb3_CampaignMaster[End_Date],"")</f>
        <v>45777</v>
      </c>
      <c r="Y252">
        <f>_xlfn.XLOOKUP(Table8[[#This Row],[Campaign_Code]],tb3_CampaignMaster[Campaign_Code],tb3_CampaignMaster[Budget_GBP],"")</f>
        <v>8000</v>
      </c>
      <c r="Z252" t="str">
        <f>_xlfn.XLOOKUP(Table8[[#This Row],[Campaign_Code]],tb3_CampaignMaster[Campaign_Code],tb3_CampaignMaster[Primary_Channel],"")</f>
        <v>Direct Mail</v>
      </c>
      <c r="AA252" s="13">
        <f>IF(Table8[[#This Row],[Gift_Aid_Eligible]]="Yes",Table8[[#This Row],[Gift_Amount]]*1.25,Table8[[#This Row],[Gift_Amount]])</f>
        <v>28.224999999999998</v>
      </c>
      <c r="AB252" t="str">
        <f>IF(Table8[[#This Row],[Supporter_ID]]="","Review - missing supporter ID","")</f>
        <v/>
      </c>
      <c r="AC252" t="str">
        <f>IF(OR(Table8[[#This Row],[Response_Date]]&lt;Table8[[#This Row],[Start_Date]],Table8[[#This Row],[Response_Date]]&gt;Table8[[#This Row],[End_Date]]),"Review - response outside campaign dates","")</f>
        <v/>
      </c>
      <c r="AD252" t="str">
        <f>IF(Table8[[#This Row],[Campaign_Type]]="","Review - campaign code not found","")</f>
        <v/>
      </c>
    </row>
    <row r="253" spans="1:30" x14ac:dyDescent="0.25">
      <c r="A253" t="s">
        <v>3811</v>
      </c>
      <c r="B253" t="s">
        <v>1037</v>
      </c>
      <c r="C253" t="s">
        <v>3367</v>
      </c>
      <c r="D253" t="s">
        <v>3368</v>
      </c>
      <c r="E253" t="s">
        <v>4</v>
      </c>
      <c r="F253" s="17">
        <v>45933</v>
      </c>
      <c r="G253">
        <v>15.42</v>
      </c>
      <c r="H253" t="s">
        <v>37</v>
      </c>
      <c r="I253" t="s">
        <v>3365</v>
      </c>
      <c r="J253" t="str">
        <f>_xlfn.XLOOKUP(Table8[[#This Row],[Supporter_ID]],tb1_supporters[Supporter_ID ],tb1_supporters[Segment],"")</f>
        <v>Prospect</v>
      </c>
      <c r="K253" t="str">
        <f>_xlfn.XLOOKUP(Table8[[#This Row],[Supporter_ID]],tb1_supporters[Supporter_ID ],tb1_supporters[Acquisition_Source],"")</f>
        <v>Telephone</v>
      </c>
      <c r="L253" t="str">
        <f>_xlfn.XLOOKUP(Table8[[#This Row],[Supporter_ID]],tb1_supporters[Supporter_ID ],tb1_supporters[County],"")</f>
        <v>Avon</v>
      </c>
      <c r="M253" t="str">
        <f>_xlfn.XLOOKUP(Table8[[#This Row],[Supporter_ID]],tb1_supporters[Supporter_ID ],tb1_supporters[Gender],"")</f>
        <v>Female</v>
      </c>
      <c r="N253">
        <f ca="1">_xlfn.XLOOKUP(Table8[[#This Row],[Supporter_ID]],tb1_supporters[Supporter_ID ],tb1_supporters[Age],"")</f>
        <v>33</v>
      </c>
      <c r="O253" t="str">
        <f ca="1">_xlfn.XLOOKUP(Table8[[#This Row],[Supporter_ID]],tb1_supporters[Supporter_ID ],tb1_supporters[Age_Band],"")</f>
        <v>18-34</v>
      </c>
      <c r="P253" t="str">
        <f ca="1">IF(Table8[[#This Row],[Age_Band]]="","Unknown",Table8[[#This Row],[Age_Band]])</f>
        <v>18-34</v>
      </c>
      <c r="Q253" t="str">
        <f>_xlfn.XLOOKUP(Table8[[#This Row],[Supporter_ID]],tb1_supporters[Supporter_ID ],tb1_supporters[Communication_Preference],"")</f>
        <v>Phone</v>
      </c>
      <c r="R253" t="str">
        <f>_xlfn.XLOOKUP(Table8[[#This Row],[Supporter_ID]],tb1_supporters[Supporter_ID ],tb1_supporters[Duplicate_Profile_Flag],"")</f>
        <v/>
      </c>
      <c r="S253" t="str">
        <f>_xlfn.XLOOKUP(Table8[[#This Row],[Supporter_ID]],tb1_supporters[Supporter_ID ],tb1_supporters[Preference_Compliance_Flag],"")</f>
        <v/>
      </c>
      <c r="T253" t="str">
        <f ca="1">IF(Table8[[#This Row],[Age]]="","Review - missing DOB",IF(Table8[[#This Row],[Age]]&gt;TODAY(),"Review - future DOB",IF(Table8[[#This Row],[Age]]=0,"Review -  potential entry error (age 0)","")))</f>
        <v/>
      </c>
      <c r="U253" t="str">
        <f>_xlfn.XLOOKUP(Table8[[#This Row],[Campaign_Code]],tb3_CampaignMaster[Campaign_Code],tb3_CampaignMaster[Campaign_Type],"")</f>
        <v>Raffle</v>
      </c>
      <c r="V253" t="str">
        <f>_xlfn.XLOOKUP(Table8[[#This Row],[Campaign_Code]],tb3_CampaignMaster[Campaign_Code],tb3_CampaignMaster[Target_Audience],"")</f>
        <v>Regular Givers</v>
      </c>
      <c r="W253" s="17">
        <f>_xlfn.XLOOKUP(Table8[[#This Row],[Campaign_Code]],tb3_CampaignMaster[Campaign_Code],tb3_CampaignMaster[Start_Date],"")</f>
        <v>45717</v>
      </c>
      <c r="X253" s="17">
        <f>_xlfn.XLOOKUP(Table8[[#This Row],[Campaign_Code]],tb3_CampaignMaster[Campaign_Code],tb3_CampaignMaster[End_Date],"")</f>
        <v>45777</v>
      </c>
      <c r="Y253">
        <f>_xlfn.XLOOKUP(Table8[[#This Row],[Campaign_Code]],tb3_CampaignMaster[Campaign_Code],tb3_CampaignMaster[Budget_GBP],"")</f>
        <v>8000</v>
      </c>
      <c r="Z253" t="str">
        <f>_xlfn.XLOOKUP(Table8[[#This Row],[Campaign_Code]],tb3_CampaignMaster[Campaign_Code],tb3_CampaignMaster[Primary_Channel],"")</f>
        <v>Direct Mail</v>
      </c>
      <c r="AA253" s="13">
        <f>IF(Table8[[#This Row],[Gift_Aid_Eligible]]="Yes",Table8[[#This Row],[Gift_Amount]]*1.25,Table8[[#This Row],[Gift_Amount]])</f>
        <v>15.42</v>
      </c>
      <c r="AB253" t="str">
        <f>IF(Table8[[#This Row],[Supporter_ID]]="","Review - missing supporter ID","")</f>
        <v/>
      </c>
      <c r="AC253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253" t="str">
        <f>IF(Table8[[#This Row],[Campaign_Type]]="","Review - campaign code not found","")</f>
        <v/>
      </c>
    </row>
    <row r="254" spans="1:30" x14ac:dyDescent="0.25">
      <c r="A254" t="s">
        <v>3813</v>
      </c>
      <c r="B254" t="s">
        <v>2252</v>
      </c>
      <c r="C254" t="s">
        <v>3320</v>
      </c>
      <c r="D254" t="s">
        <v>3321</v>
      </c>
      <c r="E254" t="s">
        <v>65</v>
      </c>
      <c r="F254" s="17">
        <v>45466</v>
      </c>
      <c r="G254">
        <v>286.11</v>
      </c>
      <c r="H254" t="s">
        <v>37</v>
      </c>
      <c r="I254" t="s">
        <v>3385</v>
      </c>
      <c r="J254" t="str">
        <f>_xlfn.XLOOKUP(Table8[[#This Row],[Supporter_ID]],tb1_supporters[Supporter_ID ],tb1_supporters[Segment],"")</f>
        <v>Legacy Pledger</v>
      </c>
      <c r="K254" t="str">
        <f>_xlfn.XLOOKUP(Table8[[#This Row],[Supporter_ID]],tb1_supporters[Supporter_ID ],tb1_supporters[Acquisition_Source],"")</f>
        <v>Telephone</v>
      </c>
      <c r="L254" t="str">
        <f>_xlfn.XLOOKUP(Table8[[#This Row],[Supporter_ID]],tb1_supporters[Supporter_ID ],tb1_supporters[County],"")</f>
        <v>Buckinghamshire</v>
      </c>
      <c r="M254" t="str">
        <f>_xlfn.XLOOKUP(Table8[[#This Row],[Supporter_ID]],tb1_supporters[Supporter_ID ],tb1_supporters[Gender],"")</f>
        <v>Male</v>
      </c>
      <c r="N254">
        <f ca="1">_xlfn.XLOOKUP(Table8[[#This Row],[Supporter_ID]],tb1_supporters[Supporter_ID ],tb1_supporters[Age],"")</f>
        <v>63</v>
      </c>
      <c r="O254" t="str">
        <f ca="1">_xlfn.XLOOKUP(Table8[[#This Row],[Supporter_ID]],tb1_supporters[Supporter_ID ],tb1_supporters[Age_Band],"")</f>
        <v>50-64</v>
      </c>
      <c r="P254" t="str">
        <f ca="1">IF(Table8[[#This Row],[Age_Band]]="","Unknown",Table8[[#This Row],[Age_Band]])</f>
        <v>50-64</v>
      </c>
      <c r="Q254" t="str">
        <f>_xlfn.XLOOKUP(Table8[[#This Row],[Supporter_ID]],tb1_supporters[Supporter_ID ],tb1_supporters[Communication_Preference],"")</f>
        <v>Email</v>
      </c>
      <c r="R254" t="str">
        <f>_xlfn.XLOOKUP(Table8[[#This Row],[Supporter_ID]],tb1_supporters[Supporter_ID ],tb1_supporters[Duplicate_Profile_Flag],"")</f>
        <v/>
      </c>
      <c r="S254" t="str">
        <f>_xlfn.XLOOKUP(Table8[[#This Row],[Supporter_ID]],tb1_supporters[Supporter_ID ],tb1_supporters[Preference_Compliance_Flag],"")</f>
        <v/>
      </c>
      <c r="T254" t="str">
        <f ca="1">IF(Table8[[#This Row],[Age]]="","Review - missing DOB",IF(Table8[[#This Row],[Age]]&gt;TODAY(),"Review - future DOB",IF(Table8[[#This Row],[Age]]=0,"Review -  potential entry error (age 0)","")))</f>
        <v/>
      </c>
      <c r="U254" t="str">
        <f>_xlfn.XLOOKUP(Table8[[#This Row],[Campaign_Code]],tb3_CampaignMaster[Campaign_Code],tb3_CampaignMaster[Campaign_Type],"")</f>
        <v>Stewardship</v>
      </c>
      <c r="V254" t="str">
        <f>_xlfn.XLOOKUP(Table8[[#This Row],[Campaign_Code]],tb3_CampaignMaster[Campaign_Code],tb3_CampaignMaster[Target_Audience],"")</f>
        <v>Major Donors</v>
      </c>
      <c r="W254" s="17">
        <f>_xlfn.XLOOKUP(Table8[[#This Row],[Campaign_Code]],tb3_CampaignMaster[Campaign_Code],tb3_CampaignMaster[Start_Date],"")</f>
        <v>45444</v>
      </c>
      <c r="X254" s="17">
        <f>_xlfn.XLOOKUP(Table8[[#This Row],[Campaign_Code]],tb3_CampaignMaster[Campaign_Code],tb3_CampaignMaster[End_Date],"")</f>
        <v>45473</v>
      </c>
      <c r="Y254">
        <f>_xlfn.XLOOKUP(Table8[[#This Row],[Campaign_Code]],tb3_CampaignMaster[Campaign_Code],tb3_CampaignMaster[Budget_GBP],"")</f>
        <v>7000</v>
      </c>
      <c r="Z254" t="str">
        <f>_xlfn.XLOOKUP(Table8[[#This Row],[Campaign_Code]],tb3_CampaignMaster[Campaign_Code],tb3_CampaignMaster[Primary_Channel],"")</f>
        <v>Direct Mail</v>
      </c>
      <c r="AA254" s="13">
        <f>IF(Table8[[#This Row],[Gift_Aid_Eligible]]="Yes",Table8[[#This Row],[Gift_Amount]]*1.25,Table8[[#This Row],[Gift_Amount]])</f>
        <v>286.11</v>
      </c>
      <c r="AB254" t="str">
        <f>IF(Table8[[#This Row],[Supporter_ID]]="","Review - missing supporter ID","")</f>
        <v/>
      </c>
      <c r="AC254" t="str">
        <f>IF(OR(Table8[[#This Row],[Response_Date]]&lt;Table8[[#This Row],[Start_Date]],Table8[[#This Row],[Response_Date]]&gt;Table8[[#This Row],[End_Date]]),"Review - response outside campaign dates","")</f>
        <v/>
      </c>
      <c r="AD254" t="str">
        <f>IF(Table8[[#This Row],[Campaign_Type]]="","Review - campaign code not found","")</f>
        <v/>
      </c>
    </row>
    <row r="255" spans="1:30" x14ac:dyDescent="0.25">
      <c r="A255" t="s">
        <v>3815</v>
      </c>
      <c r="B255" t="s">
        <v>2148</v>
      </c>
      <c r="C255" t="s">
        <v>3320</v>
      </c>
      <c r="D255" t="s">
        <v>3321</v>
      </c>
      <c r="E255" t="s">
        <v>65</v>
      </c>
      <c r="F255" s="17">
        <v>45448</v>
      </c>
      <c r="G255">
        <v>1173.0999999999999</v>
      </c>
      <c r="H255" t="s">
        <v>36</v>
      </c>
      <c r="I255" t="s">
        <v>3385</v>
      </c>
      <c r="J255" t="str">
        <f>_xlfn.XLOOKUP(Table8[[#This Row],[Supporter_ID]],tb1_supporters[Supporter_ID ],tb1_supporters[Segment],"")</f>
        <v>Major Donor</v>
      </c>
      <c r="K255" t="str">
        <f>_xlfn.XLOOKUP(Table8[[#This Row],[Supporter_ID]],tb1_supporters[Supporter_ID ],tb1_supporters[Acquisition_Source],"")</f>
        <v>Corporate Partner</v>
      </c>
      <c r="L255" t="str">
        <f>_xlfn.XLOOKUP(Table8[[#This Row],[Supporter_ID]],tb1_supporters[Supporter_ID ],tb1_supporters[County],"")</f>
        <v>Norfolk</v>
      </c>
      <c r="M255" t="str">
        <f>_xlfn.XLOOKUP(Table8[[#This Row],[Supporter_ID]],tb1_supporters[Supporter_ID ],tb1_supporters[Gender],"")</f>
        <v>Female</v>
      </c>
      <c r="N255">
        <f ca="1">_xlfn.XLOOKUP(Table8[[#This Row],[Supporter_ID]],tb1_supporters[Supporter_ID ],tb1_supporters[Age],"")</f>
        <v>39</v>
      </c>
      <c r="O255" t="str">
        <f ca="1">_xlfn.XLOOKUP(Table8[[#This Row],[Supporter_ID]],tb1_supporters[Supporter_ID ],tb1_supporters[Age_Band],"")</f>
        <v>35-49</v>
      </c>
      <c r="P255" t="str">
        <f ca="1">IF(Table8[[#This Row],[Age_Band]]="","Unknown",Table8[[#This Row],[Age_Band]])</f>
        <v>35-49</v>
      </c>
      <c r="Q255" t="str">
        <f>_xlfn.XLOOKUP(Table8[[#This Row],[Supporter_ID]],tb1_supporters[Supporter_ID ],tb1_supporters[Communication_Preference],"")</f>
        <v>Email</v>
      </c>
      <c r="R255" t="str">
        <f>_xlfn.XLOOKUP(Table8[[#This Row],[Supporter_ID]],tb1_supporters[Supporter_ID ],tb1_supporters[Duplicate_Profile_Flag],"")</f>
        <v/>
      </c>
      <c r="S255" t="str">
        <f>_xlfn.XLOOKUP(Table8[[#This Row],[Supporter_ID]],tb1_supporters[Supporter_ID ],tb1_supporters[Preference_Compliance_Flag],"")</f>
        <v/>
      </c>
      <c r="T255" t="str">
        <f ca="1">IF(Table8[[#This Row],[Age]]="","Review - missing DOB",IF(Table8[[#This Row],[Age]]&gt;TODAY(),"Review - future DOB",IF(Table8[[#This Row],[Age]]=0,"Review -  potential entry error (age 0)","")))</f>
        <v/>
      </c>
      <c r="U255" t="str">
        <f>_xlfn.XLOOKUP(Table8[[#This Row],[Campaign_Code]],tb3_CampaignMaster[Campaign_Code],tb3_CampaignMaster[Campaign_Type],"")</f>
        <v>Stewardship</v>
      </c>
      <c r="V255" t="str">
        <f>_xlfn.XLOOKUP(Table8[[#This Row],[Campaign_Code]],tb3_CampaignMaster[Campaign_Code],tb3_CampaignMaster[Target_Audience],"")</f>
        <v>Major Donors</v>
      </c>
      <c r="W255" s="17">
        <f>_xlfn.XLOOKUP(Table8[[#This Row],[Campaign_Code]],tb3_CampaignMaster[Campaign_Code],tb3_CampaignMaster[Start_Date],"")</f>
        <v>45444</v>
      </c>
      <c r="X255" s="17">
        <f>_xlfn.XLOOKUP(Table8[[#This Row],[Campaign_Code]],tb3_CampaignMaster[Campaign_Code],tb3_CampaignMaster[End_Date],"")</f>
        <v>45473</v>
      </c>
      <c r="Y255">
        <f>_xlfn.XLOOKUP(Table8[[#This Row],[Campaign_Code]],tb3_CampaignMaster[Campaign_Code],tb3_CampaignMaster[Budget_GBP],"")</f>
        <v>7000</v>
      </c>
      <c r="Z255" t="str">
        <f>_xlfn.XLOOKUP(Table8[[#This Row],[Campaign_Code]],tb3_CampaignMaster[Campaign_Code],tb3_CampaignMaster[Primary_Channel],"")</f>
        <v>Direct Mail</v>
      </c>
      <c r="AA255" s="13">
        <f>IF(Table8[[#This Row],[Gift_Aid_Eligible]]="Yes",Table8[[#This Row],[Gift_Amount]]*1.25,Table8[[#This Row],[Gift_Amount]])</f>
        <v>1466.375</v>
      </c>
      <c r="AB255" t="str">
        <f>IF(Table8[[#This Row],[Supporter_ID]]="","Review - missing supporter ID","")</f>
        <v/>
      </c>
      <c r="AC255" t="str">
        <f>IF(OR(Table8[[#This Row],[Response_Date]]&lt;Table8[[#This Row],[Start_Date]],Table8[[#This Row],[Response_Date]]&gt;Table8[[#This Row],[End_Date]]),"Review - response outside campaign dates","")</f>
        <v/>
      </c>
      <c r="AD255" t="str">
        <f>IF(Table8[[#This Row],[Campaign_Type]]="","Review - campaign code not found","")</f>
        <v/>
      </c>
    </row>
    <row r="256" spans="1:30" x14ac:dyDescent="0.25">
      <c r="A256" t="s">
        <v>3816</v>
      </c>
      <c r="B256" t="s">
        <v>203</v>
      </c>
      <c r="C256" t="s">
        <v>3403</v>
      </c>
      <c r="D256" t="s">
        <v>3404</v>
      </c>
      <c r="E256" t="s">
        <v>65</v>
      </c>
      <c r="F256" s="17">
        <v>45644</v>
      </c>
      <c r="G256">
        <v>12.24</v>
      </c>
      <c r="H256" t="s">
        <v>36</v>
      </c>
      <c r="I256" t="s">
        <v>3328</v>
      </c>
      <c r="J256" t="str">
        <f>_xlfn.XLOOKUP(Table8[[#This Row],[Supporter_ID]],tb1_supporters[Supporter_ID ],tb1_supporters[Segment],"")</f>
        <v>Regular Giver</v>
      </c>
      <c r="K256" t="str">
        <f>_xlfn.XLOOKUP(Table8[[#This Row],[Supporter_ID]],tb1_supporters[Supporter_ID ],tb1_supporters[Acquisition_Source],"")</f>
        <v>Direct Mail</v>
      </c>
      <c r="L256" t="str">
        <f>_xlfn.XLOOKUP(Table8[[#This Row],[Supporter_ID]],tb1_supporters[Supporter_ID ],tb1_supporters[County],"")</f>
        <v>Greater London</v>
      </c>
      <c r="M256" t="str">
        <f>_xlfn.XLOOKUP(Table8[[#This Row],[Supporter_ID]],tb1_supporters[Supporter_ID ],tb1_supporters[Gender],"")</f>
        <v>Female</v>
      </c>
      <c r="N256">
        <f ca="1">_xlfn.XLOOKUP(Table8[[#This Row],[Supporter_ID]],tb1_supporters[Supporter_ID ],tb1_supporters[Age],"")</f>
        <v>84</v>
      </c>
      <c r="O256" t="str">
        <f ca="1">_xlfn.XLOOKUP(Table8[[#This Row],[Supporter_ID]],tb1_supporters[Supporter_ID ],tb1_supporters[Age_Band],"")</f>
        <v>65+</v>
      </c>
      <c r="P256" t="str">
        <f ca="1">IF(Table8[[#This Row],[Age_Band]]="","Unknown",Table8[[#This Row],[Age_Band]])</f>
        <v>65+</v>
      </c>
      <c r="Q256" t="str">
        <f>_xlfn.XLOOKUP(Table8[[#This Row],[Supporter_ID]],tb1_supporters[Supporter_ID ],tb1_supporters[Communication_Preference],"")</f>
        <v>Email</v>
      </c>
      <c r="R256" t="str">
        <f>_xlfn.XLOOKUP(Table8[[#This Row],[Supporter_ID]],tb1_supporters[Supporter_ID ],tb1_supporters[Duplicate_Profile_Flag],"")</f>
        <v/>
      </c>
      <c r="S256" t="str">
        <f>_xlfn.XLOOKUP(Table8[[#This Row],[Supporter_ID]],tb1_supporters[Supporter_ID ],tb1_supporters[Preference_Compliance_Flag],"")</f>
        <v/>
      </c>
      <c r="T256" t="str">
        <f ca="1">IF(Table8[[#This Row],[Age]]="","Review - missing DOB",IF(Table8[[#This Row],[Age]]&gt;TODAY(),"Review - future DOB",IF(Table8[[#This Row],[Age]]=0,"Review -  potential entry error (age 0)","")))</f>
        <v/>
      </c>
      <c r="U256" t="str">
        <f>_xlfn.XLOOKUP(Table8[[#This Row],[Campaign_Code]],tb3_CampaignMaster[Campaign_Code],tb3_CampaignMaster[Campaign_Type],"")</f>
        <v>Trading</v>
      </c>
      <c r="V256" t="str">
        <f>_xlfn.XLOOKUP(Table8[[#This Row],[Campaign_Code]],tb3_CampaignMaster[Campaign_Code],tb3_CampaignMaster[Target_Audience],"")</f>
        <v>All Active</v>
      </c>
      <c r="W256" s="17">
        <f>_xlfn.XLOOKUP(Table8[[#This Row],[Campaign_Code]],tb3_CampaignMaster[Campaign_Code],tb3_CampaignMaster[Start_Date],"")</f>
        <v>45580</v>
      </c>
      <c r="X256" s="17">
        <f>_xlfn.XLOOKUP(Table8[[#This Row],[Campaign_Code]],tb3_CampaignMaster[Campaign_Code],tb3_CampaignMaster[End_Date],"")</f>
        <v>45646</v>
      </c>
      <c r="Y256">
        <f>_xlfn.XLOOKUP(Table8[[#This Row],[Campaign_Code]],tb3_CampaignMaster[Campaign_Code],tb3_CampaignMaster[Budget_GBP],"")</f>
        <v>12000</v>
      </c>
      <c r="Z256" t="str">
        <f>_xlfn.XLOOKUP(Table8[[#This Row],[Campaign_Code]],tb3_CampaignMaster[Campaign_Code],tb3_CampaignMaster[Primary_Channel],"")</f>
        <v>Multi-channel</v>
      </c>
      <c r="AA256" s="13">
        <f>IF(Table8[[#This Row],[Gift_Aid_Eligible]]="Yes",Table8[[#This Row],[Gift_Amount]]*1.25,Table8[[#This Row],[Gift_Amount]])</f>
        <v>15.3</v>
      </c>
      <c r="AB256" t="str">
        <f>IF(Table8[[#This Row],[Supporter_ID]]="","Review - missing supporter ID","")</f>
        <v/>
      </c>
      <c r="AC256" t="str">
        <f>IF(OR(Table8[[#This Row],[Response_Date]]&lt;Table8[[#This Row],[Start_Date]],Table8[[#This Row],[Response_Date]]&gt;Table8[[#This Row],[End_Date]]),"Review - response outside campaign dates","")</f>
        <v/>
      </c>
      <c r="AD256" t="str">
        <f>IF(Table8[[#This Row],[Campaign_Type]]="","Review - campaign code not found","")</f>
        <v/>
      </c>
    </row>
    <row r="257" spans="1:30" x14ac:dyDescent="0.25">
      <c r="A257" t="s">
        <v>3817</v>
      </c>
      <c r="B257" t="s">
        <v>808</v>
      </c>
      <c r="C257" t="s">
        <v>3336</v>
      </c>
      <c r="D257" t="s">
        <v>3337</v>
      </c>
      <c r="E257" t="s">
        <v>65</v>
      </c>
      <c r="F257" s="17">
        <v>45570</v>
      </c>
      <c r="G257">
        <v>83.17</v>
      </c>
      <c r="H257" t="s">
        <v>37</v>
      </c>
      <c r="I257" t="s">
        <v>3385</v>
      </c>
      <c r="J257" t="str">
        <f>_xlfn.XLOOKUP(Table8[[#This Row],[Supporter_ID]],tb1_supporters[Supporter_ID ],tb1_supporters[Segment],"")</f>
        <v>Lapsed</v>
      </c>
      <c r="K257" t="str">
        <f>_xlfn.XLOOKUP(Table8[[#This Row],[Supporter_ID]],tb1_supporters[Supporter_ID ],tb1_supporters[Acquisition_Source],"")</f>
        <v>Door-To-Door</v>
      </c>
      <c r="L257" t="str">
        <f>_xlfn.XLOOKUP(Table8[[#This Row],[Supporter_ID]],tb1_supporters[Supporter_ID ],tb1_supporters[County],"")</f>
        <v>Kent</v>
      </c>
      <c r="M257" t="str">
        <f>_xlfn.XLOOKUP(Table8[[#This Row],[Supporter_ID]],tb1_supporters[Supporter_ID ],tb1_supporters[Gender],"")</f>
        <v>Female</v>
      </c>
      <c r="N257">
        <f ca="1">_xlfn.XLOOKUP(Table8[[#This Row],[Supporter_ID]],tb1_supporters[Supporter_ID ],tb1_supporters[Age],"")</f>
        <v>67</v>
      </c>
      <c r="O257" t="str">
        <f ca="1">_xlfn.XLOOKUP(Table8[[#This Row],[Supporter_ID]],tb1_supporters[Supporter_ID ],tb1_supporters[Age_Band],"")</f>
        <v>65+</v>
      </c>
      <c r="P257" t="str">
        <f ca="1">IF(Table8[[#This Row],[Age_Band]]="","Unknown",Table8[[#This Row],[Age_Band]])</f>
        <v>65+</v>
      </c>
      <c r="Q257" t="str">
        <f>_xlfn.XLOOKUP(Table8[[#This Row],[Supporter_ID]],tb1_supporters[Supporter_ID ],tb1_supporters[Communication_Preference],"")</f>
        <v>Phone</v>
      </c>
      <c r="R257" t="str">
        <f>_xlfn.XLOOKUP(Table8[[#This Row],[Supporter_ID]],tb1_supporters[Supporter_ID ],tb1_supporters[Duplicate_Profile_Flag],"")</f>
        <v/>
      </c>
      <c r="S257" t="str">
        <f>_xlfn.XLOOKUP(Table8[[#This Row],[Supporter_ID]],tb1_supporters[Supporter_ID ],tb1_supporters[Preference_Compliance_Flag],"")</f>
        <v>Review - prefers phone but not opted in</v>
      </c>
      <c r="T257" t="str">
        <f ca="1">IF(Table8[[#This Row],[Age]]="","Review - missing DOB",IF(Table8[[#This Row],[Age]]&gt;TODAY(),"Review - future DOB",IF(Table8[[#This Row],[Age]]=0,"Review -  potential entry error (age 0)","")))</f>
        <v/>
      </c>
      <c r="U257" t="str">
        <f>_xlfn.XLOOKUP(Table8[[#This Row],[Campaign_Code]],tb3_CampaignMaster[Campaign_Code],tb3_CampaignMaster[Campaign_Type],"")</f>
        <v>Appeal</v>
      </c>
      <c r="V257" t="str">
        <f>_xlfn.XLOOKUP(Table8[[#This Row],[Campaign_Code]],tb3_CampaignMaster[Campaign_Code],tb3_CampaignMaster[Target_Audience],"")</f>
        <v>All Supporters</v>
      </c>
      <c r="W257" s="17">
        <f>_xlfn.XLOOKUP(Table8[[#This Row],[Campaign_Code]],tb3_CampaignMaster[Campaign_Code],tb3_CampaignMaster[Start_Date],"")</f>
        <v>45545</v>
      </c>
      <c r="X257" s="17">
        <f>_xlfn.XLOOKUP(Table8[[#This Row],[Campaign_Code]],tb3_CampaignMaster[Campaign_Code],tb3_CampaignMaster[End_Date],"")</f>
        <v>45580</v>
      </c>
      <c r="Y257">
        <f>_xlfn.XLOOKUP(Table8[[#This Row],[Campaign_Code]],tb3_CampaignMaster[Campaign_Code],tb3_CampaignMaster[Budget_GBP],"")</f>
        <v>15000</v>
      </c>
      <c r="Z257" t="str">
        <f>_xlfn.XLOOKUP(Table8[[#This Row],[Campaign_Code]],tb3_CampaignMaster[Campaign_Code],tb3_CampaignMaster[Primary_Channel],"")</f>
        <v>Email</v>
      </c>
      <c r="AA257" s="13">
        <f>IF(Table8[[#This Row],[Gift_Aid_Eligible]]="Yes",Table8[[#This Row],[Gift_Amount]]*1.25,Table8[[#This Row],[Gift_Amount]])</f>
        <v>83.17</v>
      </c>
      <c r="AB257" t="str">
        <f>IF(Table8[[#This Row],[Supporter_ID]]="","Review - missing supporter ID","")</f>
        <v/>
      </c>
      <c r="AC257" t="str">
        <f>IF(OR(Table8[[#This Row],[Response_Date]]&lt;Table8[[#This Row],[Start_Date]],Table8[[#This Row],[Response_Date]]&gt;Table8[[#This Row],[End_Date]]),"Review - response outside campaign dates","")</f>
        <v/>
      </c>
      <c r="AD257" t="str">
        <f>IF(Table8[[#This Row],[Campaign_Type]]="","Review - campaign code not found","")</f>
        <v/>
      </c>
    </row>
    <row r="258" spans="1:30" x14ac:dyDescent="0.25">
      <c r="A258" t="s">
        <v>3819</v>
      </c>
      <c r="B258" t="s">
        <v>2182</v>
      </c>
      <c r="C258" t="s">
        <v>3341</v>
      </c>
      <c r="D258" t="s">
        <v>3342</v>
      </c>
      <c r="E258" t="s">
        <v>3316</v>
      </c>
      <c r="F258" s="17">
        <v>45732</v>
      </c>
      <c r="G258">
        <v>350.92</v>
      </c>
      <c r="H258" t="s">
        <v>36</v>
      </c>
      <c r="I258" t="s">
        <v>3323</v>
      </c>
      <c r="J258" t="str">
        <f>_xlfn.XLOOKUP(Table8[[#This Row],[Supporter_ID]],tb1_supporters[Supporter_ID ],tb1_supporters[Segment],"")</f>
        <v>Legacy Pledger</v>
      </c>
      <c r="K258" t="str">
        <f>_xlfn.XLOOKUP(Table8[[#This Row],[Supporter_ID]],tb1_supporters[Supporter_ID ],tb1_supporters[Acquisition_Source],"")</f>
        <v>Direct Mail</v>
      </c>
      <c r="L258" t="str">
        <f>_xlfn.XLOOKUP(Table8[[#This Row],[Supporter_ID]],tb1_supporters[Supporter_ID ],tb1_supporters[County],"")</f>
        <v>Surrey</v>
      </c>
      <c r="M258" t="str">
        <f>_xlfn.XLOOKUP(Table8[[#This Row],[Supporter_ID]],tb1_supporters[Supporter_ID ],tb1_supporters[Gender],"")</f>
        <v>Male</v>
      </c>
      <c r="N258">
        <f ca="1">_xlfn.XLOOKUP(Table8[[#This Row],[Supporter_ID]],tb1_supporters[Supporter_ID ],tb1_supporters[Age],"")</f>
        <v>74</v>
      </c>
      <c r="O258" t="str">
        <f ca="1">_xlfn.XLOOKUP(Table8[[#This Row],[Supporter_ID]],tb1_supporters[Supporter_ID ],tb1_supporters[Age_Band],"")</f>
        <v>65+</v>
      </c>
      <c r="P258" t="str">
        <f ca="1">IF(Table8[[#This Row],[Age_Band]]="","Unknown",Table8[[#This Row],[Age_Band]])</f>
        <v>65+</v>
      </c>
      <c r="Q258" t="str">
        <f>_xlfn.XLOOKUP(Table8[[#This Row],[Supporter_ID]],tb1_supporters[Supporter_ID ],tb1_supporters[Communication_Preference],"")</f>
        <v>Phone</v>
      </c>
      <c r="R258" t="str">
        <f>_xlfn.XLOOKUP(Table8[[#This Row],[Supporter_ID]],tb1_supporters[Supporter_ID ],tb1_supporters[Duplicate_Profile_Flag],"")</f>
        <v/>
      </c>
      <c r="S258" t="str">
        <f>_xlfn.XLOOKUP(Table8[[#This Row],[Supporter_ID]],tb1_supporters[Supporter_ID ],tb1_supporters[Preference_Compliance_Flag],"")</f>
        <v>Review - prefers phone but not opted in</v>
      </c>
      <c r="T258" t="str">
        <f ca="1">IF(Table8[[#This Row],[Age]]="","Review - missing DOB",IF(Table8[[#This Row],[Age]]&gt;TODAY(),"Review - future DOB",IF(Table8[[#This Row],[Age]]=0,"Review -  potential entry error (age 0)","")))</f>
        <v/>
      </c>
      <c r="U258" t="str">
        <f>_xlfn.XLOOKUP(Table8[[#This Row],[Campaign_Code]],tb3_CampaignMaster[Campaign_Code],tb3_CampaignMaster[Campaign_Type],"")</f>
        <v>Acquisition</v>
      </c>
      <c r="V258" t="str">
        <f>_xlfn.XLOOKUP(Table8[[#This Row],[Campaign_Code]],tb3_CampaignMaster[Campaign_Code],tb3_CampaignMaster[Target_Audience],"")</f>
        <v>Prospects</v>
      </c>
      <c r="W258" s="17">
        <f>_xlfn.XLOOKUP(Table8[[#This Row],[Campaign_Code]],tb3_CampaignMaster[Campaign_Code],tb3_CampaignMaster[Start_Date],"")</f>
        <v>45689</v>
      </c>
      <c r="X258" s="17">
        <f>_xlfn.XLOOKUP(Table8[[#This Row],[Campaign_Code]],tb3_CampaignMaster[Campaign_Code],tb3_CampaignMaster[End_Date],"")</f>
        <v>45777</v>
      </c>
      <c r="Y258">
        <f>_xlfn.XLOOKUP(Table8[[#This Row],[Campaign_Code]],tb3_CampaignMaster[Campaign_Code],tb3_CampaignMaster[Budget_GBP],"")</f>
        <v>20000</v>
      </c>
      <c r="Z258" t="str">
        <f>_xlfn.XLOOKUP(Table8[[#This Row],[Campaign_Code]],tb3_CampaignMaster[Campaign_Code],tb3_CampaignMaster[Primary_Channel],"")</f>
        <v>Digital</v>
      </c>
      <c r="AA258" s="13">
        <f>IF(Table8[[#This Row],[Gift_Aid_Eligible]]="Yes",Table8[[#This Row],[Gift_Amount]]*1.25,Table8[[#This Row],[Gift_Amount]])</f>
        <v>438.65000000000003</v>
      </c>
      <c r="AB258" t="str">
        <f>IF(Table8[[#This Row],[Supporter_ID]]="","Review - missing supporter ID","")</f>
        <v/>
      </c>
      <c r="AC258" t="str">
        <f>IF(OR(Table8[[#This Row],[Response_Date]]&lt;Table8[[#This Row],[Start_Date]],Table8[[#This Row],[Response_Date]]&gt;Table8[[#This Row],[End_Date]]),"Review - response outside campaign dates","")</f>
        <v/>
      </c>
      <c r="AD258" t="str">
        <f>IF(Table8[[#This Row],[Campaign_Type]]="","Review - campaign code not found","")</f>
        <v/>
      </c>
    </row>
    <row r="259" spans="1:30" x14ac:dyDescent="0.25">
      <c r="A259" t="s">
        <v>3821</v>
      </c>
      <c r="B259" t="s">
        <v>1982</v>
      </c>
      <c r="C259" t="s">
        <v>3325</v>
      </c>
      <c r="D259" t="s">
        <v>3326</v>
      </c>
      <c r="E259" t="s">
        <v>3338</v>
      </c>
      <c r="F259" s="17">
        <v>45619</v>
      </c>
      <c r="G259">
        <v>321.75</v>
      </c>
      <c r="H259" t="s">
        <v>37</v>
      </c>
      <c r="I259" t="s">
        <v>3328</v>
      </c>
      <c r="J259" t="str">
        <f>_xlfn.XLOOKUP(Table8[[#This Row],[Supporter_ID]],tb1_supporters[Supporter_ID ],tb1_supporters[Segment],"")</f>
        <v>Legacy Pledger</v>
      </c>
      <c r="K259" t="str">
        <f>_xlfn.XLOOKUP(Table8[[#This Row],[Supporter_ID]],tb1_supporters[Supporter_ID ],tb1_supporters[Acquisition_Source],"")</f>
        <v>Direct Mail</v>
      </c>
      <c r="L259" t="str">
        <f>_xlfn.XLOOKUP(Table8[[#This Row],[Supporter_ID]],tb1_supporters[Supporter_ID ],tb1_supporters[County],"")</f>
        <v>Buckinghamshire</v>
      </c>
      <c r="M259" t="str">
        <f>_xlfn.XLOOKUP(Table8[[#This Row],[Supporter_ID]],tb1_supporters[Supporter_ID ],tb1_supporters[Gender],"")</f>
        <v>Male</v>
      </c>
      <c r="N259">
        <f ca="1">_xlfn.XLOOKUP(Table8[[#This Row],[Supporter_ID]],tb1_supporters[Supporter_ID ],tb1_supporters[Age],"")</f>
        <v>71</v>
      </c>
      <c r="O259" t="str">
        <f ca="1">_xlfn.XLOOKUP(Table8[[#This Row],[Supporter_ID]],tb1_supporters[Supporter_ID ],tb1_supporters[Age_Band],"")</f>
        <v>65+</v>
      </c>
      <c r="P259" t="str">
        <f ca="1">IF(Table8[[#This Row],[Age_Band]]="","Unknown",Table8[[#This Row],[Age_Band]])</f>
        <v>65+</v>
      </c>
      <c r="Q259" t="str">
        <f>_xlfn.XLOOKUP(Table8[[#This Row],[Supporter_ID]],tb1_supporters[Supporter_ID ],tb1_supporters[Communication_Preference],"")</f>
        <v>Post</v>
      </c>
      <c r="R259" t="str">
        <f>_xlfn.XLOOKUP(Table8[[#This Row],[Supporter_ID]],tb1_supporters[Supporter_ID ],tb1_supporters[Duplicate_Profile_Flag],"")</f>
        <v/>
      </c>
      <c r="S259" t="str">
        <f>_xlfn.XLOOKUP(Table8[[#This Row],[Supporter_ID]],tb1_supporters[Supporter_ID ],tb1_supporters[Preference_Compliance_Flag],"")</f>
        <v/>
      </c>
      <c r="T259" t="str">
        <f ca="1">IF(Table8[[#This Row],[Age]]="","Review - missing DOB",IF(Table8[[#This Row],[Age]]&gt;TODAY(),"Review - future DOB",IF(Table8[[#This Row],[Age]]=0,"Review -  potential entry error (age 0)","")))</f>
        <v/>
      </c>
      <c r="U259" t="str">
        <f>_xlfn.XLOOKUP(Table8[[#This Row],[Campaign_Code]],tb3_CampaignMaster[Campaign_Code],tb3_CampaignMaster[Campaign_Type],"")</f>
        <v>Appeal</v>
      </c>
      <c r="V259" t="str">
        <f>_xlfn.XLOOKUP(Table8[[#This Row],[Campaign_Code]],tb3_CampaignMaster[Campaign_Code],tb3_CampaignMaster[Target_Audience],"")</f>
        <v>All Active</v>
      </c>
      <c r="W259" s="17">
        <f>_xlfn.XLOOKUP(Table8[[#This Row],[Campaign_Code]],tb3_CampaignMaster[Campaign_Code],tb3_CampaignMaster[Start_Date],"")</f>
        <v>45597</v>
      </c>
      <c r="X259" s="17">
        <f>_xlfn.XLOOKUP(Table8[[#This Row],[Campaign_Code]],tb3_CampaignMaster[Campaign_Code],tb3_CampaignMaster[End_Date],"")</f>
        <v>45657</v>
      </c>
      <c r="Y259">
        <f>_xlfn.XLOOKUP(Table8[[#This Row],[Campaign_Code]],tb3_CampaignMaster[Campaign_Code],tb3_CampaignMaster[Budget_GBP],"")</f>
        <v>25000</v>
      </c>
      <c r="Z259" t="str">
        <f>_xlfn.XLOOKUP(Table8[[#This Row],[Campaign_Code]],tb3_CampaignMaster[Campaign_Code],tb3_CampaignMaster[Primary_Channel],"")</f>
        <v>Multi-channel</v>
      </c>
      <c r="AA259" s="13">
        <f>IF(Table8[[#This Row],[Gift_Aid_Eligible]]="Yes",Table8[[#This Row],[Gift_Amount]]*1.25,Table8[[#This Row],[Gift_Amount]])</f>
        <v>321.75</v>
      </c>
      <c r="AB259" t="str">
        <f>IF(Table8[[#This Row],[Supporter_ID]]="","Review - missing supporter ID","")</f>
        <v/>
      </c>
      <c r="AC259" t="str">
        <f>IF(OR(Table8[[#This Row],[Response_Date]]&lt;Table8[[#This Row],[Start_Date]],Table8[[#This Row],[Response_Date]]&gt;Table8[[#This Row],[End_Date]]),"Review - response outside campaign dates","")</f>
        <v/>
      </c>
      <c r="AD259" t="str">
        <f>IF(Table8[[#This Row],[Campaign_Type]]="","Review - campaign code not found","")</f>
        <v/>
      </c>
    </row>
    <row r="260" spans="1:30" x14ac:dyDescent="0.25">
      <c r="A260" t="s">
        <v>3823</v>
      </c>
      <c r="B260" t="s">
        <v>740</v>
      </c>
      <c r="C260" t="s">
        <v>3341</v>
      </c>
      <c r="D260" t="s">
        <v>3342</v>
      </c>
      <c r="E260" t="s">
        <v>4</v>
      </c>
      <c r="F260" s="17">
        <v>45690</v>
      </c>
      <c r="G260">
        <v>207.59</v>
      </c>
      <c r="H260" t="s">
        <v>36</v>
      </c>
      <c r="I260" t="s">
        <v>3331</v>
      </c>
      <c r="J260" t="str">
        <f>_xlfn.XLOOKUP(Table8[[#This Row],[Supporter_ID]],tb1_supporters[Supporter_ID ],tb1_supporters[Segment],"")</f>
        <v>Mid-Value</v>
      </c>
      <c r="K260" t="str">
        <f>_xlfn.XLOOKUP(Table8[[#This Row],[Supporter_ID]],tb1_supporters[Supporter_ID ],tb1_supporters[Acquisition_Source],"")</f>
        <v>Referral</v>
      </c>
      <c r="L260" t="str">
        <f>_xlfn.XLOOKUP(Table8[[#This Row],[Supporter_ID]],tb1_supporters[Supporter_ID ],tb1_supporters[County],"")</f>
        <v>Nottinghamshire</v>
      </c>
      <c r="M260" t="str">
        <f>_xlfn.XLOOKUP(Table8[[#This Row],[Supporter_ID]],tb1_supporters[Supporter_ID ],tb1_supporters[Gender],"")</f>
        <v>Female</v>
      </c>
      <c r="N260">
        <f ca="1">_xlfn.XLOOKUP(Table8[[#This Row],[Supporter_ID]],tb1_supporters[Supporter_ID ],tb1_supporters[Age],"")</f>
        <v>60</v>
      </c>
      <c r="O260" t="str">
        <f ca="1">_xlfn.XLOOKUP(Table8[[#This Row],[Supporter_ID]],tb1_supporters[Supporter_ID ],tb1_supporters[Age_Band],"")</f>
        <v>50-64</v>
      </c>
      <c r="P260" t="str">
        <f ca="1">IF(Table8[[#This Row],[Age_Band]]="","Unknown",Table8[[#This Row],[Age_Band]])</f>
        <v>50-64</v>
      </c>
      <c r="Q260" t="str">
        <f>_xlfn.XLOOKUP(Table8[[#This Row],[Supporter_ID]],tb1_supporters[Supporter_ID ],tb1_supporters[Communication_Preference],"")</f>
        <v>Email</v>
      </c>
      <c r="R260" t="str">
        <f>_xlfn.XLOOKUP(Table8[[#This Row],[Supporter_ID]],tb1_supporters[Supporter_ID ],tb1_supporters[Duplicate_Profile_Flag],"")</f>
        <v/>
      </c>
      <c r="S260" t="str">
        <f>_xlfn.XLOOKUP(Table8[[#This Row],[Supporter_ID]],tb1_supporters[Supporter_ID ],tb1_supporters[Preference_Compliance_Flag],"")</f>
        <v/>
      </c>
      <c r="T260" t="str">
        <f ca="1">IF(Table8[[#This Row],[Age]]="","Review - missing DOB",IF(Table8[[#This Row],[Age]]&gt;TODAY(),"Review - future DOB",IF(Table8[[#This Row],[Age]]=0,"Review -  potential entry error (age 0)","")))</f>
        <v/>
      </c>
      <c r="U260" t="str">
        <f>_xlfn.XLOOKUP(Table8[[#This Row],[Campaign_Code]],tb3_CampaignMaster[Campaign_Code],tb3_CampaignMaster[Campaign_Type],"")</f>
        <v>Acquisition</v>
      </c>
      <c r="V260" t="str">
        <f>_xlfn.XLOOKUP(Table8[[#This Row],[Campaign_Code]],tb3_CampaignMaster[Campaign_Code],tb3_CampaignMaster[Target_Audience],"")</f>
        <v>Prospects</v>
      </c>
      <c r="W260" s="17">
        <f>_xlfn.XLOOKUP(Table8[[#This Row],[Campaign_Code]],tb3_CampaignMaster[Campaign_Code],tb3_CampaignMaster[Start_Date],"")</f>
        <v>45689</v>
      </c>
      <c r="X260" s="17">
        <f>_xlfn.XLOOKUP(Table8[[#This Row],[Campaign_Code]],tb3_CampaignMaster[Campaign_Code],tb3_CampaignMaster[End_Date],"")</f>
        <v>45777</v>
      </c>
      <c r="Y260">
        <f>_xlfn.XLOOKUP(Table8[[#This Row],[Campaign_Code]],tb3_CampaignMaster[Campaign_Code],tb3_CampaignMaster[Budget_GBP],"")</f>
        <v>20000</v>
      </c>
      <c r="Z260" t="str">
        <f>_xlfn.XLOOKUP(Table8[[#This Row],[Campaign_Code]],tb3_CampaignMaster[Campaign_Code],tb3_CampaignMaster[Primary_Channel],"")</f>
        <v>Digital</v>
      </c>
      <c r="AA260" s="13">
        <f>IF(Table8[[#This Row],[Gift_Aid_Eligible]]="Yes",Table8[[#This Row],[Gift_Amount]]*1.25,Table8[[#This Row],[Gift_Amount]])</f>
        <v>259.48750000000001</v>
      </c>
      <c r="AB260" t="str">
        <f>IF(Table8[[#This Row],[Supporter_ID]]="","Review - missing supporter ID","")</f>
        <v/>
      </c>
      <c r="AC260" t="str">
        <f>IF(OR(Table8[[#This Row],[Response_Date]]&lt;Table8[[#This Row],[Start_Date]],Table8[[#This Row],[Response_Date]]&gt;Table8[[#This Row],[End_Date]]),"Review - response outside campaign dates","")</f>
        <v/>
      </c>
      <c r="AD260" t="str">
        <f>IF(Table8[[#This Row],[Campaign_Type]]="","Review - campaign code not found","")</f>
        <v/>
      </c>
    </row>
    <row r="261" spans="1:30" x14ac:dyDescent="0.25">
      <c r="A261" t="s">
        <v>3824</v>
      </c>
      <c r="B261" t="s">
        <v>717</v>
      </c>
      <c r="C261" t="s">
        <v>3341</v>
      </c>
      <c r="D261" t="s">
        <v>3342</v>
      </c>
      <c r="E261" t="s">
        <v>4</v>
      </c>
      <c r="F261" s="17">
        <v>45711</v>
      </c>
      <c r="G261">
        <v>230.59</v>
      </c>
      <c r="H261" t="s">
        <v>36</v>
      </c>
      <c r="I261" t="s">
        <v>3318</v>
      </c>
      <c r="J261" t="str">
        <f>_xlfn.XLOOKUP(Table8[[#This Row],[Supporter_ID]],tb1_supporters[Supporter_ID ],tb1_supporters[Segment],"")</f>
        <v>Legacy Pledger</v>
      </c>
      <c r="K261" t="str">
        <f>_xlfn.XLOOKUP(Table8[[#This Row],[Supporter_ID]],tb1_supporters[Supporter_ID ],tb1_supporters[Acquisition_Source],"")</f>
        <v>Event</v>
      </c>
      <c r="L261" t="str">
        <f>_xlfn.XLOOKUP(Table8[[#This Row],[Supporter_ID]],tb1_supporters[Supporter_ID ],tb1_supporters[County],"")</f>
        <v>North Yorkshire</v>
      </c>
      <c r="M261" t="str">
        <f>_xlfn.XLOOKUP(Table8[[#This Row],[Supporter_ID]],tb1_supporters[Supporter_ID ],tb1_supporters[Gender],"")</f>
        <v>Female</v>
      </c>
      <c r="N261">
        <f ca="1">_xlfn.XLOOKUP(Table8[[#This Row],[Supporter_ID]],tb1_supporters[Supporter_ID ],tb1_supporters[Age],"")</f>
        <v>95</v>
      </c>
      <c r="O261" t="str">
        <f ca="1">_xlfn.XLOOKUP(Table8[[#This Row],[Supporter_ID]],tb1_supporters[Supporter_ID ],tb1_supporters[Age_Band],"")</f>
        <v>65+</v>
      </c>
      <c r="P261" t="str">
        <f ca="1">IF(Table8[[#This Row],[Age_Band]]="","Unknown",Table8[[#This Row],[Age_Band]])</f>
        <v>65+</v>
      </c>
      <c r="Q261" t="str">
        <f>_xlfn.XLOOKUP(Table8[[#This Row],[Supporter_ID]],tb1_supporters[Supporter_ID ],tb1_supporters[Communication_Preference],"")</f>
        <v>Email</v>
      </c>
      <c r="R261" t="str">
        <f>_xlfn.XLOOKUP(Table8[[#This Row],[Supporter_ID]],tb1_supporters[Supporter_ID ],tb1_supporters[Duplicate_Profile_Flag],"")</f>
        <v/>
      </c>
      <c r="S261" t="str">
        <f>_xlfn.XLOOKUP(Table8[[#This Row],[Supporter_ID]],tb1_supporters[Supporter_ID ],tb1_supporters[Preference_Compliance_Flag],"")</f>
        <v/>
      </c>
      <c r="T261" t="str">
        <f ca="1">IF(Table8[[#This Row],[Age]]="","Review - missing DOB",IF(Table8[[#This Row],[Age]]&gt;TODAY(),"Review - future DOB",IF(Table8[[#This Row],[Age]]=0,"Review -  potential entry error (age 0)","")))</f>
        <v/>
      </c>
      <c r="U261" t="str">
        <f>_xlfn.XLOOKUP(Table8[[#This Row],[Campaign_Code]],tb3_CampaignMaster[Campaign_Code],tb3_CampaignMaster[Campaign_Type],"")</f>
        <v>Acquisition</v>
      </c>
      <c r="V261" t="str">
        <f>_xlfn.XLOOKUP(Table8[[#This Row],[Campaign_Code]],tb3_CampaignMaster[Campaign_Code],tb3_CampaignMaster[Target_Audience],"")</f>
        <v>Prospects</v>
      </c>
      <c r="W261" s="17">
        <f>_xlfn.XLOOKUP(Table8[[#This Row],[Campaign_Code]],tb3_CampaignMaster[Campaign_Code],tb3_CampaignMaster[Start_Date],"")</f>
        <v>45689</v>
      </c>
      <c r="X261" s="17">
        <f>_xlfn.XLOOKUP(Table8[[#This Row],[Campaign_Code]],tb3_CampaignMaster[Campaign_Code],tb3_CampaignMaster[End_Date],"")</f>
        <v>45777</v>
      </c>
      <c r="Y261">
        <f>_xlfn.XLOOKUP(Table8[[#This Row],[Campaign_Code]],tb3_CampaignMaster[Campaign_Code],tb3_CampaignMaster[Budget_GBP],"")</f>
        <v>20000</v>
      </c>
      <c r="Z261" t="str">
        <f>_xlfn.XLOOKUP(Table8[[#This Row],[Campaign_Code]],tb3_CampaignMaster[Campaign_Code],tb3_CampaignMaster[Primary_Channel],"")</f>
        <v>Digital</v>
      </c>
      <c r="AA261" s="13">
        <f>IF(Table8[[#This Row],[Gift_Aid_Eligible]]="Yes",Table8[[#This Row],[Gift_Amount]]*1.25,Table8[[#This Row],[Gift_Amount]])</f>
        <v>288.23750000000001</v>
      </c>
      <c r="AB261" t="str">
        <f>IF(Table8[[#This Row],[Supporter_ID]]="","Review - missing supporter ID","")</f>
        <v/>
      </c>
      <c r="AC261" t="str">
        <f>IF(OR(Table8[[#This Row],[Response_Date]]&lt;Table8[[#This Row],[Start_Date]],Table8[[#This Row],[Response_Date]]&gt;Table8[[#This Row],[End_Date]]),"Review - response outside campaign dates","")</f>
        <v/>
      </c>
      <c r="AD261" t="str">
        <f>IF(Table8[[#This Row],[Campaign_Type]]="","Review - campaign code not found","")</f>
        <v/>
      </c>
    </row>
    <row r="262" spans="1:30" x14ac:dyDescent="0.25">
      <c r="A262" t="s">
        <v>3825</v>
      </c>
      <c r="B262" t="s">
        <v>3229</v>
      </c>
      <c r="C262" t="s">
        <v>3427</v>
      </c>
      <c r="D262" t="s">
        <v>3428</v>
      </c>
      <c r="E262" t="s">
        <v>4</v>
      </c>
      <c r="F262" s="17">
        <v>45488</v>
      </c>
      <c r="G262">
        <v>20.55</v>
      </c>
      <c r="H262" t="s">
        <v>36</v>
      </c>
      <c r="I262" t="s">
        <v>3370</v>
      </c>
      <c r="J262" t="str">
        <f>_xlfn.XLOOKUP(Table8[[#This Row],[Supporter_ID]],tb1_supporters[Supporter_ID ],tb1_supporters[Segment],"")</f>
        <v>Prospect</v>
      </c>
      <c r="K262" t="str">
        <f>_xlfn.XLOOKUP(Table8[[#This Row],[Supporter_ID]],tb1_supporters[Supporter_ID ],tb1_supporters[Acquisition_Source],"")</f>
        <v>Website</v>
      </c>
      <c r="L262" t="str">
        <f>_xlfn.XLOOKUP(Table8[[#This Row],[Supporter_ID]],tb1_supporters[Supporter_ID ],tb1_supporters[County],"")</f>
        <v>Avon</v>
      </c>
      <c r="M262" t="str">
        <f>_xlfn.XLOOKUP(Table8[[#This Row],[Supporter_ID]],tb1_supporters[Supporter_ID ],tb1_supporters[Gender],"")</f>
        <v>Female</v>
      </c>
      <c r="N262">
        <f ca="1">_xlfn.XLOOKUP(Table8[[#This Row],[Supporter_ID]],tb1_supporters[Supporter_ID ],tb1_supporters[Age],"")</f>
        <v>34</v>
      </c>
      <c r="O262" t="str">
        <f ca="1">_xlfn.XLOOKUP(Table8[[#This Row],[Supporter_ID]],tb1_supporters[Supporter_ID ],tb1_supporters[Age_Band],"")</f>
        <v>18-34</v>
      </c>
      <c r="P262" t="str">
        <f ca="1">IF(Table8[[#This Row],[Age_Band]]="","Unknown",Table8[[#This Row],[Age_Band]])</f>
        <v>18-34</v>
      </c>
      <c r="Q262" t="str">
        <f>_xlfn.XLOOKUP(Table8[[#This Row],[Supporter_ID]],tb1_supporters[Supporter_ID ],tb1_supporters[Communication_Preference],"")</f>
        <v>Email</v>
      </c>
      <c r="R262" t="str">
        <f>_xlfn.XLOOKUP(Table8[[#This Row],[Supporter_ID]],tb1_supporters[Supporter_ID ],tb1_supporters[Duplicate_Profile_Flag],"")</f>
        <v/>
      </c>
      <c r="S262" t="str">
        <f>_xlfn.XLOOKUP(Table8[[#This Row],[Supporter_ID]],tb1_supporters[Supporter_ID ],tb1_supporters[Preference_Compliance_Flag],"")</f>
        <v>Review - prefers email but not opted in</v>
      </c>
      <c r="T262" t="str">
        <f ca="1">IF(Table8[[#This Row],[Age]]="","Review - missing DOB",IF(Table8[[#This Row],[Age]]&gt;TODAY(),"Review - future DOB",IF(Table8[[#This Row],[Age]]=0,"Review -  potential entry error (age 0)","")))</f>
        <v/>
      </c>
      <c r="U262" t="str">
        <f>_xlfn.XLOOKUP(Table8[[#This Row],[Campaign_Code]],tb3_CampaignMaster[Campaign_Code],tb3_CampaignMaster[Campaign_Type],"")</f>
        <v>Event</v>
      </c>
      <c r="V262" t="str">
        <f>_xlfn.XLOOKUP(Table8[[#This Row],[Campaign_Code]],tb3_CampaignMaster[Campaign_Code],tb3_CampaignMaster[Target_Audience],"")</f>
        <v>Major Donors</v>
      </c>
      <c r="W262" s="17">
        <f>_xlfn.XLOOKUP(Table8[[#This Row],[Campaign_Code]],tb3_CampaignMaster[Campaign_Code],tb3_CampaignMaster[Start_Date],"")</f>
        <v>45488</v>
      </c>
      <c r="X262" s="17">
        <f>_xlfn.XLOOKUP(Table8[[#This Row],[Campaign_Code]],tb3_CampaignMaster[Campaign_Code],tb3_CampaignMaster[End_Date],"")</f>
        <v>45488</v>
      </c>
      <c r="Y262">
        <f>_xlfn.XLOOKUP(Table8[[#This Row],[Campaign_Code]],tb3_CampaignMaster[Campaign_Code],tb3_CampaignMaster[Budget_GBP],"")</f>
        <v>45000</v>
      </c>
      <c r="Z262" t="str">
        <f>_xlfn.XLOOKUP(Table8[[#This Row],[Campaign_Code]],tb3_CampaignMaster[Campaign_Code],tb3_CampaignMaster[Primary_Channel],"")</f>
        <v>Direct Mail</v>
      </c>
      <c r="AA262" s="13">
        <f>IF(Table8[[#This Row],[Gift_Aid_Eligible]]="Yes",Table8[[#This Row],[Gift_Amount]]*1.25,Table8[[#This Row],[Gift_Amount]])</f>
        <v>25.6875</v>
      </c>
      <c r="AB262" t="str">
        <f>IF(Table8[[#This Row],[Supporter_ID]]="","Review - missing supporter ID","")</f>
        <v/>
      </c>
      <c r="AC262" t="str">
        <f>IF(OR(Table8[[#This Row],[Response_Date]]&lt;Table8[[#This Row],[Start_Date]],Table8[[#This Row],[Response_Date]]&gt;Table8[[#This Row],[End_Date]]),"Review - response outside campaign dates","")</f>
        <v/>
      </c>
      <c r="AD262" t="str">
        <f>IF(Table8[[#This Row],[Campaign_Type]]="","Review - campaign code not found","")</f>
        <v/>
      </c>
    </row>
    <row r="263" spans="1:30" x14ac:dyDescent="0.25">
      <c r="A263" t="s">
        <v>3826</v>
      </c>
      <c r="B263" t="s">
        <v>1511</v>
      </c>
      <c r="C263" t="s">
        <v>3336</v>
      </c>
      <c r="D263" t="s">
        <v>3337</v>
      </c>
      <c r="E263" t="s">
        <v>3316</v>
      </c>
      <c r="F263" s="17">
        <v>45556</v>
      </c>
      <c r="G263">
        <v>27.21</v>
      </c>
      <c r="H263" t="s">
        <v>37</v>
      </c>
      <c r="I263" t="s">
        <v>3385</v>
      </c>
      <c r="J263" t="str">
        <f>_xlfn.XLOOKUP(Table8[[#This Row],[Supporter_ID]],tb1_supporters[Supporter_ID ],tb1_supporters[Segment],"")</f>
        <v>Mid-Value</v>
      </c>
      <c r="K263" t="str">
        <f>_xlfn.XLOOKUP(Table8[[#This Row],[Supporter_ID]],tb1_supporters[Supporter_ID ],tb1_supporters[Acquisition_Source],"")</f>
        <v>Referral</v>
      </c>
      <c r="L263" t="str">
        <f>_xlfn.XLOOKUP(Table8[[#This Row],[Supporter_ID]],tb1_supporters[Supporter_ID ],tb1_supporters[County],"")</f>
        <v>South Yorkshire</v>
      </c>
      <c r="M263" t="str">
        <f>_xlfn.XLOOKUP(Table8[[#This Row],[Supporter_ID]],tb1_supporters[Supporter_ID ],tb1_supporters[Gender],"")</f>
        <v>Female</v>
      </c>
      <c r="N263">
        <f ca="1">_xlfn.XLOOKUP(Table8[[#This Row],[Supporter_ID]],tb1_supporters[Supporter_ID ],tb1_supporters[Age],"")</f>
        <v>64</v>
      </c>
      <c r="O263" t="str">
        <f ca="1">_xlfn.XLOOKUP(Table8[[#This Row],[Supporter_ID]],tb1_supporters[Supporter_ID ],tb1_supporters[Age_Band],"")</f>
        <v>50-64</v>
      </c>
      <c r="P263" t="str">
        <f ca="1">IF(Table8[[#This Row],[Age_Band]]="","Unknown",Table8[[#This Row],[Age_Band]])</f>
        <v>50-64</v>
      </c>
      <c r="Q263" t="str">
        <f>_xlfn.XLOOKUP(Table8[[#This Row],[Supporter_ID]],tb1_supporters[Supporter_ID ],tb1_supporters[Communication_Preference],"")</f>
        <v>Email</v>
      </c>
      <c r="R263" t="str">
        <f>_xlfn.XLOOKUP(Table8[[#This Row],[Supporter_ID]],tb1_supporters[Supporter_ID ],tb1_supporters[Duplicate_Profile_Flag],"")</f>
        <v>Review - duplicate record, see Supporter_Duplicates tab</v>
      </c>
      <c r="S263" t="str">
        <f>_xlfn.XLOOKUP(Table8[[#This Row],[Supporter_ID]],tb1_supporters[Supporter_ID ],tb1_supporters[Preference_Compliance_Flag],"")</f>
        <v/>
      </c>
      <c r="T263" t="str">
        <f ca="1">IF(Table8[[#This Row],[Age]]="","Review - missing DOB",IF(Table8[[#This Row],[Age]]&gt;TODAY(),"Review - future DOB",IF(Table8[[#This Row],[Age]]=0,"Review -  potential entry error (age 0)","")))</f>
        <v/>
      </c>
      <c r="U263" t="str">
        <f>_xlfn.XLOOKUP(Table8[[#This Row],[Campaign_Code]],tb3_CampaignMaster[Campaign_Code],tb3_CampaignMaster[Campaign_Type],"")</f>
        <v>Appeal</v>
      </c>
      <c r="V263" t="str">
        <f>_xlfn.XLOOKUP(Table8[[#This Row],[Campaign_Code]],tb3_CampaignMaster[Campaign_Code],tb3_CampaignMaster[Target_Audience],"")</f>
        <v>All Supporters</v>
      </c>
      <c r="W263" s="17">
        <f>_xlfn.XLOOKUP(Table8[[#This Row],[Campaign_Code]],tb3_CampaignMaster[Campaign_Code],tb3_CampaignMaster[Start_Date],"")</f>
        <v>45545</v>
      </c>
      <c r="X263" s="17">
        <f>_xlfn.XLOOKUP(Table8[[#This Row],[Campaign_Code]],tb3_CampaignMaster[Campaign_Code],tb3_CampaignMaster[End_Date],"")</f>
        <v>45580</v>
      </c>
      <c r="Y263">
        <f>_xlfn.XLOOKUP(Table8[[#This Row],[Campaign_Code]],tb3_CampaignMaster[Campaign_Code],tb3_CampaignMaster[Budget_GBP],"")</f>
        <v>15000</v>
      </c>
      <c r="Z263" t="str">
        <f>_xlfn.XLOOKUP(Table8[[#This Row],[Campaign_Code]],tb3_CampaignMaster[Campaign_Code],tb3_CampaignMaster[Primary_Channel],"")</f>
        <v>Email</v>
      </c>
      <c r="AA263" s="13">
        <f>IF(Table8[[#This Row],[Gift_Aid_Eligible]]="Yes",Table8[[#This Row],[Gift_Amount]]*1.25,Table8[[#This Row],[Gift_Amount]])</f>
        <v>27.21</v>
      </c>
      <c r="AB263" t="str">
        <f>IF(Table8[[#This Row],[Supporter_ID]]="","Review - missing supporter ID","")</f>
        <v/>
      </c>
      <c r="AC263" t="str">
        <f>IF(OR(Table8[[#This Row],[Response_Date]]&lt;Table8[[#This Row],[Start_Date]],Table8[[#This Row],[Response_Date]]&gt;Table8[[#This Row],[End_Date]]),"Review - response outside campaign dates","")</f>
        <v/>
      </c>
      <c r="AD263" t="str">
        <f>IF(Table8[[#This Row],[Campaign_Type]]="","Review - campaign code not found","")</f>
        <v/>
      </c>
    </row>
    <row r="264" spans="1:30" x14ac:dyDescent="0.25">
      <c r="A264" t="s">
        <v>3828</v>
      </c>
      <c r="B264" t="s">
        <v>1850</v>
      </c>
      <c r="C264" t="s">
        <v>3427</v>
      </c>
      <c r="D264" t="s">
        <v>3428</v>
      </c>
      <c r="E264" t="s">
        <v>65</v>
      </c>
      <c r="F264" s="17">
        <v>45488</v>
      </c>
      <c r="G264">
        <v>90.6</v>
      </c>
      <c r="H264" t="s">
        <v>37</v>
      </c>
      <c r="I264" t="s">
        <v>3370</v>
      </c>
      <c r="J264" t="str">
        <f>_xlfn.XLOOKUP(Table8[[#This Row],[Supporter_ID]],tb1_supporters[Supporter_ID ],tb1_supporters[Segment],"")</f>
        <v>Lapsed</v>
      </c>
      <c r="K264" t="str">
        <f>_xlfn.XLOOKUP(Table8[[#This Row],[Supporter_ID]],tb1_supporters[Supporter_ID ],tb1_supporters[Acquisition_Source],"")</f>
        <v>Corporate Partner</v>
      </c>
      <c r="L264" t="str">
        <f>_xlfn.XLOOKUP(Table8[[#This Row],[Supporter_ID]],tb1_supporters[Supporter_ID ],tb1_supporters[County],"")</f>
        <v>Grampian</v>
      </c>
      <c r="M264" t="str">
        <f>_xlfn.XLOOKUP(Table8[[#This Row],[Supporter_ID]],tb1_supporters[Supporter_ID ],tb1_supporters[Gender],"")</f>
        <v>Female</v>
      </c>
      <c r="N264">
        <f ca="1">_xlfn.XLOOKUP(Table8[[#This Row],[Supporter_ID]],tb1_supporters[Supporter_ID ],tb1_supporters[Age],"")</f>
        <v>77</v>
      </c>
      <c r="O264" t="str">
        <f ca="1">_xlfn.XLOOKUP(Table8[[#This Row],[Supporter_ID]],tb1_supporters[Supporter_ID ],tb1_supporters[Age_Band],"")</f>
        <v>65+</v>
      </c>
      <c r="P264" t="str">
        <f ca="1">IF(Table8[[#This Row],[Age_Band]]="","Unknown",Table8[[#This Row],[Age_Band]])</f>
        <v>65+</v>
      </c>
      <c r="Q264" t="str">
        <f>_xlfn.XLOOKUP(Table8[[#This Row],[Supporter_ID]],tb1_supporters[Supporter_ID ],tb1_supporters[Communication_Preference],"")</f>
        <v>Email</v>
      </c>
      <c r="R264" t="str">
        <f>_xlfn.XLOOKUP(Table8[[#This Row],[Supporter_ID]],tb1_supporters[Supporter_ID ],tb1_supporters[Duplicate_Profile_Flag],"")</f>
        <v/>
      </c>
      <c r="S264" t="str">
        <f>_xlfn.XLOOKUP(Table8[[#This Row],[Supporter_ID]],tb1_supporters[Supporter_ID ],tb1_supporters[Preference_Compliance_Flag],"")</f>
        <v/>
      </c>
      <c r="T264" t="str">
        <f ca="1">IF(Table8[[#This Row],[Age]]="","Review - missing DOB",IF(Table8[[#This Row],[Age]]&gt;TODAY(),"Review - future DOB",IF(Table8[[#This Row],[Age]]=0,"Review -  potential entry error (age 0)","")))</f>
        <v/>
      </c>
      <c r="U264" t="str">
        <f>_xlfn.XLOOKUP(Table8[[#This Row],[Campaign_Code]],tb3_CampaignMaster[Campaign_Code],tb3_CampaignMaster[Campaign_Type],"")</f>
        <v>Event</v>
      </c>
      <c r="V264" t="str">
        <f>_xlfn.XLOOKUP(Table8[[#This Row],[Campaign_Code]],tb3_CampaignMaster[Campaign_Code],tb3_CampaignMaster[Target_Audience],"")</f>
        <v>Major Donors</v>
      </c>
      <c r="W264" s="17">
        <f>_xlfn.XLOOKUP(Table8[[#This Row],[Campaign_Code]],tb3_CampaignMaster[Campaign_Code],tb3_CampaignMaster[Start_Date],"")</f>
        <v>45488</v>
      </c>
      <c r="X264" s="17">
        <f>_xlfn.XLOOKUP(Table8[[#This Row],[Campaign_Code]],tb3_CampaignMaster[Campaign_Code],tb3_CampaignMaster[End_Date],"")</f>
        <v>45488</v>
      </c>
      <c r="Y264">
        <f>_xlfn.XLOOKUP(Table8[[#This Row],[Campaign_Code]],tb3_CampaignMaster[Campaign_Code],tb3_CampaignMaster[Budget_GBP],"")</f>
        <v>45000</v>
      </c>
      <c r="Z264" t="str">
        <f>_xlfn.XLOOKUP(Table8[[#This Row],[Campaign_Code]],tb3_CampaignMaster[Campaign_Code],tb3_CampaignMaster[Primary_Channel],"")</f>
        <v>Direct Mail</v>
      </c>
      <c r="AA264" s="13">
        <f>IF(Table8[[#This Row],[Gift_Aid_Eligible]]="Yes",Table8[[#This Row],[Gift_Amount]]*1.25,Table8[[#This Row],[Gift_Amount]])</f>
        <v>90.6</v>
      </c>
      <c r="AB264" t="str">
        <f>IF(Table8[[#This Row],[Supporter_ID]]="","Review - missing supporter ID","")</f>
        <v/>
      </c>
      <c r="AC264" t="str">
        <f>IF(OR(Table8[[#This Row],[Response_Date]]&lt;Table8[[#This Row],[Start_Date]],Table8[[#This Row],[Response_Date]]&gt;Table8[[#This Row],[End_Date]]),"Review - response outside campaign dates","")</f>
        <v/>
      </c>
      <c r="AD264" t="str">
        <f>IF(Table8[[#This Row],[Campaign_Type]]="","Review - campaign code not found","")</f>
        <v/>
      </c>
    </row>
    <row r="265" spans="1:30" x14ac:dyDescent="0.25">
      <c r="A265" t="s">
        <v>3829</v>
      </c>
      <c r="B265" t="s">
        <v>723</v>
      </c>
      <c r="C265" t="s">
        <v>3354</v>
      </c>
      <c r="D265" t="s">
        <v>3355</v>
      </c>
      <c r="E265" t="s">
        <v>65</v>
      </c>
      <c r="F265" s="17">
        <v>45618</v>
      </c>
      <c r="G265">
        <v>1583.28</v>
      </c>
      <c r="H265" t="s">
        <v>36</v>
      </c>
      <c r="I265" t="s">
        <v>3318</v>
      </c>
      <c r="J265" t="str">
        <f>_xlfn.XLOOKUP(Table8[[#This Row],[Supporter_ID]],tb1_supporters[Supporter_ID ],tb1_supporters[Segment],"")</f>
        <v>Major Donor</v>
      </c>
      <c r="K265" t="str">
        <f>_xlfn.XLOOKUP(Table8[[#This Row],[Supporter_ID]],tb1_supporters[Supporter_ID ],tb1_supporters[Acquisition_Source],"")</f>
        <v>Corporate Partner</v>
      </c>
      <c r="L265" t="str">
        <f>_xlfn.XLOOKUP(Table8[[#This Row],[Supporter_ID]],tb1_supporters[Supporter_ID ],tb1_supporters[County],"")</f>
        <v>Gloucestershire</v>
      </c>
      <c r="M265" t="str">
        <f>_xlfn.XLOOKUP(Table8[[#This Row],[Supporter_ID]],tb1_supporters[Supporter_ID ],tb1_supporters[Gender],"")</f>
        <v>Male</v>
      </c>
      <c r="N265">
        <f ca="1">_xlfn.XLOOKUP(Table8[[#This Row],[Supporter_ID]],tb1_supporters[Supporter_ID ],tb1_supporters[Age],"")</f>
        <v>86</v>
      </c>
      <c r="O265" t="str">
        <f ca="1">_xlfn.XLOOKUP(Table8[[#This Row],[Supporter_ID]],tb1_supporters[Supporter_ID ],tb1_supporters[Age_Band],"")</f>
        <v>65+</v>
      </c>
      <c r="P265" t="str">
        <f ca="1">IF(Table8[[#This Row],[Age_Band]]="","Unknown",Table8[[#This Row],[Age_Band]])</f>
        <v>65+</v>
      </c>
      <c r="Q265" t="str">
        <f>_xlfn.XLOOKUP(Table8[[#This Row],[Supporter_ID]],tb1_supporters[Supporter_ID ],tb1_supporters[Communication_Preference],"")</f>
        <v>Email</v>
      </c>
      <c r="R265" t="str">
        <f>_xlfn.XLOOKUP(Table8[[#This Row],[Supporter_ID]],tb1_supporters[Supporter_ID ],tb1_supporters[Duplicate_Profile_Flag],"")</f>
        <v>Review - duplicate record, see Supporter_Duplicates tab</v>
      </c>
      <c r="S265" t="str">
        <f>_xlfn.XLOOKUP(Table8[[#This Row],[Supporter_ID]],tb1_supporters[Supporter_ID ],tb1_supporters[Preference_Compliance_Flag],"")</f>
        <v/>
      </c>
      <c r="T265" t="str">
        <f ca="1">IF(Table8[[#This Row],[Age]]="","Review - missing DOB",IF(Table8[[#This Row],[Age]]&gt;TODAY(),"Review - future DOB",IF(Table8[[#This Row],[Age]]=0,"Review -  potential entry error (age 0)","")))</f>
        <v/>
      </c>
      <c r="U265" t="str">
        <f>_xlfn.XLOOKUP(Table8[[#This Row],[Campaign_Code]],tb3_CampaignMaster[Campaign_Code],tb3_CampaignMaster[Campaign_Type],"")</f>
        <v>Event</v>
      </c>
      <c r="V265" t="str">
        <f>_xlfn.XLOOKUP(Table8[[#This Row],[Campaign_Code]],tb3_CampaignMaster[Campaign_Code],tb3_CampaignMaster[Target_Audience],"")</f>
        <v>Volunteers</v>
      </c>
      <c r="W265" s="17">
        <f>_xlfn.XLOOKUP(Table8[[#This Row],[Campaign_Code]],tb3_CampaignMaster[Campaign_Code],tb3_CampaignMaster[Start_Date],"")</f>
        <v>45618</v>
      </c>
      <c r="X265" s="17">
        <f>_xlfn.XLOOKUP(Table8[[#This Row],[Campaign_Code]],tb3_CampaignMaster[Campaign_Code],tb3_CampaignMaster[End_Date],"")</f>
        <v>45618</v>
      </c>
      <c r="Y265">
        <f>_xlfn.XLOOKUP(Table8[[#This Row],[Campaign_Code]],tb3_CampaignMaster[Campaign_Code],tb3_CampaignMaster[Budget_GBP],"")</f>
        <v>3500</v>
      </c>
      <c r="Z265" t="str">
        <f>_xlfn.XLOOKUP(Table8[[#This Row],[Campaign_Code]],tb3_CampaignMaster[Campaign_Code],tb3_CampaignMaster[Primary_Channel],"")</f>
        <v>Email</v>
      </c>
      <c r="AA265" s="13">
        <f>IF(Table8[[#This Row],[Gift_Aid_Eligible]]="Yes",Table8[[#This Row],[Gift_Amount]]*1.25,Table8[[#This Row],[Gift_Amount]])</f>
        <v>1979.1</v>
      </c>
      <c r="AB265" t="str">
        <f>IF(Table8[[#This Row],[Supporter_ID]]="","Review - missing supporter ID","")</f>
        <v/>
      </c>
      <c r="AC265" t="str">
        <f>IF(OR(Table8[[#This Row],[Response_Date]]&lt;Table8[[#This Row],[Start_Date]],Table8[[#This Row],[Response_Date]]&gt;Table8[[#This Row],[End_Date]]),"Review - response outside campaign dates","")</f>
        <v/>
      </c>
      <c r="AD265" t="str">
        <f>IF(Table8[[#This Row],[Campaign_Type]]="","Review - campaign code not found","")</f>
        <v/>
      </c>
    </row>
    <row r="266" spans="1:30" x14ac:dyDescent="0.25">
      <c r="A266" t="s">
        <v>3830</v>
      </c>
      <c r="B266" t="s">
        <v>2668</v>
      </c>
      <c r="C266" t="s">
        <v>3367</v>
      </c>
      <c r="D266" t="s">
        <v>3368</v>
      </c>
      <c r="E266" t="s">
        <v>4</v>
      </c>
      <c r="F266" s="17">
        <v>45776</v>
      </c>
      <c r="G266">
        <v>72.47</v>
      </c>
      <c r="H266" t="s">
        <v>37</v>
      </c>
      <c r="I266" t="s">
        <v>3370</v>
      </c>
      <c r="J266" t="str">
        <f>_xlfn.XLOOKUP(Table8[[#This Row],[Supporter_ID]],tb1_supporters[Supporter_ID ],tb1_supporters[Segment],"")</f>
        <v>Lapsed</v>
      </c>
      <c r="K266" t="str">
        <f>_xlfn.XLOOKUP(Table8[[#This Row],[Supporter_ID]],tb1_supporters[Supporter_ID ],tb1_supporters[Acquisition_Source],"")</f>
        <v>Door-To-Door</v>
      </c>
      <c r="L266" t="str">
        <f>_xlfn.XLOOKUP(Table8[[#This Row],[Supporter_ID]],tb1_supporters[Supporter_ID ],tb1_supporters[County],"")</f>
        <v>Berkshire</v>
      </c>
      <c r="M266" t="str">
        <f>_xlfn.XLOOKUP(Table8[[#This Row],[Supporter_ID]],tb1_supporters[Supporter_ID ],tb1_supporters[Gender],"")</f>
        <v>Male</v>
      </c>
      <c r="N266">
        <f ca="1">_xlfn.XLOOKUP(Table8[[#This Row],[Supporter_ID]],tb1_supporters[Supporter_ID ],tb1_supporters[Age],"")</f>
        <v>27</v>
      </c>
      <c r="O266" t="str">
        <f ca="1">_xlfn.XLOOKUP(Table8[[#This Row],[Supporter_ID]],tb1_supporters[Supporter_ID ],tb1_supporters[Age_Band],"")</f>
        <v>18-34</v>
      </c>
      <c r="P266" t="str">
        <f ca="1">IF(Table8[[#This Row],[Age_Band]]="","Unknown",Table8[[#This Row],[Age_Band]])</f>
        <v>18-34</v>
      </c>
      <c r="Q266" t="str">
        <f>_xlfn.XLOOKUP(Table8[[#This Row],[Supporter_ID]],tb1_supporters[Supporter_ID ],tb1_supporters[Communication_Preference],"")</f>
        <v>Post</v>
      </c>
      <c r="R266" t="str">
        <f>_xlfn.XLOOKUP(Table8[[#This Row],[Supporter_ID]],tb1_supporters[Supporter_ID ],tb1_supporters[Duplicate_Profile_Flag],"")</f>
        <v/>
      </c>
      <c r="S266" t="str">
        <f>_xlfn.XLOOKUP(Table8[[#This Row],[Supporter_ID]],tb1_supporters[Supporter_ID ],tb1_supporters[Preference_Compliance_Flag],"")</f>
        <v>Review - prefers post but not opted in</v>
      </c>
      <c r="T266" t="str">
        <f ca="1">IF(Table8[[#This Row],[Age]]="","Review - missing DOB",IF(Table8[[#This Row],[Age]]&gt;TODAY(),"Review - future DOB",IF(Table8[[#This Row],[Age]]=0,"Review -  potential entry error (age 0)","")))</f>
        <v/>
      </c>
      <c r="U266" t="str">
        <f>_xlfn.XLOOKUP(Table8[[#This Row],[Campaign_Code]],tb3_CampaignMaster[Campaign_Code],tb3_CampaignMaster[Campaign_Type],"")</f>
        <v>Raffle</v>
      </c>
      <c r="V266" t="str">
        <f>_xlfn.XLOOKUP(Table8[[#This Row],[Campaign_Code]],tb3_CampaignMaster[Campaign_Code],tb3_CampaignMaster[Target_Audience],"")</f>
        <v>Regular Givers</v>
      </c>
      <c r="W266" s="17">
        <f>_xlfn.XLOOKUP(Table8[[#This Row],[Campaign_Code]],tb3_CampaignMaster[Campaign_Code],tb3_CampaignMaster[Start_Date],"")</f>
        <v>45717</v>
      </c>
      <c r="X266" s="17">
        <f>_xlfn.XLOOKUP(Table8[[#This Row],[Campaign_Code]],tb3_CampaignMaster[Campaign_Code],tb3_CampaignMaster[End_Date],"")</f>
        <v>45777</v>
      </c>
      <c r="Y266">
        <f>_xlfn.XLOOKUP(Table8[[#This Row],[Campaign_Code]],tb3_CampaignMaster[Campaign_Code],tb3_CampaignMaster[Budget_GBP],"")</f>
        <v>8000</v>
      </c>
      <c r="Z266" t="str">
        <f>_xlfn.XLOOKUP(Table8[[#This Row],[Campaign_Code]],tb3_CampaignMaster[Campaign_Code],tb3_CampaignMaster[Primary_Channel],"")</f>
        <v>Direct Mail</v>
      </c>
      <c r="AA266" s="13">
        <f>IF(Table8[[#This Row],[Gift_Aid_Eligible]]="Yes",Table8[[#This Row],[Gift_Amount]]*1.25,Table8[[#This Row],[Gift_Amount]])</f>
        <v>72.47</v>
      </c>
      <c r="AB266" t="str">
        <f>IF(Table8[[#This Row],[Supporter_ID]]="","Review - missing supporter ID","")</f>
        <v/>
      </c>
      <c r="AC266" t="str">
        <f>IF(OR(Table8[[#This Row],[Response_Date]]&lt;Table8[[#This Row],[Start_Date]],Table8[[#This Row],[Response_Date]]&gt;Table8[[#This Row],[End_Date]]),"Review - response outside campaign dates","")</f>
        <v/>
      </c>
      <c r="AD266" t="str">
        <f>IF(Table8[[#This Row],[Campaign_Type]]="","Review - campaign code not found","")</f>
        <v/>
      </c>
    </row>
    <row r="267" spans="1:30" x14ac:dyDescent="0.25">
      <c r="A267" t="s">
        <v>3832</v>
      </c>
      <c r="B267" t="s">
        <v>401</v>
      </c>
      <c r="C267" t="s">
        <v>3325</v>
      </c>
      <c r="D267" t="s">
        <v>3326</v>
      </c>
      <c r="E267" t="s">
        <v>3338</v>
      </c>
      <c r="F267" s="17">
        <v>45623</v>
      </c>
      <c r="G267">
        <v>145.47</v>
      </c>
      <c r="H267" t="s">
        <v>37</v>
      </c>
      <c r="I267" t="s">
        <v>3328</v>
      </c>
      <c r="J267" t="str">
        <f>_xlfn.XLOOKUP(Table8[[#This Row],[Supporter_ID]],tb1_supporters[Supporter_ID ],tb1_supporters[Segment],"")</f>
        <v>One-Time Donor</v>
      </c>
      <c r="K267" t="str">
        <f>_xlfn.XLOOKUP(Table8[[#This Row],[Supporter_ID]],tb1_supporters[Supporter_ID ],tb1_supporters[Acquisition_Source],"")</f>
        <v>Telephone</v>
      </c>
      <c r="L267" t="str">
        <f>_xlfn.XLOOKUP(Table8[[#This Row],[Supporter_ID]],tb1_supporters[Supporter_ID ],tb1_supporters[County],"")</f>
        <v>Suffolk</v>
      </c>
      <c r="M267" t="str">
        <f>_xlfn.XLOOKUP(Table8[[#This Row],[Supporter_ID]],tb1_supporters[Supporter_ID ],tb1_supporters[Gender],"")</f>
        <v>Female</v>
      </c>
      <c r="N267">
        <f ca="1">_xlfn.XLOOKUP(Table8[[#This Row],[Supporter_ID]],tb1_supporters[Supporter_ID ],tb1_supporters[Age],"")</f>
        <v>62</v>
      </c>
      <c r="O267" t="str">
        <f ca="1">_xlfn.XLOOKUP(Table8[[#This Row],[Supporter_ID]],tb1_supporters[Supporter_ID ],tb1_supporters[Age_Band],"")</f>
        <v>50-64</v>
      </c>
      <c r="P267" t="str">
        <f ca="1">IF(Table8[[#This Row],[Age_Band]]="","Unknown",Table8[[#This Row],[Age_Band]])</f>
        <v>50-64</v>
      </c>
      <c r="Q267" t="str">
        <f>_xlfn.XLOOKUP(Table8[[#This Row],[Supporter_ID]],tb1_supporters[Supporter_ID ],tb1_supporters[Communication_Preference],"")</f>
        <v>Post</v>
      </c>
      <c r="R267" t="str">
        <f>_xlfn.XLOOKUP(Table8[[#This Row],[Supporter_ID]],tb1_supporters[Supporter_ID ],tb1_supporters[Duplicate_Profile_Flag],"")</f>
        <v/>
      </c>
      <c r="S267" t="str">
        <f>_xlfn.XLOOKUP(Table8[[#This Row],[Supporter_ID]],tb1_supporters[Supporter_ID ],tb1_supporters[Preference_Compliance_Flag],"")</f>
        <v/>
      </c>
      <c r="T267" t="str">
        <f ca="1">IF(Table8[[#This Row],[Age]]="","Review - missing DOB",IF(Table8[[#This Row],[Age]]&gt;TODAY(),"Review - future DOB",IF(Table8[[#This Row],[Age]]=0,"Review -  potential entry error (age 0)","")))</f>
        <v/>
      </c>
      <c r="U267" t="str">
        <f>_xlfn.XLOOKUP(Table8[[#This Row],[Campaign_Code]],tb3_CampaignMaster[Campaign_Code],tb3_CampaignMaster[Campaign_Type],"")</f>
        <v>Appeal</v>
      </c>
      <c r="V267" t="str">
        <f>_xlfn.XLOOKUP(Table8[[#This Row],[Campaign_Code]],tb3_CampaignMaster[Campaign_Code],tb3_CampaignMaster[Target_Audience],"")</f>
        <v>All Active</v>
      </c>
      <c r="W267" s="17">
        <f>_xlfn.XLOOKUP(Table8[[#This Row],[Campaign_Code]],tb3_CampaignMaster[Campaign_Code],tb3_CampaignMaster[Start_Date],"")</f>
        <v>45597</v>
      </c>
      <c r="X267" s="17">
        <f>_xlfn.XLOOKUP(Table8[[#This Row],[Campaign_Code]],tb3_CampaignMaster[Campaign_Code],tb3_CampaignMaster[End_Date],"")</f>
        <v>45657</v>
      </c>
      <c r="Y267">
        <f>_xlfn.XLOOKUP(Table8[[#This Row],[Campaign_Code]],tb3_CampaignMaster[Campaign_Code],tb3_CampaignMaster[Budget_GBP],"")</f>
        <v>25000</v>
      </c>
      <c r="Z267" t="str">
        <f>_xlfn.XLOOKUP(Table8[[#This Row],[Campaign_Code]],tb3_CampaignMaster[Campaign_Code],tb3_CampaignMaster[Primary_Channel],"")</f>
        <v>Multi-channel</v>
      </c>
      <c r="AA267" s="13">
        <f>IF(Table8[[#This Row],[Gift_Aid_Eligible]]="Yes",Table8[[#This Row],[Gift_Amount]]*1.25,Table8[[#This Row],[Gift_Amount]])</f>
        <v>145.47</v>
      </c>
      <c r="AB267" t="str">
        <f>IF(Table8[[#This Row],[Supporter_ID]]="","Review - missing supporter ID","")</f>
        <v/>
      </c>
      <c r="AC267" t="str">
        <f>IF(OR(Table8[[#This Row],[Response_Date]]&lt;Table8[[#This Row],[Start_Date]],Table8[[#This Row],[Response_Date]]&gt;Table8[[#This Row],[End_Date]]),"Review - response outside campaign dates","")</f>
        <v/>
      </c>
      <c r="AD267" t="str">
        <f>IF(Table8[[#This Row],[Campaign_Type]]="","Review - campaign code not found","")</f>
        <v/>
      </c>
    </row>
    <row r="268" spans="1:30" x14ac:dyDescent="0.25">
      <c r="A268" t="s">
        <v>3834</v>
      </c>
      <c r="B268" t="s">
        <v>2469</v>
      </c>
      <c r="C268" t="s">
        <v>3320</v>
      </c>
      <c r="D268" t="s">
        <v>3321</v>
      </c>
      <c r="E268" t="s">
        <v>65</v>
      </c>
      <c r="F268" s="17">
        <v>45450</v>
      </c>
      <c r="G268">
        <v>316.82</v>
      </c>
      <c r="H268" t="s">
        <v>36</v>
      </c>
      <c r="I268" t="s">
        <v>3334</v>
      </c>
      <c r="J268" t="str">
        <f>_xlfn.XLOOKUP(Table8[[#This Row],[Supporter_ID]],tb1_supporters[Supporter_ID ],tb1_supporters[Segment],"")</f>
        <v>Legacy Pledger</v>
      </c>
      <c r="K268" t="str">
        <f>_xlfn.XLOOKUP(Table8[[#This Row],[Supporter_ID]],tb1_supporters[Supporter_ID ],tb1_supporters[Acquisition_Source],"")</f>
        <v>Direct Mail</v>
      </c>
      <c r="L268" t="str">
        <f>_xlfn.XLOOKUP(Table8[[#This Row],[Supporter_ID]],tb1_supporters[Supporter_ID ],tb1_supporters[County],"")</f>
        <v>Angus</v>
      </c>
      <c r="M268" t="str">
        <f>_xlfn.XLOOKUP(Table8[[#This Row],[Supporter_ID]],tb1_supporters[Supporter_ID ],tb1_supporters[Gender],"")</f>
        <v>Female</v>
      </c>
      <c r="N268">
        <f ca="1">_xlfn.XLOOKUP(Table8[[#This Row],[Supporter_ID]],tb1_supporters[Supporter_ID ],tb1_supporters[Age],"")</f>
        <v>57</v>
      </c>
      <c r="O268" t="str">
        <f ca="1">_xlfn.XLOOKUP(Table8[[#This Row],[Supporter_ID]],tb1_supporters[Supporter_ID ],tb1_supporters[Age_Band],"")</f>
        <v>50-64</v>
      </c>
      <c r="P268" t="str">
        <f ca="1">IF(Table8[[#This Row],[Age_Band]]="","Unknown",Table8[[#This Row],[Age_Band]])</f>
        <v>50-64</v>
      </c>
      <c r="Q268" t="str">
        <f>_xlfn.XLOOKUP(Table8[[#This Row],[Supporter_ID]],tb1_supporters[Supporter_ID ],tb1_supporters[Communication_Preference],"")</f>
        <v>No Preference</v>
      </c>
      <c r="R268" t="str">
        <f>_xlfn.XLOOKUP(Table8[[#This Row],[Supporter_ID]],tb1_supporters[Supporter_ID ],tb1_supporters[Duplicate_Profile_Flag],"")</f>
        <v/>
      </c>
      <c r="S268" t="str">
        <f>_xlfn.XLOOKUP(Table8[[#This Row],[Supporter_ID]],tb1_supporters[Supporter_ID ],tb1_supporters[Preference_Compliance_Flag],"")</f>
        <v/>
      </c>
      <c r="T268" t="str">
        <f ca="1">IF(Table8[[#This Row],[Age]]="","Review - missing DOB",IF(Table8[[#This Row],[Age]]&gt;TODAY(),"Review - future DOB",IF(Table8[[#This Row],[Age]]=0,"Review -  potential entry error (age 0)","")))</f>
        <v/>
      </c>
      <c r="U268" t="str">
        <f>_xlfn.XLOOKUP(Table8[[#This Row],[Campaign_Code]],tb3_CampaignMaster[Campaign_Code],tb3_CampaignMaster[Campaign_Type],"")</f>
        <v>Stewardship</v>
      </c>
      <c r="V268" t="str">
        <f>_xlfn.XLOOKUP(Table8[[#This Row],[Campaign_Code]],tb3_CampaignMaster[Campaign_Code],tb3_CampaignMaster[Target_Audience],"")</f>
        <v>Major Donors</v>
      </c>
      <c r="W268" s="17">
        <f>_xlfn.XLOOKUP(Table8[[#This Row],[Campaign_Code]],tb3_CampaignMaster[Campaign_Code],tb3_CampaignMaster[Start_Date],"")</f>
        <v>45444</v>
      </c>
      <c r="X268" s="17">
        <f>_xlfn.XLOOKUP(Table8[[#This Row],[Campaign_Code]],tb3_CampaignMaster[Campaign_Code],tb3_CampaignMaster[End_Date],"")</f>
        <v>45473</v>
      </c>
      <c r="Y268">
        <f>_xlfn.XLOOKUP(Table8[[#This Row],[Campaign_Code]],tb3_CampaignMaster[Campaign_Code],tb3_CampaignMaster[Budget_GBP],"")</f>
        <v>7000</v>
      </c>
      <c r="Z268" t="str">
        <f>_xlfn.XLOOKUP(Table8[[#This Row],[Campaign_Code]],tb3_CampaignMaster[Campaign_Code],tb3_CampaignMaster[Primary_Channel],"")</f>
        <v>Direct Mail</v>
      </c>
      <c r="AA268" s="13">
        <f>IF(Table8[[#This Row],[Gift_Aid_Eligible]]="Yes",Table8[[#This Row],[Gift_Amount]]*1.25,Table8[[#This Row],[Gift_Amount]])</f>
        <v>396.02499999999998</v>
      </c>
      <c r="AB268" t="str">
        <f>IF(Table8[[#This Row],[Supporter_ID]]="","Review - missing supporter ID","")</f>
        <v/>
      </c>
      <c r="AC268" t="str">
        <f>IF(OR(Table8[[#This Row],[Response_Date]]&lt;Table8[[#This Row],[Start_Date]],Table8[[#This Row],[Response_Date]]&gt;Table8[[#This Row],[End_Date]]),"Review - response outside campaign dates","")</f>
        <v/>
      </c>
      <c r="AD268" t="str">
        <f>IF(Table8[[#This Row],[Campaign_Type]]="","Review - campaign code not found","")</f>
        <v/>
      </c>
    </row>
    <row r="269" spans="1:30" x14ac:dyDescent="0.25">
      <c r="A269" t="s">
        <v>3836</v>
      </c>
      <c r="B269" t="s">
        <v>3159</v>
      </c>
      <c r="C269" t="s">
        <v>3325</v>
      </c>
      <c r="D269" t="s">
        <v>3326</v>
      </c>
      <c r="E269" t="s">
        <v>3316</v>
      </c>
      <c r="F269" s="17">
        <v>45637</v>
      </c>
      <c r="G269">
        <v>3208.87</v>
      </c>
      <c r="H269" t="s">
        <v>36</v>
      </c>
      <c r="I269" t="s">
        <v>3323</v>
      </c>
      <c r="J269" t="str">
        <f>_xlfn.XLOOKUP(Table8[[#This Row],[Supporter_ID]],tb1_supporters[Supporter_ID ],tb1_supporters[Segment],"")</f>
        <v>Major Donor</v>
      </c>
      <c r="K269" t="str">
        <f>_xlfn.XLOOKUP(Table8[[#This Row],[Supporter_ID]],tb1_supporters[Supporter_ID ],tb1_supporters[Acquisition_Source],"")</f>
        <v>Telephone</v>
      </c>
      <c r="L269" t="str">
        <f>_xlfn.XLOOKUP(Table8[[#This Row],[Supporter_ID]],tb1_supporters[Supporter_ID ],tb1_supporters[County],"")</f>
        <v>Oxfordshire</v>
      </c>
      <c r="M269" t="str">
        <f>_xlfn.XLOOKUP(Table8[[#This Row],[Supporter_ID]],tb1_supporters[Supporter_ID ],tb1_supporters[Gender],"")</f>
        <v>Male</v>
      </c>
      <c r="N269">
        <f ca="1">_xlfn.XLOOKUP(Table8[[#This Row],[Supporter_ID]],tb1_supporters[Supporter_ID ],tb1_supporters[Age],"")</f>
        <v>46</v>
      </c>
      <c r="O269" t="str">
        <f ca="1">_xlfn.XLOOKUP(Table8[[#This Row],[Supporter_ID]],tb1_supporters[Supporter_ID ],tb1_supporters[Age_Band],"")</f>
        <v>35-49</v>
      </c>
      <c r="P269" t="str">
        <f ca="1">IF(Table8[[#This Row],[Age_Band]]="","Unknown",Table8[[#This Row],[Age_Band]])</f>
        <v>35-49</v>
      </c>
      <c r="Q269" t="str">
        <f>_xlfn.XLOOKUP(Table8[[#This Row],[Supporter_ID]],tb1_supporters[Supporter_ID ],tb1_supporters[Communication_Preference],"")</f>
        <v>Post</v>
      </c>
      <c r="R269" t="str">
        <f>_xlfn.XLOOKUP(Table8[[#This Row],[Supporter_ID]],tb1_supporters[Supporter_ID ],tb1_supporters[Duplicate_Profile_Flag],"")</f>
        <v/>
      </c>
      <c r="S269" t="str">
        <f>_xlfn.XLOOKUP(Table8[[#This Row],[Supporter_ID]],tb1_supporters[Supporter_ID ],tb1_supporters[Preference_Compliance_Flag],"")</f>
        <v/>
      </c>
      <c r="T269" t="str">
        <f ca="1">IF(Table8[[#This Row],[Age]]="","Review - missing DOB",IF(Table8[[#This Row],[Age]]&gt;TODAY(),"Review - future DOB",IF(Table8[[#This Row],[Age]]=0,"Review -  potential entry error (age 0)","")))</f>
        <v/>
      </c>
      <c r="U269" t="str">
        <f>_xlfn.XLOOKUP(Table8[[#This Row],[Campaign_Code]],tb3_CampaignMaster[Campaign_Code],tb3_CampaignMaster[Campaign_Type],"")</f>
        <v>Appeal</v>
      </c>
      <c r="V269" t="str">
        <f>_xlfn.XLOOKUP(Table8[[#This Row],[Campaign_Code]],tb3_CampaignMaster[Campaign_Code],tb3_CampaignMaster[Target_Audience],"")</f>
        <v>All Active</v>
      </c>
      <c r="W269" s="17">
        <f>_xlfn.XLOOKUP(Table8[[#This Row],[Campaign_Code]],tb3_CampaignMaster[Campaign_Code],tb3_CampaignMaster[Start_Date],"")</f>
        <v>45597</v>
      </c>
      <c r="X269" s="17">
        <f>_xlfn.XLOOKUP(Table8[[#This Row],[Campaign_Code]],tb3_CampaignMaster[Campaign_Code],tb3_CampaignMaster[End_Date],"")</f>
        <v>45657</v>
      </c>
      <c r="Y269">
        <f>_xlfn.XLOOKUP(Table8[[#This Row],[Campaign_Code]],tb3_CampaignMaster[Campaign_Code],tb3_CampaignMaster[Budget_GBP],"")</f>
        <v>25000</v>
      </c>
      <c r="Z269" t="str">
        <f>_xlfn.XLOOKUP(Table8[[#This Row],[Campaign_Code]],tb3_CampaignMaster[Campaign_Code],tb3_CampaignMaster[Primary_Channel],"")</f>
        <v>Multi-channel</v>
      </c>
      <c r="AA269" s="13">
        <f>IF(Table8[[#This Row],[Gift_Aid_Eligible]]="Yes",Table8[[#This Row],[Gift_Amount]]*1.25,Table8[[#This Row],[Gift_Amount]])</f>
        <v>4011.0874999999996</v>
      </c>
      <c r="AB269" t="str">
        <f>IF(Table8[[#This Row],[Supporter_ID]]="","Review - missing supporter ID","")</f>
        <v/>
      </c>
      <c r="AC269" t="str">
        <f>IF(OR(Table8[[#This Row],[Response_Date]]&lt;Table8[[#This Row],[Start_Date]],Table8[[#This Row],[Response_Date]]&gt;Table8[[#This Row],[End_Date]]),"Review - response outside campaign dates","")</f>
        <v/>
      </c>
      <c r="AD269" t="str">
        <f>IF(Table8[[#This Row],[Campaign_Type]]="","Review - campaign code not found","")</f>
        <v/>
      </c>
    </row>
    <row r="270" spans="1:30" x14ac:dyDescent="0.25">
      <c r="A270" t="s">
        <v>3838</v>
      </c>
      <c r="B270" t="s">
        <v>1470</v>
      </c>
      <c r="C270" t="s">
        <v>3314</v>
      </c>
      <c r="D270" t="s">
        <v>3315</v>
      </c>
      <c r="E270" t="s">
        <v>65</v>
      </c>
      <c r="F270" s="17">
        <v>45700</v>
      </c>
      <c r="G270">
        <v>26.64</v>
      </c>
      <c r="H270" t="s">
        <v>36</v>
      </c>
      <c r="I270" t="s">
        <v>3328</v>
      </c>
      <c r="J270" t="str">
        <f>_xlfn.XLOOKUP(Table8[[#This Row],[Supporter_ID]],tb1_supporters[Supporter_ID ],tb1_supporters[Segment],"")</f>
        <v>Regular Giver</v>
      </c>
      <c r="K270" t="str">
        <f>_xlfn.XLOOKUP(Table8[[#This Row],[Supporter_ID]],tb1_supporters[Supporter_ID ],tb1_supporters[Acquisition_Source],"")</f>
        <v>Corporate Partner</v>
      </c>
      <c r="L270" t="str">
        <f>_xlfn.XLOOKUP(Table8[[#This Row],[Supporter_ID]],tb1_supporters[Supporter_ID ],tb1_supporters[County],"")</f>
        <v>Hampshire</v>
      </c>
      <c r="M270" t="str">
        <f>_xlfn.XLOOKUP(Table8[[#This Row],[Supporter_ID]],tb1_supporters[Supporter_ID ],tb1_supporters[Gender],"")</f>
        <v>Male</v>
      </c>
      <c r="N270">
        <f ca="1">_xlfn.XLOOKUP(Table8[[#This Row],[Supporter_ID]],tb1_supporters[Supporter_ID ],tb1_supporters[Age],"")</f>
        <v>77</v>
      </c>
      <c r="O270" t="str">
        <f ca="1">_xlfn.XLOOKUP(Table8[[#This Row],[Supporter_ID]],tb1_supporters[Supporter_ID ],tb1_supporters[Age_Band],"")</f>
        <v>65+</v>
      </c>
      <c r="P270" t="str">
        <f ca="1">IF(Table8[[#This Row],[Age_Band]]="","Unknown",Table8[[#This Row],[Age_Band]])</f>
        <v>65+</v>
      </c>
      <c r="Q270" t="str">
        <f>_xlfn.XLOOKUP(Table8[[#This Row],[Supporter_ID]],tb1_supporters[Supporter_ID ],tb1_supporters[Communication_Preference],"")</f>
        <v>Post</v>
      </c>
      <c r="R270" t="str">
        <f>_xlfn.XLOOKUP(Table8[[#This Row],[Supporter_ID]],tb1_supporters[Supporter_ID ],tb1_supporters[Duplicate_Profile_Flag],"")</f>
        <v/>
      </c>
      <c r="S270" t="str">
        <f>_xlfn.XLOOKUP(Table8[[#This Row],[Supporter_ID]],tb1_supporters[Supporter_ID ],tb1_supporters[Preference_Compliance_Flag],"")</f>
        <v/>
      </c>
      <c r="T270" t="str">
        <f ca="1">IF(Table8[[#This Row],[Age]]="","Review - missing DOB",IF(Table8[[#This Row],[Age]]&gt;TODAY(),"Review - future DOB",IF(Table8[[#This Row],[Age]]=0,"Review -  potential entry error (age 0)","")))</f>
        <v/>
      </c>
      <c r="U270" t="str">
        <f>_xlfn.XLOOKUP(Table8[[#This Row],[Campaign_Code]],tb3_CampaignMaster[Campaign_Code],tb3_CampaignMaster[Campaign_Type],"")</f>
        <v>Regular Giving</v>
      </c>
      <c r="V270" t="str">
        <f>_xlfn.XLOOKUP(Table8[[#This Row],[Campaign_Code]],tb3_CampaignMaster[Campaign_Code],tb3_CampaignMaster[Target_Audience],"")</f>
        <v>One-time Donors</v>
      </c>
      <c r="W270" s="17">
        <f>_xlfn.XLOOKUP(Table8[[#This Row],[Campaign_Code]],tb3_CampaignMaster[Campaign_Code],tb3_CampaignMaster[Start_Date],"")</f>
        <v>45663</v>
      </c>
      <c r="X270" s="17">
        <f>_xlfn.XLOOKUP(Table8[[#This Row],[Campaign_Code]],tb3_CampaignMaster[Campaign_Code],tb3_CampaignMaster[End_Date],"")</f>
        <v>45747</v>
      </c>
      <c r="Y270">
        <f>_xlfn.XLOOKUP(Table8[[#This Row],[Campaign_Code]],tb3_CampaignMaster[Campaign_Code],tb3_CampaignMaster[Budget_GBP],"")</f>
        <v>10000</v>
      </c>
      <c r="Z270" t="str">
        <f>_xlfn.XLOOKUP(Table8[[#This Row],[Campaign_Code]],tb3_CampaignMaster[Campaign_Code],tb3_CampaignMaster[Primary_Channel],"")</f>
        <v>Telephone</v>
      </c>
      <c r="AA270" s="13">
        <f>IF(Table8[[#This Row],[Gift_Aid_Eligible]]="Yes",Table8[[#This Row],[Gift_Amount]]*1.25,Table8[[#This Row],[Gift_Amount]])</f>
        <v>33.299999999999997</v>
      </c>
      <c r="AB270" t="str">
        <f>IF(Table8[[#This Row],[Supporter_ID]]="","Review - missing supporter ID","")</f>
        <v/>
      </c>
      <c r="AC270" t="str">
        <f>IF(OR(Table8[[#This Row],[Response_Date]]&lt;Table8[[#This Row],[Start_Date]],Table8[[#This Row],[Response_Date]]&gt;Table8[[#This Row],[End_Date]]),"Review - response outside campaign dates","")</f>
        <v/>
      </c>
      <c r="AD270" t="str">
        <f>IF(Table8[[#This Row],[Campaign_Type]]="","Review - campaign code not found","")</f>
        <v/>
      </c>
    </row>
    <row r="271" spans="1:30" x14ac:dyDescent="0.25">
      <c r="A271" t="s">
        <v>3840</v>
      </c>
      <c r="B271" t="s">
        <v>2778</v>
      </c>
      <c r="C271" t="s">
        <v>3325</v>
      </c>
      <c r="D271" t="s">
        <v>3326</v>
      </c>
      <c r="E271" t="s">
        <v>65</v>
      </c>
      <c r="F271" s="17">
        <v>45628</v>
      </c>
      <c r="G271">
        <v>10.5</v>
      </c>
      <c r="H271" t="s">
        <v>36</v>
      </c>
      <c r="I271" t="s">
        <v>3323</v>
      </c>
      <c r="J271" t="str">
        <f>_xlfn.XLOOKUP(Table8[[#This Row],[Supporter_ID]],tb1_supporters[Supporter_ID ],tb1_supporters[Segment],"")</f>
        <v>Prospect</v>
      </c>
      <c r="K271" t="str">
        <f>_xlfn.XLOOKUP(Table8[[#This Row],[Supporter_ID]],tb1_supporters[Supporter_ID ],tb1_supporters[Acquisition_Source],"")</f>
        <v>Social Media</v>
      </c>
      <c r="L271" t="str">
        <f>_xlfn.XLOOKUP(Table8[[#This Row],[Supporter_ID]],tb1_supporters[Supporter_ID ],tb1_supporters[County],"")</f>
        <v>Suffolk</v>
      </c>
      <c r="M271" t="str">
        <f>_xlfn.XLOOKUP(Table8[[#This Row],[Supporter_ID]],tb1_supporters[Supporter_ID ],tb1_supporters[Gender],"")</f>
        <v>Female</v>
      </c>
      <c r="N271">
        <f ca="1">_xlfn.XLOOKUP(Table8[[#This Row],[Supporter_ID]],tb1_supporters[Supporter_ID ],tb1_supporters[Age],"")</f>
        <v>61</v>
      </c>
      <c r="O271" t="str">
        <f ca="1">_xlfn.XLOOKUP(Table8[[#This Row],[Supporter_ID]],tb1_supporters[Supporter_ID ],tb1_supporters[Age_Band],"")</f>
        <v>50-64</v>
      </c>
      <c r="P271" t="str">
        <f ca="1">IF(Table8[[#This Row],[Age_Band]]="","Unknown",Table8[[#This Row],[Age_Band]])</f>
        <v>50-64</v>
      </c>
      <c r="Q271" t="str">
        <f>_xlfn.XLOOKUP(Table8[[#This Row],[Supporter_ID]],tb1_supporters[Supporter_ID ],tb1_supporters[Communication_Preference],"")</f>
        <v>Email</v>
      </c>
      <c r="R271" t="str">
        <f>_xlfn.XLOOKUP(Table8[[#This Row],[Supporter_ID]],tb1_supporters[Supporter_ID ],tb1_supporters[Duplicate_Profile_Flag],"")</f>
        <v/>
      </c>
      <c r="S271" t="str">
        <f>_xlfn.XLOOKUP(Table8[[#This Row],[Supporter_ID]],tb1_supporters[Supporter_ID ],tb1_supporters[Preference_Compliance_Flag],"")</f>
        <v/>
      </c>
      <c r="T271" t="str">
        <f ca="1">IF(Table8[[#This Row],[Age]]="","Review - missing DOB",IF(Table8[[#This Row],[Age]]&gt;TODAY(),"Review - future DOB",IF(Table8[[#This Row],[Age]]=0,"Review -  potential entry error (age 0)","")))</f>
        <v/>
      </c>
      <c r="U271" t="str">
        <f>_xlfn.XLOOKUP(Table8[[#This Row],[Campaign_Code]],tb3_CampaignMaster[Campaign_Code],tb3_CampaignMaster[Campaign_Type],"")</f>
        <v>Appeal</v>
      </c>
      <c r="V271" t="str">
        <f>_xlfn.XLOOKUP(Table8[[#This Row],[Campaign_Code]],tb3_CampaignMaster[Campaign_Code],tb3_CampaignMaster[Target_Audience],"")</f>
        <v>All Active</v>
      </c>
      <c r="W271" s="17">
        <f>_xlfn.XLOOKUP(Table8[[#This Row],[Campaign_Code]],tb3_CampaignMaster[Campaign_Code],tb3_CampaignMaster[Start_Date],"")</f>
        <v>45597</v>
      </c>
      <c r="X271" s="17">
        <f>_xlfn.XLOOKUP(Table8[[#This Row],[Campaign_Code]],tb3_CampaignMaster[Campaign_Code],tb3_CampaignMaster[End_Date],"")</f>
        <v>45657</v>
      </c>
      <c r="Y271">
        <f>_xlfn.XLOOKUP(Table8[[#This Row],[Campaign_Code]],tb3_CampaignMaster[Campaign_Code],tb3_CampaignMaster[Budget_GBP],"")</f>
        <v>25000</v>
      </c>
      <c r="Z271" t="str">
        <f>_xlfn.XLOOKUP(Table8[[#This Row],[Campaign_Code]],tb3_CampaignMaster[Campaign_Code],tb3_CampaignMaster[Primary_Channel],"")</f>
        <v>Multi-channel</v>
      </c>
      <c r="AA271" s="13">
        <f>IF(Table8[[#This Row],[Gift_Aid_Eligible]]="Yes",Table8[[#This Row],[Gift_Amount]]*1.25,Table8[[#This Row],[Gift_Amount]])</f>
        <v>13.125</v>
      </c>
      <c r="AB271" t="str">
        <f>IF(Table8[[#This Row],[Supporter_ID]]="","Review - missing supporter ID","")</f>
        <v/>
      </c>
      <c r="AC271" t="str">
        <f>IF(OR(Table8[[#This Row],[Response_Date]]&lt;Table8[[#This Row],[Start_Date]],Table8[[#This Row],[Response_Date]]&gt;Table8[[#This Row],[End_Date]]),"Review - response outside campaign dates","")</f>
        <v/>
      </c>
      <c r="AD271" t="str">
        <f>IF(Table8[[#This Row],[Campaign_Type]]="","Review - campaign code not found","")</f>
        <v/>
      </c>
    </row>
    <row r="272" spans="1:30" x14ac:dyDescent="0.25">
      <c r="A272" t="s">
        <v>3842</v>
      </c>
      <c r="B272" t="s">
        <v>2928</v>
      </c>
      <c r="C272" t="s">
        <v>3354</v>
      </c>
      <c r="D272" t="s">
        <v>3355</v>
      </c>
      <c r="E272" t="s">
        <v>4</v>
      </c>
      <c r="F272" s="17">
        <v>45618</v>
      </c>
      <c r="G272">
        <v>14.17</v>
      </c>
      <c r="H272" t="s">
        <v>37</v>
      </c>
      <c r="I272" t="s">
        <v>3328</v>
      </c>
      <c r="J272" t="str">
        <f>_xlfn.XLOOKUP(Table8[[#This Row],[Supporter_ID]],tb1_supporters[Supporter_ID ],tb1_supporters[Segment],"")</f>
        <v>Prospect</v>
      </c>
      <c r="K272" t="str">
        <f>_xlfn.XLOOKUP(Table8[[#This Row],[Supporter_ID]],tb1_supporters[Supporter_ID ],tb1_supporters[Acquisition_Source],"")</f>
        <v>Door-To-Door</v>
      </c>
      <c r="L272" t="str">
        <f>_xlfn.XLOOKUP(Table8[[#This Row],[Supporter_ID]],tb1_supporters[Supporter_ID ],tb1_supporters[County],"")</f>
        <v>North Yorkshire</v>
      </c>
      <c r="M272" t="str">
        <f>_xlfn.XLOOKUP(Table8[[#This Row],[Supporter_ID]],tb1_supporters[Supporter_ID ],tb1_supporters[Gender],"")</f>
        <v>Female</v>
      </c>
      <c r="N272">
        <f ca="1">_xlfn.XLOOKUP(Table8[[#This Row],[Supporter_ID]],tb1_supporters[Supporter_ID ],tb1_supporters[Age],"")</f>
        <v>75</v>
      </c>
      <c r="O272" t="str">
        <f ca="1">_xlfn.XLOOKUP(Table8[[#This Row],[Supporter_ID]],tb1_supporters[Supporter_ID ],tb1_supporters[Age_Band],"")</f>
        <v>65+</v>
      </c>
      <c r="P272" t="str">
        <f ca="1">IF(Table8[[#This Row],[Age_Band]]="","Unknown",Table8[[#This Row],[Age_Band]])</f>
        <v>65+</v>
      </c>
      <c r="Q272" t="str">
        <f>_xlfn.XLOOKUP(Table8[[#This Row],[Supporter_ID]],tb1_supporters[Supporter_ID ],tb1_supporters[Communication_Preference],"")</f>
        <v>Email</v>
      </c>
      <c r="R272" t="str">
        <f>_xlfn.XLOOKUP(Table8[[#This Row],[Supporter_ID]],tb1_supporters[Supporter_ID ],tb1_supporters[Duplicate_Profile_Flag],"")</f>
        <v/>
      </c>
      <c r="S272" t="str">
        <f>_xlfn.XLOOKUP(Table8[[#This Row],[Supporter_ID]],tb1_supporters[Supporter_ID ],tb1_supporters[Preference_Compliance_Flag],"")</f>
        <v/>
      </c>
      <c r="T272" t="str">
        <f ca="1">IF(Table8[[#This Row],[Age]]="","Review - missing DOB",IF(Table8[[#This Row],[Age]]&gt;TODAY(),"Review - future DOB",IF(Table8[[#This Row],[Age]]=0,"Review -  potential entry error (age 0)","")))</f>
        <v/>
      </c>
      <c r="U272" t="str">
        <f>_xlfn.XLOOKUP(Table8[[#This Row],[Campaign_Code]],tb3_CampaignMaster[Campaign_Code],tb3_CampaignMaster[Campaign_Type],"")</f>
        <v>Event</v>
      </c>
      <c r="V272" t="str">
        <f>_xlfn.XLOOKUP(Table8[[#This Row],[Campaign_Code]],tb3_CampaignMaster[Campaign_Code],tb3_CampaignMaster[Target_Audience],"")</f>
        <v>Volunteers</v>
      </c>
      <c r="W272" s="17">
        <f>_xlfn.XLOOKUP(Table8[[#This Row],[Campaign_Code]],tb3_CampaignMaster[Campaign_Code],tb3_CampaignMaster[Start_Date],"")</f>
        <v>45618</v>
      </c>
      <c r="X272" s="17">
        <f>_xlfn.XLOOKUP(Table8[[#This Row],[Campaign_Code]],tb3_CampaignMaster[Campaign_Code],tb3_CampaignMaster[End_Date],"")</f>
        <v>45618</v>
      </c>
      <c r="Y272">
        <f>_xlfn.XLOOKUP(Table8[[#This Row],[Campaign_Code]],tb3_CampaignMaster[Campaign_Code],tb3_CampaignMaster[Budget_GBP],"")</f>
        <v>3500</v>
      </c>
      <c r="Z272" t="str">
        <f>_xlfn.XLOOKUP(Table8[[#This Row],[Campaign_Code]],tb3_CampaignMaster[Campaign_Code],tb3_CampaignMaster[Primary_Channel],"")</f>
        <v>Email</v>
      </c>
      <c r="AA272" s="13">
        <f>IF(Table8[[#This Row],[Gift_Aid_Eligible]]="Yes",Table8[[#This Row],[Gift_Amount]]*1.25,Table8[[#This Row],[Gift_Amount]])</f>
        <v>14.17</v>
      </c>
      <c r="AB272" t="str">
        <f>IF(Table8[[#This Row],[Supporter_ID]]="","Review - missing supporter ID","")</f>
        <v/>
      </c>
      <c r="AC272" t="str">
        <f>IF(OR(Table8[[#This Row],[Response_Date]]&lt;Table8[[#This Row],[Start_Date]],Table8[[#This Row],[Response_Date]]&gt;Table8[[#This Row],[End_Date]]),"Review - response outside campaign dates","")</f>
        <v/>
      </c>
      <c r="AD272" t="str">
        <f>IF(Table8[[#This Row],[Campaign_Type]]="","Review - campaign code not found","")</f>
        <v/>
      </c>
    </row>
    <row r="273" spans="1:30" x14ac:dyDescent="0.25">
      <c r="A273" t="s">
        <v>3843</v>
      </c>
      <c r="B273" t="s">
        <v>1399</v>
      </c>
      <c r="C273" t="s">
        <v>3341</v>
      </c>
      <c r="D273" t="s">
        <v>3342</v>
      </c>
      <c r="E273" t="s">
        <v>91</v>
      </c>
      <c r="F273" s="17">
        <v>45734</v>
      </c>
      <c r="G273">
        <v>60.2</v>
      </c>
      <c r="H273" t="s">
        <v>36</v>
      </c>
      <c r="I273" t="s">
        <v>3323</v>
      </c>
      <c r="J273" t="str">
        <f>_xlfn.XLOOKUP(Table8[[#This Row],[Supporter_ID]],tb1_supporters[Supporter_ID ],tb1_supporters[Segment],"")</f>
        <v>One-Time Donor</v>
      </c>
      <c r="K273" t="str">
        <f>_xlfn.XLOOKUP(Table8[[#This Row],[Supporter_ID]],tb1_supporters[Supporter_ID ],tb1_supporters[Acquisition_Source],"")</f>
        <v>Website</v>
      </c>
      <c r="L273" t="str">
        <f>_xlfn.XLOOKUP(Table8[[#This Row],[Supporter_ID]],tb1_supporters[Supporter_ID ],tb1_supporters[County],"")</f>
        <v>Devon</v>
      </c>
      <c r="M273" t="str">
        <f>_xlfn.XLOOKUP(Table8[[#This Row],[Supporter_ID]],tb1_supporters[Supporter_ID ],tb1_supporters[Gender],"")</f>
        <v>Male</v>
      </c>
      <c r="N273">
        <f ca="1">_xlfn.XLOOKUP(Table8[[#This Row],[Supporter_ID]],tb1_supporters[Supporter_ID ],tb1_supporters[Age],"")</f>
        <v>69</v>
      </c>
      <c r="O273" t="str">
        <f ca="1">_xlfn.XLOOKUP(Table8[[#This Row],[Supporter_ID]],tb1_supporters[Supporter_ID ],tb1_supporters[Age_Band],"")</f>
        <v>65+</v>
      </c>
      <c r="P273" t="str">
        <f ca="1">IF(Table8[[#This Row],[Age_Band]]="","Unknown",Table8[[#This Row],[Age_Band]])</f>
        <v>65+</v>
      </c>
      <c r="Q273" t="str">
        <f>_xlfn.XLOOKUP(Table8[[#This Row],[Supporter_ID]],tb1_supporters[Supporter_ID ],tb1_supporters[Communication_Preference],"")</f>
        <v>No Preference</v>
      </c>
      <c r="R273" t="str">
        <f>_xlfn.XLOOKUP(Table8[[#This Row],[Supporter_ID]],tb1_supporters[Supporter_ID ],tb1_supporters[Duplicate_Profile_Flag],"")</f>
        <v/>
      </c>
      <c r="S273" t="str">
        <f>_xlfn.XLOOKUP(Table8[[#This Row],[Supporter_ID]],tb1_supporters[Supporter_ID ],tb1_supporters[Preference_Compliance_Flag],"")</f>
        <v/>
      </c>
      <c r="T273" t="str">
        <f ca="1">IF(Table8[[#This Row],[Age]]="","Review - missing DOB",IF(Table8[[#This Row],[Age]]&gt;TODAY(),"Review - future DOB",IF(Table8[[#This Row],[Age]]=0,"Review -  potential entry error (age 0)","")))</f>
        <v/>
      </c>
      <c r="U273" t="str">
        <f>_xlfn.XLOOKUP(Table8[[#This Row],[Campaign_Code]],tb3_CampaignMaster[Campaign_Code],tb3_CampaignMaster[Campaign_Type],"")</f>
        <v>Acquisition</v>
      </c>
      <c r="V273" t="str">
        <f>_xlfn.XLOOKUP(Table8[[#This Row],[Campaign_Code]],tb3_CampaignMaster[Campaign_Code],tb3_CampaignMaster[Target_Audience],"")</f>
        <v>Prospects</v>
      </c>
      <c r="W273" s="17">
        <f>_xlfn.XLOOKUP(Table8[[#This Row],[Campaign_Code]],tb3_CampaignMaster[Campaign_Code],tb3_CampaignMaster[Start_Date],"")</f>
        <v>45689</v>
      </c>
      <c r="X273" s="17">
        <f>_xlfn.XLOOKUP(Table8[[#This Row],[Campaign_Code]],tb3_CampaignMaster[Campaign_Code],tb3_CampaignMaster[End_Date],"")</f>
        <v>45777</v>
      </c>
      <c r="Y273">
        <f>_xlfn.XLOOKUP(Table8[[#This Row],[Campaign_Code]],tb3_CampaignMaster[Campaign_Code],tb3_CampaignMaster[Budget_GBP],"")</f>
        <v>20000</v>
      </c>
      <c r="Z273" t="str">
        <f>_xlfn.XLOOKUP(Table8[[#This Row],[Campaign_Code]],tb3_CampaignMaster[Campaign_Code],tb3_CampaignMaster[Primary_Channel],"")</f>
        <v>Digital</v>
      </c>
      <c r="AA273" s="13">
        <f>IF(Table8[[#This Row],[Gift_Aid_Eligible]]="Yes",Table8[[#This Row],[Gift_Amount]]*1.25,Table8[[#This Row],[Gift_Amount]])</f>
        <v>75.25</v>
      </c>
      <c r="AB273" t="str">
        <f>IF(Table8[[#This Row],[Supporter_ID]]="","Review - missing supporter ID","")</f>
        <v/>
      </c>
      <c r="AC273" t="str">
        <f>IF(OR(Table8[[#This Row],[Response_Date]]&lt;Table8[[#This Row],[Start_Date]],Table8[[#This Row],[Response_Date]]&gt;Table8[[#This Row],[End_Date]]),"Review - response outside campaign dates","")</f>
        <v/>
      </c>
      <c r="AD273" t="str">
        <f>IF(Table8[[#This Row],[Campaign_Type]]="","Review - campaign code not found","")</f>
        <v/>
      </c>
    </row>
    <row r="274" spans="1:30" x14ac:dyDescent="0.25">
      <c r="A274" t="s">
        <v>3845</v>
      </c>
      <c r="B274" t="s">
        <v>323</v>
      </c>
      <c r="C274" t="s">
        <v>3325</v>
      </c>
      <c r="D274" t="s">
        <v>3326</v>
      </c>
      <c r="E274" t="s">
        <v>4</v>
      </c>
      <c r="F274" s="17">
        <v>45652</v>
      </c>
      <c r="G274">
        <v>615.16</v>
      </c>
      <c r="H274" t="s">
        <v>36</v>
      </c>
      <c r="I274" t="s">
        <v>3328</v>
      </c>
      <c r="J274" t="str">
        <f>_xlfn.XLOOKUP(Table8[[#This Row],[Supporter_ID]],tb1_supporters[Supporter_ID ],tb1_supporters[Segment],"")</f>
        <v>Major Donor</v>
      </c>
      <c r="K274" t="str">
        <f>_xlfn.XLOOKUP(Table8[[#This Row],[Supporter_ID]],tb1_supporters[Supporter_ID ],tb1_supporters[Acquisition_Source],"")</f>
        <v>Website</v>
      </c>
      <c r="L274" t="str">
        <f>_xlfn.XLOOKUP(Table8[[#This Row],[Supporter_ID]],tb1_supporters[Supporter_ID ],tb1_supporters[County],"")</f>
        <v>West Glamorgan</v>
      </c>
      <c r="M274" t="str">
        <f>_xlfn.XLOOKUP(Table8[[#This Row],[Supporter_ID]],tb1_supporters[Supporter_ID ],tb1_supporters[Gender],"")</f>
        <v>Male</v>
      </c>
      <c r="N274" t="str">
        <f ca="1">_xlfn.XLOOKUP(Table8[[#This Row],[Supporter_ID]],tb1_supporters[Supporter_ID ],tb1_supporters[Age],"")</f>
        <v/>
      </c>
      <c r="O274" t="str">
        <f ca="1">_xlfn.XLOOKUP(Table8[[#This Row],[Supporter_ID]],tb1_supporters[Supporter_ID ],tb1_supporters[Age_Band],"")</f>
        <v/>
      </c>
      <c r="P274" t="str">
        <f ca="1">IF(Table8[[#This Row],[Age_Band]]="","Unknown",Table8[[#This Row],[Age_Band]])</f>
        <v>Unknown</v>
      </c>
      <c r="Q274" t="str">
        <f>_xlfn.XLOOKUP(Table8[[#This Row],[Supporter_ID]],tb1_supporters[Supporter_ID ],tb1_supporters[Communication_Preference],"")</f>
        <v>Phone</v>
      </c>
      <c r="R274" t="str">
        <f>_xlfn.XLOOKUP(Table8[[#This Row],[Supporter_ID]],tb1_supporters[Supporter_ID ],tb1_supporters[Duplicate_Profile_Flag],"")</f>
        <v/>
      </c>
      <c r="S274" t="str">
        <f>_xlfn.XLOOKUP(Table8[[#This Row],[Supporter_ID]],tb1_supporters[Supporter_ID ],tb1_supporters[Preference_Compliance_Flag],"")</f>
        <v/>
      </c>
      <c r="T274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274" t="str">
        <f>_xlfn.XLOOKUP(Table8[[#This Row],[Campaign_Code]],tb3_CampaignMaster[Campaign_Code],tb3_CampaignMaster[Campaign_Type],"")</f>
        <v>Appeal</v>
      </c>
      <c r="V274" t="str">
        <f>_xlfn.XLOOKUP(Table8[[#This Row],[Campaign_Code]],tb3_CampaignMaster[Campaign_Code],tb3_CampaignMaster[Target_Audience],"")</f>
        <v>All Active</v>
      </c>
      <c r="W274" s="17">
        <f>_xlfn.XLOOKUP(Table8[[#This Row],[Campaign_Code]],tb3_CampaignMaster[Campaign_Code],tb3_CampaignMaster[Start_Date],"")</f>
        <v>45597</v>
      </c>
      <c r="X274" s="17">
        <f>_xlfn.XLOOKUP(Table8[[#This Row],[Campaign_Code]],tb3_CampaignMaster[Campaign_Code],tb3_CampaignMaster[End_Date],"")</f>
        <v>45657</v>
      </c>
      <c r="Y274">
        <f>_xlfn.XLOOKUP(Table8[[#This Row],[Campaign_Code]],tb3_CampaignMaster[Campaign_Code],tb3_CampaignMaster[Budget_GBP],"")</f>
        <v>25000</v>
      </c>
      <c r="Z274" t="str">
        <f>_xlfn.XLOOKUP(Table8[[#This Row],[Campaign_Code]],tb3_CampaignMaster[Campaign_Code],tb3_CampaignMaster[Primary_Channel],"")</f>
        <v>Multi-channel</v>
      </c>
      <c r="AA274" s="13">
        <f>IF(Table8[[#This Row],[Gift_Aid_Eligible]]="Yes",Table8[[#This Row],[Gift_Amount]]*1.25,Table8[[#This Row],[Gift_Amount]])</f>
        <v>768.94999999999993</v>
      </c>
      <c r="AB274" t="str">
        <f>IF(Table8[[#This Row],[Supporter_ID]]="","Review - missing supporter ID","")</f>
        <v/>
      </c>
      <c r="AC274" t="str">
        <f>IF(OR(Table8[[#This Row],[Response_Date]]&lt;Table8[[#This Row],[Start_Date]],Table8[[#This Row],[Response_Date]]&gt;Table8[[#This Row],[End_Date]]),"Review - response outside campaign dates","")</f>
        <v/>
      </c>
      <c r="AD274" t="str">
        <f>IF(Table8[[#This Row],[Campaign_Type]]="","Review - campaign code not found","")</f>
        <v/>
      </c>
    </row>
    <row r="275" spans="1:30" x14ac:dyDescent="0.25">
      <c r="A275" t="s">
        <v>3847</v>
      </c>
      <c r="B275" t="s">
        <v>2970</v>
      </c>
      <c r="C275" t="s">
        <v>3427</v>
      </c>
      <c r="D275" t="s">
        <v>3428</v>
      </c>
      <c r="E275" t="s">
        <v>4</v>
      </c>
      <c r="F275" s="17">
        <v>45488</v>
      </c>
      <c r="G275">
        <v>40.22</v>
      </c>
      <c r="H275" t="s">
        <v>36</v>
      </c>
      <c r="I275" t="s">
        <v>3334</v>
      </c>
      <c r="J275" t="str">
        <f>_xlfn.XLOOKUP(Table8[[#This Row],[Supporter_ID]],tb1_supporters[Supporter_ID ],tb1_supporters[Segment],"")</f>
        <v>Regular Giver</v>
      </c>
      <c r="K275" t="str">
        <f>_xlfn.XLOOKUP(Table8[[#This Row],[Supporter_ID]],tb1_supporters[Supporter_ID ],tb1_supporters[Acquisition_Source],"")</f>
        <v>Website</v>
      </c>
      <c r="L275" t="str">
        <f>_xlfn.XLOOKUP(Table8[[#This Row],[Supporter_ID]],tb1_supporters[Supporter_ID ],tb1_supporters[County],"")</f>
        <v>South Yorkshire</v>
      </c>
      <c r="M275" t="str">
        <f>_xlfn.XLOOKUP(Table8[[#This Row],[Supporter_ID]],tb1_supporters[Supporter_ID ],tb1_supporters[Gender],"")</f>
        <v>Female</v>
      </c>
      <c r="N275">
        <f ca="1">_xlfn.XLOOKUP(Table8[[#This Row],[Supporter_ID]],tb1_supporters[Supporter_ID ],tb1_supporters[Age],"")</f>
        <v>71</v>
      </c>
      <c r="O275" t="str">
        <f ca="1">_xlfn.XLOOKUP(Table8[[#This Row],[Supporter_ID]],tb1_supporters[Supporter_ID ],tb1_supporters[Age_Band],"")</f>
        <v>65+</v>
      </c>
      <c r="P275" t="str">
        <f ca="1">IF(Table8[[#This Row],[Age_Band]]="","Unknown",Table8[[#This Row],[Age_Band]])</f>
        <v>65+</v>
      </c>
      <c r="Q275" t="str">
        <f>_xlfn.XLOOKUP(Table8[[#This Row],[Supporter_ID]],tb1_supporters[Supporter_ID ],tb1_supporters[Communication_Preference],"")</f>
        <v>Email</v>
      </c>
      <c r="R275" t="str">
        <f>_xlfn.XLOOKUP(Table8[[#This Row],[Supporter_ID]],tb1_supporters[Supporter_ID ],tb1_supporters[Duplicate_Profile_Flag],"")</f>
        <v/>
      </c>
      <c r="S275" t="str">
        <f>_xlfn.XLOOKUP(Table8[[#This Row],[Supporter_ID]],tb1_supporters[Supporter_ID ],tb1_supporters[Preference_Compliance_Flag],"")</f>
        <v/>
      </c>
      <c r="T275" t="str">
        <f ca="1">IF(Table8[[#This Row],[Age]]="","Review - missing DOB",IF(Table8[[#This Row],[Age]]&gt;TODAY(),"Review - future DOB",IF(Table8[[#This Row],[Age]]=0,"Review -  potential entry error (age 0)","")))</f>
        <v/>
      </c>
      <c r="U275" t="str">
        <f>_xlfn.XLOOKUP(Table8[[#This Row],[Campaign_Code]],tb3_CampaignMaster[Campaign_Code],tb3_CampaignMaster[Campaign_Type],"")</f>
        <v>Event</v>
      </c>
      <c r="V275" t="str">
        <f>_xlfn.XLOOKUP(Table8[[#This Row],[Campaign_Code]],tb3_CampaignMaster[Campaign_Code],tb3_CampaignMaster[Target_Audience],"")</f>
        <v>Major Donors</v>
      </c>
      <c r="W275" s="17">
        <f>_xlfn.XLOOKUP(Table8[[#This Row],[Campaign_Code]],tb3_CampaignMaster[Campaign_Code],tb3_CampaignMaster[Start_Date],"")</f>
        <v>45488</v>
      </c>
      <c r="X275" s="17">
        <f>_xlfn.XLOOKUP(Table8[[#This Row],[Campaign_Code]],tb3_CampaignMaster[Campaign_Code],tb3_CampaignMaster[End_Date],"")</f>
        <v>45488</v>
      </c>
      <c r="Y275">
        <f>_xlfn.XLOOKUP(Table8[[#This Row],[Campaign_Code]],tb3_CampaignMaster[Campaign_Code],tb3_CampaignMaster[Budget_GBP],"")</f>
        <v>45000</v>
      </c>
      <c r="Z275" t="str">
        <f>_xlfn.XLOOKUP(Table8[[#This Row],[Campaign_Code]],tb3_CampaignMaster[Campaign_Code],tb3_CampaignMaster[Primary_Channel],"")</f>
        <v>Direct Mail</v>
      </c>
      <c r="AA275" s="13">
        <f>IF(Table8[[#This Row],[Gift_Aid_Eligible]]="Yes",Table8[[#This Row],[Gift_Amount]]*1.25,Table8[[#This Row],[Gift_Amount]])</f>
        <v>50.274999999999999</v>
      </c>
      <c r="AB275" t="str">
        <f>IF(Table8[[#This Row],[Supporter_ID]]="","Review - missing supporter ID","")</f>
        <v/>
      </c>
      <c r="AC275" t="str">
        <f>IF(OR(Table8[[#This Row],[Response_Date]]&lt;Table8[[#This Row],[Start_Date]],Table8[[#This Row],[Response_Date]]&gt;Table8[[#This Row],[End_Date]]),"Review - response outside campaign dates","")</f>
        <v/>
      </c>
      <c r="AD275" t="str">
        <f>IF(Table8[[#This Row],[Campaign_Type]]="","Review - campaign code not found","")</f>
        <v/>
      </c>
    </row>
    <row r="276" spans="1:30" x14ac:dyDescent="0.25">
      <c r="A276" t="s">
        <v>3848</v>
      </c>
      <c r="B276" t="s">
        <v>2252</v>
      </c>
      <c r="C276" t="s">
        <v>3341</v>
      </c>
      <c r="D276" t="s">
        <v>3342</v>
      </c>
      <c r="E276" t="s">
        <v>4</v>
      </c>
      <c r="F276" s="17">
        <v>45722</v>
      </c>
      <c r="G276">
        <v>167.67</v>
      </c>
      <c r="H276" t="s">
        <v>36</v>
      </c>
      <c r="I276" t="s">
        <v>3328</v>
      </c>
      <c r="J276" t="str">
        <f>_xlfn.XLOOKUP(Table8[[#This Row],[Supporter_ID]],tb1_supporters[Supporter_ID ],tb1_supporters[Segment],"")</f>
        <v>Legacy Pledger</v>
      </c>
      <c r="K276" t="str">
        <f>_xlfn.XLOOKUP(Table8[[#This Row],[Supporter_ID]],tb1_supporters[Supporter_ID ],tb1_supporters[Acquisition_Source],"")</f>
        <v>Telephone</v>
      </c>
      <c r="L276" t="str">
        <f>_xlfn.XLOOKUP(Table8[[#This Row],[Supporter_ID]],tb1_supporters[Supporter_ID ],tb1_supporters[County],"")</f>
        <v>Buckinghamshire</v>
      </c>
      <c r="M276" t="str">
        <f>_xlfn.XLOOKUP(Table8[[#This Row],[Supporter_ID]],tb1_supporters[Supporter_ID ],tb1_supporters[Gender],"")</f>
        <v>Male</v>
      </c>
      <c r="N276">
        <f ca="1">_xlfn.XLOOKUP(Table8[[#This Row],[Supporter_ID]],tb1_supporters[Supporter_ID ],tb1_supporters[Age],"")</f>
        <v>63</v>
      </c>
      <c r="O276" t="str">
        <f ca="1">_xlfn.XLOOKUP(Table8[[#This Row],[Supporter_ID]],tb1_supporters[Supporter_ID ],tb1_supporters[Age_Band],"")</f>
        <v>50-64</v>
      </c>
      <c r="P276" t="str">
        <f ca="1">IF(Table8[[#This Row],[Age_Band]]="","Unknown",Table8[[#This Row],[Age_Band]])</f>
        <v>50-64</v>
      </c>
      <c r="Q276" t="str">
        <f>_xlfn.XLOOKUP(Table8[[#This Row],[Supporter_ID]],tb1_supporters[Supporter_ID ],tb1_supporters[Communication_Preference],"")</f>
        <v>Email</v>
      </c>
      <c r="R276" t="str">
        <f>_xlfn.XLOOKUP(Table8[[#This Row],[Supporter_ID]],tb1_supporters[Supporter_ID ],tb1_supporters[Duplicate_Profile_Flag],"")</f>
        <v/>
      </c>
      <c r="S276" t="str">
        <f>_xlfn.XLOOKUP(Table8[[#This Row],[Supporter_ID]],tb1_supporters[Supporter_ID ],tb1_supporters[Preference_Compliance_Flag],"")</f>
        <v/>
      </c>
      <c r="T276" t="str">
        <f ca="1">IF(Table8[[#This Row],[Age]]="","Review - missing DOB",IF(Table8[[#This Row],[Age]]&gt;TODAY(),"Review - future DOB",IF(Table8[[#This Row],[Age]]=0,"Review -  potential entry error (age 0)","")))</f>
        <v/>
      </c>
      <c r="U276" t="str">
        <f>_xlfn.XLOOKUP(Table8[[#This Row],[Campaign_Code]],tb3_CampaignMaster[Campaign_Code],tb3_CampaignMaster[Campaign_Type],"")</f>
        <v>Acquisition</v>
      </c>
      <c r="V276" t="str">
        <f>_xlfn.XLOOKUP(Table8[[#This Row],[Campaign_Code]],tb3_CampaignMaster[Campaign_Code],tb3_CampaignMaster[Target_Audience],"")</f>
        <v>Prospects</v>
      </c>
      <c r="W276" s="17">
        <f>_xlfn.XLOOKUP(Table8[[#This Row],[Campaign_Code]],tb3_CampaignMaster[Campaign_Code],tb3_CampaignMaster[Start_Date],"")</f>
        <v>45689</v>
      </c>
      <c r="X276" s="17">
        <f>_xlfn.XLOOKUP(Table8[[#This Row],[Campaign_Code]],tb3_CampaignMaster[Campaign_Code],tb3_CampaignMaster[End_Date],"")</f>
        <v>45777</v>
      </c>
      <c r="Y276">
        <f>_xlfn.XLOOKUP(Table8[[#This Row],[Campaign_Code]],tb3_CampaignMaster[Campaign_Code],tb3_CampaignMaster[Budget_GBP],"")</f>
        <v>20000</v>
      </c>
      <c r="Z276" t="str">
        <f>_xlfn.XLOOKUP(Table8[[#This Row],[Campaign_Code]],tb3_CampaignMaster[Campaign_Code],tb3_CampaignMaster[Primary_Channel],"")</f>
        <v>Digital</v>
      </c>
      <c r="AA276" s="13">
        <f>IF(Table8[[#This Row],[Gift_Aid_Eligible]]="Yes",Table8[[#This Row],[Gift_Amount]]*1.25,Table8[[#This Row],[Gift_Amount]])</f>
        <v>209.58749999999998</v>
      </c>
      <c r="AB276" t="str">
        <f>IF(Table8[[#This Row],[Supporter_ID]]="","Review - missing supporter ID","")</f>
        <v/>
      </c>
      <c r="AC276" t="str">
        <f>IF(OR(Table8[[#This Row],[Response_Date]]&lt;Table8[[#This Row],[Start_Date]],Table8[[#This Row],[Response_Date]]&gt;Table8[[#This Row],[End_Date]]),"Review - response outside campaign dates","")</f>
        <v/>
      </c>
      <c r="AD276" t="str">
        <f>IF(Table8[[#This Row],[Campaign_Type]]="","Review - campaign code not found","")</f>
        <v/>
      </c>
    </row>
    <row r="277" spans="1:30" x14ac:dyDescent="0.25">
      <c r="A277" t="s">
        <v>3849</v>
      </c>
      <c r="B277" t="s">
        <v>2502</v>
      </c>
      <c r="C277" t="s">
        <v>3427</v>
      </c>
      <c r="D277" t="s">
        <v>3428</v>
      </c>
      <c r="E277" t="s">
        <v>4</v>
      </c>
      <c r="F277" s="17">
        <v>45488</v>
      </c>
      <c r="G277">
        <v>4767.12</v>
      </c>
      <c r="H277" t="s">
        <v>36</v>
      </c>
      <c r="I277" t="s">
        <v>3318</v>
      </c>
      <c r="J277" t="str">
        <f>_xlfn.XLOOKUP(Table8[[#This Row],[Supporter_ID]],tb1_supporters[Supporter_ID ],tb1_supporters[Segment],"")</f>
        <v>Major Donor</v>
      </c>
      <c r="K277" t="str">
        <f>_xlfn.XLOOKUP(Table8[[#This Row],[Supporter_ID]],tb1_supporters[Supporter_ID ],tb1_supporters[Acquisition_Source],"")</f>
        <v>Website</v>
      </c>
      <c r="L277" t="str">
        <f>_xlfn.XLOOKUP(Table8[[#This Row],[Supporter_ID]],tb1_supporters[Supporter_ID ],tb1_supporters[County],"")</f>
        <v>West Yorkshire</v>
      </c>
      <c r="M277" t="str">
        <f>_xlfn.XLOOKUP(Table8[[#This Row],[Supporter_ID]],tb1_supporters[Supporter_ID ],tb1_supporters[Gender],"")</f>
        <v>Male</v>
      </c>
      <c r="N277">
        <f ca="1">_xlfn.XLOOKUP(Table8[[#This Row],[Supporter_ID]],tb1_supporters[Supporter_ID ],tb1_supporters[Age],"")</f>
        <v>32</v>
      </c>
      <c r="O277" t="str">
        <f ca="1">_xlfn.XLOOKUP(Table8[[#This Row],[Supporter_ID]],tb1_supporters[Supporter_ID ],tb1_supporters[Age_Band],"")</f>
        <v>18-34</v>
      </c>
      <c r="P277" t="str">
        <f ca="1">IF(Table8[[#This Row],[Age_Band]]="","Unknown",Table8[[#This Row],[Age_Band]])</f>
        <v>18-34</v>
      </c>
      <c r="Q277" t="str">
        <f>_xlfn.XLOOKUP(Table8[[#This Row],[Supporter_ID]],tb1_supporters[Supporter_ID ],tb1_supporters[Communication_Preference],"")</f>
        <v>No Preference</v>
      </c>
      <c r="R277" t="str">
        <f>_xlfn.XLOOKUP(Table8[[#This Row],[Supporter_ID]],tb1_supporters[Supporter_ID ],tb1_supporters[Duplicate_Profile_Flag],"")</f>
        <v/>
      </c>
      <c r="S277" t="str">
        <f>_xlfn.XLOOKUP(Table8[[#This Row],[Supporter_ID]],tb1_supporters[Supporter_ID ],tb1_supporters[Preference_Compliance_Flag],"")</f>
        <v/>
      </c>
      <c r="T277" t="str">
        <f ca="1">IF(Table8[[#This Row],[Age]]="","Review - missing DOB",IF(Table8[[#This Row],[Age]]&gt;TODAY(),"Review - future DOB",IF(Table8[[#This Row],[Age]]=0,"Review -  potential entry error (age 0)","")))</f>
        <v/>
      </c>
      <c r="U277" t="str">
        <f>_xlfn.XLOOKUP(Table8[[#This Row],[Campaign_Code]],tb3_CampaignMaster[Campaign_Code],tb3_CampaignMaster[Campaign_Type],"")</f>
        <v>Event</v>
      </c>
      <c r="V277" t="str">
        <f>_xlfn.XLOOKUP(Table8[[#This Row],[Campaign_Code]],tb3_CampaignMaster[Campaign_Code],tb3_CampaignMaster[Target_Audience],"")</f>
        <v>Major Donors</v>
      </c>
      <c r="W277" s="17">
        <f>_xlfn.XLOOKUP(Table8[[#This Row],[Campaign_Code]],tb3_CampaignMaster[Campaign_Code],tb3_CampaignMaster[Start_Date],"")</f>
        <v>45488</v>
      </c>
      <c r="X277" s="17">
        <f>_xlfn.XLOOKUP(Table8[[#This Row],[Campaign_Code]],tb3_CampaignMaster[Campaign_Code],tb3_CampaignMaster[End_Date],"")</f>
        <v>45488</v>
      </c>
      <c r="Y277">
        <f>_xlfn.XLOOKUP(Table8[[#This Row],[Campaign_Code]],tb3_CampaignMaster[Campaign_Code],tb3_CampaignMaster[Budget_GBP],"")</f>
        <v>45000</v>
      </c>
      <c r="Z277" t="str">
        <f>_xlfn.XLOOKUP(Table8[[#This Row],[Campaign_Code]],tb3_CampaignMaster[Campaign_Code],tb3_CampaignMaster[Primary_Channel],"")</f>
        <v>Direct Mail</v>
      </c>
      <c r="AA277" s="13">
        <f>IF(Table8[[#This Row],[Gift_Aid_Eligible]]="Yes",Table8[[#This Row],[Gift_Amount]]*1.25,Table8[[#This Row],[Gift_Amount]])</f>
        <v>5958.9</v>
      </c>
      <c r="AB277" t="str">
        <f>IF(Table8[[#This Row],[Supporter_ID]]="","Review - missing supporter ID","")</f>
        <v/>
      </c>
      <c r="AC277" t="str">
        <f>IF(OR(Table8[[#This Row],[Response_Date]]&lt;Table8[[#This Row],[Start_Date]],Table8[[#This Row],[Response_Date]]&gt;Table8[[#This Row],[End_Date]]),"Review - response outside campaign dates","")</f>
        <v/>
      </c>
      <c r="AD277" t="str">
        <f>IF(Table8[[#This Row],[Campaign_Type]]="","Review - campaign code not found","")</f>
        <v/>
      </c>
    </row>
    <row r="278" spans="1:30" x14ac:dyDescent="0.25">
      <c r="A278" t="s">
        <v>3850</v>
      </c>
      <c r="B278" t="s">
        <v>3188</v>
      </c>
      <c r="C278" t="s">
        <v>3362</v>
      </c>
      <c r="D278" t="s">
        <v>3363</v>
      </c>
      <c r="E278" t="s">
        <v>65</v>
      </c>
      <c r="F278" s="17">
        <v>45572</v>
      </c>
      <c r="G278">
        <v>118.4</v>
      </c>
      <c r="H278" t="s">
        <v>36</v>
      </c>
      <c r="I278" t="s">
        <v>3370</v>
      </c>
      <c r="J278" t="str">
        <f>_xlfn.XLOOKUP(Table8[[#This Row],[Supporter_ID]],tb1_supporters[Supporter_ID ],tb1_supporters[Segment],"")</f>
        <v>Mid-Value</v>
      </c>
      <c r="K278" t="str">
        <f>_xlfn.XLOOKUP(Table8[[#This Row],[Supporter_ID]],tb1_supporters[Supporter_ID ],tb1_supporters[Acquisition_Source],"")</f>
        <v>Event</v>
      </c>
      <c r="L278" t="str">
        <f>_xlfn.XLOOKUP(Table8[[#This Row],[Supporter_ID]],tb1_supporters[Supporter_ID ],tb1_supporters[County],"")</f>
        <v>Tyne and Wear</v>
      </c>
      <c r="M278" t="str">
        <f>_xlfn.XLOOKUP(Table8[[#This Row],[Supporter_ID]],tb1_supporters[Supporter_ID ],tb1_supporters[Gender],"")</f>
        <v>Female</v>
      </c>
      <c r="N278">
        <f ca="1">_xlfn.XLOOKUP(Table8[[#This Row],[Supporter_ID]],tb1_supporters[Supporter_ID ],tb1_supporters[Age],"")</f>
        <v>81</v>
      </c>
      <c r="O278" t="str">
        <f ca="1">_xlfn.XLOOKUP(Table8[[#This Row],[Supporter_ID]],tb1_supporters[Supporter_ID ],tb1_supporters[Age_Band],"")</f>
        <v>65+</v>
      </c>
      <c r="P278" t="str">
        <f ca="1">IF(Table8[[#This Row],[Age_Band]]="","Unknown",Table8[[#This Row],[Age_Band]])</f>
        <v>65+</v>
      </c>
      <c r="Q278" t="str">
        <f>_xlfn.XLOOKUP(Table8[[#This Row],[Supporter_ID]],tb1_supporters[Supporter_ID ],tb1_supporters[Communication_Preference],"")</f>
        <v>Email</v>
      </c>
      <c r="R278" t="str">
        <f>_xlfn.XLOOKUP(Table8[[#This Row],[Supporter_ID]],tb1_supporters[Supporter_ID ],tb1_supporters[Duplicate_Profile_Flag],"")</f>
        <v/>
      </c>
      <c r="S278" t="str">
        <f>_xlfn.XLOOKUP(Table8[[#This Row],[Supporter_ID]],tb1_supporters[Supporter_ID ],tb1_supporters[Preference_Compliance_Flag],"")</f>
        <v>Review - prefers email but not opted in</v>
      </c>
      <c r="T278" t="str">
        <f ca="1">IF(Table8[[#This Row],[Age]]="","Review - missing DOB",IF(Table8[[#This Row],[Age]]&gt;TODAY(),"Review - future DOB",IF(Table8[[#This Row],[Age]]=0,"Review -  potential entry error (age 0)","")))</f>
        <v/>
      </c>
      <c r="U278" t="str">
        <f>_xlfn.XLOOKUP(Table8[[#This Row],[Campaign_Code]],tb3_CampaignMaster[Campaign_Code],tb3_CampaignMaster[Campaign_Type],"")</f>
        <v>Legacy</v>
      </c>
      <c r="V278" t="str">
        <f>_xlfn.XLOOKUP(Table8[[#This Row],[Campaign_Code]],tb3_CampaignMaster[Campaign_Code],tb3_CampaignMaster[Target_Audience],"")</f>
        <v>Over 55s</v>
      </c>
      <c r="W278" s="17">
        <f>_xlfn.XLOOKUP(Table8[[#This Row],[Campaign_Code]],tb3_CampaignMaster[Campaign_Code],tb3_CampaignMaster[Start_Date],"")</f>
        <v>45572</v>
      </c>
      <c r="X278" s="17">
        <f>_xlfn.XLOOKUP(Table8[[#This Row],[Campaign_Code]],tb3_CampaignMaster[Campaign_Code],tb3_CampaignMaster[End_Date],"")</f>
        <v>45578</v>
      </c>
      <c r="Y278">
        <f>_xlfn.XLOOKUP(Table8[[#This Row],[Campaign_Code]],tb3_CampaignMaster[Campaign_Code],tb3_CampaignMaster[Budget_GBP],"")</f>
        <v>5000</v>
      </c>
      <c r="Z278" t="str">
        <f>_xlfn.XLOOKUP(Table8[[#This Row],[Campaign_Code]],tb3_CampaignMaster[Campaign_Code],tb3_CampaignMaster[Primary_Channel],"")</f>
        <v>Direct Mail</v>
      </c>
      <c r="AA278" s="13">
        <f>IF(Table8[[#This Row],[Gift_Aid_Eligible]]="Yes",Table8[[#This Row],[Gift_Amount]]*1.25,Table8[[#This Row],[Gift_Amount]])</f>
        <v>148</v>
      </c>
      <c r="AB278" t="str">
        <f>IF(Table8[[#This Row],[Supporter_ID]]="","Review - missing supporter ID","")</f>
        <v/>
      </c>
      <c r="AC278" t="str">
        <f>IF(OR(Table8[[#This Row],[Response_Date]]&lt;Table8[[#This Row],[Start_Date]],Table8[[#This Row],[Response_Date]]&gt;Table8[[#This Row],[End_Date]]),"Review - response outside campaign dates","")</f>
        <v/>
      </c>
      <c r="AD278" t="str">
        <f>IF(Table8[[#This Row],[Campaign_Type]]="","Review - campaign code not found","")</f>
        <v/>
      </c>
    </row>
    <row r="279" spans="1:30" x14ac:dyDescent="0.25">
      <c r="A279" t="s">
        <v>3852</v>
      </c>
      <c r="B279" t="s">
        <v>2836</v>
      </c>
      <c r="C279" t="s">
        <v>3314</v>
      </c>
      <c r="D279" t="s">
        <v>3315</v>
      </c>
      <c r="E279" t="s">
        <v>33</v>
      </c>
      <c r="F279" s="17">
        <v>45738</v>
      </c>
      <c r="G279">
        <v>61.09</v>
      </c>
      <c r="H279" t="s">
        <v>37</v>
      </c>
      <c r="I279" t="s">
        <v>3318</v>
      </c>
      <c r="J279" t="str">
        <f>_xlfn.XLOOKUP(Table8[[#This Row],[Supporter_ID]],tb1_supporters[Supporter_ID ],tb1_supporters[Segment],"")</f>
        <v>Mid-Value</v>
      </c>
      <c r="K279" t="str">
        <f>_xlfn.XLOOKUP(Table8[[#This Row],[Supporter_ID]],tb1_supporters[Supporter_ID ],tb1_supporters[Acquisition_Source],"")</f>
        <v>Social Media</v>
      </c>
      <c r="L279" t="str">
        <f>_xlfn.XLOOKUP(Table8[[#This Row],[Supporter_ID]],tb1_supporters[Supporter_ID ],tb1_supporters[County],"")</f>
        <v>Devon</v>
      </c>
      <c r="M279" t="str">
        <f>_xlfn.XLOOKUP(Table8[[#This Row],[Supporter_ID]],tb1_supporters[Supporter_ID ],tb1_supporters[Gender],"")</f>
        <v>Male</v>
      </c>
      <c r="N279">
        <f ca="1">_xlfn.XLOOKUP(Table8[[#This Row],[Supporter_ID]],tb1_supporters[Supporter_ID ],tb1_supporters[Age],"")</f>
        <v>42</v>
      </c>
      <c r="O279" t="str">
        <f ca="1">_xlfn.XLOOKUP(Table8[[#This Row],[Supporter_ID]],tb1_supporters[Supporter_ID ],tb1_supporters[Age_Band],"")</f>
        <v>35-49</v>
      </c>
      <c r="P279" t="str">
        <f ca="1">IF(Table8[[#This Row],[Age_Band]]="","Unknown",Table8[[#This Row],[Age_Band]])</f>
        <v>35-49</v>
      </c>
      <c r="Q279" t="str">
        <f>_xlfn.XLOOKUP(Table8[[#This Row],[Supporter_ID]],tb1_supporters[Supporter_ID ],tb1_supporters[Communication_Preference],"")</f>
        <v>No Preference</v>
      </c>
      <c r="R279" t="str">
        <f>_xlfn.XLOOKUP(Table8[[#This Row],[Supporter_ID]],tb1_supporters[Supporter_ID ],tb1_supporters[Duplicate_Profile_Flag],"")</f>
        <v/>
      </c>
      <c r="S279" t="str">
        <f>_xlfn.XLOOKUP(Table8[[#This Row],[Supporter_ID]],tb1_supporters[Supporter_ID ],tb1_supporters[Preference_Compliance_Flag],"")</f>
        <v/>
      </c>
      <c r="T279" t="str">
        <f ca="1">IF(Table8[[#This Row],[Age]]="","Review - missing DOB",IF(Table8[[#This Row],[Age]]&gt;TODAY(),"Review - future DOB",IF(Table8[[#This Row],[Age]]=0,"Review -  potential entry error (age 0)","")))</f>
        <v/>
      </c>
      <c r="U279" t="str">
        <f>_xlfn.XLOOKUP(Table8[[#This Row],[Campaign_Code]],tb3_CampaignMaster[Campaign_Code],tb3_CampaignMaster[Campaign_Type],"")</f>
        <v>Regular Giving</v>
      </c>
      <c r="V279" t="str">
        <f>_xlfn.XLOOKUP(Table8[[#This Row],[Campaign_Code]],tb3_CampaignMaster[Campaign_Code],tb3_CampaignMaster[Target_Audience],"")</f>
        <v>One-time Donors</v>
      </c>
      <c r="W279" s="17">
        <f>_xlfn.XLOOKUP(Table8[[#This Row],[Campaign_Code]],tb3_CampaignMaster[Campaign_Code],tb3_CampaignMaster[Start_Date],"")</f>
        <v>45663</v>
      </c>
      <c r="X279" s="17">
        <f>_xlfn.XLOOKUP(Table8[[#This Row],[Campaign_Code]],tb3_CampaignMaster[Campaign_Code],tb3_CampaignMaster[End_Date],"")</f>
        <v>45747</v>
      </c>
      <c r="Y279">
        <f>_xlfn.XLOOKUP(Table8[[#This Row],[Campaign_Code]],tb3_CampaignMaster[Campaign_Code],tb3_CampaignMaster[Budget_GBP],"")</f>
        <v>10000</v>
      </c>
      <c r="Z279" t="str">
        <f>_xlfn.XLOOKUP(Table8[[#This Row],[Campaign_Code]],tb3_CampaignMaster[Campaign_Code],tb3_CampaignMaster[Primary_Channel],"")</f>
        <v>Telephone</v>
      </c>
      <c r="AA279" s="13">
        <f>IF(Table8[[#This Row],[Gift_Aid_Eligible]]="Yes",Table8[[#This Row],[Gift_Amount]]*1.25,Table8[[#This Row],[Gift_Amount]])</f>
        <v>61.09</v>
      </c>
      <c r="AB279" t="str">
        <f>IF(Table8[[#This Row],[Supporter_ID]]="","Review - missing supporter ID","")</f>
        <v/>
      </c>
      <c r="AC279" t="str">
        <f>IF(OR(Table8[[#This Row],[Response_Date]]&lt;Table8[[#This Row],[Start_Date]],Table8[[#This Row],[Response_Date]]&gt;Table8[[#This Row],[End_Date]]),"Review - response outside campaign dates","")</f>
        <v/>
      </c>
      <c r="AD279" t="str">
        <f>IF(Table8[[#This Row],[Campaign_Type]]="","Review - campaign code not found","")</f>
        <v/>
      </c>
    </row>
    <row r="280" spans="1:30" x14ac:dyDescent="0.25">
      <c r="A280" t="s">
        <v>3854</v>
      </c>
      <c r="B280" t="s">
        <v>2445</v>
      </c>
      <c r="C280" t="s">
        <v>3325</v>
      </c>
      <c r="D280" t="s">
        <v>3326</v>
      </c>
      <c r="E280" t="s">
        <v>65</v>
      </c>
      <c r="F280" s="17">
        <v>45623</v>
      </c>
      <c r="G280">
        <v>278.77999999999997</v>
      </c>
      <c r="H280" t="s">
        <v>36</v>
      </c>
      <c r="I280" t="s">
        <v>3385</v>
      </c>
      <c r="J280" t="str">
        <f>_xlfn.XLOOKUP(Table8[[#This Row],[Supporter_ID]],tb1_supporters[Supporter_ID ],tb1_supporters[Segment],"")</f>
        <v>Major Donor</v>
      </c>
      <c r="K280" t="str">
        <f>_xlfn.XLOOKUP(Table8[[#This Row],[Supporter_ID]],tb1_supporters[Supporter_ID ],tb1_supporters[Acquisition_Source],"")</f>
        <v>Telephone</v>
      </c>
      <c r="L280" t="str">
        <f>_xlfn.XLOOKUP(Table8[[#This Row],[Supporter_ID]],tb1_supporters[Supporter_ID ],tb1_supporters[County],"")</f>
        <v>West Midlands</v>
      </c>
      <c r="M280" t="str">
        <f>_xlfn.XLOOKUP(Table8[[#This Row],[Supporter_ID]],tb1_supporters[Supporter_ID ],tb1_supporters[Gender],"")</f>
        <v>Female</v>
      </c>
      <c r="N280">
        <f ca="1">_xlfn.XLOOKUP(Table8[[#This Row],[Supporter_ID]],tb1_supporters[Supporter_ID ],tb1_supporters[Age],"")</f>
        <v>78</v>
      </c>
      <c r="O280" t="str">
        <f ca="1">_xlfn.XLOOKUP(Table8[[#This Row],[Supporter_ID]],tb1_supporters[Supporter_ID ],tb1_supporters[Age_Band],"")</f>
        <v>65+</v>
      </c>
      <c r="P280" t="str">
        <f ca="1">IF(Table8[[#This Row],[Age_Band]]="","Unknown",Table8[[#This Row],[Age_Band]])</f>
        <v>65+</v>
      </c>
      <c r="Q280" t="str">
        <f>_xlfn.XLOOKUP(Table8[[#This Row],[Supporter_ID]],tb1_supporters[Supporter_ID ],tb1_supporters[Communication_Preference],"")</f>
        <v>Post</v>
      </c>
      <c r="R280" t="str">
        <f>_xlfn.XLOOKUP(Table8[[#This Row],[Supporter_ID]],tb1_supporters[Supporter_ID ],tb1_supporters[Duplicate_Profile_Flag],"")</f>
        <v/>
      </c>
      <c r="S280" t="str">
        <f>_xlfn.XLOOKUP(Table8[[#This Row],[Supporter_ID]],tb1_supporters[Supporter_ID ],tb1_supporters[Preference_Compliance_Flag],"")</f>
        <v/>
      </c>
      <c r="T280" t="str">
        <f ca="1">IF(Table8[[#This Row],[Age]]="","Review - missing DOB",IF(Table8[[#This Row],[Age]]&gt;TODAY(),"Review - future DOB",IF(Table8[[#This Row],[Age]]=0,"Review -  potential entry error (age 0)","")))</f>
        <v/>
      </c>
      <c r="U280" t="str">
        <f>_xlfn.XLOOKUP(Table8[[#This Row],[Campaign_Code]],tb3_CampaignMaster[Campaign_Code],tb3_CampaignMaster[Campaign_Type],"")</f>
        <v>Appeal</v>
      </c>
      <c r="V280" t="str">
        <f>_xlfn.XLOOKUP(Table8[[#This Row],[Campaign_Code]],tb3_CampaignMaster[Campaign_Code],tb3_CampaignMaster[Target_Audience],"")</f>
        <v>All Active</v>
      </c>
      <c r="W280" s="17">
        <f>_xlfn.XLOOKUP(Table8[[#This Row],[Campaign_Code]],tb3_CampaignMaster[Campaign_Code],tb3_CampaignMaster[Start_Date],"")</f>
        <v>45597</v>
      </c>
      <c r="X280" s="17">
        <f>_xlfn.XLOOKUP(Table8[[#This Row],[Campaign_Code]],tb3_CampaignMaster[Campaign_Code],tb3_CampaignMaster[End_Date],"")</f>
        <v>45657</v>
      </c>
      <c r="Y280">
        <f>_xlfn.XLOOKUP(Table8[[#This Row],[Campaign_Code]],tb3_CampaignMaster[Campaign_Code],tb3_CampaignMaster[Budget_GBP],"")</f>
        <v>25000</v>
      </c>
      <c r="Z280" t="str">
        <f>_xlfn.XLOOKUP(Table8[[#This Row],[Campaign_Code]],tb3_CampaignMaster[Campaign_Code],tb3_CampaignMaster[Primary_Channel],"")</f>
        <v>Multi-channel</v>
      </c>
      <c r="AA280" s="13">
        <f>IF(Table8[[#This Row],[Gift_Aid_Eligible]]="Yes",Table8[[#This Row],[Gift_Amount]]*1.25,Table8[[#This Row],[Gift_Amount]])</f>
        <v>348.47499999999997</v>
      </c>
      <c r="AB280" t="str">
        <f>IF(Table8[[#This Row],[Supporter_ID]]="","Review - missing supporter ID","")</f>
        <v/>
      </c>
      <c r="AC280" t="str">
        <f>IF(OR(Table8[[#This Row],[Response_Date]]&lt;Table8[[#This Row],[Start_Date]],Table8[[#This Row],[Response_Date]]&gt;Table8[[#This Row],[End_Date]]),"Review - response outside campaign dates","")</f>
        <v/>
      </c>
      <c r="AD280" t="str">
        <f>IF(Table8[[#This Row],[Campaign_Type]]="","Review - campaign code not found","")</f>
        <v/>
      </c>
    </row>
    <row r="281" spans="1:30" x14ac:dyDescent="0.25">
      <c r="A281" t="s">
        <v>3855</v>
      </c>
      <c r="B281" t="s">
        <v>357</v>
      </c>
      <c r="C281" t="s">
        <v>3320</v>
      </c>
      <c r="D281" t="s">
        <v>3321</v>
      </c>
      <c r="E281" t="s">
        <v>65</v>
      </c>
      <c r="F281" s="17">
        <v>45453</v>
      </c>
      <c r="G281">
        <v>88</v>
      </c>
      <c r="H281" t="s">
        <v>36</v>
      </c>
      <c r="I281" t="s">
        <v>3365</v>
      </c>
      <c r="J281" t="str">
        <f>_xlfn.XLOOKUP(Table8[[#This Row],[Supporter_ID]],tb1_supporters[Supporter_ID ],tb1_supporters[Segment],"")</f>
        <v>Mid-Value</v>
      </c>
      <c r="K281" t="str">
        <f>_xlfn.XLOOKUP(Table8[[#This Row],[Supporter_ID]],tb1_supporters[Supporter_ID ],tb1_supporters[Acquisition_Source],"")</f>
        <v>Referral</v>
      </c>
      <c r="L281" t="str">
        <f>_xlfn.XLOOKUP(Table8[[#This Row],[Supporter_ID]],tb1_supporters[Supporter_ID ],tb1_supporters[County],"")</f>
        <v>Antrim</v>
      </c>
      <c r="M281" t="str">
        <f>_xlfn.XLOOKUP(Table8[[#This Row],[Supporter_ID]],tb1_supporters[Supporter_ID ],tb1_supporters[Gender],"")</f>
        <v>Female</v>
      </c>
      <c r="N281">
        <f ca="1">_xlfn.XLOOKUP(Table8[[#This Row],[Supporter_ID]],tb1_supporters[Supporter_ID ],tb1_supporters[Age],"")</f>
        <v>60</v>
      </c>
      <c r="O281" t="str">
        <f ca="1">_xlfn.XLOOKUP(Table8[[#This Row],[Supporter_ID]],tb1_supporters[Supporter_ID ],tb1_supporters[Age_Band],"")</f>
        <v>50-64</v>
      </c>
      <c r="P281" t="str">
        <f ca="1">IF(Table8[[#This Row],[Age_Band]]="","Unknown",Table8[[#This Row],[Age_Band]])</f>
        <v>50-64</v>
      </c>
      <c r="Q281" t="str">
        <f>_xlfn.XLOOKUP(Table8[[#This Row],[Supporter_ID]],tb1_supporters[Supporter_ID ],tb1_supporters[Communication_Preference],"")</f>
        <v>Post</v>
      </c>
      <c r="R281" t="str">
        <f>_xlfn.XLOOKUP(Table8[[#This Row],[Supporter_ID]],tb1_supporters[Supporter_ID ],tb1_supporters[Duplicate_Profile_Flag],"")</f>
        <v/>
      </c>
      <c r="S281" t="str">
        <f>_xlfn.XLOOKUP(Table8[[#This Row],[Supporter_ID]],tb1_supporters[Supporter_ID ],tb1_supporters[Preference_Compliance_Flag],"")</f>
        <v>Review - prefers post but not opted in</v>
      </c>
      <c r="T281" t="str">
        <f ca="1">IF(Table8[[#This Row],[Age]]="","Review - missing DOB",IF(Table8[[#This Row],[Age]]&gt;TODAY(),"Review - future DOB",IF(Table8[[#This Row],[Age]]=0,"Review -  potential entry error (age 0)","")))</f>
        <v/>
      </c>
      <c r="U281" t="str">
        <f>_xlfn.XLOOKUP(Table8[[#This Row],[Campaign_Code]],tb3_CampaignMaster[Campaign_Code],tb3_CampaignMaster[Campaign_Type],"")</f>
        <v>Stewardship</v>
      </c>
      <c r="V281" t="str">
        <f>_xlfn.XLOOKUP(Table8[[#This Row],[Campaign_Code]],tb3_CampaignMaster[Campaign_Code],tb3_CampaignMaster[Target_Audience],"")</f>
        <v>Major Donors</v>
      </c>
      <c r="W281" s="17">
        <f>_xlfn.XLOOKUP(Table8[[#This Row],[Campaign_Code]],tb3_CampaignMaster[Campaign_Code],tb3_CampaignMaster[Start_Date],"")</f>
        <v>45444</v>
      </c>
      <c r="X281" s="17">
        <f>_xlfn.XLOOKUP(Table8[[#This Row],[Campaign_Code]],tb3_CampaignMaster[Campaign_Code],tb3_CampaignMaster[End_Date],"")</f>
        <v>45473</v>
      </c>
      <c r="Y281">
        <f>_xlfn.XLOOKUP(Table8[[#This Row],[Campaign_Code]],tb3_CampaignMaster[Campaign_Code],tb3_CampaignMaster[Budget_GBP],"")</f>
        <v>7000</v>
      </c>
      <c r="Z281" t="str">
        <f>_xlfn.XLOOKUP(Table8[[#This Row],[Campaign_Code]],tb3_CampaignMaster[Campaign_Code],tb3_CampaignMaster[Primary_Channel],"")</f>
        <v>Direct Mail</v>
      </c>
      <c r="AA281" s="13">
        <f>IF(Table8[[#This Row],[Gift_Aid_Eligible]]="Yes",Table8[[#This Row],[Gift_Amount]]*1.25,Table8[[#This Row],[Gift_Amount]])</f>
        <v>110</v>
      </c>
      <c r="AB281" t="str">
        <f>IF(Table8[[#This Row],[Supporter_ID]]="","Review - missing supporter ID","")</f>
        <v/>
      </c>
      <c r="AC281" t="str">
        <f>IF(OR(Table8[[#This Row],[Response_Date]]&lt;Table8[[#This Row],[Start_Date]],Table8[[#This Row],[Response_Date]]&gt;Table8[[#This Row],[End_Date]]),"Review - response outside campaign dates","")</f>
        <v/>
      </c>
      <c r="AD281" t="str">
        <f>IF(Table8[[#This Row],[Campaign_Type]]="","Review - campaign code not found","")</f>
        <v/>
      </c>
    </row>
    <row r="282" spans="1:30" x14ac:dyDescent="0.25">
      <c r="A282" t="s">
        <v>3856</v>
      </c>
      <c r="B282" t="s">
        <v>1650</v>
      </c>
      <c r="C282" t="s">
        <v>3354</v>
      </c>
      <c r="D282" t="s">
        <v>3355</v>
      </c>
      <c r="E282" t="s">
        <v>4</v>
      </c>
      <c r="F282" s="17">
        <v>45618</v>
      </c>
      <c r="G282">
        <v>9.57</v>
      </c>
      <c r="H282" t="s">
        <v>37</v>
      </c>
      <c r="I282" t="s">
        <v>3385</v>
      </c>
      <c r="J282" t="str">
        <f>_xlfn.XLOOKUP(Table8[[#This Row],[Supporter_ID]],tb1_supporters[Supporter_ID ],tb1_supporters[Segment],"")</f>
        <v>Regular Giver</v>
      </c>
      <c r="K282" t="str">
        <f>_xlfn.XLOOKUP(Table8[[#This Row],[Supporter_ID]],tb1_supporters[Supporter_ID ],tb1_supporters[Acquisition_Source],"")</f>
        <v>Door-To-Door</v>
      </c>
      <c r="L282" t="str">
        <f>_xlfn.XLOOKUP(Table8[[#This Row],[Supporter_ID]],tb1_supporters[Supporter_ID ],tb1_supporters[County],"")</f>
        <v>Gloucestershire</v>
      </c>
      <c r="M282" t="str">
        <f>_xlfn.XLOOKUP(Table8[[#This Row],[Supporter_ID]],tb1_supporters[Supporter_ID ],tb1_supporters[Gender],"")</f>
        <v>Female</v>
      </c>
      <c r="N282">
        <f ca="1">_xlfn.XLOOKUP(Table8[[#This Row],[Supporter_ID]],tb1_supporters[Supporter_ID ],tb1_supporters[Age],"")</f>
        <v>56</v>
      </c>
      <c r="O282" t="str">
        <f ca="1">_xlfn.XLOOKUP(Table8[[#This Row],[Supporter_ID]],tb1_supporters[Supporter_ID ],tb1_supporters[Age_Band],"")</f>
        <v>50-64</v>
      </c>
      <c r="P282" t="str">
        <f ca="1">IF(Table8[[#This Row],[Age_Band]]="","Unknown",Table8[[#This Row],[Age_Band]])</f>
        <v>50-64</v>
      </c>
      <c r="Q282" t="str">
        <f>_xlfn.XLOOKUP(Table8[[#This Row],[Supporter_ID]],tb1_supporters[Supporter_ID ],tb1_supporters[Communication_Preference],"")</f>
        <v>Email</v>
      </c>
      <c r="R282" t="str">
        <f>_xlfn.XLOOKUP(Table8[[#This Row],[Supporter_ID]],tb1_supporters[Supporter_ID ],tb1_supporters[Duplicate_Profile_Flag],"")</f>
        <v/>
      </c>
      <c r="S282" t="str">
        <f>_xlfn.XLOOKUP(Table8[[#This Row],[Supporter_ID]],tb1_supporters[Supporter_ID ],tb1_supporters[Preference_Compliance_Flag],"")</f>
        <v/>
      </c>
      <c r="T282" t="str">
        <f ca="1">IF(Table8[[#This Row],[Age]]="","Review - missing DOB",IF(Table8[[#This Row],[Age]]&gt;TODAY(),"Review - future DOB",IF(Table8[[#This Row],[Age]]=0,"Review -  potential entry error (age 0)","")))</f>
        <v/>
      </c>
      <c r="U282" t="str">
        <f>_xlfn.XLOOKUP(Table8[[#This Row],[Campaign_Code]],tb3_CampaignMaster[Campaign_Code],tb3_CampaignMaster[Campaign_Type],"")</f>
        <v>Event</v>
      </c>
      <c r="V282" t="str">
        <f>_xlfn.XLOOKUP(Table8[[#This Row],[Campaign_Code]],tb3_CampaignMaster[Campaign_Code],tb3_CampaignMaster[Target_Audience],"")</f>
        <v>Volunteers</v>
      </c>
      <c r="W282" s="17">
        <f>_xlfn.XLOOKUP(Table8[[#This Row],[Campaign_Code]],tb3_CampaignMaster[Campaign_Code],tb3_CampaignMaster[Start_Date],"")</f>
        <v>45618</v>
      </c>
      <c r="X282" s="17">
        <f>_xlfn.XLOOKUP(Table8[[#This Row],[Campaign_Code]],tb3_CampaignMaster[Campaign_Code],tb3_CampaignMaster[End_Date],"")</f>
        <v>45618</v>
      </c>
      <c r="Y282">
        <f>_xlfn.XLOOKUP(Table8[[#This Row],[Campaign_Code]],tb3_CampaignMaster[Campaign_Code],tb3_CampaignMaster[Budget_GBP],"")</f>
        <v>3500</v>
      </c>
      <c r="Z282" t="str">
        <f>_xlfn.XLOOKUP(Table8[[#This Row],[Campaign_Code]],tb3_CampaignMaster[Campaign_Code],tb3_CampaignMaster[Primary_Channel],"")</f>
        <v>Email</v>
      </c>
      <c r="AA282" s="13">
        <f>IF(Table8[[#This Row],[Gift_Aid_Eligible]]="Yes",Table8[[#This Row],[Gift_Amount]]*1.25,Table8[[#This Row],[Gift_Amount]])</f>
        <v>9.57</v>
      </c>
      <c r="AB282" t="str">
        <f>IF(Table8[[#This Row],[Supporter_ID]]="","Review - missing supporter ID","")</f>
        <v/>
      </c>
      <c r="AC282" t="str">
        <f>IF(OR(Table8[[#This Row],[Response_Date]]&lt;Table8[[#This Row],[Start_Date]],Table8[[#This Row],[Response_Date]]&gt;Table8[[#This Row],[End_Date]]),"Review - response outside campaign dates","")</f>
        <v/>
      </c>
      <c r="AD282" t="str">
        <f>IF(Table8[[#This Row],[Campaign_Type]]="","Review - campaign code not found","")</f>
        <v/>
      </c>
    </row>
    <row r="283" spans="1:30" x14ac:dyDescent="0.25">
      <c r="A283" t="s">
        <v>3857</v>
      </c>
      <c r="B283" t="s">
        <v>2550</v>
      </c>
      <c r="C283" t="s">
        <v>3314</v>
      </c>
      <c r="D283" t="s">
        <v>3315</v>
      </c>
      <c r="E283" t="s">
        <v>3316</v>
      </c>
      <c r="F283" s="17">
        <v>45729</v>
      </c>
      <c r="G283">
        <v>86.73</v>
      </c>
      <c r="H283" t="s">
        <v>36</v>
      </c>
      <c r="I283" t="s">
        <v>3370</v>
      </c>
      <c r="J283" t="str">
        <f>_xlfn.XLOOKUP(Table8[[#This Row],[Supporter_ID]],tb1_supporters[Supporter_ID ],tb1_supporters[Segment],"")</f>
        <v>Lapsed</v>
      </c>
      <c r="K283" t="str">
        <f>_xlfn.XLOOKUP(Table8[[#This Row],[Supporter_ID]],tb1_supporters[Supporter_ID ],tb1_supporters[Acquisition_Source],"")</f>
        <v>Corporate Partner</v>
      </c>
      <c r="L283" t="str">
        <f>_xlfn.XLOOKUP(Table8[[#This Row],[Supporter_ID]],tb1_supporters[Supporter_ID ],tb1_supporters[County],"")</f>
        <v>North Yorkshire</v>
      </c>
      <c r="M283" t="str">
        <f>_xlfn.XLOOKUP(Table8[[#This Row],[Supporter_ID]],tb1_supporters[Supporter_ID ],tb1_supporters[Gender],"")</f>
        <v>Male</v>
      </c>
      <c r="N283">
        <f ca="1">_xlfn.XLOOKUP(Table8[[#This Row],[Supporter_ID]],tb1_supporters[Supporter_ID ],tb1_supporters[Age],"")</f>
        <v>53</v>
      </c>
      <c r="O283" t="str">
        <f ca="1">_xlfn.XLOOKUP(Table8[[#This Row],[Supporter_ID]],tb1_supporters[Supporter_ID ],tb1_supporters[Age_Band],"")</f>
        <v>50-64</v>
      </c>
      <c r="P283" t="str">
        <f ca="1">IF(Table8[[#This Row],[Age_Band]]="","Unknown",Table8[[#This Row],[Age_Band]])</f>
        <v>50-64</v>
      </c>
      <c r="Q283" t="str">
        <f>_xlfn.XLOOKUP(Table8[[#This Row],[Supporter_ID]],tb1_supporters[Supporter_ID ],tb1_supporters[Communication_Preference],"")</f>
        <v>Email</v>
      </c>
      <c r="R283" t="str">
        <f>_xlfn.XLOOKUP(Table8[[#This Row],[Supporter_ID]],tb1_supporters[Supporter_ID ],tb1_supporters[Duplicate_Profile_Flag],"")</f>
        <v/>
      </c>
      <c r="S283" t="str">
        <f>_xlfn.XLOOKUP(Table8[[#This Row],[Supporter_ID]],tb1_supporters[Supporter_ID ],tb1_supporters[Preference_Compliance_Flag],"")</f>
        <v/>
      </c>
      <c r="T283" t="str">
        <f ca="1">IF(Table8[[#This Row],[Age]]="","Review - missing DOB",IF(Table8[[#This Row],[Age]]&gt;TODAY(),"Review - future DOB",IF(Table8[[#This Row],[Age]]=0,"Review -  potential entry error (age 0)","")))</f>
        <v/>
      </c>
      <c r="U283" t="str">
        <f>_xlfn.XLOOKUP(Table8[[#This Row],[Campaign_Code]],tb3_CampaignMaster[Campaign_Code],tb3_CampaignMaster[Campaign_Type],"")</f>
        <v>Regular Giving</v>
      </c>
      <c r="V283" t="str">
        <f>_xlfn.XLOOKUP(Table8[[#This Row],[Campaign_Code]],tb3_CampaignMaster[Campaign_Code],tb3_CampaignMaster[Target_Audience],"")</f>
        <v>One-time Donors</v>
      </c>
      <c r="W283" s="17">
        <f>_xlfn.XLOOKUP(Table8[[#This Row],[Campaign_Code]],tb3_CampaignMaster[Campaign_Code],tb3_CampaignMaster[Start_Date],"")</f>
        <v>45663</v>
      </c>
      <c r="X283" s="17">
        <f>_xlfn.XLOOKUP(Table8[[#This Row],[Campaign_Code]],tb3_CampaignMaster[Campaign_Code],tb3_CampaignMaster[End_Date],"")</f>
        <v>45747</v>
      </c>
      <c r="Y283">
        <f>_xlfn.XLOOKUP(Table8[[#This Row],[Campaign_Code]],tb3_CampaignMaster[Campaign_Code],tb3_CampaignMaster[Budget_GBP],"")</f>
        <v>10000</v>
      </c>
      <c r="Z283" t="str">
        <f>_xlfn.XLOOKUP(Table8[[#This Row],[Campaign_Code]],tb3_CampaignMaster[Campaign_Code],tb3_CampaignMaster[Primary_Channel],"")</f>
        <v>Telephone</v>
      </c>
      <c r="AA283" s="13">
        <f>IF(Table8[[#This Row],[Gift_Aid_Eligible]]="Yes",Table8[[#This Row],[Gift_Amount]]*1.25,Table8[[#This Row],[Gift_Amount]])</f>
        <v>108.41250000000001</v>
      </c>
      <c r="AB283" t="str">
        <f>IF(Table8[[#This Row],[Supporter_ID]]="","Review - missing supporter ID","")</f>
        <v/>
      </c>
      <c r="AC283" t="str">
        <f>IF(OR(Table8[[#This Row],[Response_Date]]&lt;Table8[[#This Row],[Start_Date]],Table8[[#This Row],[Response_Date]]&gt;Table8[[#This Row],[End_Date]]),"Review - response outside campaign dates","")</f>
        <v/>
      </c>
      <c r="AD283" t="str">
        <f>IF(Table8[[#This Row],[Campaign_Type]]="","Review - campaign code not found","")</f>
        <v/>
      </c>
    </row>
    <row r="284" spans="1:30" x14ac:dyDescent="0.25">
      <c r="A284" t="s">
        <v>3858</v>
      </c>
      <c r="B284" t="s">
        <v>1784</v>
      </c>
      <c r="C284" t="s">
        <v>3325</v>
      </c>
      <c r="D284" t="s">
        <v>3326</v>
      </c>
      <c r="E284" t="s">
        <v>4</v>
      </c>
      <c r="F284" s="17">
        <v>45624</v>
      </c>
      <c r="G284">
        <v>48.3</v>
      </c>
      <c r="H284" t="s">
        <v>37</v>
      </c>
      <c r="I284" t="s">
        <v>3370</v>
      </c>
      <c r="J284" t="str">
        <f>_xlfn.XLOOKUP(Table8[[#This Row],[Supporter_ID]],tb1_supporters[Supporter_ID ],tb1_supporters[Segment],"")</f>
        <v>Regular Giver</v>
      </c>
      <c r="K284" t="str">
        <f>_xlfn.XLOOKUP(Table8[[#This Row],[Supporter_ID]],tb1_supporters[Supporter_ID ],tb1_supporters[Acquisition_Source],"")</f>
        <v>Direct Mail</v>
      </c>
      <c r="L284" t="str">
        <f>_xlfn.XLOOKUP(Table8[[#This Row],[Supporter_ID]],tb1_supporters[Supporter_ID ],tb1_supporters[County],"")</f>
        <v>Greater Manchester</v>
      </c>
      <c r="M284" t="str">
        <f>_xlfn.XLOOKUP(Table8[[#This Row],[Supporter_ID]],tb1_supporters[Supporter_ID ],tb1_supporters[Gender],"")</f>
        <v>Male</v>
      </c>
      <c r="N284">
        <f ca="1">_xlfn.XLOOKUP(Table8[[#This Row],[Supporter_ID]],tb1_supporters[Supporter_ID ],tb1_supporters[Age],"")</f>
        <v>28</v>
      </c>
      <c r="O284" t="str">
        <f ca="1">_xlfn.XLOOKUP(Table8[[#This Row],[Supporter_ID]],tb1_supporters[Supporter_ID ],tb1_supporters[Age_Band],"")</f>
        <v>18-34</v>
      </c>
      <c r="P284" t="str">
        <f ca="1">IF(Table8[[#This Row],[Age_Band]]="","Unknown",Table8[[#This Row],[Age_Band]])</f>
        <v>18-34</v>
      </c>
      <c r="Q284" t="str">
        <f>_xlfn.XLOOKUP(Table8[[#This Row],[Supporter_ID]],tb1_supporters[Supporter_ID ],tb1_supporters[Communication_Preference],"")</f>
        <v>Phone</v>
      </c>
      <c r="R284" t="str">
        <f>_xlfn.XLOOKUP(Table8[[#This Row],[Supporter_ID]],tb1_supporters[Supporter_ID ],tb1_supporters[Duplicate_Profile_Flag],"")</f>
        <v/>
      </c>
      <c r="S284" t="str">
        <f>_xlfn.XLOOKUP(Table8[[#This Row],[Supporter_ID]],tb1_supporters[Supporter_ID ],tb1_supporters[Preference_Compliance_Flag],"")</f>
        <v/>
      </c>
      <c r="T284" t="str">
        <f ca="1">IF(Table8[[#This Row],[Age]]="","Review - missing DOB",IF(Table8[[#This Row],[Age]]&gt;TODAY(),"Review - future DOB",IF(Table8[[#This Row],[Age]]=0,"Review -  potential entry error (age 0)","")))</f>
        <v/>
      </c>
      <c r="U284" t="str">
        <f>_xlfn.XLOOKUP(Table8[[#This Row],[Campaign_Code]],tb3_CampaignMaster[Campaign_Code],tb3_CampaignMaster[Campaign_Type],"")</f>
        <v>Appeal</v>
      </c>
      <c r="V284" t="str">
        <f>_xlfn.XLOOKUP(Table8[[#This Row],[Campaign_Code]],tb3_CampaignMaster[Campaign_Code],tb3_CampaignMaster[Target_Audience],"")</f>
        <v>All Active</v>
      </c>
      <c r="W284" s="17">
        <f>_xlfn.XLOOKUP(Table8[[#This Row],[Campaign_Code]],tb3_CampaignMaster[Campaign_Code],tb3_CampaignMaster[Start_Date],"")</f>
        <v>45597</v>
      </c>
      <c r="X284" s="17">
        <f>_xlfn.XLOOKUP(Table8[[#This Row],[Campaign_Code]],tb3_CampaignMaster[Campaign_Code],tb3_CampaignMaster[End_Date],"")</f>
        <v>45657</v>
      </c>
      <c r="Y284">
        <f>_xlfn.XLOOKUP(Table8[[#This Row],[Campaign_Code]],tb3_CampaignMaster[Campaign_Code],tb3_CampaignMaster[Budget_GBP],"")</f>
        <v>25000</v>
      </c>
      <c r="Z284" t="str">
        <f>_xlfn.XLOOKUP(Table8[[#This Row],[Campaign_Code]],tb3_CampaignMaster[Campaign_Code],tb3_CampaignMaster[Primary_Channel],"")</f>
        <v>Multi-channel</v>
      </c>
      <c r="AA284" s="13">
        <f>IF(Table8[[#This Row],[Gift_Aid_Eligible]]="Yes",Table8[[#This Row],[Gift_Amount]]*1.25,Table8[[#This Row],[Gift_Amount]])</f>
        <v>48.3</v>
      </c>
      <c r="AB284" t="str">
        <f>IF(Table8[[#This Row],[Supporter_ID]]="","Review - missing supporter ID","")</f>
        <v/>
      </c>
      <c r="AC284" t="str">
        <f>IF(OR(Table8[[#This Row],[Response_Date]]&lt;Table8[[#This Row],[Start_Date]],Table8[[#This Row],[Response_Date]]&gt;Table8[[#This Row],[End_Date]]),"Review - response outside campaign dates","")</f>
        <v/>
      </c>
      <c r="AD284" t="str">
        <f>IF(Table8[[#This Row],[Campaign_Type]]="","Review - campaign code not found","")</f>
        <v/>
      </c>
    </row>
    <row r="285" spans="1:30" x14ac:dyDescent="0.25">
      <c r="A285" t="s">
        <v>3860</v>
      </c>
      <c r="B285" t="s">
        <v>589</v>
      </c>
      <c r="C285" t="s">
        <v>3354</v>
      </c>
      <c r="D285" t="s">
        <v>3355</v>
      </c>
      <c r="E285" t="s">
        <v>4</v>
      </c>
      <c r="F285" s="17">
        <v>45618</v>
      </c>
      <c r="G285">
        <v>79.180000000000007</v>
      </c>
      <c r="H285" t="s">
        <v>36</v>
      </c>
      <c r="I285" t="s">
        <v>3323</v>
      </c>
      <c r="J285" t="str">
        <f>_xlfn.XLOOKUP(Table8[[#This Row],[Supporter_ID]],tb1_supporters[Supporter_ID ],tb1_supporters[Segment],"")</f>
        <v>Lapsed</v>
      </c>
      <c r="K285" t="str">
        <f>_xlfn.XLOOKUP(Table8[[#This Row],[Supporter_ID]],tb1_supporters[Supporter_ID ],tb1_supporters[Acquisition_Source],"")</f>
        <v>Direct Mail</v>
      </c>
      <c r="L285" t="str">
        <f>_xlfn.XLOOKUP(Table8[[#This Row],[Supporter_ID]],tb1_supporters[Supporter_ID ],tb1_supporters[County],"")</f>
        <v>Avon</v>
      </c>
      <c r="M285" t="str">
        <f>_xlfn.XLOOKUP(Table8[[#This Row],[Supporter_ID]],tb1_supporters[Supporter_ID ],tb1_supporters[Gender],"")</f>
        <v>Female</v>
      </c>
      <c r="N285">
        <f ca="1">_xlfn.XLOOKUP(Table8[[#This Row],[Supporter_ID]],tb1_supporters[Supporter_ID ],tb1_supporters[Age],"")</f>
        <v>59</v>
      </c>
      <c r="O285" t="str">
        <f ca="1">_xlfn.XLOOKUP(Table8[[#This Row],[Supporter_ID]],tb1_supporters[Supporter_ID ],tb1_supporters[Age_Band],"")</f>
        <v>50-64</v>
      </c>
      <c r="P285" t="str">
        <f ca="1">IF(Table8[[#This Row],[Age_Band]]="","Unknown",Table8[[#This Row],[Age_Band]])</f>
        <v>50-64</v>
      </c>
      <c r="Q285" t="str">
        <f>_xlfn.XLOOKUP(Table8[[#This Row],[Supporter_ID]],tb1_supporters[Supporter_ID ],tb1_supporters[Communication_Preference],"")</f>
        <v>Phone</v>
      </c>
      <c r="R285" t="str">
        <f>_xlfn.XLOOKUP(Table8[[#This Row],[Supporter_ID]],tb1_supporters[Supporter_ID ],tb1_supporters[Duplicate_Profile_Flag],"")</f>
        <v/>
      </c>
      <c r="S285" t="str">
        <f>_xlfn.XLOOKUP(Table8[[#This Row],[Supporter_ID]],tb1_supporters[Supporter_ID ],tb1_supporters[Preference_Compliance_Flag],"")</f>
        <v/>
      </c>
      <c r="T285" t="str">
        <f ca="1">IF(Table8[[#This Row],[Age]]="","Review - missing DOB",IF(Table8[[#This Row],[Age]]&gt;TODAY(),"Review - future DOB",IF(Table8[[#This Row],[Age]]=0,"Review -  potential entry error (age 0)","")))</f>
        <v/>
      </c>
      <c r="U285" t="str">
        <f>_xlfn.XLOOKUP(Table8[[#This Row],[Campaign_Code]],tb3_CampaignMaster[Campaign_Code],tb3_CampaignMaster[Campaign_Type],"")</f>
        <v>Event</v>
      </c>
      <c r="V285" t="str">
        <f>_xlfn.XLOOKUP(Table8[[#This Row],[Campaign_Code]],tb3_CampaignMaster[Campaign_Code],tb3_CampaignMaster[Target_Audience],"")</f>
        <v>Volunteers</v>
      </c>
      <c r="W285" s="17">
        <f>_xlfn.XLOOKUP(Table8[[#This Row],[Campaign_Code]],tb3_CampaignMaster[Campaign_Code],tb3_CampaignMaster[Start_Date],"")</f>
        <v>45618</v>
      </c>
      <c r="X285" s="17">
        <f>_xlfn.XLOOKUP(Table8[[#This Row],[Campaign_Code]],tb3_CampaignMaster[Campaign_Code],tb3_CampaignMaster[End_Date],"")</f>
        <v>45618</v>
      </c>
      <c r="Y285">
        <f>_xlfn.XLOOKUP(Table8[[#This Row],[Campaign_Code]],tb3_CampaignMaster[Campaign_Code],tb3_CampaignMaster[Budget_GBP],"")</f>
        <v>3500</v>
      </c>
      <c r="Z285" t="str">
        <f>_xlfn.XLOOKUP(Table8[[#This Row],[Campaign_Code]],tb3_CampaignMaster[Campaign_Code],tb3_CampaignMaster[Primary_Channel],"")</f>
        <v>Email</v>
      </c>
      <c r="AA285" s="13">
        <f>IF(Table8[[#This Row],[Gift_Aid_Eligible]]="Yes",Table8[[#This Row],[Gift_Amount]]*1.25,Table8[[#This Row],[Gift_Amount]])</f>
        <v>98.975000000000009</v>
      </c>
      <c r="AB285" t="str">
        <f>IF(Table8[[#This Row],[Supporter_ID]]="","Review - missing supporter ID","")</f>
        <v/>
      </c>
      <c r="AC285" t="str">
        <f>IF(OR(Table8[[#This Row],[Response_Date]]&lt;Table8[[#This Row],[Start_Date]],Table8[[#This Row],[Response_Date]]&gt;Table8[[#This Row],[End_Date]]),"Review - response outside campaign dates","")</f>
        <v/>
      </c>
      <c r="AD285" t="str">
        <f>IF(Table8[[#This Row],[Campaign_Type]]="","Review - campaign code not found","")</f>
        <v/>
      </c>
    </row>
    <row r="286" spans="1:30" x14ac:dyDescent="0.25">
      <c r="A286" t="s">
        <v>3861</v>
      </c>
      <c r="B286" t="s">
        <v>1790</v>
      </c>
      <c r="C286" t="s">
        <v>3367</v>
      </c>
      <c r="D286" t="s">
        <v>3368</v>
      </c>
      <c r="E286" t="s">
        <v>65</v>
      </c>
      <c r="F286" s="17">
        <v>45746</v>
      </c>
      <c r="G286">
        <v>25.83</v>
      </c>
      <c r="H286" t="s">
        <v>37</v>
      </c>
      <c r="I286" t="s">
        <v>3365</v>
      </c>
      <c r="J286" t="str">
        <f>_xlfn.XLOOKUP(Table8[[#This Row],[Supporter_ID]],tb1_supporters[Supporter_ID ],tb1_supporters[Segment],"")</f>
        <v>Regular Giver</v>
      </c>
      <c r="K286" t="str">
        <f>_xlfn.XLOOKUP(Table8[[#This Row],[Supporter_ID]],tb1_supporters[Supporter_ID ],tb1_supporters[Acquisition_Source],"")</f>
        <v>Event</v>
      </c>
      <c r="L286" t="str">
        <f>_xlfn.XLOOKUP(Table8[[#This Row],[Supporter_ID]],tb1_supporters[Supporter_ID ],tb1_supporters[County],"")</f>
        <v>South Glamorgan</v>
      </c>
      <c r="M286" t="str">
        <f>_xlfn.XLOOKUP(Table8[[#This Row],[Supporter_ID]],tb1_supporters[Supporter_ID ],tb1_supporters[Gender],"")</f>
        <v>Female</v>
      </c>
      <c r="N286">
        <f ca="1">_xlfn.XLOOKUP(Table8[[#This Row],[Supporter_ID]],tb1_supporters[Supporter_ID ],tb1_supporters[Age],"")</f>
        <v>59</v>
      </c>
      <c r="O286" t="str">
        <f ca="1">_xlfn.XLOOKUP(Table8[[#This Row],[Supporter_ID]],tb1_supporters[Supporter_ID ],tb1_supporters[Age_Band],"")</f>
        <v>50-64</v>
      </c>
      <c r="P286" t="str">
        <f ca="1">IF(Table8[[#This Row],[Age_Band]]="","Unknown",Table8[[#This Row],[Age_Band]])</f>
        <v>50-64</v>
      </c>
      <c r="Q286" t="str">
        <f>_xlfn.XLOOKUP(Table8[[#This Row],[Supporter_ID]],tb1_supporters[Supporter_ID ],tb1_supporters[Communication_Preference],"")</f>
        <v>No Preference</v>
      </c>
      <c r="R286" t="str">
        <f>_xlfn.XLOOKUP(Table8[[#This Row],[Supporter_ID]],tb1_supporters[Supporter_ID ],tb1_supporters[Duplicate_Profile_Flag],"")</f>
        <v/>
      </c>
      <c r="S286" t="str">
        <f>_xlfn.XLOOKUP(Table8[[#This Row],[Supporter_ID]],tb1_supporters[Supporter_ID ],tb1_supporters[Preference_Compliance_Flag],"")</f>
        <v/>
      </c>
      <c r="T286" t="str">
        <f ca="1">IF(Table8[[#This Row],[Age]]="","Review - missing DOB",IF(Table8[[#This Row],[Age]]&gt;TODAY(),"Review - future DOB",IF(Table8[[#This Row],[Age]]=0,"Review -  potential entry error (age 0)","")))</f>
        <v/>
      </c>
      <c r="U286" t="str">
        <f>_xlfn.XLOOKUP(Table8[[#This Row],[Campaign_Code]],tb3_CampaignMaster[Campaign_Code],tb3_CampaignMaster[Campaign_Type],"")</f>
        <v>Raffle</v>
      </c>
      <c r="V286" t="str">
        <f>_xlfn.XLOOKUP(Table8[[#This Row],[Campaign_Code]],tb3_CampaignMaster[Campaign_Code],tb3_CampaignMaster[Target_Audience],"")</f>
        <v>Regular Givers</v>
      </c>
      <c r="W286" s="17">
        <f>_xlfn.XLOOKUP(Table8[[#This Row],[Campaign_Code]],tb3_CampaignMaster[Campaign_Code],tb3_CampaignMaster[Start_Date],"")</f>
        <v>45717</v>
      </c>
      <c r="X286" s="17">
        <f>_xlfn.XLOOKUP(Table8[[#This Row],[Campaign_Code]],tb3_CampaignMaster[Campaign_Code],tb3_CampaignMaster[End_Date],"")</f>
        <v>45777</v>
      </c>
      <c r="Y286">
        <f>_xlfn.XLOOKUP(Table8[[#This Row],[Campaign_Code]],tb3_CampaignMaster[Campaign_Code],tb3_CampaignMaster[Budget_GBP],"")</f>
        <v>8000</v>
      </c>
      <c r="Z286" t="str">
        <f>_xlfn.XLOOKUP(Table8[[#This Row],[Campaign_Code]],tb3_CampaignMaster[Campaign_Code],tb3_CampaignMaster[Primary_Channel],"")</f>
        <v>Direct Mail</v>
      </c>
      <c r="AA286" s="13">
        <f>IF(Table8[[#This Row],[Gift_Aid_Eligible]]="Yes",Table8[[#This Row],[Gift_Amount]]*1.25,Table8[[#This Row],[Gift_Amount]])</f>
        <v>25.83</v>
      </c>
      <c r="AB286" t="str">
        <f>IF(Table8[[#This Row],[Supporter_ID]]="","Review - missing supporter ID","")</f>
        <v/>
      </c>
      <c r="AC286" t="str">
        <f>IF(OR(Table8[[#This Row],[Response_Date]]&lt;Table8[[#This Row],[Start_Date]],Table8[[#This Row],[Response_Date]]&gt;Table8[[#This Row],[End_Date]]),"Review - response outside campaign dates","")</f>
        <v/>
      </c>
      <c r="AD286" t="str">
        <f>IF(Table8[[#This Row],[Campaign_Type]]="","Review - campaign code not found","")</f>
        <v/>
      </c>
    </row>
    <row r="287" spans="1:30" x14ac:dyDescent="0.25">
      <c r="A287" t="s">
        <v>3862</v>
      </c>
      <c r="B287" t="s">
        <v>1476</v>
      </c>
      <c r="C287" t="s">
        <v>3354</v>
      </c>
      <c r="D287" t="s">
        <v>3355</v>
      </c>
      <c r="E287" t="s">
        <v>65</v>
      </c>
      <c r="F287" s="17">
        <v>45618</v>
      </c>
      <c r="G287">
        <v>20.309999999999999</v>
      </c>
      <c r="H287" t="s">
        <v>36</v>
      </c>
      <c r="I287" t="s">
        <v>3385</v>
      </c>
      <c r="J287" t="str">
        <f>_xlfn.XLOOKUP(Table8[[#This Row],[Supporter_ID]],tb1_supporters[Supporter_ID ],tb1_supporters[Segment],"")</f>
        <v>Prospect</v>
      </c>
      <c r="K287" t="str">
        <f>_xlfn.XLOOKUP(Table8[[#This Row],[Supporter_ID]],tb1_supporters[Supporter_ID ],tb1_supporters[Acquisition_Source],"")</f>
        <v>Referral</v>
      </c>
      <c r="L287" t="str">
        <f>_xlfn.XLOOKUP(Table8[[#This Row],[Supporter_ID]],tb1_supporters[Supporter_ID ],tb1_supporters[County],"")</f>
        <v>Angus</v>
      </c>
      <c r="M287" t="str">
        <f>_xlfn.XLOOKUP(Table8[[#This Row],[Supporter_ID]],tb1_supporters[Supporter_ID ],tb1_supporters[Gender],"")</f>
        <v>Female</v>
      </c>
      <c r="N287" t="str">
        <f ca="1">_xlfn.XLOOKUP(Table8[[#This Row],[Supporter_ID]],tb1_supporters[Supporter_ID ],tb1_supporters[Age],"")</f>
        <v/>
      </c>
      <c r="O287" t="str">
        <f ca="1">_xlfn.XLOOKUP(Table8[[#This Row],[Supporter_ID]],tb1_supporters[Supporter_ID ],tb1_supporters[Age_Band],"")</f>
        <v/>
      </c>
      <c r="P287" t="str">
        <f ca="1">IF(Table8[[#This Row],[Age_Band]]="","Unknown",Table8[[#This Row],[Age_Band]])</f>
        <v>Unknown</v>
      </c>
      <c r="Q287" t="str">
        <f>_xlfn.XLOOKUP(Table8[[#This Row],[Supporter_ID]],tb1_supporters[Supporter_ID ],tb1_supporters[Communication_Preference],"")</f>
        <v>No Preference</v>
      </c>
      <c r="R287" t="str">
        <f>_xlfn.XLOOKUP(Table8[[#This Row],[Supporter_ID]],tb1_supporters[Supporter_ID ],tb1_supporters[Duplicate_Profile_Flag],"")</f>
        <v/>
      </c>
      <c r="S287" t="str">
        <f>_xlfn.XLOOKUP(Table8[[#This Row],[Supporter_ID]],tb1_supporters[Supporter_ID ],tb1_supporters[Preference_Compliance_Flag],"")</f>
        <v/>
      </c>
      <c r="T287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287" t="str">
        <f>_xlfn.XLOOKUP(Table8[[#This Row],[Campaign_Code]],tb3_CampaignMaster[Campaign_Code],tb3_CampaignMaster[Campaign_Type],"")</f>
        <v>Event</v>
      </c>
      <c r="V287" t="str">
        <f>_xlfn.XLOOKUP(Table8[[#This Row],[Campaign_Code]],tb3_CampaignMaster[Campaign_Code],tb3_CampaignMaster[Target_Audience],"")</f>
        <v>Volunteers</v>
      </c>
      <c r="W287" s="17">
        <f>_xlfn.XLOOKUP(Table8[[#This Row],[Campaign_Code]],tb3_CampaignMaster[Campaign_Code],tb3_CampaignMaster[Start_Date],"")</f>
        <v>45618</v>
      </c>
      <c r="X287" s="17">
        <f>_xlfn.XLOOKUP(Table8[[#This Row],[Campaign_Code]],tb3_CampaignMaster[Campaign_Code],tb3_CampaignMaster[End_Date],"")</f>
        <v>45618</v>
      </c>
      <c r="Y287">
        <f>_xlfn.XLOOKUP(Table8[[#This Row],[Campaign_Code]],tb3_CampaignMaster[Campaign_Code],tb3_CampaignMaster[Budget_GBP],"")</f>
        <v>3500</v>
      </c>
      <c r="Z287" t="str">
        <f>_xlfn.XLOOKUP(Table8[[#This Row],[Campaign_Code]],tb3_CampaignMaster[Campaign_Code],tb3_CampaignMaster[Primary_Channel],"")</f>
        <v>Email</v>
      </c>
      <c r="AA287" s="13">
        <f>IF(Table8[[#This Row],[Gift_Aid_Eligible]]="Yes",Table8[[#This Row],[Gift_Amount]]*1.25,Table8[[#This Row],[Gift_Amount]])</f>
        <v>25.387499999999999</v>
      </c>
      <c r="AB287" t="str">
        <f>IF(Table8[[#This Row],[Supporter_ID]]="","Review - missing supporter ID","")</f>
        <v/>
      </c>
      <c r="AC287" t="str">
        <f>IF(OR(Table8[[#This Row],[Response_Date]]&lt;Table8[[#This Row],[Start_Date]],Table8[[#This Row],[Response_Date]]&gt;Table8[[#This Row],[End_Date]]),"Review - response outside campaign dates","")</f>
        <v/>
      </c>
      <c r="AD287" t="str">
        <f>IF(Table8[[#This Row],[Campaign_Type]]="","Review - campaign code not found","")</f>
        <v/>
      </c>
    </row>
    <row r="288" spans="1:30" x14ac:dyDescent="0.25">
      <c r="A288" t="s">
        <v>3863</v>
      </c>
      <c r="B288" t="s">
        <v>1363</v>
      </c>
      <c r="C288" t="s">
        <v>3325</v>
      </c>
      <c r="D288" t="s">
        <v>3326</v>
      </c>
      <c r="E288" t="s">
        <v>4</v>
      </c>
      <c r="F288" s="17">
        <v>45654</v>
      </c>
      <c r="G288">
        <v>440.09</v>
      </c>
      <c r="H288" t="s">
        <v>36</v>
      </c>
      <c r="I288" t="s">
        <v>3323</v>
      </c>
      <c r="J288" t="str">
        <f>_xlfn.XLOOKUP(Table8[[#This Row],[Supporter_ID]],tb1_supporters[Supporter_ID ],tb1_supporters[Segment],"")</f>
        <v>Legacy Pledger</v>
      </c>
      <c r="K288" t="str">
        <f>_xlfn.XLOOKUP(Table8[[#This Row],[Supporter_ID]],tb1_supporters[Supporter_ID ],tb1_supporters[Acquisition_Source],"")</f>
        <v>Referral</v>
      </c>
      <c r="L288" t="str">
        <f>_xlfn.XLOOKUP(Table8[[#This Row],[Supporter_ID]],tb1_supporters[Supporter_ID ],tb1_supporters[County],"")</f>
        <v>West Glamorgan</v>
      </c>
      <c r="M288" t="str">
        <f>_xlfn.XLOOKUP(Table8[[#This Row],[Supporter_ID]],tb1_supporters[Supporter_ID ],tb1_supporters[Gender],"")</f>
        <v>Male</v>
      </c>
      <c r="N288">
        <f ca="1">_xlfn.XLOOKUP(Table8[[#This Row],[Supporter_ID]],tb1_supporters[Supporter_ID ],tb1_supporters[Age],"")</f>
        <v>67</v>
      </c>
      <c r="O288" t="str">
        <f ca="1">_xlfn.XLOOKUP(Table8[[#This Row],[Supporter_ID]],tb1_supporters[Supporter_ID ],tb1_supporters[Age_Band],"")</f>
        <v>65+</v>
      </c>
      <c r="P288" t="str">
        <f ca="1">IF(Table8[[#This Row],[Age_Band]]="","Unknown",Table8[[#This Row],[Age_Band]])</f>
        <v>65+</v>
      </c>
      <c r="Q288" t="str">
        <f>_xlfn.XLOOKUP(Table8[[#This Row],[Supporter_ID]],tb1_supporters[Supporter_ID ],tb1_supporters[Communication_Preference],"")</f>
        <v>Post</v>
      </c>
      <c r="R288" t="str">
        <f>_xlfn.XLOOKUP(Table8[[#This Row],[Supporter_ID]],tb1_supporters[Supporter_ID ],tb1_supporters[Duplicate_Profile_Flag],"")</f>
        <v/>
      </c>
      <c r="S288" t="str">
        <f>_xlfn.XLOOKUP(Table8[[#This Row],[Supporter_ID]],tb1_supporters[Supporter_ID ],tb1_supporters[Preference_Compliance_Flag],"")</f>
        <v/>
      </c>
      <c r="T288" t="str">
        <f ca="1">IF(Table8[[#This Row],[Age]]="","Review - missing DOB",IF(Table8[[#This Row],[Age]]&gt;TODAY(),"Review - future DOB",IF(Table8[[#This Row],[Age]]=0,"Review -  potential entry error (age 0)","")))</f>
        <v/>
      </c>
      <c r="U288" t="str">
        <f>_xlfn.XLOOKUP(Table8[[#This Row],[Campaign_Code]],tb3_CampaignMaster[Campaign_Code],tb3_CampaignMaster[Campaign_Type],"")</f>
        <v>Appeal</v>
      </c>
      <c r="V288" t="str">
        <f>_xlfn.XLOOKUP(Table8[[#This Row],[Campaign_Code]],tb3_CampaignMaster[Campaign_Code],tb3_CampaignMaster[Target_Audience],"")</f>
        <v>All Active</v>
      </c>
      <c r="W288" s="17">
        <f>_xlfn.XLOOKUP(Table8[[#This Row],[Campaign_Code]],tb3_CampaignMaster[Campaign_Code],tb3_CampaignMaster[Start_Date],"")</f>
        <v>45597</v>
      </c>
      <c r="X288" s="17">
        <f>_xlfn.XLOOKUP(Table8[[#This Row],[Campaign_Code]],tb3_CampaignMaster[Campaign_Code],tb3_CampaignMaster[End_Date],"")</f>
        <v>45657</v>
      </c>
      <c r="Y288">
        <f>_xlfn.XLOOKUP(Table8[[#This Row],[Campaign_Code]],tb3_CampaignMaster[Campaign_Code],tb3_CampaignMaster[Budget_GBP],"")</f>
        <v>25000</v>
      </c>
      <c r="Z288" t="str">
        <f>_xlfn.XLOOKUP(Table8[[#This Row],[Campaign_Code]],tb3_CampaignMaster[Campaign_Code],tb3_CampaignMaster[Primary_Channel],"")</f>
        <v>Multi-channel</v>
      </c>
      <c r="AA288" s="13">
        <f>IF(Table8[[#This Row],[Gift_Aid_Eligible]]="Yes",Table8[[#This Row],[Gift_Amount]]*1.25,Table8[[#This Row],[Gift_Amount]])</f>
        <v>550.11249999999995</v>
      </c>
      <c r="AB288" t="str">
        <f>IF(Table8[[#This Row],[Supporter_ID]]="","Review - missing supporter ID","")</f>
        <v/>
      </c>
      <c r="AC288" t="str">
        <f>IF(OR(Table8[[#This Row],[Response_Date]]&lt;Table8[[#This Row],[Start_Date]],Table8[[#This Row],[Response_Date]]&gt;Table8[[#This Row],[End_Date]]),"Review - response outside campaign dates","")</f>
        <v/>
      </c>
      <c r="AD288" t="str">
        <f>IF(Table8[[#This Row],[Campaign_Type]]="","Review - campaign code not found","")</f>
        <v/>
      </c>
    </row>
    <row r="289" spans="1:30" x14ac:dyDescent="0.25">
      <c r="A289" t="s">
        <v>3865</v>
      </c>
      <c r="B289" t="s">
        <v>2922</v>
      </c>
      <c r="C289" t="s">
        <v>3314</v>
      </c>
      <c r="D289" t="s">
        <v>3315</v>
      </c>
      <c r="E289" t="s">
        <v>33</v>
      </c>
      <c r="F289" s="17">
        <v>45702</v>
      </c>
      <c r="G289">
        <v>116.8</v>
      </c>
      <c r="H289" t="s">
        <v>36</v>
      </c>
      <c r="I289" t="s">
        <v>3331</v>
      </c>
      <c r="J289" t="str">
        <f>_xlfn.XLOOKUP(Table8[[#This Row],[Supporter_ID]],tb1_supporters[Supporter_ID ],tb1_supporters[Segment],"")</f>
        <v>One-Time Donor</v>
      </c>
      <c r="K289" t="str">
        <f>_xlfn.XLOOKUP(Table8[[#This Row],[Supporter_ID]],tb1_supporters[Supporter_ID ],tb1_supporters[Acquisition_Source],"")</f>
        <v>Corporate Partner</v>
      </c>
      <c r="L289" t="str">
        <f>_xlfn.XLOOKUP(Table8[[#This Row],[Supporter_ID]],tb1_supporters[Supporter_ID ],tb1_supporters[County],"")</f>
        <v>Strathclyde</v>
      </c>
      <c r="M289" t="str">
        <f>_xlfn.XLOOKUP(Table8[[#This Row],[Supporter_ID]],tb1_supporters[Supporter_ID ],tb1_supporters[Gender],"")</f>
        <v>Male</v>
      </c>
      <c r="N289">
        <f ca="1">_xlfn.XLOOKUP(Table8[[#This Row],[Supporter_ID]],tb1_supporters[Supporter_ID ],tb1_supporters[Age],"")</f>
        <v>32</v>
      </c>
      <c r="O289" t="str">
        <f ca="1">_xlfn.XLOOKUP(Table8[[#This Row],[Supporter_ID]],tb1_supporters[Supporter_ID ],tb1_supporters[Age_Band],"")</f>
        <v>18-34</v>
      </c>
      <c r="P289" t="str">
        <f ca="1">IF(Table8[[#This Row],[Age_Band]]="","Unknown",Table8[[#This Row],[Age_Band]])</f>
        <v>18-34</v>
      </c>
      <c r="Q289" t="str">
        <f>_xlfn.XLOOKUP(Table8[[#This Row],[Supporter_ID]],tb1_supporters[Supporter_ID ],tb1_supporters[Communication_Preference],"")</f>
        <v>Email</v>
      </c>
      <c r="R289" t="str">
        <f>_xlfn.XLOOKUP(Table8[[#This Row],[Supporter_ID]],tb1_supporters[Supporter_ID ],tb1_supporters[Duplicate_Profile_Flag],"")</f>
        <v/>
      </c>
      <c r="S289" t="str">
        <f>_xlfn.XLOOKUP(Table8[[#This Row],[Supporter_ID]],tb1_supporters[Supporter_ID ],tb1_supporters[Preference_Compliance_Flag],"")</f>
        <v/>
      </c>
      <c r="T289" t="str">
        <f ca="1">IF(Table8[[#This Row],[Age]]="","Review - missing DOB",IF(Table8[[#This Row],[Age]]&gt;TODAY(),"Review - future DOB",IF(Table8[[#This Row],[Age]]=0,"Review -  potential entry error (age 0)","")))</f>
        <v/>
      </c>
      <c r="U289" t="str">
        <f>_xlfn.XLOOKUP(Table8[[#This Row],[Campaign_Code]],tb3_CampaignMaster[Campaign_Code],tb3_CampaignMaster[Campaign_Type],"")</f>
        <v>Regular Giving</v>
      </c>
      <c r="V289" t="str">
        <f>_xlfn.XLOOKUP(Table8[[#This Row],[Campaign_Code]],tb3_CampaignMaster[Campaign_Code],tb3_CampaignMaster[Target_Audience],"")</f>
        <v>One-time Donors</v>
      </c>
      <c r="W289" s="17">
        <f>_xlfn.XLOOKUP(Table8[[#This Row],[Campaign_Code]],tb3_CampaignMaster[Campaign_Code],tb3_CampaignMaster[Start_Date],"")</f>
        <v>45663</v>
      </c>
      <c r="X289" s="17">
        <f>_xlfn.XLOOKUP(Table8[[#This Row],[Campaign_Code]],tb3_CampaignMaster[Campaign_Code],tb3_CampaignMaster[End_Date],"")</f>
        <v>45747</v>
      </c>
      <c r="Y289">
        <f>_xlfn.XLOOKUP(Table8[[#This Row],[Campaign_Code]],tb3_CampaignMaster[Campaign_Code],tb3_CampaignMaster[Budget_GBP],"")</f>
        <v>10000</v>
      </c>
      <c r="Z289" t="str">
        <f>_xlfn.XLOOKUP(Table8[[#This Row],[Campaign_Code]],tb3_CampaignMaster[Campaign_Code],tb3_CampaignMaster[Primary_Channel],"")</f>
        <v>Telephone</v>
      </c>
      <c r="AA289" s="13">
        <f>IF(Table8[[#This Row],[Gift_Aid_Eligible]]="Yes",Table8[[#This Row],[Gift_Amount]]*1.25,Table8[[#This Row],[Gift_Amount]])</f>
        <v>146</v>
      </c>
      <c r="AB289" t="str">
        <f>IF(Table8[[#This Row],[Supporter_ID]]="","Review - missing supporter ID","")</f>
        <v/>
      </c>
      <c r="AC289" t="str">
        <f>IF(OR(Table8[[#This Row],[Response_Date]]&lt;Table8[[#This Row],[Start_Date]],Table8[[#This Row],[Response_Date]]&gt;Table8[[#This Row],[End_Date]]),"Review - response outside campaign dates","")</f>
        <v/>
      </c>
      <c r="AD289" t="str">
        <f>IF(Table8[[#This Row],[Campaign_Type]]="","Review - campaign code not found","")</f>
        <v/>
      </c>
    </row>
    <row r="290" spans="1:30" x14ac:dyDescent="0.25">
      <c r="A290" t="s">
        <v>3867</v>
      </c>
      <c r="B290" t="s">
        <v>2852</v>
      </c>
      <c r="C290" t="s">
        <v>3403</v>
      </c>
      <c r="D290" t="s">
        <v>3404</v>
      </c>
      <c r="E290" t="s">
        <v>3316</v>
      </c>
      <c r="F290" s="17">
        <v>45611</v>
      </c>
      <c r="G290">
        <v>279.39999999999998</v>
      </c>
      <c r="H290" t="s">
        <v>37</v>
      </c>
      <c r="I290" t="s">
        <v>3385</v>
      </c>
      <c r="J290" t="str">
        <f>_xlfn.XLOOKUP(Table8[[#This Row],[Supporter_ID]],tb1_supporters[Supporter_ID ],tb1_supporters[Segment],"")</f>
        <v>Major Donor</v>
      </c>
      <c r="K290" t="str">
        <f>_xlfn.XLOOKUP(Table8[[#This Row],[Supporter_ID]],tb1_supporters[Supporter_ID ],tb1_supporters[Acquisition_Source],"")</f>
        <v>Corporate Partner</v>
      </c>
      <c r="L290" t="str">
        <f>_xlfn.XLOOKUP(Table8[[#This Row],[Supporter_ID]],tb1_supporters[Supporter_ID ],tb1_supporters[County],"")</f>
        <v>Hertfordshire</v>
      </c>
      <c r="M290" t="str">
        <f>_xlfn.XLOOKUP(Table8[[#This Row],[Supporter_ID]],tb1_supporters[Supporter_ID ],tb1_supporters[Gender],"")</f>
        <v>Female</v>
      </c>
      <c r="N290">
        <f ca="1">_xlfn.XLOOKUP(Table8[[#This Row],[Supporter_ID]],tb1_supporters[Supporter_ID ],tb1_supporters[Age],"")</f>
        <v>68</v>
      </c>
      <c r="O290" t="str">
        <f ca="1">_xlfn.XLOOKUP(Table8[[#This Row],[Supporter_ID]],tb1_supporters[Supporter_ID ],tb1_supporters[Age_Band],"")</f>
        <v>65+</v>
      </c>
      <c r="P290" t="str">
        <f ca="1">IF(Table8[[#This Row],[Age_Band]]="","Unknown",Table8[[#This Row],[Age_Band]])</f>
        <v>65+</v>
      </c>
      <c r="Q290" t="str">
        <f>_xlfn.XLOOKUP(Table8[[#This Row],[Supporter_ID]],tb1_supporters[Supporter_ID ],tb1_supporters[Communication_Preference],"")</f>
        <v>Email</v>
      </c>
      <c r="R290" t="str">
        <f>_xlfn.XLOOKUP(Table8[[#This Row],[Supporter_ID]],tb1_supporters[Supporter_ID ],tb1_supporters[Duplicate_Profile_Flag],"")</f>
        <v/>
      </c>
      <c r="S290" t="str">
        <f>_xlfn.XLOOKUP(Table8[[#This Row],[Supporter_ID]],tb1_supporters[Supporter_ID ],tb1_supporters[Preference_Compliance_Flag],"")</f>
        <v>Review - prefers email but not opted in</v>
      </c>
      <c r="T290" t="str">
        <f ca="1">IF(Table8[[#This Row],[Age]]="","Review - missing DOB",IF(Table8[[#This Row],[Age]]&gt;TODAY(),"Review - future DOB",IF(Table8[[#This Row],[Age]]=0,"Review -  potential entry error (age 0)","")))</f>
        <v/>
      </c>
      <c r="U290" t="str">
        <f>_xlfn.XLOOKUP(Table8[[#This Row],[Campaign_Code]],tb3_CampaignMaster[Campaign_Code],tb3_CampaignMaster[Campaign_Type],"")</f>
        <v>Trading</v>
      </c>
      <c r="V290" t="str">
        <f>_xlfn.XLOOKUP(Table8[[#This Row],[Campaign_Code]],tb3_CampaignMaster[Campaign_Code],tb3_CampaignMaster[Target_Audience],"")</f>
        <v>All Active</v>
      </c>
      <c r="W290" s="17">
        <f>_xlfn.XLOOKUP(Table8[[#This Row],[Campaign_Code]],tb3_CampaignMaster[Campaign_Code],tb3_CampaignMaster[Start_Date],"")</f>
        <v>45580</v>
      </c>
      <c r="X290" s="17">
        <f>_xlfn.XLOOKUP(Table8[[#This Row],[Campaign_Code]],tb3_CampaignMaster[Campaign_Code],tb3_CampaignMaster[End_Date],"")</f>
        <v>45646</v>
      </c>
      <c r="Y290">
        <f>_xlfn.XLOOKUP(Table8[[#This Row],[Campaign_Code]],tb3_CampaignMaster[Campaign_Code],tb3_CampaignMaster[Budget_GBP],"")</f>
        <v>12000</v>
      </c>
      <c r="Z290" t="str">
        <f>_xlfn.XLOOKUP(Table8[[#This Row],[Campaign_Code]],tb3_CampaignMaster[Campaign_Code],tb3_CampaignMaster[Primary_Channel],"")</f>
        <v>Multi-channel</v>
      </c>
      <c r="AA290" s="13">
        <f>IF(Table8[[#This Row],[Gift_Aid_Eligible]]="Yes",Table8[[#This Row],[Gift_Amount]]*1.25,Table8[[#This Row],[Gift_Amount]])</f>
        <v>279.39999999999998</v>
      </c>
      <c r="AB290" t="str">
        <f>IF(Table8[[#This Row],[Supporter_ID]]="","Review - missing supporter ID","")</f>
        <v/>
      </c>
      <c r="AC290" t="str">
        <f>IF(OR(Table8[[#This Row],[Response_Date]]&lt;Table8[[#This Row],[Start_Date]],Table8[[#This Row],[Response_Date]]&gt;Table8[[#This Row],[End_Date]]),"Review - response outside campaign dates","")</f>
        <v/>
      </c>
      <c r="AD290" t="str">
        <f>IF(Table8[[#This Row],[Campaign_Type]]="","Review - campaign code not found","")</f>
        <v/>
      </c>
    </row>
    <row r="291" spans="1:30" x14ac:dyDescent="0.25">
      <c r="A291" t="s">
        <v>3869</v>
      </c>
      <c r="B291" t="s">
        <v>883</v>
      </c>
      <c r="C291" t="s">
        <v>3354</v>
      </c>
      <c r="D291" t="s">
        <v>3355</v>
      </c>
      <c r="E291" t="s">
        <v>4</v>
      </c>
      <c r="F291" s="17">
        <v>45618</v>
      </c>
      <c r="G291">
        <v>23.95</v>
      </c>
      <c r="H291" t="s">
        <v>37</v>
      </c>
      <c r="I291" t="s">
        <v>3318</v>
      </c>
      <c r="J291" t="str">
        <f>_xlfn.XLOOKUP(Table8[[#This Row],[Supporter_ID]],tb1_supporters[Supporter_ID ],tb1_supporters[Segment],"")</f>
        <v>Regular Giver</v>
      </c>
      <c r="K291" t="str">
        <f>_xlfn.XLOOKUP(Table8[[#This Row],[Supporter_ID]],tb1_supporters[Supporter_ID ],tb1_supporters[Acquisition_Source],"")</f>
        <v>Website</v>
      </c>
      <c r="L291" t="str">
        <f>_xlfn.XLOOKUP(Table8[[#This Row],[Supporter_ID]],tb1_supporters[Supporter_ID ],tb1_supporters[County],"")</f>
        <v>Kent</v>
      </c>
      <c r="M291" t="str">
        <f>_xlfn.XLOOKUP(Table8[[#This Row],[Supporter_ID]],tb1_supporters[Supporter_ID ],tb1_supporters[Gender],"")</f>
        <v>Female</v>
      </c>
      <c r="N291">
        <f ca="1">_xlfn.XLOOKUP(Table8[[#This Row],[Supporter_ID]],tb1_supporters[Supporter_ID ],tb1_supporters[Age],"")</f>
        <v>69</v>
      </c>
      <c r="O291" t="str">
        <f ca="1">_xlfn.XLOOKUP(Table8[[#This Row],[Supporter_ID]],tb1_supporters[Supporter_ID ],tb1_supporters[Age_Band],"")</f>
        <v>65+</v>
      </c>
      <c r="P291" t="str">
        <f ca="1">IF(Table8[[#This Row],[Age_Band]]="","Unknown",Table8[[#This Row],[Age_Band]])</f>
        <v>65+</v>
      </c>
      <c r="Q291" t="str">
        <f>_xlfn.XLOOKUP(Table8[[#This Row],[Supporter_ID]],tb1_supporters[Supporter_ID ],tb1_supporters[Communication_Preference],"")</f>
        <v>Post</v>
      </c>
      <c r="R291" t="str">
        <f>_xlfn.XLOOKUP(Table8[[#This Row],[Supporter_ID]],tb1_supporters[Supporter_ID ],tb1_supporters[Duplicate_Profile_Flag],"")</f>
        <v/>
      </c>
      <c r="S291" t="str">
        <f>_xlfn.XLOOKUP(Table8[[#This Row],[Supporter_ID]],tb1_supporters[Supporter_ID ],tb1_supporters[Preference_Compliance_Flag],"")</f>
        <v/>
      </c>
      <c r="T291" t="str">
        <f ca="1">IF(Table8[[#This Row],[Age]]="","Review - missing DOB",IF(Table8[[#This Row],[Age]]&gt;TODAY(),"Review - future DOB",IF(Table8[[#This Row],[Age]]=0,"Review -  potential entry error (age 0)","")))</f>
        <v/>
      </c>
      <c r="U291" t="str">
        <f>_xlfn.XLOOKUP(Table8[[#This Row],[Campaign_Code]],tb3_CampaignMaster[Campaign_Code],tb3_CampaignMaster[Campaign_Type],"")</f>
        <v>Event</v>
      </c>
      <c r="V291" t="str">
        <f>_xlfn.XLOOKUP(Table8[[#This Row],[Campaign_Code]],tb3_CampaignMaster[Campaign_Code],tb3_CampaignMaster[Target_Audience],"")</f>
        <v>Volunteers</v>
      </c>
      <c r="W291" s="17">
        <f>_xlfn.XLOOKUP(Table8[[#This Row],[Campaign_Code]],tb3_CampaignMaster[Campaign_Code],tb3_CampaignMaster[Start_Date],"")</f>
        <v>45618</v>
      </c>
      <c r="X291" s="17">
        <f>_xlfn.XLOOKUP(Table8[[#This Row],[Campaign_Code]],tb3_CampaignMaster[Campaign_Code],tb3_CampaignMaster[End_Date],"")</f>
        <v>45618</v>
      </c>
      <c r="Y291">
        <f>_xlfn.XLOOKUP(Table8[[#This Row],[Campaign_Code]],tb3_CampaignMaster[Campaign_Code],tb3_CampaignMaster[Budget_GBP],"")</f>
        <v>3500</v>
      </c>
      <c r="Z291" t="str">
        <f>_xlfn.XLOOKUP(Table8[[#This Row],[Campaign_Code]],tb3_CampaignMaster[Campaign_Code],tb3_CampaignMaster[Primary_Channel],"")</f>
        <v>Email</v>
      </c>
      <c r="AA291" s="13">
        <f>IF(Table8[[#This Row],[Gift_Aid_Eligible]]="Yes",Table8[[#This Row],[Gift_Amount]]*1.25,Table8[[#This Row],[Gift_Amount]])</f>
        <v>23.95</v>
      </c>
      <c r="AB291" t="str">
        <f>IF(Table8[[#This Row],[Supporter_ID]]="","Review - missing supporter ID","")</f>
        <v/>
      </c>
      <c r="AC291" t="str">
        <f>IF(OR(Table8[[#This Row],[Response_Date]]&lt;Table8[[#This Row],[Start_Date]],Table8[[#This Row],[Response_Date]]&gt;Table8[[#This Row],[End_Date]]),"Review - response outside campaign dates","")</f>
        <v/>
      </c>
      <c r="AD291" t="str">
        <f>IF(Table8[[#This Row],[Campaign_Type]]="","Review - campaign code not found","")</f>
        <v/>
      </c>
    </row>
    <row r="292" spans="1:30" x14ac:dyDescent="0.25">
      <c r="A292" t="s">
        <v>3870</v>
      </c>
      <c r="B292" t="s">
        <v>2917</v>
      </c>
      <c r="C292" t="s">
        <v>3367</v>
      </c>
      <c r="D292" t="s">
        <v>3368</v>
      </c>
      <c r="E292" t="s">
        <v>4</v>
      </c>
      <c r="F292" s="17">
        <v>45743</v>
      </c>
      <c r="G292">
        <v>20.94</v>
      </c>
      <c r="H292" t="s">
        <v>37</v>
      </c>
      <c r="I292" t="s">
        <v>3328</v>
      </c>
      <c r="J292" t="str">
        <f>_xlfn.XLOOKUP(Table8[[#This Row],[Supporter_ID]],tb1_supporters[Supporter_ID ],tb1_supporters[Segment],"")</f>
        <v>Regular Giver</v>
      </c>
      <c r="K292" t="str">
        <f>_xlfn.XLOOKUP(Table8[[#This Row],[Supporter_ID]],tb1_supporters[Supporter_ID ],tb1_supporters[Acquisition_Source],"")</f>
        <v>Website</v>
      </c>
      <c r="L292" t="str">
        <f>_xlfn.XLOOKUP(Table8[[#This Row],[Supporter_ID]],tb1_supporters[Supporter_ID ],tb1_supporters[County],"")</f>
        <v>West Midlands</v>
      </c>
      <c r="M292" t="str">
        <f>_xlfn.XLOOKUP(Table8[[#This Row],[Supporter_ID]],tb1_supporters[Supporter_ID ],tb1_supporters[Gender],"")</f>
        <v>Female</v>
      </c>
      <c r="N292">
        <f ca="1">_xlfn.XLOOKUP(Table8[[#This Row],[Supporter_ID]],tb1_supporters[Supporter_ID ],tb1_supporters[Age],"")</f>
        <v>41</v>
      </c>
      <c r="O292" t="str">
        <f ca="1">_xlfn.XLOOKUP(Table8[[#This Row],[Supporter_ID]],tb1_supporters[Supporter_ID ],tb1_supporters[Age_Band],"")</f>
        <v>35-49</v>
      </c>
      <c r="P292" t="str">
        <f ca="1">IF(Table8[[#This Row],[Age_Band]]="","Unknown",Table8[[#This Row],[Age_Band]])</f>
        <v>35-49</v>
      </c>
      <c r="Q292" t="str">
        <f>_xlfn.XLOOKUP(Table8[[#This Row],[Supporter_ID]],tb1_supporters[Supporter_ID ],tb1_supporters[Communication_Preference],"")</f>
        <v>Email</v>
      </c>
      <c r="R292" t="str">
        <f>_xlfn.XLOOKUP(Table8[[#This Row],[Supporter_ID]],tb1_supporters[Supporter_ID ],tb1_supporters[Duplicate_Profile_Flag],"")</f>
        <v/>
      </c>
      <c r="S292" t="str">
        <f>_xlfn.XLOOKUP(Table8[[#This Row],[Supporter_ID]],tb1_supporters[Supporter_ID ],tb1_supporters[Preference_Compliance_Flag],"")</f>
        <v>Review - prefers email but not opted in</v>
      </c>
      <c r="T292" t="str">
        <f ca="1">IF(Table8[[#This Row],[Age]]="","Review - missing DOB",IF(Table8[[#This Row],[Age]]&gt;TODAY(),"Review - future DOB",IF(Table8[[#This Row],[Age]]=0,"Review -  potential entry error (age 0)","")))</f>
        <v/>
      </c>
      <c r="U292" t="str">
        <f>_xlfn.XLOOKUP(Table8[[#This Row],[Campaign_Code]],tb3_CampaignMaster[Campaign_Code],tb3_CampaignMaster[Campaign_Type],"")</f>
        <v>Raffle</v>
      </c>
      <c r="V292" t="str">
        <f>_xlfn.XLOOKUP(Table8[[#This Row],[Campaign_Code]],tb3_CampaignMaster[Campaign_Code],tb3_CampaignMaster[Target_Audience],"")</f>
        <v>Regular Givers</v>
      </c>
      <c r="W292" s="17">
        <f>_xlfn.XLOOKUP(Table8[[#This Row],[Campaign_Code]],tb3_CampaignMaster[Campaign_Code],tb3_CampaignMaster[Start_Date],"")</f>
        <v>45717</v>
      </c>
      <c r="X292" s="17">
        <f>_xlfn.XLOOKUP(Table8[[#This Row],[Campaign_Code]],tb3_CampaignMaster[Campaign_Code],tb3_CampaignMaster[End_Date],"")</f>
        <v>45777</v>
      </c>
      <c r="Y292">
        <f>_xlfn.XLOOKUP(Table8[[#This Row],[Campaign_Code]],tb3_CampaignMaster[Campaign_Code],tb3_CampaignMaster[Budget_GBP],"")</f>
        <v>8000</v>
      </c>
      <c r="Z292" t="str">
        <f>_xlfn.XLOOKUP(Table8[[#This Row],[Campaign_Code]],tb3_CampaignMaster[Campaign_Code],tb3_CampaignMaster[Primary_Channel],"")</f>
        <v>Direct Mail</v>
      </c>
      <c r="AA292" s="13">
        <f>IF(Table8[[#This Row],[Gift_Aid_Eligible]]="Yes",Table8[[#This Row],[Gift_Amount]]*1.25,Table8[[#This Row],[Gift_Amount]])</f>
        <v>20.94</v>
      </c>
      <c r="AB292" t="str">
        <f>IF(Table8[[#This Row],[Supporter_ID]]="","Review - missing supporter ID","")</f>
        <v/>
      </c>
      <c r="AC292" t="str">
        <f>IF(OR(Table8[[#This Row],[Response_Date]]&lt;Table8[[#This Row],[Start_Date]],Table8[[#This Row],[Response_Date]]&gt;Table8[[#This Row],[End_Date]]),"Review - response outside campaign dates","")</f>
        <v/>
      </c>
      <c r="AD292" t="str">
        <f>IF(Table8[[#This Row],[Campaign_Type]]="","Review - campaign code not found","")</f>
        <v/>
      </c>
    </row>
    <row r="293" spans="1:30" x14ac:dyDescent="0.25">
      <c r="A293" t="s">
        <v>3871</v>
      </c>
      <c r="B293" t="s">
        <v>1939</v>
      </c>
      <c r="C293" t="s">
        <v>3341</v>
      </c>
      <c r="D293" t="s">
        <v>3342</v>
      </c>
      <c r="E293" t="s">
        <v>4</v>
      </c>
      <c r="F293" s="17">
        <v>45768</v>
      </c>
      <c r="G293">
        <v>85.36</v>
      </c>
      <c r="H293" t="s">
        <v>37</v>
      </c>
      <c r="I293" t="s">
        <v>3334</v>
      </c>
      <c r="J293" t="str">
        <f>_xlfn.XLOOKUP(Table8[[#This Row],[Supporter_ID]],tb1_supporters[Supporter_ID ],tb1_supporters[Segment],"")</f>
        <v>One-Time Donor</v>
      </c>
      <c r="K293" t="str">
        <f>_xlfn.XLOOKUP(Table8[[#This Row],[Supporter_ID]],tb1_supporters[Supporter_ID ],tb1_supporters[Acquisition_Source],"")</f>
        <v>Door-To-Door</v>
      </c>
      <c r="L293" t="str">
        <f>_xlfn.XLOOKUP(Table8[[#This Row],[Supporter_ID]],tb1_supporters[Supporter_ID ],tb1_supporters[County],"")</f>
        <v>Surrey</v>
      </c>
      <c r="M293" t="str">
        <f>_xlfn.XLOOKUP(Table8[[#This Row],[Supporter_ID]],tb1_supporters[Supporter_ID ],tb1_supporters[Gender],"")</f>
        <v>Male</v>
      </c>
      <c r="N293">
        <f ca="1">_xlfn.XLOOKUP(Table8[[#This Row],[Supporter_ID]],tb1_supporters[Supporter_ID ],tb1_supporters[Age],"")</f>
        <v>87</v>
      </c>
      <c r="O293" t="str">
        <f ca="1">_xlfn.XLOOKUP(Table8[[#This Row],[Supporter_ID]],tb1_supporters[Supporter_ID ],tb1_supporters[Age_Band],"")</f>
        <v>65+</v>
      </c>
      <c r="P293" t="str">
        <f ca="1">IF(Table8[[#This Row],[Age_Band]]="","Unknown",Table8[[#This Row],[Age_Band]])</f>
        <v>65+</v>
      </c>
      <c r="Q293" t="str">
        <f>_xlfn.XLOOKUP(Table8[[#This Row],[Supporter_ID]],tb1_supporters[Supporter_ID ],tb1_supporters[Communication_Preference],"")</f>
        <v>Email</v>
      </c>
      <c r="R293" t="str">
        <f>_xlfn.XLOOKUP(Table8[[#This Row],[Supporter_ID]],tb1_supporters[Supporter_ID ],tb1_supporters[Duplicate_Profile_Flag],"")</f>
        <v/>
      </c>
      <c r="S293" t="str">
        <f>_xlfn.XLOOKUP(Table8[[#This Row],[Supporter_ID]],tb1_supporters[Supporter_ID ],tb1_supporters[Preference_Compliance_Flag],"")</f>
        <v/>
      </c>
      <c r="T293" t="str">
        <f ca="1">IF(Table8[[#This Row],[Age]]="","Review - missing DOB",IF(Table8[[#This Row],[Age]]&gt;TODAY(),"Review - future DOB",IF(Table8[[#This Row],[Age]]=0,"Review -  potential entry error (age 0)","")))</f>
        <v/>
      </c>
      <c r="U293" t="str">
        <f>_xlfn.XLOOKUP(Table8[[#This Row],[Campaign_Code]],tb3_CampaignMaster[Campaign_Code],tb3_CampaignMaster[Campaign_Type],"")</f>
        <v>Acquisition</v>
      </c>
      <c r="V293" t="str">
        <f>_xlfn.XLOOKUP(Table8[[#This Row],[Campaign_Code]],tb3_CampaignMaster[Campaign_Code],tb3_CampaignMaster[Target_Audience],"")</f>
        <v>Prospects</v>
      </c>
      <c r="W293" s="17">
        <f>_xlfn.XLOOKUP(Table8[[#This Row],[Campaign_Code]],tb3_CampaignMaster[Campaign_Code],tb3_CampaignMaster[Start_Date],"")</f>
        <v>45689</v>
      </c>
      <c r="X293" s="17">
        <f>_xlfn.XLOOKUP(Table8[[#This Row],[Campaign_Code]],tb3_CampaignMaster[Campaign_Code],tb3_CampaignMaster[End_Date],"")</f>
        <v>45777</v>
      </c>
      <c r="Y293">
        <f>_xlfn.XLOOKUP(Table8[[#This Row],[Campaign_Code]],tb3_CampaignMaster[Campaign_Code],tb3_CampaignMaster[Budget_GBP],"")</f>
        <v>20000</v>
      </c>
      <c r="Z293" t="str">
        <f>_xlfn.XLOOKUP(Table8[[#This Row],[Campaign_Code]],tb3_CampaignMaster[Campaign_Code],tb3_CampaignMaster[Primary_Channel],"")</f>
        <v>Digital</v>
      </c>
      <c r="AA293" s="13">
        <f>IF(Table8[[#This Row],[Gift_Aid_Eligible]]="Yes",Table8[[#This Row],[Gift_Amount]]*1.25,Table8[[#This Row],[Gift_Amount]])</f>
        <v>85.36</v>
      </c>
      <c r="AB293" t="str">
        <f>IF(Table8[[#This Row],[Supporter_ID]]="","Review - missing supporter ID","")</f>
        <v/>
      </c>
      <c r="AC293" t="str">
        <f>IF(OR(Table8[[#This Row],[Response_Date]]&lt;Table8[[#This Row],[Start_Date]],Table8[[#This Row],[Response_Date]]&gt;Table8[[#This Row],[End_Date]]),"Review - response outside campaign dates","")</f>
        <v/>
      </c>
      <c r="AD293" t="str">
        <f>IF(Table8[[#This Row],[Campaign_Type]]="","Review - campaign code not found","")</f>
        <v/>
      </c>
    </row>
    <row r="294" spans="1:30" x14ac:dyDescent="0.25">
      <c r="A294" t="s">
        <v>3873</v>
      </c>
      <c r="B294" t="s">
        <v>1192</v>
      </c>
      <c r="C294" t="s">
        <v>3336</v>
      </c>
      <c r="D294" t="s">
        <v>3337</v>
      </c>
      <c r="E294" t="s">
        <v>3316</v>
      </c>
      <c r="F294" s="17">
        <v>45576</v>
      </c>
      <c r="G294">
        <v>63.41</v>
      </c>
      <c r="H294" t="s">
        <v>37</v>
      </c>
      <c r="I294" t="s">
        <v>3385</v>
      </c>
      <c r="J294" t="str">
        <f>_xlfn.XLOOKUP(Table8[[#This Row],[Supporter_ID]],tb1_supporters[Supporter_ID ],tb1_supporters[Segment],"")</f>
        <v>Mid-Value</v>
      </c>
      <c r="K294" t="str">
        <f>_xlfn.XLOOKUP(Table8[[#This Row],[Supporter_ID]],tb1_supporters[Supporter_ID ],tb1_supporters[Acquisition_Source],"")</f>
        <v>Website</v>
      </c>
      <c r="L294" t="str">
        <f>_xlfn.XLOOKUP(Table8[[#This Row],[Supporter_ID]],tb1_supporters[Supporter_ID ],tb1_supporters[County],"")</f>
        <v>Merseyside</v>
      </c>
      <c r="M294" t="str">
        <f>_xlfn.XLOOKUP(Table8[[#This Row],[Supporter_ID]],tb1_supporters[Supporter_ID ],tb1_supporters[Gender],"")</f>
        <v>Male</v>
      </c>
      <c r="N294">
        <f ca="1">_xlfn.XLOOKUP(Table8[[#This Row],[Supporter_ID]],tb1_supporters[Supporter_ID ],tb1_supporters[Age],"")</f>
        <v>74</v>
      </c>
      <c r="O294" t="str">
        <f ca="1">_xlfn.XLOOKUP(Table8[[#This Row],[Supporter_ID]],tb1_supporters[Supporter_ID ],tb1_supporters[Age_Band],"")</f>
        <v>65+</v>
      </c>
      <c r="P294" t="str">
        <f ca="1">IF(Table8[[#This Row],[Age_Band]]="","Unknown",Table8[[#This Row],[Age_Band]])</f>
        <v>65+</v>
      </c>
      <c r="Q294" t="str">
        <f>_xlfn.XLOOKUP(Table8[[#This Row],[Supporter_ID]],tb1_supporters[Supporter_ID ],tb1_supporters[Communication_Preference],"")</f>
        <v>Email</v>
      </c>
      <c r="R294" t="str">
        <f>_xlfn.XLOOKUP(Table8[[#This Row],[Supporter_ID]],tb1_supporters[Supporter_ID ],tb1_supporters[Duplicate_Profile_Flag],"")</f>
        <v/>
      </c>
      <c r="S294" t="str">
        <f>_xlfn.XLOOKUP(Table8[[#This Row],[Supporter_ID]],tb1_supporters[Supporter_ID ],tb1_supporters[Preference_Compliance_Flag],"")</f>
        <v/>
      </c>
      <c r="T294" t="str">
        <f ca="1">IF(Table8[[#This Row],[Age]]="","Review - missing DOB",IF(Table8[[#This Row],[Age]]&gt;TODAY(),"Review - future DOB",IF(Table8[[#This Row],[Age]]=0,"Review -  potential entry error (age 0)","")))</f>
        <v/>
      </c>
      <c r="U294" t="str">
        <f>_xlfn.XLOOKUP(Table8[[#This Row],[Campaign_Code]],tb3_CampaignMaster[Campaign_Code],tb3_CampaignMaster[Campaign_Type],"")</f>
        <v>Appeal</v>
      </c>
      <c r="V294" t="str">
        <f>_xlfn.XLOOKUP(Table8[[#This Row],[Campaign_Code]],tb3_CampaignMaster[Campaign_Code],tb3_CampaignMaster[Target_Audience],"")</f>
        <v>All Supporters</v>
      </c>
      <c r="W294" s="17">
        <f>_xlfn.XLOOKUP(Table8[[#This Row],[Campaign_Code]],tb3_CampaignMaster[Campaign_Code],tb3_CampaignMaster[Start_Date],"")</f>
        <v>45545</v>
      </c>
      <c r="X294" s="17">
        <f>_xlfn.XLOOKUP(Table8[[#This Row],[Campaign_Code]],tb3_CampaignMaster[Campaign_Code],tb3_CampaignMaster[End_Date],"")</f>
        <v>45580</v>
      </c>
      <c r="Y294">
        <f>_xlfn.XLOOKUP(Table8[[#This Row],[Campaign_Code]],tb3_CampaignMaster[Campaign_Code],tb3_CampaignMaster[Budget_GBP],"")</f>
        <v>15000</v>
      </c>
      <c r="Z294" t="str">
        <f>_xlfn.XLOOKUP(Table8[[#This Row],[Campaign_Code]],tb3_CampaignMaster[Campaign_Code],tb3_CampaignMaster[Primary_Channel],"")</f>
        <v>Email</v>
      </c>
      <c r="AA294" s="13">
        <f>IF(Table8[[#This Row],[Gift_Aid_Eligible]]="Yes",Table8[[#This Row],[Gift_Amount]]*1.25,Table8[[#This Row],[Gift_Amount]])</f>
        <v>63.41</v>
      </c>
      <c r="AB294" t="str">
        <f>IF(Table8[[#This Row],[Supporter_ID]]="","Review - missing supporter ID","")</f>
        <v/>
      </c>
      <c r="AC294" t="str">
        <f>IF(OR(Table8[[#This Row],[Response_Date]]&lt;Table8[[#This Row],[Start_Date]],Table8[[#This Row],[Response_Date]]&gt;Table8[[#This Row],[End_Date]]),"Review - response outside campaign dates","")</f>
        <v/>
      </c>
      <c r="AD294" t="str">
        <f>IF(Table8[[#This Row],[Campaign_Type]]="","Review - campaign code not found","")</f>
        <v/>
      </c>
    </row>
    <row r="295" spans="1:30" x14ac:dyDescent="0.25">
      <c r="A295" t="s">
        <v>3875</v>
      </c>
      <c r="B295" t="s">
        <v>2309</v>
      </c>
      <c r="C295" t="s">
        <v>3403</v>
      </c>
      <c r="D295" t="s">
        <v>3404</v>
      </c>
      <c r="E295" t="s">
        <v>4</v>
      </c>
      <c r="F295" s="17">
        <v>45592</v>
      </c>
      <c r="G295">
        <v>63.92</v>
      </c>
      <c r="H295" t="s">
        <v>36</v>
      </c>
      <c r="I295" t="s">
        <v>3323</v>
      </c>
      <c r="J295" t="str">
        <f>_xlfn.XLOOKUP(Table8[[#This Row],[Supporter_ID]],tb1_supporters[Supporter_ID ],tb1_supporters[Segment],"")</f>
        <v>Lapsed</v>
      </c>
      <c r="K295" t="str">
        <f>_xlfn.XLOOKUP(Table8[[#This Row],[Supporter_ID]],tb1_supporters[Supporter_ID ],tb1_supporters[Acquisition_Source],"")</f>
        <v>Social Media</v>
      </c>
      <c r="L295" t="str">
        <f>_xlfn.XLOOKUP(Table8[[#This Row],[Supporter_ID]],tb1_supporters[Supporter_ID ],tb1_supporters[County],"")</f>
        <v>Oxfordshire</v>
      </c>
      <c r="M295" t="str">
        <f>_xlfn.XLOOKUP(Table8[[#This Row],[Supporter_ID]],tb1_supporters[Supporter_ID ],tb1_supporters[Gender],"")</f>
        <v>Male</v>
      </c>
      <c r="N295">
        <f ca="1">_xlfn.XLOOKUP(Table8[[#This Row],[Supporter_ID]],tb1_supporters[Supporter_ID ],tb1_supporters[Age],"")</f>
        <v>64</v>
      </c>
      <c r="O295" t="str">
        <f ca="1">_xlfn.XLOOKUP(Table8[[#This Row],[Supporter_ID]],tb1_supporters[Supporter_ID ],tb1_supporters[Age_Band],"")</f>
        <v>50-64</v>
      </c>
      <c r="P295" t="str">
        <f ca="1">IF(Table8[[#This Row],[Age_Band]]="","Unknown",Table8[[#This Row],[Age_Band]])</f>
        <v>50-64</v>
      </c>
      <c r="Q295" t="str">
        <f>_xlfn.XLOOKUP(Table8[[#This Row],[Supporter_ID]],tb1_supporters[Supporter_ID ],tb1_supporters[Communication_Preference],"")</f>
        <v>Post</v>
      </c>
      <c r="R295" t="str">
        <f>_xlfn.XLOOKUP(Table8[[#This Row],[Supporter_ID]],tb1_supporters[Supporter_ID ],tb1_supporters[Duplicate_Profile_Flag],"")</f>
        <v/>
      </c>
      <c r="S295" t="str">
        <f>_xlfn.XLOOKUP(Table8[[#This Row],[Supporter_ID]],tb1_supporters[Supporter_ID ],tb1_supporters[Preference_Compliance_Flag],"")</f>
        <v/>
      </c>
      <c r="T295" t="str">
        <f ca="1">IF(Table8[[#This Row],[Age]]="","Review - missing DOB",IF(Table8[[#This Row],[Age]]&gt;TODAY(),"Review - future DOB",IF(Table8[[#This Row],[Age]]=0,"Review -  potential entry error (age 0)","")))</f>
        <v/>
      </c>
      <c r="U295" t="str">
        <f>_xlfn.XLOOKUP(Table8[[#This Row],[Campaign_Code]],tb3_CampaignMaster[Campaign_Code],tb3_CampaignMaster[Campaign_Type],"")</f>
        <v>Trading</v>
      </c>
      <c r="V295" t="str">
        <f>_xlfn.XLOOKUP(Table8[[#This Row],[Campaign_Code]],tb3_CampaignMaster[Campaign_Code],tb3_CampaignMaster[Target_Audience],"")</f>
        <v>All Active</v>
      </c>
      <c r="W295" s="17">
        <f>_xlfn.XLOOKUP(Table8[[#This Row],[Campaign_Code]],tb3_CampaignMaster[Campaign_Code],tb3_CampaignMaster[Start_Date],"")</f>
        <v>45580</v>
      </c>
      <c r="X295" s="17">
        <f>_xlfn.XLOOKUP(Table8[[#This Row],[Campaign_Code]],tb3_CampaignMaster[Campaign_Code],tb3_CampaignMaster[End_Date],"")</f>
        <v>45646</v>
      </c>
      <c r="Y295">
        <f>_xlfn.XLOOKUP(Table8[[#This Row],[Campaign_Code]],tb3_CampaignMaster[Campaign_Code],tb3_CampaignMaster[Budget_GBP],"")</f>
        <v>12000</v>
      </c>
      <c r="Z295" t="str">
        <f>_xlfn.XLOOKUP(Table8[[#This Row],[Campaign_Code]],tb3_CampaignMaster[Campaign_Code],tb3_CampaignMaster[Primary_Channel],"")</f>
        <v>Multi-channel</v>
      </c>
      <c r="AA295" s="13">
        <f>IF(Table8[[#This Row],[Gift_Aid_Eligible]]="Yes",Table8[[#This Row],[Gift_Amount]]*1.25,Table8[[#This Row],[Gift_Amount]])</f>
        <v>79.900000000000006</v>
      </c>
      <c r="AB295" t="str">
        <f>IF(Table8[[#This Row],[Supporter_ID]]="","Review - missing supporter ID","")</f>
        <v/>
      </c>
      <c r="AC295" t="str">
        <f>IF(OR(Table8[[#This Row],[Response_Date]]&lt;Table8[[#This Row],[Start_Date]],Table8[[#This Row],[Response_Date]]&gt;Table8[[#This Row],[End_Date]]),"Review - response outside campaign dates","")</f>
        <v/>
      </c>
      <c r="AD295" t="str">
        <f>IF(Table8[[#This Row],[Campaign_Type]]="","Review - campaign code not found","")</f>
        <v/>
      </c>
    </row>
    <row r="296" spans="1:30" x14ac:dyDescent="0.25">
      <c r="A296" t="s">
        <v>3877</v>
      </c>
      <c r="B296" t="s">
        <v>3049</v>
      </c>
      <c r="C296" t="s">
        <v>3314</v>
      </c>
      <c r="D296" t="s">
        <v>3315</v>
      </c>
      <c r="E296" t="s">
        <v>65</v>
      </c>
      <c r="F296" s="17">
        <v>45733</v>
      </c>
      <c r="G296">
        <v>81.040000000000006</v>
      </c>
      <c r="H296" t="s">
        <v>36</v>
      </c>
      <c r="I296" t="s">
        <v>3334</v>
      </c>
      <c r="J296" t="str">
        <f>_xlfn.XLOOKUP(Table8[[#This Row],[Supporter_ID]],tb1_supporters[Supporter_ID ],tb1_supporters[Segment],"")</f>
        <v>One-Time Donor</v>
      </c>
      <c r="K296" t="str">
        <f>_xlfn.XLOOKUP(Table8[[#This Row],[Supporter_ID]],tb1_supporters[Supporter_ID ],tb1_supporters[Acquisition_Source],"")</f>
        <v>Event</v>
      </c>
      <c r="L296" t="str">
        <f>_xlfn.XLOOKUP(Table8[[#This Row],[Supporter_ID]],tb1_supporters[Supporter_ID ],tb1_supporters[County],"")</f>
        <v>South Yorkshire</v>
      </c>
      <c r="M296" t="str">
        <f>_xlfn.XLOOKUP(Table8[[#This Row],[Supporter_ID]],tb1_supporters[Supporter_ID ],tb1_supporters[Gender],"")</f>
        <v>Female</v>
      </c>
      <c r="N296">
        <f ca="1">_xlfn.XLOOKUP(Table8[[#This Row],[Supporter_ID]],tb1_supporters[Supporter_ID ],tb1_supporters[Age],"")</f>
        <v>76</v>
      </c>
      <c r="O296" t="str">
        <f ca="1">_xlfn.XLOOKUP(Table8[[#This Row],[Supporter_ID]],tb1_supporters[Supporter_ID ],tb1_supporters[Age_Band],"")</f>
        <v>65+</v>
      </c>
      <c r="P296" t="str">
        <f ca="1">IF(Table8[[#This Row],[Age_Band]]="","Unknown",Table8[[#This Row],[Age_Band]])</f>
        <v>65+</v>
      </c>
      <c r="Q296" t="str">
        <f>_xlfn.XLOOKUP(Table8[[#This Row],[Supporter_ID]],tb1_supporters[Supporter_ID ],tb1_supporters[Communication_Preference],"")</f>
        <v>No Preference</v>
      </c>
      <c r="R296" t="str">
        <f>_xlfn.XLOOKUP(Table8[[#This Row],[Supporter_ID]],tb1_supporters[Supporter_ID ],tb1_supporters[Duplicate_Profile_Flag],"")</f>
        <v/>
      </c>
      <c r="S296" t="str">
        <f>_xlfn.XLOOKUP(Table8[[#This Row],[Supporter_ID]],tb1_supporters[Supporter_ID ],tb1_supporters[Preference_Compliance_Flag],"")</f>
        <v/>
      </c>
      <c r="T296" t="str">
        <f ca="1">IF(Table8[[#This Row],[Age]]="","Review - missing DOB",IF(Table8[[#This Row],[Age]]&gt;TODAY(),"Review - future DOB",IF(Table8[[#This Row],[Age]]=0,"Review -  potential entry error (age 0)","")))</f>
        <v/>
      </c>
      <c r="U296" t="str">
        <f>_xlfn.XLOOKUP(Table8[[#This Row],[Campaign_Code]],tb3_CampaignMaster[Campaign_Code],tb3_CampaignMaster[Campaign_Type],"")</f>
        <v>Regular Giving</v>
      </c>
      <c r="V296" t="str">
        <f>_xlfn.XLOOKUP(Table8[[#This Row],[Campaign_Code]],tb3_CampaignMaster[Campaign_Code],tb3_CampaignMaster[Target_Audience],"")</f>
        <v>One-time Donors</v>
      </c>
      <c r="W296" s="17">
        <f>_xlfn.XLOOKUP(Table8[[#This Row],[Campaign_Code]],tb3_CampaignMaster[Campaign_Code],tb3_CampaignMaster[Start_Date],"")</f>
        <v>45663</v>
      </c>
      <c r="X296" s="17">
        <f>_xlfn.XLOOKUP(Table8[[#This Row],[Campaign_Code]],tb3_CampaignMaster[Campaign_Code],tb3_CampaignMaster[End_Date],"")</f>
        <v>45747</v>
      </c>
      <c r="Y296">
        <f>_xlfn.XLOOKUP(Table8[[#This Row],[Campaign_Code]],tb3_CampaignMaster[Campaign_Code],tb3_CampaignMaster[Budget_GBP],"")</f>
        <v>10000</v>
      </c>
      <c r="Z296" t="str">
        <f>_xlfn.XLOOKUP(Table8[[#This Row],[Campaign_Code]],tb3_CampaignMaster[Campaign_Code],tb3_CampaignMaster[Primary_Channel],"")</f>
        <v>Telephone</v>
      </c>
      <c r="AA296" s="13">
        <f>IF(Table8[[#This Row],[Gift_Aid_Eligible]]="Yes",Table8[[#This Row],[Gift_Amount]]*1.25,Table8[[#This Row],[Gift_Amount]])</f>
        <v>101.30000000000001</v>
      </c>
      <c r="AB296" t="str">
        <f>IF(Table8[[#This Row],[Supporter_ID]]="","Review - missing supporter ID","")</f>
        <v/>
      </c>
      <c r="AC296" t="str">
        <f>IF(OR(Table8[[#This Row],[Response_Date]]&lt;Table8[[#This Row],[Start_Date]],Table8[[#This Row],[Response_Date]]&gt;Table8[[#This Row],[End_Date]]),"Review - response outside campaign dates","")</f>
        <v/>
      </c>
      <c r="AD296" t="str">
        <f>IF(Table8[[#This Row],[Campaign_Type]]="","Review - campaign code not found","")</f>
        <v/>
      </c>
    </row>
    <row r="297" spans="1:30" x14ac:dyDescent="0.25">
      <c r="A297" t="s">
        <v>3879</v>
      </c>
      <c r="B297" t="s">
        <v>1796</v>
      </c>
      <c r="C297" t="s">
        <v>3336</v>
      </c>
      <c r="D297" t="s">
        <v>3337</v>
      </c>
      <c r="E297" t="s">
        <v>3338</v>
      </c>
      <c r="F297" s="17">
        <v>45578</v>
      </c>
      <c r="G297">
        <v>110.79</v>
      </c>
      <c r="H297" t="s">
        <v>36</v>
      </c>
      <c r="I297" t="s">
        <v>3370</v>
      </c>
      <c r="J297" t="str">
        <f>_xlfn.XLOOKUP(Table8[[#This Row],[Supporter_ID]],tb1_supporters[Supporter_ID ],tb1_supporters[Segment],"")</f>
        <v>One-Time Donor</v>
      </c>
      <c r="K297" t="str">
        <f>_xlfn.XLOOKUP(Table8[[#This Row],[Supporter_ID]],tb1_supporters[Supporter_ID ],tb1_supporters[Acquisition_Source],"")</f>
        <v>Website</v>
      </c>
      <c r="L297" t="str">
        <f>_xlfn.XLOOKUP(Table8[[#This Row],[Supporter_ID]],tb1_supporters[Supporter_ID ],tb1_supporters[County],"")</f>
        <v>Oxfordshire</v>
      </c>
      <c r="M297" t="str">
        <f>_xlfn.XLOOKUP(Table8[[#This Row],[Supporter_ID]],tb1_supporters[Supporter_ID ],tb1_supporters[Gender],"")</f>
        <v>Female</v>
      </c>
      <c r="N297">
        <f ca="1">_xlfn.XLOOKUP(Table8[[#This Row],[Supporter_ID]],tb1_supporters[Supporter_ID ],tb1_supporters[Age],"")</f>
        <v>71</v>
      </c>
      <c r="O297" t="str">
        <f ca="1">_xlfn.XLOOKUP(Table8[[#This Row],[Supporter_ID]],tb1_supporters[Supporter_ID ],tb1_supporters[Age_Band],"")</f>
        <v>65+</v>
      </c>
      <c r="P297" t="str">
        <f ca="1">IF(Table8[[#This Row],[Age_Band]]="","Unknown",Table8[[#This Row],[Age_Band]])</f>
        <v>65+</v>
      </c>
      <c r="Q297" t="str">
        <f>_xlfn.XLOOKUP(Table8[[#This Row],[Supporter_ID]],tb1_supporters[Supporter_ID ],tb1_supporters[Communication_Preference],"")</f>
        <v>Email</v>
      </c>
      <c r="R297" t="str">
        <f>_xlfn.XLOOKUP(Table8[[#This Row],[Supporter_ID]],tb1_supporters[Supporter_ID ],tb1_supporters[Duplicate_Profile_Flag],"")</f>
        <v/>
      </c>
      <c r="S297" t="str">
        <f>_xlfn.XLOOKUP(Table8[[#This Row],[Supporter_ID]],tb1_supporters[Supporter_ID ],tb1_supporters[Preference_Compliance_Flag],"")</f>
        <v>Review - prefers email but not opted in</v>
      </c>
      <c r="T297" t="str">
        <f ca="1">IF(Table8[[#This Row],[Age]]="","Review - missing DOB",IF(Table8[[#This Row],[Age]]&gt;TODAY(),"Review - future DOB",IF(Table8[[#This Row],[Age]]=0,"Review -  potential entry error (age 0)","")))</f>
        <v/>
      </c>
      <c r="U297" t="str">
        <f>_xlfn.XLOOKUP(Table8[[#This Row],[Campaign_Code]],tb3_CampaignMaster[Campaign_Code],tb3_CampaignMaster[Campaign_Type],"")</f>
        <v>Appeal</v>
      </c>
      <c r="V297" t="str">
        <f>_xlfn.XLOOKUP(Table8[[#This Row],[Campaign_Code]],tb3_CampaignMaster[Campaign_Code],tb3_CampaignMaster[Target_Audience],"")</f>
        <v>All Supporters</v>
      </c>
      <c r="W297" s="17">
        <f>_xlfn.XLOOKUP(Table8[[#This Row],[Campaign_Code]],tb3_CampaignMaster[Campaign_Code],tb3_CampaignMaster[Start_Date],"")</f>
        <v>45545</v>
      </c>
      <c r="X297" s="17">
        <f>_xlfn.XLOOKUP(Table8[[#This Row],[Campaign_Code]],tb3_CampaignMaster[Campaign_Code],tb3_CampaignMaster[End_Date],"")</f>
        <v>45580</v>
      </c>
      <c r="Y297">
        <f>_xlfn.XLOOKUP(Table8[[#This Row],[Campaign_Code]],tb3_CampaignMaster[Campaign_Code],tb3_CampaignMaster[Budget_GBP],"")</f>
        <v>15000</v>
      </c>
      <c r="Z297" t="str">
        <f>_xlfn.XLOOKUP(Table8[[#This Row],[Campaign_Code]],tb3_CampaignMaster[Campaign_Code],tb3_CampaignMaster[Primary_Channel],"")</f>
        <v>Email</v>
      </c>
      <c r="AA297" s="13">
        <f>IF(Table8[[#This Row],[Gift_Aid_Eligible]]="Yes",Table8[[#This Row],[Gift_Amount]]*1.25,Table8[[#This Row],[Gift_Amount]])</f>
        <v>138.48750000000001</v>
      </c>
      <c r="AB297" t="str">
        <f>IF(Table8[[#This Row],[Supporter_ID]]="","Review - missing supporter ID","")</f>
        <v/>
      </c>
      <c r="AC297" t="str">
        <f>IF(OR(Table8[[#This Row],[Response_Date]]&lt;Table8[[#This Row],[Start_Date]],Table8[[#This Row],[Response_Date]]&gt;Table8[[#This Row],[End_Date]]),"Review - response outside campaign dates","")</f>
        <v/>
      </c>
      <c r="AD297" t="str">
        <f>IF(Table8[[#This Row],[Campaign_Type]]="","Review - campaign code not found","")</f>
        <v/>
      </c>
    </row>
    <row r="298" spans="1:30" x14ac:dyDescent="0.25">
      <c r="A298" t="s">
        <v>3880</v>
      </c>
      <c r="B298" t="s">
        <v>1219</v>
      </c>
      <c r="C298" t="s">
        <v>3336</v>
      </c>
      <c r="D298" t="s">
        <v>3337</v>
      </c>
      <c r="E298" t="s">
        <v>3316</v>
      </c>
      <c r="F298" s="17">
        <v>45551</v>
      </c>
      <c r="G298">
        <v>56.3</v>
      </c>
      <c r="H298" t="s">
        <v>36</v>
      </c>
      <c r="I298" t="s">
        <v>3328</v>
      </c>
      <c r="J298" t="str">
        <f>_xlfn.XLOOKUP(Table8[[#This Row],[Supporter_ID]],tb1_supporters[Supporter_ID ],tb1_supporters[Segment],"")</f>
        <v>Lapsed</v>
      </c>
      <c r="K298" t="str">
        <f>_xlfn.XLOOKUP(Table8[[#This Row],[Supporter_ID]],tb1_supporters[Supporter_ID ],tb1_supporters[Acquisition_Source],"")</f>
        <v>Telephone</v>
      </c>
      <c r="L298" t="str">
        <f>_xlfn.XLOOKUP(Table8[[#This Row],[Supporter_ID]],tb1_supporters[Supporter_ID ],tb1_supporters[County],"")</f>
        <v>West Midlands</v>
      </c>
      <c r="M298" t="str">
        <f>_xlfn.XLOOKUP(Table8[[#This Row],[Supporter_ID]],tb1_supporters[Supporter_ID ],tb1_supporters[Gender],"")</f>
        <v>Male</v>
      </c>
      <c r="N298">
        <f ca="1">_xlfn.XLOOKUP(Table8[[#This Row],[Supporter_ID]],tb1_supporters[Supporter_ID ],tb1_supporters[Age],"")</f>
        <v>48</v>
      </c>
      <c r="O298" t="str">
        <f ca="1">_xlfn.XLOOKUP(Table8[[#This Row],[Supporter_ID]],tb1_supporters[Supporter_ID ],tb1_supporters[Age_Band],"")</f>
        <v>35-49</v>
      </c>
      <c r="P298" t="str">
        <f ca="1">IF(Table8[[#This Row],[Age_Band]]="","Unknown",Table8[[#This Row],[Age_Band]])</f>
        <v>35-49</v>
      </c>
      <c r="Q298" t="str">
        <f>_xlfn.XLOOKUP(Table8[[#This Row],[Supporter_ID]],tb1_supporters[Supporter_ID ],tb1_supporters[Communication_Preference],"")</f>
        <v>Post</v>
      </c>
      <c r="R298" t="str">
        <f>_xlfn.XLOOKUP(Table8[[#This Row],[Supporter_ID]],tb1_supporters[Supporter_ID ],tb1_supporters[Duplicate_Profile_Flag],"")</f>
        <v/>
      </c>
      <c r="S298" t="str">
        <f>_xlfn.XLOOKUP(Table8[[#This Row],[Supporter_ID]],tb1_supporters[Supporter_ID ],tb1_supporters[Preference_Compliance_Flag],"")</f>
        <v/>
      </c>
      <c r="T298" t="str">
        <f ca="1">IF(Table8[[#This Row],[Age]]="","Review - missing DOB",IF(Table8[[#This Row],[Age]]&gt;TODAY(),"Review - future DOB",IF(Table8[[#This Row],[Age]]=0,"Review -  potential entry error (age 0)","")))</f>
        <v/>
      </c>
      <c r="U298" t="str">
        <f>_xlfn.XLOOKUP(Table8[[#This Row],[Campaign_Code]],tb3_CampaignMaster[Campaign_Code],tb3_CampaignMaster[Campaign_Type],"")</f>
        <v>Appeal</v>
      </c>
      <c r="V298" t="str">
        <f>_xlfn.XLOOKUP(Table8[[#This Row],[Campaign_Code]],tb3_CampaignMaster[Campaign_Code],tb3_CampaignMaster[Target_Audience],"")</f>
        <v>All Supporters</v>
      </c>
      <c r="W298" s="17">
        <f>_xlfn.XLOOKUP(Table8[[#This Row],[Campaign_Code]],tb3_CampaignMaster[Campaign_Code],tb3_CampaignMaster[Start_Date],"")</f>
        <v>45545</v>
      </c>
      <c r="X298" s="17">
        <f>_xlfn.XLOOKUP(Table8[[#This Row],[Campaign_Code]],tb3_CampaignMaster[Campaign_Code],tb3_CampaignMaster[End_Date],"")</f>
        <v>45580</v>
      </c>
      <c r="Y298">
        <f>_xlfn.XLOOKUP(Table8[[#This Row],[Campaign_Code]],tb3_CampaignMaster[Campaign_Code],tb3_CampaignMaster[Budget_GBP],"")</f>
        <v>15000</v>
      </c>
      <c r="Z298" t="str">
        <f>_xlfn.XLOOKUP(Table8[[#This Row],[Campaign_Code]],tb3_CampaignMaster[Campaign_Code],tb3_CampaignMaster[Primary_Channel],"")</f>
        <v>Email</v>
      </c>
      <c r="AA298" s="13">
        <f>IF(Table8[[#This Row],[Gift_Aid_Eligible]]="Yes",Table8[[#This Row],[Gift_Amount]]*1.25,Table8[[#This Row],[Gift_Amount]])</f>
        <v>70.375</v>
      </c>
      <c r="AB298" t="str">
        <f>IF(Table8[[#This Row],[Supporter_ID]]="","Review - missing supporter ID","")</f>
        <v/>
      </c>
      <c r="AC298" t="str">
        <f>IF(OR(Table8[[#This Row],[Response_Date]]&lt;Table8[[#This Row],[Start_Date]],Table8[[#This Row],[Response_Date]]&gt;Table8[[#This Row],[End_Date]]),"Review - response outside campaign dates","")</f>
        <v/>
      </c>
      <c r="AD298" t="str">
        <f>IF(Table8[[#This Row],[Campaign_Type]]="","Review - campaign code not found","")</f>
        <v/>
      </c>
    </row>
    <row r="299" spans="1:30" x14ac:dyDescent="0.25">
      <c r="A299" t="s">
        <v>3882</v>
      </c>
      <c r="B299" t="s">
        <v>2796</v>
      </c>
      <c r="C299" t="s">
        <v>3427</v>
      </c>
      <c r="D299" t="s">
        <v>3428</v>
      </c>
      <c r="E299" t="s">
        <v>4</v>
      </c>
      <c r="F299" s="17">
        <v>45488</v>
      </c>
      <c r="G299">
        <v>4472.1400000000003</v>
      </c>
      <c r="H299" t="s">
        <v>36</v>
      </c>
      <c r="I299" t="s">
        <v>3328</v>
      </c>
      <c r="J299" t="str">
        <f>_xlfn.XLOOKUP(Table8[[#This Row],[Supporter_ID]],tb1_supporters[Supporter_ID ],tb1_supporters[Segment],"")</f>
        <v>Major Donor</v>
      </c>
      <c r="K299" t="str">
        <f>_xlfn.XLOOKUP(Table8[[#This Row],[Supporter_ID]],tb1_supporters[Supporter_ID ],tb1_supporters[Acquisition_Source],"")</f>
        <v>Referral</v>
      </c>
      <c r="L299" t="str">
        <f>_xlfn.XLOOKUP(Table8[[#This Row],[Supporter_ID]],tb1_supporters[Supporter_ID ],tb1_supporters[County],"")</f>
        <v>Strathclyde</v>
      </c>
      <c r="M299" t="str">
        <f>_xlfn.XLOOKUP(Table8[[#This Row],[Supporter_ID]],tb1_supporters[Supporter_ID ],tb1_supporters[Gender],"")</f>
        <v>Female</v>
      </c>
      <c r="N299">
        <f ca="1">_xlfn.XLOOKUP(Table8[[#This Row],[Supporter_ID]],tb1_supporters[Supporter_ID ],tb1_supporters[Age],"")</f>
        <v>41</v>
      </c>
      <c r="O299" t="str">
        <f ca="1">_xlfn.XLOOKUP(Table8[[#This Row],[Supporter_ID]],tb1_supporters[Supporter_ID ],tb1_supporters[Age_Band],"")</f>
        <v>35-49</v>
      </c>
      <c r="P299" t="str">
        <f ca="1">IF(Table8[[#This Row],[Age_Band]]="","Unknown",Table8[[#This Row],[Age_Band]])</f>
        <v>35-49</v>
      </c>
      <c r="Q299" t="str">
        <f>_xlfn.XLOOKUP(Table8[[#This Row],[Supporter_ID]],tb1_supporters[Supporter_ID ],tb1_supporters[Communication_Preference],"")</f>
        <v>Post</v>
      </c>
      <c r="R299" t="str">
        <f>_xlfn.XLOOKUP(Table8[[#This Row],[Supporter_ID]],tb1_supporters[Supporter_ID ],tb1_supporters[Duplicate_Profile_Flag],"")</f>
        <v/>
      </c>
      <c r="S299" t="str">
        <f>_xlfn.XLOOKUP(Table8[[#This Row],[Supporter_ID]],tb1_supporters[Supporter_ID ],tb1_supporters[Preference_Compliance_Flag],"")</f>
        <v/>
      </c>
      <c r="T299" t="str">
        <f ca="1">IF(Table8[[#This Row],[Age]]="","Review - missing DOB",IF(Table8[[#This Row],[Age]]&gt;TODAY(),"Review - future DOB",IF(Table8[[#This Row],[Age]]=0,"Review -  potential entry error (age 0)","")))</f>
        <v/>
      </c>
      <c r="U299" t="str">
        <f>_xlfn.XLOOKUP(Table8[[#This Row],[Campaign_Code]],tb3_CampaignMaster[Campaign_Code],tb3_CampaignMaster[Campaign_Type],"")</f>
        <v>Event</v>
      </c>
      <c r="V299" t="str">
        <f>_xlfn.XLOOKUP(Table8[[#This Row],[Campaign_Code]],tb3_CampaignMaster[Campaign_Code],tb3_CampaignMaster[Target_Audience],"")</f>
        <v>Major Donors</v>
      </c>
      <c r="W299" s="17">
        <f>_xlfn.XLOOKUP(Table8[[#This Row],[Campaign_Code]],tb3_CampaignMaster[Campaign_Code],tb3_CampaignMaster[Start_Date],"")</f>
        <v>45488</v>
      </c>
      <c r="X299" s="17">
        <f>_xlfn.XLOOKUP(Table8[[#This Row],[Campaign_Code]],tb3_CampaignMaster[Campaign_Code],tb3_CampaignMaster[End_Date],"")</f>
        <v>45488</v>
      </c>
      <c r="Y299">
        <f>_xlfn.XLOOKUP(Table8[[#This Row],[Campaign_Code]],tb3_CampaignMaster[Campaign_Code],tb3_CampaignMaster[Budget_GBP],"")</f>
        <v>45000</v>
      </c>
      <c r="Z299" t="str">
        <f>_xlfn.XLOOKUP(Table8[[#This Row],[Campaign_Code]],tb3_CampaignMaster[Campaign_Code],tb3_CampaignMaster[Primary_Channel],"")</f>
        <v>Direct Mail</v>
      </c>
      <c r="AA299" s="13">
        <f>IF(Table8[[#This Row],[Gift_Aid_Eligible]]="Yes",Table8[[#This Row],[Gift_Amount]]*1.25,Table8[[#This Row],[Gift_Amount]])</f>
        <v>5590.1750000000002</v>
      </c>
      <c r="AB299" t="str">
        <f>IF(Table8[[#This Row],[Supporter_ID]]="","Review - missing supporter ID","")</f>
        <v/>
      </c>
      <c r="AC299" t="str">
        <f>IF(OR(Table8[[#This Row],[Response_Date]]&lt;Table8[[#This Row],[Start_Date]],Table8[[#This Row],[Response_Date]]&gt;Table8[[#This Row],[End_Date]]),"Review - response outside campaign dates","")</f>
        <v/>
      </c>
      <c r="AD299" t="str">
        <f>IF(Table8[[#This Row],[Campaign_Type]]="","Review - campaign code not found","")</f>
        <v/>
      </c>
    </row>
    <row r="300" spans="1:30" x14ac:dyDescent="0.25">
      <c r="A300" t="s">
        <v>3883</v>
      </c>
      <c r="B300" t="s">
        <v>2825</v>
      </c>
      <c r="C300" t="s">
        <v>3320</v>
      </c>
      <c r="D300" t="s">
        <v>3321</v>
      </c>
      <c r="E300" t="s">
        <v>65</v>
      </c>
      <c r="F300" s="17">
        <v>45456</v>
      </c>
      <c r="G300">
        <v>39.44</v>
      </c>
      <c r="H300" t="s">
        <v>36</v>
      </c>
      <c r="I300" t="s">
        <v>3334</v>
      </c>
      <c r="J300" t="str">
        <f>_xlfn.XLOOKUP(Table8[[#This Row],[Supporter_ID]],tb1_supporters[Supporter_ID ],tb1_supporters[Segment],"")</f>
        <v>Lapsed</v>
      </c>
      <c r="K300" t="str">
        <f>_xlfn.XLOOKUP(Table8[[#This Row],[Supporter_ID]],tb1_supporters[Supporter_ID ],tb1_supporters[Acquisition_Source],"")</f>
        <v>Website</v>
      </c>
      <c r="L300" t="str">
        <f>_xlfn.XLOOKUP(Table8[[#This Row],[Supporter_ID]],tb1_supporters[Supporter_ID ],tb1_supporters[County],"")</f>
        <v>Devon</v>
      </c>
      <c r="M300" t="str">
        <f>_xlfn.XLOOKUP(Table8[[#This Row],[Supporter_ID]],tb1_supporters[Supporter_ID ],tb1_supporters[Gender],"")</f>
        <v>Male</v>
      </c>
      <c r="N300">
        <f ca="1">_xlfn.XLOOKUP(Table8[[#This Row],[Supporter_ID]],tb1_supporters[Supporter_ID ],tb1_supporters[Age],"")</f>
        <v>38</v>
      </c>
      <c r="O300" t="str">
        <f ca="1">_xlfn.XLOOKUP(Table8[[#This Row],[Supporter_ID]],tb1_supporters[Supporter_ID ],tb1_supporters[Age_Band],"")</f>
        <v>35-49</v>
      </c>
      <c r="P300" t="str">
        <f ca="1">IF(Table8[[#This Row],[Age_Band]]="","Unknown",Table8[[#This Row],[Age_Band]])</f>
        <v>35-49</v>
      </c>
      <c r="Q300" t="str">
        <f>_xlfn.XLOOKUP(Table8[[#This Row],[Supporter_ID]],tb1_supporters[Supporter_ID ],tb1_supporters[Communication_Preference],"")</f>
        <v>No Preference</v>
      </c>
      <c r="R300" t="str">
        <f>_xlfn.XLOOKUP(Table8[[#This Row],[Supporter_ID]],tb1_supporters[Supporter_ID ],tb1_supporters[Duplicate_Profile_Flag],"")</f>
        <v/>
      </c>
      <c r="S300" t="str">
        <f>_xlfn.XLOOKUP(Table8[[#This Row],[Supporter_ID]],tb1_supporters[Supporter_ID ],tb1_supporters[Preference_Compliance_Flag],"")</f>
        <v/>
      </c>
      <c r="T300" t="str">
        <f ca="1">IF(Table8[[#This Row],[Age]]="","Review - missing DOB",IF(Table8[[#This Row],[Age]]&gt;TODAY(),"Review - future DOB",IF(Table8[[#This Row],[Age]]=0,"Review -  potential entry error (age 0)","")))</f>
        <v/>
      </c>
      <c r="U300" t="str">
        <f>_xlfn.XLOOKUP(Table8[[#This Row],[Campaign_Code]],tb3_CampaignMaster[Campaign_Code],tb3_CampaignMaster[Campaign_Type],"")</f>
        <v>Stewardship</v>
      </c>
      <c r="V300" t="str">
        <f>_xlfn.XLOOKUP(Table8[[#This Row],[Campaign_Code]],tb3_CampaignMaster[Campaign_Code],tb3_CampaignMaster[Target_Audience],"")</f>
        <v>Major Donors</v>
      </c>
      <c r="W300" s="17">
        <f>_xlfn.XLOOKUP(Table8[[#This Row],[Campaign_Code]],tb3_CampaignMaster[Campaign_Code],tb3_CampaignMaster[Start_Date],"")</f>
        <v>45444</v>
      </c>
      <c r="X300" s="17">
        <f>_xlfn.XLOOKUP(Table8[[#This Row],[Campaign_Code]],tb3_CampaignMaster[Campaign_Code],tb3_CampaignMaster[End_Date],"")</f>
        <v>45473</v>
      </c>
      <c r="Y300">
        <f>_xlfn.XLOOKUP(Table8[[#This Row],[Campaign_Code]],tb3_CampaignMaster[Campaign_Code],tb3_CampaignMaster[Budget_GBP],"")</f>
        <v>7000</v>
      </c>
      <c r="Z300" t="str">
        <f>_xlfn.XLOOKUP(Table8[[#This Row],[Campaign_Code]],tb3_CampaignMaster[Campaign_Code],tb3_CampaignMaster[Primary_Channel],"")</f>
        <v>Direct Mail</v>
      </c>
      <c r="AA300" s="13">
        <f>IF(Table8[[#This Row],[Gift_Aid_Eligible]]="Yes",Table8[[#This Row],[Gift_Amount]]*1.25,Table8[[#This Row],[Gift_Amount]])</f>
        <v>49.3</v>
      </c>
      <c r="AB300" t="str">
        <f>IF(Table8[[#This Row],[Supporter_ID]]="","Review - missing supporter ID","")</f>
        <v/>
      </c>
      <c r="AC300" t="str">
        <f>IF(OR(Table8[[#This Row],[Response_Date]]&lt;Table8[[#This Row],[Start_Date]],Table8[[#This Row],[Response_Date]]&gt;Table8[[#This Row],[End_Date]]),"Review - response outside campaign dates","")</f>
        <v/>
      </c>
      <c r="AD300" t="str">
        <f>IF(Table8[[#This Row],[Campaign_Type]]="","Review - campaign code not found","")</f>
        <v/>
      </c>
    </row>
    <row r="301" spans="1:30" x14ac:dyDescent="0.25">
      <c r="A301" t="s">
        <v>3885</v>
      </c>
      <c r="B301" t="s">
        <v>1499</v>
      </c>
      <c r="C301" t="s">
        <v>3354</v>
      </c>
      <c r="D301" t="s">
        <v>3355</v>
      </c>
      <c r="E301" t="s">
        <v>4</v>
      </c>
      <c r="F301" s="17">
        <v>45618</v>
      </c>
      <c r="G301">
        <v>216.79</v>
      </c>
      <c r="H301" t="s">
        <v>36</v>
      </c>
      <c r="I301" t="s">
        <v>3328</v>
      </c>
      <c r="J301" t="str">
        <f>_xlfn.XLOOKUP(Table8[[#This Row],[Supporter_ID]],tb1_supporters[Supporter_ID ],tb1_supporters[Segment],"")</f>
        <v>Major Donor</v>
      </c>
      <c r="K301" t="str">
        <f>_xlfn.XLOOKUP(Table8[[#This Row],[Supporter_ID]],tb1_supporters[Supporter_ID ],tb1_supporters[Acquisition_Source],"")</f>
        <v>Door-To-Door</v>
      </c>
      <c r="L301" t="str">
        <f>_xlfn.XLOOKUP(Table8[[#This Row],[Supporter_ID]],tb1_supporters[Supporter_ID ],tb1_supporters[County],"")</f>
        <v>South Glamorgan</v>
      </c>
      <c r="M301" t="str">
        <f>_xlfn.XLOOKUP(Table8[[#This Row],[Supporter_ID]],tb1_supporters[Supporter_ID ],tb1_supporters[Gender],"")</f>
        <v>Female</v>
      </c>
      <c r="N301">
        <f ca="1">_xlfn.XLOOKUP(Table8[[#This Row],[Supporter_ID]],tb1_supporters[Supporter_ID ],tb1_supporters[Age],"")</f>
        <v>68</v>
      </c>
      <c r="O301" t="str">
        <f ca="1">_xlfn.XLOOKUP(Table8[[#This Row],[Supporter_ID]],tb1_supporters[Supporter_ID ],tb1_supporters[Age_Band],"")</f>
        <v>65+</v>
      </c>
      <c r="P301" t="str">
        <f ca="1">IF(Table8[[#This Row],[Age_Band]]="","Unknown",Table8[[#This Row],[Age_Band]])</f>
        <v>65+</v>
      </c>
      <c r="Q301" t="str">
        <f>_xlfn.XLOOKUP(Table8[[#This Row],[Supporter_ID]],tb1_supporters[Supporter_ID ],tb1_supporters[Communication_Preference],"")</f>
        <v>Post</v>
      </c>
      <c r="R301" t="str">
        <f>_xlfn.XLOOKUP(Table8[[#This Row],[Supporter_ID]],tb1_supporters[Supporter_ID ],tb1_supporters[Duplicate_Profile_Flag],"")</f>
        <v/>
      </c>
      <c r="S301" t="str">
        <f>_xlfn.XLOOKUP(Table8[[#This Row],[Supporter_ID]],tb1_supporters[Supporter_ID ],tb1_supporters[Preference_Compliance_Flag],"")</f>
        <v/>
      </c>
      <c r="T301" t="str">
        <f ca="1">IF(Table8[[#This Row],[Age]]="","Review - missing DOB",IF(Table8[[#This Row],[Age]]&gt;TODAY(),"Review - future DOB",IF(Table8[[#This Row],[Age]]=0,"Review -  potential entry error (age 0)","")))</f>
        <v/>
      </c>
      <c r="U301" t="str">
        <f>_xlfn.XLOOKUP(Table8[[#This Row],[Campaign_Code]],tb3_CampaignMaster[Campaign_Code],tb3_CampaignMaster[Campaign_Type],"")</f>
        <v>Event</v>
      </c>
      <c r="V301" t="str">
        <f>_xlfn.XLOOKUP(Table8[[#This Row],[Campaign_Code]],tb3_CampaignMaster[Campaign_Code],tb3_CampaignMaster[Target_Audience],"")</f>
        <v>Volunteers</v>
      </c>
      <c r="W301" s="17">
        <f>_xlfn.XLOOKUP(Table8[[#This Row],[Campaign_Code]],tb3_CampaignMaster[Campaign_Code],tb3_CampaignMaster[Start_Date],"")</f>
        <v>45618</v>
      </c>
      <c r="X301" s="17">
        <f>_xlfn.XLOOKUP(Table8[[#This Row],[Campaign_Code]],tb3_CampaignMaster[Campaign_Code],tb3_CampaignMaster[End_Date],"")</f>
        <v>45618</v>
      </c>
      <c r="Y301">
        <f>_xlfn.XLOOKUP(Table8[[#This Row],[Campaign_Code]],tb3_CampaignMaster[Campaign_Code],tb3_CampaignMaster[Budget_GBP],"")</f>
        <v>3500</v>
      </c>
      <c r="Z301" t="str">
        <f>_xlfn.XLOOKUP(Table8[[#This Row],[Campaign_Code]],tb3_CampaignMaster[Campaign_Code],tb3_CampaignMaster[Primary_Channel],"")</f>
        <v>Email</v>
      </c>
      <c r="AA301" s="13">
        <f>IF(Table8[[#This Row],[Gift_Aid_Eligible]]="Yes",Table8[[#This Row],[Gift_Amount]]*1.25,Table8[[#This Row],[Gift_Amount]])</f>
        <v>270.98750000000001</v>
      </c>
      <c r="AB301" t="str">
        <f>IF(Table8[[#This Row],[Supporter_ID]]="","Review - missing supporter ID","")</f>
        <v/>
      </c>
      <c r="AC301" t="str">
        <f>IF(OR(Table8[[#This Row],[Response_Date]]&lt;Table8[[#This Row],[Start_Date]],Table8[[#This Row],[Response_Date]]&gt;Table8[[#This Row],[End_Date]]),"Review - response outside campaign dates","")</f>
        <v/>
      </c>
      <c r="AD301" t="str">
        <f>IF(Table8[[#This Row],[Campaign_Type]]="","Review - campaign code not found","")</f>
        <v/>
      </c>
    </row>
    <row r="302" spans="1:30" x14ac:dyDescent="0.25">
      <c r="A302" t="s">
        <v>3886</v>
      </c>
      <c r="B302" t="s">
        <v>1110</v>
      </c>
      <c r="C302" t="s">
        <v>3427</v>
      </c>
      <c r="D302" t="s">
        <v>3428</v>
      </c>
      <c r="E302" t="s">
        <v>4</v>
      </c>
      <c r="F302" s="17">
        <v>45488</v>
      </c>
      <c r="G302">
        <v>10.36</v>
      </c>
      <c r="H302" t="s">
        <v>36</v>
      </c>
      <c r="I302" t="s">
        <v>3334</v>
      </c>
      <c r="J302" t="str">
        <f>_xlfn.XLOOKUP(Table8[[#This Row],[Supporter_ID]],tb1_supporters[Supporter_ID ],tb1_supporters[Segment],"")</f>
        <v>Regular Giver</v>
      </c>
      <c r="K302" t="str">
        <f>_xlfn.XLOOKUP(Table8[[#This Row],[Supporter_ID]],tb1_supporters[Supporter_ID ],tb1_supporters[Acquisition_Source],"")</f>
        <v>Corporate Partner</v>
      </c>
      <c r="L302" t="str">
        <f>_xlfn.XLOOKUP(Table8[[#This Row],[Supporter_ID]],tb1_supporters[Supporter_ID ],tb1_supporters[County],"")</f>
        <v>Wiltshire</v>
      </c>
      <c r="M302" t="str">
        <f>_xlfn.XLOOKUP(Table8[[#This Row],[Supporter_ID]],tb1_supporters[Supporter_ID ],tb1_supporters[Gender],"")</f>
        <v>Female</v>
      </c>
      <c r="N302">
        <f ca="1">_xlfn.XLOOKUP(Table8[[#This Row],[Supporter_ID]],tb1_supporters[Supporter_ID ],tb1_supporters[Age],"")</f>
        <v>79</v>
      </c>
      <c r="O302" t="str">
        <f ca="1">_xlfn.XLOOKUP(Table8[[#This Row],[Supporter_ID]],tb1_supporters[Supporter_ID ],tb1_supporters[Age_Band],"")</f>
        <v>65+</v>
      </c>
      <c r="P302" t="str">
        <f ca="1">IF(Table8[[#This Row],[Age_Band]]="","Unknown",Table8[[#This Row],[Age_Band]])</f>
        <v>65+</v>
      </c>
      <c r="Q302" t="str">
        <f>_xlfn.XLOOKUP(Table8[[#This Row],[Supporter_ID]],tb1_supporters[Supporter_ID ],tb1_supporters[Communication_Preference],"")</f>
        <v>Email</v>
      </c>
      <c r="R302" t="str">
        <f>_xlfn.XLOOKUP(Table8[[#This Row],[Supporter_ID]],tb1_supporters[Supporter_ID ],tb1_supporters[Duplicate_Profile_Flag],"")</f>
        <v/>
      </c>
      <c r="S302" t="str">
        <f>_xlfn.XLOOKUP(Table8[[#This Row],[Supporter_ID]],tb1_supporters[Supporter_ID ],tb1_supporters[Preference_Compliance_Flag],"")</f>
        <v>Review - prefers email but not opted in</v>
      </c>
      <c r="T302" t="str">
        <f ca="1">IF(Table8[[#This Row],[Age]]="","Review - missing DOB",IF(Table8[[#This Row],[Age]]&gt;TODAY(),"Review - future DOB",IF(Table8[[#This Row],[Age]]=0,"Review -  potential entry error (age 0)","")))</f>
        <v/>
      </c>
      <c r="U302" t="str">
        <f>_xlfn.XLOOKUP(Table8[[#This Row],[Campaign_Code]],tb3_CampaignMaster[Campaign_Code],tb3_CampaignMaster[Campaign_Type],"")</f>
        <v>Event</v>
      </c>
      <c r="V302" t="str">
        <f>_xlfn.XLOOKUP(Table8[[#This Row],[Campaign_Code]],tb3_CampaignMaster[Campaign_Code],tb3_CampaignMaster[Target_Audience],"")</f>
        <v>Major Donors</v>
      </c>
      <c r="W302" s="17">
        <f>_xlfn.XLOOKUP(Table8[[#This Row],[Campaign_Code]],tb3_CampaignMaster[Campaign_Code],tb3_CampaignMaster[Start_Date],"")</f>
        <v>45488</v>
      </c>
      <c r="X302" s="17">
        <f>_xlfn.XLOOKUP(Table8[[#This Row],[Campaign_Code]],tb3_CampaignMaster[Campaign_Code],tb3_CampaignMaster[End_Date],"")</f>
        <v>45488</v>
      </c>
      <c r="Y302">
        <f>_xlfn.XLOOKUP(Table8[[#This Row],[Campaign_Code]],tb3_CampaignMaster[Campaign_Code],tb3_CampaignMaster[Budget_GBP],"")</f>
        <v>45000</v>
      </c>
      <c r="Z302" t="str">
        <f>_xlfn.XLOOKUP(Table8[[#This Row],[Campaign_Code]],tb3_CampaignMaster[Campaign_Code],tb3_CampaignMaster[Primary_Channel],"")</f>
        <v>Direct Mail</v>
      </c>
      <c r="AA302" s="13">
        <f>IF(Table8[[#This Row],[Gift_Aid_Eligible]]="Yes",Table8[[#This Row],[Gift_Amount]]*1.25,Table8[[#This Row],[Gift_Amount]])</f>
        <v>12.95</v>
      </c>
      <c r="AB302" t="str">
        <f>IF(Table8[[#This Row],[Supporter_ID]]="","Review - missing supporter ID","")</f>
        <v/>
      </c>
      <c r="AC302" t="str">
        <f>IF(OR(Table8[[#This Row],[Response_Date]]&lt;Table8[[#This Row],[Start_Date]],Table8[[#This Row],[Response_Date]]&gt;Table8[[#This Row],[End_Date]]),"Review - response outside campaign dates","")</f>
        <v/>
      </c>
      <c r="AD302" t="str">
        <f>IF(Table8[[#This Row],[Campaign_Type]]="","Review - campaign code not found","")</f>
        <v/>
      </c>
    </row>
    <row r="303" spans="1:30" x14ac:dyDescent="0.25">
      <c r="A303" t="s">
        <v>3887</v>
      </c>
      <c r="B303" t="s">
        <v>1522</v>
      </c>
      <c r="C303" t="s">
        <v>3320</v>
      </c>
      <c r="D303" t="s">
        <v>3321</v>
      </c>
      <c r="E303" t="s">
        <v>65</v>
      </c>
      <c r="F303" s="17">
        <v>45459</v>
      </c>
      <c r="G303">
        <v>67.77</v>
      </c>
      <c r="H303" t="s">
        <v>36</v>
      </c>
      <c r="I303" t="s">
        <v>3328</v>
      </c>
      <c r="J303" t="str">
        <f>_xlfn.XLOOKUP(Table8[[#This Row],[Supporter_ID]],tb1_supporters[Supporter_ID ],tb1_supporters[Segment],"")</f>
        <v>One-Time Donor</v>
      </c>
      <c r="K303" t="str">
        <f>_xlfn.XLOOKUP(Table8[[#This Row],[Supporter_ID]],tb1_supporters[Supporter_ID ],tb1_supporters[Acquisition_Source],"")</f>
        <v>Website</v>
      </c>
      <c r="L303" t="str">
        <f>_xlfn.XLOOKUP(Table8[[#This Row],[Supporter_ID]],tb1_supporters[Supporter_ID ],tb1_supporters[County],"")</f>
        <v>Angus</v>
      </c>
      <c r="M303" t="str">
        <f>_xlfn.XLOOKUP(Table8[[#This Row],[Supporter_ID]],tb1_supporters[Supporter_ID ],tb1_supporters[Gender],"")</f>
        <v>Male</v>
      </c>
      <c r="N303">
        <f ca="1">_xlfn.XLOOKUP(Table8[[#This Row],[Supporter_ID]],tb1_supporters[Supporter_ID ],tb1_supporters[Age],"")</f>
        <v>61</v>
      </c>
      <c r="O303" t="str">
        <f ca="1">_xlfn.XLOOKUP(Table8[[#This Row],[Supporter_ID]],tb1_supporters[Supporter_ID ],tb1_supporters[Age_Band],"")</f>
        <v>50-64</v>
      </c>
      <c r="P303" t="str">
        <f ca="1">IF(Table8[[#This Row],[Age_Band]]="","Unknown",Table8[[#This Row],[Age_Band]])</f>
        <v>50-64</v>
      </c>
      <c r="Q303" t="str">
        <f>_xlfn.XLOOKUP(Table8[[#This Row],[Supporter_ID]],tb1_supporters[Supporter_ID ],tb1_supporters[Communication_Preference],"")</f>
        <v>Email</v>
      </c>
      <c r="R303" t="str">
        <f>_xlfn.XLOOKUP(Table8[[#This Row],[Supporter_ID]],tb1_supporters[Supporter_ID ],tb1_supporters[Duplicate_Profile_Flag],"")</f>
        <v/>
      </c>
      <c r="S303" t="str">
        <f>_xlfn.XLOOKUP(Table8[[#This Row],[Supporter_ID]],tb1_supporters[Supporter_ID ],tb1_supporters[Preference_Compliance_Flag],"")</f>
        <v/>
      </c>
      <c r="T303" t="str">
        <f ca="1">IF(Table8[[#This Row],[Age]]="","Review - missing DOB",IF(Table8[[#This Row],[Age]]&gt;TODAY(),"Review - future DOB",IF(Table8[[#This Row],[Age]]=0,"Review -  potential entry error (age 0)","")))</f>
        <v/>
      </c>
      <c r="U303" t="str">
        <f>_xlfn.XLOOKUP(Table8[[#This Row],[Campaign_Code]],tb3_CampaignMaster[Campaign_Code],tb3_CampaignMaster[Campaign_Type],"")</f>
        <v>Stewardship</v>
      </c>
      <c r="V303" t="str">
        <f>_xlfn.XLOOKUP(Table8[[#This Row],[Campaign_Code]],tb3_CampaignMaster[Campaign_Code],tb3_CampaignMaster[Target_Audience],"")</f>
        <v>Major Donors</v>
      </c>
      <c r="W303" s="17">
        <f>_xlfn.XLOOKUP(Table8[[#This Row],[Campaign_Code]],tb3_CampaignMaster[Campaign_Code],tb3_CampaignMaster[Start_Date],"")</f>
        <v>45444</v>
      </c>
      <c r="X303" s="17">
        <f>_xlfn.XLOOKUP(Table8[[#This Row],[Campaign_Code]],tb3_CampaignMaster[Campaign_Code],tb3_CampaignMaster[End_Date],"")</f>
        <v>45473</v>
      </c>
      <c r="Y303">
        <f>_xlfn.XLOOKUP(Table8[[#This Row],[Campaign_Code]],tb3_CampaignMaster[Campaign_Code],tb3_CampaignMaster[Budget_GBP],"")</f>
        <v>7000</v>
      </c>
      <c r="Z303" t="str">
        <f>_xlfn.XLOOKUP(Table8[[#This Row],[Campaign_Code]],tb3_CampaignMaster[Campaign_Code],tb3_CampaignMaster[Primary_Channel],"")</f>
        <v>Direct Mail</v>
      </c>
      <c r="AA303" s="13">
        <f>IF(Table8[[#This Row],[Gift_Aid_Eligible]]="Yes",Table8[[#This Row],[Gift_Amount]]*1.25,Table8[[#This Row],[Gift_Amount]])</f>
        <v>84.712499999999991</v>
      </c>
      <c r="AB303" t="str">
        <f>IF(Table8[[#This Row],[Supporter_ID]]="","Review - missing supporter ID","")</f>
        <v/>
      </c>
      <c r="AC303" t="str">
        <f>IF(OR(Table8[[#This Row],[Response_Date]]&lt;Table8[[#This Row],[Start_Date]],Table8[[#This Row],[Response_Date]]&gt;Table8[[#This Row],[End_Date]]),"Review - response outside campaign dates","")</f>
        <v/>
      </c>
      <c r="AD303" t="str">
        <f>IF(Table8[[#This Row],[Campaign_Type]]="","Review - campaign code not found","")</f>
        <v/>
      </c>
    </row>
    <row r="304" spans="1:30" x14ac:dyDescent="0.25">
      <c r="A304" t="s">
        <v>3889</v>
      </c>
      <c r="B304" t="s">
        <v>495</v>
      </c>
      <c r="C304" t="s">
        <v>3403</v>
      </c>
      <c r="D304" t="s">
        <v>3404</v>
      </c>
      <c r="E304" t="s">
        <v>65</v>
      </c>
      <c r="F304" s="17">
        <v>45591</v>
      </c>
      <c r="G304">
        <v>231.55</v>
      </c>
      <c r="H304" t="s">
        <v>36</v>
      </c>
      <c r="I304" t="s">
        <v>3385</v>
      </c>
      <c r="J304" t="str">
        <f>_xlfn.XLOOKUP(Table8[[#This Row],[Supporter_ID]],tb1_supporters[Supporter_ID ],tb1_supporters[Segment],"")</f>
        <v>Mid-Value</v>
      </c>
      <c r="K304" t="str">
        <f>_xlfn.XLOOKUP(Table8[[#This Row],[Supporter_ID]],tb1_supporters[Supporter_ID ],tb1_supporters[Acquisition_Source],"")</f>
        <v>Website</v>
      </c>
      <c r="L304" t="str">
        <f>_xlfn.XLOOKUP(Table8[[#This Row],[Supporter_ID]],tb1_supporters[Supporter_ID ],tb1_supporters[County],"")</f>
        <v>South Yorkshire</v>
      </c>
      <c r="M304" t="str">
        <f>_xlfn.XLOOKUP(Table8[[#This Row],[Supporter_ID]],tb1_supporters[Supporter_ID ],tb1_supporters[Gender],"")</f>
        <v>Female</v>
      </c>
      <c r="N304">
        <f ca="1">_xlfn.XLOOKUP(Table8[[#This Row],[Supporter_ID]],tb1_supporters[Supporter_ID ],tb1_supporters[Age],"")</f>
        <v>72</v>
      </c>
      <c r="O304" t="str">
        <f ca="1">_xlfn.XLOOKUP(Table8[[#This Row],[Supporter_ID]],tb1_supporters[Supporter_ID ],tb1_supporters[Age_Band],"")</f>
        <v>65+</v>
      </c>
      <c r="P304" t="str">
        <f ca="1">IF(Table8[[#This Row],[Age_Band]]="","Unknown",Table8[[#This Row],[Age_Band]])</f>
        <v>65+</v>
      </c>
      <c r="Q304" t="str">
        <f>_xlfn.XLOOKUP(Table8[[#This Row],[Supporter_ID]],tb1_supporters[Supporter_ID ],tb1_supporters[Communication_Preference],"")</f>
        <v>Email</v>
      </c>
      <c r="R304" t="str">
        <f>_xlfn.XLOOKUP(Table8[[#This Row],[Supporter_ID]],tb1_supporters[Supporter_ID ],tb1_supporters[Duplicate_Profile_Flag],"")</f>
        <v/>
      </c>
      <c r="S304" t="str">
        <f>_xlfn.XLOOKUP(Table8[[#This Row],[Supporter_ID]],tb1_supporters[Supporter_ID ],tb1_supporters[Preference_Compliance_Flag],"")</f>
        <v/>
      </c>
      <c r="T304" t="str">
        <f ca="1">IF(Table8[[#This Row],[Age]]="","Review - missing DOB",IF(Table8[[#This Row],[Age]]&gt;TODAY(),"Review - future DOB",IF(Table8[[#This Row],[Age]]=0,"Review -  potential entry error (age 0)","")))</f>
        <v/>
      </c>
      <c r="U304" t="str">
        <f>_xlfn.XLOOKUP(Table8[[#This Row],[Campaign_Code]],tb3_CampaignMaster[Campaign_Code],tb3_CampaignMaster[Campaign_Type],"")</f>
        <v>Trading</v>
      </c>
      <c r="V304" t="str">
        <f>_xlfn.XLOOKUP(Table8[[#This Row],[Campaign_Code]],tb3_CampaignMaster[Campaign_Code],tb3_CampaignMaster[Target_Audience],"")</f>
        <v>All Active</v>
      </c>
      <c r="W304" s="17">
        <f>_xlfn.XLOOKUP(Table8[[#This Row],[Campaign_Code]],tb3_CampaignMaster[Campaign_Code],tb3_CampaignMaster[Start_Date],"")</f>
        <v>45580</v>
      </c>
      <c r="X304" s="17">
        <f>_xlfn.XLOOKUP(Table8[[#This Row],[Campaign_Code]],tb3_CampaignMaster[Campaign_Code],tb3_CampaignMaster[End_Date],"")</f>
        <v>45646</v>
      </c>
      <c r="Y304">
        <f>_xlfn.XLOOKUP(Table8[[#This Row],[Campaign_Code]],tb3_CampaignMaster[Campaign_Code],tb3_CampaignMaster[Budget_GBP],"")</f>
        <v>12000</v>
      </c>
      <c r="Z304" t="str">
        <f>_xlfn.XLOOKUP(Table8[[#This Row],[Campaign_Code]],tb3_CampaignMaster[Campaign_Code],tb3_CampaignMaster[Primary_Channel],"")</f>
        <v>Multi-channel</v>
      </c>
      <c r="AA304" s="13">
        <f>IF(Table8[[#This Row],[Gift_Aid_Eligible]]="Yes",Table8[[#This Row],[Gift_Amount]]*1.25,Table8[[#This Row],[Gift_Amount]])</f>
        <v>289.4375</v>
      </c>
      <c r="AB304" t="str">
        <f>IF(Table8[[#This Row],[Supporter_ID]]="","Review - missing supporter ID","")</f>
        <v/>
      </c>
      <c r="AC304" t="str">
        <f>IF(OR(Table8[[#This Row],[Response_Date]]&lt;Table8[[#This Row],[Start_Date]],Table8[[#This Row],[Response_Date]]&gt;Table8[[#This Row],[End_Date]]),"Review - response outside campaign dates","")</f>
        <v/>
      </c>
      <c r="AD304" t="str">
        <f>IF(Table8[[#This Row],[Campaign_Type]]="","Review - campaign code not found","")</f>
        <v/>
      </c>
    </row>
    <row r="305" spans="1:30" x14ac:dyDescent="0.25">
      <c r="A305" t="s">
        <v>3890</v>
      </c>
      <c r="B305" t="s">
        <v>1296</v>
      </c>
      <c r="C305" t="s">
        <v>3362</v>
      </c>
      <c r="D305" t="s">
        <v>3363</v>
      </c>
      <c r="E305" t="s">
        <v>65</v>
      </c>
      <c r="F305" s="17">
        <v>45578</v>
      </c>
      <c r="G305">
        <v>65.97</v>
      </c>
      <c r="H305" t="s">
        <v>36</v>
      </c>
      <c r="I305" t="s">
        <v>3365</v>
      </c>
      <c r="J305" t="str">
        <f>_xlfn.XLOOKUP(Table8[[#This Row],[Supporter_ID]],tb1_supporters[Supporter_ID ],tb1_supporters[Segment],"")</f>
        <v>Lapsed</v>
      </c>
      <c r="K305" t="str">
        <f>_xlfn.XLOOKUP(Table8[[#This Row],[Supporter_ID]],tb1_supporters[Supporter_ID ],tb1_supporters[Acquisition_Source],"")</f>
        <v>Event</v>
      </c>
      <c r="L305" t="str">
        <f>_xlfn.XLOOKUP(Table8[[#This Row],[Supporter_ID]],tb1_supporters[Supporter_ID ],tb1_supporters[County],"")</f>
        <v>Grampian</v>
      </c>
      <c r="M305" t="str">
        <f>_xlfn.XLOOKUP(Table8[[#This Row],[Supporter_ID]],tb1_supporters[Supporter_ID ],tb1_supporters[Gender],"")</f>
        <v>Male</v>
      </c>
      <c r="N305">
        <f ca="1">_xlfn.XLOOKUP(Table8[[#This Row],[Supporter_ID]],tb1_supporters[Supporter_ID ],tb1_supporters[Age],"")</f>
        <v>37</v>
      </c>
      <c r="O305" t="str">
        <f ca="1">_xlfn.XLOOKUP(Table8[[#This Row],[Supporter_ID]],tb1_supporters[Supporter_ID ],tb1_supporters[Age_Band],"")</f>
        <v>35-49</v>
      </c>
      <c r="P305" t="str">
        <f ca="1">IF(Table8[[#This Row],[Age_Band]]="","Unknown",Table8[[#This Row],[Age_Band]])</f>
        <v>35-49</v>
      </c>
      <c r="Q305" t="str">
        <f>_xlfn.XLOOKUP(Table8[[#This Row],[Supporter_ID]],tb1_supporters[Supporter_ID ],tb1_supporters[Communication_Preference],"")</f>
        <v>Email</v>
      </c>
      <c r="R305" t="str">
        <f>_xlfn.XLOOKUP(Table8[[#This Row],[Supporter_ID]],tb1_supporters[Supporter_ID ],tb1_supporters[Duplicate_Profile_Flag],"")</f>
        <v/>
      </c>
      <c r="S305" t="str">
        <f>_xlfn.XLOOKUP(Table8[[#This Row],[Supporter_ID]],tb1_supporters[Supporter_ID ],tb1_supporters[Preference_Compliance_Flag],"")</f>
        <v/>
      </c>
      <c r="T305" t="str">
        <f ca="1">IF(Table8[[#This Row],[Age]]="","Review - missing DOB",IF(Table8[[#This Row],[Age]]&gt;TODAY(),"Review - future DOB",IF(Table8[[#This Row],[Age]]=0,"Review -  potential entry error (age 0)","")))</f>
        <v/>
      </c>
      <c r="U305" t="str">
        <f>_xlfn.XLOOKUP(Table8[[#This Row],[Campaign_Code]],tb3_CampaignMaster[Campaign_Code],tb3_CampaignMaster[Campaign_Type],"")</f>
        <v>Legacy</v>
      </c>
      <c r="V305" t="str">
        <f>_xlfn.XLOOKUP(Table8[[#This Row],[Campaign_Code]],tb3_CampaignMaster[Campaign_Code],tb3_CampaignMaster[Target_Audience],"")</f>
        <v>Over 55s</v>
      </c>
      <c r="W305" s="17">
        <f>_xlfn.XLOOKUP(Table8[[#This Row],[Campaign_Code]],tb3_CampaignMaster[Campaign_Code],tb3_CampaignMaster[Start_Date],"")</f>
        <v>45572</v>
      </c>
      <c r="X305" s="17">
        <f>_xlfn.XLOOKUP(Table8[[#This Row],[Campaign_Code]],tb3_CampaignMaster[Campaign_Code],tb3_CampaignMaster[End_Date],"")</f>
        <v>45578</v>
      </c>
      <c r="Y305">
        <f>_xlfn.XLOOKUP(Table8[[#This Row],[Campaign_Code]],tb3_CampaignMaster[Campaign_Code],tb3_CampaignMaster[Budget_GBP],"")</f>
        <v>5000</v>
      </c>
      <c r="Z305" t="str">
        <f>_xlfn.XLOOKUP(Table8[[#This Row],[Campaign_Code]],tb3_CampaignMaster[Campaign_Code],tb3_CampaignMaster[Primary_Channel],"")</f>
        <v>Direct Mail</v>
      </c>
      <c r="AA305" s="13">
        <f>IF(Table8[[#This Row],[Gift_Aid_Eligible]]="Yes",Table8[[#This Row],[Gift_Amount]]*1.25,Table8[[#This Row],[Gift_Amount]])</f>
        <v>82.462500000000006</v>
      </c>
      <c r="AB305" t="str">
        <f>IF(Table8[[#This Row],[Supporter_ID]]="","Review - missing supporter ID","")</f>
        <v/>
      </c>
      <c r="AC305" t="str">
        <f>IF(OR(Table8[[#This Row],[Response_Date]]&lt;Table8[[#This Row],[Start_Date]],Table8[[#This Row],[Response_Date]]&gt;Table8[[#This Row],[End_Date]]),"Review - response outside campaign dates","")</f>
        <v/>
      </c>
      <c r="AD305" t="str">
        <f>IF(Table8[[#This Row],[Campaign_Type]]="","Review - campaign code not found","")</f>
        <v/>
      </c>
    </row>
    <row r="306" spans="1:30" x14ac:dyDescent="0.25">
      <c r="A306" t="s">
        <v>3891</v>
      </c>
      <c r="B306" t="s">
        <v>1544</v>
      </c>
      <c r="C306" t="s">
        <v>3314</v>
      </c>
      <c r="D306" t="s">
        <v>3315</v>
      </c>
      <c r="E306" t="s">
        <v>65</v>
      </c>
      <c r="F306" s="17">
        <v>45676</v>
      </c>
      <c r="G306">
        <v>24.16</v>
      </c>
      <c r="H306" t="s">
        <v>37</v>
      </c>
      <c r="I306" t="s">
        <v>3331</v>
      </c>
      <c r="J306" t="str">
        <f>_xlfn.XLOOKUP(Table8[[#This Row],[Supporter_ID]],tb1_supporters[Supporter_ID ],tb1_supporters[Segment],"")</f>
        <v>Prospect</v>
      </c>
      <c r="K306" t="str">
        <f>_xlfn.XLOOKUP(Table8[[#This Row],[Supporter_ID]],tb1_supporters[Supporter_ID ],tb1_supporters[Acquisition_Source],"")</f>
        <v>Event</v>
      </c>
      <c r="L306" t="str">
        <f>_xlfn.XLOOKUP(Table8[[#This Row],[Supporter_ID]],tb1_supporters[Supporter_ID ],tb1_supporters[County],"")</f>
        <v>Surrey</v>
      </c>
      <c r="M306" t="str">
        <f>_xlfn.XLOOKUP(Table8[[#This Row],[Supporter_ID]],tb1_supporters[Supporter_ID ],tb1_supporters[Gender],"")</f>
        <v>Male</v>
      </c>
      <c r="N306">
        <f ca="1">_xlfn.XLOOKUP(Table8[[#This Row],[Supporter_ID]],tb1_supporters[Supporter_ID ],tb1_supporters[Age],"")</f>
        <v>29</v>
      </c>
      <c r="O306" t="str">
        <f ca="1">_xlfn.XLOOKUP(Table8[[#This Row],[Supporter_ID]],tb1_supporters[Supporter_ID ],tb1_supporters[Age_Band],"")</f>
        <v>18-34</v>
      </c>
      <c r="P306" t="str">
        <f ca="1">IF(Table8[[#This Row],[Age_Band]]="","Unknown",Table8[[#This Row],[Age_Band]])</f>
        <v>18-34</v>
      </c>
      <c r="Q306" t="str">
        <f>_xlfn.XLOOKUP(Table8[[#This Row],[Supporter_ID]],tb1_supporters[Supporter_ID ],tb1_supporters[Communication_Preference],"")</f>
        <v>Email</v>
      </c>
      <c r="R306" t="str">
        <f>_xlfn.XLOOKUP(Table8[[#This Row],[Supporter_ID]],tb1_supporters[Supporter_ID ],tb1_supporters[Duplicate_Profile_Flag],"")</f>
        <v/>
      </c>
      <c r="S306" t="str">
        <f>_xlfn.XLOOKUP(Table8[[#This Row],[Supporter_ID]],tb1_supporters[Supporter_ID ],tb1_supporters[Preference_Compliance_Flag],"")</f>
        <v>Review - prefers email but not opted in</v>
      </c>
      <c r="T306" t="str">
        <f ca="1">IF(Table8[[#This Row],[Age]]="","Review - missing DOB",IF(Table8[[#This Row],[Age]]&gt;TODAY(),"Review - future DOB",IF(Table8[[#This Row],[Age]]=0,"Review -  potential entry error (age 0)","")))</f>
        <v/>
      </c>
      <c r="U306" t="str">
        <f>_xlfn.XLOOKUP(Table8[[#This Row],[Campaign_Code]],tb3_CampaignMaster[Campaign_Code],tb3_CampaignMaster[Campaign_Type],"")</f>
        <v>Regular Giving</v>
      </c>
      <c r="V306" t="str">
        <f>_xlfn.XLOOKUP(Table8[[#This Row],[Campaign_Code]],tb3_CampaignMaster[Campaign_Code],tb3_CampaignMaster[Target_Audience],"")</f>
        <v>One-time Donors</v>
      </c>
      <c r="W306" s="17">
        <f>_xlfn.XLOOKUP(Table8[[#This Row],[Campaign_Code]],tb3_CampaignMaster[Campaign_Code],tb3_CampaignMaster[Start_Date],"")</f>
        <v>45663</v>
      </c>
      <c r="X306" s="17">
        <f>_xlfn.XLOOKUP(Table8[[#This Row],[Campaign_Code]],tb3_CampaignMaster[Campaign_Code],tb3_CampaignMaster[End_Date],"")</f>
        <v>45747</v>
      </c>
      <c r="Y306">
        <f>_xlfn.XLOOKUP(Table8[[#This Row],[Campaign_Code]],tb3_CampaignMaster[Campaign_Code],tb3_CampaignMaster[Budget_GBP],"")</f>
        <v>10000</v>
      </c>
      <c r="Z306" t="str">
        <f>_xlfn.XLOOKUP(Table8[[#This Row],[Campaign_Code]],tb3_CampaignMaster[Campaign_Code],tb3_CampaignMaster[Primary_Channel],"")</f>
        <v>Telephone</v>
      </c>
      <c r="AA306" s="13">
        <f>IF(Table8[[#This Row],[Gift_Aid_Eligible]]="Yes",Table8[[#This Row],[Gift_Amount]]*1.25,Table8[[#This Row],[Gift_Amount]])</f>
        <v>24.16</v>
      </c>
      <c r="AB306" t="str">
        <f>IF(Table8[[#This Row],[Supporter_ID]]="","Review - missing supporter ID","")</f>
        <v/>
      </c>
      <c r="AC306" t="str">
        <f>IF(OR(Table8[[#This Row],[Response_Date]]&lt;Table8[[#This Row],[Start_Date]],Table8[[#This Row],[Response_Date]]&gt;Table8[[#This Row],[End_Date]]),"Review - response outside campaign dates","")</f>
        <v/>
      </c>
      <c r="AD306" t="str">
        <f>IF(Table8[[#This Row],[Campaign_Type]]="","Review - campaign code not found","")</f>
        <v/>
      </c>
    </row>
    <row r="307" spans="1:30" x14ac:dyDescent="0.25">
      <c r="A307" t="s">
        <v>3893</v>
      </c>
      <c r="B307" t="s">
        <v>1890</v>
      </c>
      <c r="C307" t="s">
        <v>3336</v>
      </c>
      <c r="D307" t="s">
        <v>3337</v>
      </c>
      <c r="E307" t="s">
        <v>3316</v>
      </c>
      <c r="F307" s="17">
        <v>45483</v>
      </c>
      <c r="G307">
        <v>14.78</v>
      </c>
      <c r="H307" t="s">
        <v>37</v>
      </c>
      <c r="I307" t="s">
        <v>3328</v>
      </c>
      <c r="J307" t="str">
        <f>_xlfn.XLOOKUP(Table8[[#This Row],[Supporter_ID]],tb1_supporters[Supporter_ID ],tb1_supporters[Segment],"")</f>
        <v>Prospect</v>
      </c>
      <c r="K307" t="str">
        <f>_xlfn.XLOOKUP(Table8[[#This Row],[Supporter_ID]],tb1_supporters[Supporter_ID ],tb1_supporters[Acquisition_Source],"")</f>
        <v>Corporate Partner</v>
      </c>
      <c r="L307" t="str">
        <f>_xlfn.XLOOKUP(Table8[[#This Row],[Supporter_ID]],tb1_supporters[Supporter_ID ],tb1_supporters[County],"")</f>
        <v>Devon</v>
      </c>
      <c r="M307" t="str">
        <f>_xlfn.XLOOKUP(Table8[[#This Row],[Supporter_ID]],tb1_supporters[Supporter_ID ],tb1_supporters[Gender],"")</f>
        <v>Female</v>
      </c>
      <c r="N307">
        <f ca="1">_xlfn.XLOOKUP(Table8[[#This Row],[Supporter_ID]],tb1_supporters[Supporter_ID ],tb1_supporters[Age],"")</f>
        <v>52</v>
      </c>
      <c r="O307" t="str">
        <f ca="1">_xlfn.XLOOKUP(Table8[[#This Row],[Supporter_ID]],tb1_supporters[Supporter_ID ],tb1_supporters[Age_Band],"")</f>
        <v>50-64</v>
      </c>
      <c r="P307" t="str">
        <f ca="1">IF(Table8[[#This Row],[Age_Band]]="","Unknown",Table8[[#This Row],[Age_Band]])</f>
        <v>50-64</v>
      </c>
      <c r="Q307" t="str">
        <f>_xlfn.XLOOKUP(Table8[[#This Row],[Supporter_ID]],tb1_supporters[Supporter_ID ],tb1_supporters[Communication_Preference],"")</f>
        <v>Email</v>
      </c>
      <c r="R307" t="str">
        <f>_xlfn.XLOOKUP(Table8[[#This Row],[Supporter_ID]],tb1_supporters[Supporter_ID ],tb1_supporters[Duplicate_Profile_Flag],"")</f>
        <v/>
      </c>
      <c r="S307" t="str">
        <f>_xlfn.XLOOKUP(Table8[[#This Row],[Supporter_ID]],tb1_supporters[Supporter_ID ],tb1_supporters[Preference_Compliance_Flag],"")</f>
        <v/>
      </c>
      <c r="T307" t="str">
        <f ca="1">IF(Table8[[#This Row],[Age]]="","Review - missing DOB",IF(Table8[[#This Row],[Age]]&gt;TODAY(),"Review - future DOB",IF(Table8[[#This Row],[Age]]=0,"Review -  potential entry error (age 0)","")))</f>
        <v/>
      </c>
      <c r="U307" t="str">
        <f>_xlfn.XLOOKUP(Table8[[#This Row],[Campaign_Code]],tb3_CampaignMaster[Campaign_Code],tb3_CampaignMaster[Campaign_Type],"")</f>
        <v>Appeal</v>
      </c>
      <c r="V307" t="str">
        <f>_xlfn.XLOOKUP(Table8[[#This Row],[Campaign_Code]],tb3_CampaignMaster[Campaign_Code],tb3_CampaignMaster[Target_Audience],"")</f>
        <v>All Supporters</v>
      </c>
      <c r="W307" s="17">
        <f>_xlfn.XLOOKUP(Table8[[#This Row],[Campaign_Code]],tb3_CampaignMaster[Campaign_Code],tb3_CampaignMaster[Start_Date],"")</f>
        <v>45545</v>
      </c>
      <c r="X307" s="17">
        <f>_xlfn.XLOOKUP(Table8[[#This Row],[Campaign_Code]],tb3_CampaignMaster[Campaign_Code],tb3_CampaignMaster[End_Date],"")</f>
        <v>45580</v>
      </c>
      <c r="Y307">
        <f>_xlfn.XLOOKUP(Table8[[#This Row],[Campaign_Code]],tb3_CampaignMaster[Campaign_Code],tb3_CampaignMaster[Budget_GBP],"")</f>
        <v>15000</v>
      </c>
      <c r="Z307" t="str">
        <f>_xlfn.XLOOKUP(Table8[[#This Row],[Campaign_Code]],tb3_CampaignMaster[Campaign_Code],tb3_CampaignMaster[Primary_Channel],"")</f>
        <v>Email</v>
      </c>
      <c r="AA307" s="13">
        <f>IF(Table8[[#This Row],[Gift_Aid_Eligible]]="Yes",Table8[[#This Row],[Gift_Amount]]*1.25,Table8[[#This Row],[Gift_Amount]])</f>
        <v>14.78</v>
      </c>
      <c r="AB307" t="str">
        <f>IF(Table8[[#This Row],[Supporter_ID]]="","Review - missing supporter ID","")</f>
        <v/>
      </c>
      <c r="AC307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307" t="str">
        <f>IF(Table8[[#This Row],[Campaign_Type]]="","Review - campaign code not found","")</f>
        <v/>
      </c>
    </row>
    <row r="308" spans="1:30" x14ac:dyDescent="0.25">
      <c r="A308" t="s">
        <v>3894</v>
      </c>
      <c r="B308" t="s">
        <v>1280</v>
      </c>
      <c r="C308" t="s">
        <v>3427</v>
      </c>
      <c r="D308" t="s">
        <v>3428</v>
      </c>
      <c r="E308" t="s">
        <v>65</v>
      </c>
      <c r="F308" s="17">
        <v>45488</v>
      </c>
      <c r="G308">
        <v>8.32</v>
      </c>
      <c r="H308" t="s">
        <v>36</v>
      </c>
      <c r="I308" t="s">
        <v>3318</v>
      </c>
      <c r="J308" t="str">
        <f>_xlfn.XLOOKUP(Table8[[#This Row],[Supporter_ID]],tb1_supporters[Supporter_ID ],tb1_supporters[Segment],"")</f>
        <v>Regular Giver</v>
      </c>
      <c r="K308" t="str">
        <f>_xlfn.XLOOKUP(Table8[[#This Row],[Supporter_ID]],tb1_supporters[Supporter_ID ],tb1_supporters[Acquisition_Source],"")</f>
        <v>Social Media</v>
      </c>
      <c r="L308" t="str">
        <f>_xlfn.XLOOKUP(Table8[[#This Row],[Supporter_ID]],tb1_supporters[Supporter_ID ],tb1_supporters[County],"")</f>
        <v>Bedfordshire</v>
      </c>
      <c r="M308" t="str">
        <f>_xlfn.XLOOKUP(Table8[[#This Row],[Supporter_ID]],tb1_supporters[Supporter_ID ],tb1_supporters[Gender],"")</f>
        <v>Male</v>
      </c>
      <c r="N308">
        <f ca="1">_xlfn.XLOOKUP(Table8[[#This Row],[Supporter_ID]],tb1_supporters[Supporter_ID ],tb1_supporters[Age],"")</f>
        <v>71</v>
      </c>
      <c r="O308" t="str">
        <f ca="1">_xlfn.XLOOKUP(Table8[[#This Row],[Supporter_ID]],tb1_supporters[Supporter_ID ],tb1_supporters[Age_Band],"")</f>
        <v>65+</v>
      </c>
      <c r="P308" t="str">
        <f ca="1">IF(Table8[[#This Row],[Age_Band]]="","Unknown",Table8[[#This Row],[Age_Band]])</f>
        <v>65+</v>
      </c>
      <c r="Q308" t="str">
        <f>_xlfn.XLOOKUP(Table8[[#This Row],[Supporter_ID]],tb1_supporters[Supporter_ID ],tb1_supporters[Communication_Preference],"")</f>
        <v>Email</v>
      </c>
      <c r="R308" t="str">
        <f>_xlfn.XLOOKUP(Table8[[#This Row],[Supporter_ID]],tb1_supporters[Supporter_ID ],tb1_supporters[Duplicate_Profile_Flag],"")</f>
        <v/>
      </c>
      <c r="S308" t="str">
        <f>_xlfn.XLOOKUP(Table8[[#This Row],[Supporter_ID]],tb1_supporters[Supporter_ID ],tb1_supporters[Preference_Compliance_Flag],"")</f>
        <v/>
      </c>
      <c r="T308" t="str">
        <f ca="1">IF(Table8[[#This Row],[Age]]="","Review - missing DOB",IF(Table8[[#This Row],[Age]]&gt;TODAY(),"Review - future DOB",IF(Table8[[#This Row],[Age]]=0,"Review -  potential entry error (age 0)","")))</f>
        <v/>
      </c>
      <c r="U308" t="str">
        <f>_xlfn.XLOOKUP(Table8[[#This Row],[Campaign_Code]],tb3_CampaignMaster[Campaign_Code],tb3_CampaignMaster[Campaign_Type],"")</f>
        <v>Event</v>
      </c>
      <c r="V308" t="str">
        <f>_xlfn.XLOOKUP(Table8[[#This Row],[Campaign_Code]],tb3_CampaignMaster[Campaign_Code],tb3_CampaignMaster[Target_Audience],"")</f>
        <v>Major Donors</v>
      </c>
      <c r="W308" s="17">
        <f>_xlfn.XLOOKUP(Table8[[#This Row],[Campaign_Code]],tb3_CampaignMaster[Campaign_Code],tb3_CampaignMaster[Start_Date],"")</f>
        <v>45488</v>
      </c>
      <c r="X308" s="17">
        <f>_xlfn.XLOOKUP(Table8[[#This Row],[Campaign_Code]],tb3_CampaignMaster[Campaign_Code],tb3_CampaignMaster[End_Date],"")</f>
        <v>45488</v>
      </c>
      <c r="Y308">
        <f>_xlfn.XLOOKUP(Table8[[#This Row],[Campaign_Code]],tb3_CampaignMaster[Campaign_Code],tb3_CampaignMaster[Budget_GBP],"")</f>
        <v>45000</v>
      </c>
      <c r="Z308" t="str">
        <f>_xlfn.XLOOKUP(Table8[[#This Row],[Campaign_Code]],tb3_CampaignMaster[Campaign_Code],tb3_CampaignMaster[Primary_Channel],"")</f>
        <v>Direct Mail</v>
      </c>
      <c r="AA308" s="13">
        <f>IF(Table8[[#This Row],[Gift_Aid_Eligible]]="Yes",Table8[[#This Row],[Gift_Amount]]*1.25,Table8[[#This Row],[Gift_Amount]])</f>
        <v>10.4</v>
      </c>
      <c r="AB308" t="str">
        <f>IF(Table8[[#This Row],[Supporter_ID]]="","Review - missing supporter ID","")</f>
        <v/>
      </c>
      <c r="AC308" t="str">
        <f>IF(OR(Table8[[#This Row],[Response_Date]]&lt;Table8[[#This Row],[Start_Date]],Table8[[#This Row],[Response_Date]]&gt;Table8[[#This Row],[End_Date]]),"Review - response outside campaign dates","")</f>
        <v/>
      </c>
      <c r="AD308" t="str">
        <f>IF(Table8[[#This Row],[Campaign_Type]]="","Review - campaign code not found","")</f>
        <v/>
      </c>
    </row>
    <row r="309" spans="1:30" x14ac:dyDescent="0.25">
      <c r="A309" t="s">
        <v>3895</v>
      </c>
      <c r="B309" t="s">
        <v>1045</v>
      </c>
      <c r="C309" t="s">
        <v>3336</v>
      </c>
      <c r="D309" t="s">
        <v>3337</v>
      </c>
      <c r="E309" t="s">
        <v>3338</v>
      </c>
      <c r="F309" s="17">
        <v>45574</v>
      </c>
      <c r="G309">
        <v>26.02</v>
      </c>
      <c r="H309" t="s">
        <v>36</v>
      </c>
      <c r="I309" t="s">
        <v>3370</v>
      </c>
      <c r="J309" t="str">
        <f>_xlfn.XLOOKUP(Table8[[#This Row],[Supporter_ID]],tb1_supporters[Supporter_ID ],tb1_supporters[Segment],"")</f>
        <v>Lapsed</v>
      </c>
      <c r="K309" t="str">
        <f>_xlfn.XLOOKUP(Table8[[#This Row],[Supporter_ID]],tb1_supporters[Supporter_ID ],tb1_supporters[Acquisition_Source],"")</f>
        <v>Telephone</v>
      </c>
      <c r="L309" t="str">
        <f>_xlfn.XLOOKUP(Table8[[#This Row],[Supporter_ID]],tb1_supporters[Supporter_ID ],tb1_supporters[County],"")</f>
        <v>Norfolk</v>
      </c>
      <c r="M309" t="str">
        <f>_xlfn.XLOOKUP(Table8[[#This Row],[Supporter_ID]],tb1_supporters[Supporter_ID ],tb1_supporters[Gender],"")</f>
        <v>Male</v>
      </c>
      <c r="N309">
        <f ca="1">_xlfn.XLOOKUP(Table8[[#This Row],[Supporter_ID]],tb1_supporters[Supporter_ID ],tb1_supporters[Age],"")</f>
        <v>30</v>
      </c>
      <c r="O309" t="str">
        <f ca="1">_xlfn.XLOOKUP(Table8[[#This Row],[Supporter_ID]],tb1_supporters[Supporter_ID ],tb1_supporters[Age_Band],"")</f>
        <v>18-34</v>
      </c>
      <c r="P309" t="str">
        <f ca="1">IF(Table8[[#This Row],[Age_Band]]="","Unknown",Table8[[#This Row],[Age_Band]])</f>
        <v>18-34</v>
      </c>
      <c r="Q309" t="str">
        <f>_xlfn.XLOOKUP(Table8[[#This Row],[Supporter_ID]],tb1_supporters[Supporter_ID ],tb1_supporters[Communication_Preference],"")</f>
        <v>Phone</v>
      </c>
      <c r="R309" t="str">
        <f>_xlfn.XLOOKUP(Table8[[#This Row],[Supporter_ID]],tb1_supporters[Supporter_ID ],tb1_supporters[Duplicate_Profile_Flag],"")</f>
        <v/>
      </c>
      <c r="S309" t="str">
        <f>_xlfn.XLOOKUP(Table8[[#This Row],[Supporter_ID]],tb1_supporters[Supporter_ID ],tb1_supporters[Preference_Compliance_Flag],"")</f>
        <v/>
      </c>
      <c r="T309" t="str">
        <f ca="1">IF(Table8[[#This Row],[Age]]="","Review - missing DOB",IF(Table8[[#This Row],[Age]]&gt;TODAY(),"Review - future DOB",IF(Table8[[#This Row],[Age]]=0,"Review -  potential entry error (age 0)","")))</f>
        <v/>
      </c>
      <c r="U309" t="str">
        <f>_xlfn.XLOOKUP(Table8[[#This Row],[Campaign_Code]],tb3_CampaignMaster[Campaign_Code],tb3_CampaignMaster[Campaign_Type],"")</f>
        <v>Appeal</v>
      </c>
      <c r="V309" t="str">
        <f>_xlfn.XLOOKUP(Table8[[#This Row],[Campaign_Code]],tb3_CampaignMaster[Campaign_Code],tb3_CampaignMaster[Target_Audience],"")</f>
        <v>All Supporters</v>
      </c>
      <c r="W309" s="17">
        <f>_xlfn.XLOOKUP(Table8[[#This Row],[Campaign_Code]],tb3_CampaignMaster[Campaign_Code],tb3_CampaignMaster[Start_Date],"")</f>
        <v>45545</v>
      </c>
      <c r="X309" s="17">
        <f>_xlfn.XLOOKUP(Table8[[#This Row],[Campaign_Code]],tb3_CampaignMaster[Campaign_Code],tb3_CampaignMaster[End_Date],"")</f>
        <v>45580</v>
      </c>
      <c r="Y309">
        <f>_xlfn.XLOOKUP(Table8[[#This Row],[Campaign_Code]],tb3_CampaignMaster[Campaign_Code],tb3_CampaignMaster[Budget_GBP],"")</f>
        <v>15000</v>
      </c>
      <c r="Z309" t="str">
        <f>_xlfn.XLOOKUP(Table8[[#This Row],[Campaign_Code]],tb3_CampaignMaster[Campaign_Code],tb3_CampaignMaster[Primary_Channel],"")</f>
        <v>Email</v>
      </c>
      <c r="AA309" s="13">
        <f>IF(Table8[[#This Row],[Gift_Aid_Eligible]]="Yes",Table8[[#This Row],[Gift_Amount]]*1.25,Table8[[#This Row],[Gift_Amount]])</f>
        <v>32.524999999999999</v>
      </c>
      <c r="AB309" t="str">
        <f>IF(Table8[[#This Row],[Supporter_ID]]="","Review - missing supporter ID","")</f>
        <v/>
      </c>
      <c r="AC309" t="str">
        <f>IF(OR(Table8[[#This Row],[Response_Date]]&lt;Table8[[#This Row],[Start_Date]],Table8[[#This Row],[Response_Date]]&gt;Table8[[#This Row],[End_Date]]),"Review - response outside campaign dates","")</f>
        <v/>
      </c>
      <c r="AD309" t="str">
        <f>IF(Table8[[#This Row],[Campaign_Type]]="","Review - campaign code not found","")</f>
        <v/>
      </c>
    </row>
    <row r="310" spans="1:30" x14ac:dyDescent="0.25">
      <c r="A310" t="s">
        <v>3896</v>
      </c>
      <c r="B310" t="s">
        <v>3165</v>
      </c>
      <c r="C310" t="s">
        <v>3341</v>
      </c>
      <c r="D310" t="s">
        <v>3342</v>
      </c>
      <c r="E310" t="s">
        <v>3316</v>
      </c>
      <c r="F310" s="17">
        <v>45730</v>
      </c>
      <c r="G310">
        <v>72.069999999999993</v>
      </c>
      <c r="H310" t="s">
        <v>36</v>
      </c>
      <c r="I310" t="s">
        <v>3365</v>
      </c>
      <c r="J310" t="str">
        <f>_xlfn.XLOOKUP(Table8[[#This Row],[Supporter_ID]],tb1_supporters[Supporter_ID ],tb1_supporters[Segment],"")</f>
        <v>One-Time Donor</v>
      </c>
      <c r="K310" t="str">
        <f>_xlfn.XLOOKUP(Table8[[#This Row],[Supporter_ID]],tb1_supporters[Supporter_ID ],tb1_supporters[Acquisition_Source],"")</f>
        <v>Door-To-Door</v>
      </c>
      <c r="L310" t="str">
        <f>_xlfn.XLOOKUP(Table8[[#This Row],[Supporter_ID]],tb1_supporters[Supporter_ID ],tb1_supporters[County],"")</f>
        <v>Antrim</v>
      </c>
      <c r="M310" t="str">
        <f>_xlfn.XLOOKUP(Table8[[#This Row],[Supporter_ID]],tb1_supporters[Supporter_ID ],tb1_supporters[Gender],"")</f>
        <v>Male</v>
      </c>
      <c r="N310">
        <f ca="1">_xlfn.XLOOKUP(Table8[[#This Row],[Supporter_ID]],tb1_supporters[Supporter_ID ],tb1_supporters[Age],"")</f>
        <v>33</v>
      </c>
      <c r="O310" t="str">
        <f ca="1">_xlfn.XLOOKUP(Table8[[#This Row],[Supporter_ID]],tb1_supporters[Supporter_ID ],tb1_supporters[Age_Band],"")</f>
        <v>18-34</v>
      </c>
      <c r="P310" t="str">
        <f ca="1">IF(Table8[[#This Row],[Age_Band]]="","Unknown",Table8[[#This Row],[Age_Band]])</f>
        <v>18-34</v>
      </c>
      <c r="Q310" t="str">
        <f>_xlfn.XLOOKUP(Table8[[#This Row],[Supporter_ID]],tb1_supporters[Supporter_ID ],tb1_supporters[Communication_Preference],"")</f>
        <v>Phone</v>
      </c>
      <c r="R310" t="str">
        <f>_xlfn.XLOOKUP(Table8[[#This Row],[Supporter_ID]],tb1_supporters[Supporter_ID ],tb1_supporters[Duplicate_Profile_Flag],"")</f>
        <v/>
      </c>
      <c r="S310" t="str">
        <f>_xlfn.XLOOKUP(Table8[[#This Row],[Supporter_ID]],tb1_supporters[Supporter_ID ],tb1_supporters[Preference_Compliance_Flag],"")</f>
        <v/>
      </c>
      <c r="T310" t="str">
        <f ca="1">IF(Table8[[#This Row],[Age]]="","Review - missing DOB",IF(Table8[[#This Row],[Age]]&gt;TODAY(),"Review - future DOB",IF(Table8[[#This Row],[Age]]=0,"Review -  potential entry error (age 0)","")))</f>
        <v/>
      </c>
      <c r="U310" t="str">
        <f>_xlfn.XLOOKUP(Table8[[#This Row],[Campaign_Code]],tb3_CampaignMaster[Campaign_Code],tb3_CampaignMaster[Campaign_Type],"")</f>
        <v>Acquisition</v>
      </c>
      <c r="V310" t="str">
        <f>_xlfn.XLOOKUP(Table8[[#This Row],[Campaign_Code]],tb3_CampaignMaster[Campaign_Code],tb3_CampaignMaster[Target_Audience],"")</f>
        <v>Prospects</v>
      </c>
      <c r="W310" s="17">
        <f>_xlfn.XLOOKUP(Table8[[#This Row],[Campaign_Code]],tb3_CampaignMaster[Campaign_Code],tb3_CampaignMaster[Start_Date],"")</f>
        <v>45689</v>
      </c>
      <c r="X310" s="17">
        <f>_xlfn.XLOOKUP(Table8[[#This Row],[Campaign_Code]],tb3_CampaignMaster[Campaign_Code],tb3_CampaignMaster[End_Date],"")</f>
        <v>45777</v>
      </c>
      <c r="Y310">
        <f>_xlfn.XLOOKUP(Table8[[#This Row],[Campaign_Code]],tb3_CampaignMaster[Campaign_Code],tb3_CampaignMaster[Budget_GBP],"")</f>
        <v>20000</v>
      </c>
      <c r="Z310" t="str">
        <f>_xlfn.XLOOKUP(Table8[[#This Row],[Campaign_Code]],tb3_CampaignMaster[Campaign_Code],tb3_CampaignMaster[Primary_Channel],"")</f>
        <v>Digital</v>
      </c>
      <c r="AA310" s="13">
        <f>IF(Table8[[#This Row],[Gift_Aid_Eligible]]="Yes",Table8[[#This Row],[Gift_Amount]]*1.25,Table8[[#This Row],[Gift_Amount]])</f>
        <v>90.087499999999991</v>
      </c>
      <c r="AB310" t="str">
        <f>IF(Table8[[#This Row],[Supporter_ID]]="","Review - missing supporter ID","")</f>
        <v/>
      </c>
      <c r="AC310" t="str">
        <f>IF(OR(Table8[[#This Row],[Response_Date]]&lt;Table8[[#This Row],[Start_Date]],Table8[[#This Row],[Response_Date]]&gt;Table8[[#This Row],[End_Date]]),"Review - response outside campaign dates","")</f>
        <v/>
      </c>
      <c r="AD310" t="str">
        <f>IF(Table8[[#This Row],[Campaign_Type]]="","Review - campaign code not found","")</f>
        <v/>
      </c>
    </row>
    <row r="311" spans="1:30" x14ac:dyDescent="0.25">
      <c r="A311" t="s">
        <v>3898</v>
      </c>
      <c r="B311" t="s">
        <v>1487</v>
      </c>
      <c r="C311" t="s">
        <v>3314</v>
      </c>
      <c r="D311" t="s">
        <v>3315</v>
      </c>
      <c r="E311" t="s">
        <v>3316</v>
      </c>
      <c r="F311" s="17">
        <v>45665</v>
      </c>
      <c r="G311">
        <v>57.79</v>
      </c>
      <c r="H311" t="s">
        <v>36</v>
      </c>
      <c r="I311" t="s">
        <v>3385</v>
      </c>
      <c r="J311" t="str">
        <f>_xlfn.XLOOKUP(Table8[[#This Row],[Supporter_ID]],tb1_supporters[Supporter_ID ],tb1_supporters[Segment],"")</f>
        <v>Lapsed</v>
      </c>
      <c r="K311" t="str">
        <f>_xlfn.XLOOKUP(Table8[[#This Row],[Supporter_ID]],tb1_supporters[Supporter_ID ],tb1_supporters[Acquisition_Source],"")</f>
        <v>Direct Mail</v>
      </c>
      <c r="L311" t="str">
        <f>_xlfn.XLOOKUP(Table8[[#This Row],[Supporter_ID]],tb1_supporters[Supporter_ID ],tb1_supporters[County],"")</f>
        <v>Suffolk</v>
      </c>
      <c r="M311" t="str">
        <f>_xlfn.XLOOKUP(Table8[[#This Row],[Supporter_ID]],tb1_supporters[Supporter_ID ],tb1_supporters[Gender],"")</f>
        <v>Female</v>
      </c>
      <c r="N311">
        <f ca="1">_xlfn.XLOOKUP(Table8[[#This Row],[Supporter_ID]],tb1_supporters[Supporter_ID ],tb1_supporters[Age],"")</f>
        <v>59</v>
      </c>
      <c r="O311" t="str">
        <f ca="1">_xlfn.XLOOKUP(Table8[[#This Row],[Supporter_ID]],tb1_supporters[Supporter_ID ],tb1_supporters[Age_Band],"")</f>
        <v>50-64</v>
      </c>
      <c r="P311" t="str">
        <f ca="1">IF(Table8[[#This Row],[Age_Band]]="","Unknown",Table8[[#This Row],[Age_Band]])</f>
        <v>50-64</v>
      </c>
      <c r="Q311" t="str">
        <f>_xlfn.XLOOKUP(Table8[[#This Row],[Supporter_ID]],tb1_supporters[Supporter_ID ],tb1_supporters[Communication_Preference],"")</f>
        <v>Post</v>
      </c>
      <c r="R311" t="str">
        <f>_xlfn.XLOOKUP(Table8[[#This Row],[Supporter_ID]],tb1_supporters[Supporter_ID ],tb1_supporters[Duplicate_Profile_Flag],"")</f>
        <v/>
      </c>
      <c r="S311" t="str">
        <f>_xlfn.XLOOKUP(Table8[[#This Row],[Supporter_ID]],tb1_supporters[Supporter_ID ],tb1_supporters[Preference_Compliance_Flag],"")</f>
        <v>Review - prefers post but not opted in</v>
      </c>
      <c r="T311" t="str">
        <f ca="1">IF(Table8[[#This Row],[Age]]="","Review - missing DOB",IF(Table8[[#This Row],[Age]]&gt;TODAY(),"Review - future DOB",IF(Table8[[#This Row],[Age]]=0,"Review -  potential entry error (age 0)","")))</f>
        <v/>
      </c>
      <c r="U311" t="str">
        <f>_xlfn.XLOOKUP(Table8[[#This Row],[Campaign_Code]],tb3_CampaignMaster[Campaign_Code],tb3_CampaignMaster[Campaign_Type],"")</f>
        <v>Regular Giving</v>
      </c>
      <c r="V311" t="str">
        <f>_xlfn.XLOOKUP(Table8[[#This Row],[Campaign_Code]],tb3_CampaignMaster[Campaign_Code],tb3_CampaignMaster[Target_Audience],"")</f>
        <v>One-time Donors</v>
      </c>
      <c r="W311" s="17">
        <f>_xlfn.XLOOKUP(Table8[[#This Row],[Campaign_Code]],tb3_CampaignMaster[Campaign_Code],tb3_CampaignMaster[Start_Date],"")</f>
        <v>45663</v>
      </c>
      <c r="X311" s="17">
        <f>_xlfn.XLOOKUP(Table8[[#This Row],[Campaign_Code]],tb3_CampaignMaster[Campaign_Code],tb3_CampaignMaster[End_Date],"")</f>
        <v>45747</v>
      </c>
      <c r="Y311">
        <f>_xlfn.XLOOKUP(Table8[[#This Row],[Campaign_Code]],tb3_CampaignMaster[Campaign_Code],tb3_CampaignMaster[Budget_GBP],"")</f>
        <v>10000</v>
      </c>
      <c r="Z311" t="str">
        <f>_xlfn.XLOOKUP(Table8[[#This Row],[Campaign_Code]],tb3_CampaignMaster[Campaign_Code],tb3_CampaignMaster[Primary_Channel],"")</f>
        <v>Telephone</v>
      </c>
      <c r="AA311" s="13">
        <f>IF(Table8[[#This Row],[Gift_Aid_Eligible]]="Yes",Table8[[#This Row],[Gift_Amount]]*1.25,Table8[[#This Row],[Gift_Amount]])</f>
        <v>72.237499999999997</v>
      </c>
      <c r="AB311" t="str">
        <f>IF(Table8[[#This Row],[Supporter_ID]]="","Review - missing supporter ID","")</f>
        <v/>
      </c>
      <c r="AC311" t="str">
        <f>IF(OR(Table8[[#This Row],[Response_Date]]&lt;Table8[[#This Row],[Start_Date]],Table8[[#This Row],[Response_Date]]&gt;Table8[[#This Row],[End_Date]]),"Review - response outside campaign dates","")</f>
        <v/>
      </c>
      <c r="AD311" t="str">
        <f>IF(Table8[[#This Row],[Campaign_Type]]="","Review - campaign code not found","")</f>
        <v/>
      </c>
    </row>
    <row r="312" spans="1:30" x14ac:dyDescent="0.25">
      <c r="A312" t="s">
        <v>3900</v>
      </c>
      <c r="B312" t="s">
        <v>863</v>
      </c>
      <c r="C312" t="s">
        <v>3367</v>
      </c>
      <c r="D312" t="s">
        <v>3368</v>
      </c>
      <c r="E312" t="s">
        <v>65</v>
      </c>
      <c r="F312" s="17">
        <v>45754</v>
      </c>
      <c r="G312">
        <v>22.44</v>
      </c>
      <c r="H312" t="s">
        <v>37</v>
      </c>
      <c r="I312" t="s">
        <v>3370</v>
      </c>
      <c r="J312" t="str">
        <f>_xlfn.XLOOKUP(Table8[[#This Row],[Supporter_ID]],tb1_supporters[Supporter_ID ],tb1_supporters[Segment],"")</f>
        <v>Prospect</v>
      </c>
      <c r="K312" t="str">
        <f>_xlfn.XLOOKUP(Table8[[#This Row],[Supporter_ID]],tb1_supporters[Supporter_ID ],tb1_supporters[Acquisition_Source],"")</f>
        <v>Social Media</v>
      </c>
      <c r="L312" t="str">
        <f>_xlfn.XLOOKUP(Table8[[#This Row],[Supporter_ID]],tb1_supporters[Supporter_ID ],tb1_supporters[County],"")</f>
        <v>West Midlands</v>
      </c>
      <c r="M312" t="str">
        <f>_xlfn.XLOOKUP(Table8[[#This Row],[Supporter_ID]],tb1_supporters[Supporter_ID ],tb1_supporters[Gender],"")</f>
        <v>Male</v>
      </c>
      <c r="N312" t="str">
        <f ca="1">_xlfn.XLOOKUP(Table8[[#This Row],[Supporter_ID]],tb1_supporters[Supporter_ID ],tb1_supporters[Age],"")</f>
        <v/>
      </c>
      <c r="O312" t="str">
        <f ca="1">_xlfn.XLOOKUP(Table8[[#This Row],[Supporter_ID]],tb1_supporters[Supporter_ID ],tb1_supporters[Age_Band],"")</f>
        <v/>
      </c>
      <c r="P312" t="str">
        <f ca="1">IF(Table8[[#This Row],[Age_Band]]="","Unknown",Table8[[#This Row],[Age_Band]])</f>
        <v>Unknown</v>
      </c>
      <c r="Q312" t="str">
        <f>_xlfn.XLOOKUP(Table8[[#This Row],[Supporter_ID]],tb1_supporters[Supporter_ID ],tb1_supporters[Communication_Preference],"")</f>
        <v>Email</v>
      </c>
      <c r="R312" t="str">
        <f>_xlfn.XLOOKUP(Table8[[#This Row],[Supporter_ID]],tb1_supporters[Supporter_ID ],tb1_supporters[Duplicate_Profile_Flag],"")</f>
        <v/>
      </c>
      <c r="S312" t="str">
        <f>_xlfn.XLOOKUP(Table8[[#This Row],[Supporter_ID]],tb1_supporters[Supporter_ID ],tb1_supporters[Preference_Compliance_Flag],"")</f>
        <v/>
      </c>
      <c r="T312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312" t="str">
        <f>_xlfn.XLOOKUP(Table8[[#This Row],[Campaign_Code]],tb3_CampaignMaster[Campaign_Code],tb3_CampaignMaster[Campaign_Type],"")</f>
        <v>Raffle</v>
      </c>
      <c r="V312" t="str">
        <f>_xlfn.XLOOKUP(Table8[[#This Row],[Campaign_Code]],tb3_CampaignMaster[Campaign_Code],tb3_CampaignMaster[Target_Audience],"")</f>
        <v>Regular Givers</v>
      </c>
      <c r="W312" s="17">
        <f>_xlfn.XLOOKUP(Table8[[#This Row],[Campaign_Code]],tb3_CampaignMaster[Campaign_Code],tb3_CampaignMaster[Start_Date],"")</f>
        <v>45717</v>
      </c>
      <c r="X312" s="17">
        <f>_xlfn.XLOOKUP(Table8[[#This Row],[Campaign_Code]],tb3_CampaignMaster[Campaign_Code],tb3_CampaignMaster[End_Date],"")</f>
        <v>45777</v>
      </c>
      <c r="Y312">
        <f>_xlfn.XLOOKUP(Table8[[#This Row],[Campaign_Code]],tb3_CampaignMaster[Campaign_Code],tb3_CampaignMaster[Budget_GBP],"")</f>
        <v>8000</v>
      </c>
      <c r="Z312" t="str">
        <f>_xlfn.XLOOKUP(Table8[[#This Row],[Campaign_Code]],tb3_CampaignMaster[Campaign_Code],tb3_CampaignMaster[Primary_Channel],"")</f>
        <v>Direct Mail</v>
      </c>
      <c r="AA312" s="13">
        <f>IF(Table8[[#This Row],[Gift_Aid_Eligible]]="Yes",Table8[[#This Row],[Gift_Amount]]*1.25,Table8[[#This Row],[Gift_Amount]])</f>
        <v>22.44</v>
      </c>
      <c r="AB312" t="str">
        <f>IF(Table8[[#This Row],[Supporter_ID]]="","Review - missing supporter ID","")</f>
        <v/>
      </c>
      <c r="AC312" t="str">
        <f>IF(OR(Table8[[#This Row],[Response_Date]]&lt;Table8[[#This Row],[Start_Date]],Table8[[#This Row],[Response_Date]]&gt;Table8[[#This Row],[End_Date]]),"Review - response outside campaign dates","")</f>
        <v/>
      </c>
      <c r="AD312" t="str">
        <f>IF(Table8[[#This Row],[Campaign_Type]]="","Review - campaign code not found","")</f>
        <v/>
      </c>
    </row>
    <row r="313" spans="1:30" x14ac:dyDescent="0.25">
      <c r="A313" t="s">
        <v>3902</v>
      </c>
      <c r="B313" t="s">
        <v>1423</v>
      </c>
      <c r="C313" t="s">
        <v>3341</v>
      </c>
      <c r="D313" t="s">
        <v>3342</v>
      </c>
      <c r="E313" t="s">
        <v>3316</v>
      </c>
      <c r="F313" s="17">
        <v>45773</v>
      </c>
      <c r="G313">
        <v>9.1999999999999993</v>
      </c>
      <c r="H313" t="s">
        <v>37</v>
      </c>
      <c r="I313" t="s">
        <v>3328</v>
      </c>
      <c r="J313" t="str">
        <f>_xlfn.XLOOKUP(Table8[[#This Row],[Supporter_ID]],tb1_supporters[Supporter_ID ],tb1_supporters[Segment],"")</f>
        <v>Regular Giver</v>
      </c>
      <c r="K313" t="str">
        <f>_xlfn.XLOOKUP(Table8[[#This Row],[Supporter_ID]],tb1_supporters[Supporter_ID ],tb1_supporters[Acquisition_Source],"")</f>
        <v>Direct Mail</v>
      </c>
      <c r="L313" t="str">
        <f>_xlfn.XLOOKUP(Table8[[#This Row],[Supporter_ID]],tb1_supporters[Supporter_ID ],tb1_supporters[County],"")</f>
        <v>West Yorkshire</v>
      </c>
      <c r="M313" t="str">
        <f>_xlfn.XLOOKUP(Table8[[#This Row],[Supporter_ID]],tb1_supporters[Supporter_ID ],tb1_supporters[Gender],"")</f>
        <v>Male</v>
      </c>
      <c r="N313" t="str">
        <f ca="1">_xlfn.XLOOKUP(Table8[[#This Row],[Supporter_ID]],tb1_supporters[Supporter_ID ],tb1_supporters[Age],"")</f>
        <v/>
      </c>
      <c r="O313" t="str">
        <f ca="1">_xlfn.XLOOKUP(Table8[[#This Row],[Supporter_ID]],tb1_supporters[Supporter_ID ],tb1_supporters[Age_Band],"")</f>
        <v/>
      </c>
      <c r="P313" t="str">
        <f ca="1">IF(Table8[[#This Row],[Age_Band]]="","Unknown",Table8[[#This Row],[Age_Band]])</f>
        <v>Unknown</v>
      </c>
      <c r="Q313" t="str">
        <f>_xlfn.XLOOKUP(Table8[[#This Row],[Supporter_ID]],tb1_supporters[Supporter_ID ],tb1_supporters[Communication_Preference],"")</f>
        <v>No Preference</v>
      </c>
      <c r="R313" t="str">
        <f>_xlfn.XLOOKUP(Table8[[#This Row],[Supporter_ID]],tb1_supporters[Supporter_ID ],tb1_supporters[Duplicate_Profile_Flag],"")</f>
        <v/>
      </c>
      <c r="S313" t="str">
        <f>_xlfn.XLOOKUP(Table8[[#This Row],[Supporter_ID]],tb1_supporters[Supporter_ID ],tb1_supporters[Preference_Compliance_Flag],"")</f>
        <v/>
      </c>
      <c r="T313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313" t="str">
        <f>_xlfn.XLOOKUP(Table8[[#This Row],[Campaign_Code]],tb3_CampaignMaster[Campaign_Code],tb3_CampaignMaster[Campaign_Type],"")</f>
        <v>Acquisition</v>
      </c>
      <c r="V313" t="str">
        <f>_xlfn.XLOOKUP(Table8[[#This Row],[Campaign_Code]],tb3_CampaignMaster[Campaign_Code],tb3_CampaignMaster[Target_Audience],"")</f>
        <v>Prospects</v>
      </c>
      <c r="W313" s="17">
        <f>_xlfn.XLOOKUP(Table8[[#This Row],[Campaign_Code]],tb3_CampaignMaster[Campaign_Code],tb3_CampaignMaster[Start_Date],"")</f>
        <v>45689</v>
      </c>
      <c r="X313" s="17">
        <f>_xlfn.XLOOKUP(Table8[[#This Row],[Campaign_Code]],tb3_CampaignMaster[Campaign_Code],tb3_CampaignMaster[End_Date],"")</f>
        <v>45777</v>
      </c>
      <c r="Y313">
        <f>_xlfn.XLOOKUP(Table8[[#This Row],[Campaign_Code]],tb3_CampaignMaster[Campaign_Code],tb3_CampaignMaster[Budget_GBP],"")</f>
        <v>20000</v>
      </c>
      <c r="Z313" t="str">
        <f>_xlfn.XLOOKUP(Table8[[#This Row],[Campaign_Code]],tb3_CampaignMaster[Campaign_Code],tb3_CampaignMaster[Primary_Channel],"")</f>
        <v>Digital</v>
      </c>
      <c r="AA313" s="13">
        <f>IF(Table8[[#This Row],[Gift_Aid_Eligible]]="Yes",Table8[[#This Row],[Gift_Amount]]*1.25,Table8[[#This Row],[Gift_Amount]])</f>
        <v>9.1999999999999993</v>
      </c>
      <c r="AB313" t="str">
        <f>IF(Table8[[#This Row],[Supporter_ID]]="","Review - missing supporter ID","")</f>
        <v/>
      </c>
      <c r="AC313" t="str">
        <f>IF(OR(Table8[[#This Row],[Response_Date]]&lt;Table8[[#This Row],[Start_Date]],Table8[[#This Row],[Response_Date]]&gt;Table8[[#This Row],[End_Date]]),"Review - response outside campaign dates","")</f>
        <v/>
      </c>
      <c r="AD313" t="str">
        <f>IF(Table8[[#This Row],[Campaign_Type]]="","Review - campaign code not found","")</f>
        <v/>
      </c>
    </row>
    <row r="314" spans="1:30" x14ac:dyDescent="0.25">
      <c r="A314" t="s">
        <v>3904</v>
      </c>
      <c r="B314" t="s">
        <v>502</v>
      </c>
      <c r="C314" t="s">
        <v>3403</v>
      </c>
      <c r="D314" t="s">
        <v>3404</v>
      </c>
      <c r="E314" t="s">
        <v>3316</v>
      </c>
      <c r="F314" s="17">
        <v>45615</v>
      </c>
      <c r="G314">
        <v>52.56</v>
      </c>
      <c r="H314" t="s">
        <v>37</v>
      </c>
      <c r="I314" t="s">
        <v>3385</v>
      </c>
      <c r="J314" t="str">
        <f>_xlfn.XLOOKUP(Table8[[#This Row],[Supporter_ID]],tb1_supporters[Supporter_ID ],tb1_supporters[Segment],"")</f>
        <v>Lapsed</v>
      </c>
      <c r="K314" t="str">
        <f>_xlfn.XLOOKUP(Table8[[#This Row],[Supporter_ID]],tb1_supporters[Supporter_ID ],tb1_supporters[Acquisition_Source],"")</f>
        <v>Social Media</v>
      </c>
      <c r="L314" t="str">
        <f>_xlfn.XLOOKUP(Table8[[#This Row],[Supporter_ID]],tb1_supporters[Supporter_ID ],tb1_supporters[County],"")</f>
        <v>Avon</v>
      </c>
      <c r="M314" t="str">
        <f>_xlfn.XLOOKUP(Table8[[#This Row],[Supporter_ID]],tb1_supporters[Supporter_ID ],tb1_supporters[Gender],"")</f>
        <v>Male</v>
      </c>
      <c r="N314">
        <f ca="1">_xlfn.XLOOKUP(Table8[[#This Row],[Supporter_ID]],tb1_supporters[Supporter_ID ],tb1_supporters[Age],"")</f>
        <v>40</v>
      </c>
      <c r="O314" t="str">
        <f ca="1">_xlfn.XLOOKUP(Table8[[#This Row],[Supporter_ID]],tb1_supporters[Supporter_ID ],tb1_supporters[Age_Band],"")</f>
        <v>35-49</v>
      </c>
      <c r="P314" t="str">
        <f ca="1">IF(Table8[[#This Row],[Age_Band]]="","Unknown",Table8[[#This Row],[Age_Band]])</f>
        <v>35-49</v>
      </c>
      <c r="Q314" t="str">
        <f>_xlfn.XLOOKUP(Table8[[#This Row],[Supporter_ID]],tb1_supporters[Supporter_ID ],tb1_supporters[Communication_Preference],"")</f>
        <v>Post</v>
      </c>
      <c r="R314" t="str">
        <f>_xlfn.XLOOKUP(Table8[[#This Row],[Supporter_ID]],tb1_supporters[Supporter_ID ],tb1_supporters[Duplicate_Profile_Flag],"")</f>
        <v/>
      </c>
      <c r="S314" t="str">
        <f>_xlfn.XLOOKUP(Table8[[#This Row],[Supporter_ID]],tb1_supporters[Supporter_ID ],tb1_supporters[Preference_Compliance_Flag],"")</f>
        <v/>
      </c>
      <c r="T314" t="str">
        <f ca="1">IF(Table8[[#This Row],[Age]]="","Review - missing DOB",IF(Table8[[#This Row],[Age]]&gt;TODAY(),"Review - future DOB",IF(Table8[[#This Row],[Age]]=0,"Review -  potential entry error (age 0)","")))</f>
        <v/>
      </c>
      <c r="U314" t="str">
        <f>_xlfn.XLOOKUP(Table8[[#This Row],[Campaign_Code]],tb3_CampaignMaster[Campaign_Code],tb3_CampaignMaster[Campaign_Type],"")</f>
        <v>Trading</v>
      </c>
      <c r="V314" t="str">
        <f>_xlfn.XLOOKUP(Table8[[#This Row],[Campaign_Code]],tb3_CampaignMaster[Campaign_Code],tb3_CampaignMaster[Target_Audience],"")</f>
        <v>All Active</v>
      </c>
      <c r="W314" s="17">
        <f>_xlfn.XLOOKUP(Table8[[#This Row],[Campaign_Code]],tb3_CampaignMaster[Campaign_Code],tb3_CampaignMaster[Start_Date],"")</f>
        <v>45580</v>
      </c>
      <c r="X314" s="17">
        <f>_xlfn.XLOOKUP(Table8[[#This Row],[Campaign_Code]],tb3_CampaignMaster[Campaign_Code],tb3_CampaignMaster[End_Date],"")</f>
        <v>45646</v>
      </c>
      <c r="Y314">
        <f>_xlfn.XLOOKUP(Table8[[#This Row],[Campaign_Code]],tb3_CampaignMaster[Campaign_Code],tb3_CampaignMaster[Budget_GBP],"")</f>
        <v>12000</v>
      </c>
      <c r="Z314" t="str">
        <f>_xlfn.XLOOKUP(Table8[[#This Row],[Campaign_Code]],tb3_CampaignMaster[Campaign_Code],tb3_CampaignMaster[Primary_Channel],"")</f>
        <v>Multi-channel</v>
      </c>
      <c r="AA314" s="13">
        <f>IF(Table8[[#This Row],[Gift_Aid_Eligible]]="Yes",Table8[[#This Row],[Gift_Amount]]*1.25,Table8[[#This Row],[Gift_Amount]])</f>
        <v>52.56</v>
      </c>
      <c r="AB314" t="str">
        <f>IF(Table8[[#This Row],[Supporter_ID]]="","Review - missing supporter ID","")</f>
        <v/>
      </c>
      <c r="AC314" t="str">
        <f>IF(OR(Table8[[#This Row],[Response_Date]]&lt;Table8[[#This Row],[Start_Date]],Table8[[#This Row],[Response_Date]]&gt;Table8[[#This Row],[End_Date]]),"Review - response outside campaign dates","")</f>
        <v/>
      </c>
      <c r="AD314" t="str">
        <f>IF(Table8[[#This Row],[Campaign_Type]]="","Review - campaign code not found","")</f>
        <v/>
      </c>
    </row>
    <row r="315" spans="1:30" x14ac:dyDescent="0.25">
      <c r="A315" t="s">
        <v>3906</v>
      </c>
      <c r="B315" t="s">
        <v>2163</v>
      </c>
      <c r="C315" t="s">
        <v>3320</v>
      </c>
      <c r="D315" t="s">
        <v>3321</v>
      </c>
      <c r="E315" t="s">
        <v>4</v>
      </c>
      <c r="F315" s="17">
        <v>45472</v>
      </c>
      <c r="G315">
        <v>21.44</v>
      </c>
      <c r="H315" t="s">
        <v>37</v>
      </c>
      <c r="I315" t="s">
        <v>3334</v>
      </c>
      <c r="J315" t="str">
        <f>_xlfn.XLOOKUP(Table8[[#This Row],[Supporter_ID]],tb1_supporters[Supporter_ID ],tb1_supporters[Segment],"")</f>
        <v>One-Time Donor</v>
      </c>
      <c r="K315" t="str">
        <f>_xlfn.XLOOKUP(Table8[[#This Row],[Supporter_ID]],tb1_supporters[Supporter_ID ],tb1_supporters[Acquisition_Source],"")</f>
        <v>Door-To-Door</v>
      </c>
      <c r="L315" t="str">
        <f>_xlfn.XLOOKUP(Table8[[#This Row],[Supporter_ID]],tb1_supporters[Supporter_ID ],tb1_supporters[County],"")</f>
        <v>Avon</v>
      </c>
      <c r="M315" t="str">
        <f>_xlfn.XLOOKUP(Table8[[#This Row],[Supporter_ID]],tb1_supporters[Supporter_ID ],tb1_supporters[Gender],"")</f>
        <v>Female</v>
      </c>
      <c r="N315">
        <f ca="1">_xlfn.XLOOKUP(Table8[[#This Row],[Supporter_ID]],tb1_supporters[Supporter_ID ],tb1_supporters[Age],"")</f>
        <v>68</v>
      </c>
      <c r="O315" t="str">
        <f ca="1">_xlfn.XLOOKUP(Table8[[#This Row],[Supporter_ID]],tb1_supporters[Supporter_ID ],tb1_supporters[Age_Band],"")</f>
        <v>65+</v>
      </c>
      <c r="P315" t="str">
        <f ca="1">IF(Table8[[#This Row],[Age_Band]]="","Unknown",Table8[[#This Row],[Age_Band]])</f>
        <v>65+</v>
      </c>
      <c r="Q315" t="str">
        <f>_xlfn.XLOOKUP(Table8[[#This Row],[Supporter_ID]],tb1_supporters[Supporter_ID ],tb1_supporters[Communication_Preference],"")</f>
        <v>No Preference</v>
      </c>
      <c r="R315" t="str">
        <f>_xlfn.XLOOKUP(Table8[[#This Row],[Supporter_ID]],tb1_supporters[Supporter_ID ],tb1_supporters[Duplicate_Profile_Flag],"")</f>
        <v/>
      </c>
      <c r="S315" t="str">
        <f>_xlfn.XLOOKUP(Table8[[#This Row],[Supporter_ID]],tb1_supporters[Supporter_ID ],tb1_supporters[Preference_Compliance_Flag],"")</f>
        <v/>
      </c>
      <c r="T315" t="str">
        <f ca="1">IF(Table8[[#This Row],[Age]]="","Review - missing DOB",IF(Table8[[#This Row],[Age]]&gt;TODAY(),"Review - future DOB",IF(Table8[[#This Row],[Age]]=0,"Review -  potential entry error (age 0)","")))</f>
        <v/>
      </c>
      <c r="U315" t="str">
        <f>_xlfn.XLOOKUP(Table8[[#This Row],[Campaign_Code]],tb3_CampaignMaster[Campaign_Code],tb3_CampaignMaster[Campaign_Type],"")</f>
        <v>Stewardship</v>
      </c>
      <c r="V315" t="str">
        <f>_xlfn.XLOOKUP(Table8[[#This Row],[Campaign_Code]],tb3_CampaignMaster[Campaign_Code],tb3_CampaignMaster[Target_Audience],"")</f>
        <v>Major Donors</v>
      </c>
      <c r="W315" s="17">
        <f>_xlfn.XLOOKUP(Table8[[#This Row],[Campaign_Code]],tb3_CampaignMaster[Campaign_Code],tb3_CampaignMaster[Start_Date],"")</f>
        <v>45444</v>
      </c>
      <c r="X315" s="17">
        <f>_xlfn.XLOOKUP(Table8[[#This Row],[Campaign_Code]],tb3_CampaignMaster[Campaign_Code],tb3_CampaignMaster[End_Date],"")</f>
        <v>45473</v>
      </c>
      <c r="Y315">
        <f>_xlfn.XLOOKUP(Table8[[#This Row],[Campaign_Code]],tb3_CampaignMaster[Campaign_Code],tb3_CampaignMaster[Budget_GBP],"")</f>
        <v>7000</v>
      </c>
      <c r="Z315" t="str">
        <f>_xlfn.XLOOKUP(Table8[[#This Row],[Campaign_Code]],tb3_CampaignMaster[Campaign_Code],tb3_CampaignMaster[Primary_Channel],"")</f>
        <v>Direct Mail</v>
      </c>
      <c r="AA315" s="13">
        <f>IF(Table8[[#This Row],[Gift_Aid_Eligible]]="Yes",Table8[[#This Row],[Gift_Amount]]*1.25,Table8[[#This Row],[Gift_Amount]])</f>
        <v>21.44</v>
      </c>
      <c r="AB315" t="str">
        <f>IF(Table8[[#This Row],[Supporter_ID]]="","Review - missing supporter ID","")</f>
        <v/>
      </c>
      <c r="AC315" t="str">
        <f>IF(OR(Table8[[#This Row],[Response_Date]]&lt;Table8[[#This Row],[Start_Date]],Table8[[#This Row],[Response_Date]]&gt;Table8[[#This Row],[End_Date]]),"Review - response outside campaign dates","")</f>
        <v/>
      </c>
      <c r="AD315" t="str">
        <f>IF(Table8[[#This Row],[Campaign_Type]]="","Review - campaign code not found","")</f>
        <v/>
      </c>
    </row>
    <row r="316" spans="1:30" x14ac:dyDescent="0.25">
      <c r="A316" t="s">
        <v>3908</v>
      </c>
      <c r="B316" t="s">
        <v>547</v>
      </c>
      <c r="C316" t="s">
        <v>3367</v>
      </c>
      <c r="D316" t="s">
        <v>3368</v>
      </c>
      <c r="E316" t="s">
        <v>4</v>
      </c>
      <c r="F316" s="17">
        <v>45776</v>
      </c>
      <c r="G316">
        <v>39.01</v>
      </c>
      <c r="H316" t="s">
        <v>37</v>
      </c>
      <c r="I316" t="s">
        <v>3334</v>
      </c>
      <c r="J316" t="str">
        <f>_xlfn.XLOOKUP(Table8[[#This Row],[Supporter_ID]],tb1_supporters[Supporter_ID ],tb1_supporters[Segment],"")</f>
        <v>Regular Giver</v>
      </c>
      <c r="K316" t="str">
        <f>_xlfn.XLOOKUP(Table8[[#This Row],[Supporter_ID]],tb1_supporters[Supporter_ID ],tb1_supporters[Acquisition_Source],"")</f>
        <v>Referral</v>
      </c>
      <c r="L316" t="str">
        <f>_xlfn.XLOOKUP(Table8[[#This Row],[Supporter_ID]],tb1_supporters[Supporter_ID ],tb1_supporters[County],"")</f>
        <v>Angus</v>
      </c>
      <c r="M316" t="str">
        <f>_xlfn.XLOOKUP(Table8[[#This Row],[Supporter_ID]],tb1_supporters[Supporter_ID ],tb1_supporters[Gender],"")</f>
        <v>Female</v>
      </c>
      <c r="N316" t="str">
        <f ca="1">_xlfn.XLOOKUP(Table8[[#This Row],[Supporter_ID]],tb1_supporters[Supporter_ID ],tb1_supporters[Age],"")</f>
        <v/>
      </c>
      <c r="O316" t="str">
        <f ca="1">_xlfn.XLOOKUP(Table8[[#This Row],[Supporter_ID]],tb1_supporters[Supporter_ID ],tb1_supporters[Age_Band],"")</f>
        <v/>
      </c>
      <c r="P316" t="str">
        <f ca="1">IF(Table8[[#This Row],[Age_Band]]="","Unknown",Table8[[#This Row],[Age_Band]])</f>
        <v>Unknown</v>
      </c>
      <c r="Q316" t="str">
        <f>_xlfn.XLOOKUP(Table8[[#This Row],[Supporter_ID]],tb1_supporters[Supporter_ID ],tb1_supporters[Communication_Preference],"")</f>
        <v>Email</v>
      </c>
      <c r="R316" t="str">
        <f>_xlfn.XLOOKUP(Table8[[#This Row],[Supporter_ID]],tb1_supporters[Supporter_ID ],tb1_supporters[Duplicate_Profile_Flag],"")</f>
        <v/>
      </c>
      <c r="S316" t="str">
        <f>_xlfn.XLOOKUP(Table8[[#This Row],[Supporter_ID]],tb1_supporters[Supporter_ID ],tb1_supporters[Preference_Compliance_Flag],"")</f>
        <v/>
      </c>
      <c r="T316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316" t="str">
        <f>_xlfn.XLOOKUP(Table8[[#This Row],[Campaign_Code]],tb3_CampaignMaster[Campaign_Code],tb3_CampaignMaster[Campaign_Type],"")</f>
        <v>Raffle</v>
      </c>
      <c r="V316" t="str">
        <f>_xlfn.XLOOKUP(Table8[[#This Row],[Campaign_Code]],tb3_CampaignMaster[Campaign_Code],tb3_CampaignMaster[Target_Audience],"")</f>
        <v>Regular Givers</v>
      </c>
      <c r="W316" s="17">
        <f>_xlfn.XLOOKUP(Table8[[#This Row],[Campaign_Code]],tb3_CampaignMaster[Campaign_Code],tb3_CampaignMaster[Start_Date],"")</f>
        <v>45717</v>
      </c>
      <c r="X316" s="17">
        <f>_xlfn.XLOOKUP(Table8[[#This Row],[Campaign_Code]],tb3_CampaignMaster[Campaign_Code],tb3_CampaignMaster[End_Date],"")</f>
        <v>45777</v>
      </c>
      <c r="Y316">
        <f>_xlfn.XLOOKUP(Table8[[#This Row],[Campaign_Code]],tb3_CampaignMaster[Campaign_Code],tb3_CampaignMaster[Budget_GBP],"")</f>
        <v>8000</v>
      </c>
      <c r="Z316" t="str">
        <f>_xlfn.XLOOKUP(Table8[[#This Row],[Campaign_Code]],tb3_CampaignMaster[Campaign_Code],tb3_CampaignMaster[Primary_Channel],"")</f>
        <v>Direct Mail</v>
      </c>
      <c r="AA316" s="13">
        <f>IF(Table8[[#This Row],[Gift_Aid_Eligible]]="Yes",Table8[[#This Row],[Gift_Amount]]*1.25,Table8[[#This Row],[Gift_Amount]])</f>
        <v>39.01</v>
      </c>
      <c r="AB316" t="str">
        <f>IF(Table8[[#This Row],[Supporter_ID]]="","Review - missing supporter ID","")</f>
        <v/>
      </c>
      <c r="AC316" t="str">
        <f>IF(OR(Table8[[#This Row],[Response_Date]]&lt;Table8[[#This Row],[Start_Date]],Table8[[#This Row],[Response_Date]]&gt;Table8[[#This Row],[End_Date]]),"Review - response outside campaign dates","")</f>
        <v/>
      </c>
      <c r="AD316" t="str">
        <f>IF(Table8[[#This Row],[Campaign_Type]]="","Review - campaign code not found","")</f>
        <v/>
      </c>
    </row>
    <row r="317" spans="1:30" x14ac:dyDescent="0.25">
      <c r="A317" t="s">
        <v>3910</v>
      </c>
      <c r="B317" t="s">
        <v>3049</v>
      </c>
      <c r="C317" t="s">
        <v>3354</v>
      </c>
      <c r="D317" t="s">
        <v>3355</v>
      </c>
      <c r="E317" t="s">
        <v>65</v>
      </c>
      <c r="F317" s="17">
        <v>45618</v>
      </c>
      <c r="G317">
        <v>34.799999999999997</v>
      </c>
      <c r="H317" t="s">
        <v>36</v>
      </c>
      <c r="I317" t="s">
        <v>3385</v>
      </c>
      <c r="J317" t="str">
        <f>_xlfn.XLOOKUP(Table8[[#This Row],[Supporter_ID]],tb1_supporters[Supporter_ID ],tb1_supporters[Segment],"")</f>
        <v>One-Time Donor</v>
      </c>
      <c r="K317" t="str">
        <f>_xlfn.XLOOKUP(Table8[[#This Row],[Supporter_ID]],tb1_supporters[Supporter_ID ],tb1_supporters[Acquisition_Source],"")</f>
        <v>Event</v>
      </c>
      <c r="L317" t="str">
        <f>_xlfn.XLOOKUP(Table8[[#This Row],[Supporter_ID]],tb1_supporters[Supporter_ID ],tb1_supporters[County],"")</f>
        <v>South Yorkshire</v>
      </c>
      <c r="M317" t="str">
        <f>_xlfn.XLOOKUP(Table8[[#This Row],[Supporter_ID]],tb1_supporters[Supporter_ID ],tb1_supporters[Gender],"")</f>
        <v>Female</v>
      </c>
      <c r="N317">
        <f ca="1">_xlfn.XLOOKUP(Table8[[#This Row],[Supporter_ID]],tb1_supporters[Supporter_ID ],tb1_supporters[Age],"")</f>
        <v>76</v>
      </c>
      <c r="O317" t="str">
        <f ca="1">_xlfn.XLOOKUP(Table8[[#This Row],[Supporter_ID]],tb1_supporters[Supporter_ID ],tb1_supporters[Age_Band],"")</f>
        <v>65+</v>
      </c>
      <c r="P317" t="str">
        <f ca="1">IF(Table8[[#This Row],[Age_Band]]="","Unknown",Table8[[#This Row],[Age_Band]])</f>
        <v>65+</v>
      </c>
      <c r="Q317" t="str">
        <f>_xlfn.XLOOKUP(Table8[[#This Row],[Supporter_ID]],tb1_supporters[Supporter_ID ],tb1_supporters[Communication_Preference],"")</f>
        <v>No Preference</v>
      </c>
      <c r="R317" t="str">
        <f>_xlfn.XLOOKUP(Table8[[#This Row],[Supporter_ID]],tb1_supporters[Supporter_ID ],tb1_supporters[Duplicate_Profile_Flag],"")</f>
        <v/>
      </c>
      <c r="S317" t="str">
        <f>_xlfn.XLOOKUP(Table8[[#This Row],[Supporter_ID]],tb1_supporters[Supporter_ID ],tb1_supporters[Preference_Compliance_Flag],"")</f>
        <v/>
      </c>
      <c r="T317" t="str">
        <f ca="1">IF(Table8[[#This Row],[Age]]="","Review - missing DOB",IF(Table8[[#This Row],[Age]]&gt;TODAY(),"Review - future DOB",IF(Table8[[#This Row],[Age]]=0,"Review -  potential entry error (age 0)","")))</f>
        <v/>
      </c>
      <c r="U317" t="str">
        <f>_xlfn.XLOOKUP(Table8[[#This Row],[Campaign_Code]],tb3_CampaignMaster[Campaign_Code],tb3_CampaignMaster[Campaign_Type],"")</f>
        <v>Event</v>
      </c>
      <c r="V317" t="str">
        <f>_xlfn.XLOOKUP(Table8[[#This Row],[Campaign_Code]],tb3_CampaignMaster[Campaign_Code],tb3_CampaignMaster[Target_Audience],"")</f>
        <v>Volunteers</v>
      </c>
      <c r="W317" s="17">
        <f>_xlfn.XLOOKUP(Table8[[#This Row],[Campaign_Code]],tb3_CampaignMaster[Campaign_Code],tb3_CampaignMaster[Start_Date],"")</f>
        <v>45618</v>
      </c>
      <c r="X317" s="17">
        <f>_xlfn.XLOOKUP(Table8[[#This Row],[Campaign_Code]],tb3_CampaignMaster[Campaign_Code],tb3_CampaignMaster[End_Date],"")</f>
        <v>45618</v>
      </c>
      <c r="Y317">
        <f>_xlfn.XLOOKUP(Table8[[#This Row],[Campaign_Code]],tb3_CampaignMaster[Campaign_Code],tb3_CampaignMaster[Budget_GBP],"")</f>
        <v>3500</v>
      </c>
      <c r="Z317" t="str">
        <f>_xlfn.XLOOKUP(Table8[[#This Row],[Campaign_Code]],tb3_CampaignMaster[Campaign_Code],tb3_CampaignMaster[Primary_Channel],"")</f>
        <v>Email</v>
      </c>
      <c r="AA317" s="13">
        <f>IF(Table8[[#This Row],[Gift_Aid_Eligible]]="Yes",Table8[[#This Row],[Gift_Amount]]*1.25,Table8[[#This Row],[Gift_Amount]])</f>
        <v>43.5</v>
      </c>
      <c r="AB317" t="str">
        <f>IF(Table8[[#This Row],[Supporter_ID]]="","Review - missing supporter ID","")</f>
        <v/>
      </c>
      <c r="AC317" t="str">
        <f>IF(OR(Table8[[#This Row],[Response_Date]]&lt;Table8[[#This Row],[Start_Date]],Table8[[#This Row],[Response_Date]]&gt;Table8[[#This Row],[End_Date]]),"Review - response outside campaign dates","")</f>
        <v/>
      </c>
      <c r="AD317" t="str">
        <f>IF(Table8[[#This Row],[Campaign_Type]]="","Review - campaign code not found","")</f>
        <v/>
      </c>
    </row>
    <row r="318" spans="1:30" x14ac:dyDescent="0.25">
      <c r="A318" t="s">
        <v>3911</v>
      </c>
      <c r="B318" t="s">
        <v>3015</v>
      </c>
      <c r="C318" t="s">
        <v>3427</v>
      </c>
      <c r="D318" t="s">
        <v>3428</v>
      </c>
      <c r="E318" t="s">
        <v>65</v>
      </c>
      <c r="F318" s="17">
        <v>45488</v>
      </c>
      <c r="G318">
        <v>50.75</v>
      </c>
      <c r="H318" t="s">
        <v>36</v>
      </c>
      <c r="I318" t="s">
        <v>3385</v>
      </c>
      <c r="J318" t="str">
        <f>_xlfn.XLOOKUP(Table8[[#This Row],[Supporter_ID]],tb1_supporters[Supporter_ID ],tb1_supporters[Segment],"")</f>
        <v>Mid-Value</v>
      </c>
      <c r="K318" t="str">
        <f>_xlfn.XLOOKUP(Table8[[#This Row],[Supporter_ID]],tb1_supporters[Supporter_ID ],tb1_supporters[Acquisition_Source],"")</f>
        <v>Telephone</v>
      </c>
      <c r="L318" t="str">
        <f>_xlfn.XLOOKUP(Table8[[#This Row],[Supporter_ID]],tb1_supporters[Supporter_ID ],tb1_supporters[County],"")</f>
        <v>North Yorkshire</v>
      </c>
      <c r="M318" t="str">
        <f>_xlfn.XLOOKUP(Table8[[#This Row],[Supporter_ID]],tb1_supporters[Supporter_ID ],tb1_supporters[Gender],"")</f>
        <v>Female</v>
      </c>
      <c r="N318">
        <f ca="1">_xlfn.XLOOKUP(Table8[[#This Row],[Supporter_ID]],tb1_supporters[Supporter_ID ],tb1_supporters[Age],"")</f>
        <v>74</v>
      </c>
      <c r="O318" t="str">
        <f ca="1">_xlfn.XLOOKUP(Table8[[#This Row],[Supporter_ID]],tb1_supporters[Supporter_ID ],tb1_supporters[Age_Band],"")</f>
        <v>65+</v>
      </c>
      <c r="P318" t="str">
        <f ca="1">IF(Table8[[#This Row],[Age_Band]]="","Unknown",Table8[[#This Row],[Age_Band]])</f>
        <v>65+</v>
      </c>
      <c r="Q318" t="str">
        <f>_xlfn.XLOOKUP(Table8[[#This Row],[Supporter_ID]],tb1_supporters[Supporter_ID ],tb1_supporters[Communication_Preference],"")</f>
        <v>Phone</v>
      </c>
      <c r="R318" t="str">
        <f>_xlfn.XLOOKUP(Table8[[#This Row],[Supporter_ID]],tb1_supporters[Supporter_ID ],tb1_supporters[Duplicate_Profile_Flag],"")</f>
        <v/>
      </c>
      <c r="S318" t="str">
        <f>_xlfn.XLOOKUP(Table8[[#This Row],[Supporter_ID]],tb1_supporters[Supporter_ID ],tb1_supporters[Preference_Compliance_Flag],"")</f>
        <v/>
      </c>
      <c r="T318" t="str">
        <f ca="1">IF(Table8[[#This Row],[Age]]="","Review - missing DOB",IF(Table8[[#This Row],[Age]]&gt;TODAY(),"Review - future DOB",IF(Table8[[#This Row],[Age]]=0,"Review -  potential entry error (age 0)","")))</f>
        <v/>
      </c>
      <c r="U318" t="str">
        <f>_xlfn.XLOOKUP(Table8[[#This Row],[Campaign_Code]],tb3_CampaignMaster[Campaign_Code],tb3_CampaignMaster[Campaign_Type],"")</f>
        <v>Event</v>
      </c>
      <c r="V318" t="str">
        <f>_xlfn.XLOOKUP(Table8[[#This Row],[Campaign_Code]],tb3_CampaignMaster[Campaign_Code],tb3_CampaignMaster[Target_Audience],"")</f>
        <v>Major Donors</v>
      </c>
      <c r="W318" s="17">
        <f>_xlfn.XLOOKUP(Table8[[#This Row],[Campaign_Code]],tb3_CampaignMaster[Campaign_Code],tb3_CampaignMaster[Start_Date],"")</f>
        <v>45488</v>
      </c>
      <c r="X318" s="17">
        <f>_xlfn.XLOOKUP(Table8[[#This Row],[Campaign_Code]],tb3_CampaignMaster[Campaign_Code],tb3_CampaignMaster[End_Date],"")</f>
        <v>45488</v>
      </c>
      <c r="Y318">
        <f>_xlfn.XLOOKUP(Table8[[#This Row],[Campaign_Code]],tb3_CampaignMaster[Campaign_Code],tb3_CampaignMaster[Budget_GBP],"")</f>
        <v>45000</v>
      </c>
      <c r="Z318" t="str">
        <f>_xlfn.XLOOKUP(Table8[[#This Row],[Campaign_Code]],tb3_CampaignMaster[Campaign_Code],tb3_CampaignMaster[Primary_Channel],"")</f>
        <v>Direct Mail</v>
      </c>
      <c r="AA318" s="13">
        <f>IF(Table8[[#This Row],[Gift_Aid_Eligible]]="Yes",Table8[[#This Row],[Gift_Amount]]*1.25,Table8[[#This Row],[Gift_Amount]])</f>
        <v>63.4375</v>
      </c>
      <c r="AB318" t="str">
        <f>IF(Table8[[#This Row],[Supporter_ID]]="","Review - missing supporter ID","")</f>
        <v/>
      </c>
      <c r="AC318" t="str">
        <f>IF(OR(Table8[[#This Row],[Response_Date]]&lt;Table8[[#This Row],[Start_Date]],Table8[[#This Row],[Response_Date]]&gt;Table8[[#This Row],[End_Date]]),"Review - response outside campaign dates","")</f>
        <v/>
      </c>
      <c r="AD318" t="str">
        <f>IF(Table8[[#This Row],[Campaign_Type]]="","Review - campaign code not found","")</f>
        <v/>
      </c>
    </row>
    <row r="319" spans="1:30" x14ac:dyDescent="0.25">
      <c r="A319" t="s">
        <v>3912</v>
      </c>
      <c r="B319" t="s">
        <v>2257</v>
      </c>
      <c r="C319" t="s">
        <v>3336</v>
      </c>
      <c r="D319" t="s">
        <v>3337</v>
      </c>
      <c r="E319" t="s">
        <v>4</v>
      </c>
      <c r="F319" s="17">
        <v>45551</v>
      </c>
      <c r="G319">
        <v>251.19</v>
      </c>
      <c r="H319" t="s">
        <v>37</v>
      </c>
      <c r="I319" t="s">
        <v>3331</v>
      </c>
      <c r="J319" t="str">
        <f>_xlfn.XLOOKUP(Table8[[#This Row],[Supporter_ID]],tb1_supporters[Supporter_ID ],tb1_supporters[Segment],"")</f>
        <v>Legacy Pledger</v>
      </c>
      <c r="K319" t="str">
        <f>_xlfn.XLOOKUP(Table8[[#This Row],[Supporter_ID]],tb1_supporters[Supporter_ID ],tb1_supporters[Acquisition_Source],"")</f>
        <v>Referral</v>
      </c>
      <c r="L319" t="str">
        <f>_xlfn.XLOOKUP(Table8[[#This Row],[Supporter_ID]],tb1_supporters[Supporter_ID ],tb1_supporters[County],"")</f>
        <v>Wiltshire</v>
      </c>
      <c r="M319" t="str">
        <f>_xlfn.XLOOKUP(Table8[[#This Row],[Supporter_ID]],tb1_supporters[Supporter_ID ],tb1_supporters[Gender],"")</f>
        <v>Male</v>
      </c>
      <c r="N319">
        <f ca="1">_xlfn.XLOOKUP(Table8[[#This Row],[Supporter_ID]],tb1_supporters[Supporter_ID ],tb1_supporters[Age],"")</f>
        <v>54</v>
      </c>
      <c r="O319" t="str">
        <f ca="1">_xlfn.XLOOKUP(Table8[[#This Row],[Supporter_ID]],tb1_supporters[Supporter_ID ],tb1_supporters[Age_Band],"")</f>
        <v>50-64</v>
      </c>
      <c r="P319" t="str">
        <f ca="1">IF(Table8[[#This Row],[Age_Band]]="","Unknown",Table8[[#This Row],[Age_Band]])</f>
        <v>50-64</v>
      </c>
      <c r="Q319" t="str">
        <f>_xlfn.XLOOKUP(Table8[[#This Row],[Supporter_ID]],tb1_supporters[Supporter_ID ],tb1_supporters[Communication_Preference],"")</f>
        <v>No Preference</v>
      </c>
      <c r="R319" t="str">
        <f>_xlfn.XLOOKUP(Table8[[#This Row],[Supporter_ID]],tb1_supporters[Supporter_ID ],tb1_supporters[Duplicate_Profile_Flag],"")</f>
        <v/>
      </c>
      <c r="S319" t="str">
        <f>_xlfn.XLOOKUP(Table8[[#This Row],[Supporter_ID]],tb1_supporters[Supporter_ID ],tb1_supporters[Preference_Compliance_Flag],"")</f>
        <v/>
      </c>
      <c r="T319" t="str">
        <f ca="1">IF(Table8[[#This Row],[Age]]="","Review - missing DOB",IF(Table8[[#This Row],[Age]]&gt;TODAY(),"Review - future DOB",IF(Table8[[#This Row],[Age]]=0,"Review -  potential entry error (age 0)","")))</f>
        <v/>
      </c>
      <c r="U319" t="str">
        <f>_xlfn.XLOOKUP(Table8[[#This Row],[Campaign_Code]],tb3_CampaignMaster[Campaign_Code],tb3_CampaignMaster[Campaign_Type],"")</f>
        <v>Appeal</v>
      </c>
      <c r="V319" t="str">
        <f>_xlfn.XLOOKUP(Table8[[#This Row],[Campaign_Code]],tb3_CampaignMaster[Campaign_Code],tb3_CampaignMaster[Target_Audience],"")</f>
        <v>All Supporters</v>
      </c>
      <c r="W319" s="17">
        <f>_xlfn.XLOOKUP(Table8[[#This Row],[Campaign_Code]],tb3_CampaignMaster[Campaign_Code],tb3_CampaignMaster[Start_Date],"")</f>
        <v>45545</v>
      </c>
      <c r="X319" s="17">
        <f>_xlfn.XLOOKUP(Table8[[#This Row],[Campaign_Code]],tb3_CampaignMaster[Campaign_Code],tb3_CampaignMaster[End_Date],"")</f>
        <v>45580</v>
      </c>
      <c r="Y319">
        <f>_xlfn.XLOOKUP(Table8[[#This Row],[Campaign_Code]],tb3_CampaignMaster[Campaign_Code],tb3_CampaignMaster[Budget_GBP],"")</f>
        <v>15000</v>
      </c>
      <c r="Z319" t="str">
        <f>_xlfn.XLOOKUP(Table8[[#This Row],[Campaign_Code]],tb3_CampaignMaster[Campaign_Code],tb3_CampaignMaster[Primary_Channel],"")</f>
        <v>Email</v>
      </c>
      <c r="AA319" s="13">
        <f>IF(Table8[[#This Row],[Gift_Aid_Eligible]]="Yes",Table8[[#This Row],[Gift_Amount]]*1.25,Table8[[#This Row],[Gift_Amount]])</f>
        <v>251.19</v>
      </c>
      <c r="AB319" t="str">
        <f>IF(Table8[[#This Row],[Supporter_ID]]="","Review - missing supporter ID","")</f>
        <v/>
      </c>
      <c r="AC319" t="str">
        <f>IF(OR(Table8[[#This Row],[Response_Date]]&lt;Table8[[#This Row],[Start_Date]],Table8[[#This Row],[Response_Date]]&gt;Table8[[#This Row],[End_Date]]),"Review - response outside campaign dates","")</f>
        <v/>
      </c>
      <c r="AD319" t="str">
        <f>IF(Table8[[#This Row],[Campaign_Type]]="","Review - campaign code not found","")</f>
        <v/>
      </c>
    </row>
    <row r="320" spans="1:30" x14ac:dyDescent="0.25">
      <c r="A320" t="s">
        <v>3914</v>
      </c>
      <c r="B320" t="s">
        <v>1505</v>
      </c>
      <c r="C320" t="s">
        <v>3341</v>
      </c>
      <c r="D320" t="s">
        <v>3342</v>
      </c>
      <c r="E320" t="s">
        <v>3316</v>
      </c>
      <c r="F320" s="17">
        <v>45704</v>
      </c>
      <c r="G320">
        <v>21.24</v>
      </c>
      <c r="H320" t="s">
        <v>37</v>
      </c>
      <c r="I320" t="s">
        <v>3370</v>
      </c>
      <c r="J320" t="str">
        <f>_xlfn.XLOOKUP(Table8[[#This Row],[Supporter_ID]],tb1_supporters[Supporter_ID ],tb1_supporters[Segment],"")</f>
        <v>Prospect</v>
      </c>
      <c r="K320" t="str">
        <f>_xlfn.XLOOKUP(Table8[[#This Row],[Supporter_ID]],tb1_supporters[Supporter_ID ],tb1_supporters[Acquisition_Source],"")</f>
        <v>Website</v>
      </c>
      <c r="L320" t="str">
        <f>_xlfn.XLOOKUP(Table8[[#This Row],[Supporter_ID]],tb1_supporters[Supporter_ID ],tb1_supporters[County],"")</f>
        <v>South Yorkshire</v>
      </c>
      <c r="M320" t="str">
        <f>_xlfn.XLOOKUP(Table8[[#This Row],[Supporter_ID]],tb1_supporters[Supporter_ID ],tb1_supporters[Gender],"")</f>
        <v>Male</v>
      </c>
      <c r="N320">
        <f ca="1">_xlfn.XLOOKUP(Table8[[#This Row],[Supporter_ID]],tb1_supporters[Supporter_ID ],tb1_supporters[Age],"")</f>
        <v>73</v>
      </c>
      <c r="O320" t="str">
        <f ca="1">_xlfn.XLOOKUP(Table8[[#This Row],[Supporter_ID]],tb1_supporters[Supporter_ID ],tb1_supporters[Age_Band],"")</f>
        <v>65+</v>
      </c>
      <c r="P320" t="str">
        <f ca="1">IF(Table8[[#This Row],[Age_Band]]="","Unknown",Table8[[#This Row],[Age_Band]])</f>
        <v>65+</v>
      </c>
      <c r="Q320" t="str">
        <f>_xlfn.XLOOKUP(Table8[[#This Row],[Supporter_ID]],tb1_supporters[Supporter_ID ],tb1_supporters[Communication_Preference],"")</f>
        <v>Email</v>
      </c>
      <c r="R320" t="str">
        <f>_xlfn.XLOOKUP(Table8[[#This Row],[Supporter_ID]],tb1_supporters[Supporter_ID ],tb1_supporters[Duplicate_Profile_Flag],"")</f>
        <v/>
      </c>
      <c r="S320" t="str">
        <f>_xlfn.XLOOKUP(Table8[[#This Row],[Supporter_ID]],tb1_supporters[Supporter_ID ],tb1_supporters[Preference_Compliance_Flag],"")</f>
        <v>Review - prefers email but not opted in</v>
      </c>
      <c r="T320" t="str">
        <f ca="1">IF(Table8[[#This Row],[Age]]="","Review - missing DOB",IF(Table8[[#This Row],[Age]]&gt;TODAY(),"Review - future DOB",IF(Table8[[#This Row],[Age]]=0,"Review -  potential entry error (age 0)","")))</f>
        <v/>
      </c>
      <c r="U320" t="str">
        <f>_xlfn.XLOOKUP(Table8[[#This Row],[Campaign_Code]],tb3_CampaignMaster[Campaign_Code],tb3_CampaignMaster[Campaign_Type],"")</f>
        <v>Acquisition</v>
      </c>
      <c r="V320" t="str">
        <f>_xlfn.XLOOKUP(Table8[[#This Row],[Campaign_Code]],tb3_CampaignMaster[Campaign_Code],tb3_CampaignMaster[Target_Audience],"")</f>
        <v>Prospects</v>
      </c>
      <c r="W320" s="17">
        <f>_xlfn.XLOOKUP(Table8[[#This Row],[Campaign_Code]],tb3_CampaignMaster[Campaign_Code],tb3_CampaignMaster[Start_Date],"")</f>
        <v>45689</v>
      </c>
      <c r="X320" s="17">
        <f>_xlfn.XLOOKUP(Table8[[#This Row],[Campaign_Code]],tb3_CampaignMaster[Campaign_Code],tb3_CampaignMaster[End_Date],"")</f>
        <v>45777</v>
      </c>
      <c r="Y320">
        <f>_xlfn.XLOOKUP(Table8[[#This Row],[Campaign_Code]],tb3_CampaignMaster[Campaign_Code],tb3_CampaignMaster[Budget_GBP],"")</f>
        <v>20000</v>
      </c>
      <c r="Z320" t="str">
        <f>_xlfn.XLOOKUP(Table8[[#This Row],[Campaign_Code]],tb3_CampaignMaster[Campaign_Code],tb3_CampaignMaster[Primary_Channel],"")</f>
        <v>Digital</v>
      </c>
      <c r="AA320" s="13">
        <f>IF(Table8[[#This Row],[Gift_Aid_Eligible]]="Yes",Table8[[#This Row],[Gift_Amount]]*1.25,Table8[[#This Row],[Gift_Amount]])</f>
        <v>21.24</v>
      </c>
      <c r="AB320" t="str">
        <f>IF(Table8[[#This Row],[Supporter_ID]]="","Review - missing supporter ID","")</f>
        <v/>
      </c>
      <c r="AC320" t="str">
        <f>IF(OR(Table8[[#This Row],[Response_Date]]&lt;Table8[[#This Row],[Start_Date]],Table8[[#This Row],[Response_Date]]&gt;Table8[[#This Row],[End_Date]]),"Review - response outside campaign dates","")</f>
        <v/>
      </c>
      <c r="AD320" t="str">
        <f>IF(Table8[[#This Row],[Campaign_Type]]="","Review - campaign code not found","")</f>
        <v/>
      </c>
    </row>
    <row r="321" spans="1:30" x14ac:dyDescent="0.25">
      <c r="A321" t="s">
        <v>3916</v>
      </c>
      <c r="B321" t="s">
        <v>2958</v>
      </c>
      <c r="C321" t="s">
        <v>3403</v>
      </c>
      <c r="D321" t="s">
        <v>3404</v>
      </c>
      <c r="E321" t="s">
        <v>4</v>
      </c>
      <c r="F321" s="17">
        <v>45642</v>
      </c>
      <c r="G321">
        <v>49.44</v>
      </c>
      <c r="H321" t="s">
        <v>36</v>
      </c>
      <c r="I321" t="s">
        <v>3318</v>
      </c>
      <c r="J321" t="str">
        <f>_xlfn.XLOOKUP(Table8[[#This Row],[Supporter_ID]],tb1_supporters[Supporter_ID ],tb1_supporters[Segment],"")</f>
        <v>One-Time Donor</v>
      </c>
      <c r="K321" t="str">
        <f>_xlfn.XLOOKUP(Table8[[#This Row],[Supporter_ID]],tb1_supporters[Supporter_ID ],tb1_supporters[Acquisition_Source],"")</f>
        <v>Website</v>
      </c>
      <c r="L321" t="str">
        <f>_xlfn.XLOOKUP(Table8[[#This Row],[Supporter_ID]],tb1_supporters[Supporter_ID ],tb1_supporters[County],"")</f>
        <v>Strathclyde</v>
      </c>
      <c r="M321" t="str">
        <f>_xlfn.XLOOKUP(Table8[[#This Row],[Supporter_ID]],tb1_supporters[Supporter_ID ],tb1_supporters[Gender],"")</f>
        <v>Female</v>
      </c>
      <c r="N321">
        <f ca="1">_xlfn.XLOOKUP(Table8[[#This Row],[Supporter_ID]],tb1_supporters[Supporter_ID ],tb1_supporters[Age],"")</f>
        <v>71</v>
      </c>
      <c r="O321" t="str">
        <f ca="1">_xlfn.XLOOKUP(Table8[[#This Row],[Supporter_ID]],tb1_supporters[Supporter_ID ],tb1_supporters[Age_Band],"")</f>
        <v>65+</v>
      </c>
      <c r="P321" t="str">
        <f ca="1">IF(Table8[[#This Row],[Age_Band]]="","Unknown",Table8[[#This Row],[Age_Band]])</f>
        <v>65+</v>
      </c>
      <c r="Q321" t="str">
        <f>_xlfn.XLOOKUP(Table8[[#This Row],[Supporter_ID]],tb1_supporters[Supporter_ID ],tb1_supporters[Communication_Preference],"")</f>
        <v>Do Not Contact</v>
      </c>
      <c r="R321" t="str">
        <f>_xlfn.XLOOKUP(Table8[[#This Row],[Supporter_ID]],tb1_supporters[Supporter_ID ],tb1_supporters[Duplicate_Profile_Flag],"")</f>
        <v/>
      </c>
      <c r="S321" t="str">
        <f>_xlfn.XLOOKUP(Table8[[#This Row],[Supporter_ID]],tb1_supporters[Supporter_ID ],tb1_supporters[Preference_Compliance_Flag],"")</f>
        <v/>
      </c>
      <c r="T321" t="str">
        <f ca="1">IF(Table8[[#This Row],[Age]]="","Review - missing DOB",IF(Table8[[#This Row],[Age]]&gt;TODAY(),"Review - future DOB",IF(Table8[[#This Row],[Age]]=0,"Review -  potential entry error (age 0)","")))</f>
        <v/>
      </c>
      <c r="U321" t="str">
        <f>_xlfn.XLOOKUP(Table8[[#This Row],[Campaign_Code]],tb3_CampaignMaster[Campaign_Code],tb3_CampaignMaster[Campaign_Type],"")</f>
        <v>Trading</v>
      </c>
      <c r="V321" t="str">
        <f>_xlfn.XLOOKUP(Table8[[#This Row],[Campaign_Code]],tb3_CampaignMaster[Campaign_Code],tb3_CampaignMaster[Target_Audience],"")</f>
        <v>All Active</v>
      </c>
      <c r="W321" s="17">
        <f>_xlfn.XLOOKUP(Table8[[#This Row],[Campaign_Code]],tb3_CampaignMaster[Campaign_Code],tb3_CampaignMaster[Start_Date],"")</f>
        <v>45580</v>
      </c>
      <c r="X321" s="17">
        <f>_xlfn.XLOOKUP(Table8[[#This Row],[Campaign_Code]],tb3_CampaignMaster[Campaign_Code],tb3_CampaignMaster[End_Date],"")</f>
        <v>45646</v>
      </c>
      <c r="Y321">
        <f>_xlfn.XLOOKUP(Table8[[#This Row],[Campaign_Code]],tb3_CampaignMaster[Campaign_Code],tb3_CampaignMaster[Budget_GBP],"")</f>
        <v>12000</v>
      </c>
      <c r="Z321" t="str">
        <f>_xlfn.XLOOKUP(Table8[[#This Row],[Campaign_Code]],tb3_CampaignMaster[Campaign_Code],tb3_CampaignMaster[Primary_Channel],"")</f>
        <v>Multi-channel</v>
      </c>
      <c r="AA321" s="13">
        <f>IF(Table8[[#This Row],[Gift_Aid_Eligible]]="Yes",Table8[[#This Row],[Gift_Amount]]*1.25,Table8[[#This Row],[Gift_Amount]])</f>
        <v>61.8</v>
      </c>
      <c r="AB321" t="str">
        <f>IF(Table8[[#This Row],[Supporter_ID]]="","Review - missing supporter ID","")</f>
        <v/>
      </c>
      <c r="AC321" t="str">
        <f>IF(OR(Table8[[#This Row],[Response_Date]]&lt;Table8[[#This Row],[Start_Date]],Table8[[#This Row],[Response_Date]]&gt;Table8[[#This Row],[End_Date]]),"Review - response outside campaign dates","")</f>
        <v/>
      </c>
      <c r="AD321" t="str">
        <f>IF(Table8[[#This Row],[Campaign_Type]]="","Review - campaign code not found","")</f>
        <v/>
      </c>
    </row>
    <row r="322" spans="1:30" x14ac:dyDescent="0.25">
      <c r="A322" t="s">
        <v>3918</v>
      </c>
      <c r="B322" t="s">
        <v>2759</v>
      </c>
      <c r="C322" t="s">
        <v>3325</v>
      </c>
      <c r="D322" t="s">
        <v>3326</v>
      </c>
      <c r="E322" t="s">
        <v>65</v>
      </c>
      <c r="F322" s="17">
        <v>45654</v>
      </c>
      <c r="G322">
        <v>9.17</v>
      </c>
      <c r="H322" t="s">
        <v>36</v>
      </c>
      <c r="I322" t="s">
        <v>3318</v>
      </c>
      <c r="J322" t="str">
        <f>_xlfn.XLOOKUP(Table8[[#This Row],[Supporter_ID]],tb1_supporters[Supporter_ID ],tb1_supporters[Segment],"")</f>
        <v>Prospect</v>
      </c>
      <c r="K322" t="str">
        <f>_xlfn.XLOOKUP(Table8[[#This Row],[Supporter_ID]],tb1_supporters[Supporter_ID ],tb1_supporters[Acquisition_Source],"")</f>
        <v>Corporate Partner</v>
      </c>
      <c r="L322" t="str">
        <f>_xlfn.XLOOKUP(Table8[[#This Row],[Supporter_ID]],tb1_supporters[Supporter_ID ],tb1_supporters[County],"")</f>
        <v>West Yorkshire</v>
      </c>
      <c r="M322" t="str">
        <f>_xlfn.XLOOKUP(Table8[[#This Row],[Supporter_ID]],tb1_supporters[Supporter_ID ],tb1_supporters[Gender],"")</f>
        <v>Male</v>
      </c>
      <c r="N322" t="str">
        <f ca="1">_xlfn.XLOOKUP(Table8[[#This Row],[Supporter_ID]],tb1_supporters[Supporter_ID ],tb1_supporters[Age],"")</f>
        <v/>
      </c>
      <c r="O322" t="str">
        <f ca="1">_xlfn.XLOOKUP(Table8[[#This Row],[Supporter_ID]],tb1_supporters[Supporter_ID ],tb1_supporters[Age_Band],"")</f>
        <v/>
      </c>
      <c r="P322" t="str">
        <f ca="1">IF(Table8[[#This Row],[Age_Band]]="","Unknown",Table8[[#This Row],[Age_Band]])</f>
        <v>Unknown</v>
      </c>
      <c r="Q322" t="str">
        <f>_xlfn.XLOOKUP(Table8[[#This Row],[Supporter_ID]],tb1_supporters[Supporter_ID ],tb1_supporters[Communication_Preference],"")</f>
        <v>Phone</v>
      </c>
      <c r="R322" t="str">
        <f>_xlfn.XLOOKUP(Table8[[#This Row],[Supporter_ID]],tb1_supporters[Supporter_ID ],tb1_supporters[Duplicate_Profile_Flag],"")</f>
        <v/>
      </c>
      <c r="S322" t="str">
        <f>_xlfn.XLOOKUP(Table8[[#This Row],[Supporter_ID]],tb1_supporters[Supporter_ID ],tb1_supporters[Preference_Compliance_Flag],"")</f>
        <v/>
      </c>
      <c r="T322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322" t="str">
        <f>_xlfn.XLOOKUP(Table8[[#This Row],[Campaign_Code]],tb3_CampaignMaster[Campaign_Code],tb3_CampaignMaster[Campaign_Type],"")</f>
        <v>Appeal</v>
      </c>
      <c r="V322" t="str">
        <f>_xlfn.XLOOKUP(Table8[[#This Row],[Campaign_Code]],tb3_CampaignMaster[Campaign_Code],tb3_CampaignMaster[Target_Audience],"")</f>
        <v>All Active</v>
      </c>
      <c r="W322" s="17">
        <f>_xlfn.XLOOKUP(Table8[[#This Row],[Campaign_Code]],tb3_CampaignMaster[Campaign_Code],tb3_CampaignMaster[Start_Date],"")</f>
        <v>45597</v>
      </c>
      <c r="X322" s="17">
        <f>_xlfn.XLOOKUP(Table8[[#This Row],[Campaign_Code]],tb3_CampaignMaster[Campaign_Code],tb3_CampaignMaster[End_Date],"")</f>
        <v>45657</v>
      </c>
      <c r="Y322">
        <f>_xlfn.XLOOKUP(Table8[[#This Row],[Campaign_Code]],tb3_CampaignMaster[Campaign_Code],tb3_CampaignMaster[Budget_GBP],"")</f>
        <v>25000</v>
      </c>
      <c r="Z322" t="str">
        <f>_xlfn.XLOOKUP(Table8[[#This Row],[Campaign_Code]],tb3_CampaignMaster[Campaign_Code],tb3_CampaignMaster[Primary_Channel],"")</f>
        <v>Multi-channel</v>
      </c>
      <c r="AA322" s="13">
        <f>IF(Table8[[#This Row],[Gift_Aid_Eligible]]="Yes",Table8[[#This Row],[Gift_Amount]]*1.25,Table8[[#This Row],[Gift_Amount]])</f>
        <v>11.4625</v>
      </c>
      <c r="AB322" t="str">
        <f>IF(Table8[[#This Row],[Supporter_ID]]="","Review - missing supporter ID","")</f>
        <v/>
      </c>
      <c r="AC322" t="str">
        <f>IF(OR(Table8[[#This Row],[Response_Date]]&lt;Table8[[#This Row],[Start_Date]],Table8[[#This Row],[Response_Date]]&gt;Table8[[#This Row],[End_Date]]),"Review - response outside campaign dates","")</f>
        <v/>
      </c>
      <c r="AD322" t="str">
        <f>IF(Table8[[#This Row],[Campaign_Type]]="","Review - campaign code not found","")</f>
        <v/>
      </c>
    </row>
    <row r="323" spans="1:30" x14ac:dyDescent="0.25">
      <c r="A323" t="s">
        <v>3920</v>
      </c>
      <c r="B323" t="s">
        <v>1663</v>
      </c>
      <c r="C323" t="s">
        <v>3320</v>
      </c>
      <c r="D323" t="s">
        <v>3321</v>
      </c>
      <c r="E323" t="s">
        <v>4</v>
      </c>
      <c r="F323" s="17">
        <v>45469</v>
      </c>
      <c r="G323">
        <v>299.75</v>
      </c>
      <c r="H323" t="s">
        <v>37</v>
      </c>
      <c r="I323" t="s">
        <v>3370</v>
      </c>
      <c r="J323" t="str">
        <f>_xlfn.XLOOKUP(Table8[[#This Row],[Supporter_ID]],tb1_supporters[Supporter_ID ],tb1_supporters[Segment],"")</f>
        <v>Legacy Pledger</v>
      </c>
      <c r="K323" t="str">
        <f>_xlfn.XLOOKUP(Table8[[#This Row],[Supporter_ID]],tb1_supporters[Supporter_ID ],tb1_supporters[Acquisition_Source],"")</f>
        <v>Referral</v>
      </c>
      <c r="L323" t="str">
        <f>_xlfn.XLOOKUP(Table8[[#This Row],[Supporter_ID]],tb1_supporters[Supporter_ID ],tb1_supporters[County],"")</f>
        <v>Cambridgeshire</v>
      </c>
      <c r="M323" t="str">
        <f>_xlfn.XLOOKUP(Table8[[#This Row],[Supporter_ID]],tb1_supporters[Supporter_ID ],tb1_supporters[Gender],"")</f>
        <v>Female</v>
      </c>
      <c r="N323">
        <f ca="1">_xlfn.XLOOKUP(Table8[[#This Row],[Supporter_ID]],tb1_supporters[Supporter_ID ],tb1_supporters[Age],"")</f>
        <v>94</v>
      </c>
      <c r="O323" t="str">
        <f ca="1">_xlfn.XLOOKUP(Table8[[#This Row],[Supporter_ID]],tb1_supporters[Supporter_ID ],tb1_supporters[Age_Band],"")</f>
        <v>65+</v>
      </c>
      <c r="P323" t="str">
        <f ca="1">IF(Table8[[#This Row],[Age_Band]]="","Unknown",Table8[[#This Row],[Age_Band]])</f>
        <v>65+</v>
      </c>
      <c r="Q323" t="str">
        <f>_xlfn.XLOOKUP(Table8[[#This Row],[Supporter_ID]],tb1_supporters[Supporter_ID ],tb1_supporters[Communication_Preference],"")</f>
        <v>No Preference</v>
      </c>
      <c r="R323" t="str">
        <f>_xlfn.XLOOKUP(Table8[[#This Row],[Supporter_ID]],tb1_supporters[Supporter_ID ],tb1_supporters[Duplicate_Profile_Flag],"")</f>
        <v/>
      </c>
      <c r="S323" t="str">
        <f>_xlfn.XLOOKUP(Table8[[#This Row],[Supporter_ID]],tb1_supporters[Supporter_ID ],tb1_supporters[Preference_Compliance_Flag],"")</f>
        <v/>
      </c>
      <c r="T323" t="str">
        <f ca="1">IF(Table8[[#This Row],[Age]]="","Review - missing DOB",IF(Table8[[#This Row],[Age]]&gt;TODAY(),"Review - future DOB",IF(Table8[[#This Row],[Age]]=0,"Review -  potential entry error (age 0)","")))</f>
        <v/>
      </c>
      <c r="U323" t="str">
        <f>_xlfn.XLOOKUP(Table8[[#This Row],[Campaign_Code]],tb3_CampaignMaster[Campaign_Code],tb3_CampaignMaster[Campaign_Type],"")</f>
        <v>Stewardship</v>
      </c>
      <c r="V323" t="str">
        <f>_xlfn.XLOOKUP(Table8[[#This Row],[Campaign_Code]],tb3_CampaignMaster[Campaign_Code],tb3_CampaignMaster[Target_Audience],"")</f>
        <v>Major Donors</v>
      </c>
      <c r="W323" s="17">
        <f>_xlfn.XLOOKUP(Table8[[#This Row],[Campaign_Code]],tb3_CampaignMaster[Campaign_Code],tb3_CampaignMaster[Start_Date],"")</f>
        <v>45444</v>
      </c>
      <c r="X323" s="17">
        <f>_xlfn.XLOOKUP(Table8[[#This Row],[Campaign_Code]],tb3_CampaignMaster[Campaign_Code],tb3_CampaignMaster[End_Date],"")</f>
        <v>45473</v>
      </c>
      <c r="Y323">
        <f>_xlfn.XLOOKUP(Table8[[#This Row],[Campaign_Code]],tb3_CampaignMaster[Campaign_Code],tb3_CampaignMaster[Budget_GBP],"")</f>
        <v>7000</v>
      </c>
      <c r="Z323" t="str">
        <f>_xlfn.XLOOKUP(Table8[[#This Row],[Campaign_Code]],tb3_CampaignMaster[Campaign_Code],tb3_CampaignMaster[Primary_Channel],"")</f>
        <v>Direct Mail</v>
      </c>
      <c r="AA323" s="13">
        <f>IF(Table8[[#This Row],[Gift_Aid_Eligible]]="Yes",Table8[[#This Row],[Gift_Amount]]*1.25,Table8[[#This Row],[Gift_Amount]])</f>
        <v>299.75</v>
      </c>
      <c r="AB323" t="str">
        <f>IF(Table8[[#This Row],[Supporter_ID]]="","Review - missing supporter ID","")</f>
        <v/>
      </c>
      <c r="AC323" t="str">
        <f>IF(OR(Table8[[#This Row],[Response_Date]]&lt;Table8[[#This Row],[Start_Date]],Table8[[#This Row],[Response_Date]]&gt;Table8[[#This Row],[End_Date]]),"Review - response outside campaign dates","")</f>
        <v/>
      </c>
      <c r="AD323" t="str">
        <f>IF(Table8[[#This Row],[Campaign_Type]]="","Review - campaign code not found","")</f>
        <v/>
      </c>
    </row>
    <row r="324" spans="1:30" x14ac:dyDescent="0.25">
      <c r="A324" t="s">
        <v>3922</v>
      </c>
      <c r="B324" t="s">
        <v>1309</v>
      </c>
      <c r="C324" t="s">
        <v>3362</v>
      </c>
      <c r="D324" t="s">
        <v>3363</v>
      </c>
      <c r="E324" t="s">
        <v>65</v>
      </c>
      <c r="F324" s="17">
        <v>45573</v>
      </c>
      <c r="G324">
        <v>56.33</v>
      </c>
      <c r="H324" t="s">
        <v>36</v>
      </c>
      <c r="I324" t="s">
        <v>3334</v>
      </c>
      <c r="J324" t="str">
        <f>_xlfn.XLOOKUP(Table8[[#This Row],[Supporter_ID]],tb1_supporters[Supporter_ID ],tb1_supporters[Segment],"")</f>
        <v>Lapsed</v>
      </c>
      <c r="K324" t="str">
        <f>_xlfn.XLOOKUP(Table8[[#This Row],[Supporter_ID]],tb1_supporters[Supporter_ID ],tb1_supporters[Acquisition_Source],"")</f>
        <v>Website</v>
      </c>
      <c r="L324" t="str">
        <f>_xlfn.XLOOKUP(Table8[[#This Row],[Supporter_ID]],tb1_supporters[Supporter_ID ],tb1_supporters[County],"")</f>
        <v>Greater London</v>
      </c>
      <c r="M324" t="str">
        <f>_xlfn.XLOOKUP(Table8[[#This Row],[Supporter_ID]],tb1_supporters[Supporter_ID ],tb1_supporters[Gender],"")</f>
        <v>Female</v>
      </c>
      <c r="N324">
        <f ca="1">_xlfn.XLOOKUP(Table8[[#This Row],[Supporter_ID]],tb1_supporters[Supporter_ID ],tb1_supporters[Age],"")</f>
        <v>80</v>
      </c>
      <c r="O324" t="str">
        <f ca="1">_xlfn.XLOOKUP(Table8[[#This Row],[Supporter_ID]],tb1_supporters[Supporter_ID ],tb1_supporters[Age_Band],"")</f>
        <v>65+</v>
      </c>
      <c r="P324" t="str">
        <f ca="1">IF(Table8[[#This Row],[Age_Band]]="","Unknown",Table8[[#This Row],[Age_Band]])</f>
        <v>65+</v>
      </c>
      <c r="Q324" t="str">
        <f>_xlfn.XLOOKUP(Table8[[#This Row],[Supporter_ID]],tb1_supporters[Supporter_ID ],tb1_supporters[Communication_Preference],"")</f>
        <v>No Preference</v>
      </c>
      <c r="R324" t="str">
        <f>_xlfn.XLOOKUP(Table8[[#This Row],[Supporter_ID]],tb1_supporters[Supporter_ID ],tb1_supporters[Duplicate_Profile_Flag],"")</f>
        <v/>
      </c>
      <c r="S324" t="str">
        <f>_xlfn.XLOOKUP(Table8[[#This Row],[Supporter_ID]],tb1_supporters[Supporter_ID ],tb1_supporters[Preference_Compliance_Flag],"")</f>
        <v/>
      </c>
      <c r="T324" t="str">
        <f ca="1">IF(Table8[[#This Row],[Age]]="","Review - missing DOB",IF(Table8[[#This Row],[Age]]&gt;TODAY(),"Review - future DOB",IF(Table8[[#This Row],[Age]]=0,"Review -  potential entry error (age 0)","")))</f>
        <v/>
      </c>
      <c r="U324" t="str">
        <f>_xlfn.XLOOKUP(Table8[[#This Row],[Campaign_Code]],tb3_CampaignMaster[Campaign_Code],tb3_CampaignMaster[Campaign_Type],"")</f>
        <v>Legacy</v>
      </c>
      <c r="V324" t="str">
        <f>_xlfn.XLOOKUP(Table8[[#This Row],[Campaign_Code]],tb3_CampaignMaster[Campaign_Code],tb3_CampaignMaster[Target_Audience],"")</f>
        <v>Over 55s</v>
      </c>
      <c r="W324" s="17">
        <f>_xlfn.XLOOKUP(Table8[[#This Row],[Campaign_Code]],tb3_CampaignMaster[Campaign_Code],tb3_CampaignMaster[Start_Date],"")</f>
        <v>45572</v>
      </c>
      <c r="X324" s="17">
        <f>_xlfn.XLOOKUP(Table8[[#This Row],[Campaign_Code]],tb3_CampaignMaster[Campaign_Code],tb3_CampaignMaster[End_Date],"")</f>
        <v>45578</v>
      </c>
      <c r="Y324">
        <f>_xlfn.XLOOKUP(Table8[[#This Row],[Campaign_Code]],tb3_CampaignMaster[Campaign_Code],tb3_CampaignMaster[Budget_GBP],"")</f>
        <v>5000</v>
      </c>
      <c r="Z324" t="str">
        <f>_xlfn.XLOOKUP(Table8[[#This Row],[Campaign_Code]],tb3_CampaignMaster[Campaign_Code],tb3_CampaignMaster[Primary_Channel],"")</f>
        <v>Direct Mail</v>
      </c>
      <c r="AA324" s="13">
        <f>IF(Table8[[#This Row],[Gift_Aid_Eligible]]="Yes",Table8[[#This Row],[Gift_Amount]]*1.25,Table8[[#This Row],[Gift_Amount]])</f>
        <v>70.412499999999994</v>
      </c>
      <c r="AB324" t="str">
        <f>IF(Table8[[#This Row],[Supporter_ID]]="","Review - missing supporter ID","")</f>
        <v/>
      </c>
      <c r="AC324" t="str">
        <f>IF(OR(Table8[[#This Row],[Response_Date]]&lt;Table8[[#This Row],[Start_Date]],Table8[[#This Row],[Response_Date]]&gt;Table8[[#This Row],[End_Date]]),"Review - response outside campaign dates","")</f>
        <v/>
      </c>
      <c r="AD324" t="str">
        <f>IF(Table8[[#This Row],[Campaign_Type]]="","Review - campaign code not found","")</f>
        <v/>
      </c>
    </row>
    <row r="325" spans="1:30" x14ac:dyDescent="0.25">
      <c r="A325" t="s">
        <v>3923</v>
      </c>
      <c r="B325" t="s">
        <v>1945</v>
      </c>
      <c r="C325" t="s">
        <v>3325</v>
      </c>
      <c r="D325" t="s">
        <v>3326</v>
      </c>
      <c r="E325" t="s">
        <v>3338</v>
      </c>
      <c r="F325" s="17">
        <v>45598</v>
      </c>
      <c r="G325">
        <v>10.09</v>
      </c>
      <c r="H325" t="s">
        <v>36</v>
      </c>
      <c r="I325" t="s">
        <v>3328</v>
      </c>
      <c r="J325" t="str">
        <f>_xlfn.XLOOKUP(Table8[[#This Row],[Supporter_ID]],tb1_supporters[Supporter_ID ],tb1_supporters[Segment],"")</f>
        <v>Prospect</v>
      </c>
      <c r="K325" t="str">
        <f>_xlfn.XLOOKUP(Table8[[#This Row],[Supporter_ID]],tb1_supporters[Supporter_ID ],tb1_supporters[Acquisition_Source],"")</f>
        <v>Door-To-Door</v>
      </c>
      <c r="L325" t="str">
        <f>_xlfn.XLOOKUP(Table8[[#This Row],[Supporter_ID]],tb1_supporters[Supporter_ID ],tb1_supporters[County],"")</f>
        <v>Gloucestershire</v>
      </c>
      <c r="M325" t="str">
        <f>_xlfn.XLOOKUP(Table8[[#This Row],[Supporter_ID]],tb1_supporters[Supporter_ID ],tb1_supporters[Gender],"")</f>
        <v>Female</v>
      </c>
      <c r="N325">
        <f ca="1">_xlfn.XLOOKUP(Table8[[#This Row],[Supporter_ID]],tb1_supporters[Supporter_ID ],tb1_supporters[Age],"")</f>
        <v>70</v>
      </c>
      <c r="O325" t="str">
        <f ca="1">_xlfn.XLOOKUP(Table8[[#This Row],[Supporter_ID]],tb1_supporters[Supporter_ID ],tb1_supporters[Age_Band],"")</f>
        <v>65+</v>
      </c>
      <c r="P325" t="str">
        <f ca="1">IF(Table8[[#This Row],[Age_Band]]="","Unknown",Table8[[#This Row],[Age_Band]])</f>
        <v>65+</v>
      </c>
      <c r="Q325" t="str">
        <f>_xlfn.XLOOKUP(Table8[[#This Row],[Supporter_ID]],tb1_supporters[Supporter_ID ],tb1_supporters[Communication_Preference],"")</f>
        <v>No Preference</v>
      </c>
      <c r="R325" t="str">
        <f>_xlfn.XLOOKUP(Table8[[#This Row],[Supporter_ID]],tb1_supporters[Supporter_ID ],tb1_supporters[Duplicate_Profile_Flag],"")</f>
        <v/>
      </c>
      <c r="S325" t="str">
        <f>_xlfn.XLOOKUP(Table8[[#This Row],[Supporter_ID]],tb1_supporters[Supporter_ID ],tb1_supporters[Preference_Compliance_Flag],"")</f>
        <v/>
      </c>
      <c r="T325" t="str">
        <f ca="1">IF(Table8[[#This Row],[Age]]="","Review - missing DOB",IF(Table8[[#This Row],[Age]]&gt;TODAY(),"Review - future DOB",IF(Table8[[#This Row],[Age]]=0,"Review -  potential entry error (age 0)","")))</f>
        <v/>
      </c>
      <c r="U325" t="str">
        <f>_xlfn.XLOOKUP(Table8[[#This Row],[Campaign_Code]],tb3_CampaignMaster[Campaign_Code],tb3_CampaignMaster[Campaign_Type],"")</f>
        <v>Appeal</v>
      </c>
      <c r="V325" t="str">
        <f>_xlfn.XLOOKUP(Table8[[#This Row],[Campaign_Code]],tb3_CampaignMaster[Campaign_Code],tb3_CampaignMaster[Target_Audience],"")</f>
        <v>All Active</v>
      </c>
      <c r="W325" s="17">
        <f>_xlfn.XLOOKUP(Table8[[#This Row],[Campaign_Code]],tb3_CampaignMaster[Campaign_Code],tb3_CampaignMaster[Start_Date],"")</f>
        <v>45597</v>
      </c>
      <c r="X325" s="17">
        <f>_xlfn.XLOOKUP(Table8[[#This Row],[Campaign_Code]],tb3_CampaignMaster[Campaign_Code],tb3_CampaignMaster[End_Date],"")</f>
        <v>45657</v>
      </c>
      <c r="Y325">
        <f>_xlfn.XLOOKUP(Table8[[#This Row],[Campaign_Code]],tb3_CampaignMaster[Campaign_Code],tb3_CampaignMaster[Budget_GBP],"")</f>
        <v>25000</v>
      </c>
      <c r="Z325" t="str">
        <f>_xlfn.XLOOKUP(Table8[[#This Row],[Campaign_Code]],tb3_CampaignMaster[Campaign_Code],tb3_CampaignMaster[Primary_Channel],"")</f>
        <v>Multi-channel</v>
      </c>
      <c r="AA325" s="13">
        <f>IF(Table8[[#This Row],[Gift_Aid_Eligible]]="Yes",Table8[[#This Row],[Gift_Amount]]*1.25,Table8[[#This Row],[Gift_Amount]])</f>
        <v>12.612500000000001</v>
      </c>
      <c r="AB325" t="str">
        <f>IF(Table8[[#This Row],[Supporter_ID]]="","Review - missing supporter ID","")</f>
        <v/>
      </c>
      <c r="AC325" t="str">
        <f>IF(OR(Table8[[#This Row],[Response_Date]]&lt;Table8[[#This Row],[Start_Date]],Table8[[#This Row],[Response_Date]]&gt;Table8[[#This Row],[End_Date]]),"Review - response outside campaign dates","")</f>
        <v/>
      </c>
      <c r="AD325" t="str">
        <f>IF(Table8[[#This Row],[Campaign_Type]]="","Review - campaign code not found","")</f>
        <v/>
      </c>
    </row>
    <row r="326" spans="1:30" x14ac:dyDescent="0.25">
      <c r="A326" t="s">
        <v>3925</v>
      </c>
      <c r="B326" t="s">
        <v>3049</v>
      </c>
      <c r="C326" t="s">
        <v>3367</v>
      </c>
      <c r="D326" t="s">
        <v>3368</v>
      </c>
      <c r="E326" t="s">
        <v>65</v>
      </c>
      <c r="F326" s="17">
        <v>45775</v>
      </c>
      <c r="G326">
        <v>115.82</v>
      </c>
      <c r="H326" t="s">
        <v>37</v>
      </c>
      <c r="I326" t="s">
        <v>3331</v>
      </c>
      <c r="J326" t="str">
        <f>_xlfn.XLOOKUP(Table8[[#This Row],[Supporter_ID]],tb1_supporters[Supporter_ID ],tb1_supporters[Segment],"")</f>
        <v>One-Time Donor</v>
      </c>
      <c r="K326" t="str">
        <f>_xlfn.XLOOKUP(Table8[[#This Row],[Supporter_ID]],tb1_supporters[Supporter_ID ],tb1_supporters[Acquisition_Source],"")</f>
        <v>Event</v>
      </c>
      <c r="L326" t="str">
        <f>_xlfn.XLOOKUP(Table8[[#This Row],[Supporter_ID]],tb1_supporters[Supporter_ID ],tb1_supporters[County],"")</f>
        <v>South Yorkshire</v>
      </c>
      <c r="M326" t="str">
        <f>_xlfn.XLOOKUP(Table8[[#This Row],[Supporter_ID]],tb1_supporters[Supporter_ID ],tb1_supporters[Gender],"")</f>
        <v>Female</v>
      </c>
      <c r="N326">
        <f ca="1">_xlfn.XLOOKUP(Table8[[#This Row],[Supporter_ID]],tb1_supporters[Supporter_ID ],tb1_supporters[Age],"")</f>
        <v>76</v>
      </c>
      <c r="O326" t="str">
        <f ca="1">_xlfn.XLOOKUP(Table8[[#This Row],[Supporter_ID]],tb1_supporters[Supporter_ID ],tb1_supporters[Age_Band],"")</f>
        <v>65+</v>
      </c>
      <c r="P326" t="str">
        <f ca="1">IF(Table8[[#This Row],[Age_Band]]="","Unknown",Table8[[#This Row],[Age_Band]])</f>
        <v>65+</v>
      </c>
      <c r="Q326" t="str">
        <f>_xlfn.XLOOKUP(Table8[[#This Row],[Supporter_ID]],tb1_supporters[Supporter_ID ],tb1_supporters[Communication_Preference],"")</f>
        <v>No Preference</v>
      </c>
      <c r="R326" t="str">
        <f>_xlfn.XLOOKUP(Table8[[#This Row],[Supporter_ID]],tb1_supporters[Supporter_ID ],tb1_supporters[Duplicate_Profile_Flag],"")</f>
        <v/>
      </c>
      <c r="S326" t="str">
        <f>_xlfn.XLOOKUP(Table8[[#This Row],[Supporter_ID]],tb1_supporters[Supporter_ID ],tb1_supporters[Preference_Compliance_Flag],"")</f>
        <v/>
      </c>
      <c r="T326" t="str">
        <f ca="1">IF(Table8[[#This Row],[Age]]="","Review - missing DOB",IF(Table8[[#This Row],[Age]]&gt;TODAY(),"Review - future DOB",IF(Table8[[#This Row],[Age]]=0,"Review -  potential entry error (age 0)","")))</f>
        <v/>
      </c>
      <c r="U326" t="str">
        <f>_xlfn.XLOOKUP(Table8[[#This Row],[Campaign_Code]],tb3_CampaignMaster[Campaign_Code],tb3_CampaignMaster[Campaign_Type],"")</f>
        <v>Raffle</v>
      </c>
      <c r="V326" t="str">
        <f>_xlfn.XLOOKUP(Table8[[#This Row],[Campaign_Code]],tb3_CampaignMaster[Campaign_Code],tb3_CampaignMaster[Target_Audience],"")</f>
        <v>Regular Givers</v>
      </c>
      <c r="W326" s="17">
        <f>_xlfn.XLOOKUP(Table8[[#This Row],[Campaign_Code]],tb3_CampaignMaster[Campaign_Code],tb3_CampaignMaster[Start_Date],"")</f>
        <v>45717</v>
      </c>
      <c r="X326" s="17">
        <f>_xlfn.XLOOKUP(Table8[[#This Row],[Campaign_Code]],tb3_CampaignMaster[Campaign_Code],tb3_CampaignMaster[End_Date],"")</f>
        <v>45777</v>
      </c>
      <c r="Y326">
        <f>_xlfn.XLOOKUP(Table8[[#This Row],[Campaign_Code]],tb3_CampaignMaster[Campaign_Code],tb3_CampaignMaster[Budget_GBP],"")</f>
        <v>8000</v>
      </c>
      <c r="Z326" t="str">
        <f>_xlfn.XLOOKUP(Table8[[#This Row],[Campaign_Code]],tb3_CampaignMaster[Campaign_Code],tb3_CampaignMaster[Primary_Channel],"")</f>
        <v>Direct Mail</v>
      </c>
      <c r="AA326" s="13">
        <f>IF(Table8[[#This Row],[Gift_Aid_Eligible]]="Yes",Table8[[#This Row],[Gift_Amount]]*1.25,Table8[[#This Row],[Gift_Amount]])</f>
        <v>115.82</v>
      </c>
      <c r="AB326" t="str">
        <f>IF(Table8[[#This Row],[Supporter_ID]]="","Review - missing supporter ID","")</f>
        <v/>
      </c>
      <c r="AC326" t="str">
        <f>IF(OR(Table8[[#This Row],[Response_Date]]&lt;Table8[[#This Row],[Start_Date]],Table8[[#This Row],[Response_Date]]&gt;Table8[[#This Row],[End_Date]]),"Review - response outside campaign dates","")</f>
        <v/>
      </c>
      <c r="AD326" t="str">
        <f>IF(Table8[[#This Row],[Campaign_Type]]="","Review - campaign code not found","")</f>
        <v/>
      </c>
    </row>
    <row r="327" spans="1:30" x14ac:dyDescent="0.25">
      <c r="A327" t="s">
        <v>3927</v>
      </c>
      <c r="B327" t="s">
        <v>2858</v>
      </c>
      <c r="C327" t="s">
        <v>3320</v>
      </c>
      <c r="D327" t="s">
        <v>3321</v>
      </c>
      <c r="E327" t="s">
        <v>65</v>
      </c>
      <c r="F327" s="17">
        <v>45449</v>
      </c>
      <c r="G327">
        <v>83.29</v>
      </c>
      <c r="H327" t="s">
        <v>37</v>
      </c>
      <c r="I327" t="s">
        <v>3334</v>
      </c>
      <c r="J327" t="str">
        <f>_xlfn.XLOOKUP(Table8[[#This Row],[Supporter_ID]],tb1_supporters[Supporter_ID ],tb1_supporters[Segment],"")</f>
        <v>Lapsed</v>
      </c>
      <c r="K327" t="str">
        <f>_xlfn.XLOOKUP(Table8[[#This Row],[Supporter_ID]],tb1_supporters[Supporter_ID ],tb1_supporters[Acquisition_Source],"")</f>
        <v>Direct Mail</v>
      </c>
      <c r="L327" t="str">
        <f>_xlfn.XLOOKUP(Table8[[#This Row],[Supporter_ID]],tb1_supporters[Supporter_ID ],tb1_supporters[County],"")</f>
        <v>Hertfordshire</v>
      </c>
      <c r="M327" t="str">
        <f>_xlfn.XLOOKUP(Table8[[#This Row],[Supporter_ID]],tb1_supporters[Supporter_ID ],tb1_supporters[Gender],"")</f>
        <v>Male</v>
      </c>
      <c r="N327">
        <f ca="1">_xlfn.XLOOKUP(Table8[[#This Row],[Supporter_ID]],tb1_supporters[Supporter_ID ],tb1_supporters[Age],"")</f>
        <v>41</v>
      </c>
      <c r="O327" t="str">
        <f ca="1">_xlfn.XLOOKUP(Table8[[#This Row],[Supporter_ID]],tb1_supporters[Supporter_ID ],tb1_supporters[Age_Band],"")</f>
        <v>35-49</v>
      </c>
      <c r="P327" t="str">
        <f ca="1">IF(Table8[[#This Row],[Age_Band]]="","Unknown",Table8[[#This Row],[Age_Band]])</f>
        <v>35-49</v>
      </c>
      <c r="Q327" t="str">
        <f>_xlfn.XLOOKUP(Table8[[#This Row],[Supporter_ID]],tb1_supporters[Supporter_ID ],tb1_supporters[Communication_Preference],"")</f>
        <v>Phone</v>
      </c>
      <c r="R327" t="str">
        <f>_xlfn.XLOOKUP(Table8[[#This Row],[Supporter_ID]],tb1_supporters[Supporter_ID ],tb1_supporters[Duplicate_Profile_Flag],"")</f>
        <v/>
      </c>
      <c r="S327" t="str">
        <f>_xlfn.XLOOKUP(Table8[[#This Row],[Supporter_ID]],tb1_supporters[Supporter_ID ],tb1_supporters[Preference_Compliance_Flag],"")</f>
        <v/>
      </c>
      <c r="T327" t="str">
        <f ca="1">IF(Table8[[#This Row],[Age]]="","Review - missing DOB",IF(Table8[[#This Row],[Age]]&gt;TODAY(),"Review - future DOB",IF(Table8[[#This Row],[Age]]=0,"Review -  potential entry error (age 0)","")))</f>
        <v/>
      </c>
      <c r="U327" t="str">
        <f>_xlfn.XLOOKUP(Table8[[#This Row],[Campaign_Code]],tb3_CampaignMaster[Campaign_Code],tb3_CampaignMaster[Campaign_Type],"")</f>
        <v>Stewardship</v>
      </c>
      <c r="V327" t="str">
        <f>_xlfn.XLOOKUP(Table8[[#This Row],[Campaign_Code]],tb3_CampaignMaster[Campaign_Code],tb3_CampaignMaster[Target_Audience],"")</f>
        <v>Major Donors</v>
      </c>
      <c r="W327" s="17">
        <f>_xlfn.XLOOKUP(Table8[[#This Row],[Campaign_Code]],tb3_CampaignMaster[Campaign_Code],tb3_CampaignMaster[Start_Date],"")</f>
        <v>45444</v>
      </c>
      <c r="X327" s="17">
        <f>_xlfn.XLOOKUP(Table8[[#This Row],[Campaign_Code]],tb3_CampaignMaster[Campaign_Code],tb3_CampaignMaster[End_Date],"")</f>
        <v>45473</v>
      </c>
      <c r="Y327">
        <f>_xlfn.XLOOKUP(Table8[[#This Row],[Campaign_Code]],tb3_CampaignMaster[Campaign_Code],tb3_CampaignMaster[Budget_GBP],"")</f>
        <v>7000</v>
      </c>
      <c r="Z327" t="str">
        <f>_xlfn.XLOOKUP(Table8[[#This Row],[Campaign_Code]],tb3_CampaignMaster[Campaign_Code],tb3_CampaignMaster[Primary_Channel],"")</f>
        <v>Direct Mail</v>
      </c>
      <c r="AA327" s="13">
        <f>IF(Table8[[#This Row],[Gift_Aid_Eligible]]="Yes",Table8[[#This Row],[Gift_Amount]]*1.25,Table8[[#This Row],[Gift_Amount]])</f>
        <v>83.29</v>
      </c>
      <c r="AB327" t="str">
        <f>IF(Table8[[#This Row],[Supporter_ID]]="","Review - missing supporter ID","")</f>
        <v/>
      </c>
      <c r="AC327" t="str">
        <f>IF(OR(Table8[[#This Row],[Response_Date]]&lt;Table8[[#This Row],[Start_Date]],Table8[[#This Row],[Response_Date]]&gt;Table8[[#This Row],[End_Date]]),"Review - response outside campaign dates","")</f>
        <v/>
      </c>
      <c r="AD327" t="str">
        <f>IF(Table8[[#This Row],[Campaign_Type]]="","Review - campaign code not found","")</f>
        <v/>
      </c>
    </row>
    <row r="328" spans="1:30" x14ac:dyDescent="0.25">
      <c r="A328" t="s">
        <v>3929</v>
      </c>
      <c r="B328" t="s">
        <v>1675</v>
      </c>
      <c r="C328" t="s">
        <v>3336</v>
      </c>
      <c r="D328" t="s">
        <v>3337</v>
      </c>
      <c r="E328" t="s">
        <v>4</v>
      </c>
      <c r="F328" s="17">
        <v>45554</v>
      </c>
      <c r="G328">
        <v>47.99</v>
      </c>
      <c r="H328" t="s">
        <v>36</v>
      </c>
      <c r="I328" t="s">
        <v>3328</v>
      </c>
      <c r="J328" t="str">
        <f>_xlfn.XLOOKUP(Table8[[#This Row],[Supporter_ID]],tb1_supporters[Supporter_ID ],tb1_supporters[Segment],"")</f>
        <v>Regular Giver</v>
      </c>
      <c r="K328" t="str">
        <f>_xlfn.XLOOKUP(Table8[[#This Row],[Supporter_ID]],tb1_supporters[Supporter_ID ],tb1_supporters[Acquisition_Source],"")</f>
        <v>Social Media</v>
      </c>
      <c r="L328" t="str">
        <f>_xlfn.XLOOKUP(Table8[[#This Row],[Supporter_ID]],tb1_supporters[Supporter_ID ],tb1_supporters[County],"")</f>
        <v>Surrey</v>
      </c>
      <c r="M328" t="str">
        <f>_xlfn.XLOOKUP(Table8[[#This Row],[Supporter_ID]],tb1_supporters[Supporter_ID ],tb1_supporters[Gender],"")</f>
        <v>Male</v>
      </c>
      <c r="N328">
        <f ca="1">_xlfn.XLOOKUP(Table8[[#This Row],[Supporter_ID]],tb1_supporters[Supporter_ID ],tb1_supporters[Age],"")</f>
        <v>54</v>
      </c>
      <c r="O328" t="str">
        <f ca="1">_xlfn.XLOOKUP(Table8[[#This Row],[Supporter_ID]],tb1_supporters[Supporter_ID ],tb1_supporters[Age_Band],"")</f>
        <v>50-64</v>
      </c>
      <c r="P328" t="str">
        <f ca="1">IF(Table8[[#This Row],[Age_Band]]="","Unknown",Table8[[#This Row],[Age_Band]])</f>
        <v>50-64</v>
      </c>
      <c r="Q328" t="str">
        <f>_xlfn.XLOOKUP(Table8[[#This Row],[Supporter_ID]],tb1_supporters[Supporter_ID ],tb1_supporters[Communication_Preference],"")</f>
        <v>Email</v>
      </c>
      <c r="R328" t="str">
        <f>_xlfn.XLOOKUP(Table8[[#This Row],[Supporter_ID]],tb1_supporters[Supporter_ID ],tb1_supporters[Duplicate_Profile_Flag],"")</f>
        <v/>
      </c>
      <c r="S328" t="str">
        <f>_xlfn.XLOOKUP(Table8[[#This Row],[Supporter_ID]],tb1_supporters[Supporter_ID ],tb1_supporters[Preference_Compliance_Flag],"")</f>
        <v>Review - prefers email but not opted in</v>
      </c>
      <c r="T328" t="str">
        <f ca="1">IF(Table8[[#This Row],[Age]]="","Review - missing DOB",IF(Table8[[#This Row],[Age]]&gt;TODAY(),"Review - future DOB",IF(Table8[[#This Row],[Age]]=0,"Review -  potential entry error (age 0)","")))</f>
        <v/>
      </c>
      <c r="U328" t="str">
        <f>_xlfn.XLOOKUP(Table8[[#This Row],[Campaign_Code]],tb3_CampaignMaster[Campaign_Code],tb3_CampaignMaster[Campaign_Type],"")</f>
        <v>Appeal</v>
      </c>
      <c r="V328" t="str">
        <f>_xlfn.XLOOKUP(Table8[[#This Row],[Campaign_Code]],tb3_CampaignMaster[Campaign_Code],tb3_CampaignMaster[Target_Audience],"")</f>
        <v>All Supporters</v>
      </c>
      <c r="W328" s="17">
        <f>_xlfn.XLOOKUP(Table8[[#This Row],[Campaign_Code]],tb3_CampaignMaster[Campaign_Code],tb3_CampaignMaster[Start_Date],"")</f>
        <v>45545</v>
      </c>
      <c r="X328" s="17">
        <f>_xlfn.XLOOKUP(Table8[[#This Row],[Campaign_Code]],tb3_CampaignMaster[Campaign_Code],tb3_CampaignMaster[End_Date],"")</f>
        <v>45580</v>
      </c>
      <c r="Y328">
        <f>_xlfn.XLOOKUP(Table8[[#This Row],[Campaign_Code]],tb3_CampaignMaster[Campaign_Code],tb3_CampaignMaster[Budget_GBP],"")</f>
        <v>15000</v>
      </c>
      <c r="Z328" t="str">
        <f>_xlfn.XLOOKUP(Table8[[#This Row],[Campaign_Code]],tb3_CampaignMaster[Campaign_Code],tb3_CampaignMaster[Primary_Channel],"")</f>
        <v>Email</v>
      </c>
      <c r="AA328" s="13">
        <f>IF(Table8[[#This Row],[Gift_Aid_Eligible]]="Yes",Table8[[#This Row],[Gift_Amount]]*1.25,Table8[[#This Row],[Gift_Amount]])</f>
        <v>59.987500000000004</v>
      </c>
      <c r="AB328" t="str">
        <f>IF(Table8[[#This Row],[Supporter_ID]]="","Review - missing supporter ID","")</f>
        <v/>
      </c>
      <c r="AC328" t="str">
        <f>IF(OR(Table8[[#This Row],[Response_Date]]&lt;Table8[[#This Row],[Start_Date]],Table8[[#This Row],[Response_Date]]&gt;Table8[[#This Row],[End_Date]]),"Review - response outside campaign dates","")</f>
        <v/>
      </c>
      <c r="AD328" t="str">
        <f>IF(Table8[[#This Row],[Campaign_Type]]="","Review - campaign code not found","")</f>
        <v/>
      </c>
    </row>
    <row r="329" spans="1:30" x14ac:dyDescent="0.25">
      <c r="A329" t="s">
        <v>3931</v>
      </c>
      <c r="B329" t="s">
        <v>2627</v>
      </c>
      <c r="C329" t="s">
        <v>3354</v>
      </c>
      <c r="D329" t="s">
        <v>3355</v>
      </c>
      <c r="E329" t="s">
        <v>65</v>
      </c>
      <c r="F329" s="17">
        <v>45618</v>
      </c>
      <c r="G329">
        <v>44.31</v>
      </c>
      <c r="H329" t="s">
        <v>37</v>
      </c>
      <c r="I329" t="s">
        <v>3365</v>
      </c>
      <c r="J329" t="str">
        <f>_xlfn.XLOOKUP(Table8[[#This Row],[Supporter_ID]],tb1_supporters[Supporter_ID ],tb1_supporters[Segment],"")</f>
        <v>Lapsed</v>
      </c>
      <c r="K329" t="str">
        <f>_xlfn.XLOOKUP(Table8[[#This Row],[Supporter_ID]],tb1_supporters[Supporter_ID ],tb1_supporters[Acquisition_Source],"")</f>
        <v>Social Media</v>
      </c>
      <c r="L329" t="str">
        <f>_xlfn.XLOOKUP(Table8[[#This Row],[Supporter_ID]],tb1_supporters[Supporter_ID ],tb1_supporters[County],"")</f>
        <v>Grampian</v>
      </c>
      <c r="M329" t="str">
        <f>_xlfn.XLOOKUP(Table8[[#This Row],[Supporter_ID]],tb1_supporters[Supporter_ID ],tb1_supporters[Gender],"")</f>
        <v>Male</v>
      </c>
      <c r="N329">
        <f ca="1">_xlfn.XLOOKUP(Table8[[#This Row],[Supporter_ID]],tb1_supporters[Supporter_ID ],tb1_supporters[Age],"")</f>
        <v>92</v>
      </c>
      <c r="O329" t="str">
        <f ca="1">_xlfn.XLOOKUP(Table8[[#This Row],[Supporter_ID]],tb1_supporters[Supporter_ID ],tb1_supporters[Age_Band],"")</f>
        <v>65+</v>
      </c>
      <c r="P329" t="str">
        <f ca="1">IF(Table8[[#This Row],[Age_Band]]="","Unknown",Table8[[#This Row],[Age_Band]])</f>
        <v>65+</v>
      </c>
      <c r="Q329" t="str">
        <f>_xlfn.XLOOKUP(Table8[[#This Row],[Supporter_ID]],tb1_supporters[Supporter_ID ],tb1_supporters[Communication_Preference],"")</f>
        <v>Phone</v>
      </c>
      <c r="R329" t="str">
        <f>_xlfn.XLOOKUP(Table8[[#This Row],[Supporter_ID]],tb1_supporters[Supporter_ID ],tb1_supporters[Duplicate_Profile_Flag],"")</f>
        <v/>
      </c>
      <c r="S329" t="str">
        <f>_xlfn.XLOOKUP(Table8[[#This Row],[Supporter_ID]],tb1_supporters[Supporter_ID ],tb1_supporters[Preference_Compliance_Flag],"")</f>
        <v>Review - prefers phone but not opted in</v>
      </c>
      <c r="T329" t="str">
        <f ca="1">IF(Table8[[#This Row],[Age]]="","Review - missing DOB",IF(Table8[[#This Row],[Age]]&gt;TODAY(),"Review - future DOB",IF(Table8[[#This Row],[Age]]=0,"Review -  potential entry error (age 0)","")))</f>
        <v/>
      </c>
      <c r="U329" t="str">
        <f>_xlfn.XLOOKUP(Table8[[#This Row],[Campaign_Code]],tb3_CampaignMaster[Campaign_Code],tb3_CampaignMaster[Campaign_Type],"")</f>
        <v>Event</v>
      </c>
      <c r="V329" t="str">
        <f>_xlfn.XLOOKUP(Table8[[#This Row],[Campaign_Code]],tb3_CampaignMaster[Campaign_Code],tb3_CampaignMaster[Target_Audience],"")</f>
        <v>Volunteers</v>
      </c>
      <c r="W329" s="17">
        <f>_xlfn.XLOOKUP(Table8[[#This Row],[Campaign_Code]],tb3_CampaignMaster[Campaign_Code],tb3_CampaignMaster[Start_Date],"")</f>
        <v>45618</v>
      </c>
      <c r="X329" s="17">
        <f>_xlfn.XLOOKUP(Table8[[#This Row],[Campaign_Code]],tb3_CampaignMaster[Campaign_Code],tb3_CampaignMaster[End_Date],"")</f>
        <v>45618</v>
      </c>
      <c r="Y329">
        <f>_xlfn.XLOOKUP(Table8[[#This Row],[Campaign_Code]],tb3_CampaignMaster[Campaign_Code],tb3_CampaignMaster[Budget_GBP],"")</f>
        <v>3500</v>
      </c>
      <c r="Z329" t="str">
        <f>_xlfn.XLOOKUP(Table8[[#This Row],[Campaign_Code]],tb3_CampaignMaster[Campaign_Code],tb3_CampaignMaster[Primary_Channel],"")</f>
        <v>Email</v>
      </c>
      <c r="AA329" s="13">
        <f>IF(Table8[[#This Row],[Gift_Aid_Eligible]]="Yes",Table8[[#This Row],[Gift_Amount]]*1.25,Table8[[#This Row],[Gift_Amount]])</f>
        <v>44.31</v>
      </c>
      <c r="AB329" t="str">
        <f>IF(Table8[[#This Row],[Supporter_ID]]="","Review - missing supporter ID","")</f>
        <v/>
      </c>
      <c r="AC329" t="str">
        <f>IF(OR(Table8[[#This Row],[Response_Date]]&lt;Table8[[#This Row],[Start_Date]],Table8[[#This Row],[Response_Date]]&gt;Table8[[#This Row],[End_Date]]),"Review - response outside campaign dates","")</f>
        <v/>
      </c>
      <c r="AD329" t="str">
        <f>IF(Table8[[#This Row],[Campaign_Type]]="","Review - campaign code not found","")</f>
        <v/>
      </c>
    </row>
    <row r="330" spans="1:30" x14ac:dyDescent="0.25">
      <c r="A330" t="s">
        <v>3932</v>
      </c>
      <c r="B330" t="s">
        <v>1037</v>
      </c>
      <c r="C330" t="s">
        <v>3325</v>
      </c>
      <c r="D330" t="s">
        <v>3326</v>
      </c>
      <c r="E330" t="s">
        <v>3316</v>
      </c>
      <c r="F330" s="17">
        <v>45637</v>
      </c>
      <c r="G330">
        <v>28.58</v>
      </c>
      <c r="H330" t="s">
        <v>36</v>
      </c>
      <c r="I330" t="s">
        <v>3318</v>
      </c>
      <c r="J330" t="str">
        <f>_xlfn.XLOOKUP(Table8[[#This Row],[Supporter_ID]],tb1_supporters[Supporter_ID ],tb1_supporters[Segment],"")</f>
        <v>Prospect</v>
      </c>
      <c r="K330" t="str">
        <f>_xlfn.XLOOKUP(Table8[[#This Row],[Supporter_ID]],tb1_supporters[Supporter_ID ],tb1_supporters[Acquisition_Source],"")</f>
        <v>Telephone</v>
      </c>
      <c r="L330" t="str">
        <f>_xlfn.XLOOKUP(Table8[[#This Row],[Supporter_ID]],tb1_supporters[Supporter_ID ],tb1_supporters[County],"")</f>
        <v>Avon</v>
      </c>
      <c r="M330" t="str">
        <f>_xlfn.XLOOKUP(Table8[[#This Row],[Supporter_ID]],tb1_supporters[Supporter_ID ],tb1_supporters[Gender],"")</f>
        <v>Female</v>
      </c>
      <c r="N330">
        <f ca="1">_xlfn.XLOOKUP(Table8[[#This Row],[Supporter_ID]],tb1_supporters[Supporter_ID ],tb1_supporters[Age],"")</f>
        <v>33</v>
      </c>
      <c r="O330" t="str">
        <f ca="1">_xlfn.XLOOKUP(Table8[[#This Row],[Supporter_ID]],tb1_supporters[Supporter_ID ],tb1_supporters[Age_Band],"")</f>
        <v>18-34</v>
      </c>
      <c r="P330" t="str">
        <f ca="1">IF(Table8[[#This Row],[Age_Band]]="","Unknown",Table8[[#This Row],[Age_Band]])</f>
        <v>18-34</v>
      </c>
      <c r="Q330" t="str">
        <f>_xlfn.XLOOKUP(Table8[[#This Row],[Supporter_ID]],tb1_supporters[Supporter_ID ],tb1_supporters[Communication_Preference],"")</f>
        <v>Phone</v>
      </c>
      <c r="R330" t="str">
        <f>_xlfn.XLOOKUP(Table8[[#This Row],[Supporter_ID]],tb1_supporters[Supporter_ID ],tb1_supporters[Duplicate_Profile_Flag],"")</f>
        <v/>
      </c>
      <c r="S330" t="str">
        <f>_xlfn.XLOOKUP(Table8[[#This Row],[Supporter_ID]],tb1_supporters[Supporter_ID ],tb1_supporters[Preference_Compliance_Flag],"")</f>
        <v/>
      </c>
      <c r="T330" t="str">
        <f ca="1">IF(Table8[[#This Row],[Age]]="","Review - missing DOB",IF(Table8[[#This Row],[Age]]&gt;TODAY(),"Review - future DOB",IF(Table8[[#This Row],[Age]]=0,"Review -  potential entry error (age 0)","")))</f>
        <v/>
      </c>
      <c r="U330" t="str">
        <f>_xlfn.XLOOKUP(Table8[[#This Row],[Campaign_Code]],tb3_CampaignMaster[Campaign_Code],tb3_CampaignMaster[Campaign_Type],"")</f>
        <v>Appeal</v>
      </c>
      <c r="V330" t="str">
        <f>_xlfn.XLOOKUP(Table8[[#This Row],[Campaign_Code]],tb3_CampaignMaster[Campaign_Code],tb3_CampaignMaster[Target_Audience],"")</f>
        <v>All Active</v>
      </c>
      <c r="W330" s="17">
        <f>_xlfn.XLOOKUP(Table8[[#This Row],[Campaign_Code]],tb3_CampaignMaster[Campaign_Code],tb3_CampaignMaster[Start_Date],"")</f>
        <v>45597</v>
      </c>
      <c r="X330" s="17">
        <f>_xlfn.XLOOKUP(Table8[[#This Row],[Campaign_Code]],tb3_CampaignMaster[Campaign_Code],tb3_CampaignMaster[End_Date],"")</f>
        <v>45657</v>
      </c>
      <c r="Y330">
        <f>_xlfn.XLOOKUP(Table8[[#This Row],[Campaign_Code]],tb3_CampaignMaster[Campaign_Code],tb3_CampaignMaster[Budget_GBP],"")</f>
        <v>25000</v>
      </c>
      <c r="Z330" t="str">
        <f>_xlfn.XLOOKUP(Table8[[#This Row],[Campaign_Code]],tb3_CampaignMaster[Campaign_Code],tb3_CampaignMaster[Primary_Channel],"")</f>
        <v>Multi-channel</v>
      </c>
      <c r="AA330" s="13">
        <f>IF(Table8[[#This Row],[Gift_Aid_Eligible]]="Yes",Table8[[#This Row],[Gift_Amount]]*1.25,Table8[[#This Row],[Gift_Amount]])</f>
        <v>35.724999999999994</v>
      </c>
      <c r="AB330" t="str">
        <f>IF(Table8[[#This Row],[Supporter_ID]]="","Review - missing supporter ID","")</f>
        <v/>
      </c>
      <c r="AC330" t="str">
        <f>IF(OR(Table8[[#This Row],[Response_Date]]&lt;Table8[[#This Row],[Start_Date]],Table8[[#This Row],[Response_Date]]&gt;Table8[[#This Row],[End_Date]]),"Review - response outside campaign dates","")</f>
        <v/>
      </c>
      <c r="AD330" t="str">
        <f>IF(Table8[[#This Row],[Campaign_Type]]="","Review - campaign code not found","")</f>
        <v/>
      </c>
    </row>
    <row r="331" spans="1:30" x14ac:dyDescent="0.25">
      <c r="A331" t="s">
        <v>3934</v>
      </c>
      <c r="B331" t="s">
        <v>1065</v>
      </c>
      <c r="C331" t="s">
        <v>3325</v>
      </c>
      <c r="D331" t="s">
        <v>3326</v>
      </c>
      <c r="E331" t="s">
        <v>65</v>
      </c>
      <c r="F331" s="17">
        <v>45633</v>
      </c>
      <c r="G331">
        <v>284.79000000000002</v>
      </c>
      <c r="H331" t="s">
        <v>36</v>
      </c>
      <c r="I331" t="s">
        <v>3318</v>
      </c>
      <c r="J331" t="str">
        <f>_xlfn.XLOOKUP(Table8[[#This Row],[Supporter_ID]],tb1_supporters[Supporter_ID ],tb1_supporters[Segment],"")</f>
        <v>Legacy Pledger</v>
      </c>
      <c r="K331" t="str">
        <f>_xlfn.XLOOKUP(Table8[[#This Row],[Supporter_ID]],tb1_supporters[Supporter_ID ],tb1_supporters[Acquisition_Source],"")</f>
        <v>Website</v>
      </c>
      <c r="L331" t="str">
        <f>_xlfn.XLOOKUP(Table8[[#This Row],[Supporter_ID]],tb1_supporters[Supporter_ID ],tb1_supporters[County],"")</f>
        <v>Merseyside</v>
      </c>
      <c r="M331" t="str">
        <f>_xlfn.XLOOKUP(Table8[[#This Row],[Supporter_ID]],tb1_supporters[Supporter_ID ],tb1_supporters[Gender],"")</f>
        <v>Male</v>
      </c>
      <c r="N331">
        <f ca="1">_xlfn.XLOOKUP(Table8[[#This Row],[Supporter_ID]],tb1_supporters[Supporter_ID ],tb1_supporters[Age],"")</f>
        <v>56</v>
      </c>
      <c r="O331" t="str">
        <f ca="1">_xlfn.XLOOKUP(Table8[[#This Row],[Supporter_ID]],tb1_supporters[Supporter_ID ],tb1_supporters[Age_Band],"")</f>
        <v>50-64</v>
      </c>
      <c r="P331" t="str">
        <f ca="1">IF(Table8[[#This Row],[Age_Band]]="","Unknown",Table8[[#This Row],[Age_Band]])</f>
        <v>50-64</v>
      </c>
      <c r="Q331" t="str">
        <f>_xlfn.XLOOKUP(Table8[[#This Row],[Supporter_ID]],tb1_supporters[Supporter_ID ],tb1_supporters[Communication_Preference],"")</f>
        <v>Email</v>
      </c>
      <c r="R331" t="str">
        <f>_xlfn.XLOOKUP(Table8[[#This Row],[Supporter_ID]],tb1_supporters[Supporter_ID ],tb1_supporters[Duplicate_Profile_Flag],"")</f>
        <v/>
      </c>
      <c r="S331" t="str">
        <f>_xlfn.XLOOKUP(Table8[[#This Row],[Supporter_ID]],tb1_supporters[Supporter_ID ],tb1_supporters[Preference_Compliance_Flag],"")</f>
        <v>Review - prefers email but not opted in</v>
      </c>
      <c r="T331" t="str">
        <f ca="1">IF(Table8[[#This Row],[Age]]="","Review - missing DOB",IF(Table8[[#This Row],[Age]]&gt;TODAY(),"Review - future DOB",IF(Table8[[#This Row],[Age]]=0,"Review -  potential entry error (age 0)","")))</f>
        <v/>
      </c>
      <c r="U331" t="str">
        <f>_xlfn.XLOOKUP(Table8[[#This Row],[Campaign_Code]],tb3_CampaignMaster[Campaign_Code],tb3_CampaignMaster[Campaign_Type],"")</f>
        <v>Appeal</v>
      </c>
      <c r="V331" t="str">
        <f>_xlfn.XLOOKUP(Table8[[#This Row],[Campaign_Code]],tb3_CampaignMaster[Campaign_Code],tb3_CampaignMaster[Target_Audience],"")</f>
        <v>All Active</v>
      </c>
      <c r="W331" s="17">
        <f>_xlfn.XLOOKUP(Table8[[#This Row],[Campaign_Code]],tb3_CampaignMaster[Campaign_Code],tb3_CampaignMaster[Start_Date],"")</f>
        <v>45597</v>
      </c>
      <c r="X331" s="17">
        <f>_xlfn.XLOOKUP(Table8[[#This Row],[Campaign_Code]],tb3_CampaignMaster[Campaign_Code],tb3_CampaignMaster[End_Date],"")</f>
        <v>45657</v>
      </c>
      <c r="Y331">
        <f>_xlfn.XLOOKUP(Table8[[#This Row],[Campaign_Code]],tb3_CampaignMaster[Campaign_Code],tb3_CampaignMaster[Budget_GBP],"")</f>
        <v>25000</v>
      </c>
      <c r="Z331" t="str">
        <f>_xlfn.XLOOKUP(Table8[[#This Row],[Campaign_Code]],tb3_CampaignMaster[Campaign_Code],tb3_CampaignMaster[Primary_Channel],"")</f>
        <v>Multi-channel</v>
      </c>
      <c r="AA331" s="13">
        <f>IF(Table8[[#This Row],[Gift_Aid_Eligible]]="Yes",Table8[[#This Row],[Gift_Amount]]*1.25,Table8[[#This Row],[Gift_Amount]])</f>
        <v>355.98750000000001</v>
      </c>
      <c r="AB331" t="str">
        <f>IF(Table8[[#This Row],[Supporter_ID]]="","Review - missing supporter ID","")</f>
        <v/>
      </c>
      <c r="AC331" t="str">
        <f>IF(OR(Table8[[#This Row],[Response_Date]]&lt;Table8[[#This Row],[Start_Date]],Table8[[#This Row],[Response_Date]]&gt;Table8[[#This Row],[End_Date]]),"Review - response outside campaign dates","")</f>
        <v/>
      </c>
      <c r="AD331" t="str">
        <f>IF(Table8[[#This Row],[Campaign_Type]]="","Review - campaign code not found","")</f>
        <v/>
      </c>
    </row>
    <row r="332" spans="1:30" x14ac:dyDescent="0.25">
      <c r="A332" t="s">
        <v>3936</v>
      </c>
      <c r="B332" t="s">
        <v>2952</v>
      </c>
      <c r="C332" t="s">
        <v>3427</v>
      </c>
      <c r="D332" t="s">
        <v>3428</v>
      </c>
      <c r="E332" t="s">
        <v>4</v>
      </c>
      <c r="F332" s="17">
        <v>45488</v>
      </c>
      <c r="G332">
        <v>78.900000000000006</v>
      </c>
      <c r="H332" t="s">
        <v>37</v>
      </c>
      <c r="I332" t="s">
        <v>3334</v>
      </c>
      <c r="J332" t="str">
        <f>_xlfn.XLOOKUP(Table8[[#This Row],[Supporter_ID]],tb1_supporters[Supporter_ID ],tb1_supporters[Segment],"")</f>
        <v>Lapsed</v>
      </c>
      <c r="K332" t="str">
        <f>_xlfn.XLOOKUP(Table8[[#This Row],[Supporter_ID]],tb1_supporters[Supporter_ID ],tb1_supporters[Acquisition_Source],"")</f>
        <v>Direct Mail</v>
      </c>
      <c r="L332" t="str">
        <f>_xlfn.XLOOKUP(Table8[[#This Row],[Supporter_ID]],tb1_supporters[Supporter_ID ],tb1_supporters[County],"")</f>
        <v>West Glamorgan</v>
      </c>
      <c r="M332" t="str">
        <f>_xlfn.XLOOKUP(Table8[[#This Row],[Supporter_ID]],tb1_supporters[Supporter_ID ],tb1_supporters[Gender],"")</f>
        <v>Female</v>
      </c>
      <c r="N332">
        <f ca="1">_xlfn.XLOOKUP(Table8[[#This Row],[Supporter_ID]],tb1_supporters[Supporter_ID ],tb1_supporters[Age],"")</f>
        <v>55</v>
      </c>
      <c r="O332" t="str">
        <f ca="1">_xlfn.XLOOKUP(Table8[[#This Row],[Supporter_ID]],tb1_supporters[Supporter_ID ],tb1_supporters[Age_Band],"")</f>
        <v>50-64</v>
      </c>
      <c r="P332" t="str">
        <f ca="1">IF(Table8[[#This Row],[Age_Band]]="","Unknown",Table8[[#This Row],[Age_Band]])</f>
        <v>50-64</v>
      </c>
      <c r="Q332" t="str">
        <f>_xlfn.XLOOKUP(Table8[[#This Row],[Supporter_ID]],tb1_supporters[Supporter_ID ],tb1_supporters[Communication_Preference],"")</f>
        <v>Post</v>
      </c>
      <c r="R332" t="str">
        <f>_xlfn.XLOOKUP(Table8[[#This Row],[Supporter_ID]],tb1_supporters[Supporter_ID ],tb1_supporters[Duplicate_Profile_Flag],"")</f>
        <v/>
      </c>
      <c r="S332" t="str">
        <f>_xlfn.XLOOKUP(Table8[[#This Row],[Supporter_ID]],tb1_supporters[Supporter_ID ],tb1_supporters[Preference_Compliance_Flag],"")</f>
        <v/>
      </c>
      <c r="T332" t="str">
        <f ca="1">IF(Table8[[#This Row],[Age]]="","Review - missing DOB",IF(Table8[[#This Row],[Age]]&gt;TODAY(),"Review - future DOB",IF(Table8[[#This Row],[Age]]=0,"Review -  potential entry error (age 0)","")))</f>
        <v/>
      </c>
      <c r="U332" t="str">
        <f>_xlfn.XLOOKUP(Table8[[#This Row],[Campaign_Code]],tb3_CampaignMaster[Campaign_Code],tb3_CampaignMaster[Campaign_Type],"")</f>
        <v>Event</v>
      </c>
      <c r="V332" t="str">
        <f>_xlfn.XLOOKUP(Table8[[#This Row],[Campaign_Code]],tb3_CampaignMaster[Campaign_Code],tb3_CampaignMaster[Target_Audience],"")</f>
        <v>Major Donors</v>
      </c>
      <c r="W332" s="17">
        <f>_xlfn.XLOOKUP(Table8[[#This Row],[Campaign_Code]],tb3_CampaignMaster[Campaign_Code],tb3_CampaignMaster[Start_Date],"")</f>
        <v>45488</v>
      </c>
      <c r="X332" s="17">
        <f>_xlfn.XLOOKUP(Table8[[#This Row],[Campaign_Code]],tb3_CampaignMaster[Campaign_Code],tb3_CampaignMaster[End_Date],"")</f>
        <v>45488</v>
      </c>
      <c r="Y332">
        <f>_xlfn.XLOOKUP(Table8[[#This Row],[Campaign_Code]],tb3_CampaignMaster[Campaign_Code],tb3_CampaignMaster[Budget_GBP],"")</f>
        <v>45000</v>
      </c>
      <c r="Z332" t="str">
        <f>_xlfn.XLOOKUP(Table8[[#This Row],[Campaign_Code]],tb3_CampaignMaster[Campaign_Code],tb3_CampaignMaster[Primary_Channel],"")</f>
        <v>Direct Mail</v>
      </c>
      <c r="AA332" s="13">
        <f>IF(Table8[[#This Row],[Gift_Aid_Eligible]]="Yes",Table8[[#This Row],[Gift_Amount]]*1.25,Table8[[#This Row],[Gift_Amount]])</f>
        <v>78.900000000000006</v>
      </c>
      <c r="AB332" t="str">
        <f>IF(Table8[[#This Row],[Supporter_ID]]="","Review - missing supporter ID","")</f>
        <v/>
      </c>
      <c r="AC332" t="str">
        <f>IF(OR(Table8[[#This Row],[Response_Date]]&lt;Table8[[#This Row],[Start_Date]],Table8[[#This Row],[Response_Date]]&gt;Table8[[#This Row],[End_Date]]),"Review - response outside campaign dates","")</f>
        <v/>
      </c>
      <c r="AD332" t="str">
        <f>IF(Table8[[#This Row],[Campaign_Type]]="","Review - campaign code not found","")</f>
        <v/>
      </c>
    </row>
    <row r="333" spans="1:30" x14ac:dyDescent="0.25">
      <c r="A333" t="s">
        <v>3937</v>
      </c>
      <c r="B333" t="s">
        <v>2076</v>
      </c>
      <c r="C333" t="s">
        <v>3367</v>
      </c>
      <c r="D333" t="s">
        <v>3368</v>
      </c>
      <c r="E333" t="s">
        <v>4</v>
      </c>
      <c r="F333" s="17">
        <v>45741</v>
      </c>
      <c r="G333">
        <v>73.989999999999995</v>
      </c>
      <c r="H333" t="s">
        <v>37</v>
      </c>
      <c r="I333" t="s">
        <v>3365</v>
      </c>
      <c r="J333" t="str">
        <f>_xlfn.XLOOKUP(Table8[[#This Row],[Supporter_ID]],tb1_supporters[Supporter_ID ],tb1_supporters[Segment],"")</f>
        <v>One-Time Donor</v>
      </c>
      <c r="K333" t="str">
        <f>_xlfn.XLOOKUP(Table8[[#This Row],[Supporter_ID]],tb1_supporters[Supporter_ID ],tb1_supporters[Acquisition_Source],"")</f>
        <v>Door-To-Door</v>
      </c>
      <c r="L333" t="str">
        <f>_xlfn.XLOOKUP(Table8[[#This Row],[Supporter_ID]],tb1_supporters[Supporter_ID ],tb1_supporters[County],"")</f>
        <v>Greater London</v>
      </c>
      <c r="M333" t="str">
        <f>_xlfn.XLOOKUP(Table8[[#This Row],[Supporter_ID]],tb1_supporters[Supporter_ID ],tb1_supporters[Gender],"")</f>
        <v>Male</v>
      </c>
      <c r="N333">
        <f ca="1">_xlfn.XLOOKUP(Table8[[#This Row],[Supporter_ID]],tb1_supporters[Supporter_ID ],tb1_supporters[Age],"")</f>
        <v>63</v>
      </c>
      <c r="O333" t="str">
        <f ca="1">_xlfn.XLOOKUP(Table8[[#This Row],[Supporter_ID]],tb1_supporters[Supporter_ID ],tb1_supporters[Age_Band],"")</f>
        <v>50-64</v>
      </c>
      <c r="P333" t="str">
        <f ca="1">IF(Table8[[#This Row],[Age_Band]]="","Unknown",Table8[[#This Row],[Age_Band]])</f>
        <v>50-64</v>
      </c>
      <c r="Q333" t="str">
        <f>_xlfn.XLOOKUP(Table8[[#This Row],[Supporter_ID]],tb1_supporters[Supporter_ID ],tb1_supporters[Communication_Preference],"")</f>
        <v>Email</v>
      </c>
      <c r="R333" t="str">
        <f>_xlfn.XLOOKUP(Table8[[#This Row],[Supporter_ID]],tb1_supporters[Supporter_ID ],tb1_supporters[Duplicate_Profile_Flag],"")</f>
        <v/>
      </c>
      <c r="S333" t="str">
        <f>_xlfn.XLOOKUP(Table8[[#This Row],[Supporter_ID]],tb1_supporters[Supporter_ID ],tb1_supporters[Preference_Compliance_Flag],"")</f>
        <v/>
      </c>
      <c r="T333" t="str">
        <f ca="1">IF(Table8[[#This Row],[Age]]="","Review - missing DOB",IF(Table8[[#This Row],[Age]]&gt;TODAY(),"Review - future DOB",IF(Table8[[#This Row],[Age]]=0,"Review -  potential entry error (age 0)","")))</f>
        <v/>
      </c>
      <c r="U333" t="str">
        <f>_xlfn.XLOOKUP(Table8[[#This Row],[Campaign_Code]],tb3_CampaignMaster[Campaign_Code],tb3_CampaignMaster[Campaign_Type],"")</f>
        <v>Raffle</v>
      </c>
      <c r="V333" t="str">
        <f>_xlfn.XLOOKUP(Table8[[#This Row],[Campaign_Code]],tb3_CampaignMaster[Campaign_Code],tb3_CampaignMaster[Target_Audience],"")</f>
        <v>Regular Givers</v>
      </c>
      <c r="W333" s="17">
        <f>_xlfn.XLOOKUP(Table8[[#This Row],[Campaign_Code]],tb3_CampaignMaster[Campaign_Code],tb3_CampaignMaster[Start_Date],"")</f>
        <v>45717</v>
      </c>
      <c r="X333" s="17">
        <f>_xlfn.XLOOKUP(Table8[[#This Row],[Campaign_Code]],tb3_CampaignMaster[Campaign_Code],tb3_CampaignMaster[End_Date],"")</f>
        <v>45777</v>
      </c>
      <c r="Y333">
        <f>_xlfn.XLOOKUP(Table8[[#This Row],[Campaign_Code]],tb3_CampaignMaster[Campaign_Code],tb3_CampaignMaster[Budget_GBP],"")</f>
        <v>8000</v>
      </c>
      <c r="Z333" t="str">
        <f>_xlfn.XLOOKUP(Table8[[#This Row],[Campaign_Code]],tb3_CampaignMaster[Campaign_Code],tb3_CampaignMaster[Primary_Channel],"")</f>
        <v>Direct Mail</v>
      </c>
      <c r="AA333" s="13">
        <f>IF(Table8[[#This Row],[Gift_Aid_Eligible]]="Yes",Table8[[#This Row],[Gift_Amount]]*1.25,Table8[[#This Row],[Gift_Amount]])</f>
        <v>73.989999999999995</v>
      </c>
      <c r="AB333" t="str">
        <f>IF(Table8[[#This Row],[Supporter_ID]]="","Review - missing supporter ID","")</f>
        <v/>
      </c>
      <c r="AC333" t="str">
        <f>IF(OR(Table8[[#This Row],[Response_Date]]&lt;Table8[[#This Row],[Start_Date]],Table8[[#This Row],[Response_Date]]&gt;Table8[[#This Row],[End_Date]]),"Review - response outside campaign dates","")</f>
        <v/>
      </c>
      <c r="AD333" t="str">
        <f>IF(Table8[[#This Row],[Campaign_Type]]="","Review - campaign code not found","")</f>
        <v/>
      </c>
    </row>
    <row r="334" spans="1:30" x14ac:dyDescent="0.25">
      <c r="A334" t="s">
        <v>3939</v>
      </c>
      <c r="B334" t="s">
        <v>3176</v>
      </c>
      <c r="C334" t="s">
        <v>3325</v>
      </c>
      <c r="D334" t="s">
        <v>3326</v>
      </c>
      <c r="E334" t="s">
        <v>3316</v>
      </c>
      <c r="F334" s="17">
        <v>45629</v>
      </c>
      <c r="G334">
        <v>1139.1199999999999</v>
      </c>
      <c r="H334" t="s">
        <v>37</v>
      </c>
      <c r="I334" t="s">
        <v>3328</v>
      </c>
      <c r="J334" t="str">
        <f>_xlfn.XLOOKUP(Table8[[#This Row],[Supporter_ID]],tb1_supporters[Supporter_ID ],tb1_supporters[Segment],"")</f>
        <v>Major Donor</v>
      </c>
      <c r="K334" t="str">
        <f>_xlfn.XLOOKUP(Table8[[#This Row],[Supporter_ID]],tb1_supporters[Supporter_ID ],tb1_supporters[Acquisition_Source],"")</f>
        <v>Direct Mail</v>
      </c>
      <c r="L334" t="str">
        <f>_xlfn.XLOOKUP(Table8[[#This Row],[Supporter_ID]],tb1_supporters[Supporter_ID ],tb1_supporters[County],"")</f>
        <v>South Glamorgan</v>
      </c>
      <c r="M334" t="str">
        <f>_xlfn.XLOOKUP(Table8[[#This Row],[Supporter_ID]],tb1_supporters[Supporter_ID ],tb1_supporters[Gender],"")</f>
        <v>Male</v>
      </c>
      <c r="N334">
        <f ca="1">_xlfn.XLOOKUP(Table8[[#This Row],[Supporter_ID]],tb1_supporters[Supporter_ID ],tb1_supporters[Age],"")</f>
        <v>63</v>
      </c>
      <c r="O334" t="str">
        <f ca="1">_xlfn.XLOOKUP(Table8[[#This Row],[Supporter_ID]],tb1_supporters[Supporter_ID ],tb1_supporters[Age_Band],"")</f>
        <v>50-64</v>
      </c>
      <c r="P334" t="str">
        <f ca="1">IF(Table8[[#This Row],[Age_Band]]="","Unknown",Table8[[#This Row],[Age_Band]])</f>
        <v>50-64</v>
      </c>
      <c r="Q334" t="str">
        <f>_xlfn.XLOOKUP(Table8[[#This Row],[Supporter_ID]],tb1_supporters[Supporter_ID ],tb1_supporters[Communication_Preference],"")</f>
        <v>Email</v>
      </c>
      <c r="R334" t="str">
        <f>_xlfn.XLOOKUP(Table8[[#This Row],[Supporter_ID]],tb1_supporters[Supporter_ID ],tb1_supporters[Duplicate_Profile_Flag],"")</f>
        <v/>
      </c>
      <c r="S334" t="str">
        <f>_xlfn.XLOOKUP(Table8[[#This Row],[Supporter_ID]],tb1_supporters[Supporter_ID ],tb1_supporters[Preference_Compliance_Flag],"")</f>
        <v>Review - prefers email but not opted in</v>
      </c>
      <c r="T334" t="str">
        <f ca="1">IF(Table8[[#This Row],[Age]]="","Review - missing DOB",IF(Table8[[#This Row],[Age]]&gt;TODAY(),"Review - future DOB",IF(Table8[[#This Row],[Age]]=0,"Review -  potential entry error (age 0)","")))</f>
        <v/>
      </c>
      <c r="U334" t="str">
        <f>_xlfn.XLOOKUP(Table8[[#This Row],[Campaign_Code]],tb3_CampaignMaster[Campaign_Code],tb3_CampaignMaster[Campaign_Type],"")</f>
        <v>Appeal</v>
      </c>
      <c r="V334" t="str">
        <f>_xlfn.XLOOKUP(Table8[[#This Row],[Campaign_Code]],tb3_CampaignMaster[Campaign_Code],tb3_CampaignMaster[Target_Audience],"")</f>
        <v>All Active</v>
      </c>
      <c r="W334" s="17">
        <f>_xlfn.XLOOKUP(Table8[[#This Row],[Campaign_Code]],tb3_CampaignMaster[Campaign_Code],tb3_CampaignMaster[Start_Date],"")</f>
        <v>45597</v>
      </c>
      <c r="X334" s="17">
        <f>_xlfn.XLOOKUP(Table8[[#This Row],[Campaign_Code]],tb3_CampaignMaster[Campaign_Code],tb3_CampaignMaster[End_Date],"")</f>
        <v>45657</v>
      </c>
      <c r="Y334">
        <f>_xlfn.XLOOKUP(Table8[[#This Row],[Campaign_Code]],tb3_CampaignMaster[Campaign_Code],tb3_CampaignMaster[Budget_GBP],"")</f>
        <v>25000</v>
      </c>
      <c r="Z334" t="str">
        <f>_xlfn.XLOOKUP(Table8[[#This Row],[Campaign_Code]],tb3_CampaignMaster[Campaign_Code],tb3_CampaignMaster[Primary_Channel],"")</f>
        <v>Multi-channel</v>
      </c>
      <c r="AA334" s="13">
        <f>IF(Table8[[#This Row],[Gift_Aid_Eligible]]="Yes",Table8[[#This Row],[Gift_Amount]]*1.25,Table8[[#This Row],[Gift_Amount]])</f>
        <v>1139.1199999999999</v>
      </c>
      <c r="AB334" t="str">
        <f>IF(Table8[[#This Row],[Supporter_ID]]="","Review - missing supporter ID","")</f>
        <v/>
      </c>
      <c r="AC334" t="str">
        <f>IF(OR(Table8[[#This Row],[Response_Date]]&lt;Table8[[#This Row],[Start_Date]],Table8[[#This Row],[Response_Date]]&gt;Table8[[#This Row],[End_Date]]),"Review - response outside campaign dates","")</f>
        <v/>
      </c>
      <c r="AD334" t="str">
        <f>IF(Table8[[#This Row],[Campaign_Type]]="","Review - campaign code not found","")</f>
        <v/>
      </c>
    </row>
    <row r="335" spans="1:30" x14ac:dyDescent="0.25">
      <c r="A335" t="s">
        <v>3941</v>
      </c>
      <c r="B335" t="s">
        <v>979</v>
      </c>
      <c r="C335" t="s">
        <v>3341</v>
      </c>
      <c r="D335" t="s">
        <v>3342</v>
      </c>
      <c r="E335" t="s">
        <v>91</v>
      </c>
      <c r="F335" s="17">
        <v>45702</v>
      </c>
      <c r="G335">
        <v>10.99</v>
      </c>
      <c r="H335" t="s">
        <v>37</v>
      </c>
      <c r="I335" t="s">
        <v>3331</v>
      </c>
      <c r="J335" t="str">
        <f>_xlfn.XLOOKUP(Table8[[#This Row],[Supporter_ID]],tb1_supporters[Supporter_ID ],tb1_supporters[Segment],"")</f>
        <v>Regular Giver</v>
      </c>
      <c r="K335" t="str">
        <f>_xlfn.XLOOKUP(Table8[[#This Row],[Supporter_ID]],tb1_supporters[Supporter_ID ],tb1_supporters[Acquisition_Source],"")</f>
        <v>Referral</v>
      </c>
      <c r="L335" t="str">
        <f>_xlfn.XLOOKUP(Table8[[#This Row],[Supporter_ID]],tb1_supporters[Supporter_ID ],tb1_supporters[County],"")</f>
        <v>Wiltshire</v>
      </c>
      <c r="M335" t="str">
        <f>_xlfn.XLOOKUP(Table8[[#This Row],[Supporter_ID]],tb1_supporters[Supporter_ID ],tb1_supporters[Gender],"")</f>
        <v>Male</v>
      </c>
      <c r="N335">
        <f ca="1">_xlfn.XLOOKUP(Table8[[#This Row],[Supporter_ID]],tb1_supporters[Supporter_ID ],tb1_supporters[Age],"")</f>
        <v>54</v>
      </c>
      <c r="O335" t="str">
        <f ca="1">_xlfn.XLOOKUP(Table8[[#This Row],[Supporter_ID]],tb1_supporters[Supporter_ID ],tb1_supporters[Age_Band],"")</f>
        <v>50-64</v>
      </c>
      <c r="P335" t="str">
        <f ca="1">IF(Table8[[#This Row],[Age_Band]]="","Unknown",Table8[[#This Row],[Age_Band]])</f>
        <v>50-64</v>
      </c>
      <c r="Q335" t="str">
        <f>_xlfn.XLOOKUP(Table8[[#This Row],[Supporter_ID]],tb1_supporters[Supporter_ID ],tb1_supporters[Communication_Preference],"")</f>
        <v>Email</v>
      </c>
      <c r="R335" t="str">
        <f>_xlfn.XLOOKUP(Table8[[#This Row],[Supporter_ID]],tb1_supporters[Supporter_ID ],tb1_supporters[Duplicate_Profile_Flag],"")</f>
        <v/>
      </c>
      <c r="S335" t="str">
        <f>_xlfn.XLOOKUP(Table8[[#This Row],[Supporter_ID]],tb1_supporters[Supporter_ID ],tb1_supporters[Preference_Compliance_Flag],"")</f>
        <v>Review - prefers email but not opted in</v>
      </c>
      <c r="T335" t="str">
        <f ca="1">IF(Table8[[#This Row],[Age]]="","Review - missing DOB",IF(Table8[[#This Row],[Age]]&gt;TODAY(),"Review - future DOB",IF(Table8[[#This Row],[Age]]=0,"Review -  potential entry error (age 0)","")))</f>
        <v/>
      </c>
      <c r="U335" t="str">
        <f>_xlfn.XLOOKUP(Table8[[#This Row],[Campaign_Code]],tb3_CampaignMaster[Campaign_Code],tb3_CampaignMaster[Campaign_Type],"")</f>
        <v>Acquisition</v>
      </c>
      <c r="V335" t="str">
        <f>_xlfn.XLOOKUP(Table8[[#This Row],[Campaign_Code]],tb3_CampaignMaster[Campaign_Code],tb3_CampaignMaster[Target_Audience],"")</f>
        <v>Prospects</v>
      </c>
      <c r="W335" s="17">
        <f>_xlfn.XLOOKUP(Table8[[#This Row],[Campaign_Code]],tb3_CampaignMaster[Campaign_Code],tb3_CampaignMaster[Start_Date],"")</f>
        <v>45689</v>
      </c>
      <c r="X335" s="17">
        <f>_xlfn.XLOOKUP(Table8[[#This Row],[Campaign_Code]],tb3_CampaignMaster[Campaign_Code],tb3_CampaignMaster[End_Date],"")</f>
        <v>45777</v>
      </c>
      <c r="Y335">
        <f>_xlfn.XLOOKUP(Table8[[#This Row],[Campaign_Code]],tb3_CampaignMaster[Campaign_Code],tb3_CampaignMaster[Budget_GBP],"")</f>
        <v>20000</v>
      </c>
      <c r="Z335" t="str">
        <f>_xlfn.XLOOKUP(Table8[[#This Row],[Campaign_Code]],tb3_CampaignMaster[Campaign_Code],tb3_CampaignMaster[Primary_Channel],"")</f>
        <v>Digital</v>
      </c>
      <c r="AA335" s="13">
        <f>IF(Table8[[#This Row],[Gift_Aid_Eligible]]="Yes",Table8[[#This Row],[Gift_Amount]]*1.25,Table8[[#This Row],[Gift_Amount]])</f>
        <v>10.99</v>
      </c>
      <c r="AB335" t="str">
        <f>IF(Table8[[#This Row],[Supporter_ID]]="","Review - missing supporter ID","")</f>
        <v/>
      </c>
      <c r="AC335" t="str">
        <f>IF(OR(Table8[[#This Row],[Response_Date]]&lt;Table8[[#This Row],[Start_Date]],Table8[[#This Row],[Response_Date]]&gt;Table8[[#This Row],[End_Date]]),"Review - response outside campaign dates","")</f>
        <v/>
      </c>
      <c r="AD335" t="str">
        <f>IF(Table8[[#This Row],[Campaign_Type]]="","Review - campaign code not found","")</f>
        <v/>
      </c>
    </row>
    <row r="336" spans="1:30" x14ac:dyDescent="0.25">
      <c r="A336" t="s">
        <v>3942</v>
      </c>
      <c r="B336" t="s">
        <v>1532</v>
      </c>
      <c r="C336" t="s">
        <v>3314</v>
      </c>
      <c r="D336" t="s">
        <v>3315</v>
      </c>
      <c r="E336" t="s">
        <v>33</v>
      </c>
      <c r="F336" s="17">
        <v>45689</v>
      </c>
      <c r="G336">
        <v>124.59</v>
      </c>
      <c r="H336" t="s">
        <v>36</v>
      </c>
      <c r="I336" t="s">
        <v>3331</v>
      </c>
      <c r="J336" t="str">
        <f>_xlfn.XLOOKUP(Table8[[#This Row],[Supporter_ID]],tb1_supporters[Supporter_ID ],tb1_supporters[Segment],"")</f>
        <v>One-Time Donor</v>
      </c>
      <c r="K336" t="str">
        <f>_xlfn.XLOOKUP(Table8[[#This Row],[Supporter_ID]],tb1_supporters[Supporter_ID ],tb1_supporters[Acquisition_Source],"")</f>
        <v>Telephone</v>
      </c>
      <c r="L336" t="str">
        <f>_xlfn.XLOOKUP(Table8[[#This Row],[Supporter_ID]],tb1_supporters[Supporter_ID ],tb1_supporters[County],"")</f>
        <v>West Midlands</v>
      </c>
      <c r="M336" t="str">
        <f>_xlfn.XLOOKUP(Table8[[#This Row],[Supporter_ID]],tb1_supporters[Supporter_ID ],tb1_supporters[Gender],"")</f>
        <v>Female</v>
      </c>
      <c r="N336">
        <f ca="1">_xlfn.XLOOKUP(Table8[[#This Row],[Supporter_ID]],tb1_supporters[Supporter_ID ],tb1_supporters[Age],"")</f>
        <v>57</v>
      </c>
      <c r="O336" t="str">
        <f ca="1">_xlfn.XLOOKUP(Table8[[#This Row],[Supporter_ID]],tb1_supporters[Supporter_ID ],tb1_supporters[Age_Band],"")</f>
        <v>50-64</v>
      </c>
      <c r="P336" t="str">
        <f ca="1">IF(Table8[[#This Row],[Age_Band]]="","Unknown",Table8[[#This Row],[Age_Band]])</f>
        <v>50-64</v>
      </c>
      <c r="Q336" t="str">
        <f>_xlfn.XLOOKUP(Table8[[#This Row],[Supporter_ID]],tb1_supporters[Supporter_ID ],tb1_supporters[Communication_Preference],"")</f>
        <v>Post</v>
      </c>
      <c r="R336" t="str">
        <f>_xlfn.XLOOKUP(Table8[[#This Row],[Supporter_ID]],tb1_supporters[Supporter_ID ],tb1_supporters[Duplicate_Profile_Flag],"")</f>
        <v/>
      </c>
      <c r="S336" t="str">
        <f>_xlfn.XLOOKUP(Table8[[#This Row],[Supporter_ID]],tb1_supporters[Supporter_ID ],tb1_supporters[Preference_Compliance_Flag],"")</f>
        <v>Review - prefers post but not opted in</v>
      </c>
      <c r="T336" t="str">
        <f ca="1">IF(Table8[[#This Row],[Age]]="","Review - missing DOB",IF(Table8[[#This Row],[Age]]&gt;TODAY(),"Review - future DOB",IF(Table8[[#This Row],[Age]]=0,"Review -  potential entry error (age 0)","")))</f>
        <v/>
      </c>
      <c r="U336" t="str">
        <f>_xlfn.XLOOKUP(Table8[[#This Row],[Campaign_Code]],tb3_CampaignMaster[Campaign_Code],tb3_CampaignMaster[Campaign_Type],"")</f>
        <v>Regular Giving</v>
      </c>
      <c r="V336" t="str">
        <f>_xlfn.XLOOKUP(Table8[[#This Row],[Campaign_Code]],tb3_CampaignMaster[Campaign_Code],tb3_CampaignMaster[Target_Audience],"")</f>
        <v>One-time Donors</v>
      </c>
      <c r="W336" s="17">
        <f>_xlfn.XLOOKUP(Table8[[#This Row],[Campaign_Code]],tb3_CampaignMaster[Campaign_Code],tb3_CampaignMaster[Start_Date],"")</f>
        <v>45663</v>
      </c>
      <c r="X336" s="17">
        <f>_xlfn.XLOOKUP(Table8[[#This Row],[Campaign_Code]],tb3_CampaignMaster[Campaign_Code],tb3_CampaignMaster[End_Date],"")</f>
        <v>45747</v>
      </c>
      <c r="Y336">
        <f>_xlfn.XLOOKUP(Table8[[#This Row],[Campaign_Code]],tb3_CampaignMaster[Campaign_Code],tb3_CampaignMaster[Budget_GBP],"")</f>
        <v>10000</v>
      </c>
      <c r="Z336" t="str">
        <f>_xlfn.XLOOKUP(Table8[[#This Row],[Campaign_Code]],tb3_CampaignMaster[Campaign_Code],tb3_CampaignMaster[Primary_Channel],"")</f>
        <v>Telephone</v>
      </c>
      <c r="AA336" s="13">
        <f>IF(Table8[[#This Row],[Gift_Aid_Eligible]]="Yes",Table8[[#This Row],[Gift_Amount]]*1.25,Table8[[#This Row],[Gift_Amount]])</f>
        <v>155.73750000000001</v>
      </c>
      <c r="AB336" t="str">
        <f>IF(Table8[[#This Row],[Supporter_ID]]="","Review - missing supporter ID","")</f>
        <v/>
      </c>
      <c r="AC336" t="str">
        <f>IF(OR(Table8[[#This Row],[Response_Date]]&lt;Table8[[#This Row],[Start_Date]],Table8[[#This Row],[Response_Date]]&gt;Table8[[#This Row],[End_Date]]),"Review - response outside campaign dates","")</f>
        <v/>
      </c>
      <c r="AD336" t="str">
        <f>IF(Table8[[#This Row],[Campaign_Type]]="","Review - campaign code not found","")</f>
        <v/>
      </c>
    </row>
    <row r="337" spans="1:30" x14ac:dyDescent="0.25">
      <c r="A337" t="s">
        <v>3944</v>
      </c>
      <c r="B337" t="s">
        <v>2188</v>
      </c>
      <c r="C337" t="s">
        <v>3403</v>
      </c>
      <c r="D337" t="s">
        <v>3404</v>
      </c>
      <c r="E337" t="s">
        <v>65</v>
      </c>
      <c r="F337" s="17">
        <v>45608</v>
      </c>
      <c r="G337">
        <v>12.53</v>
      </c>
      <c r="H337" t="s">
        <v>36</v>
      </c>
      <c r="I337" t="s">
        <v>3334</v>
      </c>
      <c r="J337" t="str">
        <f>_xlfn.XLOOKUP(Table8[[#This Row],[Supporter_ID]],tb1_supporters[Supporter_ID ],tb1_supporters[Segment],"")</f>
        <v>One-Time Donor</v>
      </c>
      <c r="K337" t="str">
        <f>_xlfn.XLOOKUP(Table8[[#This Row],[Supporter_ID]],tb1_supporters[Supporter_ID ],tb1_supporters[Acquisition_Source],"")</f>
        <v>Event</v>
      </c>
      <c r="L337" t="str">
        <f>_xlfn.XLOOKUP(Table8[[#This Row],[Supporter_ID]],tb1_supporters[Supporter_ID ],tb1_supporters[County],"")</f>
        <v>Cambridgeshire</v>
      </c>
      <c r="M337" t="str">
        <f>_xlfn.XLOOKUP(Table8[[#This Row],[Supporter_ID]],tb1_supporters[Supporter_ID ],tb1_supporters[Gender],"")</f>
        <v>Male</v>
      </c>
      <c r="N337">
        <f ca="1">_xlfn.XLOOKUP(Table8[[#This Row],[Supporter_ID]],tb1_supporters[Supporter_ID ],tb1_supporters[Age],"")</f>
        <v>63</v>
      </c>
      <c r="O337" t="str">
        <f ca="1">_xlfn.XLOOKUP(Table8[[#This Row],[Supporter_ID]],tb1_supporters[Supporter_ID ],tb1_supporters[Age_Band],"")</f>
        <v>50-64</v>
      </c>
      <c r="P337" t="str">
        <f ca="1">IF(Table8[[#This Row],[Age_Band]]="","Unknown",Table8[[#This Row],[Age_Band]])</f>
        <v>50-64</v>
      </c>
      <c r="Q337" t="str">
        <f>_xlfn.XLOOKUP(Table8[[#This Row],[Supporter_ID]],tb1_supporters[Supporter_ID ],tb1_supporters[Communication_Preference],"")</f>
        <v>Email</v>
      </c>
      <c r="R337" t="str">
        <f>_xlfn.XLOOKUP(Table8[[#This Row],[Supporter_ID]],tb1_supporters[Supporter_ID ],tb1_supporters[Duplicate_Profile_Flag],"")</f>
        <v/>
      </c>
      <c r="S337" t="str">
        <f>_xlfn.XLOOKUP(Table8[[#This Row],[Supporter_ID]],tb1_supporters[Supporter_ID ],tb1_supporters[Preference_Compliance_Flag],"")</f>
        <v>Review - prefers email but not opted in</v>
      </c>
      <c r="T337" t="str">
        <f ca="1">IF(Table8[[#This Row],[Age]]="","Review - missing DOB",IF(Table8[[#This Row],[Age]]&gt;TODAY(),"Review - future DOB",IF(Table8[[#This Row],[Age]]=0,"Review -  potential entry error (age 0)","")))</f>
        <v/>
      </c>
      <c r="U337" t="str">
        <f>_xlfn.XLOOKUP(Table8[[#This Row],[Campaign_Code]],tb3_CampaignMaster[Campaign_Code],tb3_CampaignMaster[Campaign_Type],"")</f>
        <v>Trading</v>
      </c>
      <c r="V337" t="str">
        <f>_xlfn.XLOOKUP(Table8[[#This Row],[Campaign_Code]],tb3_CampaignMaster[Campaign_Code],tb3_CampaignMaster[Target_Audience],"")</f>
        <v>All Active</v>
      </c>
      <c r="W337" s="17">
        <f>_xlfn.XLOOKUP(Table8[[#This Row],[Campaign_Code]],tb3_CampaignMaster[Campaign_Code],tb3_CampaignMaster[Start_Date],"")</f>
        <v>45580</v>
      </c>
      <c r="X337" s="17">
        <f>_xlfn.XLOOKUP(Table8[[#This Row],[Campaign_Code]],tb3_CampaignMaster[Campaign_Code],tb3_CampaignMaster[End_Date],"")</f>
        <v>45646</v>
      </c>
      <c r="Y337">
        <f>_xlfn.XLOOKUP(Table8[[#This Row],[Campaign_Code]],tb3_CampaignMaster[Campaign_Code],tb3_CampaignMaster[Budget_GBP],"")</f>
        <v>12000</v>
      </c>
      <c r="Z337" t="str">
        <f>_xlfn.XLOOKUP(Table8[[#This Row],[Campaign_Code]],tb3_CampaignMaster[Campaign_Code],tb3_CampaignMaster[Primary_Channel],"")</f>
        <v>Multi-channel</v>
      </c>
      <c r="AA337" s="13">
        <f>IF(Table8[[#This Row],[Gift_Aid_Eligible]]="Yes",Table8[[#This Row],[Gift_Amount]]*1.25,Table8[[#This Row],[Gift_Amount]])</f>
        <v>15.6625</v>
      </c>
      <c r="AB337" t="str">
        <f>IF(Table8[[#This Row],[Supporter_ID]]="","Review - missing supporter ID","")</f>
        <v/>
      </c>
      <c r="AC337" t="str">
        <f>IF(OR(Table8[[#This Row],[Response_Date]]&lt;Table8[[#This Row],[Start_Date]],Table8[[#This Row],[Response_Date]]&gt;Table8[[#This Row],[End_Date]]),"Review - response outside campaign dates","")</f>
        <v/>
      </c>
      <c r="AD337" t="str">
        <f>IF(Table8[[#This Row],[Campaign_Type]]="","Review - campaign code not found","")</f>
        <v/>
      </c>
    </row>
    <row r="338" spans="1:30" x14ac:dyDescent="0.25">
      <c r="A338" t="s">
        <v>3946</v>
      </c>
      <c r="B338" t="s">
        <v>1933</v>
      </c>
      <c r="C338" t="s">
        <v>3320</v>
      </c>
      <c r="D338" t="s">
        <v>3321</v>
      </c>
      <c r="E338" t="s">
        <v>4</v>
      </c>
      <c r="F338" s="17">
        <v>45454</v>
      </c>
      <c r="G338">
        <v>259.23</v>
      </c>
      <c r="H338" t="s">
        <v>37</v>
      </c>
      <c r="I338" t="s">
        <v>3328</v>
      </c>
      <c r="J338" t="str">
        <f>_xlfn.XLOOKUP(Table8[[#This Row],[Supporter_ID]],tb1_supporters[Supporter_ID ],tb1_supporters[Segment],"")</f>
        <v>Legacy Pledger</v>
      </c>
      <c r="K338" t="str">
        <f>_xlfn.XLOOKUP(Table8[[#This Row],[Supporter_ID]],tb1_supporters[Supporter_ID ],tb1_supporters[Acquisition_Source],"")</f>
        <v>Door-To-Door</v>
      </c>
      <c r="L338" t="str">
        <f>_xlfn.XLOOKUP(Table8[[#This Row],[Supporter_ID]],tb1_supporters[Supporter_ID ],tb1_supporters[County],"")</f>
        <v>Strathclyde</v>
      </c>
      <c r="M338" t="str">
        <f>_xlfn.XLOOKUP(Table8[[#This Row],[Supporter_ID]],tb1_supporters[Supporter_ID ],tb1_supporters[Gender],"")</f>
        <v>Female</v>
      </c>
      <c r="N338">
        <f ca="1">_xlfn.XLOOKUP(Table8[[#This Row],[Supporter_ID]],tb1_supporters[Supporter_ID ],tb1_supporters[Age],"")</f>
        <v>78</v>
      </c>
      <c r="O338" t="str">
        <f ca="1">_xlfn.XLOOKUP(Table8[[#This Row],[Supporter_ID]],tb1_supporters[Supporter_ID ],tb1_supporters[Age_Band],"")</f>
        <v>65+</v>
      </c>
      <c r="P338" t="str">
        <f ca="1">IF(Table8[[#This Row],[Age_Band]]="","Unknown",Table8[[#This Row],[Age_Band]])</f>
        <v>65+</v>
      </c>
      <c r="Q338" t="str">
        <f>_xlfn.XLOOKUP(Table8[[#This Row],[Supporter_ID]],tb1_supporters[Supporter_ID ],tb1_supporters[Communication_Preference],"")</f>
        <v>Post</v>
      </c>
      <c r="R338" t="str">
        <f>_xlfn.XLOOKUP(Table8[[#This Row],[Supporter_ID]],tb1_supporters[Supporter_ID ],tb1_supporters[Duplicate_Profile_Flag],"")</f>
        <v/>
      </c>
      <c r="S338" t="str">
        <f>_xlfn.XLOOKUP(Table8[[#This Row],[Supporter_ID]],tb1_supporters[Supporter_ID ],tb1_supporters[Preference_Compliance_Flag],"")</f>
        <v/>
      </c>
      <c r="T338" t="str">
        <f ca="1">IF(Table8[[#This Row],[Age]]="","Review - missing DOB",IF(Table8[[#This Row],[Age]]&gt;TODAY(),"Review - future DOB",IF(Table8[[#This Row],[Age]]=0,"Review -  potential entry error (age 0)","")))</f>
        <v/>
      </c>
      <c r="U338" t="str">
        <f>_xlfn.XLOOKUP(Table8[[#This Row],[Campaign_Code]],tb3_CampaignMaster[Campaign_Code],tb3_CampaignMaster[Campaign_Type],"")</f>
        <v>Stewardship</v>
      </c>
      <c r="V338" t="str">
        <f>_xlfn.XLOOKUP(Table8[[#This Row],[Campaign_Code]],tb3_CampaignMaster[Campaign_Code],tb3_CampaignMaster[Target_Audience],"")</f>
        <v>Major Donors</v>
      </c>
      <c r="W338" s="17">
        <f>_xlfn.XLOOKUP(Table8[[#This Row],[Campaign_Code]],tb3_CampaignMaster[Campaign_Code],tb3_CampaignMaster[Start_Date],"")</f>
        <v>45444</v>
      </c>
      <c r="X338" s="17">
        <f>_xlfn.XLOOKUP(Table8[[#This Row],[Campaign_Code]],tb3_CampaignMaster[Campaign_Code],tb3_CampaignMaster[End_Date],"")</f>
        <v>45473</v>
      </c>
      <c r="Y338">
        <f>_xlfn.XLOOKUP(Table8[[#This Row],[Campaign_Code]],tb3_CampaignMaster[Campaign_Code],tb3_CampaignMaster[Budget_GBP],"")</f>
        <v>7000</v>
      </c>
      <c r="Z338" t="str">
        <f>_xlfn.XLOOKUP(Table8[[#This Row],[Campaign_Code]],tb3_CampaignMaster[Campaign_Code],tb3_CampaignMaster[Primary_Channel],"")</f>
        <v>Direct Mail</v>
      </c>
      <c r="AA338" s="13">
        <f>IF(Table8[[#This Row],[Gift_Aid_Eligible]]="Yes",Table8[[#This Row],[Gift_Amount]]*1.25,Table8[[#This Row],[Gift_Amount]])</f>
        <v>259.23</v>
      </c>
      <c r="AB338" t="str">
        <f>IF(Table8[[#This Row],[Supporter_ID]]="","Review - missing supporter ID","")</f>
        <v/>
      </c>
      <c r="AC338" t="str">
        <f>IF(OR(Table8[[#This Row],[Response_Date]]&lt;Table8[[#This Row],[Start_Date]],Table8[[#This Row],[Response_Date]]&gt;Table8[[#This Row],[End_Date]]),"Review - response outside campaign dates","")</f>
        <v/>
      </c>
      <c r="AD338" t="str">
        <f>IF(Table8[[#This Row],[Campaign_Type]]="","Review - campaign code not found","")</f>
        <v/>
      </c>
    </row>
    <row r="339" spans="1:30" x14ac:dyDescent="0.25">
      <c r="A339" t="s">
        <v>3948</v>
      </c>
      <c r="B339" t="s">
        <v>81</v>
      </c>
      <c r="C339" t="s">
        <v>3362</v>
      </c>
      <c r="D339" t="s">
        <v>3363</v>
      </c>
      <c r="E339" t="s">
        <v>65</v>
      </c>
      <c r="F339" s="17">
        <v>45578</v>
      </c>
      <c r="G339">
        <v>133.07</v>
      </c>
      <c r="H339" t="s">
        <v>36</v>
      </c>
      <c r="I339" t="s">
        <v>3385</v>
      </c>
      <c r="J339" t="str">
        <f>_xlfn.XLOOKUP(Table8[[#This Row],[Supporter_ID]],tb1_supporters[Supporter_ID ],tb1_supporters[Segment],"")</f>
        <v>One-Time Donor</v>
      </c>
      <c r="K339" t="str">
        <f>_xlfn.XLOOKUP(Table8[[#This Row],[Supporter_ID]],tb1_supporters[Supporter_ID ],tb1_supporters[Acquisition_Source],"")</f>
        <v>Social Media</v>
      </c>
      <c r="L339" t="str">
        <f>_xlfn.XLOOKUP(Table8[[#This Row],[Supporter_ID]],tb1_supporters[Supporter_ID ],tb1_supporters[County],"")</f>
        <v>Cambridgeshire</v>
      </c>
      <c r="M339" t="str">
        <f>_xlfn.XLOOKUP(Table8[[#This Row],[Supporter_ID]],tb1_supporters[Supporter_ID ],tb1_supporters[Gender],"")</f>
        <v>Male</v>
      </c>
      <c r="N339">
        <f ca="1">_xlfn.XLOOKUP(Table8[[#This Row],[Supporter_ID]],tb1_supporters[Supporter_ID ],tb1_supporters[Age],"")</f>
        <v>85</v>
      </c>
      <c r="O339" t="str">
        <f ca="1">_xlfn.XLOOKUP(Table8[[#This Row],[Supporter_ID]],tb1_supporters[Supporter_ID ],tb1_supporters[Age_Band],"")</f>
        <v>65+</v>
      </c>
      <c r="P339" t="str">
        <f ca="1">IF(Table8[[#This Row],[Age_Band]]="","Unknown",Table8[[#This Row],[Age_Band]])</f>
        <v>65+</v>
      </c>
      <c r="Q339" t="str">
        <f>_xlfn.XLOOKUP(Table8[[#This Row],[Supporter_ID]],tb1_supporters[Supporter_ID ],tb1_supporters[Communication_Preference],"")</f>
        <v>Post</v>
      </c>
      <c r="R339" t="str">
        <f>_xlfn.XLOOKUP(Table8[[#This Row],[Supporter_ID]],tb1_supporters[Supporter_ID ],tb1_supporters[Duplicate_Profile_Flag],"")</f>
        <v/>
      </c>
      <c r="S339" t="str">
        <f>_xlfn.XLOOKUP(Table8[[#This Row],[Supporter_ID]],tb1_supporters[Supporter_ID ],tb1_supporters[Preference_Compliance_Flag],"")</f>
        <v>Review - prefers post but not opted in</v>
      </c>
      <c r="T339" t="str">
        <f ca="1">IF(Table8[[#This Row],[Age]]="","Review - missing DOB",IF(Table8[[#This Row],[Age]]&gt;TODAY(),"Review - future DOB",IF(Table8[[#This Row],[Age]]=0,"Review -  potential entry error (age 0)","")))</f>
        <v/>
      </c>
      <c r="U339" t="str">
        <f>_xlfn.XLOOKUP(Table8[[#This Row],[Campaign_Code]],tb3_CampaignMaster[Campaign_Code],tb3_CampaignMaster[Campaign_Type],"")</f>
        <v>Legacy</v>
      </c>
      <c r="V339" t="str">
        <f>_xlfn.XLOOKUP(Table8[[#This Row],[Campaign_Code]],tb3_CampaignMaster[Campaign_Code],tb3_CampaignMaster[Target_Audience],"")</f>
        <v>Over 55s</v>
      </c>
      <c r="W339" s="17">
        <f>_xlfn.XLOOKUP(Table8[[#This Row],[Campaign_Code]],tb3_CampaignMaster[Campaign_Code],tb3_CampaignMaster[Start_Date],"")</f>
        <v>45572</v>
      </c>
      <c r="X339" s="17">
        <f>_xlfn.XLOOKUP(Table8[[#This Row],[Campaign_Code]],tb3_CampaignMaster[Campaign_Code],tb3_CampaignMaster[End_Date],"")</f>
        <v>45578</v>
      </c>
      <c r="Y339">
        <f>_xlfn.XLOOKUP(Table8[[#This Row],[Campaign_Code]],tb3_CampaignMaster[Campaign_Code],tb3_CampaignMaster[Budget_GBP],"")</f>
        <v>5000</v>
      </c>
      <c r="Z339" t="str">
        <f>_xlfn.XLOOKUP(Table8[[#This Row],[Campaign_Code]],tb3_CampaignMaster[Campaign_Code],tb3_CampaignMaster[Primary_Channel],"")</f>
        <v>Direct Mail</v>
      </c>
      <c r="AA339" s="13">
        <f>IF(Table8[[#This Row],[Gift_Aid_Eligible]]="Yes",Table8[[#This Row],[Gift_Amount]]*1.25,Table8[[#This Row],[Gift_Amount]])</f>
        <v>166.33749999999998</v>
      </c>
      <c r="AB339" t="str">
        <f>IF(Table8[[#This Row],[Supporter_ID]]="","Review - missing supporter ID","")</f>
        <v/>
      </c>
      <c r="AC339" t="str">
        <f>IF(OR(Table8[[#This Row],[Response_Date]]&lt;Table8[[#This Row],[Start_Date]],Table8[[#This Row],[Response_Date]]&gt;Table8[[#This Row],[End_Date]]),"Review - response outside campaign dates","")</f>
        <v/>
      </c>
      <c r="AD339" t="str">
        <f>IF(Table8[[#This Row],[Campaign_Type]]="","Review - campaign code not found","")</f>
        <v/>
      </c>
    </row>
    <row r="340" spans="1:30" x14ac:dyDescent="0.25">
      <c r="A340" t="s">
        <v>3949</v>
      </c>
      <c r="B340" t="s">
        <v>3199</v>
      </c>
      <c r="C340" t="s">
        <v>3320</v>
      </c>
      <c r="D340" t="s">
        <v>3321</v>
      </c>
      <c r="E340" t="s">
        <v>4</v>
      </c>
      <c r="F340" s="17">
        <v>45461</v>
      </c>
      <c r="G340">
        <v>30.29</v>
      </c>
      <c r="H340" t="s">
        <v>37</v>
      </c>
      <c r="I340" t="s">
        <v>3334</v>
      </c>
      <c r="J340" t="str">
        <f>_xlfn.XLOOKUP(Table8[[#This Row],[Supporter_ID]],tb1_supporters[Supporter_ID ],tb1_supporters[Segment],"")</f>
        <v>Mid-Value</v>
      </c>
      <c r="K340" t="str">
        <f>_xlfn.XLOOKUP(Table8[[#This Row],[Supporter_ID]],tb1_supporters[Supporter_ID ],tb1_supporters[Acquisition_Source],"")</f>
        <v>Event</v>
      </c>
      <c r="L340" t="str">
        <f>_xlfn.XLOOKUP(Table8[[#This Row],[Supporter_ID]],tb1_supporters[Supporter_ID ],tb1_supporters[County],"")</f>
        <v>Berkshire</v>
      </c>
      <c r="M340" t="str">
        <f>_xlfn.XLOOKUP(Table8[[#This Row],[Supporter_ID]],tb1_supporters[Supporter_ID ],tb1_supporters[Gender],"")</f>
        <v>Female</v>
      </c>
      <c r="N340">
        <f ca="1">_xlfn.XLOOKUP(Table8[[#This Row],[Supporter_ID]],tb1_supporters[Supporter_ID ],tb1_supporters[Age],"")</f>
        <v>49</v>
      </c>
      <c r="O340" t="str">
        <f ca="1">_xlfn.XLOOKUP(Table8[[#This Row],[Supporter_ID]],tb1_supporters[Supporter_ID ],tb1_supporters[Age_Band],"")</f>
        <v>35-49</v>
      </c>
      <c r="P340" t="str">
        <f ca="1">IF(Table8[[#This Row],[Age_Band]]="","Unknown",Table8[[#This Row],[Age_Band]])</f>
        <v>35-49</v>
      </c>
      <c r="Q340" t="str">
        <f>_xlfn.XLOOKUP(Table8[[#This Row],[Supporter_ID]],tb1_supporters[Supporter_ID ],tb1_supporters[Communication_Preference],"")</f>
        <v>Post</v>
      </c>
      <c r="R340" t="str">
        <f>_xlfn.XLOOKUP(Table8[[#This Row],[Supporter_ID]],tb1_supporters[Supporter_ID ],tb1_supporters[Duplicate_Profile_Flag],"")</f>
        <v/>
      </c>
      <c r="S340" t="str">
        <f>_xlfn.XLOOKUP(Table8[[#This Row],[Supporter_ID]],tb1_supporters[Supporter_ID ],tb1_supporters[Preference_Compliance_Flag],"")</f>
        <v/>
      </c>
      <c r="T340" t="str">
        <f ca="1">IF(Table8[[#This Row],[Age]]="","Review - missing DOB",IF(Table8[[#This Row],[Age]]&gt;TODAY(),"Review - future DOB",IF(Table8[[#This Row],[Age]]=0,"Review -  potential entry error (age 0)","")))</f>
        <v/>
      </c>
      <c r="U340" t="str">
        <f>_xlfn.XLOOKUP(Table8[[#This Row],[Campaign_Code]],tb3_CampaignMaster[Campaign_Code],tb3_CampaignMaster[Campaign_Type],"")</f>
        <v>Stewardship</v>
      </c>
      <c r="V340" t="str">
        <f>_xlfn.XLOOKUP(Table8[[#This Row],[Campaign_Code]],tb3_CampaignMaster[Campaign_Code],tb3_CampaignMaster[Target_Audience],"")</f>
        <v>Major Donors</v>
      </c>
      <c r="W340" s="17">
        <f>_xlfn.XLOOKUP(Table8[[#This Row],[Campaign_Code]],tb3_CampaignMaster[Campaign_Code],tb3_CampaignMaster[Start_Date],"")</f>
        <v>45444</v>
      </c>
      <c r="X340" s="17">
        <f>_xlfn.XLOOKUP(Table8[[#This Row],[Campaign_Code]],tb3_CampaignMaster[Campaign_Code],tb3_CampaignMaster[End_Date],"")</f>
        <v>45473</v>
      </c>
      <c r="Y340">
        <f>_xlfn.XLOOKUP(Table8[[#This Row],[Campaign_Code]],tb3_CampaignMaster[Campaign_Code],tb3_CampaignMaster[Budget_GBP],"")</f>
        <v>7000</v>
      </c>
      <c r="Z340" t="str">
        <f>_xlfn.XLOOKUP(Table8[[#This Row],[Campaign_Code]],tb3_CampaignMaster[Campaign_Code],tb3_CampaignMaster[Primary_Channel],"")</f>
        <v>Direct Mail</v>
      </c>
      <c r="AA340" s="13">
        <f>IF(Table8[[#This Row],[Gift_Aid_Eligible]]="Yes",Table8[[#This Row],[Gift_Amount]]*1.25,Table8[[#This Row],[Gift_Amount]])</f>
        <v>30.29</v>
      </c>
      <c r="AB340" t="str">
        <f>IF(Table8[[#This Row],[Supporter_ID]]="","Review - missing supporter ID","")</f>
        <v/>
      </c>
      <c r="AC340" t="str">
        <f>IF(OR(Table8[[#This Row],[Response_Date]]&lt;Table8[[#This Row],[Start_Date]],Table8[[#This Row],[Response_Date]]&gt;Table8[[#This Row],[End_Date]]),"Review - response outside campaign dates","")</f>
        <v/>
      </c>
      <c r="AD340" t="str">
        <f>IF(Table8[[#This Row],[Campaign_Type]]="","Review - campaign code not found","")</f>
        <v/>
      </c>
    </row>
    <row r="341" spans="1:30" x14ac:dyDescent="0.25">
      <c r="A341" t="s">
        <v>3951</v>
      </c>
      <c r="B341" t="s">
        <v>1239</v>
      </c>
      <c r="C341" t="s">
        <v>3427</v>
      </c>
      <c r="D341" t="s">
        <v>3428</v>
      </c>
      <c r="E341" t="s">
        <v>4</v>
      </c>
      <c r="F341" s="17">
        <v>45488</v>
      </c>
      <c r="G341">
        <v>28.44</v>
      </c>
      <c r="H341" t="s">
        <v>37</v>
      </c>
      <c r="I341" t="s">
        <v>3331</v>
      </c>
      <c r="J341" t="str">
        <f>_xlfn.XLOOKUP(Table8[[#This Row],[Supporter_ID]],tb1_supporters[Supporter_ID ],tb1_supporters[Segment],"")</f>
        <v>Regular Giver</v>
      </c>
      <c r="K341" t="str">
        <f>_xlfn.XLOOKUP(Table8[[#This Row],[Supporter_ID]],tb1_supporters[Supporter_ID ],tb1_supporters[Acquisition_Source],"")</f>
        <v>Direct Mail</v>
      </c>
      <c r="L341" t="str">
        <f>_xlfn.XLOOKUP(Table8[[#This Row],[Supporter_ID]],tb1_supporters[Supporter_ID ],tb1_supporters[County],"")</f>
        <v>West Midlands</v>
      </c>
      <c r="M341" t="str">
        <f>_xlfn.XLOOKUP(Table8[[#This Row],[Supporter_ID]],tb1_supporters[Supporter_ID ],tb1_supporters[Gender],"")</f>
        <v>Male</v>
      </c>
      <c r="N341">
        <f ca="1">_xlfn.XLOOKUP(Table8[[#This Row],[Supporter_ID]],tb1_supporters[Supporter_ID ],tb1_supporters[Age],"")</f>
        <v>75</v>
      </c>
      <c r="O341" t="str">
        <f ca="1">_xlfn.XLOOKUP(Table8[[#This Row],[Supporter_ID]],tb1_supporters[Supporter_ID ],tb1_supporters[Age_Band],"")</f>
        <v>65+</v>
      </c>
      <c r="P341" t="str">
        <f ca="1">IF(Table8[[#This Row],[Age_Band]]="","Unknown",Table8[[#This Row],[Age_Band]])</f>
        <v>65+</v>
      </c>
      <c r="Q341" t="str">
        <f>_xlfn.XLOOKUP(Table8[[#This Row],[Supporter_ID]],tb1_supporters[Supporter_ID ],tb1_supporters[Communication_Preference],"")</f>
        <v>No Preference</v>
      </c>
      <c r="R341" t="str">
        <f>_xlfn.XLOOKUP(Table8[[#This Row],[Supporter_ID]],tb1_supporters[Supporter_ID ],tb1_supporters[Duplicate_Profile_Flag],"")</f>
        <v/>
      </c>
      <c r="S341" t="str">
        <f>_xlfn.XLOOKUP(Table8[[#This Row],[Supporter_ID]],tb1_supporters[Supporter_ID ],tb1_supporters[Preference_Compliance_Flag],"")</f>
        <v/>
      </c>
      <c r="T341" t="str">
        <f ca="1">IF(Table8[[#This Row],[Age]]="","Review - missing DOB",IF(Table8[[#This Row],[Age]]&gt;TODAY(),"Review - future DOB",IF(Table8[[#This Row],[Age]]=0,"Review -  potential entry error (age 0)","")))</f>
        <v/>
      </c>
      <c r="U341" t="str">
        <f>_xlfn.XLOOKUP(Table8[[#This Row],[Campaign_Code]],tb3_CampaignMaster[Campaign_Code],tb3_CampaignMaster[Campaign_Type],"")</f>
        <v>Event</v>
      </c>
      <c r="V341" t="str">
        <f>_xlfn.XLOOKUP(Table8[[#This Row],[Campaign_Code]],tb3_CampaignMaster[Campaign_Code],tb3_CampaignMaster[Target_Audience],"")</f>
        <v>Major Donors</v>
      </c>
      <c r="W341" s="17">
        <f>_xlfn.XLOOKUP(Table8[[#This Row],[Campaign_Code]],tb3_CampaignMaster[Campaign_Code],tb3_CampaignMaster[Start_Date],"")</f>
        <v>45488</v>
      </c>
      <c r="X341" s="17">
        <f>_xlfn.XLOOKUP(Table8[[#This Row],[Campaign_Code]],tb3_CampaignMaster[Campaign_Code],tb3_CampaignMaster[End_Date],"")</f>
        <v>45488</v>
      </c>
      <c r="Y341">
        <f>_xlfn.XLOOKUP(Table8[[#This Row],[Campaign_Code]],tb3_CampaignMaster[Campaign_Code],tb3_CampaignMaster[Budget_GBP],"")</f>
        <v>45000</v>
      </c>
      <c r="Z341" t="str">
        <f>_xlfn.XLOOKUP(Table8[[#This Row],[Campaign_Code]],tb3_CampaignMaster[Campaign_Code],tb3_CampaignMaster[Primary_Channel],"")</f>
        <v>Direct Mail</v>
      </c>
      <c r="AA341" s="13">
        <f>IF(Table8[[#This Row],[Gift_Aid_Eligible]]="Yes",Table8[[#This Row],[Gift_Amount]]*1.25,Table8[[#This Row],[Gift_Amount]])</f>
        <v>28.44</v>
      </c>
      <c r="AB341" t="str">
        <f>IF(Table8[[#This Row],[Supporter_ID]]="","Review - missing supporter ID","")</f>
        <v/>
      </c>
      <c r="AC341" t="str">
        <f>IF(OR(Table8[[#This Row],[Response_Date]]&lt;Table8[[#This Row],[Start_Date]],Table8[[#This Row],[Response_Date]]&gt;Table8[[#This Row],[End_Date]]),"Review - response outside campaign dates","")</f>
        <v/>
      </c>
      <c r="AD341" t="str">
        <f>IF(Table8[[#This Row],[Campaign_Type]]="","Review - campaign code not found","")</f>
        <v/>
      </c>
    </row>
    <row r="342" spans="1:30" x14ac:dyDescent="0.25">
      <c r="A342" t="s">
        <v>3952</v>
      </c>
      <c r="B342" t="s">
        <v>2940</v>
      </c>
      <c r="C342" t="s">
        <v>3314</v>
      </c>
      <c r="D342" t="s">
        <v>3315</v>
      </c>
      <c r="E342" t="s">
        <v>65</v>
      </c>
      <c r="F342" s="17">
        <v>45666</v>
      </c>
      <c r="G342">
        <v>165.79</v>
      </c>
      <c r="H342" t="s">
        <v>36</v>
      </c>
      <c r="I342" t="s">
        <v>3323</v>
      </c>
      <c r="J342" t="str">
        <f>_xlfn.XLOOKUP(Table8[[#This Row],[Supporter_ID]],tb1_supporters[Supporter_ID ],tb1_supporters[Segment],"")</f>
        <v>Legacy Pledger</v>
      </c>
      <c r="K342" t="str">
        <f>_xlfn.XLOOKUP(Table8[[#This Row],[Supporter_ID]],tb1_supporters[Supporter_ID ],tb1_supporters[Acquisition_Source],"")</f>
        <v>Door-To-Door</v>
      </c>
      <c r="L342" t="str">
        <f>_xlfn.XLOOKUP(Table8[[#This Row],[Supporter_ID]],tb1_supporters[Supporter_ID ],tb1_supporters[County],"")</f>
        <v>Norfolk</v>
      </c>
      <c r="M342" t="str">
        <f>_xlfn.XLOOKUP(Table8[[#This Row],[Supporter_ID]],tb1_supporters[Supporter_ID ],tb1_supporters[Gender],"")</f>
        <v>Male</v>
      </c>
      <c r="N342">
        <f ca="1">_xlfn.XLOOKUP(Table8[[#This Row],[Supporter_ID]],tb1_supporters[Supporter_ID ],tb1_supporters[Age],"")</f>
        <v>90</v>
      </c>
      <c r="O342" t="str">
        <f ca="1">_xlfn.XLOOKUP(Table8[[#This Row],[Supporter_ID]],tb1_supporters[Supporter_ID ],tb1_supporters[Age_Band],"")</f>
        <v>65+</v>
      </c>
      <c r="P342" t="str">
        <f ca="1">IF(Table8[[#This Row],[Age_Band]]="","Unknown",Table8[[#This Row],[Age_Band]])</f>
        <v>65+</v>
      </c>
      <c r="Q342" t="str">
        <f>_xlfn.XLOOKUP(Table8[[#This Row],[Supporter_ID]],tb1_supporters[Supporter_ID ],tb1_supporters[Communication_Preference],"")</f>
        <v>Post</v>
      </c>
      <c r="R342" t="str">
        <f>_xlfn.XLOOKUP(Table8[[#This Row],[Supporter_ID]],tb1_supporters[Supporter_ID ],tb1_supporters[Duplicate_Profile_Flag],"")</f>
        <v/>
      </c>
      <c r="S342" t="str">
        <f>_xlfn.XLOOKUP(Table8[[#This Row],[Supporter_ID]],tb1_supporters[Supporter_ID ],tb1_supporters[Preference_Compliance_Flag],"")</f>
        <v/>
      </c>
      <c r="T342" t="str">
        <f ca="1">IF(Table8[[#This Row],[Age]]="","Review - missing DOB",IF(Table8[[#This Row],[Age]]&gt;TODAY(),"Review - future DOB",IF(Table8[[#This Row],[Age]]=0,"Review -  potential entry error (age 0)","")))</f>
        <v/>
      </c>
      <c r="U342" t="str">
        <f>_xlfn.XLOOKUP(Table8[[#This Row],[Campaign_Code]],tb3_CampaignMaster[Campaign_Code],tb3_CampaignMaster[Campaign_Type],"")</f>
        <v>Regular Giving</v>
      </c>
      <c r="V342" t="str">
        <f>_xlfn.XLOOKUP(Table8[[#This Row],[Campaign_Code]],tb3_CampaignMaster[Campaign_Code],tb3_CampaignMaster[Target_Audience],"")</f>
        <v>One-time Donors</v>
      </c>
      <c r="W342" s="17">
        <f>_xlfn.XLOOKUP(Table8[[#This Row],[Campaign_Code]],tb3_CampaignMaster[Campaign_Code],tb3_CampaignMaster[Start_Date],"")</f>
        <v>45663</v>
      </c>
      <c r="X342" s="17">
        <f>_xlfn.XLOOKUP(Table8[[#This Row],[Campaign_Code]],tb3_CampaignMaster[Campaign_Code],tb3_CampaignMaster[End_Date],"")</f>
        <v>45747</v>
      </c>
      <c r="Y342">
        <f>_xlfn.XLOOKUP(Table8[[#This Row],[Campaign_Code]],tb3_CampaignMaster[Campaign_Code],tb3_CampaignMaster[Budget_GBP],"")</f>
        <v>10000</v>
      </c>
      <c r="Z342" t="str">
        <f>_xlfn.XLOOKUP(Table8[[#This Row],[Campaign_Code]],tb3_CampaignMaster[Campaign_Code],tb3_CampaignMaster[Primary_Channel],"")</f>
        <v>Telephone</v>
      </c>
      <c r="AA342" s="13">
        <f>IF(Table8[[#This Row],[Gift_Aid_Eligible]]="Yes",Table8[[#This Row],[Gift_Amount]]*1.25,Table8[[#This Row],[Gift_Amount]])</f>
        <v>207.23749999999998</v>
      </c>
      <c r="AB342" t="str">
        <f>IF(Table8[[#This Row],[Supporter_ID]]="","Review - missing supporter ID","")</f>
        <v/>
      </c>
      <c r="AC342" t="str">
        <f>IF(OR(Table8[[#This Row],[Response_Date]]&lt;Table8[[#This Row],[Start_Date]],Table8[[#This Row],[Response_Date]]&gt;Table8[[#This Row],[End_Date]]),"Review - response outside campaign dates","")</f>
        <v/>
      </c>
      <c r="AD342" t="str">
        <f>IF(Table8[[#This Row],[Campaign_Type]]="","Review - campaign code not found","")</f>
        <v/>
      </c>
    </row>
    <row r="343" spans="1:30" x14ac:dyDescent="0.25">
      <c r="A343" t="s">
        <v>3954</v>
      </c>
      <c r="B343" t="s">
        <v>808</v>
      </c>
      <c r="C343" t="s">
        <v>3314</v>
      </c>
      <c r="D343" t="s">
        <v>3315</v>
      </c>
      <c r="E343" t="s">
        <v>33</v>
      </c>
      <c r="F343" s="17">
        <v>45681</v>
      </c>
      <c r="G343">
        <v>76.94</v>
      </c>
      <c r="H343" t="s">
        <v>36</v>
      </c>
      <c r="I343" t="s">
        <v>3331</v>
      </c>
      <c r="J343" t="str">
        <f>_xlfn.XLOOKUP(Table8[[#This Row],[Supporter_ID]],tb1_supporters[Supporter_ID ],tb1_supporters[Segment],"")</f>
        <v>Lapsed</v>
      </c>
      <c r="K343" t="str">
        <f>_xlfn.XLOOKUP(Table8[[#This Row],[Supporter_ID]],tb1_supporters[Supporter_ID ],tb1_supporters[Acquisition_Source],"")</f>
        <v>Door-To-Door</v>
      </c>
      <c r="L343" t="str">
        <f>_xlfn.XLOOKUP(Table8[[#This Row],[Supporter_ID]],tb1_supporters[Supporter_ID ],tb1_supporters[County],"")</f>
        <v>Kent</v>
      </c>
      <c r="M343" t="str">
        <f>_xlfn.XLOOKUP(Table8[[#This Row],[Supporter_ID]],tb1_supporters[Supporter_ID ],tb1_supporters[Gender],"")</f>
        <v>Female</v>
      </c>
      <c r="N343">
        <f ca="1">_xlfn.XLOOKUP(Table8[[#This Row],[Supporter_ID]],tb1_supporters[Supporter_ID ],tb1_supporters[Age],"")</f>
        <v>67</v>
      </c>
      <c r="O343" t="str">
        <f ca="1">_xlfn.XLOOKUP(Table8[[#This Row],[Supporter_ID]],tb1_supporters[Supporter_ID ],tb1_supporters[Age_Band],"")</f>
        <v>65+</v>
      </c>
      <c r="P343" t="str">
        <f ca="1">IF(Table8[[#This Row],[Age_Band]]="","Unknown",Table8[[#This Row],[Age_Band]])</f>
        <v>65+</v>
      </c>
      <c r="Q343" t="str">
        <f>_xlfn.XLOOKUP(Table8[[#This Row],[Supporter_ID]],tb1_supporters[Supporter_ID ],tb1_supporters[Communication_Preference],"")</f>
        <v>Phone</v>
      </c>
      <c r="R343" t="str">
        <f>_xlfn.XLOOKUP(Table8[[#This Row],[Supporter_ID]],tb1_supporters[Supporter_ID ],tb1_supporters[Duplicate_Profile_Flag],"")</f>
        <v/>
      </c>
      <c r="S343" t="str">
        <f>_xlfn.XLOOKUP(Table8[[#This Row],[Supporter_ID]],tb1_supporters[Supporter_ID ],tb1_supporters[Preference_Compliance_Flag],"")</f>
        <v>Review - prefers phone but not opted in</v>
      </c>
      <c r="T343" t="str">
        <f ca="1">IF(Table8[[#This Row],[Age]]="","Review - missing DOB",IF(Table8[[#This Row],[Age]]&gt;TODAY(),"Review - future DOB",IF(Table8[[#This Row],[Age]]=0,"Review -  potential entry error (age 0)","")))</f>
        <v/>
      </c>
      <c r="U343" t="str">
        <f>_xlfn.XLOOKUP(Table8[[#This Row],[Campaign_Code]],tb3_CampaignMaster[Campaign_Code],tb3_CampaignMaster[Campaign_Type],"")</f>
        <v>Regular Giving</v>
      </c>
      <c r="V343" t="str">
        <f>_xlfn.XLOOKUP(Table8[[#This Row],[Campaign_Code]],tb3_CampaignMaster[Campaign_Code],tb3_CampaignMaster[Target_Audience],"")</f>
        <v>One-time Donors</v>
      </c>
      <c r="W343" s="17">
        <f>_xlfn.XLOOKUP(Table8[[#This Row],[Campaign_Code]],tb3_CampaignMaster[Campaign_Code],tb3_CampaignMaster[Start_Date],"")</f>
        <v>45663</v>
      </c>
      <c r="X343" s="17">
        <f>_xlfn.XLOOKUP(Table8[[#This Row],[Campaign_Code]],tb3_CampaignMaster[Campaign_Code],tb3_CampaignMaster[End_Date],"")</f>
        <v>45747</v>
      </c>
      <c r="Y343">
        <f>_xlfn.XLOOKUP(Table8[[#This Row],[Campaign_Code]],tb3_CampaignMaster[Campaign_Code],tb3_CampaignMaster[Budget_GBP],"")</f>
        <v>10000</v>
      </c>
      <c r="Z343" t="str">
        <f>_xlfn.XLOOKUP(Table8[[#This Row],[Campaign_Code]],tb3_CampaignMaster[Campaign_Code],tb3_CampaignMaster[Primary_Channel],"")</f>
        <v>Telephone</v>
      </c>
      <c r="AA343" s="13">
        <f>IF(Table8[[#This Row],[Gift_Aid_Eligible]]="Yes",Table8[[#This Row],[Gift_Amount]]*1.25,Table8[[#This Row],[Gift_Amount]])</f>
        <v>96.174999999999997</v>
      </c>
      <c r="AB343" t="str">
        <f>IF(Table8[[#This Row],[Supporter_ID]]="","Review - missing supporter ID","")</f>
        <v/>
      </c>
      <c r="AC343" t="str">
        <f>IF(OR(Table8[[#This Row],[Response_Date]]&lt;Table8[[#This Row],[Start_Date]],Table8[[#This Row],[Response_Date]]&gt;Table8[[#This Row],[End_Date]]),"Review - response outside campaign dates","")</f>
        <v/>
      </c>
      <c r="AD343" t="str">
        <f>IF(Table8[[#This Row],[Campaign_Type]]="","Review - campaign code not found","")</f>
        <v/>
      </c>
    </row>
    <row r="344" spans="1:30" x14ac:dyDescent="0.25">
      <c r="A344" t="s">
        <v>3956</v>
      </c>
      <c r="B344" t="s">
        <v>1567</v>
      </c>
      <c r="C344" t="s">
        <v>3367</v>
      </c>
      <c r="D344" t="s">
        <v>3368</v>
      </c>
      <c r="E344" t="s">
        <v>4</v>
      </c>
      <c r="F344" s="17">
        <v>45306</v>
      </c>
      <c r="G344">
        <v>45.16</v>
      </c>
      <c r="H344" t="s">
        <v>36</v>
      </c>
      <c r="I344" t="s">
        <v>3328</v>
      </c>
      <c r="J344" t="str">
        <f>_xlfn.XLOOKUP(Table8[[#This Row],[Supporter_ID]],tb1_supporters[Supporter_ID ],tb1_supporters[Segment],"")</f>
        <v>Lapsed</v>
      </c>
      <c r="K344" t="str">
        <f>_xlfn.XLOOKUP(Table8[[#This Row],[Supporter_ID]],tb1_supporters[Supporter_ID ],tb1_supporters[Acquisition_Source],"")</f>
        <v>Website</v>
      </c>
      <c r="L344" t="str">
        <f>_xlfn.XLOOKUP(Table8[[#This Row],[Supporter_ID]],tb1_supporters[Supporter_ID ],tb1_supporters[County],"")</f>
        <v>Merseyside</v>
      </c>
      <c r="M344" t="str">
        <f>_xlfn.XLOOKUP(Table8[[#This Row],[Supporter_ID]],tb1_supporters[Supporter_ID ],tb1_supporters[Gender],"")</f>
        <v>Male</v>
      </c>
      <c r="N344">
        <f ca="1">_xlfn.XLOOKUP(Table8[[#This Row],[Supporter_ID]],tb1_supporters[Supporter_ID ],tb1_supporters[Age],"")</f>
        <v>75</v>
      </c>
      <c r="O344" t="str">
        <f ca="1">_xlfn.XLOOKUP(Table8[[#This Row],[Supporter_ID]],tb1_supporters[Supporter_ID ],tb1_supporters[Age_Band],"")</f>
        <v>65+</v>
      </c>
      <c r="P344" t="str">
        <f ca="1">IF(Table8[[#This Row],[Age_Band]]="","Unknown",Table8[[#This Row],[Age_Band]])</f>
        <v>65+</v>
      </c>
      <c r="Q344" t="str">
        <f>_xlfn.XLOOKUP(Table8[[#This Row],[Supporter_ID]],tb1_supporters[Supporter_ID ],tb1_supporters[Communication_Preference],"")</f>
        <v>Email</v>
      </c>
      <c r="R344" t="str">
        <f>_xlfn.XLOOKUP(Table8[[#This Row],[Supporter_ID]],tb1_supporters[Supporter_ID ],tb1_supporters[Duplicate_Profile_Flag],"")</f>
        <v/>
      </c>
      <c r="S344" t="str">
        <f>_xlfn.XLOOKUP(Table8[[#This Row],[Supporter_ID]],tb1_supporters[Supporter_ID ],tb1_supporters[Preference_Compliance_Flag],"")</f>
        <v>Review - prefers email but not opted in</v>
      </c>
      <c r="T344" t="str">
        <f ca="1">IF(Table8[[#This Row],[Age]]="","Review - missing DOB",IF(Table8[[#This Row],[Age]]&gt;TODAY(),"Review - future DOB",IF(Table8[[#This Row],[Age]]=0,"Review -  potential entry error (age 0)","")))</f>
        <v/>
      </c>
      <c r="U344" t="str">
        <f>_xlfn.XLOOKUP(Table8[[#This Row],[Campaign_Code]],tb3_CampaignMaster[Campaign_Code],tb3_CampaignMaster[Campaign_Type],"")</f>
        <v>Raffle</v>
      </c>
      <c r="V344" t="str">
        <f>_xlfn.XLOOKUP(Table8[[#This Row],[Campaign_Code]],tb3_CampaignMaster[Campaign_Code],tb3_CampaignMaster[Target_Audience],"")</f>
        <v>Regular Givers</v>
      </c>
      <c r="W344" s="17">
        <f>_xlfn.XLOOKUP(Table8[[#This Row],[Campaign_Code]],tb3_CampaignMaster[Campaign_Code],tb3_CampaignMaster[Start_Date],"")</f>
        <v>45717</v>
      </c>
      <c r="X344" s="17">
        <f>_xlfn.XLOOKUP(Table8[[#This Row],[Campaign_Code]],tb3_CampaignMaster[Campaign_Code],tb3_CampaignMaster[End_Date],"")</f>
        <v>45777</v>
      </c>
      <c r="Y344">
        <f>_xlfn.XLOOKUP(Table8[[#This Row],[Campaign_Code]],tb3_CampaignMaster[Campaign_Code],tb3_CampaignMaster[Budget_GBP],"")</f>
        <v>8000</v>
      </c>
      <c r="Z344" t="str">
        <f>_xlfn.XLOOKUP(Table8[[#This Row],[Campaign_Code]],tb3_CampaignMaster[Campaign_Code],tb3_CampaignMaster[Primary_Channel],"")</f>
        <v>Direct Mail</v>
      </c>
      <c r="AA344" s="13">
        <f>IF(Table8[[#This Row],[Gift_Aid_Eligible]]="Yes",Table8[[#This Row],[Gift_Amount]]*1.25,Table8[[#This Row],[Gift_Amount]])</f>
        <v>56.449999999999996</v>
      </c>
      <c r="AB344" t="str">
        <f>IF(Table8[[#This Row],[Supporter_ID]]="","Review - missing supporter ID","")</f>
        <v/>
      </c>
      <c r="AC344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344" t="str">
        <f>IF(Table8[[#This Row],[Campaign_Type]]="","Review - campaign code not found","")</f>
        <v/>
      </c>
    </row>
    <row r="345" spans="1:30" x14ac:dyDescent="0.25">
      <c r="A345" t="s">
        <v>3958</v>
      </c>
      <c r="B345" t="s">
        <v>374</v>
      </c>
      <c r="C345" t="s">
        <v>3336</v>
      </c>
      <c r="D345" t="s">
        <v>3337</v>
      </c>
      <c r="E345" t="s">
        <v>4</v>
      </c>
      <c r="F345" s="17">
        <v>45555</v>
      </c>
      <c r="G345">
        <v>21.29</v>
      </c>
      <c r="H345" t="s">
        <v>36</v>
      </c>
      <c r="I345" t="s">
        <v>3328</v>
      </c>
      <c r="J345" t="str">
        <f>_xlfn.XLOOKUP(Table8[[#This Row],[Supporter_ID]],tb1_supporters[Supporter_ID ],tb1_supporters[Segment],"")</f>
        <v>Regular Giver</v>
      </c>
      <c r="K345" t="str">
        <f>_xlfn.XLOOKUP(Table8[[#This Row],[Supporter_ID]],tb1_supporters[Supporter_ID ],tb1_supporters[Acquisition_Source],"")</f>
        <v>Event</v>
      </c>
      <c r="L345" t="str">
        <f>_xlfn.XLOOKUP(Table8[[#This Row],[Supporter_ID]],tb1_supporters[Supporter_ID ],tb1_supporters[County],"")</f>
        <v>Norfolk</v>
      </c>
      <c r="M345" t="str">
        <f>_xlfn.XLOOKUP(Table8[[#This Row],[Supporter_ID]],tb1_supporters[Supporter_ID ],tb1_supporters[Gender],"")</f>
        <v>Male</v>
      </c>
      <c r="N345">
        <f ca="1">_xlfn.XLOOKUP(Table8[[#This Row],[Supporter_ID]],tb1_supporters[Supporter_ID ],tb1_supporters[Age],"")</f>
        <v>53</v>
      </c>
      <c r="O345" t="str">
        <f ca="1">_xlfn.XLOOKUP(Table8[[#This Row],[Supporter_ID]],tb1_supporters[Supporter_ID ],tb1_supporters[Age_Band],"")</f>
        <v>50-64</v>
      </c>
      <c r="P345" t="str">
        <f ca="1">IF(Table8[[#This Row],[Age_Band]]="","Unknown",Table8[[#This Row],[Age_Band]])</f>
        <v>50-64</v>
      </c>
      <c r="Q345" t="str">
        <f>_xlfn.XLOOKUP(Table8[[#This Row],[Supporter_ID]],tb1_supporters[Supporter_ID ],tb1_supporters[Communication_Preference],"")</f>
        <v>Post</v>
      </c>
      <c r="R345" t="str">
        <f>_xlfn.XLOOKUP(Table8[[#This Row],[Supporter_ID]],tb1_supporters[Supporter_ID ],tb1_supporters[Duplicate_Profile_Flag],"")</f>
        <v/>
      </c>
      <c r="S345" t="str">
        <f>_xlfn.XLOOKUP(Table8[[#This Row],[Supporter_ID]],tb1_supporters[Supporter_ID ],tb1_supporters[Preference_Compliance_Flag],"")</f>
        <v/>
      </c>
      <c r="T345" t="str">
        <f ca="1">IF(Table8[[#This Row],[Age]]="","Review - missing DOB",IF(Table8[[#This Row],[Age]]&gt;TODAY(),"Review - future DOB",IF(Table8[[#This Row],[Age]]=0,"Review -  potential entry error (age 0)","")))</f>
        <v/>
      </c>
      <c r="U345" t="str">
        <f>_xlfn.XLOOKUP(Table8[[#This Row],[Campaign_Code]],tb3_CampaignMaster[Campaign_Code],tb3_CampaignMaster[Campaign_Type],"")</f>
        <v>Appeal</v>
      </c>
      <c r="V345" t="str">
        <f>_xlfn.XLOOKUP(Table8[[#This Row],[Campaign_Code]],tb3_CampaignMaster[Campaign_Code],tb3_CampaignMaster[Target_Audience],"")</f>
        <v>All Supporters</v>
      </c>
      <c r="W345" s="17">
        <f>_xlfn.XLOOKUP(Table8[[#This Row],[Campaign_Code]],tb3_CampaignMaster[Campaign_Code],tb3_CampaignMaster[Start_Date],"")</f>
        <v>45545</v>
      </c>
      <c r="X345" s="17">
        <f>_xlfn.XLOOKUP(Table8[[#This Row],[Campaign_Code]],tb3_CampaignMaster[Campaign_Code],tb3_CampaignMaster[End_Date],"")</f>
        <v>45580</v>
      </c>
      <c r="Y345">
        <f>_xlfn.XLOOKUP(Table8[[#This Row],[Campaign_Code]],tb3_CampaignMaster[Campaign_Code],tb3_CampaignMaster[Budget_GBP],"")</f>
        <v>15000</v>
      </c>
      <c r="Z345" t="str">
        <f>_xlfn.XLOOKUP(Table8[[#This Row],[Campaign_Code]],tb3_CampaignMaster[Campaign_Code],tb3_CampaignMaster[Primary_Channel],"")</f>
        <v>Email</v>
      </c>
      <c r="AA345" s="13">
        <f>IF(Table8[[#This Row],[Gift_Aid_Eligible]]="Yes",Table8[[#This Row],[Gift_Amount]]*1.25,Table8[[#This Row],[Gift_Amount]])</f>
        <v>26.612499999999997</v>
      </c>
      <c r="AB345" t="str">
        <f>IF(Table8[[#This Row],[Supporter_ID]]="","Review - missing supporter ID","")</f>
        <v/>
      </c>
      <c r="AC345" t="str">
        <f>IF(OR(Table8[[#This Row],[Response_Date]]&lt;Table8[[#This Row],[Start_Date]],Table8[[#This Row],[Response_Date]]&gt;Table8[[#This Row],[End_Date]]),"Review - response outside campaign dates","")</f>
        <v/>
      </c>
      <c r="AD345" t="str">
        <f>IF(Table8[[#This Row],[Campaign_Type]]="","Review - campaign code not found","")</f>
        <v/>
      </c>
    </row>
    <row r="346" spans="1:30" x14ac:dyDescent="0.25">
      <c r="A346" t="s">
        <v>3960</v>
      </c>
      <c r="B346" t="s">
        <v>3026</v>
      </c>
      <c r="C346" t="s">
        <v>3341</v>
      </c>
      <c r="D346" t="s">
        <v>3342</v>
      </c>
      <c r="E346" t="s">
        <v>4</v>
      </c>
      <c r="F346" s="17">
        <v>45810</v>
      </c>
      <c r="G346">
        <v>11.46</v>
      </c>
      <c r="H346" t="s">
        <v>37</v>
      </c>
      <c r="I346" t="s">
        <v>3318</v>
      </c>
      <c r="J346" t="str">
        <f>_xlfn.XLOOKUP(Table8[[#This Row],[Supporter_ID]],tb1_supporters[Supporter_ID ],tb1_supporters[Segment],"")</f>
        <v>One-Time Donor</v>
      </c>
      <c r="K346" t="str">
        <f>_xlfn.XLOOKUP(Table8[[#This Row],[Supporter_ID]],tb1_supporters[Supporter_ID ],tb1_supporters[Acquisition_Source],"")</f>
        <v>Event</v>
      </c>
      <c r="L346" t="str">
        <f>_xlfn.XLOOKUP(Table8[[#This Row],[Supporter_ID]],tb1_supporters[Supporter_ID ],tb1_supporters[County],"")</f>
        <v>West Midlands</v>
      </c>
      <c r="M346" t="str">
        <f>_xlfn.XLOOKUP(Table8[[#This Row],[Supporter_ID]],tb1_supporters[Supporter_ID ],tb1_supporters[Gender],"")</f>
        <v>Male</v>
      </c>
      <c r="N346">
        <f ca="1">_xlfn.XLOOKUP(Table8[[#This Row],[Supporter_ID]],tb1_supporters[Supporter_ID ],tb1_supporters[Age],"")</f>
        <v>64</v>
      </c>
      <c r="O346" t="str">
        <f ca="1">_xlfn.XLOOKUP(Table8[[#This Row],[Supporter_ID]],tb1_supporters[Supporter_ID ],tb1_supporters[Age_Band],"")</f>
        <v>50-64</v>
      </c>
      <c r="P346" t="str">
        <f ca="1">IF(Table8[[#This Row],[Age_Band]]="","Unknown",Table8[[#This Row],[Age_Band]])</f>
        <v>50-64</v>
      </c>
      <c r="Q346" t="str">
        <f>_xlfn.XLOOKUP(Table8[[#This Row],[Supporter_ID]],tb1_supporters[Supporter_ID ],tb1_supporters[Communication_Preference],"")</f>
        <v>Email</v>
      </c>
      <c r="R346" t="str">
        <f>_xlfn.XLOOKUP(Table8[[#This Row],[Supporter_ID]],tb1_supporters[Supporter_ID ],tb1_supporters[Duplicate_Profile_Flag],"")</f>
        <v/>
      </c>
      <c r="S346" t="str">
        <f>_xlfn.XLOOKUP(Table8[[#This Row],[Supporter_ID]],tb1_supporters[Supporter_ID ],tb1_supporters[Preference_Compliance_Flag],"")</f>
        <v>Review - prefers email but not opted in</v>
      </c>
      <c r="T346" t="str">
        <f ca="1">IF(Table8[[#This Row],[Age]]="","Review - missing DOB",IF(Table8[[#This Row],[Age]]&gt;TODAY(),"Review - future DOB",IF(Table8[[#This Row],[Age]]=0,"Review -  potential entry error (age 0)","")))</f>
        <v/>
      </c>
      <c r="U346" t="str">
        <f>_xlfn.XLOOKUP(Table8[[#This Row],[Campaign_Code]],tb3_CampaignMaster[Campaign_Code],tb3_CampaignMaster[Campaign_Type],"")</f>
        <v>Acquisition</v>
      </c>
      <c r="V346" t="str">
        <f>_xlfn.XLOOKUP(Table8[[#This Row],[Campaign_Code]],tb3_CampaignMaster[Campaign_Code],tb3_CampaignMaster[Target_Audience],"")</f>
        <v>Prospects</v>
      </c>
      <c r="W346" s="17">
        <f>_xlfn.XLOOKUP(Table8[[#This Row],[Campaign_Code]],tb3_CampaignMaster[Campaign_Code],tb3_CampaignMaster[Start_Date],"")</f>
        <v>45689</v>
      </c>
      <c r="X346" s="17">
        <f>_xlfn.XLOOKUP(Table8[[#This Row],[Campaign_Code]],tb3_CampaignMaster[Campaign_Code],tb3_CampaignMaster[End_Date],"")</f>
        <v>45777</v>
      </c>
      <c r="Y346">
        <f>_xlfn.XLOOKUP(Table8[[#This Row],[Campaign_Code]],tb3_CampaignMaster[Campaign_Code],tb3_CampaignMaster[Budget_GBP],"")</f>
        <v>20000</v>
      </c>
      <c r="Z346" t="str">
        <f>_xlfn.XLOOKUP(Table8[[#This Row],[Campaign_Code]],tb3_CampaignMaster[Campaign_Code],tb3_CampaignMaster[Primary_Channel],"")</f>
        <v>Digital</v>
      </c>
      <c r="AA346" s="13">
        <f>IF(Table8[[#This Row],[Gift_Aid_Eligible]]="Yes",Table8[[#This Row],[Gift_Amount]]*1.25,Table8[[#This Row],[Gift_Amount]])</f>
        <v>11.46</v>
      </c>
      <c r="AB346" t="str">
        <f>IF(Table8[[#This Row],[Supporter_ID]]="","Review - missing supporter ID","")</f>
        <v/>
      </c>
      <c r="AC346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346" t="str">
        <f>IF(Table8[[#This Row],[Campaign_Type]]="","Review - campaign code not found","")</f>
        <v/>
      </c>
    </row>
    <row r="347" spans="1:30" x14ac:dyDescent="0.25">
      <c r="A347" t="s">
        <v>3962</v>
      </c>
      <c r="B347" t="s">
        <v>1650</v>
      </c>
      <c r="C347" t="s">
        <v>3427</v>
      </c>
      <c r="D347" t="s">
        <v>3428</v>
      </c>
      <c r="E347" t="s">
        <v>65</v>
      </c>
      <c r="F347" s="17">
        <v>45488</v>
      </c>
      <c r="G347">
        <v>18.809999999999999</v>
      </c>
      <c r="H347" t="s">
        <v>36</v>
      </c>
      <c r="I347" t="s">
        <v>3331</v>
      </c>
      <c r="J347" t="str">
        <f>_xlfn.XLOOKUP(Table8[[#This Row],[Supporter_ID]],tb1_supporters[Supporter_ID ],tb1_supporters[Segment],"")</f>
        <v>Regular Giver</v>
      </c>
      <c r="K347" t="str">
        <f>_xlfn.XLOOKUP(Table8[[#This Row],[Supporter_ID]],tb1_supporters[Supporter_ID ],tb1_supporters[Acquisition_Source],"")</f>
        <v>Door-To-Door</v>
      </c>
      <c r="L347" t="str">
        <f>_xlfn.XLOOKUP(Table8[[#This Row],[Supporter_ID]],tb1_supporters[Supporter_ID ],tb1_supporters[County],"")</f>
        <v>Gloucestershire</v>
      </c>
      <c r="M347" t="str">
        <f>_xlfn.XLOOKUP(Table8[[#This Row],[Supporter_ID]],tb1_supporters[Supporter_ID ],tb1_supporters[Gender],"")</f>
        <v>Female</v>
      </c>
      <c r="N347">
        <f ca="1">_xlfn.XLOOKUP(Table8[[#This Row],[Supporter_ID]],tb1_supporters[Supporter_ID ],tb1_supporters[Age],"")</f>
        <v>56</v>
      </c>
      <c r="O347" t="str">
        <f ca="1">_xlfn.XLOOKUP(Table8[[#This Row],[Supporter_ID]],tb1_supporters[Supporter_ID ],tb1_supporters[Age_Band],"")</f>
        <v>50-64</v>
      </c>
      <c r="P347" t="str">
        <f ca="1">IF(Table8[[#This Row],[Age_Band]]="","Unknown",Table8[[#This Row],[Age_Band]])</f>
        <v>50-64</v>
      </c>
      <c r="Q347" t="str">
        <f>_xlfn.XLOOKUP(Table8[[#This Row],[Supporter_ID]],tb1_supporters[Supporter_ID ],tb1_supporters[Communication_Preference],"")</f>
        <v>Email</v>
      </c>
      <c r="R347" t="str">
        <f>_xlfn.XLOOKUP(Table8[[#This Row],[Supporter_ID]],tb1_supporters[Supporter_ID ],tb1_supporters[Duplicate_Profile_Flag],"")</f>
        <v/>
      </c>
      <c r="S347" t="str">
        <f>_xlfn.XLOOKUP(Table8[[#This Row],[Supporter_ID]],tb1_supporters[Supporter_ID ],tb1_supporters[Preference_Compliance_Flag],"")</f>
        <v/>
      </c>
      <c r="T347" t="str">
        <f ca="1">IF(Table8[[#This Row],[Age]]="","Review - missing DOB",IF(Table8[[#This Row],[Age]]&gt;TODAY(),"Review - future DOB",IF(Table8[[#This Row],[Age]]=0,"Review -  potential entry error (age 0)","")))</f>
        <v/>
      </c>
      <c r="U347" t="str">
        <f>_xlfn.XLOOKUP(Table8[[#This Row],[Campaign_Code]],tb3_CampaignMaster[Campaign_Code],tb3_CampaignMaster[Campaign_Type],"")</f>
        <v>Event</v>
      </c>
      <c r="V347" t="str">
        <f>_xlfn.XLOOKUP(Table8[[#This Row],[Campaign_Code]],tb3_CampaignMaster[Campaign_Code],tb3_CampaignMaster[Target_Audience],"")</f>
        <v>Major Donors</v>
      </c>
      <c r="W347" s="17">
        <f>_xlfn.XLOOKUP(Table8[[#This Row],[Campaign_Code]],tb3_CampaignMaster[Campaign_Code],tb3_CampaignMaster[Start_Date],"")</f>
        <v>45488</v>
      </c>
      <c r="X347" s="17">
        <f>_xlfn.XLOOKUP(Table8[[#This Row],[Campaign_Code]],tb3_CampaignMaster[Campaign_Code],tb3_CampaignMaster[End_Date],"")</f>
        <v>45488</v>
      </c>
      <c r="Y347">
        <f>_xlfn.XLOOKUP(Table8[[#This Row],[Campaign_Code]],tb3_CampaignMaster[Campaign_Code],tb3_CampaignMaster[Budget_GBP],"")</f>
        <v>45000</v>
      </c>
      <c r="Z347" t="str">
        <f>_xlfn.XLOOKUP(Table8[[#This Row],[Campaign_Code]],tb3_CampaignMaster[Campaign_Code],tb3_CampaignMaster[Primary_Channel],"")</f>
        <v>Direct Mail</v>
      </c>
      <c r="AA347" s="13">
        <f>IF(Table8[[#This Row],[Gift_Aid_Eligible]]="Yes",Table8[[#This Row],[Gift_Amount]]*1.25,Table8[[#This Row],[Gift_Amount]])</f>
        <v>23.512499999999999</v>
      </c>
      <c r="AB347" t="str">
        <f>IF(Table8[[#This Row],[Supporter_ID]]="","Review - missing supporter ID","")</f>
        <v/>
      </c>
      <c r="AC347" t="str">
        <f>IF(OR(Table8[[#This Row],[Response_Date]]&lt;Table8[[#This Row],[Start_Date]],Table8[[#This Row],[Response_Date]]&gt;Table8[[#This Row],[End_Date]]),"Review - response outside campaign dates","")</f>
        <v/>
      </c>
      <c r="AD347" t="str">
        <f>IF(Table8[[#This Row],[Campaign_Type]]="","Review - campaign code not found","")</f>
        <v/>
      </c>
    </row>
    <row r="348" spans="1:30" x14ac:dyDescent="0.25">
      <c r="A348" t="s">
        <v>3963</v>
      </c>
      <c r="B348" t="s">
        <v>2894</v>
      </c>
      <c r="C348" t="s">
        <v>3320</v>
      </c>
      <c r="D348" t="s">
        <v>3321</v>
      </c>
      <c r="E348" t="s">
        <v>4</v>
      </c>
      <c r="F348" s="17">
        <v>45449</v>
      </c>
      <c r="G348">
        <v>100.49</v>
      </c>
      <c r="H348" t="s">
        <v>37</v>
      </c>
      <c r="I348" t="s">
        <v>3370</v>
      </c>
      <c r="J348" t="str">
        <f>_xlfn.XLOOKUP(Table8[[#This Row],[Supporter_ID]],tb1_supporters[Supporter_ID ],tb1_supporters[Segment],"")</f>
        <v>One-Time Donor</v>
      </c>
      <c r="K348" t="str">
        <f>_xlfn.XLOOKUP(Table8[[#This Row],[Supporter_ID]],tb1_supporters[Supporter_ID ],tb1_supporters[Acquisition_Source],"")</f>
        <v>Corporate Partner</v>
      </c>
      <c r="L348" t="str">
        <f>_xlfn.XLOOKUP(Table8[[#This Row],[Supporter_ID]],tb1_supporters[Supporter_ID ],tb1_supporters[County],"")</f>
        <v>Norfolk</v>
      </c>
      <c r="M348" t="str">
        <f>_xlfn.XLOOKUP(Table8[[#This Row],[Supporter_ID]],tb1_supporters[Supporter_ID ],tb1_supporters[Gender],"")</f>
        <v>Female</v>
      </c>
      <c r="N348">
        <f ca="1">_xlfn.XLOOKUP(Table8[[#This Row],[Supporter_ID]],tb1_supporters[Supporter_ID ],tb1_supporters[Age],"")</f>
        <v>31</v>
      </c>
      <c r="O348" t="str">
        <f ca="1">_xlfn.XLOOKUP(Table8[[#This Row],[Supporter_ID]],tb1_supporters[Supporter_ID ],tb1_supporters[Age_Band],"")</f>
        <v>18-34</v>
      </c>
      <c r="P348" t="str">
        <f ca="1">IF(Table8[[#This Row],[Age_Band]]="","Unknown",Table8[[#This Row],[Age_Band]])</f>
        <v>18-34</v>
      </c>
      <c r="Q348" t="str">
        <f>_xlfn.XLOOKUP(Table8[[#This Row],[Supporter_ID]],tb1_supporters[Supporter_ID ],tb1_supporters[Communication_Preference],"")</f>
        <v>No Preference</v>
      </c>
      <c r="R348" t="str">
        <f>_xlfn.XLOOKUP(Table8[[#This Row],[Supporter_ID]],tb1_supporters[Supporter_ID ],tb1_supporters[Duplicate_Profile_Flag],"")</f>
        <v/>
      </c>
      <c r="S348" t="str">
        <f>_xlfn.XLOOKUP(Table8[[#This Row],[Supporter_ID]],tb1_supporters[Supporter_ID ],tb1_supporters[Preference_Compliance_Flag],"")</f>
        <v/>
      </c>
      <c r="T348" t="str">
        <f ca="1">IF(Table8[[#This Row],[Age]]="","Review - missing DOB",IF(Table8[[#This Row],[Age]]&gt;TODAY(),"Review - future DOB",IF(Table8[[#This Row],[Age]]=0,"Review -  potential entry error (age 0)","")))</f>
        <v/>
      </c>
      <c r="U348" t="str">
        <f>_xlfn.XLOOKUP(Table8[[#This Row],[Campaign_Code]],tb3_CampaignMaster[Campaign_Code],tb3_CampaignMaster[Campaign_Type],"")</f>
        <v>Stewardship</v>
      </c>
      <c r="V348" t="str">
        <f>_xlfn.XLOOKUP(Table8[[#This Row],[Campaign_Code]],tb3_CampaignMaster[Campaign_Code],tb3_CampaignMaster[Target_Audience],"")</f>
        <v>Major Donors</v>
      </c>
      <c r="W348" s="17">
        <f>_xlfn.XLOOKUP(Table8[[#This Row],[Campaign_Code]],tb3_CampaignMaster[Campaign_Code],tb3_CampaignMaster[Start_Date],"")</f>
        <v>45444</v>
      </c>
      <c r="X348" s="17">
        <f>_xlfn.XLOOKUP(Table8[[#This Row],[Campaign_Code]],tb3_CampaignMaster[Campaign_Code],tb3_CampaignMaster[End_Date],"")</f>
        <v>45473</v>
      </c>
      <c r="Y348">
        <f>_xlfn.XLOOKUP(Table8[[#This Row],[Campaign_Code]],tb3_CampaignMaster[Campaign_Code],tb3_CampaignMaster[Budget_GBP],"")</f>
        <v>7000</v>
      </c>
      <c r="Z348" t="str">
        <f>_xlfn.XLOOKUP(Table8[[#This Row],[Campaign_Code]],tb3_CampaignMaster[Campaign_Code],tb3_CampaignMaster[Primary_Channel],"")</f>
        <v>Direct Mail</v>
      </c>
      <c r="AA348" s="13">
        <f>IF(Table8[[#This Row],[Gift_Aid_Eligible]]="Yes",Table8[[#This Row],[Gift_Amount]]*1.25,Table8[[#This Row],[Gift_Amount]])</f>
        <v>100.49</v>
      </c>
      <c r="AB348" t="str">
        <f>IF(Table8[[#This Row],[Supporter_ID]]="","Review - missing supporter ID","")</f>
        <v/>
      </c>
      <c r="AC348" t="str">
        <f>IF(OR(Table8[[#This Row],[Response_Date]]&lt;Table8[[#This Row],[Start_Date]],Table8[[#This Row],[Response_Date]]&gt;Table8[[#This Row],[End_Date]]),"Review - response outside campaign dates","")</f>
        <v/>
      </c>
      <c r="AD348" t="str">
        <f>IF(Table8[[#This Row],[Campaign_Type]]="","Review - campaign code not found","")</f>
        <v/>
      </c>
    </row>
    <row r="349" spans="1:30" x14ac:dyDescent="0.25">
      <c r="A349" t="s">
        <v>3965</v>
      </c>
      <c r="B349" t="s">
        <v>471</v>
      </c>
      <c r="C349" t="s">
        <v>3320</v>
      </c>
      <c r="D349" t="s">
        <v>3321</v>
      </c>
      <c r="E349" t="s">
        <v>4</v>
      </c>
      <c r="F349" s="17">
        <v>45468</v>
      </c>
      <c r="G349">
        <v>217.45</v>
      </c>
      <c r="H349" t="s">
        <v>36</v>
      </c>
      <c r="I349" t="s">
        <v>3331</v>
      </c>
      <c r="J349" t="str">
        <f>_xlfn.XLOOKUP(Table8[[#This Row],[Supporter_ID]],tb1_supporters[Supporter_ID ],tb1_supporters[Segment],"")</f>
        <v>Legacy Pledger</v>
      </c>
      <c r="K349" t="str">
        <f>_xlfn.XLOOKUP(Table8[[#This Row],[Supporter_ID]],tb1_supporters[Supporter_ID ],tb1_supporters[Acquisition_Source],"")</f>
        <v>Referral</v>
      </c>
      <c r="L349" t="str">
        <f>_xlfn.XLOOKUP(Table8[[#This Row],[Supporter_ID]],tb1_supporters[Supporter_ID ],tb1_supporters[County],"")</f>
        <v>Leicestershire</v>
      </c>
      <c r="M349" t="str">
        <f>_xlfn.XLOOKUP(Table8[[#This Row],[Supporter_ID]],tb1_supporters[Supporter_ID ],tb1_supporters[Gender],"")</f>
        <v>Female</v>
      </c>
      <c r="N349">
        <f ca="1">_xlfn.XLOOKUP(Table8[[#This Row],[Supporter_ID]],tb1_supporters[Supporter_ID ],tb1_supporters[Age],"")</f>
        <v>96</v>
      </c>
      <c r="O349" t="str">
        <f ca="1">_xlfn.XLOOKUP(Table8[[#This Row],[Supporter_ID]],tb1_supporters[Supporter_ID ],tb1_supporters[Age_Band],"")</f>
        <v>65+</v>
      </c>
      <c r="P349" t="str">
        <f ca="1">IF(Table8[[#This Row],[Age_Band]]="","Unknown",Table8[[#This Row],[Age_Band]])</f>
        <v>65+</v>
      </c>
      <c r="Q349" t="str">
        <f>_xlfn.XLOOKUP(Table8[[#This Row],[Supporter_ID]],tb1_supporters[Supporter_ID ],tb1_supporters[Communication_Preference],"")</f>
        <v>Post</v>
      </c>
      <c r="R349" t="str">
        <f>_xlfn.XLOOKUP(Table8[[#This Row],[Supporter_ID]],tb1_supporters[Supporter_ID ],tb1_supporters[Duplicate_Profile_Flag],"")</f>
        <v>Review - duplicate record, see Supporter_Duplicates tab</v>
      </c>
      <c r="S349" t="str">
        <f>_xlfn.XLOOKUP(Table8[[#This Row],[Supporter_ID]],tb1_supporters[Supporter_ID ],tb1_supporters[Preference_Compliance_Flag],"")</f>
        <v>Review - prefers post but not opted in</v>
      </c>
      <c r="T349" t="str">
        <f ca="1">IF(Table8[[#This Row],[Age]]="","Review - missing DOB",IF(Table8[[#This Row],[Age]]&gt;TODAY(),"Review - future DOB",IF(Table8[[#This Row],[Age]]=0,"Review -  potential entry error (age 0)","")))</f>
        <v/>
      </c>
      <c r="U349" t="str">
        <f>_xlfn.XLOOKUP(Table8[[#This Row],[Campaign_Code]],tb3_CampaignMaster[Campaign_Code],tb3_CampaignMaster[Campaign_Type],"")</f>
        <v>Stewardship</v>
      </c>
      <c r="V349" t="str">
        <f>_xlfn.XLOOKUP(Table8[[#This Row],[Campaign_Code]],tb3_CampaignMaster[Campaign_Code],tb3_CampaignMaster[Target_Audience],"")</f>
        <v>Major Donors</v>
      </c>
      <c r="W349" s="17">
        <f>_xlfn.XLOOKUP(Table8[[#This Row],[Campaign_Code]],tb3_CampaignMaster[Campaign_Code],tb3_CampaignMaster[Start_Date],"")</f>
        <v>45444</v>
      </c>
      <c r="X349" s="17">
        <f>_xlfn.XLOOKUP(Table8[[#This Row],[Campaign_Code]],tb3_CampaignMaster[Campaign_Code],tb3_CampaignMaster[End_Date],"")</f>
        <v>45473</v>
      </c>
      <c r="Y349">
        <f>_xlfn.XLOOKUP(Table8[[#This Row],[Campaign_Code]],tb3_CampaignMaster[Campaign_Code],tb3_CampaignMaster[Budget_GBP],"")</f>
        <v>7000</v>
      </c>
      <c r="Z349" t="str">
        <f>_xlfn.XLOOKUP(Table8[[#This Row],[Campaign_Code]],tb3_CampaignMaster[Campaign_Code],tb3_CampaignMaster[Primary_Channel],"")</f>
        <v>Direct Mail</v>
      </c>
      <c r="AA349" s="13">
        <f>IF(Table8[[#This Row],[Gift_Aid_Eligible]]="Yes",Table8[[#This Row],[Gift_Amount]]*1.25,Table8[[#This Row],[Gift_Amount]])</f>
        <v>271.8125</v>
      </c>
      <c r="AB349" t="str">
        <f>IF(Table8[[#This Row],[Supporter_ID]]="","Review - missing supporter ID","")</f>
        <v/>
      </c>
      <c r="AC349" t="str">
        <f>IF(OR(Table8[[#This Row],[Response_Date]]&lt;Table8[[#This Row],[Start_Date]],Table8[[#This Row],[Response_Date]]&gt;Table8[[#This Row],[End_Date]]),"Review - response outside campaign dates","")</f>
        <v/>
      </c>
      <c r="AD349" t="str">
        <f>IF(Table8[[#This Row],[Campaign_Type]]="","Review - campaign code not found","")</f>
        <v/>
      </c>
    </row>
    <row r="350" spans="1:30" x14ac:dyDescent="0.25">
      <c r="A350" t="s">
        <v>3967</v>
      </c>
      <c r="B350" t="s">
        <v>2034</v>
      </c>
      <c r="C350" t="s">
        <v>3341</v>
      </c>
      <c r="D350" t="s">
        <v>3342</v>
      </c>
      <c r="E350" t="s">
        <v>3316</v>
      </c>
      <c r="F350" s="17">
        <v>45757</v>
      </c>
      <c r="G350">
        <v>13.34</v>
      </c>
      <c r="H350" t="s">
        <v>37</v>
      </c>
      <c r="I350" t="s">
        <v>3323</v>
      </c>
      <c r="J350" t="str">
        <f>_xlfn.XLOOKUP(Table8[[#This Row],[Supporter_ID]],tb1_supporters[Supporter_ID ],tb1_supporters[Segment],"")</f>
        <v>Prospect</v>
      </c>
      <c r="K350" t="str">
        <f>_xlfn.XLOOKUP(Table8[[#This Row],[Supporter_ID]],tb1_supporters[Supporter_ID ],tb1_supporters[Acquisition_Source],"")</f>
        <v>Social Media</v>
      </c>
      <c r="L350" t="str">
        <f>_xlfn.XLOOKUP(Table8[[#This Row],[Supporter_ID]],tb1_supporters[Supporter_ID ],tb1_supporters[County],"")</f>
        <v>Surrey</v>
      </c>
      <c r="M350" t="str">
        <f>_xlfn.XLOOKUP(Table8[[#This Row],[Supporter_ID]],tb1_supporters[Supporter_ID ],tb1_supporters[Gender],"")</f>
        <v>Male</v>
      </c>
      <c r="N350">
        <f ca="1">_xlfn.XLOOKUP(Table8[[#This Row],[Supporter_ID]],tb1_supporters[Supporter_ID ],tb1_supporters[Age],"")</f>
        <v>48</v>
      </c>
      <c r="O350" t="str">
        <f ca="1">_xlfn.XLOOKUP(Table8[[#This Row],[Supporter_ID]],tb1_supporters[Supporter_ID ],tb1_supporters[Age_Band],"")</f>
        <v>35-49</v>
      </c>
      <c r="P350" t="str">
        <f ca="1">IF(Table8[[#This Row],[Age_Band]]="","Unknown",Table8[[#This Row],[Age_Band]])</f>
        <v>35-49</v>
      </c>
      <c r="Q350" t="str">
        <f>_xlfn.XLOOKUP(Table8[[#This Row],[Supporter_ID]],tb1_supporters[Supporter_ID ],tb1_supporters[Communication_Preference],"")</f>
        <v>Phone</v>
      </c>
      <c r="R350" t="str">
        <f>_xlfn.XLOOKUP(Table8[[#This Row],[Supporter_ID]],tb1_supporters[Supporter_ID ],tb1_supporters[Duplicate_Profile_Flag],"")</f>
        <v/>
      </c>
      <c r="S350" t="str">
        <f>_xlfn.XLOOKUP(Table8[[#This Row],[Supporter_ID]],tb1_supporters[Supporter_ID ],tb1_supporters[Preference_Compliance_Flag],"")</f>
        <v/>
      </c>
      <c r="T350" t="str">
        <f ca="1">IF(Table8[[#This Row],[Age]]="","Review - missing DOB",IF(Table8[[#This Row],[Age]]&gt;TODAY(),"Review - future DOB",IF(Table8[[#This Row],[Age]]=0,"Review -  potential entry error (age 0)","")))</f>
        <v/>
      </c>
      <c r="U350" t="str">
        <f>_xlfn.XLOOKUP(Table8[[#This Row],[Campaign_Code]],tb3_CampaignMaster[Campaign_Code],tb3_CampaignMaster[Campaign_Type],"")</f>
        <v>Acquisition</v>
      </c>
      <c r="V350" t="str">
        <f>_xlfn.XLOOKUP(Table8[[#This Row],[Campaign_Code]],tb3_CampaignMaster[Campaign_Code],tb3_CampaignMaster[Target_Audience],"")</f>
        <v>Prospects</v>
      </c>
      <c r="W350" s="17">
        <f>_xlfn.XLOOKUP(Table8[[#This Row],[Campaign_Code]],tb3_CampaignMaster[Campaign_Code],tb3_CampaignMaster[Start_Date],"")</f>
        <v>45689</v>
      </c>
      <c r="X350" s="17">
        <f>_xlfn.XLOOKUP(Table8[[#This Row],[Campaign_Code]],tb3_CampaignMaster[Campaign_Code],tb3_CampaignMaster[End_Date],"")</f>
        <v>45777</v>
      </c>
      <c r="Y350">
        <f>_xlfn.XLOOKUP(Table8[[#This Row],[Campaign_Code]],tb3_CampaignMaster[Campaign_Code],tb3_CampaignMaster[Budget_GBP],"")</f>
        <v>20000</v>
      </c>
      <c r="Z350" t="str">
        <f>_xlfn.XLOOKUP(Table8[[#This Row],[Campaign_Code]],tb3_CampaignMaster[Campaign_Code],tb3_CampaignMaster[Primary_Channel],"")</f>
        <v>Digital</v>
      </c>
      <c r="AA350" s="13">
        <f>IF(Table8[[#This Row],[Gift_Aid_Eligible]]="Yes",Table8[[#This Row],[Gift_Amount]]*1.25,Table8[[#This Row],[Gift_Amount]])</f>
        <v>13.34</v>
      </c>
      <c r="AB350" t="str">
        <f>IF(Table8[[#This Row],[Supporter_ID]]="","Review - missing supporter ID","")</f>
        <v/>
      </c>
      <c r="AC350" t="str">
        <f>IF(OR(Table8[[#This Row],[Response_Date]]&lt;Table8[[#This Row],[Start_Date]],Table8[[#This Row],[Response_Date]]&gt;Table8[[#This Row],[End_Date]]),"Review - response outside campaign dates","")</f>
        <v/>
      </c>
      <c r="AD350" t="str">
        <f>IF(Table8[[#This Row],[Campaign_Type]]="","Review - campaign code not found","")</f>
        <v/>
      </c>
    </row>
    <row r="351" spans="1:30" x14ac:dyDescent="0.25">
      <c r="A351" t="s">
        <v>3969</v>
      </c>
      <c r="B351" t="s">
        <v>3083</v>
      </c>
      <c r="C351" t="s">
        <v>3367</v>
      </c>
      <c r="D351" t="s">
        <v>3368</v>
      </c>
      <c r="E351" t="s">
        <v>65</v>
      </c>
      <c r="F351" s="17">
        <v>45748</v>
      </c>
      <c r="G351">
        <v>13.52</v>
      </c>
      <c r="H351" t="s">
        <v>37</v>
      </c>
      <c r="I351" t="s">
        <v>3323</v>
      </c>
      <c r="J351" t="str">
        <f>_xlfn.XLOOKUP(Table8[[#This Row],[Supporter_ID]],tb1_supporters[Supporter_ID ],tb1_supporters[Segment],"")</f>
        <v>Prospect</v>
      </c>
      <c r="K351" t="str">
        <f>_xlfn.XLOOKUP(Table8[[#This Row],[Supporter_ID]],tb1_supporters[Supporter_ID ],tb1_supporters[Acquisition_Source],"")</f>
        <v>Event</v>
      </c>
      <c r="L351" t="str">
        <f>_xlfn.XLOOKUP(Table8[[#This Row],[Supporter_ID]],tb1_supporters[Supporter_ID ],tb1_supporters[County],"")</f>
        <v>Buckinghamshire</v>
      </c>
      <c r="M351" t="str">
        <f>_xlfn.XLOOKUP(Table8[[#This Row],[Supporter_ID]],tb1_supporters[Supporter_ID ],tb1_supporters[Gender],"")</f>
        <v>Male</v>
      </c>
      <c r="N351">
        <f ca="1">_xlfn.XLOOKUP(Table8[[#This Row],[Supporter_ID]],tb1_supporters[Supporter_ID ],tb1_supporters[Age],"")</f>
        <v>66</v>
      </c>
      <c r="O351" t="str">
        <f ca="1">_xlfn.XLOOKUP(Table8[[#This Row],[Supporter_ID]],tb1_supporters[Supporter_ID ],tb1_supporters[Age_Band],"")</f>
        <v>65+</v>
      </c>
      <c r="P351" t="str">
        <f ca="1">IF(Table8[[#This Row],[Age_Band]]="","Unknown",Table8[[#This Row],[Age_Band]])</f>
        <v>65+</v>
      </c>
      <c r="Q351" t="str">
        <f>_xlfn.XLOOKUP(Table8[[#This Row],[Supporter_ID]],tb1_supporters[Supporter_ID ],tb1_supporters[Communication_Preference],"")</f>
        <v>Email</v>
      </c>
      <c r="R351" t="str">
        <f>_xlfn.XLOOKUP(Table8[[#This Row],[Supporter_ID]],tb1_supporters[Supporter_ID ],tb1_supporters[Duplicate_Profile_Flag],"")</f>
        <v/>
      </c>
      <c r="S351" t="str">
        <f>_xlfn.XLOOKUP(Table8[[#This Row],[Supporter_ID]],tb1_supporters[Supporter_ID ],tb1_supporters[Preference_Compliance_Flag],"")</f>
        <v/>
      </c>
      <c r="T351" t="str">
        <f ca="1">IF(Table8[[#This Row],[Age]]="","Review - missing DOB",IF(Table8[[#This Row],[Age]]&gt;TODAY(),"Review - future DOB",IF(Table8[[#This Row],[Age]]=0,"Review -  potential entry error (age 0)","")))</f>
        <v/>
      </c>
      <c r="U351" t="str">
        <f>_xlfn.XLOOKUP(Table8[[#This Row],[Campaign_Code]],tb3_CampaignMaster[Campaign_Code],tb3_CampaignMaster[Campaign_Type],"")</f>
        <v>Raffle</v>
      </c>
      <c r="V351" t="str">
        <f>_xlfn.XLOOKUP(Table8[[#This Row],[Campaign_Code]],tb3_CampaignMaster[Campaign_Code],tb3_CampaignMaster[Target_Audience],"")</f>
        <v>Regular Givers</v>
      </c>
      <c r="W351" s="17">
        <f>_xlfn.XLOOKUP(Table8[[#This Row],[Campaign_Code]],tb3_CampaignMaster[Campaign_Code],tb3_CampaignMaster[Start_Date],"")</f>
        <v>45717</v>
      </c>
      <c r="X351" s="17">
        <f>_xlfn.XLOOKUP(Table8[[#This Row],[Campaign_Code]],tb3_CampaignMaster[Campaign_Code],tb3_CampaignMaster[End_Date],"")</f>
        <v>45777</v>
      </c>
      <c r="Y351">
        <f>_xlfn.XLOOKUP(Table8[[#This Row],[Campaign_Code]],tb3_CampaignMaster[Campaign_Code],tb3_CampaignMaster[Budget_GBP],"")</f>
        <v>8000</v>
      </c>
      <c r="Z351" t="str">
        <f>_xlfn.XLOOKUP(Table8[[#This Row],[Campaign_Code]],tb3_CampaignMaster[Campaign_Code],tb3_CampaignMaster[Primary_Channel],"")</f>
        <v>Direct Mail</v>
      </c>
      <c r="AA351" s="13">
        <f>IF(Table8[[#This Row],[Gift_Aid_Eligible]]="Yes",Table8[[#This Row],[Gift_Amount]]*1.25,Table8[[#This Row],[Gift_Amount]])</f>
        <v>13.52</v>
      </c>
      <c r="AB351" t="str">
        <f>IF(Table8[[#This Row],[Supporter_ID]]="","Review - missing supporter ID","")</f>
        <v/>
      </c>
      <c r="AC351" t="str">
        <f>IF(OR(Table8[[#This Row],[Response_Date]]&lt;Table8[[#This Row],[Start_Date]],Table8[[#This Row],[Response_Date]]&gt;Table8[[#This Row],[End_Date]]),"Review - response outside campaign dates","")</f>
        <v/>
      </c>
      <c r="AD351" t="str">
        <f>IF(Table8[[#This Row],[Campaign_Type]]="","Review - campaign code not found","")</f>
        <v/>
      </c>
    </row>
    <row r="352" spans="1:30" x14ac:dyDescent="0.25">
      <c r="A352" t="s">
        <v>3971</v>
      </c>
      <c r="B352" t="s">
        <v>1738</v>
      </c>
      <c r="C352" t="s">
        <v>3325</v>
      </c>
      <c r="D352" t="s">
        <v>3326</v>
      </c>
      <c r="E352" t="s">
        <v>3316</v>
      </c>
      <c r="F352" s="17">
        <v>45607</v>
      </c>
      <c r="G352">
        <v>228.44</v>
      </c>
      <c r="H352" t="s">
        <v>37</v>
      </c>
      <c r="I352" t="s">
        <v>3328</v>
      </c>
      <c r="J352" t="str">
        <f>_xlfn.XLOOKUP(Table8[[#This Row],[Supporter_ID]],tb1_supporters[Supporter_ID ],tb1_supporters[Segment],"")</f>
        <v>Mid-Value</v>
      </c>
      <c r="K352" t="str">
        <f>_xlfn.XLOOKUP(Table8[[#This Row],[Supporter_ID]],tb1_supporters[Supporter_ID ],tb1_supporters[Acquisition_Source],"")</f>
        <v>Social Media</v>
      </c>
      <c r="L352" t="str">
        <f>_xlfn.XLOOKUP(Table8[[#This Row],[Supporter_ID]],tb1_supporters[Supporter_ID ],tb1_supporters[County],"")</f>
        <v>Lothian</v>
      </c>
      <c r="M352" t="str">
        <f>_xlfn.XLOOKUP(Table8[[#This Row],[Supporter_ID]],tb1_supporters[Supporter_ID ],tb1_supporters[Gender],"")</f>
        <v>Male</v>
      </c>
      <c r="N352">
        <f ca="1">_xlfn.XLOOKUP(Table8[[#This Row],[Supporter_ID]],tb1_supporters[Supporter_ID ],tb1_supporters[Age],"")</f>
        <v>84</v>
      </c>
      <c r="O352" t="str">
        <f ca="1">_xlfn.XLOOKUP(Table8[[#This Row],[Supporter_ID]],tb1_supporters[Supporter_ID ],tb1_supporters[Age_Band],"")</f>
        <v>65+</v>
      </c>
      <c r="P352" t="str">
        <f ca="1">IF(Table8[[#This Row],[Age_Band]]="","Unknown",Table8[[#This Row],[Age_Band]])</f>
        <v>65+</v>
      </c>
      <c r="Q352" t="str">
        <f>_xlfn.XLOOKUP(Table8[[#This Row],[Supporter_ID]],tb1_supporters[Supporter_ID ],tb1_supporters[Communication_Preference],"")</f>
        <v>Email</v>
      </c>
      <c r="R352" t="str">
        <f>_xlfn.XLOOKUP(Table8[[#This Row],[Supporter_ID]],tb1_supporters[Supporter_ID ],tb1_supporters[Duplicate_Profile_Flag],"")</f>
        <v/>
      </c>
      <c r="S352" t="str">
        <f>_xlfn.XLOOKUP(Table8[[#This Row],[Supporter_ID]],tb1_supporters[Supporter_ID ],tb1_supporters[Preference_Compliance_Flag],"")</f>
        <v>Review - prefers email but not opted in</v>
      </c>
      <c r="T352" t="str">
        <f ca="1">IF(Table8[[#This Row],[Age]]="","Review - missing DOB",IF(Table8[[#This Row],[Age]]&gt;TODAY(),"Review - future DOB",IF(Table8[[#This Row],[Age]]=0,"Review -  potential entry error (age 0)","")))</f>
        <v/>
      </c>
      <c r="U352" t="str">
        <f>_xlfn.XLOOKUP(Table8[[#This Row],[Campaign_Code]],tb3_CampaignMaster[Campaign_Code],tb3_CampaignMaster[Campaign_Type],"")</f>
        <v>Appeal</v>
      </c>
      <c r="V352" t="str">
        <f>_xlfn.XLOOKUP(Table8[[#This Row],[Campaign_Code]],tb3_CampaignMaster[Campaign_Code],tb3_CampaignMaster[Target_Audience],"")</f>
        <v>All Active</v>
      </c>
      <c r="W352" s="17">
        <f>_xlfn.XLOOKUP(Table8[[#This Row],[Campaign_Code]],tb3_CampaignMaster[Campaign_Code],tb3_CampaignMaster[Start_Date],"")</f>
        <v>45597</v>
      </c>
      <c r="X352" s="17">
        <f>_xlfn.XLOOKUP(Table8[[#This Row],[Campaign_Code]],tb3_CampaignMaster[Campaign_Code],tb3_CampaignMaster[End_Date],"")</f>
        <v>45657</v>
      </c>
      <c r="Y352">
        <f>_xlfn.XLOOKUP(Table8[[#This Row],[Campaign_Code]],tb3_CampaignMaster[Campaign_Code],tb3_CampaignMaster[Budget_GBP],"")</f>
        <v>25000</v>
      </c>
      <c r="Z352" t="str">
        <f>_xlfn.XLOOKUP(Table8[[#This Row],[Campaign_Code]],tb3_CampaignMaster[Campaign_Code],tb3_CampaignMaster[Primary_Channel],"")</f>
        <v>Multi-channel</v>
      </c>
      <c r="AA352" s="13">
        <f>IF(Table8[[#This Row],[Gift_Aid_Eligible]]="Yes",Table8[[#This Row],[Gift_Amount]]*1.25,Table8[[#This Row],[Gift_Amount]])</f>
        <v>228.44</v>
      </c>
      <c r="AB352" t="str">
        <f>IF(Table8[[#This Row],[Supporter_ID]]="","Review - missing supporter ID","")</f>
        <v/>
      </c>
      <c r="AC352" t="str">
        <f>IF(OR(Table8[[#This Row],[Response_Date]]&lt;Table8[[#This Row],[Start_Date]],Table8[[#This Row],[Response_Date]]&gt;Table8[[#This Row],[End_Date]]),"Review - response outside campaign dates","")</f>
        <v/>
      </c>
      <c r="AD352" t="str">
        <f>IF(Table8[[#This Row],[Campaign_Type]]="","Review - campaign code not found","")</f>
        <v/>
      </c>
    </row>
    <row r="353" spans="1:30" x14ac:dyDescent="0.25">
      <c r="A353" t="s">
        <v>3973</v>
      </c>
      <c r="B353" t="s">
        <v>2657</v>
      </c>
      <c r="C353" t="s">
        <v>3314</v>
      </c>
      <c r="D353" t="s">
        <v>3315</v>
      </c>
      <c r="E353" t="s">
        <v>3316</v>
      </c>
      <c r="F353" s="17">
        <v>45674</v>
      </c>
      <c r="G353">
        <v>16.96</v>
      </c>
      <c r="H353" t="s">
        <v>36</v>
      </c>
      <c r="I353" t="s">
        <v>3323</v>
      </c>
      <c r="J353" t="str">
        <f>_xlfn.XLOOKUP(Table8[[#This Row],[Supporter_ID]],tb1_supporters[Supporter_ID ],tb1_supporters[Segment],"")</f>
        <v>Regular Giver</v>
      </c>
      <c r="K353" t="str">
        <f>_xlfn.XLOOKUP(Table8[[#This Row],[Supporter_ID]],tb1_supporters[Supporter_ID ],tb1_supporters[Acquisition_Source],"")</f>
        <v>Corporate Partner</v>
      </c>
      <c r="L353" t="str">
        <f>_xlfn.XLOOKUP(Table8[[#This Row],[Supporter_ID]],tb1_supporters[Supporter_ID ],tb1_supporters[County],"")</f>
        <v>Suffolk</v>
      </c>
      <c r="M353" t="str">
        <f>_xlfn.XLOOKUP(Table8[[#This Row],[Supporter_ID]],tb1_supporters[Supporter_ID ],tb1_supporters[Gender],"")</f>
        <v>Male</v>
      </c>
      <c r="N353">
        <f ca="1">_xlfn.XLOOKUP(Table8[[#This Row],[Supporter_ID]],tb1_supporters[Supporter_ID ],tb1_supporters[Age],"")</f>
        <v>61</v>
      </c>
      <c r="O353" t="str">
        <f ca="1">_xlfn.XLOOKUP(Table8[[#This Row],[Supporter_ID]],tb1_supporters[Supporter_ID ],tb1_supporters[Age_Band],"")</f>
        <v>50-64</v>
      </c>
      <c r="P353" t="str">
        <f ca="1">IF(Table8[[#This Row],[Age_Band]]="","Unknown",Table8[[#This Row],[Age_Band]])</f>
        <v>50-64</v>
      </c>
      <c r="Q353" t="str">
        <f>_xlfn.XLOOKUP(Table8[[#This Row],[Supporter_ID]],tb1_supporters[Supporter_ID ],tb1_supporters[Communication_Preference],"")</f>
        <v>No Preference</v>
      </c>
      <c r="R353" t="str">
        <f>_xlfn.XLOOKUP(Table8[[#This Row],[Supporter_ID]],tb1_supporters[Supporter_ID ],tb1_supporters[Duplicate_Profile_Flag],"")</f>
        <v/>
      </c>
      <c r="S353" t="str">
        <f>_xlfn.XLOOKUP(Table8[[#This Row],[Supporter_ID]],tb1_supporters[Supporter_ID ],tb1_supporters[Preference_Compliance_Flag],"")</f>
        <v/>
      </c>
      <c r="T353" t="str">
        <f ca="1">IF(Table8[[#This Row],[Age]]="","Review - missing DOB",IF(Table8[[#This Row],[Age]]&gt;TODAY(),"Review - future DOB",IF(Table8[[#This Row],[Age]]=0,"Review -  potential entry error (age 0)","")))</f>
        <v/>
      </c>
      <c r="U353" t="str">
        <f>_xlfn.XLOOKUP(Table8[[#This Row],[Campaign_Code]],tb3_CampaignMaster[Campaign_Code],tb3_CampaignMaster[Campaign_Type],"")</f>
        <v>Regular Giving</v>
      </c>
      <c r="V353" t="str">
        <f>_xlfn.XLOOKUP(Table8[[#This Row],[Campaign_Code]],tb3_CampaignMaster[Campaign_Code],tb3_CampaignMaster[Target_Audience],"")</f>
        <v>One-time Donors</v>
      </c>
      <c r="W353" s="17">
        <f>_xlfn.XLOOKUP(Table8[[#This Row],[Campaign_Code]],tb3_CampaignMaster[Campaign_Code],tb3_CampaignMaster[Start_Date],"")</f>
        <v>45663</v>
      </c>
      <c r="X353" s="17">
        <f>_xlfn.XLOOKUP(Table8[[#This Row],[Campaign_Code]],tb3_CampaignMaster[Campaign_Code],tb3_CampaignMaster[End_Date],"")</f>
        <v>45747</v>
      </c>
      <c r="Y353">
        <f>_xlfn.XLOOKUP(Table8[[#This Row],[Campaign_Code]],tb3_CampaignMaster[Campaign_Code],tb3_CampaignMaster[Budget_GBP],"")</f>
        <v>10000</v>
      </c>
      <c r="Z353" t="str">
        <f>_xlfn.XLOOKUP(Table8[[#This Row],[Campaign_Code]],tb3_CampaignMaster[Campaign_Code],tb3_CampaignMaster[Primary_Channel],"")</f>
        <v>Telephone</v>
      </c>
      <c r="AA353" s="13">
        <f>IF(Table8[[#This Row],[Gift_Aid_Eligible]]="Yes",Table8[[#This Row],[Gift_Amount]]*1.25,Table8[[#This Row],[Gift_Amount]])</f>
        <v>21.200000000000003</v>
      </c>
      <c r="AB353" t="str">
        <f>IF(Table8[[#This Row],[Supporter_ID]]="","Review - missing supporter ID","")</f>
        <v/>
      </c>
      <c r="AC353" t="str">
        <f>IF(OR(Table8[[#This Row],[Response_Date]]&lt;Table8[[#This Row],[Start_Date]],Table8[[#This Row],[Response_Date]]&gt;Table8[[#This Row],[End_Date]]),"Review - response outside campaign dates","")</f>
        <v/>
      </c>
      <c r="AD353" t="str">
        <f>IF(Table8[[#This Row],[Campaign_Type]]="","Review - campaign code not found","")</f>
        <v/>
      </c>
    </row>
    <row r="354" spans="1:30" x14ac:dyDescent="0.25">
      <c r="A354" t="s">
        <v>3975</v>
      </c>
      <c r="B354" t="s">
        <v>949</v>
      </c>
      <c r="C354" t="s">
        <v>3367</v>
      </c>
      <c r="D354" t="s">
        <v>3368</v>
      </c>
      <c r="E354" t="s">
        <v>4</v>
      </c>
      <c r="F354" s="17">
        <v>45770</v>
      </c>
      <c r="G354">
        <v>29.57</v>
      </c>
      <c r="H354" t="s">
        <v>36</v>
      </c>
      <c r="I354" t="s">
        <v>3331</v>
      </c>
      <c r="J354" t="str">
        <f>_xlfn.XLOOKUP(Table8[[#This Row],[Supporter_ID]],tb1_supporters[Supporter_ID ],tb1_supporters[Segment],"")</f>
        <v>Prospect</v>
      </c>
      <c r="K354" t="str">
        <f>_xlfn.XLOOKUP(Table8[[#This Row],[Supporter_ID]],tb1_supporters[Supporter_ID ],tb1_supporters[Acquisition_Source],"")</f>
        <v>Door-To-Door</v>
      </c>
      <c r="L354" t="str">
        <f>_xlfn.XLOOKUP(Table8[[#This Row],[Supporter_ID]],tb1_supporters[Supporter_ID ],tb1_supporters[County],"")</f>
        <v>Leicestershire</v>
      </c>
      <c r="M354" t="str">
        <f>_xlfn.XLOOKUP(Table8[[#This Row],[Supporter_ID]],tb1_supporters[Supporter_ID ],tb1_supporters[Gender],"")</f>
        <v>Female</v>
      </c>
      <c r="N354">
        <f ca="1">_xlfn.XLOOKUP(Table8[[#This Row],[Supporter_ID]],tb1_supporters[Supporter_ID ],tb1_supporters[Age],"")</f>
        <v>50</v>
      </c>
      <c r="O354" t="str">
        <f ca="1">_xlfn.XLOOKUP(Table8[[#This Row],[Supporter_ID]],tb1_supporters[Supporter_ID ],tb1_supporters[Age_Band],"")</f>
        <v>50-64</v>
      </c>
      <c r="P354" t="str">
        <f ca="1">IF(Table8[[#This Row],[Age_Band]]="","Unknown",Table8[[#This Row],[Age_Band]])</f>
        <v>50-64</v>
      </c>
      <c r="Q354" t="str">
        <f>_xlfn.XLOOKUP(Table8[[#This Row],[Supporter_ID]],tb1_supporters[Supporter_ID ],tb1_supporters[Communication_Preference],"")</f>
        <v>Post</v>
      </c>
      <c r="R354" t="str">
        <f>_xlfn.XLOOKUP(Table8[[#This Row],[Supporter_ID]],tb1_supporters[Supporter_ID ],tb1_supporters[Duplicate_Profile_Flag],"")</f>
        <v/>
      </c>
      <c r="S354" t="str">
        <f>_xlfn.XLOOKUP(Table8[[#This Row],[Supporter_ID]],tb1_supporters[Supporter_ID ],tb1_supporters[Preference_Compliance_Flag],"")</f>
        <v/>
      </c>
      <c r="T354" t="str">
        <f ca="1">IF(Table8[[#This Row],[Age]]="","Review - missing DOB",IF(Table8[[#This Row],[Age]]&gt;TODAY(),"Review - future DOB",IF(Table8[[#This Row],[Age]]=0,"Review -  potential entry error (age 0)","")))</f>
        <v/>
      </c>
      <c r="U354" t="str">
        <f>_xlfn.XLOOKUP(Table8[[#This Row],[Campaign_Code]],tb3_CampaignMaster[Campaign_Code],tb3_CampaignMaster[Campaign_Type],"")</f>
        <v>Raffle</v>
      </c>
      <c r="V354" t="str">
        <f>_xlfn.XLOOKUP(Table8[[#This Row],[Campaign_Code]],tb3_CampaignMaster[Campaign_Code],tb3_CampaignMaster[Target_Audience],"")</f>
        <v>Regular Givers</v>
      </c>
      <c r="W354" s="17">
        <f>_xlfn.XLOOKUP(Table8[[#This Row],[Campaign_Code]],tb3_CampaignMaster[Campaign_Code],tb3_CampaignMaster[Start_Date],"")</f>
        <v>45717</v>
      </c>
      <c r="X354" s="17">
        <f>_xlfn.XLOOKUP(Table8[[#This Row],[Campaign_Code]],tb3_CampaignMaster[Campaign_Code],tb3_CampaignMaster[End_Date],"")</f>
        <v>45777</v>
      </c>
      <c r="Y354">
        <f>_xlfn.XLOOKUP(Table8[[#This Row],[Campaign_Code]],tb3_CampaignMaster[Campaign_Code],tb3_CampaignMaster[Budget_GBP],"")</f>
        <v>8000</v>
      </c>
      <c r="Z354" t="str">
        <f>_xlfn.XLOOKUP(Table8[[#This Row],[Campaign_Code]],tb3_CampaignMaster[Campaign_Code],tb3_CampaignMaster[Primary_Channel],"")</f>
        <v>Direct Mail</v>
      </c>
      <c r="AA354" s="13">
        <f>IF(Table8[[#This Row],[Gift_Aid_Eligible]]="Yes",Table8[[#This Row],[Gift_Amount]]*1.25,Table8[[#This Row],[Gift_Amount]])</f>
        <v>36.962499999999999</v>
      </c>
      <c r="AB354" t="str">
        <f>IF(Table8[[#This Row],[Supporter_ID]]="","Review - missing supporter ID","")</f>
        <v/>
      </c>
      <c r="AC354" t="str">
        <f>IF(OR(Table8[[#This Row],[Response_Date]]&lt;Table8[[#This Row],[Start_Date]],Table8[[#This Row],[Response_Date]]&gt;Table8[[#This Row],[End_Date]]),"Review - response outside campaign dates","")</f>
        <v/>
      </c>
      <c r="AD354" t="str">
        <f>IF(Table8[[#This Row],[Campaign_Type]]="","Review - campaign code not found","")</f>
        <v/>
      </c>
    </row>
    <row r="355" spans="1:30" x14ac:dyDescent="0.25">
      <c r="A355" t="s">
        <v>3977</v>
      </c>
      <c r="B355" t="s">
        <v>1274</v>
      </c>
      <c r="C355" t="s">
        <v>3314</v>
      </c>
      <c r="D355" t="s">
        <v>3315</v>
      </c>
      <c r="E355" t="s">
        <v>3316</v>
      </c>
      <c r="F355" s="17">
        <v>45696</v>
      </c>
      <c r="G355">
        <v>177.69</v>
      </c>
      <c r="H355" t="s">
        <v>36</v>
      </c>
      <c r="I355" t="s">
        <v>3323</v>
      </c>
      <c r="J355" t="str">
        <f>_xlfn.XLOOKUP(Table8[[#This Row],[Supporter_ID]],tb1_supporters[Supporter_ID ],tb1_supporters[Segment],"")</f>
        <v>Legacy Pledger</v>
      </c>
      <c r="K355" t="str">
        <f>_xlfn.XLOOKUP(Table8[[#This Row],[Supporter_ID]],tb1_supporters[Supporter_ID ],tb1_supporters[Acquisition_Source],"")</f>
        <v>Website</v>
      </c>
      <c r="L355" t="str">
        <f>_xlfn.XLOOKUP(Table8[[#This Row],[Supporter_ID]],tb1_supporters[Supporter_ID ],tb1_supporters[County],"")</f>
        <v>West Yorkshire</v>
      </c>
      <c r="M355" t="str">
        <f>_xlfn.XLOOKUP(Table8[[#This Row],[Supporter_ID]],tb1_supporters[Supporter_ID ],tb1_supporters[Gender],"")</f>
        <v>Male</v>
      </c>
      <c r="N355">
        <f ca="1">_xlfn.XLOOKUP(Table8[[#This Row],[Supporter_ID]],tb1_supporters[Supporter_ID ],tb1_supporters[Age],"")</f>
        <v>81</v>
      </c>
      <c r="O355" t="str">
        <f ca="1">_xlfn.XLOOKUP(Table8[[#This Row],[Supporter_ID]],tb1_supporters[Supporter_ID ],tb1_supporters[Age_Band],"")</f>
        <v>65+</v>
      </c>
      <c r="P355" t="str">
        <f ca="1">IF(Table8[[#This Row],[Age_Band]]="","Unknown",Table8[[#This Row],[Age_Band]])</f>
        <v>65+</v>
      </c>
      <c r="Q355" t="str">
        <f>_xlfn.XLOOKUP(Table8[[#This Row],[Supporter_ID]],tb1_supporters[Supporter_ID ],tb1_supporters[Communication_Preference],"")</f>
        <v>Post</v>
      </c>
      <c r="R355" t="str">
        <f>_xlfn.XLOOKUP(Table8[[#This Row],[Supporter_ID]],tb1_supporters[Supporter_ID ],tb1_supporters[Duplicate_Profile_Flag],"")</f>
        <v/>
      </c>
      <c r="S355" t="str">
        <f>_xlfn.XLOOKUP(Table8[[#This Row],[Supporter_ID]],tb1_supporters[Supporter_ID ],tb1_supporters[Preference_Compliance_Flag],"")</f>
        <v/>
      </c>
      <c r="T355" t="str">
        <f ca="1">IF(Table8[[#This Row],[Age]]="","Review - missing DOB",IF(Table8[[#This Row],[Age]]&gt;TODAY(),"Review - future DOB",IF(Table8[[#This Row],[Age]]=0,"Review -  potential entry error (age 0)","")))</f>
        <v/>
      </c>
      <c r="U355" t="str">
        <f>_xlfn.XLOOKUP(Table8[[#This Row],[Campaign_Code]],tb3_CampaignMaster[Campaign_Code],tb3_CampaignMaster[Campaign_Type],"")</f>
        <v>Regular Giving</v>
      </c>
      <c r="V355" t="str">
        <f>_xlfn.XLOOKUP(Table8[[#This Row],[Campaign_Code]],tb3_CampaignMaster[Campaign_Code],tb3_CampaignMaster[Target_Audience],"")</f>
        <v>One-time Donors</v>
      </c>
      <c r="W355" s="17">
        <f>_xlfn.XLOOKUP(Table8[[#This Row],[Campaign_Code]],tb3_CampaignMaster[Campaign_Code],tb3_CampaignMaster[Start_Date],"")</f>
        <v>45663</v>
      </c>
      <c r="X355" s="17">
        <f>_xlfn.XLOOKUP(Table8[[#This Row],[Campaign_Code]],tb3_CampaignMaster[Campaign_Code],tb3_CampaignMaster[End_Date],"")</f>
        <v>45747</v>
      </c>
      <c r="Y355">
        <f>_xlfn.XLOOKUP(Table8[[#This Row],[Campaign_Code]],tb3_CampaignMaster[Campaign_Code],tb3_CampaignMaster[Budget_GBP],"")</f>
        <v>10000</v>
      </c>
      <c r="Z355" t="str">
        <f>_xlfn.XLOOKUP(Table8[[#This Row],[Campaign_Code]],tb3_CampaignMaster[Campaign_Code],tb3_CampaignMaster[Primary_Channel],"")</f>
        <v>Telephone</v>
      </c>
      <c r="AA355" s="13">
        <f>IF(Table8[[#This Row],[Gift_Aid_Eligible]]="Yes",Table8[[#This Row],[Gift_Amount]]*1.25,Table8[[#This Row],[Gift_Amount]])</f>
        <v>222.11250000000001</v>
      </c>
      <c r="AB355" t="str">
        <f>IF(Table8[[#This Row],[Supporter_ID]]="","Review - missing supporter ID","")</f>
        <v/>
      </c>
      <c r="AC355" t="str">
        <f>IF(OR(Table8[[#This Row],[Response_Date]]&lt;Table8[[#This Row],[Start_Date]],Table8[[#This Row],[Response_Date]]&gt;Table8[[#This Row],[End_Date]]),"Review - response outside campaign dates","")</f>
        <v/>
      </c>
      <c r="AD355" t="str">
        <f>IF(Table8[[#This Row],[Campaign_Type]]="","Review - campaign code not found","")</f>
        <v/>
      </c>
    </row>
    <row r="356" spans="1:30" x14ac:dyDescent="0.25">
      <c r="A356" t="s">
        <v>3979</v>
      </c>
      <c r="B356" t="s">
        <v>2987</v>
      </c>
      <c r="C356" t="s">
        <v>3320</v>
      </c>
      <c r="D356" t="s">
        <v>3321</v>
      </c>
      <c r="E356" t="s">
        <v>65</v>
      </c>
      <c r="F356" s="17">
        <v>45472</v>
      </c>
      <c r="G356">
        <v>27.99</v>
      </c>
      <c r="H356" t="s">
        <v>36</v>
      </c>
      <c r="I356" t="s">
        <v>3318</v>
      </c>
      <c r="J356" t="str">
        <f>_xlfn.XLOOKUP(Table8[[#This Row],[Supporter_ID]],tb1_supporters[Supporter_ID ],tb1_supporters[Segment],"")</f>
        <v>Prospect</v>
      </c>
      <c r="K356" t="str">
        <f>_xlfn.XLOOKUP(Table8[[#This Row],[Supporter_ID]],tb1_supporters[Supporter_ID ],tb1_supporters[Acquisition_Source],"")</f>
        <v>Referral</v>
      </c>
      <c r="L356" t="str">
        <f>_xlfn.XLOOKUP(Table8[[#This Row],[Supporter_ID]],tb1_supporters[Supporter_ID ],tb1_supporters[County],"")</f>
        <v>South Yorkshire</v>
      </c>
      <c r="M356" t="str">
        <f>_xlfn.XLOOKUP(Table8[[#This Row],[Supporter_ID]],tb1_supporters[Supporter_ID ],tb1_supporters[Gender],"")</f>
        <v>Female</v>
      </c>
      <c r="N356">
        <f ca="1">_xlfn.XLOOKUP(Table8[[#This Row],[Supporter_ID]],tb1_supporters[Supporter_ID ],tb1_supporters[Age],"")</f>
        <v>74</v>
      </c>
      <c r="O356" t="str">
        <f ca="1">_xlfn.XLOOKUP(Table8[[#This Row],[Supporter_ID]],tb1_supporters[Supporter_ID ],tb1_supporters[Age_Band],"")</f>
        <v>65+</v>
      </c>
      <c r="P356" t="str">
        <f ca="1">IF(Table8[[#This Row],[Age_Band]]="","Unknown",Table8[[#This Row],[Age_Band]])</f>
        <v>65+</v>
      </c>
      <c r="Q356" t="str">
        <f>_xlfn.XLOOKUP(Table8[[#This Row],[Supporter_ID]],tb1_supporters[Supporter_ID ],tb1_supporters[Communication_Preference],"")</f>
        <v>Phone</v>
      </c>
      <c r="R356" t="str">
        <f>_xlfn.XLOOKUP(Table8[[#This Row],[Supporter_ID]],tb1_supporters[Supporter_ID ],tb1_supporters[Duplicate_Profile_Flag],"")</f>
        <v/>
      </c>
      <c r="S356" t="str">
        <f>_xlfn.XLOOKUP(Table8[[#This Row],[Supporter_ID]],tb1_supporters[Supporter_ID ],tb1_supporters[Preference_Compliance_Flag],"")</f>
        <v>Review - prefers phone but not opted in</v>
      </c>
      <c r="T356" t="str">
        <f ca="1">IF(Table8[[#This Row],[Age]]="","Review - missing DOB",IF(Table8[[#This Row],[Age]]&gt;TODAY(),"Review - future DOB",IF(Table8[[#This Row],[Age]]=0,"Review -  potential entry error (age 0)","")))</f>
        <v/>
      </c>
      <c r="U356" t="str">
        <f>_xlfn.XLOOKUP(Table8[[#This Row],[Campaign_Code]],tb3_CampaignMaster[Campaign_Code],tb3_CampaignMaster[Campaign_Type],"")</f>
        <v>Stewardship</v>
      </c>
      <c r="V356" t="str">
        <f>_xlfn.XLOOKUP(Table8[[#This Row],[Campaign_Code]],tb3_CampaignMaster[Campaign_Code],tb3_CampaignMaster[Target_Audience],"")</f>
        <v>Major Donors</v>
      </c>
      <c r="W356" s="17">
        <f>_xlfn.XLOOKUP(Table8[[#This Row],[Campaign_Code]],tb3_CampaignMaster[Campaign_Code],tb3_CampaignMaster[Start_Date],"")</f>
        <v>45444</v>
      </c>
      <c r="X356" s="17">
        <f>_xlfn.XLOOKUP(Table8[[#This Row],[Campaign_Code]],tb3_CampaignMaster[Campaign_Code],tb3_CampaignMaster[End_Date],"")</f>
        <v>45473</v>
      </c>
      <c r="Y356">
        <f>_xlfn.XLOOKUP(Table8[[#This Row],[Campaign_Code]],tb3_CampaignMaster[Campaign_Code],tb3_CampaignMaster[Budget_GBP],"")</f>
        <v>7000</v>
      </c>
      <c r="Z356" t="str">
        <f>_xlfn.XLOOKUP(Table8[[#This Row],[Campaign_Code]],tb3_CampaignMaster[Campaign_Code],tb3_CampaignMaster[Primary_Channel],"")</f>
        <v>Direct Mail</v>
      </c>
      <c r="AA356" s="13">
        <f>IF(Table8[[#This Row],[Gift_Aid_Eligible]]="Yes",Table8[[#This Row],[Gift_Amount]]*1.25,Table8[[#This Row],[Gift_Amount]])</f>
        <v>34.987499999999997</v>
      </c>
      <c r="AB356" t="str">
        <f>IF(Table8[[#This Row],[Supporter_ID]]="","Review - missing supporter ID","")</f>
        <v/>
      </c>
      <c r="AC356" t="str">
        <f>IF(OR(Table8[[#This Row],[Response_Date]]&lt;Table8[[#This Row],[Start_Date]],Table8[[#This Row],[Response_Date]]&gt;Table8[[#This Row],[End_Date]]),"Review - response outside campaign dates","")</f>
        <v/>
      </c>
      <c r="AD356" t="str">
        <f>IF(Table8[[#This Row],[Campaign_Type]]="","Review - campaign code not found","")</f>
        <v/>
      </c>
    </row>
    <row r="357" spans="1:30" x14ac:dyDescent="0.25">
      <c r="A357" t="s">
        <v>3981</v>
      </c>
      <c r="B357" t="s">
        <v>1808</v>
      </c>
      <c r="C357" t="s">
        <v>3320</v>
      </c>
      <c r="D357" t="s">
        <v>3321</v>
      </c>
      <c r="E357" t="s">
        <v>4</v>
      </c>
      <c r="F357" s="17">
        <v>45471</v>
      </c>
      <c r="G357">
        <v>12.79</v>
      </c>
      <c r="H357" t="s">
        <v>37</v>
      </c>
      <c r="I357" t="s">
        <v>3328</v>
      </c>
      <c r="J357" t="str">
        <f>_xlfn.XLOOKUP(Table8[[#This Row],[Supporter_ID]],tb1_supporters[Supporter_ID ],tb1_supporters[Segment],"")</f>
        <v>Lapsed</v>
      </c>
      <c r="K357" t="str">
        <f>_xlfn.XLOOKUP(Table8[[#This Row],[Supporter_ID]],tb1_supporters[Supporter_ID ],tb1_supporters[Acquisition_Source],"")</f>
        <v>Event</v>
      </c>
      <c r="L357" t="str">
        <f>_xlfn.XLOOKUP(Table8[[#This Row],[Supporter_ID]],tb1_supporters[Supporter_ID ],tb1_supporters[County],"")</f>
        <v>Wiltshire</v>
      </c>
      <c r="M357" t="str">
        <f>_xlfn.XLOOKUP(Table8[[#This Row],[Supporter_ID]],tb1_supporters[Supporter_ID ],tb1_supporters[Gender],"")</f>
        <v>Female</v>
      </c>
      <c r="N357">
        <f ca="1">_xlfn.XLOOKUP(Table8[[#This Row],[Supporter_ID]],tb1_supporters[Supporter_ID ],tb1_supporters[Age],"")</f>
        <v>0</v>
      </c>
      <c r="O357" t="str">
        <f ca="1">_xlfn.XLOOKUP(Table8[[#This Row],[Supporter_ID]],tb1_supporters[Supporter_ID ],tb1_supporters[Age_Band],"")</f>
        <v>Under 18</v>
      </c>
      <c r="P357" t="str">
        <f ca="1">IF(Table8[[#This Row],[Age_Band]]="","Unknown",Table8[[#This Row],[Age_Band]])</f>
        <v>Under 18</v>
      </c>
      <c r="Q357" t="str">
        <f>_xlfn.XLOOKUP(Table8[[#This Row],[Supporter_ID]],tb1_supporters[Supporter_ID ],tb1_supporters[Communication_Preference],"")</f>
        <v>Post</v>
      </c>
      <c r="R357" t="str">
        <f>_xlfn.XLOOKUP(Table8[[#This Row],[Supporter_ID]],tb1_supporters[Supporter_ID ],tb1_supporters[Duplicate_Profile_Flag],"")</f>
        <v/>
      </c>
      <c r="S357" t="str">
        <f>_xlfn.XLOOKUP(Table8[[#This Row],[Supporter_ID]],tb1_supporters[Supporter_ID ],tb1_supporters[Preference_Compliance_Flag],"")</f>
        <v>Review - prefers post but not opted in</v>
      </c>
      <c r="T357" t="str">
        <f ca="1">IF(Table8[[#This Row],[Age]]="","Review - missing DOB",IF(Table8[[#This Row],[Age]]&gt;TODAY(),"Review - future DOB",IF(Table8[[#This Row],[Age]]=0,"Review -  potential entry error (age 0)","")))</f>
        <v>Review -  potential entry error (age 0)</v>
      </c>
      <c r="U357" t="str">
        <f>_xlfn.XLOOKUP(Table8[[#This Row],[Campaign_Code]],tb3_CampaignMaster[Campaign_Code],tb3_CampaignMaster[Campaign_Type],"")</f>
        <v>Stewardship</v>
      </c>
      <c r="V357" t="str">
        <f>_xlfn.XLOOKUP(Table8[[#This Row],[Campaign_Code]],tb3_CampaignMaster[Campaign_Code],tb3_CampaignMaster[Target_Audience],"")</f>
        <v>Major Donors</v>
      </c>
      <c r="W357" s="17">
        <f>_xlfn.XLOOKUP(Table8[[#This Row],[Campaign_Code]],tb3_CampaignMaster[Campaign_Code],tb3_CampaignMaster[Start_Date],"")</f>
        <v>45444</v>
      </c>
      <c r="X357" s="17">
        <f>_xlfn.XLOOKUP(Table8[[#This Row],[Campaign_Code]],tb3_CampaignMaster[Campaign_Code],tb3_CampaignMaster[End_Date],"")</f>
        <v>45473</v>
      </c>
      <c r="Y357">
        <f>_xlfn.XLOOKUP(Table8[[#This Row],[Campaign_Code]],tb3_CampaignMaster[Campaign_Code],tb3_CampaignMaster[Budget_GBP],"")</f>
        <v>7000</v>
      </c>
      <c r="Z357" t="str">
        <f>_xlfn.XLOOKUP(Table8[[#This Row],[Campaign_Code]],tb3_CampaignMaster[Campaign_Code],tb3_CampaignMaster[Primary_Channel],"")</f>
        <v>Direct Mail</v>
      </c>
      <c r="AA357" s="13">
        <f>IF(Table8[[#This Row],[Gift_Aid_Eligible]]="Yes",Table8[[#This Row],[Gift_Amount]]*1.25,Table8[[#This Row],[Gift_Amount]])</f>
        <v>12.79</v>
      </c>
      <c r="AB357" t="str">
        <f>IF(Table8[[#This Row],[Supporter_ID]]="","Review - missing supporter ID","")</f>
        <v/>
      </c>
      <c r="AC357" t="str">
        <f>IF(OR(Table8[[#This Row],[Response_Date]]&lt;Table8[[#This Row],[Start_Date]],Table8[[#This Row],[Response_Date]]&gt;Table8[[#This Row],[End_Date]]),"Review - response outside campaign dates","")</f>
        <v/>
      </c>
      <c r="AD357" t="str">
        <f>IF(Table8[[#This Row],[Campaign_Type]]="","Review - campaign code not found","")</f>
        <v/>
      </c>
    </row>
    <row r="358" spans="1:30" x14ac:dyDescent="0.25">
      <c r="A358" t="s">
        <v>3983</v>
      </c>
      <c r="B358" t="s">
        <v>3106</v>
      </c>
      <c r="C358" t="s">
        <v>3403</v>
      </c>
      <c r="D358" t="s">
        <v>3404</v>
      </c>
      <c r="E358" t="s">
        <v>4</v>
      </c>
      <c r="F358" s="17">
        <v>45617</v>
      </c>
      <c r="G358">
        <v>447.61</v>
      </c>
      <c r="H358" t="s">
        <v>36</v>
      </c>
      <c r="I358" t="s">
        <v>3331</v>
      </c>
      <c r="J358" t="str">
        <f>_xlfn.XLOOKUP(Table8[[#This Row],[Supporter_ID]],tb1_supporters[Supporter_ID ],tb1_supporters[Segment],"")</f>
        <v>Legacy Pledger</v>
      </c>
      <c r="K358" t="str">
        <f>_xlfn.XLOOKUP(Table8[[#This Row],[Supporter_ID]],tb1_supporters[Supporter_ID ],tb1_supporters[Acquisition_Source],"")</f>
        <v>Referral</v>
      </c>
      <c r="L358" t="str">
        <f>_xlfn.XLOOKUP(Table8[[#This Row],[Supporter_ID]],tb1_supporters[Supporter_ID ],tb1_supporters[County],"")</f>
        <v>West Yorkshire</v>
      </c>
      <c r="M358" t="str">
        <f>_xlfn.XLOOKUP(Table8[[#This Row],[Supporter_ID]],tb1_supporters[Supporter_ID ],tb1_supporters[Gender],"")</f>
        <v>Male</v>
      </c>
      <c r="N358">
        <f ca="1">_xlfn.XLOOKUP(Table8[[#This Row],[Supporter_ID]],tb1_supporters[Supporter_ID ],tb1_supporters[Age],"")</f>
        <v>54</v>
      </c>
      <c r="O358" t="str">
        <f ca="1">_xlfn.XLOOKUP(Table8[[#This Row],[Supporter_ID]],tb1_supporters[Supporter_ID ],tb1_supporters[Age_Band],"")</f>
        <v>50-64</v>
      </c>
      <c r="P358" t="str">
        <f ca="1">IF(Table8[[#This Row],[Age_Band]]="","Unknown",Table8[[#This Row],[Age_Band]])</f>
        <v>50-64</v>
      </c>
      <c r="Q358" t="str">
        <f>_xlfn.XLOOKUP(Table8[[#This Row],[Supporter_ID]],tb1_supporters[Supporter_ID ],tb1_supporters[Communication_Preference],"")</f>
        <v>Email</v>
      </c>
      <c r="R358" t="str">
        <f>_xlfn.XLOOKUP(Table8[[#This Row],[Supporter_ID]],tb1_supporters[Supporter_ID ],tb1_supporters[Duplicate_Profile_Flag],"")</f>
        <v/>
      </c>
      <c r="S358" t="str">
        <f>_xlfn.XLOOKUP(Table8[[#This Row],[Supporter_ID]],tb1_supporters[Supporter_ID ],tb1_supporters[Preference_Compliance_Flag],"")</f>
        <v>Review - prefers email but not opted in</v>
      </c>
      <c r="T358" t="str">
        <f ca="1">IF(Table8[[#This Row],[Age]]="","Review - missing DOB",IF(Table8[[#This Row],[Age]]&gt;TODAY(),"Review - future DOB",IF(Table8[[#This Row],[Age]]=0,"Review -  potential entry error (age 0)","")))</f>
        <v/>
      </c>
      <c r="U358" t="str">
        <f>_xlfn.XLOOKUP(Table8[[#This Row],[Campaign_Code]],tb3_CampaignMaster[Campaign_Code],tb3_CampaignMaster[Campaign_Type],"")</f>
        <v>Trading</v>
      </c>
      <c r="V358" t="str">
        <f>_xlfn.XLOOKUP(Table8[[#This Row],[Campaign_Code]],tb3_CampaignMaster[Campaign_Code],tb3_CampaignMaster[Target_Audience],"")</f>
        <v>All Active</v>
      </c>
      <c r="W358" s="17">
        <f>_xlfn.XLOOKUP(Table8[[#This Row],[Campaign_Code]],tb3_CampaignMaster[Campaign_Code],tb3_CampaignMaster[Start_Date],"")</f>
        <v>45580</v>
      </c>
      <c r="X358" s="17">
        <f>_xlfn.XLOOKUP(Table8[[#This Row],[Campaign_Code]],tb3_CampaignMaster[Campaign_Code],tb3_CampaignMaster[End_Date],"")</f>
        <v>45646</v>
      </c>
      <c r="Y358">
        <f>_xlfn.XLOOKUP(Table8[[#This Row],[Campaign_Code]],tb3_CampaignMaster[Campaign_Code],tb3_CampaignMaster[Budget_GBP],"")</f>
        <v>12000</v>
      </c>
      <c r="Z358" t="str">
        <f>_xlfn.XLOOKUP(Table8[[#This Row],[Campaign_Code]],tb3_CampaignMaster[Campaign_Code],tb3_CampaignMaster[Primary_Channel],"")</f>
        <v>Multi-channel</v>
      </c>
      <c r="AA358" s="13">
        <f>IF(Table8[[#This Row],[Gift_Aid_Eligible]]="Yes",Table8[[#This Row],[Gift_Amount]]*1.25,Table8[[#This Row],[Gift_Amount]])</f>
        <v>559.51250000000005</v>
      </c>
      <c r="AB358" t="str">
        <f>IF(Table8[[#This Row],[Supporter_ID]]="","Review - missing supporter ID","")</f>
        <v/>
      </c>
      <c r="AC358" t="str">
        <f>IF(OR(Table8[[#This Row],[Response_Date]]&lt;Table8[[#This Row],[Start_Date]],Table8[[#This Row],[Response_Date]]&gt;Table8[[#This Row],[End_Date]]),"Review - response outside campaign dates","")</f>
        <v/>
      </c>
      <c r="AD358" t="str">
        <f>IF(Table8[[#This Row],[Campaign_Type]]="","Review - campaign code not found","")</f>
        <v/>
      </c>
    </row>
    <row r="359" spans="1:30" x14ac:dyDescent="0.25">
      <c r="A359" t="s">
        <v>3985</v>
      </c>
      <c r="B359" t="s">
        <v>1380</v>
      </c>
      <c r="C359" t="s">
        <v>3325</v>
      </c>
      <c r="D359" t="s">
        <v>3326</v>
      </c>
      <c r="E359" t="s">
        <v>3316</v>
      </c>
      <c r="F359" s="17">
        <v>45643</v>
      </c>
      <c r="G359">
        <v>54</v>
      </c>
      <c r="H359" t="s">
        <v>37</v>
      </c>
      <c r="I359" t="s">
        <v>3385</v>
      </c>
      <c r="J359" t="str">
        <f>_xlfn.XLOOKUP(Table8[[#This Row],[Supporter_ID]],tb1_supporters[Supporter_ID ],tb1_supporters[Segment],"")</f>
        <v>Mid-Value</v>
      </c>
      <c r="K359" t="str">
        <f>_xlfn.XLOOKUP(Table8[[#This Row],[Supporter_ID]],tb1_supporters[Supporter_ID ],tb1_supporters[Acquisition_Source],"")</f>
        <v>Direct Mail</v>
      </c>
      <c r="L359" t="str">
        <f>_xlfn.XLOOKUP(Table8[[#This Row],[Supporter_ID]],tb1_supporters[Supporter_ID ],tb1_supporters[County],"")</f>
        <v>Kent</v>
      </c>
      <c r="M359" t="str">
        <f>_xlfn.XLOOKUP(Table8[[#This Row],[Supporter_ID]],tb1_supporters[Supporter_ID ],tb1_supporters[Gender],"")</f>
        <v>Male</v>
      </c>
      <c r="N359">
        <f ca="1">_xlfn.XLOOKUP(Table8[[#This Row],[Supporter_ID]],tb1_supporters[Supporter_ID ],tb1_supporters[Age],"")</f>
        <v>65</v>
      </c>
      <c r="O359" t="str">
        <f ca="1">_xlfn.XLOOKUP(Table8[[#This Row],[Supporter_ID]],tb1_supporters[Supporter_ID ],tb1_supporters[Age_Band],"")</f>
        <v>65+</v>
      </c>
      <c r="P359" t="str">
        <f ca="1">IF(Table8[[#This Row],[Age_Band]]="","Unknown",Table8[[#This Row],[Age_Band]])</f>
        <v>65+</v>
      </c>
      <c r="Q359" t="str">
        <f>_xlfn.XLOOKUP(Table8[[#This Row],[Supporter_ID]],tb1_supporters[Supporter_ID ],tb1_supporters[Communication_Preference],"")</f>
        <v>Do Not Contact</v>
      </c>
      <c r="R359" t="str">
        <f>_xlfn.XLOOKUP(Table8[[#This Row],[Supporter_ID]],tb1_supporters[Supporter_ID ],tb1_supporters[Duplicate_Profile_Flag],"")</f>
        <v/>
      </c>
      <c r="S359" t="str">
        <f>_xlfn.XLOOKUP(Table8[[#This Row],[Supporter_ID]],tb1_supporters[Supporter_ID ],tb1_supporters[Preference_Compliance_Flag],"")</f>
        <v/>
      </c>
      <c r="T359" t="str">
        <f ca="1">IF(Table8[[#This Row],[Age]]="","Review - missing DOB",IF(Table8[[#This Row],[Age]]&gt;TODAY(),"Review - future DOB",IF(Table8[[#This Row],[Age]]=0,"Review -  potential entry error (age 0)","")))</f>
        <v/>
      </c>
      <c r="U359" t="str">
        <f>_xlfn.XLOOKUP(Table8[[#This Row],[Campaign_Code]],tb3_CampaignMaster[Campaign_Code],tb3_CampaignMaster[Campaign_Type],"")</f>
        <v>Appeal</v>
      </c>
      <c r="V359" t="str">
        <f>_xlfn.XLOOKUP(Table8[[#This Row],[Campaign_Code]],tb3_CampaignMaster[Campaign_Code],tb3_CampaignMaster[Target_Audience],"")</f>
        <v>All Active</v>
      </c>
      <c r="W359" s="17">
        <f>_xlfn.XLOOKUP(Table8[[#This Row],[Campaign_Code]],tb3_CampaignMaster[Campaign_Code],tb3_CampaignMaster[Start_Date],"")</f>
        <v>45597</v>
      </c>
      <c r="X359" s="17">
        <f>_xlfn.XLOOKUP(Table8[[#This Row],[Campaign_Code]],tb3_CampaignMaster[Campaign_Code],tb3_CampaignMaster[End_Date],"")</f>
        <v>45657</v>
      </c>
      <c r="Y359">
        <f>_xlfn.XLOOKUP(Table8[[#This Row],[Campaign_Code]],tb3_CampaignMaster[Campaign_Code],tb3_CampaignMaster[Budget_GBP],"")</f>
        <v>25000</v>
      </c>
      <c r="Z359" t="str">
        <f>_xlfn.XLOOKUP(Table8[[#This Row],[Campaign_Code]],tb3_CampaignMaster[Campaign_Code],tb3_CampaignMaster[Primary_Channel],"")</f>
        <v>Multi-channel</v>
      </c>
      <c r="AA359" s="13">
        <f>IF(Table8[[#This Row],[Gift_Aid_Eligible]]="Yes",Table8[[#This Row],[Gift_Amount]]*1.25,Table8[[#This Row],[Gift_Amount]])</f>
        <v>54</v>
      </c>
      <c r="AB359" t="str">
        <f>IF(Table8[[#This Row],[Supporter_ID]]="","Review - missing supporter ID","")</f>
        <v/>
      </c>
      <c r="AC359" t="str">
        <f>IF(OR(Table8[[#This Row],[Response_Date]]&lt;Table8[[#This Row],[Start_Date]],Table8[[#This Row],[Response_Date]]&gt;Table8[[#This Row],[End_Date]]),"Review - response outside campaign dates","")</f>
        <v/>
      </c>
      <c r="AD359" t="str">
        <f>IF(Table8[[#This Row],[Campaign_Type]]="","Review - campaign code not found","")</f>
        <v/>
      </c>
    </row>
    <row r="360" spans="1:30" x14ac:dyDescent="0.25">
      <c r="A360" t="s">
        <v>3986</v>
      </c>
      <c r="B360" t="s">
        <v>3193</v>
      </c>
      <c r="C360" t="s">
        <v>3341</v>
      </c>
      <c r="D360" t="s">
        <v>3342</v>
      </c>
      <c r="E360" t="s">
        <v>91</v>
      </c>
      <c r="F360" s="17">
        <v>45738</v>
      </c>
      <c r="G360">
        <v>28.22</v>
      </c>
      <c r="H360" t="s">
        <v>37</v>
      </c>
      <c r="I360" t="s">
        <v>3318</v>
      </c>
      <c r="J360" t="str">
        <f>_xlfn.XLOOKUP(Table8[[#This Row],[Supporter_ID]],tb1_supporters[Supporter_ID ],tb1_supporters[Segment],"")</f>
        <v>Prospect</v>
      </c>
      <c r="K360" t="str">
        <f>_xlfn.XLOOKUP(Table8[[#This Row],[Supporter_ID]],tb1_supporters[Supporter_ID ],tb1_supporters[Acquisition_Source],"")</f>
        <v>Event</v>
      </c>
      <c r="L360" t="str">
        <f>_xlfn.XLOOKUP(Table8[[#This Row],[Supporter_ID]],tb1_supporters[Supporter_ID ],tb1_supporters[County],"")</f>
        <v>Merseyside</v>
      </c>
      <c r="M360" t="str">
        <f>_xlfn.XLOOKUP(Table8[[#This Row],[Supporter_ID]],tb1_supporters[Supporter_ID ],tb1_supporters[Gender],"")</f>
        <v>Female</v>
      </c>
      <c r="N360">
        <f ca="1">_xlfn.XLOOKUP(Table8[[#This Row],[Supporter_ID]],tb1_supporters[Supporter_ID ],tb1_supporters[Age],"")</f>
        <v>63</v>
      </c>
      <c r="O360" t="str">
        <f ca="1">_xlfn.XLOOKUP(Table8[[#This Row],[Supporter_ID]],tb1_supporters[Supporter_ID ],tb1_supporters[Age_Band],"")</f>
        <v>50-64</v>
      </c>
      <c r="P360" t="str">
        <f ca="1">IF(Table8[[#This Row],[Age_Band]]="","Unknown",Table8[[#This Row],[Age_Band]])</f>
        <v>50-64</v>
      </c>
      <c r="Q360" t="str">
        <f>_xlfn.XLOOKUP(Table8[[#This Row],[Supporter_ID]],tb1_supporters[Supporter_ID ],tb1_supporters[Communication_Preference],"")</f>
        <v>Email</v>
      </c>
      <c r="R360" t="str">
        <f>_xlfn.XLOOKUP(Table8[[#This Row],[Supporter_ID]],tb1_supporters[Supporter_ID ],tb1_supporters[Duplicate_Profile_Flag],"")</f>
        <v/>
      </c>
      <c r="S360" t="str">
        <f>_xlfn.XLOOKUP(Table8[[#This Row],[Supporter_ID]],tb1_supporters[Supporter_ID ],tb1_supporters[Preference_Compliance_Flag],"")</f>
        <v>Review - prefers email but not opted in</v>
      </c>
      <c r="T360" t="str">
        <f ca="1">IF(Table8[[#This Row],[Age]]="","Review - missing DOB",IF(Table8[[#This Row],[Age]]&gt;TODAY(),"Review - future DOB",IF(Table8[[#This Row],[Age]]=0,"Review -  potential entry error (age 0)","")))</f>
        <v/>
      </c>
      <c r="U360" t="str">
        <f>_xlfn.XLOOKUP(Table8[[#This Row],[Campaign_Code]],tb3_CampaignMaster[Campaign_Code],tb3_CampaignMaster[Campaign_Type],"")</f>
        <v>Acquisition</v>
      </c>
      <c r="V360" t="str">
        <f>_xlfn.XLOOKUP(Table8[[#This Row],[Campaign_Code]],tb3_CampaignMaster[Campaign_Code],tb3_CampaignMaster[Target_Audience],"")</f>
        <v>Prospects</v>
      </c>
      <c r="W360" s="17">
        <f>_xlfn.XLOOKUP(Table8[[#This Row],[Campaign_Code]],tb3_CampaignMaster[Campaign_Code],tb3_CampaignMaster[Start_Date],"")</f>
        <v>45689</v>
      </c>
      <c r="X360" s="17">
        <f>_xlfn.XLOOKUP(Table8[[#This Row],[Campaign_Code]],tb3_CampaignMaster[Campaign_Code],tb3_CampaignMaster[End_Date],"")</f>
        <v>45777</v>
      </c>
      <c r="Y360">
        <f>_xlfn.XLOOKUP(Table8[[#This Row],[Campaign_Code]],tb3_CampaignMaster[Campaign_Code],tb3_CampaignMaster[Budget_GBP],"")</f>
        <v>20000</v>
      </c>
      <c r="Z360" t="str">
        <f>_xlfn.XLOOKUP(Table8[[#This Row],[Campaign_Code]],tb3_CampaignMaster[Campaign_Code],tb3_CampaignMaster[Primary_Channel],"")</f>
        <v>Digital</v>
      </c>
      <c r="AA360" s="13">
        <f>IF(Table8[[#This Row],[Gift_Aid_Eligible]]="Yes",Table8[[#This Row],[Gift_Amount]]*1.25,Table8[[#This Row],[Gift_Amount]])</f>
        <v>28.22</v>
      </c>
      <c r="AB360" t="str">
        <f>IF(Table8[[#This Row],[Supporter_ID]]="","Review - missing supporter ID","")</f>
        <v/>
      </c>
      <c r="AC360" t="str">
        <f>IF(OR(Table8[[#This Row],[Response_Date]]&lt;Table8[[#This Row],[Start_Date]],Table8[[#This Row],[Response_Date]]&gt;Table8[[#This Row],[End_Date]]),"Review - response outside campaign dates","")</f>
        <v/>
      </c>
      <c r="AD360" t="str">
        <f>IF(Table8[[#This Row],[Campaign_Type]]="","Review - campaign code not found","")</f>
        <v/>
      </c>
    </row>
    <row r="361" spans="1:30" x14ac:dyDescent="0.25">
      <c r="A361" t="s">
        <v>3987</v>
      </c>
      <c r="B361" t="s">
        <v>961</v>
      </c>
      <c r="C361" t="s">
        <v>3362</v>
      </c>
      <c r="D361" t="s">
        <v>3363</v>
      </c>
      <c r="E361" t="s">
        <v>65</v>
      </c>
      <c r="F361" s="17">
        <v>45575</v>
      </c>
      <c r="G361">
        <v>43.53</v>
      </c>
      <c r="H361" t="s">
        <v>37</v>
      </c>
      <c r="I361" t="s">
        <v>3385</v>
      </c>
      <c r="J361" t="str">
        <f>_xlfn.XLOOKUP(Table8[[#This Row],[Supporter_ID]],tb1_supporters[Supporter_ID ],tb1_supporters[Segment],"")</f>
        <v>Regular Giver</v>
      </c>
      <c r="K361" t="str">
        <f>_xlfn.XLOOKUP(Table8[[#This Row],[Supporter_ID]],tb1_supporters[Supporter_ID ],tb1_supporters[Acquisition_Source],"")</f>
        <v>Direct Mail</v>
      </c>
      <c r="L361" t="str">
        <f>_xlfn.XLOOKUP(Table8[[#This Row],[Supporter_ID]],tb1_supporters[Supporter_ID ],tb1_supporters[County],"")</f>
        <v>Strathclyde</v>
      </c>
      <c r="M361" t="str">
        <f>_xlfn.XLOOKUP(Table8[[#This Row],[Supporter_ID]],tb1_supporters[Supporter_ID ],tb1_supporters[Gender],"")</f>
        <v>Male</v>
      </c>
      <c r="N361">
        <f ca="1">_xlfn.XLOOKUP(Table8[[#This Row],[Supporter_ID]],tb1_supporters[Supporter_ID ],tb1_supporters[Age],"")</f>
        <v>67</v>
      </c>
      <c r="O361" t="str">
        <f ca="1">_xlfn.XLOOKUP(Table8[[#This Row],[Supporter_ID]],tb1_supporters[Supporter_ID ],tb1_supporters[Age_Band],"")</f>
        <v>65+</v>
      </c>
      <c r="P361" t="str">
        <f ca="1">IF(Table8[[#This Row],[Age_Band]]="","Unknown",Table8[[#This Row],[Age_Band]])</f>
        <v>65+</v>
      </c>
      <c r="Q361" t="str">
        <f>_xlfn.XLOOKUP(Table8[[#This Row],[Supporter_ID]],tb1_supporters[Supporter_ID ],tb1_supporters[Communication_Preference],"")</f>
        <v>Post</v>
      </c>
      <c r="R361" t="str">
        <f>_xlfn.XLOOKUP(Table8[[#This Row],[Supporter_ID]],tb1_supporters[Supporter_ID ],tb1_supporters[Duplicate_Profile_Flag],"")</f>
        <v/>
      </c>
      <c r="S361" t="str">
        <f>_xlfn.XLOOKUP(Table8[[#This Row],[Supporter_ID]],tb1_supporters[Supporter_ID ],tb1_supporters[Preference_Compliance_Flag],"")</f>
        <v/>
      </c>
      <c r="T361" t="str">
        <f ca="1">IF(Table8[[#This Row],[Age]]="","Review - missing DOB",IF(Table8[[#This Row],[Age]]&gt;TODAY(),"Review - future DOB",IF(Table8[[#This Row],[Age]]=0,"Review -  potential entry error (age 0)","")))</f>
        <v/>
      </c>
      <c r="U361" t="str">
        <f>_xlfn.XLOOKUP(Table8[[#This Row],[Campaign_Code]],tb3_CampaignMaster[Campaign_Code],tb3_CampaignMaster[Campaign_Type],"")</f>
        <v>Legacy</v>
      </c>
      <c r="V361" t="str">
        <f>_xlfn.XLOOKUP(Table8[[#This Row],[Campaign_Code]],tb3_CampaignMaster[Campaign_Code],tb3_CampaignMaster[Target_Audience],"")</f>
        <v>Over 55s</v>
      </c>
      <c r="W361" s="17">
        <f>_xlfn.XLOOKUP(Table8[[#This Row],[Campaign_Code]],tb3_CampaignMaster[Campaign_Code],tb3_CampaignMaster[Start_Date],"")</f>
        <v>45572</v>
      </c>
      <c r="X361" s="17">
        <f>_xlfn.XLOOKUP(Table8[[#This Row],[Campaign_Code]],tb3_CampaignMaster[Campaign_Code],tb3_CampaignMaster[End_Date],"")</f>
        <v>45578</v>
      </c>
      <c r="Y361">
        <f>_xlfn.XLOOKUP(Table8[[#This Row],[Campaign_Code]],tb3_CampaignMaster[Campaign_Code],tb3_CampaignMaster[Budget_GBP],"")</f>
        <v>5000</v>
      </c>
      <c r="Z361" t="str">
        <f>_xlfn.XLOOKUP(Table8[[#This Row],[Campaign_Code]],tb3_CampaignMaster[Campaign_Code],tb3_CampaignMaster[Primary_Channel],"")</f>
        <v>Direct Mail</v>
      </c>
      <c r="AA361" s="13">
        <f>IF(Table8[[#This Row],[Gift_Aid_Eligible]]="Yes",Table8[[#This Row],[Gift_Amount]]*1.25,Table8[[#This Row],[Gift_Amount]])</f>
        <v>43.53</v>
      </c>
      <c r="AB361" t="str">
        <f>IF(Table8[[#This Row],[Supporter_ID]]="","Review - missing supporter ID","")</f>
        <v/>
      </c>
      <c r="AC361" t="str">
        <f>IF(OR(Table8[[#This Row],[Response_Date]]&lt;Table8[[#This Row],[Start_Date]],Table8[[#This Row],[Response_Date]]&gt;Table8[[#This Row],[End_Date]]),"Review - response outside campaign dates","")</f>
        <v/>
      </c>
      <c r="AD361" t="str">
        <f>IF(Table8[[#This Row],[Campaign_Type]]="","Review - campaign code not found","")</f>
        <v/>
      </c>
    </row>
    <row r="362" spans="1:30" x14ac:dyDescent="0.25">
      <c r="A362" t="s">
        <v>3989</v>
      </c>
      <c r="B362" t="s">
        <v>3043</v>
      </c>
      <c r="C362" t="s">
        <v>3314</v>
      </c>
      <c r="D362" t="s">
        <v>3315</v>
      </c>
      <c r="E362" t="s">
        <v>3316</v>
      </c>
      <c r="F362" s="17">
        <v>45676</v>
      </c>
      <c r="G362">
        <v>80.41</v>
      </c>
      <c r="H362" t="s">
        <v>36</v>
      </c>
      <c r="I362" t="s">
        <v>3334</v>
      </c>
      <c r="J362" t="str">
        <f>_xlfn.XLOOKUP(Table8[[#This Row],[Supporter_ID]],tb1_supporters[Supporter_ID ],tb1_supporters[Segment],"")</f>
        <v>One-Time Donor</v>
      </c>
      <c r="K362" t="str">
        <f>_xlfn.XLOOKUP(Table8[[#This Row],[Supporter_ID]],tb1_supporters[Supporter_ID ],tb1_supporters[Acquisition_Source],"")</f>
        <v>Telephone</v>
      </c>
      <c r="L362" t="str">
        <f>_xlfn.XLOOKUP(Table8[[#This Row],[Supporter_ID]],tb1_supporters[Supporter_ID ],tb1_supporters[County],"")</f>
        <v>Devon</v>
      </c>
      <c r="M362" t="str">
        <f>_xlfn.XLOOKUP(Table8[[#This Row],[Supporter_ID]],tb1_supporters[Supporter_ID ],tb1_supporters[Gender],"")</f>
        <v>Female</v>
      </c>
      <c r="N362">
        <f ca="1">_xlfn.XLOOKUP(Table8[[#This Row],[Supporter_ID]],tb1_supporters[Supporter_ID ],tb1_supporters[Age],"")</f>
        <v>75</v>
      </c>
      <c r="O362" t="str">
        <f ca="1">_xlfn.XLOOKUP(Table8[[#This Row],[Supporter_ID]],tb1_supporters[Supporter_ID ],tb1_supporters[Age_Band],"")</f>
        <v>65+</v>
      </c>
      <c r="P362" t="str">
        <f ca="1">IF(Table8[[#This Row],[Age_Band]]="","Unknown",Table8[[#This Row],[Age_Band]])</f>
        <v>65+</v>
      </c>
      <c r="Q362" t="str">
        <f>_xlfn.XLOOKUP(Table8[[#This Row],[Supporter_ID]],tb1_supporters[Supporter_ID ],tb1_supporters[Communication_Preference],"")</f>
        <v>No Preference</v>
      </c>
      <c r="R362" t="str">
        <f>_xlfn.XLOOKUP(Table8[[#This Row],[Supporter_ID]],tb1_supporters[Supporter_ID ],tb1_supporters[Duplicate_Profile_Flag],"")</f>
        <v/>
      </c>
      <c r="S362" t="str">
        <f>_xlfn.XLOOKUP(Table8[[#This Row],[Supporter_ID]],tb1_supporters[Supporter_ID ],tb1_supporters[Preference_Compliance_Flag],"")</f>
        <v/>
      </c>
      <c r="T362" t="str">
        <f ca="1">IF(Table8[[#This Row],[Age]]="","Review - missing DOB",IF(Table8[[#This Row],[Age]]&gt;TODAY(),"Review - future DOB",IF(Table8[[#This Row],[Age]]=0,"Review -  potential entry error (age 0)","")))</f>
        <v/>
      </c>
      <c r="U362" t="str">
        <f>_xlfn.XLOOKUP(Table8[[#This Row],[Campaign_Code]],tb3_CampaignMaster[Campaign_Code],tb3_CampaignMaster[Campaign_Type],"")</f>
        <v>Regular Giving</v>
      </c>
      <c r="V362" t="str">
        <f>_xlfn.XLOOKUP(Table8[[#This Row],[Campaign_Code]],tb3_CampaignMaster[Campaign_Code],tb3_CampaignMaster[Target_Audience],"")</f>
        <v>One-time Donors</v>
      </c>
      <c r="W362" s="17">
        <f>_xlfn.XLOOKUP(Table8[[#This Row],[Campaign_Code]],tb3_CampaignMaster[Campaign_Code],tb3_CampaignMaster[Start_Date],"")</f>
        <v>45663</v>
      </c>
      <c r="X362" s="17">
        <f>_xlfn.XLOOKUP(Table8[[#This Row],[Campaign_Code]],tb3_CampaignMaster[Campaign_Code],tb3_CampaignMaster[End_Date],"")</f>
        <v>45747</v>
      </c>
      <c r="Y362">
        <f>_xlfn.XLOOKUP(Table8[[#This Row],[Campaign_Code]],tb3_CampaignMaster[Campaign_Code],tb3_CampaignMaster[Budget_GBP],"")</f>
        <v>10000</v>
      </c>
      <c r="Z362" t="str">
        <f>_xlfn.XLOOKUP(Table8[[#This Row],[Campaign_Code]],tb3_CampaignMaster[Campaign_Code],tb3_CampaignMaster[Primary_Channel],"")</f>
        <v>Telephone</v>
      </c>
      <c r="AA362" s="13">
        <f>IF(Table8[[#This Row],[Gift_Aid_Eligible]]="Yes",Table8[[#This Row],[Gift_Amount]]*1.25,Table8[[#This Row],[Gift_Amount]])</f>
        <v>100.51249999999999</v>
      </c>
      <c r="AB362" t="str">
        <f>IF(Table8[[#This Row],[Supporter_ID]]="","Review - missing supporter ID","")</f>
        <v/>
      </c>
      <c r="AC362" t="str">
        <f>IF(OR(Table8[[#This Row],[Response_Date]]&lt;Table8[[#This Row],[Start_Date]],Table8[[#This Row],[Response_Date]]&gt;Table8[[#This Row],[End_Date]]),"Review - response outside campaign dates","")</f>
        <v/>
      </c>
      <c r="AD362" t="str">
        <f>IF(Table8[[#This Row],[Campaign_Type]]="","Review - campaign code not found","")</f>
        <v/>
      </c>
    </row>
    <row r="363" spans="1:30" x14ac:dyDescent="0.25">
      <c r="A363" t="s">
        <v>3991</v>
      </c>
      <c r="B363" t="s">
        <v>1619</v>
      </c>
      <c r="C363" t="s">
        <v>3325</v>
      </c>
      <c r="D363" t="s">
        <v>3326</v>
      </c>
      <c r="E363" t="s">
        <v>65</v>
      </c>
      <c r="F363" s="17">
        <v>45654</v>
      </c>
      <c r="G363">
        <v>14.88</v>
      </c>
      <c r="H363" t="s">
        <v>36</v>
      </c>
      <c r="I363" t="s">
        <v>3365</v>
      </c>
      <c r="J363" t="str">
        <f>_xlfn.XLOOKUP(Table8[[#This Row],[Supporter_ID]],tb1_supporters[Supporter_ID ],tb1_supporters[Segment],"")</f>
        <v>Regular Giver</v>
      </c>
      <c r="K363" t="str">
        <f>_xlfn.XLOOKUP(Table8[[#This Row],[Supporter_ID]],tb1_supporters[Supporter_ID ],tb1_supporters[Acquisition_Source],"")</f>
        <v>Door-To-Door</v>
      </c>
      <c r="L363" t="str">
        <f>_xlfn.XLOOKUP(Table8[[#This Row],[Supporter_ID]],tb1_supporters[Supporter_ID ],tb1_supporters[County],"")</f>
        <v>Bedfordshire</v>
      </c>
      <c r="M363" t="str">
        <f>_xlfn.XLOOKUP(Table8[[#This Row],[Supporter_ID]],tb1_supporters[Supporter_ID ],tb1_supporters[Gender],"")</f>
        <v>Female</v>
      </c>
      <c r="N363">
        <f ca="1">_xlfn.XLOOKUP(Table8[[#This Row],[Supporter_ID]],tb1_supporters[Supporter_ID ],tb1_supporters[Age],"")</f>
        <v>75</v>
      </c>
      <c r="O363" t="str">
        <f ca="1">_xlfn.XLOOKUP(Table8[[#This Row],[Supporter_ID]],tb1_supporters[Supporter_ID ],tb1_supporters[Age_Band],"")</f>
        <v>65+</v>
      </c>
      <c r="P363" t="str">
        <f ca="1">IF(Table8[[#This Row],[Age_Band]]="","Unknown",Table8[[#This Row],[Age_Band]])</f>
        <v>65+</v>
      </c>
      <c r="Q363" t="str">
        <f>_xlfn.XLOOKUP(Table8[[#This Row],[Supporter_ID]],tb1_supporters[Supporter_ID ],tb1_supporters[Communication_Preference],"")</f>
        <v>Post</v>
      </c>
      <c r="R363" t="str">
        <f>_xlfn.XLOOKUP(Table8[[#This Row],[Supporter_ID]],tb1_supporters[Supporter_ID ],tb1_supporters[Duplicate_Profile_Flag],"")</f>
        <v/>
      </c>
      <c r="S363" t="str">
        <f>_xlfn.XLOOKUP(Table8[[#This Row],[Supporter_ID]],tb1_supporters[Supporter_ID ],tb1_supporters[Preference_Compliance_Flag],"")</f>
        <v/>
      </c>
      <c r="T363" t="str">
        <f ca="1">IF(Table8[[#This Row],[Age]]="","Review - missing DOB",IF(Table8[[#This Row],[Age]]&gt;TODAY(),"Review - future DOB",IF(Table8[[#This Row],[Age]]=0,"Review -  potential entry error (age 0)","")))</f>
        <v/>
      </c>
      <c r="U363" t="str">
        <f>_xlfn.XLOOKUP(Table8[[#This Row],[Campaign_Code]],tb3_CampaignMaster[Campaign_Code],tb3_CampaignMaster[Campaign_Type],"")</f>
        <v>Appeal</v>
      </c>
      <c r="V363" t="str">
        <f>_xlfn.XLOOKUP(Table8[[#This Row],[Campaign_Code]],tb3_CampaignMaster[Campaign_Code],tb3_CampaignMaster[Target_Audience],"")</f>
        <v>All Active</v>
      </c>
      <c r="W363" s="17">
        <f>_xlfn.XLOOKUP(Table8[[#This Row],[Campaign_Code]],tb3_CampaignMaster[Campaign_Code],tb3_CampaignMaster[Start_Date],"")</f>
        <v>45597</v>
      </c>
      <c r="X363" s="17">
        <f>_xlfn.XLOOKUP(Table8[[#This Row],[Campaign_Code]],tb3_CampaignMaster[Campaign_Code],tb3_CampaignMaster[End_Date],"")</f>
        <v>45657</v>
      </c>
      <c r="Y363">
        <f>_xlfn.XLOOKUP(Table8[[#This Row],[Campaign_Code]],tb3_CampaignMaster[Campaign_Code],tb3_CampaignMaster[Budget_GBP],"")</f>
        <v>25000</v>
      </c>
      <c r="Z363" t="str">
        <f>_xlfn.XLOOKUP(Table8[[#This Row],[Campaign_Code]],tb3_CampaignMaster[Campaign_Code],tb3_CampaignMaster[Primary_Channel],"")</f>
        <v>Multi-channel</v>
      </c>
      <c r="AA363" s="13">
        <f>IF(Table8[[#This Row],[Gift_Aid_Eligible]]="Yes",Table8[[#This Row],[Gift_Amount]]*1.25,Table8[[#This Row],[Gift_Amount]])</f>
        <v>18.600000000000001</v>
      </c>
      <c r="AB363" t="str">
        <f>IF(Table8[[#This Row],[Supporter_ID]]="","Review - missing supporter ID","")</f>
        <v/>
      </c>
      <c r="AC363" t="str">
        <f>IF(OR(Table8[[#This Row],[Response_Date]]&lt;Table8[[#This Row],[Start_Date]],Table8[[#This Row],[Response_Date]]&gt;Table8[[#This Row],[End_Date]]),"Review - response outside campaign dates","")</f>
        <v/>
      </c>
      <c r="AD363" t="str">
        <f>IF(Table8[[#This Row],[Campaign_Type]]="","Review - campaign code not found","")</f>
        <v/>
      </c>
    </row>
    <row r="364" spans="1:30" x14ac:dyDescent="0.25">
      <c r="A364" t="s">
        <v>3993</v>
      </c>
      <c r="B364" t="s">
        <v>914</v>
      </c>
      <c r="C364" t="s">
        <v>3354</v>
      </c>
      <c r="D364" t="s">
        <v>3355</v>
      </c>
      <c r="E364" t="s">
        <v>65</v>
      </c>
      <c r="F364" s="17">
        <v>45618</v>
      </c>
      <c r="G364">
        <v>1889.56</v>
      </c>
      <c r="H364" t="s">
        <v>36</v>
      </c>
      <c r="I364" t="s">
        <v>3323</v>
      </c>
      <c r="J364" t="str">
        <f>_xlfn.XLOOKUP(Table8[[#This Row],[Supporter_ID]],tb1_supporters[Supporter_ID ],tb1_supporters[Segment],"")</f>
        <v>Major Donor</v>
      </c>
      <c r="K364" t="str">
        <f>_xlfn.XLOOKUP(Table8[[#This Row],[Supporter_ID]],tb1_supporters[Supporter_ID ],tb1_supporters[Acquisition_Source],"")</f>
        <v>Corporate Partner</v>
      </c>
      <c r="L364" t="str">
        <f>_xlfn.XLOOKUP(Table8[[#This Row],[Supporter_ID]],tb1_supporters[Supporter_ID ],tb1_supporters[County],"")</f>
        <v>Buckinghamshire</v>
      </c>
      <c r="M364" t="str">
        <f>_xlfn.XLOOKUP(Table8[[#This Row],[Supporter_ID]],tb1_supporters[Supporter_ID ],tb1_supporters[Gender],"")</f>
        <v>Female</v>
      </c>
      <c r="N364">
        <f ca="1">_xlfn.XLOOKUP(Table8[[#This Row],[Supporter_ID]],tb1_supporters[Supporter_ID ],tb1_supporters[Age],"")</f>
        <v>64</v>
      </c>
      <c r="O364" t="str">
        <f ca="1">_xlfn.XLOOKUP(Table8[[#This Row],[Supporter_ID]],tb1_supporters[Supporter_ID ],tb1_supporters[Age_Band],"")</f>
        <v>50-64</v>
      </c>
      <c r="P364" t="str">
        <f ca="1">IF(Table8[[#This Row],[Age_Band]]="","Unknown",Table8[[#This Row],[Age_Band]])</f>
        <v>50-64</v>
      </c>
      <c r="Q364" t="str">
        <f>_xlfn.XLOOKUP(Table8[[#This Row],[Supporter_ID]],tb1_supporters[Supporter_ID ],tb1_supporters[Communication_Preference],"")</f>
        <v>Email</v>
      </c>
      <c r="R364" t="str">
        <f>_xlfn.XLOOKUP(Table8[[#This Row],[Supporter_ID]],tb1_supporters[Supporter_ID ],tb1_supporters[Duplicate_Profile_Flag],"")</f>
        <v/>
      </c>
      <c r="S364" t="str">
        <f>_xlfn.XLOOKUP(Table8[[#This Row],[Supporter_ID]],tb1_supporters[Supporter_ID ],tb1_supporters[Preference_Compliance_Flag],"")</f>
        <v/>
      </c>
      <c r="T364" t="str">
        <f ca="1">IF(Table8[[#This Row],[Age]]="","Review - missing DOB",IF(Table8[[#This Row],[Age]]&gt;TODAY(),"Review - future DOB",IF(Table8[[#This Row],[Age]]=0,"Review -  potential entry error (age 0)","")))</f>
        <v/>
      </c>
      <c r="U364" t="str">
        <f>_xlfn.XLOOKUP(Table8[[#This Row],[Campaign_Code]],tb3_CampaignMaster[Campaign_Code],tb3_CampaignMaster[Campaign_Type],"")</f>
        <v>Event</v>
      </c>
      <c r="V364" t="str">
        <f>_xlfn.XLOOKUP(Table8[[#This Row],[Campaign_Code]],tb3_CampaignMaster[Campaign_Code],tb3_CampaignMaster[Target_Audience],"")</f>
        <v>Volunteers</v>
      </c>
      <c r="W364" s="17">
        <f>_xlfn.XLOOKUP(Table8[[#This Row],[Campaign_Code]],tb3_CampaignMaster[Campaign_Code],tb3_CampaignMaster[Start_Date],"")</f>
        <v>45618</v>
      </c>
      <c r="X364" s="17">
        <f>_xlfn.XLOOKUP(Table8[[#This Row],[Campaign_Code]],tb3_CampaignMaster[Campaign_Code],tb3_CampaignMaster[End_Date],"")</f>
        <v>45618</v>
      </c>
      <c r="Y364">
        <f>_xlfn.XLOOKUP(Table8[[#This Row],[Campaign_Code]],tb3_CampaignMaster[Campaign_Code],tb3_CampaignMaster[Budget_GBP],"")</f>
        <v>3500</v>
      </c>
      <c r="Z364" t="str">
        <f>_xlfn.XLOOKUP(Table8[[#This Row],[Campaign_Code]],tb3_CampaignMaster[Campaign_Code],tb3_CampaignMaster[Primary_Channel],"")</f>
        <v>Email</v>
      </c>
      <c r="AA364" s="13">
        <f>IF(Table8[[#This Row],[Gift_Aid_Eligible]]="Yes",Table8[[#This Row],[Gift_Amount]]*1.25,Table8[[#This Row],[Gift_Amount]])</f>
        <v>2361.9499999999998</v>
      </c>
      <c r="AB364" t="str">
        <f>IF(Table8[[#This Row],[Supporter_ID]]="","Review - missing supporter ID","")</f>
        <v/>
      </c>
      <c r="AC364" t="str">
        <f>IF(OR(Table8[[#This Row],[Response_Date]]&lt;Table8[[#This Row],[Start_Date]],Table8[[#This Row],[Response_Date]]&gt;Table8[[#This Row],[End_Date]]),"Review - response outside campaign dates","")</f>
        <v/>
      </c>
      <c r="AD364" t="str">
        <f>IF(Table8[[#This Row],[Campaign_Type]]="","Review - campaign code not found","")</f>
        <v/>
      </c>
    </row>
    <row r="365" spans="1:30" x14ac:dyDescent="0.25">
      <c r="A365" t="s">
        <v>3994</v>
      </c>
      <c r="B365" t="s">
        <v>143</v>
      </c>
      <c r="C365" t="s">
        <v>3362</v>
      </c>
      <c r="D365" t="s">
        <v>3363</v>
      </c>
      <c r="E365" t="s">
        <v>65</v>
      </c>
      <c r="F365" s="17">
        <v>45577</v>
      </c>
      <c r="G365">
        <v>47.13</v>
      </c>
      <c r="H365" t="s">
        <v>36</v>
      </c>
      <c r="I365" t="s">
        <v>3385</v>
      </c>
      <c r="J365" t="str">
        <f>_xlfn.XLOOKUP(Table8[[#This Row],[Supporter_ID]],tb1_supporters[Supporter_ID ],tb1_supporters[Segment],"")</f>
        <v>Regular Giver</v>
      </c>
      <c r="K365" t="str">
        <f>_xlfn.XLOOKUP(Table8[[#This Row],[Supporter_ID]],tb1_supporters[Supporter_ID ],tb1_supporters[Acquisition_Source],"")</f>
        <v>Corporate Partner</v>
      </c>
      <c r="L365" t="str">
        <f>_xlfn.XLOOKUP(Table8[[#This Row],[Supporter_ID]],tb1_supporters[Supporter_ID ],tb1_supporters[County],"")</f>
        <v>South Glamorgan</v>
      </c>
      <c r="M365" t="str">
        <f>_xlfn.XLOOKUP(Table8[[#This Row],[Supporter_ID]],tb1_supporters[Supporter_ID ],tb1_supporters[Gender],"")</f>
        <v>Male</v>
      </c>
      <c r="N365">
        <f ca="1">_xlfn.XLOOKUP(Table8[[#This Row],[Supporter_ID]],tb1_supporters[Supporter_ID ],tb1_supporters[Age],"")</f>
        <v>45</v>
      </c>
      <c r="O365" t="str">
        <f ca="1">_xlfn.XLOOKUP(Table8[[#This Row],[Supporter_ID]],tb1_supporters[Supporter_ID ],tb1_supporters[Age_Band],"")</f>
        <v>35-49</v>
      </c>
      <c r="P365" t="str">
        <f ca="1">IF(Table8[[#This Row],[Age_Band]]="","Unknown",Table8[[#This Row],[Age_Band]])</f>
        <v>35-49</v>
      </c>
      <c r="Q365" t="str">
        <f>_xlfn.XLOOKUP(Table8[[#This Row],[Supporter_ID]],tb1_supporters[Supporter_ID ],tb1_supporters[Communication_Preference],"")</f>
        <v>Email</v>
      </c>
      <c r="R365" t="str">
        <f>_xlfn.XLOOKUP(Table8[[#This Row],[Supporter_ID]],tb1_supporters[Supporter_ID ],tb1_supporters[Duplicate_Profile_Flag],"")</f>
        <v/>
      </c>
      <c r="S365" t="str">
        <f>_xlfn.XLOOKUP(Table8[[#This Row],[Supporter_ID]],tb1_supporters[Supporter_ID ],tb1_supporters[Preference_Compliance_Flag],"")</f>
        <v/>
      </c>
      <c r="T365" t="str">
        <f ca="1">IF(Table8[[#This Row],[Age]]="","Review - missing DOB",IF(Table8[[#This Row],[Age]]&gt;TODAY(),"Review - future DOB",IF(Table8[[#This Row],[Age]]=0,"Review -  potential entry error (age 0)","")))</f>
        <v/>
      </c>
      <c r="U365" t="str">
        <f>_xlfn.XLOOKUP(Table8[[#This Row],[Campaign_Code]],tb3_CampaignMaster[Campaign_Code],tb3_CampaignMaster[Campaign_Type],"")</f>
        <v>Legacy</v>
      </c>
      <c r="V365" t="str">
        <f>_xlfn.XLOOKUP(Table8[[#This Row],[Campaign_Code]],tb3_CampaignMaster[Campaign_Code],tb3_CampaignMaster[Target_Audience],"")</f>
        <v>Over 55s</v>
      </c>
      <c r="W365" s="17">
        <f>_xlfn.XLOOKUP(Table8[[#This Row],[Campaign_Code]],tb3_CampaignMaster[Campaign_Code],tb3_CampaignMaster[Start_Date],"")</f>
        <v>45572</v>
      </c>
      <c r="X365" s="17">
        <f>_xlfn.XLOOKUP(Table8[[#This Row],[Campaign_Code]],tb3_CampaignMaster[Campaign_Code],tb3_CampaignMaster[End_Date],"")</f>
        <v>45578</v>
      </c>
      <c r="Y365">
        <f>_xlfn.XLOOKUP(Table8[[#This Row],[Campaign_Code]],tb3_CampaignMaster[Campaign_Code],tb3_CampaignMaster[Budget_GBP],"")</f>
        <v>5000</v>
      </c>
      <c r="Z365" t="str">
        <f>_xlfn.XLOOKUP(Table8[[#This Row],[Campaign_Code]],tb3_CampaignMaster[Campaign_Code],tb3_CampaignMaster[Primary_Channel],"")</f>
        <v>Direct Mail</v>
      </c>
      <c r="AA365" s="13">
        <f>IF(Table8[[#This Row],[Gift_Aid_Eligible]]="Yes",Table8[[#This Row],[Gift_Amount]]*1.25,Table8[[#This Row],[Gift_Amount]])</f>
        <v>58.912500000000001</v>
      </c>
      <c r="AB365" t="str">
        <f>IF(Table8[[#This Row],[Supporter_ID]]="","Review - missing supporter ID","")</f>
        <v/>
      </c>
      <c r="AC365" t="str">
        <f>IF(OR(Table8[[#This Row],[Response_Date]]&lt;Table8[[#This Row],[Start_Date]],Table8[[#This Row],[Response_Date]]&gt;Table8[[#This Row],[End_Date]]),"Review - response outside campaign dates","")</f>
        <v/>
      </c>
      <c r="AD365" t="str">
        <f>IF(Table8[[#This Row],[Campaign_Type]]="","Review - campaign code not found","")</f>
        <v/>
      </c>
    </row>
    <row r="366" spans="1:30" x14ac:dyDescent="0.25">
      <c r="A366" t="s">
        <v>3996</v>
      </c>
      <c r="B366" t="s">
        <v>345</v>
      </c>
      <c r="C366" t="s">
        <v>3320</v>
      </c>
      <c r="D366" t="s">
        <v>3321</v>
      </c>
      <c r="E366" t="s">
        <v>4</v>
      </c>
      <c r="F366" s="17">
        <v>45466</v>
      </c>
      <c r="G366">
        <v>26.74</v>
      </c>
      <c r="H366" t="s">
        <v>37</v>
      </c>
      <c r="I366" t="s">
        <v>3331</v>
      </c>
      <c r="J366" t="str">
        <f>_xlfn.XLOOKUP(Table8[[#This Row],[Supporter_ID]],tb1_supporters[Supporter_ID ],tb1_supporters[Segment],"")</f>
        <v>Prospect</v>
      </c>
      <c r="K366" t="str">
        <f>_xlfn.XLOOKUP(Table8[[#This Row],[Supporter_ID]],tb1_supporters[Supporter_ID ],tb1_supporters[Acquisition_Source],"")</f>
        <v>Referral</v>
      </c>
      <c r="L366" t="str">
        <f>_xlfn.XLOOKUP(Table8[[#This Row],[Supporter_ID]],tb1_supporters[Supporter_ID ],tb1_supporters[County],"")</f>
        <v>Merseyside</v>
      </c>
      <c r="M366" t="str">
        <f>_xlfn.XLOOKUP(Table8[[#This Row],[Supporter_ID]],tb1_supporters[Supporter_ID ],tb1_supporters[Gender],"")</f>
        <v>Female</v>
      </c>
      <c r="N366">
        <f ca="1">_xlfn.XLOOKUP(Table8[[#This Row],[Supporter_ID]],tb1_supporters[Supporter_ID ],tb1_supporters[Age],"")</f>
        <v>85</v>
      </c>
      <c r="O366" t="str">
        <f ca="1">_xlfn.XLOOKUP(Table8[[#This Row],[Supporter_ID]],tb1_supporters[Supporter_ID ],tb1_supporters[Age_Band],"")</f>
        <v>65+</v>
      </c>
      <c r="P366" t="str">
        <f ca="1">IF(Table8[[#This Row],[Age_Band]]="","Unknown",Table8[[#This Row],[Age_Band]])</f>
        <v>65+</v>
      </c>
      <c r="Q366" t="str">
        <f>_xlfn.XLOOKUP(Table8[[#This Row],[Supporter_ID]],tb1_supporters[Supporter_ID ],tb1_supporters[Communication_Preference],"")</f>
        <v>Email</v>
      </c>
      <c r="R366" t="str">
        <f>_xlfn.XLOOKUP(Table8[[#This Row],[Supporter_ID]],tb1_supporters[Supporter_ID ],tb1_supporters[Duplicate_Profile_Flag],"")</f>
        <v/>
      </c>
      <c r="S366" t="str">
        <f>_xlfn.XLOOKUP(Table8[[#This Row],[Supporter_ID]],tb1_supporters[Supporter_ID ],tb1_supporters[Preference_Compliance_Flag],"")</f>
        <v/>
      </c>
      <c r="T366" t="str">
        <f ca="1">IF(Table8[[#This Row],[Age]]="","Review - missing DOB",IF(Table8[[#This Row],[Age]]&gt;TODAY(),"Review - future DOB",IF(Table8[[#This Row],[Age]]=0,"Review -  potential entry error (age 0)","")))</f>
        <v/>
      </c>
      <c r="U366" t="str">
        <f>_xlfn.XLOOKUP(Table8[[#This Row],[Campaign_Code]],tb3_CampaignMaster[Campaign_Code],tb3_CampaignMaster[Campaign_Type],"")</f>
        <v>Stewardship</v>
      </c>
      <c r="V366" t="str">
        <f>_xlfn.XLOOKUP(Table8[[#This Row],[Campaign_Code]],tb3_CampaignMaster[Campaign_Code],tb3_CampaignMaster[Target_Audience],"")</f>
        <v>Major Donors</v>
      </c>
      <c r="W366" s="17">
        <f>_xlfn.XLOOKUP(Table8[[#This Row],[Campaign_Code]],tb3_CampaignMaster[Campaign_Code],tb3_CampaignMaster[Start_Date],"")</f>
        <v>45444</v>
      </c>
      <c r="X366" s="17">
        <f>_xlfn.XLOOKUP(Table8[[#This Row],[Campaign_Code]],tb3_CampaignMaster[Campaign_Code],tb3_CampaignMaster[End_Date],"")</f>
        <v>45473</v>
      </c>
      <c r="Y366">
        <f>_xlfn.XLOOKUP(Table8[[#This Row],[Campaign_Code]],tb3_CampaignMaster[Campaign_Code],tb3_CampaignMaster[Budget_GBP],"")</f>
        <v>7000</v>
      </c>
      <c r="Z366" t="str">
        <f>_xlfn.XLOOKUP(Table8[[#This Row],[Campaign_Code]],tb3_CampaignMaster[Campaign_Code],tb3_CampaignMaster[Primary_Channel],"")</f>
        <v>Direct Mail</v>
      </c>
      <c r="AA366" s="13">
        <f>IF(Table8[[#This Row],[Gift_Aid_Eligible]]="Yes",Table8[[#This Row],[Gift_Amount]]*1.25,Table8[[#This Row],[Gift_Amount]])</f>
        <v>26.74</v>
      </c>
      <c r="AB366" t="str">
        <f>IF(Table8[[#This Row],[Supporter_ID]]="","Review - missing supporter ID","")</f>
        <v/>
      </c>
      <c r="AC366" t="str">
        <f>IF(OR(Table8[[#This Row],[Response_Date]]&lt;Table8[[#This Row],[Start_Date]],Table8[[#This Row],[Response_Date]]&gt;Table8[[#This Row],[End_Date]]),"Review - response outside campaign dates","")</f>
        <v/>
      </c>
      <c r="AD366" t="str">
        <f>IF(Table8[[#This Row],[Campaign_Type]]="","Review - campaign code not found","")</f>
        <v/>
      </c>
    </row>
    <row r="367" spans="1:30" x14ac:dyDescent="0.25">
      <c r="A367" t="s">
        <v>3997</v>
      </c>
      <c r="B367" t="s">
        <v>2603</v>
      </c>
      <c r="C367" t="s">
        <v>3427</v>
      </c>
      <c r="D367" t="s">
        <v>3428</v>
      </c>
      <c r="E367" t="s">
        <v>65</v>
      </c>
      <c r="F367" s="17">
        <v>45488</v>
      </c>
      <c r="G367">
        <v>137.25</v>
      </c>
      <c r="H367" t="s">
        <v>36</v>
      </c>
      <c r="I367" t="s">
        <v>3331</v>
      </c>
      <c r="J367" t="str">
        <f>_xlfn.XLOOKUP(Table8[[#This Row],[Supporter_ID]],tb1_supporters[Supporter_ID ],tb1_supporters[Segment],"")</f>
        <v>Mid-Value</v>
      </c>
      <c r="K367" t="str">
        <f>_xlfn.XLOOKUP(Table8[[#This Row],[Supporter_ID]],tb1_supporters[Supporter_ID ],tb1_supporters[Acquisition_Source],"")</f>
        <v>Social Media</v>
      </c>
      <c r="L367" t="str">
        <f>_xlfn.XLOOKUP(Table8[[#This Row],[Supporter_ID]],tb1_supporters[Supporter_ID ],tb1_supporters[County],"")</f>
        <v>West Midlands</v>
      </c>
      <c r="M367" t="str">
        <f>_xlfn.XLOOKUP(Table8[[#This Row],[Supporter_ID]],tb1_supporters[Supporter_ID ],tb1_supporters[Gender],"")</f>
        <v>Female</v>
      </c>
      <c r="N367">
        <f ca="1">_xlfn.XLOOKUP(Table8[[#This Row],[Supporter_ID]],tb1_supporters[Supporter_ID ],tb1_supporters[Age],"")</f>
        <v>40</v>
      </c>
      <c r="O367" t="str">
        <f ca="1">_xlfn.XLOOKUP(Table8[[#This Row],[Supporter_ID]],tb1_supporters[Supporter_ID ],tb1_supporters[Age_Band],"")</f>
        <v>35-49</v>
      </c>
      <c r="P367" t="str">
        <f ca="1">IF(Table8[[#This Row],[Age_Band]]="","Unknown",Table8[[#This Row],[Age_Band]])</f>
        <v>35-49</v>
      </c>
      <c r="Q367" t="str">
        <f>_xlfn.XLOOKUP(Table8[[#This Row],[Supporter_ID]],tb1_supporters[Supporter_ID ],tb1_supporters[Communication_Preference],"")</f>
        <v>Post</v>
      </c>
      <c r="R367" t="str">
        <f>_xlfn.XLOOKUP(Table8[[#This Row],[Supporter_ID]],tb1_supporters[Supporter_ID ],tb1_supporters[Duplicate_Profile_Flag],"")</f>
        <v/>
      </c>
      <c r="S367" t="str">
        <f>_xlfn.XLOOKUP(Table8[[#This Row],[Supporter_ID]],tb1_supporters[Supporter_ID ],tb1_supporters[Preference_Compliance_Flag],"")</f>
        <v>Review - prefers post but not opted in</v>
      </c>
      <c r="T367" t="str">
        <f ca="1">IF(Table8[[#This Row],[Age]]="","Review - missing DOB",IF(Table8[[#This Row],[Age]]&gt;TODAY(),"Review - future DOB",IF(Table8[[#This Row],[Age]]=0,"Review -  potential entry error (age 0)","")))</f>
        <v/>
      </c>
      <c r="U367" t="str">
        <f>_xlfn.XLOOKUP(Table8[[#This Row],[Campaign_Code]],tb3_CampaignMaster[Campaign_Code],tb3_CampaignMaster[Campaign_Type],"")</f>
        <v>Event</v>
      </c>
      <c r="V367" t="str">
        <f>_xlfn.XLOOKUP(Table8[[#This Row],[Campaign_Code]],tb3_CampaignMaster[Campaign_Code],tb3_CampaignMaster[Target_Audience],"")</f>
        <v>Major Donors</v>
      </c>
      <c r="W367" s="17">
        <f>_xlfn.XLOOKUP(Table8[[#This Row],[Campaign_Code]],tb3_CampaignMaster[Campaign_Code],tb3_CampaignMaster[Start_Date],"")</f>
        <v>45488</v>
      </c>
      <c r="X367" s="17">
        <f>_xlfn.XLOOKUP(Table8[[#This Row],[Campaign_Code]],tb3_CampaignMaster[Campaign_Code],tb3_CampaignMaster[End_Date],"")</f>
        <v>45488</v>
      </c>
      <c r="Y367">
        <f>_xlfn.XLOOKUP(Table8[[#This Row],[Campaign_Code]],tb3_CampaignMaster[Campaign_Code],tb3_CampaignMaster[Budget_GBP],"")</f>
        <v>45000</v>
      </c>
      <c r="Z367" t="str">
        <f>_xlfn.XLOOKUP(Table8[[#This Row],[Campaign_Code]],tb3_CampaignMaster[Campaign_Code],tb3_CampaignMaster[Primary_Channel],"")</f>
        <v>Direct Mail</v>
      </c>
      <c r="AA367" s="13">
        <f>IF(Table8[[#This Row],[Gift_Aid_Eligible]]="Yes",Table8[[#This Row],[Gift_Amount]]*1.25,Table8[[#This Row],[Gift_Amount]])</f>
        <v>171.5625</v>
      </c>
      <c r="AB367" t="str">
        <f>IF(Table8[[#This Row],[Supporter_ID]]="","Review - missing supporter ID","")</f>
        <v/>
      </c>
      <c r="AC367" t="str">
        <f>IF(OR(Table8[[#This Row],[Response_Date]]&lt;Table8[[#This Row],[Start_Date]],Table8[[#This Row],[Response_Date]]&gt;Table8[[#This Row],[End_Date]]),"Review - response outside campaign dates","")</f>
        <v/>
      </c>
      <c r="AD367" t="str">
        <f>IF(Table8[[#This Row],[Campaign_Type]]="","Review - campaign code not found","")</f>
        <v/>
      </c>
    </row>
    <row r="368" spans="1:30" x14ac:dyDescent="0.25">
      <c r="A368" t="s">
        <v>3998</v>
      </c>
      <c r="B368" t="s">
        <v>1669</v>
      </c>
      <c r="C368" t="s">
        <v>3403</v>
      </c>
      <c r="D368" t="s">
        <v>3404</v>
      </c>
      <c r="E368" t="s">
        <v>65</v>
      </c>
      <c r="F368" s="17">
        <v>45598</v>
      </c>
      <c r="G368">
        <v>13.16</v>
      </c>
      <c r="H368" t="s">
        <v>36</v>
      </c>
      <c r="I368" t="s">
        <v>3334</v>
      </c>
      <c r="J368" t="str">
        <f>_xlfn.XLOOKUP(Table8[[#This Row],[Supporter_ID]],tb1_supporters[Supporter_ID ],tb1_supporters[Segment],"")</f>
        <v>Prospect</v>
      </c>
      <c r="K368" t="str">
        <f>_xlfn.XLOOKUP(Table8[[#This Row],[Supporter_ID]],tb1_supporters[Supporter_ID ],tb1_supporters[Acquisition_Source],"")</f>
        <v>Corporate Partner</v>
      </c>
      <c r="L368" t="str">
        <f>_xlfn.XLOOKUP(Table8[[#This Row],[Supporter_ID]],tb1_supporters[Supporter_ID ],tb1_supporters[County],"")</f>
        <v>South Glamorgan</v>
      </c>
      <c r="M368" t="str">
        <f>_xlfn.XLOOKUP(Table8[[#This Row],[Supporter_ID]],tb1_supporters[Supporter_ID ],tb1_supporters[Gender],"")</f>
        <v>Female</v>
      </c>
      <c r="N368">
        <f ca="1">_xlfn.XLOOKUP(Table8[[#This Row],[Supporter_ID]],tb1_supporters[Supporter_ID ],tb1_supporters[Age],"")</f>
        <v>43</v>
      </c>
      <c r="O368" t="str">
        <f ca="1">_xlfn.XLOOKUP(Table8[[#This Row],[Supporter_ID]],tb1_supporters[Supporter_ID ],tb1_supporters[Age_Band],"")</f>
        <v>35-49</v>
      </c>
      <c r="P368" t="str">
        <f ca="1">IF(Table8[[#This Row],[Age_Band]]="","Unknown",Table8[[#This Row],[Age_Band]])</f>
        <v>35-49</v>
      </c>
      <c r="Q368" t="str">
        <f>_xlfn.XLOOKUP(Table8[[#This Row],[Supporter_ID]],tb1_supporters[Supporter_ID ],tb1_supporters[Communication_Preference],"")</f>
        <v>Phone</v>
      </c>
      <c r="R368" t="str">
        <f>_xlfn.XLOOKUP(Table8[[#This Row],[Supporter_ID]],tb1_supporters[Supporter_ID ],tb1_supporters[Duplicate_Profile_Flag],"")</f>
        <v/>
      </c>
      <c r="S368" t="str">
        <f>_xlfn.XLOOKUP(Table8[[#This Row],[Supporter_ID]],tb1_supporters[Supporter_ID ],tb1_supporters[Preference_Compliance_Flag],"")</f>
        <v/>
      </c>
      <c r="T368" t="str">
        <f ca="1">IF(Table8[[#This Row],[Age]]="","Review - missing DOB",IF(Table8[[#This Row],[Age]]&gt;TODAY(),"Review - future DOB",IF(Table8[[#This Row],[Age]]=0,"Review -  potential entry error (age 0)","")))</f>
        <v/>
      </c>
      <c r="U368" t="str">
        <f>_xlfn.XLOOKUP(Table8[[#This Row],[Campaign_Code]],tb3_CampaignMaster[Campaign_Code],tb3_CampaignMaster[Campaign_Type],"")</f>
        <v>Trading</v>
      </c>
      <c r="V368" t="str">
        <f>_xlfn.XLOOKUP(Table8[[#This Row],[Campaign_Code]],tb3_CampaignMaster[Campaign_Code],tb3_CampaignMaster[Target_Audience],"")</f>
        <v>All Active</v>
      </c>
      <c r="W368" s="17">
        <f>_xlfn.XLOOKUP(Table8[[#This Row],[Campaign_Code]],tb3_CampaignMaster[Campaign_Code],tb3_CampaignMaster[Start_Date],"")</f>
        <v>45580</v>
      </c>
      <c r="X368" s="17">
        <f>_xlfn.XLOOKUP(Table8[[#This Row],[Campaign_Code]],tb3_CampaignMaster[Campaign_Code],tb3_CampaignMaster[End_Date],"")</f>
        <v>45646</v>
      </c>
      <c r="Y368">
        <f>_xlfn.XLOOKUP(Table8[[#This Row],[Campaign_Code]],tb3_CampaignMaster[Campaign_Code],tb3_CampaignMaster[Budget_GBP],"")</f>
        <v>12000</v>
      </c>
      <c r="Z368" t="str">
        <f>_xlfn.XLOOKUP(Table8[[#This Row],[Campaign_Code]],tb3_CampaignMaster[Campaign_Code],tb3_CampaignMaster[Primary_Channel],"")</f>
        <v>Multi-channel</v>
      </c>
      <c r="AA368" s="13">
        <f>IF(Table8[[#This Row],[Gift_Aid_Eligible]]="Yes",Table8[[#This Row],[Gift_Amount]]*1.25,Table8[[#This Row],[Gift_Amount]])</f>
        <v>16.45</v>
      </c>
      <c r="AB368" t="str">
        <f>IF(Table8[[#This Row],[Supporter_ID]]="","Review - missing supporter ID","")</f>
        <v/>
      </c>
      <c r="AC368" t="str">
        <f>IF(OR(Table8[[#This Row],[Response_Date]]&lt;Table8[[#This Row],[Start_Date]],Table8[[#This Row],[Response_Date]]&gt;Table8[[#This Row],[End_Date]]),"Review - response outside campaign dates","")</f>
        <v/>
      </c>
      <c r="AD368" t="str">
        <f>IF(Table8[[#This Row],[Campaign_Type]]="","Review - campaign code not found","")</f>
        <v/>
      </c>
    </row>
    <row r="369" spans="1:30" x14ac:dyDescent="0.25">
      <c r="A369" t="s">
        <v>4000</v>
      </c>
      <c r="B369" t="s">
        <v>1392</v>
      </c>
      <c r="C369" t="s">
        <v>3367</v>
      </c>
      <c r="D369" t="s">
        <v>3368</v>
      </c>
      <c r="E369" t="s">
        <v>4</v>
      </c>
      <c r="F369" s="17">
        <v>45774</v>
      </c>
      <c r="G369">
        <v>114.8</v>
      </c>
      <c r="H369" t="s">
        <v>36</v>
      </c>
      <c r="I369" t="s">
        <v>3331</v>
      </c>
      <c r="J369" t="str">
        <f>_xlfn.XLOOKUP(Table8[[#This Row],[Supporter_ID]],tb1_supporters[Supporter_ID ],tb1_supporters[Segment],"")</f>
        <v>Mid-Value</v>
      </c>
      <c r="K369" t="str">
        <f>_xlfn.XLOOKUP(Table8[[#This Row],[Supporter_ID]],tb1_supporters[Supporter_ID ],tb1_supporters[Acquisition_Source],"")</f>
        <v>Social Media</v>
      </c>
      <c r="L369" t="str">
        <f>_xlfn.XLOOKUP(Table8[[#This Row],[Supporter_ID]],tb1_supporters[Supporter_ID ],tb1_supporters[County],"")</f>
        <v>Gloucestershire</v>
      </c>
      <c r="M369" t="str">
        <f>_xlfn.XLOOKUP(Table8[[#This Row],[Supporter_ID]],tb1_supporters[Supporter_ID ],tb1_supporters[Gender],"")</f>
        <v>Male</v>
      </c>
      <c r="N369">
        <f ca="1">_xlfn.XLOOKUP(Table8[[#This Row],[Supporter_ID]],tb1_supporters[Supporter_ID ],tb1_supporters[Age],"")</f>
        <v>60</v>
      </c>
      <c r="O369" t="str">
        <f ca="1">_xlfn.XLOOKUP(Table8[[#This Row],[Supporter_ID]],tb1_supporters[Supporter_ID ],tb1_supporters[Age_Band],"")</f>
        <v>50-64</v>
      </c>
      <c r="P369" t="str">
        <f ca="1">IF(Table8[[#This Row],[Age_Band]]="","Unknown",Table8[[#This Row],[Age_Band]])</f>
        <v>50-64</v>
      </c>
      <c r="Q369" t="str">
        <f>_xlfn.XLOOKUP(Table8[[#This Row],[Supporter_ID]],tb1_supporters[Supporter_ID ],tb1_supporters[Communication_Preference],"")</f>
        <v>Email</v>
      </c>
      <c r="R369" t="str">
        <f>_xlfn.XLOOKUP(Table8[[#This Row],[Supporter_ID]],tb1_supporters[Supporter_ID ],tb1_supporters[Duplicate_Profile_Flag],"")</f>
        <v/>
      </c>
      <c r="S369" t="str">
        <f>_xlfn.XLOOKUP(Table8[[#This Row],[Supporter_ID]],tb1_supporters[Supporter_ID ],tb1_supporters[Preference_Compliance_Flag],"")</f>
        <v/>
      </c>
      <c r="T369" t="str">
        <f ca="1">IF(Table8[[#This Row],[Age]]="","Review - missing DOB",IF(Table8[[#This Row],[Age]]&gt;TODAY(),"Review - future DOB",IF(Table8[[#This Row],[Age]]=0,"Review -  potential entry error (age 0)","")))</f>
        <v/>
      </c>
      <c r="U369" t="str">
        <f>_xlfn.XLOOKUP(Table8[[#This Row],[Campaign_Code]],tb3_CampaignMaster[Campaign_Code],tb3_CampaignMaster[Campaign_Type],"")</f>
        <v>Raffle</v>
      </c>
      <c r="V369" t="str">
        <f>_xlfn.XLOOKUP(Table8[[#This Row],[Campaign_Code]],tb3_CampaignMaster[Campaign_Code],tb3_CampaignMaster[Target_Audience],"")</f>
        <v>Regular Givers</v>
      </c>
      <c r="W369" s="17">
        <f>_xlfn.XLOOKUP(Table8[[#This Row],[Campaign_Code]],tb3_CampaignMaster[Campaign_Code],tb3_CampaignMaster[Start_Date],"")</f>
        <v>45717</v>
      </c>
      <c r="X369" s="17">
        <f>_xlfn.XLOOKUP(Table8[[#This Row],[Campaign_Code]],tb3_CampaignMaster[Campaign_Code],tb3_CampaignMaster[End_Date],"")</f>
        <v>45777</v>
      </c>
      <c r="Y369">
        <f>_xlfn.XLOOKUP(Table8[[#This Row],[Campaign_Code]],tb3_CampaignMaster[Campaign_Code],tb3_CampaignMaster[Budget_GBP],"")</f>
        <v>8000</v>
      </c>
      <c r="Z369" t="str">
        <f>_xlfn.XLOOKUP(Table8[[#This Row],[Campaign_Code]],tb3_CampaignMaster[Campaign_Code],tb3_CampaignMaster[Primary_Channel],"")</f>
        <v>Direct Mail</v>
      </c>
      <c r="AA369" s="13">
        <f>IF(Table8[[#This Row],[Gift_Aid_Eligible]]="Yes",Table8[[#This Row],[Gift_Amount]]*1.25,Table8[[#This Row],[Gift_Amount]])</f>
        <v>143.5</v>
      </c>
      <c r="AB369" t="str">
        <f>IF(Table8[[#This Row],[Supporter_ID]]="","Review - missing supporter ID","")</f>
        <v/>
      </c>
      <c r="AC369" t="str">
        <f>IF(OR(Table8[[#This Row],[Response_Date]]&lt;Table8[[#This Row],[Start_Date]],Table8[[#This Row],[Response_Date]]&gt;Table8[[#This Row],[End_Date]]),"Review - response outside campaign dates","")</f>
        <v/>
      </c>
      <c r="AD369" t="str">
        <f>IF(Table8[[#This Row],[Campaign_Type]]="","Review - campaign code not found","")</f>
        <v/>
      </c>
    </row>
    <row r="370" spans="1:30" x14ac:dyDescent="0.25">
      <c r="A370" t="s">
        <v>4002</v>
      </c>
      <c r="B370" t="s">
        <v>1927</v>
      </c>
      <c r="C370" t="s">
        <v>3362</v>
      </c>
      <c r="D370" t="s">
        <v>3363</v>
      </c>
      <c r="E370" t="s">
        <v>65</v>
      </c>
      <c r="F370" s="17">
        <v>45572</v>
      </c>
      <c r="G370">
        <v>25.85</v>
      </c>
      <c r="H370" t="s">
        <v>37</v>
      </c>
      <c r="I370" t="s">
        <v>3318</v>
      </c>
      <c r="J370" t="str">
        <f>_xlfn.XLOOKUP(Table8[[#This Row],[Supporter_ID]],tb1_supporters[Supporter_ID ],tb1_supporters[Segment],"")</f>
        <v>Prospect</v>
      </c>
      <c r="K370" t="str">
        <f>_xlfn.XLOOKUP(Table8[[#This Row],[Supporter_ID]],tb1_supporters[Supporter_ID ],tb1_supporters[Acquisition_Source],"")</f>
        <v>Telephone</v>
      </c>
      <c r="L370" t="str">
        <f>_xlfn.XLOOKUP(Table8[[#This Row],[Supporter_ID]],tb1_supporters[Supporter_ID ],tb1_supporters[County],"")</f>
        <v>Oxfordshire</v>
      </c>
      <c r="M370" t="str">
        <f>_xlfn.XLOOKUP(Table8[[#This Row],[Supporter_ID]],tb1_supporters[Supporter_ID ],tb1_supporters[Gender],"")</f>
        <v>Male</v>
      </c>
      <c r="N370">
        <f ca="1">_xlfn.XLOOKUP(Table8[[#This Row],[Supporter_ID]],tb1_supporters[Supporter_ID ],tb1_supporters[Age],"")</f>
        <v>71</v>
      </c>
      <c r="O370" t="str">
        <f ca="1">_xlfn.XLOOKUP(Table8[[#This Row],[Supporter_ID]],tb1_supporters[Supporter_ID ],tb1_supporters[Age_Band],"")</f>
        <v>65+</v>
      </c>
      <c r="P370" t="str">
        <f ca="1">IF(Table8[[#This Row],[Age_Band]]="","Unknown",Table8[[#This Row],[Age_Band]])</f>
        <v>65+</v>
      </c>
      <c r="Q370" t="str">
        <f>_xlfn.XLOOKUP(Table8[[#This Row],[Supporter_ID]],tb1_supporters[Supporter_ID ],tb1_supporters[Communication_Preference],"")</f>
        <v>Email</v>
      </c>
      <c r="R370" t="str">
        <f>_xlfn.XLOOKUP(Table8[[#This Row],[Supporter_ID]],tb1_supporters[Supporter_ID ],tb1_supporters[Duplicate_Profile_Flag],"")</f>
        <v/>
      </c>
      <c r="S370" t="str">
        <f>_xlfn.XLOOKUP(Table8[[#This Row],[Supporter_ID]],tb1_supporters[Supporter_ID ],tb1_supporters[Preference_Compliance_Flag],"")</f>
        <v/>
      </c>
      <c r="T370" t="str">
        <f ca="1">IF(Table8[[#This Row],[Age]]="","Review - missing DOB",IF(Table8[[#This Row],[Age]]&gt;TODAY(),"Review - future DOB",IF(Table8[[#This Row],[Age]]=0,"Review -  potential entry error (age 0)","")))</f>
        <v/>
      </c>
      <c r="U370" t="str">
        <f>_xlfn.XLOOKUP(Table8[[#This Row],[Campaign_Code]],tb3_CampaignMaster[Campaign_Code],tb3_CampaignMaster[Campaign_Type],"")</f>
        <v>Legacy</v>
      </c>
      <c r="V370" t="str">
        <f>_xlfn.XLOOKUP(Table8[[#This Row],[Campaign_Code]],tb3_CampaignMaster[Campaign_Code],tb3_CampaignMaster[Target_Audience],"")</f>
        <v>Over 55s</v>
      </c>
      <c r="W370" s="17">
        <f>_xlfn.XLOOKUP(Table8[[#This Row],[Campaign_Code]],tb3_CampaignMaster[Campaign_Code],tb3_CampaignMaster[Start_Date],"")</f>
        <v>45572</v>
      </c>
      <c r="X370" s="17">
        <f>_xlfn.XLOOKUP(Table8[[#This Row],[Campaign_Code]],tb3_CampaignMaster[Campaign_Code],tb3_CampaignMaster[End_Date],"")</f>
        <v>45578</v>
      </c>
      <c r="Y370">
        <f>_xlfn.XLOOKUP(Table8[[#This Row],[Campaign_Code]],tb3_CampaignMaster[Campaign_Code],tb3_CampaignMaster[Budget_GBP],"")</f>
        <v>5000</v>
      </c>
      <c r="Z370" t="str">
        <f>_xlfn.XLOOKUP(Table8[[#This Row],[Campaign_Code]],tb3_CampaignMaster[Campaign_Code],tb3_CampaignMaster[Primary_Channel],"")</f>
        <v>Direct Mail</v>
      </c>
      <c r="AA370" s="13">
        <f>IF(Table8[[#This Row],[Gift_Aid_Eligible]]="Yes",Table8[[#This Row],[Gift_Amount]]*1.25,Table8[[#This Row],[Gift_Amount]])</f>
        <v>25.85</v>
      </c>
      <c r="AB370" t="str">
        <f>IF(Table8[[#This Row],[Supporter_ID]]="","Review - missing supporter ID","")</f>
        <v/>
      </c>
      <c r="AC370" t="str">
        <f>IF(OR(Table8[[#This Row],[Response_Date]]&lt;Table8[[#This Row],[Start_Date]],Table8[[#This Row],[Response_Date]]&gt;Table8[[#This Row],[End_Date]]),"Review - response outside campaign dates","")</f>
        <v/>
      </c>
      <c r="AD370" t="str">
        <f>IF(Table8[[#This Row],[Campaign_Type]]="","Review - campaign code not found","")</f>
        <v/>
      </c>
    </row>
    <row r="371" spans="1:30" x14ac:dyDescent="0.25">
      <c r="A371" t="s">
        <v>4003</v>
      </c>
      <c r="B371" t="s">
        <v>746</v>
      </c>
      <c r="C371" t="s">
        <v>3325</v>
      </c>
      <c r="D371" t="s">
        <v>3326</v>
      </c>
      <c r="E371" t="s">
        <v>3316</v>
      </c>
      <c r="F371" s="17">
        <v>45633</v>
      </c>
      <c r="G371">
        <v>49.61</v>
      </c>
      <c r="H371" t="s">
        <v>36</v>
      </c>
      <c r="I371" t="s">
        <v>3331</v>
      </c>
      <c r="J371" t="str">
        <f>_xlfn.XLOOKUP(Table8[[#This Row],[Supporter_ID]],tb1_supporters[Supporter_ID ],tb1_supporters[Segment],"")</f>
        <v>Mid-Value</v>
      </c>
      <c r="K371" t="str">
        <f>_xlfn.XLOOKUP(Table8[[#This Row],[Supporter_ID]],tb1_supporters[Supporter_ID ],tb1_supporters[Acquisition_Source],"")</f>
        <v>Corporate Partner</v>
      </c>
      <c r="L371" t="str">
        <f>_xlfn.XLOOKUP(Table8[[#This Row],[Supporter_ID]],tb1_supporters[Supporter_ID ],tb1_supporters[County],"")</f>
        <v>South Glamorgan</v>
      </c>
      <c r="M371" t="str">
        <f>_xlfn.XLOOKUP(Table8[[#This Row],[Supporter_ID]],tb1_supporters[Supporter_ID ],tb1_supporters[Gender],"")</f>
        <v>Female</v>
      </c>
      <c r="N371">
        <f ca="1">_xlfn.XLOOKUP(Table8[[#This Row],[Supporter_ID]],tb1_supporters[Supporter_ID ],tb1_supporters[Age],"")</f>
        <v>53</v>
      </c>
      <c r="O371" t="str">
        <f ca="1">_xlfn.XLOOKUP(Table8[[#This Row],[Supporter_ID]],tb1_supporters[Supporter_ID ],tb1_supporters[Age_Band],"")</f>
        <v>50-64</v>
      </c>
      <c r="P371" t="str">
        <f ca="1">IF(Table8[[#This Row],[Age_Band]]="","Unknown",Table8[[#This Row],[Age_Band]])</f>
        <v>50-64</v>
      </c>
      <c r="Q371" t="str">
        <f>_xlfn.XLOOKUP(Table8[[#This Row],[Supporter_ID]],tb1_supporters[Supporter_ID ],tb1_supporters[Communication_Preference],"")</f>
        <v>Email</v>
      </c>
      <c r="R371" t="str">
        <f>_xlfn.XLOOKUP(Table8[[#This Row],[Supporter_ID]],tb1_supporters[Supporter_ID ],tb1_supporters[Duplicate_Profile_Flag],"")</f>
        <v/>
      </c>
      <c r="S371" t="str">
        <f>_xlfn.XLOOKUP(Table8[[#This Row],[Supporter_ID]],tb1_supporters[Supporter_ID ],tb1_supporters[Preference_Compliance_Flag],"")</f>
        <v/>
      </c>
      <c r="T371" t="str">
        <f ca="1">IF(Table8[[#This Row],[Age]]="","Review - missing DOB",IF(Table8[[#This Row],[Age]]&gt;TODAY(),"Review - future DOB",IF(Table8[[#This Row],[Age]]=0,"Review -  potential entry error (age 0)","")))</f>
        <v/>
      </c>
      <c r="U371" t="str">
        <f>_xlfn.XLOOKUP(Table8[[#This Row],[Campaign_Code]],tb3_CampaignMaster[Campaign_Code],tb3_CampaignMaster[Campaign_Type],"")</f>
        <v>Appeal</v>
      </c>
      <c r="V371" t="str">
        <f>_xlfn.XLOOKUP(Table8[[#This Row],[Campaign_Code]],tb3_CampaignMaster[Campaign_Code],tb3_CampaignMaster[Target_Audience],"")</f>
        <v>All Active</v>
      </c>
      <c r="W371" s="17">
        <f>_xlfn.XLOOKUP(Table8[[#This Row],[Campaign_Code]],tb3_CampaignMaster[Campaign_Code],tb3_CampaignMaster[Start_Date],"")</f>
        <v>45597</v>
      </c>
      <c r="X371" s="17">
        <f>_xlfn.XLOOKUP(Table8[[#This Row],[Campaign_Code]],tb3_CampaignMaster[Campaign_Code],tb3_CampaignMaster[End_Date],"")</f>
        <v>45657</v>
      </c>
      <c r="Y371">
        <f>_xlfn.XLOOKUP(Table8[[#This Row],[Campaign_Code]],tb3_CampaignMaster[Campaign_Code],tb3_CampaignMaster[Budget_GBP],"")</f>
        <v>25000</v>
      </c>
      <c r="Z371" t="str">
        <f>_xlfn.XLOOKUP(Table8[[#This Row],[Campaign_Code]],tb3_CampaignMaster[Campaign_Code],tb3_CampaignMaster[Primary_Channel],"")</f>
        <v>Multi-channel</v>
      </c>
      <c r="AA371" s="13">
        <f>IF(Table8[[#This Row],[Gift_Aid_Eligible]]="Yes",Table8[[#This Row],[Gift_Amount]]*1.25,Table8[[#This Row],[Gift_Amount]])</f>
        <v>62.012500000000003</v>
      </c>
      <c r="AB371" t="str">
        <f>IF(Table8[[#This Row],[Supporter_ID]]="","Review - missing supporter ID","")</f>
        <v/>
      </c>
      <c r="AC371" t="str">
        <f>IF(OR(Table8[[#This Row],[Response_Date]]&lt;Table8[[#This Row],[Start_Date]],Table8[[#This Row],[Response_Date]]&gt;Table8[[#This Row],[End_Date]]),"Review - response outside campaign dates","")</f>
        <v/>
      </c>
      <c r="AD371" t="str">
        <f>IF(Table8[[#This Row],[Campaign_Type]]="","Review - campaign code not found","")</f>
        <v/>
      </c>
    </row>
    <row r="372" spans="1:30" x14ac:dyDescent="0.25">
      <c r="A372" t="s">
        <v>4005</v>
      </c>
      <c r="B372" t="s">
        <v>2182</v>
      </c>
      <c r="C372" t="s">
        <v>3403</v>
      </c>
      <c r="D372" t="s">
        <v>3404</v>
      </c>
      <c r="E372" t="s">
        <v>3316</v>
      </c>
      <c r="F372" s="17">
        <v>45424</v>
      </c>
      <c r="G372">
        <v>254.61</v>
      </c>
      <c r="H372" t="s">
        <v>37</v>
      </c>
      <c r="I372" t="s">
        <v>3328</v>
      </c>
      <c r="J372" t="str">
        <f>_xlfn.XLOOKUP(Table8[[#This Row],[Supporter_ID]],tb1_supporters[Supporter_ID ],tb1_supporters[Segment],"")</f>
        <v>Legacy Pledger</v>
      </c>
      <c r="K372" t="str">
        <f>_xlfn.XLOOKUP(Table8[[#This Row],[Supporter_ID]],tb1_supporters[Supporter_ID ],tb1_supporters[Acquisition_Source],"")</f>
        <v>Direct Mail</v>
      </c>
      <c r="L372" t="str">
        <f>_xlfn.XLOOKUP(Table8[[#This Row],[Supporter_ID]],tb1_supporters[Supporter_ID ],tb1_supporters[County],"")</f>
        <v>Surrey</v>
      </c>
      <c r="M372" t="str">
        <f>_xlfn.XLOOKUP(Table8[[#This Row],[Supporter_ID]],tb1_supporters[Supporter_ID ],tb1_supporters[Gender],"")</f>
        <v>Male</v>
      </c>
      <c r="N372">
        <f ca="1">_xlfn.XLOOKUP(Table8[[#This Row],[Supporter_ID]],tb1_supporters[Supporter_ID ],tb1_supporters[Age],"")</f>
        <v>74</v>
      </c>
      <c r="O372" t="str">
        <f ca="1">_xlfn.XLOOKUP(Table8[[#This Row],[Supporter_ID]],tb1_supporters[Supporter_ID ],tb1_supporters[Age_Band],"")</f>
        <v>65+</v>
      </c>
      <c r="P372" t="str">
        <f ca="1">IF(Table8[[#This Row],[Age_Band]]="","Unknown",Table8[[#This Row],[Age_Band]])</f>
        <v>65+</v>
      </c>
      <c r="Q372" t="str">
        <f>_xlfn.XLOOKUP(Table8[[#This Row],[Supporter_ID]],tb1_supporters[Supporter_ID ],tb1_supporters[Communication_Preference],"")</f>
        <v>Phone</v>
      </c>
      <c r="R372" t="str">
        <f>_xlfn.XLOOKUP(Table8[[#This Row],[Supporter_ID]],tb1_supporters[Supporter_ID ],tb1_supporters[Duplicate_Profile_Flag],"")</f>
        <v/>
      </c>
      <c r="S372" t="str">
        <f>_xlfn.XLOOKUP(Table8[[#This Row],[Supporter_ID]],tb1_supporters[Supporter_ID ],tb1_supporters[Preference_Compliance_Flag],"")</f>
        <v>Review - prefers phone but not opted in</v>
      </c>
      <c r="T372" t="str">
        <f ca="1">IF(Table8[[#This Row],[Age]]="","Review - missing DOB",IF(Table8[[#This Row],[Age]]&gt;TODAY(),"Review - future DOB",IF(Table8[[#This Row],[Age]]=0,"Review -  potential entry error (age 0)","")))</f>
        <v/>
      </c>
      <c r="U372" t="str">
        <f>_xlfn.XLOOKUP(Table8[[#This Row],[Campaign_Code]],tb3_CampaignMaster[Campaign_Code],tb3_CampaignMaster[Campaign_Type],"")</f>
        <v>Trading</v>
      </c>
      <c r="V372" t="str">
        <f>_xlfn.XLOOKUP(Table8[[#This Row],[Campaign_Code]],tb3_CampaignMaster[Campaign_Code],tb3_CampaignMaster[Target_Audience],"")</f>
        <v>All Active</v>
      </c>
      <c r="W372" s="17">
        <f>_xlfn.XLOOKUP(Table8[[#This Row],[Campaign_Code]],tb3_CampaignMaster[Campaign_Code],tb3_CampaignMaster[Start_Date],"")</f>
        <v>45580</v>
      </c>
      <c r="X372" s="17">
        <f>_xlfn.XLOOKUP(Table8[[#This Row],[Campaign_Code]],tb3_CampaignMaster[Campaign_Code],tb3_CampaignMaster[End_Date],"")</f>
        <v>45646</v>
      </c>
      <c r="Y372">
        <f>_xlfn.XLOOKUP(Table8[[#This Row],[Campaign_Code]],tb3_CampaignMaster[Campaign_Code],tb3_CampaignMaster[Budget_GBP],"")</f>
        <v>12000</v>
      </c>
      <c r="Z372" t="str">
        <f>_xlfn.XLOOKUP(Table8[[#This Row],[Campaign_Code]],tb3_CampaignMaster[Campaign_Code],tb3_CampaignMaster[Primary_Channel],"")</f>
        <v>Multi-channel</v>
      </c>
      <c r="AA372" s="13">
        <f>IF(Table8[[#This Row],[Gift_Aid_Eligible]]="Yes",Table8[[#This Row],[Gift_Amount]]*1.25,Table8[[#This Row],[Gift_Amount]])</f>
        <v>254.61</v>
      </c>
      <c r="AB372" t="str">
        <f>IF(Table8[[#This Row],[Supporter_ID]]="","Review - missing supporter ID","")</f>
        <v/>
      </c>
      <c r="AC372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372" t="str">
        <f>IF(Table8[[#This Row],[Campaign_Type]]="","Review - campaign code not found","")</f>
        <v/>
      </c>
    </row>
    <row r="373" spans="1:30" x14ac:dyDescent="0.25">
      <c r="A373" t="s">
        <v>4007</v>
      </c>
      <c r="B373" t="s">
        <v>282</v>
      </c>
      <c r="C373" t="s">
        <v>3320</v>
      </c>
      <c r="D373" t="s">
        <v>3321</v>
      </c>
      <c r="E373" t="s">
        <v>4</v>
      </c>
      <c r="F373" s="17">
        <v>45457</v>
      </c>
      <c r="G373">
        <v>19.87</v>
      </c>
      <c r="H373" t="s">
        <v>36</v>
      </c>
      <c r="I373" t="s">
        <v>3328</v>
      </c>
      <c r="J373" t="str">
        <f>_xlfn.XLOOKUP(Table8[[#This Row],[Supporter_ID]],tb1_supporters[Supporter_ID ],tb1_supporters[Segment],"")</f>
        <v>Legacy Pledger</v>
      </c>
      <c r="K373" t="str">
        <f>_xlfn.XLOOKUP(Table8[[#This Row],[Supporter_ID]],tb1_supporters[Supporter_ID ],tb1_supporters[Acquisition_Source],"")</f>
        <v>Direct Mail</v>
      </c>
      <c r="L373" t="str">
        <f>_xlfn.XLOOKUP(Table8[[#This Row],[Supporter_ID]],tb1_supporters[Supporter_ID ],tb1_supporters[County],"")</f>
        <v>Cambridgeshire</v>
      </c>
      <c r="M373" t="str">
        <f>_xlfn.XLOOKUP(Table8[[#This Row],[Supporter_ID]],tb1_supporters[Supporter_ID ],tb1_supporters[Gender],"")</f>
        <v>Female</v>
      </c>
      <c r="N373">
        <f ca="1">_xlfn.XLOOKUP(Table8[[#This Row],[Supporter_ID]],tb1_supporters[Supporter_ID ],tb1_supporters[Age],"")</f>
        <v>59</v>
      </c>
      <c r="O373" t="str">
        <f ca="1">_xlfn.XLOOKUP(Table8[[#This Row],[Supporter_ID]],tb1_supporters[Supporter_ID ],tb1_supporters[Age_Band],"")</f>
        <v>50-64</v>
      </c>
      <c r="P373" t="str">
        <f ca="1">IF(Table8[[#This Row],[Age_Band]]="","Unknown",Table8[[#This Row],[Age_Band]])</f>
        <v>50-64</v>
      </c>
      <c r="Q373" t="str">
        <f>_xlfn.XLOOKUP(Table8[[#This Row],[Supporter_ID]],tb1_supporters[Supporter_ID ],tb1_supporters[Communication_Preference],"")</f>
        <v>Do Not Contact</v>
      </c>
      <c r="R373" t="str">
        <f>_xlfn.XLOOKUP(Table8[[#This Row],[Supporter_ID]],tb1_supporters[Supporter_ID ],tb1_supporters[Duplicate_Profile_Flag],"")</f>
        <v/>
      </c>
      <c r="S373" t="str">
        <f>_xlfn.XLOOKUP(Table8[[#This Row],[Supporter_ID]],tb1_supporters[Supporter_ID ],tb1_supporters[Preference_Compliance_Flag],"")</f>
        <v/>
      </c>
      <c r="T373" t="str">
        <f ca="1">IF(Table8[[#This Row],[Age]]="","Review - missing DOB",IF(Table8[[#This Row],[Age]]&gt;TODAY(),"Review - future DOB",IF(Table8[[#This Row],[Age]]=0,"Review -  potential entry error (age 0)","")))</f>
        <v/>
      </c>
      <c r="U373" t="str">
        <f>_xlfn.XLOOKUP(Table8[[#This Row],[Campaign_Code]],tb3_CampaignMaster[Campaign_Code],tb3_CampaignMaster[Campaign_Type],"")</f>
        <v>Stewardship</v>
      </c>
      <c r="V373" t="str">
        <f>_xlfn.XLOOKUP(Table8[[#This Row],[Campaign_Code]],tb3_CampaignMaster[Campaign_Code],tb3_CampaignMaster[Target_Audience],"")</f>
        <v>Major Donors</v>
      </c>
      <c r="W373" s="17">
        <f>_xlfn.XLOOKUP(Table8[[#This Row],[Campaign_Code]],tb3_CampaignMaster[Campaign_Code],tb3_CampaignMaster[Start_Date],"")</f>
        <v>45444</v>
      </c>
      <c r="X373" s="17">
        <f>_xlfn.XLOOKUP(Table8[[#This Row],[Campaign_Code]],tb3_CampaignMaster[Campaign_Code],tb3_CampaignMaster[End_Date],"")</f>
        <v>45473</v>
      </c>
      <c r="Y373">
        <f>_xlfn.XLOOKUP(Table8[[#This Row],[Campaign_Code]],tb3_CampaignMaster[Campaign_Code],tb3_CampaignMaster[Budget_GBP],"")</f>
        <v>7000</v>
      </c>
      <c r="Z373" t="str">
        <f>_xlfn.XLOOKUP(Table8[[#This Row],[Campaign_Code]],tb3_CampaignMaster[Campaign_Code],tb3_CampaignMaster[Primary_Channel],"")</f>
        <v>Direct Mail</v>
      </c>
      <c r="AA373" s="13">
        <f>IF(Table8[[#This Row],[Gift_Aid_Eligible]]="Yes",Table8[[#This Row],[Gift_Amount]]*1.25,Table8[[#This Row],[Gift_Amount]])</f>
        <v>24.837500000000002</v>
      </c>
      <c r="AB373" t="str">
        <f>IF(Table8[[#This Row],[Supporter_ID]]="","Review - missing supporter ID","")</f>
        <v/>
      </c>
      <c r="AC373" t="str">
        <f>IF(OR(Table8[[#This Row],[Response_Date]]&lt;Table8[[#This Row],[Start_Date]],Table8[[#This Row],[Response_Date]]&gt;Table8[[#This Row],[End_Date]]),"Review - response outside campaign dates","")</f>
        <v/>
      </c>
      <c r="AD373" t="str">
        <f>IF(Table8[[#This Row],[Campaign_Type]]="","Review - campaign code not found","")</f>
        <v/>
      </c>
    </row>
    <row r="374" spans="1:30" x14ac:dyDescent="0.25">
      <c r="A374" t="s">
        <v>4009</v>
      </c>
      <c r="B374" t="s">
        <v>2598</v>
      </c>
      <c r="C374" t="s">
        <v>3314</v>
      </c>
      <c r="D374" t="s">
        <v>3315</v>
      </c>
      <c r="E374" t="s">
        <v>3316</v>
      </c>
      <c r="F374" s="17">
        <v>45665</v>
      </c>
      <c r="G374">
        <v>-45.47</v>
      </c>
      <c r="H374" t="s">
        <v>36</v>
      </c>
      <c r="I374" t="s">
        <v>3328</v>
      </c>
      <c r="J374" t="str">
        <f>_xlfn.XLOOKUP(Table8[[#This Row],[Supporter_ID]],tb1_supporters[Supporter_ID ],tb1_supporters[Segment],"")</f>
        <v>Mid-Value</v>
      </c>
      <c r="K374" t="str">
        <f>_xlfn.XLOOKUP(Table8[[#This Row],[Supporter_ID]],tb1_supporters[Supporter_ID ],tb1_supporters[Acquisition_Source],"")</f>
        <v>Corporate Partner</v>
      </c>
      <c r="L374" t="str">
        <f>_xlfn.XLOOKUP(Table8[[#This Row],[Supporter_ID]],tb1_supporters[Supporter_ID ],tb1_supporters[County],"")</f>
        <v>Avon</v>
      </c>
      <c r="M374" t="str">
        <f>_xlfn.XLOOKUP(Table8[[#This Row],[Supporter_ID]],tb1_supporters[Supporter_ID ],tb1_supporters[Gender],"")</f>
        <v>Female</v>
      </c>
      <c r="N374">
        <f ca="1">_xlfn.XLOOKUP(Table8[[#This Row],[Supporter_ID]],tb1_supporters[Supporter_ID ],tb1_supporters[Age],"")</f>
        <v>44</v>
      </c>
      <c r="O374" t="str">
        <f ca="1">_xlfn.XLOOKUP(Table8[[#This Row],[Supporter_ID]],tb1_supporters[Supporter_ID ],tb1_supporters[Age_Band],"")</f>
        <v>35-49</v>
      </c>
      <c r="P374" t="str">
        <f ca="1">IF(Table8[[#This Row],[Age_Band]]="","Unknown",Table8[[#This Row],[Age_Band]])</f>
        <v>35-49</v>
      </c>
      <c r="Q374" t="str">
        <f>_xlfn.XLOOKUP(Table8[[#This Row],[Supporter_ID]],tb1_supporters[Supporter_ID ],tb1_supporters[Communication_Preference],"")</f>
        <v>Phone</v>
      </c>
      <c r="R374" t="str">
        <f>_xlfn.XLOOKUP(Table8[[#This Row],[Supporter_ID]],tb1_supporters[Supporter_ID ],tb1_supporters[Duplicate_Profile_Flag],"")</f>
        <v/>
      </c>
      <c r="S374" t="str">
        <f>_xlfn.XLOOKUP(Table8[[#This Row],[Supporter_ID]],tb1_supporters[Supporter_ID ],tb1_supporters[Preference_Compliance_Flag],"")</f>
        <v/>
      </c>
      <c r="T374" t="str">
        <f ca="1">IF(Table8[[#This Row],[Age]]="","Review - missing DOB",IF(Table8[[#This Row],[Age]]&gt;TODAY(),"Review - future DOB",IF(Table8[[#This Row],[Age]]=0,"Review -  potential entry error (age 0)","")))</f>
        <v/>
      </c>
      <c r="U374" t="str">
        <f>_xlfn.XLOOKUP(Table8[[#This Row],[Campaign_Code]],tb3_CampaignMaster[Campaign_Code],tb3_CampaignMaster[Campaign_Type],"")</f>
        <v>Regular Giving</v>
      </c>
      <c r="V374" t="str">
        <f>_xlfn.XLOOKUP(Table8[[#This Row],[Campaign_Code]],tb3_CampaignMaster[Campaign_Code],tb3_CampaignMaster[Target_Audience],"")</f>
        <v>One-time Donors</v>
      </c>
      <c r="W374" s="17">
        <f>_xlfn.XLOOKUP(Table8[[#This Row],[Campaign_Code]],tb3_CampaignMaster[Campaign_Code],tb3_CampaignMaster[Start_Date],"")</f>
        <v>45663</v>
      </c>
      <c r="X374" s="17">
        <f>_xlfn.XLOOKUP(Table8[[#This Row],[Campaign_Code]],tb3_CampaignMaster[Campaign_Code],tb3_CampaignMaster[End_Date],"")</f>
        <v>45747</v>
      </c>
      <c r="Y374">
        <f>_xlfn.XLOOKUP(Table8[[#This Row],[Campaign_Code]],tb3_CampaignMaster[Campaign_Code],tb3_CampaignMaster[Budget_GBP],"")</f>
        <v>10000</v>
      </c>
      <c r="Z374" t="str">
        <f>_xlfn.XLOOKUP(Table8[[#This Row],[Campaign_Code]],tb3_CampaignMaster[Campaign_Code],tb3_CampaignMaster[Primary_Channel],"")</f>
        <v>Telephone</v>
      </c>
      <c r="AA374" s="13">
        <f>IF(Table8[[#This Row],[Gift_Aid_Eligible]]="Yes",Table8[[#This Row],[Gift_Amount]]*1.25,Table8[[#This Row],[Gift_Amount]])</f>
        <v>-56.837499999999999</v>
      </c>
      <c r="AB374" t="str">
        <f>IF(Table8[[#This Row],[Supporter_ID]]="","Review - missing supporter ID","")</f>
        <v/>
      </c>
      <c r="AC374" t="str">
        <f>IF(OR(Table8[[#This Row],[Response_Date]]&lt;Table8[[#This Row],[Start_Date]],Table8[[#This Row],[Response_Date]]&gt;Table8[[#This Row],[End_Date]]),"Review - response outside campaign dates","")</f>
        <v/>
      </c>
      <c r="AD374" t="str">
        <f>IF(Table8[[#This Row],[Campaign_Type]]="","Review - campaign code not found","")</f>
        <v/>
      </c>
    </row>
    <row r="375" spans="1:30" x14ac:dyDescent="0.25">
      <c r="A375" t="s">
        <v>4011</v>
      </c>
      <c r="B375" t="s">
        <v>330</v>
      </c>
      <c r="C375" t="s">
        <v>3403</v>
      </c>
      <c r="D375" t="s">
        <v>3404</v>
      </c>
      <c r="E375" t="s">
        <v>3316</v>
      </c>
      <c r="F375" s="17">
        <v>45638</v>
      </c>
      <c r="G375">
        <v>41.92</v>
      </c>
      <c r="H375" t="s">
        <v>37</v>
      </c>
      <c r="I375" t="s">
        <v>3365</v>
      </c>
      <c r="J375" t="str">
        <f>_xlfn.XLOOKUP(Table8[[#This Row],[Supporter_ID]],tb1_supporters[Supporter_ID ],tb1_supporters[Segment],"")</f>
        <v>Regular Giver</v>
      </c>
      <c r="K375" t="str">
        <f>_xlfn.XLOOKUP(Table8[[#This Row],[Supporter_ID]],tb1_supporters[Supporter_ID ],tb1_supporters[Acquisition_Source],"")</f>
        <v>Referral</v>
      </c>
      <c r="L375" t="str">
        <f>_xlfn.XLOOKUP(Table8[[#This Row],[Supporter_ID]],tb1_supporters[Supporter_ID ],tb1_supporters[County],"")</f>
        <v>Norfolk</v>
      </c>
      <c r="M375" t="str">
        <f>_xlfn.XLOOKUP(Table8[[#This Row],[Supporter_ID]],tb1_supporters[Supporter_ID ],tb1_supporters[Gender],"")</f>
        <v>Male</v>
      </c>
      <c r="N375">
        <f ca="1">_xlfn.XLOOKUP(Table8[[#This Row],[Supporter_ID]],tb1_supporters[Supporter_ID ],tb1_supporters[Age],"")</f>
        <v>52</v>
      </c>
      <c r="O375" t="str">
        <f ca="1">_xlfn.XLOOKUP(Table8[[#This Row],[Supporter_ID]],tb1_supporters[Supporter_ID ],tb1_supporters[Age_Band],"")</f>
        <v>50-64</v>
      </c>
      <c r="P375" t="str">
        <f ca="1">IF(Table8[[#This Row],[Age_Band]]="","Unknown",Table8[[#This Row],[Age_Band]])</f>
        <v>50-64</v>
      </c>
      <c r="Q375" t="str">
        <f>_xlfn.XLOOKUP(Table8[[#This Row],[Supporter_ID]],tb1_supporters[Supporter_ID ],tb1_supporters[Communication_Preference],"")</f>
        <v>Post</v>
      </c>
      <c r="R375" t="str">
        <f>_xlfn.XLOOKUP(Table8[[#This Row],[Supporter_ID]],tb1_supporters[Supporter_ID ],tb1_supporters[Duplicate_Profile_Flag],"")</f>
        <v/>
      </c>
      <c r="S375" t="str">
        <f>_xlfn.XLOOKUP(Table8[[#This Row],[Supporter_ID]],tb1_supporters[Supporter_ID ],tb1_supporters[Preference_Compliance_Flag],"")</f>
        <v/>
      </c>
      <c r="T375" t="str">
        <f ca="1">IF(Table8[[#This Row],[Age]]="","Review - missing DOB",IF(Table8[[#This Row],[Age]]&gt;TODAY(),"Review - future DOB",IF(Table8[[#This Row],[Age]]=0,"Review -  potential entry error (age 0)","")))</f>
        <v/>
      </c>
      <c r="U375" t="str">
        <f>_xlfn.XLOOKUP(Table8[[#This Row],[Campaign_Code]],tb3_CampaignMaster[Campaign_Code],tb3_CampaignMaster[Campaign_Type],"")</f>
        <v>Trading</v>
      </c>
      <c r="V375" t="str">
        <f>_xlfn.XLOOKUP(Table8[[#This Row],[Campaign_Code]],tb3_CampaignMaster[Campaign_Code],tb3_CampaignMaster[Target_Audience],"")</f>
        <v>All Active</v>
      </c>
      <c r="W375" s="17">
        <f>_xlfn.XLOOKUP(Table8[[#This Row],[Campaign_Code]],tb3_CampaignMaster[Campaign_Code],tb3_CampaignMaster[Start_Date],"")</f>
        <v>45580</v>
      </c>
      <c r="X375" s="17">
        <f>_xlfn.XLOOKUP(Table8[[#This Row],[Campaign_Code]],tb3_CampaignMaster[Campaign_Code],tb3_CampaignMaster[End_Date],"")</f>
        <v>45646</v>
      </c>
      <c r="Y375">
        <f>_xlfn.XLOOKUP(Table8[[#This Row],[Campaign_Code]],tb3_CampaignMaster[Campaign_Code],tb3_CampaignMaster[Budget_GBP],"")</f>
        <v>12000</v>
      </c>
      <c r="Z375" t="str">
        <f>_xlfn.XLOOKUP(Table8[[#This Row],[Campaign_Code]],tb3_CampaignMaster[Campaign_Code],tb3_CampaignMaster[Primary_Channel],"")</f>
        <v>Multi-channel</v>
      </c>
      <c r="AA375" s="13">
        <f>IF(Table8[[#This Row],[Gift_Aid_Eligible]]="Yes",Table8[[#This Row],[Gift_Amount]]*1.25,Table8[[#This Row],[Gift_Amount]])</f>
        <v>41.92</v>
      </c>
      <c r="AB375" t="str">
        <f>IF(Table8[[#This Row],[Supporter_ID]]="","Review - missing supporter ID","")</f>
        <v/>
      </c>
      <c r="AC375" t="str">
        <f>IF(OR(Table8[[#This Row],[Response_Date]]&lt;Table8[[#This Row],[Start_Date]],Table8[[#This Row],[Response_Date]]&gt;Table8[[#This Row],[End_Date]]),"Review - response outside campaign dates","")</f>
        <v/>
      </c>
      <c r="AD375" t="str">
        <f>IF(Table8[[#This Row],[Campaign_Type]]="","Review - campaign code not found","")</f>
        <v/>
      </c>
    </row>
    <row r="376" spans="1:30" x14ac:dyDescent="0.25">
      <c r="A376" t="s">
        <v>4013</v>
      </c>
      <c r="B376" t="s">
        <v>1405</v>
      </c>
      <c r="C376" t="s">
        <v>3367</v>
      </c>
      <c r="D376" t="s">
        <v>3368</v>
      </c>
      <c r="E376" t="s">
        <v>65</v>
      </c>
      <c r="F376" s="17">
        <v>45729</v>
      </c>
      <c r="G376">
        <v>140.09</v>
      </c>
      <c r="H376" t="s">
        <v>37</v>
      </c>
      <c r="I376" t="s">
        <v>3318</v>
      </c>
      <c r="J376" t="str">
        <f>_xlfn.XLOOKUP(Table8[[#This Row],[Supporter_ID]],tb1_supporters[Supporter_ID ],tb1_supporters[Segment],"")</f>
        <v>Mid-Value</v>
      </c>
      <c r="K376" t="str">
        <f>_xlfn.XLOOKUP(Table8[[#This Row],[Supporter_ID]],tb1_supporters[Supporter_ID ],tb1_supporters[Acquisition_Source],"")</f>
        <v>Event</v>
      </c>
      <c r="L376" t="str">
        <f>_xlfn.XLOOKUP(Table8[[#This Row],[Supporter_ID]],tb1_supporters[Supporter_ID ],tb1_supporters[County],"")</f>
        <v>South Glamorgan</v>
      </c>
      <c r="M376" t="str">
        <f>_xlfn.XLOOKUP(Table8[[#This Row],[Supporter_ID]],tb1_supporters[Supporter_ID ],tb1_supporters[Gender],"")</f>
        <v>Female</v>
      </c>
      <c r="N376">
        <f ca="1">_xlfn.XLOOKUP(Table8[[#This Row],[Supporter_ID]],tb1_supporters[Supporter_ID ],tb1_supporters[Age],"")</f>
        <v>95</v>
      </c>
      <c r="O376" t="str">
        <f ca="1">_xlfn.XLOOKUP(Table8[[#This Row],[Supporter_ID]],tb1_supporters[Supporter_ID ],tb1_supporters[Age_Band],"")</f>
        <v>65+</v>
      </c>
      <c r="P376" t="str">
        <f ca="1">IF(Table8[[#This Row],[Age_Band]]="","Unknown",Table8[[#This Row],[Age_Band]])</f>
        <v>65+</v>
      </c>
      <c r="Q376" t="str">
        <f>_xlfn.XLOOKUP(Table8[[#This Row],[Supporter_ID]],tb1_supporters[Supporter_ID ],tb1_supporters[Communication_Preference],"")</f>
        <v>Email</v>
      </c>
      <c r="R376" t="str">
        <f>_xlfn.XLOOKUP(Table8[[#This Row],[Supporter_ID]],tb1_supporters[Supporter_ID ],tb1_supporters[Duplicate_Profile_Flag],"")</f>
        <v/>
      </c>
      <c r="S376" t="str">
        <f>_xlfn.XLOOKUP(Table8[[#This Row],[Supporter_ID]],tb1_supporters[Supporter_ID ],tb1_supporters[Preference_Compliance_Flag],"")</f>
        <v/>
      </c>
      <c r="T376" t="str">
        <f ca="1">IF(Table8[[#This Row],[Age]]="","Review - missing DOB",IF(Table8[[#This Row],[Age]]&gt;TODAY(),"Review - future DOB",IF(Table8[[#This Row],[Age]]=0,"Review -  potential entry error (age 0)","")))</f>
        <v/>
      </c>
      <c r="U376" t="str">
        <f>_xlfn.XLOOKUP(Table8[[#This Row],[Campaign_Code]],tb3_CampaignMaster[Campaign_Code],tb3_CampaignMaster[Campaign_Type],"")</f>
        <v>Raffle</v>
      </c>
      <c r="V376" t="str">
        <f>_xlfn.XLOOKUP(Table8[[#This Row],[Campaign_Code]],tb3_CampaignMaster[Campaign_Code],tb3_CampaignMaster[Target_Audience],"")</f>
        <v>Regular Givers</v>
      </c>
      <c r="W376" s="17">
        <f>_xlfn.XLOOKUP(Table8[[#This Row],[Campaign_Code]],tb3_CampaignMaster[Campaign_Code],tb3_CampaignMaster[Start_Date],"")</f>
        <v>45717</v>
      </c>
      <c r="X376" s="17">
        <f>_xlfn.XLOOKUP(Table8[[#This Row],[Campaign_Code]],tb3_CampaignMaster[Campaign_Code],tb3_CampaignMaster[End_Date],"")</f>
        <v>45777</v>
      </c>
      <c r="Y376">
        <f>_xlfn.XLOOKUP(Table8[[#This Row],[Campaign_Code]],tb3_CampaignMaster[Campaign_Code],tb3_CampaignMaster[Budget_GBP],"")</f>
        <v>8000</v>
      </c>
      <c r="Z376" t="str">
        <f>_xlfn.XLOOKUP(Table8[[#This Row],[Campaign_Code]],tb3_CampaignMaster[Campaign_Code],tb3_CampaignMaster[Primary_Channel],"")</f>
        <v>Direct Mail</v>
      </c>
      <c r="AA376" s="13">
        <f>IF(Table8[[#This Row],[Gift_Aid_Eligible]]="Yes",Table8[[#This Row],[Gift_Amount]]*1.25,Table8[[#This Row],[Gift_Amount]])</f>
        <v>140.09</v>
      </c>
      <c r="AB376" t="str">
        <f>IF(Table8[[#This Row],[Supporter_ID]]="","Review - missing supporter ID","")</f>
        <v/>
      </c>
      <c r="AC376" t="str">
        <f>IF(OR(Table8[[#This Row],[Response_Date]]&lt;Table8[[#This Row],[Start_Date]],Table8[[#This Row],[Response_Date]]&gt;Table8[[#This Row],[End_Date]]),"Review - response outside campaign dates","")</f>
        <v/>
      </c>
      <c r="AD376" t="str">
        <f>IF(Table8[[#This Row],[Campaign_Type]]="","Review - campaign code not found","")</f>
        <v/>
      </c>
    </row>
    <row r="377" spans="1:30" x14ac:dyDescent="0.25">
      <c r="A377" t="s">
        <v>4015</v>
      </c>
      <c r="B377" t="s">
        <v>987</v>
      </c>
      <c r="C377" t="s">
        <v>3336</v>
      </c>
      <c r="D377" t="s">
        <v>3337</v>
      </c>
      <c r="E377" t="s">
        <v>4</v>
      </c>
      <c r="F377" s="17">
        <v>45547</v>
      </c>
      <c r="G377">
        <v>69.41</v>
      </c>
      <c r="H377" t="s">
        <v>36</v>
      </c>
      <c r="I377" t="s">
        <v>3328</v>
      </c>
      <c r="J377" t="str">
        <f>_xlfn.XLOOKUP(Table8[[#This Row],[Supporter_ID]],tb1_supporters[Supporter_ID ],tb1_supporters[Segment],"")</f>
        <v>Mid-Value</v>
      </c>
      <c r="K377" t="str">
        <f>_xlfn.XLOOKUP(Table8[[#This Row],[Supporter_ID]],tb1_supporters[Supporter_ID ],tb1_supporters[Acquisition_Source],"")</f>
        <v>Corporate Partner</v>
      </c>
      <c r="L377" t="str">
        <f>_xlfn.XLOOKUP(Table8[[#This Row],[Supporter_ID]],tb1_supporters[Supporter_ID ],tb1_supporters[County],"")</f>
        <v>West Yorkshire</v>
      </c>
      <c r="M377" t="str">
        <f>_xlfn.XLOOKUP(Table8[[#This Row],[Supporter_ID]],tb1_supporters[Supporter_ID ],tb1_supporters[Gender],"")</f>
        <v>Female</v>
      </c>
      <c r="N377">
        <f ca="1">_xlfn.XLOOKUP(Table8[[#This Row],[Supporter_ID]],tb1_supporters[Supporter_ID ],tb1_supporters[Age],"")</f>
        <v>76</v>
      </c>
      <c r="O377" t="str">
        <f ca="1">_xlfn.XLOOKUP(Table8[[#This Row],[Supporter_ID]],tb1_supporters[Supporter_ID ],tb1_supporters[Age_Band],"")</f>
        <v>65+</v>
      </c>
      <c r="P377" t="str">
        <f ca="1">IF(Table8[[#This Row],[Age_Band]]="","Unknown",Table8[[#This Row],[Age_Band]])</f>
        <v>65+</v>
      </c>
      <c r="Q377" t="str">
        <f>_xlfn.XLOOKUP(Table8[[#This Row],[Supporter_ID]],tb1_supporters[Supporter_ID ],tb1_supporters[Communication_Preference],"")</f>
        <v>Email</v>
      </c>
      <c r="R377" t="str">
        <f>_xlfn.XLOOKUP(Table8[[#This Row],[Supporter_ID]],tb1_supporters[Supporter_ID ],tb1_supporters[Duplicate_Profile_Flag],"")</f>
        <v/>
      </c>
      <c r="S377" t="str">
        <f>_xlfn.XLOOKUP(Table8[[#This Row],[Supporter_ID]],tb1_supporters[Supporter_ID ],tb1_supporters[Preference_Compliance_Flag],"")</f>
        <v>Review - prefers email but not opted in</v>
      </c>
      <c r="T377" t="str">
        <f ca="1">IF(Table8[[#This Row],[Age]]="","Review - missing DOB",IF(Table8[[#This Row],[Age]]&gt;TODAY(),"Review - future DOB",IF(Table8[[#This Row],[Age]]=0,"Review -  potential entry error (age 0)","")))</f>
        <v/>
      </c>
      <c r="U377" t="str">
        <f>_xlfn.XLOOKUP(Table8[[#This Row],[Campaign_Code]],tb3_CampaignMaster[Campaign_Code],tb3_CampaignMaster[Campaign_Type],"")</f>
        <v>Appeal</v>
      </c>
      <c r="V377" t="str">
        <f>_xlfn.XLOOKUP(Table8[[#This Row],[Campaign_Code]],tb3_CampaignMaster[Campaign_Code],tb3_CampaignMaster[Target_Audience],"")</f>
        <v>All Supporters</v>
      </c>
      <c r="W377" s="17">
        <f>_xlfn.XLOOKUP(Table8[[#This Row],[Campaign_Code]],tb3_CampaignMaster[Campaign_Code],tb3_CampaignMaster[Start_Date],"")</f>
        <v>45545</v>
      </c>
      <c r="X377" s="17">
        <f>_xlfn.XLOOKUP(Table8[[#This Row],[Campaign_Code]],tb3_CampaignMaster[Campaign_Code],tb3_CampaignMaster[End_Date],"")</f>
        <v>45580</v>
      </c>
      <c r="Y377">
        <f>_xlfn.XLOOKUP(Table8[[#This Row],[Campaign_Code]],tb3_CampaignMaster[Campaign_Code],tb3_CampaignMaster[Budget_GBP],"")</f>
        <v>15000</v>
      </c>
      <c r="Z377" t="str">
        <f>_xlfn.XLOOKUP(Table8[[#This Row],[Campaign_Code]],tb3_CampaignMaster[Campaign_Code],tb3_CampaignMaster[Primary_Channel],"")</f>
        <v>Email</v>
      </c>
      <c r="AA377" s="13">
        <f>IF(Table8[[#This Row],[Gift_Aid_Eligible]]="Yes",Table8[[#This Row],[Gift_Amount]]*1.25,Table8[[#This Row],[Gift_Amount]])</f>
        <v>86.762499999999989</v>
      </c>
      <c r="AB377" t="str">
        <f>IF(Table8[[#This Row],[Supporter_ID]]="","Review - missing supporter ID","")</f>
        <v/>
      </c>
      <c r="AC377" t="str">
        <f>IF(OR(Table8[[#This Row],[Response_Date]]&lt;Table8[[#This Row],[Start_Date]],Table8[[#This Row],[Response_Date]]&gt;Table8[[#This Row],[End_Date]]),"Review - response outside campaign dates","")</f>
        <v/>
      </c>
      <c r="AD377" t="str">
        <f>IF(Table8[[#This Row],[Campaign_Type]]="","Review - campaign code not found","")</f>
        <v/>
      </c>
    </row>
    <row r="378" spans="1:30" x14ac:dyDescent="0.25">
      <c r="A378" t="s">
        <v>4017</v>
      </c>
      <c r="B378" t="s">
        <v>2638</v>
      </c>
      <c r="C378" t="s">
        <v>3341</v>
      </c>
      <c r="D378" t="s">
        <v>3342</v>
      </c>
      <c r="E378" t="s">
        <v>4</v>
      </c>
      <c r="F378" s="17">
        <v>45965</v>
      </c>
      <c r="G378">
        <v>386.53</v>
      </c>
      <c r="H378" t="s">
        <v>37</v>
      </c>
      <c r="I378" t="s">
        <v>3385</v>
      </c>
      <c r="J378" t="str">
        <f>_xlfn.XLOOKUP(Table8[[#This Row],[Supporter_ID]],tb1_supporters[Supporter_ID ],tb1_supporters[Segment],"")</f>
        <v>Legacy Pledger</v>
      </c>
      <c r="K378" t="str">
        <f>_xlfn.XLOOKUP(Table8[[#This Row],[Supporter_ID]],tb1_supporters[Supporter_ID ],tb1_supporters[Acquisition_Source],"")</f>
        <v>Website</v>
      </c>
      <c r="L378" t="str">
        <f>_xlfn.XLOOKUP(Table8[[#This Row],[Supporter_ID]],tb1_supporters[Supporter_ID ],tb1_supporters[County],"")</f>
        <v>Hampshire</v>
      </c>
      <c r="M378" t="str">
        <f>_xlfn.XLOOKUP(Table8[[#This Row],[Supporter_ID]],tb1_supporters[Supporter_ID ],tb1_supporters[Gender],"")</f>
        <v>Male</v>
      </c>
      <c r="N378">
        <f ca="1">_xlfn.XLOOKUP(Table8[[#This Row],[Supporter_ID]],tb1_supporters[Supporter_ID ],tb1_supporters[Age],"")</f>
        <v>50</v>
      </c>
      <c r="O378" t="str">
        <f ca="1">_xlfn.XLOOKUP(Table8[[#This Row],[Supporter_ID]],tb1_supporters[Supporter_ID ],tb1_supporters[Age_Band],"")</f>
        <v>50-64</v>
      </c>
      <c r="P378" t="str">
        <f ca="1">IF(Table8[[#This Row],[Age_Band]]="","Unknown",Table8[[#This Row],[Age_Band]])</f>
        <v>50-64</v>
      </c>
      <c r="Q378" t="str">
        <f>_xlfn.XLOOKUP(Table8[[#This Row],[Supporter_ID]],tb1_supporters[Supporter_ID ],tb1_supporters[Communication_Preference],"")</f>
        <v>Email</v>
      </c>
      <c r="R378" t="str">
        <f>_xlfn.XLOOKUP(Table8[[#This Row],[Supporter_ID]],tb1_supporters[Supporter_ID ],tb1_supporters[Duplicate_Profile_Flag],"")</f>
        <v/>
      </c>
      <c r="S378" t="str">
        <f>_xlfn.XLOOKUP(Table8[[#This Row],[Supporter_ID]],tb1_supporters[Supporter_ID ],tb1_supporters[Preference_Compliance_Flag],"")</f>
        <v/>
      </c>
      <c r="T378" t="str">
        <f ca="1">IF(Table8[[#This Row],[Age]]="","Review - missing DOB",IF(Table8[[#This Row],[Age]]&gt;TODAY(),"Review - future DOB",IF(Table8[[#This Row],[Age]]=0,"Review -  potential entry error (age 0)","")))</f>
        <v/>
      </c>
      <c r="U378" t="str">
        <f>_xlfn.XLOOKUP(Table8[[#This Row],[Campaign_Code]],tb3_CampaignMaster[Campaign_Code],tb3_CampaignMaster[Campaign_Type],"")</f>
        <v>Acquisition</v>
      </c>
      <c r="V378" t="str">
        <f>_xlfn.XLOOKUP(Table8[[#This Row],[Campaign_Code]],tb3_CampaignMaster[Campaign_Code],tb3_CampaignMaster[Target_Audience],"")</f>
        <v>Prospects</v>
      </c>
      <c r="W378" s="17">
        <f>_xlfn.XLOOKUP(Table8[[#This Row],[Campaign_Code]],tb3_CampaignMaster[Campaign_Code],tb3_CampaignMaster[Start_Date],"")</f>
        <v>45689</v>
      </c>
      <c r="X378" s="17">
        <f>_xlfn.XLOOKUP(Table8[[#This Row],[Campaign_Code]],tb3_CampaignMaster[Campaign_Code],tb3_CampaignMaster[End_Date],"")</f>
        <v>45777</v>
      </c>
      <c r="Y378">
        <f>_xlfn.XLOOKUP(Table8[[#This Row],[Campaign_Code]],tb3_CampaignMaster[Campaign_Code],tb3_CampaignMaster[Budget_GBP],"")</f>
        <v>20000</v>
      </c>
      <c r="Z378" t="str">
        <f>_xlfn.XLOOKUP(Table8[[#This Row],[Campaign_Code]],tb3_CampaignMaster[Campaign_Code],tb3_CampaignMaster[Primary_Channel],"")</f>
        <v>Digital</v>
      </c>
      <c r="AA378" s="13">
        <f>IF(Table8[[#This Row],[Gift_Aid_Eligible]]="Yes",Table8[[#This Row],[Gift_Amount]]*1.25,Table8[[#This Row],[Gift_Amount]])</f>
        <v>386.53</v>
      </c>
      <c r="AB378" t="str">
        <f>IF(Table8[[#This Row],[Supporter_ID]]="","Review - missing supporter ID","")</f>
        <v/>
      </c>
      <c r="AC378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378" t="str">
        <f>IF(Table8[[#This Row],[Campaign_Type]]="","Review - campaign code not found","")</f>
        <v/>
      </c>
    </row>
    <row r="379" spans="1:30" x14ac:dyDescent="0.25">
      <c r="A379" t="s">
        <v>4018</v>
      </c>
      <c r="B379" t="s">
        <v>282</v>
      </c>
      <c r="C379" t="s">
        <v>3354</v>
      </c>
      <c r="D379" t="s">
        <v>3355</v>
      </c>
      <c r="E379" t="s">
        <v>4</v>
      </c>
      <c r="F379" s="17">
        <v>45618</v>
      </c>
      <c r="G379">
        <v>168.4</v>
      </c>
      <c r="H379" t="s">
        <v>37</v>
      </c>
      <c r="I379" t="s">
        <v>3370</v>
      </c>
      <c r="J379" t="str">
        <f>_xlfn.XLOOKUP(Table8[[#This Row],[Supporter_ID]],tb1_supporters[Supporter_ID ],tb1_supporters[Segment],"")</f>
        <v>Legacy Pledger</v>
      </c>
      <c r="K379" t="str">
        <f>_xlfn.XLOOKUP(Table8[[#This Row],[Supporter_ID]],tb1_supporters[Supporter_ID ],tb1_supporters[Acquisition_Source],"")</f>
        <v>Direct Mail</v>
      </c>
      <c r="L379" t="str">
        <f>_xlfn.XLOOKUP(Table8[[#This Row],[Supporter_ID]],tb1_supporters[Supporter_ID ],tb1_supporters[County],"")</f>
        <v>Cambridgeshire</v>
      </c>
      <c r="M379" t="str">
        <f>_xlfn.XLOOKUP(Table8[[#This Row],[Supporter_ID]],tb1_supporters[Supporter_ID ],tb1_supporters[Gender],"")</f>
        <v>Female</v>
      </c>
      <c r="N379">
        <f ca="1">_xlfn.XLOOKUP(Table8[[#This Row],[Supporter_ID]],tb1_supporters[Supporter_ID ],tb1_supporters[Age],"")</f>
        <v>59</v>
      </c>
      <c r="O379" t="str">
        <f ca="1">_xlfn.XLOOKUP(Table8[[#This Row],[Supporter_ID]],tb1_supporters[Supporter_ID ],tb1_supporters[Age_Band],"")</f>
        <v>50-64</v>
      </c>
      <c r="P379" t="str">
        <f ca="1">IF(Table8[[#This Row],[Age_Band]]="","Unknown",Table8[[#This Row],[Age_Band]])</f>
        <v>50-64</v>
      </c>
      <c r="Q379" t="str">
        <f>_xlfn.XLOOKUP(Table8[[#This Row],[Supporter_ID]],tb1_supporters[Supporter_ID ],tb1_supporters[Communication_Preference],"")</f>
        <v>Do Not Contact</v>
      </c>
      <c r="R379" t="str">
        <f>_xlfn.XLOOKUP(Table8[[#This Row],[Supporter_ID]],tb1_supporters[Supporter_ID ],tb1_supporters[Duplicate_Profile_Flag],"")</f>
        <v/>
      </c>
      <c r="S379" t="str">
        <f>_xlfn.XLOOKUP(Table8[[#This Row],[Supporter_ID]],tb1_supporters[Supporter_ID ],tb1_supporters[Preference_Compliance_Flag],"")</f>
        <v/>
      </c>
      <c r="T379" t="str">
        <f ca="1">IF(Table8[[#This Row],[Age]]="","Review - missing DOB",IF(Table8[[#This Row],[Age]]&gt;TODAY(),"Review - future DOB",IF(Table8[[#This Row],[Age]]=0,"Review -  potential entry error (age 0)","")))</f>
        <v/>
      </c>
      <c r="U379" t="str">
        <f>_xlfn.XLOOKUP(Table8[[#This Row],[Campaign_Code]],tb3_CampaignMaster[Campaign_Code],tb3_CampaignMaster[Campaign_Type],"")</f>
        <v>Event</v>
      </c>
      <c r="V379" t="str">
        <f>_xlfn.XLOOKUP(Table8[[#This Row],[Campaign_Code]],tb3_CampaignMaster[Campaign_Code],tb3_CampaignMaster[Target_Audience],"")</f>
        <v>Volunteers</v>
      </c>
      <c r="W379" s="17">
        <f>_xlfn.XLOOKUP(Table8[[#This Row],[Campaign_Code]],tb3_CampaignMaster[Campaign_Code],tb3_CampaignMaster[Start_Date],"")</f>
        <v>45618</v>
      </c>
      <c r="X379" s="17">
        <f>_xlfn.XLOOKUP(Table8[[#This Row],[Campaign_Code]],tb3_CampaignMaster[Campaign_Code],tb3_CampaignMaster[End_Date],"")</f>
        <v>45618</v>
      </c>
      <c r="Y379">
        <f>_xlfn.XLOOKUP(Table8[[#This Row],[Campaign_Code]],tb3_CampaignMaster[Campaign_Code],tb3_CampaignMaster[Budget_GBP],"")</f>
        <v>3500</v>
      </c>
      <c r="Z379" t="str">
        <f>_xlfn.XLOOKUP(Table8[[#This Row],[Campaign_Code]],tb3_CampaignMaster[Campaign_Code],tb3_CampaignMaster[Primary_Channel],"")</f>
        <v>Email</v>
      </c>
      <c r="AA379" s="13">
        <f>IF(Table8[[#This Row],[Gift_Aid_Eligible]]="Yes",Table8[[#This Row],[Gift_Amount]]*1.25,Table8[[#This Row],[Gift_Amount]])</f>
        <v>168.4</v>
      </c>
      <c r="AB379" t="str">
        <f>IF(Table8[[#This Row],[Supporter_ID]]="","Review - missing supporter ID","")</f>
        <v/>
      </c>
      <c r="AC379" t="str">
        <f>IF(OR(Table8[[#This Row],[Response_Date]]&lt;Table8[[#This Row],[Start_Date]],Table8[[#This Row],[Response_Date]]&gt;Table8[[#This Row],[End_Date]]),"Review - response outside campaign dates","")</f>
        <v/>
      </c>
      <c r="AD379" t="str">
        <f>IF(Table8[[#This Row],[Campaign_Type]]="","Review - campaign code not found","")</f>
        <v/>
      </c>
    </row>
    <row r="380" spans="1:30" x14ac:dyDescent="0.25">
      <c r="A380" t="s">
        <v>4019</v>
      </c>
      <c r="B380" t="s">
        <v>2367</v>
      </c>
      <c r="C380" t="s">
        <v>3320</v>
      </c>
      <c r="D380" t="s">
        <v>3321</v>
      </c>
      <c r="E380" t="s">
        <v>4</v>
      </c>
      <c r="F380" s="17">
        <v>45444</v>
      </c>
      <c r="G380">
        <v>141.21</v>
      </c>
      <c r="H380" t="s">
        <v>36</v>
      </c>
      <c r="I380" t="s">
        <v>3331</v>
      </c>
      <c r="J380" t="str">
        <f>_xlfn.XLOOKUP(Table8[[#This Row],[Supporter_ID]],tb1_supporters[Supporter_ID ],tb1_supporters[Segment],"")</f>
        <v>Legacy Pledger</v>
      </c>
      <c r="K380" t="str">
        <f>_xlfn.XLOOKUP(Table8[[#This Row],[Supporter_ID]],tb1_supporters[Supporter_ID ],tb1_supporters[Acquisition_Source],"")</f>
        <v>Direct Mail</v>
      </c>
      <c r="L380" t="str">
        <f>_xlfn.XLOOKUP(Table8[[#This Row],[Supporter_ID]],tb1_supporters[Supporter_ID ],tb1_supporters[County],"")</f>
        <v>Devon</v>
      </c>
      <c r="M380" t="str">
        <f>_xlfn.XLOOKUP(Table8[[#This Row],[Supporter_ID]],tb1_supporters[Supporter_ID ],tb1_supporters[Gender],"")</f>
        <v>Male</v>
      </c>
      <c r="N380">
        <f ca="1">_xlfn.XLOOKUP(Table8[[#This Row],[Supporter_ID]],tb1_supporters[Supporter_ID ],tb1_supporters[Age],"")</f>
        <v>49</v>
      </c>
      <c r="O380" t="str">
        <f ca="1">_xlfn.XLOOKUP(Table8[[#This Row],[Supporter_ID]],tb1_supporters[Supporter_ID ],tb1_supporters[Age_Band],"")</f>
        <v>35-49</v>
      </c>
      <c r="P380" t="str">
        <f ca="1">IF(Table8[[#This Row],[Age_Band]]="","Unknown",Table8[[#This Row],[Age_Band]])</f>
        <v>35-49</v>
      </c>
      <c r="Q380" t="str">
        <f>_xlfn.XLOOKUP(Table8[[#This Row],[Supporter_ID]],tb1_supporters[Supporter_ID ],tb1_supporters[Communication_Preference],"")</f>
        <v>Email</v>
      </c>
      <c r="R380" t="str">
        <f>_xlfn.XLOOKUP(Table8[[#This Row],[Supporter_ID]],tb1_supporters[Supporter_ID ],tb1_supporters[Duplicate_Profile_Flag],"")</f>
        <v/>
      </c>
      <c r="S380" t="str">
        <f>_xlfn.XLOOKUP(Table8[[#This Row],[Supporter_ID]],tb1_supporters[Supporter_ID ],tb1_supporters[Preference_Compliance_Flag],"")</f>
        <v/>
      </c>
      <c r="T380" t="str">
        <f ca="1">IF(Table8[[#This Row],[Age]]="","Review - missing DOB",IF(Table8[[#This Row],[Age]]&gt;TODAY(),"Review - future DOB",IF(Table8[[#This Row],[Age]]=0,"Review -  potential entry error (age 0)","")))</f>
        <v/>
      </c>
      <c r="U380" t="str">
        <f>_xlfn.XLOOKUP(Table8[[#This Row],[Campaign_Code]],tb3_CampaignMaster[Campaign_Code],tb3_CampaignMaster[Campaign_Type],"")</f>
        <v>Stewardship</v>
      </c>
      <c r="V380" t="str">
        <f>_xlfn.XLOOKUP(Table8[[#This Row],[Campaign_Code]],tb3_CampaignMaster[Campaign_Code],tb3_CampaignMaster[Target_Audience],"")</f>
        <v>Major Donors</v>
      </c>
      <c r="W380" s="17">
        <f>_xlfn.XLOOKUP(Table8[[#This Row],[Campaign_Code]],tb3_CampaignMaster[Campaign_Code],tb3_CampaignMaster[Start_Date],"")</f>
        <v>45444</v>
      </c>
      <c r="X380" s="17">
        <f>_xlfn.XLOOKUP(Table8[[#This Row],[Campaign_Code]],tb3_CampaignMaster[Campaign_Code],tb3_CampaignMaster[End_Date],"")</f>
        <v>45473</v>
      </c>
      <c r="Y380">
        <f>_xlfn.XLOOKUP(Table8[[#This Row],[Campaign_Code]],tb3_CampaignMaster[Campaign_Code],tb3_CampaignMaster[Budget_GBP],"")</f>
        <v>7000</v>
      </c>
      <c r="Z380" t="str">
        <f>_xlfn.XLOOKUP(Table8[[#This Row],[Campaign_Code]],tb3_CampaignMaster[Campaign_Code],tb3_CampaignMaster[Primary_Channel],"")</f>
        <v>Direct Mail</v>
      </c>
      <c r="AA380" s="13">
        <f>IF(Table8[[#This Row],[Gift_Aid_Eligible]]="Yes",Table8[[#This Row],[Gift_Amount]]*1.25,Table8[[#This Row],[Gift_Amount]])</f>
        <v>176.51250000000002</v>
      </c>
      <c r="AB380" t="str">
        <f>IF(Table8[[#This Row],[Supporter_ID]]="","Review - missing supporter ID","")</f>
        <v/>
      </c>
      <c r="AC380" t="str">
        <f>IF(OR(Table8[[#This Row],[Response_Date]]&lt;Table8[[#This Row],[Start_Date]],Table8[[#This Row],[Response_Date]]&gt;Table8[[#This Row],[End_Date]]),"Review - response outside campaign dates","")</f>
        <v/>
      </c>
      <c r="AD380" t="str">
        <f>IF(Table8[[#This Row],[Campaign_Type]]="","Review - campaign code not found","")</f>
        <v/>
      </c>
    </row>
    <row r="381" spans="1:30" x14ac:dyDescent="0.25">
      <c r="A381" t="s">
        <v>4021</v>
      </c>
      <c r="B381" t="s">
        <v>1761</v>
      </c>
      <c r="C381" t="s">
        <v>3325</v>
      </c>
      <c r="D381" t="s">
        <v>3326</v>
      </c>
      <c r="E381" t="s">
        <v>3316</v>
      </c>
      <c r="F381" s="17">
        <v>45650</v>
      </c>
      <c r="G381">
        <v>79.069999999999993</v>
      </c>
      <c r="H381" t="s">
        <v>36</v>
      </c>
      <c r="I381" t="s">
        <v>3370</v>
      </c>
      <c r="J381" t="str">
        <f>_xlfn.XLOOKUP(Table8[[#This Row],[Supporter_ID]],tb1_supporters[Supporter_ID ],tb1_supporters[Segment],"")</f>
        <v>One-Time Donor</v>
      </c>
      <c r="K381" t="str">
        <f>_xlfn.XLOOKUP(Table8[[#This Row],[Supporter_ID]],tb1_supporters[Supporter_ID ],tb1_supporters[Acquisition_Source],"")</f>
        <v>Corporate Partner</v>
      </c>
      <c r="L381" t="str">
        <f>_xlfn.XLOOKUP(Table8[[#This Row],[Supporter_ID]],tb1_supporters[Supporter_ID ],tb1_supporters[County],"")</f>
        <v>Kent</v>
      </c>
      <c r="M381" t="str">
        <f>_xlfn.XLOOKUP(Table8[[#This Row],[Supporter_ID]],tb1_supporters[Supporter_ID ],tb1_supporters[Gender],"")</f>
        <v>Male</v>
      </c>
      <c r="N381">
        <f ca="1">_xlfn.XLOOKUP(Table8[[#This Row],[Supporter_ID]],tb1_supporters[Supporter_ID ],tb1_supporters[Age],"")</f>
        <v>54</v>
      </c>
      <c r="O381" t="str">
        <f ca="1">_xlfn.XLOOKUP(Table8[[#This Row],[Supporter_ID]],tb1_supporters[Supporter_ID ],tb1_supporters[Age_Band],"")</f>
        <v>50-64</v>
      </c>
      <c r="P381" t="str">
        <f ca="1">IF(Table8[[#This Row],[Age_Band]]="","Unknown",Table8[[#This Row],[Age_Band]])</f>
        <v>50-64</v>
      </c>
      <c r="Q381" t="str">
        <f>_xlfn.XLOOKUP(Table8[[#This Row],[Supporter_ID]],tb1_supporters[Supporter_ID ],tb1_supporters[Communication_Preference],"")</f>
        <v>Phone</v>
      </c>
      <c r="R381" t="str">
        <f>_xlfn.XLOOKUP(Table8[[#This Row],[Supporter_ID]],tb1_supporters[Supporter_ID ],tb1_supporters[Duplicate_Profile_Flag],"")</f>
        <v/>
      </c>
      <c r="S381" t="str">
        <f>_xlfn.XLOOKUP(Table8[[#This Row],[Supporter_ID]],tb1_supporters[Supporter_ID ],tb1_supporters[Preference_Compliance_Flag],"")</f>
        <v>Review - prefers phone but not opted in</v>
      </c>
      <c r="T381" t="str">
        <f ca="1">IF(Table8[[#This Row],[Age]]="","Review - missing DOB",IF(Table8[[#This Row],[Age]]&gt;TODAY(),"Review - future DOB",IF(Table8[[#This Row],[Age]]=0,"Review -  potential entry error (age 0)","")))</f>
        <v/>
      </c>
      <c r="U381" t="str">
        <f>_xlfn.XLOOKUP(Table8[[#This Row],[Campaign_Code]],tb3_CampaignMaster[Campaign_Code],tb3_CampaignMaster[Campaign_Type],"")</f>
        <v>Appeal</v>
      </c>
      <c r="V381" t="str">
        <f>_xlfn.XLOOKUP(Table8[[#This Row],[Campaign_Code]],tb3_CampaignMaster[Campaign_Code],tb3_CampaignMaster[Target_Audience],"")</f>
        <v>All Active</v>
      </c>
      <c r="W381" s="17">
        <f>_xlfn.XLOOKUP(Table8[[#This Row],[Campaign_Code]],tb3_CampaignMaster[Campaign_Code],tb3_CampaignMaster[Start_Date],"")</f>
        <v>45597</v>
      </c>
      <c r="X381" s="17">
        <f>_xlfn.XLOOKUP(Table8[[#This Row],[Campaign_Code]],tb3_CampaignMaster[Campaign_Code],tb3_CampaignMaster[End_Date],"")</f>
        <v>45657</v>
      </c>
      <c r="Y381">
        <f>_xlfn.XLOOKUP(Table8[[#This Row],[Campaign_Code]],tb3_CampaignMaster[Campaign_Code],tb3_CampaignMaster[Budget_GBP],"")</f>
        <v>25000</v>
      </c>
      <c r="Z381" t="str">
        <f>_xlfn.XLOOKUP(Table8[[#This Row],[Campaign_Code]],tb3_CampaignMaster[Campaign_Code],tb3_CampaignMaster[Primary_Channel],"")</f>
        <v>Multi-channel</v>
      </c>
      <c r="AA381" s="13">
        <f>IF(Table8[[#This Row],[Gift_Aid_Eligible]]="Yes",Table8[[#This Row],[Gift_Amount]]*1.25,Table8[[#This Row],[Gift_Amount]])</f>
        <v>98.837499999999991</v>
      </c>
      <c r="AB381" t="str">
        <f>IF(Table8[[#This Row],[Supporter_ID]]="","Review - missing supporter ID","")</f>
        <v/>
      </c>
      <c r="AC381" t="str">
        <f>IF(OR(Table8[[#This Row],[Response_Date]]&lt;Table8[[#This Row],[Start_Date]],Table8[[#This Row],[Response_Date]]&gt;Table8[[#This Row],[End_Date]]),"Review - response outside campaign dates","")</f>
        <v/>
      </c>
      <c r="AD381" t="str">
        <f>IF(Table8[[#This Row],[Campaign_Type]]="","Review - campaign code not found","")</f>
        <v/>
      </c>
    </row>
    <row r="382" spans="1:30" x14ac:dyDescent="0.25">
      <c r="A382" t="s">
        <v>4023</v>
      </c>
      <c r="B382" t="s">
        <v>2315</v>
      </c>
      <c r="C382" t="s">
        <v>3336</v>
      </c>
      <c r="D382" t="s">
        <v>3337</v>
      </c>
      <c r="E382" t="s">
        <v>65</v>
      </c>
      <c r="F382" s="17">
        <v>45571</v>
      </c>
      <c r="G382">
        <v>24.19</v>
      </c>
      <c r="H382" t="s">
        <v>36</v>
      </c>
      <c r="I382" t="s">
        <v>3331</v>
      </c>
      <c r="J382" t="str">
        <f>_xlfn.XLOOKUP(Table8[[#This Row],[Supporter_ID]],tb1_supporters[Supporter_ID ],tb1_supporters[Segment],"")</f>
        <v>Prospect</v>
      </c>
      <c r="K382" t="str">
        <f>_xlfn.XLOOKUP(Table8[[#This Row],[Supporter_ID]],tb1_supporters[Supporter_ID ],tb1_supporters[Acquisition_Source],"")</f>
        <v>Referral</v>
      </c>
      <c r="L382" t="str">
        <f>_xlfn.XLOOKUP(Table8[[#This Row],[Supporter_ID]],tb1_supporters[Supporter_ID ],tb1_supporters[County],"")</f>
        <v>Berkshire</v>
      </c>
      <c r="M382" t="str">
        <f>_xlfn.XLOOKUP(Table8[[#This Row],[Supporter_ID]],tb1_supporters[Supporter_ID ],tb1_supporters[Gender],"")</f>
        <v>Male</v>
      </c>
      <c r="N382">
        <f ca="1">_xlfn.XLOOKUP(Table8[[#This Row],[Supporter_ID]],tb1_supporters[Supporter_ID ],tb1_supporters[Age],"")</f>
        <v>67</v>
      </c>
      <c r="O382" t="str">
        <f ca="1">_xlfn.XLOOKUP(Table8[[#This Row],[Supporter_ID]],tb1_supporters[Supporter_ID ],tb1_supporters[Age_Band],"")</f>
        <v>65+</v>
      </c>
      <c r="P382" t="str">
        <f ca="1">IF(Table8[[#This Row],[Age_Band]]="","Unknown",Table8[[#This Row],[Age_Band]])</f>
        <v>65+</v>
      </c>
      <c r="Q382" t="str">
        <f>_xlfn.XLOOKUP(Table8[[#This Row],[Supporter_ID]],tb1_supporters[Supporter_ID ],tb1_supporters[Communication_Preference],"")</f>
        <v>Email</v>
      </c>
      <c r="R382" t="str">
        <f>_xlfn.XLOOKUP(Table8[[#This Row],[Supporter_ID]],tb1_supporters[Supporter_ID ],tb1_supporters[Duplicate_Profile_Flag],"")</f>
        <v/>
      </c>
      <c r="S382" t="str">
        <f>_xlfn.XLOOKUP(Table8[[#This Row],[Supporter_ID]],tb1_supporters[Supporter_ID ],tb1_supporters[Preference_Compliance_Flag],"")</f>
        <v>Review - prefers email but not opted in</v>
      </c>
      <c r="T382" t="str">
        <f ca="1">IF(Table8[[#This Row],[Age]]="","Review - missing DOB",IF(Table8[[#This Row],[Age]]&gt;TODAY(),"Review - future DOB",IF(Table8[[#This Row],[Age]]=0,"Review -  potential entry error (age 0)","")))</f>
        <v/>
      </c>
      <c r="U382" t="str">
        <f>_xlfn.XLOOKUP(Table8[[#This Row],[Campaign_Code]],tb3_CampaignMaster[Campaign_Code],tb3_CampaignMaster[Campaign_Type],"")</f>
        <v>Appeal</v>
      </c>
      <c r="V382" t="str">
        <f>_xlfn.XLOOKUP(Table8[[#This Row],[Campaign_Code]],tb3_CampaignMaster[Campaign_Code],tb3_CampaignMaster[Target_Audience],"")</f>
        <v>All Supporters</v>
      </c>
      <c r="W382" s="17">
        <f>_xlfn.XLOOKUP(Table8[[#This Row],[Campaign_Code]],tb3_CampaignMaster[Campaign_Code],tb3_CampaignMaster[Start_Date],"")</f>
        <v>45545</v>
      </c>
      <c r="X382" s="17">
        <f>_xlfn.XLOOKUP(Table8[[#This Row],[Campaign_Code]],tb3_CampaignMaster[Campaign_Code],tb3_CampaignMaster[End_Date],"")</f>
        <v>45580</v>
      </c>
      <c r="Y382">
        <f>_xlfn.XLOOKUP(Table8[[#This Row],[Campaign_Code]],tb3_CampaignMaster[Campaign_Code],tb3_CampaignMaster[Budget_GBP],"")</f>
        <v>15000</v>
      </c>
      <c r="Z382" t="str">
        <f>_xlfn.XLOOKUP(Table8[[#This Row],[Campaign_Code]],tb3_CampaignMaster[Campaign_Code],tb3_CampaignMaster[Primary_Channel],"")</f>
        <v>Email</v>
      </c>
      <c r="AA382" s="13">
        <f>IF(Table8[[#This Row],[Gift_Aid_Eligible]]="Yes",Table8[[#This Row],[Gift_Amount]]*1.25,Table8[[#This Row],[Gift_Amount]])</f>
        <v>30.237500000000001</v>
      </c>
      <c r="AB382" t="str">
        <f>IF(Table8[[#This Row],[Supporter_ID]]="","Review - missing supporter ID","")</f>
        <v/>
      </c>
      <c r="AC382" t="str">
        <f>IF(OR(Table8[[#This Row],[Response_Date]]&lt;Table8[[#This Row],[Start_Date]],Table8[[#This Row],[Response_Date]]&gt;Table8[[#This Row],[End_Date]]),"Review - response outside campaign dates","")</f>
        <v/>
      </c>
      <c r="AD382" t="str">
        <f>IF(Table8[[#This Row],[Campaign_Type]]="","Review - campaign code not found","")</f>
        <v/>
      </c>
    </row>
    <row r="383" spans="1:30" x14ac:dyDescent="0.25">
      <c r="A383" t="s">
        <v>4025</v>
      </c>
      <c r="B383" t="s">
        <v>817</v>
      </c>
      <c r="C383" t="s">
        <v>3427</v>
      </c>
      <c r="D383" t="s">
        <v>3428</v>
      </c>
      <c r="E383" t="s">
        <v>65</v>
      </c>
      <c r="F383" s="17">
        <v>45488</v>
      </c>
      <c r="G383">
        <v>24.97</v>
      </c>
      <c r="H383" t="s">
        <v>36</v>
      </c>
      <c r="I383" t="s">
        <v>3318</v>
      </c>
      <c r="J383" t="str">
        <f>_xlfn.XLOOKUP(Table8[[#This Row],[Supporter_ID]],tb1_supporters[Supporter_ID ],tb1_supporters[Segment],"")</f>
        <v>Regular Giver</v>
      </c>
      <c r="K383" t="str">
        <f>_xlfn.XLOOKUP(Table8[[#This Row],[Supporter_ID]],tb1_supporters[Supporter_ID ],tb1_supporters[Acquisition_Source],"")</f>
        <v>Telephone</v>
      </c>
      <c r="L383" t="str">
        <f>_xlfn.XLOOKUP(Table8[[#This Row],[Supporter_ID]],tb1_supporters[Supporter_ID ],tb1_supporters[County],"")</f>
        <v>West Glamorgan</v>
      </c>
      <c r="M383" t="str">
        <f>_xlfn.XLOOKUP(Table8[[#This Row],[Supporter_ID]],tb1_supporters[Supporter_ID ],tb1_supporters[Gender],"")</f>
        <v>Female</v>
      </c>
      <c r="N383">
        <f ca="1">_xlfn.XLOOKUP(Table8[[#This Row],[Supporter_ID]],tb1_supporters[Supporter_ID ],tb1_supporters[Age],"")</f>
        <v>93</v>
      </c>
      <c r="O383" t="str">
        <f ca="1">_xlfn.XLOOKUP(Table8[[#This Row],[Supporter_ID]],tb1_supporters[Supporter_ID ],tb1_supporters[Age_Band],"")</f>
        <v>65+</v>
      </c>
      <c r="P383" t="str">
        <f ca="1">IF(Table8[[#This Row],[Age_Band]]="","Unknown",Table8[[#This Row],[Age_Band]])</f>
        <v>65+</v>
      </c>
      <c r="Q383" t="str">
        <f>_xlfn.XLOOKUP(Table8[[#This Row],[Supporter_ID]],tb1_supporters[Supporter_ID ],tb1_supporters[Communication_Preference],"")</f>
        <v>No Preference</v>
      </c>
      <c r="R383" t="str">
        <f>_xlfn.XLOOKUP(Table8[[#This Row],[Supporter_ID]],tb1_supporters[Supporter_ID ],tb1_supporters[Duplicate_Profile_Flag],"")</f>
        <v/>
      </c>
      <c r="S383" t="str">
        <f>_xlfn.XLOOKUP(Table8[[#This Row],[Supporter_ID]],tb1_supporters[Supporter_ID ],tb1_supporters[Preference_Compliance_Flag],"")</f>
        <v/>
      </c>
      <c r="T383" t="str">
        <f ca="1">IF(Table8[[#This Row],[Age]]="","Review - missing DOB",IF(Table8[[#This Row],[Age]]&gt;TODAY(),"Review - future DOB",IF(Table8[[#This Row],[Age]]=0,"Review -  potential entry error (age 0)","")))</f>
        <v/>
      </c>
      <c r="U383" t="str">
        <f>_xlfn.XLOOKUP(Table8[[#This Row],[Campaign_Code]],tb3_CampaignMaster[Campaign_Code],tb3_CampaignMaster[Campaign_Type],"")</f>
        <v>Event</v>
      </c>
      <c r="V383" t="str">
        <f>_xlfn.XLOOKUP(Table8[[#This Row],[Campaign_Code]],tb3_CampaignMaster[Campaign_Code],tb3_CampaignMaster[Target_Audience],"")</f>
        <v>Major Donors</v>
      </c>
      <c r="W383" s="17">
        <f>_xlfn.XLOOKUP(Table8[[#This Row],[Campaign_Code]],tb3_CampaignMaster[Campaign_Code],tb3_CampaignMaster[Start_Date],"")</f>
        <v>45488</v>
      </c>
      <c r="X383" s="17">
        <f>_xlfn.XLOOKUP(Table8[[#This Row],[Campaign_Code]],tb3_CampaignMaster[Campaign_Code],tb3_CampaignMaster[End_Date],"")</f>
        <v>45488</v>
      </c>
      <c r="Y383">
        <f>_xlfn.XLOOKUP(Table8[[#This Row],[Campaign_Code]],tb3_CampaignMaster[Campaign_Code],tb3_CampaignMaster[Budget_GBP],"")</f>
        <v>45000</v>
      </c>
      <c r="Z383" t="str">
        <f>_xlfn.XLOOKUP(Table8[[#This Row],[Campaign_Code]],tb3_CampaignMaster[Campaign_Code],tb3_CampaignMaster[Primary_Channel],"")</f>
        <v>Direct Mail</v>
      </c>
      <c r="AA383" s="13">
        <f>IF(Table8[[#This Row],[Gift_Aid_Eligible]]="Yes",Table8[[#This Row],[Gift_Amount]]*1.25,Table8[[#This Row],[Gift_Amount]])</f>
        <v>31.212499999999999</v>
      </c>
      <c r="AB383" t="str">
        <f>IF(Table8[[#This Row],[Supporter_ID]]="","Review - missing supporter ID","")</f>
        <v/>
      </c>
      <c r="AC383" t="str">
        <f>IF(OR(Table8[[#This Row],[Response_Date]]&lt;Table8[[#This Row],[Start_Date]],Table8[[#This Row],[Response_Date]]&gt;Table8[[#This Row],[End_Date]]),"Review - response outside campaign dates","")</f>
        <v/>
      </c>
      <c r="AD383" t="str">
        <f>IF(Table8[[#This Row],[Campaign_Type]]="","Review - campaign code not found","")</f>
        <v/>
      </c>
    </row>
    <row r="384" spans="1:30" x14ac:dyDescent="0.25">
      <c r="A384" t="s">
        <v>4026</v>
      </c>
      <c r="B384" t="s">
        <v>1784</v>
      </c>
      <c r="C384" t="s">
        <v>3341</v>
      </c>
      <c r="D384" t="s">
        <v>3342</v>
      </c>
      <c r="E384" t="s">
        <v>91</v>
      </c>
      <c r="F384" s="17">
        <v>45776</v>
      </c>
      <c r="G384">
        <v>27.39</v>
      </c>
      <c r="H384" t="s">
        <v>36</v>
      </c>
      <c r="I384" t="s">
        <v>3365</v>
      </c>
      <c r="J384" t="str">
        <f>_xlfn.XLOOKUP(Table8[[#This Row],[Supporter_ID]],tb1_supporters[Supporter_ID ],tb1_supporters[Segment],"")</f>
        <v>Regular Giver</v>
      </c>
      <c r="K384" t="str">
        <f>_xlfn.XLOOKUP(Table8[[#This Row],[Supporter_ID]],tb1_supporters[Supporter_ID ],tb1_supporters[Acquisition_Source],"")</f>
        <v>Direct Mail</v>
      </c>
      <c r="L384" t="str">
        <f>_xlfn.XLOOKUP(Table8[[#This Row],[Supporter_ID]],tb1_supporters[Supporter_ID ],tb1_supporters[County],"")</f>
        <v>Greater Manchester</v>
      </c>
      <c r="M384" t="str">
        <f>_xlfn.XLOOKUP(Table8[[#This Row],[Supporter_ID]],tb1_supporters[Supporter_ID ],tb1_supporters[Gender],"")</f>
        <v>Male</v>
      </c>
      <c r="N384">
        <f ca="1">_xlfn.XLOOKUP(Table8[[#This Row],[Supporter_ID]],tb1_supporters[Supporter_ID ],tb1_supporters[Age],"")</f>
        <v>28</v>
      </c>
      <c r="O384" t="str">
        <f ca="1">_xlfn.XLOOKUP(Table8[[#This Row],[Supporter_ID]],tb1_supporters[Supporter_ID ],tb1_supporters[Age_Band],"")</f>
        <v>18-34</v>
      </c>
      <c r="P384" t="str">
        <f ca="1">IF(Table8[[#This Row],[Age_Band]]="","Unknown",Table8[[#This Row],[Age_Band]])</f>
        <v>18-34</v>
      </c>
      <c r="Q384" t="str">
        <f>_xlfn.XLOOKUP(Table8[[#This Row],[Supporter_ID]],tb1_supporters[Supporter_ID ],tb1_supporters[Communication_Preference],"")</f>
        <v>Phone</v>
      </c>
      <c r="R384" t="str">
        <f>_xlfn.XLOOKUP(Table8[[#This Row],[Supporter_ID]],tb1_supporters[Supporter_ID ],tb1_supporters[Duplicate_Profile_Flag],"")</f>
        <v/>
      </c>
      <c r="S384" t="str">
        <f>_xlfn.XLOOKUP(Table8[[#This Row],[Supporter_ID]],tb1_supporters[Supporter_ID ],tb1_supporters[Preference_Compliance_Flag],"")</f>
        <v/>
      </c>
      <c r="T384" t="str">
        <f ca="1">IF(Table8[[#This Row],[Age]]="","Review - missing DOB",IF(Table8[[#This Row],[Age]]&gt;TODAY(),"Review - future DOB",IF(Table8[[#This Row],[Age]]=0,"Review -  potential entry error (age 0)","")))</f>
        <v/>
      </c>
      <c r="U384" t="str">
        <f>_xlfn.XLOOKUP(Table8[[#This Row],[Campaign_Code]],tb3_CampaignMaster[Campaign_Code],tb3_CampaignMaster[Campaign_Type],"")</f>
        <v>Acquisition</v>
      </c>
      <c r="V384" t="str">
        <f>_xlfn.XLOOKUP(Table8[[#This Row],[Campaign_Code]],tb3_CampaignMaster[Campaign_Code],tb3_CampaignMaster[Target_Audience],"")</f>
        <v>Prospects</v>
      </c>
      <c r="W384" s="17">
        <f>_xlfn.XLOOKUP(Table8[[#This Row],[Campaign_Code]],tb3_CampaignMaster[Campaign_Code],tb3_CampaignMaster[Start_Date],"")</f>
        <v>45689</v>
      </c>
      <c r="X384" s="17">
        <f>_xlfn.XLOOKUP(Table8[[#This Row],[Campaign_Code]],tb3_CampaignMaster[Campaign_Code],tb3_CampaignMaster[End_Date],"")</f>
        <v>45777</v>
      </c>
      <c r="Y384">
        <f>_xlfn.XLOOKUP(Table8[[#This Row],[Campaign_Code]],tb3_CampaignMaster[Campaign_Code],tb3_CampaignMaster[Budget_GBP],"")</f>
        <v>20000</v>
      </c>
      <c r="Z384" t="str">
        <f>_xlfn.XLOOKUP(Table8[[#This Row],[Campaign_Code]],tb3_CampaignMaster[Campaign_Code],tb3_CampaignMaster[Primary_Channel],"")</f>
        <v>Digital</v>
      </c>
      <c r="AA384" s="13">
        <f>IF(Table8[[#This Row],[Gift_Aid_Eligible]]="Yes",Table8[[#This Row],[Gift_Amount]]*1.25,Table8[[#This Row],[Gift_Amount]])</f>
        <v>34.237499999999997</v>
      </c>
      <c r="AB384" t="str">
        <f>IF(Table8[[#This Row],[Supporter_ID]]="","Review - missing supporter ID","")</f>
        <v/>
      </c>
      <c r="AC384" t="str">
        <f>IF(OR(Table8[[#This Row],[Response_Date]]&lt;Table8[[#This Row],[Start_Date]],Table8[[#This Row],[Response_Date]]&gt;Table8[[#This Row],[End_Date]]),"Review - response outside campaign dates","")</f>
        <v/>
      </c>
      <c r="AD384" t="str">
        <f>IF(Table8[[#This Row],[Campaign_Type]]="","Review - campaign code not found","")</f>
        <v/>
      </c>
    </row>
    <row r="385" spans="1:30" x14ac:dyDescent="0.25">
      <c r="A385" t="s">
        <v>4027</v>
      </c>
      <c r="B385" t="s">
        <v>2615</v>
      </c>
      <c r="C385" t="s">
        <v>3314</v>
      </c>
      <c r="D385" t="s">
        <v>3315</v>
      </c>
      <c r="E385" t="s">
        <v>33</v>
      </c>
      <c r="F385" s="17">
        <v>45683</v>
      </c>
      <c r="G385">
        <v>394.88</v>
      </c>
      <c r="H385" t="s">
        <v>36</v>
      </c>
      <c r="I385" t="s">
        <v>3385</v>
      </c>
      <c r="J385" t="str">
        <f>_xlfn.XLOOKUP(Table8[[#This Row],[Supporter_ID]],tb1_supporters[Supporter_ID ],tb1_supporters[Segment],"")</f>
        <v>Legacy Pledger</v>
      </c>
      <c r="K385" t="str">
        <f>_xlfn.XLOOKUP(Table8[[#This Row],[Supporter_ID]],tb1_supporters[Supporter_ID ],tb1_supporters[Acquisition_Source],"")</f>
        <v>Telephone</v>
      </c>
      <c r="L385" t="str">
        <f>_xlfn.XLOOKUP(Table8[[#This Row],[Supporter_ID]],tb1_supporters[Supporter_ID ],tb1_supporters[County],"")</f>
        <v>Leicestershire</v>
      </c>
      <c r="M385" t="str">
        <f>_xlfn.XLOOKUP(Table8[[#This Row],[Supporter_ID]],tb1_supporters[Supporter_ID ],tb1_supporters[Gender],"")</f>
        <v>Female</v>
      </c>
      <c r="N385">
        <f ca="1">_xlfn.XLOOKUP(Table8[[#This Row],[Supporter_ID]],tb1_supporters[Supporter_ID ],tb1_supporters[Age],"")</f>
        <v>61</v>
      </c>
      <c r="O385" t="str">
        <f ca="1">_xlfn.XLOOKUP(Table8[[#This Row],[Supporter_ID]],tb1_supporters[Supporter_ID ],tb1_supporters[Age_Band],"")</f>
        <v>50-64</v>
      </c>
      <c r="P385" t="str">
        <f ca="1">IF(Table8[[#This Row],[Age_Band]]="","Unknown",Table8[[#This Row],[Age_Band]])</f>
        <v>50-64</v>
      </c>
      <c r="Q385" t="str">
        <f>_xlfn.XLOOKUP(Table8[[#This Row],[Supporter_ID]],tb1_supporters[Supporter_ID ],tb1_supporters[Communication_Preference],"")</f>
        <v>Email</v>
      </c>
      <c r="R385" t="str">
        <f>_xlfn.XLOOKUP(Table8[[#This Row],[Supporter_ID]],tb1_supporters[Supporter_ID ],tb1_supporters[Duplicate_Profile_Flag],"")</f>
        <v/>
      </c>
      <c r="S385" t="str">
        <f>_xlfn.XLOOKUP(Table8[[#This Row],[Supporter_ID]],tb1_supporters[Supporter_ID ],tb1_supporters[Preference_Compliance_Flag],"")</f>
        <v/>
      </c>
      <c r="T385" t="str">
        <f ca="1">IF(Table8[[#This Row],[Age]]="","Review - missing DOB",IF(Table8[[#This Row],[Age]]&gt;TODAY(),"Review - future DOB",IF(Table8[[#This Row],[Age]]=0,"Review -  potential entry error (age 0)","")))</f>
        <v/>
      </c>
      <c r="U385" t="str">
        <f>_xlfn.XLOOKUP(Table8[[#This Row],[Campaign_Code]],tb3_CampaignMaster[Campaign_Code],tb3_CampaignMaster[Campaign_Type],"")</f>
        <v>Regular Giving</v>
      </c>
      <c r="V385" t="str">
        <f>_xlfn.XLOOKUP(Table8[[#This Row],[Campaign_Code]],tb3_CampaignMaster[Campaign_Code],tb3_CampaignMaster[Target_Audience],"")</f>
        <v>One-time Donors</v>
      </c>
      <c r="W385" s="17">
        <f>_xlfn.XLOOKUP(Table8[[#This Row],[Campaign_Code]],tb3_CampaignMaster[Campaign_Code],tb3_CampaignMaster[Start_Date],"")</f>
        <v>45663</v>
      </c>
      <c r="X385" s="17">
        <f>_xlfn.XLOOKUP(Table8[[#This Row],[Campaign_Code]],tb3_CampaignMaster[Campaign_Code],tb3_CampaignMaster[End_Date],"")</f>
        <v>45747</v>
      </c>
      <c r="Y385">
        <f>_xlfn.XLOOKUP(Table8[[#This Row],[Campaign_Code]],tb3_CampaignMaster[Campaign_Code],tb3_CampaignMaster[Budget_GBP],"")</f>
        <v>10000</v>
      </c>
      <c r="Z385" t="str">
        <f>_xlfn.XLOOKUP(Table8[[#This Row],[Campaign_Code]],tb3_CampaignMaster[Campaign_Code],tb3_CampaignMaster[Primary_Channel],"")</f>
        <v>Telephone</v>
      </c>
      <c r="AA385" s="13">
        <f>IF(Table8[[#This Row],[Gift_Aid_Eligible]]="Yes",Table8[[#This Row],[Gift_Amount]]*1.25,Table8[[#This Row],[Gift_Amount]])</f>
        <v>493.6</v>
      </c>
      <c r="AB385" t="str">
        <f>IF(Table8[[#This Row],[Supporter_ID]]="","Review - missing supporter ID","")</f>
        <v/>
      </c>
      <c r="AC385" t="str">
        <f>IF(OR(Table8[[#This Row],[Response_Date]]&lt;Table8[[#This Row],[Start_Date]],Table8[[#This Row],[Response_Date]]&gt;Table8[[#This Row],[End_Date]]),"Review - response outside campaign dates","")</f>
        <v/>
      </c>
      <c r="AD385" t="str">
        <f>IF(Table8[[#This Row],[Campaign_Type]]="","Review - campaign code not found","")</f>
        <v/>
      </c>
    </row>
    <row r="386" spans="1:30" x14ac:dyDescent="0.25">
      <c r="A386" t="s">
        <v>4029</v>
      </c>
      <c r="B386" t="s">
        <v>351</v>
      </c>
      <c r="C386" t="s">
        <v>3403</v>
      </c>
      <c r="D386" t="s">
        <v>3404</v>
      </c>
      <c r="E386" t="s">
        <v>4</v>
      </c>
      <c r="F386" s="17">
        <v>45613</v>
      </c>
      <c r="G386">
        <v>96.86</v>
      </c>
      <c r="H386" t="s">
        <v>36</v>
      </c>
      <c r="I386" t="s">
        <v>3331</v>
      </c>
      <c r="J386" t="str">
        <f>_xlfn.XLOOKUP(Table8[[#This Row],[Supporter_ID]],tb1_supporters[Supporter_ID ],tb1_supporters[Segment],"")</f>
        <v>Lapsed</v>
      </c>
      <c r="K386" t="str">
        <f>_xlfn.XLOOKUP(Table8[[#This Row],[Supporter_ID]],tb1_supporters[Supporter_ID ],tb1_supporters[Acquisition_Source],"")</f>
        <v>Corporate Partner</v>
      </c>
      <c r="L386" t="str">
        <f>_xlfn.XLOOKUP(Table8[[#This Row],[Supporter_ID]],tb1_supporters[Supporter_ID ],tb1_supporters[County],"")</f>
        <v>Cheshire</v>
      </c>
      <c r="M386" t="str">
        <f>_xlfn.XLOOKUP(Table8[[#This Row],[Supporter_ID]],tb1_supporters[Supporter_ID ],tb1_supporters[Gender],"")</f>
        <v>Female</v>
      </c>
      <c r="N386">
        <f ca="1">_xlfn.XLOOKUP(Table8[[#This Row],[Supporter_ID]],tb1_supporters[Supporter_ID ],tb1_supporters[Age],"")</f>
        <v>57</v>
      </c>
      <c r="O386" t="str">
        <f ca="1">_xlfn.XLOOKUP(Table8[[#This Row],[Supporter_ID]],tb1_supporters[Supporter_ID ],tb1_supporters[Age_Band],"")</f>
        <v>50-64</v>
      </c>
      <c r="P386" t="str">
        <f ca="1">IF(Table8[[#This Row],[Age_Band]]="","Unknown",Table8[[#This Row],[Age_Band]])</f>
        <v>50-64</v>
      </c>
      <c r="Q386" t="str">
        <f>_xlfn.XLOOKUP(Table8[[#This Row],[Supporter_ID]],tb1_supporters[Supporter_ID ],tb1_supporters[Communication_Preference],"")</f>
        <v>Phone</v>
      </c>
      <c r="R386" t="str">
        <f>_xlfn.XLOOKUP(Table8[[#This Row],[Supporter_ID]],tb1_supporters[Supporter_ID ],tb1_supporters[Duplicate_Profile_Flag],"")</f>
        <v/>
      </c>
      <c r="S386" t="str">
        <f>_xlfn.XLOOKUP(Table8[[#This Row],[Supporter_ID]],tb1_supporters[Supporter_ID ],tb1_supporters[Preference_Compliance_Flag],"")</f>
        <v/>
      </c>
      <c r="T386" t="str">
        <f ca="1">IF(Table8[[#This Row],[Age]]="","Review - missing DOB",IF(Table8[[#This Row],[Age]]&gt;TODAY(),"Review - future DOB",IF(Table8[[#This Row],[Age]]=0,"Review -  potential entry error (age 0)","")))</f>
        <v/>
      </c>
      <c r="U386" t="str">
        <f>_xlfn.XLOOKUP(Table8[[#This Row],[Campaign_Code]],tb3_CampaignMaster[Campaign_Code],tb3_CampaignMaster[Campaign_Type],"")</f>
        <v>Trading</v>
      </c>
      <c r="V386" t="str">
        <f>_xlfn.XLOOKUP(Table8[[#This Row],[Campaign_Code]],tb3_CampaignMaster[Campaign_Code],tb3_CampaignMaster[Target_Audience],"")</f>
        <v>All Active</v>
      </c>
      <c r="W386" s="17">
        <f>_xlfn.XLOOKUP(Table8[[#This Row],[Campaign_Code]],tb3_CampaignMaster[Campaign_Code],tb3_CampaignMaster[Start_Date],"")</f>
        <v>45580</v>
      </c>
      <c r="X386" s="17">
        <f>_xlfn.XLOOKUP(Table8[[#This Row],[Campaign_Code]],tb3_CampaignMaster[Campaign_Code],tb3_CampaignMaster[End_Date],"")</f>
        <v>45646</v>
      </c>
      <c r="Y386">
        <f>_xlfn.XLOOKUP(Table8[[#This Row],[Campaign_Code]],tb3_CampaignMaster[Campaign_Code],tb3_CampaignMaster[Budget_GBP],"")</f>
        <v>12000</v>
      </c>
      <c r="Z386" t="str">
        <f>_xlfn.XLOOKUP(Table8[[#This Row],[Campaign_Code]],tb3_CampaignMaster[Campaign_Code],tb3_CampaignMaster[Primary_Channel],"")</f>
        <v>Multi-channel</v>
      </c>
      <c r="AA386" s="13">
        <f>IF(Table8[[#This Row],[Gift_Aid_Eligible]]="Yes",Table8[[#This Row],[Gift_Amount]]*1.25,Table8[[#This Row],[Gift_Amount]])</f>
        <v>121.075</v>
      </c>
      <c r="AB386" t="str">
        <f>IF(Table8[[#This Row],[Supporter_ID]]="","Review - missing supporter ID","")</f>
        <v/>
      </c>
      <c r="AC386" t="str">
        <f>IF(OR(Table8[[#This Row],[Response_Date]]&lt;Table8[[#This Row],[Start_Date]],Table8[[#This Row],[Response_Date]]&gt;Table8[[#This Row],[End_Date]]),"Review - response outside campaign dates","")</f>
        <v/>
      </c>
      <c r="AD386" t="str">
        <f>IF(Table8[[#This Row],[Campaign_Type]]="","Review - campaign code not found","")</f>
        <v/>
      </c>
    </row>
    <row r="387" spans="1:30" x14ac:dyDescent="0.25">
      <c r="A387" t="s">
        <v>4031</v>
      </c>
      <c r="B387" t="s">
        <v>1951</v>
      </c>
      <c r="C387" t="s">
        <v>3427</v>
      </c>
      <c r="D387" t="s">
        <v>3428</v>
      </c>
      <c r="E387" t="s">
        <v>4</v>
      </c>
      <c r="F387" s="17">
        <v>45488</v>
      </c>
      <c r="G387">
        <v>14</v>
      </c>
      <c r="H387" t="s">
        <v>36</v>
      </c>
      <c r="I387" t="s">
        <v>3328</v>
      </c>
      <c r="J387" t="str">
        <f>_xlfn.XLOOKUP(Table8[[#This Row],[Supporter_ID]],tb1_supporters[Supporter_ID ],tb1_supporters[Segment],"")</f>
        <v>Lapsed</v>
      </c>
      <c r="K387" t="str">
        <f>_xlfn.XLOOKUP(Table8[[#This Row],[Supporter_ID]],tb1_supporters[Supporter_ID ],tb1_supporters[Acquisition_Source],"")</f>
        <v>Event</v>
      </c>
      <c r="L387" t="str">
        <f>_xlfn.XLOOKUP(Table8[[#This Row],[Supporter_ID]],tb1_supporters[Supporter_ID ],tb1_supporters[County],"")</f>
        <v>Surrey</v>
      </c>
      <c r="M387" t="str">
        <f>_xlfn.XLOOKUP(Table8[[#This Row],[Supporter_ID]],tb1_supporters[Supporter_ID ],tb1_supporters[Gender],"")</f>
        <v>Female</v>
      </c>
      <c r="N387">
        <f ca="1">_xlfn.XLOOKUP(Table8[[#This Row],[Supporter_ID]],tb1_supporters[Supporter_ID ],tb1_supporters[Age],"")</f>
        <v>39</v>
      </c>
      <c r="O387" t="str">
        <f ca="1">_xlfn.XLOOKUP(Table8[[#This Row],[Supporter_ID]],tb1_supporters[Supporter_ID ],tb1_supporters[Age_Band],"")</f>
        <v>35-49</v>
      </c>
      <c r="P387" t="str">
        <f ca="1">IF(Table8[[#This Row],[Age_Band]]="","Unknown",Table8[[#This Row],[Age_Band]])</f>
        <v>35-49</v>
      </c>
      <c r="Q387" t="str">
        <f>_xlfn.XLOOKUP(Table8[[#This Row],[Supporter_ID]],tb1_supporters[Supporter_ID ],tb1_supporters[Communication_Preference],"")</f>
        <v>No Preference</v>
      </c>
      <c r="R387" t="str">
        <f>_xlfn.XLOOKUP(Table8[[#This Row],[Supporter_ID]],tb1_supporters[Supporter_ID ],tb1_supporters[Duplicate_Profile_Flag],"")</f>
        <v/>
      </c>
      <c r="S387" t="str">
        <f>_xlfn.XLOOKUP(Table8[[#This Row],[Supporter_ID]],tb1_supporters[Supporter_ID ],tb1_supporters[Preference_Compliance_Flag],"")</f>
        <v/>
      </c>
      <c r="T387" t="str">
        <f ca="1">IF(Table8[[#This Row],[Age]]="","Review - missing DOB",IF(Table8[[#This Row],[Age]]&gt;TODAY(),"Review - future DOB",IF(Table8[[#This Row],[Age]]=0,"Review -  potential entry error (age 0)","")))</f>
        <v/>
      </c>
      <c r="U387" t="str">
        <f>_xlfn.XLOOKUP(Table8[[#This Row],[Campaign_Code]],tb3_CampaignMaster[Campaign_Code],tb3_CampaignMaster[Campaign_Type],"")</f>
        <v>Event</v>
      </c>
      <c r="V387" t="str">
        <f>_xlfn.XLOOKUP(Table8[[#This Row],[Campaign_Code]],tb3_CampaignMaster[Campaign_Code],tb3_CampaignMaster[Target_Audience],"")</f>
        <v>Major Donors</v>
      </c>
      <c r="W387" s="17">
        <f>_xlfn.XLOOKUP(Table8[[#This Row],[Campaign_Code]],tb3_CampaignMaster[Campaign_Code],tb3_CampaignMaster[Start_Date],"")</f>
        <v>45488</v>
      </c>
      <c r="X387" s="17">
        <f>_xlfn.XLOOKUP(Table8[[#This Row],[Campaign_Code]],tb3_CampaignMaster[Campaign_Code],tb3_CampaignMaster[End_Date],"")</f>
        <v>45488</v>
      </c>
      <c r="Y387">
        <f>_xlfn.XLOOKUP(Table8[[#This Row],[Campaign_Code]],tb3_CampaignMaster[Campaign_Code],tb3_CampaignMaster[Budget_GBP],"")</f>
        <v>45000</v>
      </c>
      <c r="Z387" t="str">
        <f>_xlfn.XLOOKUP(Table8[[#This Row],[Campaign_Code]],tb3_CampaignMaster[Campaign_Code],tb3_CampaignMaster[Primary_Channel],"")</f>
        <v>Direct Mail</v>
      </c>
      <c r="AA387" s="13">
        <f>IF(Table8[[#This Row],[Gift_Aid_Eligible]]="Yes",Table8[[#This Row],[Gift_Amount]]*1.25,Table8[[#This Row],[Gift_Amount]])</f>
        <v>17.5</v>
      </c>
      <c r="AB387" t="str">
        <f>IF(Table8[[#This Row],[Supporter_ID]]="","Review - missing supporter ID","")</f>
        <v/>
      </c>
      <c r="AC387" t="str">
        <f>IF(OR(Table8[[#This Row],[Response_Date]]&lt;Table8[[#This Row],[Start_Date]],Table8[[#This Row],[Response_Date]]&gt;Table8[[#This Row],[End_Date]]),"Review - response outside campaign dates","")</f>
        <v/>
      </c>
      <c r="AD387" t="str">
        <f>IF(Table8[[#This Row],[Campaign_Type]]="","Review - campaign code not found","")</f>
        <v/>
      </c>
    </row>
    <row r="388" spans="1:30" x14ac:dyDescent="0.25">
      <c r="A388" t="s">
        <v>4032</v>
      </c>
      <c r="B388" t="s">
        <v>2100</v>
      </c>
      <c r="C388" t="s">
        <v>3362</v>
      </c>
      <c r="D388" t="s">
        <v>3363</v>
      </c>
      <c r="E388" t="s">
        <v>65</v>
      </c>
      <c r="F388" s="17">
        <v>45574</v>
      </c>
      <c r="G388">
        <v>12.79</v>
      </c>
      <c r="H388" t="s">
        <v>37</v>
      </c>
      <c r="I388" t="s">
        <v>3385</v>
      </c>
      <c r="J388" t="str">
        <f>_xlfn.XLOOKUP(Table8[[#This Row],[Supporter_ID]],tb1_supporters[Supporter_ID ],tb1_supporters[Segment],"")</f>
        <v>Prospect</v>
      </c>
      <c r="K388" t="str">
        <f>_xlfn.XLOOKUP(Table8[[#This Row],[Supporter_ID]],tb1_supporters[Supporter_ID ],tb1_supporters[Acquisition_Source],"")</f>
        <v>Corporate Partner</v>
      </c>
      <c r="L388" t="str">
        <f>_xlfn.XLOOKUP(Table8[[#This Row],[Supporter_ID]],tb1_supporters[Supporter_ID ],tb1_supporters[County],"")</f>
        <v>Merseyside</v>
      </c>
      <c r="M388" t="str">
        <f>_xlfn.XLOOKUP(Table8[[#This Row],[Supporter_ID]],tb1_supporters[Supporter_ID ],tb1_supporters[Gender],"")</f>
        <v>Female</v>
      </c>
      <c r="N388">
        <f ca="1">_xlfn.XLOOKUP(Table8[[#This Row],[Supporter_ID]],tb1_supporters[Supporter_ID ],tb1_supporters[Age],"")</f>
        <v>60</v>
      </c>
      <c r="O388" t="str">
        <f ca="1">_xlfn.XLOOKUP(Table8[[#This Row],[Supporter_ID]],tb1_supporters[Supporter_ID ],tb1_supporters[Age_Band],"")</f>
        <v>50-64</v>
      </c>
      <c r="P388" t="str">
        <f ca="1">IF(Table8[[#This Row],[Age_Band]]="","Unknown",Table8[[#This Row],[Age_Band]])</f>
        <v>50-64</v>
      </c>
      <c r="Q388" t="str">
        <f>_xlfn.XLOOKUP(Table8[[#This Row],[Supporter_ID]],tb1_supporters[Supporter_ID ],tb1_supporters[Communication_Preference],"")</f>
        <v>Post</v>
      </c>
      <c r="R388" t="str">
        <f>_xlfn.XLOOKUP(Table8[[#This Row],[Supporter_ID]],tb1_supporters[Supporter_ID ],tb1_supporters[Duplicate_Profile_Flag],"")</f>
        <v/>
      </c>
      <c r="S388" t="str">
        <f>_xlfn.XLOOKUP(Table8[[#This Row],[Supporter_ID]],tb1_supporters[Supporter_ID ],tb1_supporters[Preference_Compliance_Flag],"")</f>
        <v/>
      </c>
      <c r="T388" t="str">
        <f ca="1">IF(Table8[[#This Row],[Age]]="","Review - missing DOB",IF(Table8[[#This Row],[Age]]&gt;TODAY(),"Review - future DOB",IF(Table8[[#This Row],[Age]]=0,"Review -  potential entry error (age 0)","")))</f>
        <v/>
      </c>
      <c r="U388" t="str">
        <f>_xlfn.XLOOKUP(Table8[[#This Row],[Campaign_Code]],tb3_CampaignMaster[Campaign_Code],tb3_CampaignMaster[Campaign_Type],"")</f>
        <v>Legacy</v>
      </c>
      <c r="V388" t="str">
        <f>_xlfn.XLOOKUP(Table8[[#This Row],[Campaign_Code]],tb3_CampaignMaster[Campaign_Code],tb3_CampaignMaster[Target_Audience],"")</f>
        <v>Over 55s</v>
      </c>
      <c r="W388" s="17">
        <f>_xlfn.XLOOKUP(Table8[[#This Row],[Campaign_Code]],tb3_CampaignMaster[Campaign_Code],tb3_CampaignMaster[Start_Date],"")</f>
        <v>45572</v>
      </c>
      <c r="X388" s="17">
        <f>_xlfn.XLOOKUP(Table8[[#This Row],[Campaign_Code]],tb3_CampaignMaster[Campaign_Code],tb3_CampaignMaster[End_Date],"")</f>
        <v>45578</v>
      </c>
      <c r="Y388">
        <f>_xlfn.XLOOKUP(Table8[[#This Row],[Campaign_Code]],tb3_CampaignMaster[Campaign_Code],tb3_CampaignMaster[Budget_GBP],"")</f>
        <v>5000</v>
      </c>
      <c r="Z388" t="str">
        <f>_xlfn.XLOOKUP(Table8[[#This Row],[Campaign_Code]],tb3_CampaignMaster[Campaign_Code],tb3_CampaignMaster[Primary_Channel],"")</f>
        <v>Direct Mail</v>
      </c>
      <c r="AA388" s="13">
        <f>IF(Table8[[#This Row],[Gift_Aid_Eligible]]="Yes",Table8[[#This Row],[Gift_Amount]]*1.25,Table8[[#This Row],[Gift_Amount]])</f>
        <v>12.79</v>
      </c>
      <c r="AB388" t="str">
        <f>IF(Table8[[#This Row],[Supporter_ID]]="","Review - missing supporter ID","")</f>
        <v/>
      </c>
      <c r="AC388" t="str">
        <f>IF(OR(Table8[[#This Row],[Response_Date]]&lt;Table8[[#This Row],[Start_Date]],Table8[[#This Row],[Response_Date]]&gt;Table8[[#This Row],[End_Date]]),"Review - response outside campaign dates","")</f>
        <v/>
      </c>
      <c r="AD388" t="str">
        <f>IF(Table8[[#This Row],[Campaign_Type]]="","Review - campaign code not found","")</f>
        <v/>
      </c>
    </row>
    <row r="389" spans="1:30" x14ac:dyDescent="0.25">
      <c r="A389" t="s">
        <v>4034</v>
      </c>
      <c r="B389" t="s">
        <v>2423</v>
      </c>
      <c r="C389" t="s">
        <v>3362</v>
      </c>
      <c r="D389" t="s">
        <v>3363</v>
      </c>
      <c r="E389" t="s">
        <v>65</v>
      </c>
      <c r="F389" s="17">
        <v>45576</v>
      </c>
      <c r="G389">
        <v>14.25</v>
      </c>
      <c r="H389" t="s">
        <v>37</v>
      </c>
      <c r="I389" t="s">
        <v>3334</v>
      </c>
      <c r="J389" t="str">
        <f>_xlfn.XLOOKUP(Table8[[#This Row],[Supporter_ID]],tb1_supporters[Supporter_ID ],tb1_supporters[Segment],"")</f>
        <v>Regular Giver</v>
      </c>
      <c r="K389" t="str">
        <f>_xlfn.XLOOKUP(Table8[[#This Row],[Supporter_ID]],tb1_supporters[Supporter_ID ],tb1_supporters[Acquisition_Source],"")</f>
        <v>Door-To-Door</v>
      </c>
      <c r="L389" t="str">
        <f>_xlfn.XLOOKUP(Table8[[#This Row],[Supporter_ID]],tb1_supporters[Supporter_ID ],tb1_supporters[County],"")</f>
        <v>Surrey</v>
      </c>
      <c r="M389" t="str">
        <f>_xlfn.XLOOKUP(Table8[[#This Row],[Supporter_ID]],tb1_supporters[Supporter_ID ],tb1_supporters[Gender],"")</f>
        <v>Male</v>
      </c>
      <c r="N389" t="str">
        <f ca="1">_xlfn.XLOOKUP(Table8[[#This Row],[Supporter_ID]],tb1_supporters[Supporter_ID ],tb1_supporters[Age],"")</f>
        <v/>
      </c>
      <c r="O389" t="str">
        <f ca="1">_xlfn.XLOOKUP(Table8[[#This Row],[Supporter_ID]],tb1_supporters[Supporter_ID ],tb1_supporters[Age_Band],"")</f>
        <v/>
      </c>
      <c r="P389" t="str">
        <f ca="1">IF(Table8[[#This Row],[Age_Band]]="","Unknown",Table8[[#This Row],[Age_Band]])</f>
        <v>Unknown</v>
      </c>
      <c r="Q389" t="str">
        <f>_xlfn.XLOOKUP(Table8[[#This Row],[Supporter_ID]],tb1_supporters[Supporter_ID ],tb1_supporters[Communication_Preference],"")</f>
        <v>No Preference</v>
      </c>
      <c r="R389" t="str">
        <f>_xlfn.XLOOKUP(Table8[[#This Row],[Supporter_ID]],tb1_supporters[Supporter_ID ],tb1_supporters[Duplicate_Profile_Flag],"")</f>
        <v/>
      </c>
      <c r="S389" t="str">
        <f>_xlfn.XLOOKUP(Table8[[#This Row],[Supporter_ID]],tb1_supporters[Supporter_ID ],tb1_supporters[Preference_Compliance_Flag],"")</f>
        <v/>
      </c>
      <c r="T389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389" t="str">
        <f>_xlfn.XLOOKUP(Table8[[#This Row],[Campaign_Code]],tb3_CampaignMaster[Campaign_Code],tb3_CampaignMaster[Campaign_Type],"")</f>
        <v>Legacy</v>
      </c>
      <c r="V389" t="str">
        <f>_xlfn.XLOOKUP(Table8[[#This Row],[Campaign_Code]],tb3_CampaignMaster[Campaign_Code],tb3_CampaignMaster[Target_Audience],"")</f>
        <v>Over 55s</v>
      </c>
      <c r="W389" s="17">
        <f>_xlfn.XLOOKUP(Table8[[#This Row],[Campaign_Code]],tb3_CampaignMaster[Campaign_Code],tb3_CampaignMaster[Start_Date],"")</f>
        <v>45572</v>
      </c>
      <c r="X389" s="17">
        <f>_xlfn.XLOOKUP(Table8[[#This Row],[Campaign_Code]],tb3_CampaignMaster[Campaign_Code],tb3_CampaignMaster[End_Date],"")</f>
        <v>45578</v>
      </c>
      <c r="Y389">
        <f>_xlfn.XLOOKUP(Table8[[#This Row],[Campaign_Code]],tb3_CampaignMaster[Campaign_Code],tb3_CampaignMaster[Budget_GBP],"")</f>
        <v>5000</v>
      </c>
      <c r="Z389" t="str">
        <f>_xlfn.XLOOKUP(Table8[[#This Row],[Campaign_Code]],tb3_CampaignMaster[Campaign_Code],tb3_CampaignMaster[Primary_Channel],"")</f>
        <v>Direct Mail</v>
      </c>
      <c r="AA389" s="13">
        <f>IF(Table8[[#This Row],[Gift_Aid_Eligible]]="Yes",Table8[[#This Row],[Gift_Amount]]*1.25,Table8[[#This Row],[Gift_Amount]])</f>
        <v>14.25</v>
      </c>
      <c r="AB389" t="str">
        <f>IF(Table8[[#This Row],[Supporter_ID]]="","Review - missing supporter ID","")</f>
        <v/>
      </c>
      <c r="AC389" t="str">
        <f>IF(OR(Table8[[#This Row],[Response_Date]]&lt;Table8[[#This Row],[Start_Date]],Table8[[#This Row],[Response_Date]]&gt;Table8[[#This Row],[End_Date]]),"Review - response outside campaign dates","")</f>
        <v/>
      </c>
      <c r="AD389" t="str">
        <f>IF(Table8[[#This Row],[Campaign_Type]]="","Review - campaign code not found","")</f>
        <v/>
      </c>
    </row>
    <row r="390" spans="1:30" x14ac:dyDescent="0.25">
      <c r="A390" t="s">
        <v>4036</v>
      </c>
      <c r="B390" t="s">
        <v>535</v>
      </c>
      <c r="C390" t="s">
        <v>3325</v>
      </c>
      <c r="D390" t="s">
        <v>3326</v>
      </c>
      <c r="E390" t="s">
        <v>3338</v>
      </c>
      <c r="F390" s="17">
        <v>45607</v>
      </c>
      <c r="G390">
        <v>9.42</v>
      </c>
      <c r="H390" t="s">
        <v>37</v>
      </c>
      <c r="I390" t="s">
        <v>3328</v>
      </c>
      <c r="J390" t="str">
        <f>_xlfn.XLOOKUP(Table8[[#This Row],[Supporter_ID]],tb1_supporters[Supporter_ID ],tb1_supporters[Segment],"")</f>
        <v>Prospect</v>
      </c>
      <c r="K390" t="str">
        <f>_xlfn.XLOOKUP(Table8[[#This Row],[Supporter_ID]],tb1_supporters[Supporter_ID ],tb1_supporters[Acquisition_Source],"")</f>
        <v>Social Media</v>
      </c>
      <c r="L390" t="str">
        <f>_xlfn.XLOOKUP(Table8[[#This Row],[Supporter_ID]],tb1_supporters[Supporter_ID ],tb1_supporters[County],"")</f>
        <v>West Glamorgan</v>
      </c>
      <c r="M390" t="str">
        <f>_xlfn.XLOOKUP(Table8[[#This Row],[Supporter_ID]],tb1_supporters[Supporter_ID ],tb1_supporters[Gender],"")</f>
        <v>Female</v>
      </c>
      <c r="N390" t="str">
        <f ca="1">_xlfn.XLOOKUP(Table8[[#This Row],[Supporter_ID]],tb1_supporters[Supporter_ID ],tb1_supporters[Age],"")</f>
        <v/>
      </c>
      <c r="O390" t="str">
        <f ca="1">_xlfn.XLOOKUP(Table8[[#This Row],[Supporter_ID]],tb1_supporters[Supporter_ID ],tb1_supporters[Age_Band],"")</f>
        <v/>
      </c>
      <c r="P390" t="str">
        <f ca="1">IF(Table8[[#This Row],[Age_Band]]="","Unknown",Table8[[#This Row],[Age_Band]])</f>
        <v>Unknown</v>
      </c>
      <c r="Q390" t="str">
        <f>_xlfn.XLOOKUP(Table8[[#This Row],[Supporter_ID]],tb1_supporters[Supporter_ID ],tb1_supporters[Communication_Preference],"")</f>
        <v>No Preference</v>
      </c>
      <c r="R390" t="str">
        <f>_xlfn.XLOOKUP(Table8[[#This Row],[Supporter_ID]],tb1_supporters[Supporter_ID ],tb1_supporters[Duplicate_Profile_Flag],"")</f>
        <v/>
      </c>
      <c r="S390" t="str">
        <f>_xlfn.XLOOKUP(Table8[[#This Row],[Supporter_ID]],tb1_supporters[Supporter_ID ],tb1_supporters[Preference_Compliance_Flag],"")</f>
        <v/>
      </c>
      <c r="T390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390" t="str">
        <f>_xlfn.XLOOKUP(Table8[[#This Row],[Campaign_Code]],tb3_CampaignMaster[Campaign_Code],tb3_CampaignMaster[Campaign_Type],"")</f>
        <v>Appeal</v>
      </c>
      <c r="V390" t="str">
        <f>_xlfn.XLOOKUP(Table8[[#This Row],[Campaign_Code]],tb3_CampaignMaster[Campaign_Code],tb3_CampaignMaster[Target_Audience],"")</f>
        <v>All Active</v>
      </c>
      <c r="W390" s="17">
        <f>_xlfn.XLOOKUP(Table8[[#This Row],[Campaign_Code]],tb3_CampaignMaster[Campaign_Code],tb3_CampaignMaster[Start_Date],"")</f>
        <v>45597</v>
      </c>
      <c r="X390" s="17">
        <f>_xlfn.XLOOKUP(Table8[[#This Row],[Campaign_Code]],tb3_CampaignMaster[Campaign_Code],tb3_CampaignMaster[End_Date],"")</f>
        <v>45657</v>
      </c>
      <c r="Y390">
        <f>_xlfn.XLOOKUP(Table8[[#This Row],[Campaign_Code]],tb3_CampaignMaster[Campaign_Code],tb3_CampaignMaster[Budget_GBP],"")</f>
        <v>25000</v>
      </c>
      <c r="Z390" t="str">
        <f>_xlfn.XLOOKUP(Table8[[#This Row],[Campaign_Code]],tb3_CampaignMaster[Campaign_Code],tb3_CampaignMaster[Primary_Channel],"")</f>
        <v>Multi-channel</v>
      </c>
      <c r="AA390" s="13">
        <f>IF(Table8[[#This Row],[Gift_Aid_Eligible]]="Yes",Table8[[#This Row],[Gift_Amount]]*1.25,Table8[[#This Row],[Gift_Amount]])</f>
        <v>9.42</v>
      </c>
      <c r="AB390" t="str">
        <f>IF(Table8[[#This Row],[Supporter_ID]]="","Review - missing supporter ID","")</f>
        <v/>
      </c>
      <c r="AC390" t="str">
        <f>IF(OR(Table8[[#This Row],[Response_Date]]&lt;Table8[[#This Row],[Start_Date]],Table8[[#This Row],[Response_Date]]&gt;Table8[[#This Row],[End_Date]]),"Review - response outside campaign dates","")</f>
        <v/>
      </c>
      <c r="AD390" t="str">
        <f>IF(Table8[[#This Row],[Campaign_Type]]="","Review - campaign code not found","")</f>
        <v/>
      </c>
    </row>
    <row r="391" spans="1:30" x14ac:dyDescent="0.25">
      <c r="A391" t="s">
        <v>4037</v>
      </c>
      <c r="B391" t="s">
        <v>1511</v>
      </c>
      <c r="C391" t="s">
        <v>3367</v>
      </c>
      <c r="D391" t="s">
        <v>3368</v>
      </c>
      <c r="E391" t="s">
        <v>65</v>
      </c>
      <c r="F391" s="17">
        <v>45769</v>
      </c>
      <c r="G391">
        <v>56.34</v>
      </c>
      <c r="H391" t="s">
        <v>37</v>
      </c>
      <c r="I391" t="s">
        <v>3370</v>
      </c>
      <c r="J391" t="str">
        <f>_xlfn.XLOOKUP(Table8[[#This Row],[Supporter_ID]],tb1_supporters[Supporter_ID ],tb1_supporters[Segment],"")</f>
        <v>Mid-Value</v>
      </c>
      <c r="K391" t="str">
        <f>_xlfn.XLOOKUP(Table8[[#This Row],[Supporter_ID]],tb1_supporters[Supporter_ID ],tb1_supporters[Acquisition_Source],"")</f>
        <v>Referral</v>
      </c>
      <c r="L391" t="str">
        <f>_xlfn.XLOOKUP(Table8[[#This Row],[Supporter_ID]],tb1_supporters[Supporter_ID ],tb1_supporters[County],"")</f>
        <v>South Yorkshire</v>
      </c>
      <c r="M391" t="str">
        <f>_xlfn.XLOOKUP(Table8[[#This Row],[Supporter_ID]],tb1_supporters[Supporter_ID ],tb1_supporters[Gender],"")</f>
        <v>Female</v>
      </c>
      <c r="N391">
        <f ca="1">_xlfn.XLOOKUP(Table8[[#This Row],[Supporter_ID]],tb1_supporters[Supporter_ID ],tb1_supporters[Age],"")</f>
        <v>64</v>
      </c>
      <c r="O391" t="str">
        <f ca="1">_xlfn.XLOOKUP(Table8[[#This Row],[Supporter_ID]],tb1_supporters[Supporter_ID ],tb1_supporters[Age_Band],"")</f>
        <v>50-64</v>
      </c>
      <c r="P391" t="str">
        <f ca="1">IF(Table8[[#This Row],[Age_Band]]="","Unknown",Table8[[#This Row],[Age_Band]])</f>
        <v>50-64</v>
      </c>
      <c r="Q391" t="str">
        <f>_xlfn.XLOOKUP(Table8[[#This Row],[Supporter_ID]],tb1_supporters[Supporter_ID ],tb1_supporters[Communication_Preference],"")</f>
        <v>Email</v>
      </c>
      <c r="R391" t="str">
        <f>_xlfn.XLOOKUP(Table8[[#This Row],[Supporter_ID]],tb1_supporters[Supporter_ID ],tb1_supporters[Duplicate_Profile_Flag],"")</f>
        <v>Review - duplicate record, see Supporter_Duplicates tab</v>
      </c>
      <c r="S391" t="str">
        <f>_xlfn.XLOOKUP(Table8[[#This Row],[Supporter_ID]],tb1_supporters[Supporter_ID ],tb1_supporters[Preference_Compliance_Flag],"")</f>
        <v/>
      </c>
      <c r="T391" t="str">
        <f ca="1">IF(Table8[[#This Row],[Age]]="","Review - missing DOB",IF(Table8[[#This Row],[Age]]&gt;TODAY(),"Review - future DOB",IF(Table8[[#This Row],[Age]]=0,"Review -  potential entry error (age 0)","")))</f>
        <v/>
      </c>
      <c r="U391" t="str">
        <f>_xlfn.XLOOKUP(Table8[[#This Row],[Campaign_Code]],tb3_CampaignMaster[Campaign_Code],tb3_CampaignMaster[Campaign_Type],"")</f>
        <v>Raffle</v>
      </c>
      <c r="V391" t="str">
        <f>_xlfn.XLOOKUP(Table8[[#This Row],[Campaign_Code]],tb3_CampaignMaster[Campaign_Code],tb3_CampaignMaster[Target_Audience],"")</f>
        <v>Regular Givers</v>
      </c>
      <c r="W391" s="17">
        <f>_xlfn.XLOOKUP(Table8[[#This Row],[Campaign_Code]],tb3_CampaignMaster[Campaign_Code],tb3_CampaignMaster[Start_Date],"")</f>
        <v>45717</v>
      </c>
      <c r="X391" s="17">
        <f>_xlfn.XLOOKUP(Table8[[#This Row],[Campaign_Code]],tb3_CampaignMaster[Campaign_Code],tb3_CampaignMaster[End_Date],"")</f>
        <v>45777</v>
      </c>
      <c r="Y391">
        <f>_xlfn.XLOOKUP(Table8[[#This Row],[Campaign_Code]],tb3_CampaignMaster[Campaign_Code],tb3_CampaignMaster[Budget_GBP],"")</f>
        <v>8000</v>
      </c>
      <c r="Z391" t="str">
        <f>_xlfn.XLOOKUP(Table8[[#This Row],[Campaign_Code]],tb3_CampaignMaster[Campaign_Code],tb3_CampaignMaster[Primary_Channel],"")</f>
        <v>Direct Mail</v>
      </c>
      <c r="AA391" s="13">
        <f>IF(Table8[[#This Row],[Gift_Aid_Eligible]]="Yes",Table8[[#This Row],[Gift_Amount]]*1.25,Table8[[#This Row],[Gift_Amount]])</f>
        <v>56.34</v>
      </c>
      <c r="AB391" t="str">
        <f>IF(Table8[[#This Row],[Supporter_ID]]="","Review - missing supporter ID","")</f>
        <v/>
      </c>
      <c r="AC391" t="str">
        <f>IF(OR(Table8[[#This Row],[Response_Date]]&lt;Table8[[#This Row],[Start_Date]],Table8[[#This Row],[Response_Date]]&gt;Table8[[#This Row],[End_Date]]),"Review - response outside campaign dates","")</f>
        <v/>
      </c>
      <c r="AD391" t="str">
        <f>IF(Table8[[#This Row],[Campaign_Type]]="","Review - campaign code not found","")</f>
        <v/>
      </c>
    </row>
    <row r="392" spans="1:30" x14ac:dyDescent="0.25">
      <c r="A392" t="s">
        <v>4039</v>
      </c>
      <c r="B392" t="s">
        <v>2386</v>
      </c>
      <c r="C392" t="s">
        <v>3341</v>
      </c>
      <c r="D392" t="s">
        <v>3342</v>
      </c>
      <c r="E392" t="s">
        <v>4</v>
      </c>
      <c r="F392" s="17">
        <v>45762</v>
      </c>
      <c r="G392">
        <v>427.19</v>
      </c>
      <c r="H392" t="s">
        <v>36</v>
      </c>
      <c r="I392" t="s">
        <v>3334</v>
      </c>
      <c r="J392" t="str">
        <f>_xlfn.XLOOKUP(Table8[[#This Row],[Supporter_ID]],tb1_supporters[Supporter_ID ],tb1_supporters[Segment],"")</f>
        <v>Legacy Pledger</v>
      </c>
      <c r="K392" t="str">
        <f>_xlfn.XLOOKUP(Table8[[#This Row],[Supporter_ID]],tb1_supporters[Supporter_ID ],tb1_supporters[Acquisition_Source],"")</f>
        <v>Corporate Partner</v>
      </c>
      <c r="L392" t="str">
        <f>_xlfn.XLOOKUP(Table8[[#This Row],[Supporter_ID]],tb1_supporters[Supporter_ID ],tb1_supporters[County],"")</f>
        <v>Greater Manchester</v>
      </c>
      <c r="M392" t="str">
        <f>_xlfn.XLOOKUP(Table8[[#This Row],[Supporter_ID]],tb1_supporters[Supporter_ID ],tb1_supporters[Gender],"")</f>
        <v>Male</v>
      </c>
      <c r="N392">
        <f ca="1">_xlfn.XLOOKUP(Table8[[#This Row],[Supporter_ID]],tb1_supporters[Supporter_ID ],tb1_supporters[Age],"")</f>
        <v>32</v>
      </c>
      <c r="O392" t="str">
        <f ca="1">_xlfn.XLOOKUP(Table8[[#This Row],[Supporter_ID]],tb1_supporters[Supporter_ID ],tb1_supporters[Age_Band],"")</f>
        <v>18-34</v>
      </c>
      <c r="P392" t="str">
        <f ca="1">IF(Table8[[#This Row],[Age_Band]]="","Unknown",Table8[[#This Row],[Age_Band]])</f>
        <v>18-34</v>
      </c>
      <c r="Q392" t="str">
        <f>_xlfn.XLOOKUP(Table8[[#This Row],[Supporter_ID]],tb1_supporters[Supporter_ID ],tb1_supporters[Communication_Preference],"")</f>
        <v>No Preference</v>
      </c>
      <c r="R392" t="str">
        <f>_xlfn.XLOOKUP(Table8[[#This Row],[Supporter_ID]],tb1_supporters[Supporter_ID ],tb1_supporters[Duplicate_Profile_Flag],"")</f>
        <v/>
      </c>
      <c r="S392" t="str">
        <f>_xlfn.XLOOKUP(Table8[[#This Row],[Supporter_ID]],tb1_supporters[Supporter_ID ],tb1_supporters[Preference_Compliance_Flag],"")</f>
        <v/>
      </c>
      <c r="T392" t="str">
        <f ca="1">IF(Table8[[#This Row],[Age]]="","Review - missing DOB",IF(Table8[[#This Row],[Age]]&gt;TODAY(),"Review - future DOB",IF(Table8[[#This Row],[Age]]=0,"Review -  potential entry error (age 0)","")))</f>
        <v/>
      </c>
      <c r="U392" t="str">
        <f>_xlfn.XLOOKUP(Table8[[#This Row],[Campaign_Code]],tb3_CampaignMaster[Campaign_Code],tb3_CampaignMaster[Campaign_Type],"")</f>
        <v>Acquisition</v>
      </c>
      <c r="V392" t="str">
        <f>_xlfn.XLOOKUP(Table8[[#This Row],[Campaign_Code]],tb3_CampaignMaster[Campaign_Code],tb3_CampaignMaster[Target_Audience],"")</f>
        <v>Prospects</v>
      </c>
      <c r="W392" s="17">
        <f>_xlfn.XLOOKUP(Table8[[#This Row],[Campaign_Code]],tb3_CampaignMaster[Campaign_Code],tb3_CampaignMaster[Start_Date],"")</f>
        <v>45689</v>
      </c>
      <c r="X392" s="17">
        <f>_xlfn.XLOOKUP(Table8[[#This Row],[Campaign_Code]],tb3_CampaignMaster[Campaign_Code],tb3_CampaignMaster[End_Date],"")</f>
        <v>45777</v>
      </c>
      <c r="Y392">
        <f>_xlfn.XLOOKUP(Table8[[#This Row],[Campaign_Code]],tb3_CampaignMaster[Campaign_Code],tb3_CampaignMaster[Budget_GBP],"")</f>
        <v>20000</v>
      </c>
      <c r="Z392" t="str">
        <f>_xlfn.XLOOKUP(Table8[[#This Row],[Campaign_Code]],tb3_CampaignMaster[Campaign_Code],tb3_CampaignMaster[Primary_Channel],"")</f>
        <v>Digital</v>
      </c>
      <c r="AA392" s="13">
        <f>IF(Table8[[#This Row],[Gift_Aid_Eligible]]="Yes",Table8[[#This Row],[Gift_Amount]]*1.25,Table8[[#This Row],[Gift_Amount]])</f>
        <v>533.98749999999995</v>
      </c>
      <c r="AB392" t="str">
        <f>IF(Table8[[#This Row],[Supporter_ID]]="","Review - missing supporter ID","")</f>
        <v/>
      </c>
      <c r="AC392" t="str">
        <f>IF(OR(Table8[[#This Row],[Response_Date]]&lt;Table8[[#This Row],[Start_Date]],Table8[[#This Row],[Response_Date]]&gt;Table8[[#This Row],[End_Date]]),"Review - response outside campaign dates","")</f>
        <v/>
      </c>
      <c r="AD392" t="str">
        <f>IF(Table8[[#This Row],[Campaign_Type]]="","Review - campaign code not found","")</f>
        <v/>
      </c>
    </row>
    <row r="393" spans="1:30" x14ac:dyDescent="0.25">
      <c r="A393" t="s">
        <v>4041</v>
      </c>
      <c r="B393" t="s">
        <v>1355</v>
      </c>
      <c r="C393" t="s">
        <v>3354</v>
      </c>
      <c r="D393" t="s">
        <v>3355</v>
      </c>
      <c r="E393" t="s">
        <v>4</v>
      </c>
      <c r="F393" s="17">
        <v>45618</v>
      </c>
      <c r="G393">
        <v>-64.38</v>
      </c>
      <c r="H393" t="s">
        <v>36</v>
      </c>
      <c r="I393" t="s">
        <v>3328</v>
      </c>
      <c r="J393" t="str">
        <f>_xlfn.XLOOKUP(Table8[[#This Row],[Supporter_ID]],tb1_supporters[Supporter_ID ],tb1_supporters[Segment],"")</f>
        <v>One-Time Donor</v>
      </c>
      <c r="K393" t="str">
        <f>_xlfn.XLOOKUP(Table8[[#This Row],[Supporter_ID]],tb1_supporters[Supporter_ID ],tb1_supporters[Acquisition_Source],"")</f>
        <v>Door-To-Door</v>
      </c>
      <c r="L393" t="str">
        <f>_xlfn.XLOOKUP(Table8[[#This Row],[Supporter_ID]],tb1_supporters[Supporter_ID ],tb1_supporters[County],"")</f>
        <v>Bedfordshire</v>
      </c>
      <c r="M393" t="str">
        <f>_xlfn.XLOOKUP(Table8[[#This Row],[Supporter_ID]],tb1_supporters[Supporter_ID ],tb1_supporters[Gender],"")</f>
        <v>Male</v>
      </c>
      <c r="N393">
        <f ca="1">_xlfn.XLOOKUP(Table8[[#This Row],[Supporter_ID]],tb1_supporters[Supporter_ID ],tb1_supporters[Age],"")</f>
        <v>39</v>
      </c>
      <c r="O393" t="str">
        <f ca="1">_xlfn.XLOOKUP(Table8[[#This Row],[Supporter_ID]],tb1_supporters[Supporter_ID ],tb1_supporters[Age_Band],"")</f>
        <v>35-49</v>
      </c>
      <c r="P393" t="str">
        <f ca="1">IF(Table8[[#This Row],[Age_Band]]="","Unknown",Table8[[#This Row],[Age_Band]])</f>
        <v>35-49</v>
      </c>
      <c r="Q393" t="str">
        <f>_xlfn.XLOOKUP(Table8[[#This Row],[Supporter_ID]],tb1_supporters[Supporter_ID ],tb1_supporters[Communication_Preference],"")</f>
        <v>Post</v>
      </c>
      <c r="R393" t="str">
        <f>_xlfn.XLOOKUP(Table8[[#This Row],[Supporter_ID]],tb1_supporters[Supporter_ID ],tb1_supporters[Duplicate_Profile_Flag],"")</f>
        <v/>
      </c>
      <c r="S393" t="str">
        <f>_xlfn.XLOOKUP(Table8[[#This Row],[Supporter_ID]],tb1_supporters[Supporter_ID ],tb1_supporters[Preference_Compliance_Flag],"")</f>
        <v>Review - prefers post but not opted in</v>
      </c>
      <c r="T393" t="str">
        <f ca="1">IF(Table8[[#This Row],[Age]]="","Review - missing DOB",IF(Table8[[#This Row],[Age]]&gt;TODAY(),"Review - future DOB",IF(Table8[[#This Row],[Age]]=0,"Review -  potential entry error (age 0)","")))</f>
        <v/>
      </c>
      <c r="U393" t="str">
        <f>_xlfn.XLOOKUP(Table8[[#This Row],[Campaign_Code]],tb3_CampaignMaster[Campaign_Code],tb3_CampaignMaster[Campaign_Type],"")</f>
        <v>Event</v>
      </c>
      <c r="V393" t="str">
        <f>_xlfn.XLOOKUP(Table8[[#This Row],[Campaign_Code]],tb3_CampaignMaster[Campaign_Code],tb3_CampaignMaster[Target_Audience],"")</f>
        <v>Volunteers</v>
      </c>
      <c r="W393" s="17">
        <f>_xlfn.XLOOKUP(Table8[[#This Row],[Campaign_Code]],tb3_CampaignMaster[Campaign_Code],tb3_CampaignMaster[Start_Date],"")</f>
        <v>45618</v>
      </c>
      <c r="X393" s="17">
        <f>_xlfn.XLOOKUP(Table8[[#This Row],[Campaign_Code]],tb3_CampaignMaster[Campaign_Code],tb3_CampaignMaster[End_Date],"")</f>
        <v>45618</v>
      </c>
      <c r="Y393">
        <f>_xlfn.XLOOKUP(Table8[[#This Row],[Campaign_Code]],tb3_CampaignMaster[Campaign_Code],tb3_CampaignMaster[Budget_GBP],"")</f>
        <v>3500</v>
      </c>
      <c r="Z393" t="str">
        <f>_xlfn.XLOOKUP(Table8[[#This Row],[Campaign_Code]],tb3_CampaignMaster[Campaign_Code],tb3_CampaignMaster[Primary_Channel],"")</f>
        <v>Email</v>
      </c>
      <c r="AA393" s="13">
        <f>IF(Table8[[#This Row],[Gift_Aid_Eligible]]="Yes",Table8[[#This Row],[Gift_Amount]]*1.25,Table8[[#This Row],[Gift_Amount]])</f>
        <v>-80.474999999999994</v>
      </c>
      <c r="AB393" t="str">
        <f>IF(Table8[[#This Row],[Supporter_ID]]="","Review - missing supporter ID","")</f>
        <v/>
      </c>
      <c r="AC393" t="str">
        <f>IF(OR(Table8[[#This Row],[Response_Date]]&lt;Table8[[#This Row],[Start_Date]],Table8[[#This Row],[Response_Date]]&gt;Table8[[#This Row],[End_Date]]),"Review - response outside campaign dates","")</f>
        <v/>
      </c>
      <c r="AD393" t="str">
        <f>IF(Table8[[#This Row],[Campaign_Type]]="","Review - campaign code not found","")</f>
        <v/>
      </c>
    </row>
    <row r="394" spans="1:30" x14ac:dyDescent="0.25">
      <c r="A394" t="s">
        <v>4042</v>
      </c>
      <c r="B394" t="s">
        <v>1855</v>
      </c>
      <c r="C394" t="s">
        <v>3354</v>
      </c>
      <c r="D394" t="s">
        <v>3355</v>
      </c>
      <c r="E394" t="s">
        <v>4</v>
      </c>
      <c r="F394" s="17">
        <v>45618</v>
      </c>
      <c r="G394">
        <v>203.11</v>
      </c>
      <c r="H394" t="s">
        <v>36</v>
      </c>
      <c r="I394" t="s">
        <v>3323</v>
      </c>
      <c r="J394" t="str">
        <f>_xlfn.XLOOKUP(Table8[[#This Row],[Supporter_ID]],tb1_supporters[Supporter_ID ],tb1_supporters[Segment],"")</f>
        <v>Mid-Value</v>
      </c>
      <c r="K394" t="str">
        <f>_xlfn.XLOOKUP(Table8[[#This Row],[Supporter_ID]],tb1_supporters[Supporter_ID ],tb1_supporters[Acquisition_Source],"")</f>
        <v>Social Media</v>
      </c>
      <c r="L394" t="str">
        <f>_xlfn.XLOOKUP(Table8[[#This Row],[Supporter_ID]],tb1_supporters[Supporter_ID ],tb1_supporters[County],"")</f>
        <v>Cambridgeshire</v>
      </c>
      <c r="M394" t="str">
        <f>_xlfn.XLOOKUP(Table8[[#This Row],[Supporter_ID]],tb1_supporters[Supporter_ID ],tb1_supporters[Gender],"")</f>
        <v>Male</v>
      </c>
      <c r="N394">
        <f ca="1">_xlfn.XLOOKUP(Table8[[#This Row],[Supporter_ID]],tb1_supporters[Supporter_ID ],tb1_supporters[Age],"")</f>
        <v>49</v>
      </c>
      <c r="O394" t="str">
        <f ca="1">_xlfn.XLOOKUP(Table8[[#This Row],[Supporter_ID]],tb1_supporters[Supporter_ID ],tb1_supporters[Age_Band],"")</f>
        <v>35-49</v>
      </c>
      <c r="P394" t="str">
        <f ca="1">IF(Table8[[#This Row],[Age_Band]]="","Unknown",Table8[[#This Row],[Age_Band]])</f>
        <v>35-49</v>
      </c>
      <c r="Q394" t="str">
        <f>_xlfn.XLOOKUP(Table8[[#This Row],[Supporter_ID]],tb1_supporters[Supporter_ID ],tb1_supporters[Communication_Preference],"")</f>
        <v>Email</v>
      </c>
      <c r="R394" t="str">
        <f>_xlfn.XLOOKUP(Table8[[#This Row],[Supporter_ID]],tb1_supporters[Supporter_ID ],tb1_supporters[Duplicate_Profile_Flag],"")</f>
        <v/>
      </c>
      <c r="S394" t="str">
        <f>_xlfn.XLOOKUP(Table8[[#This Row],[Supporter_ID]],tb1_supporters[Supporter_ID ],tb1_supporters[Preference_Compliance_Flag],"")</f>
        <v/>
      </c>
      <c r="T394" t="str">
        <f ca="1">IF(Table8[[#This Row],[Age]]="","Review - missing DOB",IF(Table8[[#This Row],[Age]]&gt;TODAY(),"Review - future DOB",IF(Table8[[#This Row],[Age]]=0,"Review -  potential entry error (age 0)","")))</f>
        <v/>
      </c>
      <c r="U394" t="str">
        <f>_xlfn.XLOOKUP(Table8[[#This Row],[Campaign_Code]],tb3_CampaignMaster[Campaign_Code],tb3_CampaignMaster[Campaign_Type],"")</f>
        <v>Event</v>
      </c>
      <c r="V394" t="str">
        <f>_xlfn.XLOOKUP(Table8[[#This Row],[Campaign_Code]],tb3_CampaignMaster[Campaign_Code],tb3_CampaignMaster[Target_Audience],"")</f>
        <v>Volunteers</v>
      </c>
      <c r="W394" s="17">
        <f>_xlfn.XLOOKUP(Table8[[#This Row],[Campaign_Code]],tb3_CampaignMaster[Campaign_Code],tb3_CampaignMaster[Start_Date],"")</f>
        <v>45618</v>
      </c>
      <c r="X394" s="17">
        <f>_xlfn.XLOOKUP(Table8[[#This Row],[Campaign_Code]],tb3_CampaignMaster[Campaign_Code],tb3_CampaignMaster[End_Date],"")</f>
        <v>45618</v>
      </c>
      <c r="Y394">
        <f>_xlfn.XLOOKUP(Table8[[#This Row],[Campaign_Code]],tb3_CampaignMaster[Campaign_Code],tb3_CampaignMaster[Budget_GBP],"")</f>
        <v>3500</v>
      </c>
      <c r="Z394" t="str">
        <f>_xlfn.XLOOKUP(Table8[[#This Row],[Campaign_Code]],tb3_CampaignMaster[Campaign_Code],tb3_CampaignMaster[Primary_Channel],"")</f>
        <v>Email</v>
      </c>
      <c r="AA394" s="13">
        <f>IF(Table8[[#This Row],[Gift_Aid_Eligible]]="Yes",Table8[[#This Row],[Gift_Amount]]*1.25,Table8[[#This Row],[Gift_Amount]])</f>
        <v>253.88750000000002</v>
      </c>
      <c r="AB394" t="str">
        <f>IF(Table8[[#This Row],[Supporter_ID]]="","Review - missing supporter ID","")</f>
        <v/>
      </c>
      <c r="AC394" t="str">
        <f>IF(OR(Table8[[#This Row],[Response_Date]]&lt;Table8[[#This Row],[Start_Date]],Table8[[#This Row],[Response_Date]]&gt;Table8[[#This Row],[End_Date]]),"Review - response outside campaign dates","")</f>
        <v/>
      </c>
      <c r="AD394" t="str">
        <f>IF(Table8[[#This Row],[Campaign_Type]]="","Review - campaign code not found","")</f>
        <v/>
      </c>
    </row>
    <row r="395" spans="1:30" x14ac:dyDescent="0.25">
      <c r="A395" t="s">
        <v>4043</v>
      </c>
      <c r="B395" t="s">
        <v>2753</v>
      </c>
      <c r="C395" t="s">
        <v>3427</v>
      </c>
      <c r="D395" t="s">
        <v>3428</v>
      </c>
      <c r="E395" t="s">
        <v>4</v>
      </c>
      <c r="F395" s="17">
        <v>45488</v>
      </c>
      <c r="G395">
        <v>4621.22</v>
      </c>
      <c r="H395" t="s">
        <v>36</v>
      </c>
      <c r="I395" t="s">
        <v>3323</v>
      </c>
      <c r="J395" t="str">
        <f>_xlfn.XLOOKUP(Table8[[#This Row],[Supporter_ID]],tb1_supporters[Supporter_ID ],tb1_supporters[Segment],"")</f>
        <v>Major Donor</v>
      </c>
      <c r="K395" t="str">
        <f>_xlfn.XLOOKUP(Table8[[#This Row],[Supporter_ID]],tb1_supporters[Supporter_ID ],tb1_supporters[Acquisition_Source],"")</f>
        <v>Direct Mail</v>
      </c>
      <c r="L395" t="str">
        <f>_xlfn.XLOOKUP(Table8[[#This Row],[Supporter_ID]],tb1_supporters[Supporter_ID ],tb1_supporters[County],"")</f>
        <v>Greater Manchester</v>
      </c>
      <c r="M395" t="str">
        <f>_xlfn.XLOOKUP(Table8[[#This Row],[Supporter_ID]],tb1_supporters[Supporter_ID ],tb1_supporters[Gender],"")</f>
        <v>Male</v>
      </c>
      <c r="N395">
        <f ca="1">_xlfn.XLOOKUP(Table8[[#This Row],[Supporter_ID]],tb1_supporters[Supporter_ID ],tb1_supporters[Age],"")</f>
        <v>52</v>
      </c>
      <c r="O395" t="str">
        <f ca="1">_xlfn.XLOOKUP(Table8[[#This Row],[Supporter_ID]],tb1_supporters[Supporter_ID ],tb1_supporters[Age_Band],"")</f>
        <v>50-64</v>
      </c>
      <c r="P395" t="str">
        <f ca="1">IF(Table8[[#This Row],[Age_Band]]="","Unknown",Table8[[#This Row],[Age_Band]])</f>
        <v>50-64</v>
      </c>
      <c r="Q395" t="str">
        <f>_xlfn.XLOOKUP(Table8[[#This Row],[Supporter_ID]],tb1_supporters[Supporter_ID ],tb1_supporters[Communication_Preference],"")</f>
        <v>Post</v>
      </c>
      <c r="R395" t="str">
        <f>_xlfn.XLOOKUP(Table8[[#This Row],[Supporter_ID]],tb1_supporters[Supporter_ID ],tb1_supporters[Duplicate_Profile_Flag],"")</f>
        <v/>
      </c>
      <c r="S395" t="str">
        <f>_xlfn.XLOOKUP(Table8[[#This Row],[Supporter_ID]],tb1_supporters[Supporter_ID ],tb1_supporters[Preference_Compliance_Flag],"")</f>
        <v/>
      </c>
      <c r="T395" t="str">
        <f ca="1">IF(Table8[[#This Row],[Age]]="","Review - missing DOB",IF(Table8[[#This Row],[Age]]&gt;TODAY(),"Review - future DOB",IF(Table8[[#This Row],[Age]]=0,"Review -  potential entry error (age 0)","")))</f>
        <v/>
      </c>
      <c r="U395" t="str">
        <f>_xlfn.XLOOKUP(Table8[[#This Row],[Campaign_Code]],tb3_CampaignMaster[Campaign_Code],tb3_CampaignMaster[Campaign_Type],"")</f>
        <v>Event</v>
      </c>
      <c r="V395" t="str">
        <f>_xlfn.XLOOKUP(Table8[[#This Row],[Campaign_Code]],tb3_CampaignMaster[Campaign_Code],tb3_CampaignMaster[Target_Audience],"")</f>
        <v>Major Donors</v>
      </c>
      <c r="W395" s="17">
        <f>_xlfn.XLOOKUP(Table8[[#This Row],[Campaign_Code]],tb3_CampaignMaster[Campaign_Code],tb3_CampaignMaster[Start_Date],"")</f>
        <v>45488</v>
      </c>
      <c r="X395" s="17">
        <f>_xlfn.XLOOKUP(Table8[[#This Row],[Campaign_Code]],tb3_CampaignMaster[Campaign_Code],tb3_CampaignMaster[End_Date],"")</f>
        <v>45488</v>
      </c>
      <c r="Y395">
        <f>_xlfn.XLOOKUP(Table8[[#This Row],[Campaign_Code]],tb3_CampaignMaster[Campaign_Code],tb3_CampaignMaster[Budget_GBP],"")</f>
        <v>45000</v>
      </c>
      <c r="Z395" t="str">
        <f>_xlfn.XLOOKUP(Table8[[#This Row],[Campaign_Code]],tb3_CampaignMaster[Campaign_Code],tb3_CampaignMaster[Primary_Channel],"")</f>
        <v>Direct Mail</v>
      </c>
      <c r="AA395" s="13">
        <f>IF(Table8[[#This Row],[Gift_Aid_Eligible]]="Yes",Table8[[#This Row],[Gift_Amount]]*1.25,Table8[[#This Row],[Gift_Amount]])</f>
        <v>5776.5250000000005</v>
      </c>
      <c r="AB395" t="str">
        <f>IF(Table8[[#This Row],[Supporter_ID]]="","Review - missing supporter ID","")</f>
        <v/>
      </c>
      <c r="AC395" t="str">
        <f>IF(OR(Table8[[#This Row],[Response_Date]]&lt;Table8[[#This Row],[Start_Date]],Table8[[#This Row],[Response_Date]]&gt;Table8[[#This Row],[End_Date]]),"Review - response outside campaign dates","")</f>
        <v/>
      </c>
      <c r="AD395" t="str">
        <f>IF(Table8[[#This Row],[Campaign_Type]]="","Review - campaign code not found","")</f>
        <v/>
      </c>
    </row>
    <row r="396" spans="1:30" x14ac:dyDescent="0.25">
      <c r="A396" t="s">
        <v>4044</v>
      </c>
      <c r="B396" t="s">
        <v>2176</v>
      </c>
      <c r="C396" t="s">
        <v>3336</v>
      </c>
      <c r="D396" t="s">
        <v>3337</v>
      </c>
      <c r="E396" t="s">
        <v>65</v>
      </c>
      <c r="F396" s="17">
        <v>45551</v>
      </c>
      <c r="G396">
        <v>23.88</v>
      </c>
      <c r="H396" t="s">
        <v>37</v>
      </c>
      <c r="I396" t="s">
        <v>3328</v>
      </c>
      <c r="J396" t="str">
        <f>_xlfn.XLOOKUP(Table8[[#This Row],[Supporter_ID]],tb1_supporters[Supporter_ID ],tb1_supporters[Segment],"")</f>
        <v>Prospect</v>
      </c>
      <c r="K396" t="str">
        <f>_xlfn.XLOOKUP(Table8[[#This Row],[Supporter_ID]],tb1_supporters[Supporter_ID ],tb1_supporters[Acquisition_Source],"")</f>
        <v>Corporate Partner</v>
      </c>
      <c r="L396" t="str">
        <f>_xlfn.XLOOKUP(Table8[[#This Row],[Supporter_ID]],tb1_supporters[Supporter_ID ],tb1_supporters[County],"")</f>
        <v>Gloucestershire</v>
      </c>
      <c r="M396" t="str">
        <f>_xlfn.XLOOKUP(Table8[[#This Row],[Supporter_ID]],tb1_supporters[Supporter_ID ],tb1_supporters[Gender],"")</f>
        <v>Female</v>
      </c>
      <c r="N396">
        <f ca="1">_xlfn.XLOOKUP(Table8[[#This Row],[Supporter_ID]],tb1_supporters[Supporter_ID ],tb1_supporters[Age],"")</f>
        <v>36</v>
      </c>
      <c r="O396" t="str">
        <f ca="1">_xlfn.XLOOKUP(Table8[[#This Row],[Supporter_ID]],tb1_supporters[Supporter_ID ],tb1_supporters[Age_Band],"")</f>
        <v>35-49</v>
      </c>
      <c r="P396" t="str">
        <f ca="1">IF(Table8[[#This Row],[Age_Band]]="","Unknown",Table8[[#This Row],[Age_Band]])</f>
        <v>35-49</v>
      </c>
      <c r="Q396" t="str">
        <f>_xlfn.XLOOKUP(Table8[[#This Row],[Supporter_ID]],tb1_supporters[Supporter_ID ],tb1_supporters[Communication_Preference],"")</f>
        <v>Do Not Contact</v>
      </c>
      <c r="R396" t="str">
        <f>_xlfn.XLOOKUP(Table8[[#This Row],[Supporter_ID]],tb1_supporters[Supporter_ID ],tb1_supporters[Duplicate_Profile_Flag],"")</f>
        <v/>
      </c>
      <c r="S396" t="str">
        <f>_xlfn.XLOOKUP(Table8[[#This Row],[Supporter_ID]],tb1_supporters[Supporter_ID ],tb1_supporters[Preference_Compliance_Flag],"")</f>
        <v/>
      </c>
      <c r="T396" t="str">
        <f ca="1">IF(Table8[[#This Row],[Age]]="","Review - missing DOB",IF(Table8[[#This Row],[Age]]&gt;TODAY(),"Review - future DOB",IF(Table8[[#This Row],[Age]]=0,"Review -  potential entry error (age 0)","")))</f>
        <v/>
      </c>
      <c r="U396" t="str">
        <f>_xlfn.XLOOKUP(Table8[[#This Row],[Campaign_Code]],tb3_CampaignMaster[Campaign_Code],tb3_CampaignMaster[Campaign_Type],"")</f>
        <v>Appeal</v>
      </c>
      <c r="V396" t="str">
        <f>_xlfn.XLOOKUP(Table8[[#This Row],[Campaign_Code]],tb3_CampaignMaster[Campaign_Code],tb3_CampaignMaster[Target_Audience],"")</f>
        <v>All Supporters</v>
      </c>
      <c r="W396" s="17">
        <f>_xlfn.XLOOKUP(Table8[[#This Row],[Campaign_Code]],tb3_CampaignMaster[Campaign_Code],tb3_CampaignMaster[Start_Date],"")</f>
        <v>45545</v>
      </c>
      <c r="X396" s="17">
        <f>_xlfn.XLOOKUP(Table8[[#This Row],[Campaign_Code]],tb3_CampaignMaster[Campaign_Code],tb3_CampaignMaster[End_Date],"")</f>
        <v>45580</v>
      </c>
      <c r="Y396">
        <f>_xlfn.XLOOKUP(Table8[[#This Row],[Campaign_Code]],tb3_CampaignMaster[Campaign_Code],tb3_CampaignMaster[Budget_GBP],"")</f>
        <v>15000</v>
      </c>
      <c r="Z396" t="str">
        <f>_xlfn.XLOOKUP(Table8[[#This Row],[Campaign_Code]],tb3_CampaignMaster[Campaign_Code],tb3_CampaignMaster[Primary_Channel],"")</f>
        <v>Email</v>
      </c>
      <c r="AA396" s="13">
        <f>IF(Table8[[#This Row],[Gift_Aid_Eligible]]="Yes",Table8[[#This Row],[Gift_Amount]]*1.25,Table8[[#This Row],[Gift_Amount]])</f>
        <v>23.88</v>
      </c>
      <c r="AB396" t="str">
        <f>IF(Table8[[#This Row],[Supporter_ID]]="","Review - missing supporter ID","")</f>
        <v/>
      </c>
      <c r="AC396" t="str">
        <f>IF(OR(Table8[[#This Row],[Response_Date]]&lt;Table8[[#This Row],[Start_Date]],Table8[[#This Row],[Response_Date]]&gt;Table8[[#This Row],[End_Date]]),"Review - response outside campaign dates","")</f>
        <v/>
      </c>
      <c r="AD396" t="str">
        <f>IF(Table8[[#This Row],[Campaign_Type]]="","Review - campaign code not found","")</f>
        <v/>
      </c>
    </row>
    <row r="397" spans="1:30" x14ac:dyDescent="0.25">
      <c r="A397" t="s">
        <v>4045</v>
      </c>
      <c r="B397" t="s">
        <v>3261</v>
      </c>
      <c r="C397" t="s">
        <v>3325</v>
      </c>
      <c r="D397" t="s">
        <v>3326</v>
      </c>
      <c r="E397" t="s">
        <v>65</v>
      </c>
      <c r="F397" s="17">
        <v>45624</v>
      </c>
      <c r="G397">
        <v>7.87</v>
      </c>
      <c r="H397" t="s">
        <v>36</v>
      </c>
      <c r="I397" t="s">
        <v>3385</v>
      </c>
      <c r="J397" t="str">
        <f>_xlfn.XLOOKUP(Table8[[#This Row],[Supporter_ID]],tb1_supporters[Supporter_ID ],tb1_supporters[Segment],"")</f>
        <v>Prospect</v>
      </c>
      <c r="K397" t="str">
        <f>_xlfn.XLOOKUP(Table8[[#This Row],[Supporter_ID]],tb1_supporters[Supporter_ID ],tb1_supporters[Acquisition_Source],"")</f>
        <v>Referral</v>
      </c>
      <c r="L397" t="str">
        <f>_xlfn.XLOOKUP(Table8[[#This Row],[Supporter_ID]],tb1_supporters[Supporter_ID ],tb1_supporters[County],"")</f>
        <v>Gloucestershire</v>
      </c>
      <c r="M397" t="str">
        <f>_xlfn.XLOOKUP(Table8[[#This Row],[Supporter_ID]],tb1_supporters[Supporter_ID ],tb1_supporters[Gender],"")</f>
        <v>Female</v>
      </c>
      <c r="N397">
        <f ca="1">_xlfn.XLOOKUP(Table8[[#This Row],[Supporter_ID]],tb1_supporters[Supporter_ID ],tb1_supporters[Age],"")</f>
        <v>32</v>
      </c>
      <c r="O397" t="str">
        <f ca="1">_xlfn.XLOOKUP(Table8[[#This Row],[Supporter_ID]],tb1_supporters[Supporter_ID ],tb1_supporters[Age_Band],"")</f>
        <v>18-34</v>
      </c>
      <c r="P397" t="str">
        <f ca="1">IF(Table8[[#This Row],[Age_Band]]="","Unknown",Table8[[#This Row],[Age_Band]])</f>
        <v>18-34</v>
      </c>
      <c r="Q397" t="str">
        <f>_xlfn.XLOOKUP(Table8[[#This Row],[Supporter_ID]],tb1_supporters[Supporter_ID ],tb1_supporters[Communication_Preference],"")</f>
        <v>Phone</v>
      </c>
      <c r="R397" t="str">
        <f>_xlfn.XLOOKUP(Table8[[#This Row],[Supporter_ID]],tb1_supporters[Supporter_ID ],tb1_supporters[Duplicate_Profile_Flag],"")</f>
        <v/>
      </c>
      <c r="S397" t="str">
        <f>_xlfn.XLOOKUP(Table8[[#This Row],[Supporter_ID]],tb1_supporters[Supporter_ID ],tb1_supporters[Preference_Compliance_Flag],"")</f>
        <v/>
      </c>
      <c r="T397" t="str">
        <f ca="1">IF(Table8[[#This Row],[Age]]="","Review - missing DOB",IF(Table8[[#This Row],[Age]]&gt;TODAY(),"Review - future DOB",IF(Table8[[#This Row],[Age]]=0,"Review -  potential entry error (age 0)","")))</f>
        <v/>
      </c>
      <c r="U397" t="str">
        <f>_xlfn.XLOOKUP(Table8[[#This Row],[Campaign_Code]],tb3_CampaignMaster[Campaign_Code],tb3_CampaignMaster[Campaign_Type],"")</f>
        <v>Appeal</v>
      </c>
      <c r="V397" t="str">
        <f>_xlfn.XLOOKUP(Table8[[#This Row],[Campaign_Code]],tb3_CampaignMaster[Campaign_Code],tb3_CampaignMaster[Target_Audience],"")</f>
        <v>All Active</v>
      </c>
      <c r="W397" s="17">
        <f>_xlfn.XLOOKUP(Table8[[#This Row],[Campaign_Code]],tb3_CampaignMaster[Campaign_Code],tb3_CampaignMaster[Start_Date],"")</f>
        <v>45597</v>
      </c>
      <c r="X397" s="17">
        <f>_xlfn.XLOOKUP(Table8[[#This Row],[Campaign_Code]],tb3_CampaignMaster[Campaign_Code],tb3_CampaignMaster[End_Date],"")</f>
        <v>45657</v>
      </c>
      <c r="Y397">
        <f>_xlfn.XLOOKUP(Table8[[#This Row],[Campaign_Code]],tb3_CampaignMaster[Campaign_Code],tb3_CampaignMaster[Budget_GBP],"")</f>
        <v>25000</v>
      </c>
      <c r="Z397" t="str">
        <f>_xlfn.XLOOKUP(Table8[[#This Row],[Campaign_Code]],tb3_CampaignMaster[Campaign_Code],tb3_CampaignMaster[Primary_Channel],"")</f>
        <v>Multi-channel</v>
      </c>
      <c r="AA397" s="13">
        <f>IF(Table8[[#This Row],[Gift_Aid_Eligible]]="Yes",Table8[[#This Row],[Gift_Amount]]*1.25,Table8[[#This Row],[Gift_Amount]])</f>
        <v>9.8375000000000004</v>
      </c>
      <c r="AB397" t="str">
        <f>IF(Table8[[#This Row],[Supporter_ID]]="","Review - missing supporter ID","")</f>
        <v/>
      </c>
      <c r="AC397" t="str">
        <f>IF(OR(Table8[[#This Row],[Response_Date]]&lt;Table8[[#This Row],[Start_Date]],Table8[[#This Row],[Response_Date]]&gt;Table8[[#This Row],[End_Date]]),"Review - response outside campaign dates","")</f>
        <v/>
      </c>
      <c r="AD397" t="str">
        <f>IF(Table8[[#This Row],[Campaign_Type]]="","Review - campaign code not found","")</f>
        <v/>
      </c>
    </row>
    <row r="398" spans="1:30" x14ac:dyDescent="0.25">
      <c r="A398" t="s">
        <v>4047</v>
      </c>
      <c r="B398" t="s">
        <v>2303</v>
      </c>
      <c r="C398" t="s">
        <v>3314</v>
      </c>
      <c r="D398" t="s">
        <v>3315</v>
      </c>
      <c r="E398" t="s">
        <v>3316</v>
      </c>
      <c r="F398" s="17">
        <v>45704</v>
      </c>
      <c r="G398">
        <v>27.11</v>
      </c>
      <c r="H398" t="s">
        <v>36</v>
      </c>
      <c r="I398" t="s">
        <v>3318</v>
      </c>
      <c r="J398" t="str">
        <f>_xlfn.XLOOKUP(Table8[[#This Row],[Supporter_ID]],tb1_supporters[Supporter_ID ],tb1_supporters[Segment],"")</f>
        <v>Prospect</v>
      </c>
      <c r="K398" t="str">
        <f>_xlfn.XLOOKUP(Table8[[#This Row],[Supporter_ID]],tb1_supporters[Supporter_ID ],tb1_supporters[Acquisition_Source],"")</f>
        <v>Direct Mail</v>
      </c>
      <c r="L398" t="str">
        <f>_xlfn.XLOOKUP(Table8[[#This Row],[Supporter_ID]],tb1_supporters[Supporter_ID ],tb1_supporters[County],"")</f>
        <v>Angus</v>
      </c>
      <c r="M398" t="str">
        <f>_xlfn.XLOOKUP(Table8[[#This Row],[Supporter_ID]],tb1_supporters[Supporter_ID ],tb1_supporters[Gender],"")</f>
        <v>Female</v>
      </c>
      <c r="N398" t="str">
        <f ca="1">_xlfn.XLOOKUP(Table8[[#This Row],[Supporter_ID]],tb1_supporters[Supporter_ID ],tb1_supporters[Age],"")</f>
        <v/>
      </c>
      <c r="O398" t="str">
        <f ca="1">_xlfn.XLOOKUP(Table8[[#This Row],[Supporter_ID]],tb1_supporters[Supporter_ID ],tb1_supporters[Age_Band],"")</f>
        <v/>
      </c>
      <c r="P398" t="str">
        <f ca="1">IF(Table8[[#This Row],[Age_Band]]="","Unknown",Table8[[#This Row],[Age_Band]])</f>
        <v>Unknown</v>
      </c>
      <c r="Q398" t="str">
        <f>_xlfn.XLOOKUP(Table8[[#This Row],[Supporter_ID]],tb1_supporters[Supporter_ID ],tb1_supporters[Communication_Preference],"")</f>
        <v>No Preference</v>
      </c>
      <c r="R398" t="str">
        <f>_xlfn.XLOOKUP(Table8[[#This Row],[Supporter_ID]],tb1_supporters[Supporter_ID ],tb1_supporters[Duplicate_Profile_Flag],"")</f>
        <v/>
      </c>
      <c r="S398" t="str">
        <f>_xlfn.XLOOKUP(Table8[[#This Row],[Supporter_ID]],tb1_supporters[Supporter_ID ],tb1_supporters[Preference_Compliance_Flag],"")</f>
        <v/>
      </c>
      <c r="T398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398" t="str">
        <f>_xlfn.XLOOKUP(Table8[[#This Row],[Campaign_Code]],tb3_CampaignMaster[Campaign_Code],tb3_CampaignMaster[Campaign_Type],"")</f>
        <v>Regular Giving</v>
      </c>
      <c r="V398" t="str">
        <f>_xlfn.XLOOKUP(Table8[[#This Row],[Campaign_Code]],tb3_CampaignMaster[Campaign_Code],tb3_CampaignMaster[Target_Audience],"")</f>
        <v>One-time Donors</v>
      </c>
      <c r="W398" s="17">
        <f>_xlfn.XLOOKUP(Table8[[#This Row],[Campaign_Code]],tb3_CampaignMaster[Campaign_Code],tb3_CampaignMaster[Start_Date],"")</f>
        <v>45663</v>
      </c>
      <c r="X398" s="17">
        <f>_xlfn.XLOOKUP(Table8[[#This Row],[Campaign_Code]],tb3_CampaignMaster[Campaign_Code],tb3_CampaignMaster[End_Date],"")</f>
        <v>45747</v>
      </c>
      <c r="Y398">
        <f>_xlfn.XLOOKUP(Table8[[#This Row],[Campaign_Code]],tb3_CampaignMaster[Campaign_Code],tb3_CampaignMaster[Budget_GBP],"")</f>
        <v>10000</v>
      </c>
      <c r="Z398" t="str">
        <f>_xlfn.XLOOKUP(Table8[[#This Row],[Campaign_Code]],tb3_CampaignMaster[Campaign_Code],tb3_CampaignMaster[Primary_Channel],"")</f>
        <v>Telephone</v>
      </c>
      <c r="AA398" s="13">
        <f>IF(Table8[[#This Row],[Gift_Aid_Eligible]]="Yes",Table8[[#This Row],[Gift_Amount]]*1.25,Table8[[#This Row],[Gift_Amount]])</f>
        <v>33.887500000000003</v>
      </c>
      <c r="AB398" t="str">
        <f>IF(Table8[[#This Row],[Supporter_ID]]="","Review - missing supporter ID","")</f>
        <v/>
      </c>
      <c r="AC398" t="str">
        <f>IF(OR(Table8[[#This Row],[Response_Date]]&lt;Table8[[#This Row],[Start_Date]],Table8[[#This Row],[Response_Date]]&gt;Table8[[#This Row],[End_Date]]),"Review - response outside campaign dates","")</f>
        <v/>
      </c>
      <c r="AD398" t="str">
        <f>IF(Table8[[#This Row],[Campaign_Type]]="","Review - campaign code not found","")</f>
        <v/>
      </c>
    </row>
    <row r="399" spans="1:30" x14ac:dyDescent="0.25">
      <c r="A399" t="s">
        <v>4048</v>
      </c>
      <c r="B399" t="s">
        <v>955</v>
      </c>
      <c r="C399" t="s">
        <v>3341</v>
      </c>
      <c r="D399" t="s">
        <v>3342</v>
      </c>
      <c r="E399" t="s">
        <v>3316</v>
      </c>
      <c r="F399" s="17">
        <v>45735</v>
      </c>
      <c r="G399">
        <v>29.17</v>
      </c>
      <c r="H399" t="s">
        <v>36</v>
      </c>
      <c r="I399" t="s">
        <v>3328</v>
      </c>
      <c r="J399" t="str">
        <f>_xlfn.XLOOKUP(Table8[[#This Row],[Supporter_ID]],tb1_supporters[Supporter_ID ],tb1_supporters[Segment],"")</f>
        <v>Prospect</v>
      </c>
      <c r="K399" t="str">
        <f>_xlfn.XLOOKUP(Table8[[#This Row],[Supporter_ID]],tb1_supporters[Supporter_ID ],tb1_supporters[Acquisition_Source],"")</f>
        <v>Website</v>
      </c>
      <c r="L399" t="str">
        <f>_xlfn.XLOOKUP(Table8[[#This Row],[Supporter_ID]],tb1_supporters[Supporter_ID ],tb1_supporters[County],"")</f>
        <v>East Sussex</v>
      </c>
      <c r="M399" t="str">
        <f>_xlfn.XLOOKUP(Table8[[#This Row],[Supporter_ID]],tb1_supporters[Supporter_ID ],tb1_supporters[Gender],"")</f>
        <v>Female</v>
      </c>
      <c r="N399">
        <f ca="1">_xlfn.XLOOKUP(Table8[[#This Row],[Supporter_ID]],tb1_supporters[Supporter_ID ],tb1_supporters[Age],"")</f>
        <v>38</v>
      </c>
      <c r="O399" t="str">
        <f ca="1">_xlfn.XLOOKUP(Table8[[#This Row],[Supporter_ID]],tb1_supporters[Supporter_ID ],tb1_supporters[Age_Band],"")</f>
        <v>35-49</v>
      </c>
      <c r="P399" t="str">
        <f ca="1">IF(Table8[[#This Row],[Age_Band]]="","Unknown",Table8[[#This Row],[Age_Band]])</f>
        <v>35-49</v>
      </c>
      <c r="Q399" t="str">
        <f>_xlfn.XLOOKUP(Table8[[#This Row],[Supporter_ID]],tb1_supporters[Supporter_ID ],tb1_supporters[Communication_Preference],"")</f>
        <v>No Preference</v>
      </c>
      <c r="R399" t="str">
        <f>_xlfn.XLOOKUP(Table8[[#This Row],[Supporter_ID]],tb1_supporters[Supporter_ID ],tb1_supporters[Duplicate_Profile_Flag],"")</f>
        <v/>
      </c>
      <c r="S399" t="str">
        <f>_xlfn.XLOOKUP(Table8[[#This Row],[Supporter_ID]],tb1_supporters[Supporter_ID ],tb1_supporters[Preference_Compliance_Flag],"")</f>
        <v/>
      </c>
      <c r="T399" t="str">
        <f ca="1">IF(Table8[[#This Row],[Age]]="","Review - missing DOB",IF(Table8[[#This Row],[Age]]&gt;TODAY(),"Review - future DOB",IF(Table8[[#This Row],[Age]]=0,"Review -  potential entry error (age 0)","")))</f>
        <v/>
      </c>
      <c r="U399" t="str">
        <f>_xlfn.XLOOKUP(Table8[[#This Row],[Campaign_Code]],tb3_CampaignMaster[Campaign_Code],tb3_CampaignMaster[Campaign_Type],"")</f>
        <v>Acquisition</v>
      </c>
      <c r="V399" t="str">
        <f>_xlfn.XLOOKUP(Table8[[#This Row],[Campaign_Code]],tb3_CampaignMaster[Campaign_Code],tb3_CampaignMaster[Target_Audience],"")</f>
        <v>Prospects</v>
      </c>
      <c r="W399" s="17">
        <f>_xlfn.XLOOKUP(Table8[[#This Row],[Campaign_Code]],tb3_CampaignMaster[Campaign_Code],tb3_CampaignMaster[Start_Date],"")</f>
        <v>45689</v>
      </c>
      <c r="X399" s="17">
        <f>_xlfn.XLOOKUP(Table8[[#This Row],[Campaign_Code]],tb3_CampaignMaster[Campaign_Code],tb3_CampaignMaster[End_Date],"")</f>
        <v>45777</v>
      </c>
      <c r="Y399">
        <f>_xlfn.XLOOKUP(Table8[[#This Row],[Campaign_Code]],tb3_CampaignMaster[Campaign_Code],tb3_CampaignMaster[Budget_GBP],"")</f>
        <v>20000</v>
      </c>
      <c r="Z399" t="str">
        <f>_xlfn.XLOOKUP(Table8[[#This Row],[Campaign_Code]],tb3_CampaignMaster[Campaign_Code],tb3_CampaignMaster[Primary_Channel],"")</f>
        <v>Digital</v>
      </c>
      <c r="AA399" s="13">
        <f>IF(Table8[[#This Row],[Gift_Aid_Eligible]]="Yes",Table8[[#This Row],[Gift_Amount]]*1.25,Table8[[#This Row],[Gift_Amount]])</f>
        <v>36.462500000000006</v>
      </c>
      <c r="AB399" t="str">
        <f>IF(Table8[[#This Row],[Supporter_ID]]="","Review - missing supporter ID","")</f>
        <v/>
      </c>
      <c r="AC399" t="str">
        <f>IF(OR(Table8[[#This Row],[Response_Date]]&lt;Table8[[#This Row],[Start_Date]],Table8[[#This Row],[Response_Date]]&gt;Table8[[#This Row],[End_Date]]),"Review - response outside campaign dates","")</f>
        <v/>
      </c>
      <c r="AD399" t="str">
        <f>IF(Table8[[#This Row],[Campaign_Type]]="","Review - campaign code not found","")</f>
        <v/>
      </c>
    </row>
    <row r="400" spans="1:30" x14ac:dyDescent="0.25">
      <c r="A400" t="s">
        <v>4050</v>
      </c>
      <c r="B400" t="s">
        <v>1814</v>
      </c>
      <c r="C400" t="s">
        <v>3336</v>
      </c>
      <c r="D400" t="s">
        <v>3337</v>
      </c>
      <c r="E400" t="s">
        <v>4</v>
      </c>
      <c r="F400" s="17">
        <v>45568</v>
      </c>
      <c r="G400">
        <v>12.25</v>
      </c>
      <c r="H400" t="s">
        <v>36</v>
      </c>
      <c r="I400" t="s">
        <v>3370</v>
      </c>
      <c r="J400" t="str">
        <f>_xlfn.XLOOKUP(Table8[[#This Row],[Supporter_ID]],tb1_supporters[Supporter_ID ],tb1_supporters[Segment],"")</f>
        <v>Prospect</v>
      </c>
      <c r="K400" t="str">
        <f>_xlfn.XLOOKUP(Table8[[#This Row],[Supporter_ID]],tb1_supporters[Supporter_ID ],tb1_supporters[Acquisition_Source],"")</f>
        <v>Telephone</v>
      </c>
      <c r="L400" t="str">
        <f>_xlfn.XLOOKUP(Table8[[#This Row],[Supporter_ID]],tb1_supporters[Supporter_ID ],tb1_supporters[County],"")</f>
        <v>Nottinghamshire</v>
      </c>
      <c r="M400" t="str">
        <f>_xlfn.XLOOKUP(Table8[[#This Row],[Supporter_ID]],tb1_supporters[Supporter_ID ],tb1_supporters[Gender],"")</f>
        <v>Female</v>
      </c>
      <c r="N400">
        <f ca="1">_xlfn.XLOOKUP(Table8[[#This Row],[Supporter_ID]],tb1_supporters[Supporter_ID ],tb1_supporters[Age],"")</f>
        <v>69</v>
      </c>
      <c r="O400" t="str">
        <f ca="1">_xlfn.XLOOKUP(Table8[[#This Row],[Supporter_ID]],tb1_supporters[Supporter_ID ],tb1_supporters[Age_Band],"")</f>
        <v>65+</v>
      </c>
      <c r="P400" t="str">
        <f ca="1">IF(Table8[[#This Row],[Age_Band]]="","Unknown",Table8[[#This Row],[Age_Band]])</f>
        <v>65+</v>
      </c>
      <c r="Q400" t="str">
        <f>_xlfn.XLOOKUP(Table8[[#This Row],[Supporter_ID]],tb1_supporters[Supporter_ID ],tb1_supporters[Communication_Preference],"")</f>
        <v>Phone</v>
      </c>
      <c r="R400" t="str">
        <f>_xlfn.XLOOKUP(Table8[[#This Row],[Supporter_ID]],tb1_supporters[Supporter_ID ],tb1_supporters[Duplicate_Profile_Flag],"")</f>
        <v/>
      </c>
      <c r="S400" t="str">
        <f>_xlfn.XLOOKUP(Table8[[#This Row],[Supporter_ID]],tb1_supporters[Supporter_ID ],tb1_supporters[Preference_Compliance_Flag],"")</f>
        <v/>
      </c>
      <c r="T400" t="str">
        <f ca="1">IF(Table8[[#This Row],[Age]]="","Review - missing DOB",IF(Table8[[#This Row],[Age]]&gt;TODAY(),"Review - future DOB",IF(Table8[[#This Row],[Age]]=0,"Review -  potential entry error (age 0)","")))</f>
        <v/>
      </c>
      <c r="U400" t="str">
        <f>_xlfn.XLOOKUP(Table8[[#This Row],[Campaign_Code]],tb3_CampaignMaster[Campaign_Code],tb3_CampaignMaster[Campaign_Type],"")</f>
        <v>Appeal</v>
      </c>
      <c r="V400" t="str">
        <f>_xlfn.XLOOKUP(Table8[[#This Row],[Campaign_Code]],tb3_CampaignMaster[Campaign_Code],tb3_CampaignMaster[Target_Audience],"")</f>
        <v>All Supporters</v>
      </c>
      <c r="W400" s="17">
        <f>_xlfn.XLOOKUP(Table8[[#This Row],[Campaign_Code]],tb3_CampaignMaster[Campaign_Code],tb3_CampaignMaster[Start_Date],"")</f>
        <v>45545</v>
      </c>
      <c r="X400" s="17">
        <f>_xlfn.XLOOKUP(Table8[[#This Row],[Campaign_Code]],tb3_CampaignMaster[Campaign_Code],tb3_CampaignMaster[End_Date],"")</f>
        <v>45580</v>
      </c>
      <c r="Y400">
        <f>_xlfn.XLOOKUP(Table8[[#This Row],[Campaign_Code]],tb3_CampaignMaster[Campaign_Code],tb3_CampaignMaster[Budget_GBP],"")</f>
        <v>15000</v>
      </c>
      <c r="Z400" t="str">
        <f>_xlfn.XLOOKUP(Table8[[#This Row],[Campaign_Code]],tb3_CampaignMaster[Campaign_Code],tb3_CampaignMaster[Primary_Channel],"")</f>
        <v>Email</v>
      </c>
      <c r="AA400" s="13">
        <f>IF(Table8[[#This Row],[Gift_Aid_Eligible]]="Yes",Table8[[#This Row],[Gift_Amount]]*1.25,Table8[[#This Row],[Gift_Amount]])</f>
        <v>15.3125</v>
      </c>
      <c r="AB400" t="str">
        <f>IF(Table8[[#This Row],[Supporter_ID]]="","Review - missing supporter ID","")</f>
        <v/>
      </c>
      <c r="AC400" t="str">
        <f>IF(OR(Table8[[#This Row],[Response_Date]]&lt;Table8[[#This Row],[Start_Date]],Table8[[#This Row],[Response_Date]]&gt;Table8[[#This Row],[End_Date]]),"Review - response outside campaign dates","")</f>
        <v/>
      </c>
      <c r="AD400" t="str">
        <f>IF(Table8[[#This Row],[Campaign_Type]]="","Review - campaign code not found","")</f>
        <v/>
      </c>
    </row>
    <row r="401" spans="1:30" x14ac:dyDescent="0.25">
      <c r="A401" t="s">
        <v>4052</v>
      </c>
      <c r="B401" t="s">
        <v>2070</v>
      </c>
      <c r="C401" t="s">
        <v>3362</v>
      </c>
      <c r="D401" t="s">
        <v>3363</v>
      </c>
      <c r="E401" t="s">
        <v>65</v>
      </c>
      <c r="F401" s="17">
        <v>45577</v>
      </c>
      <c r="G401">
        <v>26.76</v>
      </c>
      <c r="H401" t="s">
        <v>36</v>
      </c>
      <c r="I401" t="s">
        <v>3323</v>
      </c>
      <c r="J401" t="str">
        <f>_xlfn.XLOOKUP(Table8[[#This Row],[Supporter_ID]],tb1_supporters[Supporter_ID ],tb1_supporters[Segment],"")</f>
        <v>Prospect</v>
      </c>
      <c r="K401" t="str">
        <f>_xlfn.XLOOKUP(Table8[[#This Row],[Supporter_ID]],tb1_supporters[Supporter_ID ],tb1_supporters[Acquisition_Source],"")</f>
        <v>Direct Mail</v>
      </c>
      <c r="L401" t="str">
        <f>_xlfn.XLOOKUP(Table8[[#This Row],[Supporter_ID]],tb1_supporters[Supporter_ID ],tb1_supporters[County],"")</f>
        <v>Cambridgeshire</v>
      </c>
      <c r="M401" t="str">
        <f>_xlfn.XLOOKUP(Table8[[#This Row],[Supporter_ID]],tb1_supporters[Supporter_ID ],tb1_supporters[Gender],"")</f>
        <v>Female</v>
      </c>
      <c r="N401">
        <f ca="1">_xlfn.XLOOKUP(Table8[[#This Row],[Supporter_ID]],tb1_supporters[Supporter_ID ],tb1_supporters[Age],"")</f>
        <v>64</v>
      </c>
      <c r="O401" t="str">
        <f ca="1">_xlfn.XLOOKUP(Table8[[#This Row],[Supporter_ID]],tb1_supporters[Supporter_ID ],tb1_supporters[Age_Band],"")</f>
        <v>50-64</v>
      </c>
      <c r="P401" t="str">
        <f ca="1">IF(Table8[[#This Row],[Age_Band]]="","Unknown",Table8[[#This Row],[Age_Band]])</f>
        <v>50-64</v>
      </c>
      <c r="Q401" t="str">
        <f>_xlfn.XLOOKUP(Table8[[#This Row],[Supporter_ID]],tb1_supporters[Supporter_ID ],tb1_supporters[Communication_Preference],"")</f>
        <v>Post</v>
      </c>
      <c r="R401" t="str">
        <f>_xlfn.XLOOKUP(Table8[[#This Row],[Supporter_ID]],tb1_supporters[Supporter_ID ],tb1_supporters[Duplicate_Profile_Flag],"")</f>
        <v/>
      </c>
      <c r="S401" t="str">
        <f>_xlfn.XLOOKUP(Table8[[#This Row],[Supporter_ID]],tb1_supporters[Supporter_ID ],tb1_supporters[Preference_Compliance_Flag],"")</f>
        <v>Review - prefers post but not opted in</v>
      </c>
      <c r="T401" t="str">
        <f ca="1">IF(Table8[[#This Row],[Age]]="","Review - missing DOB",IF(Table8[[#This Row],[Age]]&gt;TODAY(),"Review - future DOB",IF(Table8[[#This Row],[Age]]=0,"Review -  potential entry error (age 0)","")))</f>
        <v/>
      </c>
      <c r="U401" t="str">
        <f>_xlfn.XLOOKUP(Table8[[#This Row],[Campaign_Code]],tb3_CampaignMaster[Campaign_Code],tb3_CampaignMaster[Campaign_Type],"")</f>
        <v>Legacy</v>
      </c>
      <c r="V401" t="str">
        <f>_xlfn.XLOOKUP(Table8[[#This Row],[Campaign_Code]],tb3_CampaignMaster[Campaign_Code],tb3_CampaignMaster[Target_Audience],"")</f>
        <v>Over 55s</v>
      </c>
      <c r="W401" s="17">
        <f>_xlfn.XLOOKUP(Table8[[#This Row],[Campaign_Code]],tb3_CampaignMaster[Campaign_Code],tb3_CampaignMaster[Start_Date],"")</f>
        <v>45572</v>
      </c>
      <c r="X401" s="17">
        <f>_xlfn.XLOOKUP(Table8[[#This Row],[Campaign_Code]],tb3_CampaignMaster[Campaign_Code],tb3_CampaignMaster[End_Date],"")</f>
        <v>45578</v>
      </c>
      <c r="Y401">
        <f>_xlfn.XLOOKUP(Table8[[#This Row],[Campaign_Code]],tb3_CampaignMaster[Campaign_Code],tb3_CampaignMaster[Budget_GBP],"")</f>
        <v>5000</v>
      </c>
      <c r="Z401" t="str">
        <f>_xlfn.XLOOKUP(Table8[[#This Row],[Campaign_Code]],tb3_CampaignMaster[Campaign_Code],tb3_CampaignMaster[Primary_Channel],"")</f>
        <v>Direct Mail</v>
      </c>
      <c r="AA401" s="13">
        <f>IF(Table8[[#This Row],[Gift_Aid_Eligible]]="Yes",Table8[[#This Row],[Gift_Amount]]*1.25,Table8[[#This Row],[Gift_Amount]])</f>
        <v>33.450000000000003</v>
      </c>
      <c r="AB401" t="str">
        <f>IF(Table8[[#This Row],[Supporter_ID]]="","Review - missing supporter ID","")</f>
        <v/>
      </c>
      <c r="AC401" t="str">
        <f>IF(OR(Table8[[#This Row],[Response_Date]]&lt;Table8[[#This Row],[Start_Date]],Table8[[#This Row],[Response_Date]]&gt;Table8[[#This Row],[End_Date]]),"Review - response outside campaign dates","")</f>
        <v/>
      </c>
      <c r="AD401" t="str">
        <f>IF(Table8[[#This Row],[Campaign_Type]]="","Review - campaign code not found","")</f>
        <v/>
      </c>
    </row>
    <row r="402" spans="1:30" x14ac:dyDescent="0.25">
      <c r="A402" t="s">
        <v>4054</v>
      </c>
      <c r="B402" t="s">
        <v>3135</v>
      </c>
      <c r="C402" t="s">
        <v>3325</v>
      </c>
      <c r="D402" t="s">
        <v>3326</v>
      </c>
      <c r="E402" t="s">
        <v>3338</v>
      </c>
      <c r="F402" s="17">
        <v>45603</v>
      </c>
      <c r="G402">
        <v>15.74</v>
      </c>
      <c r="H402" t="s">
        <v>37</v>
      </c>
      <c r="I402" t="s">
        <v>3331</v>
      </c>
      <c r="J402" t="str">
        <f>_xlfn.XLOOKUP(Table8[[#This Row],[Supporter_ID]],tb1_supporters[Supporter_ID ],tb1_supporters[Segment],"")</f>
        <v>Regular Giver</v>
      </c>
      <c r="K402" t="str">
        <f>_xlfn.XLOOKUP(Table8[[#This Row],[Supporter_ID]],tb1_supporters[Supporter_ID ],tb1_supporters[Acquisition_Source],"")</f>
        <v>Social Media</v>
      </c>
      <c r="L402" t="str">
        <f>_xlfn.XLOOKUP(Table8[[#This Row],[Supporter_ID]],tb1_supporters[Supporter_ID ],tb1_supporters[County],"")</f>
        <v>Grampian</v>
      </c>
      <c r="M402" t="str">
        <f>_xlfn.XLOOKUP(Table8[[#This Row],[Supporter_ID]],tb1_supporters[Supporter_ID ],tb1_supporters[Gender],"")</f>
        <v>Male</v>
      </c>
      <c r="N402">
        <f ca="1">_xlfn.XLOOKUP(Table8[[#This Row],[Supporter_ID]],tb1_supporters[Supporter_ID ],tb1_supporters[Age],"")</f>
        <v>52</v>
      </c>
      <c r="O402" t="str">
        <f ca="1">_xlfn.XLOOKUP(Table8[[#This Row],[Supporter_ID]],tb1_supporters[Supporter_ID ],tb1_supporters[Age_Band],"")</f>
        <v>50-64</v>
      </c>
      <c r="P402" t="str">
        <f ca="1">IF(Table8[[#This Row],[Age_Band]]="","Unknown",Table8[[#This Row],[Age_Band]])</f>
        <v>50-64</v>
      </c>
      <c r="Q402" t="str">
        <f>_xlfn.XLOOKUP(Table8[[#This Row],[Supporter_ID]],tb1_supporters[Supporter_ID ],tb1_supporters[Communication_Preference],"")</f>
        <v>No Preference</v>
      </c>
      <c r="R402" t="str">
        <f>_xlfn.XLOOKUP(Table8[[#This Row],[Supporter_ID]],tb1_supporters[Supporter_ID ],tb1_supporters[Duplicate_Profile_Flag],"")</f>
        <v/>
      </c>
      <c r="S402" t="str">
        <f>_xlfn.XLOOKUP(Table8[[#This Row],[Supporter_ID]],tb1_supporters[Supporter_ID ],tb1_supporters[Preference_Compliance_Flag],"")</f>
        <v/>
      </c>
      <c r="T402" t="str">
        <f ca="1">IF(Table8[[#This Row],[Age]]="","Review - missing DOB",IF(Table8[[#This Row],[Age]]&gt;TODAY(),"Review - future DOB",IF(Table8[[#This Row],[Age]]=0,"Review -  potential entry error (age 0)","")))</f>
        <v/>
      </c>
      <c r="U402" t="str">
        <f>_xlfn.XLOOKUP(Table8[[#This Row],[Campaign_Code]],tb3_CampaignMaster[Campaign_Code],tb3_CampaignMaster[Campaign_Type],"")</f>
        <v>Appeal</v>
      </c>
      <c r="V402" t="str">
        <f>_xlfn.XLOOKUP(Table8[[#This Row],[Campaign_Code]],tb3_CampaignMaster[Campaign_Code],tb3_CampaignMaster[Target_Audience],"")</f>
        <v>All Active</v>
      </c>
      <c r="W402" s="17">
        <f>_xlfn.XLOOKUP(Table8[[#This Row],[Campaign_Code]],tb3_CampaignMaster[Campaign_Code],tb3_CampaignMaster[Start_Date],"")</f>
        <v>45597</v>
      </c>
      <c r="X402" s="17">
        <f>_xlfn.XLOOKUP(Table8[[#This Row],[Campaign_Code]],tb3_CampaignMaster[Campaign_Code],tb3_CampaignMaster[End_Date],"")</f>
        <v>45657</v>
      </c>
      <c r="Y402">
        <f>_xlfn.XLOOKUP(Table8[[#This Row],[Campaign_Code]],tb3_CampaignMaster[Campaign_Code],tb3_CampaignMaster[Budget_GBP],"")</f>
        <v>25000</v>
      </c>
      <c r="Z402" t="str">
        <f>_xlfn.XLOOKUP(Table8[[#This Row],[Campaign_Code]],tb3_CampaignMaster[Campaign_Code],tb3_CampaignMaster[Primary_Channel],"")</f>
        <v>Multi-channel</v>
      </c>
      <c r="AA402" s="13">
        <f>IF(Table8[[#This Row],[Gift_Aid_Eligible]]="Yes",Table8[[#This Row],[Gift_Amount]]*1.25,Table8[[#This Row],[Gift_Amount]])</f>
        <v>15.74</v>
      </c>
      <c r="AB402" t="str">
        <f>IF(Table8[[#This Row],[Supporter_ID]]="","Review - missing supporter ID","")</f>
        <v/>
      </c>
      <c r="AC402" t="str">
        <f>IF(OR(Table8[[#This Row],[Response_Date]]&lt;Table8[[#This Row],[Start_Date]],Table8[[#This Row],[Response_Date]]&gt;Table8[[#This Row],[End_Date]]),"Review - response outside campaign dates","")</f>
        <v/>
      </c>
      <c r="AD402" t="str">
        <f>IF(Table8[[#This Row],[Campaign_Type]]="","Review - campaign code not found","")</f>
        <v/>
      </c>
    </row>
    <row r="403" spans="1:30" x14ac:dyDescent="0.25">
      <c r="A403" t="s">
        <v>4056</v>
      </c>
      <c r="B403" t="s">
        <v>2911</v>
      </c>
      <c r="C403" t="s">
        <v>3325</v>
      </c>
      <c r="D403" t="s">
        <v>3326</v>
      </c>
      <c r="E403" t="s">
        <v>65</v>
      </c>
      <c r="F403" s="17">
        <v>45657</v>
      </c>
      <c r="G403">
        <v>69</v>
      </c>
      <c r="H403" t="s">
        <v>37</v>
      </c>
      <c r="I403" t="s">
        <v>3334</v>
      </c>
      <c r="J403" t="str">
        <f>_xlfn.XLOOKUP(Table8[[#This Row],[Supporter_ID]],tb1_supporters[Supporter_ID ],tb1_supporters[Segment],"")</f>
        <v>Mid-Value</v>
      </c>
      <c r="K403" t="str">
        <f>_xlfn.XLOOKUP(Table8[[#This Row],[Supporter_ID]],tb1_supporters[Supporter_ID ],tb1_supporters[Acquisition_Source],"")</f>
        <v>Event</v>
      </c>
      <c r="L403" t="str">
        <f>_xlfn.XLOOKUP(Table8[[#This Row],[Supporter_ID]],tb1_supporters[Supporter_ID ],tb1_supporters[County],"")</f>
        <v>Surrey</v>
      </c>
      <c r="M403" t="str">
        <f>_xlfn.XLOOKUP(Table8[[#This Row],[Supporter_ID]],tb1_supporters[Supporter_ID ],tb1_supporters[Gender],"")</f>
        <v>Male</v>
      </c>
      <c r="N403">
        <f ca="1">_xlfn.XLOOKUP(Table8[[#This Row],[Supporter_ID]],tb1_supporters[Supporter_ID ],tb1_supporters[Age],"")</f>
        <v>30</v>
      </c>
      <c r="O403" t="str">
        <f ca="1">_xlfn.XLOOKUP(Table8[[#This Row],[Supporter_ID]],tb1_supporters[Supporter_ID ],tb1_supporters[Age_Band],"")</f>
        <v>18-34</v>
      </c>
      <c r="P403" t="str">
        <f ca="1">IF(Table8[[#This Row],[Age_Band]]="","Unknown",Table8[[#This Row],[Age_Band]])</f>
        <v>18-34</v>
      </c>
      <c r="Q403" t="str">
        <f>_xlfn.XLOOKUP(Table8[[#This Row],[Supporter_ID]],tb1_supporters[Supporter_ID ],tb1_supporters[Communication_Preference],"")</f>
        <v>Email</v>
      </c>
      <c r="R403" t="str">
        <f>_xlfn.XLOOKUP(Table8[[#This Row],[Supporter_ID]],tb1_supporters[Supporter_ID ],tb1_supporters[Duplicate_Profile_Flag],"")</f>
        <v/>
      </c>
      <c r="S403" t="str">
        <f>_xlfn.XLOOKUP(Table8[[#This Row],[Supporter_ID]],tb1_supporters[Supporter_ID ],tb1_supporters[Preference_Compliance_Flag],"")</f>
        <v>Review - prefers email but not opted in</v>
      </c>
      <c r="T403" t="str">
        <f ca="1">IF(Table8[[#This Row],[Age]]="","Review - missing DOB",IF(Table8[[#This Row],[Age]]&gt;TODAY(),"Review - future DOB",IF(Table8[[#This Row],[Age]]=0,"Review -  potential entry error (age 0)","")))</f>
        <v/>
      </c>
      <c r="U403" t="str">
        <f>_xlfn.XLOOKUP(Table8[[#This Row],[Campaign_Code]],tb3_CampaignMaster[Campaign_Code],tb3_CampaignMaster[Campaign_Type],"")</f>
        <v>Appeal</v>
      </c>
      <c r="V403" t="str">
        <f>_xlfn.XLOOKUP(Table8[[#This Row],[Campaign_Code]],tb3_CampaignMaster[Campaign_Code],tb3_CampaignMaster[Target_Audience],"")</f>
        <v>All Active</v>
      </c>
      <c r="W403" s="17">
        <f>_xlfn.XLOOKUP(Table8[[#This Row],[Campaign_Code]],tb3_CampaignMaster[Campaign_Code],tb3_CampaignMaster[Start_Date],"")</f>
        <v>45597</v>
      </c>
      <c r="X403" s="17">
        <f>_xlfn.XLOOKUP(Table8[[#This Row],[Campaign_Code]],tb3_CampaignMaster[Campaign_Code],tb3_CampaignMaster[End_Date],"")</f>
        <v>45657</v>
      </c>
      <c r="Y403">
        <f>_xlfn.XLOOKUP(Table8[[#This Row],[Campaign_Code]],tb3_CampaignMaster[Campaign_Code],tb3_CampaignMaster[Budget_GBP],"")</f>
        <v>25000</v>
      </c>
      <c r="Z403" t="str">
        <f>_xlfn.XLOOKUP(Table8[[#This Row],[Campaign_Code]],tb3_CampaignMaster[Campaign_Code],tb3_CampaignMaster[Primary_Channel],"")</f>
        <v>Multi-channel</v>
      </c>
      <c r="AA403" s="13">
        <f>IF(Table8[[#This Row],[Gift_Aid_Eligible]]="Yes",Table8[[#This Row],[Gift_Amount]]*1.25,Table8[[#This Row],[Gift_Amount]])</f>
        <v>69</v>
      </c>
      <c r="AB403" t="str">
        <f>IF(Table8[[#This Row],[Supporter_ID]]="","Review - missing supporter ID","")</f>
        <v/>
      </c>
      <c r="AC403" t="str">
        <f>IF(OR(Table8[[#This Row],[Response_Date]]&lt;Table8[[#This Row],[Start_Date]],Table8[[#This Row],[Response_Date]]&gt;Table8[[#This Row],[End_Date]]),"Review - response outside campaign dates","")</f>
        <v/>
      </c>
      <c r="AD403" t="str">
        <f>IF(Table8[[#This Row],[Campaign_Type]]="","Review - campaign code not found","")</f>
        <v/>
      </c>
    </row>
    <row r="404" spans="1:30" x14ac:dyDescent="0.25">
      <c r="A404" t="s">
        <v>4058</v>
      </c>
      <c r="B404" t="s">
        <v>1180</v>
      </c>
      <c r="C404" t="s">
        <v>3320</v>
      </c>
      <c r="D404" t="s">
        <v>3321</v>
      </c>
      <c r="E404" t="s">
        <v>4</v>
      </c>
      <c r="F404" s="17">
        <v>45459</v>
      </c>
      <c r="G404">
        <v>793.24</v>
      </c>
      <c r="H404" t="s">
        <v>37</v>
      </c>
      <c r="I404" t="s">
        <v>3323</v>
      </c>
      <c r="J404" t="str">
        <f>_xlfn.XLOOKUP(Table8[[#This Row],[Supporter_ID]],tb1_supporters[Supporter_ID ],tb1_supporters[Segment],"")</f>
        <v>Major Donor</v>
      </c>
      <c r="K404" t="str">
        <f>_xlfn.XLOOKUP(Table8[[#This Row],[Supporter_ID]],tb1_supporters[Supporter_ID ],tb1_supporters[Acquisition_Source],"")</f>
        <v>Direct Mail</v>
      </c>
      <c r="L404" t="str">
        <f>_xlfn.XLOOKUP(Table8[[#This Row],[Supporter_ID]],tb1_supporters[Supporter_ID ],tb1_supporters[County],"")</f>
        <v>Strathclyde</v>
      </c>
      <c r="M404" t="str">
        <f>_xlfn.XLOOKUP(Table8[[#This Row],[Supporter_ID]],tb1_supporters[Supporter_ID ],tb1_supporters[Gender],"")</f>
        <v>Female</v>
      </c>
      <c r="N404">
        <f ca="1">_xlfn.XLOOKUP(Table8[[#This Row],[Supporter_ID]],tb1_supporters[Supporter_ID ],tb1_supporters[Age],"")</f>
        <v>61</v>
      </c>
      <c r="O404" t="str">
        <f ca="1">_xlfn.XLOOKUP(Table8[[#This Row],[Supporter_ID]],tb1_supporters[Supporter_ID ],tb1_supporters[Age_Band],"")</f>
        <v>50-64</v>
      </c>
      <c r="P404" t="str">
        <f ca="1">IF(Table8[[#This Row],[Age_Band]]="","Unknown",Table8[[#This Row],[Age_Band]])</f>
        <v>50-64</v>
      </c>
      <c r="Q404" t="str">
        <f>_xlfn.XLOOKUP(Table8[[#This Row],[Supporter_ID]],tb1_supporters[Supporter_ID ],tb1_supporters[Communication_Preference],"")</f>
        <v>Email</v>
      </c>
      <c r="R404" t="str">
        <f>_xlfn.XLOOKUP(Table8[[#This Row],[Supporter_ID]],tb1_supporters[Supporter_ID ],tb1_supporters[Duplicate_Profile_Flag],"")</f>
        <v/>
      </c>
      <c r="S404" t="str">
        <f>_xlfn.XLOOKUP(Table8[[#This Row],[Supporter_ID]],tb1_supporters[Supporter_ID ],tb1_supporters[Preference_Compliance_Flag],"")</f>
        <v/>
      </c>
      <c r="T404" t="str">
        <f ca="1">IF(Table8[[#This Row],[Age]]="","Review - missing DOB",IF(Table8[[#This Row],[Age]]&gt;TODAY(),"Review - future DOB",IF(Table8[[#This Row],[Age]]=0,"Review -  potential entry error (age 0)","")))</f>
        <v/>
      </c>
      <c r="U404" t="str">
        <f>_xlfn.XLOOKUP(Table8[[#This Row],[Campaign_Code]],tb3_CampaignMaster[Campaign_Code],tb3_CampaignMaster[Campaign_Type],"")</f>
        <v>Stewardship</v>
      </c>
      <c r="V404" t="str">
        <f>_xlfn.XLOOKUP(Table8[[#This Row],[Campaign_Code]],tb3_CampaignMaster[Campaign_Code],tb3_CampaignMaster[Target_Audience],"")</f>
        <v>Major Donors</v>
      </c>
      <c r="W404" s="17">
        <f>_xlfn.XLOOKUP(Table8[[#This Row],[Campaign_Code]],tb3_CampaignMaster[Campaign_Code],tb3_CampaignMaster[Start_Date],"")</f>
        <v>45444</v>
      </c>
      <c r="X404" s="17">
        <f>_xlfn.XLOOKUP(Table8[[#This Row],[Campaign_Code]],tb3_CampaignMaster[Campaign_Code],tb3_CampaignMaster[End_Date],"")</f>
        <v>45473</v>
      </c>
      <c r="Y404">
        <f>_xlfn.XLOOKUP(Table8[[#This Row],[Campaign_Code]],tb3_CampaignMaster[Campaign_Code],tb3_CampaignMaster[Budget_GBP],"")</f>
        <v>7000</v>
      </c>
      <c r="Z404" t="str">
        <f>_xlfn.XLOOKUP(Table8[[#This Row],[Campaign_Code]],tb3_CampaignMaster[Campaign_Code],tb3_CampaignMaster[Primary_Channel],"")</f>
        <v>Direct Mail</v>
      </c>
      <c r="AA404" s="13">
        <f>IF(Table8[[#This Row],[Gift_Aid_Eligible]]="Yes",Table8[[#This Row],[Gift_Amount]]*1.25,Table8[[#This Row],[Gift_Amount]])</f>
        <v>793.24</v>
      </c>
      <c r="AB404" t="str">
        <f>IF(Table8[[#This Row],[Supporter_ID]]="","Review - missing supporter ID","")</f>
        <v/>
      </c>
      <c r="AC404" t="str">
        <f>IF(OR(Table8[[#This Row],[Response_Date]]&lt;Table8[[#This Row],[Start_Date]],Table8[[#This Row],[Response_Date]]&gt;Table8[[#This Row],[End_Date]]),"Review - response outside campaign dates","")</f>
        <v/>
      </c>
      <c r="AD404" t="str">
        <f>IF(Table8[[#This Row],[Campaign_Type]]="","Review - campaign code not found","")</f>
        <v/>
      </c>
    </row>
    <row r="405" spans="1:30" x14ac:dyDescent="0.25">
      <c r="A405" t="s">
        <v>4059</v>
      </c>
      <c r="B405" t="s">
        <v>1435</v>
      </c>
      <c r="C405" t="s">
        <v>3427</v>
      </c>
      <c r="D405" t="s">
        <v>3428</v>
      </c>
      <c r="E405" t="s">
        <v>4</v>
      </c>
      <c r="F405" s="17">
        <v>45488</v>
      </c>
      <c r="G405">
        <v>40.81</v>
      </c>
      <c r="H405" t="s">
        <v>36</v>
      </c>
      <c r="I405" t="s">
        <v>3370</v>
      </c>
      <c r="J405" t="str">
        <f>_xlfn.XLOOKUP(Table8[[#This Row],[Supporter_ID]],tb1_supporters[Supporter_ID ],tb1_supporters[Segment],"")</f>
        <v>Regular Giver</v>
      </c>
      <c r="K405" t="str">
        <f>_xlfn.XLOOKUP(Table8[[#This Row],[Supporter_ID]],tb1_supporters[Supporter_ID ],tb1_supporters[Acquisition_Source],"")</f>
        <v>Telephone</v>
      </c>
      <c r="L405" t="str">
        <f>_xlfn.XLOOKUP(Table8[[#This Row],[Supporter_ID]],tb1_supporters[Supporter_ID ],tb1_supporters[County],"")</f>
        <v>Gloucestershire</v>
      </c>
      <c r="M405" t="str">
        <f>_xlfn.XLOOKUP(Table8[[#This Row],[Supporter_ID]],tb1_supporters[Supporter_ID ],tb1_supporters[Gender],"")</f>
        <v>Male</v>
      </c>
      <c r="N405">
        <f ca="1">_xlfn.XLOOKUP(Table8[[#This Row],[Supporter_ID]],tb1_supporters[Supporter_ID ],tb1_supporters[Age],"")</f>
        <v>86</v>
      </c>
      <c r="O405" t="str">
        <f ca="1">_xlfn.XLOOKUP(Table8[[#This Row],[Supporter_ID]],tb1_supporters[Supporter_ID ],tb1_supporters[Age_Band],"")</f>
        <v>65+</v>
      </c>
      <c r="P405" t="str">
        <f ca="1">IF(Table8[[#This Row],[Age_Band]]="","Unknown",Table8[[#This Row],[Age_Band]])</f>
        <v>65+</v>
      </c>
      <c r="Q405" t="str">
        <f>_xlfn.XLOOKUP(Table8[[#This Row],[Supporter_ID]],tb1_supporters[Supporter_ID ],tb1_supporters[Communication_Preference],"")</f>
        <v>Post</v>
      </c>
      <c r="R405" t="str">
        <f>_xlfn.XLOOKUP(Table8[[#This Row],[Supporter_ID]],tb1_supporters[Supporter_ID ],tb1_supporters[Duplicate_Profile_Flag],"")</f>
        <v/>
      </c>
      <c r="S405" t="str">
        <f>_xlfn.XLOOKUP(Table8[[#This Row],[Supporter_ID]],tb1_supporters[Supporter_ID ],tb1_supporters[Preference_Compliance_Flag],"")</f>
        <v/>
      </c>
      <c r="T405" t="str">
        <f ca="1">IF(Table8[[#This Row],[Age]]="","Review - missing DOB",IF(Table8[[#This Row],[Age]]&gt;TODAY(),"Review - future DOB",IF(Table8[[#This Row],[Age]]=0,"Review -  potential entry error (age 0)","")))</f>
        <v/>
      </c>
      <c r="U405" t="str">
        <f>_xlfn.XLOOKUP(Table8[[#This Row],[Campaign_Code]],tb3_CampaignMaster[Campaign_Code],tb3_CampaignMaster[Campaign_Type],"")</f>
        <v>Event</v>
      </c>
      <c r="V405" t="str">
        <f>_xlfn.XLOOKUP(Table8[[#This Row],[Campaign_Code]],tb3_CampaignMaster[Campaign_Code],tb3_CampaignMaster[Target_Audience],"")</f>
        <v>Major Donors</v>
      </c>
      <c r="W405" s="17">
        <f>_xlfn.XLOOKUP(Table8[[#This Row],[Campaign_Code]],tb3_CampaignMaster[Campaign_Code],tb3_CampaignMaster[Start_Date],"")</f>
        <v>45488</v>
      </c>
      <c r="X405" s="17">
        <f>_xlfn.XLOOKUP(Table8[[#This Row],[Campaign_Code]],tb3_CampaignMaster[Campaign_Code],tb3_CampaignMaster[End_Date],"")</f>
        <v>45488</v>
      </c>
      <c r="Y405">
        <f>_xlfn.XLOOKUP(Table8[[#This Row],[Campaign_Code]],tb3_CampaignMaster[Campaign_Code],tb3_CampaignMaster[Budget_GBP],"")</f>
        <v>45000</v>
      </c>
      <c r="Z405" t="str">
        <f>_xlfn.XLOOKUP(Table8[[#This Row],[Campaign_Code]],tb3_CampaignMaster[Campaign_Code],tb3_CampaignMaster[Primary_Channel],"")</f>
        <v>Direct Mail</v>
      </c>
      <c r="AA405" s="13">
        <f>IF(Table8[[#This Row],[Gift_Aid_Eligible]]="Yes",Table8[[#This Row],[Gift_Amount]]*1.25,Table8[[#This Row],[Gift_Amount]])</f>
        <v>51.012500000000003</v>
      </c>
      <c r="AB405" t="str">
        <f>IF(Table8[[#This Row],[Supporter_ID]]="","Review - missing supporter ID","")</f>
        <v/>
      </c>
      <c r="AC405" t="str">
        <f>IF(OR(Table8[[#This Row],[Response_Date]]&lt;Table8[[#This Row],[Start_Date]],Table8[[#This Row],[Response_Date]]&gt;Table8[[#This Row],[End_Date]]),"Review - response outside campaign dates","")</f>
        <v/>
      </c>
      <c r="AD405" t="str">
        <f>IF(Table8[[#This Row],[Campaign_Type]]="","Review - campaign code not found","")</f>
        <v/>
      </c>
    </row>
    <row r="406" spans="1:30" x14ac:dyDescent="0.25">
      <c r="A406" t="s">
        <v>4060</v>
      </c>
      <c r="B406" t="s">
        <v>1749</v>
      </c>
      <c r="C406" t="s">
        <v>3320</v>
      </c>
      <c r="D406" t="s">
        <v>3321</v>
      </c>
      <c r="E406" t="s">
        <v>4</v>
      </c>
      <c r="F406" s="17">
        <v>45454</v>
      </c>
      <c r="G406">
        <v>144.6</v>
      </c>
      <c r="H406" t="s">
        <v>36</v>
      </c>
      <c r="I406" t="s">
        <v>3318</v>
      </c>
      <c r="J406" t="str">
        <f>_xlfn.XLOOKUP(Table8[[#This Row],[Supporter_ID]],tb1_supporters[Supporter_ID ],tb1_supporters[Segment],"")</f>
        <v>One-Time Donor</v>
      </c>
      <c r="K406" t="str">
        <f>_xlfn.XLOOKUP(Table8[[#This Row],[Supporter_ID]],tb1_supporters[Supporter_ID ],tb1_supporters[Acquisition_Source],"")</f>
        <v>Social Media</v>
      </c>
      <c r="L406" t="str">
        <f>_xlfn.XLOOKUP(Table8[[#This Row],[Supporter_ID]],tb1_supporters[Supporter_ID ],tb1_supporters[County],"")</f>
        <v>Bedfordshire</v>
      </c>
      <c r="M406" t="str">
        <f>_xlfn.XLOOKUP(Table8[[#This Row],[Supporter_ID]],tb1_supporters[Supporter_ID ],tb1_supporters[Gender],"")</f>
        <v>Female</v>
      </c>
      <c r="N406">
        <f ca="1">_xlfn.XLOOKUP(Table8[[#This Row],[Supporter_ID]],tb1_supporters[Supporter_ID ],tb1_supporters[Age],"")</f>
        <v>58</v>
      </c>
      <c r="O406" t="str">
        <f ca="1">_xlfn.XLOOKUP(Table8[[#This Row],[Supporter_ID]],tb1_supporters[Supporter_ID ],tb1_supporters[Age_Band],"")</f>
        <v>50-64</v>
      </c>
      <c r="P406" t="str">
        <f ca="1">IF(Table8[[#This Row],[Age_Band]]="","Unknown",Table8[[#This Row],[Age_Band]])</f>
        <v>50-64</v>
      </c>
      <c r="Q406" t="str">
        <f>_xlfn.XLOOKUP(Table8[[#This Row],[Supporter_ID]],tb1_supporters[Supporter_ID ],tb1_supporters[Communication_Preference],"")</f>
        <v>Email</v>
      </c>
      <c r="R406" t="str">
        <f>_xlfn.XLOOKUP(Table8[[#This Row],[Supporter_ID]],tb1_supporters[Supporter_ID ],tb1_supporters[Duplicate_Profile_Flag],"")</f>
        <v/>
      </c>
      <c r="S406" t="str">
        <f>_xlfn.XLOOKUP(Table8[[#This Row],[Supporter_ID]],tb1_supporters[Supporter_ID ],tb1_supporters[Preference_Compliance_Flag],"")</f>
        <v/>
      </c>
      <c r="T406" t="str">
        <f ca="1">IF(Table8[[#This Row],[Age]]="","Review - missing DOB",IF(Table8[[#This Row],[Age]]&gt;TODAY(),"Review - future DOB",IF(Table8[[#This Row],[Age]]=0,"Review -  potential entry error (age 0)","")))</f>
        <v/>
      </c>
      <c r="U406" t="str">
        <f>_xlfn.XLOOKUP(Table8[[#This Row],[Campaign_Code]],tb3_CampaignMaster[Campaign_Code],tb3_CampaignMaster[Campaign_Type],"")</f>
        <v>Stewardship</v>
      </c>
      <c r="V406" t="str">
        <f>_xlfn.XLOOKUP(Table8[[#This Row],[Campaign_Code]],tb3_CampaignMaster[Campaign_Code],tb3_CampaignMaster[Target_Audience],"")</f>
        <v>Major Donors</v>
      </c>
      <c r="W406" s="17">
        <f>_xlfn.XLOOKUP(Table8[[#This Row],[Campaign_Code]],tb3_CampaignMaster[Campaign_Code],tb3_CampaignMaster[Start_Date],"")</f>
        <v>45444</v>
      </c>
      <c r="X406" s="17">
        <f>_xlfn.XLOOKUP(Table8[[#This Row],[Campaign_Code]],tb3_CampaignMaster[Campaign_Code],tb3_CampaignMaster[End_Date],"")</f>
        <v>45473</v>
      </c>
      <c r="Y406">
        <f>_xlfn.XLOOKUP(Table8[[#This Row],[Campaign_Code]],tb3_CampaignMaster[Campaign_Code],tb3_CampaignMaster[Budget_GBP],"")</f>
        <v>7000</v>
      </c>
      <c r="Z406" t="str">
        <f>_xlfn.XLOOKUP(Table8[[#This Row],[Campaign_Code]],tb3_CampaignMaster[Campaign_Code],tb3_CampaignMaster[Primary_Channel],"")</f>
        <v>Direct Mail</v>
      </c>
      <c r="AA406" s="13">
        <f>IF(Table8[[#This Row],[Gift_Aid_Eligible]]="Yes",Table8[[#This Row],[Gift_Amount]]*1.25,Table8[[#This Row],[Gift_Amount]])</f>
        <v>180.75</v>
      </c>
      <c r="AB406" t="str">
        <f>IF(Table8[[#This Row],[Supporter_ID]]="","Review - missing supporter ID","")</f>
        <v/>
      </c>
      <c r="AC406" t="str">
        <f>IF(OR(Table8[[#This Row],[Response_Date]]&lt;Table8[[#This Row],[Start_Date]],Table8[[#This Row],[Response_Date]]&gt;Table8[[#This Row],[End_Date]]),"Review - response outside campaign dates","")</f>
        <v/>
      </c>
      <c r="AD406" t="str">
        <f>IF(Table8[[#This Row],[Campaign_Type]]="","Review - campaign code not found","")</f>
        <v/>
      </c>
    </row>
    <row r="407" spans="1:30" x14ac:dyDescent="0.25">
      <c r="A407" t="s">
        <v>4062</v>
      </c>
      <c r="B407" t="s">
        <v>1702</v>
      </c>
      <c r="C407" t="s">
        <v>3362</v>
      </c>
      <c r="D407" t="s">
        <v>3363</v>
      </c>
      <c r="E407" t="s">
        <v>65</v>
      </c>
      <c r="F407" s="17">
        <v>45514</v>
      </c>
      <c r="G407">
        <v>79.510000000000005</v>
      </c>
      <c r="H407" t="s">
        <v>36</v>
      </c>
      <c r="I407" t="s">
        <v>3318</v>
      </c>
      <c r="J407" t="str">
        <f>_xlfn.XLOOKUP(Table8[[#This Row],[Supporter_ID]],tb1_supporters[Supporter_ID ],tb1_supporters[Segment],"")</f>
        <v>Lapsed</v>
      </c>
      <c r="K407" t="str">
        <f>_xlfn.XLOOKUP(Table8[[#This Row],[Supporter_ID]],tb1_supporters[Supporter_ID ],tb1_supporters[Acquisition_Source],"")</f>
        <v>Telephone</v>
      </c>
      <c r="L407" t="str">
        <f>_xlfn.XLOOKUP(Table8[[#This Row],[Supporter_ID]],tb1_supporters[Supporter_ID ],tb1_supporters[County],"")</f>
        <v>South Glamorgan</v>
      </c>
      <c r="M407" t="str">
        <f>_xlfn.XLOOKUP(Table8[[#This Row],[Supporter_ID]],tb1_supporters[Supporter_ID ],tb1_supporters[Gender],"")</f>
        <v>Female</v>
      </c>
      <c r="N407">
        <f ca="1">_xlfn.XLOOKUP(Table8[[#This Row],[Supporter_ID]],tb1_supporters[Supporter_ID ],tb1_supporters[Age],"")</f>
        <v>48</v>
      </c>
      <c r="O407" t="str">
        <f ca="1">_xlfn.XLOOKUP(Table8[[#This Row],[Supporter_ID]],tb1_supporters[Supporter_ID ],tb1_supporters[Age_Band],"")</f>
        <v>35-49</v>
      </c>
      <c r="P407" t="str">
        <f ca="1">IF(Table8[[#This Row],[Age_Band]]="","Unknown",Table8[[#This Row],[Age_Band]])</f>
        <v>35-49</v>
      </c>
      <c r="Q407" t="str">
        <f>_xlfn.XLOOKUP(Table8[[#This Row],[Supporter_ID]],tb1_supporters[Supporter_ID ],tb1_supporters[Communication_Preference],"")</f>
        <v>Post</v>
      </c>
      <c r="R407" t="str">
        <f>_xlfn.XLOOKUP(Table8[[#This Row],[Supporter_ID]],tb1_supporters[Supporter_ID ],tb1_supporters[Duplicate_Profile_Flag],"")</f>
        <v/>
      </c>
      <c r="S407" t="str">
        <f>_xlfn.XLOOKUP(Table8[[#This Row],[Supporter_ID]],tb1_supporters[Supporter_ID ],tb1_supporters[Preference_Compliance_Flag],"")</f>
        <v/>
      </c>
      <c r="T407" t="str">
        <f ca="1">IF(Table8[[#This Row],[Age]]="","Review - missing DOB",IF(Table8[[#This Row],[Age]]&gt;TODAY(),"Review - future DOB",IF(Table8[[#This Row],[Age]]=0,"Review -  potential entry error (age 0)","")))</f>
        <v/>
      </c>
      <c r="U407" t="str">
        <f>_xlfn.XLOOKUP(Table8[[#This Row],[Campaign_Code]],tb3_CampaignMaster[Campaign_Code],tb3_CampaignMaster[Campaign_Type],"")</f>
        <v>Legacy</v>
      </c>
      <c r="V407" t="str">
        <f>_xlfn.XLOOKUP(Table8[[#This Row],[Campaign_Code]],tb3_CampaignMaster[Campaign_Code],tb3_CampaignMaster[Target_Audience],"")</f>
        <v>Over 55s</v>
      </c>
      <c r="W407" s="17">
        <f>_xlfn.XLOOKUP(Table8[[#This Row],[Campaign_Code]],tb3_CampaignMaster[Campaign_Code],tb3_CampaignMaster[Start_Date],"")</f>
        <v>45572</v>
      </c>
      <c r="X407" s="17">
        <f>_xlfn.XLOOKUP(Table8[[#This Row],[Campaign_Code]],tb3_CampaignMaster[Campaign_Code],tb3_CampaignMaster[End_Date],"")</f>
        <v>45578</v>
      </c>
      <c r="Y407">
        <f>_xlfn.XLOOKUP(Table8[[#This Row],[Campaign_Code]],tb3_CampaignMaster[Campaign_Code],tb3_CampaignMaster[Budget_GBP],"")</f>
        <v>5000</v>
      </c>
      <c r="Z407" t="str">
        <f>_xlfn.XLOOKUP(Table8[[#This Row],[Campaign_Code]],tb3_CampaignMaster[Campaign_Code],tb3_CampaignMaster[Primary_Channel],"")</f>
        <v>Direct Mail</v>
      </c>
      <c r="AA407" s="13">
        <f>IF(Table8[[#This Row],[Gift_Aid_Eligible]]="Yes",Table8[[#This Row],[Gift_Amount]]*1.25,Table8[[#This Row],[Gift_Amount]])</f>
        <v>99.387500000000003</v>
      </c>
      <c r="AB407" t="str">
        <f>IF(Table8[[#This Row],[Supporter_ID]]="","Review - missing supporter ID","")</f>
        <v/>
      </c>
      <c r="AC407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407" t="str">
        <f>IF(Table8[[#This Row],[Campaign_Type]]="","Review - campaign code not found","")</f>
        <v/>
      </c>
    </row>
    <row r="408" spans="1:30" x14ac:dyDescent="0.25">
      <c r="A408" t="s">
        <v>4064</v>
      </c>
      <c r="B408" t="s">
        <v>1380</v>
      </c>
      <c r="C408" t="s">
        <v>3427</v>
      </c>
      <c r="D408" t="s">
        <v>3428</v>
      </c>
      <c r="E408" t="s">
        <v>65</v>
      </c>
      <c r="F408" s="17">
        <v>45488</v>
      </c>
      <c r="G408">
        <v>40.61</v>
      </c>
      <c r="H408" t="s">
        <v>36</v>
      </c>
      <c r="I408" t="s">
        <v>3328</v>
      </c>
      <c r="J408" t="str">
        <f>_xlfn.XLOOKUP(Table8[[#This Row],[Supporter_ID]],tb1_supporters[Supporter_ID ],tb1_supporters[Segment],"")</f>
        <v>Mid-Value</v>
      </c>
      <c r="K408" t="str">
        <f>_xlfn.XLOOKUP(Table8[[#This Row],[Supporter_ID]],tb1_supporters[Supporter_ID ],tb1_supporters[Acquisition_Source],"")</f>
        <v>Direct Mail</v>
      </c>
      <c r="L408" t="str">
        <f>_xlfn.XLOOKUP(Table8[[#This Row],[Supporter_ID]],tb1_supporters[Supporter_ID ],tb1_supporters[County],"")</f>
        <v>Kent</v>
      </c>
      <c r="M408" t="str">
        <f>_xlfn.XLOOKUP(Table8[[#This Row],[Supporter_ID]],tb1_supporters[Supporter_ID ],tb1_supporters[Gender],"")</f>
        <v>Male</v>
      </c>
      <c r="N408">
        <f ca="1">_xlfn.XLOOKUP(Table8[[#This Row],[Supporter_ID]],tb1_supporters[Supporter_ID ],tb1_supporters[Age],"")</f>
        <v>65</v>
      </c>
      <c r="O408" t="str">
        <f ca="1">_xlfn.XLOOKUP(Table8[[#This Row],[Supporter_ID]],tb1_supporters[Supporter_ID ],tb1_supporters[Age_Band],"")</f>
        <v>65+</v>
      </c>
      <c r="P408" t="str">
        <f ca="1">IF(Table8[[#This Row],[Age_Band]]="","Unknown",Table8[[#This Row],[Age_Band]])</f>
        <v>65+</v>
      </c>
      <c r="Q408" t="str">
        <f>_xlfn.XLOOKUP(Table8[[#This Row],[Supporter_ID]],tb1_supporters[Supporter_ID ],tb1_supporters[Communication_Preference],"")</f>
        <v>Do Not Contact</v>
      </c>
      <c r="R408" t="str">
        <f>_xlfn.XLOOKUP(Table8[[#This Row],[Supporter_ID]],tb1_supporters[Supporter_ID ],tb1_supporters[Duplicate_Profile_Flag],"")</f>
        <v/>
      </c>
      <c r="S408" t="str">
        <f>_xlfn.XLOOKUP(Table8[[#This Row],[Supporter_ID]],tb1_supporters[Supporter_ID ],tb1_supporters[Preference_Compliance_Flag],"")</f>
        <v/>
      </c>
      <c r="T408" t="str">
        <f ca="1">IF(Table8[[#This Row],[Age]]="","Review - missing DOB",IF(Table8[[#This Row],[Age]]&gt;TODAY(),"Review - future DOB",IF(Table8[[#This Row],[Age]]=0,"Review -  potential entry error (age 0)","")))</f>
        <v/>
      </c>
      <c r="U408" t="str">
        <f>_xlfn.XLOOKUP(Table8[[#This Row],[Campaign_Code]],tb3_CampaignMaster[Campaign_Code],tb3_CampaignMaster[Campaign_Type],"")</f>
        <v>Event</v>
      </c>
      <c r="V408" t="str">
        <f>_xlfn.XLOOKUP(Table8[[#This Row],[Campaign_Code]],tb3_CampaignMaster[Campaign_Code],tb3_CampaignMaster[Target_Audience],"")</f>
        <v>Major Donors</v>
      </c>
      <c r="W408" s="17">
        <f>_xlfn.XLOOKUP(Table8[[#This Row],[Campaign_Code]],tb3_CampaignMaster[Campaign_Code],tb3_CampaignMaster[Start_Date],"")</f>
        <v>45488</v>
      </c>
      <c r="X408" s="17">
        <f>_xlfn.XLOOKUP(Table8[[#This Row],[Campaign_Code]],tb3_CampaignMaster[Campaign_Code],tb3_CampaignMaster[End_Date],"")</f>
        <v>45488</v>
      </c>
      <c r="Y408">
        <f>_xlfn.XLOOKUP(Table8[[#This Row],[Campaign_Code]],tb3_CampaignMaster[Campaign_Code],tb3_CampaignMaster[Budget_GBP],"")</f>
        <v>45000</v>
      </c>
      <c r="Z408" t="str">
        <f>_xlfn.XLOOKUP(Table8[[#This Row],[Campaign_Code]],tb3_CampaignMaster[Campaign_Code],tb3_CampaignMaster[Primary_Channel],"")</f>
        <v>Direct Mail</v>
      </c>
      <c r="AA408" s="13">
        <f>IF(Table8[[#This Row],[Gift_Aid_Eligible]]="Yes",Table8[[#This Row],[Gift_Amount]]*1.25,Table8[[#This Row],[Gift_Amount]])</f>
        <v>50.762500000000003</v>
      </c>
      <c r="AB408" t="str">
        <f>IF(Table8[[#This Row],[Supporter_ID]]="","Review - missing supporter ID","")</f>
        <v/>
      </c>
      <c r="AC408" t="str">
        <f>IF(OR(Table8[[#This Row],[Response_Date]]&lt;Table8[[#This Row],[Start_Date]],Table8[[#This Row],[Response_Date]]&gt;Table8[[#This Row],[End_Date]]),"Review - response outside campaign dates","")</f>
        <v/>
      </c>
      <c r="AD408" t="str">
        <f>IF(Table8[[#This Row],[Campaign_Type]]="","Review - campaign code not found","")</f>
        <v/>
      </c>
    </row>
    <row r="409" spans="1:30" x14ac:dyDescent="0.25">
      <c r="A409" t="s">
        <v>4065</v>
      </c>
      <c r="B409" t="s">
        <v>447</v>
      </c>
      <c r="C409" t="s">
        <v>3403</v>
      </c>
      <c r="D409" t="s">
        <v>3404</v>
      </c>
      <c r="E409" t="s">
        <v>65</v>
      </c>
      <c r="F409" s="17">
        <v>45582</v>
      </c>
      <c r="G409">
        <v>181.96</v>
      </c>
      <c r="H409" t="s">
        <v>37</v>
      </c>
      <c r="I409" t="s">
        <v>3318</v>
      </c>
      <c r="J409" t="str">
        <f>_xlfn.XLOOKUP(Table8[[#This Row],[Supporter_ID]],tb1_supporters[Supporter_ID ],tb1_supporters[Segment],"")</f>
        <v>Legacy Pledger</v>
      </c>
      <c r="K409" t="str">
        <f>_xlfn.XLOOKUP(Table8[[#This Row],[Supporter_ID]],tb1_supporters[Supporter_ID ],tb1_supporters[Acquisition_Source],"")</f>
        <v>Corporate Partner</v>
      </c>
      <c r="L409" t="str">
        <f>_xlfn.XLOOKUP(Table8[[#This Row],[Supporter_ID]],tb1_supporters[Supporter_ID ],tb1_supporters[County],"")</f>
        <v>Dorset</v>
      </c>
      <c r="M409" t="str">
        <f>_xlfn.XLOOKUP(Table8[[#This Row],[Supporter_ID]],tb1_supporters[Supporter_ID ],tb1_supporters[Gender],"")</f>
        <v>Male</v>
      </c>
      <c r="N409">
        <f ca="1">_xlfn.XLOOKUP(Table8[[#This Row],[Supporter_ID]],tb1_supporters[Supporter_ID ],tb1_supporters[Age],"")</f>
        <v>94</v>
      </c>
      <c r="O409" t="str">
        <f ca="1">_xlfn.XLOOKUP(Table8[[#This Row],[Supporter_ID]],tb1_supporters[Supporter_ID ],tb1_supporters[Age_Band],"")</f>
        <v>65+</v>
      </c>
      <c r="P409" t="str">
        <f ca="1">IF(Table8[[#This Row],[Age_Band]]="","Unknown",Table8[[#This Row],[Age_Band]])</f>
        <v>65+</v>
      </c>
      <c r="Q409" t="str">
        <f>_xlfn.XLOOKUP(Table8[[#This Row],[Supporter_ID]],tb1_supporters[Supporter_ID ],tb1_supporters[Communication_Preference],"")</f>
        <v>Phone</v>
      </c>
      <c r="R409" t="str">
        <f>_xlfn.XLOOKUP(Table8[[#This Row],[Supporter_ID]],tb1_supporters[Supporter_ID ],tb1_supporters[Duplicate_Profile_Flag],"")</f>
        <v/>
      </c>
      <c r="S409" t="str">
        <f>_xlfn.XLOOKUP(Table8[[#This Row],[Supporter_ID]],tb1_supporters[Supporter_ID ],tb1_supporters[Preference_Compliance_Flag],"")</f>
        <v>Review - prefers phone but not opted in</v>
      </c>
      <c r="T409" t="str">
        <f ca="1">IF(Table8[[#This Row],[Age]]="","Review - missing DOB",IF(Table8[[#This Row],[Age]]&gt;TODAY(),"Review - future DOB",IF(Table8[[#This Row],[Age]]=0,"Review -  potential entry error (age 0)","")))</f>
        <v/>
      </c>
      <c r="U409" t="str">
        <f>_xlfn.XLOOKUP(Table8[[#This Row],[Campaign_Code]],tb3_CampaignMaster[Campaign_Code],tb3_CampaignMaster[Campaign_Type],"")</f>
        <v>Trading</v>
      </c>
      <c r="V409" t="str">
        <f>_xlfn.XLOOKUP(Table8[[#This Row],[Campaign_Code]],tb3_CampaignMaster[Campaign_Code],tb3_CampaignMaster[Target_Audience],"")</f>
        <v>All Active</v>
      </c>
      <c r="W409" s="17">
        <f>_xlfn.XLOOKUP(Table8[[#This Row],[Campaign_Code]],tb3_CampaignMaster[Campaign_Code],tb3_CampaignMaster[Start_Date],"")</f>
        <v>45580</v>
      </c>
      <c r="X409" s="17">
        <f>_xlfn.XLOOKUP(Table8[[#This Row],[Campaign_Code]],tb3_CampaignMaster[Campaign_Code],tb3_CampaignMaster[End_Date],"")</f>
        <v>45646</v>
      </c>
      <c r="Y409">
        <f>_xlfn.XLOOKUP(Table8[[#This Row],[Campaign_Code]],tb3_CampaignMaster[Campaign_Code],tb3_CampaignMaster[Budget_GBP],"")</f>
        <v>12000</v>
      </c>
      <c r="Z409" t="str">
        <f>_xlfn.XLOOKUP(Table8[[#This Row],[Campaign_Code]],tb3_CampaignMaster[Campaign_Code],tb3_CampaignMaster[Primary_Channel],"")</f>
        <v>Multi-channel</v>
      </c>
      <c r="AA409" s="13">
        <f>IF(Table8[[#This Row],[Gift_Aid_Eligible]]="Yes",Table8[[#This Row],[Gift_Amount]]*1.25,Table8[[#This Row],[Gift_Amount]])</f>
        <v>181.96</v>
      </c>
      <c r="AB409" t="str">
        <f>IF(Table8[[#This Row],[Supporter_ID]]="","Review - missing supporter ID","")</f>
        <v/>
      </c>
      <c r="AC409" t="str">
        <f>IF(OR(Table8[[#This Row],[Response_Date]]&lt;Table8[[#This Row],[Start_Date]],Table8[[#This Row],[Response_Date]]&gt;Table8[[#This Row],[End_Date]]),"Review - response outside campaign dates","")</f>
        <v/>
      </c>
      <c r="AD409" t="str">
        <f>IF(Table8[[#This Row],[Campaign_Type]]="","Review - campaign code not found","")</f>
        <v/>
      </c>
    </row>
    <row r="410" spans="1:30" x14ac:dyDescent="0.25">
      <c r="A410" t="s">
        <v>4067</v>
      </c>
      <c r="B410" t="s">
        <v>2831</v>
      </c>
      <c r="C410" t="s">
        <v>3367</v>
      </c>
      <c r="D410" t="s">
        <v>3368</v>
      </c>
      <c r="E410" t="s">
        <v>65</v>
      </c>
      <c r="F410" s="17">
        <v>45732</v>
      </c>
      <c r="G410">
        <v>262.93</v>
      </c>
      <c r="H410" t="s">
        <v>36</v>
      </c>
      <c r="I410" t="s">
        <v>3328</v>
      </c>
      <c r="J410" t="str">
        <f>_xlfn.XLOOKUP(Table8[[#This Row],[Supporter_ID]],tb1_supporters[Supporter_ID ],tb1_supporters[Segment],"")</f>
        <v>Legacy Pledger</v>
      </c>
      <c r="K410" t="str">
        <f>_xlfn.XLOOKUP(Table8[[#This Row],[Supporter_ID]],tb1_supporters[Supporter_ID ],tb1_supporters[Acquisition_Source],"")</f>
        <v>Direct Mail</v>
      </c>
      <c r="L410" t="str">
        <f>_xlfn.XLOOKUP(Table8[[#This Row],[Supporter_ID]],tb1_supporters[Supporter_ID ],tb1_supporters[County],"")</f>
        <v>Antrim</v>
      </c>
      <c r="M410" t="str">
        <f>_xlfn.XLOOKUP(Table8[[#This Row],[Supporter_ID]],tb1_supporters[Supporter_ID ],tb1_supporters[Gender],"")</f>
        <v>Male</v>
      </c>
      <c r="N410" t="str">
        <f ca="1">_xlfn.XLOOKUP(Table8[[#This Row],[Supporter_ID]],tb1_supporters[Supporter_ID ],tb1_supporters[Age],"")</f>
        <v/>
      </c>
      <c r="O410" t="str">
        <f ca="1">_xlfn.XLOOKUP(Table8[[#This Row],[Supporter_ID]],tb1_supporters[Supporter_ID ],tb1_supporters[Age_Band],"")</f>
        <v/>
      </c>
      <c r="P410" t="str">
        <f ca="1">IF(Table8[[#This Row],[Age_Band]]="","Unknown",Table8[[#This Row],[Age_Band]])</f>
        <v>Unknown</v>
      </c>
      <c r="Q410" t="str">
        <f>_xlfn.XLOOKUP(Table8[[#This Row],[Supporter_ID]],tb1_supporters[Supporter_ID ],tb1_supporters[Communication_Preference],"")</f>
        <v>Phone</v>
      </c>
      <c r="R410" t="str">
        <f>_xlfn.XLOOKUP(Table8[[#This Row],[Supporter_ID]],tb1_supporters[Supporter_ID ],tb1_supporters[Duplicate_Profile_Flag],"")</f>
        <v/>
      </c>
      <c r="S410" t="str">
        <f>_xlfn.XLOOKUP(Table8[[#This Row],[Supporter_ID]],tb1_supporters[Supporter_ID ],tb1_supporters[Preference_Compliance_Flag],"")</f>
        <v/>
      </c>
      <c r="T410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410" t="str">
        <f>_xlfn.XLOOKUP(Table8[[#This Row],[Campaign_Code]],tb3_CampaignMaster[Campaign_Code],tb3_CampaignMaster[Campaign_Type],"")</f>
        <v>Raffle</v>
      </c>
      <c r="V410" t="str">
        <f>_xlfn.XLOOKUP(Table8[[#This Row],[Campaign_Code]],tb3_CampaignMaster[Campaign_Code],tb3_CampaignMaster[Target_Audience],"")</f>
        <v>Regular Givers</v>
      </c>
      <c r="W410" s="17">
        <f>_xlfn.XLOOKUP(Table8[[#This Row],[Campaign_Code]],tb3_CampaignMaster[Campaign_Code],tb3_CampaignMaster[Start_Date],"")</f>
        <v>45717</v>
      </c>
      <c r="X410" s="17">
        <f>_xlfn.XLOOKUP(Table8[[#This Row],[Campaign_Code]],tb3_CampaignMaster[Campaign_Code],tb3_CampaignMaster[End_Date],"")</f>
        <v>45777</v>
      </c>
      <c r="Y410">
        <f>_xlfn.XLOOKUP(Table8[[#This Row],[Campaign_Code]],tb3_CampaignMaster[Campaign_Code],tb3_CampaignMaster[Budget_GBP],"")</f>
        <v>8000</v>
      </c>
      <c r="Z410" t="str">
        <f>_xlfn.XLOOKUP(Table8[[#This Row],[Campaign_Code]],tb3_CampaignMaster[Campaign_Code],tb3_CampaignMaster[Primary_Channel],"")</f>
        <v>Direct Mail</v>
      </c>
      <c r="AA410" s="13">
        <f>IF(Table8[[#This Row],[Gift_Aid_Eligible]]="Yes",Table8[[#This Row],[Gift_Amount]]*1.25,Table8[[#This Row],[Gift_Amount]])</f>
        <v>328.66250000000002</v>
      </c>
      <c r="AB410" t="str">
        <f>IF(Table8[[#This Row],[Supporter_ID]]="","Review - missing supporter ID","")</f>
        <v/>
      </c>
      <c r="AC410" t="str">
        <f>IF(OR(Table8[[#This Row],[Response_Date]]&lt;Table8[[#This Row],[Start_Date]],Table8[[#This Row],[Response_Date]]&gt;Table8[[#This Row],[End_Date]]),"Review - response outside campaign dates","")</f>
        <v/>
      </c>
      <c r="AD410" t="str">
        <f>IF(Table8[[#This Row],[Campaign_Type]]="","Review - campaign code not found","")</f>
        <v/>
      </c>
    </row>
    <row r="411" spans="1:30" x14ac:dyDescent="0.25">
      <c r="A411" t="s">
        <v>4068</v>
      </c>
      <c r="B411" t="s">
        <v>2457</v>
      </c>
      <c r="C411" t="s">
        <v>3403</v>
      </c>
      <c r="D411" t="s">
        <v>3404</v>
      </c>
      <c r="E411" t="s">
        <v>4</v>
      </c>
      <c r="F411" s="17">
        <v>45603</v>
      </c>
      <c r="G411">
        <v>187.82</v>
      </c>
      <c r="H411" t="s">
        <v>37</v>
      </c>
      <c r="I411" t="s">
        <v>3365</v>
      </c>
      <c r="J411" t="str">
        <f>_xlfn.XLOOKUP(Table8[[#This Row],[Supporter_ID]],tb1_supporters[Supporter_ID ],tb1_supporters[Segment],"")</f>
        <v>Legacy Pledger</v>
      </c>
      <c r="K411" t="str">
        <f>_xlfn.XLOOKUP(Table8[[#This Row],[Supporter_ID]],tb1_supporters[Supporter_ID ],tb1_supporters[Acquisition_Source],"")</f>
        <v>Referral</v>
      </c>
      <c r="L411" t="str">
        <f>_xlfn.XLOOKUP(Table8[[#This Row],[Supporter_ID]],tb1_supporters[Supporter_ID ],tb1_supporters[County],"")</f>
        <v>Tyne and Wear</v>
      </c>
      <c r="M411" t="str">
        <f>_xlfn.XLOOKUP(Table8[[#This Row],[Supporter_ID]],tb1_supporters[Supporter_ID ],tb1_supporters[Gender],"")</f>
        <v>Male</v>
      </c>
      <c r="N411">
        <f ca="1">_xlfn.XLOOKUP(Table8[[#This Row],[Supporter_ID]],tb1_supporters[Supporter_ID ],tb1_supporters[Age],"")</f>
        <v>60</v>
      </c>
      <c r="O411" t="str">
        <f ca="1">_xlfn.XLOOKUP(Table8[[#This Row],[Supporter_ID]],tb1_supporters[Supporter_ID ],tb1_supporters[Age_Band],"")</f>
        <v>50-64</v>
      </c>
      <c r="P411" t="str">
        <f ca="1">IF(Table8[[#This Row],[Age_Band]]="","Unknown",Table8[[#This Row],[Age_Band]])</f>
        <v>50-64</v>
      </c>
      <c r="Q411" t="str">
        <f>_xlfn.XLOOKUP(Table8[[#This Row],[Supporter_ID]],tb1_supporters[Supporter_ID ],tb1_supporters[Communication_Preference],"")</f>
        <v>Email</v>
      </c>
      <c r="R411" t="str">
        <f>_xlfn.XLOOKUP(Table8[[#This Row],[Supporter_ID]],tb1_supporters[Supporter_ID ],tb1_supporters[Duplicate_Profile_Flag],"")</f>
        <v/>
      </c>
      <c r="S411" t="str">
        <f>_xlfn.XLOOKUP(Table8[[#This Row],[Supporter_ID]],tb1_supporters[Supporter_ID ],tb1_supporters[Preference_Compliance_Flag],"")</f>
        <v/>
      </c>
      <c r="T411" t="str">
        <f ca="1">IF(Table8[[#This Row],[Age]]="","Review - missing DOB",IF(Table8[[#This Row],[Age]]&gt;TODAY(),"Review - future DOB",IF(Table8[[#This Row],[Age]]=0,"Review -  potential entry error (age 0)","")))</f>
        <v/>
      </c>
      <c r="U411" t="str">
        <f>_xlfn.XLOOKUP(Table8[[#This Row],[Campaign_Code]],tb3_CampaignMaster[Campaign_Code],tb3_CampaignMaster[Campaign_Type],"")</f>
        <v>Trading</v>
      </c>
      <c r="V411" t="str">
        <f>_xlfn.XLOOKUP(Table8[[#This Row],[Campaign_Code]],tb3_CampaignMaster[Campaign_Code],tb3_CampaignMaster[Target_Audience],"")</f>
        <v>All Active</v>
      </c>
      <c r="W411" s="17">
        <f>_xlfn.XLOOKUP(Table8[[#This Row],[Campaign_Code]],tb3_CampaignMaster[Campaign_Code],tb3_CampaignMaster[Start_Date],"")</f>
        <v>45580</v>
      </c>
      <c r="X411" s="17">
        <f>_xlfn.XLOOKUP(Table8[[#This Row],[Campaign_Code]],tb3_CampaignMaster[Campaign_Code],tb3_CampaignMaster[End_Date],"")</f>
        <v>45646</v>
      </c>
      <c r="Y411">
        <f>_xlfn.XLOOKUP(Table8[[#This Row],[Campaign_Code]],tb3_CampaignMaster[Campaign_Code],tb3_CampaignMaster[Budget_GBP],"")</f>
        <v>12000</v>
      </c>
      <c r="Z411" t="str">
        <f>_xlfn.XLOOKUP(Table8[[#This Row],[Campaign_Code]],tb3_CampaignMaster[Campaign_Code],tb3_CampaignMaster[Primary_Channel],"")</f>
        <v>Multi-channel</v>
      </c>
      <c r="AA411" s="13">
        <f>IF(Table8[[#This Row],[Gift_Aid_Eligible]]="Yes",Table8[[#This Row],[Gift_Amount]]*1.25,Table8[[#This Row],[Gift_Amount]])</f>
        <v>187.82</v>
      </c>
      <c r="AB411" t="str">
        <f>IF(Table8[[#This Row],[Supporter_ID]]="","Review - missing supporter ID","")</f>
        <v/>
      </c>
      <c r="AC411" t="str">
        <f>IF(OR(Table8[[#This Row],[Response_Date]]&lt;Table8[[#This Row],[Start_Date]],Table8[[#This Row],[Response_Date]]&gt;Table8[[#This Row],[End_Date]]),"Review - response outside campaign dates","")</f>
        <v/>
      </c>
      <c r="AD411" t="str">
        <f>IF(Table8[[#This Row],[Campaign_Type]]="","Review - campaign code not found","")</f>
        <v/>
      </c>
    </row>
    <row r="412" spans="1:30" x14ac:dyDescent="0.25">
      <c r="A412" t="s">
        <v>4070</v>
      </c>
      <c r="B412" t="s">
        <v>2729</v>
      </c>
      <c r="C412" t="s">
        <v>3427</v>
      </c>
      <c r="D412" t="s">
        <v>3428</v>
      </c>
      <c r="E412" t="s">
        <v>4</v>
      </c>
      <c r="F412" s="17">
        <v>45488</v>
      </c>
      <c r="G412">
        <v>192.36</v>
      </c>
      <c r="H412" t="s">
        <v>37</v>
      </c>
      <c r="I412" t="s">
        <v>3328</v>
      </c>
      <c r="J412" t="str">
        <f>_xlfn.XLOOKUP(Table8[[#This Row],[Supporter_ID]],tb1_supporters[Supporter_ID ],tb1_supporters[Segment],"")</f>
        <v>Major Donor</v>
      </c>
      <c r="K412" t="str">
        <f>_xlfn.XLOOKUP(Table8[[#This Row],[Supporter_ID]],tb1_supporters[Supporter_ID ],tb1_supporters[Acquisition_Source],"")</f>
        <v>Corporate Partner</v>
      </c>
      <c r="L412" t="str">
        <f>_xlfn.XLOOKUP(Table8[[#This Row],[Supporter_ID]],tb1_supporters[Supporter_ID ],tb1_supporters[County],"")</f>
        <v>Antrim</v>
      </c>
      <c r="M412" t="str">
        <f>_xlfn.XLOOKUP(Table8[[#This Row],[Supporter_ID]],tb1_supporters[Supporter_ID ],tb1_supporters[Gender],"")</f>
        <v>Male</v>
      </c>
      <c r="N412">
        <f ca="1">_xlfn.XLOOKUP(Table8[[#This Row],[Supporter_ID]],tb1_supporters[Supporter_ID ],tb1_supporters[Age],"")</f>
        <v>68</v>
      </c>
      <c r="O412" t="str">
        <f ca="1">_xlfn.XLOOKUP(Table8[[#This Row],[Supporter_ID]],tb1_supporters[Supporter_ID ],tb1_supporters[Age_Band],"")</f>
        <v>65+</v>
      </c>
      <c r="P412" t="str">
        <f ca="1">IF(Table8[[#This Row],[Age_Band]]="","Unknown",Table8[[#This Row],[Age_Band]])</f>
        <v>65+</v>
      </c>
      <c r="Q412" t="str">
        <f>_xlfn.XLOOKUP(Table8[[#This Row],[Supporter_ID]],tb1_supporters[Supporter_ID ],tb1_supporters[Communication_Preference],"")</f>
        <v>Post</v>
      </c>
      <c r="R412" t="str">
        <f>_xlfn.XLOOKUP(Table8[[#This Row],[Supporter_ID]],tb1_supporters[Supporter_ID ],tb1_supporters[Duplicate_Profile_Flag],"")</f>
        <v/>
      </c>
      <c r="S412" t="str">
        <f>_xlfn.XLOOKUP(Table8[[#This Row],[Supporter_ID]],tb1_supporters[Supporter_ID ],tb1_supporters[Preference_Compliance_Flag],"")</f>
        <v/>
      </c>
      <c r="T412" t="str">
        <f ca="1">IF(Table8[[#This Row],[Age]]="","Review - missing DOB",IF(Table8[[#This Row],[Age]]&gt;TODAY(),"Review - future DOB",IF(Table8[[#This Row],[Age]]=0,"Review -  potential entry error (age 0)","")))</f>
        <v/>
      </c>
      <c r="U412" t="str">
        <f>_xlfn.XLOOKUP(Table8[[#This Row],[Campaign_Code]],tb3_CampaignMaster[Campaign_Code],tb3_CampaignMaster[Campaign_Type],"")</f>
        <v>Event</v>
      </c>
      <c r="V412" t="str">
        <f>_xlfn.XLOOKUP(Table8[[#This Row],[Campaign_Code]],tb3_CampaignMaster[Campaign_Code],tb3_CampaignMaster[Target_Audience],"")</f>
        <v>Major Donors</v>
      </c>
      <c r="W412" s="17">
        <f>_xlfn.XLOOKUP(Table8[[#This Row],[Campaign_Code]],tb3_CampaignMaster[Campaign_Code],tb3_CampaignMaster[Start_Date],"")</f>
        <v>45488</v>
      </c>
      <c r="X412" s="17">
        <f>_xlfn.XLOOKUP(Table8[[#This Row],[Campaign_Code]],tb3_CampaignMaster[Campaign_Code],tb3_CampaignMaster[End_Date],"")</f>
        <v>45488</v>
      </c>
      <c r="Y412">
        <f>_xlfn.XLOOKUP(Table8[[#This Row],[Campaign_Code]],tb3_CampaignMaster[Campaign_Code],tb3_CampaignMaster[Budget_GBP],"")</f>
        <v>45000</v>
      </c>
      <c r="Z412" t="str">
        <f>_xlfn.XLOOKUP(Table8[[#This Row],[Campaign_Code]],tb3_CampaignMaster[Campaign_Code],tb3_CampaignMaster[Primary_Channel],"")</f>
        <v>Direct Mail</v>
      </c>
      <c r="AA412" s="13">
        <f>IF(Table8[[#This Row],[Gift_Aid_Eligible]]="Yes",Table8[[#This Row],[Gift_Amount]]*1.25,Table8[[#This Row],[Gift_Amount]])</f>
        <v>192.36</v>
      </c>
      <c r="AB412" t="str">
        <f>IF(Table8[[#This Row],[Supporter_ID]]="","Review - missing supporter ID","")</f>
        <v/>
      </c>
      <c r="AC412" t="str">
        <f>IF(OR(Table8[[#This Row],[Response_Date]]&lt;Table8[[#This Row],[Start_Date]],Table8[[#This Row],[Response_Date]]&gt;Table8[[#This Row],[End_Date]]),"Review - response outside campaign dates","")</f>
        <v/>
      </c>
      <c r="AD412" t="str">
        <f>IF(Table8[[#This Row],[Campaign_Type]]="","Review - campaign code not found","")</f>
        <v/>
      </c>
    </row>
    <row r="413" spans="1:30" x14ac:dyDescent="0.25">
      <c r="A413" t="s">
        <v>4071</v>
      </c>
      <c r="B413" t="s">
        <v>3266</v>
      </c>
      <c r="C413" t="s">
        <v>3354</v>
      </c>
      <c r="D413" t="s">
        <v>3355</v>
      </c>
      <c r="E413" t="s">
        <v>4</v>
      </c>
      <c r="F413" s="17">
        <v>45618</v>
      </c>
      <c r="G413">
        <v>185.07</v>
      </c>
      <c r="H413" t="s">
        <v>36</v>
      </c>
      <c r="I413" t="s">
        <v>3370</v>
      </c>
      <c r="J413" t="str">
        <f>_xlfn.XLOOKUP(Table8[[#This Row],[Supporter_ID]],tb1_supporters[Supporter_ID ],tb1_supporters[Segment],"")</f>
        <v>Mid-Value</v>
      </c>
      <c r="K413" t="str">
        <f>_xlfn.XLOOKUP(Table8[[#This Row],[Supporter_ID]],tb1_supporters[Supporter_ID ],tb1_supporters[Acquisition_Source],"")</f>
        <v>Door-To-Door</v>
      </c>
      <c r="L413" t="str">
        <f>_xlfn.XLOOKUP(Table8[[#This Row],[Supporter_ID]],tb1_supporters[Supporter_ID ],tb1_supporters[County],"")</f>
        <v>Angus</v>
      </c>
      <c r="M413" t="str">
        <f>_xlfn.XLOOKUP(Table8[[#This Row],[Supporter_ID]],tb1_supporters[Supporter_ID ],tb1_supporters[Gender],"")</f>
        <v>Female</v>
      </c>
      <c r="N413">
        <f ca="1">_xlfn.XLOOKUP(Table8[[#This Row],[Supporter_ID]],tb1_supporters[Supporter_ID ],tb1_supporters[Age],"")</f>
        <v>59</v>
      </c>
      <c r="O413" t="str">
        <f ca="1">_xlfn.XLOOKUP(Table8[[#This Row],[Supporter_ID]],tb1_supporters[Supporter_ID ],tb1_supporters[Age_Band],"")</f>
        <v>50-64</v>
      </c>
      <c r="P413" t="str">
        <f ca="1">IF(Table8[[#This Row],[Age_Band]]="","Unknown",Table8[[#This Row],[Age_Band]])</f>
        <v>50-64</v>
      </c>
      <c r="Q413" t="str">
        <f>_xlfn.XLOOKUP(Table8[[#This Row],[Supporter_ID]],tb1_supporters[Supporter_ID ],tb1_supporters[Communication_Preference],"")</f>
        <v>Post</v>
      </c>
      <c r="R413" t="str">
        <f>_xlfn.XLOOKUP(Table8[[#This Row],[Supporter_ID]],tb1_supporters[Supporter_ID ],tb1_supporters[Duplicate_Profile_Flag],"")</f>
        <v/>
      </c>
      <c r="S413" t="str">
        <f>_xlfn.XLOOKUP(Table8[[#This Row],[Supporter_ID]],tb1_supporters[Supporter_ID ],tb1_supporters[Preference_Compliance_Flag],"")</f>
        <v>Review - prefers post but not opted in</v>
      </c>
      <c r="T413" t="str">
        <f ca="1">IF(Table8[[#This Row],[Age]]="","Review - missing DOB",IF(Table8[[#This Row],[Age]]&gt;TODAY(),"Review - future DOB",IF(Table8[[#This Row],[Age]]=0,"Review -  potential entry error (age 0)","")))</f>
        <v/>
      </c>
      <c r="U413" t="str">
        <f>_xlfn.XLOOKUP(Table8[[#This Row],[Campaign_Code]],tb3_CampaignMaster[Campaign_Code],tb3_CampaignMaster[Campaign_Type],"")</f>
        <v>Event</v>
      </c>
      <c r="V413" t="str">
        <f>_xlfn.XLOOKUP(Table8[[#This Row],[Campaign_Code]],tb3_CampaignMaster[Campaign_Code],tb3_CampaignMaster[Target_Audience],"")</f>
        <v>Volunteers</v>
      </c>
      <c r="W413" s="17">
        <f>_xlfn.XLOOKUP(Table8[[#This Row],[Campaign_Code]],tb3_CampaignMaster[Campaign_Code],tb3_CampaignMaster[Start_Date],"")</f>
        <v>45618</v>
      </c>
      <c r="X413" s="17">
        <f>_xlfn.XLOOKUP(Table8[[#This Row],[Campaign_Code]],tb3_CampaignMaster[Campaign_Code],tb3_CampaignMaster[End_Date],"")</f>
        <v>45618</v>
      </c>
      <c r="Y413">
        <f>_xlfn.XLOOKUP(Table8[[#This Row],[Campaign_Code]],tb3_CampaignMaster[Campaign_Code],tb3_CampaignMaster[Budget_GBP],"")</f>
        <v>3500</v>
      </c>
      <c r="Z413" t="str">
        <f>_xlfn.XLOOKUP(Table8[[#This Row],[Campaign_Code]],tb3_CampaignMaster[Campaign_Code],tb3_CampaignMaster[Primary_Channel],"")</f>
        <v>Email</v>
      </c>
      <c r="AA413" s="13">
        <f>IF(Table8[[#This Row],[Gift_Aid_Eligible]]="Yes",Table8[[#This Row],[Gift_Amount]]*1.25,Table8[[#This Row],[Gift_Amount]])</f>
        <v>231.33749999999998</v>
      </c>
      <c r="AB413" t="str">
        <f>IF(Table8[[#This Row],[Supporter_ID]]="","Review - missing supporter ID","")</f>
        <v/>
      </c>
      <c r="AC413" t="str">
        <f>IF(OR(Table8[[#This Row],[Response_Date]]&lt;Table8[[#This Row],[Start_Date]],Table8[[#This Row],[Response_Date]]&gt;Table8[[#This Row],[End_Date]]),"Review - response outside campaign dates","")</f>
        <v/>
      </c>
      <c r="AD413" t="str">
        <f>IF(Table8[[#This Row],[Campaign_Type]]="","Review - campaign code not found","")</f>
        <v/>
      </c>
    </row>
    <row r="414" spans="1:30" x14ac:dyDescent="0.25">
      <c r="A414" t="s">
        <v>4072</v>
      </c>
      <c r="B414" t="s">
        <v>3077</v>
      </c>
      <c r="C414" t="s">
        <v>3403</v>
      </c>
      <c r="D414" t="s">
        <v>3404</v>
      </c>
      <c r="E414" t="s">
        <v>4</v>
      </c>
      <c r="F414" s="17">
        <v>45601</v>
      </c>
      <c r="G414">
        <v>316.02</v>
      </c>
      <c r="H414" t="s">
        <v>36</v>
      </c>
      <c r="I414" t="s">
        <v>3365</v>
      </c>
      <c r="J414" t="str">
        <f>_xlfn.XLOOKUP(Table8[[#This Row],[Supporter_ID]],tb1_supporters[Supporter_ID ],tb1_supporters[Segment],"")</f>
        <v>Legacy Pledger</v>
      </c>
      <c r="K414" t="str">
        <f>_xlfn.XLOOKUP(Table8[[#This Row],[Supporter_ID]],tb1_supporters[Supporter_ID ],tb1_supporters[Acquisition_Source],"")</f>
        <v>Social Media</v>
      </c>
      <c r="L414" t="str">
        <f>_xlfn.XLOOKUP(Table8[[#This Row],[Supporter_ID]],tb1_supporters[Supporter_ID ],tb1_supporters[County],"")</f>
        <v>Hertfordshire</v>
      </c>
      <c r="M414" t="str">
        <f>_xlfn.XLOOKUP(Table8[[#This Row],[Supporter_ID]],tb1_supporters[Supporter_ID ],tb1_supporters[Gender],"")</f>
        <v>Female</v>
      </c>
      <c r="N414">
        <f ca="1">_xlfn.XLOOKUP(Table8[[#This Row],[Supporter_ID]],tb1_supporters[Supporter_ID ],tb1_supporters[Age],"")</f>
        <v>83</v>
      </c>
      <c r="O414" t="str">
        <f ca="1">_xlfn.XLOOKUP(Table8[[#This Row],[Supporter_ID]],tb1_supporters[Supporter_ID ],tb1_supporters[Age_Band],"")</f>
        <v>65+</v>
      </c>
      <c r="P414" t="str">
        <f ca="1">IF(Table8[[#This Row],[Age_Band]]="","Unknown",Table8[[#This Row],[Age_Band]])</f>
        <v>65+</v>
      </c>
      <c r="Q414" t="str">
        <f>_xlfn.XLOOKUP(Table8[[#This Row],[Supporter_ID]],tb1_supporters[Supporter_ID ],tb1_supporters[Communication_Preference],"")</f>
        <v>Email</v>
      </c>
      <c r="R414" t="str">
        <f>_xlfn.XLOOKUP(Table8[[#This Row],[Supporter_ID]],tb1_supporters[Supporter_ID ],tb1_supporters[Duplicate_Profile_Flag],"")</f>
        <v/>
      </c>
      <c r="S414" t="str">
        <f>_xlfn.XLOOKUP(Table8[[#This Row],[Supporter_ID]],tb1_supporters[Supporter_ID ],tb1_supporters[Preference_Compliance_Flag],"")</f>
        <v/>
      </c>
      <c r="T414" t="str">
        <f ca="1">IF(Table8[[#This Row],[Age]]="","Review - missing DOB",IF(Table8[[#This Row],[Age]]&gt;TODAY(),"Review - future DOB",IF(Table8[[#This Row],[Age]]=0,"Review -  potential entry error (age 0)","")))</f>
        <v/>
      </c>
      <c r="U414" t="str">
        <f>_xlfn.XLOOKUP(Table8[[#This Row],[Campaign_Code]],tb3_CampaignMaster[Campaign_Code],tb3_CampaignMaster[Campaign_Type],"")</f>
        <v>Trading</v>
      </c>
      <c r="V414" t="str">
        <f>_xlfn.XLOOKUP(Table8[[#This Row],[Campaign_Code]],tb3_CampaignMaster[Campaign_Code],tb3_CampaignMaster[Target_Audience],"")</f>
        <v>All Active</v>
      </c>
      <c r="W414" s="17">
        <f>_xlfn.XLOOKUP(Table8[[#This Row],[Campaign_Code]],tb3_CampaignMaster[Campaign_Code],tb3_CampaignMaster[Start_Date],"")</f>
        <v>45580</v>
      </c>
      <c r="X414" s="17">
        <f>_xlfn.XLOOKUP(Table8[[#This Row],[Campaign_Code]],tb3_CampaignMaster[Campaign_Code],tb3_CampaignMaster[End_Date],"")</f>
        <v>45646</v>
      </c>
      <c r="Y414">
        <f>_xlfn.XLOOKUP(Table8[[#This Row],[Campaign_Code]],tb3_CampaignMaster[Campaign_Code],tb3_CampaignMaster[Budget_GBP],"")</f>
        <v>12000</v>
      </c>
      <c r="Z414" t="str">
        <f>_xlfn.XLOOKUP(Table8[[#This Row],[Campaign_Code]],tb3_CampaignMaster[Campaign_Code],tb3_CampaignMaster[Primary_Channel],"")</f>
        <v>Multi-channel</v>
      </c>
      <c r="AA414" s="13">
        <f>IF(Table8[[#This Row],[Gift_Aid_Eligible]]="Yes",Table8[[#This Row],[Gift_Amount]]*1.25,Table8[[#This Row],[Gift_Amount]])</f>
        <v>395.02499999999998</v>
      </c>
      <c r="AB414" t="str">
        <f>IF(Table8[[#This Row],[Supporter_ID]]="","Review - missing supporter ID","")</f>
        <v/>
      </c>
      <c r="AC414" t="str">
        <f>IF(OR(Table8[[#This Row],[Response_Date]]&lt;Table8[[#This Row],[Start_Date]],Table8[[#This Row],[Response_Date]]&gt;Table8[[#This Row],[End_Date]]),"Review - response outside campaign dates","")</f>
        <v/>
      </c>
      <c r="AD414" t="str">
        <f>IF(Table8[[#This Row],[Campaign_Type]]="","Review - campaign code not found","")</f>
        <v/>
      </c>
    </row>
    <row r="415" spans="1:30" x14ac:dyDescent="0.25">
      <c r="A415" t="s">
        <v>4073</v>
      </c>
      <c r="B415" t="s">
        <v>802</v>
      </c>
      <c r="C415" t="s">
        <v>3314</v>
      </c>
      <c r="D415" t="s">
        <v>3315</v>
      </c>
      <c r="E415" t="s">
        <v>65</v>
      </c>
      <c r="F415" s="17">
        <v>45721</v>
      </c>
      <c r="G415">
        <v>340.61</v>
      </c>
      <c r="H415" t="s">
        <v>36</v>
      </c>
      <c r="I415" t="s">
        <v>3331</v>
      </c>
      <c r="J415" t="str">
        <f>_xlfn.XLOOKUP(Table8[[#This Row],[Supporter_ID]],tb1_supporters[Supporter_ID ],tb1_supporters[Segment],"")</f>
        <v>Legacy Pledger</v>
      </c>
      <c r="K415" t="str">
        <f>_xlfn.XLOOKUP(Table8[[#This Row],[Supporter_ID]],tb1_supporters[Supporter_ID ],tb1_supporters[Acquisition_Source],"")</f>
        <v>Telephone</v>
      </c>
      <c r="L415" t="str">
        <f>_xlfn.XLOOKUP(Table8[[#This Row],[Supporter_ID]],tb1_supporters[Supporter_ID ],tb1_supporters[County],"")</f>
        <v>Leicestershire</v>
      </c>
      <c r="M415" t="str">
        <f>_xlfn.XLOOKUP(Table8[[#This Row],[Supporter_ID]],tb1_supporters[Supporter_ID ],tb1_supporters[Gender],"")</f>
        <v>Female</v>
      </c>
      <c r="N415">
        <f ca="1">_xlfn.XLOOKUP(Table8[[#This Row],[Supporter_ID]],tb1_supporters[Supporter_ID ],tb1_supporters[Age],"")</f>
        <v>40</v>
      </c>
      <c r="O415" t="str">
        <f ca="1">_xlfn.XLOOKUP(Table8[[#This Row],[Supporter_ID]],tb1_supporters[Supporter_ID ],tb1_supporters[Age_Band],"")</f>
        <v>35-49</v>
      </c>
      <c r="P415" t="str">
        <f ca="1">IF(Table8[[#This Row],[Age_Band]]="","Unknown",Table8[[#This Row],[Age_Band]])</f>
        <v>35-49</v>
      </c>
      <c r="Q415" t="str">
        <f>_xlfn.XLOOKUP(Table8[[#This Row],[Supporter_ID]],tb1_supporters[Supporter_ID ],tb1_supporters[Communication_Preference],"")</f>
        <v>No Preference</v>
      </c>
      <c r="R415" t="str">
        <f>_xlfn.XLOOKUP(Table8[[#This Row],[Supporter_ID]],tb1_supporters[Supporter_ID ],tb1_supporters[Duplicate_Profile_Flag],"")</f>
        <v/>
      </c>
      <c r="S415" t="str">
        <f>_xlfn.XLOOKUP(Table8[[#This Row],[Supporter_ID]],tb1_supporters[Supporter_ID ],tb1_supporters[Preference_Compliance_Flag],"")</f>
        <v/>
      </c>
      <c r="T415" t="str">
        <f ca="1">IF(Table8[[#This Row],[Age]]="","Review - missing DOB",IF(Table8[[#This Row],[Age]]&gt;TODAY(),"Review - future DOB",IF(Table8[[#This Row],[Age]]=0,"Review -  potential entry error (age 0)","")))</f>
        <v/>
      </c>
      <c r="U415" t="str">
        <f>_xlfn.XLOOKUP(Table8[[#This Row],[Campaign_Code]],tb3_CampaignMaster[Campaign_Code],tb3_CampaignMaster[Campaign_Type],"")</f>
        <v>Regular Giving</v>
      </c>
      <c r="V415" t="str">
        <f>_xlfn.XLOOKUP(Table8[[#This Row],[Campaign_Code]],tb3_CampaignMaster[Campaign_Code],tb3_CampaignMaster[Target_Audience],"")</f>
        <v>One-time Donors</v>
      </c>
      <c r="W415" s="17">
        <f>_xlfn.XLOOKUP(Table8[[#This Row],[Campaign_Code]],tb3_CampaignMaster[Campaign_Code],tb3_CampaignMaster[Start_Date],"")</f>
        <v>45663</v>
      </c>
      <c r="X415" s="17">
        <f>_xlfn.XLOOKUP(Table8[[#This Row],[Campaign_Code]],tb3_CampaignMaster[Campaign_Code],tb3_CampaignMaster[End_Date],"")</f>
        <v>45747</v>
      </c>
      <c r="Y415">
        <f>_xlfn.XLOOKUP(Table8[[#This Row],[Campaign_Code]],tb3_CampaignMaster[Campaign_Code],tb3_CampaignMaster[Budget_GBP],"")</f>
        <v>10000</v>
      </c>
      <c r="Z415" t="str">
        <f>_xlfn.XLOOKUP(Table8[[#This Row],[Campaign_Code]],tb3_CampaignMaster[Campaign_Code],tb3_CampaignMaster[Primary_Channel],"")</f>
        <v>Telephone</v>
      </c>
      <c r="AA415" s="13">
        <f>IF(Table8[[#This Row],[Gift_Aid_Eligible]]="Yes",Table8[[#This Row],[Gift_Amount]]*1.25,Table8[[#This Row],[Gift_Amount]])</f>
        <v>425.76250000000005</v>
      </c>
      <c r="AB415" t="str">
        <f>IF(Table8[[#This Row],[Supporter_ID]]="","Review - missing supporter ID","")</f>
        <v/>
      </c>
      <c r="AC415" t="str">
        <f>IF(OR(Table8[[#This Row],[Response_Date]]&lt;Table8[[#This Row],[Start_Date]],Table8[[#This Row],[Response_Date]]&gt;Table8[[#This Row],[End_Date]]),"Review - response outside campaign dates","")</f>
        <v/>
      </c>
      <c r="AD415" t="str">
        <f>IF(Table8[[#This Row],[Campaign_Type]]="","Review - campaign code not found","")</f>
        <v/>
      </c>
    </row>
    <row r="416" spans="1:30" x14ac:dyDescent="0.25">
      <c r="A416" t="s">
        <v>4075</v>
      </c>
      <c r="B416" t="s">
        <v>1329</v>
      </c>
      <c r="C416" t="s">
        <v>3403</v>
      </c>
      <c r="D416" t="s">
        <v>3404</v>
      </c>
      <c r="E416" t="s">
        <v>3316</v>
      </c>
      <c r="F416" s="17">
        <v>45620</v>
      </c>
      <c r="G416">
        <v>11.13</v>
      </c>
      <c r="H416" t="s">
        <v>36</v>
      </c>
      <c r="I416" t="s">
        <v>3370</v>
      </c>
      <c r="J416" t="str">
        <f>_xlfn.XLOOKUP(Table8[[#This Row],[Supporter_ID]],tb1_supporters[Supporter_ID ],tb1_supporters[Segment],"")</f>
        <v>Lapsed</v>
      </c>
      <c r="K416" t="str">
        <f>_xlfn.XLOOKUP(Table8[[#This Row],[Supporter_ID]],tb1_supporters[Supporter_ID ],tb1_supporters[Acquisition_Source],"")</f>
        <v>Direct Mail</v>
      </c>
      <c r="L416" t="str">
        <f>_xlfn.XLOOKUP(Table8[[#This Row],[Supporter_ID]],tb1_supporters[Supporter_ID ],tb1_supporters[County],"")</f>
        <v>Grampian</v>
      </c>
      <c r="M416" t="str">
        <f>_xlfn.XLOOKUP(Table8[[#This Row],[Supporter_ID]],tb1_supporters[Supporter_ID ],tb1_supporters[Gender],"")</f>
        <v>Female</v>
      </c>
      <c r="N416">
        <f ca="1">_xlfn.XLOOKUP(Table8[[#This Row],[Supporter_ID]],tb1_supporters[Supporter_ID ],tb1_supporters[Age],"")</f>
        <v>28</v>
      </c>
      <c r="O416" t="str">
        <f ca="1">_xlfn.XLOOKUP(Table8[[#This Row],[Supporter_ID]],tb1_supporters[Supporter_ID ],tb1_supporters[Age_Band],"")</f>
        <v>18-34</v>
      </c>
      <c r="P416" t="str">
        <f ca="1">IF(Table8[[#This Row],[Age_Band]]="","Unknown",Table8[[#This Row],[Age_Band]])</f>
        <v>18-34</v>
      </c>
      <c r="Q416" t="str">
        <f>_xlfn.XLOOKUP(Table8[[#This Row],[Supporter_ID]],tb1_supporters[Supporter_ID ],tb1_supporters[Communication_Preference],"")</f>
        <v>Email</v>
      </c>
      <c r="R416" t="str">
        <f>_xlfn.XLOOKUP(Table8[[#This Row],[Supporter_ID]],tb1_supporters[Supporter_ID ],tb1_supporters[Duplicate_Profile_Flag],"")</f>
        <v/>
      </c>
      <c r="S416" t="str">
        <f>_xlfn.XLOOKUP(Table8[[#This Row],[Supporter_ID]],tb1_supporters[Supporter_ID ],tb1_supporters[Preference_Compliance_Flag],"")</f>
        <v/>
      </c>
      <c r="T416" t="str">
        <f ca="1">IF(Table8[[#This Row],[Age]]="","Review - missing DOB",IF(Table8[[#This Row],[Age]]&gt;TODAY(),"Review - future DOB",IF(Table8[[#This Row],[Age]]=0,"Review -  potential entry error (age 0)","")))</f>
        <v/>
      </c>
      <c r="U416" t="str">
        <f>_xlfn.XLOOKUP(Table8[[#This Row],[Campaign_Code]],tb3_CampaignMaster[Campaign_Code],tb3_CampaignMaster[Campaign_Type],"")</f>
        <v>Trading</v>
      </c>
      <c r="V416" t="str">
        <f>_xlfn.XLOOKUP(Table8[[#This Row],[Campaign_Code]],tb3_CampaignMaster[Campaign_Code],tb3_CampaignMaster[Target_Audience],"")</f>
        <v>All Active</v>
      </c>
      <c r="W416" s="17">
        <f>_xlfn.XLOOKUP(Table8[[#This Row],[Campaign_Code]],tb3_CampaignMaster[Campaign_Code],tb3_CampaignMaster[Start_Date],"")</f>
        <v>45580</v>
      </c>
      <c r="X416" s="17">
        <f>_xlfn.XLOOKUP(Table8[[#This Row],[Campaign_Code]],tb3_CampaignMaster[Campaign_Code],tb3_CampaignMaster[End_Date],"")</f>
        <v>45646</v>
      </c>
      <c r="Y416">
        <f>_xlfn.XLOOKUP(Table8[[#This Row],[Campaign_Code]],tb3_CampaignMaster[Campaign_Code],tb3_CampaignMaster[Budget_GBP],"")</f>
        <v>12000</v>
      </c>
      <c r="Z416" t="str">
        <f>_xlfn.XLOOKUP(Table8[[#This Row],[Campaign_Code]],tb3_CampaignMaster[Campaign_Code],tb3_CampaignMaster[Primary_Channel],"")</f>
        <v>Multi-channel</v>
      </c>
      <c r="AA416" s="13">
        <f>IF(Table8[[#This Row],[Gift_Aid_Eligible]]="Yes",Table8[[#This Row],[Gift_Amount]]*1.25,Table8[[#This Row],[Gift_Amount]])</f>
        <v>13.912500000000001</v>
      </c>
      <c r="AB416" t="str">
        <f>IF(Table8[[#This Row],[Supporter_ID]]="","Review - missing supporter ID","")</f>
        <v/>
      </c>
      <c r="AC416" t="str">
        <f>IF(OR(Table8[[#This Row],[Response_Date]]&lt;Table8[[#This Row],[Start_Date]],Table8[[#This Row],[Response_Date]]&gt;Table8[[#This Row],[End_Date]]),"Review - response outside campaign dates","")</f>
        <v/>
      </c>
      <c r="AD416" t="str">
        <f>IF(Table8[[#This Row],[Campaign_Type]]="","Review - campaign code not found","")</f>
        <v/>
      </c>
    </row>
    <row r="417" spans="1:30" x14ac:dyDescent="0.25">
      <c r="A417" t="s">
        <v>4077</v>
      </c>
      <c r="B417" t="s">
        <v>1561</v>
      </c>
      <c r="C417" t="s">
        <v>3314</v>
      </c>
      <c r="D417" t="s">
        <v>3315</v>
      </c>
      <c r="E417" t="s">
        <v>3316</v>
      </c>
      <c r="F417" s="17">
        <v>45691</v>
      </c>
      <c r="G417">
        <v>142.57</v>
      </c>
      <c r="H417" t="s">
        <v>36</v>
      </c>
      <c r="I417" t="s">
        <v>3331</v>
      </c>
      <c r="J417" t="str">
        <f>_xlfn.XLOOKUP(Table8[[#This Row],[Supporter_ID]],tb1_supporters[Supporter_ID ],tb1_supporters[Segment],"")</f>
        <v>One-Time Donor</v>
      </c>
      <c r="K417" t="str">
        <f>_xlfn.XLOOKUP(Table8[[#This Row],[Supporter_ID]],tb1_supporters[Supporter_ID ],tb1_supporters[Acquisition_Source],"")</f>
        <v>Direct Mail</v>
      </c>
      <c r="L417" t="str">
        <f>_xlfn.XLOOKUP(Table8[[#This Row],[Supporter_ID]],tb1_supporters[Supporter_ID ],tb1_supporters[County],"")</f>
        <v>Merseyside</v>
      </c>
      <c r="M417" t="str">
        <f>_xlfn.XLOOKUP(Table8[[#This Row],[Supporter_ID]],tb1_supporters[Supporter_ID ],tb1_supporters[Gender],"")</f>
        <v>Female</v>
      </c>
      <c r="N417">
        <f ca="1">_xlfn.XLOOKUP(Table8[[#This Row],[Supporter_ID]],tb1_supporters[Supporter_ID ],tb1_supporters[Age],"")</f>
        <v>63</v>
      </c>
      <c r="O417" t="str">
        <f ca="1">_xlfn.XLOOKUP(Table8[[#This Row],[Supporter_ID]],tb1_supporters[Supporter_ID ],tb1_supporters[Age_Band],"")</f>
        <v>50-64</v>
      </c>
      <c r="P417" t="str">
        <f ca="1">IF(Table8[[#This Row],[Age_Band]]="","Unknown",Table8[[#This Row],[Age_Band]])</f>
        <v>50-64</v>
      </c>
      <c r="Q417" t="str">
        <f>_xlfn.XLOOKUP(Table8[[#This Row],[Supporter_ID]],tb1_supporters[Supporter_ID ],tb1_supporters[Communication_Preference],"")</f>
        <v>Email</v>
      </c>
      <c r="R417" t="str">
        <f>_xlfn.XLOOKUP(Table8[[#This Row],[Supporter_ID]],tb1_supporters[Supporter_ID ],tb1_supporters[Duplicate_Profile_Flag],"")</f>
        <v/>
      </c>
      <c r="S417" t="str">
        <f>_xlfn.XLOOKUP(Table8[[#This Row],[Supporter_ID]],tb1_supporters[Supporter_ID ],tb1_supporters[Preference_Compliance_Flag],"")</f>
        <v/>
      </c>
      <c r="T417" t="str">
        <f ca="1">IF(Table8[[#This Row],[Age]]="","Review - missing DOB",IF(Table8[[#This Row],[Age]]&gt;TODAY(),"Review - future DOB",IF(Table8[[#This Row],[Age]]=0,"Review -  potential entry error (age 0)","")))</f>
        <v/>
      </c>
      <c r="U417" t="str">
        <f>_xlfn.XLOOKUP(Table8[[#This Row],[Campaign_Code]],tb3_CampaignMaster[Campaign_Code],tb3_CampaignMaster[Campaign_Type],"")</f>
        <v>Regular Giving</v>
      </c>
      <c r="V417" t="str">
        <f>_xlfn.XLOOKUP(Table8[[#This Row],[Campaign_Code]],tb3_CampaignMaster[Campaign_Code],tb3_CampaignMaster[Target_Audience],"")</f>
        <v>One-time Donors</v>
      </c>
      <c r="W417" s="17">
        <f>_xlfn.XLOOKUP(Table8[[#This Row],[Campaign_Code]],tb3_CampaignMaster[Campaign_Code],tb3_CampaignMaster[Start_Date],"")</f>
        <v>45663</v>
      </c>
      <c r="X417" s="17">
        <f>_xlfn.XLOOKUP(Table8[[#This Row],[Campaign_Code]],tb3_CampaignMaster[Campaign_Code],tb3_CampaignMaster[End_Date],"")</f>
        <v>45747</v>
      </c>
      <c r="Y417">
        <f>_xlfn.XLOOKUP(Table8[[#This Row],[Campaign_Code]],tb3_CampaignMaster[Campaign_Code],tb3_CampaignMaster[Budget_GBP],"")</f>
        <v>10000</v>
      </c>
      <c r="Z417" t="str">
        <f>_xlfn.XLOOKUP(Table8[[#This Row],[Campaign_Code]],tb3_CampaignMaster[Campaign_Code],tb3_CampaignMaster[Primary_Channel],"")</f>
        <v>Telephone</v>
      </c>
      <c r="AA417" s="13">
        <f>IF(Table8[[#This Row],[Gift_Aid_Eligible]]="Yes",Table8[[#This Row],[Gift_Amount]]*1.25,Table8[[#This Row],[Gift_Amount]])</f>
        <v>178.21249999999998</v>
      </c>
      <c r="AB417" t="str">
        <f>IF(Table8[[#This Row],[Supporter_ID]]="","Review - missing supporter ID","")</f>
        <v/>
      </c>
      <c r="AC417" t="str">
        <f>IF(OR(Table8[[#This Row],[Response_Date]]&lt;Table8[[#This Row],[Start_Date]],Table8[[#This Row],[Response_Date]]&gt;Table8[[#This Row],[End_Date]]),"Review - response outside campaign dates","")</f>
        <v/>
      </c>
      <c r="AD417" t="str">
        <f>IF(Table8[[#This Row],[Campaign_Type]]="","Review - campaign code not found","")</f>
        <v/>
      </c>
    </row>
    <row r="418" spans="1:30" x14ac:dyDescent="0.25">
      <c r="A418" t="s">
        <v>4079</v>
      </c>
      <c r="B418" t="s">
        <v>3293</v>
      </c>
      <c r="C418" t="s">
        <v>3367</v>
      </c>
      <c r="D418" t="s">
        <v>3368</v>
      </c>
      <c r="E418" t="s">
        <v>4</v>
      </c>
      <c r="F418" s="17">
        <v>45771</v>
      </c>
      <c r="G418">
        <v>65.66</v>
      </c>
      <c r="H418" t="s">
        <v>37</v>
      </c>
      <c r="I418" t="s">
        <v>3385</v>
      </c>
      <c r="J418" t="str">
        <f>_xlfn.XLOOKUP(Table8[[#This Row],[Supporter_ID]],tb1_supporters[Supporter_ID ],tb1_supporters[Segment],"")</f>
        <v>Lapsed</v>
      </c>
      <c r="K418" t="str">
        <f>_xlfn.XLOOKUP(Table8[[#This Row],[Supporter_ID]],tb1_supporters[Supporter_ID ],tb1_supporters[Acquisition_Source],"")</f>
        <v>Event</v>
      </c>
      <c r="L418" t="str">
        <f>_xlfn.XLOOKUP(Table8[[#This Row],[Supporter_ID]],tb1_supporters[Supporter_ID ],tb1_supporters[County],"")</f>
        <v>Wiltshire</v>
      </c>
      <c r="M418" t="str">
        <f>_xlfn.XLOOKUP(Table8[[#This Row],[Supporter_ID]],tb1_supporters[Supporter_ID ],tb1_supporters[Gender],"")</f>
        <v>Female</v>
      </c>
      <c r="N418">
        <f ca="1">_xlfn.XLOOKUP(Table8[[#This Row],[Supporter_ID]],tb1_supporters[Supporter_ID ],tb1_supporters[Age],"")</f>
        <v>32</v>
      </c>
      <c r="O418" t="str">
        <f ca="1">_xlfn.XLOOKUP(Table8[[#This Row],[Supporter_ID]],tb1_supporters[Supporter_ID ],tb1_supporters[Age_Band],"")</f>
        <v>18-34</v>
      </c>
      <c r="P418" t="str">
        <f ca="1">IF(Table8[[#This Row],[Age_Band]]="","Unknown",Table8[[#This Row],[Age_Band]])</f>
        <v>18-34</v>
      </c>
      <c r="Q418" t="str">
        <f>_xlfn.XLOOKUP(Table8[[#This Row],[Supporter_ID]],tb1_supporters[Supporter_ID ],tb1_supporters[Communication_Preference],"")</f>
        <v>Post</v>
      </c>
      <c r="R418" t="str">
        <f>_xlfn.XLOOKUP(Table8[[#This Row],[Supporter_ID]],tb1_supporters[Supporter_ID ],tb1_supporters[Duplicate_Profile_Flag],"")</f>
        <v/>
      </c>
      <c r="S418" t="str">
        <f>_xlfn.XLOOKUP(Table8[[#This Row],[Supporter_ID]],tb1_supporters[Supporter_ID ],tb1_supporters[Preference_Compliance_Flag],"")</f>
        <v>Review - prefers post but not opted in</v>
      </c>
      <c r="T418" t="str">
        <f ca="1">IF(Table8[[#This Row],[Age]]="","Review - missing DOB",IF(Table8[[#This Row],[Age]]&gt;TODAY(),"Review - future DOB",IF(Table8[[#This Row],[Age]]=0,"Review -  potential entry error (age 0)","")))</f>
        <v/>
      </c>
      <c r="U418" t="str">
        <f>_xlfn.XLOOKUP(Table8[[#This Row],[Campaign_Code]],tb3_CampaignMaster[Campaign_Code],tb3_CampaignMaster[Campaign_Type],"")</f>
        <v>Raffle</v>
      </c>
      <c r="V418" t="str">
        <f>_xlfn.XLOOKUP(Table8[[#This Row],[Campaign_Code]],tb3_CampaignMaster[Campaign_Code],tb3_CampaignMaster[Target_Audience],"")</f>
        <v>Regular Givers</v>
      </c>
      <c r="W418" s="17">
        <f>_xlfn.XLOOKUP(Table8[[#This Row],[Campaign_Code]],tb3_CampaignMaster[Campaign_Code],tb3_CampaignMaster[Start_Date],"")</f>
        <v>45717</v>
      </c>
      <c r="X418" s="17">
        <f>_xlfn.XLOOKUP(Table8[[#This Row],[Campaign_Code]],tb3_CampaignMaster[Campaign_Code],tb3_CampaignMaster[End_Date],"")</f>
        <v>45777</v>
      </c>
      <c r="Y418">
        <f>_xlfn.XLOOKUP(Table8[[#This Row],[Campaign_Code]],tb3_CampaignMaster[Campaign_Code],tb3_CampaignMaster[Budget_GBP],"")</f>
        <v>8000</v>
      </c>
      <c r="Z418" t="str">
        <f>_xlfn.XLOOKUP(Table8[[#This Row],[Campaign_Code]],tb3_CampaignMaster[Campaign_Code],tb3_CampaignMaster[Primary_Channel],"")</f>
        <v>Direct Mail</v>
      </c>
      <c r="AA418" s="13">
        <f>IF(Table8[[#This Row],[Gift_Aid_Eligible]]="Yes",Table8[[#This Row],[Gift_Amount]]*1.25,Table8[[#This Row],[Gift_Amount]])</f>
        <v>65.66</v>
      </c>
      <c r="AB418" t="str">
        <f>IF(Table8[[#This Row],[Supporter_ID]]="","Review - missing supporter ID","")</f>
        <v/>
      </c>
      <c r="AC418" t="str">
        <f>IF(OR(Table8[[#This Row],[Response_Date]]&lt;Table8[[#This Row],[Start_Date]],Table8[[#This Row],[Response_Date]]&gt;Table8[[#This Row],[End_Date]]),"Review - response outside campaign dates","")</f>
        <v/>
      </c>
      <c r="AD418" t="str">
        <f>IF(Table8[[#This Row],[Campaign_Type]]="","Review - campaign code not found","")</f>
        <v/>
      </c>
    </row>
    <row r="419" spans="1:30" x14ac:dyDescent="0.25">
      <c r="A419" t="s">
        <v>4081</v>
      </c>
      <c r="B419" t="s">
        <v>3287</v>
      </c>
      <c r="C419" t="s">
        <v>3320</v>
      </c>
      <c r="D419" t="s">
        <v>3321</v>
      </c>
      <c r="E419" t="s">
        <v>65</v>
      </c>
      <c r="F419" s="17">
        <v>45459</v>
      </c>
      <c r="G419">
        <v>60.93</v>
      </c>
      <c r="H419" t="s">
        <v>36</v>
      </c>
      <c r="I419" t="s">
        <v>3323</v>
      </c>
      <c r="J419" t="str">
        <f>_xlfn.XLOOKUP(Table8[[#This Row],[Supporter_ID]],tb1_supporters[Supporter_ID ],tb1_supporters[Segment],"")</f>
        <v>One-Time Donor</v>
      </c>
      <c r="K419" t="str">
        <f>_xlfn.XLOOKUP(Table8[[#This Row],[Supporter_ID]],tb1_supporters[Supporter_ID ],tb1_supporters[Acquisition_Source],"")</f>
        <v>Website</v>
      </c>
      <c r="L419" t="str">
        <f>_xlfn.XLOOKUP(Table8[[#This Row],[Supporter_ID]],tb1_supporters[Supporter_ID ],tb1_supporters[County],"")</f>
        <v>North Yorkshire</v>
      </c>
      <c r="M419" t="str">
        <f>_xlfn.XLOOKUP(Table8[[#This Row],[Supporter_ID]],tb1_supporters[Supporter_ID ],tb1_supporters[Gender],"")</f>
        <v>Male</v>
      </c>
      <c r="N419">
        <f ca="1">_xlfn.XLOOKUP(Table8[[#This Row],[Supporter_ID]],tb1_supporters[Supporter_ID ],tb1_supporters[Age],"")</f>
        <v>65</v>
      </c>
      <c r="O419" t="str">
        <f ca="1">_xlfn.XLOOKUP(Table8[[#This Row],[Supporter_ID]],tb1_supporters[Supporter_ID ],tb1_supporters[Age_Band],"")</f>
        <v>65+</v>
      </c>
      <c r="P419" t="str">
        <f ca="1">IF(Table8[[#This Row],[Age_Band]]="","Unknown",Table8[[#This Row],[Age_Band]])</f>
        <v>65+</v>
      </c>
      <c r="Q419" t="str">
        <f>_xlfn.XLOOKUP(Table8[[#This Row],[Supporter_ID]],tb1_supporters[Supporter_ID ],tb1_supporters[Communication_Preference],"")</f>
        <v>Email</v>
      </c>
      <c r="R419" t="str">
        <f>_xlfn.XLOOKUP(Table8[[#This Row],[Supporter_ID]],tb1_supporters[Supporter_ID ],tb1_supporters[Duplicate_Profile_Flag],"")</f>
        <v/>
      </c>
      <c r="S419" t="str">
        <f>_xlfn.XLOOKUP(Table8[[#This Row],[Supporter_ID]],tb1_supporters[Supporter_ID ],tb1_supporters[Preference_Compliance_Flag],"")</f>
        <v/>
      </c>
      <c r="T419" t="str">
        <f ca="1">IF(Table8[[#This Row],[Age]]="","Review - missing DOB",IF(Table8[[#This Row],[Age]]&gt;TODAY(),"Review - future DOB",IF(Table8[[#This Row],[Age]]=0,"Review -  potential entry error (age 0)","")))</f>
        <v/>
      </c>
      <c r="U419" t="str">
        <f>_xlfn.XLOOKUP(Table8[[#This Row],[Campaign_Code]],tb3_CampaignMaster[Campaign_Code],tb3_CampaignMaster[Campaign_Type],"")</f>
        <v>Stewardship</v>
      </c>
      <c r="V419" t="str">
        <f>_xlfn.XLOOKUP(Table8[[#This Row],[Campaign_Code]],tb3_CampaignMaster[Campaign_Code],tb3_CampaignMaster[Target_Audience],"")</f>
        <v>Major Donors</v>
      </c>
      <c r="W419" s="17">
        <f>_xlfn.XLOOKUP(Table8[[#This Row],[Campaign_Code]],tb3_CampaignMaster[Campaign_Code],tb3_CampaignMaster[Start_Date],"")</f>
        <v>45444</v>
      </c>
      <c r="X419" s="17">
        <f>_xlfn.XLOOKUP(Table8[[#This Row],[Campaign_Code]],tb3_CampaignMaster[Campaign_Code],tb3_CampaignMaster[End_Date],"")</f>
        <v>45473</v>
      </c>
      <c r="Y419">
        <f>_xlfn.XLOOKUP(Table8[[#This Row],[Campaign_Code]],tb3_CampaignMaster[Campaign_Code],tb3_CampaignMaster[Budget_GBP],"")</f>
        <v>7000</v>
      </c>
      <c r="Z419" t="str">
        <f>_xlfn.XLOOKUP(Table8[[#This Row],[Campaign_Code]],tb3_CampaignMaster[Campaign_Code],tb3_CampaignMaster[Primary_Channel],"")</f>
        <v>Direct Mail</v>
      </c>
      <c r="AA419" s="13">
        <f>IF(Table8[[#This Row],[Gift_Aid_Eligible]]="Yes",Table8[[#This Row],[Gift_Amount]]*1.25,Table8[[#This Row],[Gift_Amount]])</f>
        <v>76.162499999999994</v>
      </c>
      <c r="AB419" t="str">
        <f>IF(Table8[[#This Row],[Supporter_ID]]="","Review - missing supporter ID","")</f>
        <v/>
      </c>
      <c r="AC419" t="str">
        <f>IF(OR(Table8[[#This Row],[Response_Date]]&lt;Table8[[#This Row],[Start_Date]],Table8[[#This Row],[Response_Date]]&gt;Table8[[#This Row],[End_Date]]),"Review - response outside campaign dates","")</f>
        <v/>
      </c>
      <c r="AD419" t="str">
        <f>IF(Table8[[#This Row],[Campaign_Type]]="","Review - campaign code not found","")</f>
        <v/>
      </c>
    </row>
    <row r="420" spans="1:30" x14ac:dyDescent="0.25">
      <c r="A420" t="s">
        <v>4083</v>
      </c>
      <c r="B420" t="s">
        <v>604</v>
      </c>
      <c r="C420" t="s">
        <v>3320</v>
      </c>
      <c r="D420" t="s">
        <v>3321</v>
      </c>
      <c r="E420" t="s">
        <v>4</v>
      </c>
      <c r="F420" s="17">
        <v>45458</v>
      </c>
      <c r="G420">
        <v>39.909999999999997</v>
      </c>
      <c r="H420" t="s">
        <v>36</v>
      </c>
      <c r="I420" t="s">
        <v>3328</v>
      </c>
      <c r="J420" t="str">
        <f>_xlfn.XLOOKUP(Table8[[#This Row],[Supporter_ID]],tb1_supporters[Supporter_ID ],tb1_supporters[Segment],"")</f>
        <v>Regular Giver</v>
      </c>
      <c r="K420" t="str">
        <f>_xlfn.XLOOKUP(Table8[[#This Row],[Supporter_ID]],tb1_supporters[Supporter_ID ],tb1_supporters[Acquisition_Source],"")</f>
        <v>Direct Mail</v>
      </c>
      <c r="L420" t="str">
        <f>_xlfn.XLOOKUP(Table8[[#This Row],[Supporter_ID]],tb1_supporters[Supporter_ID ],tb1_supporters[County],"")</f>
        <v>East Sussex</v>
      </c>
      <c r="M420" t="str">
        <f>_xlfn.XLOOKUP(Table8[[#This Row],[Supporter_ID]],tb1_supporters[Supporter_ID ],tb1_supporters[Gender],"")</f>
        <v>Female</v>
      </c>
      <c r="N420">
        <f ca="1">_xlfn.XLOOKUP(Table8[[#This Row],[Supporter_ID]],tb1_supporters[Supporter_ID ],tb1_supporters[Age],"")</f>
        <v>69</v>
      </c>
      <c r="O420" t="str">
        <f ca="1">_xlfn.XLOOKUP(Table8[[#This Row],[Supporter_ID]],tb1_supporters[Supporter_ID ],tb1_supporters[Age_Band],"")</f>
        <v>65+</v>
      </c>
      <c r="P420" t="str">
        <f ca="1">IF(Table8[[#This Row],[Age_Band]]="","Unknown",Table8[[#This Row],[Age_Band]])</f>
        <v>65+</v>
      </c>
      <c r="Q420" t="str">
        <f>_xlfn.XLOOKUP(Table8[[#This Row],[Supporter_ID]],tb1_supporters[Supporter_ID ],tb1_supporters[Communication_Preference],"")</f>
        <v>No Preference</v>
      </c>
      <c r="R420" t="str">
        <f>_xlfn.XLOOKUP(Table8[[#This Row],[Supporter_ID]],tb1_supporters[Supporter_ID ],tb1_supporters[Duplicate_Profile_Flag],"")</f>
        <v/>
      </c>
      <c r="S420" t="str">
        <f>_xlfn.XLOOKUP(Table8[[#This Row],[Supporter_ID]],tb1_supporters[Supporter_ID ],tb1_supporters[Preference_Compliance_Flag],"")</f>
        <v/>
      </c>
      <c r="T420" t="str">
        <f ca="1">IF(Table8[[#This Row],[Age]]="","Review - missing DOB",IF(Table8[[#This Row],[Age]]&gt;TODAY(),"Review - future DOB",IF(Table8[[#This Row],[Age]]=0,"Review -  potential entry error (age 0)","")))</f>
        <v/>
      </c>
      <c r="U420" t="str">
        <f>_xlfn.XLOOKUP(Table8[[#This Row],[Campaign_Code]],tb3_CampaignMaster[Campaign_Code],tb3_CampaignMaster[Campaign_Type],"")</f>
        <v>Stewardship</v>
      </c>
      <c r="V420" t="str">
        <f>_xlfn.XLOOKUP(Table8[[#This Row],[Campaign_Code]],tb3_CampaignMaster[Campaign_Code],tb3_CampaignMaster[Target_Audience],"")</f>
        <v>Major Donors</v>
      </c>
      <c r="W420" s="17">
        <f>_xlfn.XLOOKUP(Table8[[#This Row],[Campaign_Code]],tb3_CampaignMaster[Campaign_Code],tb3_CampaignMaster[Start_Date],"")</f>
        <v>45444</v>
      </c>
      <c r="X420" s="17">
        <f>_xlfn.XLOOKUP(Table8[[#This Row],[Campaign_Code]],tb3_CampaignMaster[Campaign_Code],tb3_CampaignMaster[End_Date],"")</f>
        <v>45473</v>
      </c>
      <c r="Y420">
        <f>_xlfn.XLOOKUP(Table8[[#This Row],[Campaign_Code]],tb3_CampaignMaster[Campaign_Code],tb3_CampaignMaster[Budget_GBP],"")</f>
        <v>7000</v>
      </c>
      <c r="Z420" t="str">
        <f>_xlfn.XLOOKUP(Table8[[#This Row],[Campaign_Code]],tb3_CampaignMaster[Campaign_Code],tb3_CampaignMaster[Primary_Channel],"")</f>
        <v>Direct Mail</v>
      </c>
      <c r="AA420" s="13">
        <f>IF(Table8[[#This Row],[Gift_Aid_Eligible]]="Yes",Table8[[#This Row],[Gift_Amount]]*1.25,Table8[[#This Row],[Gift_Amount]])</f>
        <v>49.887499999999996</v>
      </c>
      <c r="AB420" t="str">
        <f>IF(Table8[[#This Row],[Supporter_ID]]="","Review - missing supporter ID","")</f>
        <v/>
      </c>
      <c r="AC420" t="str">
        <f>IF(OR(Table8[[#This Row],[Response_Date]]&lt;Table8[[#This Row],[Start_Date]],Table8[[#This Row],[Response_Date]]&gt;Table8[[#This Row],[End_Date]]),"Review - response outside campaign dates","")</f>
        <v/>
      </c>
      <c r="AD420" t="str">
        <f>IF(Table8[[#This Row],[Campaign_Type]]="","Review - campaign code not found","")</f>
        <v/>
      </c>
    </row>
    <row r="421" spans="1:30" x14ac:dyDescent="0.25">
      <c r="A421" t="s">
        <v>4084</v>
      </c>
      <c r="B421" t="s">
        <v>3123</v>
      </c>
      <c r="C421" t="s">
        <v>3427</v>
      </c>
      <c r="D421" t="s">
        <v>3428</v>
      </c>
      <c r="E421" t="s">
        <v>4</v>
      </c>
      <c r="F421" s="17">
        <v>45488</v>
      </c>
      <c r="G421">
        <v>135.63</v>
      </c>
      <c r="H421" t="s">
        <v>36</v>
      </c>
      <c r="I421" t="s">
        <v>3318</v>
      </c>
      <c r="J421" t="str">
        <f>_xlfn.XLOOKUP(Table8[[#This Row],[Supporter_ID]],tb1_supporters[Supporter_ID ],tb1_supporters[Segment],"")</f>
        <v>One-Time Donor</v>
      </c>
      <c r="K421" t="str">
        <f>_xlfn.XLOOKUP(Table8[[#This Row],[Supporter_ID]],tb1_supporters[Supporter_ID ],tb1_supporters[Acquisition_Source],"")</f>
        <v>Referral</v>
      </c>
      <c r="L421" t="str">
        <f>_xlfn.XLOOKUP(Table8[[#This Row],[Supporter_ID]],tb1_supporters[Supporter_ID ],tb1_supporters[County],"")</f>
        <v>Strathclyde</v>
      </c>
      <c r="M421" t="str">
        <f>_xlfn.XLOOKUP(Table8[[#This Row],[Supporter_ID]],tb1_supporters[Supporter_ID ],tb1_supporters[Gender],"")</f>
        <v>Female</v>
      </c>
      <c r="N421">
        <f ca="1">_xlfn.XLOOKUP(Table8[[#This Row],[Supporter_ID]],tb1_supporters[Supporter_ID ],tb1_supporters[Age],"")</f>
        <v>44</v>
      </c>
      <c r="O421" t="str">
        <f ca="1">_xlfn.XLOOKUP(Table8[[#This Row],[Supporter_ID]],tb1_supporters[Supporter_ID ],tb1_supporters[Age_Band],"")</f>
        <v>35-49</v>
      </c>
      <c r="P421" t="str">
        <f ca="1">IF(Table8[[#This Row],[Age_Band]]="","Unknown",Table8[[#This Row],[Age_Band]])</f>
        <v>35-49</v>
      </c>
      <c r="Q421" t="str">
        <f>_xlfn.XLOOKUP(Table8[[#This Row],[Supporter_ID]],tb1_supporters[Supporter_ID ],tb1_supporters[Communication_Preference],"")</f>
        <v>No Preference</v>
      </c>
      <c r="R421" t="str">
        <f>_xlfn.XLOOKUP(Table8[[#This Row],[Supporter_ID]],tb1_supporters[Supporter_ID ],tb1_supporters[Duplicate_Profile_Flag],"")</f>
        <v/>
      </c>
      <c r="S421" t="str">
        <f>_xlfn.XLOOKUP(Table8[[#This Row],[Supporter_ID]],tb1_supporters[Supporter_ID ],tb1_supporters[Preference_Compliance_Flag],"")</f>
        <v/>
      </c>
      <c r="T421" t="str">
        <f ca="1">IF(Table8[[#This Row],[Age]]="","Review - missing DOB",IF(Table8[[#This Row],[Age]]&gt;TODAY(),"Review - future DOB",IF(Table8[[#This Row],[Age]]=0,"Review -  potential entry error (age 0)","")))</f>
        <v/>
      </c>
      <c r="U421" t="str">
        <f>_xlfn.XLOOKUP(Table8[[#This Row],[Campaign_Code]],tb3_CampaignMaster[Campaign_Code],tb3_CampaignMaster[Campaign_Type],"")</f>
        <v>Event</v>
      </c>
      <c r="V421" t="str">
        <f>_xlfn.XLOOKUP(Table8[[#This Row],[Campaign_Code]],tb3_CampaignMaster[Campaign_Code],tb3_CampaignMaster[Target_Audience],"")</f>
        <v>Major Donors</v>
      </c>
      <c r="W421" s="17">
        <f>_xlfn.XLOOKUP(Table8[[#This Row],[Campaign_Code]],tb3_CampaignMaster[Campaign_Code],tb3_CampaignMaster[Start_Date],"")</f>
        <v>45488</v>
      </c>
      <c r="X421" s="17">
        <f>_xlfn.XLOOKUP(Table8[[#This Row],[Campaign_Code]],tb3_CampaignMaster[Campaign_Code],tb3_CampaignMaster[End_Date],"")</f>
        <v>45488</v>
      </c>
      <c r="Y421">
        <f>_xlfn.XLOOKUP(Table8[[#This Row],[Campaign_Code]],tb3_CampaignMaster[Campaign_Code],tb3_CampaignMaster[Budget_GBP],"")</f>
        <v>45000</v>
      </c>
      <c r="Z421" t="str">
        <f>_xlfn.XLOOKUP(Table8[[#This Row],[Campaign_Code]],tb3_CampaignMaster[Campaign_Code],tb3_CampaignMaster[Primary_Channel],"")</f>
        <v>Direct Mail</v>
      </c>
      <c r="AA421" s="13">
        <f>IF(Table8[[#This Row],[Gift_Aid_Eligible]]="Yes",Table8[[#This Row],[Gift_Amount]]*1.25,Table8[[#This Row],[Gift_Amount]])</f>
        <v>169.53749999999999</v>
      </c>
      <c r="AB421" t="str">
        <f>IF(Table8[[#This Row],[Supporter_ID]]="","Review - missing supporter ID","")</f>
        <v/>
      </c>
      <c r="AC421" t="str">
        <f>IF(OR(Table8[[#This Row],[Response_Date]]&lt;Table8[[#This Row],[Start_Date]],Table8[[#This Row],[Response_Date]]&gt;Table8[[#This Row],[End_Date]]),"Review - response outside campaign dates","")</f>
        <v/>
      </c>
      <c r="AD421" t="str">
        <f>IF(Table8[[#This Row],[Campaign_Type]]="","Review - campaign code not found","")</f>
        <v/>
      </c>
    </row>
    <row r="422" spans="1:30" x14ac:dyDescent="0.25">
      <c r="A422" t="s">
        <v>4085</v>
      </c>
      <c r="B422" t="s">
        <v>2053</v>
      </c>
      <c r="C422" t="s">
        <v>3320</v>
      </c>
      <c r="D422" t="s">
        <v>3321</v>
      </c>
      <c r="E422" t="s">
        <v>4</v>
      </c>
      <c r="F422" s="17">
        <v>45461</v>
      </c>
      <c r="G422">
        <v>75.87</v>
      </c>
      <c r="H422" t="s">
        <v>36</v>
      </c>
      <c r="I422" t="s">
        <v>3328</v>
      </c>
      <c r="J422" t="str">
        <f>_xlfn.XLOOKUP(Table8[[#This Row],[Supporter_ID]],tb1_supporters[Supporter_ID ],tb1_supporters[Segment],"")</f>
        <v>Lapsed</v>
      </c>
      <c r="K422" t="str">
        <f>_xlfn.XLOOKUP(Table8[[#This Row],[Supporter_ID]],tb1_supporters[Supporter_ID ],tb1_supporters[Acquisition_Source],"")</f>
        <v>Corporate Partner</v>
      </c>
      <c r="L422" t="str">
        <f>_xlfn.XLOOKUP(Table8[[#This Row],[Supporter_ID]],tb1_supporters[Supporter_ID ],tb1_supporters[County],"")</f>
        <v>Lothian</v>
      </c>
      <c r="M422" t="str">
        <f>_xlfn.XLOOKUP(Table8[[#This Row],[Supporter_ID]],tb1_supporters[Supporter_ID ],tb1_supporters[Gender],"")</f>
        <v>Male</v>
      </c>
      <c r="N422">
        <f ca="1">_xlfn.XLOOKUP(Table8[[#This Row],[Supporter_ID]],tb1_supporters[Supporter_ID ],tb1_supporters[Age],"")</f>
        <v>77</v>
      </c>
      <c r="O422" t="str">
        <f ca="1">_xlfn.XLOOKUP(Table8[[#This Row],[Supporter_ID]],tb1_supporters[Supporter_ID ],tb1_supporters[Age_Band],"")</f>
        <v>65+</v>
      </c>
      <c r="P422" t="str">
        <f ca="1">IF(Table8[[#This Row],[Age_Band]]="","Unknown",Table8[[#This Row],[Age_Band]])</f>
        <v>65+</v>
      </c>
      <c r="Q422" t="str">
        <f>_xlfn.XLOOKUP(Table8[[#This Row],[Supporter_ID]],tb1_supporters[Supporter_ID ],tb1_supporters[Communication_Preference],"")</f>
        <v>Email</v>
      </c>
      <c r="R422" t="str">
        <f>_xlfn.XLOOKUP(Table8[[#This Row],[Supporter_ID]],tb1_supporters[Supporter_ID ],tb1_supporters[Duplicate_Profile_Flag],"")</f>
        <v/>
      </c>
      <c r="S422" t="str">
        <f>_xlfn.XLOOKUP(Table8[[#This Row],[Supporter_ID]],tb1_supporters[Supporter_ID ],tb1_supporters[Preference_Compliance_Flag],"")</f>
        <v/>
      </c>
      <c r="T422" t="str">
        <f ca="1">IF(Table8[[#This Row],[Age]]="","Review - missing DOB",IF(Table8[[#This Row],[Age]]&gt;TODAY(),"Review - future DOB",IF(Table8[[#This Row],[Age]]=0,"Review -  potential entry error (age 0)","")))</f>
        <v/>
      </c>
      <c r="U422" t="str">
        <f>_xlfn.XLOOKUP(Table8[[#This Row],[Campaign_Code]],tb3_CampaignMaster[Campaign_Code],tb3_CampaignMaster[Campaign_Type],"")</f>
        <v>Stewardship</v>
      </c>
      <c r="V422" t="str">
        <f>_xlfn.XLOOKUP(Table8[[#This Row],[Campaign_Code]],tb3_CampaignMaster[Campaign_Code],tb3_CampaignMaster[Target_Audience],"")</f>
        <v>Major Donors</v>
      </c>
      <c r="W422" s="17">
        <f>_xlfn.XLOOKUP(Table8[[#This Row],[Campaign_Code]],tb3_CampaignMaster[Campaign_Code],tb3_CampaignMaster[Start_Date],"")</f>
        <v>45444</v>
      </c>
      <c r="X422" s="17">
        <f>_xlfn.XLOOKUP(Table8[[#This Row],[Campaign_Code]],tb3_CampaignMaster[Campaign_Code],tb3_CampaignMaster[End_Date],"")</f>
        <v>45473</v>
      </c>
      <c r="Y422">
        <f>_xlfn.XLOOKUP(Table8[[#This Row],[Campaign_Code]],tb3_CampaignMaster[Campaign_Code],tb3_CampaignMaster[Budget_GBP],"")</f>
        <v>7000</v>
      </c>
      <c r="Z422" t="str">
        <f>_xlfn.XLOOKUP(Table8[[#This Row],[Campaign_Code]],tb3_CampaignMaster[Campaign_Code],tb3_CampaignMaster[Primary_Channel],"")</f>
        <v>Direct Mail</v>
      </c>
      <c r="AA422" s="13">
        <f>IF(Table8[[#This Row],[Gift_Aid_Eligible]]="Yes",Table8[[#This Row],[Gift_Amount]]*1.25,Table8[[#This Row],[Gift_Amount]])</f>
        <v>94.837500000000006</v>
      </c>
      <c r="AB422" t="str">
        <f>IF(Table8[[#This Row],[Supporter_ID]]="","Review - missing supporter ID","")</f>
        <v/>
      </c>
      <c r="AC422" t="str">
        <f>IF(OR(Table8[[#This Row],[Response_Date]]&lt;Table8[[#This Row],[Start_Date]],Table8[[#This Row],[Response_Date]]&gt;Table8[[#This Row],[End_Date]]),"Review - response outside campaign dates","")</f>
        <v/>
      </c>
      <c r="AD422" t="str">
        <f>IF(Table8[[#This Row],[Campaign_Type]]="","Review - campaign code not found","")</f>
        <v/>
      </c>
    </row>
    <row r="423" spans="1:30" x14ac:dyDescent="0.25">
      <c r="A423" t="s">
        <v>4087</v>
      </c>
      <c r="B423" t="s">
        <v>2770</v>
      </c>
      <c r="C423" t="s">
        <v>3427</v>
      </c>
      <c r="D423" t="s">
        <v>3428</v>
      </c>
      <c r="E423" t="s">
        <v>65</v>
      </c>
      <c r="F423" s="17">
        <v>45488</v>
      </c>
      <c r="G423">
        <v>11.98</v>
      </c>
      <c r="H423" t="s">
        <v>37</v>
      </c>
      <c r="I423" t="s">
        <v>3328</v>
      </c>
      <c r="J423" t="str">
        <f>_xlfn.XLOOKUP(Table8[[#This Row],[Supporter_ID]],tb1_supporters[Supporter_ID ],tb1_supporters[Segment],"")</f>
        <v>Prospect</v>
      </c>
      <c r="K423" t="str">
        <f>_xlfn.XLOOKUP(Table8[[#This Row],[Supporter_ID]],tb1_supporters[Supporter_ID ],tb1_supporters[Acquisition_Source],"")</f>
        <v>Website</v>
      </c>
      <c r="L423" t="str">
        <f>_xlfn.XLOOKUP(Table8[[#This Row],[Supporter_ID]],tb1_supporters[Supporter_ID ],tb1_supporters[County],"")</f>
        <v>Surrey</v>
      </c>
      <c r="M423" t="str">
        <f>_xlfn.XLOOKUP(Table8[[#This Row],[Supporter_ID]],tb1_supporters[Supporter_ID ],tb1_supporters[Gender],"")</f>
        <v>Female</v>
      </c>
      <c r="N423">
        <f ca="1">_xlfn.XLOOKUP(Table8[[#This Row],[Supporter_ID]],tb1_supporters[Supporter_ID ],tb1_supporters[Age],"")</f>
        <v>54</v>
      </c>
      <c r="O423" t="str">
        <f ca="1">_xlfn.XLOOKUP(Table8[[#This Row],[Supporter_ID]],tb1_supporters[Supporter_ID ],tb1_supporters[Age_Band],"")</f>
        <v>50-64</v>
      </c>
      <c r="P423" t="str">
        <f ca="1">IF(Table8[[#This Row],[Age_Band]]="","Unknown",Table8[[#This Row],[Age_Band]])</f>
        <v>50-64</v>
      </c>
      <c r="Q423" t="str">
        <f>_xlfn.XLOOKUP(Table8[[#This Row],[Supporter_ID]],tb1_supporters[Supporter_ID ],tb1_supporters[Communication_Preference],"")</f>
        <v>Email</v>
      </c>
      <c r="R423" t="str">
        <f>_xlfn.XLOOKUP(Table8[[#This Row],[Supporter_ID]],tb1_supporters[Supporter_ID ],tb1_supporters[Duplicate_Profile_Flag],"")</f>
        <v/>
      </c>
      <c r="S423" t="str">
        <f>_xlfn.XLOOKUP(Table8[[#This Row],[Supporter_ID]],tb1_supporters[Supporter_ID ],tb1_supporters[Preference_Compliance_Flag],"")</f>
        <v>Review - prefers email but not opted in</v>
      </c>
      <c r="T423" t="str">
        <f ca="1">IF(Table8[[#This Row],[Age]]="","Review - missing DOB",IF(Table8[[#This Row],[Age]]&gt;TODAY(),"Review - future DOB",IF(Table8[[#This Row],[Age]]=0,"Review -  potential entry error (age 0)","")))</f>
        <v/>
      </c>
      <c r="U423" t="str">
        <f>_xlfn.XLOOKUP(Table8[[#This Row],[Campaign_Code]],tb3_CampaignMaster[Campaign_Code],tb3_CampaignMaster[Campaign_Type],"")</f>
        <v>Event</v>
      </c>
      <c r="V423" t="str">
        <f>_xlfn.XLOOKUP(Table8[[#This Row],[Campaign_Code]],tb3_CampaignMaster[Campaign_Code],tb3_CampaignMaster[Target_Audience],"")</f>
        <v>Major Donors</v>
      </c>
      <c r="W423" s="17">
        <f>_xlfn.XLOOKUP(Table8[[#This Row],[Campaign_Code]],tb3_CampaignMaster[Campaign_Code],tb3_CampaignMaster[Start_Date],"")</f>
        <v>45488</v>
      </c>
      <c r="X423" s="17">
        <f>_xlfn.XLOOKUP(Table8[[#This Row],[Campaign_Code]],tb3_CampaignMaster[Campaign_Code],tb3_CampaignMaster[End_Date],"")</f>
        <v>45488</v>
      </c>
      <c r="Y423">
        <f>_xlfn.XLOOKUP(Table8[[#This Row],[Campaign_Code]],tb3_CampaignMaster[Campaign_Code],tb3_CampaignMaster[Budget_GBP],"")</f>
        <v>45000</v>
      </c>
      <c r="Z423" t="str">
        <f>_xlfn.XLOOKUP(Table8[[#This Row],[Campaign_Code]],tb3_CampaignMaster[Campaign_Code],tb3_CampaignMaster[Primary_Channel],"")</f>
        <v>Direct Mail</v>
      </c>
      <c r="AA423" s="13">
        <f>IF(Table8[[#This Row],[Gift_Aid_Eligible]]="Yes",Table8[[#This Row],[Gift_Amount]]*1.25,Table8[[#This Row],[Gift_Amount]])</f>
        <v>11.98</v>
      </c>
      <c r="AB423" t="str">
        <f>IF(Table8[[#This Row],[Supporter_ID]]="","Review - missing supporter ID","")</f>
        <v/>
      </c>
      <c r="AC423" t="str">
        <f>IF(OR(Table8[[#This Row],[Response_Date]]&lt;Table8[[#This Row],[Start_Date]],Table8[[#This Row],[Response_Date]]&gt;Table8[[#This Row],[End_Date]]),"Review - response outside campaign dates","")</f>
        <v/>
      </c>
      <c r="AD423" t="str">
        <f>IF(Table8[[#This Row],[Campaign_Type]]="","Review - campaign code not found","")</f>
        <v/>
      </c>
    </row>
    <row r="424" spans="1:30" x14ac:dyDescent="0.25">
      <c r="A424" t="s">
        <v>4088</v>
      </c>
      <c r="B424" t="s">
        <v>1850</v>
      </c>
      <c r="C424" t="s">
        <v>3403</v>
      </c>
      <c r="D424" t="s">
        <v>3404</v>
      </c>
      <c r="E424" t="s">
        <v>65</v>
      </c>
      <c r="F424" s="17">
        <v>45608</v>
      </c>
      <c r="G424">
        <v>60.85</v>
      </c>
      <c r="H424" t="s">
        <v>37</v>
      </c>
      <c r="I424" t="s">
        <v>3323</v>
      </c>
      <c r="J424" t="str">
        <f>_xlfn.XLOOKUP(Table8[[#This Row],[Supporter_ID]],tb1_supporters[Supporter_ID ],tb1_supporters[Segment],"")</f>
        <v>Lapsed</v>
      </c>
      <c r="K424" t="str">
        <f>_xlfn.XLOOKUP(Table8[[#This Row],[Supporter_ID]],tb1_supporters[Supporter_ID ],tb1_supporters[Acquisition_Source],"")</f>
        <v>Corporate Partner</v>
      </c>
      <c r="L424" t="str">
        <f>_xlfn.XLOOKUP(Table8[[#This Row],[Supporter_ID]],tb1_supporters[Supporter_ID ],tb1_supporters[County],"")</f>
        <v>Grampian</v>
      </c>
      <c r="M424" t="str">
        <f>_xlfn.XLOOKUP(Table8[[#This Row],[Supporter_ID]],tb1_supporters[Supporter_ID ],tb1_supporters[Gender],"")</f>
        <v>Female</v>
      </c>
      <c r="N424">
        <f ca="1">_xlfn.XLOOKUP(Table8[[#This Row],[Supporter_ID]],tb1_supporters[Supporter_ID ],tb1_supporters[Age],"")</f>
        <v>77</v>
      </c>
      <c r="O424" t="str">
        <f ca="1">_xlfn.XLOOKUP(Table8[[#This Row],[Supporter_ID]],tb1_supporters[Supporter_ID ],tb1_supporters[Age_Band],"")</f>
        <v>65+</v>
      </c>
      <c r="P424" t="str">
        <f ca="1">IF(Table8[[#This Row],[Age_Band]]="","Unknown",Table8[[#This Row],[Age_Band]])</f>
        <v>65+</v>
      </c>
      <c r="Q424" t="str">
        <f>_xlfn.XLOOKUP(Table8[[#This Row],[Supporter_ID]],tb1_supporters[Supporter_ID ],tb1_supporters[Communication_Preference],"")</f>
        <v>Email</v>
      </c>
      <c r="R424" t="str">
        <f>_xlfn.XLOOKUP(Table8[[#This Row],[Supporter_ID]],tb1_supporters[Supporter_ID ],tb1_supporters[Duplicate_Profile_Flag],"")</f>
        <v/>
      </c>
      <c r="S424" t="str">
        <f>_xlfn.XLOOKUP(Table8[[#This Row],[Supporter_ID]],tb1_supporters[Supporter_ID ],tb1_supporters[Preference_Compliance_Flag],"")</f>
        <v/>
      </c>
      <c r="T424" t="str">
        <f ca="1">IF(Table8[[#This Row],[Age]]="","Review - missing DOB",IF(Table8[[#This Row],[Age]]&gt;TODAY(),"Review - future DOB",IF(Table8[[#This Row],[Age]]=0,"Review -  potential entry error (age 0)","")))</f>
        <v/>
      </c>
      <c r="U424" t="str">
        <f>_xlfn.XLOOKUP(Table8[[#This Row],[Campaign_Code]],tb3_CampaignMaster[Campaign_Code],tb3_CampaignMaster[Campaign_Type],"")</f>
        <v>Trading</v>
      </c>
      <c r="V424" t="str">
        <f>_xlfn.XLOOKUP(Table8[[#This Row],[Campaign_Code]],tb3_CampaignMaster[Campaign_Code],tb3_CampaignMaster[Target_Audience],"")</f>
        <v>All Active</v>
      </c>
      <c r="W424" s="17">
        <f>_xlfn.XLOOKUP(Table8[[#This Row],[Campaign_Code]],tb3_CampaignMaster[Campaign_Code],tb3_CampaignMaster[Start_Date],"")</f>
        <v>45580</v>
      </c>
      <c r="X424" s="17">
        <f>_xlfn.XLOOKUP(Table8[[#This Row],[Campaign_Code]],tb3_CampaignMaster[Campaign_Code],tb3_CampaignMaster[End_Date],"")</f>
        <v>45646</v>
      </c>
      <c r="Y424">
        <f>_xlfn.XLOOKUP(Table8[[#This Row],[Campaign_Code]],tb3_CampaignMaster[Campaign_Code],tb3_CampaignMaster[Budget_GBP],"")</f>
        <v>12000</v>
      </c>
      <c r="Z424" t="str">
        <f>_xlfn.XLOOKUP(Table8[[#This Row],[Campaign_Code]],tb3_CampaignMaster[Campaign_Code],tb3_CampaignMaster[Primary_Channel],"")</f>
        <v>Multi-channel</v>
      </c>
      <c r="AA424" s="13">
        <f>IF(Table8[[#This Row],[Gift_Aid_Eligible]]="Yes",Table8[[#This Row],[Gift_Amount]]*1.25,Table8[[#This Row],[Gift_Amount]])</f>
        <v>60.85</v>
      </c>
      <c r="AB424" t="str">
        <f>IF(Table8[[#This Row],[Supporter_ID]]="","Review - missing supporter ID","")</f>
        <v/>
      </c>
      <c r="AC424" t="str">
        <f>IF(OR(Table8[[#This Row],[Response_Date]]&lt;Table8[[#This Row],[Start_Date]],Table8[[#This Row],[Response_Date]]&gt;Table8[[#This Row],[End_Date]]),"Review - response outside campaign dates","")</f>
        <v/>
      </c>
      <c r="AD424" t="str">
        <f>IF(Table8[[#This Row],[Campaign_Type]]="","Review - campaign code not found","")</f>
        <v/>
      </c>
    </row>
    <row r="425" spans="1:30" x14ac:dyDescent="0.25">
      <c r="A425" t="s">
        <v>4090</v>
      </c>
      <c r="C425" t="s">
        <v>3354</v>
      </c>
      <c r="D425" t="s">
        <v>3355</v>
      </c>
      <c r="E425" t="s">
        <v>65</v>
      </c>
      <c r="F425" s="17">
        <v>45618</v>
      </c>
      <c r="G425">
        <v>1077.1099999999999</v>
      </c>
      <c r="H425" t="s">
        <v>36</v>
      </c>
      <c r="I425" t="s">
        <v>3385</v>
      </c>
      <c r="J425" t="str">
        <f>_xlfn.XLOOKUP(Table8[[#This Row],[Supporter_ID]],tb1_supporters[Supporter_ID ],tb1_supporters[Segment],"")</f>
        <v/>
      </c>
      <c r="K425" t="str">
        <f>_xlfn.XLOOKUP(Table8[[#This Row],[Supporter_ID]],tb1_supporters[Supporter_ID ],tb1_supporters[Acquisition_Source],"")</f>
        <v/>
      </c>
      <c r="L425" t="str">
        <f>_xlfn.XLOOKUP(Table8[[#This Row],[Supporter_ID]],tb1_supporters[Supporter_ID ],tb1_supporters[County],"")</f>
        <v/>
      </c>
      <c r="M425" t="str">
        <f>_xlfn.XLOOKUP(Table8[[#This Row],[Supporter_ID]],tb1_supporters[Supporter_ID ],tb1_supporters[Gender],"")</f>
        <v/>
      </c>
      <c r="N425" t="str">
        <f>_xlfn.XLOOKUP(Table8[[#This Row],[Supporter_ID]],tb1_supporters[Supporter_ID ],tb1_supporters[Age],"")</f>
        <v/>
      </c>
      <c r="O425" t="str">
        <f>_xlfn.XLOOKUP(Table8[[#This Row],[Supporter_ID]],tb1_supporters[Supporter_ID ],tb1_supporters[Age_Band],"")</f>
        <v/>
      </c>
      <c r="P425" t="str">
        <f>IF(Table8[[#This Row],[Age_Band]]="","Unknown",Table8[[#This Row],[Age_Band]])</f>
        <v>Unknown</v>
      </c>
      <c r="Q425" t="str">
        <f>_xlfn.XLOOKUP(Table8[[#This Row],[Supporter_ID]],tb1_supporters[Supporter_ID ],tb1_supporters[Communication_Preference],"")</f>
        <v/>
      </c>
      <c r="R425" t="str">
        <f>_xlfn.XLOOKUP(Table8[[#This Row],[Supporter_ID]],tb1_supporters[Supporter_ID ],tb1_supporters[Duplicate_Profile_Flag],"")</f>
        <v/>
      </c>
      <c r="S425" t="str">
        <f>_xlfn.XLOOKUP(Table8[[#This Row],[Supporter_ID]],tb1_supporters[Supporter_ID ],tb1_supporters[Preference_Compliance_Flag],"")</f>
        <v/>
      </c>
      <c r="T425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425" t="str">
        <f>_xlfn.XLOOKUP(Table8[[#This Row],[Campaign_Code]],tb3_CampaignMaster[Campaign_Code],tb3_CampaignMaster[Campaign_Type],"")</f>
        <v>Event</v>
      </c>
      <c r="V425" t="str">
        <f>_xlfn.XLOOKUP(Table8[[#This Row],[Campaign_Code]],tb3_CampaignMaster[Campaign_Code],tb3_CampaignMaster[Target_Audience],"")</f>
        <v>Volunteers</v>
      </c>
      <c r="W425" s="17">
        <f>_xlfn.XLOOKUP(Table8[[#This Row],[Campaign_Code]],tb3_CampaignMaster[Campaign_Code],tb3_CampaignMaster[Start_Date],"")</f>
        <v>45618</v>
      </c>
      <c r="X425" s="17">
        <f>_xlfn.XLOOKUP(Table8[[#This Row],[Campaign_Code]],tb3_CampaignMaster[Campaign_Code],tb3_CampaignMaster[End_Date],"")</f>
        <v>45618</v>
      </c>
      <c r="Y425">
        <f>_xlfn.XLOOKUP(Table8[[#This Row],[Campaign_Code]],tb3_CampaignMaster[Campaign_Code],tb3_CampaignMaster[Budget_GBP],"")</f>
        <v>3500</v>
      </c>
      <c r="Z425" t="str">
        <f>_xlfn.XLOOKUP(Table8[[#This Row],[Campaign_Code]],tb3_CampaignMaster[Campaign_Code],tb3_CampaignMaster[Primary_Channel],"")</f>
        <v>Email</v>
      </c>
      <c r="AA425" s="13">
        <f>IF(Table8[[#This Row],[Gift_Aid_Eligible]]="Yes",Table8[[#This Row],[Gift_Amount]]*1.25,Table8[[#This Row],[Gift_Amount]])</f>
        <v>1346.3874999999998</v>
      </c>
      <c r="AB425" t="str">
        <f>IF(Table8[[#This Row],[Supporter_ID]]="","Review - missing supporter ID","")</f>
        <v>Review - missing supporter ID</v>
      </c>
      <c r="AC425" t="str">
        <f>IF(OR(Table8[[#This Row],[Response_Date]]&lt;Table8[[#This Row],[Start_Date]],Table8[[#This Row],[Response_Date]]&gt;Table8[[#This Row],[End_Date]]),"Review - response outside campaign dates","")</f>
        <v/>
      </c>
      <c r="AD425" t="str">
        <f>IF(Table8[[#This Row],[Campaign_Type]]="","Review - campaign code not found","")</f>
        <v/>
      </c>
    </row>
    <row r="426" spans="1:30" x14ac:dyDescent="0.25">
      <c r="A426" t="s">
        <v>4091</v>
      </c>
      <c r="B426" t="s">
        <v>987</v>
      </c>
      <c r="C426" t="s">
        <v>3427</v>
      </c>
      <c r="D426" t="s">
        <v>3428</v>
      </c>
      <c r="E426" t="s">
        <v>65</v>
      </c>
      <c r="F426" s="17">
        <v>45488</v>
      </c>
      <c r="G426">
        <v>88.41</v>
      </c>
      <c r="H426" t="s">
        <v>37</v>
      </c>
      <c r="I426" t="s">
        <v>3328</v>
      </c>
      <c r="J426" t="str">
        <f>_xlfn.XLOOKUP(Table8[[#This Row],[Supporter_ID]],tb1_supporters[Supporter_ID ],tb1_supporters[Segment],"")</f>
        <v>Mid-Value</v>
      </c>
      <c r="K426" t="str">
        <f>_xlfn.XLOOKUP(Table8[[#This Row],[Supporter_ID]],tb1_supporters[Supporter_ID ],tb1_supporters[Acquisition_Source],"")</f>
        <v>Corporate Partner</v>
      </c>
      <c r="L426" t="str">
        <f>_xlfn.XLOOKUP(Table8[[#This Row],[Supporter_ID]],tb1_supporters[Supporter_ID ],tb1_supporters[County],"")</f>
        <v>West Yorkshire</v>
      </c>
      <c r="M426" t="str">
        <f>_xlfn.XLOOKUP(Table8[[#This Row],[Supporter_ID]],tb1_supporters[Supporter_ID ],tb1_supporters[Gender],"")</f>
        <v>Female</v>
      </c>
      <c r="N426">
        <f ca="1">_xlfn.XLOOKUP(Table8[[#This Row],[Supporter_ID]],tb1_supporters[Supporter_ID ],tb1_supporters[Age],"")</f>
        <v>76</v>
      </c>
      <c r="O426" t="str">
        <f ca="1">_xlfn.XLOOKUP(Table8[[#This Row],[Supporter_ID]],tb1_supporters[Supporter_ID ],tb1_supporters[Age_Band],"")</f>
        <v>65+</v>
      </c>
      <c r="P426" t="str">
        <f ca="1">IF(Table8[[#This Row],[Age_Band]]="","Unknown",Table8[[#This Row],[Age_Band]])</f>
        <v>65+</v>
      </c>
      <c r="Q426" t="str">
        <f>_xlfn.XLOOKUP(Table8[[#This Row],[Supporter_ID]],tb1_supporters[Supporter_ID ],tb1_supporters[Communication_Preference],"")</f>
        <v>Email</v>
      </c>
      <c r="R426" t="str">
        <f>_xlfn.XLOOKUP(Table8[[#This Row],[Supporter_ID]],tb1_supporters[Supporter_ID ],tb1_supporters[Duplicate_Profile_Flag],"")</f>
        <v/>
      </c>
      <c r="S426" t="str">
        <f>_xlfn.XLOOKUP(Table8[[#This Row],[Supporter_ID]],tb1_supporters[Supporter_ID ],tb1_supporters[Preference_Compliance_Flag],"")</f>
        <v>Review - prefers email but not opted in</v>
      </c>
      <c r="T426" t="str">
        <f ca="1">IF(Table8[[#This Row],[Age]]="","Review - missing DOB",IF(Table8[[#This Row],[Age]]&gt;TODAY(),"Review - future DOB",IF(Table8[[#This Row],[Age]]=0,"Review -  potential entry error (age 0)","")))</f>
        <v/>
      </c>
      <c r="U426" t="str">
        <f>_xlfn.XLOOKUP(Table8[[#This Row],[Campaign_Code]],tb3_CampaignMaster[Campaign_Code],tb3_CampaignMaster[Campaign_Type],"")</f>
        <v>Event</v>
      </c>
      <c r="V426" t="str">
        <f>_xlfn.XLOOKUP(Table8[[#This Row],[Campaign_Code]],tb3_CampaignMaster[Campaign_Code],tb3_CampaignMaster[Target_Audience],"")</f>
        <v>Major Donors</v>
      </c>
      <c r="W426" s="17">
        <f>_xlfn.XLOOKUP(Table8[[#This Row],[Campaign_Code]],tb3_CampaignMaster[Campaign_Code],tb3_CampaignMaster[Start_Date],"")</f>
        <v>45488</v>
      </c>
      <c r="X426" s="17">
        <f>_xlfn.XLOOKUP(Table8[[#This Row],[Campaign_Code]],tb3_CampaignMaster[Campaign_Code],tb3_CampaignMaster[End_Date],"")</f>
        <v>45488</v>
      </c>
      <c r="Y426">
        <f>_xlfn.XLOOKUP(Table8[[#This Row],[Campaign_Code]],tb3_CampaignMaster[Campaign_Code],tb3_CampaignMaster[Budget_GBP],"")</f>
        <v>45000</v>
      </c>
      <c r="Z426" t="str">
        <f>_xlfn.XLOOKUP(Table8[[#This Row],[Campaign_Code]],tb3_CampaignMaster[Campaign_Code],tb3_CampaignMaster[Primary_Channel],"")</f>
        <v>Direct Mail</v>
      </c>
      <c r="AA426" s="13">
        <f>IF(Table8[[#This Row],[Gift_Aid_Eligible]]="Yes",Table8[[#This Row],[Gift_Amount]]*1.25,Table8[[#This Row],[Gift_Amount]])</f>
        <v>88.41</v>
      </c>
      <c r="AB426" t="str">
        <f>IF(Table8[[#This Row],[Supporter_ID]]="","Review - missing supporter ID","")</f>
        <v/>
      </c>
      <c r="AC426" t="str">
        <f>IF(OR(Table8[[#This Row],[Response_Date]]&lt;Table8[[#This Row],[Start_Date]],Table8[[#This Row],[Response_Date]]&gt;Table8[[#This Row],[End_Date]]),"Review - response outside campaign dates","")</f>
        <v/>
      </c>
      <c r="AD426" t="str">
        <f>IF(Table8[[#This Row],[Campaign_Type]]="","Review - campaign code not found","")</f>
        <v/>
      </c>
    </row>
    <row r="427" spans="1:30" x14ac:dyDescent="0.25">
      <c r="A427" t="s">
        <v>4092</v>
      </c>
      <c r="B427" t="s">
        <v>1363</v>
      </c>
      <c r="C427" t="s">
        <v>3367</v>
      </c>
      <c r="D427" t="s">
        <v>3368</v>
      </c>
      <c r="E427" t="s">
        <v>65</v>
      </c>
      <c r="F427" s="17">
        <v>45717</v>
      </c>
      <c r="G427">
        <v>154.41999999999999</v>
      </c>
      <c r="H427" t="s">
        <v>37</v>
      </c>
      <c r="I427" t="s">
        <v>3323</v>
      </c>
      <c r="J427" t="str">
        <f>_xlfn.XLOOKUP(Table8[[#This Row],[Supporter_ID]],tb1_supporters[Supporter_ID ],tb1_supporters[Segment],"")</f>
        <v>Legacy Pledger</v>
      </c>
      <c r="K427" t="str">
        <f>_xlfn.XLOOKUP(Table8[[#This Row],[Supporter_ID]],tb1_supporters[Supporter_ID ],tb1_supporters[Acquisition_Source],"")</f>
        <v>Referral</v>
      </c>
      <c r="L427" t="str">
        <f>_xlfn.XLOOKUP(Table8[[#This Row],[Supporter_ID]],tb1_supporters[Supporter_ID ],tb1_supporters[County],"")</f>
        <v>West Glamorgan</v>
      </c>
      <c r="M427" t="str">
        <f>_xlfn.XLOOKUP(Table8[[#This Row],[Supporter_ID]],tb1_supporters[Supporter_ID ],tb1_supporters[Gender],"")</f>
        <v>Male</v>
      </c>
      <c r="N427">
        <f ca="1">_xlfn.XLOOKUP(Table8[[#This Row],[Supporter_ID]],tb1_supporters[Supporter_ID ],tb1_supporters[Age],"")</f>
        <v>67</v>
      </c>
      <c r="O427" t="str">
        <f ca="1">_xlfn.XLOOKUP(Table8[[#This Row],[Supporter_ID]],tb1_supporters[Supporter_ID ],tb1_supporters[Age_Band],"")</f>
        <v>65+</v>
      </c>
      <c r="P427" t="str">
        <f ca="1">IF(Table8[[#This Row],[Age_Band]]="","Unknown",Table8[[#This Row],[Age_Band]])</f>
        <v>65+</v>
      </c>
      <c r="Q427" t="str">
        <f>_xlfn.XLOOKUP(Table8[[#This Row],[Supporter_ID]],tb1_supporters[Supporter_ID ],tb1_supporters[Communication_Preference],"")</f>
        <v>Post</v>
      </c>
      <c r="R427" t="str">
        <f>_xlfn.XLOOKUP(Table8[[#This Row],[Supporter_ID]],tb1_supporters[Supporter_ID ],tb1_supporters[Duplicate_Profile_Flag],"")</f>
        <v/>
      </c>
      <c r="S427" t="str">
        <f>_xlfn.XLOOKUP(Table8[[#This Row],[Supporter_ID]],tb1_supporters[Supporter_ID ],tb1_supporters[Preference_Compliance_Flag],"")</f>
        <v/>
      </c>
      <c r="T427" t="str">
        <f ca="1">IF(Table8[[#This Row],[Age]]="","Review - missing DOB",IF(Table8[[#This Row],[Age]]&gt;TODAY(),"Review - future DOB",IF(Table8[[#This Row],[Age]]=0,"Review -  potential entry error (age 0)","")))</f>
        <v/>
      </c>
      <c r="U427" t="str">
        <f>_xlfn.XLOOKUP(Table8[[#This Row],[Campaign_Code]],tb3_CampaignMaster[Campaign_Code],tb3_CampaignMaster[Campaign_Type],"")</f>
        <v>Raffle</v>
      </c>
      <c r="V427" t="str">
        <f>_xlfn.XLOOKUP(Table8[[#This Row],[Campaign_Code]],tb3_CampaignMaster[Campaign_Code],tb3_CampaignMaster[Target_Audience],"")</f>
        <v>Regular Givers</v>
      </c>
      <c r="W427" s="17">
        <f>_xlfn.XLOOKUP(Table8[[#This Row],[Campaign_Code]],tb3_CampaignMaster[Campaign_Code],tb3_CampaignMaster[Start_Date],"")</f>
        <v>45717</v>
      </c>
      <c r="X427" s="17">
        <f>_xlfn.XLOOKUP(Table8[[#This Row],[Campaign_Code]],tb3_CampaignMaster[Campaign_Code],tb3_CampaignMaster[End_Date],"")</f>
        <v>45777</v>
      </c>
      <c r="Y427">
        <f>_xlfn.XLOOKUP(Table8[[#This Row],[Campaign_Code]],tb3_CampaignMaster[Campaign_Code],tb3_CampaignMaster[Budget_GBP],"")</f>
        <v>8000</v>
      </c>
      <c r="Z427" t="str">
        <f>_xlfn.XLOOKUP(Table8[[#This Row],[Campaign_Code]],tb3_CampaignMaster[Campaign_Code],tb3_CampaignMaster[Primary_Channel],"")</f>
        <v>Direct Mail</v>
      </c>
      <c r="AA427" s="13">
        <f>IF(Table8[[#This Row],[Gift_Aid_Eligible]]="Yes",Table8[[#This Row],[Gift_Amount]]*1.25,Table8[[#This Row],[Gift_Amount]])</f>
        <v>154.41999999999999</v>
      </c>
      <c r="AB427" t="str">
        <f>IF(Table8[[#This Row],[Supporter_ID]]="","Review - missing supporter ID","")</f>
        <v/>
      </c>
      <c r="AC427" t="str">
        <f>IF(OR(Table8[[#This Row],[Response_Date]]&lt;Table8[[#This Row],[Start_Date]],Table8[[#This Row],[Response_Date]]&gt;Table8[[#This Row],[End_Date]]),"Review - response outside campaign dates","")</f>
        <v/>
      </c>
      <c r="AD427" t="str">
        <f>IF(Table8[[#This Row],[Campaign_Type]]="","Review - campaign code not found","")</f>
        <v/>
      </c>
    </row>
    <row r="428" spans="1:30" x14ac:dyDescent="0.25">
      <c r="A428" t="s">
        <v>4094</v>
      </c>
      <c r="B428" t="s">
        <v>130</v>
      </c>
      <c r="C428" t="s">
        <v>3403</v>
      </c>
      <c r="D428" t="s">
        <v>3404</v>
      </c>
      <c r="E428" t="s">
        <v>3316</v>
      </c>
      <c r="F428" s="17">
        <v>45629</v>
      </c>
      <c r="G428">
        <v>158.93</v>
      </c>
      <c r="H428" t="s">
        <v>37</v>
      </c>
      <c r="I428" t="s">
        <v>3318</v>
      </c>
      <c r="J428" t="str">
        <f>_xlfn.XLOOKUP(Table8[[#This Row],[Supporter_ID]],tb1_supporters[Supporter_ID ],tb1_supporters[Segment],"")</f>
        <v>Mid-Value</v>
      </c>
      <c r="K428" t="str">
        <f>_xlfn.XLOOKUP(Table8[[#This Row],[Supporter_ID]],tb1_supporters[Supporter_ID ],tb1_supporters[Acquisition_Source],"")</f>
        <v>Direct Mail</v>
      </c>
      <c r="L428" t="str">
        <f>_xlfn.XLOOKUP(Table8[[#This Row],[Supporter_ID]],tb1_supporters[Supporter_ID ],tb1_supporters[County],"")</f>
        <v>Oxfordshire</v>
      </c>
      <c r="M428" t="str">
        <f>_xlfn.XLOOKUP(Table8[[#This Row],[Supporter_ID]],tb1_supporters[Supporter_ID ],tb1_supporters[Gender],"")</f>
        <v>Female</v>
      </c>
      <c r="N428">
        <f ca="1">_xlfn.XLOOKUP(Table8[[#This Row],[Supporter_ID]],tb1_supporters[Supporter_ID ],tb1_supporters[Age],"")</f>
        <v>64</v>
      </c>
      <c r="O428" t="str">
        <f ca="1">_xlfn.XLOOKUP(Table8[[#This Row],[Supporter_ID]],tb1_supporters[Supporter_ID ],tb1_supporters[Age_Band],"")</f>
        <v>50-64</v>
      </c>
      <c r="P428" t="str">
        <f ca="1">IF(Table8[[#This Row],[Age_Band]]="","Unknown",Table8[[#This Row],[Age_Band]])</f>
        <v>50-64</v>
      </c>
      <c r="Q428" t="str">
        <f>_xlfn.XLOOKUP(Table8[[#This Row],[Supporter_ID]],tb1_supporters[Supporter_ID ],tb1_supporters[Communication_Preference],"")</f>
        <v>Post</v>
      </c>
      <c r="R428" t="str">
        <f>_xlfn.XLOOKUP(Table8[[#This Row],[Supporter_ID]],tb1_supporters[Supporter_ID ],tb1_supporters[Duplicate_Profile_Flag],"")</f>
        <v/>
      </c>
      <c r="S428" t="str">
        <f>_xlfn.XLOOKUP(Table8[[#This Row],[Supporter_ID]],tb1_supporters[Supporter_ID ],tb1_supporters[Preference_Compliance_Flag],"")</f>
        <v>Review - prefers post but not opted in</v>
      </c>
      <c r="T428" t="str">
        <f ca="1">IF(Table8[[#This Row],[Age]]="","Review - missing DOB",IF(Table8[[#This Row],[Age]]&gt;TODAY(),"Review - future DOB",IF(Table8[[#This Row],[Age]]=0,"Review -  potential entry error (age 0)","")))</f>
        <v/>
      </c>
      <c r="U428" t="str">
        <f>_xlfn.XLOOKUP(Table8[[#This Row],[Campaign_Code]],tb3_CampaignMaster[Campaign_Code],tb3_CampaignMaster[Campaign_Type],"")</f>
        <v>Trading</v>
      </c>
      <c r="V428" t="str">
        <f>_xlfn.XLOOKUP(Table8[[#This Row],[Campaign_Code]],tb3_CampaignMaster[Campaign_Code],tb3_CampaignMaster[Target_Audience],"")</f>
        <v>All Active</v>
      </c>
      <c r="W428" s="17">
        <f>_xlfn.XLOOKUP(Table8[[#This Row],[Campaign_Code]],tb3_CampaignMaster[Campaign_Code],tb3_CampaignMaster[Start_Date],"")</f>
        <v>45580</v>
      </c>
      <c r="X428" s="17">
        <f>_xlfn.XLOOKUP(Table8[[#This Row],[Campaign_Code]],tb3_CampaignMaster[Campaign_Code],tb3_CampaignMaster[End_Date],"")</f>
        <v>45646</v>
      </c>
      <c r="Y428">
        <f>_xlfn.XLOOKUP(Table8[[#This Row],[Campaign_Code]],tb3_CampaignMaster[Campaign_Code],tb3_CampaignMaster[Budget_GBP],"")</f>
        <v>12000</v>
      </c>
      <c r="Z428" t="str">
        <f>_xlfn.XLOOKUP(Table8[[#This Row],[Campaign_Code]],tb3_CampaignMaster[Campaign_Code],tb3_CampaignMaster[Primary_Channel],"")</f>
        <v>Multi-channel</v>
      </c>
      <c r="AA428" s="13">
        <f>IF(Table8[[#This Row],[Gift_Aid_Eligible]]="Yes",Table8[[#This Row],[Gift_Amount]]*1.25,Table8[[#This Row],[Gift_Amount]])</f>
        <v>158.93</v>
      </c>
      <c r="AB428" t="str">
        <f>IF(Table8[[#This Row],[Supporter_ID]]="","Review - missing supporter ID","")</f>
        <v/>
      </c>
      <c r="AC428" t="str">
        <f>IF(OR(Table8[[#This Row],[Response_Date]]&lt;Table8[[#This Row],[Start_Date]],Table8[[#This Row],[Response_Date]]&gt;Table8[[#This Row],[End_Date]]),"Review - response outside campaign dates","")</f>
        <v/>
      </c>
      <c r="AD428" t="str">
        <f>IF(Table8[[#This Row],[Campaign_Type]]="","Review - campaign code not found","")</f>
        <v/>
      </c>
    </row>
    <row r="429" spans="1:30" x14ac:dyDescent="0.25">
      <c r="A429" t="s">
        <v>4095</v>
      </c>
      <c r="B429" t="s">
        <v>949</v>
      </c>
      <c r="C429" t="s">
        <v>3336</v>
      </c>
      <c r="D429" t="s">
        <v>3337</v>
      </c>
      <c r="E429" t="s">
        <v>65</v>
      </c>
      <c r="F429" s="17">
        <v>45558</v>
      </c>
      <c r="G429">
        <v>19.82</v>
      </c>
      <c r="H429" t="s">
        <v>36</v>
      </c>
      <c r="I429" t="s">
        <v>3331</v>
      </c>
      <c r="J429" t="str">
        <f>_xlfn.XLOOKUP(Table8[[#This Row],[Supporter_ID]],tb1_supporters[Supporter_ID ],tb1_supporters[Segment],"")</f>
        <v>Prospect</v>
      </c>
      <c r="K429" t="str">
        <f>_xlfn.XLOOKUP(Table8[[#This Row],[Supporter_ID]],tb1_supporters[Supporter_ID ],tb1_supporters[Acquisition_Source],"")</f>
        <v>Door-To-Door</v>
      </c>
      <c r="L429" t="str">
        <f>_xlfn.XLOOKUP(Table8[[#This Row],[Supporter_ID]],tb1_supporters[Supporter_ID ],tb1_supporters[County],"")</f>
        <v>Leicestershire</v>
      </c>
      <c r="M429" t="str">
        <f>_xlfn.XLOOKUP(Table8[[#This Row],[Supporter_ID]],tb1_supporters[Supporter_ID ],tb1_supporters[Gender],"")</f>
        <v>Female</v>
      </c>
      <c r="N429">
        <f ca="1">_xlfn.XLOOKUP(Table8[[#This Row],[Supporter_ID]],tb1_supporters[Supporter_ID ],tb1_supporters[Age],"")</f>
        <v>50</v>
      </c>
      <c r="O429" t="str">
        <f ca="1">_xlfn.XLOOKUP(Table8[[#This Row],[Supporter_ID]],tb1_supporters[Supporter_ID ],tb1_supporters[Age_Band],"")</f>
        <v>50-64</v>
      </c>
      <c r="P429" t="str">
        <f ca="1">IF(Table8[[#This Row],[Age_Band]]="","Unknown",Table8[[#This Row],[Age_Band]])</f>
        <v>50-64</v>
      </c>
      <c r="Q429" t="str">
        <f>_xlfn.XLOOKUP(Table8[[#This Row],[Supporter_ID]],tb1_supporters[Supporter_ID ],tb1_supporters[Communication_Preference],"")</f>
        <v>Post</v>
      </c>
      <c r="R429" t="str">
        <f>_xlfn.XLOOKUP(Table8[[#This Row],[Supporter_ID]],tb1_supporters[Supporter_ID ],tb1_supporters[Duplicate_Profile_Flag],"")</f>
        <v/>
      </c>
      <c r="S429" t="str">
        <f>_xlfn.XLOOKUP(Table8[[#This Row],[Supporter_ID]],tb1_supporters[Supporter_ID ],tb1_supporters[Preference_Compliance_Flag],"")</f>
        <v/>
      </c>
      <c r="T429" t="str">
        <f ca="1">IF(Table8[[#This Row],[Age]]="","Review - missing DOB",IF(Table8[[#This Row],[Age]]&gt;TODAY(),"Review - future DOB",IF(Table8[[#This Row],[Age]]=0,"Review -  potential entry error (age 0)","")))</f>
        <v/>
      </c>
      <c r="U429" t="str">
        <f>_xlfn.XLOOKUP(Table8[[#This Row],[Campaign_Code]],tb3_CampaignMaster[Campaign_Code],tb3_CampaignMaster[Campaign_Type],"")</f>
        <v>Appeal</v>
      </c>
      <c r="V429" t="str">
        <f>_xlfn.XLOOKUP(Table8[[#This Row],[Campaign_Code]],tb3_CampaignMaster[Campaign_Code],tb3_CampaignMaster[Target_Audience],"")</f>
        <v>All Supporters</v>
      </c>
      <c r="W429" s="17">
        <f>_xlfn.XLOOKUP(Table8[[#This Row],[Campaign_Code]],tb3_CampaignMaster[Campaign_Code],tb3_CampaignMaster[Start_Date],"")</f>
        <v>45545</v>
      </c>
      <c r="X429" s="17">
        <f>_xlfn.XLOOKUP(Table8[[#This Row],[Campaign_Code]],tb3_CampaignMaster[Campaign_Code],tb3_CampaignMaster[End_Date],"")</f>
        <v>45580</v>
      </c>
      <c r="Y429">
        <f>_xlfn.XLOOKUP(Table8[[#This Row],[Campaign_Code]],tb3_CampaignMaster[Campaign_Code],tb3_CampaignMaster[Budget_GBP],"")</f>
        <v>15000</v>
      </c>
      <c r="Z429" t="str">
        <f>_xlfn.XLOOKUP(Table8[[#This Row],[Campaign_Code]],tb3_CampaignMaster[Campaign_Code],tb3_CampaignMaster[Primary_Channel],"")</f>
        <v>Email</v>
      </c>
      <c r="AA429" s="13">
        <f>IF(Table8[[#This Row],[Gift_Aid_Eligible]]="Yes",Table8[[#This Row],[Gift_Amount]]*1.25,Table8[[#This Row],[Gift_Amount]])</f>
        <v>24.774999999999999</v>
      </c>
      <c r="AB429" t="str">
        <f>IF(Table8[[#This Row],[Supporter_ID]]="","Review - missing supporter ID","")</f>
        <v/>
      </c>
      <c r="AC429" t="str">
        <f>IF(OR(Table8[[#This Row],[Response_Date]]&lt;Table8[[#This Row],[Start_Date]],Table8[[#This Row],[Response_Date]]&gt;Table8[[#This Row],[End_Date]]),"Review - response outside campaign dates","")</f>
        <v/>
      </c>
      <c r="AD429" t="str">
        <f>IF(Table8[[#This Row],[Campaign_Type]]="","Review - campaign code not found","")</f>
        <v/>
      </c>
    </row>
    <row r="430" spans="1:30" x14ac:dyDescent="0.25">
      <c r="A430" t="s">
        <v>4097</v>
      </c>
      <c r="B430" t="s">
        <v>2922</v>
      </c>
      <c r="C430" t="s">
        <v>3427</v>
      </c>
      <c r="D430" t="s">
        <v>3428</v>
      </c>
      <c r="E430" t="s">
        <v>4</v>
      </c>
      <c r="F430" s="17">
        <v>45488</v>
      </c>
      <c r="G430">
        <v>112.59</v>
      </c>
      <c r="H430" t="s">
        <v>37</v>
      </c>
      <c r="I430" t="s">
        <v>3370</v>
      </c>
      <c r="J430" t="str">
        <f>_xlfn.XLOOKUP(Table8[[#This Row],[Supporter_ID]],tb1_supporters[Supporter_ID ],tb1_supporters[Segment],"")</f>
        <v>One-Time Donor</v>
      </c>
      <c r="K430" t="str">
        <f>_xlfn.XLOOKUP(Table8[[#This Row],[Supporter_ID]],tb1_supporters[Supporter_ID ],tb1_supporters[Acquisition_Source],"")</f>
        <v>Corporate Partner</v>
      </c>
      <c r="L430" t="str">
        <f>_xlfn.XLOOKUP(Table8[[#This Row],[Supporter_ID]],tb1_supporters[Supporter_ID ],tb1_supporters[County],"")</f>
        <v>Strathclyde</v>
      </c>
      <c r="M430" t="str">
        <f>_xlfn.XLOOKUP(Table8[[#This Row],[Supporter_ID]],tb1_supporters[Supporter_ID ],tb1_supporters[Gender],"")</f>
        <v>Male</v>
      </c>
      <c r="N430">
        <f ca="1">_xlfn.XLOOKUP(Table8[[#This Row],[Supporter_ID]],tb1_supporters[Supporter_ID ],tb1_supporters[Age],"")</f>
        <v>32</v>
      </c>
      <c r="O430" t="str">
        <f ca="1">_xlfn.XLOOKUP(Table8[[#This Row],[Supporter_ID]],tb1_supporters[Supporter_ID ],tb1_supporters[Age_Band],"")</f>
        <v>18-34</v>
      </c>
      <c r="P430" t="str">
        <f ca="1">IF(Table8[[#This Row],[Age_Band]]="","Unknown",Table8[[#This Row],[Age_Band]])</f>
        <v>18-34</v>
      </c>
      <c r="Q430" t="str">
        <f>_xlfn.XLOOKUP(Table8[[#This Row],[Supporter_ID]],tb1_supporters[Supporter_ID ],tb1_supporters[Communication_Preference],"")</f>
        <v>Email</v>
      </c>
      <c r="R430" t="str">
        <f>_xlfn.XLOOKUP(Table8[[#This Row],[Supporter_ID]],tb1_supporters[Supporter_ID ],tb1_supporters[Duplicate_Profile_Flag],"")</f>
        <v/>
      </c>
      <c r="S430" t="str">
        <f>_xlfn.XLOOKUP(Table8[[#This Row],[Supporter_ID]],tb1_supporters[Supporter_ID ],tb1_supporters[Preference_Compliance_Flag],"")</f>
        <v/>
      </c>
      <c r="T430" t="str">
        <f ca="1">IF(Table8[[#This Row],[Age]]="","Review - missing DOB",IF(Table8[[#This Row],[Age]]&gt;TODAY(),"Review - future DOB",IF(Table8[[#This Row],[Age]]=0,"Review -  potential entry error (age 0)","")))</f>
        <v/>
      </c>
      <c r="U430" t="str">
        <f>_xlfn.XLOOKUP(Table8[[#This Row],[Campaign_Code]],tb3_CampaignMaster[Campaign_Code],tb3_CampaignMaster[Campaign_Type],"")</f>
        <v>Event</v>
      </c>
      <c r="V430" t="str">
        <f>_xlfn.XLOOKUP(Table8[[#This Row],[Campaign_Code]],tb3_CampaignMaster[Campaign_Code],tb3_CampaignMaster[Target_Audience],"")</f>
        <v>Major Donors</v>
      </c>
      <c r="W430" s="17">
        <f>_xlfn.XLOOKUP(Table8[[#This Row],[Campaign_Code]],tb3_CampaignMaster[Campaign_Code],tb3_CampaignMaster[Start_Date],"")</f>
        <v>45488</v>
      </c>
      <c r="X430" s="17">
        <f>_xlfn.XLOOKUP(Table8[[#This Row],[Campaign_Code]],tb3_CampaignMaster[Campaign_Code],tb3_CampaignMaster[End_Date],"")</f>
        <v>45488</v>
      </c>
      <c r="Y430">
        <f>_xlfn.XLOOKUP(Table8[[#This Row],[Campaign_Code]],tb3_CampaignMaster[Campaign_Code],tb3_CampaignMaster[Budget_GBP],"")</f>
        <v>45000</v>
      </c>
      <c r="Z430" t="str">
        <f>_xlfn.XLOOKUP(Table8[[#This Row],[Campaign_Code]],tb3_CampaignMaster[Campaign_Code],tb3_CampaignMaster[Primary_Channel],"")</f>
        <v>Direct Mail</v>
      </c>
      <c r="AA430" s="13">
        <f>IF(Table8[[#This Row],[Gift_Aid_Eligible]]="Yes",Table8[[#This Row],[Gift_Amount]]*1.25,Table8[[#This Row],[Gift_Amount]])</f>
        <v>112.59</v>
      </c>
      <c r="AB430" t="str">
        <f>IF(Table8[[#This Row],[Supporter_ID]]="","Review - missing supporter ID","")</f>
        <v/>
      </c>
      <c r="AC430" t="str">
        <f>IF(OR(Table8[[#This Row],[Response_Date]]&lt;Table8[[#This Row],[Start_Date]],Table8[[#This Row],[Response_Date]]&gt;Table8[[#This Row],[End_Date]]),"Review - response outside campaign dates","")</f>
        <v/>
      </c>
      <c r="AD430" t="str">
        <f>IF(Table8[[#This Row],[Campaign_Type]]="","Review - campaign code not found","")</f>
        <v/>
      </c>
    </row>
    <row r="431" spans="1:30" x14ac:dyDescent="0.25">
      <c r="A431" t="s">
        <v>4098</v>
      </c>
      <c r="B431" t="s">
        <v>1446</v>
      </c>
      <c r="C431" t="s">
        <v>3403</v>
      </c>
      <c r="D431" t="s">
        <v>3404</v>
      </c>
      <c r="E431" t="s">
        <v>4</v>
      </c>
      <c r="F431" s="17">
        <v>45592</v>
      </c>
      <c r="G431">
        <v>25.16</v>
      </c>
      <c r="H431" t="s">
        <v>36</v>
      </c>
      <c r="I431" t="s">
        <v>3328</v>
      </c>
      <c r="J431" t="str">
        <f>_xlfn.XLOOKUP(Table8[[#This Row],[Supporter_ID]],tb1_supporters[Supporter_ID ],tb1_supporters[Segment],"")</f>
        <v>Prospect</v>
      </c>
      <c r="K431" t="str">
        <f>_xlfn.XLOOKUP(Table8[[#This Row],[Supporter_ID]],tb1_supporters[Supporter_ID ],tb1_supporters[Acquisition_Source],"")</f>
        <v>Direct Mail</v>
      </c>
      <c r="L431" t="str">
        <f>_xlfn.XLOOKUP(Table8[[#This Row],[Supporter_ID]],tb1_supporters[Supporter_ID ],tb1_supporters[County],"")</f>
        <v>Greater London</v>
      </c>
      <c r="M431" t="str">
        <f>_xlfn.XLOOKUP(Table8[[#This Row],[Supporter_ID]],tb1_supporters[Supporter_ID ],tb1_supporters[Gender],"")</f>
        <v>Male</v>
      </c>
      <c r="N431">
        <f ca="1">_xlfn.XLOOKUP(Table8[[#This Row],[Supporter_ID]],tb1_supporters[Supporter_ID ],tb1_supporters[Age],"")</f>
        <v>44</v>
      </c>
      <c r="O431" t="str">
        <f ca="1">_xlfn.XLOOKUP(Table8[[#This Row],[Supporter_ID]],tb1_supporters[Supporter_ID ],tb1_supporters[Age_Band],"")</f>
        <v>35-49</v>
      </c>
      <c r="P431" t="str">
        <f ca="1">IF(Table8[[#This Row],[Age_Band]]="","Unknown",Table8[[#This Row],[Age_Band]])</f>
        <v>35-49</v>
      </c>
      <c r="Q431" t="str">
        <f>_xlfn.XLOOKUP(Table8[[#This Row],[Supporter_ID]],tb1_supporters[Supporter_ID ],tb1_supporters[Communication_Preference],"")</f>
        <v>No Preference</v>
      </c>
      <c r="R431" t="str">
        <f>_xlfn.XLOOKUP(Table8[[#This Row],[Supporter_ID]],tb1_supporters[Supporter_ID ],tb1_supporters[Duplicate_Profile_Flag],"")</f>
        <v/>
      </c>
      <c r="S431" t="str">
        <f>_xlfn.XLOOKUP(Table8[[#This Row],[Supporter_ID]],tb1_supporters[Supporter_ID ],tb1_supporters[Preference_Compliance_Flag],"")</f>
        <v/>
      </c>
      <c r="T431" t="str">
        <f ca="1">IF(Table8[[#This Row],[Age]]="","Review - missing DOB",IF(Table8[[#This Row],[Age]]&gt;TODAY(),"Review - future DOB",IF(Table8[[#This Row],[Age]]=0,"Review -  potential entry error (age 0)","")))</f>
        <v/>
      </c>
      <c r="U431" t="str">
        <f>_xlfn.XLOOKUP(Table8[[#This Row],[Campaign_Code]],tb3_CampaignMaster[Campaign_Code],tb3_CampaignMaster[Campaign_Type],"")</f>
        <v>Trading</v>
      </c>
      <c r="V431" t="str">
        <f>_xlfn.XLOOKUP(Table8[[#This Row],[Campaign_Code]],tb3_CampaignMaster[Campaign_Code],tb3_CampaignMaster[Target_Audience],"")</f>
        <v>All Active</v>
      </c>
      <c r="W431" s="17">
        <f>_xlfn.XLOOKUP(Table8[[#This Row],[Campaign_Code]],tb3_CampaignMaster[Campaign_Code],tb3_CampaignMaster[Start_Date],"")</f>
        <v>45580</v>
      </c>
      <c r="X431" s="17">
        <f>_xlfn.XLOOKUP(Table8[[#This Row],[Campaign_Code]],tb3_CampaignMaster[Campaign_Code],tb3_CampaignMaster[End_Date],"")</f>
        <v>45646</v>
      </c>
      <c r="Y431">
        <f>_xlfn.XLOOKUP(Table8[[#This Row],[Campaign_Code]],tb3_CampaignMaster[Campaign_Code],tb3_CampaignMaster[Budget_GBP],"")</f>
        <v>12000</v>
      </c>
      <c r="Z431" t="str">
        <f>_xlfn.XLOOKUP(Table8[[#This Row],[Campaign_Code]],tb3_CampaignMaster[Campaign_Code],tb3_CampaignMaster[Primary_Channel],"")</f>
        <v>Multi-channel</v>
      </c>
      <c r="AA431" s="13">
        <f>IF(Table8[[#This Row],[Gift_Aid_Eligible]]="Yes",Table8[[#This Row],[Gift_Amount]]*1.25,Table8[[#This Row],[Gift_Amount]])</f>
        <v>31.45</v>
      </c>
      <c r="AB431" t="str">
        <f>IF(Table8[[#This Row],[Supporter_ID]]="","Review - missing supporter ID","")</f>
        <v/>
      </c>
      <c r="AC431" t="str">
        <f>IF(OR(Table8[[#This Row],[Response_Date]]&lt;Table8[[#This Row],[Start_Date]],Table8[[#This Row],[Response_Date]]&gt;Table8[[#This Row],[End_Date]]),"Review - response outside campaign dates","")</f>
        <v/>
      </c>
      <c r="AD431" t="str">
        <f>IF(Table8[[#This Row],[Campaign_Type]]="","Review - campaign code not found","")</f>
        <v/>
      </c>
    </row>
    <row r="432" spans="1:30" x14ac:dyDescent="0.25">
      <c r="A432" t="s">
        <v>4099</v>
      </c>
      <c r="B432" t="s">
        <v>1386</v>
      </c>
      <c r="C432" t="s">
        <v>3354</v>
      </c>
      <c r="D432" t="s">
        <v>3355</v>
      </c>
      <c r="E432" t="s">
        <v>4</v>
      </c>
      <c r="F432" s="17">
        <v>45618</v>
      </c>
      <c r="G432">
        <v>218.83</v>
      </c>
      <c r="H432" t="s">
        <v>36</v>
      </c>
      <c r="I432" t="s">
        <v>3365</v>
      </c>
      <c r="J432" t="str">
        <f>_xlfn.XLOOKUP(Table8[[#This Row],[Supporter_ID]],tb1_supporters[Supporter_ID ],tb1_supporters[Segment],"")</f>
        <v>Mid-Value</v>
      </c>
      <c r="K432" t="str">
        <f>_xlfn.XLOOKUP(Table8[[#This Row],[Supporter_ID]],tb1_supporters[Supporter_ID ],tb1_supporters[Acquisition_Source],"")</f>
        <v>Telephone</v>
      </c>
      <c r="L432" t="str">
        <f>_xlfn.XLOOKUP(Table8[[#This Row],[Supporter_ID]],tb1_supporters[Supporter_ID ],tb1_supporters[County],"")</f>
        <v>Norfolk</v>
      </c>
      <c r="M432" t="str">
        <f>_xlfn.XLOOKUP(Table8[[#This Row],[Supporter_ID]],tb1_supporters[Supporter_ID ],tb1_supporters[Gender],"")</f>
        <v>Female</v>
      </c>
      <c r="N432">
        <f ca="1">_xlfn.XLOOKUP(Table8[[#This Row],[Supporter_ID]],tb1_supporters[Supporter_ID ],tb1_supporters[Age],"")</f>
        <v>44</v>
      </c>
      <c r="O432" t="str">
        <f ca="1">_xlfn.XLOOKUP(Table8[[#This Row],[Supporter_ID]],tb1_supporters[Supporter_ID ],tb1_supporters[Age_Band],"")</f>
        <v>35-49</v>
      </c>
      <c r="P432" t="str">
        <f ca="1">IF(Table8[[#This Row],[Age_Band]]="","Unknown",Table8[[#This Row],[Age_Band]])</f>
        <v>35-49</v>
      </c>
      <c r="Q432" t="str">
        <f>_xlfn.XLOOKUP(Table8[[#This Row],[Supporter_ID]],tb1_supporters[Supporter_ID ],tb1_supporters[Communication_Preference],"")</f>
        <v>Post</v>
      </c>
      <c r="R432" t="str">
        <f>_xlfn.XLOOKUP(Table8[[#This Row],[Supporter_ID]],tb1_supporters[Supporter_ID ],tb1_supporters[Duplicate_Profile_Flag],"")</f>
        <v/>
      </c>
      <c r="S432" t="str">
        <f>_xlfn.XLOOKUP(Table8[[#This Row],[Supporter_ID]],tb1_supporters[Supporter_ID ],tb1_supporters[Preference_Compliance_Flag],"")</f>
        <v/>
      </c>
      <c r="T432" t="str">
        <f ca="1">IF(Table8[[#This Row],[Age]]="","Review - missing DOB",IF(Table8[[#This Row],[Age]]&gt;TODAY(),"Review - future DOB",IF(Table8[[#This Row],[Age]]=0,"Review -  potential entry error (age 0)","")))</f>
        <v/>
      </c>
      <c r="U432" t="str">
        <f>_xlfn.XLOOKUP(Table8[[#This Row],[Campaign_Code]],tb3_CampaignMaster[Campaign_Code],tb3_CampaignMaster[Campaign_Type],"")</f>
        <v>Event</v>
      </c>
      <c r="V432" t="str">
        <f>_xlfn.XLOOKUP(Table8[[#This Row],[Campaign_Code]],tb3_CampaignMaster[Campaign_Code],tb3_CampaignMaster[Target_Audience],"")</f>
        <v>Volunteers</v>
      </c>
      <c r="W432" s="17">
        <f>_xlfn.XLOOKUP(Table8[[#This Row],[Campaign_Code]],tb3_CampaignMaster[Campaign_Code],tb3_CampaignMaster[Start_Date],"")</f>
        <v>45618</v>
      </c>
      <c r="X432" s="17">
        <f>_xlfn.XLOOKUP(Table8[[#This Row],[Campaign_Code]],tb3_CampaignMaster[Campaign_Code],tb3_CampaignMaster[End_Date],"")</f>
        <v>45618</v>
      </c>
      <c r="Y432">
        <f>_xlfn.XLOOKUP(Table8[[#This Row],[Campaign_Code]],tb3_CampaignMaster[Campaign_Code],tb3_CampaignMaster[Budget_GBP],"")</f>
        <v>3500</v>
      </c>
      <c r="Z432" t="str">
        <f>_xlfn.XLOOKUP(Table8[[#This Row],[Campaign_Code]],tb3_CampaignMaster[Campaign_Code],tb3_CampaignMaster[Primary_Channel],"")</f>
        <v>Email</v>
      </c>
      <c r="AA432" s="13">
        <f>IF(Table8[[#This Row],[Gift_Aid_Eligible]]="Yes",Table8[[#This Row],[Gift_Amount]]*1.25,Table8[[#This Row],[Gift_Amount]])</f>
        <v>273.53750000000002</v>
      </c>
      <c r="AB432" t="str">
        <f>IF(Table8[[#This Row],[Supporter_ID]]="","Review - missing supporter ID","")</f>
        <v/>
      </c>
      <c r="AC432" t="str">
        <f>IF(OR(Table8[[#This Row],[Response_Date]]&lt;Table8[[#This Row],[Start_Date]],Table8[[#This Row],[Response_Date]]&gt;Table8[[#This Row],[End_Date]]),"Review - response outside campaign dates","")</f>
        <v/>
      </c>
      <c r="AD432" t="str">
        <f>IF(Table8[[#This Row],[Campaign_Type]]="","Review - campaign code not found","")</f>
        <v/>
      </c>
    </row>
    <row r="433" spans="1:30" x14ac:dyDescent="0.25">
      <c r="A433" t="s">
        <v>4100</v>
      </c>
      <c r="B433" t="s">
        <v>1778</v>
      </c>
      <c r="C433" t="s">
        <v>3427</v>
      </c>
      <c r="D433" t="s">
        <v>3428</v>
      </c>
      <c r="E433" t="s">
        <v>4</v>
      </c>
      <c r="F433" s="17">
        <v>45488</v>
      </c>
      <c r="G433">
        <v>89.85</v>
      </c>
      <c r="H433" t="s">
        <v>37</v>
      </c>
      <c r="I433" t="s">
        <v>3334</v>
      </c>
      <c r="J433" t="str">
        <f>_xlfn.XLOOKUP(Table8[[#This Row],[Supporter_ID]],tb1_supporters[Supporter_ID ],tb1_supporters[Segment],"")</f>
        <v>One-Time Donor</v>
      </c>
      <c r="K433" t="str">
        <f>_xlfn.XLOOKUP(Table8[[#This Row],[Supporter_ID]],tb1_supporters[Supporter_ID ],tb1_supporters[Acquisition_Source],"")</f>
        <v>Direct Mail</v>
      </c>
      <c r="L433" t="str">
        <f>_xlfn.XLOOKUP(Table8[[#This Row],[Supporter_ID]],tb1_supporters[Supporter_ID ],tb1_supporters[County],"")</f>
        <v>Norfolk</v>
      </c>
      <c r="M433" t="str">
        <f>_xlfn.XLOOKUP(Table8[[#This Row],[Supporter_ID]],tb1_supporters[Supporter_ID ],tb1_supporters[Gender],"")</f>
        <v>Female</v>
      </c>
      <c r="N433">
        <f ca="1">_xlfn.XLOOKUP(Table8[[#This Row],[Supporter_ID]],tb1_supporters[Supporter_ID ],tb1_supporters[Age],"")</f>
        <v>75</v>
      </c>
      <c r="O433" t="str">
        <f ca="1">_xlfn.XLOOKUP(Table8[[#This Row],[Supporter_ID]],tb1_supporters[Supporter_ID ],tb1_supporters[Age_Band],"")</f>
        <v>65+</v>
      </c>
      <c r="P433" t="str">
        <f ca="1">IF(Table8[[#This Row],[Age_Band]]="","Unknown",Table8[[#This Row],[Age_Band]])</f>
        <v>65+</v>
      </c>
      <c r="Q433" t="str">
        <f>_xlfn.XLOOKUP(Table8[[#This Row],[Supporter_ID]],tb1_supporters[Supporter_ID ],tb1_supporters[Communication_Preference],"")</f>
        <v>No Preference</v>
      </c>
      <c r="R433" t="str">
        <f>_xlfn.XLOOKUP(Table8[[#This Row],[Supporter_ID]],tb1_supporters[Supporter_ID ],tb1_supporters[Duplicate_Profile_Flag],"")</f>
        <v/>
      </c>
      <c r="S433" t="str">
        <f>_xlfn.XLOOKUP(Table8[[#This Row],[Supporter_ID]],tb1_supporters[Supporter_ID ],tb1_supporters[Preference_Compliance_Flag],"")</f>
        <v/>
      </c>
      <c r="T433" t="str">
        <f ca="1">IF(Table8[[#This Row],[Age]]="","Review - missing DOB",IF(Table8[[#This Row],[Age]]&gt;TODAY(),"Review - future DOB",IF(Table8[[#This Row],[Age]]=0,"Review -  potential entry error (age 0)","")))</f>
        <v/>
      </c>
      <c r="U433" t="str">
        <f>_xlfn.XLOOKUP(Table8[[#This Row],[Campaign_Code]],tb3_CampaignMaster[Campaign_Code],tb3_CampaignMaster[Campaign_Type],"")</f>
        <v>Event</v>
      </c>
      <c r="V433" t="str">
        <f>_xlfn.XLOOKUP(Table8[[#This Row],[Campaign_Code]],tb3_CampaignMaster[Campaign_Code],tb3_CampaignMaster[Target_Audience],"")</f>
        <v>Major Donors</v>
      </c>
      <c r="W433" s="17">
        <f>_xlfn.XLOOKUP(Table8[[#This Row],[Campaign_Code]],tb3_CampaignMaster[Campaign_Code],tb3_CampaignMaster[Start_Date],"")</f>
        <v>45488</v>
      </c>
      <c r="X433" s="17">
        <f>_xlfn.XLOOKUP(Table8[[#This Row],[Campaign_Code]],tb3_CampaignMaster[Campaign_Code],tb3_CampaignMaster[End_Date],"")</f>
        <v>45488</v>
      </c>
      <c r="Y433">
        <f>_xlfn.XLOOKUP(Table8[[#This Row],[Campaign_Code]],tb3_CampaignMaster[Campaign_Code],tb3_CampaignMaster[Budget_GBP],"")</f>
        <v>45000</v>
      </c>
      <c r="Z433" t="str">
        <f>_xlfn.XLOOKUP(Table8[[#This Row],[Campaign_Code]],tb3_CampaignMaster[Campaign_Code],tb3_CampaignMaster[Primary_Channel],"")</f>
        <v>Direct Mail</v>
      </c>
      <c r="AA433" s="13">
        <f>IF(Table8[[#This Row],[Gift_Aid_Eligible]]="Yes",Table8[[#This Row],[Gift_Amount]]*1.25,Table8[[#This Row],[Gift_Amount]])</f>
        <v>89.85</v>
      </c>
      <c r="AB433" t="str">
        <f>IF(Table8[[#This Row],[Supporter_ID]]="","Review - missing supporter ID","")</f>
        <v/>
      </c>
      <c r="AC433" t="str">
        <f>IF(OR(Table8[[#This Row],[Response_Date]]&lt;Table8[[#This Row],[Start_Date]],Table8[[#This Row],[Response_Date]]&gt;Table8[[#This Row],[End_Date]]),"Review - response outside campaign dates","")</f>
        <v/>
      </c>
      <c r="AD433" t="str">
        <f>IF(Table8[[#This Row],[Campaign_Type]]="","Review - campaign code not found","")</f>
        <v/>
      </c>
    </row>
    <row r="434" spans="1:30" x14ac:dyDescent="0.25">
      <c r="A434" t="s">
        <v>4101</v>
      </c>
      <c r="B434" t="s">
        <v>2076</v>
      </c>
      <c r="C434" t="s">
        <v>3362</v>
      </c>
      <c r="D434" t="s">
        <v>3363</v>
      </c>
      <c r="E434" t="s">
        <v>65</v>
      </c>
      <c r="F434" s="17">
        <v>45573</v>
      </c>
      <c r="G434">
        <v>99.92</v>
      </c>
      <c r="H434" t="s">
        <v>37</v>
      </c>
      <c r="I434" t="s">
        <v>3334</v>
      </c>
      <c r="J434" t="str">
        <f>_xlfn.XLOOKUP(Table8[[#This Row],[Supporter_ID]],tb1_supporters[Supporter_ID ],tb1_supporters[Segment],"")</f>
        <v>One-Time Donor</v>
      </c>
      <c r="K434" t="str">
        <f>_xlfn.XLOOKUP(Table8[[#This Row],[Supporter_ID]],tb1_supporters[Supporter_ID ],tb1_supporters[Acquisition_Source],"")</f>
        <v>Door-To-Door</v>
      </c>
      <c r="L434" t="str">
        <f>_xlfn.XLOOKUP(Table8[[#This Row],[Supporter_ID]],tb1_supporters[Supporter_ID ],tb1_supporters[County],"")</f>
        <v>Greater London</v>
      </c>
      <c r="M434" t="str">
        <f>_xlfn.XLOOKUP(Table8[[#This Row],[Supporter_ID]],tb1_supporters[Supporter_ID ],tb1_supporters[Gender],"")</f>
        <v>Male</v>
      </c>
      <c r="N434">
        <f ca="1">_xlfn.XLOOKUP(Table8[[#This Row],[Supporter_ID]],tb1_supporters[Supporter_ID ],tb1_supporters[Age],"")</f>
        <v>63</v>
      </c>
      <c r="O434" t="str">
        <f ca="1">_xlfn.XLOOKUP(Table8[[#This Row],[Supporter_ID]],tb1_supporters[Supporter_ID ],tb1_supporters[Age_Band],"")</f>
        <v>50-64</v>
      </c>
      <c r="P434" t="str">
        <f ca="1">IF(Table8[[#This Row],[Age_Band]]="","Unknown",Table8[[#This Row],[Age_Band]])</f>
        <v>50-64</v>
      </c>
      <c r="Q434" t="str">
        <f>_xlfn.XLOOKUP(Table8[[#This Row],[Supporter_ID]],tb1_supporters[Supporter_ID ],tb1_supporters[Communication_Preference],"")</f>
        <v>Email</v>
      </c>
      <c r="R434" t="str">
        <f>_xlfn.XLOOKUP(Table8[[#This Row],[Supporter_ID]],tb1_supporters[Supporter_ID ],tb1_supporters[Duplicate_Profile_Flag],"")</f>
        <v/>
      </c>
      <c r="S434" t="str">
        <f>_xlfn.XLOOKUP(Table8[[#This Row],[Supporter_ID]],tb1_supporters[Supporter_ID ],tb1_supporters[Preference_Compliance_Flag],"")</f>
        <v/>
      </c>
      <c r="T434" t="str">
        <f ca="1">IF(Table8[[#This Row],[Age]]="","Review - missing DOB",IF(Table8[[#This Row],[Age]]&gt;TODAY(),"Review - future DOB",IF(Table8[[#This Row],[Age]]=0,"Review -  potential entry error (age 0)","")))</f>
        <v/>
      </c>
      <c r="U434" t="str">
        <f>_xlfn.XLOOKUP(Table8[[#This Row],[Campaign_Code]],tb3_CampaignMaster[Campaign_Code],tb3_CampaignMaster[Campaign_Type],"")</f>
        <v>Legacy</v>
      </c>
      <c r="V434" t="str">
        <f>_xlfn.XLOOKUP(Table8[[#This Row],[Campaign_Code]],tb3_CampaignMaster[Campaign_Code],tb3_CampaignMaster[Target_Audience],"")</f>
        <v>Over 55s</v>
      </c>
      <c r="W434" s="17">
        <f>_xlfn.XLOOKUP(Table8[[#This Row],[Campaign_Code]],tb3_CampaignMaster[Campaign_Code],tb3_CampaignMaster[Start_Date],"")</f>
        <v>45572</v>
      </c>
      <c r="X434" s="17">
        <f>_xlfn.XLOOKUP(Table8[[#This Row],[Campaign_Code]],tb3_CampaignMaster[Campaign_Code],tb3_CampaignMaster[End_Date],"")</f>
        <v>45578</v>
      </c>
      <c r="Y434">
        <f>_xlfn.XLOOKUP(Table8[[#This Row],[Campaign_Code]],tb3_CampaignMaster[Campaign_Code],tb3_CampaignMaster[Budget_GBP],"")</f>
        <v>5000</v>
      </c>
      <c r="Z434" t="str">
        <f>_xlfn.XLOOKUP(Table8[[#This Row],[Campaign_Code]],tb3_CampaignMaster[Campaign_Code],tb3_CampaignMaster[Primary_Channel],"")</f>
        <v>Direct Mail</v>
      </c>
      <c r="AA434" s="13">
        <f>IF(Table8[[#This Row],[Gift_Aid_Eligible]]="Yes",Table8[[#This Row],[Gift_Amount]]*1.25,Table8[[#This Row],[Gift_Amount]])</f>
        <v>99.92</v>
      </c>
      <c r="AB434" t="str">
        <f>IF(Table8[[#This Row],[Supporter_ID]]="","Review - missing supporter ID","")</f>
        <v/>
      </c>
      <c r="AC434" t="str">
        <f>IF(OR(Table8[[#This Row],[Response_Date]]&lt;Table8[[#This Row],[Start_Date]],Table8[[#This Row],[Response_Date]]&gt;Table8[[#This Row],[End_Date]]),"Review - response outside campaign dates","")</f>
        <v/>
      </c>
      <c r="AD434" t="str">
        <f>IF(Table8[[#This Row],[Campaign_Type]]="","Review - campaign code not found","")</f>
        <v/>
      </c>
    </row>
    <row r="435" spans="1:30" x14ac:dyDescent="0.25">
      <c r="A435" t="s">
        <v>4103</v>
      </c>
      <c r="B435" t="s">
        <v>3278</v>
      </c>
      <c r="C435" t="s">
        <v>3325</v>
      </c>
      <c r="D435" t="s">
        <v>3326</v>
      </c>
      <c r="E435" t="s">
        <v>3338</v>
      </c>
      <c r="F435" s="17">
        <v>45621</v>
      </c>
      <c r="G435">
        <v>46.07</v>
      </c>
      <c r="H435" t="s">
        <v>37</v>
      </c>
      <c r="I435" t="s">
        <v>3365</v>
      </c>
      <c r="J435" t="str">
        <f>_xlfn.XLOOKUP(Table8[[#This Row],[Supporter_ID]],tb1_supporters[Supporter_ID ],tb1_supporters[Segment],"")</f>
        <v>Regular Giver</v>
      </c>
      <c r="K435" t="str">
        <f>_xlfn.XLOOKUP(Table8[[#This Row],[Supporter_ID]],tb1_supporters[Supporter_ID ],tb1_supporters[Acquisition_Source],"")</f>
        <v>Door-To-Door</v>
      </c>
      <c r="L435" t="str">
        <f>_xlfn.XLOOKUP(Table8[[#This Row],[Supporter_ID]],tb1_supporters[Supporter_ID ],tb1_supporters[County],"")</f>
        <v>South Yorkshire</v>
      </c>
      <c r="M435" t="str">
        <f>_xlfn.XLOOKUP(Table8[[#This Row],[Supporter_ID]],tb1_supporters[Supporter_ID ],tb1_supporters[Gender],"")</f>
        <v>Male</v>
      </c>
      <c r="N435">
        <f ca="1">_xlfn.XLOOKUP(Table8[[#This Row],[Supporter_ID]],tb1_supporters[Supporter_ID ],tb1_supporters[Age],"")</f>
        <v>59</v>
      </c>
      <c r="O435" t="str">
        <f ca="1">_xlfn.XLOOKUP(Table8[[#This Row],[Supporter_ID]],tb1_supporters[Supporter_ID ],tb1_supporters[Age_Band],"")</f>
        <v>50-64</v>
      </c>
      <c r="P435" t="str">
        <f ca="1">IF(Table8[[#This Row],[Age_Band]]="","Unknown",Table8[[#This Row],[Age_Band]])</f>
        <v>50-64</v>
      </c>
      <c r="Q435" t="str">
        <f>_xlfn.XLOOKUP(Table8[[#This Row],[Supporter_ID]],tb1_supporters[Supporter_ID ],tb1_supporters[Communication_Preference],"")</f>
        <v>Post</v>
      </c>
      <c r="R435" t="str">
        <f>_xlfn.XLOOKUP(Table8[[#This Row],[Supporter_ID]],tb1_supporters[Supporter_ID ],tb1_supporters[Duplicate_Profile_Flag],"")</f>
        <v>Review - duplicate record, see Supporter_Duplicates tab</v>
      </c>
      <c r="S435" t="str">
        <f>_xlfn.XLOOKUP(Table8[[#This Row],[Supporter_ID]],tb1_supporters[Supporter_ID ],tb1_supporters[Preference_Compliance_Flag],"")</f>
        <v/>
      </c>
      <c r="T435" t="str">
        <f ca="1">IF(Table8[[#This Row],[Age]]="","Review - missing DOB",IF(Table8[[#This Row],[Age]]&gt;TODAY(),"Review - future DOB",IF(Table8[[#This Row],[Age]]=0,"Review -  potential entry error (age 0)","")))</f>
        <v/>
      </c>
      <c r="U435" t="str">
        <f>_xlfn.XLOOKUP(Table8[[#This Row],[Campaign_Code]],tb3_CampaignMaster[Campaign_Code],tb3_CampaignMaster[Campaign_Type],"")</f>
        <v>Appeal</v>
      </c>
      <c r="V435" t="str">
        <f>_xlfn.XLOOKUP(Table8[[#This Row],[Campaign_Code]],tb3_CampaignMaster[Campaign_Code],tb3_CampaignMaster[Target_Audience],"")</f>
        <v>All Active</v>
      </c>
      <c r="W435" s="17">
        <f>_xlfn.XLOOKUP(Table8[[#This Row],[Campaign_Code]],tb3_CampaignMaster[Campaign_Code],tb3_CampaignMaster[Start_Date],"")</f>
        <v>45597</v>
      </c>
      <c r="X435" s="17">
        <f>_xlfn.XLOOKUP(Table8[[#This Row],[Campaign_Code]],tb3_CampaignMaster[Campaign_Code],tb3_CampaignMaster[End_Date],"")</f>
        <v>45657</v>
      </c>
      <c r="Y435">
        <f>_xlfn.XLOOKUP(Table8[[#This Row],[Campaign_Code]],tb3_CampaignMaster[Campaign_Code],tb3_CampaignMaster[Budget_GBP],"")</f>
        <v>25000</v>
      </c>
      <c r="Z435" t="str">
        <f>_xlfn.XLOOKUP(Table8[[#This Row],[Campaign_Code]],tb3_CampaignMaster[Campaign_Code],tb3_CampaignMaster[Primary_Channel],"")</f>
        <v>Multi-channel</v>
      </c>
      <c r="AA435" s="13">
        <f>IF(Table8[[#This Row],[Gift_Aid_Eligible]]="Yes",Table8[[#This Row],[Gift_Amount]]*1.25,Table8[[#This Row],[Gift_Amount]])</f>
        <v>46.07</v>
      </c>
      <c r="AB435" t="str">
        <f>IF(Table8[[#This Row],[Supporter_ID]]="","Review - missing supporter ID","")</f>
        <v/>
      </c>
      <c r="AC435" t="str">
        <f>IF(OR(Table8[[#This Row],[Response_Date]]&lt;Table8[[#This Row],[Start_Date]],Table8[[#This Row],[Response_Date]]&gt;Table8[[#This Row],[End_Date]]),"Review - response outside campaign dates","")</f>
        <v/>
      </c>
      <c r="AD435" t="str">
        <f>IF(Table8[[#This Row],[Campaign_Type]]="","Review - campaign code not found","")</f>
        <v/>
      </c>
    </row>
    <row r="436" spans="1:30" x14ac:dyDescent="0.25">
      <c r="A436" t="s">
        <v>4104</v>
      </c>
      <c r="B436" t="s">
        <v>502</v>
      </c>
      <c r="C436" t="s">
        <v>3314</v>
      </c>
      <c r="D436" t="s">
        <v>3315</v>
      </c>
      <c r="E436" t="s">
        <v>33</v>
      </c>
      <c r="F436" s="17">
        <v>45745</v>
      </c>
      <c r="G436">
        <v>33.81</v>
      </c>
      <c r="H436" t="s">
        <v>36</v>
      </c>
      <c r="I436" t="s">
        <v>3334</v>
      </c>
      <c r="J436" t="str">
        <f>_xlfn.XLOOKUP(Table8[[#This Row],[Supporter_ID]],tb1_supporters[Supporter_ID ],tb1_supporters[Segment],"")</f>
        <v>Lapsed</v>
      </c>
      <c r="K436" t="str">
        <f>_xlfn.XLOOKUP(Table8[[#This Row],[Supporter_ID]],tb1_supporters[Supporter_ID ],tb1_supporters[Acquisition_Source],"")</f>
        <v>Social Media</v>
      </c>
      <c r="L436" t="str">
        <f>_xlfn.XLOOKUP(Table8[[#This Row],[Supporter_ID]],tb1_supporters[Supporter_ID ],tb1_supporters[County],"")</f>
        <v>Avon</v>
      </c>
      <c r="M436" t="str">
        <f>_xlfn.XLOOKUP(Table8[[#This Row],[Supporter_ID]],tb1_supporters[Supporter_ID ],tb1_supporters[Gender],"")</f>
        <v>Male</v>
      </c>
      <c r="N436">
        <f ca="1">_xlfn.XLOOKUP(Table8[[#This Row],[Supporter_ID]],tb1_supporters[Supporter_ID ],tb1_supporters[Age],"")</f>
        <v>40</v>
      </c>
      <c r="O436" t="str">
        <f ca="1">_xlfn.XLOOKUP(Table8[[#This Row],[Supporter_ID]],tb1_supporters[Supporter_ID ],tb1_supporters[Age_Band],"")</f>
        <v>35-49</v>
      </c>
      <c r="P436" t="str">
        <f ca="1">IF(Table8[[#This Row],[Age_Band]]="","Unknown",Table8[[#This Row],[Age_Band]])</f>
        <v>35-49</v>
      </c>
      <c r="Q436" t="str">
        <f>_xlfn.XLOOKUP(Table8[[#This Row],[Supporter_ID]],tb1_supporters[Supporter_ID ],tb1_supporters[Communication_Preference],"")</f>
        <v>Post</v>
      </c>
      <c r="R436" t="str">
        <f>_xlfn.XLOOKUP(Table8[[#This Row],[Supporter_ID]],tb1_supporters[Supporter_ID ],tb1_supporters[Duplicate_Profile_Flag],"")</f>
        <v/>
      </c>
      <c r="S436" t="str">
        <f>_xlfn.XLOOKUP(Table8[[#This Row],[Supporter_ID]],tb1_supporters[Supporter_ID ],tb1_supporters[Preference_Compliance_Flag],"")</f>
        <v/>
      </c>
      <c r="T436" t="str">
        <f ca="1">IF(Table8[[#This Row],[Age]]="","Review - missing DOB",IF(Table8[[#This Row],[Age]]&gt;TODAY(),"Review - future DOB",IF(Table8[[#This Row],[Age]]=0,"Review -  potential entry error (age 0)","")))</f>
        <v/>
      </c>
      <c r="U436" t="str">
        <f>_xlfn.XLOOKUP(Table8[[#This Row],[Campaign_Code]],tb3_CampaignMaster[Campaign_Code],tb3_CampaignMaster[Campaign_Type],"")</f>
        <v>Regular Giving</v>
      </c>
      <c r="V436" t="str">
        <f>_xlfn.XLOOKUP(Table8[[#This Row],[Campaign_Code]],tb3_CampaignMaster[Campaign_Code],tb3_CampaignMaster[Target_Audience],"")</f>
        <v>One-time Donors</v>
      </c>
      <c r="W436" s="17">
        <f>_xlfn.XLOOKUP(Table8[[#This Row],[Campaign_Code]],tb3_CampaignMaster[Campaign_Code],tb3_CampaignMaster[Start_Date],"")</f>
        <v>45663</v>
      </c>
      <c r="X436" s="17">
        <f>_xlfn.XLOOKUP(Table8[[#This Row],[Campaign_Code]],tb3_CampaignMaster[Campaign_Code],tb3_CampaignMaster[End_Date],"")</f>
        <v>45747</v>
      </c>
      <c r="Y436">
        <f>_xlfn.XLOOKUP(Table8[[#This Row],[Campaign_Code]],tb3_CampaignMaster[Campaign_Code],tb3_CampaignMaster[Budget_GBP],"")</f>
        <v>10000</v>
      </c>
      <c r="Z436" t="str">
        <f>_xlfn.XLOOKUP(Table8[[#This Row],[Campaign_Code]],tb3_CampaignMaster[Campaign_Code],tb3_CampaignMaster[Primary_Channel],"")</f>
        <v>Telephone</v>
      </c>
      <c r="AA436" s="13">
        <f>IF(Table8[[#This Row],[Gift_Aid_Eligible]]="Yes",Table8[[#This Row],[Gift_Amount]]*1.25,Table8[[#This Row],[Gift_Amount]])</f>
        <v>42.262500000000003</v>
      </c>
      <c r="AB436" t="str">
        <f>IF(Table8[[#This Row],[Supporter_ID]]="","Review - missing supporter ID","")</f>
        <v/>
      </c>
      <c r="AC436" t="str">
        <f>IF(OR(Table8[[#This Row],[Response_Date]]&lt;Table8[[#This Row],[Start_Date]],Table8[[#This Row],[Response_Date]]&gt;Table8[[#This Row],[End_Date]]),"Review - response outside campaign dates","")</f>
        <v/>
      </c>
      <c r="AD436" t="str">
        <f>IF(Table8[[#This Row],[Campaign_Type]]="","Review - campaign code not found","")</f>
        <v/>
      </c>
    </row>
    <row r="437" spans="1:30" x14ac:dyDescent="0.25">
      <c r="A437" t="s">
        <v>4106</v>
      </c>
      <c r="B437" t="s">
        <v>3003</v>
      </c>
      <c r="C437" t="s">
        <v>3354</v>
      </c>
      <c r="D437" t="s">
        <v>3355</v>
      </c>
      <c r="E437" t="s">
        <v>4</v>
      </c>
      <c r="F437" s="17">
        <v>45618</v>
      </c>
      <c r="G437">
        <v>252.35</v>
      </c>
      <c r="H437" t="s">
        <v>36</v>
      </c>
      <c r="I437" t="s">
        <v>3318</v>
      </c>
      <c r="J437" t="str">
        <f>_xlfn.XLOOKUP(Table8[[#This Row],[Supporter_ID]],tb1_supporters[Supporter_ID ],tb1_supporters[Segment],"")</f>
        <v>Legacy Pledger</v>
      </c>
      <c r="K437" t="str">
        <f>_xlfn.XLOOKUP(Table8[[#This Row],[Supporter_ID]],tb1_supporters[Supporter_ID ],tb1_supporters[Acquisition_Source],"")</f>
        <v>Corporate Partner</v>
      </c>
      <c r="L437" t="str">
        <f>_xlfn.XLOOKUP(Table8[[#This Row],[Supporter_ID]],tb1_supporters[Supporter_ID ],tb1_supporters[County],"")</f>
        <v>South Yorkshire</v>
      </c>
      <c r="M437" t="str">
        <f>_xlfn.XLOOKUP(Table8[[#This Row],[Supporter_ID]],tb1_supporters[Supporter_ID ],tb1_supporters[Gender],"")</f>
        <v>Male</v>
      </c>
      <c r="N437">
        <f ca="1">_xlfn.XLOOKUP(Table8[[#This Row],[Supporter_ID]],tb1_supporters[Supporter_ID ],tb1_supporters[Age],"")</f>
        <v>86</v>
      </c>
      <c r="O437" t="str">
        <f ca="1">_xlfn.XLOOKUP(Table8[[#This Row],[Supporter_ID]],tb1_supporters[Supporter_ID ],tb1_supporters[Age_Band],"")</f>
        <v>65+</v>
      </c>
      <c r="P437" t="str">
        <f ca="1">IF(Table8[[#This Row],[Age_Band]]="","Unknown",Table8[[#This Row],[Age_Band]])</f>
        <v>65+</v>
      </c>
      <c r="Q437" t="str">
        <f>_xlfn.XLOOKUP(Table8[[#This Row],[Supporter_ID]],tb1_supporters[Supporter_ID ],tb1_supporters[Communication_Preference],"")</f>
        <v>No Preference</v>
      </c>
      <c r="R437" t="str">
        <f>_xlfn.XLOOKUP(Table8[[#This Row],[Supporter_ID]],tb1_supporters[Supporter_ID ],tb1_supporters[Duplicate_Profile_Flag],"")</f>
        <v/>
      </c>
      <c r="S437" t="str">
        <f>_xlfn.XLOOKUP(Table8[[#This Row],[Supporter_ID]],tb1_supporters[Supporter_ID ],tb1_supporters[Preference_Compliance_Flag],"")</f>
        <v/>
      </c>
      <c r="T437" t="str">
        <f ca="1">IF(Table8[[#This Row],[Age]]="","Review - missing DOB",IF(Table8[[#This Row],[Age]]&gt;TODAY(),"Review - future DOB",IF(Table8[[#This Row],[Age]]=0,"Review -  potential entry error (age 0)","")))</f>
        <v/>
      </c>
      <c r="U437" t="str">
        <f>_xlfn.XLOOKUP(Table8[[#This Row],[Campaign_Code]],tb3_CampaignMaster[Campaign_Code],tb3_CampaignMaster[Campaign_Type],"")</f>
        <v>Event</v>
      </c>
      <c r="V437" t="str">
        <f>_xlfn.XLOOKUP(Table8[[#This Row],[Campaign_Code]],tb3_CampaignMaster[Campaign_Code],tb3_CampaignMaster[Target_Audience],"")</f>
        <v>Volunteers</v>
      </c>
      <c r="W437" s="17">
        <f>_xlfn.XLOOKUP(Table8[[#This Row],[Campaign_Code]],tb3_CampaignMaster[Campaign_Code],tb3_CampaignMaster[Start_Date],"")</f>
        <v>45618</v>
      </c>
      <c r="X437" s="17">
        <f>_xlfn.XLOOKUP(Table8[[#This Row],[Campaign_Code]],tb3_CampaignMaster[Campaign_Code],tb3_CampaignMaster[End_Date],"")</f>
        <v>45618</v>
      </c>
      <c r="Y437">
        <f>_xlfn.XLOOKUP(Table8[[#This Row],[Campaign_Code]],tb3_CampaignMaster[Campaign_Code],tb3_CampaignMaster[Budget_GBP],"")</f>
        <v>3500</v>
      </c>
      <c r="Z437" t="str">
        <f>_xlfn.XLOOKUP(Table8[[#This Row],[Campaign_Code]],tb3_CampaignMaster[Campaign_Code],tb3_CampaignMaster[Primary_Channel],"")</f>
        <v>Email</v>
      </c>
      <c r="AA437" s="13">
        <f>IF(Table8[[#This Row],[Gift_Aid_Eligible]]="Yes",Table8[[#This Row],[Gift_Amount]]*1.25,Table8[[#This Row],[Gift_Amount]])</f>
        <v>315.4375</v>
      </c>
      <c r="AB437" t="str">
        <f>IF(Table8[[#This Row],[Supporter_ID]]="","Review - missing supporter ID","")</f>
        <v/>
      </c>
      <c r="AC437" t="str">
        <f>IF(OR(Table8[[#This Row],[Response_Date]]&lt;Table8[[#This Row],[Start_Date]],Table8[[#This Row],[Response_Date]]&gt;Table8[[#This Row],[End_Date]]),"Review - response outside campaign dates","")</f>
        <v/>
      </c>
      <c r="AD437" t="str">
        <f>IF(Table8[[#This Row],[Campaign_Type]]="","Review - campaign code not found","")</f>
        <v/>
      </c>
    </row>
    <row r="438" spans="1:30" x14ac:dyDescent="0.25">
      <c r="A438" t="s">
        <v>4107</v>
      </c>
      <c r="B438" t="s">
        <v>1951</v>
      </c>
      <c r="C438" t="s">
        <v>3314</v>
      </c>
      <c r="D438" t="s">
        <v>3315</v>
      </c>
      <c r="E438" t="s">
        <v>3316</v>
      </c>
      <c r="F438" s="17">
        <v>45725</v>
      </c>
      <c r="G438">
        <v>49.6</v>
      </c>
      <c r="H438" t="s">
        <v>36</v>
      </c>
      <c r="I438" t="s">
        <v>3365</v>
      </c>
      <c r="J438" t="str">
        <f>_xlfn.XLOOKUP(Table8[[#This Row],[Supporter_ID]],tb1_supporters[Supporter_ID ],tb1_supporters[Segment],"")</f>
        <v>Lapsed</v>
      </c>
      <c r="K438" t="str">
        <f>_xlfn.XLOOKUP(Table8[[#This Row],[Supporter_ID]],tb1_supporters[Supporter_ID ],tb1_supporters[Acquisition_Source],"")</f>
        <v>Event</v>
      </c>
      <c r="L438" t="str">
        <f>_xlfn.XLOOKUP(Table8[[#This Row],[Supporter_ID]],tb1_supporters[Supporter_ID ],tb1_supporters[County],"")</f>
        <v>Surrey</v>
      </c>
      <c r="M438" t="str">
        <f>_xlfn.XLOOKUP(Table8[[#This Row],[Supporter_ID]],tb1_supporters[Supporter_ID ],tb1_supporters[Gender],"")</f>
        <v>Female</v>
      </c>
      <c r="N438">
        <f ca="1">_xlfn.XLOOKUP(Table8[[#This Row],[Supporter_ID]],tb1_supporters[Supporter_ID ],tb1_supporters[Age],"")</f>
        <v>39</v>
      </c>
      <c r="O438" t="str">
        <f ca="1">_xlfn.XLOOKUP(Table8[[#This Row],[Supporter_ID]],tb1_supporters[Supporter_ID ],tb1_supporters[Age_Band],"")</f>
        <v>35-49</v>
      </c>
      <c r="P438" t="str">
        <f ca="1">IF(Table8[[#This Row],[Age_Band]]="","Unknown",Table8[[#This Row],[Age_Band]])</f>
        <v>35-49</v>
      </c>
      <c r="Q438" t="str">
        <f>_xlfn.XLOOKUP(Table8[[#This Row],[Supporter_ID]],tb1_supporters[Supporter_ID ],tb1_supporters[Communication_Preference],"")</f>
        <v>No Preference</v>
      </c>
      <c r="R438" t="str">
        <f>_xlfn.XLOOKUP(Table8[[#This Row],[Supporter_ID]],tb1_supporters[Supporter_ID ],tb1_supporters[Duplicate_Profile_Flag],"")</f>
        <v/>
      </c>
      <c r="S438" t="str">
        <f>_xlfn.XLOOKUP(Table8[[#This Row],[Supporter_ID]],tb1_supporters[Supporter_ID ],tb1_supporters[Preference_Compliance_Flag],"")</f>
        <v/>
      </c>
      <c r="T438" t="str">
        <f ca="1">IF(Table8[[#This Row],[Age]]="","Review - missing DOB",IF(Table8[[#This Row],[Age]]&gt;TODAY(),"Review - future DOB",IF(Table8[[#This Row],[Age]]=0,"Review -  potential entry error (age 0)","")))</f>
        <v/>
      </c>
      <c r="U438" t="str">
        <f>_xlfn.XLOOKUP(Table8[[#This Row],[Campaign_Code]],tb3_CampaignMaster[Campaign_Code],tb3_CampaignMaster[Campaign_Type],"")</f>
        <v>Regular Giving</v>
      </c>
      <c r="V438" t="str">
        <f>_xlfn.XLOOKUP(Table8[[#This Row],[Campaign_Code]],tb3_CampaignMaster[Campaign_Code],tb3_CampaignMaster[Target_Audience],"")</f>
        <v>One-time Donors</v>
      </c>
      <c r="W438" s="17">
        <f>_xlfn.XLOOKUP(Table8[[#This Row],[Campaign_Code]],tb3_CampaignMaster[Campaign_Code],tb3_CampaignMaster[Start_Date],"")</f>
        <v>45663</v>
      </c>
      <c r="X438" s="17">
        <f>_xlfn.XLOOKUP(Table8[[#This Row],[Campaign_Code]],tb3_CampaignMaster[Campaign_Code],tb3_CampaignMaster[End_Date],"")</f>
        <v>45747</v>
      </c>
      <c r="Y438">
        <f>_xlfn.XLOOKUP(Table8[[#This Row],[Campaign_Code]],tb3_CampaignMaster[Campaign_Code],tb3_CampaignMaster[Budget_GBP],"")</f>
        <v>10000</v>
      </c>
      <c r="Z438" t="str">
        <f>_xlfn.XLOOKUP(Table8[[#This Row],[Campaign_Code]],tb3_CampaignMaster[Campaign_Code],tb3_CampaignMaster[Primary_Channel],"")</f>
        <v>Telephone</v>
      </c>
      <c r="AA438" s="13">
        <f>IF(Table8[[#This Row],[Gift_Aid_Eligible]]="Yes",Table8[[#This Row],[Gift_Amount]]*1.25,Table8[[#This Row],[Gift_Amount]])</f>
        <v>62</v>
      </c>
      <c r="AB438" t="str">
        <f>IF(Table8[[#This Row],[Supporter_ID]]="","Review - missing supporter ID","")</f>
        <v/>
      </c>
      <c r="AC438" t="str">
        <f>IF(OR(Table8[[#This Row],[Response_Date]]&lt;Table8[[#This Row],[Start_Date]],Table8[[#This Row],[Response_Date]]&gt;Table8[[#This Row],[End_Date]]),"Review - response outside campaign dates","")</f>
        <v/>
      </c>
      <c r="AD438" t="str">
        <f>IF(Table8[[#This Row],[Campaign_Type]]="","Review - campaign code not found","")</f>
        <v/>
      </c>
    </row>
    <row r="439" spans="1:30" x14ac:dyDescent="0.25">
      <c r="A439" t="s">
        <v>4109</v>
      </c>
      <c r="B439" t="s">
        <v>2946</v>
      </c>
      <c r="C439" t="s">
        <v>3341</v>
      </c>
      <c r="D439" t="s">
        <v>3342</v>
      </c>
      <c r="E439" t="s">
        <v>91</v>
      </c>
      <c r="F439" s="17">
        <v>45767</v>
      </c>
      <c r="G439">
        <v>125.11</v>
      </c>
      <c r="H439" t="s">
        <v>37</v>
      </c>
      <c r="I439" t="s">
        <v>3318</v>
      </c>
      <c r="J439" t="str">
        <f>_xlfn.XLOOKUP(Table8[[#This Row],[Supporter_ID]],tb1_supporters[Supporter_ID ],tb1_supporters[Segment],"")</f>
        <v>One-Time Donor</v>
      </c>
      <c r="K439" t="str">
        <f>_xlfn.XLOOKUP(Table8[[#This Row],[Supporter_ID]],tb1_supporters[Supporter_ID ],tb1_supporters[Acquisition_Source],"")</f>
        <v>Event</v>
      </c>
      <c r="L439" t="str">
        <f>_xlfn.XLOOKUP(Table8[[#This Row],[Supporter_ID]],tb1_supporters[Supporter_ID ],tb1_supporters[County],"")</f>
        <v>East Sussex</v>
      </c>
      <c r="M439" t="str">
        <f>_xlfn.XLOOKUP(Table8[[#This Row],[Supporter_ID]],tb1_supporters[Supporter_ID ],tb1_supporters[Gender],"")</f>
        <v>Male</v>
      </c>
      <c r="N439">
        <f ca="1">_xlfn.XLOOKUP(Table8[[#This Row],[Supporter_ID]],tb1_supporters[Supporter_ID ],tb1_supporters[Age],"")</f>
        <v>64</v>
      </c>
      <c r="O439" t="str">
        <f ca="1">_xlfn.XLOOKUP(Table8[[#This Row],[Supporter_ID]],tb1_supporters[Supporter_ID ],tb1_supporters[Age_Band],"")</f>
        <v>50-64</v>
      </c>
      <c r="P439" t="str">
        <f ca="1">IF(Table8[[#This Row],[Age_Band]]="","Unknown",Table8[[#This Row],[Age_Band]])</f>
        <v>50-64</v>
      </c>
      <c r="Q439" t="str">
        <f>_xlfn.XLOOKUP(Table8[[#This Row],[Supporter_ID]],tb1_supporters[Supporter_ID ],tb1_supporters[Communication_Preference],"")</f>
        <v>Email</v>
      </c>
      <c r="R439" t="str">
        <f>_xlfn.XLOOKUP(Table8[[#This Row],[Supporter_ID]],tb1_supporters[Supporter_ID ],tb1_supporters[Duplicate_Profile_Flag],"")</f>
        <v/>
      </c>
      <c r="S439" t="str">
        <f>_xlfn.XLOOKUP(Table8[[#This Row],[Supporter_ID]],tb1_supporters[Supporter_ID ],tb1_supporters[Preference_Compliance_Flag],"")</f>
        <v/>
      </c>
      <c r="T439" t="str">
        <f ca="1">IF(Table8[[#This Row],[Age]]="","Review - missing DOB",IF(Table8[[#This Row],[Age]]&gt;TODAY(),"Review - future DOB",IF(Table8[[#This Row],[Age]]=0,"Review -  potential entry error (age 0)","")))</f>
        <v/>
      </c>
      <c r="U439" t="str">
        <f>_xlfn.XLOOKUP(Table8[[#This Row],[Campaign_Code]],tb3_CampaignMaster[Campaign_Code],tb3_CampaignMaster[Campaign_Type],"")</f>
        <v>Acquisition</v>
      </c>
      <c r="V439" t="str">
        <f>_xlfn.XLOOKUP(Table8[[#This Row],[Campaign_Code]],tb3_CampaignMaster[Campaign_Code],tb3_CampaignMaster[Target_Audience],"")</f>
        <v>Prospects</v>
      </c>
      <c r="W439" s="17">
        <f>_xlfn.XLOOKUP(Table8[[#This Row],[Campaign_Code]],tb3_CampaignMaster[Campaign_Code],tb3_CampaignMaster[Start_Date],"")</f>
        <v>45689</v>
      </c>
      <c r="X439" s="17">
        <f>_xlfn.XLOOKUP(Table8[[#This Row],[Campaign_Code]],tb3_CampaignMaster[Campaign_Code],tb3_CampaignMaster[End_Date],"")</f>
        <v>45777</v>
      </c>
      <c r="Y439">
        <f>_xlfn.XLOOKUP(Table8[[#This Row],[Campaign_Code]],tb3_CampaignMaster[Campaign_Code],tb3_CampaignMaster[Budget_GBP],"")</f>
        <v>20000</v>
      </c>
      <c r="Z439" t="str">
        <f>_xlfn.XLOOKUP(Table8[[#This Row],[Campaign_Code]],tb3_CampaignMaster[Campaign_Code],tb3_CampaignMaster[Primary_Channel],"")</f>
        <v>Digital</v>
      </c>
      <c r="AA439" s="13">
        <f>IF(Table8[[#This Row],[Gift_Aid_Eligible]]="Yes",Table8[[#This Row],[Gift_Amount]]*1.25,Table8[[#This Row],[Gift_Amount]])</f>
        <v>125.11</v>
      </c>
      <c r="AB439" t="str">
        <f>IF(Table8[[#This Row],[Supporter_ID]]="","Review - missing supporter ID","")</f>
        <v/>
      </c>
      <c r="AC439" t="str">
        <f>IF(OR(Table8[[#This Row],[Response_Date]]&lt;Table8[[#This Row],[Start_Date]],Table8[[#This Row],[Response_Date]]&gt;Table8[[#This Row],[End_Date]]),"Review - response outside campaign dates","")</f>
        <v/>
      </c>
      <c r="AD439" t="str">
        <f>IF(Table8[[#This Row],[Campaign_Type]]="","Review - campaign code not found","")</f>
        <v/>
      </c>
    </row>
    <row r="440" spans="1:30" x14ac:dyDescent="0.25">
      <c r="A440" t="s">
        <v>4111</v>
      </c>
      <c r="B440" t="s">
        <v>2489</v>
      </c>
      <c r="C440" t="s">
        <v>3362</v>
      </c>
      <c r="D440" t="s">
        <v>3363</v>
      </c>
      <c r="E440" t="s">
        <v>65</v>
      </c>
      <c r="F440" s="17">
        <v>45577</v>
      </c>
      <c r="G440">
        <v>397.4</v>
      </c>
      <c r="H440" t="s">
        <v>37</v>
      </c>
      <c r="I440" t="s">
        <v>3334</v>
      </c>
      <c r="J440" t="str">
        <f>_xlfn.XLOOKUP(Table8[[#This Row],[Supporter_ID]],tb1_supporters[Supporter_ID ],tb1_supporters[Segment],"")</f>
        <v>Legacy Pledger</v>
      </c>
      <c r="K440" t="str">
        <f>_xlfn.XLOOKUP(Table8[[#This Row],[Supporter_ID]],tb1_supporters[Supporter_ID ],tb1_supporters[Acquisition_Source],"")</f>
        <v>Door-To-Door</v>
      </c>
      <c r="L440" t="str">
        <f>_xlfn.XLOOKUP(Table8[[#This Row],[Supporter_ID]],tb1_supporters[Supporter_ID ],tb1_supporters[County],"")</f>
        <v>Wiltshire</v>
      </c>
      <c r="M440" t="str">
        <f>_xlfn.XLOOKUP(Table8[[#This Row],[Supporter_ID]],tb1_supporters[Supporter_ID ],tb1_supporters[Gender],"")</f>
        <v>Male</v>
      </c>
      <c r="N440">
        <f ca="1">_xlfn.XLOOKUP(Table8[[#This Row],[Supporter_ID]],tb1_supporters[Supporter_ID ],tb1_supporters[Age],"")</f>
        <v>73</v>
      </c>
      <c r="O440" t="str">
        <f ca="1">_xlfn.XLOOKUP(Table8[[#This Row],[Supporter_ID]],tb1_supporters[Supporter_ID ],tb1_supporters[Age_Band],"")</f>
        <v>65+</v>
      </c>
      <c r="P440" t="str">
        <f ca="1">IF(Table8[[#This Row],[Age_Band]]="","Unknown",Table8[[#This Row],[Age_Band]])</f>
        <v>65+</v>
      </c>
      <c r="Q440" t="str">
        <f>_xlfn.XLOOKUP(Table8[[#This Row],[Supporter_ID]],tb1_supporters[Supporter_ID ],tb1_supporters[Communication_Preference],"")</f>
        <v>No Preference</v>
      </c>
      <c r="R440" t="str">
        <f>_xlfn.XLOOKUP(Table8[[#This Row],[Supporter_ID]],tb1_supporters[Supporter_ID ],tb1_supporters[Duplicate_Profile_Flag],"")</f>
        <v/>
      </c>
      <c r="S440" t="str">
        <f>_xlfn.XLOOKUP(Table8[[#This Row],[Supporter_ID]],tb1_supporters[Supporter_ID ],tb1_supporters[Preference_Compliance_Flag],"")</f>
        <v/>
      </c>
      <c r="T440" t="str">
        <f ca="1">IF(Table8[[#This Row],[Age]]="","Review - missing DOB",IF(Table8[[#This Row],[Age]]&gt;TODAY(),"Review - future DOB",IF(Table8[[#This Row],[Age]]=0,"Review -  potential entry error (age 0)","")))</f>
        <v/>
      </c>
      <c r="U440" t="str">
        <f>_xlfn.XLOOKUP(Table8[[#This Row],[Campaign_Code]],tb3_CampaignMaster[Campaign_Code],tb3_CampaignMaster[Campaign_Type],"")</f>
        <v>Legacy</v>
      </c>
      <c r="V440" t="str">
        <f>_xlfn.XLOOKUP(Table8[[#This Row],[Campaign_Code]],tb3_CampaignMaster[Campaign_Code],tb3_CampaignMaster[Target_Audience],"")</f>
        <v>Over 55s</v>
      </c>
      <c r="W440" s="17">
        <f>_xlfn.XLOOKUP(Table8[[#This Row],[Campaign_Code]],tb3_CampaignMaster[Campaign_Code],tb3_CampaignMaster[Start_Date],"")</f>
        <v>45572</v>
      </c>
      <c r="X440" s="17">
        <f>_xlfn.XLOOKUP(Table8[[#This Row],[Campaign_Code]],tb3_CampaignMaster[Campaign_Code],tb3_CampaignMaster[End_Date],"")</f>
        <v>45578</v>
      </c>
      <c r="Y440">
        <f>_xlfn.XLOOKUP(Table8[[#This Row],[Campaign_Code]],tb3_CampaignMaster[Campaign_Code],tb3_CampaignMaster[Budget_GBP],"")</f>
        <v>5000</v>
      </c>
      <c r="Z440" t="str">
        <f>_xlfn.XLOOKUP(Table8[[#This Row],[Campaign_Code]],tb3_CampaignMaster[Campaign_Code],tb3_CampaignMaster[Primary_Channel],"")</f>
        <v>Direct Mail</v>
      </c>
      <c r="AA440" s="13">
        <f>IF(Table8[[#This Row],[Gift_Aid_Eligible]]="Yes",Table8[[#This Row],[Gift_Amount]]*1.25,Table8[[#This Row],[Gift_Amount]])</f>
        <v>397.4</v>
      </c>
      <c r="AB440" t="str">
        <f>IF(Table8[[#This Row],[Supporter_ID]]="","Review - missing supporter ID","")</f>
        <v/>
      </c>
      <c r="AC440" t="str">
        <f>IF(OR(Table8[[#This Row],[Response_Date]]&lt;Table8[[#This Row],[Start_Date]],Table8[[#This Row],[Response_Date]]&gt;Table8[[#This Row],[End_Date]]),"Review - response outside campaign dates","")</f>
        <v/>
      </c>
      <c r="AD440" t="str">
        <f>IF(Table8[[#This Row],[Campaign_Type]]="","Review - campaign code not found","")</f>
        <v/>
      </c>
    </row>
    <row r="441" spans="1:30" x14ac:dyDescent="0.25">
      <c r="A441" t="s">
        <v>4112</v>
      </c>
      <c r="B441" t="s">
        <v>974</v>
      </c>
      <c r="C441" t="s">
        <v>3320</v>
      </c>
      <c r="D441" t="s">
        <v>3321</v>
      </c>
      <c r="E441" t="s">
        <v>65</v>
      </c>
      <c r="F441" s="17">
        <v>45460</v>
      </c>
      <c r="G441">
        <v>56.48</v>
      </c>
      <c r="H441" t="s">
        <v>36</v>
      </c>
      <c r="I441" t="s">
        <v>3385</v>
      </c>
      <c r="J441" t="str">
        <f>_xlfn.XLOOKUP(Table8[[#This Row],[Supporter_ID]],tb1_supporters[Supporter_ID ],tb1_supporters[Segment],"")</f>
        <v>Mid-Value</v>
      </c>
      <c r="K441" t="str">
        <f>_xlfn.XLOOKUP(Table8[[#This Row],[Supporter_ID]],tb1_supporters[Supporter_ID ],tb1_supporters[Acquisition_Source],"")</f>
        <v>Website</v>
      </c>
      <c r="L441" t="str">
        <f>_xlfn.XLOOKUP(Table8[[#This Row],[Supporter_ID]],tb1_supporters[Supporter_ID ],tb1_supporters[County],"")</f>
        <v>West Midlands</v>
      </c>
      <c r="M441" t="str">
        <f>_xlfn.XLOOKUP(Table8[[#This Row],[Supporter_ID]],tb1_supporters[Supporter_ID ],tb1_supporters[Gender],"")</f>
        <v>Female</v>
      </c>
      <c r="N441">
        <f ca="1">_xlfn.XLOOKUP(Table8[[#This Row],[Supporter_ID]],tb1_supporters[Supporter_ID ],tb1_supporters[Age],"")</f>
        <v>34</v>
      </c>
      <c r="O441" t="str">
        <f ca="1">_xlfn.XLOOKUP(Table8[[#This Row],[Supporter_ID]],tb1_supporters[Supporter_ID ],tb1_supporters[Age_Band],"")</f>
        <v>18-34</v>
      </c>
      <c r="P441" t="str">
        <f ca="1">IF(Table8[[#This Row],[Age_Band]]="","Unknown",Table8[[#This Row],[Age_Band]])</f>
        <v>18-34</v>
      </c>
      <c r="Q441" t="str">
        <f>_xlfn.XLOOKUP(Table8[[#This Row],[Supporter_ID]],tb1_supporters[Supporter_ID ],tb1_supporters[Communication_Preference],"")</f>
        <v>Phone</v>
      </c>
      <c r="R441" t="str">
        <f>_xlfn.XLOOKUP(Table8[[#This Row],[Supporter_ID]],tb1_supporters[Supporter_ID ],tb1_supporters[Duplicate_Profile_Flag],"")</f>
        <v/>
      </c>
      <c r="S441" t="str">
        <f>_xlfn.XLOOKUP(Table8[[#This Row],[Supporter_ID]],tb1_supporters[Supporter_ID ],tb1_supporters[Preference_Compliance_Flag],"")</f>
        <v>Review - prefers phone but not opted in</v>
      </c>
      <c r="T441" t="str">
        <f ca="1">IF(Table8[[#This Row],[Age]]="","Review - missing DOB",IF(Table8[[#This Row],[Age]]&gt;TODAY(),"Review - future DOB",IF(Table8[[#This Row],[Age]]=0,"Review -  potential entry error (age 0)","")))</f>
        <v/>
      </c>
      <c r="U441" t="str">
        <f>_xlfn.XLOOKUP(Table8[[#This Row],[Campaign_Code]],tb3_CampaignMaster[Campaign_Code],tb3_CampaignMaster[Campaign_Type],"")</f>
        <v>Stewardship</v>
      </c>
      <c r="V441" t="str">
        <f>_xlfn.XLOOKUP(Table8[[#This Row],[Campaign_Code]],tb3_CampaignMaster[Campaign_Code],tb3_CampaignMaster[Target_Audience],"")</f>
        <v>Major Donors</v>
      </c>
      <c r="W441" s="17">
        <f>_xlfn.XLOOKUP(Table8[[#This Row],[Campaign_Code]],tb3_CampaignMaster[Campaign_Code],tb3_CampaignMaster[Start_Date],"")</f>
        <v>45444</v>
      </c>
      <c r="X441" s="17">
        <f>_xlfn.XLOOKUP(Table8[[#This Row],[Campaign_Code]],tb3_CampaignMaster[Campaign_Code],tb3_CampaignMaster[End_Date],"")</f>
        <v>45473</v>
      </c>
      <c r="Y441">
        <f>_xlfn.XLOOKUP(Table8[[#This Row],[Campaign_Code]],tb3_CampaignMaster[Campaign_Code],tb3_CampaignMaster[Budget_GBP],"")</f>
        <v>7000</v>
      </c>
      <c r="Z441" t="str">
        <f>_xlfn.XLOOKUP(Table8[[#This Row],[Campaign_Code]],tb3_CampaignMaster[Campaign_Code],tb3_CampaignMaster[Primary_Channel],"")</f>
        <v>Direct Mail</v>
      </c>
      <c r="AA441" s="13">
        <f>IF(Table8[[#This Row],[Gift_Aid_Eligible]]="Yes",Table8[[#This Row],[Gift_Amount]]*1.25,Table8[[#This Row],[Gift_Amount]])</f>
        <v>70.599999999999994</v>
      </c>
      <c r="AB441" t="str">
        <f>IF(Table8[[#This Row],[Supporter_ID]]="","Review - missing supporter ID","")</f>
        <v/>
      </c>
      <c r="AC441" t="str">
        <f>IF(OR(Table8[[#This Row],[Response_Date]]&lt;Table8[[#This Row],[Start_Date]],Table8[[#This Row],[Response_Date]]&gt;Table8[[#This Row],[End_Date]]),"Review - response outside campaign dates","")</f>
        <v/>
      </c>
      <c r="AD441" t="str">
        <f>IF(Table8[[#This Row],[Campaign_Type]]="","Review - campaign code not found","")</f>
        <v/>
      </c>
    </row>
    <row r="442" spans="1:30" x14ac:dyDescent="0.25">
      <c r="A442" t="s">
        <v>4114</v>
      </c>
      <c r="B442" t="s">
        <v>3205</v>
      </c>
      <c r="C442" t="s">
        <v>3336</v>
      </c>
      <c r="D442" t="s">
        <v>3337</v>
      </c>
      <c r="E442" t="s">
        <v>3338</v>
      </c>
      <c r="F442" s="17">
        <v>45565</v>
      </c>
      <c r="G442">
        <v>425.45</v>
      </c>
      <c r="H442" t="s">
        <v>36</v>
      </c>
      <c r="I442" t="s">
        <v>3328</v>
      </c>
      <c r="J442" t="str">
        <f>_xlfn.XLOOKUP(Table8[[#This Row],[Supporter_ID]],tb1_supporters[Supporter_ID ],tb1_supporters[Segment],"")</f>
        <v>Legacy Pledger</v>
      </c>
      <c r="K442" t="str">
        <f>_xlfn.XLOOKUP(Table8[[#This Row],[Supporter_ID]],tb1_supporters[Supporter_ID ],tb1_supporters[Acquisition_Source],"")</f>
        <v>Website</v>
      </c>
      <c r="L442" t="str">
        <f>_xlfn.XLOOKUP(Table8[[#This Row],[Supporter_ID]],tb1_supporters[Supporter_ID ],tb1_supporters[County],"")</f>
        <v>Hertfordshire</v>
      </c>
      <c r="M442" t="str">
        <f>_xlfn.XLOOKUP(Table8[[#This Row],[Supporter_ID]],tb1_supporters[Supporter_ID ],tb1_supporters[Gender],"")</f>
        <v>Male</v>
      </c>
      <c r="N442">
        <f ca="1">_xlfn.XLOOKUP(Table8[[#This Row],[Supporter_ID]],tb1_supporters[Supporter_ID ],tb1_supporters[Age],"")</f>
        <v>68</v>
      </c>
      <c r="O442" t="str">
        <f ca="1">_xlfn.XLOOKUP(Table8[[#This Row],[Supporter_ID]],tb1_supporters[Supporter_ID ],tb1_supporters[Age_Band],"")</f>
        <v>65+</v>
      </c>
      <c r="P442" t="str">
        <f ca="1">IF(Table8[[#This Row],[Age_Band]]="","Unknown",Table8[[#This Row],[Age_Band]])</f>
        <v>65+</v>
      </c>
      <c r="Q442" t="str">
        <f>_xlfn.XLOOKUP(Table8[[#This Row],[Supporter_ID]],tb1_supporters[Supporter_ID ],tb1_supporters[Communication_Preference],"")</f>
        <v>Do Not Contact</v>
      </c>
      <c r="R442" t="str">
        <f>_xlfn.XLOOKUP(Table8[[#This Row],[Supporter_ID]],tb1_supporters[Supporter_ID ],tb1_supporters[Duplicate_Profile_Flag],"")</f>
        <v/>
      </c>
      <c r="S442" t="str">
        <f>_xlfn.XLOOKUP(Table8[[#This Row],[Supporter_ID]],tb1_supporters[Supporter_ID ],tb1_supporters[Preference_Compliance_Flag],"")</f>
        <v/>
      </c>
      <c r="T442" t="str">
        <f ca="1">IF(Table8[[#This Row],[Age]]="","Review - missing DOB",IF(Table8[[#This Row],[Age]]&gt;TODAY(),"Review - future DOB",IF(Table8[[#This Row],[Age]]=0,"Review -  potential entry error (age 0)","")))</f>
        <v/>
      </c>
      <c r="U442" t="str">
        <f>_xlfn.XLOOKUP(Table8[[#This Row],[Campaign_Code]],tb3_CampaignMaster[Campaign_Code],tb3_CampaignMaster[Campaign_Type],"")</f>
        <v>Appeal</v>
      </c>
      <c r="V442" t="str">
        <f>_xlfn.XLOOKUP(Table8[[#This Row],[Campaign_Code]],tb3_CampaignMaster[Campaign_Code],tb3_CampaignMaster[Target_Audience],"")</f>
        <v>All Supporters</v>
      </c>
      <c r="W442" s="17">
        <f>_xlfn.XLOOKUP(Table8[[#This Row],[Campaign_Code]],tb3_CampaignMaster[Campaign_Code],tb3_CampaignMaster[Start_Date],"")</f>
        <v>45545</v>
      </c>
      <c r="X442" s="17">
        <f>_xlfn.XLOOKUP(Table8[[#This Row],[Campaign_Code]],tb3_CampaignMaster[Campaign_Code],tb3_CampaignMaster[End_Date],"")</f>
        <v>45580</v>
      </c>
      <c r="Y442">
        <f>_xlfn.XLOOKUP(Table8[[#This Row],[Campaign_Code]],tb3_CampaignMaster[Campaign_Code],tb3_CampaignMaster[Budget_GBP],"")</f>
        <v>15000</v>
      </c>
      <c r="Z442" t="str">
        <f>_xlfn.XLOOKUP(Table8[[#This Row],[Campaign_Code]],tb3_CampaignMaster[Campaign_Code],tb3_CampaignMaster[Primary_Channel],"")</f>
        <v>Email</v>
      </c>
      <c r="AA442" s="13">
        <f>IF(Table8[[#This Row],[Gift_Aid_Eligible]]="Yes",Table8[[#This Row],[Gift_Amount]]*1.25,Table8[[#This Row],[Gift_Amount]])</f>
        <v>531.8125</v>
      </c>
      <c r="AB442" t="str">
        <f>IF(Table8[[#This Row],[Supporter_ID]]="","Review - missing supporter ID","")</f>
        <v/>
      </c>
      <c r="AC442" t="str">
        <f>IF(OR(Table8[[#This Row],[Response_Date]]&lt;Table8[[#This Row],[Start_Date]],Table8[[#This Row],[Response_Date]]&gt;Table8[[#This Row],[End_Date]]),"Review - response outside campaign dates","")</f>
        <v/>
      </c>
      <c r="AD442" t="str">
        <f>IF(Table8[[#This Row],[Campaign_Type]]="","Review - campaign code not found","")</f>
        <v/>
      </c>
    </row>
    <row r="443" spans="1:30" x14ac:dyDescent="0.25">
      <c r="A443" t="s">
        <v>4116</v>
      </c>
      <c r="B443" t="s">
        <v>1603</v>
      </c>
      <c r="C443" t="s">
        <v>3325</v>
      </c>
      <c r="D443" t="s">
        <v>3326</v>
      </c>
      <c r="E443" t="s">
        <v>4</v>
      </c>
      <c r="F443" s="17">
        <v>45605</v>
      </c>
      <c r="G443">
        <v>2958.92</v>
      </c>
      <c r="H443" t="s">
        <v>36</v>
      </c>
      <c r="I443" t="s">
        <v>3370</v>
      </c>
      <c r="J443" t="str">
        <f>_xlfn.XLOOKUP(Table8[[#This Row],[Supporter_ID]],tb1_supporters[Supporter_ID ],tb1_supporters[Segment],"")</f>
        <v>Major Donor</v>
      </c>
      <c r="K443" t="str">
        <f>_xlfn.XLOOKUP(Table8[[#This Row],[Supporter_ID]],tb1_supporters[Supporter_ID ],tb1_supporters[Acquisition_Source],"")</f>
        <v>Telephone</v>
      </c>
      <c r="L443" t="str">
        <f>_xlfn.XLOOKUP(Table8[[#This Row],[Supporter_ID]],tb1_supporters[Supporter_ID ],tb1_supporters[County],"")</f>
        <v>Dorset</v>
      </c>
      <c r="M443" t="str">
        <f>_xlfn.XLOOKUP(Table8[[#This Row],[Supporter_ID]],tb1_supporters[Supporter_ID ],tb1_supporters[Gender],"")</f>
        <v>Female</v>
      </c>
      <c r="N443">
        <f ca="1">_xlfn.XLOOKUP(Table8[[#This Row],[Supporter_ID]],tb1_supporters[Supporter_ID ],tb1_supporters[Age],"")</f>
        <v>48</v>
      </c>
      <c r="O443" t="str">
        <f ca="1">_xlfn.XLOOKUP(Table8[[#This Row],[Supporter_ID]],tb1_supporters[Supporter_ID ],tb1_supporters[Age_Band],"")</f>
        <v>35-49</v>
      </c>
      <c r="P443" t="str">
        <f ca="1">IF(Table8[[#This Row],[Age_Band]]="","Unknown",Table8[[#This Row],[Age_Band]])</f>
        <v>35-49</v>
      </c>
      <c r="Q443" t="str">
        <f>_xlfn.XLOOKUP(Table8[[#This Row],[Supporter_ID]],tb1_supporters[Supporter_ID ],tb1_supporters[Communication_Preference],"")</f>
        <v>Email</v>
      </c>
      <c r="R443" t="str">
        <f>_xlfn.XLOOKUP(Table8[[#This Row],[Supporter_ID]],tb1_supporters[Supporter_ID ],tb1_supporters[Duplicate_Profile_Flag],"")</f>
        <v/>
      </c>
      <c r="S443" t="str">
        <f>_xlfn.XLOOKUP(Table8[[#This Row],[Supporter_ID]],tb1_supporters[Supporter_ID ],tb1_supporters[Preference_Compliance_Flag],"")</f>
        <v/>
      </c>
      <c r="T443" t="str">
        <f ca="1">IF(Table8[[#This Row],[Age]]="","Review - missing DOB",IF(Table8[[#This Row],[Age]]&gt;TODAY(),"Review - future DOB",IF(Table8[[#This Row],[Age]]=0,"Review -  potential entry error (age 0)","")))</f>
        <v/>
      </c>
      <c r="U443" t="str">
        <f>_xlfn.XLOOKUP(Table8[[#This Row],[Campaign_Code]],tb3_CampaignMaster[Campaign_Code],tb3_CampaignMaster[Campaign_Type],"")</f>
        <v>Appeal</v>
      </c>
      <c r="V443" t="str">
        <f>_xlfn.XLOOKUP(Table8[[#This Row],[Campaign_Code]],tb3_CampaignMaster[Campaign_Code],tb3_CampaignMaster[Target_Audience],"")</f>
        <v>All Active</v>
      </c>
      <c r="W443" s="17">
        <f>_xlfn.XLOOKUP(Table8[[#This Row],[Campaign_Code]],tb3_CampaignMaster[Campaign_Code],tb3_CampaignMaster[Start_Date],"")</f>
        <v>45597</v>
      </c>
      <c r="X443" s="17">
        <f>_xlfn.XLOOKUP(Table8[[#This Row],[Campaign_Code]],tb3_CampaignMaster[Campaign_Code],tb3_CampaignMaster[End_Date],"")</f>
        <v>45657</v>
      </c>
      <c r="Y443">
        <f>_xlfn.XLOOKUP(Table8[[#This Row],[Campaign_Code]],tb3_CampaignMaster[Campaign_Code],tb3_CampaignMaster[Budget_GBP],"")</f>
        <v>25000</v>
      </c>
      <c r="Z443" t="str">
        <f>_xlfn.XLOOKUP(Table8[[#This Row],[Campaign_Code]],tb3_CampaignMaster[Campaign_Code],tb3_CampaignMaster[Primary_Channel],"")</f>
        <v>Multi-channel</v>
      </c>
      <c r="AA443" s="13">
        <f>IF(Table8[[#This Row],[Gift_Aid_Eligible]]="Yes",Table8[[#This Row],[Gift_Amount]]*1.25,Table8[[#This Row],[Gift_Amount]])</f>
        <v>3698.65</v>
      </c>
      <c r="AB443" t="str">
        <f>IF(Table8[[#This Row],[Supporter_ID]]="","Review - missing supporter ID","")</f>
        <v/>
      </c>
      <c r="AC443" t="str">
        <f>IF(OR(Table8[[#This Row],[Response_Date]]&lt;Table8[[#This Row],[Start_Date]],Table8[[#This Row],[Response_Date]]&gt;Table8[[#This Row],[End_Date]]),"Review - response outside campaign dates","")</f>
        <v/>
      </c>
      <c r="AD443" t="str">
        <f>IF(Table8[[#This Row],[Campaign_Type]]="","Review - campaign code not found","")</f>
        <v/>
      </c>
    </row>
    <row r="444" spans="1:30" x14ac:dyDescent="0.25">
      <c r="A444" t="s">
        <v>4118</v>
      </c>
      <c r="B444" t="s">
        <v>3223</v>
      </c>
      <c r="C444" t="s">
        <v>3341</v>
      </c>
      <c r="D444" t="s">
        <v>3342</v>
      </c>
      <c r="E444" t="s">
        <v>91</v>
      </c>
      <c r="F444" s="17">
        <v>45713</v>
      </c>
      <c r="G444">
        <v>30.03</v>
      </c>
      <c r="H444" t="s">
        <v>37</v>
      </c>
      <c r="I444" t="s">
        <v>3328</v>
      </c>
      <c r="J444" t="str">
        <f>_xlfn.XLOOKUP(Table8[[#This Row],[Supporter_ID]],tb1_supporters[Supporter_ID ],tb1_supporters[Segment],"")</f>
        <v>Regular Giver</v>
      </c>
      <c r="K444" t="str">
        <f>_xlfn.XLOOKUP(Table8[[#This Row],[Supporter_ID]],tb1_supporters[Supporter_ID ],tb1_supporters[Acquisition_Source],"")</f>
        <v>Event</v>
      </c>
      <c r="L444" t="str">
        <f>_xlfn.XLOOKUP(Table8[[#This Row],[Supporter_ID]],tb1_supporters[Supporter_ID ],tb1_supporters[County],"")</f>
        <v>Hertfordshire</v>
      </c>
      <c r="M444" t="str">
        <f>_xlfn.XLOOKUP(Table8[[#This Row],[Supporter_ID]],tb1_supporters[Supporter_ID ],tb1_supporters[Gender],"")</f>
        <v>Female</v>
      </c>
      <c r="N444">
        <f ca="1">_xlfn.XLOOKUP(Table8[[#This Row],[Supporter_ID]],tb1_supporters[Supporter_ID ],tb1_supporters[Age],"")</f>
        <v>62</v>
      </c>
      <c r="O444" t="str">
        <f ca="1">_xlfn.XLOOKUP(Table8[[#This Row],[Supporter_ID]],tb1_supporters[Supporter_ID ],tb1_supporters[Age_Band],"")</f>
        <v>50-64</v>
      </c>
      <c r="P444" t="str">
        <f ca="1">IF(Table8[[#This Row],[Age_Band]]="","Unknown",Table8[[#This Row],[Age_Band]])</f>
        <v>50-64</v>
      </c>
      <c r="Q444" t="str">
        <f>_xlfn.XLOOKUP(Table8[[#This Row],[Supporter_ID]],tb1_supporters[Supporter_ID ],tb1_supporters[Communication_Preference],"")</f>
        <v>Email</v>
      </c>
      <c r="R444" t="str">
        <f>_xlfn.XLOOKUP(Table8[[#This Row],[Supporter_ID]],tb1_supporters[Supporter_ID ],tb1_supporters[Duplicate_Profile_Flag],"")</f>
        <v/>
      </c>
      <c r="S444" t="str">
        <f>_xlfn.XLOOKUP(Table8[[#This Row],[Supporter_ID]],tb1_supporters[Supporter_ID ],tb1_supporters[Preference_Compliance_Flag],"")</f>
        <v/>
      </c>
      <c r="T444" t="str">
        <f ca="1">IF(Table8[[#This Row],[Age]]="","Review - missing DOB",IF(Table8[[#This Row],[Age]]&gt;TODAY(),"Review - future DOB",IF(Table8[[#This Row],[Age]]=0,"Review -  potential entry error (age 0)","")))</f>
        <v/>
      </c>
      <c r="U444" t="str">
        <f>_xlfn.XLOOKUP(Table8[[#This Row],[Campaign_Code]],tb3_CampaignMaster[Campaign_Code],tb3_CampaignMaster[Campaign_Type],"")</f>
        <v>Acquisition</v>
      </c>
      <c r="V444" t="str">
        <f>_xlfn.XLOOKUP(Table8[[#This Row],[Campaign_Code]],tb3_CampaignMaster[Campaign_Code],tb3_CampaignMaster[Target_Audience],"")</f>
        <v>Prospects</v>
      </c>
      <c r="W444" s="17">
        <f>_xlfn.XLOOKUP(Table8[[#This Row],[Campaign_Code]],tb3_CampaignMaster[Campaign_Code],tb3_CampaignMaster[Start_Date],"")</f>
        <v>45689</v>
      </c>
      <c r="X444" s="17">
        <f>_xlfn.XLOOKUP(Table8[[#This Row],[Campaign_Code]],tb3_CampaignMaster[Campaign_Code],tb3_CampaignMaster[End_Date],"")</f>
        <v>45777</v>
      </c>
      <c r="Y444">
        <f>_xlfn.XLOOKUP(Table8[[#This Row],[Campaign_Code]],tb3_CampaignMaster[Campaign_Code],tb3_CampaignMaster[Budget_GBP],"")</f>
        <v>20000</v>
      </c>
      <c r="Z444" t="str">
        <f>_xlfn.XLOOKUP(Table8[[#This Row],[Campaign_Code]],tb3_CampaignMaster[Campaign_Code],tb3_CampaignMaster[Primary_Channel],"")</f>
        <v>Digital</v>
      </c>
      <c r="AA444" s="13">
        <f>IF(Table8[[#This Row],[Gift_Aid_Eligible]]="Yes",Table8[[#This Row],[Gift_Amount]]*1.25,Table8[[#This Row],[Gift_Amount]])</f>
        <v>30.03</v>
      </c>
      <c r="AB444" t="str">
        <f>IF(Table8[[#This Row],[Supporter_ID]]="","Review - missing supporter ID","")</f>
        <v/>
      </c>
      <c r="AC444" t="str">
        <f>IF(OR(Table8[[#This Row],[Response_Date]]&lt;Table8[[#This Row],[Start_Date]],Table8[[#This Row],[Response_Date]]&gt;Table8[[#This Row],[End_Date]]),"Review - response outside campaign dates","")</f>
        <v/>
      </c>
      <c r="AD444" t="str">
        <f>IF(Table8[[#This Row],[Campaign_Type]]="","Review - campaign code not found","")</f>
        <v/>
      </c>
    </row>
    <row r="445" spans="1:30" x14ac:dyDescent="0.25">
      <c r="A445" t="s">
        <v>4119</v>
      </c>
      <c r="B445" t="s">
        <v>1316</v>
      </c>
      <c r="C445" t="s">
        <v>3403</v>
      </c>
      <c r="D445" t="s">
        <v>3404</v>
      </c>
      <c r="E445" t="s">
        <v>3316</v>
      </c>
      <c r="F445" s="17">
        <v>45639</v>
      </c>
      <c r="G445">
        <v>42.62</v>
      </c>
      <c r="H445" t="s">
        <v>36</v>
      </c>
      <c r="I445" t="s">
        <v>3334</v>
      </c>
      <c r="J445" t="str">
        <f>_xlfn.XLOOKUP(Table8[[#This Row],[Supporter_ID]],tb1_supporters[Supporter_ID ],tb1_supporters[Segment],"")</f>
        <v>Regular Giver</v>
      </c>
      <c r="K445" t="str">
        <f>_xlfn.XLOOKUP(Table8[[#This Row],[Supporter_ID]],tb1_supporters[Supporter_ID ],tb1_supporters[Acquisition_Source],"")</f>
        <v>Referral</v>
      </c>
      <c r="L445" t="str">
        <f>_xlfn.XLOOKUP(Table8[[#This Row],[Supporter_ID]],tb1_supporters[Supporter_ID ],tb1_supporters[County],"")</f>
        <v>North Yorkshire</v>
      </c>
      <c r="M445" t="str">
        <f>_xlfn.XLOOKUP(Table8[[#This Row],[Supporter_ID]],tb1_supporters[Supporter_ID ],tb1_supporters[Gender],"")</f>
        <v>Male</v>
      </c>
      <c r="N445">
        <f ca="1">_xlfn.XLOOKUP(Table8[[#This Row],[Supporter_ID]],tb1_supporters[Supporter_ID ],tb1_supporters[Age],"")</f>
        <v>76</v>
      </c>
      <c r="O445" t="str">
        <f ca="1">_xlfn.XLOOKUP(Table8[[#This Row],[Supporter_ID]],tb1_supporters[Supporter_ID ],tb1_supporters[Age_Band],"")</f>
        <v>65+</v>
      </c>
      <c r="P445" t="str">
        <f ca="1">IF(Table8[[#This Row],[Age_Band]]="","Unknown",Table8[[#This Row],[Age_Band]])</f>
        <v>65+</v>
      </c>
      <c r="Q445" t="str">
        <f>_xlfn.XLOOKUP(Table8[[#This Row],[Supporter_ID]],tb1_supporters[Supporter_ID ],tb1_supporters[Communication_Preference],"")</f>
        <v>Phone</v>
      </c>
      <c r="R445" t="str">
        <f>_xlfn.XLOOKUP(Table8[[#This Row],[Supporter_ID]],tb1_supporters[Supporter_ID ],tb1_supporters[Duplicate_Profile_Flag],"")</f>
        <v/>
      </c>
      <c r="S445" t="str">
        <f>_xlfn.XLOOKUP(Table8[[#This Row],[Supporter_ID]],tb1_supporters[Supporter_ID ],tb1_supporters[Preference_Compliance_Flag],"")</f>
        <v>Review - prefers phone but not opted in</v>
      </c>
      <c r="T445" t="str">
        <f ca="1">IF(Table8[[#This Row],[Age]]="","Review - missing DOB",IF(Table8[[#This Row],[Age]]&gt;TODAY(),"Review - future DOB",IF(Table8[[#This Row],[Age]]=0,"Review -  potential entry error (age 0)","")))</f>
        <v/>
      </c>
      <c r="U445" t="str">
        <f>_xlfn.XLOOKUP(Table8[[#This Row],[Campaign_Code]],tb3_CampaignMaster[Campaign_Code],tb3_CampaignMaster[Campaign_Type],"")</f>
        <v>Trading</v>
      </c>
      <c r="V445" t="str">
        <f>_xlfn.XLOOKUP(Table8[[#This Row],[Campaign_Code]],tb3_CampaignMaster[Campaign_Code],tb3_CampaignMaster[Target_Audience],"")</f>
        <v>All Active</v>
      </c>
      <c r="W445" s="17">
        <f>_xlfn.XLOOKUP(Table8[[#This Row],[Campaign_Code]],tb3_CampaignMaster[Campaign_Code],tb3_CampaignMaster[Start_Date],"")</f>
        <v>45580</v>
      </c>
      <c r="X445" s="17">
        <f>_xlfn.XLOOKUP(Table8[[#This Row],[Campaign_Code]],tb3_CampaignMaster[Campaign_Code],tb3_CampaignMaster[End_Date],"")</f>
        <v>45646</v>
      </c>
      <c r="Y445">
        <f>_xlfn.XLOOKUP(Table8[[#This Row],[Campaign_Code]],tb3_CampaignMaster[Campaign_Code],tb3_CampaignMaster[Budget_GBP],"")</f>
        <v>12000</v>
      </c>
      <c r="Z445" t="str">
        <f>_xlfn.XLOOKUP(Table8[[#This Row],[Campaign_Code]],tb3_CampaignMaster[Campaign_Code],tb3_CampaignMaster[Primary_Channel],"")</f>
        <v>Multi-channel</v>
      </c>
      <c r="AA445" s="13">
        <f>IF(Table8[[#This Row],[Gift_Aid_Eligible]]="Yes",Table8[[#This Row],[Gift_Amount]]*1.25,Table8[[#This Row],[Gift_Amount]])</f>
        <v>53.274999999999999</v>
      </c>
      <c r="AB445" t="str">
        <f>IF(Table8[[#This Row],[Supporter_ID]]="","Review - missing supporter ID","")</f>
        <v/>
      </c>
      <c r="AC445" t="str">
        <f>IF(OR(Table8[[#This Row],[Response_Date]]&lt;Table8[[#This Row],[Start_Date]],Table8[[#This Row],[Response_Date]]&gt;Table8[[#This Row],[End_Date]]),"Review - response outside campaign dates","")</f>
        <v/>
      </c>
      <c r="AD445" t="str">
        <f>IF(Table8[[#This Row],[Campaign_Type]]="","Review - campaign code not found","")</f>
        <v/>
      </c>
    </row>
    <row r="446" spans="1:30" x14ac:dyDescent="0.25">
      <c r="A446" t="s">
        <v>4121</v>
      </c>
      <c r="B446" t="s">
        <v>1702</v>
      </c>
      <c r="C446" t="s">
        <v>3325</v>
      </c>
      <c r="D446" t="s">
        <v>3326</v>
      </c>
      <c r="E446" t="s">
        <v>3338</v>
      </c>
      <c r="F446" s="17">
        <v>45625</v>
      </c>
      <c r="G446">
        <v>90.81</v>
      </c>
      <c r="H446" t="s">
        <v>36</v>
      </c>
      <c r="I446" t="s">
        <v>3385</v>
      </c>
      <c r="J446" t="str">
        <f>_xlfn.XLOOKUP(Table8[[#This Row],[Supporter_ID]],tb1_supporters[Supporter_ID ],tb1_supporters[Segment],"")</f>
        <v>Lapsed</v>
      </c>
      <c r="K446" t="str">
        <f>_xlfn.XLOOKUP(Table8[[#This Row],[Supporter_ID]],tb1_supporters[Supporter_ID ],tb1_supporters[Acquisition_Source],"")</f>
        <v>Telephone</v>
      </c>
      <c r="L446" t="str">
        <f>_xlfn.XLOOKUP(Table8[[#This Row],[Supporter_ID]],tb1_supporters[Supporter_ID ],tb1_supporters[County],"")</f>
        <v>South Glamorgan</v>
      </c>
      <c r="M446" t="str">
        <f>_xlfn.XLOOKUP(Table8[[#This Row],[Supporter_ID]],tb1_supporters[Supporter_ID ],tb1_supporters[Gender],"")</f>
        <v>Female</v>
      </c>
      <c r="N446">
        <f ca="1">_xlfn.XLOOKUP(Table8[[#This Row],[Supporter_ID]],tb1_supporters[Supporter_ID ],tb1_supporters[Age],"")</f>
        <v>48</v>
      </c>
      <c r="O446" t="str">
        <f ca="1">_xlfn.XLOOKUP(Table8[[#This Row],[Supporter_ID]],tb1_supporters[Supporter_ID ],tb1_supporters[Age_Band],"")</f>
        <v>35-49</v>
      </c>
      <c r="P446" t="str">
        <f ca="1">IF(Table8[[#This Row],[Age_Band]]="","Unknown",Table8[[#This Row],[Age_Band]])</f>
        <v>35-49</v>
      </c>
      <c r="Q446" t="str">
        <f>_xlfn.XLOOKUP(Table8[[#This Row],[Supporter_ID]],tb1_supporters[Supporter_ID ],tb1_supporters[Communication_Preference],"")</f>
        <v>Post</v>
      </c>
      <c r="R446" t="str">
        <f>_xlfn.XLOOKUP(Table8[[#This Row],[Supporter_ID]],tb1_supporters[Supporter_ID ],tb1_supporters[Duplicate_Profile_Flag],"")</f>
        <v/>
      </c>
      <c r="S446" t="str">
        <f>_xlfn.XLOOKUP(Table8[[#This Row],[Supporter_ID]],tb1_supporters[Supporter_ID ],tb1_supporters[Preference_Compliance_Flag],"")</f>
        <v/>
      </c>
      <c r="T446" t="str">
        <f ca="1">IF(Table8[[#This Row],[Age]]="","Review - missing DOB",IF(Table8[[#This Row],[Age]]&gt;TODAY(),"Review - future DOB",IF(Table8[[#This Row],[Age]]=0,"Review -  potential entry error (age 0)","")))</f>
        <v/>
      </c>
      <c r="U446" t="str">
        <f>_xlfn.XLOOKUP(Table8[[#This Row],[Campaign_Code]],tb3_CampaignMaster[Campaign_Code],tb3_CampaignMaster[Campaign_Type],"")</f>
        <v>Appeal</v>
      </c>
      <c r="V446" t="str">
        <f>_xlfn.XLOOKUP(Table8[[#This Row],[Campaign_Code]],tb3_CampaignMaster[Campaign_Code],tb3_CampaignMaster[Target_Audience],"")</f>
        <v>All Active</v>
      </c>
      <c r="W446" s="17">
        <f>_xlfn.XLOOKUP(Table8[[#This Row],[Campaign_Code]],tb3_CampaignMaster[Campaign_Code],tb3_CampaignMaster[Start_Date],"")</f>
        <v>45597</v>
      </c>
      <c r="X446" s="17">
        <f>_xlfn.XLOOKUP(Table8[[#This Row],[Campaign_Code]],tb3_CampaignMaster[Campaign_Code],tb3_CampaignMaster[End_Date],"")</f>
        <v>45657</v>
      </c>
      <c r="Y446">
        <f>_xlfn.XLOOKUP(Table8[[#This Row],[Campaign_Code]],tb3_CampaignMaster[Campaign_Code],tb3_CampaignMaster[Budget_GBP],"")</f>
        <v>25000</v>
      </c>
      <c r="Z446" t="str">
        <f>_xlfn.XLOOKUP(Table8[[#This Row],[Campaign_Code]],tb3_CampaignMaster[Campaign_Code],tb3_CampaignMaster[Primary_Channel],"")</f>
        <v>Multi-channel</v>
      </c>
      <c r="AA446" s="13">
        <f>IF(Table8[[#This Row],[Gift_Aid_Eligible]]="Yes",Table8[[#This Row],[Gift_Amount]]*1.25,Table8[[#This Row],[Gift_Amount]])</f>
        <v>113.5125</v>
      </c>
      <c r="AB446" t="str">
        <f>IF(Table8[[#This Row],[Supporter_ID]]="","Review - missing supporter ID","")</f>
        <v/>
      </c>
      <c r="AC446" t="str">
        <f>IF(OR(Table8[[#This Row],[Response_Date]]&lt;Table8[[#This Row],[Start_Date]],Table8[[#This Row],[Response_Date]]&gt;Table8[[#This Row],[End_Date]]),"Review - response outside campaign dates","")</f>
        <v/>
      </c>
      <c r="AD446" t="str">
        <f>IF(Table8[[#This Row],[Campaign_Type]]="","Review - campaign code not found","")</f>
        <v/>
      </c>
    </row>
    <row r="447" spans="1:30" x14ac:dyDescent="0.25">
      <c r="A447" t="s">
        <v>4123</v>
      </c>
      <c r="B447" t="s">
        <v>2106</v>
      </c>
      <c r="C447" t="s">
        <v>3403</v>
      </c>
      <c r="D447" t="s">
        <v>3404</v>
      </c>
      <c r="E447" t="s">
        <v>3316</v>
      </c>
      <c r="F447" s="17">
        <v>45580</v>
      </c>
      <c r="G447">
        <v>138.72999999999999</v>
      </c>
      <c r="H447" t="s">
        <v>36</v>
      </c>
      <c r="I447" t="s">
        <v>3331</v>
      </c>
      <c r="J447" t="str">
        <f>_xlfn.XLOOKUP(Table8[[#This Row],[Supporter_ID]],tb1_supporters[Supporter_ID ],tb1_supporters[Segment],"")</f>
        <v>Mid-Value</v>
      </c>
      <c r="K447" t="str">
        <f>_xlfn.XLOOKUP(Table8[[#This Row],[Supporter_ID]],tb1_supporters[Supporter_ID ],tb1_supporters[Acquisition_Source],"")</f>
        <v>Website</v>
      </c>
      <c r="L447" t="str">
        <f>_xlfn.XLOOKUP(Table8[[#This Row],[Supporter_ID]],tb1_supporters[Supporter_ID ],tb1_supporters[County],"")</f>
        <v>Devon</v>
      </c>
      <c r="M447" t="str">
        <f>_xlfn.XLOOKUP(Table8[[#This Row],[Supporter_ID]],tb1_supporters[Supporter_ID ],tb1_supporters[Gender],"")</f>
        <v>Male</v>
      </c>
      <c r="N447">
        <f ca="1">_xlfn.XLOOKUP(Table8[[#This Row],[Supporter_ID]],tb1_supporters[Supporter_ID ],tb1_supporters[Age],"")</f>
        <v>50</v>
      </c>
      <c r="O447" t="str">
        <f ca="1">_xlfn.XLOOKUP(Table8[[#This Row],[Supporter_ID]],tb1_supporters[Supporter_ID ],tb1_supporters[Age_Band],"")</f>
        <v>50-64</v>
      </c>
      <c r="P447" t="str">
        <f ca="1">IF(Table8[[#This Row],[Age_Band]]="","Unknown",Table8[[#This Row],[Age_Band]])</f>
        <v>50-64</v>
      </c>
      <c r="Q447" t="str">
        <f>_xlfn.XLOOKUP(Table8[[#This Row],[Supporter_ID]],tb1_supporters[Supporter_ID ],tb1_supporters[Communication_Preference],"")</f>
        <v>Post</v>
      </c>
      <c r="R447" t="str">
        <f>_xlfn.XLOOKUP(Table8[[#This Row],[Supporter_ID]],tb1_supporters[Supporter_ID ],tb1_supporters[Duplicate_Profile_Flag],"")</f>
        <v/>
      </c>
      <c r="S447" t="str">
        <f>_xlfn.XLOOKUP(Table8[[#This Row],[Supporter_ID]],tb1_supporters[Supporter_ID ],tb1_supporters[Preference_Compliance_Flag],"")</f>
        <v/>
      </c>
      <c r="T447" t="str">
        <f ca="1">IF(Table8[[#This Row],[Age]]="","Review - missing DOB",IF(Table8[[#This Row],[Age]]&gt;TODAY(),"Review - future DOB",IF(Table8[[#This Row],[Age]]=0,"Review -  potential entry error (age 0)","")))</f>
        <v/>
      </c>
      <c r="U447" t="str">
        <f>_xlfn.XLOOKUP(Table8[[#This Row],[Campaign_Code]],tb3_CampaignMaster[Campaign_Code],tb3_CampaignMaster[Campaign_Type],"")</f>
        <v>Trading</v>
      </c>
      <c r="V447" t="str">
        <f>_xlfn.XLOOKUP(Table8[[#This Row],[Campaign_Code]],tb3_CampaignMaster[Campaign_Code],tb3_CampaignMaster[Target_Audience],"")</f>
        <v>All Active</v>
      </c>
      <c r="W447" s="17">
        <f>_xlfn.XLOOKUP(Table8[[#This Row],[Campaign_Code]],tb3_CampaignMaster[Campaign_Code],tb3_CampaignMaster[Start_Date],"")</f>
        <v>45580</v>
      </c>
      <c r="X447" s="17">
        <f>_xlfn.XLOOKUP(Table8[[#This Row],[Campaign_Code]],tb3_CampaignMaster[Campaign_Code],tb3_CampaignMaster[End_Date],"")</f>
        <v>45646</v>
      </c>
      <c r="Y447">
        <f>_xlfn.XLOOKUP(Table8[[#This Row],[Campaign_Code]],tb3_CampaignMaster[Campaign_Code],tb3_CampaignMaster[Budget_GBP],"")</f>
        <v>12000</v>
      </c>
      <c r="Z447" t="str">
        <f>_xlfn.XLOOKUP(Table8[[#This Row],[Campaign_Code]],tb3_CampaignMaster[Campaign_Code],tb3_CampaignMaster[Primary_Channel],"")</f>
        <v>Multi-channel</v>
      </c>
      <c r="AA447" s="13">
        <f>IF(Table8[[#This Row],[Gift_Aid_Eligible]]="Yes",Table8[[#This Row],[Gift_Amount]]*1.25,Table8[[#This Row],[Gift_Amount]])</f>
        <v>173.41249999999999</v>
      </c>
      <c r="AB447" t="str">
        <f>IF(Table8[[#This Row],[Supporter_ID]]="","Review - missing supporter ID","")</f>
        <v/>
      </c>
      <c r="AC447" t="str">
        <f>IF(OR(Table8[[#This Row],[Response_Date]]&lt;Table8[[#This Row],[Start_Date]],Table8[[#This Row],[Response_Date]]&gt;Table8[[#This Row],[End_Date]]),"Review - response outside campaign dates","")</f>
        <v/>
      </c>
      <c r="AD447" t="str">
        <f>IF(Table8[[#This Row],[Campaign_Type]]="","Review - campaign code not found","")</f>
        <v/>
      </c>
    </row>
    <row r="448" spans="1:30" x14ac:dyDescent="0.25">
      <c r="A448" t="s">
        <v>4125</v>
      </c>
      <c r="B448" t="s">
        <v>381</v>
      </c>
      <c r="C448" t="s">
        <v>3325</v>
      </c>
      <c r="D448" t="s">
        <v>3326</v>
      </c>
      <c r="E448" t="s">
        <v>65</v>
      </c>
      <c r="F448" s="17">
        <v>45649</v>
      </c>
      <c r="G448">
        <v>103.87</v>
      </c>
      <c r="H448" t="s">
        <v>37</v>
      </c>
      <c r="I448" t="s">
        <v>3328</v>
      </c>
      <c r="J448" t="str">
        <f>_xlfn.XLOOKUP(Table8[[#This Row],[Supporter_ID]],tb1_supporters[Supporter_ID ],tb1_supporters[Segment],"")</f>
        <v>One-Time Donor</v>
      </c>
      <c r="K448" t="str">
        <f>_xlfn.XLOOKUP(Table8[[#This Row],[Supporter_ID]],tb1_supporters[Supporter_ID ],tb1_supporters[Acquisition_Source],"")</f>
        <v>Social Media</v>
      </c>
      <c r="L448" t="str">
        <f>_xlfn.XLOOKUP(Table8[[#This Row],[Supporter_ID]],tb1_supporters[Supporter_ID ],tb1_supporters[County],"")</f>
        <v>North Yorkshire</v>
      </c>
      <c r="M448" t="str">
        <f>_xlfn.XLOOKUP(Table8[[#This Row],[Supporter_ID]],tb1_supporters[Supporter_ID ],tb1_supporters[Gender],"")</f>
        <v>Female</v>
      </c>
      <c r="N448">
        <f ca="1">_xlfn.XLOOKUP(Table8[[#This Row],[Supporter_ID]],tb1_supporters[Supporter_ID ],tb1_supporters[Age],"")</f>
        <v>76</v>
      </c>
      <c r="O448" t="str">
        <f ca="1">_xlfn.XLOOKUP(Table8[[#This Row],[Supporter_ID]],tb1_supporters[Supporter_ID ],tb1_supporters[Age_Band],"")</f>
        <v>65+</v>
      </c>
      <c r="P448" t="str">
        <f ca="1">IF(Table8[[#This Row],[Age_Band]]="","Unknown",Table8[[#This Row],[Age_Band]])</f>
        <v>65+</v>
      </c>
      <c r="Q448" t="str">
        <f>_xlfn.XLOOKUP(Table8[[#This Row],[Supporter_ID]],tb1_supporters[Supporter_ID ],tb1_supporters[Communication_Preference],"")</f>
        <v>Phone</v>
      </c>
      <c r="R448" t="str">
        <f>_xlfn.XLOOKUP(Table8[[#This Row],[Supporter_ID]],tb1_supporters[Supporter_ID ],tb1_supporters[Duplicate_Profile_Flag],"")</f>
        <v/>
      </c>
      <c r="S448" t="str">
        <f>_xlfn.XLOOKUP(Table8[[#This Row],[Supporter_ID]],tb1_supporters[Supporter_ID ],tb1_supporters[Preference_Compliance_Flag],"")</f>
        <v/>
      </c>
      <c r="T448" t="str">
        <f ca="1">IF(Table8[[#This Row],[Age]]="","Review - missing DOB",IF(Table8[[#This Row],[Age]]&gt;TODAY(),"Review - future DOB",IF(Table8[[#This Row],[Age]]=0,"Review -  potential entry error (age 0)","")))</f>
        <v/>
      </c>
      <c r="U448" t="str">
        <f>_xlfn.XLOOKUP(Table8[[#This Row],[Campaign_Code]],tb3_CampaignMaster[Campaign_Code],tb3_CampaignMaster[Campaign_Type],"")</f>
        <v>Appeal</v>
      </c>
      <c r="V448" t="str">
        <f>_xlfn.XLOOKUP(Table8[[#This Row],[Campaign_Code]],tb3_CampaignMaster[Campaign_Code],tb3_CampaignMaster[Target_Audience],"")</f>
        <v>All Active</v>
      </c>
      <c r="W448" s="17">
        <f>_xlfn.XLOOKUP(Table8[[#This Row],[Campaign_Code]],tb3_CampaignMaster[Campaign_Code],tb3_CampaignMaster[Start_Date],"")</f>
        <v>45597</v>
      </c>
      <c r="X448" s="17">
        <f>_xlfn.XLOOKUP(Table8[[#This Row],[Campaign_Code]],tb3_CampaignMaster[Campaign_Code],tb3_CampaignMaster[End_Date],"")</f>
        <v>45657</v>
      </c>
      <c r="Y448">
        <f>_xlfn.XLOOKUP(Table8[[#This Row],[Campaign_Code]],tb3_CampaignMaster[Campaign_Code],tb3_CampaignMaster[Budget_GBP],"")</f>
        <v>25000</v>
      </c>
      <c r="Z448" t="str">
        <f>_xlfn.XLOOKUP(Table8[[#This Row],[Campaign_Code]],tb3_CampaignMaster[Campaign_Code],tb3_CampaignMaster[Primary_Channel],"")</f>
        <v>Multi-channel</v>
      </c>
      <c r="AA448" s="13">
        <f>IF(Table8[[#This Row],[Gift_Aid_Eligible]]="Yes",Table8[[#This Row],[Gift_Amount]]*1.25,Table8[[#This Row],[Gift_Amount]])</f>
        <v>103.87</v>
      </c>
      <c r="AB448" t="str">
        <f>IF(Table8[[#This Row],[Supporter_ID]]="","Review - missing supporter ID","")</f>
        <v/>
      </c>
      <c r="AC448" t="str">
        <f>IF(OR(Table8[[#This Row],[Response_Date]]&lt;Table8[[#This Row],[Start_Date]],Table8[[#This Row],[Response_Date]]&gt;Table8[[#This Row],[End_Date]]),"Review - response outside campaign dates","")</f>
        <v/>
      </c>
      <c r="AD448" t="str">
        <f>IF(Table8[[#This Row],[Campaign_Type]]="","Review - campaign code not found","")</f>
        <v/>
      </c>
    </row>
    <row r="449" spans="1:30" x14ac:dyDescent="0.25">
      <c r="A449" t="s">
        <v>4127</v>
      </c>
      <c r="B449" t="s">
        <v>629</v>
      </c>
      <c r="C449" t="s">
        <v>3427</v>
      </c>
      <c r="D449" t="s">
        <v>3428</v>
      </c>
      <c r="E449" t="s">
        <v>65</v>
      </c>
      <c r="F449" s="17">
        <v>45488</v>
      </c>
      <c r="G449">
        <v>21.96</v>
      </c>
      <c r="H449" t="s">
        <v>36</v>
      </c>
      <c r="I449" t="s">
        <v>3365</v>
      </c>
      <c r="J449" t="str">
        <f>_xlfn.XLOOKUP(Table8[[#This Row],[Supporter_ID]],tb1_supporters[Supporter_ID ],tb1_supporters[Segment],"")</f>
        <v>Prospect</v>
      </c>
      <c r="K449" t="str">
        <f>_xlfn.XLOOKUP(Table8[[#This Row],[Supporter_ID]],tb1_supporters[Supporter_ID ],tb1_supporters[Acquisition_Source],"")</f>
        <v>Referral</v>
      </c>
      <c r="L449" t="str">
        <f>_xlfn.XLOOKUP(Table8[[#This Row],[Supporter_ID]],tb1_supporters[Supporter_ID ],tb1_supporters[County],"")</f>
        <v>North Yorkshire</v>
      </c>
      <c r="M449" t="str">
        <f>_xlfn.XLOOKUP(Table8[[#This Row],[Supporter_ID]],tb1_supporters[Supporter_ID ],tb1_supporters[Gender],"")</f>
        <v>Male</v>
      </c>
      <c r="N449">
        <f ca="1">_xlfn.XLOOKUP(Table8[[#This Row],[Supporter_ID]],tb1_supporters[Supporter_ID ],tb1_supporters[Age],"")</f>
        <v>37</v>
      </c>
      <c r="O449" t="str">
        <f ca="1">_xlfn.XLOOKUP(Table8[[#This Row],[Supporter_ID]],tb1_supporters[Supporter_ID ],tb1_supporters[Age_Band],"")</f>
        <v>35-49</v>
      </c>
      <c r="P449" t="str">
        <f ca="1">IF(Table8[[#This Row],[Age_Band]]="","Unknown",Table8[[#This Row],[Age_Band]])</f>
        <v>35-49</v>
      </c>
      <c r="Q449" t="str">
        <f>_xlfn.XLOOKUP(Table8[[#This Row],[Supporter_ID]],tb1_supporters[Supporter_ID ],tb1_supporters[Communication_Preference],"")</f>
        <v>Phone</v>
      </c>
      <c r="R449" t="str">
        <f>_xlfn.XLOOKUP(Table8[[#This Row],[Supporter_ID]],tb1_supporters[Supporter_ID ],tb1_supporters[Duplicate_Profile_Flag],"")</f>
        <v/>
      </c>
      <c r="S449" t="str">
        <f>_xlfn.XLOOKUP(Table8[[#This Row],[Supporter_ID]],tb1_supporters[Supporter_ID ],tb1_supporters[Preference_Compliance_Flag],"")</f>
        <v>Review - prefers phone but not opted in</v>
      </c>
      <c r="T449" t="str">
        <f ca="1">IF(Table8[[#This Row],[Age]]="","Review - missing DOB",IF(Table8[[#This Row],[Age]]&gt;TODAY(),"Review - future DOB",IF(Table8[[#This Row],[Age]]=0,"Review -  potential entry error (age 0)","")))</f>
        <v/>
      </c>
      <c r="U449" t="str">
        <f>_xlfn.XLOOKUP(Table8[[#This Row],[Campaign_Code]],tb3_CampaignMaster[Campaign_Code],tb3_CampaignMaster[Campaign_Type],"")</f>
        <v>Event</v>
      </c>
      <c r="V449" t="str">
        <f>_xlfn.XLOOKUP(Table8[[#This Row],[Campaign_Code]],tb3_CampaignMaster[Campaign_Code],tb3_CampaignMaster[Target_Audience],"")</f>
        <v>Major Donors</v>
      </c>
      <c r="W449" s="17">
        <f>_xlfn.XLOOKUP(Table8[[#This Row],[Campaign_Code]],tb3_CampaignMaster[Campaign_Code],tb3_CampaignMaster[Start_Date],"")</f>
        <v>45488</v>
      </c>
      <c r="X449" s="17">
        <f>_xlfn.XLOOKUP(Table8[[#This Row],[Campaign_Code]],tb3_CampaignMaster[Campaign_Code],tb3_CampaignMaster[End_Date],"")</f>
        <v>45488</v>
      </c>
      <c r="Y449">
        <f>_xlfn.XLOOKUP(Table8[[#This Row],[Campaign_Code]],tb3_CampaignMaster[Campaign_Code],tb3_CampaignMaster[Budget_GBP],"")</f>
        <v>45000</v>
      </c>
      <c r="Z449" t="str">
        <f>_xlfn.XLOOKUP(Table8[[#This Row],[Campaign_Code]],tb3_CampaignMaster[Campaign_Code],tb3_CampaignMaster[Primary_Channel],"")</f>
        <v>Direct Mail</v>
      </c>
      <c r="AA449" s="13">
        <f>IF(Table8[[#This Row],[Gift_Aid_Eligible]]="Yes",Table8[[#This Row],[Gift_Amount]]*1.25,Table8[[#This Row],[Gift_Amount]])</f>
        <v>27.450000000000003</v>
      </c>
      <c r="AB449" t="str">
        <f>IF(Table8[[#This Row],[Supporter_ID]]="","Review - missing supporter ID","")</f>
        <v/>
      </c>
      <c r="AC449" t="str">
        <f>IF(OR(Table8[[#This Row],[Response_Date]]&lt;Table8[[#This Row],[Start_Date]],Table8[[#This Row],[Response_Date]]&gt;Table8[[#This Row],[End_Date]]),"Review - response outside campaign dates","")</f>
        <v/>
      </c>
      <c r="AD449" t="str">
        <f>IF(Table8[[#This Row],[Campaign_Type]]="","Review - campaign code not found","")</f>
        <v/>
      </c>
    </row>
    <row r="450" spans="1:30" x14ac:dyDescent="0.25">
      <c r="A450" t="s">
        <v>4128</v>
      </c>
      <c r="B450" t="s">
        <v>2650</v>
      </c>
      <c r="C450" t="s">
        <v>3362</v>
      </c>
      <c r="D450" t="s">
        <v>3363</v>
      </c>
      <c r="E450" t="s">
        <v>65</v>
      </c>
      <c r="F450" s="17">
        <v>45573</v>
      </c>
      <c r="G450">
        <v>78.989999999999995</v>
      </c>
      <c r="H450" t="s">
        <v>37</v>
      </c>
      <c r="I450" t="s">
        <v>3385</v>
      </c>
      <c r="J450" t="str">
        <f>_xlfn.XLOOKUP(Table8[[#This Row],[Supporter_ID]],tb1_supporters[Supporter_ID ],tb1_supporters[Segment],"")</f>
        <v>One-Time Donor</v>
      </c>
      <c r="K450" t="str">
        <f>_xlfn.XLOOKUP(Table8[[#This Row],[Supporter_ID]],tb1_supporters[Supporter_ID ],tb1_supporters[Acquisition_Source],"")</f>
        <v>Referral</v>
      </c>
      <c r="L450" t="str">
        <f>_xlfn.XLOOKUP(Table8[[#This Row],[Supporter_ID]],tb1_supporters[Supporter_ID ],tb1_supporters[County],"")</f>
        <v>Grampian</v>
      </c>
      <c r="M450" t="str">
        <f>_xlfn.XLOOKUP(Table8[[#This Row],[Supporter_ID]],tb1_supporters[Supporter_ID ],tb1_supporters[Gender],"")</f>
        <v>Female</v>
      </c>
      <c r="N450">
        <f ca="1">_xlfn.XLOOKUP(Table8[[#This Row],[Supporter_ID]],tb1_supporters[Supporter_ID ],tb1_supporters[Age],"")</f>
        <v>34</v>
      </c>
      <c r="O450" t="str">
        <f ca="1">_xlfn.XLOOKUP(Table8[[#This Row],[Supporter_ID]],tb1_supporters[Supporter_ID ],tb1_supporters[Age_Band],"")</f>
        <v>18-34</v>
      </c>
      <c r="P450" t="str">
        <f ca="1">IF(Table8[[#This Row],[Age_Band]]="","Unknown",Table8[[#This Row],[Age_Band]])</f>
        <v>18-34</v>
      </c>
      <c r="Q450" t="str">
        <f>_xlfn.XLOOKUP(Table8[[#This Row],[Supporter_ID]],tb1_supporters[Supporter_ID ],tb1_supporters[Communication_Preference],"")</f>
        <v>Post</v>
      </c>
      <c r="R450" t="str">
        <f>_xlfn.XLOOKUP(Table8[[#This Row],[Supporter_ID]],tb1_supporters[Supporter_ID ],tb1_supporters[Duplicate_Profile_Flag],"")</f>
        <v/>
      </c>
      <c r="S450" t="str">
        <f>_xlfn.XLOOKUP(Table8[[#This Row],[Supporter_ID]],tb1_supporters[Supporter_ID ],tb1_supporters[Preference_Compliance_Flag],"")</f>
        <v>Review - prefers post but not opted in</v>
      </c>
      <c r="T450" t="str">
        <f ca="1">IF(Table8[[#This Row],[Age]]="","Review - missing DOB",IF(Table8[[#This Row],[Age]]&gt;TODAY(),"Review - future DOB",IF(Table8[[#This Row],[Age]]=0,"Review -  potential entry error (age 0)","")))</f>
        <v/>
      </c>
      <c r="U450" t="str">
        <f>_xlfn.XLOOKUP(Table8[[#This Row],[Campaign_Code]],tb3_CampaignMaster[Campaign_Code],tb3_CampaignMaster[Campaign_Type],"")</f>
        <v>Legacy</v>
      </c>
      <c r="V450" t="str">
        <f>_xlfn.XLOOKUP(Table8[[#This Row],[Campaign_Code]],tb3_CampaignMaster[Campaign_Code],tb3_CampaignMaster[Target_Audience],"")</f>
        <v>Over 55s</v>
      </c>
      <c r="W450" s="17">
        <f>_xlfn.XLOOKUP(Table8[[#This Row],[Campaign_Code]],tb3_CampaignMaster[Campaign_Code],tb3_CampaignMaster[Start_Date],"")</f>
        <v>45572</v>
      </c>
      <c r="X450" s="17">
        <f>_xlfn.XLOOKUP(Table8[[#This Row],[Campaign_Code]],tb3_CampaignMaster[Campaign_Code],tb3_CampaignMaster[End_Date],"")</f>
        <v>45578</v>
      </c>
      <c r="Y450">
        <f>_xlfn.XLOOKUP(Table8[[#This Row],[Campaign_Code]],tb3_CampaignMaster[Campaign_Code],tb3_CampaignMaster[Budget_GBP],"")</f>
        <v>5000</v>
      </c>
      <c r="Z450" t="str">
        <f>_xlfn.XLOOKUP(Table8[[#This Row],[Campaign_Code]],tb3_CampaignMaster[Campaign_Code],tb3_CampaignMaster[Primary_Channel],"")</f>
        <v>Direct Mail</v>
      </c>
      <c r="AA450" s="13">
        <f>IF(Table8[[#This Row],[Gift_Aid_Eligible]]="Yes",Table8[[#This Row],[Gift_Amount]]*1.25,Table8[[#This Row],[Gift_Amount]])</f>
        <v>78.989999999999995</v>
      </c>
      <c r="AB450" t="str">
        <f>IF(Table8[[#This Row],[Supporter_ID]]="","Review - missing supporter ID","")</f>
        <v/>
      </c>
      <c r="AC450" t="str">
        <f>IF(OR(Table8[[#This Row],[Response_Date]]&lt;Table8[[#This Row],[Start_Date]],Table8[[#This Row],[Response_Date]]&gt;Table8[[#This Row],[End_Date]]),"Review - response outside campaign dates","")</f>
        <v/>
      </c>
      <c r="AD450" t="str">
        <f>IF(Table8[[#This Row],[Campaign_Type]]="","Review - campaign code not found","")</f>
        <v/>
      </c>
    </row>
    <row r="451" spans="1:30" x14ac:dyDescent="0.25">
      <c r="A451" t="s">
        <v>4130</v>
      </c>
      <c r="B451" t="s">
        <v>2562</v>
      </c>
      <c r="C451" t="s">
        <v>3362</v>
      </c>
      <c r="D451" t="s">
        <v>3363</v>
      </c>
      <c r="E451" t="s">
        <v>65</v>
      </c>
      <c r="F451" s="17">
        <v>45576</v>
      </c>
      <c r="G451">
        <v>243.08</v>
      </c>
      <c r="H451" t="s">
        <v>37</v>
      </c>
      <c r="I451" t="s">
        <v>3334</v>
      </c>
      <c r="J451" t="str">
        <f>_xlfn.XLOOKUP(Table8[[#This Row],[Supporter_ID]],tb1_supporters[Supporter_ID ],tb1_supporters[Segment],"")</f>
        <v>Mid-Value</v>
      </c>
      <c r="K451" t="str">
        <f>_xlfn.XLOOKUP(Table8[[#This Row],[Supporter_ID]],tb1_supporters[Supporter_ID ],tb1_supporters[Acquisition_Source],"")</f>
        <v>Social Media</v>
      </c>
      <c r="L451" t="str">
        <f>_xlfn.XLOOKUP(Table8[[#This Row],[Supporter_ID]],tb1_supporters[Supporter_ID ],tb1_supporters[County],"")</f>
        <v>West Midlands</v>
      </c>
      <c r="M451" t="str">
        <f>_xlfn.XLOOKUP(Table8[[#This Row],[Supporter_ID]],tb1_supporters[Supporter_ID ],tb1_supporters[Gender],"")</f>
        <v>Female</v>
      </c>
      <c r="N451">
        <f ca="1">_xlfn.XLOOKUP(Table8[[#This Row],[Supporter_ID]],tb1_supporters[Supporter_ID ],tb1_supporters[Age],"")</f>
        <v>41</v>
      </c>
      <c r="O451" t="str">
        <f ca="1">_xlfn.XLOOKUP(Table8[[#This Row],[Supporter_ID]],tb1_supporters[Supporter_ID ],tb1_supporters[Age_Band],"")</f>
        <v>35-49</v>
      </c>
      <c r="P451" t="str">
        <f ca="1">IF(Table8[[#This Row],[Age_Band]]="","Unknown",Table8[[#This Row],[Age_Band]])</f>
        <v>35-49</v>
      </c>
      <c r="Q451" t="str">
        <f>_xlfn.XLOOKUP(Table8[[#This Row],[Supporter_ID]],tb1_supporters[Supporter_ID ],tb1_supporters[Communication_Preference],"")</f>
        <v>Phone</v>
      </c>
      <c r="R451" t="str">
        <f>_xlfn.XLOOKUP(Table8[[#This Row],[Supporter_ID]],tb1_supporters[Supporter_ID ],tb1_supporters[Duplicate_Profile_Flag],"")</f>
        <v/>
      </c>
      <c r="S451" t="str">
        <f>_xlfn.XLOOKUP(Table8[[#This Row],[Supporter_ID]],tb1_supporters[Supporter_ID ],tb1_supporters[Preference_Compliance_Flag],"")</f>
        <v/>
      </c>
      <c r="T451" t="str">
        <f ca="1">IF(Table8[[#This Row],[Age]]="","Review - missing DOB",IF(Table8[[#This Row],[Age]]&gt;TODAY(),"Review - future DOB",IF(Table8[[#This Row],[Age]]=0,"Review -  potential entry error (age 0)","")))</f>
        <v/>
      </c>
      <c r="U451" t="str">
        <f>_xlfn.XLOOKUP(Table8[[#This Row],[Campaign_Code]],tb3_CampaignMaster[Campaign_Code],tb3_CampaignMaster[Campaign_Type],"")</f>
        <v>Legacy</v>
      </c>
      <c r="V451" t="str">
        <f>_xlfn.XLOOKUP(Table8[[#This Row],[Campaign_Code]],tb3_CampaignMaster[Campaign_Code],tb3_CampaignMaster[Target_Audience],"")</f>
        <v>Over 55s</v>
      </c>
      <c r="W451" s="17">
        <f>_xlfn.XLOOKUP(Table8[[#This Row],[Campaign_Code]],tb3_CampaignMaster[Campaign_Code],tb3_CampaignMaster[Start_Date],"")</f>
        <v>45572</v>
      </c>
      <c r="X451" s="17">
        <f>_xlfn.XLOOKUP(Table8[[#This Row],[Campaign_Code]],tb3_CampaignMaster[Campaign_Code],tb3_CampaignMaster[End_Date],"")</f>
        <v>45578</v>
      </c>
      <c r="Y451">
        <f>_xlfn.XLOOKUP(Table8[[#This Row],[Campaign_Code]],tb3_CampaignMaster[Campaign_Code],tb3_CampaignMaster[Budget_GBP],"")</f>
        <v>5000</v>
      </c>
      <c r="Z451" t="str">
        <f>_xlfn.XLOOKUP(Table8[[#This Row],[Campaign_Code]],tb3_CampaignMaster[Campaign_Code],tb3_CampaignMaster[Primary_Channel],"")</f>
        <v>Direct Mail</v>
      </c>
      <c r="AA451" s="13">
        <f>IF(Table8[[#This Row],[Gift_Aid_Eligible]]="Yes",Table8[[#This Row],[Gift_Amount]]*1.25,Table8[[#This Row],[Gift_Amount]])</f>
        <v>243.08</v>
      </c>
      <c r="AB451" t="str">
        <f>IF(Table8[[#This Row],[Supporter_ID]]="","Review - missing supporter ID","")</f>
        <v/>
      </c>
      <c r="AC451" t="str">
        <f>IF(OR(Table8[[#This Row],[Response_Date]]&lt;Table8[[#This Row],[Start_Date]],Table8[[#This Row],[Response_Date]]&gt;Table8[[#This Row],[End_Date]]),"Review - response outside campaign dates","")</f>
        <v/>
      </c>
      <c r="AD451" t="str">
        <f>IF(Table8[[#This Row],[Campaign_Type]]="","Review - campaign code not found","")</f>
        <v/>
      </c>
    </row>
    <row r="452" spans="1:30" x14ac:dyDescent="0.25">
      <c r="A452" t="s">
        <v>4131</v>
      </c>
      <c r="B452" t="s">
        <v>3188</v>
      </c>
      <c r="C452" t="s">
        <v>3354</v>
      </c>
      <c r="D452" t="s">
        <v>3355</v>
      </c>
      <c r="E452" t="s">
        <v>4</v>
      </c>
      <c r="F452" s="17">
        <v>45618</v>
      </c>
      <c r="G452">
        <v>149.04</v>
      </c>
      <c r="H452" t="s">
        <v>36</v>
      </c>
      <c r="I452" t="s">
        <v>3365</v>
      </c>
      <c r="J452" t="str">
        <f>_xlfn.XLOOKUP(Table8[[#This Row],[Supporter_ID]],tb1_supporters[Supporter_ID ],tb1_supporters[Segment],"")</f>
        <v>Mid-Value</v>
      </c>
      <c r="K452" t="str">
        <f>_xlfn.XLOOKUP(Table8[[#This Row],[Supporter_ID]],tb1_supporters[Supporter_ID ],tb1_supporters[Acquisition_Source],"")</f>
        <v>Event</v>
      </c>
      <c r="L452" t="str">
        <f>_xlfn.XLOOKUP(Table8[[#This Row],[Supporter_ID]],tb1_supporters[Supporter_ID ],tb1_supporters[County],"")</f>
        <v>Tyne and Wear</v>
      </c>
      <c r="M452" t="str">
        <f>_xlfn.XLOOKUP(Table8[[#This Row],[Supporter_ID]],tb1_supporters[Supporter_ID ],tb1_supporters[Gender],"")</f>
        <v>Female</v>
      </c>
      <c r="N452">
        <f ca="1">_xlfn.XLOOKUP(Table8[[#This Row],[Supporter_ID]],tb1_supporters[Supporter_ID ],tb1_supporters[Age],"")</f>
        <v>81</v>
      </c>
      <c r="O452" t="str">
        <f ca="1">_xlfn.XLOOKUP(Table8[[#This Row],[Supporter_ID]],tb1_supporters[Supporter_ID ],tb1_supporters[Age_Band],"")</f>
        <v>65+</v>
      </c>
      <c r="P452" t="str">
        <f ca="1">IF(Table8[[#This Row],[Age_Band]]="","Unknown",Table8[[#This Row],[Age_Band]])</f>
        <v>65+</v>
      </c>
      <c r="Q452" t="str">
        <f>_xlfn.XLOOKUP(Table8[[#This Row],[Supporter_ID]],tb1_supporters[Supporter_ID ],tb1_supporters[Communication_Preference],"")</f>
        <v>Email</v>
      </c>
      <c r="R452" t="str">
        <f>_xlfn.XLOOKUP(Table8[[#This Row],[Supporter_ID]],tb1_supporters[Supporter_ID ],tb1_supporters[Duplicate_Profile_Flag],"")</f>
        <v/>
      </c>
      <c r="S452" t="str">
        <f>_xlfn.XLOOKUP(Table8[[#This Row],[Supporter_ID]],tb1_supporters[Supporter_ID ],tb1_supporters[Preference_Compliance_Flag],"")</f>
        <v>Review - prefers email but not opted in</v>
      </c>
      <c r="T452" t="str">
        <f ca="1">IF(Table8[[#This Row],[Age]]="","Review - missing DOB",IF(Table8[[#This Row],[Age]]&gt;TODAY(),"Review - future DOB",IF(Table8[[#This Row],[Age]]=0,"Review -  potential entry error (age 0)","")))</f>
        <v/>
      </c>
      <c r="U452" t="str">
        <f>_xlfn.XLOOKUP(Table8[[#This Row],[Campaign_Code]],tb3_CampaignMaster[Campaign_Code],tb3_CampaignMaster[Campaign_Type],"")</f>
        <v>Event</v>
      </c>
      <c r="V452" t="str">
        <f>_xlfn.XLOOKUP(Table8[[#This Row],[Campaign_Code]],tb3_CampaignMaster[Campaign_Code],tb3_CampaignMaster[Target_Audience],"")</f>
        <v>Volunteers</v>
      </c>
      <c r="W452" s="17">
        <f>_xlfn.XLOOKUP(Table8[[#This Row],[Campaign_Code]],tb3_CampaignMaster[Campaign_Code],tb3_CampaignMaster[Start_Date],"")</f>
        <v>45618</v>
      </c>
      <c r="X452" s="17">
        <f>_xlfn.XLOOKUP(Table8[[#This Row],[Campaign_Code]],tb3_CampaignMaster[Campaign_Code],tb3_CampaignMaster[End_Date],"")</f>
        <v>45618</v>
      </c>
      <c r="Y452">
        <f>_xlfn.XLOOKUP(Table8[[#This Row],[Campaign_Code]],tb3_CampaignMaster[Campaign_Code],tb3_CampaignMaster[Budget_GBP],"")</f>
        <v>3500</v>
      </c>
      <c r="Z452" t="str">
        <f>_xlfn.XLOOKUP(Table8[[#This Row],[Campaign_Code]],tb3_CampaignMaster[Campaign_Code],tb3_CampaignMaster[Primary_Channel],"")</f>
        <v>Email</v>
      </c>
      <c r="AA452" s="13">
        <f>IF(Table8[[#This Row],[Gift_Aid_Eligible]]="Yes",Table8[[#This Row],[Gift_Amount]]*1.25,Table8[[#This Row],[Gift_Amount]])</f>
        <v>186.29999999999998</v>
      </c>
      <c r="AB452" t="str">
        <f>IF(Table8[[#This Row],[Supporter_ID]]="","Review - missing supporter ID","")</f>
        <v/>
      </c>
      <c r="AC452" t="str">
        <f>IF(OR(Table8[[#This Row],[Response_Date]]&lt;Table8[[#This Row],[Start_Date]],Table8[[#This Row],[Response_Date]]&gt;Table8[[#This Row],[End_Date]]),"Review - response outside campaign dates","")</f>
        <v/>
      </c>
      <c r="AD452" t="str">
        <f>IF(Table8[[#This Row],[Campaign_Type]]="","Review - campaign code not found","")</f>
        <v/>
      </c>
    </row>
    <row r="453" spans="1:30" x14ac:dyDescent="0.25">
      <c r="A453" t="s">
        <v>4132</v>
      </c>
      <c r="B453" t="s">
        <v>2847</v>
      </c>
      <c r="C453" t="s">
        <v>3354</v>
      </c>
      <c r="D453" t="s">
        <v>3355</v>
      </c>
      <c r="E453" t="s">
        <v>4</v>
      </c>
      <c r="F453" s="17">
        <v>45618</v>
      </c>
      <c r="G453">
        <v>235.85</v>
      </c>
      <c r="H453" t="s">
        <v>37</v>
      </c>
      <c r="I453" t="s">
        <v>3385</v>
      </c>
      <c r="J453" t="str">
        <f>_xlfn.XLOOKUP(Table8[[#This Row],[Supporter_ID]],tb1_supporters[Supporter_ID ],tb1_supporters[Segment],"")</f>
        <v>Mid-Value</v>
      </c>
      <c r="K453" t="str">
        <f>_xlfn.XLOOKUP(Table8[[#This Row],[Supporter_ID]],tb1_supporters[Supporter_ID ],tb1_supporters[Acquisition_Source],"")</f>
        <v>Social Media</v>
      </c>
      <c r="L453" t="str">
        <f>_xlfn.XLOOKUP(Table8[[#This Row],[Supporter_ID]],tb1_supporters[Supporter_ID ],tb1_supporters[County],"")</f>
        <v>Wiltshire</v>
      </c>
      <c r="M453" t="str">
        <f>_xlfn.XLOOKUP(Table8[[#This Row],[Supporter_ID]],tb1_supporters[Supporter_ID ],tb1_supporters[Gender],"")</f>
        <v>Male</v>
      </c>
      <c r="N453">
        <f ca="1">_xlfn.XLOOKUP(Table8[[#This Row],[Supporter_ID]],tb1_supporters[Supporter_ID ],tb1_supporters[Age],"")</f>
        <v>36</v>
      </c>
      <c r="O453" t="str">
        <f ca="1">_xlfn.XLOOKUP(Table8[[#This Row],[Supporter_ID]],tb1_supporters[Supporter_ID ],tb1_supporters[Age_Band],"")</f>
        <v>35-49</v>
      </c>
      <c r="P453" t="str">
        <f ca="1">IF(Table8[[#This Row],[Age_Band]]="","Unknown",Table8[[#This Row],[Age_Band]])</f>
        <v>35-49</v>
      </c>
      <c r="Q453" t="str">
        <f>_xlfn.XLOOKUP(Table8[[#This Row],[Supporter_ID]],tb1_supporters[Supporter_ID ],tb1_supporters[Communication_Preference],"")</f>
        <v>Post</v>
      </c>
      <c r="R453" t="str">
        <f>_xlfn.XLOOKUP(Table8[[#This Row],[Supporter_ID]],tb1_supporters[Supporter_ID ],tb1_supporters[Duplicate_Profile_Flag],"")</f>
        <v/>
      </c>
      <c r="S453" t="str">
        <f>_xlfn.XLOOKUP(Table8[[#This Row],[Supporter_ID]],tb1_supporters[Supporter_ID ],tb1_supporters[Preference_Compliance_Flag],"")</f>
        <v>Review - prefers post but not opted in</v>
      </c>
      <c r="T453" t="str">
        <f ca="1">IF(Table8[[#This Row],[Age]]="","Review - missing DOB",IF(Table8[[#This Row],[Age]]&gt;TODAY(),"Review - future DOB",IF(Table8[[#This Row],[Age]]=0,"Review -  potential entry error (age 0)","")))</f>
        <v/>
      </c>
      <c r="U453" t="str">
        <f>_xlfn.XLOOKUP(Table8[[#This Row],[Campaign_Code]],tb3_CampaignMaster[Campaign_Code],tb3_CampaignMaster[Campaign_Type],"")</f>
        <v>Event</v>
      </c>
      <c r="V453" t="str">
        <f>_xlfn.XLOOKUP(Table8[[#This Row],[Campaign_Code]],tb3_CampaignMaster[Campaign_Code],tb3_CampaignMaster[Target_Audience],"")</f>
        <v>Volunteers</v>
      </c>
      <c r="W453" s="17">
        <f>_xlfn.XLOOKUP(Table8[[#This Row],[Campaign_Code]],tb3_CampaignMaster[Campaign_Code],tb3_CampaignMaster[Start_Date],"")</f>
        <v>45618</v>
      </c>
      <c r="X453" s="17">
        <f>_xlfn.XLOOKUP(Table8[[#This Row],[Campaign_Code]],tb3_CampaignMaster[Campaign_Code],tb3_CampaignMaster[End_Date],"")</f>
        <v>45618</v>
      </c>
      <c r="Y453">
        <f>_xlfn.XLOOKUP(Table8[[#This Row],[Campaign_Code]],tb3_CampaignMaster[Campaign_Code],tb3_CampaignMaster[Budget_GBP],"")</f>
        <v>3500</v>
      </c>
      <c r="Z453" t="str">
        <f>_xlfn.XLOOKUP(Table8[[#This Row],[Campaign_Code]],tb3_CampaignMaster[Campaign_Code],tb3_CampaignMaster[Primary_Channel],"")</f>
        <v>Email</v>
      </c>
      <c r="AA453" s="13">
        <f>IF(Table8[[#This Row],[Gift_Aid_Eligible]]="Yes",Table8[[#This Row],[Gift_Amount]]*1.25,Table8[[#This Row],[Gift_Amount]])</f>
        <v>235.85</v>
      </c>
      <c r="AB453" t="str">
        <f>IF(Table8[[#This Row],[Supporter_ID]]="","Review - missing supporter ID","")</f>
        <v/>
      </c>
      <c r="AC453" t="str">
        <f>IF(OR(Table8[[#This Row],[Response_Date]]&lt;Table8[[#This Row],[Start_Date]],Table8[[#This Row],[Response_Date]]&gt;Table8[[#This Row],[End_Date]]),"Review - response outside campaign dates","")</f>
        <v/>
      </c>
      <c r="AD453" t="str">
        <f>IF(Table8[[#This Row],[Campaign_Type]]="","Review - campaign code not found","")</f>
        <v/>
      </c>
    </row>
    <row r="454" spans="1:30" x14ac:dyDescent="0.25">
      <c r="A454" t="s">
        <v>4133</v>
      </c>
      <c r="B454" t="s">
        <v>1000</v>
      </c>
      <c r="C454" t="s">
        <v>3427</v>
      </c>
      <c r="D454" t="s">
        <v>3428</v>
      </c>
      <c r="E454" t="s">
        <v>65</v>
      </c>
      <c r="F454" s="17">
        <v>45488</v>
      </c>
      <c r="G454">
        <v>47.14</v>
      </c>
      <c r="H454" t="s">
        <v>36</v>
      </c>
      <c r="I454" t="s">
        <v>3318</v>
      </c>
      <c r="J454" t="str">
        <f>_xlfn.XLOOKUP(Table8[[#This Row],[Supporter_ID]],tb1_supporters[Supporter_ID ],tb1_supporters[Segment],"")</f>
        <v>One-Time Donor</v>
      </c>
      <c r="K454" t="str">
        <f>_xlfn.XLOOKUP(Table8[[#This Row],[Supporter_ID]],tb1_supporters[Supporter_ID ],tb1_supporters[Acquisition_Source],"")</f>
        <v>Website</v>
      </c>
      <c r="L454" t="str">
        <f>_xlfn.XLOOKUP(Table8[[#This Row],[Supporter_ID]],tb1_supporters[Supporter_ID ],tb1_supporters[County],"")</f>
        <v>North Yorkshire</v>
      </c>
      <c r="M454" t="str">
        <f>_xlfn.XLOOKUP(Table8[[#This Row],[Supporter_ID]],tb1_supporters[Supporter_ID ],tb1_supporters[Gender],"")</f>
        <v>Male</v>
      </c>
      <c r="N454">
        <f ca="1">_xlfn.XLOOKUP(Table8[[#This Row],[Supporter_ID]],tb1_supporters[Supporter_ID ],tb1_supporters[Age],"")</f>
        <v>65</v>
      </c>
      <c r="O454" t="str">
        <f ca="1">_xlfn.XLOOKUP(Table8[[#This Row],[Supporter_ID]],tb1_supporters[Supporter_ID ],tb1_supporters[Age_Band],"")</f>
        <v>65+</v>
      </c>
      <c r="P454" t="str">
        <f ca="1">IF(Table8[[#This Row],[Age_Band]]="","Unknown",Table8[[#This Row],[Age_Band]])</f>
        <v>65+</v>
      </c>
      <c r="Q454" t="str">
        <f>_xlfn.XLOOKUP(Table8[[#This Row],[Supporter_ID]],tb1_supporters[Supporter_ID ],tb1_supporters[Communication_Preference],"")</f>
        <v>Email</v>
      </c>
      <c r="R454" t="str">
        <f>_xlfn.XLOOKUP(Table8[[#This Row],[Supporter_ID]],tb1_supporters[Supporter_ID ],tb1_supporters[Duplicate_Profile_Flag],"")</f>
        <v/>
      </c>
      <c r="S454" t="str">
        <f>_xlfn.XLOOKUP(Table8[[#This Row],[Supporter_ID]],tb1_supporters[Supporter_ID ],tb1_supporters[Preference_Compliance_Flag],"")</f>
        <v/>
      </c>
      <c r="T454" t="str">
        <f ca="1">IF(Table8[[#This Row],[Age]]="","Review - missing DOB",IF(Table8[[#This Row],[Age]]&gt;TODAY(),"Review - future DOB",IF(Table8[[#This Row],[Age]]=0,"Review -  potential entry error (age 0)","")))</f>
        <v/>
      </c>
      <c r="U454" t="str">
        <f>_xlfn.XLOOKUP(Table8[[#This Row],[Campaign_Code]],tb3_CampaignMaster[Campaign_Code],tb3_CampaignMaster[Campaign_Type],"")</f>
        <v>Event</v>
      </c>
      <c r="V454" t="str">
        <f>_xlfn.XLOOKUP(Table8[[#This Row],[Campaign_Code]],tb3_CampaignMaster[Campaign_Code],tb3_CampaignMaster[Target_Audience],"")</f>
        <v>Major Donors</v>
      </c>
      <c r="W454" s="17">
        <f>_xlfn.XLOOKUP(Table8[[#This Row],[Campaign_Code]],tb3_CampaignMaster[Campaign_Code],tb3_CampaignMaster[Start_Date],"")</f>
        <v>45488</v>
      </c>
      <c r="X454" s="17">
        <f>_xlfn.XLOOKUP(Table8[[#This Row],[Campaign_Code]],tb3_CampaignMaster[Campaign_Code],tb3_CampaignMaster[End_Date],"")</f>
        <v>45488</v>
      </c>
      <c r="Y454">
        <f>_xlfn.XLOOKUP(Table8[[#This Row],[Campaign_Code]],tb3_CampaignMaster[Campaign_Code],tb3_CampaignMaster[Budget_GBP],"")</f>
        <v>45000</v>
      </c>
      <c r="Z454" t="str">
        <f>_xlfn.XLOOKUP(Table8[[#This Row],[Campaign_Code]],tb3_CampaignMaster[Campaign_Code],tb3_CampaignMaster[Primary_Channel],"")</f>
        <v>Direct Mail</v>
      </c>
      <c r="AA454" s="13">
        <f>IF(Table8[[#This Row],[Gift_Aid_Eligible]]="Yes",Table8[[#This Row],[Gift_Amount]]*1.25,Table8[[#This Row],[Gift_Amount]])</f>
        <v>58.924999999999997</v>
      </c>
      <c r="AB454" t="str">
        <f>IF(Table8[[#This Row],[Supporter_ID]]="","Review - missing supporter ID","")</f>
        <v/>
      </c>
      <c r="AC454" t="str">
        <f>IF(OR(Table8[[#This Row],[Response_Date]]&lt;Table8[[#This Row],[Start_Date]],Table8[[#This Row],[Response_Date]]&gt;Table8[[#This Row],[End_Date]]),"Review - response outside campaign dates","")</f>
        <v/>
      </c>
      <c r="AD454" t="str">
        <f>IF(Table8[[#This Row],[Campaign_Type]]="","Review - campaign code not found","")</f>
        <v/>
      </c>
    </row>
    <row r="455" spans="1:30" x14ac:dyDescent="0.25">
      <c r="A455" t="s">
        <v>4134</v>
      </c>
      <c r="B455" t="s">
        <v>1053</v>
      </c>
      <c r="C455" t="s">
        <v>3341</v>
      </c>
      <c r="D455" t="s">
        <v>3342</v>
      </c>
      <c r="E455" t="s">
        <v>91</v>
      </c>
      <c r="F455" s="17">
        <v>45715</v>
      </c>
      <c r="G455">
        <v>71.239999999999995</v>
      </c>
      <c r="H455" t="s">
        <v>36</v>
      </c>
      <c r="I455" t="s">
        <v>3331</v>
      </c>
      <c r="J455" t="str">
        <f>_xlfn.XLOOKUP(Table8[[#This Row],[Supporter_ID]],tb1_supporters[Supporter_ID ],tb1_supporters[Segment],"")</f>
        <v>Lapsed</v>
      </c>
      <c r="K455" t="str">
        <f>_xlfn.XLOOKUP(Table8[[#This Row],[Supporter_ID]],tb1_supporters[Supporter_ID ],tb1_supporters[Acquisition_Source],"")</f>
        <v>Event</v>
      </c>
      <c r="L455" t="str">
        <f>_xlfn.XLOOKUP(Table8[[#This Row],[Supporter_ID]],tb1_supporters[Supporter_ID ],tb1_supporters[County],"")</f>
        <v>South Glamorgan</v>
      </c>
      <c r="M455" t="str">
        <f>_xlfn.XLOOKUP(Table8[[#This Row],[Supporter_ID]],tb1_supporters[Supporter_ID ],tb1_supporters[Gender],"")</f>
        <v>Female</v>
      </c>
      <c r="N455">
        <f ca="1">_xlfn.XLOOKUP(Table8[[#This Row],[Supporter_ID]],tb1_supporters[Supporter_ID ],tb1_supporters[Age],"")</f>
        <v>78</v>
      </c>
      <c r="O455" t="str">
        <f ca="1">_xlfn.XLOOKUP(Table8[[#This Row],[Supporter_ID]],tb1_supporters[Supporter_ID ],tb1_supporters[Age_Band],"")</f>
        <v>65+</v>
      </c>
      <c r="P455" t="str">
        <f ca="1">IF(Table8[[#This Row],[Age_Band]]="","Unknown",Table8[[#This Row],[Age_Band]])</f>
        <v>65+</v>
      </c>
      <c r="Q455" t="str">
        <f>_xlfn.XLOOKUP(Table8[[#This Row],[Supporter_ID]],tb1_supporters[Supporter_ID ],tb1_supporters[Communication_Preference],"")</f>
        <v>Phone</v>
      </c>
      <c r="R455" t="str">
        <f>_xlfn.XLOOKUP(Table8[[#This Row],[Supporter_ID]],tb1_supporters[Supporter_ID ],tb1_supporters[Duplicate_Profile_Flag],"")</f>
        <v/>
      </c>
      <c r="S455" t="str">
        <f>_xlfn.XLOOKUP(Table8[[#This Row],[Supporter_ID]],tb1_supporters[Supporter_ID ],tb1_supporters[Preference_Compliance_Flag],"")</f>
        <v>Review - prefers phone but not opted in</v>
      </c>
      <c r="T455" t="str">
        <f ca="1">IF(Table8[[#This Row],[Age]]="","Review - missing DOB",IF(Table8[[#This Row],[Age]]&gt;TODAY(),"Review - future DOB",IF(Table8[[#This Row],[Age]]=0,"Review -  potential entry error (age 0)","")))</f>
        <v/>
      </c>
      <c r="U455" t="str">
        <f>_xlfn.XLOOKUP(Table8[[#This Row],[Campaign_Code]],tb3_CampaignMaster[Campaign_Code],tb3_CampaignMaster[Campaign_Type],"")</f>
        <v>Acquisition</v>
      </c>
      <c r="V455" t="str">
        <f>_xlfn.XLOOKUP(Table8[[#This Row],[Campaign_Code]],tb3_CampaignMaster[Campaign_Code],tb3_CampaignMaster[Target_Audience],"")</f>
        <v>Prospects</v>
      </c>
      <c r="W455" s="17">
        <f>_xlfn.XLOOKUP(Table8[[#This Row],[Campaign_Code]],tb3_CampaignMaster[Campaign_Code],tb3_CampaignMaster[Start_Date],"")</f>
        <v>45689</v>
      </c>
      <c r="X455" s="17">
        <f>_xlfn.XLOOKUP(Table8[[#This Row],[Campaign_Code]],tb3_CampaignMaster[Campaign_Code],tb3_CampaignMaster[End_Date],"")</f>
        <v>45777</v>
      </c>
      <c r="Y455">
        <f>_xlfn.XLOOKUP(Table8[[#This Row],[Campaign_Code]],tb3_CampaignMaster[Campaign_Code],tb3_CampaignMaster[Budget_GBP],"")</f>
        <v>20000</v>
      </c>
      <c r="Z455" t="str">
        <f>_xlfn.XLOOKUP(Table8[[#This Row],[Campaign_Code]],tb3_CampaignMaster[Campaign_Code],tb3_CampaignMaster[Primary_Channel],"")</f>
        <v>Digital</v>
      </c>
      <c r="AA455" s="13">
        <f>IF(Table8[[#This Row],[Gift_Aid_Eligible]]="Yes",Table8[[#This Row],[Gift_Amount]]*1.25,Table8[[#This Row],[Gift_Amount]])</f>
        <v>89.05</v>
      </c>
      <c r="AB455" t="str">
        <f>IF(Table8[[#This Row],[Supporter_ID]]="","Review - missing supporter ID","")</f>
        <v/>
      </c>
      <c r="AC455" t="str">
        <f>IF(OR(Table8[[#This Row],[Response_Date]]&lt;Table8[[#This Row],[Start_Date]],Table8[[#This Row],[Response_Date]]&gt;Table8[[#This Row],[End_Date]]),"Review - response outside campaign dates","")</f>
        <v/>
      </c>
      <c r="AD455" t="str">
        <f>IF(Table8[[#This Row],[Campaign_Type]]="","Review - campaign code not found","")</f>
        <v/>
      </c>
    </row>
    <row r="456" spans="1:30" x14ac:dyDescent="0.25">
      <c r="A456" t="s">
        <v>4136</v>
      </c>
      <c r="B456" t="s">
        <v>2550</v>
      </c>
      <c r="C456" t="s">
        <v>3320</v>
      </c>
      <c r="D456" t="s">
        <v>3321</v>
      </c>
      <c r="E456" t="s">
        <v>65</v>
      </c>
      <c r="F456" s="17">
        <v>45456</v>
      </c>
      <c r="G456">
        <v>26.63</v>
      </c>
      <c r="H456" t="s">
        <v>36</v>
      </c>
      <c r="I456" t="s">
        <v>3334</v>
      </c>
      <c r="J456" t="str">
        <f>_xlfn.XLOOKUP(Table8[[#This Row],[Supporter_ID]],tb1_supporters[Supporter_ID ],tb1_supporters[Segment],"")</f>
        <v>Lapsed</v>
      </c>
      <c r="K456" t="str">
        <f>_xlfn.XLOOKUP(Table8[[#This Row],[Supporter_ID]],tb1_supporters[Supporter_ID ],tb1_supporters[Acquisition_Source],"")</f>
        <v>Corporate Partner</v>
      </c>
      <c r="L456" t="str">
        <f>_xlfn.XLOOKUP(Table8[[#This Row],[Supporter_ID]],tb1_supporters[Supporter_ID ],tb1_supporters[County],"")</f>
        <v>North Yorkshire</v>
      </c>
      <c r="M456" t="str">
        <f>_xlfn.XLOOKUP(Table8[[#This Row],[Supporter_ID]],tb1_supporters[Supporter_ID ],tb1_supporters[Gender],"")</f>
        <v>Male</v>
      </c>
      <c r="N456">
        <f ca="1">_xlfn.XLOOKUP(Table8[[#This Row],[Supporter_ID]],tb1_supporters[Supporter_ID ],tb1_supporters[Age],"")</f>
        <v>53</v>
      </c>
      <c r="O456" t="str">
        <f ca="1">_xlfn.XLOOKUP(Table8[[#This Row],[Supporter_ID]],tb1_supporters[Supporter_ID ],tb1_supporters[Age_Band],"")</f>
        <v>50-64</v>
      </c>
      <c r="P456" t="str">
        <f ca="1">IF(Table8[[#This Row],[Age_Band]]="","Unknown",Table8[[#This Row],[Age_Band]])</f>
        <v>50-64</v>
      </c>
      <c r="Q456" t="str">
        <f>_xlfn.XLOOKUP(Table8[[#This Row],[Supporter_ID]],tb1_supporters[Supporter_ID ],tb1_supporters[Communication_Preference],"")</f>
        <v>Email</v>
      </c>
      <c r="R456" t="str">
        <f>_xlfn.XLOOKUP(Table8[[#This Row],[Supporter_ID]],tb1_supporters[Supporter_ID ],tb1_supporters[Duplicate_Profile_Flag],"")</f>
        <v/>
      </c>
      <c r="S456" t="str">
        <f>_xlfn.XLOOKUP(Table8[[#This Row],[Supporter_ID]],tb1_supporters[Supporter_ID ],tb1_supporters[Preference_Compliance_Flag],"")</f>
        <v/>
      </c>
      <c r="T456" t="str">
        <f ca="1">IF(Table8[[#This Row],[Age]]="","Review - missing DOB",IF(Table8[[#This Row],[Age]]&gt;TODAY(),"Review - future DOB",IF(Table8[[#This Row],[Age]]=0,"Review -  potential entry error (age 0)","")))</f>
        <v/>
      </c>
      <c r="U456" t="str">
        <f>_xlfn.XLOOKUP(Table8[[#This Row],[Campaign_Code]],tb3_CampaignMaster[Campaign_Code],tb3_CampaignMaster[Campaign_Type],"")</f>
        <v>Stewardship</v>
      </c>
      <c r="V456" t="str">
        <f>_xlfn.XLOOKUP(Table8[[#This Row],[Campaign_Code]],tb3_CampaignMaster[Campaign_Code],tb3_CampaignMaster[Target_Audience],"")</f>
        <v>Major Donors</v>
      </c>
      <c r="W456" s="17">
        <f>_xlfn.XLOOKUP(Table8[[#This Row],[Campaign_Code]],tb3_CampaignMaster[Campaign_Code],tb3_CampaignMaster[Start_Date],"")</f>
        <v>45444</v>
      </c>
      <c r="X456" s="17">
        <f>_xlfn.XLOOKUP(Table8[[#This Row],[Campaign_Code]],tb3_CampaignMaster[Campaign_Code],tb3_CampaignMaster[End_Date],"")</f>
        <v>45473</v>
      </c>
      <c r="Y456">
        <f>_xlfn.XLOOKUP(Table8[[#This Row],[Campaign_Code]],tb3_CampaignMaster[Campaign_Code],tb3_CampaignMaster[Budget_GBP],"")</f>
        <v>7000</v>
      </c>
      <c r="Z456" t="str">
        <f>_xlfn.XLOOKUP(Table8[[#This Row],[Campaign_Code]],tb3_CampaignMaster[Campaign_Code],tb3_CampaignMaster[Primary_Channel],"")</f>
        <v>Direct Mail</v>
      </c>
      <c r="AA456" s="13">
        <f>IF(Table8[[#This Row],[Gift_Aid_Eligible]]="Yes",Table8[[#This Row],[Gift_Amount]]*1.25,Table8[[#This Row],[Gift_Amount]])</f>
        <v>33.287500000000001</v>
      </c>
      <c r="AB456" t="str">
        <f>IF(Table8[[#This Row],[Supporter_ID]]="","Review - missing supporter ID","")</f>
        <v/>
      </c>
      <c r="AC456" t="str">
        <f>IF(OR(Table8[[#This Row],[Response_Date]]&lt;Table8[[#This Row],[Start_Date]],Table8[[#This Row],[Response_Date]]&gt;Table8[[#This Row],[End_Date]]),"Review - response outside campaign dates","")</f>
        <v/>
      </c>
      <c r="AD456" t="str">
        <f>IF(Table8[[#This Row],[Campaign_Type]]="","Review - campaign code not found","")</f>
        <v/>
      </c>
    </row>
    <row r="457" spans="1:30" x14ac:dyDescent="0.25">
      <c r="A457" t="s">
        <v>4137</v>
      </c>
      <c r="B457" t="s">
        <v>2475</v>
      </c>
      <c r="C457" t="s">
        <v>3336</v>
      </c>
      <c r="D457" t="s">
        <v>3337</v>
      </c>
      <c r="E457" t="s">
        <v>4</v>
      </c>
      <c r="F457" s="17">
        <v>45547</v>
      </c>
      <c r="G457">
        <v>20.79</v>
      </c>
      <c r="H457" t="s">
        <v>36</v>
      </c>
      <c r="I457" t="s">
        <v>3331</v>
      </c>
      <c r="J457" t="str">
        <f>_xlfn.XLOOKUP(Table8[[#This Row],[Supporter_ID]],tb1_supporters[Supporter_ID ],tb1_supporters[Segment],"")</f>
        <v>Prospect</v>
      </c>
      <c r="K457" t="str">
        <f>_xlfn.XLOOKUP(Table8[[#This Row],[Supporter_ID]],tb1_supporters[Supporter_ID ],tb1_supporters[Acquisition_Source],"")</f>
        <v>Referral</v>
      </c>
      <c r="L457" t="str">
        <f>_xlfn.XLOOKUP(Table8[[#This Row],[Supporter_ID]],tb1_supporters[Supporter_ID ],tb1_supporters[County],"")</f>
        <v>Greater Manchester</v>
      </c>
      <c r="M457" t="str">
        <f>_xlfn.XLOOKUP(Table8[[#This Row],[Supporter_ID]],tb1_supporters[Supporter_ID ],tb1_supporters[Gender],"")</f>
        <v>Female</v>
      </c>
      <c r="N457">
        <f ca="1">_xlfn.XLOOKUP(Table8[[#This Row],[Supporter_ID]],tb1_supporters[Supporter_ID ],tb1_supporters[Age],"")</f>
        <v>52</v>
      </c>
      <c r="O457" t="str">
        <f ca="1">_xlfn.XLOOKUP(Table8[[#This Row],[Supporter_ID]],tb1_supporters[Supporter_ID ],tb1_supporters[Age_Band],"")</f>
        <v>50-64</v>
      </c>
      <c r="P457" t="str">
        <f ca="1">IF(Table8[[#This Row],[Age_Band]]="","Unknown",Table8[[#This Row],[Age_Band]])</f>
        <v>50-64</v>
      </c>
      <c r="Q457" t="str">
        <f>_xlfn.XLOOKUP(Table8[[#This Row],[Supporter_ID]],tb1_supporters[Supporter_ID ],tb1_supporters[Communication_Preference],"")</f>
        <v>Email</v>
      </c>
      <c r="R457" t="str">
        <f>_xlfn.XLOOKUP(Table8[[#This Row],[Supporter_ID]],tb1_supporters[Supporter_ID ],tb1_supporters[Duplicate_Profile_Flag],"")</f>
        <v/>
      </c>
      <c r="S457" t="str">
        <f>_xlfn.XLOOKUP(Table8[[#This Row],[Supporter_ID]],tb1_supporters[Supporter_ID ],tb1_supporters[Preference_Compliance_Flag],"")</f>
        <v/>
      </c>
      <c r="T457" t="str">
        <f ca="1">IF(Table8[[#This Row],[Age]]="","Review - missing DOB",IF(Table8[[#This Row],[Age]]&gt;TODAY(),"Review - future DOB",IF(Table8[[#This Row],[Age]]=0,"Review -  potential entry error (age 0)","")))</f>
        <v/>
      </c>
      <c r="U457" t="str">
        <f>_xlfn.XLOOKUP(Table8[[#This Row],[Campaign_Code]],tb3_CampaignMaster[Campaign_Code],tb3_CampaignMaster[Campaign_Type],"")</f>
        <v>Appeal</v>
      </c>
      <c r="V457" t="str">
        <f>_xlfn.XLOOKUP(Table8[[#This Row],[Campaign_Code]],tb3_CampaignMaster[Campaign_Code],tb3_CampaignMaster[Target_Audience],"")</f>
        <v>All Supporters</v>
      </c>
      <c r="W457" s="17">
        <f>_xlfn.XLOOKUP(Table8[[#This Row],[Campaign_Code]],tb3_CampaignMaster[Campaign_Code],tb3_CampaignMaster[Start_Date],"")</f>
        <v>45545</v>
      </c>
      <c r="X457" s="17">
        <f>_xlfn.XLOOKUP(Table8[[#This Row],[Campaign_Code]],tb3_CampaignMaster[Campaign_Code],tb3_CampaignMaster[End_Date],"")</f>
        <v>45580</v>
      </c>
      <c r="Y457">
        <f>_xlfn.XLOOKUP(Table8[[#This Row],[Campaign_Code]],tb3_CampaignMaster[Campaign_Code],tb3_CampaignMaster[Budget_GBP],"")</f>
        <v>15000</v>
      </c>
      <c r="Z457" t="str">
        <f>_xlfn.XLOOKUP(Table8[[#This Row],[Campaign_Code]],tb3_CampaignMaster[Campaign_Code],tb3_CampaignMaster[Primary_Channel],"")</f>
        <v>Email</v>
      </c>
      <c r="AA457" s="13">
        <f>IF(Table8[[#This Row],[Gift_Aid_Eligible]]="Yes",Table8[[#This Row],[Gift_Amount]]*1.25,Table8[[#This Row],[Gift_Amount]])</f>
        <v>25.987499999999997</v>
      </c>
      <c r="AB457" t="str">
        <f>IF(Table8[[#This Row],[Supporter_ID]]="","Review - missing supporter ID","")</f>
        <v/>
      </c>
      <c r="AC457" t="str">
        <f>IF(OR(Table8[[#This Row],[Response_Date]]&lt;Table8[[#This Row],[Start_Date]],Table8[[#This Row],[Response_Date]]&gt;Table8[[#This Row],[End_Date]]),"Review - response outside campaign dates","")</f>
        <v/>
      </c>
      <c r="AD457" t="str">
        <f>IF(Table8[[#This Row],[Campaign_Type]]="","Review - campaign code not found","")</f>
        <v/>
      </c>
    </row>
    <row r="458" spans="1:30" x14ac:dyDescent="0.25">
      <c r="A458" t="s">
        <v>4139</v>
      </c>
      <c r="B458" t="s">
        <v>1274</v>
      </c>
      <c r="C458" t="s">
        <v>3403</v>
      </c>
      <c r="D458" t="s">
        <v>3404</v>
      </c>
      <c r="E458" t="s">
        <v>3316</v>
      </c>
      <c r="F458" s="17">
        <v>45584</v>
      </c>
      <c r="G458">
        <v>225.53</v>
      </c>
      <c r="H458" t="s">
        <v>37</v>
      </c>
      <c r="I458" t="s">
        <v>3334</v>
      </c>
      <c r="J458" t="str">
        <f>_xlfn.XLOOKUP(Table8[[#This Row],[Supporter_ID]],tb1_supporters[Supporter_ID ],tb1_supporters[Segment],"")</f>
        <v>Legacy Pledger</v>
      </c>
      <c r="K458" t="str">
        <f>_xlfn.XLOOKUP(Table8[[#This Row],[Supporter_ID]],tb1_supporters[Supporter_ID ],tb1_supporters[Acquisition_Source],"")</f>
        <v>Website</v>
      </c>
      <c r="L458" t="str">
        <f>_xlfn.XLOOKUP(Table8[[#This Row],[Supporter_ID]],tb1_supporters[Supporter_ID ],tb1_supporters[County],"")</f>
        <v>West Yorkshire</v>
      </c>
      <c r="M458" t="str">
        <f>_xlfn.XLOOKUP(Table8[[#This Row],[Supporter_ID]],tb1_supporters[Supporter_ID ],tb1_supporters[Gender],"")</f>
        <v>Male</v>
      </c>
      <c r="N458">
        <f ca="1">_xlfn.XLOOKUP(Table8[[#This Row],[Supporter_ID]],tb1_supporters[Supporter_ID ],tb1_supporters[Age],"")</f>
        <v>81</v>
      </c>
      <c r="O458" t="str">
        <f ca="1">_xlfn.XLOOKUP(Table8[[#This Row],[Supporter_ID]],tb1_supporters[Supporter_ID ],tb1_supporters[Age_Band],"")</f>
        <v>65+</v>
      </c>
      <c r="P458" t="str">
        <f ca="1">IF(Table8[[#This Row],[Age_Band]]="","Unknown",Table8[[#This Row],[Age_Band]])</f>
        <v>65+</v>
      </c>
      <c r="Q458" t="str">
        <f>_xlfn.XLOOKUP(Table8[[#This Row],[Supporter_ID]],tb1_supporters[Supporter_ID ],tb1_supporters[Communication_Preference],"")</f>
        <v>Post</v>
      </c>
      <c r="R458" t="str">
        <f>_xlfn.XLOOKUP(Table8[[#This Row],[Supporter_ID]],tb1_supporters[Supporter_ID ],tb1_supporters[Duplicate_Profile_Flag],"")</f>
        <v/>
      </c>
      <c r="S458" t="str">
        <f>_xlfn.XLOOKUP(Table8[[#This Row],[Supporter_ID]],tb1_supporters[Supporter_ID ],tb1_supporters[Preference_Compliance_Flag],"")</f>
        <v/>
      </c>
      <c r="T458" t="str">
        <f ca="1">IF(Table8[[#This Row],[Age]]="","Review - missing DOB",IF(Table8[[#This Row],[Age]]&gt;TODAY(),"Review - future DOB",IF(Table8[[#This Row],[Age]]=0,"Review -  potential entry error (age 0)","")))</f>
        <v/>
      </c>
      <c r="U458" t="str">
        <f>_xlfn.XLOOKUP(Table8[[#This Row],[Campaign_Code]],tb3_CampaignMaster[Campaign_Code],tb3_CampaignMaster[Campaign_Type],"")</f>
        <v>Trading</v>
      </c>
      <c r="V458" t="str">
        <f>_xlfn.XLOOKUP(Table8[[#This Row],[Campaign_Code]],tb3_CampaignMaster[Campaign_Code],tb3_CampaignMaster[Target_Audience],"")</f>
        <v>All Active</v>
      </c>
      <c r="W458" s="17">
        <f>_xlfn.XLOOKUP(Table8[[#This Row],[Campaign_Code]],tb3_CampaignMaster[Campaign_Code],tb3_CampaignMaster[Start_Date],"")</f>
        <v>45580</v>
      </c>
      <c r="X458" s="17">
        <f>_xlfn.XLOOKUP(Table8[[#This Row],[Campaign_Code]],tb3_CampaignMaster[Campaign_Code],tb3_CampaignMaster[End_Date],"")</f>
        <v>45646</v>
      </c>
      <c r="Y458">
        <f>_xlfn.XLOOKUP(Table8[[#This Row],[Campaign_Code]],tb3_CampaignMaster[Campaign_Code],tb3_CampaignMaster[Budget_GBP],"")</f>
        <v>12000</v>
      </c>
      <c r="Z458" t="str">
        <f>_xlfn.XLOOKUP(Table8[[#This Row],[Campaign_Code]],tb3_CampaignMaster[Campaign_Code],tb3_CampaignMaster[Primary_Channel],"")</f>
        <v>Multi-channel</v>
      </c>
      <c r="AA458" s="13">
        <f>IF(Table8[[#This Row],[Gift_Aid_Eligible]]="Yes",Table8[[#This Row],[Gift_Amount]]*1.25,Table8[[#This Row],[Gift_Amount]])</f>
        <v>225.53</v>
      </c>
      <c r="AB458" t="str">
        <f>IF(Table8[[#This Row],[Supporter_ID]]="","Review - missing supporter ID","")</f>
        <v/>
      </c>
      <c r="AC458" t="str">
        <f>IF(OR(Table8[[#This Row],[Response_Date]]&lt;Table8[[#This Row],[Start_Date]],Table8[[#This Row],[Response_Date]]&gt;Table8[[#This Row],[End_Date]]),"Review - response outside campaign dates","")</f>
        <v/>
      </c>
      <c r="AD458" t="str">
        <f>IF(Table8[[#This Row],[Campaign_Type]]="","Review - campaign code not found","")</f>
        <v/>
      </c>
    </row>
    <row r="459" spans="1:30" x14ac:dyDescent="0.25">
      <c r="A459" t="s">
        <v>4141</v>
      </c>
      <c r="B459" t="s">
        <v>1802</v>
      </c>
      <c r="C459" t="s">
        <v>3367</v>
      </c>
      <c r="D459" t="s">
        <v>3368</v>
      </c>
      <c r="E459" t="s">
        <v>65</v>
      </c>
      <c r="F459" s="17">
        <v>45735</v>
      </c>
      <c r="G459">
        <v>254.24</v>
      </c>
      <c r="H459" t="s">
        <v>36</v>
      </c>
      <c r="I459" t="s">
        <v>3334</v>
      </c>
      <c r="J459" t="str">
        <f>_xlfn.XLOOKUP(Table8[[#This Row],[Supporter_ID]],tb1_supporters[Supporter_ID ],tb1_supporters[Segment],"")</f>
        <v>Legacy Pledger</v>
      </c>
      <c r="K459" t="str">
        <f>_xlfn.XLOOKUP(Table8[[#This Row],[Supporter_ID]],tb1_supporters[Supporter_ID ],tb1_supporters[Acquisition_Source],"")</f>
        <v>Door-To-Door</v>
      </c>
      <c r="L459" t="str">
        <f>_xlfn.XLOOKUP(Table8[[#This Row],[Supporter_ID]],tb1_supporters[Supporter_ID ],tb1_supporters[County],"")</f>
        <v>Cambridgeshire</v>
      </c>
      <c r="M459" t="str">
        <f>_xlfn.XLOOKUP(Table8[[#This Row],[Supporter_ID]],tb1_supporters[Supporter_ID ],tb1_supporters[Gender],"")</f>
        <v>Male</v>
      </c>
      <c r="N459">
        <f ca="1">_xlfn.XLOOKUP(Table8[[#This Row],[Supporter_ID]],tb1_supporters[Supporter_ID ],tb1_supporters[Age],"")</f>
        <v>29</v>
      </c>
      <c r="O459" t="str">
        <f ca="1">_xlfn.XLOOKUP(Table8[[#This Row],[Supporter_ID]],tb1_supporters[Supporter_ID ],tb1_supporters[Age_Band],"")</f>
        <v>18-34</v>
      </c>
      <c r="P459" t="str">
        <f ca="1">IF(Table8[[#This Row],[Age_Band]]="","Unknown",Table8[[#This Row],[Age_Band]])</f>
        <v>18-34</v>
      </c>
      <c r="Q459" t="str">
        <f>_xlfn.XLOOKUP(Table8[[#This Row],[Supporter_ID]],tb1_supporters[Supporter_ID ],tb1_supporters[Communication_Preference],"")</f>
        <v>Email</v>
      </c>
      <c r="R459" t="str">
        <f>_xlfn.XLOOKUP(Table8[[#This Row],[Supporter_ID]],tb1_supporters[Supporter_ID ],tb1_supporters[Duplicate_Profile_Flag],"")</f>
        <v/>
      </c>
      <c r="S459" t="str">
        <f>_xlfn.XLOOKUP(Table8[[#This Row],[Supporter_ID]],tb1_supporters[Supporter_ID ],tb1_supporters[Preference_Compliance_Flag],"")</f>
        <v/>
      </c>
      <c r="T459" t="str">
        <f ca="1">IF(Table8[[#This Row],[Age]]="","Review - missing DOB",IF(Table8[[#This Row],[Age]]&gt;TODAY(),"Review - future DOB",IF(Table8[[#This Row],[Age]]=0,"Review -  potential entry error (age 0)","")))</f>
        <v/>
      </c>
      <c r="U459" t="str">
        <f>_xlfn.XLOOKUP(Table8[[#This Row],[Campaign_Code]],tb3_CampaignMaster[Campaign_Code],tb3_CampaignMaster[Campaign_Type],"")</f>
        <v>Raffle</v>
      </c>
      <c r="V459" t="str">
        <f>_xlfn.XLOOKUP(Table8[[#This Row],[Campaign_Code]],tb3_CampaignMaster[Campaign_Code],tb3_CampaignMaster[Target_Audience],"")</f>
        <v>Regular Givers</v>
      </c>
      <c r="W459" s="17">
        <f>_xlfn.XLOOKUP(Table8[[#This Row],[Campaign_Code]],tb3_CampaignMaster[Campaign_Code],tb3_CampaignMaster[Start_Date],"")</f>
        <v>45717</v>
      </c>
      <c r="X459" s="17">
        <f>_xlfn.XLOOKUP(Table8[[#This Row],[Campaign_Code]],tb3_CampaignMaster[Campaign_Code],tb3_CampaignMaster[End_Date],"")</f>
        <v>45777</v>
      </c>
      <c r="Y459">
        <f>_xlfn.XLOOKUP(Table8[[#This Row],[Campaign_Code]],tb3_CampaignMaster[Campaign_Code],tb3_CampaignMaster[Budget_GBP],"")</f>
        <v>8000</v>
      </c>
      <c r="Z459" t="str">
        <f>_xlfn.XLOOKUP(Table8[[#This Row],[Campaign_Code]],tb3_CampaignMaster[Campaign_Code],tb3_CampaignMaster[Primary_Channel],"")</f>
        <v>Direct Mail</v>
      </c>
      <c r="AA459" s="13">
        <f>IF(Table8[[#This Row],[Gift_Aid_Eligible]]="Yes",Table8[[#This Row],[Gift_Amount]]*1.25,Table8[[#This Row],[Gift_Amount]])</f>
        <v>317.8</v>
      </c>
      <c r="AB459" t="str">
        <f>IF(Table8[[#This Row],[Supporter_ID]]="","Review - missing supporter ID","")</f>
        <v/>
      </c>
      <c r="AC459" t="str">
        <f>IF(OR(Table8[[#This Row],[Response_Date]]&lt;Table8[[#This Row],[Start_Date]],Table8[[#This Row],[Response_Date]]&gt;Table8[[#This Row],[End_Date]]),"Review - response outside campaign dates","")</f>
        <v/>
      </c>
      <c r="AD459" t="str">
        <f>IF(Table8[[#This Row],[Campaign_Type]]="","Review - campaign code not found","")</f>
        <v/>
      </c>
    </row>
    <row r="460" spans="1:30" x14ac:dyDescent="0.25">
      <c r="A460" t="s">
        <v>4144</v>
      </c>
      <c r="B460" t="s">
        <v>1369</v>
      </c>
      <c r="C460" t="s">
        <v>3320</v>
      </c>
      <c r="D460" t="s">
        <v>3321</v>
      </c>
      <c r="E460" t="s">
        <v>4</v>
      </c>
      <c r="F460" s="17">
        <v>45463</v>
      </c>
      <c r="G460">
        <v>253.24</v>
      </c>
      <c r="H460" t="s">
        <v>37</v>
      </c>
      <c r="I460" t="s">
        <v>3328</v>
      </c>
      <c r="J460" t="str">
        <f>_xlfn.XLOOKUP(Table8[[#This Row],[Supporter_ID]],tb1_supporters[Supporter_ID ],tb1_supporters[Segment],"")</f>
        <v>Legacy Pledger</v>
      </c>
      <c r="K460" t="str">
        <f>_xlfn.XLOOKUP(Table8[[#This Row],[Supporter_ID]],tb1_supporters[Supporter_ID ],tb1_supporters[Acquisition_Source],"")</f>
        <v>Referral</v>
      </c>
      <c r="L460" t="str">
        <f>_xlfn.XLOOKUP(Table8[[#This Row],[Supporter_ID]],tb1_supporters[Supporter_ID ],tb1_supporters[County],"")</f>
        <v>Norfolk</v>
      </c>
      <c r="M460" t="str">
        <f>_xlfn.XLOOKUP(Table8[[#This Row],[Supporter_ID]],tb1_supporters[Supporter_ID ],tb1_supporters[Gender],"")</f>
        <v>Male</v>
      </c>
      <c r="N460">
        <f ca="1">_xlfn.XLOOKUP(Table8[[#This Row],[Supporter_ID]],tb1_supporters[Supporter_ID ],tb1_supporters[Age],"")</f>
        <v>58</v>
      </c>
      <c r="O460" t="str">
        <f ca="1">_xlfn.XLOOKUP(Table8[[#This Row],[Supporter_ID]],tb1_supporters[Supporter_ID ],tb1_supporters[Age_Band],"")</f>
        <v>50-64</v>
      </c>
      <c r="P460" t="str">
        <f ca="1">IF(Table8[[#This Row],[Age_Band]]="","Unknown",Table8[[#This Row],[Age_Band]])</f>
        <v>50-64</v>
      </c>
      <c r="Q460" t="str">
        <f>_xlfn.XLOOKUP(Table8[[#This Row],[Supporter_ID]],tb1_supporters[Supporter_ID ],tb1_supporters[Communication_Preference],"")</f>
        <v>Email</v>
      </c>
      <c r="R460" t="str">
        <f>_xlfn.XLOOKUP(Table8[[#This Row],[Supporter_ID]],tb1_supporters[Supporter_ID ],tb1_supporters[Duplicate_Profile_Flag],"")</f>
        <v/>
      </c>
      <c r="S460" t="str">
        <f>_xlfn.XLOOKUP(Table8[[#This Row],[Supporter_ID]],tb1_supporters[Supporter_ID ],tb1_supporters[Preference_Compliance_Flag],"")</f>
        <v>Review - prefers email but not opted in</v>
      </c>
      <c r="T460" t="str">
        <f ca="1">IF(Table8[[#This Row],[Age]]="","Review - missing DOB",IF(Table8[[#This Row],[Age]]&gt;TODAY(),"Review - future DOB",IF(Table8[[#This Row],[Age]]=0,"Review -  potential entry error (age 0)","")))</f>
        <v/>
      </c>
      <c r="U460" t="str">
        <f>_xlfn.XLOOKUP(Table8[[#This Row],[Campaign_Code]],tb3_CampaignMaster[Campaign_Code],tb3_CampaignMaster[Campaign_Type],"")</f>
        <v>Stewardship</v>
      </c>
      <c r="V460" t="str">
        <f>_xlfn.XLOOKUP(Table8[[#This Row],[Campaign_Code]],tb3_CampaignMaster[Campaign_Code],tb3_CampaignMaster[Target_Audience],"")</f>
        <v>Major Donors</v>
      </c>
      <c r="W460" s="17">
        <f>_xlfn.XLOOKUP(Table8[[#This Row],[Campaign_Code]],tb3_CampaignMaster[Campaign_Code],tb3_CampaignMaster[Start_Date],"")</f>
        <v>45444</v>
      </c>
      <c r="X460" s="17">
        <f>_xlfn.XLOOKUP(Table8[[#This Row],[Campaign_Code]],tb3_CampaignMaster[Campaign_Code],tb3_CampaignMaster[End_Date],"")</f>
        <v>45473</v>
      </c>
      <c r="Y460">
        <f>_xlfn.XLOOKUP(Table8[[#This Row],[Campaign_Code]],tb3_CampaignMaster[Campaign_Code],tb3_CampaignMaster[Budget_GBP],"")</f>
        <v>7000</v>
      </c>
      <c r="Z460" t="str">
        <f>_xlfn.XLOOKUP(Table8[[#This Row],[Campaign_Code]],tb3_CampaignMaster[Campaign_Code],tb3_CampaignMaster[Primary_Channel],"")</f>
        <v>Direct Mail</v>
      </c>
      <c r="AA460" s="13">
        <f>IF(Table8[[#This Row],[Gift_Aid_Eligible]]="Yes",Table8[[#This Row],[Gift_Amount]]*1.25,Table8[[#This Row],[Gift_Amount]])</f>
        <v>253.24</v>
      </c>
      <c r="AB460" t="str">
        <f>IF(Table8[[#This Row],[Supporter_ID]]="","Review - missing supporter ID","")</f>
        <v/>
      </c>
      <c r="AC460" t="str">
        <f>IF(OR(Table8[[#This Row],[Response_Date]]&lt;Table8[[#This Row],[Start_Date]],Table8[[#This Row],[Response_Date]]&gt;Table8[[#This Row],[End_Date]]),"Review - response outside campaign dates","")</f>
        <v/>
      </c>
      <c r="AD460" t="str">
        <f>IF(Table8[[#This Row],[Campaign_Type]]="","Review - campaign code not found","")</f>
        <v/>
      </c>
    </row>
    <row r="461" spans="1:30" x14ac:dyDescent="0.25">
      <c r="A461" t="s">
        <v>4146</v>
      </c>
      <c r="B461" t="s">
        <v>3242</v>
      </c>
      <c r="C461" t="s">
        <v>3341</v>
      </c>
      <c r="D461" t="s">
        <v>3342</v>
      </c>
      <c r="E461" t="s">
        <v>4</v>
      </c>
      <c r="F461" s="17">
        <v>45773</v>
      </c>
      <c r="G461">
        <v>93.78</v>
      </c>
      <c r="H461" t="s">
        <v>36</v>
      </c>
      <c r="I461" t="s">
        <v>3318</v>
      </c>
      <c r="J461" t="str">
        <f>_xlfn.XLOOKUP(Table8[[#This Row],[Supporter_ID]],tb1_supporters[Supporter_ID ],tb1_supporters[Segment],"")</f>
        <v>One-Time Donor</v>
      </c>
      <c r="K461" t="str">
        <f>_xlfn.XLOOKUP(Table8[[#This Row],[Supporter_ID]],tb1_supporters[Supporter_ID ],tb1_supporters[Acquisition_Source],"")</f>
        <v>Event</v>
      </c>
      <c r="L461" t="str">
        <f>_xlfn.XLOOKUP(Table8[[#This Row],[Supporter_ID]],tb1_supporters[Supporter_ID ],tb1_supporters[County],"")</f>
        <v>Tyne and Wear</v>
      </c>
      <c r="M461" t="str">
        <f>_xlfn.XLOOKUP(Table8[[#This Row],[Supporter_ID]],tb1_supporters[Supporter_ID ],tb1_supporters[Gender],"")</f>
        <v>Male</v>
      </c>
      <c r="N461">
        <f ca="1">_xlfn.XLOOKUP(Table8[[#This Row],[Supporter_ID]],tb1_supporters[Supporter_ID ],tb1_supporters[Age],"")</f>
        <v>31</v>
      </c>
      <c r="O461" t="str">
        <f ca="1">_xlfn.XLOOKUP(Table8[[#This Row],[Supporter_ID]],tb1_supporters[Supporter_ID ],tb1_supporters[Age_Band],"")</f>
        <v>18-34</v>
      </c>
      <c r="P461" t="str">
        <f ca="1">IF(Table8[[#This Row],[Age_Band]]="","Unknown",Table8[[#This Row],[Age_Band]])</f>
        <v>18-34</v>
      </c>
      <c r="Q461" t="str">
        <f>_xlfn.XLOOKUP(Table8[[#This Row],[Supporter_ID]],tb1_supporters[Supporter_ID ],tb1_supporters[Communication_Preference],"")</f>
        <v>Phone</v>
      </c>
      <c r="R461" t="str">
        <f>_xlfn.XLOOKUP(Table8[[#This Row],[Supporter_ID]],tb1_supporters[Supporter_ID ],tb1_supporters[Duplicate_Profile_Flag],"")</f>
        <v/>
      </c>
      <c r="S461" t="str">
        <f>_xlfn.XLOOKUP(Table8[[#This Row],[Supporter_ID]],tb1_supporters[Supporter_ID ],tb1_supporters[Preference_Compliance_Flag],"")</f>
        <v>Review - prefers phone but not opted in</v>
      </c>
      <c r="T461" t="str">
        <f ca="1">IF(Table8[[#This Row],[Age]]="","Review - missing DOB",IF(Table8[[#This Row],[Age]]&gt;TODAY(),"Review - future DOB",IF(Table8[[#This Row],[Age]]=0,"Review -  potential entry error (age 0)","")))</f>
        <v/>
      </c>
      <c r="U461" t="str">
        <f>_xlfn.XLOOKUP(Table8[[#This Row],[Campaign_Code]],tb3_CampaignMaster[Campaign_Code],tb3_CampaignMaster[Campaign_Type],"")</f>
        <v>Acquisition</v>
      </c>
      <c r="V461" t="str">
        <f>_xlfn.XLOOKUP(Table8[[#This Row],[Campaign_Code]],tb3_CampaignMaster[Campaign_Code],tb3_CampaignMaster[Target_Audience],"")</f>
        <v>Prospects</v>
      </c>
      <c r="W461" s="17">
        <f>_xlfn.XLOOKUP(Table8[[#This Row],[Campaign_Code]],tb3_CampaignMaster[Campaign_Code],tb3_CampaignMaster[Start_Date],"")</f>
        <v>45689</v>
      </c>
      <c r="X461" s="17">
        <f>_xlfn.XLOOKUP(Table8[[#This Row],[Campaign_Code]],tb3_CampaignMaster[Campaign_Code],tb3_CampaignMaster[End_Date],"")</f>
        <v>45777</v>
      </c>
      <c r="Y461">
        <f>_xlfn.XLOOKUP(Table8[[#This Row],[Campaign_Code]],tb3_CampaignMaster[Campaign_Code],tb3_CampaignMaster[Budget_GBP],"")</f>
        <v>20000</v>
      </c>
      <c r="Z461" t="str">
        <f>_xlfn.XLOOKUP(Table8[[#This Row],[Campaign_Code]],tb3_CampaignMaster[Campaign_Code],tb3_CampaignMaster[Primary_Channel],"")</f>
        <v>Digital</v>
      </c>
      <c r="AA461" s="13">
        <f>IF(Table8[[#This Row],[Gift_Aid_Eligible]]="Yes",Table8[[#This Row],[Gift_Amount]]*1.25,Table8[[#This Row],[Gift_Amount]])</f>
        <v>117.22499999999999</v>
      </c>
      <c r="AB461" t="str">
        <f>IF(Table8[[#This Row],[Supporter_ID]]="","Review - missing supporter ID","")</f>
        <v/>
      </c>
      <c r="AC461" t="str">
        <f>IF(OR(Table8[[#This Row],[Response_Date]]&lt;Table8[[#This Row],[Start_Date]],Table8[[#This Row],[Response_Date]]&gt;Table8[[#This Row],[End_Date]]),"Review - response outside campaign dates","")</f>
        <v/>
      </c>
      <c r="AD461" t="str">
        <f>IF(Table8[[#This Row],[Campaign_Type]]="","Review - campaign code not found","")</f>
        <v/>
      </c>
    </row>
    <row r="462" spans="1:30" x14ac:dyDescent="0.25">
      <c r="A462" t="s">
        <v>4147</v>
      </c>
      <c r="B462" t="s">
        <v>2922</v>
      </c>
      <c r="C462" t="s">
        <v>3341</v>
      </c>
      <c r="D462" t="s">
        <v>3342</v>
      </c>
      <c r="E462" t="s">
        <v>3316</v>
      </c>
      <c r="F462" s="17">
        <v>45730</v>
      </c>
      <c r="G462">
        <v>144.13</v>
      </c>
      <c r="H462" t="s">
        <v>36</v>
      </c>
      <c r="I462" t="s">
        <v>3323</v>
      </c>
      <c r="J462" t="str">
        <f>_xlfn.XLOOKUP(Table8[[#This Row],[Supporter_ID]],tb1_supporters[Supporter_ID ],tb1_supporters[Segment],"")</f>
        <v>One-Time Donor</v>
      </c>
      <c r="K462" t="str">
        <f>_xlfn.XLOOKUP(Table8[[#This Row],[Supporter_ID]],tb1_supporters[Supporter_ID ],tb1_supporters[Acquisition_Source],"")</f>
        <v>Corporate Partner</v>
      </c>
      <c r="L462" t="str">
        <f>_xlfn.XLOOKUP(Table8[[#This Row],[Supporter_ID]],tb1_supporters[Supporter_ID ],tb1_supporters[County],"")</f>
        <v>Strathclyde</v>
      </c>
      <c r="M462" t="str">
        <f>_xlfn.XLOOKUP(Table8[[#This Row],[Supporter_ID]],tb1_supporters[Supporter_ID ],tb1_supporters[Gender],"")</f>
        <v>Male</v>
      </c>
      <c r="N462">
        <f ca="1">_xlfn.XLOOKUP(Table8[[#This Row],[Supporter_ID]],tb1_supporters[Supporter_ID ],tb1_supporters[Age],"")</f>
        <v>32</v>
      </c>
      <c r="O462" t="str">
        <f ca="1">_xlfn.XLOOKUP(Table8[[#This Row],[Supporter_ID]],tb1_supporters[Supporter_ID ],tb1_supporters[Age_Band],"")</f>
        <v>18-34</v>
      </c>
      <c r="P462" t="str">
        <f ca="1">IF(Table8[[#This Row],[Age_Band]]="","Unknown",Table8[[#This Row],[Age_Band]])</f>
        <v>18-34</v>
      </c>
      <c r="Q462" t="str">
        <f>_xlfn.XLOOKUP(Table8[[#This Row],[Supporter_ID]],tb1_supporters[Supporter_ID ],tb1_supporters[Communication_Preference],"")</f>
        <v>Email</v>
      </c>
      <c r="R462" t="str">
        <f>_xlfn.XLOOKUP(Table8[[#This Row],[Supporter_ID]],tb1_supporters[Supporter_ID ],tb1_supporters[Duplicate_Profile_Flag],"")</f>
        <v/>
      </c>
      <c r="S462" t="str">
        <f>_xlfn.XLOOKUP(Table8[[#This Row],[Supporter_ID]],tb1_supporters[Supporter_ID ],tb1_supporters[Preference_Compliance_Flag],"")</f>
        <v/>
      </c>
      <c r="T462" t="str">
        <f ca="1">IF(Table8[[#This Row],[Age]]="","Review - missing DOB",IF(Table8[[#This Row],[Age]]&gt;TODAY(),"Review - future DOB",IF(Table8[[#This Row],[Age]]=0,"Review -  potential entry error (age 0)","")))</f>
        <v/>
      </c>
      <c r="U462" t="str">
        <f>_xlfn.XLOOKUP(Table8[[#This Row],[Campaign_Code]],tb3_CampaignMaster[Campaign_Code],tb3_CampaignMaster[Campaign_Type],"")</f>
        <v>Acquisition</v>
      </c>
      <c r="V462" t="str">
        <f>_xlfn.XLOOKUP(Table8[[#This Row],[Campaign_Code]],tb3_CampaignMaster[Campaign_Code],tb3_CampaignMaster[Target_Audience],"")</f>
        <v>Prospects</v>
      </c>
      <c r="W462" s="17">
        <f>_xlfn.XLOOKUP(Table8[[#This Row],[Campaign_Code]],tb3_CampaignMaster[Campaign_Code],tb3_CampaignMaster[Start_Date],"")</f>
        <v>45689</v>
      </c>
      <c r="X462" s="17">
        <f>_xlfn.XLOOKUP(Table8[[#This Row],[Campaign_Code]],tb3_CampaignMaster[Campaign_Code],tb3_CampaignMaster[End_Date],"")</f>
        <v>45777</v>
      </c>
      <c r="Y462">
        <f>_xlfn.XLOOKUP(Table8[[#This Row],[Campaign_Code]],tb3_CampaignMaster[Campaign_Code],tb3_CampaignMaster[Budget_GBP],"")</f>
        <v>20000</v>
      </c>
      <c r="Z462" t="str">
        <f>_xlfn.XLOOKUP(Table8[[#This Row],[Campaign_Code]],tb3_CampaignMaster[Campaign_Code],tb3_CampaignMaster[Primary_Channel],"")</f>
        <v>Digital</v>
      </c>
      <c r="AA462" s="13">
        <f>IF(Table8[[#This Row],[Gift_Aid_Eligible]]="Yes",Table8[[#This Row],[Gift_Amount]]*1.25,Table8[[#This Row],[Gift_Amount]])</f>
        <v>180.16249999999999</v>
      </c>
      <c r="AB462" t="str">
        <f>IF(Table8[[#This Row],[Supporter_ID]]="","Review - missing supporter ID","")</f>
        <v/>
      </c>
      <c r="AC462" t="str">
        <f>IF(OR(Table8[[#This Row],[Response_Date]]&lt;Table8[[#This Row],[Start_Date]],Table8[[#This Row],[Response_Date]]&gt;Table8[[#This Row],[End_Date]]),"Review - response outside campaign dates","")</f>
        <v/>
      </c>
      <c r="AD462" t="str">
        <f>IF(Table8[[#This Row],[Campaign_Type]]="","Review - campaign code not found","")</f>
        <v/>
      </c>
    </row>
    <row r="463" spans="1:30" x14ac:dyDescent="0.25">
      <c r="A463" t="s">
        <v>4148</v>
      </c>
      <c r="B463" t="s">
        <v>3106</v>
      </c>
      <c r="C463" t="s">
        <v>3427</v>
      </c>
      <c r="D463" t="s">
        <v>3428</v>
      </c>
      <c r="E463" t="s">
        <v>65</v>
      </c>
      <c r="F463" s="17">
        <v>45488</v>
      </c>
      <c r="G463">
        <v>180.89</v>
      </c>
      <c r="H463" t="s">
        <v>36</v>
      </c>
      <c r="I463" t="s">
        <v>3365</v>
      </c>
      <c r="J463" t="str">
        <f>_xlfn.XLOOKUP(Table8[[#This Row],[Supporter_ID]],tb1_supporters[Supporter_ID ],tb1_supporters[Segment],"")</f>
        <v>Legacy Pledger</v>
      </c>
      <c r="K463" t="str">
        <f>_xlfn.XLOOKUP(Table8[[#This Row],[Supporter_ID]],tb1_supporters[Supporter_ID ],tb1_supporters[Acquisition_Source],"")</f>
        <v>Referral</v>
      </c>
      <c r="L463" t="str">
        <f>_xlfn.XLOOKUP(Table8[[#This Row],[Supporter_ID]],tb1_supporters[Supporter_ID ],tb1_supporters[County],"")</f>
        <v>West Yorkshire</v>
      </c>
      <c r="M463" t="str">
        <f>_xlfn.XLOOKUP(Table8[[#This Row],[Supporter_ID]],tb1_supporters[Supporter_ID ],tb1_supporters[Gender],"")</f>
        <v>Male</v>
      </c>
      <c r="N463">
        <f ca="1">_xlfn.XLOOKUP(Table8[[#This Row],[Supporter_ID]],tb1_supporters[Supporter_ID ],tb1_supporters[Age],"")</f>
        <v>54</v>
      </c>
      <c r="O463" t="str">
        <f ca="1">_xlfn.XLOOKUP(Table8[[#This Row],[Supporter_ID]],tb1_supporters[Supporter_ID ],tb1_supporters[Age_Band],"")</f>
        <v>50-64</v>
      </c>
      <c r="P463" t="str">
        <f ca="1">IF(Table8[[#This Row],[Age_Band]]="","Unknown",Table8[[#This Row],[Age_Band]])</f>
        <v>50-64</v>
      </c>
      <c r="Q463" t="str">
        <f>_xlfn.XLOOKUP(Table8[[#This Row],[Supporter_ID]],tb1_supporters[Supporter_ID ],tb1_supporters[Communication_Preference],"")</f>
        <v>Email</v>
      </c>
      <c r="R463" t="str">
        <f>_xlfn.XLOOKUP(Table8[[#This Row],[Supporter_ID]],tb1_supporters[Supporter_ID ],tb1_supporters[Duplicate_Profile_Flag],"")</f>
        <v/>
      </c>
      <c r="S463" t="str">
        <f>_xlfn.XLOOKUP(Table8[[#This Row],[Supporter_ID]],tb1_supporters[Supporter_ID ],tb1_supporters[Preference_Compliance_Flag],"")</f>
        <v>Review - prefers email but not opted in</v>
      </c>
      <c r="T463" t="str">
        <f ca="1">IF(Table8[[#This Row],[Age]]="","Review - missing DOB",IF(Table8[[#This Row],[Age]]&gt;TODAY(),"Review - future DOB",IF(Table8[[#This Row],[Age]]=0,"Review -  potential entry error (age 0)","")))</f>
        <v/>
      </c>
      <c r="U463" t="str">
        <f>_xlfn.XLOOKUP(Table8[[#This Row],[Campaign_Code]],tb3_CampaignMaster[Campaign_Code],tb3_CampaignMaster[Campaign_Type],"")</f>
        <v>Event</v>
      </c>
      <c r="V463" t="str">
        <f>_xlfn.XLOOKUP(Table8[[#This Row],[Campaign_Code]],tb3_CampaignMaster[Campaign_Code],tb3_CampaignMaster[Target_Audience],"")</f>
        <v>Major Donors</v>
      </c>
      <c r="W463" s="17">
        <f>_xlfn.XLOOKUP(Table8[[#This Row],[Campaign_Code]],tb3_CampaignMaster[Campaign_Code],tb3_CampaignMaster[Start_Date],"")</f>
        <v>45488</v>
      </c>
      <c r="X463" s="17">
        <f>_xlfn.XLOOKUP(Table8[[#This Row],[Campaign_Code]],tb3_CampaignMaster[Campaign_Code],tb3_CampaignMaster[End_Date],"")</f>
        <v>45488</v>
      </c>
      <c r="Y463">
        <f>_xlfn.XLOOKUP(Table8[[#This Row],[Campaign_Code]],tb3_CampaignMaster[Campaign_Code],tb3_CampaignMaster[Budget_GBP],"")</f>
        <v>45000</v>
      </c>
      <c r="Z463" t="str">
        <f>_xlfn.XLOOKUP(Table8[[#This Row],[Campaign_Code]],tb3_CampaignMaster[Campaign_Code],tb3_CampaignMaster[Primary_Channel],"")</f>
        <v>Direct Mail</v>
      </c>
      <c r="AA463" s="13">
        <f>IF(Table8[[#This Row],[Gift_Aid_Eligible]]="Yes",Table8[[#This Row],[Gift_Amount]]*1.25,Table8[[#This Row],[Gift_Amount]])</f>
        <v>226.11249999999998</v>
      </c>
      <c r="AB463" t="str">
        <f>IF(Table8[[#This Row],[Supporter_ID]]="","Review - missing supporter ID","")</f>
        <v/>
      </c>
      <c r="AC463" t="str">
        <f>IF(OR(Table8[[#This Row],[Response_Date]]&lt;Table8[[#This Row],[Start_Date]],Table8[[#This Row],[Response_Date]]&gt;Table8[[#This Row],[End_Date]]),"Review - response outside campaign dates","")</f>
        <v/>
      </c>
      <c r="AD463" t="str">
        <f>IF(Table8[[#This Row],[Campaign_Type]]="","Review - campaign code not found","")</f>
        <v/>
      </c>
    </row>
    <row r="464" spans="1:30" x14ac:dyDescent="0.25">
      <c r="A464" t="s">
        <v>4149</v>
      </c>
      <c r="B464" t="s">
        <v>2367</v>
      </c>
      <c r="C464" t="s">
        <v>3362</v>
      </c>
      <c r="D464" t="s">
        <v>3363</v>
      </c>
      <c r="E464" t="s">
        <v>65</v>
      </c>
      <c r="F464" s="17">
        <v>45576</v>
      </c>
      <c r="G464">
        <v>345.37</v>
      </c>
      <c r="H464" t="s">
        <v>36</v>
      </c>
      <c r="I464" t="s">
        <v>3334</v>
      </c>
      <c r="J464" t="str">
        <f>_xlfn.XLOOKUP(Table8[[#This Row],[Supporter_ID]],tb1_supporters[Supporter_ID ],tb1_supporters[Segment],"")</f>
        <v>Legacy Pledger</v>
      </c>
      <c r="K464" t="str">
        <f>_xlfn.XLOOKUP(Table8[[#This Row],[Supporter_ID]],tb1_supporters[Supporter_ID ],tb1_supporters[Acquisition_Source],"")</f>
        <v>Direct Mail</v>
      </c>
      <c r="L464" t="str">
        <f>_xlfn.XLOOKUP(Table8[[#This Row],[Supporter_ID]],tb1_supporters[Supporter_ID ],tb1_supporters[County],"")</f>
        <v>Devon</v>
      </c>
      <c r="M464" t="str">
        <f>_xlfn.XLOOKUP(Table8[[#This Row],[Supporter_ID]],tb1_supporters[Supporter_ID ],tb1_supporters[Gender],"")</f>
        <v>Male</v>
      </c>
      <c r="N464">
        <f ca="1">_xlfn.XLOOKUP(Table8[[#This Row],[Supporter_ID]],tb1_supporters[Supporter_ID ],tb1_supporters[Age],"")</f>
        <v>49</v>
      </c>
      <c r="O464" t="str">
        <f ca="1">_xlfn.XLOOKUP(Table8[[#This Row],[Supporter_ID]],tb1_supporters[Supporter_ID ],tb1_supporters[Age_Band],"")</f>
        <v>35-49</v>
      </c>
      <c r="P464" t="str">
        <f ca="1">IF(Table8[[#This Row],[Age_Band]]="","Unknown",Table8[[#This Row],[Age_Band]])</f>
        <v>35-49</v>
      </c>
      <c r="Q464" t="str">
        <f>_xlfn.XLOOKUP(Table8[[#This Row],[Supporter_ID]],tb1_supporters[Supporter_ID ],tb1_supporters[Communication_Preference],"")</f>
        <v>Email</v>
      </c>
      <c r="R464" t="str">
        <f>_xlfn.XLOOKUP(Table8[[#This Row],[Supporter_ID]],tb1_supporters[Supporter_ID ],tb1_supporters[Duplicate_Profile_Flag],"")</f>
        <v/>
      </c>
      <c r="S464" t="str">
        <f>_xlfn.XLOOKUP(Table8[[#This Row],[Supporter_ID]],tb1_supporters[Supporter_ID ],tb1_supporters[Preference_Compliance_Flag],"")</f>
        <v/>
      </c>
      <c r="T464" t="str">
        <f ca="1">IF(Table8[[#This Row],[Age]]="","Review - missing DOB",IF(Table8[[#This Row],[Age]]&gt;TODAY(),"Review - future DOB",IF(Table8[[#This Row],[Age]]=0,"Review -  potential entry error (age 0)","")))</f>
        <v/>
      </c>
      <c r="U464" t="str">
        <f>_xlfn.XLOOKUP(Table8[[#This Row],[Campaign_Code]],tb3_CampaignMaster[Campaign_Code],tb3_CampaignMaster[Campaign_Type],"")</f>
        <v>Legacy</v>
      </c>
      <c r="V464" t="str">
        <f>_xlfn.XLOOKUP(Table8[[#This Row],[Campaign_Code]],tb3_CampaignMaster[Campaign_Code],tb3_CampaignMaster[Target_Audience],"")</f>
        <v>Over 55s</v>
      </c>
      <c r="W464" s="17">
        <f>_xlfn.XLOOKUP(Table8[[#This Row],[Campaign_Code]],tb3_CampaignMaster[Campaign_Code],tb3_CampaignMaster[Start_Date],"")</f>
        <v>45572</v>
      </c>
      <c r="X464" s="17">
        <f>_xlfn.XLOOKUP(Table8[[#This Row],[Campaign_Code]],tb3_CampaignMaster[Campaign_Code],tb3_CampaignMaster[End_Date],"")</f>
        <v>45578</v>
      </c>
      <c r="Y464">
        <f>_xlfn.XLOOKUP(Table8[[#This Row],[Campaign_Code]],tb3_CampaignMaster[Campaign_Code],tb3_CampaignMaster[Budget_GBP],"")</f>
        <v>5000</v>
      </c>
      <c r="Z464" t="str">
        <f>_xlfn.XLOOKUP(Table8[[#This Row],[Campaign_Code]],tb3_CampaignMaster[Campaign_Code],tb3_CampaignMaster[Primary_Channel],"")</f>
        <v>Direct Mail</v>
      </c>
      <c r="AA464" s="13">
        <f>IF(Table8[[#This Row],[Gift_Aid_Eligible]]="Yes",Table8[[#This Row],[Gift_Amount]]*1.25,Table8[[#This Row],[Gift_Amount]])</f>
        <v>431.71249999999998</v>
      </c>
      <c r="AB464" t="str">
        <f>IF(Table8[[#This Row],[Supporter_ID]]="","Review - missing supporter ID","")</f>
        <v/>
      </c>
      <c r="AC464" t="str">
        <f>IF(OR(Table8[[#This Row],[Response_Date]]&lt;Table8[[#This Row],[Start_Date]],Table8[[#This Row],[Response_Date]]&gt;Table8[[#This Row],[End_Date]]),"Review - response outside campaign dates","")</f>
        <v/>
      </c>
      <c r="AD464" t="str">
        <f>IF(Table8[[#This Row],[Campaign_Type]]="","Review - campaign code not found","")</f>
        <v/>
      </c>
    </row>
    <row r="465" spans="1:30" x14ac:dyDescent="0.25">
      <c r="A465" t="s">
        <v>4150</v>
      </c>
      <c r="B465" t="s">
        <v>2997</v>
      </c>
      <c r="C465" t="s">
        <v>3320</v>
      </c>
      <c r="D465" t="s">
        <v>3321</v>
      </c>
      <c r="E465" t="s">
        <v>4</v>
      </c>
      <c r="F465" s="17">
        <v>45463</v>
      </c>
      <c r="G465">
        <v>25.6</v>
      </c>
      <c r="H465" t="s">
        <v>37</v>
      </c>
      <c r="I465" t="s">
        <v>3385</v>
      </c>
      <c r="J465" t="str">
        <f>_xlfn.XLOOKUP(Table8[[#This Row],[Supporter_ID]],tb1_supporters[Supporter_ID ],tb1_supporters[Segment],"")</f>
        <v>Regular Giver</v>
      </c>
      <c r="K465" t="str">
        <f>_xlfn.XLOOKUP(Table8[[#This Row],[Supporter_ID]],tb1_supporters[Supporter_ID ],tb1_supporters[Acquisition_Source],"")</f>
        <v>Corporate Partner</v>
      </c>
      <c r="L465" t="str">
        <f>_xlfn.XLOOKUP(Table8[[#This Row],[Supporter_ID]],tb1_supporters[Supporter_ID ],tb1_supporters[County],"")</f>
        <v>Angus</v>
      </c>
      <c r="M465" t="str">
        <f>_xlfn.XLOOKUP(Table8[[#This Row],[Supporter_ID]],tb1_supporters[Supporter_ID ],tb1_supporters[Gender],"")</f>
        <v>Female</v>
      </c>
      <c r="N465">
        <f ca="1">_xlfn.XLOOKUP(Table8[[#This Row],[Supporter_ID]],tb1_supporters[Supporter_ID ],tb1_supporters[Age],"")</f>
        <v>80</v>
      </c>
      <c r="O465" t="str">
        <f ca="1">_xlfn.XLOOKUP(Table8[[#This Row],[Supporter_ID]],tb1_supporters[Supporter_ID ],tb1_supporters[Age_Band],"")</f>
        <v>65+</v>
      </c>
      <c r="P465" t="str">
        <f ca="1">IF(Table8[[#This Row],[Age_Band]]="","Unknown",Table8[[#This Row],[Age_Band]])</f>
        <v>65+</v>
      </c>
      <c r="Q465" t="str">
        <f>_xlfn.XLOOKUP(Table8[[#This Row],[Supporter_ID]],tb1_supporters[Supporter_ID ],tb1_supporters[Communication_Preference],"")</f>
        <v>Post</v>
      </c>
      <c r="R465" t="str">
        <f>_xlfn.XLOOKUP(Table8[[#This Row],[Supporter_ID]],tb1_supporters[Supporter_ID ],tb1_supporters[Duplicate_Profile_Flag],"")</f>
        <v/>
      </c>
      <c r="S465" t="str">
        <f>_xlfn.XLOOKUP(Table8[[#This Row],[Supporter_ID]],tb1_supporters[Supporter_ID ],tb1_supporters[Preference_Compliance_Flag],"")</f>
        <v/>
      </c>
      <c r="T465" t="str">
        <f ca="1">IF(Table8[[#This Row],[Age]]="","Review - missing DOB",IF(Table8[[#This Row],[Age]]&gt;TODAY(),"Review - future DOB",IF(Table8[[#This Row],[Age]]=0,"Review -  potential entry error (age 0)","")))</f>
        <v/>
      </c>
      <c r="U465" t="str">
        <f>_xlfn.XLOOKUP(Table8[[#This Row],[Campaign_Code]],tb3_CampaignMaster[Campaign_Code],tb3_CampaignMaster[Campaign_Type],"")</f>
        <v>Stewardship</v>
      </c>
      <c r="V465" t="str">
        <f>_xlfn.XLOOKUP(Table8[[#This Row],[Campaign_Code]],tb3_CampaignMaster[Campaign_Code],tb3_CampaignMaster[Target_Audience],"")</f>
        <v>Major Donors</v>
      </c>
      <c r="W465" s="17">
        <f>_xlfn.XLOOKUP(Table8[[#This Row],[Campaign_Code]],tb3_CampaignMaster[Campaign_Code],tb3_CampaignMaster[Start_Date],"")</f>
        <v>45444</v>
      </c>
      <c r="X465" s="17">
        <f>_xlfn.XLOOKUP(Table8[[#This Row],[Campaign_Code]],tb3_CampaignMaster[Campaign_Code],tb3_CampaignMaster[End_Date],"")</f>
        <v>45473</v>
      </c>
      <c r="Y465">
        <f>_xlfn.XLOOKUP(Table8[[#This Row],[Campaign_Code]],tb3_CampaignMaster[Campaign_Code],tb3_CampaignMaster[Budget_GBP],"")</f>
        <v>7000</v>
      </c>
      <c r="Z465" t="str">
        <f>_xlfn.XLOOKUP(Table8[[#This Row],[Campaign_Code]],tb3_CampaignMaster[Campaign_Code],tb3_CampaignMaster[Primary_Channel],"")</f>
        <v>Direct Mail</v>
      </c>
      <c r="AA465" s="13">
        <f>IF(Table8[[#This Row],[Gift_Aid_Eligible]]="Yes",Table8[[#This Row],[Gift_Amount]]*1.25,Table8[[#This Row],[Gift_Amount]])</f>
        <v>25.6</v>
      </c>
      <c r="AB465" t="str">
        <f>IF(Table8[[#This Row],[Supporter_ID]]="","Review - missing supporter ID","")</f>
        <v/>
      </c>
      <c r="AC465" t="str">
        <f>IF(OR(Table8[[#This Row],[Response_Date]]&lt;Table8[[#This Row],[Start_Date]],Table8[[#This Row],[Response_Date]]&gt;Table8[[#This Row],[End_Date]]),"Review - response outside campaign dates","")</f>
        <v/>
      </c>
      <c r="AD465" t="str">
        <f>IF(Table8[[#This Row],[Campaign_Type]]="","Review - campaign code not found","")</f>
        <v/>
      </c>
    </row>
    <row r="466" spans="1:30" x14ac:dyDescent="0.25">
      <c r="A466" t="s">
        <v>4152</v>
      </c>
      <c r="B466" t="s">
        <v>2992</v>
      </c>
      <c r="C466" t="s">
        <v>3320</v>
      </c>
      <c r="D466" t="s">
        <v>3321</v>
      </c>
      <c r="E466" t="s">
        <v>65</v>
      </c>
      <c r="F466" s="17">
        <v>45446</v>
      </c>
      <c r="G466">
        <v>16.87</v>
      </c>
      <c r="H466" t="s">
        <v>37</v>
      </c>
      <c r="I466" t="s">
        <v>3334</v>
      </c>
      <c r="J466" t="str">
        <f>_xlfn.XLOOKUP(Table8[[#This Row],[Supporter_ID]],tb1_supporters[Supporter_ID ],tb1_supporters[Segment],"")</f>
        <v>Prospect</v>
      </c>
      <c r="K466" t="str">
        <f>_xlfn.XLOOKUP(Table8[[#This Row],[Supporter_ID]],tb1_supporters[Supporter_ID ],tb1_supporters[Acquisition_Source],"")</f>
        <v>Website</v>
      </c>
      <c r="L466" t="str">
        <f>_xlfn.XLOOKUP(Table8[[#This Row],[Supporter_ID]],tb1_supporters[Supporter_ID ],tb1_supporters[County],"")</f>
        <v>West Yorkshire</v>
      </c>
      <c r="M466" t="str">
        <f>_xlfn.XLOOKUP(Table8[[#This Row],[Supporter_ID]],tb1_supporters[Supporter_ID ],tb1_supporters[Gender],"")</f>
        <v>Female</v>
      </c>
      <c r="N466">
        <f ca="1">_xlfn.XLOOKUP(Table8[[#This Row],[Supporter_ID]],tb1_supporters[Supporter_ID ],tb1_supporters[Age],"")</f>
        <v>56</v>
      </c>
      <c r="O466" t="str">
        <f ca="1">_xlfn.XLOOKUP(Table8[[#This Row],[Supporter_ID]],tb1_supporters[Supporter_ID ],tb1_supporters[Age_Band],"")</f>
        <v>50-64</v>
      </c>
      <c r="P466" t="str">
        <f ca="1">IF(Table8[[#This Row],[Age_Band]]="","Unknown",Table8[[#This Row],[Age_Band]])</f>
        <v>50-64</v>
      </c>
      <c r="Q466" t="str">
        <f>_xlfn.XLOOKUP(Table8[[#This Row],[Supporter_ID]],tb1_supporters[Supporter_ID ],tb1_supporters[Communication_Preference],"")</f>
        <v>Phone</v>
      </c>
      <c r="R466" t="str">
        <f>_xlfn.XLOOKUP(Table8[[#This Row],[Supporter_ID]],tb1_supporters[Supporter_ID ],tb1_supporters[Duplicate_Profile_Flag],"")</f>
        <v/>
      </c>
      <c r="S466" t="str">
        <f>_xlfn.XLOOKUP(Table8[[#This Row],[Supporter_ID]],tb1_supporters[Supporter_ID ],tb1_supporters[Preference_Compliance_Flag],"")</f>
        <v>Review - prefers phone but not opted in</v>
      </c>
      <c r="T466" t="str">
        <f ca="1">IF(Table8[[#This Row],[Age]]="","Review - missing DOB",IF(Table8[[#This Row],[Age]]&gt;TODAY(),"Review - future DOB",IF(Table8[[#This Row],[Age]]=0,"Review -  potential entry error (age 0)","")))</f>
        <v/>
      </c>
      <c r="U466" t="str">
        <f>_xlfn.XLOOKUP(Table8[[#This Row],[Campaign_Code]],tb3_CampaignMaster[Campaign_Code],tb3_CampaignMaster[Campaign_Type],"")</f>
        <v>Stewardship</v>
      </c>
      <c r="V466" t="str">
        <f>_xlfn.XLOOKUP(Table8[[#This Row],[Campaign_Code]],tb3_CampaignMaster[Campaign_Code],tb3_CampaignMaster[Target_Audience],"")</f>
        <v>Major Donors</v>
      </c>
      <c r="W466" s="17">
        <f>_xlfn.XLOOKUP(Table8[[#This Row],[Campaign_Code]],tb3_CampaignMaster[Campaign_Code],tb3_CampaignMaster[Start_Date],"")</f>
        <v>45444</v>
      </c>
      <c r="X466" s="17">
        <f>_xlfn.XLOOKUP(Table8[[#This Row],[Campaign_Code]],tb3_CampaignMaster[Campaign_Code],tb3_CampaignMaster[End_Date],"")</f>
        <v>45473</v>
      </c>
      <c r="Y466">
        <f>_xlfn.XLOOKUP(Table8[[#This Row],[Campaign_Code]],tb3_CampaignMaster[Campaign_Code],tb3_CampaignMaster[Budget_GBP],"")</f>
        <v>7000</v>
      </c>
      <c r="Z466" t="str">
        <f>_xlfn.XLOOKUP(Table8[[#This Row],[Campaign_Code]],tb3_CampaignMaster[Campaign_Code],tb3_CampaignMaster[Primary_Channel],"")</f>
        <v>Direct Mail</v>
      </c>
      <c r="AA466" s="13">
        <f>IF(Table8[[#This Row],[Gift_Aid_Eligible]]="Yes",Table8[[#This Row],[Gift_Amount]]*1.25,Table8[[#This Row],[Gift_Amount]])</f>
        <v>16.87</v>
      </c>
      <c r="AB466" t="str">
        <f>IF(Table8[[#This Row],[Supporter_ID]]="","Review - missing supporter ID","")</f>
        <v/>
      </c>
      <c r="AC466" t="str">
        <f>IF(OR(Table8[[#This Row],[Response_Date]]&lt;Table8[[#This Row],[Start_Date]],Table8[[#This Row],[Response_Date]]&gt;Table8[[#This Row],[End_Date]]),"Review - response outside campaign dates","")</f>
        <v/>
      </c>
      <c r="AD466" t="str">
        <f>IF(Table8[[#This Row],[Campaign_Type]]="","Review - campaign code not found","")</f>
        <v/>
      </c>
    </row>
    <row r="467" spans="1:30" x14ac:dyDescent="0.25">
      <c r="A467" t="s">
        <v>4154</v>
      </c>
      <c r="B467" t="s">
        <v>2451</v>
      </c>
      <c r="C467" t="s">
        <v>3367</v>
      </c>
      <c r="D467" t="s">
        <v>3368</v>
      </c>
      <c r="E467" t="s">
        <v>4</v>
      </c>
      <c r="F467" s="17">
        <v>45775</v>
      </c>
      <c r="G467">
        <v>13.71</v>
      </c>
      <c r="H467" t="s">
        <v>37</v>
      </c>
      <c r="I467" t="s">
        <v>3365</v>
      </c>
      <c r="J467" t="str">
        <f>_xlfn.XLOOKUP(Table8[[#This Row],[Supporter_ID]],tb1_supporters[Supporter_ID ],tb1_supporters[Segment],"")</f>
        <v>Regular Giver</v>
      </c>
      <c r="K467" t="str">
        <f>_xlfn.XLOOKUP(Table8[[#This Row],[Supporter_ID]],tb1_supporters[Supporter_ID ],tb1_supporters[Acquisition_Source],"")</f>
        <v>Door-To-Door</v>
      </c>
      <c r="L467" t="str">
        <f>_xlfn.XLOOKUP(Table8[[#This Row],[Supporter_ID]],tb1_supporters[Supporter_ID ],tb1_supporters[County],"")</f>
        <v>Hertfordshire</v>
      </c>
      <c r="M467" t="str">
        <f>_xlfn.XLOOKUP(Table8[[#This Row],[Supporter_ID]],tb1_supporters[Supporter_ID ],tb1_supporters[Gender],"")</f>
        <v>Female</v>
      </c>
      <c r="N467">
        <f ca="1">_xlfn.XLOOKUP(Table8[[#This Row],[Supporter_ID]],tb1_supporters[Supporter_ID ],tb1_supporters[Age],"")</f>
        <v>80</v>
      </c>
      <c r="O467" t="str">
        <f ca="1">_xlfn.XLOOKUP(Table8[[#This Row],[Supporter_ID]],tb1_supporters[Supporter_ID ],tb1_supporters[Age_Band],"")</f>
        <v>65+</v>
      </c>
      <c r="P467" t="str">
        <f ca="1">IF(Table8[[#This Row],[Age_Band]]="","Unknown",Table8[[#This Row],[Age_Band]])</f>
        <v>65+</v>
      </c>
      <c r="Q467" t="str">
        <f>_xlfn.XLOOKUP(Table8[[#This Row],[Supporter_ID]],tb1_supporters[Supporter_ID ],tb1_supporters[Communication_Preference],"")</f>
        <v>No Preference</v>
      </c>
      <c r="R467" t="str">
        <f>_xlfn.XLOOKUP(Table8[[#This Row],[Supporter_ID]],tb1_supporters[Supporter_ID ],tb1_supporters[Duplicate_Profile_Flag],"")</f>
        <v/>
      </c>
      <c r="S467" t="str">
        <f>_xlfn.XLOOKUP(Table8[[#This Row],[Supporter_ID]],tb1_supporters[Supporter_ID ],tb1_supporters[Preference_Compliance_Flag],"")</f>
        <v/>
      </c>
      <c r="T467" t="str">
        <f ca="1">IF(Table8[[#This Row],[Age]]="","Review - missing DOB",IF(Table8[[#This Row],[Age]]&gt;TODAY(),"Review - future DOB",IF(Table8[[#This Row],[Age]]=0,"Review -  potential entry error (age 0)","")))</f>
        <v/>
      </c>
      <c r="U467" t="str">
        <f>_xlfn.XLOOKUP(Table8[[#This Row],[Campaign_Code]],tb3_CampaignMaster[Campaign_Code],tb3_CampaignMaster[Campaign_Type],"")</f>
        <v>Raffle</v>
      </c>
      <c r="V467" t="str">
        <f>_xlfn.XLOOKUP(Table8[[#This Row],[Campaign_Code]],tb3_CampaignMaster[Campaign_Code],tb3_CampaignMaster[Target_Audience],"")</f>
        <v>Regular Givers</v>
      </c>
      <c r="W467" s="17">
        <f>_xlfn.XLOOKUP(Table8[[#This Row],[Campaign_Code]],tb3_CampaignMaster[Campaign_Code],tb3_CampaignMaster[Start_Date],"")</f>
        <v>45717</v>
      </c>
      <c r="X467" s="17">
        <f>_xlfn.XLOOKUP(Table8[[#This Row],[Campaign_Code]],tb3_CampaignMaster[Campaign_Code],tb3_CampaignMaster[End_Date],"")</f>
        <v>45777</v>
      </c>
      <c r="Y467">
        <f>_xlfn.XLOOKUP(Table8[[#This Row],[Campaign_Code]],tb3_CampaignMaster[Campaign_Code],tb3_CampaignMaster[Budget_GBP],"")</f>
        <v>8000</v>
      </c>
      <c r="Z467" t="str">
        <f>_xlfn.XLOOKUP(Table8[[#This Row],[Campaign_Code]],tb3_CampaignMaster[Campaign_Code],tb3_CampaignMaster[Primary_Channel],"")</f>
        <v>Direct Mail</v>
      </c>
      <c r="AA467" s="13">
        <f>IF(Table8[[#This Row],[Gift_Aid_Eligible]]="Yes",Table8[[#This Row],[Gift_Amount]]*1.25,Table8[[#This Row],[Gift_Amount]])</f>
        <v>13.71</v>
      </c>
      <c r="AB467" t="str">
        <f>IF(Table8[[#This Row],[Supporter_ID]]="","Review - missing supporter ID","")</f>
        <v/>
      </c>
      <c r="AC467" t="str">
        <f>IF(OR(Table8[[#This Row],[Response_Date]]&lt;Table8[[#This Row],[Start_Date]],Table8[[#This Row],[Response_Date]]&gt;Table8[[#This Row],[End_Date]]),"Review - response outside campaign dates","")</f>
        <v/>
      </c>
      <c r="AD467" t="str">
        <f>IF(Table8[[#This Row],[Campaign_Type]]="","Review - campaign code not found","")</f>
        <v/>
      </c>
    </row>
    <row r="468" spans="1:30" x14ac:dyDescent="0.25">
      <c r="A468" t="s">
        <v>4156</v>
      </c>
      <c r="B468" t="s">
        <v>2268</v>
      </c>
      <c r="C468" t="s">
        <v>3325</v>
      </c>
      <c r="D468" t="s">
        <v>3326</v>
      </c>
      <c r="E468" t="s">
        <v>3316</v>
      </c>
      <c r="F468" s="17">
        <v>45650</v>
      </c>
      <c r="G468">
        <v>85.87</v>
      </c>
      <c r="H468" t="s">
        <v>36</v>
      </c>
      <c r="I468" t="s">
        <v>3385</v>
      </c>
      <c r="J468" t="str">
        <f>_xlfn.XLOOKUP(Table8[[#This Row],[Supporter_ID]],tb1_supporters[Supporter_ID ],tb1_supporters[Segment],"")</f>
        <v>Lapsed</v>
      </c>
      <c r="K468" t="str">
        <f>_xlfn.XLOOKUP(Table8[[#This Row],[Supporter_ID]],tb1_supporters[Supporter_ID ],tb1_supporters[Acquisition_Source],"")</f>
        <v>Corporate Partner</v>
      </c>
      <c r="L468" t="str">
        <f>_xlfn.XLOOKUP(Table8[[#This Row],[Supporter_ID]],tb1_supporters[Supporter_ID ],tb1_supporters[County],"")</f>
        <v>South Glamorgan</v>
      </c>
      <c r="M468" t="str">
        <f>_xlfn.XLOOKUP(Table8[[#This Row],[Supporter_ID]],tb1_supporters[Supporter_ID ],tb1_supporters[Gender],"")</f>
        <v>Male</v>
      </c>
      <c r="N468" t="str">
        <f ca="1">_xlfn.XLOOKUP(Table8[[#This Row],[Supporter_ID]],tb1_supporters[Supporter_ID ],tb1_supporters[Age],"")</f>
        <v/>
      </c>
      <c r="O468" t="str">
        <f ca="1">_xlfn.XLOOKUP(Table8[[#This Row],[Supporter_ID]],tb1_supporters[Supporter_ID ],tb1_supporters[Age_Band],"")</f>
        <v/>
      </c>
      <c r="P468" t="str">
        <f ca="1">IF(Table8[[#This Row],[Age_Band]]="","Unknown",Table8[[#This Row],[Age_Band]])</f>
        <v>Unknown</v>
      </c>
      <c r="Q468" t="str">
        <f>_xlfn.XLOOKUP(Table8[[#This Row],[Supporter_ID]],tb1_supporters[Supporter_ID ],tb1_supporters[Communication_Preference],"")</f>
        <v>Post</v>
      </c>
      <c r="R468" t="str">
        <f>_xlfn.XLOOKUP(Table8[[#This Row],[Supporter_ID]],tb1_supporters[Supporter_ID ],tb1_supporters[Duplicate_Profile_Flag],"")</f>
        <v/>
      </c>
      <c r="S468" t="str">
        <f>_xlfn.XLOOKUP(Table8[[#This Row],[Supporter_ID]],tb1_supporters[Supporter_ID ],tb1_supporters[Preference_Compliance_Flag],"")</f>
        <v/>
      </c>
      <c r="T468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468" t="str">
        <f>_xlfn.XLOOKUP(Table8[[#This Row],[Campaign_Code]],tb3_CampaignMaster[Campaign_Code],tb3_CampaignMaster[Campaign_Type],"")</f>
        <v>Appeal</v>
      </c>
      <c r="V468" t="str">
        <f>_xlfn.XLOOKUP(Table8[[#This Row],[Campaign_Code]],tb3_CampaignMaster[Campaign_Code],tb3_CampaignMaster[Target_Audience],"")</f>
        <v>All Active</v>
      </c>
      <c r="W468" s="17">
        <f>_xlfn.XLOOKUP(Table8[[#This Row],[Campaign_Code]],tb3_CampaignMaster[Campaign_Code],tb3_CampaignMaster[Start_Date],"")</f>
        <v>45597</v>
      </c>
      <c r="X468" s="17">
        <f>_xlfn.XLOOKUP(Table8[[#This Row],[Campaign_Code]],tb3_CampaignMaster[Campaign_Code],tb3_CampaignMaster[End_Date],"")</f>
        <v>45657</v>
      </c>
      <c r="Y468">
        <f>_xlfn.XLOOKUP(Table8[[#This Row],[Campaign_Code]],tb3_CampaignMaster[Campaign_Code],tb3_CampaignMaster[Budget_GBP],"")</f>
        <v>25000</v>
      </c>
      <c r="Z468" t="str">
        <f>_xlfn.XLOOKUP(Table8[[#This Row],[Campaign_Code]],tb3_CampaignMaster[Campaign_Code],tb3_CampaignMaster[Primary_Channel],"")</f>
        <v>Multi-channel</v>
      </c>
      <c r="AA468" s="13">
        <f>IF(Table8[[#This Row],[Gift_Aid_Eligible]]="Yes",Table8[[#This Row],[Gift_Amount]]*1.25,Table8[[#This Row],[Gift_Amount]])</f>
        <v>107.33750000000001</v>
      </c>
      <c r="AB468" t="str">
        <f>IF(Table8[[#This Row],[Supporter_ID]]="","Review - missing supporter ID","")</f>
        <v/>
      </c>
      <c r="AC468" t="str">
        <f>IF(OR(Table8[[#This Row],[Response_Date]]&lt;Table8[[#This Row],[Start_Date]],Table8[[#This Row],[Response_Date]]&gt;Table8[[#This Row],[End_Date]]),"Review - response outside campaign dates","")</f>
        <v/>
      </c>
      <c r="AD468" t="str">
        <f>IF(Table8[[#This Row],[Campaign_Type]]="","Review - campaign code not found","")</f>
        <v/>
      </c>
    </row>
    <row r="469" spans="1:30" x14ac:dyDescent="0.25">
      <c r="A469" t="s">
        <v>4158</v>
      </c>
      <c r="B469" t="s">
        <v>2825</v>
      </c>
      <c r="C469" t="s">
        <v>3314</v>
      </c>
      <c r="D469" t="s">
        <v>3315</v>
      </c>
      <c r="E469" t="s">
        <v>65</v>
      </c>
      <c r="F469" s="17">
        <v>45708</v>
      </c>
      <c r="G469">
        <v>23.05</v>
      </c>
      <c r="H469" t="s">
        <v>36</v>
      </c>
      <c r="I469" t="s">
        <v>3370</v>
      </c>
      <c r="J469" t="str">
        <f>_xlfn.XLOOKUP(Table8[[#This Row],[Supporter_ID]],tb1_supporters[Supporter_ID ],tb1_supporters[Segment],"")</f>
        <v>Lapsed</v>
      </c>
      <c r="K469" t="str">
        <f>_xlfn.XLOOKUP(Table8[[#This Row],[Supporter_ID]],tb1_supporters[Supporter_ID ],tb1_supporters[Acquisition_Source],"")</f>
        <v>Website</v>
      </c>
      <c r="L469" t="str">
        <f>_xlfn.XLOOKUP(Table8[[#This Row],[Supporter_ID]],tb1_supporters[Supporter_ID ],tb1_supporters[County],"")</f>
        <v>Devon</v>
      </c>
      <c r="M469" t="str">
        <f>_xlfn.XLOOKUP(Table8[[#This Row],[Supporter_ID]],tb1_supporters[Supporter_ID ],tb1_supporters[Gender],"")</f>
        <v>Male</v>
      </c>
      <c r="N469">
        <f ca="1">_xlfn.XLOOKUP(Table8[[#This Row],[Supporter_ID]],tb1_supporters[Supporter_ID ],tb1_supporters[Age],"")</f>
        <v>38</v>
      </c>
      <c r="O469" t="str">
        <f ca="1">_xlfn.XLOOKUP(Table8[[#This Row],[Supporter_ID]],tb1_supporters[Supporter_ID ],tb1_supporters[Age_Band],"")</f>
        <v>35-49</v>
      </c>
      <c r="P469" t="str">
        <f ca="1">IF(Table8[[#This Row],[Age_Band]]="","Unknown",Table8[[#This Row],[Age_Band]])</f>
        <v>35-49</v>
      </c>
      <c r="Q469" t="str">
        <f>_xlfn.XLOOKUP(Table8[[#This Row],[Supporter_ID]],tb1_supporters[Supporter_ID ],tb1_supporters[Communication_Preference],"")</f>
        <v>No Preference</v>
      </c>
      <c r="R469" t="str">
        <f>_xlfn.XLOOKUP(Table8[[#This Row],[Supporter_ID]],tb1_supporters[Supporter_ID ],tb1_supporters[Duplicate_Profile_Flag],"")</f>
        <v/>
      </c>
      <c r="S469" t="str">
        <f>_xlfn.XLOOKUP(Table8[[#This Row],[Supporter_ID]],tb1_supporters[Supporter_ID ],tb1_supporters[Preference_Compliance_Flag],"")</f>
        <v/>
      </c>
      <c r="T469" t="str">
        <f ca="1">IF(Table8[[#This Row],[Age]]="","Review - missing DOB",IF(Table8[[#This Row],[Age]]&gt;TODAY(),"Review - future DOB",IF(Table8[[#This Row],[Age]]=0,"Review -  potential entry error (age 0)","")))</f>
        <v/>
      </c>
      <c r="U469" t="str">
        <f>_xlfn.XLOOKUP(Table8[[#This Row],[Campaign_Code]],tb3_CampaignMaster[Campaign_Code],tb3_CampaignMaster[Campaign_Type],"")</f>
        <v>Regular Giving</v>
      </c>
      <c r="V469" t="str">
        <f>_xlfn.XLOOKUP(Table8[[#This Row],[Campaign_Code]],tb3_CampaignMaster[Campaign_Code],tb3_CampaignMaster[Target_Audience],"")</f>
        <v>One-time Donors</v>
      </c>
      <c r="W469" s="17">
        <f>_xlfn.XLOOKUP(Table8[[#This Row],[Campaign_Code]],tb3_CampaignMaster[Campaign_Code],tb3_CampaignMaster[Start_Date],"")</f>
        <v>45663</v>
      </c>
      <c r="X469" s="17">
        <f>_xlfn.XLOOKUP(Table8[[#This Row],[Campaign_Code]],tb3_CampaignMaster[Campaign_Code],tb3_CampaignMaster[End_Date],"")</f>
        <v>45747</v>
      </c>
      <c r="Y469">
        <f>_xlfn.XLOOKUP(Table8[[#This Row],[Campaign_Code]],tb3_CampaignMaster[Campaign_Code],tb3_CampaignMaster[Budget_GBP],"")</f>
        <v>10000</v>
      </c>
      <c r="Z469" t="str">
        <f>_xlfn.XLOOKUP(Table8[[#This Row],[Campaign_Code]],tb3_CampaignMaster[Campaign_Code],tb3_CampaignMaster[Primary_Channel],"")</f>
        <v>Telephone</v>
      </c>
      <c r="AA469" s="13">
        <f>IF(Table8[[#This Row],[Gift_Aid_Eligible]]="Yes",Table8[[#This Row],[Gift_Amount]]*1.25,Table8[[#This Row],[Gift_Amount]])</f>
        <v>28.8125</v>
      </c>
      <c r="AB469" t="str">
        <f>IF(Table8[[#This Row],[Supporter_ID]]="","Review - missing supporter ID","")</f>
        <v/>
      </c>
      <c r="AC469" t="str">
        <f>IF(OR(Table8[[#This Row],[Response_Date]]&lt;Table8[[#This Row],[Start_Date]],Table8[[#This Row],[Response_Date]]&gt;Table8[[#This Row],[End_Date]]),"Review - response outside campaign dates","")</f>
        <v/>
      </c>
      <c r="AD469" t="str">
        <f>IF(Table8[[#This Row],[Campaign_Type]]="","Review - campaign code not found","")</f>
        <v/>
      </c>
    </row>
    <row r="470" spans="1:30" x14ac:dyDescent="0.25">
      <c r="A470" t="s">
        <v>4159</v>
      </c>
      <c r="B470" t="s">
        <v>1832</v>
      </c>
      <c r="C470" t="s">
        <v>3354</v>
      </c>
      <c r="D470" t="s">
        <v>3355</v>
      </c>
      <c r="E470" t="s">
        <v>4</v>
      </c>
      <c r="F470" s="17">
        <v>45618</v>
      </c>
      <c r="G470">
        <v>27.5</v>
      </c>
      <c r="H470" t="s">
        <v>36</v>
      </c>
      <c r="I470" t="s">
        <v>3323</v>
      </c>
      <c r="J470" t="str">
        <f>_xlfn.XLOOKUP(Table8[[#This Row],[Supporter_ID]],tb1_supporters[Supporter_ID ],tb1_supporters[Segment],"")</f>
        <v>One-Time Donor</v>
      </c>
      <c r="K470" t="str">
        <f>_xlfn.XLOOKUP(Table8[[#This Row],[Supporter_ID]],tb1_supporters[Supporter_ID ],tb1_supporters[Acquisition_Source],"")</f>
        <v>Telephone</v>
      </c>
      <c r="L470" t="str">
        <f>_xlfn.XLOOKUP(Table8[[#This Row],[Supporter_ID]],tb1_supporters[Supporter_ID ],tb1_supporters[County],"")</f>
        <v>Wiltshire</v>
      </c>
      <c r="M470" t="str">
        <f>_xlfn.XLOOKUP(Table8[[#This Row],[Supporter_ID]],tb1_supporters[Supporter_ID ],tb1_supporters[Gender],"")</f>
        <v>Male</v>
      </c>
      <c r="N470">
        <f ca="1">_xlfn.XLOOKUP(Table8[[#This Row],[Supporter_ID]],tb1_supporters[Supporter_ID ],tb1_supporters[Age],"")</f>
        <v>67</v>
      </c>
      <c r="O470" t="str">
        <f ca="1">_xlfn.XLOOKUP(Table8[[#This Row],[Supporter_ID]],tb1_supporters[Supporter_ID ],tb1_supporters[Age_Band],"")</f>
        <v>65+</v>
      </c>
      <c r="P470" t="str">
        <f ca="1">IF(Table8[[#This Row],[Age_Band]]="","Unknown",Table8[[#This Row],[Age_Band]])</f>
        <v>65+</v>
      </c>
      <c r="Q470" t="str">
        <f>_xlfn.XLOOKUP(Table8[[#This Row],[Supporter_ID]],tb1_supporters[Supporter_ID ],tb1_supporters[Communication_Preference],"")</f>
        <v>Phone</v>
      </c>
      <c r="R470" t="str">
        <f>_xlfn.XLOOKUP(Table8[[#This Row],[Supporter_ID]],tb1_supporters[Supporter_ID ],tb1_supporters[Duplicate_Profile_Flag],"")</f>
        <v/>
      </c>
      <c r="S470" t="str">
        <f>_xlfn.XLOOKUP(Table8[[#This Row],[Supporter_ID]],tb1_supporters[Supporter_ID ],tb1_supporters[Preference_Compliance_Flag],"")</f>
        <v>Review - prefers phone but not opted in</v>
      </c>
      <c r="T470" t="str">
        <f ca="1">IF(Table8[[#This Row],[Age]]="","Review - missing DOB",IF(Table8[[#This Row],[Age]]&gt;TODAY(),"Review - future DOB",IF(Table8[[#This Row],[Age]]=0,"Review -  potential entry error (age 0)","")))</f>
        <v/>
      </c>
      <c r="U470" t="str">
        <f>_xlfn.XLOOKUP(Table8[[#This Row],[Campaign_Code]],tb3_CampaignMaster[Campaign_Code],tb3_CampaignMaster[Campaign_Type],"")</f>
        <v>Event</v>
      </c>
      <c r="V470" t="str">
        <f>_xlfn.XLOOKUP(Table8[[#This Row],[Campaign_Code]],tb3_CampaignMaster[Campaign_Code],tb3_CampaignMaster[Target_Audience],"")</f>
        <v>Volunteers</v>
      </c>
      <c r="W470" s="17">
        <f>_xlfn.XLOOKUP(Table8[[#This Row],[Campaign_Code]],tb3_CampaignMaster[Campaign_Code],tb3_CampaignMaster[Start_Date],"")</f>
        <v>45618</v>
      </c>
      <c r="X470" s="17">
        <f>_xlfn.XLOOKUP(Table8[[#This Row],[Campaign_Code]],tb3_CampaignMaster[Campaign_Code],tb3_CampaignMaster[End_Date],"")</f>
        <v>45618</v>
      </c>
      <c r="Y470">
        <f>_xlfn.XLOOKUP(Table8[[#This Row],[Campaign_Code]],tb3_CampaignMaster[Campaign_Code],tb3_CampaignMaster[Budget_GBP],"")</f>
        <v>3500</v>
      </c>
      <c r="Z470" t="str">
        <f>_xlfn.XLOOKUP(Table8[[#This Row],[Campaign_Code]],tb3_CampaignMaster[Campaign_Code],tb3_CampaignMaster[Primary_Channel],"")</f>
        <v>Email</v>
      </c>
      <c r="AA470" s="13">
        <f>IF(Table8[[#This Row],[Gift_Aid_Eligible]]="Yes",Table8[[#This Row],[Gift_Amount]]*1.25,Table8[[#This Row],[Gift_Amount]])</f>
        <v>34.375</v>
      </c>
      <c r="AB470" t="str">
        <f>IF(Table8[[#This Row],[Supporter_ID]]="","Review - missing supporter ID","")</f>
        <v/>
      </c>
      <c r="AC470" t="str">
        <f>IF(OR(Table8[[#This Row],[Response_Date]]&lt;Table8[[#This Row],[Start_Date]],Table8[[#This Row],[Response_Date]]&gt;Table8[[#This Row],[End_Date]]),"Review - response outside campaign dates","")</f>
        <v/>
      </c>
      <c r="AD470" t="str">
        <f>IF(Table8[[#This Row],[Campaign_Type]]="","Review - campaign code not found","")</f>
        <v/>
      </c>
    </row>
    <row r="471" spans="1:30" x14ac:dyDescent="0.25">
      <c r="A471" t="s">
        <v>4160</v>
      </c>
      <c r="B471" t="s">
        <v>2136</v>
      </c>
      <c r="C471" t="s">
        <v>3354</v>
      </c>
      <c r="D471" t="s">
        <v>3355</v>
      </c>
      <c r="E471" t="s">
        <v>65</v>
      </c>
      <c r="F471" s="17">
        <v>45618</v>
      </c>
      <c r="G471">
        <v>195.03</v>
      </c>
      <c r="H471" t="s">
        <v>36</v>
      </c>
      <c r="I471" t="s">
        <v>3328</v>
      </c>
      <c r="J471" t="str">
        <f>_xlfn.XLOOKUP(Table8[[#This Row],[Supporter_ID]],tb1_supporters[Supporter_ID ],tb1_supporters[Segment],"")</f>
        <v>Mid-Value</v>
      </c>
      <c r="K471" t="str">
        <f>_xlfn.XLOOKUP(Table8[[#This Row],[Supporter_ID]],tb1_supporters[Supporter_ID ],tb1_supporters[Acquisition_Source],"")</f>
        <v>Social Media</v>
      </c>
      <c r="L471" t="str">
        <f>_xlfn.XLOOKUP(Table8[[#This Row],[Supporter_ID]],tb1_supporters[Supporter_ID ],tb1_supporters[County],"")</f>
        <v>Greater London</v>
      </c>
      <c r="M471" t="str">
        <f>_xlfn.XLOOKUP(Table8[[#This Row],[Supporter_ID]],tb1_supporters[Supporter_ID ],tb1_supporters[Gender],"")</f>
        <v>Female</v>
      </c>
      <c r="N471">
        <f ca="1">_xlfn.XLOOKUP(Table8[[#This Row],[Supporter_ID]],tb1_supporters[Supporter_ID ],tb1_supporters[Age],"")</f>
        <v>63</v>
      </c>
      <c r="O471" t="str">
        <f ca="1">_xlfn.XLOOKUP(Table8[[#This Row],[Supporter_ID]],tb1_supporters[Supporter_ID ],tb1_supporters[Age_Band],"")</f>
        <v>50-64</v>
      </c>
      <c r="P471" t="str">
        <f ca="1">IF(Table8[[#This Row],[Age_Band]]="","Unknown",Table8[[#This Row],[Age_Band]])</f>
        <v>50-64</v>
      </c>
      <c r="Q471" t="str">
        <f>_xlfn.XLOOKUP(Table8[[#This Row],[Supporter_ID]],tb1_supporters[Supporter_ID ],tb1_supporters[Communication_Preference],"")</f>
        <v>Email</v>
      </c>
      <c r="R471" t="str">
        <f>_xlfn.XLOOKUP(Table8[[#This Row],[Supporter_ID]],tb1_supporters[Supporter_ID ],tb1_supporters[Duplicate_Profile_Flag],"")</f>
        <v/>
      </c>
      <c r="S471" t="str">
        <f>_xlfn.XLOOKUP(Table8[[#This Row],[Supporter_ID]],tb1_supporters[Supporter_ID ],tb1_supporters[Preference_Compliance_Flag],"")</f>
        <v/>
      </c>
      <c r="T471" t="str">
        <f ca="1">IF(Table8[[#This Row],[Age]]="","Review - missing DOB",IF(Table8[[#This Row],[Age]]&gt;TODAY(),"Review - future DOB",IF(Table8[[#This Row],[Age]]=0,"Review -  potential entry error (age 0)","")))</f>
        <v/>
      </c>
      <c r="U471" t="str">
        <f>_xlfn.XLOOKUP(Table8[[#This Row],[Campaign_Code]],tb3_CampaignMaster[Campaign_Code],tb3_CampaignMaster[Campaign_Type],"")</f>
        <v>Event</v>
      </c>
      <c r="V471" t="str">
        <f>_xlfn.XLOOKUP(Table8[[#This Row],[Campaign_Code]],tb3_CampaignMaster[Campaign_Code],tb3_CampaignMaster[Target_Audience],"")</f>
        <v>Volunteers</v>
      </c>
      <c r="W471" s="17">
        <f>_xlfn.XLOOKUP(Table8[[#This Row],[Campaign_Code]],tb3_CampaignMaster[Campaign_Code],tb3_CampaignMaster[Start_Date],"")</f>
        <v>45618</v>
      </c>
      <c r="X471" s="17">
        <f>_xlfn.XLOOKUP(Table8[[#This Row],[Campaign_Code]],tb3_CampaignMaster[Campaign_Code],tb3_CampaignMaster[End_Date],"")</f>
        <v>45618</v>
      </c>
      <c r="Y471">
        <f>_xlfn.XLOOKUP(Table8[[#This Row],[Campaign_Code]],tb3_CampaignMaster[Campaign_Code],tb3_CampaignMaster[Budget_GBP],"")</f>
        <v>3500</v>
      </c>
      <c r="Z471" t="str">
        <f>_xlfn.XLOOKUP(Table8[[#This Row],[Campaign_Code]],tb3_CampaignMaster[Campaign_Code],tb3_CampaignMaster[Primary_Channel],"")</f>
        <v>Email</v>
      </c>
      <c r="AA471" s="13">
        <f>IF(Table8[[#This Row],[Gift_Aid_Eligible]]="Yes",Table8[[#This Row],[Gift_Amount]]*1.25,Table8[[#This Row],[Gift_Amount]])</f>
        <v>243.78749999999999</v>
      </c>
      <c r="AB471" t="str">
        <f>IF(Table8[[#This Row],[Supporter_ID]]="","Review - missing supporter ID","")</f>
        <v/>
      </c>
      <c r="AC471" t="str">
        <f>IF(OR(Table8[[#This Row],[Response_Date]]&lt;Table8[[#This Row],[Start_Date]],Table8[[#This Row],[Response_Date]]&gt;Table8[[#This Row],[End_Date]]),"Review - response outside campaign dates","")</f>
        <v/>
      </c>
      <c r="AD471" t="str">
        <f>IF(Table8[[#This Row],[Campaign_Type]]="","Review - campaign code not found","")</f>
        <v/>
      </c>
    </row>
    <row r="472" spans="1:30" x14ac:dyDescent="0.25">
      <c r="A472" t="s">
        <v>4161</v>
      </c>
      <c r="B472" t="s">
        <v>1255</v>
      </c>
      <c r="C472" t="s">
        <v>3341</v>
      </c>
      <c r="D472" t="s">
        <v>3342</v>
      </c>
      <c r="E472" t="s">
        <v>3316</v>
      </c>
      <c r="F472" s="17">
        <v>45764</v>
      </c>
      <c r="G472">
        <v>1810.36</v>
      </c>
      <c r="H472" t="s">
        <v>36</v>
      </c>
      <c r="I472" t="s">
        <v>3385</v>
      </c>
      <c r="J472" t="str">
        <f>_xlfn.XLOOKUP(Table8[[#This Row],[Supporter_ID]],tb1_supporters[Supporter_ID ],tb1_supporters[Segment],"")</f>
        <v>Major Donor</v>
      </c>
      <c r="K472" t="str">
        <f>_xlfn.XLOOKUP(Table8[[#This Row],[Supporter_ID]],tb1_supporters[Supporter_ID ],tb1_supporters[Acquisition_Source],"")</f>
        <v>Direct Mail</v>
      </c>
      <c r="L472" t="str">
        <f>_xlfn.XLOOKUP(Table8[[#This Row],[Supporter_ID]],tb1_supporters[Supporter_ID ],tb1_supporters[County],"")</f>
        <v>Merseyside</v>
      </c>
      <c r="M472" t="str">
        <f>_xlfn.XLOOKUP(Table8[[#This Row],[Supporter_ID]],tb1_supporters[Supporter_ID ],tb1_supporters[Gender],"")</f>
        <v>Female</v>
      </c>
      <c r="N472">
        <f ca="1">_xlfn.XLOOKUP(Table8[[#This Row],[Supporter_ID]],tb1_supporters[Supporter_ID ],tb1_supporters[Age],"")</f>
        <v>65</v>
      </c>
      <c r="O472" t="str">
        <f ca="1">_xlfn.XLOOKUP(Table8[[#This Row],[Supporter_ID]],tb1_supporters[Supporter_ID ],tb1_supporters[Age_Band],"")</f>
        <v>65+</v>
      </c>
      <c r="P472" t="str">
        <f ca="1">IF(Table8[[#This Row],[Age_Band]]="","Unknown",Table8[[#This Row],[Age_Band]])</f>
        <v>65+</v>
      </c>
      <c r="Q472" t="str">
        <f>_xlfn.XLOOKUP(Table8[[#This Row],[Supporter_ID]],tb1_supporters[Supporter_ID ],tb1_supporters[Communication_Preference],"")</f>
        <v>Post</v>
      </c>
      <c r="R472" t="str">
        <f>_xlfn.XLOOKUP(Table8[[#This Row],[Supporter_ID]],tb1_supporters[Supporter_ID ],tb1_supporters[Duplicate_Profile_Flag],"")</f>
        <v/>
      </c>
      <c r="S472" t="str">
        <f>_xlfn.XLOOKUP(Table8[[#This Row],[Supporter_ID]],tb1_supporters[Supporter_ID ],tb1_supporters[Preference_Compliance_Flag],"")</f>
        <v/>
      </c>
      <c r="T472" t="str">
        <f ca="1">IF(Table8[[#This Row],[Age]]="","Review - missing DOB",IF(Table8[[#This Row],[Age]]&gt;TODAY(),"Review - future DOB",IF(Table8[[#This Row],[Age]]=0,"Review -  potential entry error (age 0)","")))</f>
        <v/>
      </c>
      <c r="U472" t="str">
        <f>_xlfn.XLOOKUP(Table8[[#This Row],[Campaign_Code]],tb3_CampaignMaster[Campaign_Code],tb3_CampaignMaster[Campaign_Type],"")</f>
        <v>Acquisition</v>
      </c>
      <c r="V472" t="str">
        <f>_xlfn.XLOOKUP(Table8[[#This Row],[Campaign_Code]],tb3_CampaignMaster[Campaign_Code],tb3_CampaignMaster[Target_Audience],"")</f>
        <v>Prospects</v>
      </c>
      <c r="W472" s="17">
        <f>_xlfn.XLOOKUP(Table8[[#This Row],[Campaign_Code]],tb3_CampaignMaster[Campaign_Code],tb3_CampaignMaster[Start_Date],"")</f>
        <v>45689</v>
      </c>
      <c r="X472" s="17">
        <f>_xlfn.XLOOKUP(Table8[[#This Row],[Campaign_Code]],tb3_CampaignMaster[Campaign_Code],tb3_CampaignMaster[End_Date],"")</f>
        <v>45777</v>
      </c>
      <c r="Y472">
        <f>_xlfn.XLOOKUP(Table8[[#This Row],[Campaign_Code]],tb3_CampaignMaster[Campaign_Code],tb3_CampaignMaster[Budget_GBP],"")</f>
        <v>20000</v>
      </c>
      <c r="Z472" t="str">
        <f>_xlfn.XLOOKUP(Table8[[#This Row],[Campaign_Code]],tb3_CampaignMaster[Campaign_Code],tb3_CampaignMaster[Primary_Channel],"")</f>
        <v>Digital</v>
      </c>
      <c r="AA472" s="13">
        <f>IF(Table8[[#This Row],[Gift_Aid_Eligible]]="Yes",Table8[[#This Row],[Gift_Amount]]*1.25,Table8[[#This Row],[Gift_Amount]])</f>
        <v>2262.9499999999998</v>
      </c>
      <c r="AB472" t="str">
        <f>IF(Table8[[#This Row],[Supporter_ID]]="","Review - missing supporter ID","")</f>
        <v/>
      </c>
      <c r="AC472" t="str">
        <f>IF(OR(Table8[[#This Row],[Response_Date]]&lt;Table8[[#This Row],[Start_Date]],Table8[[#This Row],[Response_Date]]&gt;Table8[[#This Row],[End_Date]]),"Review - response outside campaign dates","")</f>
        <v/>
      </c>
      <c r="AD472" t="str">
        <f>IF(Table8[[#This Row],[Campaign_Type]]="","Review - campaign code not found","")</f>
        <v/>
      </c>
    </row>
    <row r="473" spans="1:30" x14ac:dyDescent="0.25">
      <c r="A473" t="s">
        <v>4163</v>
      </c>
      <c r="B473" t="s">
        <v>2934</v>
      </c>
      <c r="C473" t="s">
        <v>3320</v>
      </c>
      <c r="D473" t="s">
        <v>3321</v>
      </c>
      <c r="E473" t="s">
        <v>65</v>
      </c>
      <c r="F473" s="17">
        <v>45465</v>
      </c>
      <c r="G473">
        <v>14.7</v>
      </c>
      <c r="H473" t="s">
        <v>37</v>
      </c>
      <c r="I473" t="s">
        <v>3328</v>
      </c>
      <c r="J473" t="str">
        <f>_xlfn.XLOOKUP(Table8[[#This Row],[Supporter_ID]],tb1_supporters[Supporter_ID ],tb1_supporters[Segment],"")</f>
        <v>Regular Giver</v>
      </c>
      <c r="K473" t="str">
        <f>_xlfn.XLOOKUP(Table8[[#This Row],[Supporter_ID]],tb1_supporters[Supporter_ID ],tb1_supporters[Acquisition_Source],"")</f>
        <v>Social Media</v>
      </c>
      <c r="L473" t="str">
        <f>_xlfn.XLOOKUP(Table8[[#This Row],[Supporter_ID]],tb1_supporters[Supporter_ID ],tb1_supporters[County],"")</f>
        <v>Cambridgeshire</v>
      </c>
      <c r="M473" t="str">
        <f>_xlfn.XLOOKUP(Table8[[#This Row],[Supporter_ID]],tb1_supporters[Supporter_ID ],tb1_supporters[Gender],"")</f>
        <v>Female</v>
      </c>
      <c r="N473">
        <f ca="1">_xlfn.XLOOKUP(Table8[[#This Row],[Supporter_ID]],tb1_supporters[Supporter_ID ],tb1_supporters[Age],"")</f>
        <v>28</v>
      </c>
      <c r="O473" t="str">
        <f ca="1">_xlfn.XLOOKUP(Table8[[#This Row],[Supporter_ID]],tb1_supporters[Supporter_ID ],tb1_supporters[Age_Band],"")</f>
        <v>18-34</v>
      </c>
      <c r="P473" t="str">
        <f ca="1">IF(Table8[[#This Row],[Age_Band]]="","Unknown",Table8[[#This Row],[Age_Band]])</f>
        <v>18-34</v>
      </c>
      <c r="Q473" t="str">
        <f>_xlfn.XLOOKUP(Table8[[#This Row],[Supporter_ID]],tb1_supporters[Supporter_ID ],tb1_supporters[Communication_Preference],"")</f>
        <v>Post</v>
      </c>
      <c r="R473" t="str">
        <f>_xlfn.XLOOKUP(Table8[[#This Row],[Supporter_ID]],tb1_supporters[Supporter_ID ],tb1_supporters[Duplicate_Profile_Flag],"")</f>
        <v/>
      </c>
      <c r="S473" t="str">
        <f>_xlfn.XLOOKUP(Table8[[#This Row],[Supporter_ID]],tb1_supporters[Supporter_ID ],tb1_supporters[Preference_Compliance_Flag],"")</f>
        <v/>
      </c>
      <c r="T473" t="str">
        <f ca="1">IF(Table8[[#This Row],[Age]]="","Review - missing DOB",IF(Table8[[#This Row],[Age]]&gt;TODAY(),"Review - future DOB",IF(Table8[[#This Row],[Age]]=0,"Review -  potential entry error (age 0)","")))</f>
        <v/>
      </c>
      <c r="U473" t="str">
        <f>_xlfn.XLOOKUP(Table8[[#This Row],[Campaign_Code]],tb3_CampaignMaster[Campaign_Code],tb3_CampaignMaster[Campaign_Type],"")</f>
        <v>Stewardship</v>
      </c>
      <c r="V473" t="str">
        <f>_xlfn.XLOOKUP(Table8[[#This Row],[Campaign_Code]],tb3_CampaignMaster[Campaign_Code],tb3_CampaignMaster[Target_Audience],"")</f>
        <v>Major Donors</v>
      </c>
      <c r="W473" s="17">
        <f>_xlfn.XLOOKUP(Table8[[#This Row],[Campaign_Code]],tb3_CampaignMaster[Campaign_Code],tb3_CampaignMaster[Start_Date],"")</f>
        <v>45444</v>
      </c>
      <c r="X473" s="17">
        <f>_xlfn.XLOOKUP(Table8[[#This Row],[Campaign_Code]],tb3_CampaignMaster[Campaign_Code],tb3_CampaignMaster[End_Date],"")</f>
        <v>45473</v>
      </c>
      <c r="Y473">
        <f>_xlfn.XLOOKUP(Table8[[#This Row],[Campaign_Code]],tb3_CampaignMaster[Campaign_Code],tb3_CampaignMaster[Budget_GBP],"")</f>
        <v>7000</v>
      </c>
      <c r="Z473" t="str">
        <f>_xlfn.XLOOKUP(Table8[[#This Row],[Campaign_Code]],tb3_CampaignMaster[Campaign_Code],tb3_CampaignMaster[Primary_Channel],"")</f>
        <v>Direct Mail</v>
      </c>
      <c r="AA473" s="13">
        <f>IF(Table8[[#This Row],[Gift_Aid_Eligible]]="Yes",Table8[[#This Row],[Gift_Amount]]*1.25,Table8[[#This Row],[Gift_Amount]])</f>
        <v>14.7</v>
      </c>
      <c r="AB473" t="str">
        <f>IF(Table8[[#This Row],[Supporter_ID]]="","Review - missing supporter ID","")</f>
        <v/>
      </c>
      <c r="AC473" t="str">
        <f>IF(OR(Table8[[#This Row],[Response_Date]]&lt;Table8[[#This Row],[Start_Date]],Table8[[#This Row],[Response_Date]]&gt;Table8[[#This Row],[End_Date]]),"Review - response outside campaign dates","")</f>
        <v/>
      </c>
      <c r="AD473" t="str">
        <f>IF(Table8[[#This Row],[Campaign_Type]]="","Review - campaign code not found","")</f>
        <v/>
      </c>
    </row>
    <row r="474" spans="1:30" x14ac:dyDescent="0.25">
      <c r="A474" t="s">
        <v>4165</v>
      </c>
      <c r="B474" t="s">
        <v>1921</v>
      </c>
      <c r="C474" t="s">
        <v>3427</v>
      </c>
      <c r="D474" t="s">
        <v>3428</v>
      </c>
      <c r="E474" t="s">
        <v>4</v>
      </c>
      <c r="F474" s="17">
        <v>45488</v>
      </c>
      <c r="G474">
        <v>209.47</v>
      </c>
      <c r="H474" t="s">
        <v>37</v>
      </c>
      <c r="I474" t="s">
        <v>3323</v>
      </c>
      <c r="J474" t="str">
        <f>_xlfn.XLOOKUP(Table8[[#This Row],[Supporter_ID]],tb1_supporters[Supporter_ID ],tb1_supporters[Segment],"")</f>
        <v>Legacy Pledger</v>
      </c>
      <c r="K474" t="str">
        <f>_xlfn.XLOOKUP(Table8[[#This Row],[Supporter_ID]],tb1_supporters[Supporter_ID ],tb1_supporters[Acquisition_Source],"")</f>
        <v>Referral</v>
      </c>
      <c r="L474" t="str">
        <f>_xlfn.XLOOKUP(Table8[[#This Row],[Supporter_ID]],tb1_supporters[Supporter_ID ],tb1_supporters[County],"")</f>
        <v>Grampian</v>
      </c>
      <c r="M474" t="str">
        <f>_xlfn.XLOOKUP(Table8[[#This Row],[Supporter_ID]],tb1_supporters[Supporter_ID ],tb1_supporters[Gender],"")</f>
        <v>Male</v>
      </c>
      <c r="N474">
        <f ca="1">_xlfn.XLOOKUP(Table8[[#This Row],[Supporter_ID]],tb1_supporters[Supporter_ID ],tb1_supporters[Age],"")</f>
        <v>82</v>
      </c>
      <c r="O474" t="str">
        <f ca="1">_xlfn.XLOOKUP(Table8[[#This Row],[Supporter_ID]],tb1_supporters[Supporter_ID ],tb1_supporters[Age_Band],"")</f>
        <v>65+</v>
      </c>
      <c r="P474" t="str">
        <f ca="1">IF(Table8[[#This Row],[Age_Band]]="","Unknown",Table8[[#This Row],[Age_Band]])</f>
        <v>65+</v>
      </c>
      <c r="Q474" t="str">
        <f>_xlfn.XLOOKUP(Table8[[#This Row],[Supporter_ID]],tb1_supporters[Supporter_ID ],tb1_supporters[Communication_Preference],"")</f>
        <v>Phone</v>
      </c>
      <c r="R474" t="str">
        <f>_xlfn.XLOOKUP(Table8[[#This Row],[Supporter_ID]],tb1_supporters[Supporter_ID ],tb1_supporters[Duplicate_Profile_Flag],"")</f>
        <v/>
      </c>
      <c r="S474" t="str">
        <f>_xlfn.XLOOKUP(Table8[[#This Row],[Supporter_ID]],tb1_supporters[Supporter_ID ],tb1_supporters[Preference_Compliance_Flag],"")</f>
        <v>Review - prefers phone but not opted in</v>
      </c>
      <c r="T474" t="str">
        <f ca="1">IF(Table8[[#This Row],[Age]]="","Review - missing DOB",IF(Table8[[#This Row],[Age]]&gt;TODAY(),"Review - future DOB",IF(Table8[[#This Row],[Age]]=0,"Review -  potential entry error (age 0)","")))</f>
        <v/>
      </c>
      <c r="U474" t="str">
        <f>_xlfn.XLOOKUP(Table8[[#This Row],[Campaign_Code]],tb3_CampaignMaster[Campaign_Code],tb3_CampaignMaster[Campaign_Type],"")</f>
        <v>Event</v>
      </c>
      <c r="V474" t="str">
        <f>_xlfn.XLOOKUP(Table8[[#This Row],[Campaign_Code]],tb3_CampaignMaster[Campaign_Code],tb3_CampaignMaster[Target_Audience],"")</f>
        <v>Major Donors</v>
      </c>
      <c r="W474" s="17">
        <f>_xlfn.XLOOKUP(Table8[[#This Row],[Campaign_Code]],tb3_CampaignMaster[Campaign_Code],tb3_CampaignMaster[Start_Date],"")</f>
        <v>45488</v>
      </c>
      <c r="X474" s="17">
        <f>_xlfn.XLOOKUP(Table8[[#This Row],[Campaign_Code]],tb3_CampaignMaster[Campaign_Code],tb3_CampaignMaster[End_Date],"")</f>
        <v>45488</v>
      </c>
      <c r="Y474">
        <f>_xlfn.XLOOKUP(Table8[[#This Row],[Campaign_Code]],tb3_CampaignMaster[Campaign_Code],tb3_CampaignMaster[Budget_GBP],"")</f>
        <v>45000</v>
      </c>
      <c r="Z474" t="str">
        <f>_xlfn.XLOOKUP(Table8[[#This Row],[Campaign_Code]],tb3_CampaignMaster[Campaign_Code],tb3_CampaignMaster[Primary_Channel],"")</f>
        <v>Direct Mail</v>
      </c>
      <c r="AA474" s="13">
        <f>IF(Table8[[#This Row],[Gift_Aid_Eligible]]="Yes",Table8[[#This Row],[Gift_Amount]]*1.25,Table8[[#This Row],[Gift_Amount]])</f>
        <v>209.47</v>
      </c>
      <c r="AB474" t="str">
        <f>IF(Table8[[#This Row],[Supporter_ID]]="","Review - missing supporter ID","")</f>
        <v/>
      </c>
      <c r="AC474" t="str">
        <f>IF(OR(Table8[[#This Row],[Response_Date]]&lt;Table8[[#This Row],[Start_Date]],Table8[[#This Row],[Response_Date]]&gt;Table8[[#This Row],[End_Date]]),"Review - response outside campaign dates","")</f>
        <v/>
      </c>
      <c r="AD474" t="str">
        <f>IF(Table8[[#This Row],[Campaign_Type]]="","Review - campaign code not found","")</f>
        <v/>
      </c>
    </row>
    <row r="475" spans="1:30" x14ac:dyDescent="0.25">
      <c r="A475" t="s">
        <v>4166</v>
      </c>
      <c r="B475" t="s">
        <v>2876</v>
      </c>
      <c r="C475" t="s">
        <v>3367</v>
      </c>
      <c r="D475" t="s">
        <v>3368</v>
      </c>
      <c r="E475" t="s">
        <v>65</v>
      </c>
      <c r="F475" s="17">
        <v>45725</v>
      </c>
      <c r="G475">
        <v>91.25</v>
      </c>
      <c r="H475" t="s">
        <v>36</v>
      </c>
      <c r="I475" t="s">
        <v>3331</v>
      </c>
      <c r="J475" t="str">
        <f>_xlfn.XLOOKUP(Table8[[#This Row],[Supporter_ID]],tb1_supporters[Supporter_ID ],tb1_supporters[Segment],"")</f>
        <v>One-Time Donor</v>
      </c>
      <c r="K475" t="str">
        <f>_xlfn.XLOOKUP(Table8[[#This Row],[Supporter_ID]],tb1_supporters[Supporter_ID ],tb1_supporters[Acquisition_Source],"")</f>
        <v>Direct Mail</v>
      </c>
      <c r="L475" t="str">
        <f>_xlfn.XLOOKUP(Table8[[#This Row],[Supporter_ID]],tb1_supporters[Supporter_ID ],tb1_supporters[County],"")</f>
        <v>Grampian</v>
      </c>
      <c r="M475" t="str">
        <f>_xlfn.XLOOKUP(Table8[[#This Row],[Supporter_ID]],tb1_supporters[Supporter_ID ],tb1_supporters[Gender],"")</f>
        <v>Female</v>
      </c>
      <c r="N475">
        <f ca="1">_xlfn.XLOOKUP(Table8[[#This Row],[Supporter_ID]],tb1_supporters[Supporter_ID ],tb1_supporters[Age],"")</f>
        <v>47</v>
      </c>
      <c r="O475" t="str">
        <f ca="1">_xlfn.XLOOKUP(Table8[[#This Row],[Supporter_ID]],tb1_supporters[Supporter_ID ],tb1_supporters[Age_Band],"")</f>
        <v>35-49</v>
      </c>
      <c r="P475" t="str">
        <f ca="1">IF(Table8[[#This Row],[Age_Band]]="","Unknown",Table8[[#This Row],[Age_Band]])</f>
        <v>35-49</v>
      </c>
      <c r="Q475" t="str">
        <f>_xlfn.XLOOKUP(Table8[[#This Row],[Supporter_ID]],tb1_supporters[Supporter_ID ],tb1_supporters[Communication_Preference],"")</f>
        <v>Phone</v>
      </c>
      <c r="R475" t="str">
        <f>_xlfn.XLOOKUP(Table8[[#This Row],[Supporter_ID]],tb1_supporters[Supporter_ID ],tb1_supporters[Duplicate_Profile_Flag],"")</f>
        <v/>
      </c>
      <c r="S475" t="str">
        <f>_xlfn.XLOOKUP(Table8[[#This Row],[Supporter_ID]],tb1_supporters[Supporter_ID ],tb1_supporters[Preference_Compliance_Flag],"")</f>
        <v>Review - prefers phone but not opted in</v>
      </c>
      <c r="T475" t="str">
        <f ca="1">IF(Table8[[#This Row],[Age]]="","Review - missing DOB",IF(Table8[[#This Row],[Age]]&gt;TODAY(),"Review - future DOB",IF(Table8[[#This Row],[Age]]=0,"Review -  potential entry error (age 0)","")))</f>
        <v/>
      </c>
      <c r="U475" t="str">
        <f>_xlfn.XLOOKUP(Table8[[#This Row],[Campaign_Code]],tb3_CampaignMaster[Campaign_Code],tb3_CampaignMaster[Campaign_Type],"")</f>
        <v>Raffle</v>
      </c>
      <c r="V475" t="str">
        <f>_xlfn.XLOOKUP(Table8[[#This Row],[Campaign_Code]],tb3_CampaignMaster[Campaign_Code],tb3_CampaignMaster[Target_Audience],"")</f>
        <v>Regular Givers</v>
      </c>
      <c r="W475" s="17">
        <f>_xlfn.XLOOKUP(Table8[[#This Row],[Campaign_Code]],tb3_CampaignMaster[Campaign_Code],tb3_CampaignMaster[Start_Date],"")</f>
        <v>45717</v>
      </c>
      <c r="X475" s="17">
        <f>_xlfn.XLOOKUP(Table8[[#This Row],[Campaign_Code]],tb3_CampaignMaster[Campaign_Code],tb3_CampaignMaster[End_Date],"")</f>
        <v>45777</v>
      </c>
      <c r="Y475">
        <f>_xlfn.XLOOKUP(Table8[[#This Row],[Campaign_Code]],tb3_CampaignMaster[Campaign_Code],tb3_CampaignMaster[Budget_GBP],"")</f>
        <v>8000</v>
      </c>
      <c r="Z475" t="str">
        <f>_xlfn.XLOOKUP(Table8[[#This Row],[Campaign_Code]],tb3_CampaignMaster[Campaign_Code],tb3_CampaignMaster[Primary_Channel],"")</f>
        <v>Direct Mail</v>
      </c>
      <c r="AA475" s="13">
        <f>IF(Table8[[#This Row],[Gift_Aid_Eligible]]="Yes",Table8[[#This Row],[Gift_Amount]]*1.25,Table8[[#This Row],[Gift_Amount]])</f>
        <v>114.0625</v>
      </c>
      <c r="AB475" t="str">
        <f>IF(Table8[[#This Row],[Supporter_ID]]="","Review - missing supporter ID","")</f>
        <v/>
      </c>
      <c r="AC475" t="str">
        <f>IF(OR(Table8[[#This Row],[Response_Date]]&lt;Table8[[#This Row],[Start_Date]],Table8[[#This Row],[Response_Date]]&gt;Table8[[#This Row],[End_Date]]),"Review - response outside campaign dates","")</f>
        <v/>
      </c>
      <c r="AD475" t="str">
        <f>IF(Table8[[#This Row],[Campaign_Type]]="","Review - campaign code not found","")</f>
        <v/>
      </c>
    </row>
    <row r="476" spans="1:30" x14ac:dyDescent="0.25">
      <c r="A476" t="s">
        <v>4168</v>
      </c>
      <c r="B476" t="s">
        <v>1141</v>
      </c>
      <c r="C476" t="s">
        <v>3341</v>
      </c>
      <c r="D476" t="s">
        <v>3342</v>
      </c>
      <c r="E476" t="s">
        <v>3316</v>
      </c>
      <c r="F476" s="17">
        <v>45698</v>
      </c>
      <c r="G476">
        <v>21.57</v>
      </c>
      <c r="H476" t="s">
        <v>36</v>
      </c>
      <c r="I476" t="s">
        <v>3334</v>
      </c>
      <c r="J476" t="str">
        <f>_xlfn.XLOOKUP(Table8[[#This Row],[Supporter_ID]],tb1_supporters[Supporter_ID ],tb1_supporters[Segment],"")</f>
        <v>Prospect</v>
      </c>
      <c r="K476" t="str">
        <f>_xlfn.XLOOKUP(Table8[[#This Row],[Supporter_ID]],tb1_supporters[Supporter_ID ],tb1_supporters[Acquisition_Source],"")</f>
        <v>Referral</v>
      </c>
      <c r="L476" t="str">
        <f>_xlfn.XLOOKUP(Table8[[#This Row],[Supporter_ID]],tb1_supporters[Supporter_ID ],tb1_supporters[County],"")</f>
        <v>Lothian</v>
      </c>
      <c r="M476" t="str">
        <f>_xlfn.XLOOKUP(Table8[[#This Row],[Supporter_ID]],tb1_supporters[Supporter_ID ],tb1_supporters[Gender],"")</f>
        <v>Female</v>
      </c>
      <c r="N476">
        <f ca="1">_xlfn.XLOOKUP(Table8[[#This Row],[Supporter_ID]],tb1_supporters[Supporter_ID ],tb1_supporters[Age],"")</f>
        <v>92</v>
      </c>
      <c r="O476" t="str">
        <f ca="1">_xlfn.XLOOKUP(Table8[[#This Row],[Supporter_ID]],tb1_supporters[Supporter_ID ],tb1_supporters[Age_Band],"")</f>
        <v>65+</v>
      </c>
      <c r="P476" t="str">
        <f ca="1">IF(Table8[[#This Row],[Age_Band]]="","Unknown",Table8[[#This Row],[Age_Band]])</f>
        <v>65+</v>
      </c>
      <c r="Q476" t="str">
        <f>_xlfn.XLOOKUP(Table8[[#This Row],[Supporter_ID]],tb1_supporters[Supporter_ID ],tb1_supporters[Communication_Preference],"")</f>
        <v>Email</v>
      </c>
      <c r="R476" t="str">
        <f>_xlfn.XLOOKUP(Table8[[#This Row],[Supporter_ID]],tb1_supporters[Supporter_ID ],tb1_supporters[Duplicate_Profile_Flag],"")</f>
        <v/>
      </c>
      <c r="S476" t="str">
        <f>_xlfn.XLOOKUP(Table8[[#This Row],[Supporter_ID]],tb1_supporters[Supporter_ID ],tb1_supporters[Preference_Compliance_Flag],"")</f>
        <v/>
      </c>
      <c r="T476" t="str">
        <f ca="1">IF(Table8[[#This Row],[Age]]="","Review - missing DOB",IF(Table8[[#This Row],[Age]]&gt;TODAY(),"Review - future DOB",IF(Table8[[#This Row],[Age]]=0,"Review -  potential entry error (age 0)","")))</f>
        <v/>
      </c>
      <c r="U476" t="str">
        <f>_xlfn.XLOOKUP(Table8[[#This Row],[Campaign_Code]],tb3_CampaignMaster[Campaign_Code],tb3_CampaignMaster[Campaign_Type],"")</f>
        <v>Acquisition</v>
      </c>
      <c r="V476" t="str">
        <f>_xlfn.XLOOKUP(Table8[[#This Row],[Campaign_Code]],tb3_CampaignMaster[Campaign_Code],tb3_CampaignMaster[Target_Audience],"")</f>
        <v>Prospects</v>
      </c>
      <c r="W476" s="17">
        <f>_xlfn.XLOOKUP(Table8[[#This Row],[Campaign_Code]],tb3_CampaignMaster[Campaign_Code],tb3_CampaignMaster[Start_Date],"")</f>
        <v>45689</v>
      </c>
      <c r="X476" s="17">
        <f>_xlfn.XLOOKUP(Table8[[#This Row],[Campaign_Code]],tb3_CampaignMaster[Campaign_Code],tb3_CampaignMaster[End_Date],"")</f>
        <v>45777</v>
      </c>
      <c r="Y476">
        <f>_xlfn.XLOOKUP(Table8[[#This Row],[Campaign_Code]],tb3_CampaignMaster[Campaign_Code],tb3_CampaignMaster[Budget_GBP],"")</f>
        <v>20000</v>
      </c>
      <c r="Z476" t="str">
        <f>_xlfn.XLOOKUP(Table8[[#This Row],[Campaign_Code]],tb3_CampaignMaster[Campaign_Code],tb3_CampaignMaster[Primary_Channel],"")</f>
        <v>Digital</v>
      </c>
      <c r="AA476" s="13">
        <f>IF(Table8[[#This Row],[Gift_Aid_Eligible]]="Yes",Table8[[#This Row],[Gift_Amount]]*1.25,Table8[[#This Row],[Gift_Amount]])</f>
        <v>26.962499999999999</v>
      </c>
      <c r="AB476" t="str">
        <f>IF(Table8[[#This Row],[Supporter_ID]]="","Review - missing supporter ID","")</f>
        <v/>
      </c>
      <c r="AC476" t="str">
        <f>IF(OR(Table8[[#This Row],[Response_Date]]&lt;Table8[[#This Row],[Start_Date]],Table8[[#This Row],[Response_Date]]&gt;Table8[[#This Row],[End_Date]]),"Review - response outside campaign dates","")</f>
        <v/>
      </c>
      <c r="AD476" t="str">
        <f>IF(Table8[[#This Row],[Campaign_Type]]="","Review - campaign code not found","")</f>
        <v/>
      </c>
    </row>
    <row r="477" spans="1:30" x14ac:dyDescent="0.25">
      <c r="A477" t="s">
        <v>4170</v>
      </c>
      <c r="B477" t="s">
        <v>447</v>
      </c>
      <c r="C477" t="s">
        <v>3325</v>
      </c>
      <c r="D477" t="s">
        <v>3326</v>
      </c>
      <c r="E477" t="s">
        <v>3338</v>
      </c>
      <c r="F477" s="17">
        <v>45639</v>
      </c>
      <c r="G477">
        <v>301.33</v>
      </c>
      <c r="H477" t="s">
        <v>36</v>
      </c>
      <c r="I477" t="s">
        <v>3323</v>
      </c>
      <c r="J477" t="str">
        <f>_xlfn.XLOOKUP(Table8[[#This Row],[Supporter_ID]],tb1_supporters[Supporter_ID ],tb1_supporters[Segment],"")</f>
        <v>Legacy Pledger</v>
      </c>
      <c r="K477" t="str">
        <f>_xlfn.XLOOKUP(Table8[[#This Row],[Supporter_ID]],tb1_supporters[Supporter_ID ],tb1_supporters[Acquisition_Source],"")</f>
        <v>Corporate Partner</v>
      </c>
      <c r="L477" t="str">
        <f>_xlfn.XLOOKUP(Table8[[#This Row],[Supporter_ID]],tb1_supporters[Supporter_ID ],tb1_supporters[County],"")</f>
        <v>Dorset</v>
      </c>
      <c r="M477" t="str">
        <f>_xlfn.XLOOKUP(Table8[[#This Row],[Supporter_ID]],tb1_supporters[Supporter_ID ],tb1_supporters[Gender],"")</f>
        <v>Male</v>
      </c>
      <c r="N477">
        <f ca="1">_xlfn.XLOOKUP(Table8[[#This Row],[Supporter_ID]],tb1_supporters[Supporter_ID ],tb1_supporters[Age],"")</f>
        <v>94</v>
      </c>
      <c r="O477" t="str">
        <f ca="1">_xlfn.XLOOKUP(Table8[[#This Row],[Supporter_ID]],tb1_supporters[Supporter_ID ],tb1_supporters[Age_Band],"")</f>
        <v>65+</v>
      </c>
      <c r="P477" t="str">
        <f ca="1">IF(Table8[[#This Row],[Age_Band]]="","Unknown",Table8[[#This Row],[Age_Band]])</f>
        <v>65+</v>
      </c>
      <c r="Q477" t="str">
        <f>_xlfn.XLOOKUP(Table8[[#This Row],[Supporter_ID]],tb1_supporters[Supporter_ID ],tb1_supporters[Communication_Preference],"")</f>
        <v>Phone</v>
      </c>
      <c r="R477" t="str">
        <f>_xlfn.XLOOKUP(Table8[[#This Row],[Supporter_ID]],tb1_supporters[Supporter_ID ],tb1_supporters[Duplicate_Profile_Flag],"")</f>
        <v/>
      </c>
      <c r="S477" t="str">
        <f>_xlfn.XLOOKUP(Table8[[#This Row],[Supporter_ID]],tb1_supporters[Supporter_ID ],tb1_supporters[Preference_Compliance_Flag],"")</f>
        <v>Review - prefers phone but not opted in</v>
      </c>
      <c r="T477" t="str">
        <f ca="1">IF(Table8[[#This Row],[Age]]="","Review - missing DOB",IF(Table8[[#This Row],[Age]]&gt;TODAY(),"Review - future DOB",IF(Table8[[#This Row],[Age]]=0,"Review -  potential entry error (age 0)","")))</f>
        <v/>
      </c>
      <c r="U477" t="str">
        <f>_xlfn.XLOOKUP(Table8[[#This Row],[Campaign_Code]],tb3_CampaignMaster[Campaign_Code],tb3_CampaignMaster[Campaign_Type],"")</f>
        <v>Appeal</v>
      </c>
      <c r="V477" t="str">
        <f>_xlfn.XLOOKUP(Table8[[#This Row],[Campaign_Code]],tb3_CampaignMaster[Campaign_Code],tb3_CampaignMaster[Target_Audience],"")</f>
        <v>All Active</v>
      </c>
      <c r="W477" s="17">
        <f>_xlfn.XLOOKUP(Table8[[#This Row],[Campaign_Code]],tb3_CampaignMaster[Campaign_Code],tb3_CampaignMaster[Start_Date],"")</f>
        <v>45597</v>
      </c>
      <c r="X477" s="17">
        <f>_xlfn.XLOOKUP(Table8[[#This Row],[Campaign_Code]],tb3_CampaignMaster[Campaign_Code],tb3_CampaignMaster[End_Date],"")</f>
        <v>45657</v>
      </c>
      <c r="Y477">
        <f>_xlfn.XLOOKUP(Table8[[#This Row],[Campaign_Code]],tb3_CampaignMaster[Campaign_Code],tb3_CampaignMaster[Budget_GBP],"")</f>
        <v>25000</v>
      </c>
      <c r="Z477" t="str">
        <f>_xlfn.XLOOKUP(Table8[[#This Row],[Campaign_Code]],tb3_CampaignMaster[Campaign_Code],tb3_CampaignMaster[Primary_Channel],"")</f>
        <v>Multi-channel</v>
      </c>
      <c r="AA477" s="13">
        <f>IF(Table8[[#This Row],[Gift_Aid_Eligible]]="Yes",Table8[[#This Row],[Gift_Amount]]*1.25,Table8[[#This Row],[Gift_Amount]])</f>
        <v>376.66249999999997</v>
      </c>
      <c r="AB477" t="str">
        <f>IF(Table8[[#This Row],[Supporter_ID]]="","Review - missing supporter ID","")</f>
        <v/>
      </c>
      <c r="AC477" t="str">
        <f>IF(OR(Table8[[#This Row],[Response_Date]]&lt;Table8[[#This Row],[Start_Date]],Table8[[#This Row],[Response_Date]]&gt;Table8[[#This Row],[End_Date]]),"Review - response outside campaign dates","")</f>
        <v/>
      </c>
      <c r="AD477" t="str">
        <f>IF(Table8[[#This Row],[Campaign_Type]]="","Review - campaign code not found","")</f>
        <v/>
      </c>
    </row>
    <row r="478" spans="1:30" x14ac:dyDescent="0.25">
      <c r="A478" t="s">
        <v>4171</v>
      </c>
      <c r="B478" t="s">
        <v>3266</v>
      </c>
      <c r="C478" t="s">
        <v>3341</v>
      </c>
      <c r="D478" t="s">
        <v>3342</v>
      </c>
      <c r="E478" t="s">
        <v>3316</v>
      </c>
      <c r="F478" s="17">
        <v>45697</v>
      </c>
      <c r="G478">
        <v>60.76</v>
      </c>
      <c r="H478" t="s">
        <v>37</v>
      </c>
      <c r="I478" t="s">
        <v>3385</v>
      </c>
      <c r="J478" t="str">
        <f>_xlfn.XLOOKUP(Table8[[#This Row],[Supporter_ID]],tb1_supporters[Supporter_ID ],tb1_supporters[Segment],"")</f>
        <v>Mid-Value</v>
      </c>
      <c r="K478" t="str">
        <f>_xlfn.XLOOKUP(Table8[[#This Row],[Supporter_ID]],tb1_supporters[Supporter_ID ],tb1_supporters[Acquisition_Source],"")</f>
        <v>Door-To-Door</v>
      </c>
      <c r="L478" t="str">
        <f>_xlfn.XLOOKUP(Table8[[#This Row],[Supporter_ID]],tb1_supporters[Supporter_ID ],tb1_supporters[County],"")</f>
        <v>Angus</v>
      </c>
      <c r="M478" t="str">
        <f>_xlfn.XLOOKUP(Table8[[#This Row],[Supporter_ID]],tb1_supporters[Supporter_ID ],tb1_supporters[Gender],"")</f>
        <v>Female</v>
      </c>
      <c r="N478">
        <f ca="1">_xlfn.XLOOKUP(Table8[[#This Row],[Supporter_ID]],tb1_supporters[Supporter_ID ],tb1_supporters[Age],"")</f>
        <v>59</v>
      </c>
      <c r="O478" t="str">
        <f ca="1">_xlfn.XLOOKUP(Table8[[#This Row],[Supporter_ID]],tb1_supporters[Supporter_ID ],tb1_supporters[Age_Band],"")</f>
        <v>50-64</v>
      </c>
      <c r="P478" t="str">
        <f ca="1">IF(Table8[[#This Row],[Age_Band]]="","Unknown",Table8[[#This Row],[Age_Band]])</f>
        <v>50-64</v>
      </c>
      <c r="Q478" t="str">
        <f>_xlfn.XLOOKUP(Table8[[#This Row],[Supporter_ID]],tb1_supporters[Supporter_ID ],tb1_supporters[Communication_Preference],"")</f>
        <v>Post</v>
      </c>
      <c r="R478" t="str">
        <f>_xlfn.XLOOKUP(Table8[[#This Row],[Supporter_ID]],tb1_supporters[Supporter_ID ],tb1_supporters[Duplicate_Profile_Flag],"")</f>
        <v/>
      </c>
      <c r="S478" t="str">
        <f>_xlfn.XLOOKUP(Table8[[#This Row],[Supporter_ID]],tb1_supporters[Supporter_ID ],tb1_supporters[Preference_Compliance_Flag],"")</f>
        <v>Review - prefers post but not opted in</v>
      </c>
      <c r="T478" t="str">
        <f ca="1">IF(Table8[[#This Row],[Age]]="","Review - missing DOB",IF(Table8[[#This Row],[Age]]&gt;TODAY(),"Review - future DOB",IF(Table8[[#This Row],[Age]]=0,"Review -  potential entry error (age 0)","")))</f>
        <v/>
      </c>
      <c r="U478" t="str">
        <f>_xlfn.XLOOKUP(Table8[[#This Row],[Campaign_Code]],tb3_CampaignMaster[Campaign_Code],tb3_CampaignMaster[Campaign_Type],"")</f>
        <v>Acquisition</v>
      </c>
      <c r="V478" t="str">
        <f>_xlfn.XLOOKUP(Table8[[#This Row],[Campaign_Code]],tb3_CampaignMaster[Campaign_Code],tb3_CampaignMaster[Target_Audience],"")</f>
        <v>Prospects</v>
      </c>
      <c r="W478" s="17">
        <f>_xlfn.XLOOKUP(Table8[[#This Row],[Campaign_Code]],tb3_CampaignMaster[Campaign_Code],tb3_CampaignMaster[Start_Date],"")</f>
        <v>45689</v>
      </c>
      <c r="X478" s="17">
        <f>_xlfn.XLOOKUP(Table8[[#This Row],[Campaign_Code]],tb3_CampaignMaster[Campaign_Code],tb3_CampaignMaster[End_Date],"")</f>
        <v>45777</v>
      </c>
      <c r="Y478">
        <f>_xlfn.XLOOKUP(Table8[[#This Row],[Campaign_Code]],tb3_CampaignMaster[Campaign_Code],tb3_CampaignMaster[Budget_GBP],"")</f>
        <v>20000</v>
      </c>
      <c r="Z478" t="str">
        <f>_xlfn.XLOOKUP(Table8[[#This Row],[Campaign_Code]],tb3_CampaignMaster[Campaign_Code],tb3_CampaignMaster[Primary_Channel],"")</f>
        <v>Digital</v>
      </c>
      <c r="AA478" s="13">
        <f>IF(Table8[[#This Row],[Gift_Aid_Eligible]]="Yes",Table8[[#This Row],[Gift_Amount]]*1.25,Table8[[#This Row],[Gift_Amount]])</f>
        <v>60.76</v>
      </c>
      <c r="AB478" t="str">
        <f>IF(Table8[[#This Row],[Supporter_ID]]="","Review - missing supporter ID","")</f>
        <v/>
      </c>
      <c r="AC478" t="str">
        <f>IF(OR(Table8[[#This Row],[Response_Date]]&lt;Table8[[#This Row],[Start_Date]],Table8[[#This Row],[Response_Date]]&gt;Table8[[#This Row],[End_Date]]),"Review - response outside campaign dates","")</f>
        <v/>
      </c>
      <c r="AD478" t="str">
        <f>IF(Table8[[#This Row],[Campaign_Type]]="","Review - campaign code not found","")</f>
        <v/>
      </c>
    </row>
    <row r="479" spans="1:30" x14ac:dyDescent="0.25">
      <c r="A479" t="s">
        <v>4173</v>
      </c>
      <c r="B479" t="s">
        <v>471</v>
      </c>
      <c r="C479" t="s">
        <v>3367</v>
      </c>
      <c r="D479" t="s">
        <v>3368</v>
      </c>
      <c r="E479" t="s">
        <v>65</v>
      </c>
      <c r="F479" s="17">
        <v>45766</v>
      </c>
      <c r="G479">
        <v>309.22000000000003</v>
      </c>
      <c r="H479" t="s">
        <v>37</v>
      </c>
      <c r="I479" t="s">
        <v>3331</v>
      </c>
      <c r="J479" t="str">
        <f>_xlfn.XLOOKUP(Table8[[#This Row],[Supporter_ID]],tb1_supporters[Supporter_ID ],tb1_supporters[Segment],"")</f>
        <v>Legacy Pledger</v>
      </c>
      <c r="K479" t="str">
        <f>_xlfn.XLOOKUP(Table8[[#This Row],[Supporter_ID]],tb1_supporters[Supporter_ID ],tb1_supporters[Acquisition_Source],"")</f>
        <v>Referral</v>
      </c>
      <c r="L479" t="str">
        <f>_xlfn.XLOOKUP(Table8[[#This Row],[Supporter_ID]],tb1_supporters[Supporter_ID ],tb1_supporters[County],"")</f>
        <v>Leicestershire</v>
      </c>
      <c r="M479" t="str">
        <f>_xlfn.XLOOKUP(Table8[[#This Row],[Supporter_ID]],tb1_supporters[Supporter_ID ],tb1_supporters[Gender],"")</f>
        <v>Female</v>
      </c>
      <c r="N479">
        <f ca="1">_xlfn.XLOOKUP(Table8[[#This Row],[Supporter_ID]],tb1_supporters[Supporter_ID ],tb1_supporters[Age],"")</f>
        <v>96</v>
      </c>
      <c r="O479" t="str">
        <f ca="1">_xlfn.XLOOKUP(Table8[[#This Row],[Supporter_ID]],tb1_supporters[Supporter_ID ],tb1_supporters[Age_Band],"")</f>
        <v>65+</v>
      </c>
      <c r="P479" t="str">
        <f ca="1">IF(Table8[[#This Row],[Age_Band]]="","Unknown",Table8[[#This Row],[Age_Band]])</f>
        <v>65+</v>
      </c>
      <c r="Q479" t="str">
        <f>_xlfn.XLOOKUP(Table8[[#This Row],[Supporter_ID]],tb1_supporters[Supporter_ID ],tb1_supporters[Communication_Preference],"")</f>
        <v>Post</v>
      </c>
      <c r="R479" t="str">
        <f>_xlfn.XLOOKUP(Table8[[#This Row],[Supporter_ID]],tb1_supporters[Supporter_ID ],tb1_supporters[Duplicate_Profile_Flag],"")</f>
        <v>Review - duplicate record, see Supporter_Duplicates tab</v>
      </c>
      <c r="S479" t="str">
        <f>_xlfn.XLOOKUP(Table8[[#This Row],[Supporter_ID]],tb1_supporters[Supporter_ID ],tb1_supporters[Preference_Compliance_Flag],"")</f>
        <v>Review - prefers post but not opted in</v>
      </c>
      <c r="T479" t="str">
        <f ca="1">IF(Table8[[#This Row],[Age]]="","Review - missing DOB",IF(Table8[[#This Row],[Age]]&gt;TODAY(),"Review - future DOB",IF(Table8[[#This Row],[Age]]=0,"Review -  potential entry error (age 0)","")))</f>
        <v/>
      </c>
      <c r="U479" t="str">
        <f>_xlfn.XLOOKUP(Table8[[#This Row],[Campaign_Code]],tb3_CampaignMaster[Campaign_Code],tb3_CampaignMaster[Campaign_Type],"")</f>
        <v>Raffle</v>
      </c>
      <c r="V479" t="str">
        <f>_xlfn.XLOOKUP(Table8[[#This Row],[Campaign_Code]],tb3_CampaignMaster[Campaign_Code],tb3_CampaignMaster[Target_Audience],"")</f>
        <v>Regular Givers</v>
      </c>
      <c r="W479" s="17">
        <f>_xlfn.XLOOKUP(Table8[[#This Row],[Campaign_Code]],tb3_CampaignMaster[Campaign_Code],tb3_CampaignMaster[Start_Date],"")</f>
        <v>45717</v>
      </c>
      <c r="X479" s="17">
        <f>_xlfn.XLOOKUP(Table8[[#This Row],[Campaign_Code]],tb3_CampaignMaster[Campaign_Code],tb3_CampaignMaster[End_Date],"")</f>
        <v>45777</v>
      </c>
      <c r="Y479">
        <f>_xlfn.XLOOKUP(Table8[[#This Row],[Campaign_Code]],tb3_CampaignMaster[Campaign_Code],tb3_CampaignMaster[Budget_GBP],"")</f>
        <v>8000</v>
      </c>
      <c r="Z479" t="str">
        <f>_xlfn.XLOOKUP(Table8[[#This Row],[Campaign_Code]],tb3_CampaignMaster[Campaign_Code],tb3_CampaignMaster[Primary_Channel],"")</f>
        <v>Direct Mail</v>
      </c>
      <c r="AA479" s="13">
        <f>IF(Table8[[#This Row],[Gift_Aid_Eligible]]="Yes",Table8[[#This Row],[Gift_Amount]]*1.25,Table8[[#This Row],[Gift_Amount]])</f>
        <v>309.22000000000003</v>
      </c>
      <c r="AB479" t="str">
        <f>IF(Table8[[#This Row],[Supporter_ID]]="","Review - missing supporter ID","")</f>
        <v/>
      </c>
      <c r="AC479" t="str">
        <f>IF(OR(Table8[[#This Row],[Response_Date]]&lt;Table8[[#This Row],[Start_Date]],Table8[[#This Row],[Response_Date]]&gt;Table8[[#This Row],[End_Date]]),"Review - response outside campaign dates","")</f>
        <v/>
      </c>
      <c r="AD479" t="str">
        <f>IF(Table8[[#This Row],[Campaign_Type]]="","Review - campaign code not found","")</f>
        <v/>
      </c>
    </row>
    <row r="480" spans="1:30" x14ac:dyDescent="0.25">
      <c r="A480" t="s">
        <v>4175</v>
      </c>
      <c r="B480" t="s">
        <v>2717</v>
      </c>
      <c r="C480" t="s">
        <v>3325</v>
      </c>
      <c r="D480" t="s">
        <v>3326</v>
      </c>
      <c r="E480" t="s">
        <v>65</v>
      </c>
      <c r="F480" s="17">
        <v>45613</v>
      </c>
      <c r="G480">
        <v>120.88</v>
      </c>
      <c r="H480" t="s">
        <v>37</v>
      </c>
      <c r="I480" t="s">
        <v>3365</v>
      </c>
      <c r="J480" t="str">
        <f>_xlfn.XLOOKUP(Table8[[#This Row],[Supporter_ID]],tb1_supporters[Supporter_ID ],tb1_supporters[Segment],"")</f>
        <v>One-Time Donor</v>
      </c>
      <c r="K480" t="str">
        <f>_xlfn.XLOOKUP(Table8[[#This Row],[Supporter_ID]],tb1_supporters[Supporter_ID ],tb1_supporters[Acquisition_Source],"")</f>
        <v>Referral</v>
      </c>
      <c r="L480" t="str">
        <f>_xlfn.XLOOKUP(Table8[[#This Row],[Supporter_ID]],tb1_supporters[Supporter_ID ],tb1_supporters[County],"")</f>
        <v>West Glamorgan</v>
      </c>
      <c r="M480" t="str">
        <f>_xlfn.XLOOKUP(Table8[[#This Row],[Supporter_ID]],tb1_supporters[Supporter_ID ],tb1_supporters[Gender],"")</f>
        <v>Male</v>
      </c>
      <c r="N480">
        <f ca="1">_xlfn.XLOOKUP(Table8[[#This Row],[Supporter_ID]],tb1_supporters[Supporter_ID ],tb1_supporters[Age],"")</f>
        <v>31</v>
      </c>
      <c r="O480" t="str">
        <f ca="1">_xlfn.XLOOKUP(Table8[[#This Row],[Supporter_ID]],tb1_supporters[Supporter_ID ],tb1_supporters[Age_Band],"")</f>
        <v>18-34</v>
      </c>
      <c r="P480" t="str">
        <f ca="1">IF(Table8[[#This Row],[Age_Band]]="","Unknown",Table8[[#This Row],[Age_Band]])</f>
        <v>18-34</v>
      </c>
      <c r="Q480" t="str">
        <f>_xlfn.XLOOKUP(Table8[[#This Row],[Supporter_ID]],tb1_supporters[Supporter_ID ],tb1_supporters[Communication_Preference],"")</f>
        <v>Phone</v>
      </c>
      <c r="R480" t="str">
        <f>_xlfn.XLOOKUP(Table8[[#This Row],[Supporter_ID]],tb1_supporters[Supporter_ID ],tb1_supporters[Duplicate_Profile_Flag],"")</f>
        <v/>
      </c>
      <c r="S480" t="str">
        <f>_xlfn.XLOOKUP(Table8[[#This Row],[Supporter_ID]],tb1_supporters[Supporter_ID ],tb1_supporters[Preference_Compliance_Flag],"")</f>
        <v/>
      </c>
      <c r="T480" t="str">
        <f ca="1">IF(Table8[[#This Row],[Age]]="","Review - missing DOB",IF(Table8[[#This Row],[Age]]&gt;TODAY(),"Review - future DOB",IF(Table8[[#This Row],[Age]]=0,"Review -  potential entry error (age 0)","")))</f>
        <v/>
      </c>
      <c r="U480" t="str">
        <f>_xlfn.XLOOKUP(Table8[[#This Row],[Campaign_Code]],tb3_CampaignMaster[Campaign_Code],tb3_CampaignMaster[Campaign_Type],"")</f>
        <v>Appeal</v>
      </c>
      <c r="V480" t="str">
        <f>_xlfn.XLOOKUP(Table8[[#This Row],[Campaign_Code]],tb3_CampaignMaster[Campaign_Code],tb3_CampaignMaster[Target_Audience],"")</f>
        <v>All Active</v>
      </c>
      <c r="W480" s="17">
        <f>_xlfn.XLOOKUP(Table8[[#This Row],[Campaign_Code]],tb3_CampaignMaster[Campaign_Code],tb3_CampaignMaster[Start_Date],"")</f>
        <v>45597</v>
      </c>
      <c r="X480" s="17">
        <f>_xlfn.XLOOKUP(Table8[[#This Row],[Campaign_Code]],tb3_CampaignMaster[Campaign_Code],tb3_CampaignMaster[End_Date],"")</f>
        <v>45657</v>
      </c>
      <c r="Y480">
        <f>_xlfn.XLOOKUP(Table8[[#This Row],[Campaign_Code]],tb3_CampaignMaster[Campaign_Code],tb3_CampaignMaster[Budget_GBP],"")</f>
        <v>25000</v>
      </c>
      <c r="Z480" t="str">
        <f>_xlfn.XLOOKUP(Table8[[#This Row],[Campaign_Code]],tb3_CampaignMaster[Campaign_Code],tb3_CampaignMaster[Primary_Channel],"")</f>
        <v>Multi-channel</v>
      </c>
      <c r="AA480" s="13">
        <f>IF(Table8[[#This Row],[Gift_Aid_Eligible]]="Yes",Table8[[#This Row],[Gift_Amount]]*1.25,Table8[[#This Row],[Gift_Amount]])</f>
        <v>120.88</v>
      </c>
      <c r="AB480" t="str">
        <f>IF(Table8[[#This Row],[Supporter_ID]]="","Review - missing supporter ID","")</f>
        <v/>
      </c>
      <c r="AC480" t="str">
        <f>IF(OR(Table8[[#This Row],[Response_Date]]&lt;Table8[[#This Row],[Start_Date]],Table8[[#This Row],[Response_Date]]&gt;Table8[[#This Row],[End_Date]]),"Review - response outside campaign dates","")</f>
        <v/>
      </c>
      <c r="AD480" t="str">
        <f>IF(Table8[[#This Row],[Campaign_Type]]="","Review - campaign code not found","")</f>
        <v/>
      </c>
    </row>
    <row r="481" spans="1:30" x14ac:dyDescent="0.25">
      <c r="A481" t="s">
        <v>4177</v>
      </c>
      <c r="B481" t="s">
        <v>3193</v>
      </c>
      <c r="C481" t="s">
        <v>3354</v>
      </c>
      <c r="D481" t="s">
        <v>3355</v>
      </c>
      <c r="E481" t="s">
        <v>65</v>
      </c>
      <c r="F481" s="17">
        <v>45618</v>
      </c>
      <c r="G481">
        <v>12.17</v>
      </c>
      <c r="H481" t="s">
        <v>36</v>
      </c>
      <c r="I481" t="s">
        <v>3328</v>
      </c>
      <c r="J481" t="str">
        <f>_xlfn.XLOOKUP(Table8[[#This Row],[Supporter_ID]],tb1_supporters[Supporter_ID ],tb1_supporters[Segment],"")</f>
        <v>Prospect</v>
      </c>
      <c r="K481" t="str">
        <f>_xlfn.XLOOKUP(Table8[[#This Row],[Supporter_ID]],tb1_supporters[Supporter_ID ],tb1_supporters[Acquisition_Source],"")</f>
        <v>Event</v>
      </c>
      <c r="L481" t="str">
        <f>_xlfn.XLOOKUP(Table8[[#This Row],[Supporter_ID]],tb1_supporters[Supporter_ID ],tb1_supporters[County],"")</f>
        <v>Merseyside</v>
      </c>
      <c r="M481" t="str">
        <f>_xlfn.XLOOKUP(Table8[[#This Row],[Supporter_ID]],tb1_supporters[Supporter_ID ],tb1_supporters[Gender],"")</f>
        <v>Female</v>
      </c>
      <c r="N481">
        <f ca="1">_xlfn.XLOOKUP(Table8[[#This Row],[Supporter_ID]],tb1_supporters[Supporter_ID ],tb1_supporters[Age],"")</f>
        <v>63</v>
      </c>
      <c r="O481" t="str">
        <f ca="1">_xlfn.XLOOKUP(Table8[[#This Row],[Supporter_ID]],tb1_supporters[Supporter_ID ],tb1_supporters[Age_Band],"")</f>
        <v>50-64</v>
      </c>
      <c r="P481" t="str">
        <f ca="1">IF(Table8[[#This Row],[Age_Band]]="","Unknown",Table8[[#This Row],[Age_Band]])</f>
        <v>50-64</v>
      </c>
      <c r="Q481" t="str">
        <f>_xlfn.XLOOKUP(Table8[[#This Row],[Supporter_ID]],tb1_supporters[Supporter_ID ],tb1_supporters[Communication_Preference],"")</f>
        <v>Email</v>
      </c>
      <c r="R481" t="str">
        <f>_xlfn.XLOOKUP(Table8[[#This Row],[Supporter_ID]],tb1_supporters[Supporter_ID ],tb1_supporters[Duplicate_Profile_Flag],"")</f>
        <v/>
      </c>
      <c r="S481" t="str">
        <f>_xlfn.XLOOKUP(Table8[[#This Row],[Supporter_ID]],tb1_supporters[Supporter_ID ],tb1_supporters[Preference_Compliance_Flag],"")</f>
        <v>Review - prefers email but not opted in</v>
      </c>
      <c r="T481" t="str">
        <f ca="1">IF(Table8[[#This Row],[Age]]="","Review - missing DOB",IF(Table8[[#This Row],[Age]]&gt;TODAY(),"Review - future DOB",IF(Table8[[#This Row],[Age]]=0,"Review -  potential entry error (age 0)","")))</f>
        <v/>
      </c>
      <c r="U481" t="str">
        <f>_xlfn.XLOOKUP(Table8[[#This Row],[Campaign_Code]],tb3_CampaignMaster[Campaign_Code],tb3_CampaignMaster[Campaign_Type],"")</f>
        <v>Event</v>
      </c>
      <c r="V481" t="str">
        <f>_xlfn.XLOOKUP(Table8[[#This Row],[Campaign_Code]],tb3_CampaignMaster[Campaign_Code],tb3_CampaignMaster[Target_Audience],"")</f>
        <v>Volunteers</v>
      </c>
      <c r="W481" s="17">
        <f>_xlfn.XLOOKUP(Table8[[#This Row],[Campaign_Code]],tb3_CampaignMaster[Campaign_Code],tb3_CampaignMaster[Start_Date],"")</f>
        <v>45618</v>
      </c>
      <c r="X481" s="17">
        <f>_xlfn.XLOOKUP(Table8[[#This Row],[Campaign_Code]],tb3_CampaignMaster[Campaign_Code],tb3_CampaignMaster[End_Date],"")</f>
        <v>45618</v>
      </c>
      <c r="Y481">
        <f>_xlfn.XLOOKUP(Table8[[#This Row],[Campaign_Code]],tb3_CampaignMaster[Campaign_Code],tb3_CampaignMaster[Budget_GBP],"")</f>
        <v>3500</v>
      </c>
      <c r="Z481" t="str">
        <f>_xlfn.XLOOKUP(Table8[[#This Row],[Campaign_Code]],tb3_CampaignMaster[Campaign_Code],tb3_CampaignMaster[Primary_Channel],"")</f>
        <v>Email</v>
      </c>
      <c r="AA481" s="13">
        <f>IF(Table8[[#This Row],[Gift_Aid_Eligible]]="Yes",Table8[[#This Row],[Gift_Amount]]*1.25,Table8[[#This Row],[Gift_Amount]])</f>
        <v>15.2125</v>
      </c>
      <c r="AB481" t="str">
        <f>IF(Table8[[#This Row],[Supporter_ID]]="","Review - missing supporter ID","")</f>
        <v/>
      </c>
      <c r="AC481" t="str">
        <f>IF(OR(Table8[[#This Row],[Response_Date]]&lt;Table8[[#This Row],[Start_Date]],Table8[[#This Row],[Response_Date]]&gt;Table8[[#This Row],[End_Date]]),"Review - response outside campaign dates","")</f>
        <v/>
      </c>
      <c r="AD481" t="str">
        <f>IF(Table8[[#This Row],[Campaign_Type]]="","Review - campaign code not found","")</f>
        <v/>
      </c>
    </row>
    <row r="482" spans="1:30" x14ac:dyDescent="0.25">
      <c r="A482" t="s">
        <v>4178</v>
      </c>
      <c r="B482" t="s">
        <v>2704</v>
      </c>
      <c r="C482" t="s">
        <v>3341</v>
      </c>
      <c r="D482" t="s">
        <v>3342</v>
      </c>
      <c r="E482" t="s">
        <v>4</v>
      </c>
      <c r="F482" s="17">
        <v>45716</v>
      </c>
      <c r="G482">
        <v>43.37</v>
      </c>
      <c r="H482" t="s">
        <v>36</v>
      </c>
      <c r="I482" t="s">
        <v>3334</v>
      </c>
      <c r="J482" t="str">
        <f>_xlfn.XLOOKUP(Table8[[#This Row],[Supporter_ID]],tb1_supporters[Supporter_ID ],tb1_supporters[Segment],"")</f>
        <v>Lapsed</v>
      </c>
      <c r="K482" t="str">
        <f>_xlfn.XLOOKUP(Table8[[#This Row],[Supporter_ID]],tb1_supporters[Supporter_ID ],tb1_supporters[Acquisition_Source],"")</f>
        <v>Door-To-Door</v>
      </c>
      <c r="L482" t="str">
        <f>_xlfn.XLOOKUP(Table8[[#This Row],[Supporter_ID]],tb1_supporters[Supporter_ID ],tb1_supporters[County],"")</f>
        <v>Buckinghamshire</v>
      </c>
      <c r="M482" t="str">
        <f>_xlfn.XLOOKUP(Table8[[#This Row],[Supporter_ID]],tb1_supporters[Supporter_ID ],tb1_supporters[Gender],"")</f>
        <v>Male</v>
      </c>
      <c r="N482">
        <f ca="1">_xlfn.XLOOKUP(Table8[[#This Row],[Supporter_ID]],tb1_supporters[Supporter_ID ],tb1_supporters[Age],"")</f>
        <v>80</v>
      </c>
      <c r="O482" t="str">
        <f ca="1">_xlfn.XLOOKUP(Table8[[#This Row],[Supporter_ID]],tb1_supporters[Supporter_ID ],tb1_supporters[Age_Band],"")</f>
        <v>65+</v>
      </c>
      <c r="P482" t="str">
        <f ca="1">IF(Table8[[#This Row],[Age_Band]]="","Unknown",Table8[[#This Row],[Age_Band]])</f>
        <v>65+</v>
      </c>
      <c r="Q482" t="str">
        <f>_xlfn.XLOOKUP(Table8[[#This Row],[Supporter_ID]],tb1_supporters[Supporter_ID ],tb1_supporters[Communication_Preference],"")</f>
        <v>Email</v>
      </c>
      <c r="R482" t="str">
        <f>_xlfn.XLOOKUP(Table8[[#This Row],[Supporter_ID]],tb1_supporters[Supporter_ID ],tb1_supporters[Duplicate_Profile_Flag],"")</f>
        <v/>
      </c>
      <c r="S482" t="str">
        <f>_xlfn.XLOOKUP(Table8[[#This Row],[Supporter_ID]],tb1_supporters[Supporter_ID ],tb1_supporters[Preference_Compliance_Flag],"")</f>
        <v>Review - prefers email but not opted in</v>
      </c>
      <c r="T482" t="str">
        <f ca="1">IF(Table8[[#This Row],[Age]]="","Review - missing DOB",IF(Table8[[#This Row],[Age]]&gt;TODAY(),"Review - future DOB",IF(Table8[[#This Row],[Age]]=0,"Review -  potential entry error (age 0)","")))</f>
        <v/>
      </c>
      <c r="U482" t="str">
        <f>_xlfn.XLOOKUP(Table8[[#This Row],[Campaign_Code]],tb3_CampaignMaster[Campaign_Code],tb3_CampaignMaster[Campaign_Type],"")</f>
        <v>Acquisition</v>
      </c>
      <c r="V482" t="str">
        <f>_xlfn.XLOOKUP(Table8[[#This Row],[Campaign_Code]],tb3_CampaignMaster[Campaign_Code],tb3_CampaignMaster[Target_Audience],"")</f>
        <v>Prospects</v>
      </c>
      <c r="W482" s="17">
        <f>_xlfn.XLOOKUP(Table8[[#This Row],[Campaign_Code]],tb3_CampaignMaster[Campaign_Code],tb3_CampaignMaster[Start_Date],"")</f>
        <v>45689</v>
      </c>
      <c r="X482" s="17">
        <f>_xlfn.XLOOKUP(Table8[[#This Row],[Campaign_Code]],tb3_CampaignMaster[Campaign_Code],tb3_CampaignMaster[End_Date],"")</f>
        <v>45777</v>
      </c>
      <c r="Y482">
        <f>_xlfn.XLOOKUP(Table8[[#This Row],[Campaign_Code]],tb3_CampaignMaster[Campaign_Code],tb3_CampaignMaster[Budget_GBP],"")</f>
        <v>20000</v>
      </c>
      <c r="Z482" t="str">
        <f>_xlfn.XLOOKUP(Table8[[#This Row],[Campaign_Code]],tb3_CampaignMaster[Campaign_Code],tb3_CampaignMaster[Primary_Channel],"")</f>
        <v>Digital</v>
      </c>
      <c r="AA482" s="13">
        <f>IF(Table8[[#This Row],[Gift_Aid_Eligible]]="Yes",Table8[[#This Row],[Gift_Amount]]*1.25,Table8[[#This Row],[Gift_Amount]])</f>
        <v>54.212499999999999</v>
      </c>
      <c r="AB482" t="str">
        <f>IF(Table8[[#This Row],[Supporter_ID]]="","Review - missing supporter ID","")</f>
        <v/>
      </c>
      <c r="AC482" t="str">
        <f>IF(OR(Table8[[#This Row],[Response_Date]]&lt;Table8[[#This Row],[Start_Date]],Table8[[#This Row],[Response_Date]]&gt;Table8[[#This Row],[End_Date]]),"Review - response outside campaign dates","")</f>
        <v/>
      </c>
      <c r="AD482" t="str">
        <f>IF(Table8[[#This Row],[Campaign_Type]]="","Review - campaign code not found","")</f>
        <v/>
      </c>
    </row>
    <row r="483" spans="1:30" x14ac:dyDescent="0.25">
      <c r="A483" t="s">
        <v>4180</v>
      </c>
      <c r="B483" t="s">
        <v>1695</v>
      </c>
      <c r="C483" t="s">
        <v>3325</v>
      </c>
      <c r="D483" t="s">
        <v>3326</v>
      </c>
      <c r="E483" t="s">
        <v>4</v>
      </c>
      <c r="F483" s="17">
        <v>45644</v>
      </c>
      <c r="G483">
        <v>257.43</v>
      </c>
      <c r="H483" t="s">
        <v>36</v>
      </c>
      <c r="I483" t="s">
        <v>3334</v>
      </c>
      <c r="J483" t="str">
        <f>_xlfn.XLOOKUP(Table8[[#This Row],[Supporter_ID]],tb1_supporters[Supporter_ID ],tb1_supporters[Segment],"")</f>
        <v>Legacy Pledger</v>
      </c>
      <c r="K483" t="str">
        <f>_xlfn.XLOOKUP(Table8[[#This Row],[Supporter_ID]],tb1_supporters[Supporter_ID ],tb1_supporters[Acquisition_Source],"")</f>
        <v>Telephone</v>
      </c>
      <c r="L483" t="str">
        <f>_xlfn.XLOOKUP(Table8[[#This Row],[Supporter_ID]],tb1_supporters[Supporter_ID ],tb1_supporters[County],"")</f>
        <v>South Glamorgan</v>
      </c>
      <c r="M483" t="str">
        <f>_xlfn.XLOOKUP(Table8[[#This Row],[Supporter_ID]],tb1_supporters[Supporter_ID ],tb1_supporters[Gender],"")</f>
        <v>Female</v>
      </c>
      <c r="N483">
        <f ca="1">_xlfn.XLOOKUP(Table8[[#This Row],[Supporter_ID]],tb1_supporters[Supporter_ID ],tb1_supporters[Age],"")</f>
        <v>60</v>
      </c>
      <c r="O483" t="str">
        <f ca="1">_xlfn.XLOOKUP(Table8[[#This Row],[Supporter_ID]],tb1_supporters[Supporter_ID ],tb1_supporters[Age_Band],"")</f>
        <v>50-64</v>
      </c>
      <c r="P483" t="str">
        <f ca="1">IF(Table8[[#This Row],[Age_Band]]="","Unknown",Table8[[#This Row],[Age_Band]])</f>
        <v>50-64</v>
      </c>
      <c r="Q483" t="str">
        <f>_xlfn.XLOOKUP(Table8[[#This Row],[Supporter_ID]],tb1_supporters[Supporter_ID ],tb1_supporters[Communication_Preference],"")</f>
        <v>Email</v>
      </c>
      <c r="R483" t="str">
        <f>_xlfn.XLOOKUP(Table8[[#This Row],[Supporter_ID]],tb1_supporters[Supporter_ID ],tb1_supporters[Duplicate_Profile_Flag],"")</f>
        <v/>
      </c>
      <c r="S483" t="str">
        <f>_xlfn.XLOOKUP(Table8[[#This Row],[Supporter_ID]],tb1_supporters[Supporter_ID ],tb1_supporters[Preference_Compliance_Flag],"")</f>
        <v/>
      </c>
      <c r="T483" t="str">
        <f ca="1">IF(Table8[[#This Row],[Age]]="","Review - missing DOB",IF(Table8[[#This Row],[Age]]&gt;TODAY(),"Review - future DOB",IF(Table8[[#This Row],[Age]]=0,"Review -  potential entry error (age 0)","")))</f>
        <v/>
      </c>
      <c r="U483" t="str">
        <f>_xlfn.XLOOKUP(Table8[[#This Row],[Campaign_Code]],tb3_CampaignMaster[Campaign_Code],tb3_CampaignMaster[Campaign_Type],"")</f>
        <v>Appeal</v>
      </c>
      <c r="V483" t="str">
        <f>_xlfn.XLOOKUP(Table8[[#This Row],[Campaign_Code]],tb3_CampaignMaster[Campaign_Code],tb3_CampaignMaster[Target_Audience],"")</f>
        <v>All Active</v>
      </c>
      <c r="W483" s="17">
        <f>_xlfn.XLOOKUP(Table8[[#This Row],[Campaign_Code]],tb3_CampaignMaster[Campaign_Code],tb3_CampaignMaster[Start_Date],"")</f>
        <v>45597</v>
      </c>
      <c r="X483" s="17">
        <f>_xlfn.XLOOKUP(Table8[[#This Row],[Campaign_Code]],tb3_CampaignMaster[Campaign_Code],tb3_CampaignMaster[End_Date],"")</f>
        <v>45657</v>
      </c>
      <c r="Y483">
        <f>_xlfn.XLOOKUP(Table8[[#This Row],[Campaign_Code]],tb3_CampaignMaster[Campaign_Code],tb3_CampaignMaster[Budget_GBP],"")</f>
        <v>25000</v>
      </c>
      <c r="Z483" t="str">
        <f>_xlfn.XLOOKUP(Table8[[#This Row],[Campaign_Code]],tb3_CampaignMaster[Campaign_Code],tb3_CampaignMaster[Primary_Channel],"")</f>
        <v>Multi-channel</v>
      </c>
      <c r="AA483" s="13">
        <f>IF(Table8[[#This Row],[Gift_Aid_Eligible]]="Yes",Table8[[#This Row],[Gift_Amount]]*1.25,Table8[[#This Row],[Gift_Amount]])</f>
        <v>321.78750000000002</v>
      </c>
      <c r="AB483" t="str">
        <f>IF(Table8[[#This Row],[Supporter_ID]]="","Review - missing supporter ID","")</f>
        <v/>
      </c>
      <c r="AC483" t="str">
        <f>IF(OR(Table8[[#This Row],[Response_Date]]&lt;Table8[[#This Row],[Start_Date]],Table8[[#This Row],[Response_Date]]&gt;Table8[[#This Row],[End_Date]]),"Review - response outside campaign dates","")</f>
        <v/>
      </c>
      <c r="AD483" t="str">
        <f>IF(Table8[[#This Row],[Campaign_Type]]="","Review - campaign code not found","")</f>
        <v/>
      </c>
    </row>
    <row r="484" spans="1:30" x14ac:dyDescent="0.25">
      <c r="A484" t="s">
        <v>4182</v>
      </c>
      <c r="B484" t="s">
        <v>1538</v>
      </c>
      <c r="C484" t="s">
        <v>3314</v>
      </c>
      <c r="D484" t="s">
        <v>3315</v>
      </c>
      <c r="E484" t="s">
        <v>65</v>
      </c>
      <c r="F484" s="17">
        <v>45745</v>
      </c>
      <c r="G484">
        <v>26.64</v>
      </c>
      <c r="H484" t="s">
        <v>37</v>
      </c>
      <c r="I484" t="s">
        <v>3385</v>
      </c>
      <c r="J484" t="str">
        <f>_xlfn.XLOOKUP(Table8[[#This Row],[Supporter_ID]],tb1_supporters[Supporter_ID ],tb1_supporters[Segment],"")</f>
        <v>Prospect</v>
      </c>
      <c r="K484" t="str">
        <f>_xlfn.XLOOKUP(Table8[[#This Row],[Supporter_ID]],tb1_supporters[Supporter_ID ],tb1_supporters[Acquisition_Source],"")</f>
        <v>Event</v>
      </c>
      <c r="L484" t="str">
        <f>_xlfn.XLOOKUP(Table8[[#This Row],[Supporter_ID]],tb1_supporters[Supporter_ID ],tb1_supporters[County],"")</f>
        <v>Merseyside</v>
      </c>
      <c r="M484" t="str">
        <f>_xlfn.XLOOKUP(Table8[[#This Row],[Supporter_ID]],tb1_supporters[Supporter_ID ],tb1_supporters[Gender],"")</f>
        <v>Female</v>
      </c>
      <c r="N484">
        <f ca="1">_xlfn.XLOOKUP(Table8[[#This Row],[Supporter_ID]],tb1_supporters[Supporter_ID ],tb1_supporters[Age],"")</f>
        <v>59</v>
      </c>
      <c r="O484" t="str">
        <f ca="1">_xlfn.XLOOKUP(Table8[[#This Row],[Supporter_ID]],tb1_supporters[Supporter_ID ],tb1_supporters[Age_Band],"")</f>
        <v>50-64</v>
      </c>
      <c r="P484" t="str">
        <f ca="1">IF(Table8[[#This Row],[Age_Band]]="","Unknown",Table8[[#This Row],[Age_Band]])</f>
        <v>50-64</v>
      </c>
      <c r="Q484" t="str">
        <f>_xlfn.XLOOKUP(Table8[[#This Row],[Supporter_ID]],tb1_supporters[Supporter_ID ],tb1_supporters[Communication_Preference],"")</f>
        <v>Email</v>
      </c>
      <c r="R484" t="str">
        <f>_xlfn.XLOOKUP(Table8[[#This Row],[Supporter_ID]],tb1_supporters[Supporter_ID ],tb1_supporters[Duplicate_Profile_Flag],"")</f>
        <v/>
      </c>
      <c r="S484" t="str">
        <f>_xlfn.XLOOKUP(Table8[[#This Row],[Supporter_ID]],tb1_supporters[Supporter_ID ],tb1_supporters[Preference_Compliance_Flag],"")</f>
        <v/>
      </c>
      <c r="T484" t="str">
        <f ca="1">IF(Table8[[#This Row],[Age]]="","Review - missing DOB",IF(Table8[[#This Row],[Age]]&gt;TODAY(),"Review - future DOB",IF(Table8[[#This Row],[Age]]=0,"Review -  potential entry error (age 0)","")))</f>
        <v/>
      </c>
      <c r="U484" t="str">
        <f>_xlfn.XLOOKUP(Table8[[#This Row],[Campaign_Code]],tb3_CampaignMaster[Campaign_Code],tb3_CampaignMaster[Campaign_Type],"")</f>
        <v>Regular Giving</v>
      </c>
      <c r="V484" t="str">
        <f>_xlfn.XLOOKUP(Table8[[#This Row],[Campaign_Code]],tb3_CampaignMaster[Campaign_Code],tb3_CampaignMaster[Target_Audience],"")</f>
        <v>One-time Donors</v>
      </c>
      <c r="W484" s="17">
        <f>_xlfn.XLOOKUP(Table8[[#This Row],[Campaign_Code]],tb3_CampaignMaster[Campaign_Code],tb3_CampaignMaster[Start_Date],"")</f>
        <v>45663</v>
      </c>
      <c r="X484" s="17">
        <f>_xlfn.XLOOKUP(Table8[[#This Row],[Campaign_Code]],tb3_CampaignMaster[Campaign_Code],tb3_CampaignMaster[End_Date],"")</f>
        <v>45747</v>
      </c>
      <c r="Y484">
        <f>_xlfn.XLOOKUP(Table8[[#This Row],[Campaign_Code]],tb3_CampaignMaster[Campaign_Code],tb3_CampaignMaster[Budget_GBP],"")</f>
        <v>10000</v>
      </c>
      <c r="Z484" t="str">
        <f>_xlfn.XLOOKUP(Table8[[#This Row],[Campaign_Code]],tb3_CampaignMaster[Campaign_Code],tb3_CampaignMaster[Primary_Channel],"")</f>
        <v>Telephone</v>
      </c>
      <c r="AA484" s="13">
        <f>IF(Table8[[#This Row],[Gift_Aid_Eligible]]="Yes",Table8[[#This Row],[Gift_Amount]]*1.25,Table8[[#This Row],[Gift_Amount]])</f>
        <v>26.64</v>
      </c>
      <c r="AB484" t="str">
        <f>IF(Table8[[#This Row],[Supporter_ID]]="","Review - missing supporter ID","")</f>
        <v/>
      </c>
      <c r="AC484" t="str">
        <f>IF(OR(Table8[[#This Row],[Response_Date]]&lt;Table8[[#This Row],[Start_Date]],Table8[[#This Row],[Response_Date]]&gt;Table8[[#This Row],[End_Date]]),"Review - response outside campaign dates","")</f>
        <v/>
      </c>
      <c r="AD484" t="str">
        <f>IF(Table8[[#This Row],[Campaign_Type]]="","Review - campaign code not found","")</f>
        <v/>
      </c>
    </row>
    <row r="485" spans="1:30" x14ac:dyDescent="0.25">
      <c r="A485" t="s">
        <v>4184</v>
      </c>
      <c r="B485" t="s">
        <v>2997</v>
      </c>
      <c r="C485" t="s">
        <v>3314</v>
      </c>
      <c r="D485" t="s">
        <v>3315</v>
      </c>
      <c r="E485" t="s">
        <v>33</v>
      </c>
      <c r="F485" s="17">
        <v>45690</v>
      </c>
      <c r="G485">
        <v>9.49</v>
      </c>
      <c r="H485" t="s">
        <v>37</v>
      </c>
      <c r="I485" t="s">
        <v>3318</v>
      </c>
      <c r="J485" t="str">
        <f>_xlfn.XLOOKUP(Table8[[#This Row],[Supporter_ID]],tb1_supporters[Supporter_ID ],tb1_supporters[Segment],"")</f>
        <v>Regular Giver</v>
      </c>
      <c r="K485" t="str">
        <f>_xlfn.XLOOKUP(Table8[[#This Row],[Supporter_ID]],tb1_supporters[Supporter_ID ],tb1_supporters[Acquisition_Source],"")</f>
        <v>Corporate Partner</v>
      </c>
      <c r="L485" t="str">
        <f>_xlfn.XLOOKUP(Table8[[#This Row],[Supporter_ID]],tb1_supporters[Supporter_ID ],tb1_supporters[County],"")</f>
        <v>Angus</v>
      </c>
      <c r="M485" t="str">
        <f>_xlfn.XLOOKUP(Table8[[#This Row],[Supporter_ID]],tb1_supporters[Supporter_ID ],tb1_supporters[Gender],"")</f>
        <v>Female</v>
      </c>
      <c r="N485">
        <f ca="1">_xlfn.XLOOKUP(Table8[[#This Row],[Supporter_ID]],tb1_supporters[Supporter_ID ],tb1_supporters[Age],"")</f>
        <v>80</v>
      </c>
      <c r="O485" t="str">
        <f ca="1">_xlfn.XLOOKUP(Table8[[#This Row],[Supporter_ID]],tb1_supporters[Supporter_ID ],tb1_supporters[Age_Band],"")</f>
        <v>65+</v>
      </c>
      <c r="P485" t="str">
        <f ca="1">IF(Table8[[#This Row],[Age_Band]]="","Unknown",Table8[[#This Row],[Age_Band]])</f>
        <v>65+</v>
      </c>
      <c r="Q485" t="str">
        <f>_xlfn.XLOOKUP(Table8[[#This Row],[Supporter_ID]],tb1_supporters[Supporter_ID ],tb1_supporters[Communication_Preference],"")</f>
        <v>Post</v>
      </c>
      <c r="R485" t="str">
        <f>_xlfn.XLOOKUP(Table8[[#This Row],[Supporter_ID]],tb1_supporters[Supporter_ID ],tb1_supporters[Duplicate_Profile_Flag],"")</f>
        <v/>
      </c>
      <c r="S485" t="str">
        <f>_xlfn.XLOOKUP(Table8[[#This Row],[Supporter_ID]],tb1_supporters[Supporter_ID ],tb1_supporters[Preference_Compliance_Flag],"")</f>
        <v/>
      </c>
      <c r="T485" t="str">
        <f ca="1">IF(Table8[[#This Row],[Age]]="","Review - missing DOB",IF(Table8[[#This Row],[Age]]&gt;TODAY(),"Review - future DOB",IF(Table8[[#This Row],[Age]]=0,"Review -  potential entry error (age 0)","")))</f>
        <v/>
      </c>
      <c r="U485" t="str">
        <f>_xlfn.XLOOKUP(Table8[[#This Row],[Campaign_Code]],tb3_CampaignMaster[Campaign_Code],tb3_CampaignMaster[Campaign_Type],"")</f>
        <v>Regular Giving</v>
      </c>
      <c r="V485" t="str">
        <f>_xlfn.XLOOKUP(Table8[[#This Row],[Campaign_Code]],tb3_CampaignMaster[Campaign_Code],tb3_CampaignMaster[Target_Audience],"")</f>
        <v>One-time Donors</v>
      </c>
      <c r="W485" s="17">
        <f>_xlfn.XLOOKUP(Table8[[#This Row],[Campaign_Code]],tb3_CampaignMaster[Campaign_Code],tb3_CampaignMaster[Start_Date],"")</f>
        <v>45663</v>
      </c>
      <c r="X485" s="17">
        <f>_xlfn.XLOOKUP(Table8[[#This Row],[Campaign_Code]],tb3_CampaignMaster[Campaign_Code],tb3_CampaignMaster[End_Date],"")</f>
        <v>45747</v>
      </c>
      <c r="Y485">
        <f>_xlfn.XLOOKUP(Table8[[#This Row],[Campaign_Code]],tb3_CampaignMaster[Campaign_Code],tb3_CampaignMaster[Budget_GBP],"")</f>
        <v>10000</v>
      </c>
      <c r="Z485" t="str">
        <f>_xlfn.XLOOKUP(Table8[[#This Row],[Campaign_Code]],tb3_CampaignMaster[Campaign_Code],tb3_CampaignMaster[Primary_Channel],"")</f>
        <v>Telephone</v>
      </c>
      <c r="AA485" s="13">
        <f>IF(Table8[[#This Row],[Gift_Aid_Eligible]]="Yes",Table8[[#This Row],[Gift_Amount]]*1.25,Table8[[#This Row],[Gift_Amount]])</f>
        <v>9.49</v>
      </c>
      <c r="AB485" t="str">
        <f>IF(Table8[[#This Row],[Supporter_ID]]="","Review - missing supporter ID","")</f>
        <v/>
      </c>
      <c r="AC485" t="str">
        <f>IF(OR(Table8[[#This Row],[Response_Date]]&lt;Table8[[#This Row],[Start_Date]],Table8[[#This Row],[Response_Date]]&gt;Table8[[#This Row],[End_Date]]),"Review - response outside campaign dates","")</f>
        <v/>
      </c>
      <c r="AD485" t="str">
        <f>IF(Table8[[#This Row],[Campaign_Type]]="","Review - campaign code not found","")</f>
        <v/>
      </c>
    </row>
    <row r="486" spans="1:30" x14ac:dyDescent="0.25">
      <c r="A486" t="s">
        <v>4186</v>
      </c>
      <c r="B486" t="s">
        <v>3026</v>
      </c>
      <c r="C486" t="s">
        <v>3325</v>
      </c>
      <c r="D486" t="s">
        <v>3326</v>
      </c>
      <c r="E486" t="s">
        <v>4</v>
      </c>
      <c r="F486" s="17">
        <v>45643</v>
      </c>
      <c r="G486">
        <v>33.83</v>
      </c>
      <c r="H486" t="s">
        <v>36</v>
      </c>
      <c r="I486" t="s">
        <v>3370</v>
      </c>
      <c r="J486" t="str">
        <f>_xlfn.XLOOKUP(Table8[[#This Row],[Supporter_ID]],tb1_supporters[Supporter_ID ],tb1_supporters[Segment],"")</f>
        <v>One-Time Donor</v>
      </c>
      <c r="K486" t="str">
        <f>_xlfn.XLOOKUP(Table8[[#This Row],[Supporter_ID]],tb1_supporters[Supporter_ID ],tb1_supporters[Acquisition_Source],"")</f>
        <v>Event</v>
      </c>
      <c r="L486" t="str">
        <f>_xlfn.XLOOKUP(Table8[[#This Row],[Supporter_ID]],tb1_supporters[Supporter_ID ],tb1_supporters[County],"")</f>
        <v>West Midlands</v>
      </c>
      <c r="M486" t="str">
        <f>_xlfn.XLOOKUP(Table8[[#This Row],[Supporter_ID]],tb1_supporters[Supporter_ID ],tb1_supporters[Gender],"")</f>
        <v>Male</v>
      </c>
      <c r="N486">
        <f ca="1">_xlfn.XLOOKUP(Table8[[#This Row],[Supporter_ID]],tb1_supporters[Supporter_ID ],tb1_supporters[Age],"")</f>
        <v>64</v>
      </c>
      <c r="O486" t="str">
        <f ca="1">_xlfn.XLOOKUP(Table8[[#This Row],[Supporter_ID]],tb1_supporters[Supporter_ID ],tb1_supporters[Age_Band],"")</f>
        <v>50-64</v>
      </c>
      <c r="P486" t="str">
        <f ca="1">IF(Table8[[#This Row],[Age_Band]]="","Unknown",Table8[[#This Row],[Age_Band]])</f>
        <v>50-64</v>
      </c>
      <c r="Q486" t="str">
        <f>_xlfn.XLOOKUP(Table8[[#This Row],[Supporter_ID]],tb1_supporters[Supporter_ID ],tb1_supporters[Communication_Preference],"")</f>
        <v>Email</v>
      </c>
      <c r="R486" t="str">
        <f>_xlfn.XLOOKUP(Table8[[#This Row],[Supporter_ID]],tb1_supporters[Supporter_ID ],tb1_supporters[Duplicate_Profile_Flag],"")</f>
        <v/>
      </c>
      <c r="S486" t="str">
        <f>_xlfn.XLOOKUP(Table8[[#This Row],[Supporter_ID]],tb1_supporters[Supporter_ID ],tb1_supporters[Preference_Compliance_Flag],"")</f>
        <v>Review - prefers email but not opted in</v>
      </c>
      <c r="T486" t="str">
        <f ca="1">IF(Table8[[#This Row],[Age]]="","Review - missing DOB",IF(Table8[[#This Row],[Age]]&gt;TODAY(),"Review - future DOB",IF(Table8[[#This Row],[Age]]=0,"Review -  potential entry error (age 0)","")))</f>
        <v/>
      </c>
      <c r="U486" t="str">
        <f>_xlfn.XLOOKUP(Table8[[#This Row],[Campaign_Code]],tb3_CampaignMaster[Campaign_Code],tb3_CampaignMaster[Campaign_Type],"")</f>
        <v>Appeal</v>
      </c>
      <c r="V486" t="str">
        <f>_xlfn.XLOOKUP(Table8[[#This Row],[Campaign_Code]],tb3_CampaignMaster[Campaign_Code],tb3_CampaignMaster[Target_Audience],"")</f>
        <v>All Active</v>
      </c>
      <c r="W486" s="17">
        <f>_xlfn.XLOOKUP(Table8[[#This Row],[Campaign_Code]],tb3_CampaignMaster[Campaign_Code],tb3_CampaignMaster[Start_Date],"")</f>
        <v>45597</v>
      </c>
      <c r="X486" s="17">
        <f>_xlfn.XLOOKUP(Table8[[#This Row],[Campaign_Code]],tb3_CampaignMaster[Campaign_Code],tb3_CampaignMaster[End_Date],"")</f>
        <v>45657</v>
      </c>
      <c r="Y486">
        <f>_xlfn.XLOOKUP(Table8[[#This Row],[Campaign_Code]],tb3_CampaignMaster[Campaign_Code],tb3_CampaignMaster[Budget_GBP],"")</f>
        <v>25000</v>
      </c>
      <c r="Z486" t="str">
        <f>_xlfn.XLOOKUP(Table8[[#This Row],[Campaign_Code]],tb3_CampaignMaster[Campaign_Code],tb3_CampaignMaster[Primary_Channel],"")</f>
        <v>Multi-channel</v>
      </c>
      <c r="AA486" s="13">
        <f>IF(Table8[[#This Row],[Gift_Aid_Eligible]]="Yes",Table8[[#This Row],[Gift_Amount]]*1.25,Table8[[#This Row],[Gift_Amount]])</f>
        <v>42.287499999999994</v>
      </c>
      <c r="AB486" t="str">
        <f>IF(Table8[[#This Row],[Supporter_ID]]="","Review - missing supporter ID","")</f>
        <v/>
      </c>
      <c r="AC486" t="str">
        <f>IF(OR(Table8[[#This Row],[Response_Date]]&lt;Table8[[#This Row],[Start_Date]],Table8[[#This Row],[Response_Date]]&gt;Table8[[#This Row],[End_Date]]),"Review - response outside campaign dates","")</f>
        <v/>
      </c>
      <c r="AD486" t="str">
        <f>IF(Table8[[#This Row],[Campaign_Type]]="","Review - campaign code not found","")</f>
        <v/>
      </c>
    </row>
    <row r="487" spans="1:30" x14ac:dyDescent="0.25">
      <c r="A487" t="s">
        <v>4188</v>
      </c>
      <c r="B487" t="s">
        <v>2405</v>
      </c>
      <c r="C487" t="s">
        <v>3314</v>
      </c>
      <c r="D487" t="s">
        <v>3315</v>
      </c>
      <c r="E487" t="s">
        <v>65</v>
      </c>
      <c r="F487" s="17">
        <v>45718</v>
      </c>
      <c r="G487">
        <v>2889.71</v>
      </c>
      <c r="H487" t="s">
        <v>37</v>
      </c>
      <c r="I487" t="s">
        <v>3334</v>
      </c>
      <c r="J487" t="str">
        <f>_xlfn.XLOOKUP(Table8[[#This Row],[Supporter_ID]],tb1_supporters[Supporter_ID ],tb1_supporters[Segment],"")</f>
        <v>Major Donor</v>
      </c>
      <c r="K487" t="str">
        <f>_xlfn.XLOOKUP(Table8[[#This Row],[Supporter_ID]],tb1_supporters[Supporter_ID ],tb1_supporters[Acquisition_Source],"")</f>
        <v>Referral</v>
      </c>
      <c r="L487" t="str">
        <f>_xlfn.XLOOKUP(Table8[[#This Row],[Supporter_ID]],tb1_supporters[Supporter_ID ],tb1_supporters[County],"")</f>
        <v>Nottinghamshire</v>
      </c>
      <c r="M487" t="str">
        <f>_xlfn.XLOOKUP(Table8[[#This Row],[Supporter_ID]],tb1_supporters[Supporter_ID ],tb1_supporters[Gender],"")</f>
        <v>Female</v>
      </c>
      <c r="N487">
        <f ca="1">_xlfn.XLOOKUP(Table8[[#This Row],[Supporter_ID]],tb1_supporters[Supporter_ID ],tb1_supporters[Age],"")</f>
        <v>23</v>
      </c>
      <c r="O487" t="str">
        <f ca="1">_xlfn.XLOOKUP(Table8[[#This Row],[Supporter_ID]],tb1_supporters[Supporter_ID ],tb1_supporters[Age_Band],"")</f>
        <v>18-34</v>
      </c>
      <c r="P487" t="str">
        <f ca="1">IF(Table8[[#This Row],[Age_Band]]="","Unknown",Table8[[#This Row],[Age_Band]])</f>
        <v>18-34</v>
      </c>
      <c r="Q487" t="str">
        <f>_xlfn.XLOOKUP(Table8[[#This Row],[Supporter_ID]],tb1_supporters[Supporter_ID ],tb1_supporters[Communication_Preference],"")</f>
        <v>Email</v>
      </c>
      <c r="R487" t="str">
        <f>_xlfn.XLOOKUP(Table8[[#This Row],[Supporter_ID]],tb1_supporters[Supporter_ID ],tb1_supporters[Duplicate_Profile_Flag],"")</f>
        <v/>
      </c>
      <c r="S487" t="str">
        <f>_xlfn.XLOOKUP(Table8[[#This Row],[Supporter_ID]],tb1_supporters[Supporter_ID ],tb1_supporters[Preference_Compliance_Flag],"")</f>
        <v/>
      </c>
      <c r="T487" t="str">
        <f ca="1">IF(Table8[[#This Row],[Age]]="","Review - missing DOB",IF(Table8[[#This Row],[Age]]&gt;TODAY(),"Review - future DOB",IF(Table8[[#This Row],[Age]]=0,"Review -  potential entry error (age 0)","")))</f>
        <v/>
      </c>
      <c r="U487" t="str">
        <f>_xlfn.XLOOKUP(Table8[[#This Row],[Campaign_Code]],tb3_CampaignMaster[Campaign_Code],tb3_CampaignMaster[Campaign_Type],"")</f>
        <v>Regular Giving</v>
      </c>
      <c r="V487" t="str">
        <f>_xlfn.XLOOKUP(Table8[[#This Row],[Campaign_Code]],tb3_CampaignMaster[Campaign_Code],tb3_CampaignMaster[Target_Audience],"")</f>
        <v>One-time Donors</v>
      </c>
      <c r="W487" s="17">
        <f>_xlfn.XLOOKUP(Table8[[#This Row],[Campaign_Code]],tb3_CampaignMaster[Campaign_Code],tb3_CampaignMaster[Start_Date],"")</f>
        <v>45663</v>
      </c>
      <c r="X487" s="17">
        <f>_xlfn.XLOOKUP(Table8[[#This Row],[Campaign_Code]],tb3_CampaignMaster[Campaign_Code],tb3_CampaignMaster[End_Date],"")</f>
        <v>45747</v>
      </c>
      <c r="Y487">
        <f>_xlfn.XLOOKUP(Table8[[#This Row],[Campaign_Code]],tb3_CampaignMaster[Campaign_Code],tb3_CampaignMaster[Budget_GBP],"")</f>
        <v>10000</v>
      </c>
      <c r="Z487" t="str">
        <f>_xlfn.XLOOKUP(Table8[[#This Row],[Campaign_Code]],tb3_CampaignMaster[Campaign_Code],tb3_CampaignMaster[Primary_Channel],"")</f>
        <v>Telephone</v>
      </c>
      <c r="AA487" s="13">
        <f>IF(Table8[[#This Row],[Gift_Aid_Eligible]]="Yes",Table8[[#This Row],[Gift_Amount]]*1.25,Table8[[#This Row],[Gift_Amount]])</f>
        <v>2889.71</v>
      </c>
      <c r="AB487" t="str">
        <f>IF(Table8[[#This Row],[Supporter_ID]]="","Review - missing supporter ID","")</f>
        <v/>
      </c>
      <c r="AC487" t="str">
        <f>IF(OR(Table8[[#This Row],[Response_Date]]&lt;Table8[[#This Row],[Start_Date]],Table8[[#This Row],[Response_Date]]&gt;Table8[[#This Row],[End_Date]]),"Review - response outside campaign dates","")</f>
        <v/>
      </c>
      <c r="AD487" t="str">
        <f>IF(Table8[[#This Row],[Campaign_Type]]="","Review - campaign code not found","")</f>
        <v/>
      </c>
    </row>
    <row r="488" spans="1:30" x14ac:dyDescent="0.25">
      <c r="A488" t="s">
        <v>4190</v>
      </c>
      <c r="B488" t="s">
        <v>1392</v>
      </c>
      <c r="C488" t="s">
        <v>3320</v>
      </c>
      <c r="D488" t="s">
        <v>3321</v>
      </c>
      <c r="E488" t="s">
        <v>4</v>
      </c>
      <c r="F488" s="17">
        <v>45459</v>
      </c>
      <c r="G488">
        <v>156.77000000000001</v>
      </c>
      <c r="H488" t="s">
        <v>37</v>
      </c>
      <c r="I488" t="s">
        <v>3385</v>
      </c>
      <c r="J488" t="str">
        <f>_xlfn.XLOOKUP(Table8[[#This Row],[Supporter_ID]],tb1_supporters[Supporter_ID ],tb1_supporters[Segment],"")</f>
        <v>Mid-Value</v>
      </c>
      <c r="K488" t="str">
        <f>_xlfn.XLOOKUP(Table8[[#This Row],[Supporter_ID]],tb1_supporters[Supporter_ID ],tb1_supporters[Acquisition_Source],"")</f>
        <v>Social Media</v>
      </c>
      <c r="L488" t="str">
        <f>_xlfn.XLOOKUP(Table8[[#This Row],[Supporter_ID]],tb1_supporters[Supporter_ID ],tb1_supporters[County],"")</f>
        <v>Gloucestershire</v>
      </c>
      <c r="M488" t="str">
        <f>_xlfn.XLOOKUP(Table8[[#This Row],[Supporter_ID]],tb1_supporters[Supporter_ID ],tb1_supporters[Gender],"")</f>
        <v>Male</v>
      </c>
      <c r="N488">
        <f ca="1">_xlfn.XLOOKUP(Table8[[#This Row],[Supporter_ID]],tb1_supporters[Supporter_ID ],tb1_supporters[Age],"")</f>
        <v>60</v>
      </c>
      <c r="O488" t="str">
        <f ca="1">_xlfn.XLOOKUP(Table8[[#This Row],[Supporter_ID]],tb1_supporters[Supporter_ID ],tb1_supporters[Age_Band],"")</f>
        <v>50-64</v>
      </c>
      <c r="P488" t="str">
        <f ca="1">IF(Table8[[#This Row],[Age_Band]]="","Unknown",Table8[[#This Row],[Age_Band]])</f>
        <v>50-64</v>
      </c>
      <c r="Q488" t="str">
        <f>_xlfn.XLOOKUP(Table8[[#This Row],[Supporter_ID]],tb1_supporters[Supporter_ID ],tb1_supporters[Communication_Preference],"")</f>
        <v>Email</v>
      </c>
      <c r="R488" t="str">
        <f>_xlfn.XLOOKUP(Table8[[#This Row],[Supporter_ID]],tb1_supporters[Supporter_ID ],tb1_supporters[Duplicate_Profile_Flag],"")</f>
        <v/>
      </c>
      <c r="S488" t="str">
        <f>_xlfn.XLOOKUP(Table8[[#This Row],[Supporter_ID]],tb1_supporters[Supporter_ID ],tb1_supporters[Preference_Compliance_Flag],"")</f>
        <v/>
      </c>
      <c r="T488" t="str">
        <f ca="1">IF(Table8[[#This Row],[Age]]="","Review - missing DOB",IF(Table8[[#This Row],[Age]]&gt;TODAY(),"Review - future DOB",IF(Table8[[#This Row],[Age]]=0,"Review -  potential entry error (age 0)","")))</f>
        <v/>
      </c>
      <c r="U488" t="str">
        <f>_xlfn.XLOOKUP(Table8[[#This Row],[Campaign_Code]],tb3_CampaignMaster[Campaign_Code],tb3_CampaignMaster[Campaign_Type],"")</f>
        <v>Stewardship</v>
      </c>
      <c r="V488" t="str">
        <f>_xlfn.XLOOKUP(Table8[[#This Row],[Campaign_Code]],tb3_CampaignMaster[Campaign_Code],tb3_CampaignMaster[Target_Audience],"")</f>
        <v>Major Donors</v>
      </c>
      <c r="W488" s="17">
        <f>_xlfn.XLOOKUP(Table8[[#This Row],[Campaign_Code]],tb3_CampaignMaster[Campaign_Code],tb3_CampaignMaster[Start_Date],"")</f>
        <v>45444</v>
      </c>
      <c r="X488" s="17">
        <f>_xlfn.XLOOKUP(Table8[[#This Row],[Campaign_Code]],tb3_CampaignMaster[Campaign_Code],tb3_CampaignMaster[End_Date],"")</f>
        <v>45473</v>
      </c>
      <c r="Y488">
        <f>_xlfn.XLOOKUP(Table8[[#This Row],[Campaign_Code]],tb3_CampaignMaster[Campaign_Code],tb3_CampaignMaster[Budget_GBP],"")</f>
        <v>7000</v>
      </c>
      <c r="Z488" t="str">
        <f>_xlfn.XLOOKUP(Table8[[#This Row],[Campaign_Code]],tb3_CampaignMaster[Campaign_Code],tb3_CampaignMaster[Primary_Channel],"")</f>
        <v>Direct Mail</v>
      </c>
      <c r="AA488" s="13">
        <f>IF(Table8[[#This Row],[Gift_Aid_Eligible]]="Yes",Table8[[#This Row],[Gift_Amount]]*1.25,Table8[[#This Row],[Gift_Amount]])</f>
        <v>156.77000000000001</v>
      </c>
      <c r="AB488" t="str">
        <f>IF(Table8[[#This Row],[Supporter_ID]]="","Review - missing supporter ID","")</f>
        <v/>
      </c>
      <c r="AC488" t="str">
        <f>IF(OR(Table8[[#This Row],[Response_Date]]&lt;Table8[[#This Row],[Start_Date]],Table8[[#This Row],[Response_Date]]&gt;Table8[[#This Row],[End_Date]]),"Review - response outside campaign dates","")</f>
        <v/>
      </c>
      <c r="AD488" t="str">
        <f>IF(Table8[[#This Row],[Campaign_Type]]="","Review - campaign code not found","")</f>
        <v/>
      </c>
    </row>
    <row r="489" spans="1:30" x14ac:dyDescent="0.25">
      <c r="A489" t="s">
        <v>4193</v>
      </c>
      <c r="B489" t="s">
        <v>1380</v>
      </c>
      <c r="C489" t="s">
        <v>3367</v>
      </c>
      <c r="D489" t="s">
        <v>3368</v>
      </c>
      <c r="E489" t="s">
        <v>4</v>
      </c>
      <c r="F489" s="17">
        <v>45761</v>
      </c>
      <c r="G489">
        <v>164.2</v>
      </c>
      <c r="H489" t="s">
        <v>37</v>
      </c>
      <c r="I489" t="s">
        <v>3334</v>
      </c>
      <c r="J489" t="str">
        <f>_xlfn.XLOOKUP(Table8[[#This Row],[Supporter_ID]],tb1_supporters[Supporter_ID ],tb1_supporters[Segment],"")</f>
        <v>Mid-Value</v>
      </c>
      <c r="K489" t="str">
        <f>_xlfn.XLOOKUP(Table8[[#This Row],[Supporter_ID]],tb1_supporters[Supporter_ID ],tb1_supporters[Acquisition_Source],"")</f>
        <v>Direct Mail</v>
      </c>
      <c r="L489" t="str">
        <f>_xlfn.XLOOKUP(Table8[[#This Row],[Supporter_ID]],tb1_supporters[Supporter_ID ],tb1_supporters[County],"")</f>
        <v>Kent</v>
      </c>
      <c r="M489" t="str">
        <f>_xlfn.XLOOKUP(Table8[[#This Row],[Supporter_ID]],tb1_supporters[Supporter_ID ],tb1_supporters[Gender],"")</f>
        <v>Male</v>
      </c>
      <c r="N489">
        <f ca="1">_xlfn.XLOOKUP(Table8[[#This Row],[Supporter_ID]],tb1_supporters[Supporter_ID ],tb1_supporters[Age],"")</f>
        <v>65</v>
      </c>
      <c r="O489" t="str">
        <f ca="1">_xlfn.XLOOKUP(Table8[[#This Row],[Supporter_ID]],tb1_supporters[Supporter_ID ],tb1_supporters[Age_Band],"")</f>
        <v>65+</v>
      </c>
      <c r="P489" t="str">
        <f ca="1">IF(Table8[[#This Row],[Age_Band]]="","Unknown",Table8[[#This Row],[Age_Band]])</f>
        <v>65+</v>
      </c>
      <c r="Q489" t="str">
        <f>_xlfn.XLOOKUP(Table8[[#This Row],[Supporter_ID]],tb1_supporters[Supporter_ID ],tb1_supporters[Communication_Preference],"")</f>
        <v>Do Not Contact</v>
      </c>
      <c r="R489" t="str">
        <f>_xlfn.XLOOKUP(Table8[[#This Row],[Supporter_ID]],tb1_supporters[Supporter_ID ],tb1_supporters[Duplicate_Profile_Flag],"")</f>
        <v/>
      </c>
      <c r="S489" t="str">
        <f>_xlfn.XLOOKUP(Table8[[#This Row],[Supporter_ID]],tb1_supporters[Supporter_ID ],tb1_supporters[Preference_Compliance_Flag],"")</f>
        <v/>
      </c>
      <c r="T489" t="str">
        <f ca="1">IF(Table8[[#This Row],[Age]]="","Review - missing DOB",IF(Table8[[#This Row],[Age]]&gt;TODAY(),"Review - future DOB",IF(Table8[[#This Row],[Age]]=0,"Review -  potential entry error (age 0)","")))</f>
        <v/>
      </c>
      <c r="U489" t="str">
        <f>_xlfn.XLOOKUP(Table8[[#This Row],[Campaign_Code]],tb3_CampaignMaster[Campaign_Code],tb3_CampaignMaster[Campaign_Type],"")</f>
        <v>Raffle</v>
      </c>
      <c r="V489" t="str">
        <f>_xlfn.XLOOKUP(Table8[[#This Row],[Campaign_Code]],tb3_CampaignMaster[Campaign_Code],tb3_CampaignMaster[Target_Audience],"")</f>
        <v>Regular Givers</v>
      </c>
      <c r="W489" s="17">
        <f>_xlfn.XLOOKUP(Table8[[#This Row],[Campaign_Code]],tb3_CampaignMaster[Campaign_Code],tb3_CampaignMaster[Start_Date],"")</f>
        <v>45717</v>
      </c>
      <c r="X489" s="17">
        <f>_xlfn.XLOOKUP(Table8[[#This Row],[Campaign_Code]],tb3_CampaignMaster[Campaign_Code],tb3_CampaignMaster[End_Date],"")</f>
        <v>45777</v>
      </c>
      <c r="Y489">
        <f>_xlfn.XLOOKUP(Table8[[#This Row],[Campaign_Code]],tb3_CampaignMaster[Campaign_Code],tb3_CampaignMaster[Budget_GBP],"")</f>
        <v>8000</v>
      </c>
      <c r="Z489" t="str">
        <f>_xlfn.XLOOKUP(Table8[[#This Row],[Campaign_Code]],tb3_CampaignMaster[Campaign_Code],tb3_CampaignMaster[Primary_Channel],"")</f>
        <v>Direct Mail</v>
      </c>
      <c r="AA489" s="13">
        <f>IF(Table8[[#This Row],[Gift_Aid_Eligible]]="Yes",Table8[[#This Row],[Gift_Amount]]*1.25,Table8[[#This Row],[Gift_Amount]])</f>
        <v>164.2</v>
      </c>
      <c r="AB489" t="str">
        <f>IF(Table8[[#This Row],[Supporter_ID]]="","Review - missing supporter ID","")</f>
        <v/>
      </c>
      <c r="AC489" t="str">
        <f>IF(OR(Table8[[#This Row],[Response_Date]]&lt;Table8[[#This Row],[Start_Date]],Table8[[#This Row],[Response_Date]]&gt;Table8[[#This Row],[End_Date]]),"Review - response outside campaign dates","")</f>
        <v/>
      </c>
      <c r="AD489" t="str">
        <f>IF(Table8[[#This Row],[Campaign_Type]]="","Review - campaign code not found","")</f>
        <v/>
      </c>
    </row>
    <row r="490" spans="1:30" x14ac:dyDescent="0.25">
      <c r="A490" t="s">
        <v>4195</v>
      </c>
      <c r="B490" t="s">
        <v>680</v>
      </c>
      <c r="C490" t="s">
        <v>3341</v>
      </c>
      <c r="D490" t="s">
        <v>3342</v>
      </c>
      <c r="E490" t="s">
        <v>3316</v>
      </c>
      <c r="F490" s="17">
        <v>45760</v>
      </c>
      <c r="G490">
        <v>29.93</v>
      </c>
      <c r="H490" t="s">
        <v>37</v>
      </c>
      <c r="I490" t="s">
        <v>3328</v>
      </c>
      <c r="J490" t="str">
        <f>_xlfn.XLOOKUP(Table8[[#This Row],[Supporter_ID]],tb1_supporters[Supporter_ID ],tb1_supporters[Segment],"")</f>
        <v>Prospect</v>
      </c>
      <c r="K490" t="str">
        <f>_xlfn.XLOOKUP(Table8[[#This Row],[Supporter_ID]],tb1_supporters[Supporter_ID ],tb1_supporters[Acquisition_Source],"")</f>
        <v>Event</v>
      </c>
      <c r="L490" t="str">
        <f>_xlfn.XLOOKUP(Table8[[#This Row],[Supporter_ID]],tb1_supporters[Supporter_ID ],tb1_supporters[County],"")</f>
        <v>Hertfordshire</v>
      </c>
      <c r="M490" t="str">
        <f>_xlfn.XLOOKUP(Table8[[#This Row],[Supporter_ID]],tb1_supporters[Supporter_ID ],tb1_supporters[Gender],"")</f>
        <v>Male</v>
      </c>
      <c r="N490">
        <f ca="1">_xlfn.XLOOKUP(Table8[[#This Row],[Supporter_ID]],tb1_supporters[Supporter_ID ],tb1_supporters[Age],"")</f>
        <v>54</v>
      </c>
      <c r="O490" t="str">
        <f ca="1">_xlfn.XLOOKUP(Table8[[#This Row],[Supporter_ID]],tb1_supporters[Supporter_ID ],tb1_supporters[Age_Band],"")</f>
        <v>50-64</v>
      </c>
      <c r="P490" t="str">
        <f ca="1">IF(Table8[[#This Row],[Age_Band]]="","Unknown",Table8[[#This Row],[Age_Band]])</f>
        <v>50-64</v>
      </c>
      <c r="Q490" t="str">
        <f>_xlfn.XLOOKUP(Table8[[#This Row],[Supporter_ID]],tb1_supporters[Supporter_ID ],tb1_supporters[Communication_Preference],"")</f>
        <v>Post</v>
      </c>
      <c r="R490" t="str">
        <f>_xlfn.XLOOKUP(Table8[[#This Row],[Supporter_ID]],tb1_supporters[Supporter_ID ],tb1_supporters[Duplicate_Profile_Flag],"")</f>
        <v/>
      </c>
      <c r="S490" t="str">
        <f>_xlfn.XLOOKUP(Table8[[#This Row],[Supporter_ID]],tb1_supporters[Supporter_ID ],tb1_supporters[Preference_Compliance_Flag],"")</f>
        <v>Review - prefers post but not opted in</v>
      </c>
      <c r="T490" t="str">
        <f ca="1">IF(Table8[[#This Row],[Age]]="","Review - missing DOB",IF(Table8[[#This Row],[Age]]&gt;TODAY(),"Review - future DOB",IF(Table8[[#This Row],[Age]]=0,"Review -  potential entry error (age 0)","")))</f>
        <v/>
      </c>
      <c r="U490" t="str">
        <f>_xlfn.XLOOKUP(Table8[[#This Row],[Campaign_Code]],tb3_CampaignMaster[Campaign_Code],tb3_CampaignMaster[Campaign_Type],"")</f>
        <v>Acquisition</v>
      </c>
      <c r="V490" t="str">
        <f>_xlfn.XLOOKUP(Table8[[#This Row],[Campaign_Code]],tb3_CampaignMaster[Campaign_Code],tb3_CampaignMaster[Target_Audience],"")</f>
        <v>Prospects</v>
      </c>
      <c r="W490" s="17">
        <f>_xlfn.XLOOKUP(Table8[[#This Row],[Campaign_Code]],tb3_CampaignMaster[Campaign_Code],tb3_CampaignMaster[Start_Date],"")</f>
        <v>45689</v>
      </c>
      <c r="X490" s="17">
        <f>_xlfn.XLOOKUP(Table8[[#This Row],[Campaign_Code]],tb3_CampaignMaster[Campaign_Code],tb3_CampaignMaster[End_Date],"")</f>
        <v>45777</v>
      </c>
      <c r="Y490">
        <f>_xlfn.XLOOKUP(Table8[[#This Row],[Campaign_Code]],tb3_CampaignMaster[Campaign_Code],tb3_CampaignMaster[Budget_GBP],"")</f>
        <v>20000</v>
      </c>
      <c r="Z490" t="str">
        <f>_xlfn.XLOOKUP(Table8[[#This Row],[Campaign_Code]],tb3_CampaignMaster[Campaign_Code],tb3_CampaignMaster[Primary_Channel],"")</f>
        <v>Digital</v>
      </c>
      <c r="AA490" s="13">
        <f>IF(Table8[[#This Row],[Gift_Aid_Eligible]]="Yes",Table8[[#This Row],[Gift_Amount]]*1.25,Table8[[#This Row],[Gift_Amount]])</f>
        <v>29.93</v>
      </c>
      <c r="AB490" t="str">
        <f>IF(Table8[[#This Row],[Supporter_ID]]="","Review - missing supporter ID","")</f>
        <v/>
      </c>
      <c r="AC490" t="str">
        <f>IF(OR(Table8[[#This Row],[Response_Date]]&lt;Table8[[#This Row],[Start_Date]],Table8[[#This Row],[Response_Date]]&gt;Table8[[#This Row],[End_Date]]),"Review - response outside campaign dates","")</f>
        <v/>
      </c>
      <c r="AD490" t="str">
        <f>IF(Table8[[#This Row],[Campaign_Type]]="","Review - campaign code not found","")</f>
        <v/>
      </c>
    </row>
    <row r="491" spans="1:30" x14ac:dyDescent="0.25">
      <c r="A491" t="s">
        <v>4196</v>
      </c>
      <c r="B491" t="s">
        <v>2427</v>
      </c>
      <c r="C491" t="s">
        <v>3354</v>
      </c>
      <c r="D491" t="s">
        <v>3355</v>
      </c>
      <c r="E491" t="s">
        <v>4</v>
      </c>
      <c r="F491" s="17">
        <v>45618</v>
      </c>
      <c r="G491">
        <v>54.27</v>
      </c>
      <c r="H491" t="s">
        <v>37</v>
      </c>
      <c r="I491" t="s">
        <v>3365</v>
      </c>
      <c r="J491" t="str">
        <f>_xlfn.XLOOKUP(Table8[[#This Row],[Supporter_ID]],tb1_supporters[Supporter_ID ],tb1_supporters[Segment],"")</f>
        <v>One-Time Donor</v>
      </c>
      <c r="K491" t="str">
        <f>_xlfn.XLOOKUP(Table8[[#This Row],[Supporter_ID]],tb1_supporters[Supporter_ID ],tb1_supporters[Acquisition_Source],"")</f>
        <v>Telephone</v>
      </c>
      <c r="L491" t="str">
        <f>_xlfn.XLOOKUP(Table8[[#This Row],[Supporter_ID]],tb1_supporters[Supporter_ID ],tb1_supporters[County],"")</f>
        <v>Surrey</v>
      </c>
      <c r="M491" t="str">
        <f>_xlfn.XLOOKUP(Table8[[#This Row],[Supporter_ID]],tb1_supporters[Supporter_ID ],tb1_supporters[Gender],"")</f>
        <v>Female</v>
      </c>
      <c r="N491">
        <f ca="1">_xlfn.XLOOKUP(Table8[[#This Row],[Supporter_ID]],tb1_supporters[Supporter_ID ],tb1_supporters[Age],"")</f>
        <v>56</v>
      </c>
      <c r="O491" t="str">
        <f ca="1">_xlfn.XLOOKUP(Table8[[#This Row],[Supporter_ID]],tb1_supporters[Supporter_ID ],tb1_supporters[Age_Band],"")</f>
        <v>50-64</v>
      </c>
      <c r="P491" t="str">
        <f ca="1">IF(Table8[[#This Row],[Age_Band]]="","Unknown",Table8[[#This Row],[Age_Band]])</f>
        <v>50-64</v>
      </c>
      <c r="Q491" t="str">
        <f>_xlfn.XLOOKUP(Table8[[#This Row],[Supporter_ID]],tb1_supporters[Supporter_ID ],tb1_supporters[Communication_Preference],"")</f>
        <v>Email</v>
      </c>
      <c r="R491" t="str">
        <f>_xlfn.XLOOKUP(Table8[[#This Row],[Supporter_ID]],tb1_supporters[Supporter_ID ],tb1_supporters[Duplicate_Profile_Flag],"")</f>
        <v/>
      </c>
      <c r="S491" t="str">
        <f>_xlfn.XLOOKUP(Table8[[#This Row],[Supporter_ID]],tb1_supporters[Supporter_ID ],tb1_supporters[Preference_Compliance_Flag],"")</f>
        <v/>
      </c>
      <c r="T491" t="str">
        <f ca="1">IF(Table8[[#This Row],[Age]]="","Review - missing DOB",IF(Table8[[#This Row],[Age]]&gt;TODAY(),"Review - future DOB",IF(Table8[[#This Row],[Age]]=0,"Review -  potential entry error (age 0)","")))</f>
        <v/>
      </c>
      <c r="U491" t="str">
        <f>_xlfn.XLOOKUP(Table8[[#This Row],[Campaign_Code]],tb3_CampaignMaster[Campaign_Code],tb3_CampaignMaster[Campaign_Type],"")</f>
        <v>Event</v>
      </c>
      <c r="V491" t="str">
        <f>_xlfn.XLOOKUP(Table8[[#This Row],[Campaign_Code]],tb3_CampaignMaster[Campaign_Code],tb3_CampaignMaster[Target_Audience],"")</f>
        <v>Volunteers</v>
      </c>
      <c r="W491" s="17">
        <f>_xlfn.XLOOKUP(Table8[[#This Row],[Campaign_Code]],tb3_CampaignMaster[Campaign_Code],tb3_CampaignMaster[Start_Date],"")</f>
        <v>45618</v>
      </c>
      <c r="X491" s="17">
        <f>_xlfn.XLOOKUP(Table8[[#This Row],[Campaign_Code]],tb3_CampaignMaster[Campaign_Code],tb3_CampaignMaster[End_Date],"")</f>
        <v>45618</v>
      </c>
      <c r="Y491">
        <f>_xlfn.XLOOKUP(Table8[[#This Row],[Campaign_Code]],tb3_CampaignMaster[Campaign_Code],tb3_CampaignMaster[Budget_GBP],"")</f>
        <v>3500</v>
      </c>
      <c r="Z491" t="str">
        <f>_xlfn.XLOOKUP(Table8[[#This Row],[Campaign_Code]],tb3_CampaignMaster[Campaign_Code],tb3_CampaignMaster[Primary_Channel],"")</f>
        <v>Email</v>
      </c>
      <c r="AA491" s="13">
        <f>IF(Table8[[#This Row],[Gift_Aid_Eligible]]="Yes",Table8[[#This Row],[Gift_Amount]]*1.25,Table8[[#This Row],[Gift_Amount]])</f>
        <v>54.27</v>
      </c>
      <c r="AB491" t="str">
        <f>IF(Table8[[#This Row],[Supporter_ID]]="","Review - missing supporter ID","")</f>
        <v/>
      </c>
      <c r="AC491" t="str">
        <f>IF(OR(Table8[[#This Row],[Response_Date]]&lt;Table8[[#This Row],[Start_Date]],Table8[[#This Row],[Response_Date]]&gt;Table8[[#This Row],[End_Date]]),"Review - response outside campaign dates","")</f>
        <v/>
      </c>
      <c r="AD491" t="str">
        <f>IF(Table8[[#This Row],[Campaign_Type]]="","Review - campaign code not found","")</f>
        <v/>
      </c>
    </row>
    <row r="492" spans="1:30" x14ac:dyDescent="0.25">
      <c r="A492" t="s">
        <v>4197</v>
      </c>
      <c r="B492" t="s">
        <v>1939</v>
      </c>
      <c r="C492" t="s">
        <v>3362</v>
      </c>
      <c r="D492" t="s">
        <v>3363</v>
      </c>
      <c r="E492" t="s">
        <v>65</v>
      </c>
      <c r="F492" s="17">
        <v>45576</v>
      </c>
      <c r="G492">
        <v>110.42</v>
      </c>
      <c r="H492" t="s">
        <v>36</v>
      </c>
      <c r="I492" t="s">
        <v>3334</v>
      </c>
      <c r="J492" t="str">
        <f>_xlfn.XLOOKUP(Table8[[#This Row],[Supporter_ID]],tb1_supporters[Supporter_ID ],tb1_supporters[Segment],"")</f>
        <v>One-Time Donor</v>
      </c>
      <c r="K492" t="str">
        <f>_xlfn.XLOOKUP(Table8[[#This Row],[Supporter_ID]],tb1_supporters[Supporter_ID ],tb1_supporters[Acquisition_Source],"")</f>
        <v>Door-To-Door</v>
      </c>
      <c r="L492" t="str">
        <f>_xlfn.XLOOKUP(Table8[[#This Row],[Supporter_ID]],tb1_supporters[Supporter_ID ],tb1_supporters[County],"")</f>
        <v>Surrey</v>
      </c>
      <c r="M492" t="str">
        <f>_xlfn.XLOOKUP(Table8[[#This Row],[Supporter_ID]],tb1_supporters[Supporter_ID ],tb1_supporters[Gender],"")</f>
        <v>Male</v>
      </c>
      <c r="N492">
        <f ca="1">_xlfn.XLOOKUP(Table8[[#This Row],[Supporter_ID]],tb1_supporters[Supporter_ID ],tb1_supporters[Age],"")</f>
        <v>87</v>
      </c>
      <c r="O492" t="str">
        <f ca="1">_xlfn.XLOOKUP(Table8[[#This Row],[Supporter_ID]],tb1_supporters[Supporter_ID ],tb1_supporters[Age_Band],"")</f>
        <v>65+</v>
      </c>
      <c r="P492" t="str">
        <f ca="1">IF(Table8[[#This Row],[Age_Band]]="","Unknown",Table8[[#This Row],[Age_Band]])</f>
        <v>65+</v>
      </c>
      <c r="Q492" t="str">
        <f>_xlfn.XLOOKUP(Table8[[#This Row],[Supporter_ID]],tb1_supporters[Supporter_ID ],tb1_supporters[Communication_Preference],"")</f>
        <v>Email</v>
      </c>
      <c r="R492" t="str">
        <f>_xlfn.XLOOKUP(Table8[[#This Row],[Supporter_ID]],tb1_supporters[Supporter_ID ],tb1_supporters[Duplicate_Profile_Flag],"")</f>
        <v/>
      </c>
      <c r="S492" t="str">
        <f>_xlfn.XLOOKUP(Table8[[#This Row],[Supporter_ID]],tb1_supporters[Supporter_ID ],tb1_supporters[Preference_Compliance_Flag],"")</f>
        <v/>
      </c>
      <c r="T492" t="str">
        <f ca="1">IF(Table8[[#This Row],[Age]]="","Review - missing DOB",IF(Table8[[#This Row],[Age]]&gt;TODAY(),"Review - future DOB",IF(Table8[[#This Row],[Age]]=0,"Review -  potential entry error (age 0)","")))</f>
        <v/>
      </c>
      <c r="U492" t="str">
        <f>_xlfn.XLOOKUP(Table8[[#This Row],[Campaign_Code]],tb3_CampaignMaster[Campaign_Code],tb3_CampaignMaster[Campaign_Type],"")</f>
        <v>Legacy</v>
      </c>
      <c r="V492" t="str">
        <f>_xlfn.XLOOKUP(Table8[[#This Row],[Campaign_Code]],tb3_CampaignMaster[Campaign_Code],tb3_CampaignMaster[Target_Audience],"")</f>
        <v>Over 55s</v>
      </c>
      <c r="W492" s="17">
        <f>_xlfn.XLOOKUP(Table8[[#This Row],[Campaign_Code]],tb3_CampaignMaster[Campaign_Code],tb3_CampaignMaster[Start_Date],"")</f>
        <v>45572</v>
      </c>
      <c r="X492" s="17">
        <f>_xlfn.XLOOKUP(Table8[[#This Row],[Campaign_Code]],tb3_CampaignMaster[Campaign_Code],tb3_CampaignMaster[End_Date],"")</f>
        <v>45578</v>
      </c>
      <c r="Y492">
        <f>_xlfn.XLOOKUP(Table8[[#This Row],[Campaign_Code]],tb3_CampaignMaster[Campaign_Code],tb3_CampaignMaster[Budget_GBP],"")</f>
        <v>5000</v>
      </c>
      <c r="Z492" t="str">
        <f>_xlfn.XLOOKUP(Table8[[#This Row],[Campaign_Code]],tb3_CampaignMaster[Campaign_Code],tb3_CampaignMaster[Primary_Channel],"")</f>
        <v>Direct Mail</v>
      </c>
      <c r="AA492" s="13">
        <f>IF(Table8[[#This Row],[Gift_Aid_Eligible]]="Yes",Table8[[#This Row],[Gift_Amount]]*1.25,Table8[[#This Row],[Gift_Amount]])</f>
        <v>138.02500000000001</v>
      </c>
      <c r="AB492" t="str">
        <f>IF(Table8[[#This Row],[Supporter_ID]]="","Review - missing supporter ID","")</f>
        <v/>
      </c>
      <c r="AC492" t="str">
        <f>IF(OR(Table8[[#This Row],[Response_Date]]&lt;Table8[[#This Row],[Start_Date]],Table8[[#This Row],[Response_Date]]&gt;Table8[[#This Row],[End_Date]]),"Review - response outside campaign dates","")</f>
        <v/>
      </c>
      <c r="AD492" t="str">
        <f>IF(Table8[[#This Row],[Campaign_Type]]="","Review - campaign code not found","")</f>
        <v/>
      </c>
    </row>
    <row r="493" spans="1:30" x14ac:dyDescent="0.25">
      <c r="A493" t="s">
        <v>4198</v>
      </c>
      <c r="B493" t="s">
        <v>717</v>
      </c>
      <c r="C493" t="s">
        <v>3362</v>
      </c>
      <c r="D493" t="s">
        <v>3363</v>
      </c>
      <c r="E493" t="s">
        <v>65</v>
      </c>
      <c r="F493" s="17">
        <v>45578</v>
      </c>
      <c r="G493">
        <v>70.92</v>
      </c>
      <c r="H493" t="s">
        <v>37</v>
      </c>
      <c r="I493" t="s">
        <v>3385</v>
      </c>
      <c r="J493" t="str">
        <f>_xlfn.XLOOKUP(Table8[[#This Row],[Supporter_ID]],tb1_supporters[Supporter_ID ],tb1_supporters[Segment],"")</f>
        <v>Legacy Pledger</v>
      </c>
      <c r="K493" t="str">
        <f>_xlfn.XLOOKUP(Table8[[#This Row],[Supporter_ID]],tb1_supporters[Supporter_ID ],tb1_supporters[Acquisition_Source],"")</f>
        <v>Event</v>
      </c>
      <c r="L493" t="str">
        <f>_xlfn.XLOOKUP(Table8[[#This Row],[Supporter_ID]],tb1_supporters[Supporter_ID ],tb1_supporters[County],"")</f>
        <v>North Yorkshire</v>
      </c>
      <c r="M493" t="str">
        <f>_xlfn.XLOOKUP(Table8[[#This Row],[Supporter_ID]],tb1_supporters[Supporter_ID ],tb1_supporters[Gender],"")</f>
        <v>Female</v>
      </c>
      <c r="N493">
        <f ca="1">_xlfn.XLOOKUP(Table8[[#This Row],[Supporter_ID]],tb1_supporters[Supporter_ID ],tb1_supporters[Age],"")</f>
        <v>95</v>
      </c>
      <c r="O493" t="str">
        <f ca="1">_xlfn.XLOOKUP(Table8[[#This Row],[Supporter_ID]],tb1_supporters[Supporter_ID ],tb1_supporters[Age_Band],"")</f>
        <v>65+</v>
      </c>
      <c r="P493" t="str">
        <f ca="1">IF(Table8[[#This Row],[Age_Band]]="","Unknown",Table8[[#This Row],[Age_Band]])</f>
        <v>65+</v>
      </c>
      <c r="Q493" t="str">
        <f>_xlfn.XLOOKUP(Table8[[#This Row],[Supporter_ID]],tb1_supporters[Supporter_ID ],tb1_supporters[Communication_Preference],"")</f>
        <v>Email</v>
      </c>
      <c r="R493" t="str">
        <f>_xlfn.XLOOKUP(Table8[[#This Row],[Supporter_ID]],tb1_supporters[Supporter_ID ],tb1_supporters[Duplicate_Profile_Flag],"")</f>
        <v/>
      </c>
      <c r="S493" t="str">
        <f>_xlfn.XLOOKUP(Table8[[#This Row],[Supporter_ID]],tb1_supporters[Supporter_ID ],tb1_supporters[Preference_Compliance_Flag],"")</f>
        <v/>
      </c>
      <c r="T493" t="str">
        <f ca="1">IF(Table8[[#This Row],[Age]]="","Review - missing DOB",IF(Table8[[#This Row],[Age]]&gt;TODAY(),"Review - future DOB",IF(Table8[[#This Row],[Age]]=0,"Review -  potential entry error (age 0)","")))</f>
        <v/>
      </c>
      <c r="U493" t="str">
        <f>_xlfn.XLOOKUP(Table8[[#This Row],[Campaign_Code]],tb3_CampaignMaster[Campaign_Code],tb3_CampaignMaster[Campaign_Type],"")</f>
        <v>Legacy</v>
      </c>
      <c r="V493" t="str">
        <f>_xlfn.XLOOKUP(Table8[[#This Row],[Campaign_Code]],tb3_CampaignMaster[Campaign_Code],tb3_CampaignMaster[Target_Audience],"")</f>
        <v>Over 55s</v>
      </c>
      <c r="W493" s="17">
        <f>_xlfn.XLOOKUP(Table8[[#This Row],[Campaign_Code]],tb3_CampaignMaster[Campaign_Code],tb3_CampaignMaster[Start_Date],"")</f>
        <v>45572</v>
      </c>
      <c r="X493" s="17">
        <f>_xlfn.XLOOKUP(Table8[[#This Row],[Campaign_Code]],tb3_CampaignMaster[Campaign_Code],tb3_CampaignMaster[End_Date],"")</f>
        <v>45578</v>
      </c>
      <c r="Y493">
        <f>_xlfn.XLOOKUP(Table8[[#This Row],[Campaign_Code]],tb3_CampaignMaster[Campaign_Code],tb3_CampaignMaster[Budget_GBP],"")</f>
        <v>5000</v>
      </c>
      <c r="Z493" t="str">
        <f>_xlfn.XLOOKUP(Table8[[#This Row],[Campaign_Code]],tb3_CampaignMaster[Campaign_Code],tb3_CampaignMaster[Primary_Channel],"")</f>
        <v>Direct Mail</v>
      </c>
      <c r="AA493" s="13">
        <f>IF(Table8[[#This Row],[Gift_Aid_Eligible]]="Yes",Table8[[#This Row],[Gift_Amount]]*1.25,Table8[[#This Row],[Gift_Amount]])</f>
        <v>70.92</v>
      </c>
      <c r="AB493" t="str">
        <f>IF(Table8[[#This Row],[Supporter_ID]]="","Review - missing supporter ID","")</f>
        <v/>
      </c>
      <c r="AC493" t="str">
        <f>IF(OR(Table8[[#This Row],[Response_Date]]&lt;Table8[[#This Row],[Start_Date]],Table8[[#This Row],[Response_Date]]&gt;Table8[[#This Row],[End_Date]]),"Review - response outside campaign dates","")</f>
        <v/>
      </c>
      <c r="AD493" t="str">
        <f>IF(Table8[[#This Row],[Campaign_Type]]="","Review - campaign code not found","")</f>
        <v/>
      </c>
    </row>
    <row r="494" spans="1:30" x14ac:dyDescent="0.25">
      <c r="A494" t="s">
        <v>4199</v>
      </c>
      <c r="B494" t="s">
        <v>927</v>
      </c>
      <c r="C494" t="s">
        <v>3325</v>
      </c>
      <c r="D494" t="s">
        <v>3326</v>
      </c>
      <c r="E494" t="s">
        <v>3338</v>
      </c>
      <c r="F494" s="17">
        <v>45601</v>
      </c>
      <c r="G494">
        <v>4503.8500000000004</v>
      </c>
      <c r="H494" t="s">
        <v>37</v>
      </c>
      <c r="I494" t="s">
        <v>3328</v>
      </c>
      <c r="J494" t="str">
        <f>_xlfn.XLOOKUP(Table8[[#This Row],[Supporter_ID]],tb1_supporters[Supporter_ID ],tb1_supporters[Segment],"")</f>
        <v>Major Donor</v>
      </c>
      <c r="K494" t="str">
        <f>_xlfn.XLOOKUP(Table8[[#This Row],[Supporter_ID]],tb1_supporters[Supporter_ID ],tb1_supporters[Acquisition_Source],"")</f>
        <v>Referral</v>
      </c>
      <c r="L494" t="str">
        <f>_xlfn.XLOOKUP(Table8[[#This Row],[Supporter_ID]],tb1_supporters[Supporter_ID ],tb1_supporters[County],"")</f>
        <v>Angus</v>
      </c>
      <c r="M494" t="str">
        <f>_xlfn.XLOOKUP(Table8[[#This Row],[Supporter_ID]],tb1_supporters[Supporter_ID ],tb1_supporters[Gender],"")</f>
        <v>Male</v>
      </c>
      <c r="N494">
        <f ca="1">_xlfn.XLOOKUP(Table8[[#This Row],[Supporter_ID]],tb1_supporters[Supporter_ID ],tb1_supporters[Age],"")</f>
        <v>37</v>
      </c>
      <c r="O494" t="str">
        <f ca="1">_xlfn.XLOOKUP(Table8[[#This Row],[Supporter_ID]],tb1_supporters[Supporter_ID ],tb1_supporters[Age_Band],"")</f>
        <v>35-49</v>
      </c>
      <c r="P494" t="str">
        <f ca="1">IF(Table8[[#This Row],[Age_Band]]="","Unknown",Table8[[#This Row],[Age_Band]])</f>
        <v>35-49</v>
      </c>
      <c r="Q494" t="str">
        <f>_xlfn.XLOOKUP(Table8[[#This Row],[Supporter_ID]],tb1_supporters[Supporter_ID ],tb1_supporters[Communication_Preference],"")</f>
        <v>Email</v>
      </c>
      <c r="R494" t="str">
        <f>_xlfn.XLOOKUP(Table8[[#This Row],[Supporter_ID]],tb1_supporters[Supporter_ID ],tb1_supporters[Duplicate_Profile_Flag],"")</f>
        <v/>
      </c>
      <c r="S494" t="str">
        <f>_xlfn.XLOOKUP(Table8[[#This Row],[Supporter_ID]],tb1_supporters[Supporter_ID ],tb1_supporters[Preference_Compliance_Flag],"")</f>
        <v>Review - prefers email but not opted in</v>
      </c>
      <c r="T494" t="str">
        <f ca="1">IF(Table8[[#This Row],[Age]]="","Review - missing DOB",IF(Table8[[#This Row],[Age]]&gt;TODAY(),"Review - future DOB",IF(Table8[[#This Row],[Age]]=0,"Review -  potential entry error (age 0)","")))</f>
        <v/>
      </c>
      <c r="U494" t="str">
        <f>_xlfn.XLOOKUP(Table8[[#This Row],[Campaign_Code]],tb3_CampaignMaster[Campaign_Code],tb3_CampaignMaster[Campaign_Type],"")</f>
        <v>Appeal</v>
      </c>
      <c r="V494" t="str">
        <f>_xlfn.XLOOKUP(Table8[[#This Row],[Campaign_Code]],tb3_CampaignMaster[Campaign_Code],tb3_CampaignMaster[Target_Audience],"")</f>
        <v>All Active</v>
      </c>
      <c r="W494" s="17">
        <f>_xlfn.XLOOKUP(Table8[[#This Row],[Campaign_Code]],tb3_CampaignMaster[Campaign_Code],tb3_CampaignMaster[Start_Date],"")</f>
        <v>45597</v>
      </c>
      <c r="X494" s="17">
        <f>_xlfn.XLOOKUP(Table8[[#This Row],[Campaign_Code]],tb3_CampaignMaster[Campaign_Code],tb3_CampaignMaster[End_Date],"")</f>
        <v>45657</v>
      </c>
      <c r="Y494">
        <f>_xlfn.XLOOKUP(Table8[[#This Row],[Campaign_Code]],tb3_CampaignMaster[Campaign_Code],tb3_CampaignMaster[Budget_GBP],"")</f>
        <v>25000</v>
      </c>
      <c r="Z494" t="str">
        <f>_xlfn.XLOOKUP(Table8[[#This Row],[Campaign_Code]],tb3_CampaignMaster[Campaign_Code],tb3_CampaignMaster[Primary_Channel],"")</f>
        <v>Multi-channel</v>
      </c>
      <c r="AA494" s="13">
        <f>IF(Table8[[#This Row],[Gift_Aid_Eligible]]="Yes",Table8[[#This Row],[Gift_Amount]]*1.25,Table8[[#This Row],[Gift_Amount]])</f>
        <v>4503.8500000000004</v>
      </c>
      <c r="AB494" t="str">
        <f>IF(Table8[[#This Row],[Supporter_ID]]="","Review - missing supporter ID","")</f>
        <v/>
      </c>
      <c r="AC494" t="str">
        <f>IF(OR(Table8[[#This Row],[Response_Date]]&lt;Table8[[#This Row],[Start_Date]],Table8[[#This Row],[Response_Date]]&gt;Table8[[#This Row],[End_Date]]),"Review - response outside campaign dates","")</f>
        <v/>
      </c>
      <c r="AD494" t="str">
        <f>IF(Table8[[#This Row],[Campaign_Type]]="","Review - campaign code not found","")</f>
        <v/>
      </c>
    </row>
    <row r="495" spans="1:30" x14ac:dyDescent="0.25">
      <c r="A495" t="s">
        <v>4201</v>
      </c>
      <c r="B495" t="s">
        <v>1597</v>
      </c>
      <c r="C495" t="s">
        <v>3341</v>
      </c>
      <c r="D495" t="s">
        <v>3342</v>
      </c>
      <c r="E495" t="s">
        <v>91</v>
      </c>
      <c r="F495" s="17">
        <v>45706</v>
      </c>
      <c r="G495">
        <v>44.32</v>
      </c>
      <c r="H495" t="s">
        <v>37</v>
      </c>
      <c r="I495" t="s">
        <v>3370</v>
      </c>
      <c r="J495" t="str">
        <f>_xlfn.XLOOKUP(Table8[[#This Row],[Supporter_ID]],tb1_supporters[Supporter_ID ],tb1_supporters[Segment],"")</f>
        <v>Lapsed</v>
      </c>
      <c r="K495" t="str">
        <f>_xlfn.XLOOKUP(Table8[[#This Row],[Supporter_ID]],tb1_supporters[Supporter_ID ],tb1_supporters[Acquisition_Source],"")</f>
        <v>Corporate Partner</v>
      </c>
      <c r="L495" t="str">
        <f>_xlfn.XLOOKUP(Table8[[#This Row],[Supporter_ID]],tb1_supporters[Supporter_ID ],tb1_supporters[County],"")</f>
        <v>Somerset</v>
      </c>
      <c r="M495" t="str">
        <f>_xlfn.XLOOKUP(Table8[[#This Row],[Supporter_ID]],tb1_supporters[Supporter_ID ],tb1_supporters[Gender],"")</f>
        <v>Male</v>
      </c>
      <c r="N495">
        <f ca="1">_xlfn.XLOOKUP(Table8[[#This Row],[Supporter_ID]],tb1_supporters[Supporter_ID ],tb1_supporters[Age],"")</f>
        <v>39</v>
      </c>
      <c r="O495" t="str">
        <f ca="1">_xlfn.XLOOKUP(Table8[[#This Row],[Supporter_ID]],tb1_supporters[Supporter_ID ],tb1_supporters[Age_Band],"")</f>
        <v>35-49</v>
      </c>
      <c r="P495" t="str">
        <f ca="1">IF(Table8[[#This Row],[Age_Band]]="","Unknown",Table8[[#This Row],[Age_Band]])</f>
        <v>35-49</v>
      </c>
      <c r="Q495" t="str">
        <f>_xlfn.XLOOKUP(Table8[[#This Row],[Supporter_ID]],tb1_supporters[Supporter_ID ],tb1_supporters[Communication_Preference],"")</f>
        <v>Post</v>
      </c>
      <c r="R495" t="str">
        <f>_xlfn.XLOOKUP(Table8[[#This Row],[Supporter_ID]],tb1_supporters[Supporter_ID ],tb1_supporters[Duplicate_Profile_Flag],"")</f>
        <v/>
      </c>
      <c r="S495" t="str">
        <f>_xlfn.XLOOKUP(Table8[[#This Row],[Supporter_ID]],tb1_supporters[Supporter_ID ],tb1_supporters[Preference_Compliance_Flag],"")</f>
        <v/>
      </c>
      <c r="T495" t="str">
        <f ca="1">IF(Table8[[#This Row],[Age]]="","Review - missing DOB",IF(Table8[[#This Row],[Age]]&gt;TODAY(),"Review - future DOB",IF(Table8[[#This Row],[Age]]=0,"Review -  potential entry error (age 0)","")))</f>
        <v/>
      </c>
      <c r="U495" t="str">
        <f>_xlfn.XLOOKUP(Table8[[#This Row],[Campaign_Code]],tb3_CampaignMaster[Campaign_Code],tb3_CampaignMaster[Campaign_Type],"")</f>
        <v>Acquisition</v>
      </c>
      <c r="V495" t="str">
        <f>_xlfn.XLOOKUP(Table8[[#This Row],[Campaign_Code]],tb3_CampaignMaster[Campaign_Code],tb3_CampaignMaster[Target_Audience],"")</f>
        <v>Prospects</v>
      </c>
      <c r="W495" s="17">
        <f>_xlfn.XLOOKUP(Table8[[#This Row],[Campaign_Code]],tb3_CampaignMaster[Campaign_Code],tb3_CampaignMaster[Start_Date],"")</f>
        <v>45689</v>
      </c>
      <c r="X495" s="17">
        <f>_xlfn.XLOOKUP(Table8[[#This Row],[Campaign_Code]],tb3_CampaignMaster[Campaign_Code],tb3_CampaignMaster[End_Date],"")</f>
        <v>45777</v>
      </c>
      <c r="Y495">
        <f>_xlfn.XLOOKUP(Table8[[#This Row],[Campaign_Code]],tb3_CampaignMaster[Campaign_Code],tb3_CampaignMaster[Budget_GBP],"")</f>
        <v>20000</v>
      </c>
      <c r="Z495" t="str">
        <f>_xlfn.XLOOKUP(Table8[[#This Row],[Campaign_Code]],tb3_CampaignMaster[Campaign_Code],tb3_CampaignMaster[Primary_Channel],"")</f>
        <v>Digital</v>
      </c>
      <c r="AA495" s="13">
        <f>IF(Table8[[#This Row],[Gift_Aid_Eligible]]="Yes",Table8[[#This Row],[Gift_Amount]]*1.25,Table8[[#This Row],[Gift_Amount]])</f>
        <v>44.32</v>
      </c>
      <c r="AB495" t="str">
        <f>IF(Table8[[#This Row],[Supporter_ID]]="","Review - missing supporter ID","")</f>
        <v/>
      </c>
      <c r="AC495" t="str">
        <f>IF(OR(Table8[[#This Row],[Response_Date]]&lt;Table8[[#This Row],[Start_Date]],Table8[[#This Row],[Response_Date]]&gt;Table8[[#This Row],[End_Date]]),"Review - response outside campaign dates","")</f>
        <v/>
      </c>
      <c r="AD495" t="str">
        <f>IF(Table8[[#This Row],[Campaign_Type]]="","Review - campaign code not found","")</f>
        <v/>
      </c>
    </row>
    <row r="496" spans="1:30" x14ac:dyDescent="0.25">
      <c r="A496" t="s">
        <v>4203</v>
      </c>
      <c r="B496" t="s">
        <v>2644</v>
      </c>
      <c r="C496" t="s">
        <v>3354</v>
      </c>
      <c r="D496" t="s">
        <v>3355</v>
      </c>
      <c r="E496" t="s">
        <v>65</v>
      </c>
      <c r="F496" s="17">
        <v>45618</v>
      </c>
      <c r="G496">
        <v>7.77</v>
      </c>
      <c r="H496" t="s">
        <v>36</v>
      </c>
      <c r="I496" t="s">
        <v>3370</v>
      </c>
      <c r="J496" t="str">
        <f>_xlfn.XLOOKUP(Table8[[#This Row],[Supporter_ID]],tb1_supporters[Supporter_ID ],tb1_supporters[Segment],"")</f>
        <v>Prospect</v>
      </c>
      <c r="K496" t="str">
        <f>_xlfn.XLOOKUP(Table8[[#This Row],[Supporter_ID]],tb1_supporters[Supporter_ID ],tb1_supporters[Acquisition_Source],"")</f>
        <v>Door-To-Door</v>
      </c>
      <c r="L496" t="str">
        <f>_xlfn.XLOOKUP(Table8[[#This Row],[Supporter_ID]],tb1_supporters[Supporter_ID ],tb1_supporters[County],"")</f>
        <v>Cheshire</v>
      </c>
      <c r="M496" t="str">
        <f>_xlfn.XLOOKUP(Table8[[#This Row],[Supporter_ID]],tb1_supporters[Supporter_ID ],tb1_supporters[Gender],"")</f>
        <v>Female</v>
      </c>
      <c r="N496">
        <f ca="1">_xlfn.XLOOKUP(Table8[[#This Row],[Supporter_ID]],tb1_supporters[Supporter_ID ],tb1_supporters[Age],"")</f>
        <v>49</v>
      </c>
      <c r="O496" t="str">
        <f ca="1">_xlfn.XLOOKUP(Table8[[#This Row],[Supporter_ID]],tb1_supporters[Supporter_ID ],tb1_supporters[Age_Band],"")</f>
        <v>35-49</v>
      </c>
      <c r="P496" t="str">
        <f ca="1">IF(Table8[[#This Row],[Age_Band]]="","Unknown",Table8[[#This Row],[Age_Band]])</f>
        <v>35-49</v>
      </c>
      <c r="Q496" t="str">
        <f>_xlfn.XLOOKUP(Table8[[#This Row],[Supporter_ID]],tb1_supporters[Supporter_ID ],tb1_supporters[Communication_Preference],"")</f>
        <v>Post</v>
      </c>
      <c r="R496" t="str">
        <f>_xlfn.XLOOKUP(Table8[[#This Row],[Supporter_ID]],tb1_supporters[Supporter_ID ],tb1_supporters[Duplicate_Profile_Flag],"")</f>
        <v/>
      </c>
      <c r="S496" t="str">
        <f>_xlfn.XLOOKUP(Table8[[#This Row],[Supporter_ID]],tb1_supporters[Supporter_ID ],tb1_supporters[Preference_Compliance_Flag],"")</f>
        <v/>
      </c>
      <c r="T496" t="str">
        <f ca="1">IF(Table8[[#This Row],[Age]]="","Review - missing DOB",IF(Table8[[#This Row],[Age]]&gt;TODAY(),"Review - future DOB",IF(Table8[[#This Row],[Age]]=0,"Review -  potential entry error (age 0)","")))</f>
        <v/>
      </c>
      <c r="U496" t="str">
        <f>_xlfn.XLOOKUP(Table8[[#This Row],[Campaign_Code]],tb3_CampaignMaster[Campaign_Code],tb3_CampaignMaster[Campaign_Type],"")</f>
        <v>Event</v>
      </c>
      <c r="V496" t="str">
        <f>_xlfn.XLOOKUP(Table8[[#This Row],[Campaign_Code]],tb3_CampaignMaster[Campaign_Code],tb3_CampaignMaster[Target_Audience],"")</f>
        <v>Volunteers</v>
      </c>
      <c r="W496" s="17">
        <f>_xlfn.XLOOKUP(Table8[[#This Row],[Campaign_Code]],tb3_CampaignMaster[Campaign_Code],tb3_CampaignMaster[Start_Date],"")</f>
        <v>45618</v>
      </c>
      <c r="X496" s="17">
        <f>_xlfn.XLOOKUP(Table8[[#This Row],[Campaign_Code]],tb3_CampaignMaster[Campaign_Code],tb3_CampaignMaster[End_Date],"")</f>
        <v>45618</v>
      </c>
      <c r="Y496">
        <f>_xlfn.XLOOKUP(Table8[[#This Row],[Campaign_Code]],tb3_CampaignMaster[Campaign_Code],tb3_CampaignMaster[Budget_GBP],"")</f>
        <v>3500</v>
      </c>
      <c r="Z496" t="str">
        <f>_xlfn.XLOOKUP(Table8[[#This Row],[Campaign_Code]],tb3_CampaignMaster[Campaign_Code],tb3_CampaignMaster[Primary_Channel],"")</f>
        <v>Email</v>
      </c>
      <c r="AA496" s="13">
        <f>IF(Table8[[#This Row],[Gift_Aid_Eligible]]="Yes",Table8[[#This Row],[Gift_Amount]]*1.25,Table8[[#This Row],[Gift_Amount]])</f>
        <v>9.7124999999999986</v>
      </c>
      <c r="AB496" t="str">
        <f>IF(Table8[[#This Row],[Supporter_ID]]="","Review - missing supporter ID","")</f>
        <v/>
      </c>
      <c r="AC496" t="str">
        <f>IF(OR(Table8[[#This Row],[Response_Date]]&lt;Table8[[#This Row],[Start_Date]],Table8[[#This Row],[Response_Date]]&gt;Table8[[#This Row],[End_Date]]),"Review - response outside campaign dates","")</f>
        <v/>
      </c>
      <c r="AD496" t="str">
        <f>IF(Table8[[#This Row],[Campaign_Type]]="","Review - campaign code not found","")</f>
        <v/>
      </c>
    </row>
    <row r="497" spans="1:30" x14ac:dyDescent="0.25">
      <c r="A497" t="s">
        <v>4204</v>
      </c>
      <c r="B497" t="s">
        <v>1675</v>
      </c>
      <c r="C497" t="s">
        <v>3320</v>
      </c>
      <c r="D497" t="s">
        <v>3321</v>
      </c>
      <c r="E497" t="s">
        <v>65</v>
      </c>
      <c r="F497" s="17">
        <v>45453</v>
      </c>
      <c r="G497">
        <v>37.200000000000003</v>
      </c>
      <c r="H497" t="s">
        <v>36</v>
      </c>
      <c r="I497" t="s">
        <v>3370</v>
      </c>
      <c r="J497" t="str">
        <f>_xlfn.XLOOKUP(Table8[[#This Row],[Supporter_ID]],tb1_supporters[Supporter_ID ],tb1_supporters[Segment],"")</f>
        <v>Regular Giver</v>
      </c>
      <c r="K497" t="str">
        <f>_xlfn.XLOOKUP(Table8[[#This Row],[Supporter_ID]],tb1_supporters[Supporter_ID ],tb1_supporters[Acquisition_Source],"")</f>
        <v>Social Media</v>
      </c>
      <c r="L497" t="str">
        <f>_xlfn.XLOOKUP(Table8[[#This Row],[Supporter_ID]],tb1_supporters[Supporter_ID ],tb1_supporters[County],"")</f>
        <v>Surrey</v>
      </c>
      <c r="M497" t="str">
        <f>_xlfn.XLOOKUP(Table8[[#This Row],[Supporter_ID]],tb1_supporters[Supporter_ID ],tb1_supporters[Gender],"")</f>
        <v>Male</v>
      </c>
      <c r="N497">
        <f ca="1">_xlfn.XLOOKUP(Table8[[#This Row],[Supporter_ID]],tb1_supporters[Supporter_ID ],tb1_supporters[Age],"")</f>
        <v>54</v>
      </c>
      <c r="O497" t="str">
        <f ca="1">_xlfn.XLOOKUP(Table8[[#This Row],[Supporter_ID]],tb1_supporters[Supporter_ID ],tb1_supporters[Age_Band],"")</f>
        <v>50-64</v>
      </c>
      <c r="P497" t="str">
        <f ca="1">IF(Table8[[#This Row],[Age_Band]]="","Unknown",Table8[[#This Row],[Age_Band]])</f>
        <v>50-64</v>
      </c>
      <c r="Q497" t="str">
        <f>_xlfn.XLOOKUP(Table8[[#This Row],[Supporter_ID]],tb1_supporters[Supporter_ID ],tb1_supporters[Communication_Preference],"")</f>
        <v>Email</v>
      </c>
      <c r="R497" t="str">
        <f>_xlfn.XLOOKUP(Table8[[#This Row],[Supporter_ID]],tb1_supporters[Supporter_ID ],tb1_supporters[Duplicate_Profile_Flag],"")</f>
        <v/>
      </c>
      <c r="S497" t="str">
        <f>_xlfn.XLOOKUP(Table8[[#This Row],[Supporter_ID]],tb1_supporters[Supporter_ID ],tb1_supporters[Preference_Compliance_Flag],"")</f>
        <v>Review - prefers email but not opted in</v>
      </c>
      <c r="T497" t="str">
        <f ca="1">IF(Table8[[#This Row],[Age]]="","Review - missing DOB",IF(Table8[[#This Row],[Age]]&gt;TODAY(),"Review - future DOB",IF(Table8[[#This Row],[Age]]=0,"Review -  potential entry error (age 0)","")))</f>
        <v/>
      </c>
      <c r="U497" t="str">
        <f>_xlfn.XLOOKUP(Table8[[#This Row],[Campaign_Code]],tb3_CampaignMaster[Campaign_Code],tb3_CampaignMaster[Campaign_Type],"")</f>
        <v>Stewardship</v>
      </c>
      <c r="V497" t="str">
        <f>_xlfn.XLOOKUP(Table8[[#This Row],[Campaign_Code]],tb3_CampaignMaster[Campaign_Code],tb3_CampaignMaster[Target_Audience],"")</f>
        <v>Major Donors</v>
      </c>
      <c r="W497" s="17">
        <f>_xlfn.XLOOKUP(Table8[[#This Row],[Campaign_Code]],tb3_CampaignMaster[Campaign_Code],tb3_CampaignMaster[Start_Date],"")</f>
        <v>45444</v>
      </c>
      <c r="X497" s="17">
        <f>_xlfn.XLOOKUP(Table8[[#This Row],[Campaign_Code]],tb3_CampaignMaster[Campaign_Code],tb3_CampaignMaster[End_Date],"")</f>
        <v>45473</v>
      </c>
      <c r="Y497">
        <f>_xlfn.XLOOKUP(Table8[[#This Row],[Campaign_Code]],tb3_CampaignMaster[Campaign_Code],tb3_CampaignMaster[Budget_GBP],"")</f>
        <v>7000</v>
      </c>
      <c r="Z497" t="str">
        <f>_xlfn.XLOOKUP(Table8[[#This Row],[Campaign_Code]],tb3_CampaignMaster[Campaign_Code],tb3_CampaignMaster[Primary_Channel],"")</f>
        <v>Direct Mail</v>
      </c>
      <c r="AA497" s="13">
        <f>IF(Table8[[#This Row],[Gift_Aid_Eligible]]="Yes",Table8[[#This Row],[Gift_Amount]]*1.25,Table8[[#This Row],[Gift_Amount]])</f>
        <v>46.5</v>
      </c>
      <c r="AB497" t="str">
        <f>IF(Table8[[#This Row],[Supporter_ID]]="","Review - missing supporter ID","")</f>
        <v/>
      </c>
      <c r="AC497" t="str">
        <f>IF(OR(Table8[[#This Row],[Response_Date]]&lt;Table8[[#This Row],[Start_Date]],Table8[[#This Row],[Response_Date]]&gt;Table8[[#This Row],[End_Date]]),"Review - response outside campaign dates","")</f>
        <v/>
      </c>
      <c r="AD497" t="str">
        <f>IF(Table8[[#This Row],[Campaign_Type]]="","Review - campaign code not found","")</f>
        <v/>
      </c>
    </row>
    <row r="498" spans="1:30" x14ac:dyDescent="0.25">
      <c r="A498" t="s">
        <v>4206</v>
      </c>
      <c r="B498" t="s">
        <v>130</v>
      </c>
      <c r="C498" t="s">
        <v>3341</v>
      </c>
      <c r="D498" t="s">
        <v>3342</v>
      </c>
      <c r="E498" t="s">
        <v>91</v>
      </c>
      <c r="F498" s="17">
        <v>45693</v>
      </c>
      <c r="G498">
        <v>154</v>
      </c>
      <c r="H498" t="s">
        <v>37</v>
      </c>
      <c r="I498" t="s">
        <v>3328</v>
      </c>
      <c r="J498" t="str">
        <f>_xlfn.XLOOKUP(Table8[[#This Row],[Supporter_ID]],tb1_supporters[Supporter_ID ],tb1_supporters[Segment],"")</f>
        <v>Mid-Value</v>
      </c>
      <c r="K498" t="str">
        <f>_xlfn.XLOOKUP(Table8[[#This Row],[Supporter_ID]],tb1_supporters[Supporter_ID ],tb1_supporters[Acquisition_Source],"")</f>
        <v>Direct Mail</v>
      </c>
      <c r="L498" t="str">
        <f>_xlfn.XLOOKUP(Table8[[#This Row],[Supporter_ID]],tb1_supporters[Supporter_ID ],tb1_supporters[County],"")</f>
        <v>Oxfordshire</v>
      </c>
      <c r="M498" t="str">
        <f>_xlfn.XLOOKUP(Table8[[#This Row],[Supporter_ID]],tb1_supporters[Supporter_ID ],tb1_supporters[Gender],"")</f>
        <v>Female</v>
      </c>
      <c r="N498">
        <f ca="1">_xlfn.XLOOKUP(Table8[[#This Row],[Supporter_ID]],tb1_supporters[Supporter_ID ],tb1_supporters[Age],"")</f>
        <v>64</v>
      </c>
      <c r="O498" t="str">
        <f ca="1">_xlfn.XLOOKUP(Table8[[#This Row],[Supporter_ID]],tb1_supporters[Supporter_ID ],tb1_supporters[Age_Band],"")</f>
        <v>50-64</v>
      </c>
      <c r="P498" t="str">
        <f ca="1">IF(Table8[[#This Row],[Age_Band]]="","Unknown",Table8[[#This Row],[Age_Band]])</f>
        <v>50-64</v>
      </c>
      <c r="Q498" t="str">
        <f>_xlfn.XLOOKUP(Table8[[#This Row],[Supporter_ID]],tb1_supporters[Supporter_ID ],tb1_supporters[Communication_Preference],"")</f>
        <v>Post</v>
      </c>
      <c r="R498" t="str">
        <f>_xlfn.XLOOKUP(Table8[[#This Row],[Supporter_ID]],tb1_supporters[Supporter_ID ],tb1_supporters[Duplicate_Profile_Flag],"")</f>
        <v/>
      </c>
      <c r="S498" t="str">
        <f>_xlfn.XLOOKUP(Table8[[#This Row],[Supporter_ID]],tb1_supporters[Supporter_ID ],tb1_supporters[Preference_Compliance_Flag],"")</f>
        <v>Review - prefers post but not opted in</v>
      </c>
      <c r="T498" t="str">
        <f ca="1">IF(Table8[[#This Row],[Age]]="","Review - missing DOB",IF(Table8[[#This Row],[Age]]&gt;TODAY(),"Review - future DOB",IF(Table8[[#This Row],[Age]]=0,"Review -  potential entry error (age 0)","")))</f>
        <v/>
      </c>
      <c r="U498" t="str">
        <f>_xlfn.XLOOKUP(Table8[[#This Row],[Campaign_Code]],tb3_CampaignMaster[Campaign_Code],tb3_CampaignMaster[Campaign_Type],"")</f>
        <v>Acquisition</v>
      </c>
      <c r="V498" t="str">
        <f>_xlfn.XLOOKUP(Table8[[#This Row],[Campaign_Code]],tb3_CampaignMaster[Campaign_Code],tb3_CampaignMaster[Target_Audience],"")</f>
        <v>Prospects</v>
      </c>
      <c r="W498" s="17">
        <f>_xlfn.XLOOKUP(Table8[[#This Row],[Campaign_Code]],tb3_CampaignMaster[Campaign_Code],tb3_CampaignMaster[Start_Date],"")</f>
        <v>45689</v>
      </c>
      <c r="X498" s="17">
        <f>_xlfn.XLOOKUP(Table8[[#This Row],[Campaign_Code]],tb3_CampaignMaster[Campaign_Code],tb3_CampaignMaster[End_Date],"")</f>
        <v>45777</v>
      </c>
      <c r="Y498">
        <f>_xlfn.XLOOKUP(Table8[[#This Row],[Campaign_Code]],tb3_CampaignMaster[Campaign_Code],tb3_CampaignMaster[Budget_GBP],"")</f>
        <v>20000</v>
      </c>
      <c r="Z498" t="str">
        <f>_xlfn.XLOOKUP(Table8[[#This Row],[Campaign_Code]],tb3_CampaignMaster[Campaign_Code],tb3_CampaignMaster[Primary_Channel],"")</f>
        <v>Digital</v>
      </c>
      <c r="AA498" s="13">
        <f>IF(Table8[[#This Row],[Gift_Aid_Eligible]]="Yes",Table8[[#This Row],[Gift_Amount]]*1.25,Table8[[#This Row],[Gift_Amount]])</f>
        <v>154</v>
      </c>
      <c r="AB498" t="str">
        <f>IF(Table8[[#This Row],[Supporter_ID]]="","Review - missing supporter ID","")</f>
        <v/>
      </c>
      <c r="AC498" t="str">
        <f>IF(OR(Table8[[#This Row],[Response_Date]]&lt;Table8[[#This Row],[Start_Date]],Table8[[#This Row],[Response_Date]]&gt;Table8[[#This Row],[End_Date]]),"Review - response outside campaign dates","")</f>
        <v/>
      </c>
      <c r="AD498" t="str">
        <f>IF(Table8[[#This Row],[Campaign_Type]]="","Review - campaign code not found","")</f>
        <v/>
      </c>
    </row>
    <row r="499" spans="1:30" x14ac:dyDescent="0.25">
      <c r="A499" t="s">
        <v>4208</v>
      </c>
      <c r="B499" t="s">
        <v>2940</v>
      </c>
      <c r="C499" t="s">
        <v>3367</v>
      </c>
      <c r="D499" t="s">
        <v>3368</v>
      </c>
      <c r="E499" t="s">
        <v>4</v>
      </c>
      <c r="F499" s="17">
        <v>45718</v>
      </c>
      <c r="G499">
        <v>62.45</v>
      </c>
      <c r="H499" t="s">
        <v>37</v>
      </c>
      <c r="I499" t="s">
        <v>3328</v>
      </c>
      <c r="J499" t="str">
        <f>_xlfn.XLOOKUP(Table8[[#This Row],[Supporter_ID]],tb1_supporters[Supporter_ID ],tb1_supporters[Segment],"")</f>
        <v>Legacy Pledger</v>
      </c>
      <c r="K499" t="str">
        <f>_xlfn.XLOOKUP(Table8[[#This Row],[Supporter_ID]],tb1_supporters[Supporter_ID ],tb1_supporters[Acquisition_Source],"")</f>
        <v>Door-To-Door</v>
      </c>
      <c r="L499" t="str">
        <f>_xlfn.XLOOKUP(Table8[[#This Row],[Supporter_ID]],tb1_supporters[Supporter_ID ],tb1_supporters[County],"")</f>
        <v>Norfolk</v>
      </c>
      <c r="M499" t="str">
        <f>_xlfn.XLOOKUP(Table8[[#This Row],[Supporter_ID]],tb1_supporters[Supporter_ID ],tb1_supporters[Gender],"")</f>
        <v>Male</v>
      </c>
      <c r="N499">
        <f ca="1">_xlfn.XLOOKUP(Table8[[#This Row],[Supporter_ID]],tb1_supporters[Supporter_ID ],tb1_supporters[Age],"")</f>
        <v>90</v>
      </c>
      <c r="O499" t="str">
        <f ca="1">_xlfn.XLOOKUP(Table8[[#This Row],[Supporter_ID]],tb1_supporters[Supporter_ID ],tb1_supporters[Age_Band],"")</f>
        <v>65+</v>
      </c>
      <c r="P499" t="str">
        <f ca="1">IF(Table8[[#This Row],[Age_Band]]="","Unknown",Table8[[#This Row],[Age_Band]])</f>
        <v>65+</v>
      </c>
      <c r="Q499" t="str">
        <f>_xlfn.XLOOKUP(Table8[[#This Row],[Supporter_ID]],tb1_supporters[Supporter_ID ],tb1_supporters[Communication_Preference],"")</f>
        <v>Post</v>
      </c>
      <c r="R499" t="str">
        <f>_xlfn.XLOOKUP(Table8[[#This Row],[Supporter_ID]],tb1_supporters[Supporter_ID ],tb1_supporters[Duplicate_Profile_Flag],"")</f>
        <v/>
      </c>
      <c r="S499" t="str">
        <f>_xlfn.XLOOKUP(Table8[[#This Row],[Supporter_ID]],tb1_supporters[Supporter_ID ],tb1_supporters[Preference_Compliance_Flag],"")</f>
        <v/>
      </c>
      <c r="T499" t="str">
        <f ca="1">IF(Table8[[#This Row],[Age]]="","Review - missing DOB",IF(Table8[[#This Row],[Age]]&gt;TODAY(),"Review - future DOB",IF(Table8[[#This Row],[Age]]=0,"Review -  potential entry error (age 0)","")))</f>
        <v/>
      </c>
      <c r="U499" t="str">
        <f>_xlfn.XLOOKUP(Table8[[#This Row],[Campaign_Code]],tb3_CampaignMaster[Campaign_Code],tb3_CampaignMaster[Campaign_Type],"")</f>
        <v>Raffle</v>
      </c>
      <c r="V499" t="str">
        <f>_xlfn.XLOOKUP(Table8[[#This Row],[Campaign_Code]],tb3_CampaignMaster[Campaign_Code],tb3_CampaignMaster[Target_Audience],"")</f>
        <v>Regular Givers</v>
      </c>
      <c r="W499" s="17">
        <f>_xlfn.XLOOKUP(Table8[[#This Row],[Campaign_Code]],tb3_CampaignMaster[Campaign_Code],tb3_CampaignMaster[Start_Date],"")</f>
        <v>45717</v>
      </c>
      <c r="X499" s="17">
        <f>_xlfn.XLOOKUP(Table8[[#This Row],[Campaign_Code]],tb3_CampaignMaster[Campaign_Code],tb3_CampaignMaster[End_Date],"")</f>
        <v>45777</v>
      </c>
      <c r="Y499">
        <f>_xlfn.XLOOKUP(Table8[[#This Row],[Campaign_Code]],tb3_CampaignMaster[Campaign_Code],tb3_CampaignMaster[Budget_GBP],"")</f>
        <v>8000</v>
      </c>
      <c r="Z499" t="str">
        <f>_xlfn.XLOOKUP(Table8[[#This Row],[Campaign_Code]],tb3_CampaignMaster[Campaign_Code],tb3_CampaignMaster[Primary_Channel],"")</f>
        <v>Direct Mail</v>
      </c>
      <c r="AA499" s="13">
        <f>IF(Table8[[#This Row],[Gift_Aid_Eligible]]="Yes",Table8[[#This Row],[Gift_Amount]]*1.25,Table8[[#This Row],[Gift_Amount]])</f>
        <v>62.45</v>
      </c>
      <c r="AB499" t="str">
        <f>IF(Table8[[#This Row],[Supporter_ID]]="","Review - missing supporter ID","")</f>
        <v/>
      </c>
      <c r="AC499" t="str">
        <f>IF(OR(Table8[[#This Row],[Response_Date]]&lt;Table8[[#This Row],[Start_Date]],Table8[[#This Row],[Response_Date]]&gt;Table8[[#This Row],[End_Date]]),"Review - response outside campaign dates","")</f>
        <v/>
      </c>
      <c r="AD499" t="str">
        <f>IF(Table8[[#This Row],[Campaign_Type]]="","Review - campaign code not found","")</f>
        <v/>
      </c>
    </row>
    <row r="500" spans="1:30" x14ac:dyDescent="0.25">
      <c r="A500" t="s">
        <v>4209</v>
      </c>
      <c r="B500" t="s">
        <v>2609</v>
      </c>
      <c r="C500" t="s">
        <v>3320</v>
      </c>
      <c r="D500" t="s">
        <v>3321</v>
      </c>
      <c r="E500" t="s">
        <v>65</v>
      </c>
      <c r="F500" s="17">
        <v>45471</v>
      </c>
      <c r="G500">
        <v>20.41</v>
      </c>
      <c r="H500" t="s">
        <v>36</v>
      </c>
      <c r="I500" t="s">
        <v>3365</v>
      </c>
      <c r="J500" t="str">
        <f>_xlfn.XLOOKUP(Table8[[#This Row],[Supporter_ID]],tb1_supporters[Supporter_ID ],tb1_supporters[Segment],"")</f>
        <v>Prospect</v>
      </c>
      <c r="K500" t="str">
        <f>_xlfn.XLOOKUP(Table8[[#This Row],[Supporter_ID]],tb1_supporters[Supporter_ID ],tb1_supporters[Acquisition_Source],"")</f>
        <v>Website</v>
      </c>
      <c r="L500" t="str">
        <f>_xlfn.XLOOKUP(Table8[[#This Row],[Supporter_ID]],tb1_supporters[Supporter_ID ],tb1_supporters[County],"")</f>
        <v>West Yorkshire</v>
      </c>
      <c r="M500" t="str">
        <f>_xlfn.XLOOKUP(Table8[[#This Row],[Supporter_ID]],tb1_supporters[Supporter_ID ],tb1_supporters[Gender],"")</f>
        <v>Female</v>
      </c>
      <c r="N500">
        <f ca="1">_xlfn.XLOOKUP(Table8[[#This Row],[Supporter_ID]],tb1_supporters[Supporter_ID ],tb1_supporters[Age],"")</f>
        <v>69</v>
      </c>
      <c r="O500" t="str">
        <f ca="1">_xlfn.XLOOKUP(Table8[[#This Row],[Supporter_ID]],tb1_supporters[Supporter_ID ],tb1_supporters[Age_Band],"")</f>
        <v>65+</v>
      </c>
      <c r="P500" t="str">
        <f ca="1">IF(Table8[[#This Row],[Age_Band]]="","Unknown",Table8[[#This Row],[Age_Band]])</f>
        <v>65+</v>
      </c>
      <c r="Q500" t="str">
        <f>_xlfn.XLOOKUP(Table8[[#This Row],[Supporter_ID]],tb1_supporters[Supporter_ID ],tb1_supporters[Communication_Preference],"")</f>
        <v>Post</v>
      </c>
      <c r="R500" t="str">
        <f>_xlfn.XLOOKUP(Table8[[#This Row],[Supporter_ID]],tb1_supporters[Supporter_ID ],tb1_supporters[Duplicate_Profile_Flag],"")</f>
        <v/>
      </c>
      <c r="S500" t="str">
        <f>_xlfn.XLOOKUP(Table8[[#This Row],[Supporter_ID]],tb1_supporters[Supporter_ID ],tb1_supporters[Preference_Compliance_Flag],"")</f>
        <v/>
      </c>
      <c r="T500" t="str">
        <f ca="1">IF(Table8[[#This Row],[Age]]="","Review - missing DOB",IF(Table8[[#This Row],[Age]]&gt;TODAY(),"Review - future DOB",IF(Table8[[#This Row],[Age]]=0,"Review -  potential entry error (age 0)","")))</f>
        <v/>
      </c>
      <c r="U500" t="str">
        <f>_xlfn.XLOOKUP(Table8[[#This Row],[Campaign_Code]],tb3_CampaignMaster[Campaign_Code],tb3_CampaignMaster[Campaign_Type],"")</f>
        <v>Stewardship</v>
      </c>
      <c r="V500" t="str">
        <f>_xlfn.XLOOKUP(Table8[[#This Row],[Campaign_Code]],tb3_CampaignMaster[Campaign_Code],tb3_CampaignMaster[Target_Audience],"")</f>
        <v>Major Donors</v>
      </c>
      <c r="W500" s="17">
        <f>_xlfn.XLOOKUP(Table8[[#This Row],[Campaign_Code]],tb3_CampaignMaster[Campaign_Code],tb3_CampaignMaster[Start_Date],"")</f>
        <v>45444</v>
      </c>
      <c r="X500" s="17">
        <f>_xlfn.XLOOKUP(Table8[[#This Row],[Campaign_Code]],tb3_CampaignMaster[Campaign_Code],tb3_CampaignMaster[End_Date],"")</f>
        <v>45473</v>
      </c>
      <c r="Y500">
        <f>_xlfn.XLOOKUP(Table8[[#This Row],[Campaign_Code]],tb3_CampaignMaster[Campaign_Code],tb3_CampaignMaster[Budget_GBP],"")</f>
        <v>7000</v>
      </c>
      <c r="Z500" t="str">
        <f>_xlfn.XLOOKUP(Table8[[#This Row],[Campaign_Code]],tb3_CampaignMaster[Campaign_Code],tb3_CampaignMaster[Primary_Channel],"")</f>
        <v>Direct Mail</v>
      </c>
      <c r="AA500" s="13">
        <f>IF(Table8[[#This Row],[Gift_Aid_Eligible]]="Yes",Table8[[#This Row],[Gift_Amount]]*1.25,Table8[[#This Row],[Gift_Amount]])</f>
        <v>25.512499999999999</v>
      </c>
      <c r="AB500" t="str">
        <f>IF(Table8[[#This Row],[Supporter_ID]]="","Review - missing supporter ID","")</f>
        <v/>
      </c>
      <c r="AC500" t="str">
        <f>IF(OR(Table8[[#This Row],[Response_Date]]&lt;Table8[[#This Row],[Start_Date]],Table8[[#This Row],[Response_Date]]&gt;Table8[[#This Row],[End_Date]]),"Review - response outside campaign dates","")</f>
        <v/>
      </c>
      <c r="AD500" t="str">
        <f>IF(Table8[[#This Row],[Campaign_Type]]="","Review - campaign code not found","")</f>
        <v/>
      </c>
    </row>
    <row r="501" spans="1:30" x14ac:dyDescent="0.25">
      <c r="A501" t="s">
        <v>4211</v>
      </c>
      <c r="B501" t="s">
        <v>2657</v>
      </c>
      <c r="C501" t="s">
        <v>3320</v>
      </c>
      <c r="D501" t="s">
        <v>3321</v>
      </c>
      <c r="E501" t="s">
        <v>65</v>
      </c>
      <c r="F501" s="17">
        <v>45464</v>
      </c>
      <c r="G501">
        <v>19.98</v>
      </c>
      <c r="H501" t="s">
        <v>36</v>
      </c>
      <c r="I501" t="s">
        <v>3318</v>
      </c>
      <c r="J501" t="str">
        <f>_xlfn.XLOOKUP(Table8[[#This Row],[Supporter_ID]],tb1_supporters[Supporter_ID ],tb1_supporters[Segment],"")</f>
        <v>Regular Giver</v>
      </c>
      <c r="K501" t="str">
        <f>_xlfn.XLOOKUP(Table8[[#This Row],[Supporter_ID]],tb1_supporters[Supporter_ID ],tb1_supporters[Acquisition_Source],"")</f>
        <v>Corporate Partner</v>
      </c>
      <c r="L501" t="str">
        <f>_xlfn.XLOOKUP(Table8[[#This Row],[Supporter_ID]],tb1_supporters[Supporter_ID ],tb1_supporters[County],"")</f>
        <v>Suffolk</v>
      </c>
      <c r="M501" t="str">
        <f>_xlfn.XLOOKUP(Table8[[#This Row],[Supporter_ID]],tb1_supporters[Supporter_ID ],tb1_supporters[Gender],"")</f>
        <v>Male</v>
      </c>
      <c r="N501">
        <f ca="1">_xlfn.XLOOKUP(Table8[[#This Row],[Supporter_ID]],tb1_supporters[Supporter_ID ],tb1_supporters[Age],"")</f>
        <v>61</v>
      </c>
      <c r="O501" t="str">
        <f ca="1">_xlfn.XLOOKUP(Table8[[#This Row],[Supporter_ID]],tb1_supporters[Supporter_ID ],tb1_supporters[Age_Band],"")</f>
        <v>50-64</v>
      </c>
      <c r="P501" t="str">
        <f ca="1">IF(Table8[[#This Row],[Age_Band]]="","Unknown",Table8[[#This Row],[Age_Band]])</f>
        <v>50-64</v>
      </c>
      <c r="Q501" t="str">
        <f>_xlfn.XLOOKUP(Table8[[#This Row],[Supporter_ID]],tb1_supporters[Supporter_ID ],tb1_supporters[Communication_Preference],"")</f>
        <v>No Preference</v>
      </c>
      <c r="R501" t="str">
        <f>_xlfn.XLOOKUP(Table8[[#This Row],[Supporter_ID]],tb1_supporters[Supporter_ID ],tb1_supporters[Duplicate_Profile_Flag],"")</f>
        <v/>
      </c>
      <c r="S501" t="str">
        <f>_xlfn.XLOOKUP(Table8[[#This Row],[Supporter_ID]],tb1_supporters[Supporter_ID ],tb1_supporters[Preference_Compliance_Flag],"")</f>
        <v/>
      </c>
      <c r="T501" t="str">
        <f ca="1">IF(Table8[[#This Row],[Age]]="","Review - missing DOB",IF(Table8[[#This Row],[Age]]&gt;TODAY(),"Review - future DOB",IF(Table8[[#This Row],[Age]]=0,"Review -  potential entry error (age 0)","")))</f>
        <v/>
      </c>
      <c r="U501" t="str">
        <f>_xlfn.XLOOKUP(Table8[[#This Row],[Campaign_Code]],tb3_CampaignMaster[Campaign_Code],tb3_CampaignMaster[Campaign_Type],"")</f>
        <v>Stewardship</v>
      </c>
      <c r="V501" t="str">
        <f>_xlfn.XLOOKUP(Table8[[#This Row],[Campaign_Code]],tb3_CampaignMaster[Campaign_Code],tb3_CampaignMaster[Target_Audience],"")</f>
        <v>Major Donors</v>
      </c>
      <c r="W501" s="17">
        <f>_xlfn.XLOOKUP(Table8[[#This Row],[Campaign_Code]],tb3_CampaignMaster[Campaign_Code],tb3_CampaignMaster[Start_Date],"")</f>
        <v>45444</v>
      </c>
      <c r="X501" s="17">
        <f>_xlfn.XLOOKUP(Table8[[#This Row],[Campaign_Code]],tb3_CampaignMaster[Campaign_Code],tb3_CampaignMaster[End_Date],"")</f>
        <v>45473</v>
      </c>
      <c r="Y501">
        <f>_xlfn.XLOOKUP(Table8[[#This Row],[Campaign_Code]],tb3_CampaignMaster[Campaign_Code],tb3_CampaignMaster[Budget_GBP],"")</f>
        <v>7000</v>
      </c>
      <c r="Z501" t="str">
        <f>_xlfn.XLOOKUP(Table8[[#This Row],[Campaign_Code]],tb3_CampaignMaster[Campaign_Code],tb3_CampaignMaster[Primary_Channel],"")</f>
        <v>Direct Mail</v>
      </c>
      <c r="AA501" s="13">
        <f>IF(Table8[[#This Row],[Gift_Aid_Eligible]]="Yes",Table8[[#This Row],[Gift_Amount]]*1.25,Table8[[#This Row],[Gift_Amount]])</f>
        <v>24.975000000000001</v>
      </c>
      <c r="AB501" t="str">
        <f>IF(Table8[[#This Row],[Supporter_ID]]="","Review - missing supporter ID","")</f>
        <v/>
      </c>
      <c r="AC501" t="str">
        <f>IF(OR(Table8[[#This Row],[Response_Date]]&lt;Table8[[#This Row],[Start_Date]],Table8[[#This Row],[Response_Date]]&gt;Table8[[#This Row],[End_Date]]),"Review - response outside campaign dates","")</f>
        <v/>
      </c>
      <c r="AD501" t="str">
        <f>IF(Table8[[#This Row],[Campaign_Type]]="","Review - campaign code not found","")</f>
        <v/>
      </c>
    </row>
    <row r="502" spans="1:30" x14ac:dyDescent="0.25">
      <c r="A502" t="s">
        <v>4213</v>
      </c>
      <c r="B502" t="s">
        <v>547</v>
      </c>
      <c r="C502" t="s">
        <v>3325</v>
      </c>
      <c r="D502" t="s">
        <v>3326</v>
      </c>
      <c r="E502" t="s">
        <v>4</v>
      </c>
      <c r="F502" s="17">
        <v>45650</v>
      </c>
      <c r="G502">
        <v>18.36</v>
      </c>
      <c r="H502" t="s">
        <v>37</v>
      </c>
      <c r="I502" t="s">
        <v>3323</v>
      </c>
      <c r="J502" t="str">
        <f>_xlfn.XLOOKUP(Table8[[#This Row],[Supporter_ID]],tb1_supporters[Supporter_ID ],tb1_supporters[Segment],"")</f>
        <v>Regular Giver</v>
      </c>
      <c r="K502" t="str">
        <f>_xlfn.XLOOKUP(Table8[[#This Row],[Supporter_ID]],tb1_supporters[Supporter_ID ],tb1_supporters[Acquisition_Source],"")</f>
        <v>Referral</v>
      </c>
      <c r="L502" t="str">
        <f>_xlfn.XLOOKUP(Table8[[#This Row],[Supporter_ID]],tb1_supporters[Supporter_ID ],tb1_supporters[County],"")</f>
        <v>Angus</v>
      </c>
      <c r="M502" t="str">
        <f>_xlfn.XLOOKUP(Table8[[#This Row],[Supporter_ID]],tb1_supporters[Supporter_ID ],tb1_supporters[Gender],"")</f>
        <v>Female</v>
      </c>
      <c r="N502" t="str">
        <f ca="1">_xlfn.XLOOKUP(Table8[[#This Row],[Supporter_ID]],tb1_supporters[Supporter_ID ],tb1_supporters[Age],"")</f>
        <v/>
      </c>
      <c r="O502" t="str">
        <f ca="1">_xlfn.XLOOKUP(Table8[[#This Row],[Supporter_ID]],tb1_supporters[Supporter_ID ],tb1_supporters[Age_Band],"")</f>
        <v/>
      </c>
      <c r="P502" t="str">
        <f ca="1">IF(Table8[[#This Row],[Age_Band]]="","Unknown",Table8[[#This Row],[Age_Band]])</f>
        <v>Unknown</v>
      </c>
      <c r="Q502" t="str">
        <f>_xlfn.XLOOKUP(Table8[[#This Row],[Supporter_ID]],tb1_supporters[Supporter_ID ],tb1_supporters[Communication_Preference],"")</f>
        <v>Email</v>
      </c>
      <c r="R502" t="str">
        <f>_xlfn.XLOOKUP(Table8[[#This Row],[Supporter_ID]],tb1_supporters[Supporter_ID ],tb1_supporters[Duplicate_Profile_Flag],"")</f>
        <v/>
      </c>
      <c r="S502" t="str">
        <f>_xlfn.XLOOKUP(Table8[[#This Row],[Supporter_ID]],tb1_supporters[Supporter_ID ],tb1_supporters[Preference_Compliance_Flag],"")</f>
        <v/>
      </c>
      <c r="T502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502" t="str">
        <f>_xlfn.XLOOKUP(Table8[[#This Row],[Campaign_Code]],tb3_CampaignMaster[Campaign_Code],tb3_CampaignMaster[Campaign_Type],"")</f>
        <v>Appeal</v>
      </c>
      <c r="V502" t="str">
        <f>_xlfn.XLOOKUP(Table8[[#This Row],[Campaign_Code]],tb3_CampaignMaster[Campaign_Code],tb3_CampaignMaster[Target_Audience],"")</f>
        <v>All Active</v>
      </c>
      <c r="W502" s="17">
        <f>_xlfn.XLOOKUP(Table8[[#This Row],[Campaign_Code]],tb3_CampaignMaster[Campaign_Code],tb3_CampaignMaster[Start_Date],"")</f>
        <v>45597</v>
      </c>
      <c r="X502" s="17">
        <f>_xlfn.XLOOKUP(Table8[[#This Row],[Campaign_Code]],tb3_CampaignMaster[Campaign_Code],tb3_CampaignMaster[End_Date],"")</f>
        <v>45657</v>
      </c>
      <c r="Y502">
        <f>_xlfn.XLOOKUP(Table8[[#This Row],[Campaign_Code]],tb3_CampaignMaster[Campaign_Code],tb3_CampaignMaster[Budget_GBP],"")</f>
        <v>25000</v>
      </c>
      <c r="Z502" t="str">
        <f>_xlfn.XLOOKUP(Table8[[#This Row],[Campaign_Code]],tb3_CampaignMaster[Campaign_Code],tb3_CampaignMaster[Primary_Channel],"")</f>
        <v>Multi-channel</v>
      </c>
      <c r="AA502" s="13">
        <f>IF(Table8[[#This Row],[Gift_Aid_Eligible]]="Yes",Table8[[#This Row],[Gift_Amount]]*1.25,Table8[[#This Row],[Gift_Amount]])</f>
        <v>18.36</v>
      </c>
      <c r="AB502" t="str">
        <f>IF(Table8[[#This Row],[Supporter_ID]]="","Review - missing supporter ID","")</f>
        <v/>
      </c>
      <c r="AC502" t="str">
        <f>IF(OR(Table8[[#This Row],[Response_Date]]&lt;Table8[[#This Row],[Start_Date]],Table8[[#This Row],[Response_Date]]&gt;Table8[[#This Row],[End_Date]]),"Review - response outside campaign dates","")</f>
        <v/>
      </c>
      <c r="AD502" t="str">
        <f>IF(Table8[[#This Row],[Campaign_Type]]="","Review - campaign code not found","")</f>
        <v/>
      </c>
    </row>
    <row r="503" spans="1:30" x14ac:dyDescent="0.25">
      <c r="A503" t="s">
        <v>4215</v>
      </c>
      <c r="B503" t="s">
        <v>1526</v>
      </c>
      <c r="C503" t="s">
        <v>3325</v>
      </c>
      <c r="D503" t="s">
        <v>3326</v>
      </c>
      <c r="E503" t="s">
        <v>3316</v>
      </c>
      <c r="F503" s="17">
        <v>45622</v>
      </c>
      <c r="G503">
        <v>128.25</v>
      </c>
      <c r="H503" t="s">
        <v>36</v>
      </c>
      <c r="I503" t="s">
        <v>3334</v>
      </c>
      <c r="J503" t="str">
        <f>_xlfn.XLOOKUP(Table8[[#This Row],[Supporter_ID]],tb1_supporters[Supporter_ID ],tb1_supporters[Segment],"")</f>
        <v>One-Time Donor</v>
      </c>
      <c r="K503" t="str">
        <f>_xlfn.XLOOKUP(Table8[[#This Row],[Supporter_ID]],tb1_supporters[Supporter_ID ],tb1_supporters[Acquisition_Source],"")</f>
        <v>Telephone</v>
      </c>
      <c r="L503" t="str">
        <f>_xlfn.XLOOKUP(Table8[[#This Row],[Supporter_ID]],tb1_supporters[Supporter_ID ],tb1_supporters[County],"")</f>
        <v>Dorset</v>
      </c>
      <c r="M503" t="str">
        <f>_xlfn.XLOOKUP(Table8[[#This Row],[Supporter_ID]],tb1_supporters[Supporter_ID ],tb1_supporters[Gender],"")</f>
        <v>Male</v>
      </c>
      <c r="N503">
        <f ca="1">_xlfn.XLOOKUP(Table8[[#This Row],[Supporter_ID]],tb1_supporters[Supporter_ID ],tb1_supporters[Age],"")</f>
        <v>73</v>
      </c>
      <c r="O503" t="str">
        <f ca="1">_xlfn.XLOOKUP(Table8[[#This Row],[Supporter_ID]],tb1_supporters[Supporter_ID ],tb1_supporters[Age_Band],"")</f>
        <v>65+</v>
      </c>
      <c r="P503" t="str">
        <f ca="1">IF(Table8[[#This Row],[Age_Band]]="","Unknown",Table8[[#This Row],[Age_Band]])</f>
        <v>65+</v>
      </c>
      <c r="Q503" t="str">
        <f>_xlfn.XLOOKUP(Table8[[#This Row],[Supporter_ID]],tb1_supporters[Supporter_ID ],tb1_supporters[Communication_Preference],"")</f>
        <v>Email</v>
      </c>
      <c r="R503" t="str">
        <f>_xlfn.XLOOKUP(Table8[[#This Row],[Supporter_ID]],tb1_supporters[Supporter_ID ],tb1_supporters[Duplicate_Profile_Flag],"")</f>
        <v/>
      </c>
      <c r="S503" t="str">
        <f>_xlfn.XLOOKUP(Table8[[#This Row],[Supporter_ID]],tb1_supporters[Supporter_ID ],tb1_supporters[Preference_Compliance_Flag],"")</f>
        <v/>
      </c>
      <c r="T503" t="str">
        <f ca="1">IF(Table8[[#This Row],[Age]]="","Review - missing DOB",IF(Table8[[#This Row],[Age]]&gt;TODAY(),"Review - future DOB",IF(Table8[[#This Row],[Age]]=0,"Review -  potential entry error (age 0)","")))</f>
        <v/>
      </c>
      <c r="U503" t="str">
        <f>_xlfn.XLOOKUP(Table8[[#This Row],[Campaign_Code]],tb3_CampaignMaster[Campaign_Code],tb3_CampaignMaster[Campaign_Type],"")</f>
        <v>Appeal</v>
      </c>
      <c r="V503" t="str">
        <f>_xlfn.XLOOKUP(Table8[[#This Row],[Campaign_Code]],tb3_CampaignMaster[Campaign_Code],tb3_CampaignMaster[Target_Audience],"")</f>
        <v>All Active</v>
      </c>
      <c r="W503" s="17">
        <f>_xlfn.XLOOKUP(Table8[[#This Row],[Campaign_Code]],tb3_CampaignMaster[Campaign_Code],tb3_CampaignMaster[Start_Date],"")</f>
        <v>45597</v>
      </c>
      <c r="X503" s="17">
        <f>_xlfn.XLOOKUP(Table8[[#This Row],[Campaign_Code]],tb3_CampaignMaster[Campaign_Code],tb3_CampaignMaster[End_Date],"")</f>
        <v>45657</v>
      </c>
      <c r="Y503">
        <f>_xlfn.XLOOKUP(Table8[[#This Row],[Campaign_Code]],tb3_CampaignMaster[Campaign_Code],tb3_CampaignMaster[Budget_GBP],"")</f>
        <v>25000</v>
      </c>
      <c r="Z503" t="str">
        <f>_xlfn.XLOOKUP(Table8[[#This Row],[Campaign_Code]],tb3_CampaignMaster[Campaign_Code],tb3_CampaignMaster[Primary_Channel],"")</f>
        <v>Multi-channel</v>
      </c>
      <c r="AA503" s="13">
        <f>IF(Table8[[#This Row],[Gift_Aid_Eligible]]="Yes",Table8[[#This Row],[Gift_Amount]]*1.25,Table8[[#This Row],[Gift_Amount]])</f>
        <v>160.3125</v>
      </c>
      <c r="AB503" t="str">
        <f>IF(Table8[[#This Row],[Supporter_ID]]="","Review - missing supporter ID","")</f>
        <v/>
      </c>
      <c r="AC503" t="str">
        <f>IF(OR(Table8[[#This Row],[Response_Date]]&lt;Table8[[#This Row],[Start_Date]],Table8[[#This Row],[Response_Date]]&gt;Table8[[#This Row],[End_Date]]),"Review - response outside campaign dates","")</f>
        <v/>
      </c>
      <c r="AD503" t="str">
        <f>IF(Table8[[#This Row],[Campaign_Type]]="","Review - campaign code not found","")</f>
        <v/>
      </c>
    </row>
    <row r="504" spans="1:30" x14ac:dyDescent="0.25">
      <c r="A504" t="s">
        <v>4217</v>
      </c>
      <c r="B504" t="s">
        <v>1250</v>
      </c>
      <c r="C504" t="s">
        <v>3403</v>
      </c>
      <c r="D504" t="s">
        <v>3404</v>
      </c>
      <c r="E504" t="s">
        <v>4</v>
      </c>
      <c r="F504" s="17">
        <v>45623</v>
      </c>
      <c r="G504">
        <v>2846.74</v>
      </c>
      <c r="H504" t="s">
        <v>36</v>
      </c>
      <c r="I504" t="s">
        <v>3318</v>
      </c>
      <c r="J504" t="str">
        <f>_xlfn.XLOOKUP(Table8[[#This Row],[Supporter_ID]],tb1_supporters[Supporter_ID ],tb1_supporters[Segment],"")</f>
        <v>Major Donor</v>
      </c>
      <c r="K504" t="str">
        <f>_xlfn.XLOOKUP(Table8[[#This Row],[Supporter_ID]],tb1_supporters[Supporter_ID ],tb1_supporters[Acquisition_Source],"")</f>
        <v>Direct Mail</v>
      </c>
      <c r="L504" t="str">
        <f>_xlfn.XLOOKUP(Table8[[#This Row],[Supporter_ID]],tb1_supporters[Supporter_ID ],tb1_supporters[County],"")</f>
        <v>Greater Manchester</v>
      </c>
      <c r="M504" t="str">
        <f>_xlfn.XLOOKUP(Table8[[#This Row],[Supporter_ID]],tb1_supporters[Supporter_ID ],tb1_supporters[Gender],"")</f>
        <v>Male</v>
      </c>
      <c r="N504">
        <f ca="1">_xlfn.XLOOKUP(Table8[[#This Row],[Supporter_ID]],tb1_supporters[Supporter_ID ],tb1_supporters[Age],"")</f>
        <v>49</v>
      </c>
      <c r="O504" t="str">
        <f ca="1">_xlfn.XLOOKUP(Table8[[#This Row],[Supporter_ID]],tb1_supporters[Supporter_ID ],tb1_supporters[Age_Band],"")</f>
        <v>35-49</v>
      </c>
      <c r="P504" t="str">
        <f ca="1">IF(Table8[[#This Row],[Age_Band]]="","Unknown",Table8[[#This Row],[Age_Band]])</f>
        <v>35-49</v>
      </c>
      <c r="Q504" t="str">
        <f>_xlfn.XLOOKUP(Table8[[#This Row],[Supporter_ID]],tb1_supporters[Supporter_ID ],tb1_supporters[Communication_Preference],"")</f>
        <v>Phone</v>
      </c>
      <c r="R504" t="str">
        <f>_xlfn.XLOOKUP(Table8[[#This Row],[Supporter_ID]],tb1_supporters[Supporter_ID ],tb1_supporters[Duplicate_Profile_Flag],"")</f>
        <v/>
      </c>
      <c r="S504" t="str">
        <f>_xlfn.XLOOKUP(Table8[[#This Row],[Supporter_ID]],tb1_supporters[Supporter_ID ],tb1_supporters[Preference_Compliance_Flag],"")</f>
        <v/>
      </c>
      <c r="T504" t="str">
        <f ca="1">IF(Table8[[#This Row],[Age]]="","Review - missing DOB",IF(Table8[[#This Row],[Age]]&gt;TODAY(),"Review - future DOB",IF(Table8[[#This Row],[Age]]=0,"Review -  potential entry error (age 0)","")))</f>
        <v/>
      </c>
      <c r="U504" t="str">
        <f>_xlfn.XLOOKUP(Table8[[#This Row],[Campaign_Code]],tb3_CampaignMaster[Campaign_Code],tb3_CampaignMaster[Campaign_Type],"")</f>
        <v>Trading</v>
      </c>
      <c r="V504" t="str">
        <f>_xlfn.XLOOKUP(Table8[[#This Row],[Campaign_Code]],tb3_CampaignMaster[Campaign_Code],tb3_CampaignMaster[Target_Audience],"")</f>
        <v>All Active</v>
      </c>
      <c r="W504" s="17">
        <f>_xlfn.XLOOKUP(Table8[[#This Row],[Campaign_Code]],tb3_CampaignMaster[Campaign_Code],tb3_CampaignMaster[Start_Date],"")</f>
        <v>45580</v>
      </c>
      <c r="X504" s="17">
        <f>_xlfn.XLOOKUP(Table8[[#This Row],[Campaign_Code]],tb3_CampaignMaster[Campaign_Code],tb3_CampaignMaster[End_Date],"")</f>
        <v>45646</v>
      </c>
      <c r="Y504">
        <f>_xlfn.XLOOKUP(Table8[[#This Row],[Campaign_Code]],tb3_CampaignMaster[Campaign_Code],tb3_CampaignMaster[Budget_GBP],"")</f>
        <v>12000</v>
      </c>
      <c r="Z504" t="str">
        <f>_xlfn.XLOOKUP(Table8[[#This Row],[Campaign_Code]],tb3_CampaignMaster[Campaign_Code],tb3_CampaignMaster[Primary_Channel],"")</f>
        <v>Multi-channel</v>
      </c>
      <c r="AA504" s="13">
        <f>IF(Table8[[#This Row],[Gift_Aid_Eligible]]="Yes",Table8[[#This Row],[Gift_Amount]]*1.25,Table8[[#This Row],[Gift_Amount]])</f>
        <v>3558.4249999999997</v>
      </c>
      <c r="AB504" t="str">
        <f>IF(Table8[[#This Row],[Supporter_ID]]="","Review - missing supporter ID","")</f>
        <v/>
      </c>
      <c r="AC504" t="str">
        <f>IF(OR(Table8[[#This Row],[Response_Date]]&lt;Table8[[#This Row],[Start_Date]],Table8[[#This Row],[Response_Date]]&gt;Table8[[#This Row],[End_Date]]),"Review - response outside campaign dates","")</f>
        <v/>
      </c>
      <c r="AD504" t="str">
        <f>IF(Table8[[#This Row],[Campaign_Type]]="","Review - campaign code not found","")</f>
        <v/>
      </c>
    </row>
    <row r="505" spans="1:30" x14ac:dyDescent="0.25">
      <c r="A505" t="s">
        <v>4218</v>
      </c>
      <c r="B505" t="s">
        <v>2016</v>
      </c>
      <c r="C505" t="s">
        <v>3336</v>
      </c>
      <c r="D505" t="s">
        <v>3337</v>
      </c>
      <c r="E505" t="s">
        <v>3316</v>
      </c>
      <c r="F505" s="17">
        <v>45545</v>
      </c>
      <c r="G505">
        <v>147.03</v>
      </c>
      <c r="H505" t="s">
        <v>36</v>
      </c>
      <c r="I505" t="s">
        <v>3365</v>
      </c>
      <c r="J505" t="str">
        <f>_xlfn.XLOOKUP(Table8[[#This Row],[Supporter_ID]],tb1_supporters[Supporter_ID ],tb1_supporters[Segment],"")</f>
        <v>Legacy Pledger</v>
      </c>
      <c r="K505" t="str">
        <f>_xlfn.XLOOKUP(Table8[[#This Row],[Supporter_ID]],tb1_supporters[Supporter_ID ],tb1_supporters[Acquisition_Source],"")</f>
        <v>Website</v>
      </c>
      <c r="L505" t="str">
        <f>_xlfn.XLOOKUP(Table8[[#This Row],[Supporter_ID]],tb1_supporters[Supporter_ID ],tb1_supporters[County],"")</f>
        <v>Strathclyde</v>
      </c>
      <c r="M505" t="str">
        <f>_xlfn.XLOOKUP(Table8[[#This Row],[Supporter_ID]],tb1_supporters[Supporter_ID ],tb1_supporters[Gender],"")</f>
        <v>Male</v>
      </c>
      <c r="N505">
        <f ca="1">_xlfn.XLOOKUP(Table8[[#This Row],[Supporter_ID]],tb1_supporters[Supporter_ID ],tb1_supporters[Age],"")</f>
        <v>61</v>
      </c>
      <c r="O505" t="str">
        <f ca="1">_xlfn.XLOOKUP(Table8[[#This Row],[Supporter_ID]],tb1_supporters[Supporter_ID ],tb1_supporters[Age_Band],"")</f>
        <v>50-64</v>
      </c>
      <c r="P505" t="str">
        <f ca="1">IF(Table8[[#This Row],[Age_Band]]="","Unknown",Table8[[#This Row],[Age_Band]])</f>
        <v>50-64</v>
      </c>
      <c r="Q505" t="str">
        <f>_xlfn.XLOOKUP(Table8[[#This Row],[Supporter_ID]],tb1_supporters[Supporter_ID ],tb1_supporters[Communication_Preference],"")</f>
        <v>Post</v>
      </c>
      <c r="R505" t="str">
        <f>_xlfn.XLOOKUP(Table8[[#This Row],[Supporter_ID]],tb1_supporters[Supporter_ID ],tb1_supporters[Duplicate_Profile_Flag],"")</f>
        <v/>
      </c>
      <c r="S505" t="str">
        <f>_xlfn.XLOOKUP(Table8[[#This Row],[Supporter_ID]],tb1_supporters[Supporter_ID ],tb1_supporters[Preference_Compliance_Flag],"")</f>
        <v/>
      </c>
      <c r="T505" t="str">
        <f ca="1">IF(Table8[[#This Row],[Age]]="","Review - missing DOB",IF(Table8[[#This Row],[Age]]&gt;TODAY(),"Review - future DOB",IF(Table8[[#This Row],[Age]]=0,"Review -  potential entry error (age 0)","")))</f>
        <v/>
      </c>
      <c r="U505" t="str">
        <f>_xlfn.XLOOKUP(Table8[[#This Row],[Campaign_Code]],tb3_CampaignMaster[Campaign_Code],tb3_CampaignMaster[Campaign_Type],"")</f>
        <v>Appeal</v>
      </c>
      <c r="V505" t="str">
        <f>_xlfn.XLOOKUP(Table8[[#This Row],[Campaign_Code]],tb3_CampaignMaster[Campaign_Code],tb3_CampaignMaster[Target_Audience],"")</f>
        <v>All Supporters</v>
      </c>
      <c r="W505" s="17">
        <f>_xlfn.XLOOKUP(Table8[[#This Row],[Campaign_Code]],tb3_CampaignMaster[Campaign_Code],tb3_CampaignMaster[Start_Date],"")</f>
        <v>45545</v>
      </c>
      <c r="X505" s="17">
        <f>_xlfn.XLOOKUP(Table8[[#This Row],[Campaign_Code]],tb3_CampaignMaster[Campaign_Code],tb3_CampaignMaster[End_Date],"")</f>
        <v>45580</v>
      </c>
      <c r="Y505">
        <f>_xlfn.XLOOKUP(Table8[[#This Row],[Campaign_Code]],tb3_CampaignMaster[Campaign_Code],tb3_CampaignMaster[Budget_GBP],"")</f>
        <v>15000</v>
      </c>
      <c r="Z505" t="str">
        <f>_xlfn.XLOOKUP(Table8[[#This Row],[Campaign_Code]],tb3_CampaignMaster[Campaign_Code],tb3_CampaignMaster[Primary_Channel],"")</f>
        <v>Email</v>
      </c>
      <c r="AA505" s="13">
        <f>IF(Table8[[#This Row],[Gift_Aid_Eligible]]="Yes",Table8[[#This Row],[Gift_Amount]]*1.25,Table8[[#This Row],[Gift_Amount]])</f>
        <v>183.78749999999999</v>
      </c>
      <c r="AB505" t="str">
        <f>IF(Table8[[#This Row],[Supporter_ID]]="","Review - missing supporter ID","")</f>
        <v/>
      </c>
      <c r="AC505" t="str">
        <f>IF(OR(Table8[[#This Row],[Response_Date]]&lt;Table8[[#This Row],[Start_Date]],Table8[[#This Row],[Response_Date]]&gt;Table8[[#This Row],[End_Date]]),"Review - response outside campaign dates","")</f>
        <v/>
      </c>
      <c r="AD505" t="str">
        <f>IF(Table8[[#This Row],[Campaign_Type]]="","Review - campaign code not found","")</f>
        <v/>
      </c>
    </row>
    <row r="506" spans="1:30" x14ac:dyDescent="0.25">
      <c r="A506" t="s">
        <v>4220</v>
      </c>
      <c r="B506" t="s">
        <v>1084</v>
      </c>
      <c r="C506" t="s">
        <v>3325</v>
      </c>
      <c r="D506" t="s">
        <v>3326</v>
      </c>
      <c r="E506" t="s">
        <v>3338</v>
      </c>
      <c r="F506" s="17">
        <v>45620</v>
      </c>
      <c r="G506">
        <v>14.78</v>
      </c>
      <c r="H506" t="s">
        <v>36</v>
      </c>
      <c r="I506" t="s">
        <v>3334</v>
      </c>
      <c r="J506" t="str">
        <f>_xlfn.XLOOKUP(Table8[[#This Row],[Supporter_ID]],tb1_supporters[Supporter_ID ],tb1_supporters[Segment],"")</f>
        <v>Lapsed</v>
      </c>
      <c r="K506" t="str">
        <f>_xlfn.XLOOKUP(Table8[[#This Row],[Supporter_ID]],tb1_supporters[Supporter_ID ],tb1_supporters[Acquisition_Source],"")</f>
        <v>Door-To-Door</v>
      </c>
      <c r="L506" t="str">
        <f>_xlfn.XLOOKUP(Table8[[#This Row],[Supporter_ID]],tb1_supporters[Supporter_ID ],tb1_supporters[County],"")</f>
        <v>South Yorkshire</v>
      </c>
      <c r="M506" t="str">
        <f>_xlfn.XLOOKUP(Table8[[#This Row],[Supporter_ID]],tb1_supporters[Supporter_ID ],tb1_supporters[Gender],"")</f>
        <v>Male</v>
      </c>
      <c r="N506">
        <f ca="1">_xlfn.XLOOKUP(Table8[[#This Row],[Supporter_ID]],tb1_supporters[Supporter_ID ],tb1_supporters[Age],"")</f>
        <v>78</v>
      </c>
      <c r="O506" t="str">
        <f ca="1">_xlfn.XLOOKUP(Table8[[#This Row],[Supporter_ID]],tb1_supporters[Supporter_ID ],tb1_supporters[Age_Band],"")</f>
        <v>65+</v>
      </c>
      <c r="P506" t="str">
        <f ca="1">IF(Table8[[#This Row],[Age_Band]]="","Unknown",Table8[[#This Row],[Age_Band]])</f>
        <v>65+</v>
      </c>
      <c r="Q506" t="str">
        <f>_xlfn.XLOOKUP(Table8[[#This Row],[Supporter_ID]],tb1_supporters[Supporter_ID ],tb1_supporters[Communication_Preference],"")</f>
        <v>No Preference</v>
      </c>
      <c r="R506" t="str">
        <f>_xlfn.XLOOKUP(Table8[[#This Row],[Supporter_ID]],tb1_supporters[Supporter_ID ],tb1_supporters[Duplicate_Profile_Flag],"")</f>
        <v/>
      </c>
      <c r="S506" t="str">
        <f>_xlfn.XLOOKUP(Table8[[#This Row],[Supporter_ID]],tb1_supporters[Supporter_ID ],tb1_supporters[Preference_Compliance_Flag],"")</f>
        <v/>
      </c>
      <c r="T506" t="str">
        <f ca="1">IF(Table8[[#This Row],[Age]]="","Review - missing DOB",IF(Table8[[#This Row],[Age]]&gt;TODAY(),"Review - future DOB",IF(Table8[[#This Row],[Age]]=0,"Review -  potential entry error (age 0)","")))</f>
        <v/>
      </c>
      <c r="U506" t="str">
        <f>_xlfn.XLOOKUP(Table8[[#This Row],[Campaign_Code]],tb3_CampaignMaster[Campaign_Code],tb3_CampaignMaster[Campaign_Type],"")</f>
        <v>Appeal</v>
      </c>
      <c r="V506" t="str">
        <f>_xlfn.XLOOKUP(Table8[[#This Row],[Campaign_Code]],tb3_CampaignMaster[Campaign_Code],tb3_CampaignMaster[Target_Audience],"")</f>
        <v>All Active</v>
      </c>
      <c r="W506" s="17">
        <f>_xlfn.XLOOKUP(Table8[[#This Row],[Campaign_Code]],tb3_CampaignMaster[Campaign_Code],tb3_CampaignMaster[Start_Date],"")</f>
        <v>45597</v>
      </c>
      <c r="X506" s="17">
        <f>_xlfn.XLOOKUP(Table8[[#This Row],[Campaign_Code]],tb3_CampaignMaster[Campaign_Code],tb3_CampaignMaster[End_Date],"")</f>
        <v>45657</v>
      </c>
      <c r="Y506">
        <f>_xlfn.XLOOKUP(Table8[[#This Row],[Campaign_Code]],tb3_CampaignMaster[Campaign_Code],tb3_CampaignMaster[Budget_GBP],"")</f>
        <v>25000</v>
      </c>
      <c r="Z506" t="str">
        <f>_xlfn.XLOOKUP(Table8[[#This Row],[Campaign_Code]],tb3_CampaignMaster[Campaign_Code],tb3_CampaignMaster[Primary_Channel],"")</f>
        <v>Multi-channel</v>
      </c>
      <c r="AA506" s="13">
        <f>IF(Table8[[#This Row],[Gift_Aid_Eligible]]="Yes",Table8[[#This Row],[Gift_Amount]]*1.25,Table8[[#This Row],[Gift_Amount]])</f>
        <v>18.474999999999998</v>
      </c>
      <c r="AB506" t="str">
        <f>IF(Table8[[#This Row],[Supporter_ID]]="","Review - missing supporter ID","")</f>
        <v/>
      </c>
      <c r="AC506" t="str">
        <f>IF(OR(Table8[[#This Row],[Response_Date]]&lt;Table8[[#This Row],[Start_Date]],Table8[[#This Row],[Response_Date]]&gt;Table8[[#This Row],[End_Date]]),"Review - response outside campaign dates","")</f>
        <v/>
      </c>
      <c r="AD506" t="str">
        <f>IF(Table8[[#This Row],[Campaign_Type]]="","Review - campaign code not found","")</f>
        <v/>
      </c>
    </row>
    <row r="507" spans="1:30" x14ac:dyDescent="0.25">
      <c r="A507" t="s">
        <v>4222</v>
      </c>
      <c r="B507" t="s">
        <v>2338</v>
      </c>
      <c r="C507" t="s">
        <v>3314</v>
      </c>
      <c r="D507" t="s">
        <v>3315</v>
      </c>
      <c r="E507" t="s">
        <v>33</v>
      </c>
      <c r="F507" s="17">
        <v>45673</v>
      </c>
      <c r="G507">
        <v>26.52</v>
      </c>
      <c r="H507" t="s">
        <v>37</v>
      </c>
      <c r="I507" t="s">
        <v>3318</v>
      </c>
      <c r="J507" t="str">
        <f>_xlfn.XLOOKUP(Table8[[#This Row],[Supporter_ID]],tb1_supporters[Supporter_ID ],tb1_supporters[Segment],"")</f>
        <v>Regular Giver</v>
      </c>
      <c r="K507" t="str">
        <f>_xlfn.XLOOKUP(Table8[[#This Row],[Supporter_ID]],tb1_supporters[Supporter_ID ],tb1_supporters[Acquisition_Source],"")</f>
        <v>Referral</v>
      </c>
      <c r="L507" t="str">
        <f>_xlfn.XLOOKUP(Table8[[#This Row],[Supporter_ID]],tb1_supporters[Supporter_ID ],tb1_supporters[County],"")</f>
        <v>Tyne and Wear</v>
      </c>
      <c r="M507" t="str">
        <f>_xlfn.XLOOKUP(Table8[[#This Row],[Supporter_ID]],tb1_supporters[Supporter_ID ],tb1_supporters[Gender],"")</f>
        <v>Female</v>
      </c>
      <c r="N507">
        <f ca="1">_xlfn.XLOOKUP(Table8[[#This Row],[Supporter_ID]],tb1_supporters[Supporter_ID ],tb1_supporters[Age],"")</f>
        <v>59</v>
      </c>
      <c r="O507" t="str">
        <f ca="1">_xlfn.XLOOKUP(Table8[[#This Row],[Supporter_ID]],tb1_supporters[Supporter_ID ],tb1_supporters[Age_Band],"")</f>
        <v>50-64</v>
      </c>
      <c r="P507" t="str">
        <f ca="1">IF(Table8[[#This Row],[Age_Band]]="","Unknown",Table8[[#This Row],[Age_Band]])</f>
        <v>50-64</v>
      </c>
      <c r="Q507" t="str">
        <f>_xlfn.XLOOKUP(Table8[[#This Row],[Supporter_ID]],tb1_supporters[Supporter_ID ],tb1_supporters[Communication_Preference],"")</f>
        <v>Post</v>
      </c>
      <c r="R507" t="str">
        <f>_xlfn.XLOOKUP(Table8[[#This Row],[Supporter_ID]],tb1_supporters[Supporter_ID ],tb1_supporters[Duplicate_Profile_Flag],"")</f>
        <v/>
      </c>
      <c r="S507" t="str">
        <f>_xlfn.XLOOKUP(Table8[[#This Row],[Supporter_ID]],tb1_supporters[Supporter_ID ],tb1_supporters[Preference_Compliance_Flag],"")</f>
        <v/>
      </c>
      <c r="T507" t="str">
        <f ca="1">IF(Table8[[#This Row],[Age]]="","Review - missing DOB",IF(Table8[[#This Row],[Age]]&gt;TODAY(),"Review - future DOB",IF(Table8[[#This Row],[Age]]=0,"Review -  potential entry error (age 0)","")))</f>
        <v/>
      </c>
      <c r="U507" t="str">
        <f>_xlfn.XLOOKUP(Table8[[#This Row],[Campaign_Code]],tb3_CampaignMaster[Campaign_Code],tb3_CampaignMaster[Campaign_Type],"")</f>
        <v>Regular Giving</v>
      </c>
      <c r="V507" t="str">
        <f>_xlfn.XLOOKUP(Table8[[#This Row],[Campaign_Code]],tb3_CampaignMaster[Campaign_Code],tb3_CampaignMaster[Target_Audience],"")</f>
        <v>One-time Donors</v>
      </c>
      <c r="W507" s="17">
        <f>_xlfn.XLOOKUP(Table8[[#This Row],[Campaign_Code]],tb3_CampaignMaster[Campaign_Code],tb3_CampaignMaster[Start_Date],"")</f>
        <v>45663</v>
      </c>
      <c r="X507" s="17">
        <f>_xlfn.XLOOKUP(Table8[[#This Row],[Campaign_Code]],tb3_CampaignMaster[Campaign_Code],tb3_CampaignMaster[End_Date],"")</f>
        <v>45747</v>
      </c>
      <c r="Y507">
        <f>_xlfn.XLOOKUP(Table8[[#This Row],[Campaign_Code]],tb3_CampaignMaster[Campaign_Code],tb3_CampaignMaster[Budget_GBP],"")</f>
        <v>10000</v>
      </c>
      <c r="Z507" t="str">
        <f>_xlfn.XLOOKUP(Table8[[#This Row],[Campaign_Code]],tb3_CampaignMaster[Campaign_Code],tb3_CampaignMaster[Primary_Channel],"")</f>
        <v>Telephone</v>
      </c>
      <c r="AA507" s="13">
        <f>IF(Table8[[#This Row],[Gift_Aid_Eligible]]="Yes",Table8[[#This Row],[Gift_Amount]]*1.25,Table8[[#This Row],[Gift_Amount]])</f>
        <v>26.52</v>
      </c>
      <c r="AB507" t="str">
        <f>IF(Table8[[#This Row],[Supporter_ID]]="","Review - missing supporter ID","")</f>
        <v/>
      </c>
      <c r="AC507" t="str">
        <f>IF(OR(Table8[[#This Row],[Response_Date]]&lt;Table8[[#This Row],[Start_Date]],Table8[[#This Row],[Response_Date]]&gt;Table8[[#This Row],[End_Date]]),"Review - response outside campaign dates","")</f>
        <v/>
      </c>
      <c r="AD507" t="str">
        <f>IF(Table8[[#This Row],[Campaign_Type]]="","Review - campaign code not found","")</f>
        <v/>
      </c>
    </row>
    <row r="508" spans="1:30" x14ac:dyDescent="0.25">
      <c r="A508" t="s">
        <v>4223</v>
      </c>
      <c r="B508" t="s">
        <v>2917</v>
      </c>
      <c r="C508" t="s">
        <v>3354</v>
      </c>
      <c r="D508" t="s">
        <v>3355</v>
      </c>
      <c r="E508" t="s">
        <v>65</v>
      </c>
      <c r="F508" s="17">
        <v>45618</v>
      </c>
      <c r="G508">
        <v>29.62</v>
      </c>
      <c r="H508" t="s">
        <v>36</v>
      </c>
      <c r="I508" t="s">
        <v>3365</v>
      </c>
      <c r="J508" t="str">
        <f>_xlfn.XLOOKUP(Table8[[#This Row],[Supporter_ID]],tb1_supporters[Supporter_ID ],tb1_supporters[Segment],"")</f>
        <v>Regular Giver</v>
      </c>
      <c r="K508" t="str">
        <f>_xlfn.XLOOKUP(Table8[[#This Row],[Supporter_ID]],tb1_supporters[Supporter_ID ],tb1_supporters[Acquisition_Source],"")</f>
        <v>Website</v>
      </c>
      <c r="L508" t="str">
        <f>_xlfn.XLOOKUP(Table8[[#This Row],[Supporter_ID]],tb1_supporters[Supporter_ID ],tb1_supporters[County],"")</f>
        <v>West Midlands</v>
      </c>
      <c r="M508" t="str">
        <f>_xlfn.XLOOKUP(Table8[[#This Row],[Supporter_ID]],tb1_supporters[Supporter_ID ],tb1_supporters[Gender],"")</f>
        <v>Female</v>
      </c>
      <c r="N508">
        <f ca="1">_xlfn.XLOOKUP(Table8[[#This Row],[Supporter_ID]],tb1_supporters[Supporter_ID ],tb1_supporters[Age],"")</f>
        <v>41</v>
      </c>
      <c r="O508" t="str">
        <f ca="1">_xlfn.XLOOKUP(Table8[[#This Row],[Supporter_ID]],tb1_supporters[Supporter_ID ],tb1_supporters[Age_Band],"")</f>
        <v>35-49</v>
      </c>
      <c r="P508" t="str">
        <f ca="1">IF(Table8[[#This Row],[Age_Band]]="","Unknown",Table8[[#This Row],[Age_Band]])</f>
        <v>35-49</v>
      </c>
      <c r="Q508" t="str">
        <f>_xlfn.XLOOKUP(Table8[[#This Row],[Supporter_ID]],tb1_supporters[Supporter_ID ],tb1_supporters[Communication_Preference],"")</f>
        <v>Email</v>
      </c>
      <c r="R508" t="str">
        <f>_xlfn.XLOOKUP(Table8[[#This Row],[Supporter_ID]],tb1_supporters[Supporter_ID ],tb1_supporters[Duplicate_Profile_Flag],"")</f>
        <v/>
      </c>
      <c r="S508" t="str">
        <f>_xlfn.XLOOKUP(Table8[[#This Row],[Supporter_ID]],tb1_supporters[Supporter_ID ],tb1_supporters[Preference_Compliance_Flag],"")</f>
        <v>Review - prefers email but not opted in</v>
      </c>
      <c r="T508" t="str">
        <f ca="1">IF(Table8[[#This Row],[Age]]="","Review - missing DOB",IF(Table8[[#This Row],[Age]]&gt;TODAY(),"Review - future DOB",IF(Table8[[#This Row],[Age]]=0,"Review -  potential entry error (age 0)","")))</f>
        <v/>
      </c>
      <c r="U508" t="str">
        <f>_xlfn.XLOOKUP(Table8[[#This Row],[Campaign_Code]],tb3_CampaignMaster[Campaign_Code],tb3_CampaignMaster[Campaign_Type],"")</f>
        <v>Event</v>
      </c>
      <c r="V508" t="str">
        <f>_xlfn.XLOOKUP(Table8[[#This Row],[Campaign_Code]],tb3_CampaignMaster[Campaign_Code],tb3_CampaignMaster[Target_Audience],"")</f>
        <v>Volunteers</v>
      </c>
      <c r="W508" s="17">
        <f>_xlfn.XLOOKUP(Table8[[#This Row],[Campaign_Code]],tb3_CampaignMaster[Campaign_Code],tb3_CampaignMaster[Start_Date],"")</f>
        <v>45618</v>
      </c>
      <c r="X508" s="17">
        <f>_xlfn.XLOOKUP(Table8[[#This Row],[Campaign_Code]],tb3_CampaignMaster[Campaign_Code],tb3_CampaignMaster[End_Date],"")</f>
        <v>45618</v>
      </c>
      <c r="Y508">
        <f>_xlfn.XLOOKUP(Table8[[#This Row],[Campaign_Code]],tb3_CampaignMaster[Campaign_Code],tb3_CampaignMaster[Budget_GBP],"")</f>
        <v>3500</v>
      </c>
      <c r="Z508" t="str">
        <f>_xlfn.XLOOKUP(Table8[[#This Row],[Campaign_Code]],tb3_CampaignMaster[Campaign_Code],tb3_CampaignMaster[Primary_Channel],"")</f>
        <v>Email</v>
      </c>
      <c r="AA508" s="13">
        <f>IF(Table8[[#This Row],[Gift_Aid_Eligible]]="Yes",Table8[[#This Row],[Gift_Amount]]*1.25,Table8[[#This Row],[Gift_Amount]])</f>
        <v>37.024999999999999</v>
      </c>
      <c r="AB508" t="str">
        <f>IF(Table8[[#This Row],[Supporter_ID]]="","Review - missing supporter ID","")</f>
        <v/>
      </c>
      <c r="AC508" t="str">
        <f>IF(OR(Table8[[#This Row],[Response_Date]]&lt;Table8[[#This Row],[Start_Date]],Table8[[#This Row],[Response_Date]]&gt;Table8[[#This Row],[End_Date]]),"Review - response outside campaign dates","")</f>
        <v/>
      </c>
      <c r="AD508" t="str">
        <f>IF(Table8[[#This Row],[Campaign_Type]]="","Review - campaign code not found","")</f>
        <v/>
      </c>
    </row>
    <row r="509" spans="1:30" x14ac:dyDescent="0.25">
      <c r="A509" t="s">
        <v>4224</v>
      </c>
      <c r="B509" t="s">
        <v>2028</v>
      </c>
      <c r="C509" t="s">
        <v>3325</v>
      </c>
      <c r="D509" t="s">
        <v>3326</v>
      </c>
      <c r="E509" t="s">
        <v>65</v>
      </c>
      <c r="F509" s="17">
        <v>45598</v>
      </c>
      <c r="G509">
        <v>21.66</v>
      </c>
      <c r="H509" t="s">
        <v>36</v>
      </c>
      <c r="I509" t="s">
        <v>3331</v>
      </c>
      <c r="J509" t="str">
        <f>_xlfn.XLOOKUP(Table8[[#This Row],[Supporter_ID]],tb1_supporters[Supporter_ID ],tb1_supporters[Segment],"")</f>
        <v>Regular Giver</v>
      </c>
      <c r="K509" t="str">
        <f>_xlfn.XLOOKUP(Table8[[#This Row],[Supporter_ID]],tb1_supporters[Supporter_ID ],tb1_supporters[Acquisition_Source],"")</f>
        <v>Telephone</v>
      </c>
      <c r="L509" t="str">
        <f>_xlfn.XLOOKUP(Table8[[#This Row],[Supporter_ID]],tb1_supporters[Supporter_ID ],tb1_supporters[County],"")</f>
        <v>West Midlands</v>
      </c>
      <c r="M509" t="str">
        <f>_xlfn.XLOOKUP(Table8[[#This Row],[Supporter_ID]],tb1_supporters[Supporter_ID ],tb1_supporters[Gender],"")</f>
        <v>Female</v>
      </c>
      <c r="N509">
        <f ca="1">_xlfn.XLOOKUP(Table8[[#This Row],[Supporter_ID]],tb1_supporters[Supporter_ID ],tb1_supporters[Age],"")</f>
        <v>33</v>
      </c>
      <c r="O509" t="str">
        <f ca="1">_xlfn.XLOOKUP(Table8[[#This Row],[Supporter_ID]],tb1_supporters[Supporter_ID ],tb1_supporters[Age_Band],"")</f>
        <v>18-34</v>
      </c>
      <c r="P509" t="str">
        <f ca="1">IF(Table8[[#This Row],[Age_Band]]="","Unknown",Table8[[#This Row],[Age_Band]])</f>
        <v>18-34</v>
      </c>
      <c r="Q509" t="str">
        <f>_xlfn.XLOOKUP(Table8[[#This Row],[Supporter_ID]],tb1_supporters[Supporter_ID ],tb1_supporters[Communication_Preference],"")</f>
        <v>Email</v>
      </c>
      <c r="R509" t="str">
        <f>_xlfn.XLOOKUP(Table8[[#This Row],[Supporter_ID]],tb1_supporters[Supporter_ID ],tb1_supporters[Duplicate_Profile_Flag],"")</f>
        <v/>
      </c>
      <c r="S509" t="str">
        <f>_xlfn.XLOOKUP(Table8[[#This Row],[Supporter_ID]],tb1_supporters[Supporter_ID ],tb1_supporters[Preference_Compliance_Flag],"")</f>
        <v/>
      </c>
      <c r="T509" t="str">
        <f ca="1">IF(Table8[[#This Row],[Age]]="","Review - missing DOB",IF(Table8[[#This Row],[Age]]&gt;TODAY(),"Review - future DOB",IF(Table8[[#This Row],[Age]]=0,"Review -  potential entry error (age 0)","")))</f>
        <v/>
      </c>
      <c r="U509" t="str">
        <f>_xlfn.XLOOKUP(Table8[[#This Row],[Campaign_Code]],tb3_CampaignMaster[Campaign_Code],tb3_CampaignMaster[Campaign_Type],"")</f>
        <v>Appeal</v>
      </c>
      <c r="V509" t="str">
        <f>_xlfn.XLOOKUP(Table8[[#This Row],[Campaign_Code]],tb3_CampaignMaster[Campaign_Code],tb3_CampaignMaster[Target_Audience],"")</f>
        <v>All Active</v>
      </c>
      <c r="W509" s="17">
        <f>_xlfn.XLOOKUP(Table8[[#This Row],[Campaign_Code]],tb3_CampaignMaster[Campaign_Code],tb3_CampaignMaster[Start_Date],"")</f>
        <v>45597</v>
      </c>
      <c r="X509" s="17">
        <f>_xlfn.XLOOKUP(Table8[[#This Row],[Campaign_Code]],tb3_CampaignMaster[Campaign_Code],tb3_CampaignMaster[End_Date],"")</f>
        <v>45657</v>
      </c>
      <c r="Y509">
        <f>_xlfn.XLOOKUP(Table8[[#This Row],[Campaign_Code]],tb3_CampaignMaster[Campaign_Code],tb3_CampaignMaster[Budget_GBP],"")</f>
        <v>25000</v>
      </c>
      <c r="Z509" t="str">
        <f>_xlfn.XLOOKUP(Table8[[#This Row],[Campaign_Code]],tb3_CampaignMaster[Campaign_Code],tb3_CampaignMaster[Primary_Channel],"")</f>
        <v>Multi-channel</v>
      </c>
      <c r="AA509" s="13">
        <f>IF(Table8[[#This Row],[Gift_Aid_Eligible]]="Yes",Table8[[#This Row],[Gift_Amount]]*1.25,Table8[[#This Row],[Gift_Amount]])</f>
        <v>27.074999999999999</v>
      </c>
      <c r="AB509" t="str">
        <f>IF(Table8[[#This Row],[Supporter_ID]]="","Review - missing supporter ID","")</f>
        <v/>
      </c>
      <c r="AC509" t="str">
        <f>IF(OR(Table8[[#This Row],[Response_Date]]&lt;Table8[[#This Row],[Start_Date]],Table8[[#This Row],[Response_Date]]&gt;Table8[[#This Row],[End_Date]]),"Review - response outside campaign dates","")</f>
        <v/>
      </c>
      <c r="AD509" t="str">
        <f>IF(Table8[[#This Row],[Campaign_Type]]="","Review - campaign code not found","")</f>
        <v/>
      </c>
    </row>
    <row r="510" spans="1:30" x14ac:dyDescent="0.25">
      <c r="A510" t="s">
        <v>4225</v>
      </c>
      <c r="B510" t="s">
        <v>688</v>
      </c>
      <c r="C510" t="s">
        <v>3354</v>
      </c>
      <c r="D510" t="s">
        <v>3355</v>
      </c>
      <c r="E510" t="s">
        <v>65</v>
      </c>
      <c r="F510" s="17">
        <v>45618</v>
      </c>
      <c r="G510">
        <v>30.27</v>
      </c>
      <c r="H510" t="s">
        <v>37</v>
      </c>
      <c r="I510" t="s">
        <v>3331</v>
      </c>
      <c r="J510" t="str">
        <f>_xlfn.XLOOKUP(Table8[[#This Row],[Supporter_ID]],tb1_supporters[Supporter_ID ],tb1_supporters[Segment],"")</f>
        <v>Regular Giver</v>
      </c>
      <c r="K510" t="str">
        <f>_xlfn.XLOOKUP(Table8[[#This Row],[Supporter_ID]],tb1_supporters[Supporter_ID ],tb1_supporters[Acquisition_Source],"")</f>
        <v>Corporate Partner</v>
      </c>
      <c r="L510" t="str">
        <f>_xlfn.XLOOKUP(Table8[[#This Row],[Supporter_ID]],tb1_supporters[Supporter_ID ],tb1_supporters[County],"")</f>
        <v>Gloucestershire</v>
      </c>
      <c r="M510" t="str">
        <f>_xlfn.XLOOKUP(Table8[[#This Row],[Supporter_ID]],tb1_supporters[Supporter_ID ],tb1_supporters[Gender],"")</f>
        <v>Male</v>
      </c>
      <c r="N510">
        <f ca="1">_xlfn.XLOOKUP(Table8[[#This Row],[Supporter_ID]],tb1_supporters[Supporter_ID ],tb1_supporters[Age],"")</f>
        <v>87</v>
      </c>
      <c r="O510" t="str">
        <f ca="1">_xlfn.XLOOKUP(Table8[[#This Row],[Supporter_ID]],tb1_supporters[Supporter_ID ],tb1_supporters[Age_Band],"")</f>
        <v>65+</v>
      </c>
      <c r="P510" t="str">
        <f ca="1">IF(Table8[[#This Row],[Age_Band]]="","Unknown",Table8[[#This Row],[Age_Band]])</f>
        <v>65+</v>
      </c>
      <c r="Q510" t="str">
        <f>_xlfn.XLOOKUP(Table8[[#This Row],[Supporter_ID]],tb1_supporters[Supporter_ID ],tb1_supporters[Communication_Preference],"")</f>
        <v>Post</v>
      </c>
      <c r="R510" t="str">
        <f>_xlfn.XLOOKUP(Table8[[#This Row],[Supporter_ID]],tb1_supporters[Supporter_ID ],tb1_supporters[Duplicate_Profile_Flag],"")</f>
        <v/>
      </c>
      <c r="S510" t="str">
        <f>_xlfn.XLOOKUP(Table8[[#This Row],[Supporter_ID]],tb1_supporters[Supporter_ID ],tb1_supporters[Preference_Compliance_Flag],"")</f>
        <v/>
      </c>
      <c r="T510" t="str">
        <f ca="1">IF(Table8[[#This Row],[Age]]="","Review - missing DOB",IF(Table8[[#This Row],[Age]]&gt;TODAY(),"Review - future DOB",IF(Table8[[#This Row],[Age]]=0,"Review -  potential entry error (age 0)","")))</f>
        <v/>
      </c>
      <c r="U510" t="str">
        <f>_xlfn.XLOOKUP(Table8[[#This Row],[Campaign_Code]],tb3_CampaignMaster[Campaign_Code],tb3_CampaignMaster[Campaign_Type],"")</f>
        <v>Event</v>
      </c>
      <c r="V510" t="str">
        <f>_xlfn.XLOOKUP(Table8[[#This Row],[Campaign_Code]],tb3_CampaignMaster[Campaign_Code],tb3_CampaignMaster[Target_Audience],"")</f>
        <v>Volunteers</v>
      </c>
      <c r="W510" s="17">
        <f>_xlfn.XLOOKUP(Table8[[#This Row],[Campaign_Code]],tb3_CampaignMaster[Campaign_Code],tb3_CampaignMaster[Start_Date],"")</f>
        <v>45618</v>
      </c>
      <c r="X510" s="17">
        <f>_xlfn.XLOOKUP(Table8[[#This Row],[Campaign_Code]],tb3_CampaignMaster[Campaign_Code],tb3_CampaignMaster[End_Date],"")</f>
        <v>45618</v>
      </c>
      <c r="Y510">
        <f>_xlfn.XLOOKUP(Table8[[#This Row],[Campaign_Code]],tb3_CampaignMaster[Campaign_Code],tb3_CampaignMaster[Budget_GBP],"")</f>
        <v>3500</v>
      </c>
      <c r="Z510" t="str">
        <f>_xlfn.XLOOKUP(Table8[[#This Row],[Campaign_Code]],tb3_CampaignMaster[Campaign_Code],tb3_CampaignMaster[Primary_Channel],"")</f>
        <v>Email</v>
      </c>
      <c r="AA510" s="13">
        <f>IF(Table8[[#This Row],[Gift_Aid_Eligible]]="Yes",Table8[[#This Row],[Gift_Amount]]*1.25,Table8[[#This Row],[Gift_Amount]])</f>
        <v>30.27</v>
      </c>
      <c r="AB510" t="str">
        <f>IF(Table8[[#This Row],[Supporter_ID]]="","Review - missing supporter ID","")</f>
        <v/>
      </c>
      <c r="AC510" t="str">
        <f>IF(OR(Table8[[#This Row],[Response_Date]]&lt;Table8[[#This Row],[Start_Date]],Table8[[#This Row],[Response_Date]]&gt;Table8[[#This Row],[End_Date]]),"Review - response outside campaign dates","")</f>
        <v/>
      </c>
      <c r="AD510" t="str">
        <f>IF(Table8[[#This Row],[Campaign_Type]]="","Review - campaign code not found","")</f>
        <v/>
      </c>
    </row>
    <row r="511" spans="1:30" x14ac:dyDescent="0.25">
      <c r="A511" t="s">
        <v>4226</v>
      </c>
      <c r="B511" t="s">
        <v>2252</v>
      </c>
      <c r="C511" t="s">
        <v>3325</v>
      </c>
      <c r="D511" t="s">
        <v>3326</v>
      </c>
      <c r="E511" t="s">
        <v>3316</v>
      </c>
      <c r="F511" s="17">
        <v>45646</v>
      </c>
      <c r="G511">
        <v>489.36</v>
      </c>
      <c r="H511" t="s">
        <v>36</v>
      </c>
      <c r="I511" t="s">
        <v>3318</v>
      </c>
      <c r="J511" t="str">
        <f>_xlfn.XLOOKUP(Table8[[#This Row],[Supporter_ID]],tb1_supporters[Supporter_ID ],tb1_supporters[Segment],"")</f>
        <v>Legacy Pledger</v>
      </c>
      <c r="K511" t="str">
        <f>_xlfn.XLOOKUP(Table8[[#This Row],[Supporter_ID]],tb1_supporters[Supporter_ID ],tb1_supporters[Acquisition_Source],"")</f>
        <v>Telephone</v>
      </c>
      <c r="L511" t="str">
        <f>_xlfn.XLOOKUP(Table8[[#This Row],[Supporter_ID]],tb1_supporters[Supporter_ID ],tb1_supporters[County],"")</f>
        <v>Buckinghamshire</v>
      </c>
      <c r="M511" t="str">
        <f>_xlfn.XLOOKUP(Table8[[#This Row],[Supporter_ID]],tb1_supporters[Supporter_ID ],tb1_supporters[Gender],"")</f>
        <v>Male</v>
      </c>
      <c r="N511">
        <f ca="1">_xlfn.XLOOKUP(Table8[[#This Row],[Supporter_ID]],tb1_supporters[Supporter_ID ],tb1_supporters[Age],"")</f>
        <v>63</v>
      </c>
      <c r="O511" t="str">
        <f ca="1">_xlfn.XLOOKUP(Table8[[#This Row],[Supporter_ID]],tb1_supporters[Supporter_ID ],tb1_supporters[Age_Band],"")</f>
        <v>50-64</v>
      </c>
      <c r="P511" t="str">
        <f ca="1">IF(Table8[[#This Row],[Age_Band]]="","Unknown",Table8[[#This Row],[Age_Band]])</f>
        <v>50-64</v>
      </c>
      <c r="Q511" t="str">
        <f>_xlfn.XLOOKUP(Table8[[#This Row],[Supporter_ID]],tb1_supporters[Supporter_ID ],tb1_supporters[Communication_Preference],"")</f>
        <v>Email</v>
      </c>
      <c r="R511" t="str">
        <f>_xlfn.XLOOKUP(Table8[[#This Row],[Supporter_ID]],tb1_supporters[Supporter_ID ],tb1_supporters[Duplicate_Profile_Flag],"")</f>
        <v/>
      </c>
      <c r="S511" t="str">
        <f>_xlfn.XLOOKUP(Table8[[#This Row],[Supporter_ID]],tb1_supporters[Supporter_ID ],tb1_supporters[Preference_Compliance_Flag],"")</f>
        <v/>
      </c>
      <c r="T511" t="str">
        <f ca="1">IF(Table8[[#This Row],[Age]]="","Review - missing DOB",IF(Table8[[#This Row],[Age]]&gt;TODAY(),"Review - future DOB",IF(Table8[[#This Row],[Age]]=0,"Review -  potential entry error (age 0)","")))</f>
        <v/>
      </c>
      <c r="U511" t="str">
        <f>_xlfn.XLOOKUP(Table8[[#This Row],[Campaign_Code]],tb3_CampaignMaster[Campaign_Code],tb3_CampaignMaster[Campaign_Type],"")</f>
        <v>Appeal</v>
      </c>
      <c r="V511" t="str">
        <f>_xlfn.XLOOKUP(Table8[[#This Row],[Campaign_Code]],tb3_CampaignMaster[Campaign_Code],tb3_CampaignMaster[Target_Audience],"")</f>
        <v>All Active</v>
      </c>
      <c r="W511" s="17">
        <f>_xlfn.XLOOKUP(Table8[[#This Row],[Campaign_Code]],tb3_CampaignMaster[Campaign_Code],tb3_CampaignMaster[Start_Date],"")</f>
        <v>45597</v>
      </c>
      <c r="X511" s="17">
        <f>_xlfn.XLOOKUP(Table8[[#This Row],[Campaign_Code]],tb3_CampaignMaster[Campaign_Code],tb3_CampaignMaster[End_Date],"")</f>
        <v>45657</v>
      </c>
      <c r="Y511">
        <f>_xlfn.XLOOKUP(Table8[[#This Row],[Campaign_Code]],tb3_CampaignMaster[Campaign_Code],tb3_CampaignMaster[Budget_GBP],"")</f>
        <v>25000</v>
      </c>
      <c r="Z511" t="str">
        <f>_xlfn.XLOOKUP(Table8[[#This Row],[Campaign_Code]],tb3_CampaignMaster[Campaign_Code],tb3_CampaignMaster[Primary_Channel],"")</f>
        <v>Multi-channel</v>
      </c>
      <c r="AA511" s="13">
        <f>IF(Table8[[#This Row],[Gift_Aid_Eligible]]="Yes",Table8[[#This Row],[Gift_Amount]]*1.25,Table8[[#This Row],[Gift_Amount]])</f>
        <v>611.70000000000005</v>
      </c>
      <c r="AB511" t="str">
        <f>IF(Table8[[#This Row],[Supporter_ID]]="","Review - missing supporter ID","")</f>
        <v/>
      </c>
      <c r="AC511" t="str">
        <f>IF(OR(Table8[[#This Row],[Response_Date]]&lt;Table8[[#This Row],[Start_Date]],Table8[[#This Row],[Response_Date]]&gt;Table8[[#This Row],[End_Date]]),"Review - response outside campaign dates","")</f>
        <v/>
      </c>
      <c r="AD511" t="str">
        <f>IF(Table8[[#This Row],[Campaign_Type]]="","Review - campaign code not found","")</f>
        <v/>
      </c>
    </row>
    <row r="512" spans="1:30" x14ac:dyDescent="0.25">
      <c r="A512" t="s">
        <v>4228</v>
      </c>
      <c r="B512" t="s">
        <v>637</v>
      </c>
      <c r="C512" t="s">
        <v>3314</v>
      </c>
      <c r="D512" t="s">
        <v>3315</v>
      </c>
      <c r="E512" t="s">
        <v>65</v>
      </c>
      <c r="F512" s="17">
        <v>45678</v>
      </c>
      <c r="G512">
        <v>89.5</v>
      </c>
      <c r="H512" t="s">
        <v>37</v>
      </c>
      <c r="I512" t="s">
        <v>3365</v>
      </c>
      <c r="J512" t="str">
        <f>_xlfn.XLOOKUP(Table8[[#This Row],[Supporter_ID]],tb1_supporters[Supporter_ID ],tb1_supporters[Segment],"")</f>
        <v>Lapsed</v>
      </c>
      <c r="K512" t="str">
        <f>_xlfn.XLOOKUP(Table8[[#This Row],[Supporter_ID]],tb1_supporters[Supporter_ID ],tb1_supporters[Acquisition_Source],"")</f>
        <v>Direct Mail</v>
      </c>
      <c r="L512" t="str">
        <f>_xlfn.XLOOKUP(Table8[[#This Row],[Supporter_ID]],tb1_supporters[Supporter_ID ],tb1_supporters[County],"")</f>
        <v>Cheshire</v>
      </c>
      <c r="M512" t="str">
        <f>_xlfn.XLOOKUP(Table8[[#This Row],[Supporter_ID]],tb1_supporters[Supporter_ID ],tb1_supporters[Gender],"")</f>
        <v>Male</v>
      </c>
      <c r="N512">
        <f ca="1">_xlfn.XLOOKUP(Table8[[#This Row],[Supporter_ID]],tb1_supporters[Supporter_ID ],tb1_supporters[Age],"")</f>
        <v>41</v>
      </c>
      <c r="O512" t="str">
        <f ca="1">_xlfn.XLOOKUP(Table8[[#This Row],[Supporter_ID]],tb1_supporters[Supporter_ID ],tb1_supporters[Age_Band],"")</f>
        <v>35-49</v>
      </c>
      <c r="P512" t="str">
        <f ca="1">IF(Table8[[#This Row],[Age_Band]]="","Unknown",Table8[[#This Row],[Age_Band]])</f>
        <v>35-49</v>
      </c>
      <c r="Q512" t="str">
        <f>_xlfn.XLOOKUP(Table8[[#This Row],[Supporter_ID]],tb1_supporters[Supporter_ID ],tb1_supporters[Communication_Preference],"")</f>
        <v>Do Not Contact</v>
      </c>
      <c r="R512" t="str">
        <f>_xlfn.XLOOKUP(Table8[[#This Row],[Supporter_ID]],tb1_supporters[Supporter_ID ],tb1_supporters[Duplicate_Profile_Flag],"")</f>
        <v/>
      </c>
      <c r="S512" t="str">
        <f>_xlfn.XLOOKUP(Table8[[#This Row],[Supporter_ID]],tb1_supporters[Supporter_ID ],tb1_supporters[Preference_Compliance_Flag],"")</f>
        <v/>
      </c>
      <c r="T512" t="str">
        <f ca="1">IF(Table8[[#This Row],[Age]]="","Review - missing DOB",IF(Table8[[#This Row],[Age]]&gt;TODAY(),"Review - future DOB",IF(Table8[[#This Row],[Age]]=0,"Review -  potential entry error (age 0)","")))</f>
        <v/>
      </c>
      <c r="U512" t="str">
        <f>_xlfn.XLOOKUP(Table8[[#This Row],[Campaign_Code]],tb3_CampaignMaster[Campaign_Code],tb3_CampaignMaster[Campaign_Type],"")</f>
        <v>Regular Giving</v>
      </c>
      <c r="V512" t="str">
        <f>_xlfn.XLOOKUP(Table8[[#This Row],[Campaign_Code]],tb3_CampaignMaster[Campaign_Code],tb3_CampaignMaster[Target_Audience],"")</f>
        <v>One-time Donors</v>
      </c>
      <c r="W512" s="17">
        <f>_xlfn.XLOOKUP(Table8[[#This Row],[Campaign_Code]],tb3_CampaignMaster[Campaign_Code],tb3_CampaignMaster[Start_Date],"")</f>
        <v>45663</v>
      </c>
      <c r="X512" s="17">
        <f>_xlfn.XLOOKUP(Table8[[#This Row],[Campaign_Code]],tb3_CampaignMaster[Campaign_Code],tb3_CampaignMaster[End_Date],"")</f>
        <v>45747</v>
      </c>
      <c r="Y512">
        <f>_xlfn.XLOOKUP(Table8[[#This Row],[Campaign_Code]],tb3_CampaignMaster[Campaign_Code],tb3_CampaignMaster[Budget_GBP],"")</f>
        <v>10000</v>
      </c>
      <c r="Z512" t="str">
        <f>_xlfn.XLOOKUP(Table8[[#This Row],[Campaign_Code]],tb3_CampaignMaster[Campaign_Code],tb3_CampaignMaster[Primary_Channel],"")</f>
        <v>Telephone</v>
      </c>
      <c r="AA512" s="13">
        <f>IF(Table8[[#This Row],[Gift_Aid_Eligible]]="Yes",Table8[[#This Row],[Gift_Amount]]*1.25,Table8[[#This Row],[Gift_Amount]])</f>
        <v>89.5</v>
      </c>
      <c r="AB512" t="str">
        <f>IF(Table8[[#This Row],[Supporter_ID]]="","Review - missing supporter ID","")</f>
        <v/>
      </c>
      <c r="AC512" t="str">
        <f>IF(OR(Table8[[#This Row],[Response_Date]]&lt;Table8[[#This Row],[Start_Date]],Table8[[#This Row],[Response_Date]]&gt;Table8[[#This Row],[End_Date]]),"Review - response outside campaign dates","")</f>
        <v/>
      </c>
      <c r="AD512" t="str">
        <f>IF(Table8[[#This Row],[Campaign_Type]]="","Review - campaign code not found","")</f>
        <v/>
      </c>
    </row>
    <row r="513" spans="1:30" x14ac:dyDescent="0.25">
      <c r="A513" t="s">
        <v>4230</v>
      </c>
      <c r="B513" t="s">
        <v>374</v>
      </c>
      <c r="C513" t="s">
        <v>3341</v>
      </c>
      <c r="D513" t="s">
        <v>3342</v>
      </c>
      <c r="E513" t="s">
        <v>3316</v>
      </c>
      <c r="F513" s="17">
        <v>45773</v>
      </c>
      <c r="G513">
        <v>21.12</v>
      </c>
      <c r="H513" t="s">
        <v>37</v>
      </c>
      <c r="I513" t="s">
        <v>3334</v>
      </c>
      <c r="J513" t="str">
        <f>_xlfn.XLOOKUP(Table8[[#This Row],[Supporter_ID]],tb1_supporters[Supporter_ID ],tb1_supporters[Segment],"")</f>
        <v>Regular Giver</v>
      </c>
      <c r="K513" t="str">
        <f>_xlfn.XLOOKUP(Table8[[#This Row],[Supporter_ID]],tb1_supporters[Supporter_ID ],tb1_supporters[Acquisition_Source],"")</f>
        <v>Event</v>
      </c>
      <c r="L513" t="str">
        <f>_xlfn.XLOOKUP(Table8[[#This Row],[Supporter_ID]],tb1_supporters[Supporter_ID ],tb1_supporters[County],"")</f>
        <v>Norfolk</v>
      </c>
      <c r="M513" t="str">
        <f>_xlfn.XLOOKUP(Table8[[#This Row],[Supporter_ID]],tb1_supporters[Supporter_ID ],tb1_supporters[Gender],"")</f>
        <v>Male</v>
      </c>
      <c r="N513">
        <f ca="1">_xlfn.XLOOKUP(Table8[[#This Row],[Supporter_ID]],tb1_supporters[Supporter_ID ],tb1_supporters[Age],"")</f>
        <v>53</v>
      </c>
      <c r="O513" t="str">
        <f ca="1">_xlfn.XLOOKUP(Table8[[#This Row],[Supporter_ID]],tb1_supporters[Supporter_ID ],tb1_supporters[Age_Band],"")</f>
        <v>50-64</v>
      </c>
      <c r="P513" t="str">
        <f ca="1">IF(Table8[[#This Row],[Age_Band]]="","Unknown",Table8[[#This Row],[Age_Band]])</f>
        <v>50-64</v>
      </c>
      <c r="Q513" t="str">
        <f>_xlfn.XLOOKUP(Table8[[#This Row],[Supporter_ID]],tb1_supporters[Supporter_ID ],tb1_supporters[Communication_Preference],"")</f>
        <v>Post</v>
      </c>
      <c r="R513" t="str">
        <f>_xlfn.XLOOKUP(Table8[[#This Row],[Supporter_ID]],tb1_supporters[Supporter_ID ],tb1_supporters[Duplicate_Profile_Flag],"")</f>
        <v/>
      </c>
      <c r="S513" t="str">
        <f>_xlfn.XLOOKUP(Table8[[#This Row],[Supporter_ID]],tb1_supporters[Supporter_ID ],tb1_supporters[Preference_Compliance_Flag],"")</f>
        <v/>
      </c>
      <c r="T513" t="str">
        <f ca="1">IF(Table8[[#This Row],[Age]]="","Review - missing DOB",IF(Table8[[#This Row],[Age]]&gt;TODAY(),"Review - future DOB",IF(Table8[[#This Row],[Age]]=0,"Review -  potential entry error (age 0)","")))</f>
        <v/>
      </c>
      <c r="U513" t="str">
        <f>_xlfn.XLOOKUP(Table8[[#This Row],[Campaign_Code]],tb3_CampaignMaster[Campaign_Code],tb3_CampaignMaster[Campaign_Type],"")</f>
        <v>Acquisition</v>
      </c>
      <c r="V513" t="str">
        <f>_xlfn.XLOOKUP(Table8[[#This Row],[Campaign_Code]],tb3_CampaignMaster[Campaign_Code],tb3_CampaignMaster[Target_Audience],"")</f>
        <v>Prospects</v>
      </c>
      <c r="W513" s="17">
        <f>_xlfn.XLOOKUP(Table8[[#This Row],[Campaign_Code]],tb3_CampaignMaster[Campaign_Code],tb3_CampaignMaster[Start_Date],"")</f>
        <v>45689</v>
      </c>
      <c r="X513" s="17">
        <f>_xlfn.XLOOKUP(Table8[[#This Row],[Campaign_Code]],tb3_CampaignMaster[Campaign_Code],tb3_CampaignMaster[End_Date],"")</f>
        <v>45777</v>
      </c>
      <c r="Y513">
        <f>_xlfn.XLOOKUP(Table8[[#This Row],[Campaign_Code]],tb3_CampaignMaster[Campaign_Code],tb3_CampaignMaster[Budget_GBP],"")</f>
        <v>20000</v>
      </c>
      <c r="Z513" t="str">
        <f>_xlfn.XLOOKUP(Table8[[#This Row],[Campaign_Code]],tb3_CampaignMaster[Campaign_Code],tb3_CampaignMaster[Primary_Channel],"")</f>
        <v>Digital</v>
      </c>
      <c r="AA513" s="13">
        <f>IF(Table8[[#This Row],[Gift_Aid_Eligible]]="Yes",Table8[[#This Row],[Gift_Amount]]*1.25,Table8[[#This Row],[Gift_Amount]])</f>
        <v>21.12</v>
      </c>
      <c r="AB513" t="str">
        <f>IF(Table8[[#This Row],[Supporter_ID]]="","Review - missing supporter ID","")</f>
        <v/>
      </c>
      <c r="AC513" t="str">
        <f>IF(OR(Table8[[#This Row],[Response_Date]]&lt;Table8[[#This Row],[Start_Date]],Table8[[#This Row],[Response_Date]]&gt;Table8[[#This Row],[End_Date]]),"Review - response outside campaign dates","")</f>
        <v/>
      </c>
      <c r="AD513" t="str">
        <f>IF(Table8[[#This Row],[Campaign_Type]]="","Review - campaign code not found","")</f>
        <v/>
      </c>
    </row>
    <row r="514" spans="1:30" x14ac:dyDescent="0.25">
      <c r="A514" t="s">
        <v>4232</v>
      </c>
      <c r="B514" t="s">
        <v>3141</v>
      </c>
      <c r="C514" t="s">
        <v>3320</v>
      </c>
      <c r="D514" t="s">
        <v>3321</v>
      </c>
      <c r="E514" t="s">
        <v>65</v>
      </c>
      <c r="F514" s="17">
        <v>45459</v>
      </c>
      <c r="G514">
        <v>220.24</v>
      </c>
      <c r="H514" t="s">
        <v>37</v>
      </c>
      <c r="I514" t="s">
        <v>3370</v>
      </c>
      <c r="J514" t="str">
        <f>_xlfn.XLOOKUP(Table8[[#This Row],[Supporter_ID]],tb1_supporters[Supporter_ID ],tb1_supporters[Segment],"")</f>
        <v>Mid-Value</v>
      </c>
      <c r="K514" t="str">
        <f>_xlfn.XLOOKUP(Table8[[#This Row],[Supporter_ID]],tb1_supporters[Supporter_ID ],tb1_supporters[Acquisition_Source],"")</f>
        <v>Telephone</v>
      </c>
      <c r="L514" t="str">
        <f>_xlfn.XLOOKUP(Table8[[#This Row],[Supporter_ID]],tb1_supporters[Supporter_ID ],tb1_supporters[County],"")</f>
        <v>Suffolk</v>
      </c>
      <c r="M514" t="str">
        <f>_xlfn.XLOOKUP(Table8[[#This Row],[Supporter_ID]],tb1_supporters[Supporter_ID ],tb1_supporters[Gender],"")</f>
        <v>Female</v>
      </c>
      <c r="N514">
        <f ca="1">_xlfn.XLOOKUP(Table8[[#This Row],[Supporter_ID]],tb1_supporters[Supporter_ID ],tb1_supporters[Age],"")</f>
        <v>47</v>
      </c>
      <c r="O514" t="str">
        <f ca="1">_xlfn.XLOOKUP(Table8[[#This Row],[Supporter_ID]],tb1_supporters[Supporter_ID ],tb1_supporters[Age_Band],"")</f>
        <v>35-49</v>
      </c>
      <c r="P514" t="str">
        <f ca="1">IF(Table8[[#This Row],[Age_Band]]="","Unknown",Table8[[#This Row],[Age_Band]])</f>
        <v>35-49</v>
      </c>
      <c r="Q514" t="str">
        <f>_xlfn.XLOOKUP(Table8[[#This Row],[Supporter_ID]],tb1_supporters[Supporter_ID ],tb1_supporters[Communication_Preference],"")</f>
        <v>Email</v>
      </c>
      <c r="R514" t="str">
        <f>_xlfn.XLOOKUP(Table8[[#This Row],[Supporter_ID]],tb1_supporters[Supporter_ID ],tb1_supporters[Duplicate_Profile_Flag],"")</f>
        <v/>
      </c>
      <c r="S514" t="str">
        <f>_xlfn.XLOOKUP(Table8[[#This Row],[Supporter_ID]],tb1_supporters[Supporter_ID ],tb1_supporters[Preference_Compliance_Flag],"")</f>
        <v/>
      </c>
      <c r="T514" t="str">
        <f ca="1">IF(Table8[[#This Row],[Age]]="","Review - missing DOB",IF(Table8[[#This Row],[Age]]&gt;TODAY(),"Review - future DOB",IF(Table8[[#This Row],[Age]]=0,"Review -  potential entry error (age 0)","")))</f>
        <v/>
      </c>
      <c r="U514" t="str">
        <f>_xlfn.XLOOKUP(Table8[[#This Row],[Campaign_Code]],tb3_CampaignMaster[Campaign_Code],tb3_CampaignMaster[Campaign_Type],"")</f>
        <v>Stewardship</v>
      </c>
      <c r="V514" t="str">
        <f>_xlfn.XLOOKUP(Table8[[#This Row],[Campaign_Code]],tb3_CampaignMaster[Campaign_Code],tb3_CampaignMaster[Target_Audience],"")</f>
        <v>Major Donors</v>
      </c>
      <c r="W514" s="17">
        <f>_xlfn.XLOOKUP(Table8[[#This Row],[Campaign_Code]],tb3_CampaignMaster[Campaign_Code],tb3_CampaignMaster[Start_Date],"")</f>
        <v>45444</v>
      </c>
      <c r="X514" s="17">
        <f>_xlfn.XLOOKUP(Table8[[#This Row],[Campaign_Code]],tb3_CampaignMaster[Campaign_Code],tb3_CampaignMaster[End_Date],"")</f>
        <v>45473</v>
      </c>
      <c r="Y514">
        <f>_xlfn.XLOOKUP(Table8[[#This Row],[Campaign_Code]],tb3_CampaignMaster[Campaign_Code],tb3_CampaignMaster[Budget_GBP],"")</f>
        <v>7000</v>
      </c>
      <c r="Z514" t="str">
        <f>_xlfn.XLOOKUP(Table8[[#This Row],[Campaign_Code]],tb3_CampaignMaster[Campaign_Code],tb3_CampaignMaster[Primary_Channel],"")</f>
        <v>Direct Mail</v>
      </c>
      <c r="AA514" s="13">
        <f>IF(Table8[[#This Row],[Gift_Aid_Eligible]]="Yes",Table8[[#This Row],[Gift_Amount]]*1.25,Table8[[#This Row],[Gift_Amount]])</f>
        <v>220.24</v>
      </c>
      <c r="AB514" t="str">
        <f>IF(Table8[[#This Row],[Supporter_ID]]="","Review - missing supporter ID","")</f>
        <v/>
      </c>
      <c r="AC514" t="str">
        <f>IF(OR(Table8[[#This Row],[Response_Date]]&lt;Table8[[#This Row],[Start_Date]],Table8[[#This Row],[Response_Date]]&gt;Table8[[#This Row],[End_Date]]),"Review - response outside campaign dates","")</f>
        <v/>
      </c>
      <c r="AD514" t="str">
        <f>IF(Table8[[#This Row],[Campaign_Type]]="","Review - campaign code not found","")</f>
        <v/>
      </c>
    </row>
    <row r="515" spans="1:30" x14ac:dyDescent="0.25">
      <c r="A515" t="s">
        <v>4233</v>
      </c>
      <c r="B515" t="s">
        <v>1826</v>
      </c>
      <c r="C515" t="s">
        <v>3320</v>
      </c>
      <c r="D515" t="s">
        <v>3321</v>
      </c>
      <c r="E515" t="s">
        <v>65</v>
      </c>
      <c r="F515" s="17">
        <v>45452</v>
      </c>
      <c r="G515">
        <v>2017.33</v>
      </c>
      <c r="H515" t="s">
        <v>36</v>
      </c>
      <c r="I515" t="s">
        <v>3370</v>
      </c>
      <c r="J515" t="str">
        <f>_xlfn.XLOOKUP(Table8[[#This Row],[Supporter_ID]],tb1_supporters[Supporter_ID ],tb1_supporters[Segment],"")</f>
        <v>Major Donor</v>
      </c>
      <c r="K515" t="str">
        <f>_xlfn.XLOOKUP(Table8[[#This Row],[Supporter_ID]],tb1_supporters[Supporter_ID ],tb1_supporters[Acquisition_Source],"")</f>
        <v>Direct Mail</v>
      </c>
      <c r="L515" t="str">
        <f>_xlfn.XLOOKUP(Table8[[#This Row],[Supporter_ID]],tb1_supporters[Supporter_ID ],tb1_supporters[County],"")</f>
        <v>Wiltshire</v>
      </c>
      <c r="M515" t="str">
        <f>_xlfn.XLOOKUP(Table8[[#This Row],[Supporter_ID]],tb1_supporters[Supporter_ID ],tb1_supporters[Gender],"")</f>
        <v>Male</v>
      </c>
      <c r="N515">
        <f ca="1">_xlfn.XLOOKUP(Table8[[#This Row],[Supporter_ID]],tb1_supporters[Supporter_ID ],tb1_supporters[Age],"")</f>
        <v>55</v>
      </c>
      <c r="O515" t="str">
        <f ca="1">_xlfn.XLOOKUP(Table8[[#This Row],[Supporter_ID]],tb1_supporters[Supporter_ID ],tb1_supporters[Age_Band],"")</f>
        <v>50-64</v>
      </c>
      <c r="P515" t="str">
        <f ca="1">IF(Table8[[#This Row],[Age_Band]]="","Unknown",Table8[[#This Row],[Age_Band]])</f>
        <v>50-64</v>
      </c>
      <c r="Q515" t="str">
        <f>_xlfn.XLOOKUP(Table8[[#This Row],[Supporter_ID]],tb1_supporters[Supporter_ID ],tb1_supporters[Communication_Preference],"")</f>
        <v>No Preference</v>
      </c>
      <c r="R515" t="str">
        <f>_xlfn.XLOOKUP(Table8[[#This Row],[Supporter_ID]],tb1_supporters[Supporter_ID ],tb1_supporters[Duplicate_Profile_Flag],"")</f>
        <v/>
      </c>
      <c r="S515" t="str">
        <f>_xlfn.XLOOKUP(Table8[[#This Row],[Supporter_ID]],tb1_supporters[Supporter_ID ],tb1_supporters[Preference_Compliance_Flag],"")</f>
        <v/>
      </c>
      <c r="T515" t="str">
        <f ca="1">IF(Table8[[#This Row],[Age]]="","Review - missing DOB",IF(Table8[[#This Row],[Age]]&gt;TODAY(),"Review - future DOB",IF(Table8[[#This Row],[Age]]=0,"Review -  potential entry error (age 0)","")))</f>
        <v/>
      </c>
      <c r="U515" t="str">
        <f>_xlfn.XLOOKUP(Table8[[#This Row],[Campaign_Code]],tb3_CampaignMaster[Campaign_Code],tb3_CampaignMaster[Campaign_Type],"")</f>
        <v>Stewardship</v>
      </c>
      <c r="V515" t="str">
        <f>_xlfn.XLOOKUP(Table8[[#This Row],[Campaign_Code]],tb3_CampaignMaster[Campaign_Code],tb3_CampaignMaster[Target_Audience],"")</f>
        <v>Major Donors</v>
      </c>
      <c r="W515" s="17">
        <f>_xlfn.XLOOKUP(Table8[[#This Row],[Campaign_Code]],tb3_CampaignMaster[Campaign_Code],tb3_CampaignMaster[Start_Date],"")</f>
        <v>45444</v>
      </c>
      <c r="X515" s="17">
        <f>_xlfn.XLOOKUP(Table8[[#This Row],[Campaign_Code]],tb3_CampaignMaster[Campaign_Code],tb3_CampaignMaster[End_Date],"")</f>
        <v>45473</v>
      </c>
      <c r="Y515">
        <f>_xlfn.XLOOKUP(Table8[[#This Row],[Campaign_Code]],tb3_CampaignMaster[Campaign_Code],tb3_CampaignMaster[Budget_GBP],"")</f>
        <v>7000</v>
      </c>
      <c r="Z515" t="str">
        <f>_xlfn.XLOOKUP(Table8[[#This Row],[Campaign_Code]],tb3_CampaignMaster[Campaign_Code],tb3_CampaignMaster[Primary_Channel],"")</f>
        <v>Direct Mail</v>
      </c>
      <c r="AA515" s="13">
        <f>IF(Table8[[#This Row],[Gift_Aid_Eligible]]="Yes",Table8[[#This Row],[Gift_Amount]]*1.25,Table8[[#This Row],[Gift_Amount]])</f>
        <v>2521.6624999999999</v>
      </c>
      <c r="AB515" t="str">
        <f>IF(Table8[[#This Row],[Supporter_ID]]="","Review - missing supporter ID","")</f>
        <v/>
      </c>
      <c r="AC515" t="str">
        <f>IF(OR(Table8[[#This Row],[Response_Date]]&lt;Table8[[#This Row],[Start_Date]],Table8[[#This Row],[Response_Date]]&gt;Table8[[#This Row],[End_Date]]),"Review - response outside campaign dates","")</f>
        <v/>
      </c>
      <c r="AD515" t="str">
        <f>IF(Table8[[#This Row],[Campaign_Type]]="","Review - campaign code not found","")</f>
        <v/>
      </c>
    </row>
    <row r="516" spans="1:30" x14ac:dyDescent="0.25">
      <c r="A516" t="s">
        <v>4235</v>
      </c>
      <c r="B516" t="s">
        <v>1688</v>
      </c>
      <c r="C516" t="s">
        <v>3367</v>
      </c>
      <c r="D516" t="s">
        <v>3368</v>
      </c>
      <c r="E516" t="s">
        <v>65</v>
      </c>
      <c r="F516" s="17">
        <v>45692</v>
      </c>
      <c r="G516">
        <v>153.33000000000001</v>
      </c>
      <c r="H516" t="s">
        <v>37</v>
      </c>
      <c r="I516" t="s">
        <v>3370</v>
      </c>
      <c r="J516" t="str">
        <f>_xlfn.XLOOKUP(Table8[[#This Row],[Supporter_ID]],tb1_supporters[Supporter_ID ],tb1_supporters[Segment],"")</f>
        <v>Mid-Value</v>
      </c>
      <c r="K516" t="str">
        <f>_xlfn.XLOOKUP(Table8[[#This Row],[Supporter_ID]],tb1_supporters[Supporter_ID ],tb1_supporters[Acquisition_Source],"")</f>
        <v>Social Media</v>
      </c>
      <c r="L516" t="str">
        <f>_xlfn.XLOOKUP(Table8[[#This Row],[Supporter_ID]],tb1_supporters[Supporter_ID ],tb1_supporters[County],"")</f>
        <v>Cheshire</v>
      </c>
      <c r="M516" t="str">
        <f>_xlfn.XLOOKUP(Table8[[#This Row],[Supporter_ID]],tb1_supporters[Supporter_ID ],tb1_supporters[Gender],"")</f>
        <v>Female</v>
      </c>
      <c r="N516">
        <f ca="1">_xlfn.XLOOKUP(Table8[[#This Row],[Supporter_ID]],tb1_supporters[Supporter_ID ],tb1_supporters[Age],"")</f>
        <v>66</v>
      </c>
      <c r="O516" t="str">
        <f ca="1">_xlfn.XLOOKUP(Table8[[#This Row],[Supporter_ID]],tb1_supporters[Supporter_ID ],tb1_supporters[Age_Band],"")</f>
        <v>65+</v>
      </c>
      <c r="P516" t="str">
        <f ca="1">IF(Table8[[#This Row],[Age_Band]]="","Unknown",Table8[[#This Row],[Age_Band]])</f>
        <v>65+</v>
      </c>
      <c r="Q516" t="str">
        <f>_xlfn.XLOOKUP(Table8[[#This Row],[Supporter_ID]],tb1_supporters[Supporter_ID ],tb1_supporters[Communication_Preference],"")</f>
        <v>Phone</v>
      </c>
      <c r="R516" t="str">
        <f>_xlfn.XLOOKUP(Table8[[#This Row],[Supporter_ID]],tb1_supporters[Supporter_ID ],tb1_supporters[Duplicate_Profile_Flag],"")</f>
        <v/>
      </c>
      <c r="S516" t="str">
        <f>_xlfn.XLOOKUP(Table8[[#This Row],[Supporter_ID]],tb1_supporters[Supporter_ID ],tb1_supporters[Preference_Compliance_Flag],"")</f>
        <v>Review - prefers phone but not opted in</v>
      </c>
      <c r="T516" t="str">
        <f ca="1">IF(Table8[[#This Row],[Age]]="","Review - missing DOB",IF(Table8[[#This Row],[Age]]&gt;TODAY(),"Review - future DOB",IF(Table8[[#This Row],[Age]]=0,"Review -  potential entry error (age 0)","")))</f>
        <v/>
      </c>
      <c r="U516" t="str">
        <f>_xlfn.XLOOKUP(Table8[[#This Row],[Campaign_Code]],tb3_CampaignMaster[Campaign_Code],tb3_CampaignMaster[Campaign_Type],"")</f>
        <v>Raffle</v>
      </c>
      <c r="V516" t="str">
        <f>_xlfn.XLOOKUP(Table8[[#This Row],[Campaign_Code]],tb3_CampaignMaster[Campaign_Code],tb3_CampaignMaster[Target_Audience],"")</f>
        <v>Regular Givers</v>
      </c>
      <c r="W516" s="17">
        <f>_xlfn.XLOOKUP(Table8[[#This Row],[Campaign_Code]],tb3_CampaignMaster[Campaign_Code],tb3_CampaignMaster[Start_Date],"")</f>
        <v>45717</v>
      </c>
      <c r="X516" s="17">
        <f>_xlfn.XLOOKUP(Table8[[#This Row],[Campaign_Code]],tb3_CampaignMaster[Campaign_Code],tb3_CampaignMaster[End_Date],"")</f>
        <v>45777</v>
      </c>
      <c r="Y516">
        <f>_xlfn.XLOOKUP(Table8[[#This Row],[Campaign_Code]],tb3_CampaignMaster[Campaign_Code],tb3_CampaignMaster[Budget_GBP],"")</f>
        <v>8000</v>
      </c>
      <c r="Z516" t="str">
        <f>_xlfn.XLOOKUP(Table8[[#This Row],[Campaign_Code]],tb3_CampaignMaster[Campaign_Code],tb3_CampaignMaster[Primary_Channel],"")</f>
        <v>Direct Mail</v>
      </c>
      <c r="AA516" s="13">
        <f>IF(Table8[[#This Row],[Gift_Aid_Eligible]]="Yes",Table8[[#This Row],[Gift_Amount]]*1.25,Table8[[#This Row],[Gift_Amount]])</f>
        <v>153.33000000000001</v>
      </c>
      <c r="AB516" t="str">
        <f>IF(Table8[[#This Row],[Supporter_ID]]="","Review - missing supporter ID","")</f>
        <v/>
      </c>
      <c r="AC516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516" t="str">
        <f>IF(Table8[[#This Row],[Campaign_Type]]="","Review - campaign code not found","")</f>
        <v/>
      </c>
    </row>
    <row r="517" spans="1:30" x14ac:dyDescent="0.25">
      <c r="A517" t="s">
        <v>4237</v>
      </c>
      <c r="B517" t="s">
        <v>1767</v>
      </c>
      <c r="C517" t="s">
        <v>3325</v>
      </c>
      <c r="D517" t="s">
        <v>3326</v>
      </c>
      <c r="E517" t="s">
        <v>4</v>
      </c>
      <c r="F517" s="17">
        <v>45624</v>
      </c>
      <c r="G517">
        <v>239.6</v>
      </c>
      <c r="H517" t="s">
        <v>37</v>
      </c>
      <c r="I517" t="s">
        <v>3318</v>
      </c>
      <c r="J517" t="str">
        <f>_xlfn.XLOOKUP(Table8[[#This Row],[Supporter_ID]],tb1_supporters[Supporter_ID ],tb1_supporters[Segment],"")</f>
        <v>Mid-Value</v>
      </c>
      <c r="K517" t="str">
        <f>_xlfn.XLOOKUP(Table8[[#This Row],[Supporter_ID]],tb1_supporters[Supporter_ID ],tb1_supporters[Acquisition_Source],"")</f>
        <v>Referral</v>
      </c>
      <c r="L517" t="str">
        <f>_xlfn.XLOOKUP(Table8[[#This Row],[Supporter_ID]],tb1_supporters[Supporter_ID ],tb1_supporters[County],"")</f>
        <v>Suffolk</v>
      </c>
      <c r="M517" t="str">
        <f>_xlfn.XLOOKUP(Table8[[#This Row],[Supporter_ID]],tb1_supporters[Supporter_ID ],tb1_supporters[Gender],"")</f>
        <v>Female</v>
      </c>
      <c r="N517">
        <f ca="1">_xlfn.XLOOKUP(Table8[[#This Row],[Supporter_ID]],tb1_supporters[Supporter_ID ],tb1_supporters[Age],"")</f>
        <v>45</v>
      </c>
      <c r="O517" t="str">
        <f ca="1">_xlfn.XLOOKUP(Table8[[#This Row],[Supporter_ID]],tb1_supporters[Supporter_ID ],tb1_supporters[Age_Band],"")</f>
        <v>35-49</v>
      </c>
      <c r="P517" t="str">
        <f ca="1">IF(Table8[[#This Row],[Age_Band]]="","Unknown",Table8[[#This Row],[Age_Band]])</f>
        <v>35-49</v>
      </c>
      <c r="Q517" t="str">
        <f>_xlfn.XLOOKUP(Table8[[#This Row],[Supporter_ID]],tb1_supporters[Supporter_ID ],tb1_supporters[Communication_Preference],"")</f>
        <v>Post</v>
      </c>
      <c r="R517" t="str">
        <f>_xlfn.XLOOKUP(Table8[[#This Row],[Supporter_ID]],tb1_supporters[Supporter_ID ],tb1_supporters[Duplicate_Profile_Flag],"")</f>
        <v/>
      </c>
      <c r="S517" t="str">
        <f>_xlfn.XLOOKUP(Table8[[#This Row],[Supporter_ID]],tb1_supporters[Supporter_ID ],tb1_supporters[Preference_Compliance_Flag],"")</f>
        <v/>
      </c>
      <c r="T517" t="str">
        <f ca="1">IF(Table8[[#This Row],[Age]]="","Review - missing DOB",IF(Table8[[#This Row],[Age]]&gt;TODAY(),"Review - future DOB",IF(Table8[[#This Row],[Age]]=0,"Review -  potential entry error (age 0)","")))</f>
        <v/>
      </c>
      <c r="U517" t="str">
        <f>_xlfn.XLOOKUP(Table8[[#This Row],[Campaign_Code]],tb3_CampaignMaster[Campaign_Code],tb3_CampaignMaster[Campaign_Type],"")</f>
        <v>Appeal</v>
      </c>
      <c r="V517" t="str">
        <f>_xlfn.XLOOKUP(Table8[[#This Row],[Campaign_Code]],tb3_CampaignMaster[Campaign_Code],tb3_CampaignMaster[Target_Audience],"")</f>
        <v>All Active</v>
      </c>
      <c r="W517" s="17">
        <f>_xlfn.XLOOKUP(Table8[[#This Row],[Campaign_Code]],tb3_CampaignMaster[Campaign_Code],tb3_CampaignMaster[Start_Date],"")</f>
        <v>45597</v>
      </c>
      <c r="X517" s="17">
        <f>_xlfn.XLOOKUP(Table8[[#This Row],[Campaign_Code]],tb3_CampaignMaster[Campaign_Code],tb3_CampaignMaster[End_Date],"")</f>
        <v>45657</v>
      </c>
      <c r="Y517">
        <f>_xlfn.XLOOKUP(Table8[[#This Row],[Campaign_Code]],tb3_CampaignMaster[Campaign_Code],tb3_CampaignMaster[Budget_GBP],"")</f>
        <v>25000</v>
      </c>
      <c r="Z517" t="str">
        <f>_xlfn.XLOOKUP(Table8[[#This Row],[Campaign_Code]],tb3_CampaignMaster[Campaign_Code],tb3_CampaignMaster[Primary_Channel],"")</f>
        <v>Multi-channel</v>
      </c>
      <c r="AA517" s="13">
        <f>IF(Table8[[#This Row],[Gift_Aid_Eligible]]="Yes",Table8[[#This Row],[Gift_Amount]]*1.25,Table8[[#This Row],[Gift_Amount]])</f>
        <v>239.6</v>
      </c>
      <c r="AB517" t="str">
        <f>IF(Table8[[#This Row],[Supporter_ID]]="","Review - missing supporter ID","")</f>
        <v/>
      </c>
      <c r="AC517" t="str">
        <f>IF(OR(Table8[[#This Row],[Response_Date]]&lt;Table8[[#This Row],[Start_Date]],Table8[[#This Row],[Response_Date]]&gt;Table8[[#This Row],[End_Date]]),"Review - response outside campaign dates","")</f>
        <v/>
      </c>
      <c r="AD517" t="str">
        <f>IF(Table8[[#This Row],[Campaign_Type]]="","Review - campaign code not found","")</f>
        <v/>
      </c>
    </row>
    <row r="518" spans="1:30" x14ac:dyDescent="0.25">
      <c r="A518" t="s">
        <v>4238</v>
      </c>
      <c r="B518" t="s">
        <v>203</v>
      </c>
      <c r="C518" t="s">
        <v>3314</v>
      </c>
      <c r="D518" t="s">
        <v>3315</v>
      </c>
      <c r="E518" t="s">
        <v>3316</v>
      </c>
      <c r="F518" s="17">
        <v>45705</v>
      </c>
      <c r="G518">
        <v>27.14</v>
      </c>
      <c r="H518" t="s">
        <v>37</v>
      </c>
      <c r="I518" t="s">
        <v>3334</v>
      </c>
      <c r="J518" t="str">
        <f>_xlfn.XLOOKUP(Table8[[#This Row],[Supporter_ID]],tb1_supporters[Supporter_ID ],tb1_supporters[Segment],"")</f>
        <v>Regular Giver</v>
      </c>
      <c r="K518" t="str">
        <f>_xlfn.XLOOKUP(Table8[[#This Row],[Supporter_ID]],tb1_supporters[Supporter_ID ],tb1_supporters[Acquisition_Source],"")</f>
        <v>Direct Mail</v>
      </c>
      <c r="L518" t="str">
        <f>_xlfn.XLOOKUP(Table8[[#This Row],[Supporter_ID]],tb1_supporters[Supporter_ID ],tb1_supporters[County],"")</f>
        <v>Greater London</v>
      </c>
      <c r="M518" t="str">
        <f>_xlfn.XLOOKUP(Table8[[#This Row],[Supporter_ID]],tb1_supporters[Supporter_ID ],tb1_supporters[Gender],"")</f>
        <v>Female</v>
      </c>
      <c r="N518">
        <f ca="1">_xlfn.XLOOKUP(Table8[[#This Row],[Supporter_ID]],tb1_supporters[Supporter_ID ],tb1_supporters[Age],"")</f>
        <v>84</v>
      </c>
      <c r="O518" t="str">
        <f ca="1">_xlfn.XLOOKUP(Table8[[#This Row],[Supporter_ID]],tb1_supporters[Supporter_ID ],tb1_supporters[Age_Band],"")</f>
        <v>65+</v>
      </c>
      <c r="P518" t="str">
        <f ca="1">IF(Table8[[#This Row],[Age_Band]]="","Unknown",Table8[[#This Row],[Age_Band]])</f>
        <v>65+</v>
      </c>
      <c r="Q518" t="str">
        <f>_xlfn.XLOOKUP(Table8[[#This Row],[Supporter_ID]],tb1_supporters[Supporter_ID ],tb1_supporters[Communication_Preference],"")</f>
        <v>Email</v>
      </c>
      <c r="R518" t="str">
        <f>_xlfn.XLOOKUP(Table8[[#This Row],[Supporter_ID]],tb1_supporters[Supporter_ID ],tb1_supporters[Duplicate_Profile_Flag],"")</f>
        <v/>
      </c>
      <c r="S518" t="str">
        <f>_xlfn.XLOOKUP(Table8[[#This Row],[Supporter_ID]],tb1_supporters[Supporter_ID ],tb1_supporters[Preference_Compliance_Flag],"")</f>
        <v/>
      </c>
      <c r="T518" t="str">
        <f ca="1">IF(Table8[[#This Row],[Age]]="","Review - missing DOB",IF(Table8[[#This Row],[Age]]&gt;TODAY(),"Review - future DOB",IF(Table8[[#This Row],[Age]]=0,"Review -  potential entry error (age 0)","")))</f>
        <v/>
      </c>
      <c r="U518" t="str">
        <f>_xlfn.XLOOKUP(Table8[[#This Row],[Campaign_Code]],tb3_CampaignMaster[Campaign_Code],tb3_CampaignMaster[Campaign_Type],"")</f>
        <v>Regular Giving</v>
      </c>
      <c r="V518" t="str">
        <f>_xlfn.XLOOKUP(Table8[[#This Row],[Campaign_Code]],tb3_CampaignMaster[Campaign_Code],tb3_CampaignMaster[Target_Audience],"")</f>
        <v>One-time Donors</v>
      </c>
      <c r="W518" s="17">
        <f>_xlfn.XLOOKUP(Table8[[#This Row],[Campaign_Code]],tb3_CampaignMaster[Campaign_Code],tb3_CampaignMaster[Start_Date],"")</f>
        <v>45663</v>
      </c>
      <c r="X518" s="17">
        <f>_xlfn.XLOOKUP(Table8[[#This Row],[Campaign_Code]],tb3_CampaignMaster[Campaign_Code],tb3_CampaignMaster[End_Date],"")</f>
        <v>45747</v>
      </c>
      <c r="Y518">
        <f>_xlfn.XLOOKUP(Table8[[#This Row],[Campaign_Code]],tb3_CampaignMaster[Campaign_Code],tb3_CampaignMaster[Budget_GBP],"")</f>
        <v>10000</v>
      </c>
      <c r="Z518" t="str">
        <f>_xlfn.XLOOKUP(Table8[[#This Row],[Campaign_Code]],tb3_CampaignMaster[Campaign_Code],tb3_CampaignMaster[Primary_Channel],"")</f>
        <v>Telephone</v>
      </c>
      <c r="AA518" s="13">
        <f>IF(Table8[[#This Row],[Gift_Aid_Eligible]]="Yes",Table8[[#This Row],[Gift_Amount]]*1.25,Table8[[#This Row],[Gift_Amount]])</f>
        <v>27.14</v>
      </c>
      <c r="AB518" t="str">
        <f>IF(Table8[[#This Row],[Supporter_ID]]="","Review - missing supporter ID","")</f>
        <v/>
      </c>
      <c r="AC518" t="str">
        <f>IF(OR(Table8[[#This Row],[Response_Date]]&lt;Table8[[#This Row],[Start_Date]],Table8[[#This Row],[Response_Date]]&gt;Table8[[#This Row],[End_Date]]),"Review - response outside campaign dates","")</f>
        <v/>
      </c>
      <c r="AD518" t="str">
        <f>IF(Table8[[#This Row],[Campaign_Type]]="","Review - campaign code not found","")</f>
        <v/>
      </c>
    </row>
    <row r="519" spans="1:30" x14ac:dyDescent="0.25">
      <c r="A519" t="s">
        <v>4240</v>
      </c>
      <c r="B519" t="s">
        <v>2580</v>
      </c>
      <c r="C519" t="s">
        <v>3341</v>
      </c>
      <c r="D519" t="s">
        <v>3342</v>
      </c>
      <c r="E519" t="s">
        <v>3316</v>
      </c>
      <c r="F519" s="17">
        <v>45692</v>
      </c>
      <c r="G519">
        <v>90.76</v>
      </c>
      <c r="H519" t="s">
        <v>37</v>
      </c>
      <c r="I519" t="s">
        <v>3318</v>
      </c>
      <c r="J519" t="str">
        <f>_xlfn.XLOOKUP(Table8[[#This Row],[Supporter_ID]],tb1_supporters[Supporter_ID ],tb1_supporters[Segment],"")</f>
        <v>Mid-Value</v>
      </c>
      <c r="K519" t="str">
        <f>_xlfn.XLOOKUP(Table8[[#This Row],[Supporter_ID]],tb1_supporters[Supporter_ID ],tb1_supporters[Acquisition_Source],"")</f>
        <v>Website</v>
      </c>
      <c r="L519" t="str">
        <f>_xlfn.XLOOKUP(Table8[[#This Row],[Supporter_ID]],tb1_supporters[Supporter_ID ],tb1_supporters[County],"")</f>
        <v>Kent</v>
      </c>
      <c r="M519" t="str">
        <f>_xlfn.XLOOKUP(Table8[[#This Row],[Supporter_ID]],tb1_supporters[Supporter_ID ],tb1_supporters[Gender],"")</f>
        <v>Male</v>
      </c>
      <c r="N519">
        <f ca="1">_xlfn.XLOOKUP(Table8[[#This Row],[Supporter_ID]],tb1_supporters[Supporter_ID ],tb1_supporters[Age],"")</f>
        <v>71</v>
      </c>
      <c r="O519" t="str">
        <f ca="1">_xlfn.XLOOKUP(Table8[[#This Row],[Supporter_ID]],tb1_supporters[Supporter_ID ],tb1_supporters[Age_Band],"")</f>
        <v>65+</v>
      </c>
      <c r="P519" t="str">
        <f ca="1">IF(Table8[[#This Row],[Age_Band]]="","Unknown",Table8[[#This Row],[Age_Band]])</f>
        <v>65+</v>
      </c>
      <c r="Q519" t="str">
        <f>_xlfn.XLOOKUP(Table8[[#This Row],[Supporter_ID]],tb1_supporters[Supporter_ID ],tb1_supporters[Communication_Preference],"")</f>
        <v>Email</v>
      </c>
      <c r="R519" t="str">
        <f>_xlfn.XLOOKUP(Table8[[#This Row],[Supporter_ID]],tb1_supporters[Supporter_ID ],tb1_supporters[Duplicate_Profile_Flag],"")</f>
        <v/>
      </c>
      <c r="S519" t="str">
        <f>_xlfn.XLOOKUP(Table8[[#This Row],[Supporter_ID]],tb1_supporters[Supporter_ID ],tb1_supporters[Preference_Compliance_Flag],"")</f>
        <v/>
      </c>
      <c r="T519" t="str">
        <f ca="1">IF(Table8[[#This Row],[Age]]="","Review - missing DOB",IF(Table8[[#This Row],[Age]]&gt;TODAY(),"Review - future DOB",IF(Table8[[#This Row],[Age]]=0,"Review -  potential entry error (age 0)","")))</f>
        <v/>
      </c>
      <c r="U519" t="str">
        <f>_xlfn.XLOOKUP(Table8[[#This Row],[Campaign_Code]],tb3_CampaignMaster[Campaign_Code],tb3_CampaignMaster[Campaign_Type],"")</f>
        <v>Acquisition</v>
      </c>
      <c r="V519" t="str">
        <f>_xlfn.XLOOKUP(Table8[[#This Row],[Campaign_Code]],tb3_CampaignMaster[Campaign_Code],tb3_CampaignMaster[Target_Audience],"")</f>
        <v>Prospects</v>
      </c>
      <c r="W519" s="17">
        <f>_xlfn.XLOOKUP(Table8[[#This Row],[Campaign_Code]],tb3_CampaignMaster[Campaign_Code],tb3_CampaignMaster[Start_Date],"")</f>
        <v>45689</v>
      </c>
      <c r="X519" s="17">
        <f>_xlfn.XLOOKUP(Table8[[#This Row],[Campaign_Code]],tb3_CampaignMaster[Campaign_Code],tb3_CampaignMaster[End_Date],"")</f>
        <v>45777</v>
      </c>
      <c r="Y519">
        <f>_xlfn.XLOOKUP(Table8[[#This Row],[Campaign_Code]],tb3_CampaignMaster[Campaign_Code],tb3_CampaignMaster[Budget_GBP],"")</f>
        <v>20000</v>
      </c>
      <c r="Z519" t="str">
        <f>_xlfn.XLOOKUP(Table8[[#This Row],[Campaign_Code]],tb3_CampaignMaster[Campaign_Code],tb3_CampaignMaster[Primary_Channel],"")</f>
        <v>Digital</v>
      </c>
      <c r="AA519" s="13">
        <f>IF(Table8[[#This Row],[Gift_Aid_Eligible]]="Yes",Table8[[#This Row],[Gift_Amount]]*1.25,Table8[[#This Row],[Gift_Amount]])</f>
        <v>90.76</v>
      </c>
      <c r="AB519" t="str">
        <f>IF(Table8[[#This Row],[Supporter_ID]]="","Review - missing supporter ID","")</f>
        <v/>
      </c>
      <c r="AC519" t="str">
        <f>IF(OR(Table8[[#This Row],[Response_Date]]&lt;Table8[[#This Row],[Start_Date]],Table8[[#This Row],[Response_Date]]&gt;Table8[[#This Row],[End_Date]]),"Review - response outside campaign dates","")</f>
        <v/>
      </c>
      <c r="AD519" t="str">
        <f>IF(Table8[[#This Row],[Campaign_Type]]="","Review - campaign code not found","")</f>
        <v/>
      </c>
    </row>
    <row r="520" spans="1:30" x14ac:dyDescent="0.25">
      <c r="A520" t="s">
        <v>4241</v>
      </c>
      <c r="C520" t="s">
        <v>3354</v>
      </c>
      <c r="D520" t="s">
        <v>3355</v>
      </c>
      <c r="E520" t="s">
        <v>4</v>
      </c>
      <c r="F520" s="17">
        <v>45618</v>
      </c>
      <c r="G520">
        <v>20.53</v>
      </c>
      <c r="H520" t="s">
        <v>37</v>
      </c>
      <c r="I520" t="s">
        <v>3318</v>
      </c>
      <c r="J520" t="str">
        <f>_xlfn.XLOOKUP(Table8[[#This Row],[Supporter_ID]],tb1_supporters[Supporter_ID ],tb1_supporters[Segment],"")</f>
        <v/>
      </c>
      <c r="K520" t="str">
        <f>_xlfn.XLOOKUP(Table8[[#This Row],[Supporter_ID]],tb1_supporters[Supporter_ID ],tb1_supporters[Acquisition_Source],"")</f>
        <v/>
      </c>
      <c r="L520" t="str">
        <f>_xlfn.XLOOKUP(Table8[[#This Row],[Supporter_ID]],tb1_supporters[Supporter_ID ],tb1_supporters[County],"")</f>
        <v/>
      </c>
      <c r="M520" t="str">
        <f>_xlfn.XLOOKUP(Table8[[#This Row],[Supporter_ID]],tb1_supporters[Supporter_ID ],tb1_supporters[Gender],"")</f>
        <v/>
      </c>
      <c r="N520" t="str">
        <f>_xlfn.XLOOKUP(Table8[[#This Row],[Supporter_ID]],tb1_supporters[Supporter_ID ],tb1_supporters[Age],"")</f>
        <v/>
      </c>
      <c r="O520" t="str">
        <f>_xlfn.XLOOKUP(Table8[[#This Row],[Supporter_ID]],tb1_supporters[Supporter_ID ],tb1_supporters[Age_Band],"")</f>
        <v/>
      </c>
      <c r="P520" t="str">
        <f>IF(Table8[[#This Row],[Age_Band]]="","Unknown",Table8[[#This Row],[Age_Band]])</f>
        <v>Unknown</v>
      </c>
      <c r="Q520" t="str">
        <f>_xlfn.XLOOKUP(Table8[[#This Row],[Supporter_ID]],tb1_supporters[Supporter_ID ],tb1_supporters[Communication_Preference],"")</f>
        <v/>
      </c>
      <c r="R520" t="str">
        <f>_xlfn.XLOOKUP(Table8[[#This Row],[Supporter_ID]],tb1_supporters[Supporter_ID ],tb1_supporters[Duplicate_Profile_Flag],"")</f>
        <v/>
      </c>
      <c r="S520" t="str">
        <f>_xlfn.XLOOKUP(Table8[[#This Row],[Supporter_ID]],tb1_supporters[Supporter_ID ],tb1_supporters[Preference_Compliance_Flag],"")</f>
        <v/>
      </c>
      <c r="T520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520" t="str">
        <f>_xlfn.XLOOKUP(Table8[[#This Row],[Campaign_Code]],tb3_CampaignMaster[Campaign_Code],tb3_CampaignMaster[Campaign_Type],"")</f>
        <v>Event</v>
      </c>
      <c r="V520" t="str">
        <f>_xlfn.XLOOKUP(Table8[[#This Row],[Campaign_Code]],tb3_CampaignMaster[Campaign_Code],tb3_CampaignMaster[Target_Audience],"")</f>
        <v>Volunteers</v>
      </c>
      <c r="W520" s="17">
        <f>_xlfn.XLOOKUP(Table8[[#This Row],[Campaign_Code]],tb3_CampaignMaster[Campaign_Code],tb3_CampaignMaster[Start_Date],"")</f>
        <v>45618</v>
      </c>
      <c r="X520" s="17">
        <f>_xlfn.XLOOKUP(Table8[[#This Row],[Campaign_Code]],tb3_CampaignMaster[Campaign_Code],tb3_CampaignMaster[End_Date],"")</f>
        <v>45618</v>
      </c>
      <c r="Y520">
        <f>_xlfn.XLOOKUP(Table8[[#This Row],[Campaign_Code]],tb3_CampaignMaster[Campaign_Code],tb3_CampaignMaster[Budget_GBP],"")</f>
        <v>3500</v>
      </c>
      <c r="Z520" t="str">
        <f>_xlfn.XLOOKUP(Table8[[#This Row],[Campaign_Code]],tb3_CampaignMaster[Campaign_Code],tb3_CampaignMaster[Primary_Channel],"")</f>
        <v>Email</v>
      </c>
      <c r="AA520" s="13">
        <f>IF(Table8[[#This Row],[Gift_Aid_Eligible]]="Yes",Table8[[#This Row],[Gift_Amount]]*1.25,Table8[[#This Row],[Gift_Amount]])</f>
        <v>20.53</v>
      </c>
      <c r="AB520" t="str">
        <f>IF(Table8[[#This Row],[Supporter_ID]]="","Review - missing supporter ID","")</f>
        <v>Review - missing supporter ID</v>
      </c>
      <c r="AC520" t="str">
        <f>IF(OR(Table8[[#This Row],[Response_Date]]&lt;Table8[[#This Row],[Start_Date]],Table8[[#This Row],[Response_Date]]&gt;Table8[[#This Row],[End_Date]]),"Review - response outside campaign dates","")</f>
        <v/>
      </c>
      <c r="AD520" t="str">
        <f>IF(Table8[[#This Row],[Campaign_Type]]="","Review - campaign code not found","")</f>
        <v/>
      </c>
    </row>
    <row r="521" spans="1:30" x14ac:dyDescent="0.25">
      <c r="A521" t="s">
        <v>4242</v>
      </c>
      <c r="B521" t="s">
        <v>1470</v>
      </c>
      <c r="C521" t="s">
        <v>3367</v>
      </c>
      <c r="D521" t="s">
        <v>3368</v>
      </c>
      <c r="E521" t="s">
        <v>4</v>
      </c>
      <c r="F521" s="17">
        <v>45723</v>
      </c>
      <c r="G521">
        <v>39.200000000000003</v>
      </c>
      <c r="H521" t="s">
        <v>36</v>
      </c>
      <c r="I521" t="s">
        <v>3385</v>
      </c>
      <c r="J521" t="str">
        <f>_xlfn.XLOOKUP(Table8[[#This Row],[Supporter_ID]],tb1_supporters[Supporter_ID ],tb1_supporters[Segment],"")</f>
        <v>Regular Giver</v>
      </c>
      <c r="K521" t="str">
        <f>_xlfn.XLOOKUP(Table8[[#This Row],[Supporter_ID]],tb1_supporters[Supporter_ID ],tb1_supporters[Acquisition_Source],"")</f>
        <v>Corporate Partner</v>
      </c>
      <c r="L521" t="str">
        <f>_xlfn.XLOOKUP(Table8[[#This Row],[Supporter_ID]],tb1_supporters[Supporter_ID ],tb1_supporters[County],"")</f>
        <v>Hampshire</v>
      </c>
      <c r="M521" t="str">
        <f>_xlfn.XLOOKUP(Table8[[#This Row],[Supporter_ID]],tb1_supporters[Supporter_ID ],tb1_supporters[Gender],"")</f>
        <v>Male</v>
      </c>
      <c r="N521">
        <f ca="1">_xlfn.XLOOKUP(Table8[[#This Row],[Supporter_ID]],tb1_supporters[Supporter_ID ],tb1_supporters[Age],"")</f>
        <v>77</v>
      </c>
      <c r="O521" t="str">
        <f ca="1">_xlfn.XLOOKUP(Table8[[#This Row],[Supporter_ID]],tb1_supporters[Supporter_ID ],tb1_supporters[Age_Band],"")</f>
        <v>65+</v>
      </c>
      <c r="P521" t="str">
        <f ca="1">IF(Table8[[#This Row],[Age_Band]]="","Unknown",Table8[[#This Row],[Age_Band]])</f>
        <v>65+</v>
      </c>
      <c r="Q521" t="str">
        <f>_xlfn.XLOOKUP(Table8[[#This Row],[Supporter_ID]],tb1_supporters[Supporter_ID ],tb1_supporters[Communication_Preference],"")</f>
        <v>Post</v>
      </c>
      <c r="R521" t="str">
        <f>_xlfn.XLOOKUP(Table8[[#This Row],[Supporter_ID]],tb1_supporters[Supporter_ID ],tb1_supporters[Duplicate_Profile_Flag],"")</f>
        <v/>
      </c>
      <c r="S521" t="str">
        <f>_xlfn.XLOOKUP(Table8[[#This Row],[Supporter_ID]],tb1_supporters[Supporter_ID ],tb1_supporters[Preference_Compliance_Flag],"")</f>
        <v/>
      </c>
      <c r="T521" t="str">
        <f ca="1">IF(Table8[[#This Row],[Age]]="","Review - missing DOB",IF(Table8[[#This Row],[Age]]&gt;TODAY(),"Review - future DOB",IF(Table8[[#This Row],[Age]]=0,"Review -  potential entry error (age 0)","")))</f>
        <v/>
      </c>
      <c r="U521" t="str">
        <f>_xlfn.XLOOKUP(Table8[[#This Row],[Campaign_Code]],tb3_CampaignMaster[Campaign_Code],tb3_CampaignMaster[Campaign_Type],"")</f>
        <v>Raffle</v>
      </c>
      <c r="V521" t="str">
        <f>_xlfn.XLOOKUP(Table8[[#This Row],[Campaign_Code]],tb3_CampaignMaster[Campaign_Code],tb3_CampaignMaster[Target_Audience],"")</f>
        <v>Regular Givers</v>
      </c>
      <c r="W521" s="17">
        <f>_xlfn.XLOOKUP(Table8[[#This Row],[Campaign_Code]],tb3_CampaignMaster[Campaign_Code],tb3_CampaignMaster[Start_Date],"")</f>
        <v>45717</v>
      </c>
      <c r="X521" s="17">
        <f>_xlfn.XLOOKUP(Table8[[#This Row],[Campaign_Code]],tb3_CampaignMaster[Campaign_Code],tb3_CampaignMaster[End_Date],"")</f>
        <v>45777</v>
      </c>
      <c r="Y521">
        <f>_xlfn.XLOOKUP(Table8[[#This Row],[Campaign_Code]],tb3_CampaignMaster[Campaign_Code],tb3_CampaignMaster[Budget_GBP],"")</f>
        <v>8000</v>
      </c>
      <c r="Z521" t="str">
        <f>_xlfn.XLOOKUP(Table8[[#This Row],[Campaign_Code]],tb3_CampaignMaster[Campaign_Code],tb3_CampaignMaster[Primary_Channel],"")</f>
        <v>Direct Mail</v>
      </c>
      <c r="AA521" s="13">
        <f>IF(Table8[[#This Row],[Gift_Aid_Eligible]]="Yes",Table8[[#This Row],[Gift_Amount]]*1.25,Table8[[#This Row],[Gift_Amount]])</f>
        <v>49</v>
      </c>
      <c r="AB521" t="str">
        <f>IF(Table8[[#This Row],[Supporter_ID]]="","Review - missing supporter ID","")</f>
        <v/>
      </c>
      <c r="AC521" t="str">
        <f>IF(OR(Table8[[#This Row],[Response_Date]]&lt;Table8[[#This Row],[Start_Date]],Table8[[#This Row],[Response_Date]]&gt;Table8[[#This Row],[End_Date]]),"Review - response outside campaign dates","")</f>
        <v/>
      </c>
      <c r="AD521" t="str">
        <f>IF(Table8[[#This Row],[Campaign_Type]]="","Review - campaign code not found","")</f>
        <v/>
      </c>
    </row>
    <row r="522" spans="1:30" x14ac:dyDescent="0.25">
      <c r="A522" t="s">
        <v>4244</v>
      </c>
      <c r="B522" t="s">
        <v>2240</v>
      </c>
      <c r="C522" t="s">
        <v>3336</v>
      </c>
      <c r="D522" t="s">
        <v>3337</v>
      </c>
      <c r="E522" t="s">
        <v>3316</v>
      </c>
      <c r="F522" s="17">
        <v>45577</v>
      </c>
      <c r="G522">
        <v>177.99</v>
      </c>
      <c r="H522" t="s">
        <v>37</v>
      </c>
      <c r="I522" t="s">
        <v>3323</v>
      </c>
      <c r="J522" t="str">
        <f>_xlfn.XLOOKUP(Table8[[#This Row],[Supporter_ID]],tb1_supporters[Supporter_ID ],tb1_supporters[Segment],"")</f>
        <v>Legacy Pledger</v>
      </c>
      <c r="K522" t="str">
        <f>_xlfn.XLOOKUP(Table8[[#This Row],[Supporter_ID]],tb1_supporters[Supporter_ID ],tb1_supporters[Acquisition_Source],"")</f>
        <v>Website</v>
      </c>
      <c r="L522" t="str">
        <f>_xlfn.XLOOKUP(Table8[[#This Row],[Supporter_ID]],tb1_supporters[Supporter_ID ],tb1_supporters[County],"")</f>
        <v>Bedfordshire</v>
      </c>
      <c r="M522" t="str">
        <f>_xlfn.XLOOKUP(Table8[[#This Row],[Supporter_ID]],tb1_supporters[Supporter_ID ],tb1_supporters[Gender],"")</f>
        <v>Female</v>
      </c>
      <c r="N522">
        <f ca="1">_xlfn.XLOOKUP(Table8[[#This Row],[Supporter_ID]],tb1_supporters[Supporter_ID ],tb1_supporters[Age],"")</f>
        <v>71</v>
      </c>
      <c r="O522" t="str">
        <f ca="1">_xlfn.XLOOKUP(Table8[[#This Row],[Supporter_ID]],tb1_supporters[Supporter_ID ],tb1_supporters[Age_Band],"")</f>
        <v>65+</v>
      </c>
      <c r="P522" t="str">
        <f ca="1">IF(Table8[[#This Row],[Age_Band]]="","Unknown",Table8[[#This Row],[Age_Band]])</f>
        <v>65+</v>
      </c>
      <c r="Q522" t="str">
        <f>_xlfn.XLOOKUP(Table8[[#This Row],[Supporter_ID]],tb1_supporters[Supporter_ID ],tb1_supporters[Communication_Preference],"")</f>
        <v>Email</v>
      </c>
      <c r="R522" t="str">
        <f>_xlfn.XLOOKUP(Table8[[#This Row],[Supporter_ID]],tb1_supporters[Supporter_ID ],tb1_supporters[Duplicate_Profile_Flag],"")</f>
        <v/>
      </c>
      <c r="S522" t="str">
        <f>_xlfn.XLOOKUP(Table8[[#This Row],[Supporter_ID]],tb1_supporters[Supporter_ID ],tb1_supporters[Preference_Compliance_Flag],"")</f>
        <v/>
      </c>
      <c r="T522" t="str">
        <f ca="1">IF(Table8[[#This Row],[Age]]="","Review - missing DOB",IF(Table8[[#This Row],[Age]]&gt;TODAY(),"Review - future DOB",IF(Table8[[#This Row],[Age]]=0,"Review -  potential entry error (age 0)","")))</f>
        <v/>
      </c>
      <c r="U522" t="str">
        <f>_xlfn.XLOOKUP(Table8[[#This Row],[Campaign_Code]],tb3_CampaignMaster[Campaign_Code],tb3_CampaignMaster[Campaign_Type],"")</f>
        <v>Appeal</v>
      </c>
      <c r="V522" t="str">
        <f>_xlfn.XLOOKUP(Table8[[#This Row],[Campaign_Code]],tb3_CampaignMaster[Campaign_Code],tb3_CampaignMaster[Target_Audience],"")</f>
        <v>All Supporters</v>
      </c>
      <c r="W522" s="17">
        <f>_xlfn.XLOOKUP(Table8[[#This Row],[Campaign_Code]],tb3_CampaignMaster[Campaign_Code],tb3_CampaignMaster[Start_Date],"")</f>
        <v>45545</v>
      </c>
      <c r="X522" s="17">
        <f>_xlfn.XLOOKUP(Table8[[#This Row],[Campaign_Code]],tb3_CampaignMaster[Campaign_Code],tb3_CampaignMaster[End_Date],"")</f>
        <v>45580</v>
      </c>
      <c r="Y522">
        <f>_xlfn.XLOOKUP(Table8[[#This Row],[Campaign_Code]],tb3_CampaignMaster[Campaign_Code],tb3_CampaignMaster[Budget_GBP],"")</f>
        <v>15000</v>
      </c>
      <c r="Z522" t="str">
        <f>_xlfn.XLOOKUP(Table8[[#This Row],[Campaign_Code]],tb3_CampaignMaster[Campaign_Code],tb3_CampaignMaster[Primary_Channel],"")</f>
        <v>Email</v>
      </c>
      <c r="AA522" s="13">
        <f>IF(Table8[[#This Row],[Gift_Aid_Eligible]]="Yes",Table8[[#This Row],[Gift_Amount]]*1.25,Table8[[#This Row],[Gift_Amount]])</f>
        <v>177.99</v>
      </c>
      <c r="AB522" t="str">
        <f>IF(Table8[[#This Row],[Supporter_ID]]="","Review - missing supporter ID","")</f>
        <v/>
      </c>
      <c r="AC522" t="str">
        <f>IF(OR(Table8[[#This Row],[Response_Date]]&lt;Table8[[#This Row],[Start_Date]],Table8[[#This Row],[Response_Date]]&gt;Table8[[#This Row],[End_Date]]),"Review - response outside campaign dates","")</f>
        <v/>
      </c>
      <c r="AD522" t="str">
        <f>IF(Table8[[#This Row],[Campaign_Type]]="","Review - campaign code not found","")</f>
        <v/>
      </c>
    </row>
    <row r="523" spans="1:30" x14ac:dyDescent="0.25">
      <c r="A523" t="s">
        <v>4245</v>
      </c>
      <c r="B523" t="s">
        <v>637</v>
      </c>
      <c r="C523" t="s">
        <v>3403</v>
      </c>
      <c r="D523" t="s">
        <v>3404</v>
      </c>
      <c r="E523" t="s">
        <v>4</v>
      </c>
      <c r="F523" s="17">
        <v>45583</v>
      </c>
      <c r="G523">
        <v>40.369999999999997</v>
      </c>
      <c r="H523" t="s">
        <v>36</v>
      </c>
      <c r="I523" t="s">
        <v>3331</v>
      </c>
      <c r="J523" t="str">
        <f>_xlfn.XLOOKUP(Table8[[#This Row],[Supporter_ID]],tb1_supporters[Supporter_ID ],tb1_supporters[Segment],"")</f>
        <v>Lapsed</v>
      </c>
      <c r="K523" t="str">
        <f>_xlfn.XLOOKUP(Table8[[#This Row],[Supporter_ID]],tb1_supporters[Supporter_ID ],tb1_supporters[Acquisition_Source],"")</f>
        <v>Direct Mail</v>
      </c>
      <c r="L523" t="str">
        <f>_xlfn.XLOOKUP(Table8[[#This Row],[Supporter_ID]],tb1_supporters[Supporter_ID ],tb1_supporters[County],"")</f>
        <v>Cheshire</v>
      </c>
      <c r="M523" t="str">
        <f>_xlfn.XLOOKUP(Table8[[#This Row],[Supporter_ID]],tb1_supporters[Supporter_ID ],tb1_supporters[Gender],"")</f>
        <v>Male</v>
      </c>
      <c r="N523">
        <f ca="1">_xlfn.XLOOKUP(Table8[[#This Row],[Supporter_ID]],tb1_supporters[Supporter_ID ],tb1_supporters[Age],"")</f>
        <v>41</v>
      </c>
      <c r="O523" t="str">
        <f ca="1">_xlfn.XLOOKUP(Table8[[#This Row],[Supporter_ID]],tb1_supporters[Supporter_ID ],tb1_supporters[Age_Band],"")</f>
        <v>35-49</v>
      </c>
      <c r="P523" t="str">
        <f ca="1">IF(Table8[[#This Row],[Age_Band]]="","Unknown",Table8[[#This Row],[Age_Band]])</f>
        <v>35-49</v>
      </c>
      <c r="Q523" t="str">
        <f>_xlfn.XLOOKUP(Table8[[#This Row],[Supporter_ID]],tb1_supporters[Supporter_ID ],tb1_supporters[Communication_Preference],"")</f>
        <v>Do Not Contact</v>
      </c>
      <c r="R523" t="str">
        <f>_xlfn.XLOOKUP(Table8[[#This Row],[Supporter_ID]],tb1_supporters[Supporter_ID ],tb1_supporters[Duplicate_Profile_Flag],"")</f>
        <v/>
      </c>
      <c r="S523" t="str">
        <f>_xlfn.XLOOKUP(Table8[[#This Row],[Supporter_ID]],tb1_supporters[Supporter_ID ],tb1_supporters[Preference_Compliance_Flag],"")</f>
        <v/>
      </c>
      <c r="T523" t="str">
        <f ca="1">IF(Table8[[#This Row],[Age]]="","Review - missing DOB",IF(Table8[[#This Row],[Age]]&gt;TODAY(),"Review - future DOB",IF(Table8[[#This Row],[Age]]=0,"Review -  potential entry error (age 0)","")))</f>
        <v/>
      </c>
      <c r="U523" t="str">
        <f>_xlfn.XLOOKUP(Table8[[#This Row],[Campaign_Code]],tb3_CampaignMaster[Campaign_Code],tb3_CampaignMaster[Campaign_Type],"")</f>
        <v>Trading</v>
      </c>
      <c r="V523" t="str">
        <f>_xlfn.XLOOKUP(Table8[[#This Row],[Campaign_Code]],tb3_CampaignMaster[Campaign_Code],tb3_CampaignMaster[Target_Audience],"")</f>
        <v>All Active</v>
      </c>
      <c r="W523" s="17">
        <f>_xlfn.XLOOKUP(Table8[[#This Row],[Campaign_Code]],tb3_CampaignMaster[Campaign_Code],tb3_CampaignMaster[Start_Date],"")</f>
        <v>45580</v>
      </c>
      <c r="X523" s="17">
        <f>_xlfn.XLOOKUP(Table8[[#This Row],[Campaign_Code]],tb3_CampaignMaster[Campaign_Code],tb3_CampaignMaster[End_Date],"")</f>
        <v>45646</v>
      </c>
      <c r="Y523">
        <f>_xlfn.XLOOKUP(Table8[[#This Row],[Campaign_Code]],tb3_CampaignMaster[Campaign_Code],tb3_CampaignMaster[Budget_GBP],"")</f>
        <v>12000</v>
      </c>
      <c r="Z523" t="str">
        <f>_xlfn.XLOOKUP(Table8[[#This Row],[Campaign_Code]],tb3_CampaignMaster[Campaign_Code],tb3_CampaignMaster[Primary_Channel],"")</f>
        <v>Multi-channel</v>
      </c>
      <c r="AA523" s="13">
        <f>IF(Table8[[#This Row],[Gift_Aid_Eligible]]="Yes",Table8[[#This Row],[Gift_Amount]]*1.25,Table8[[#This Row],[Gift_Amount]])</f>
        <v>50.462499999999999</v>
      </c>
      <c r="AB523" t="str">
        <f>IF(Table8[[#This Row],[Supporter_ID]]="","Review - missing supporter ID","")</f>
        <v/>
      </c>
      <c r="AC523" t="str">
        <f>IF(OR(Table8[[#This Row],[Response_Date]]&lt;Table8[[#This Row],[Start_Date]],Table8[[#This Row],[Response_Date]]&gt;Table8[[#This Row],[End_Date]]),"Review - response outside campaign dates","")</f>
        <v/>
      </c>
      <c r="AD523" t="str">
        <f>IF(Table8[[#This Row],[Campaign_Type]]="","Review - campaign code not found","")</f>
        <v/>
      </c>
    </row>
    <row r="524" spans="1:30" x14ac:dyDescent="0.25">
      <c r="A524" t="s">
        <v>4246</v>
      </c>
      <c r="C524" t="s">
        <v>3314</v>
      </c>
      <c r="D524" t="s">
        <v>3315</v>
      </c>
      <c r="E524" t="s">
        <v>3316</v>
      </c>
      <c r="F524" s="17">
        <v>45672</v>
      </c>
      <c r="G524">
        <v>171.29</v>
      </c>
      <c r="H524" t="s">
        <v>36</v>
      </c>
      <c r="I524" t="s">
        <v>3328</v>
      </c>
      <c r="J524" t="str">
        <f>_xlfn.XLOOKUP(Table8[[#This Row],[Supporter_ID]],tb1_supporters[Supporter_ID ],tb1_supporters[Segment],"")</f>
        <v/>
      </c>
      <c r="K524" t="str">
        <f>_xlfn.XLOOKUP(Table8[[#This Row],[Supporter_ID]],tb1_supporters[Supporter_ID ],tb1_supporters[Acquisition_Source],"")</f>
        <v/>
      </c>
      <c r="L524" t="str">
        <f>_xlfn.XLOOKUP(Table8[[#This Row],[Supporter_ID]],tb1_supporters[Supporter_ID ],tb1_supporters[County],"")</f>
        <v/>
      </c>
      <c r="M524" t="str">
        <f>_xlfn.XLOOKUP(Table8[[#This Row],[Supporter_ID]],tb1_supporters[Supporter_ID ],tb1_supporters[Gender],"")</f>
        <v/>
      </c>
      <c r="N524" t="str">
        <f>_xlfn.XLOOKUP(Table8[[#This Row],[Supporter_ID]],tb1_supporters[Supporter_ID ],tb1_supporters[Age],"")</f>
        <v/>
      </c>
      <c r="O524" t="str">
        <f>_xlfn.XLOOKUP(Table8[[#This Row],[Supporter_ID]],tb1_supporters[Supporter_ID ],tb1_supporters[Age_Band],"")</f>
        <v/>
      </c>
      <c r="P524" t="str">
        <f>IF(Table8[[#This Row],[Age_Band]]="","Unknown",Table8[[#This Row],[Age_Band]])</f>
        <v>Unknown</v>
      </c>
      <c r="Q524" t="str">
        <f>_xlfn.XLOOKUP(Table8[[#This Row],[Supporter_ID]],tb1_supporters[Supporter_ID ],tb1_supporters[Communication_Preference],"")</f>
        <v/>
      </c>
      <c r="R524" t="str">
        <f>_xlfn.XLOOKUP(Table8[[#This Row],[Supporter_ID]],tb1_supporters[Supporter_ID ],tb1_supporters[Duplicate_Profile_Flag],"")</f>
        <v/>
      </c>
      <c r="S524" t="str">
        <f>_xlfn.XLOOKUP(Table8[[#This Row],[Supporter_ID]],tb1_supporters[Supporter_ID ],tb1_supporters[Preference_Compliance_Flag],"")</f>
        <v/>
      </c>
      <c r="T524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524" t="str">
        <f>_xlfn.XLOOKUP(Table8[[#This Row],[Campaign_Code]],tb3_CampaignMaster[Campaign_Code],tb3_CampaignMaster[Campaign_Type],"")</f>
        <v>Regular Giving</v>
      </c>
      <c r="V524" t="str">
        <f>_xlfn.XLOOKUP(Table8[[#This Row],[Campaign_Code]],tb3_CampaignMaster[Campaign_Code],tb3_CampaignMaster[Target_Audience],"")</f>
        <v>One-time Donors</v>
      </c>
      <c r="W524" s="17">
        <f>_xlfn.XLOOKUP(Table8[[#This Row],[Campaign_Code]],tb3_CampaignMaster[Campaign_Code],tb3_CampaignMaster[Start_Date],"")</f>
        <v>45663</v>
      </c>
      <c r="X524" s="17">
        <f>_xlfn.XLOOKUP(Table8[[#This Row],[Campaign_Code]],tb3_CampaignMaster[Campaign_Code],tb3_CampaignMaster[End_Date],"")</f>
        <v>45747</v>
      </c>
      <c r="Y524">
        <f>_xlfn.XLOOKUP(Table8[[#This Row],[Campaign_Code]],tb3_CampaignMaster[Campaign_Code],tb3_CampaignMaster[Budget_GBP],"")</f>
        <v>10000</v>
      </c>
      <c r="Z524" t="str">
        <f>_xlfn.XLOOKUP(Table8[[#This Row],[Campaign_Code]],tb3_CampaignMaster[Campaign_Code],tb3_CampaignMaster[Primary_Channel],"")</f>
        <v>Telephone</v>
      </c>
      <c r="AA524" s="13">
        <f>IF(Table8[[#This Row],[Gift_Aid_Eligible]]="Yes",Table8[[#This Row],[Gift_Amount]]*1.25,Table8[[#This Row],[Gift_Amount]])</f>
        <v>214.11249999999998</v>
      </c>
      <c r="AB524" t="str">
        <f>IF(Table8[[#This Row],[Supporter_ID]]="","Review - missing supporter ID","")</f>
        <v>Review - missing supporter ID</v>
      </c>
      <c r="AC524" t="str">
        <f>IF(OR(Table8[[#This Row],[Response_Date]]&lt;Table8[[#This Row],[Start_Date]],Table8[[#This Row],[Response_Date]]&gt;Table8[[#This Row],[End_Date]]),"Review - response outside campaign dates","")</f>
        <v/>
      </c>
      <c r="AD524" t="str">
        <f>IF(Table8[[#This Row],[Campaign_Type]]="","Review - campaign code not found","")</f>
        <v/>
      </c>
    </row>
    <row r="525" spans="1:30" x14ac:dyDescent="0.25">
      <c r="A525" t="s">
        <v>4248</v>
      </c>
      <c r="B525" t="s">
        <v>1322</v>
      </c>
      <c r="C525" t="s">
        <v>3367</v>
      </c>
      <c r="D525" t="s">
        <v>3368</v>
      </c>
      <c r="E525" t="s">
        <v>65</v>
      </c>
      <c r="F525" s="17">
        <v>45729</v>
      </c>
      <c r="G525">
        <v>57.33</v>
      </c>
      <c r="H525" t="s">
        <v>36</v>
      </c>
      <c r="I525" t="s">
        <v>3370</v>
      </c>
      <c r="J525" t="str">
        <f>_xlfn.XLOOKUP(Table8[[#This Row],[Supporter_ID]],tb1_supporters[Supporter_ID ],tb1_supporters[Segment],"")</f>
        <v>One-Time Donor</v>
      </c>
      <c r="K525" t="str">
        <f>_xlfn.XLOOKUP(Table8[[#This Row],[Supporter_ID]],tb1_supporters[Supporter_ID ],tb1_supporters[Acquisition_Source],"")</f>
        <v>Social Media</v>
      </c>
      <c r="L525" t="str">
        <f>_xlfn.XLOOKUP(Table8[[#This Row],[Supporter_ID]],tb1_supporters[Supporter_ID ],tb1_supporters[County],"")</f>
        <v>Grampian</v>
      </c>
      <c r="M525" t="str">
        <f>_xlfn.XLOOKUP(Table8[[#This Row],[Supporter_ID]],tb1_supporters[Supporter_ID ],tb1_supporters[Gender],"")</f>
        <v>Female</v>
      </c>
      <c r="N525">
        <f ca="1">_xlfn.XLOOKUP(Table8[[#This Row],[Supporter_ID]],tb1_supporters[Supporter_ID ],tb1_supporters[Age],"")</f>
        <v>60</v>
      </c>
      <c r="O525" t="str">
        <f ca="1">_xlfn.XLOOKUP(Table8[[#This Row],[Supporter_ID]],tb1_supporters[Supporter_ID ],tb1_supporters[Age_Band],"")</f>
        <v>50-64</v>
      </c>
      <c r="P525" t="str">
        <f ca="1">IF(Table8[[#This Row],[Age_Band]]="","Unknown",Table8[[#This Row],[Age_Band]])</f>
        <v>50-64</v>
      </c>
      <c r="Q525" t="str">
        <f>_xlfn.XLOOKUP(Table8[[#This Row],[Supporter_ID]],tb1_supporters[Supporter_ID ],tb1_supporters[Communication_Preference],"")</f>
        <v>No Preference</v>
      </c>
      <c r="R525" t="str">
        <f>_xlfn.XLOOKUP(Table8[[#This Row],[Supporter_ID]],tb1_supporters[Supporter_ID ],tb1_supporters[Duplicate_Profile_Flag],"")</f>
        <v/>
      </c>
      <c r="S525" t="str">
        <f>_xlfn.XLOOKUP(Table8[[#This Row],[Supporter_ID]],tb1_supporters[Supporter_ID ],tb1_supporters[Preference_Compliance_Flag],"")</f>
        <v/>
      </c>
      <c r="T525" t="str">
        <f ca="1">IF(Table8[[#This Row],[Age]]="","Review - missing DOB",IF(Table8[[#This Row],[Age]]&gt;TODAY(),"Review - future DOB",IF(Table8[[#This Row],[Age]]=0,"Review -  potential entry error (age 0)","")))</f>
        <v/>
      </c>
      <c r="U525" t="str">
        <f>_xlfn.XLOOKUP(Table8[[#This Row],[Campaign_Code]],tb3_CampaignMaster[Campaign_Code],tb3_CampaignMaster[Campaign_Type],"")</f>
        <v>Raffle</v>
      </c>
      <c r="V525" t="str">
        <f>_xlfn.XLOOKUP(Table8[[#This Row],[Campaign_Code]],tb3_CampaignMaster[Campaign_Code],tb3_CampaignMaster[Target_Audience],"")</f>
        <v>Regular Givers</v>
      </c>
      <c r="W525" s="17">
        <f>_xlfn.XLOOKUP(Table8[[#This Row],[Campaign_Code]],tb3_CampaignMaster[Campaign_Code],tb3_CampaignMaster[Start_Date],"")</f>
        <v>45717</v>
      </c>
      <c r="X525" s="17">
        <f>_xlfn.XLOOKUP(Table8[[#This Row],[Campaign_Code]],tb3_CampaignMaster[Campaign_Code],tb3_CampaignMaster[End_Date],"")</f>
        <v>45777</v>
      </c>
      <c r="Y525">
        <f>_xlfn.XLOOKUP(Table8[[#This Row],[Campaign_Code]],tb3_CampaignMaster[Campaign_Code],tb3_CampaignMaster[Budget_GBP],"")</f>
        <v>8000</v>
      </c>
      <c r="Z525" t="str">
        <f>_xlfn.XLOOKUP(Table8[[#This Row],[Campaign_Code]],tb3_CampaignMaster[Campaign_Code],tb3_CampaignMaster[Primary_Channel],"")</f>
        <v>Direct Mail</v>
      </c>
      <c r="AA525" s="13">
        <f>IF(Table8[[#This Row],[Gift_Aid_Eligible]]="Yes",Table8[[#This Row],[Gift_Amount]]*1.25,Table8[[#This Row],[Gift_Amount]])</f>
        <v>71.662499999999994</v>
      </c>
      <c r="AB525" t="str">
        <f>IF(Table8[[#This Row],[Supporter_ID]]="","Review - missing supporter ID","")</f>
        <v/>
      </c>
      <c r="AC525" t="str">
        <f>IF(OR(Table8[[#This Row],[Response_Date]]&lt;Table8[[#This Row],[Start_Date]],Table8[[#This Row],[Response_Date]]&gt;Table8[[#This Row],[End_Date]]),"Review - response outside campaign dates","")</f>
        <v/>
      </c>
      <c r="AD525" t="str">
        <f>IF(Table8[[#This Row],[Campaign_Type]]="","Review - campaign code not found","")</f>
        <v/>
      </c>
    </row>
    <row r="526" spans="1:30" x14ac:dyDescent="0.25">
      <c r="A526" t="s">
        <v>4250</v>
      </c>
      <c r="B526" t="s">
        <v>1726</v>
      </c>
      <c r="C526" t="s">
        <v>3354</v>
      </c>
      <c r="D526" t="s">
        <v>3355</v>
      </c>
      <c r="E526" t="s">
        <v>65</v>
      </c>
      <c r="F526" s="17">
        <v>45618</v>
      </c>
      <c r="G526">
        <v>82.56</v>
      </c>
      <c r="H526" t="s">
        <v>36</v>
      </c>
      <c r="I526" t="s">
        <v>3323</v>
      </c>
      <c r="J526" t="str">
        <f>_xlfn.XLOOKUP(Table8[[#This Row],[Supporter_ID]],tb1_supporters[Supporter_ID ],tb1_supporters[Segment],"")</f>
        <v>Lapsed</v>
      </c>
      <c r="K526" t="str">
        <f>_xlfn.XLOOKUP(Table8[[#This Row],[Supporter_ID]],tb1_supporters[Supporter_ID ],tb1_supporters[Acquisition_Source],"")</f>
        <v>Event</v>
      </c>
      <c r="L526" t="str">
        <f>_xlfn.XLOOKUP(Table8[[#This Row],[Supporter_ID]],tb1_supporters[Supporter_ID ],tb1_supporters[County],"")</f>
        <v>North Yorkshire</v>
      </c>
      <c r="M526" t="str">
        <f>_xlfn.XLOOKUP(Table8[[#This Row],[Supporter_ID]],tb1_supporters[Supporter_ID ],tb1_supporters[Gender],"")</f>
        <v>Female</v>
      </c>
      <c r="N526">
        <f ca="1">_xlfn.XLOOKUP(Table8[[#This Row],[Supporter_ID]],tb1_supporters[Supporter_ID ],tb1_supporters[Age],"")</f>
        <v>93</v>
      </c>
      <c r="O526" t="str">
        <f ca="1">_xlfn.XLOOKUP(Table8[[#This Row],[Supporter_ID]],tb1_supporters[Supporter_ID ],tb1_supporters[Age_Band],"")</f>
        <v>65+</v>
      </c>
      <c r="P526" t="str">
        <f ca="1">IF(Table8[[#This Row],[Age_Band]]="","Unknown",Table8[[#This Row],[Age_Band]])</f>
        <v>65+</v>
      </c>
      <c r="Q526" t="str">
        <f>_xlfn.XLOOKUP(Table8[[#This Row],[Supporter_ID]],tb1_supporters[Supporter_ID ],tb1_supporters[Communication_Preference],"")</f>
        <v>Post</v>
      </c>
      <c r="R526" t="str">
        <f>_xlfn.XLOOKUP(Table8[[#This Row],[Supporter_ID]],tb1_supporters[Supporter_ID ],tb1_supporters[Duplicate_Profile_Flag],"")</f>
        <v/>
      </c>
      <c r="S526" t="str">
        <f>_xlfn.XLOOKUP(Table8[[#This Row],[Supporter_ID]],tb1_supporters[Supporter_ID ],tb1_supporters[Preference_Compliance_Flag],"")</f>
        <v/>
      </c>
      <c r="T526" t="str">
        <f ca="1">IF(Table8[[#This Row],[Age]]="","Review - missing DOB",IF(Table8[[#This Row],[Age]]&gt;TODAY(),"Review - future DOB",IF(Table8[[#This Row],[Age]]=0,"Review -  potential entry error (age 0)","")))</f>
        <v/>
      </c>
      <c r="U526" t="str">
        <f>_xlfn.XLOOKUP(Table8[[#This Row],[Campaign_Code]],tb3_CampaignMaster[Campaign_Code],tb3_CampaignMaster[Campaign_Type],"")</f>
        <v>Event</v>
      </c>
      <c r="V526" t="str">
        <f>_xlfn.XLOOKUP(Table8[[#This Row],[Campaign_Code]],tb3_CampaignMaster[Campaign_Code],tb3_CampaignMaster[Target_Audience],"")</f>
        <v>Volunteers</v>
      </c>
      <c r="W526" s="17">
        <f>_xlfn.XLOOKUP(Table8[[#This Row],[Campaign_Code]],tb3_CampaignMaster[Campaign_Code],tb3_CampaignMaster[Start_Date],"")</f>
        <v>45618</v>
      </c>
      <c r="X526" s="17">
        <f>_xlfn.XLOOKUP(Table8[[#This Row],[Campaign_Code]],tb3_CampaignMaster[Campaign_Code],tb3_CampaignMaster[End_Date],"")</f>
        <v>45618</v>
      </c>
      <c r="Y526">
        <f>_xlfn.XLOOKUP(Table8[[#This Row],[Campaign_Code]],tb3_CampaignMaster[Campaign_Code],tb3_CampaignMaster[Budget_GBP],"")</f>
        <v>3500</v>
      </c>
      <c r="Z526" t="str">
        <f>_xlfn.XLOOKUP(Table8[[#This Row],[Campaign_Code]],tb3_CampaignMaster[Campaign_Code],tb3_CampaignMaster[Primary_Channel],"")</f>
        <v>Email</v>
      </c>
      <c r="AA526" s="13">
        <f>IF(Table8[[#This Row],[Gift_Aid_Eligible]]="Yes",Table8[[#This Row],[Gift_Amount]]*1.25,Table8[[#This Row],[Gift_Amount]])</f>
        <v>103.2</v>
      </c>
      <c r="AB526" t="str">
        <f>IF(Table8[[#This Row],[Supporter_ID]]="","Review - missing supporter ID","")</f>
        <v/>
      </c>
      <c r="AC526" t="str">
        <f>IF(OR(Table8[[#This Row],[Response_Date]]&lt;Table8[[#This Row],[Start_Date]],Table8[[#This Row],[Response_Date]]&gt;Table8[[#This Row],[End_Date]]),"Review - response outside campaign dates","")</f>
        <v/>
      </c>
      <c r="AD526" t="str">
        <f>IF(Table8[[#This Row],[Campaign_Type]]="","Review - campaign code not found","")</f>
        <v/>
      </c>
    </row>
    <row r="527" spans="1:30" x14ac:dyDescent="0.25">
      <c r="A527" t="s">
        <v>4251</v>
      </c>
      <c r="B527" t="s">
        <v>1505</v>
      </c>
      <c r="C527" t="s">
        <v>3362</v>
      </c>
      <c r="D527" t="s">
        <v>3363</v>
      </c>
      <c r="E527" t="s">
        <v>65</v>
      </c>
      <c r="F527" s="17">
        <v>45575</v>
      </c>
      <c r="G527">
        <v>20.440000000000001</v>
      </c>
      <c r="H527" t="s">
        <v>36</v>
      </c>
      <c r="I527" t="s">
        <v>3385</v>
      </c>
      <c r="J527" t="str">
        <f>_xlfn.XLOOKUP(Table8[[#This Row],[Supporter_ID]],tb1_supporters[Supporter_ID ],tb1_supporters[Segment],"")</f>
        <v>Prospect</v>
      </c>
      <c r="K527" t="str">
        <f>_xlfn.XLOOKUP(Table8[[#This Row],[Supporter_ID]],tb1_supporters[Supporter_ID ],tb1_supporters[Acquisition_Source],"")</f>
        <v>Website</v>
      </c>
      <c r="L527" t="str">
        <f>_xlfn.XLOOKUP(Table8[[#This Row],[Supporter_ID]],tb1_supporters[Supporter_ID ],tb1_supporters[County],"")</f>
        <v>South Yorkshire</v>
      </c>
      <c r="M527" t="str">
        <f>_xlfn.XLOOKUP(Table8[[#This Row],[Supporter_ID]],tb1_supporters[Supporter_ID ],tb1_supporters[Gender],"")</f>
        <v>Male</v>
      </c>
      <c r="N527">
        <f ca="1">_xlfn.XLOOKUP(Table8[[#This Row],[Supporter_ID]],tb1_supporters[Supporter_ID ],tb1_supporters[Age],"")</f>
        <v>73</v>
      </c>
      <c r="O527" t="str">
        <f ca="1">_xlfn.XLOOKUP(Table8[[#This Row],[Supporter_ID]],tb1_supporters[Supporter_ID ],tb1_supporters[Age_Band],"")</f>
        <v>65+</v>
      </c>
      <c r="P527" t="str">
        <f ca="1">IF(Table8[[#This Row],[Age_Band]]="","Unknown",Table8[[#This Row],[Age_Band]])</f>
        <v>65+</v>
      </c>
      <c r="Q527" t="str">
        <f>_xlfn.XLOOKUP(Table8[[#This Row],[Supporter_ID]],tb1_supporters[Supporter_ID ],tb1_supporters[Communication_Preference],"")</f>
        <v>Email</v>
      </c>
      <c r="R527" t="str">
        <f>_xlfn.XLOOKUP(Table8[[#This Row],[Supporter_ID]],tb1_supporters[Supporter_ID ],tb1_supporters[Duplicate_Profile_Flag],"")</f>
        <v/>
      </c>
      <c r="S527" t="str">
        <f>_xlfn.XLOOKUP(Table8[[#This Row],[Supporter_ID]],tb1_supporters[Supporter_ID ],tb1_supporters[Preference_Compliance_Flag],"")</f>
        <v>Review - prefers email but not opted in</v>
      </c>
      <c r="T527" t="str">
        <f ca="1">IF(Table8[[#This Row],[Age]]="","Review - missing DOB",IF(Table8[[#This Row],[Age]]&gt;TODAY(),"Review - future DOB",IF(Table8[[#This Row],[Age]]=0,"Review -  potential entry error (age 0)","")))</f>
        <v/>
      </c>
      <c r="U527" t="str">
        <f>_xlfn.XLOOKUP(Table8[[#This Row],[Campaign_Code]],tb3_CampaignMaster[Campaign_Code],tb3_CampaignMaster[Campaign_Type],"")</f>
        <v>Legacy</v>
      </c>
      <c r="V527" t="str">
        <f>_xlfn.XLOOKUP(Table8[[#This Row],[Campaign_Code]],tb3_CampaignMaster[Campaign_Code],tb3_CampaignMaster[Target_Audience],"")</f>
        <v>Over 55s</v>
      </c>
      <c r="W527" s="17">
        <f>_xlfn.XLOOKUP(Table8[[#This Row],[Campaign_Code]],tb3_CampaignMaster[Campaign_Code],tb3_CampaignMaster[Start_Date],"")</f>
        <v>45572</v>
      </c>
      <c r="X527" s="17">
        <f>_xlfn.XLOOKUP(Table8[[#This Row],[Campaign_Code]],tb3_CampaignMaster[Campaign_Code],tb3_CampaignMaster[End_Date],"")</f>
        <v>45578</v>
      </c>
      <c r="Y527">
        <f>_xlfn.XLOOKUP(Table8[[#This Row],[Campaign_Code]],tb3_CampaignMaster[Campaign_Code],tb3_CampaignMaster[Budget_GBP],"")</f>
        <v>5000</v>
      </c>
      <c r="Z527" t="str">
        <f>_xlfn.XLOOKUP(Table8[[#This Row],[Campaign_Code]],tb3_CampaignMaster[Campaign_Code],tb3_CampaignMaster[Primary_Channel],"")</f>
        <v>Direct Mail</v>
      </c>
      <c r="AA527" s="13">
        <f>IF(Table8[[#This Row],[Gift_Aid_Eligible]]="Yes",Table8[[#This Row],[Gift_Amount]]*1.25,Table8[[#This Row],[Gift_Amount]])</f>
        <v>25.55</v>
      </c>
      <c r="AB527" t="str">
        <f>IF(Table8[[#This Row],[Supporter_ID]]="","Review - missing supporter ID","")</f>
        <v/>
      </c>
      <c r="AC527" t="str">
        <f>IF(OR(Table8[[#This Row],[Response_Date]]&lt;Table8[[#This Row],[Start_Date]],Table8[[#This Row],[Response_Date]]&gt;Table8[[#This Row],[End_Date]]),"Review - response outside campaign dates","")</f>
        <v/>
      </c>
      <c r="AD527" t="str">
        <f>IF(Table8[[#This Row],[Campaign_Type]]="","Review - campaign code not found","")</f>
        <v/>
      </c>
    </row>
    <row r="528" spans="1:30" x14ac:dyDescent="0.25">
      <c r="A528" t="s">
        <v>4253</v>
      </c>
      <c r="B528" t="s">
        <v>2525</v>
      </c>
      <c r="C528" t="s">
        <v>3367</v>
      </c>
      <c r="D528" t="s">
        <v>3368</v>
      </c>
      <c r="E528" t="s">
        <v>65</v>
      </c>
      <c r="F528" s="17">
        <v>45764</v>
      </c>
      <c r="G528">
        <v>2629.69</v>
      </c>
      <c r="H528" t="s">
        <v>37</v>
      </c>
      <c r="I528" t="s">
        <v>3318</v>
      </c>
      <c r="J528" t="str">
        <f>_xlfn.XLOOKUP(Table8[[#This Row],[Supporter_ID]],tb1_supporters[Supporter_ID ],tb1_supporters[Segment],"")</f>
        <v>Major Donor</v>
      </c>
      <c r="K528" t="str">
        <f>_xlfn.XLOOKUP(Table8[[#This Row],[Supporter_ID]],tb1_supporters[Supporter_ID ],tb1_supporters[Acquisition_Source],"")</f>
        <v>Referral</v>
      </c>
      <c r="L528" t="str">
        <f>_xlfn.XLOOKUP(Table8[[#This Row],[Supporter_ID]],tb1_supporters[Supporter_ID ],tb1_supporters[County],"")</f>
        <v>Gloucestershire</v>
      </c>
      <c r="M528" t="str">
        <f>_xlfn.XLOOKUP(Table8[[#This Row],[Supporter_ID]],tb1_supporters[Supporter_ID ],tb1_supporters[Gender],"")</f>
        <v>Male</v>
      </c>
      <c r="N528">
        <f ca="1">_xlfn.XLOOKUP(Table8[[#This Row],[Supporter_ID]],tb1_supporters[Supporter_ID ],tb1_supporters[Age],"")</f>
        <v>43</v>
      </c>
      <c r="O528" t="str">
        <f ca="1">_xlfn.XLOOKUP(Table8[[#This Row],[Supporter_ID]],tb1_supporters[Supporter_ID ],tb1_supporters[Age_Band],"")</f>
        <v>35-49</v>
      </c>
      <c r="P528" t="str">
        <f ca="1">IF(Table8[[#This Row],[Age_Band]]="","Unknown",Table8[[#This Row],[Age_Band]])</f>
        <v>35-49</v>
      </c>
      <c r="Q528" t="str">
        <f>_xlfn.XLOOKUP(Table8[[#This Row],[Supporter_ID]],tb1_supporters[Supporter_ID ],tb1_supporters[Communication_Preference],"")</f>
        <v>Email</v>
      </c>
      <c r="R528" t="str">
        <f>_xlfn.XLOOKUP(Table8[[#This Row],[Supporter_ID]],tb1_supporters[Supporter_ID ],tb1_supporters[Duplicate_Profile_Flag],"")</f>
        <v/>
      </c>
      <c r="S528" t="str">
        <f>_xlfn.XLOOKUP(Table8[[#This Row],[Supporter_ID]],tb1_supporters[Supporter_ID ],tb1_supporters[Preference_Compliance_Flag],"")</f>
        <v/>
      </c>
      <c r="T528" t="str">
        <f ca="1">IF(Table8[[#This Row],[Age]]="","Review - missing DOB",IF(Table8[[#This Row],[Age]]&gt;TODAY(),"Review - future DOB",IF(Table8[[#This Row],[Age]]=0,"Review -  potential entry error (age 0)","")))</f>
        <v/>
      </c>
      <c r="U528" t="str">
        <f>_xlfn.XLOOKUP(Table8[[#This Row],[Campaign_Code]],tb3_CampaignMaster[Campaign_Code],tb3_CampaignMaster[Campaign_Type],"")</f>
        <v>Raffle</v>
      </c>
      <c r="V528" t="str">
        <f>_xlfn.XLOOKUP(Table8[[#This Row],[Campaign_Code]],tb3_CampaignMaster[Campaign_Code],tb3_CampaignMaster[Target_Audience],"")</f>
        <v>Regular Givers</v>
      </c>
      <c r="W528" s="17">
        <f>_xlfn.XLOOKUP(Table8[[#This Row],[Campaign_Code]],tb3_CampaignMaster[Campaign_Code],tb3_CampaignMaster[Start_Date],"")</f>
        <v>45717</v>
      </c>
      <c r="X528" s="17">
        <f>_xlfn.XLOOKUP(Table8[[#This Row],[Campaign_Code]],tb3_CampaignMaster[Campaign_Code],tb3_CampaignMaster[End_Date],"")</f>
        <v>45777</v>
      </c>
      <c r="Y528">
        <f>_xlfn.XLOOKUP(Table8[[#This Row],[Campaign_Code]],tb3_CampaignMaster[Campaign_Code],tb3_CampaignMaster[Budget_GBP],"")</f>
        <v>8000</v>
      </c>
      <c r="Z528" t="str">
        <f>_xlfn.XLOOKUP(Table8[[#This Row],[Campaign_Code]],tb3_CampaignMaster[Campaign_Code],tb3_CampaignMaster[Primary_Channel],"")</f>
        <v>Direct Mail</v>
      </c>
      <c r="AA528" s="13">
        <f>IF(Table8[[#This Row],[Gift_Aid_Eligible]]="Yes",Table8[[#This Row],[Gift_Amount]]*1.25,Table8[[#This Row],[Gift_Amount]])</f>
        <v>2629.69</v>
      </c>
      <c r="AB528" t="str">
        <f>IF(Table8[[#This Row],[Supporter_ID]]="","Review - missing supporter ID","")</f>
        <v/>
      </c>
      <c r="AC528" t="str">
        <f>IF(OR(Table8[[#This Row],[Response_Date]]&lt;Table8[[#This Row],[Start_Date]],Table8[[#This Row],[Response_Date]]&gt;Table8[[#This Row],[End_Date]]),"Review - response outside campaign dates","")</f>
        <v/>
      </c>
      <c r="AD528" t="str">
        <f>IF(Table8[[#This Row],[Campaign_Type]]="","Review - campaign code not found","")</f>
        <v/>
      </c>
    </row>
    <row r="529" spans="1:30" x14ac:dyDescent="0.25">
      <c r="A529" t="s">
        <v>4254</v>
      </c>
      <c r="B529" t="s">
        <v>2917</v>
      </c>
      <c r="C529" t="s">
        <v>3336</v>
      </c>
      <c r="D529" t="s">
        <v>3337</v>
      </c>
      <c r="E529" t="s">
        <v>3338</v>
      </c>
      <c r="F529" s="17">
        <v>45306</v>
      </c>
      <c r="G529">
        <v>46.06</v>
      </c>
      <c r="H529" t="s">
        <v>36</v>
      </c>
      <c r="I529" t="s">
        <v>3323</v>
      </c>
      <c r="J529" t="str">
        <f>_xlfn.XLOOKUP(Table8[[#This Row],[Supporter_ID]],tb1_supporters[Supporter_ID ],tb1_supporters[Segment],"")</f>
        <v>Regular Giver</v>
      </c>
      <c r="K529" t="str">
        <f>_xlfn.XLOOKUP(Table8[[#This Row],[Supporter_ID]],tb1_supporters[Supporter_ID ],tb1_supporters[Acquisition_Source],"")</f>
        <v>Website</v>
      </c>
      <c r="L529" t="str">
        <f>_xlfn.XLOOKUP(Table8[[#This Row],[Supporter_ID]],tb1_supporters[Supporter_ID ],tb1_supporters[County],"")</f>
        <v>West Midlands</v>
      </c>
      <c r="M529" t="str">
        <f>_xlfn.XLOOKUP(Table8[[#This Row],[Supporter_ID]],tb1_supporters[Supporter_ID ],tb1_supporters[Gender],"")</f>
        <v>Female</v>
      </c>
      <c r="N529">
        <f ca="1">_xlfn.XLOOKUP(Table8[[#This Row],[Supporter_ID]],tb1_supporters[Supporter_ID ],tb1_supporters[Age],"")</f>
        <v>41</v>
      </c>
      <c r="O529" t="str">
        <f ca="1">_xlfn.XLOOKUP(Table8[[#This Row],[Supporter_ID]],tb1_supporters[Supporter_ID ],tb1_supporters[Age_Band],"")</f>
        <v>35-49</v>
      </c>
      <c r="P529" t="str">
        <f ca="1">IF(Table8[[#This Row],[Age_Band]]="","Unknown",Table8[[#This Row],[Age_Band]])</f>
        <v>35-49</v>
      </c>
      <c r="Q529" t="str">
        <f>_xlfn.XLOOKUP(Table8[[#This Row],[Supporter_ID]],tb1_supporters[Supporter_ID ],tb1_supporters[Communication_Preference],"")</f>
        <v>Email</v>
      </c>
      <c r="R529" t="str">
        <f>_xlfn.XLOOKUP(Table8[[#This Row],[Supporter_ID]],tb1_supporters[Supporter_ID ],tb1_supporters[Duplicate_Profile_Flag],"")</f>
        <v/>
      </c>
      <c r="S529" t="str">
        <f>_xlfn.XLOOKUP(Table8[[#This Row],[Supporter_ID]],tb1_supporters[Supporter_ID ],tb1_supporters[Preference_Compliance_Flag],"")</f>
        <v>Review - prefers email but not opted in</v>
      </c>
      <c r="T529" t="str">
        <f ca="1">IF(Table8[[#This Row],[Age]]="","Review - missing DOB",IF(Table8[[#This Row],[Age]]&gt;TODAY(),"Review - future DOB",IF(Table8[[#This Row],[Age]]=0,"Review -  potential entry error (age 0)","")))</f>
        <v/>
      </c>
      <c r="U529" t="str">
        <f>_xlfn.XLOOKUP(Table8[[#This Row],[Campaign_Code]],tb3_CampaignMaster[Campaign_Code],tb3_CampaignMaster[Campaign_Type],"")</f>
        <v>Appeal</v>
      </c>
      <c r="V529" t="str">
        <f>_xlfn.XLOOKUP(Table8[[#This Row],[Campaign_Code]],tb3_CampaignMaster[Campaign_Code],tb3_CampaignMaster[Target_Audience],"")</f>
        <v>All Supporters</v>
      </c>
      <c r="W529" s="17">
        <f>_xlfn.XLOOKUP(Table8[[#This Row],[Campaign_Code]],tb3_CampaignMaster[Campaign_Code],tb3_CampaignMaster[Start_Date],"")</f>
        <v>45545</v>
      </c>
      <c r="X529" s="17">
        <f>_xlfn.XLOOKUP(Table8[[#This Row],[Campaign_Code]],tb3_CampaignMaster[Campaign_Code],tb3_CampaignMaster[End_Date],"")</f>
        <v>45580</v>
      </c>
      <c r="Y529">
        <f>_xlfn.XLOOKUP(Table8[[#This Row],[Campaign_Code]],tb3_CampaignMaster[Campaign_Code],tb3_CampaignMaster[Budget_GBP],"")</f>
        <v>15000</v>
      </c>
      <c r="Z529" t="str">
        <f>_xlfn.XLOOKUP(Table8[[#This Row],[Campaign_Code]],tb3_CampaignMaster[Campaign_Code],tb3_CampaignMaster[Primary_Channel],"")</f>
        <v>Email</v>
      </c>
      <c r="AA529" s="13">
        <f>IF(Table8[[#This Row],[Gift_Aid_Eligible]]="Yes",Table8[[#This Row],[Gift_Amount]]*1.25,Table8[[#This Row],[Gift_Amount]])</f>
        <v>57.575000000000003</v>
      </c>
      <c r="AB529" t="str">
        <f>IF(Table8[[#This Row],[Supporter_ID]]="","Review - missing supporter ID","")</f>
        <v/>
      </c>
      <c r="AC529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529" t="str">
        <f>IF(Table8[[#This Row],[Campaign_Type]]="","Review - campaign code not found","")</f>
        <v/>
      </c>
    </row>
    <row r="530" spans="1:30" x14ac:dyDescent="0.25">
      <c r="A530" t="s">
        <v>4255</v>
      </c>
      <c r="B530" t="s">
        <v>2321</v>
      </c>
      <c r="C530" t="s">
        <v>3367</v>
      </c>
      <c r="D530" t="s">
        <v>3368</v>
      </c>
      <c r="E530" t="s">
        <v>4</v>
      </c>
      <c r="F530" s="17">
        <v>45724</v>
      </c>
      <c r="G530">
        <v>4310.6400000000003</v>
      </c>
      <c r="H530" t="s">
        <v>37</v>
      </c>
      <c r="I530" t="s">
        <v>3328</v>
      </c>
      <c r="J530" t="str">
        <f>_xlfn.XLOOKUP(Table8[[#This Row],[Supporter_ID]],tb1_supporters[Supporter_ID ],tb1_supporters[Segment],"")</f>
        <v>Major Donor</v>
      </c>
      <c r="K530" t="str">
        <f>_xlfn.XLOOKUP(Table8[[#This Row],[Supporter_ID]],tb1_supporters[Supporter_ID ],tb1_supporters[Acquisition_Source],"")</f>
        <v>Event</v>
      </c>
      <c r="L530" t="str">
        <f>_xlfn.XLOOKUP(Table8[[#This Row],[Supporter_ID]],tb1_supporters[Supporter_ID ],tb1_supporters[County],"")</f>
        <v>Devon</v>
      </c>
      <c r="M530" t="str">
        <f>_xlfn.XLOOKUP(Table8[[#This Row],[Supporter_ID]],tb1_supporters[Supporter_ID ],tb1_supporters[Gender],"")</f>
        <v>Female</v>
      </c>
      <c r="N530">
        <f ca="1">_xlfn.XLOOKUP(Table8[[#This Row],[Supporter_ID]],tb1_supporters[Supporter_ID ],tb1_supporters[Age],"")</f>
        <v>71</v>
      </c>
      <c r="O530" t="str">
        <f ca="1">_xlfn.XLOOKUP(Table8[[#This Row],[Supporter_ID]],tb1_supporters[Supporter_ID ],tb1_supporters[Age_Band],"")</f>
        <v>65+</v>
      </c>
      <c r="P530" t="str">
        <f ca="1">IF(Table8[[#This Row],[Age_Band]]="","Unknown",Table8[[#This Row],[Age_Band]])</f>
        <v>65+</v>
      </c>
      <c r="Q530" t="str">
        <f>_xlfn.XLOOKUP(Table8[[#This Row],[Supporter_ID]],tb1_supporters[Supporter_ID ],tb1_supporters[Communication_Preference],"")</f>
        <v>Email</v>
      </c>
      <c r="R530" t="str">
        <f>_xlfn.XLOOKUP(Table8[[#This Row],[Supporter_ID]],tb1_supporters[Supporter_ID ],tb1_supporters[Duplicate_Profile_Flag],"")</f>
        <v/>
      </c>
      <c r="S530" t="str">
        <f>_xlfn.XLOOKUP(Table8[[#This Row],[Supporter_ID]],tb1_supporters[Supporter_ID ],tb1_supporters[Preference_Compliance_Flag],"")</f>
        <v/>
      </c>
      <c r="T530" t="str">
        <f ca="1">IF(Table8[[#This Row],[Age]]="","Review - missing DOB",IF(Table8[[#This Row],[Age]]&gt;TODAY(),"Review - future DOB",IF(Table8[[#This Row],[Age]]=0,"Review -  potential entry error (age 0)","")))</f>
        <v/>
      </c>
      <c r="U530" t="str">
        <f>_xlfn.XLOOKUP(Table8[[#This Row],[Campaign_Code]],tb3_CampaignMaster[Campaign_Code],tb3_CampaignMaster[Campaign_Type],"")</f>
        <v>Raffle</v>
      </c>
      <c r="V530" t="str">
        <f>_xlfn.XLOOKUP(Table8[[#This Row],[Campaign_Code]],tb3_CampaignMaster[Campaign_Code],tb3_CampaignMaster[Target_Audience],"")</f>
        <v>Regular Givers</v>
      </c>
      <c r="W530" s="17">
        <f>_xlfn.XLOOKUP(Table8[[#This Row],[Campaign_Code]],tb3_CampaignMaster[Campaign_Code],tb3_CampaignMaster[Start_Date],"")</f>
        <v>45717</v>
      </c>
      <c r="X530" s="17">
        <f>_xlfn.XLOOKUP(Table8[[#This Row],[Campaign_Code]],tb3_CampaignMaster[Campaign_Code],tb3_CampaignMaster[End_Date],"")</f>
        <v>45777</v>
      </c>
      <c r="Y530">
        <f>_xlfn.XLOOKUP(Table8[[#This Row],[Campaign_Code]],tb3_CampaignMaster[Campaign_Code],tb3_CampaignMaster[Budget_GBP],"")</f>
        <v>8000</v>
      </c>
      <c r="Z530" t="str">
        <f>_xlfn.XLOOKUP(Table8[[#This Row],[Campaign_Code]],tb3_CampaignMaster[Campaign_Code],tb3_CampaignMaster[Primary_Channel],"")</f>
        <v>Direct Mail</v>
      </c>
      <c r="AA530" s="13">
        <f>IF(Table8[[#This Row],[Gift_Aid_Eligible]]="Yes",Table8[[#This Row],[Gift_Amount]]*1.25,Table8[[#This Row],[Gift_Amount]])</f>
        <v>4310.6400000000003</v>
      </c>
      <c r="AB530" t="str">
        <f>IF(Table8[[#This Row],[Supporter_ID]]="","Review - missing supporter ID","")</f>
        <v/>
      </c>
      <c r="AC530" t="str">
        <f>IF(OR(Table8[[#This Row],[Response_Date]]&lt;Table8[[#This Row],[Start_Date]],Table8[[#This Row],[Response_Date]]&gt;Table8[[#This Row],[End_Date]]),"Review - response outside campaign dates","")</f>
        <v/>
      </c>
      <c r="AD530" t="str">
        <f>IF(Table8[[#This Row],[Campaign_Type]]="","Review - campaign code not found","")</f>
        <v/>
      </c>
    </row>
    <row r="531" spans="1:30" x14ac:dyDescent="0.25">
      <c r="A531" t="s">
        <v>4257</v>
      </c>
      <c r="B531" t="s">
        <v>1020</v>
      </c>
      <c r="C531" t="s">
        <v>3354</v>
      </c>
      <c r="D531" t="s">
        <v>3355</v>
      </c>
      <c r="E531" t="s">
        <v>65</v>
      </c>
      <c r="F531" s="17">
        <v>45618</v>
      </c>
      <c r="G531">
        <v>1635.14</v>
      </c>
      <c r="H531" t="s">
        <v>36</v>
      </c>
      <c r="I531" t="s">
        <v>3323</v>
      </c>
      <c r="J531" t="str">
        <f>_xlfn.XLOOKUP(Table8[[#This Row],[Supporter_ID]],tb1_supporters[Supporter_ID ],tb1_supporters[Segment],"")</f>
        <v>Major Donor</v>
      </c>
      <c r="K531" t="str">
        <f>_xlfn.XLOOKUP(Table8[[#This Row],[Supporter_ID]],tb1_supporters[Supporter_ID ],tb1_supporters[Acquisition_Source],"")</f>
        <v>Door-To-Door</v>
      </c>
      <c r="L531" t="str">
        <f>_xlfn.XLOOKUP(Table8[[#This Row],[Supporter_ID]],tb1_supporters[Supporter_ID ],tb1_supporters[County],"")</f>
        <v>Greater Manchester</v>
      </c>
      <c r="M531" t="str">
        <f>_xlfn.XLOOKUP(Table8[[#This Row],[Supporter_ID]],tb1_supporters[Supporter_ID ],tb1_supporters[Gender],"")</f>
        <v>Female</v>
      </c>
      <c r="N531">
        <f ca="1">_xlfn.XLOOKUP(Table8[[#This Row],[Supporter_ID]],tb1_supporters[Supporter_ID ],tb1_supporters[Age],"")</f>
        <v>90</v>
      </c>
      <c r="O531" t="str">
        <f ca="1">_xlfn.XLOOKUP(Table8[[#This Row],[Supporter_ID]],tb1_supporters[Supporter_ID ],tb1_supporters[Age_Band],"")</f>
        <v>65+</v>
      </c>
      <c r="P531" t="str">
        <f ca="1">IF(Table8[[#This Row],[Age_Band]]="","Unknown",Table8[[#This Row],[Age_Band]])</f>
        <v>65+</v>
      </c>
      <c r="Q531" t="str">
        <f>_xlfn.XLOOKUP(Table8[[#This Row],[Supporter_ID]],tb1_supporters[Supporter_ID ],tb1_supporters[Communication_Preference],"")</f>
        <v>Email</v>
      </c>
      <c r="R531" t="str">
        <f>_xlfn.XLOOKUP(Table8[[#This Row],[Supporter_ID]],tb1_supporters[Supporter_ID ],tb1_supporters[Duplicate_Profile_Flag],"")</f>
        <v/>
      </c>
      <c r="S531" t="str">
        <f>_xlfn.XLOOKUP(Table8[[#This Row],[Supporter_ID]],tb1_supporters[Supporter_ID ],tb1_supporters[Preference_Compliance_Flag],"")</f>
        <v/>
      </c>
      <c r="T531" t="str">
        <f ca="1">IF(Table8[[#This Row],[Age]]="","Review - missing DOB",IF(Table8[[#This Row],[Age]]&gt;TODAY(),"Review - future DOB",IF(Table8[[#This Row],[Age]]=0,"Review -  potential entry error (age 0)","")))</f>
        <v/>
      </c>
      <c r="U531" t="str">
        <f>_xlfn.XLOOKUP(Table8[[#This Row],[Campaign_Code]],tb3_CampaignMaster[Campaign_Code],tb3_CampaignMaster[Campaign_Type],"")</f>
        <v>Event</v>
      </c>
      <c r="V531" t="str">
        <f>_xlfn.XLOOKUP(Table8[[#This Row],[Campaign_Code]],tb3_CampaignMaster[Campaign_Code],tb3_CampaignMaster[Target_Audience],"")</f>
        <v>Volunteers</v>
      </c>
      <c r="W531" s="17">
        <f>_xlfn.XLOOKUP(Table8[[#This Row],[Campaign_Code]],tb3_CampaignMaster[Campaign_Code],tb3_CampaignMaster[Start_Date],"")</f>
        <v>45618</v>
      </c>
      <c r="X531" s="17">
        <f>_xlfn.XLOOKUP(Table8[[#This Row],[Campaign_Code]],tb3_CampaignMaster[Campaign_Code],tb3_CampaignMaster[End_Date],"")</f>
        <v>45618</v>
      </c>
      <c r="Y531">
        <f>_xlfn.XLOOKUP(Table8[[#This Row],[Campaign_Code]],tb3_CampaignMaster[Campaign_Code],tb3_CampaignMaster[Budget_GBP],"")</f>
        <v>3500</v>
      </c>
      <c r="Z531" t="str">
        <f>_xlfn.XLOOKUP(Table8[[#This Row],[Campaign_Code]],tb3_CampaignMaster[Campaign_Code],tb3_CampaignMaster[Primary_Channel],"")</f>
        <v>Email</v>
      </c>
      <c r="AA531" s="13">
        <f>IF(Table8[[#This Row],[Gift_Aid_Eligible]]="Yes",Table8[[#This Row],[Gift_Amount]]*1.25,Table8[[#This Row],[Gift_Amount]])</f>
        <v>2043.9250000000002</v>
      </c>
      <c r="AB531" t="str">
        <f>IF(Table8[[#This Row],[Supporter_ID]]="","Review - missing supporter ID","")</f>
        <v/>
      </c>
      <c r="AC531" t="str">
        <f>IF(OR(Table8[[#This Row],[Response_Date]]&lt;Table8[[#This Row],[Start_Date]],Table8[[#This Row],[Response_Date]]&gt;Table8[[#This Row],[End_Date]]),"Review - response outside campaign dates","")</f>
        <v/>
      </c>
      <c r="AD531" t="str">
        <f>IF(Table8[[#This Row],[Campaign_Type]]="","Review - campaign code not found","")</f>
        <v/>
      </c>
    </row>
    <row r="532" spans="1:30" x14ac:dyDescent="0.25">
      <c r="A532" t="s">
        <v>4258</v>
      </c>
      <c r="B532" t="s">
        <v>1538</v>
      </c>
      <c r="C532" t="s">
        <v>3362</v>
      </c>
      <c r="D532" t="s">
        <v>3363</v>
      </c>
      <c r="E532" t="s">
        <v>65</v>
      </c>
      <c r="F532" s="17">
        <v>45573</v>
      </c>
      <c r="G532">
        <v>28.65</v>
      </c>
      <c r="H532" t="s">
        <v>36</v>
      </c>
      <c r="I532" t="s">
        <v>3334</v>
      </c>
      <c r="J532" t="str">
        <f>_xlfn.XLOOKUP(Table8[[#This Row],[Supporter_ID]],tb1_supporters[Supporter_ID ],tb1_supporters[Segment],"")</f>
        <v>Prospect</v>
      </c>
      <c r="K532" t="str">
        <f>_xlfn.XLOOKUP(Table8[[#This Row],[Supporter_ID]],tb1_supporters[Supporter_ID ],tb1_supporters[Acquisition_Source],"")</f>
        <v>Event</v>
      </c>
      <c r="L532" t="str">
        <f>_xlfn.XLOOKUP(Table8[[#This Row],[Supporter_ID]],tb1_supporters[Supporter_ID ],tb1_supporters[County],"")</f>
        <v>Merseyside</v>
      </c>
      <c r="M532" t="str">
        <f>_xlfn.XLOOKUP(Table8[[#This Row],[Supporter_ID]],tb1_supporters[Supporter_ID ],tb1_supporters[Gender],"")</f>
        <v>Female</v>
      </c>
      <c r="N532">
        <f ca="1">_xlfn.XLOOKUP(Table8[[#This Row],[Supporter_ID]],tb1_supporters[Supporter_ID ],tb1_supporters[Age],"")</f>
        <v>59</v>
      </c>
      <c r="O532" t="str">
        <f ca="1">_xlfn.XLOOKUP(Table8[[#This Row],[Supporter_ID]],tb1_supporters[Supporter_ID ],tb1_supporters[Age_Band],"")</f>
        <v>50-64</v>
      </c>
      <c r="P532" t="str">
        <f ca="1">IF(Table8[[#This Row],[Age_Band]]="","Unknown",Table8[[#This Row],[Age_Band]])</f>
        <v>50-64</v>
      </c>
      <c r="Q532" t="str">
        <f>_xlfn.XLOOKUP(Table8[[#This Row],[Supporter_ID]],tb1_supporters[Supporter_ID ],tb1_supporters[Communication_Preference],"")</f>
        <v>Email</v>
      </c>
      <c r="R532" t="str">
        <f>_xlfn.XLOOKUP(Table8[[#This Row],[Supporter_ID]],tb1_supporters[Supporter_ID ],tb1_supporters[Duplicate_Profile_Flag],"")</f>
        <v/>
      </c>
      <c r="S532" t="str">
        <f>_xlfn.XLOOKUP(Table8[[#This Row],[Supporter_ID]],tb1_supporters[Supporter_ID ],tb1_supporters[Preference_Compliance_Flag],"")</f>
        <v/>
      </c>
      <c r="T532" t="str">
        <f ca="1">IF(Table8[[#This Row],[Age]]="","Review - missing DOB",IF(Table8[[#This Row],[Age]]&gt;TODAY(),"Review - future DOB",IF(Table8[[#This Row],[Age]]=0,"Review -  potential entry error (age 0)","")))</f>
        <v/>
      </c>
      <c r="U532" t="str">
        <f>_xlfn.XLOOKUP(Table8[[#This Row],[Campaign_Code]],tb3_CampaignMaster[Campaign_Code],tb3_CampaignMaster[Campaign_Type],"")</f>
        <v>Legacy</v>
      </c>
      <c r="V532" t="str">
        <f>_xlfn.XLOOKUP(Table8[[#This Row],[Campaign_Code]],tb3_CampaignMaster[Campaign_Code],tb3_CampaignMaster[Target_Audience],"")</f>
        <v>Over 55s</v>
      </c>
      <c r="W532" s="17">
        <f>_xlfn.XLOOKUP(Table8[[#This Row],[Campaign_Code]],tb3_CampaignMaster[Campaign_Code],tb3_CampaignMaster[Start_Date],"")</f>
        <v>45572</v>
      </c>
      <c r="X532" s="17">
        <f>_xlfn.XLOOKUP(Table8[[#This Row],[Campaign_Code]],tb3_CampaignMaster[Campaign_Code],tb3_CampaignMaster[End_Date],"")</f>
        <v>45578</v>
      </c>
      <c r="Y532">
        <f>_xlfn.XLOOKUP(Table8[[#This Row],[Campaign_Code]],tb3_CampaignMaster[Campaign_Code],tb3_CampaignMaster[Budget_GBP],"")</f>
        <v>5000</v>
      </c>
      <c r="Z532" t="str">
        <f>_xlfn.XLOOKUP(Table8[[#This Row],[Campaign_Code]],tb3_CampaignMaster[Campaign_Code],tb3_CampaignMaster[Primary_Channel],"")</f>
        <v>Direct Mail</v>
      </c>
      <c r="AA532" s="13">
        <f>IF(Table8[[#This Row],[Gift_Aid_Eligible]]="Yes",Table8[[#This Row],[Gift_Amount]]*1.25,Table8[[#This Row],[Gift_Amount]])</f>
        <v>35.8125</v>
      </c>
      <c r="AB532" t="str">
        <f>IF(Table8[[#This Row],[Supporter_ID]]="","Review - missing supporter ID","")</f>
        <v/>
      </c>
      <c r="AC532" t="str">
        <f>IF(OR(Table8[[#This Row],[Response_Date]]&lt;Table8[[#This Row],[Start_Date]],Table8[[#This Row],[Response_Date]]&gt;Table8[[#This Row],[End_Date]]),"Review - response outside campaign dates","")</f>
        <v/>
      </c>
      <c r="AD532" t="str">
        <f>IF(Table8[[#This Row],[Campaign_Type]]="","Review - campaign code not found","")</f>
        <v/>
      </c>
    </row>
    <row r="533" spans="1:30" x14ac:dyDescent="0.25">
      <c r="A533" t="s">
        <v>4259</v>
      </c>
      <c r="B533" t="s">
        <v>2399</v>
      </c>
      <c r="C533" t="s">
        <v>3325</v>
      </c>
      <c r="D533" t="s">
        <v>3326</v>
      </c>
      <c r="E533" t="s">
        <v>3338</v>
      </c>
      <c r="F533" s="17">
        <v>45614</v>
      </c>
      <c r="G533">
        <v>179.78</v>
      </c>
      <c r="H533" t="s">
        <v>37</v>
      </c>
      <c r="I533" t="s">
        <v>3385</v>
      </c>
      <c r="J533" t="str">
        <f>_xlfn.XLOOKUP(Table8[[#This Row],[Supporter_ID]],tb1_supporters[Supporter_ID ],tb1_supporters[Segment],"")</f>
        <v>Mid-Value</v>
      </c>
      <c r="K533" t="str">
        <f>_xlfn.XLOOKUP(Table8[[#This Row],[Supporter_ID]],tb1_supporters[Supporter_ID ],tb1_supporters[Acquisition_Source],"")</f>
        <v>Door-To-Door</v>
      </c>
      <c r="L533" t="str">
        <f>_xlfn.XLOOKUP(Table8[[#This Row],[Supporter_ID]],tb1_supporters[Supporter_ID ],tb1_supporters[County],"")</f>
        <v>Wiltshire</v>
      </c>
      <c r="M533" t="str">
        <f>_xlfn.XLOOKUP(Table8[[#This Row],[Supporter_ID]],tb1_supporters[Supporter_ID ],tb1_supporters[Gender],"")</f>
        <v>Male</v>
      </c>
      <c r="N533">
        <f ca="1">_xlfn.XLOOKUP(Table8[[#This Row],[Supporter_ID]],tb1_supporters[Supporter_ID ],tb1_supporters[Age],"")</f>
        <v>50</v>
      </c>
      <c r="O533" t="str">
        <f ca="1">_xlfn.XLOOKUP(Table8[[#This Row],[Supporter_ID]],tb1_supporters[Supporter_ID ],tb1_supporters[Age_Band],"")</f>
        <v>50-64</v>
      </c>
      <c r="P533" t="str">
        <f ca="1">IF(Table8[[#This Row],[Age_Band]]="","Unknown",Table8[[#This Row],[Age_Band]])</f>
        <v>50-64</v>
      </c>
      <c r="Q533" t="str">
        <f>_xlfn.XLOOKUP(Table8[[#This Row],[Supporter_ID]],tb1_supporters[Supporter_ID ],tb1_supporters[Communication_Preference],"")</f>
        <v>Post</v>
      </c>
      <c r="R533" t="str">
        <f>_xlfn.XLOOKUP(Table8[[#This Row],[Supporter_ID]],tb1_supporters[Supporter_ID ],tb1_supporters[Duplicate_Profile_Flag],"")</f>
        <v/>
      </c>
      <c r="S533" t="str">
        <f>_xlfn.XLOOKUP(Table8[[#This Row],[Supporter_ID]],tb1_supporters[Supporter_ID ],tb1_supporters[Preference_Compliance_Flag],"")</f>
        <v/>
      </c>
      <c r="T533" t="str">
        <f ca="1">IF(Table8[[#This Row],[Age]]="","Review - missing DOB",IF(Table8[[#This Row],[Age]]&gt;TODAY(),"Review - future DOB",IF(Table8[[#This Row],[Age]]=0,"Review -  potential entry error (age 0)","")))</f>
        <v/>
      </c>
      <c r="U533" t="str">
        <f>_xlfn.XLOOKUP(Table8[[#This Row],[Campaign_Code]],tb3_CampaignMaster[Campaign_Code],tb3_CampaignMaster[Campaign_Type],"")</f>
        <v>Appeal</v>
      </c>
      <c r="V533" t="str">
        <f>_xlfn.XLOOKUP(Table8[[#This Row],[Campaign_Code]],tb3_CampaignMaster[Campaign_Code],tb3_CampaignMaster[Target_Audience],"")</f>
        <v>All Active</v>
      </c>
      <c r="W533" s="17">
        <f>_xlfn.XLOOKUP(Table8[[#This Row],[Campaign_Code]],tb3_CampaignMaster[Campaign_Code],tb3_CampaignMaster[Start_Date],"")</f>
        <v>45597</v>
      </c>
      <c r="X533" s="17">
        <f>_xlfn.XLOOKUP(Table8[[#This Row],[Campaign_Code]],tb3_CampaignMaster[Campaign_Code],tb3_CampaignMaster[End_Date],"")</f>
        <v>45657</v>
      </c>
      <c r="Y533">
        <f>_xlfn.XLOOKUP(Table8[[#This Row],[Campaign_Code]],tb3_CampaignMaster[Campaign_Code],tb3_CampaignMaster[Budget_GBP],"")</f>
        <v>25000</v>
      </c>
      <c r="Z533" t="str">
        <f>_xlfn.XLOOKUP(Table8[[#This Row],[Campaign_Code]],tb3_CampaignMaster[Campaign_Code],tb3_CampaignMaster[Primary_Channel],"")</f>
        <v>Multi-channel</v>
      </c>
      <c r="AA533" s="13">
        <f>IF(Table8[[#This Row],[Gift_Aid_Eligible]]="Yes",Table8[[#This Row],[Gift_Amount]]*1.25,Table8[[#This Row],[Gift_Amount]])</f>
        <v>179.78</v>
      </c>
      <c r="AB533" t="str">
        <f>IF(Table8[[#This Row],[Supporter_ID]]="","Review - missing supporter ID","")</f>
        <v/>
      </c>
      <c r="AC533" t="str">
        <f>IF(OR(Table8[[#This Row],[Response_Date]]&lt;Table8[[#This Row],[Start_Date]],Table8[[#This Row],[Response_Date]]&gt;Table8[[#This Row],[End_Date]]),"Review - response outside campaign dates","")</f>
        <v/>
      </c>
      <c r="AD533" t="str">
        <f>IF(Table8[[#This Row],[Campaign_Type]]="","Review - campaign code not found","")</f>
        <v/>
      </c>
    </row>
    <row r="534" spans="1:30" x14ac:dyDescent="0.25">
      <c r="A534" t="s">
        <v>4260</v>
      </c>
      <c r="B534" t="s">
        <v>2686</v>
      </c>
      <c r="C534" t="s">
        <v>3427</v>
      </c>
      <c r="D534" t="s">
        <v>3428</v>
      </c>
      <c r="E534" t="s">
        <v>65</v>
      </c>
      <c r="F534" s="17">
        <v>45488</v>
      </c>
      <c r="G534">
        <v>8.67</v>
      </c>
      <c r="H534" t="s">
        <v>37</v>
      </c>
      <c r="I534" t="s">
        <v>3385</v>
      </c>
      <c r="J534" t="str">
        <f>_xlfn.XLOOKUP(Table8[[#This Row],[Supporter_ID]],tb1_supporters[Supporter_ID ],tb1_supporters[Segment],"")</f>
        <v>Regular Giver</v>
      </c>
      <c r="K534" t="str">
        <f>_xlfn.XLOOKUP(Table8[[#This Row],[Supporter_ID]],tb1_supporters[Supporter_ID ],tb1_supporters[Acquisition_Source],"")</f>
        <v>Door-To-Door</v>
      </c>
      <c r="L534" t="str">
        <f>_xlfn.XLOOKUP(Table8[[#This Row],[Supporter_ID]],tb1_supporters[Supporter_ID ],tb1_supporters[County],"")</f>
        <v>Bedfordshire</v>
      </c>
      <c r="M534" t="str">
        <f>_xlfn.XLOOKUP(Table8[[#This Row],[Supporter_ID]],tb1_supporters[Supporter_ID ],tb1_supporters[Gender],"")</f>
        <v>Female</v>
      </c>
      <c r="N534">
        <f ca="1">_xlfn.XLOOKUP(Table8[[#This Row],[Supporter_ID]],tb1_supporters[Supporter_ID ],tb1_supporters[Age],"")</f>
        <v>44</v>
      </c>
      <c r="O534" t="str">
        <f ca="1">_xlfn.XLOOKUP(Table8[[#This Row],[Supporter_ID]],tb1_supporters[Supporter_ID ],tb1_supporters[Age_Band],"")</f>
        <v>35-49</v>
      </c>
      <c r="P534" t="str">
        <f ca="1">IF(Table8[[#This Row],[Age_Band]]="","Unknown",Table8[[#This Row],[Age_Band]])</f>
        <v>35-49</v>
      </c>
      <c r="Q534" t="str">
        <f>_xlfn.XLOOKUP(Table8[[#This Row],[Supporter_ID]],tb1_supporters[Supporter_ID ],tb1_supporters[Communication_Preference],"")</f>
        <v>Phone</v>
      </c>
      <c r="R534" t="str">
        <f>_xlfn.XLOOKUP(Table8[[#This Row],[Supporter_ID]],tb1_supporters[Supporter_ID ],tb1_supporters[Duplicate_Profile_Flag],"")</f>
        <v/>
      </c>
      <c r="S534" t="str">
        <f>_xlfn.XLOOKUP(Table8[[#This Row],[Supporter_ID]],tb1_supporters[Supporter_ID ],tb1_supporters[Preference_Compliance_Flag],"")</f>
        <v/>
      </c>
      <c r="T534" t="str">
        <f ca="1">IF(Table8[[#This Row],[Age]]="","Review - missing DOB",IF(Table8[[#This Row],[Age]]&gt;TODAY(),"Review - future DOB",IF(Table8[[#This Row],[Age]]=0,"Review -  potential entry error (age 0)","")))</f>
        <v/>
      </c>
      <c r="U534" t="str">
        <f>_xlfn.XLOOKUP(Table8[[#This Row],[Campaign_Code]],tb3_CampaignMaster[Campaign_Code],tb3_CampaignMaster[Campaign_Type],"")</f>
        <v>Event</v>
      </c>
      <c r="V534" t="str">
        <f>_xlfn.XLOOKUP(Table8[[#This Row],[Campaign_Code]],tb3_CampaignMaster[Campaign_Code],tb3_CampaignMaster[Target_Audience],"")</f>
        <v>Major Donors</v>
      </c>
      <c r="W534" s="17">
        <f>_xlfn.XLOOKUP(Table8[[#This Row],[Campaign_Code]],tb3_CampaignMaster[Campaign_Code],tb3_CampaignMaster[Start_Date],"")</f>
        <v>45488</v>
      </c>
      <c r="X534" s="17">
        <f>_xlfn.XLOOKUP(Table8[[#This Row],[Campaign_Code]],tb3_CampaignMaster[Campaign_Code],tb3_CampaignMaster[End_Date],"")</f>
        <v>45488</v>
      </c>
      <c r="Y534">
        <f>_xlfn.XLOOKUP(Table8[[#This Row],[Campaign_Code]],tb3_CampaignMaster[Campaign_Code],tb3_CampaignMaster[Budget_GBP],"")</f>
        <v>45000</v>
      </c>
      <c r="Z534" t="str">
        <f>_xlfn.XLOOKUP(Table8[[#This Row],[Campaign_Code]],tb3_CampaignMaster[Campaign_Code],tb3_CampaignMaster[Primary_Channel],"")</f>
        <v>Direct Mail</v>
      </c>
      <c r="AA534" s="13">
        <f>IF(Table8[[#This Row],[Gift_Aid_Eligible]]="Yes",Table8[[#This Row],[Gift_Amount]]*1.25,Table8[[#This Row],[Gift_Amount]])</f>
        <v>8.67</v>
      </c>
      <c r="AB534" t="str">
        <f>IF(Table8[[#This Row],[Supporter_ID]]="","Review - missing supporter ID","")</f>
        <v/>
      </c>
      <c r="AC534" t="str">
        <f>IF(OR(Table8[[#This Row],[Response_Date]]&lt;Table8[[#This Row],[Start_Date]],Table8[[#This Row],[Response_Date]]&gt;Table8[[#This Row],[End_Date]]),"Review - response outside campaign dates","")</f>
        <v/>
      </c>
      <c r="AD534" t="str">
        <f>IF(Table8[[#This Row],[Campaign_Type]]="","Review - campaign code not found","")</f>
        <v/>
      </c>
    </row>
    <row r="535" spans="1:30" x14ac:dyDescent="0.25">
      <c r="A535" t="s">
        <v>4261</v>
      </c>
      <c r="B535" t="s">
        <v>2451</v>
      </c>
      <c r="C535" t="s">
        <v>3325</v>
      </c>
      <c r="D535" t="s">
        <v>3326</v>
      </c>
      <c r="E535" t="s">
        <v>4</v>
      </c>
      <c r="F535" s="17">
        <v>45640</v>
      </c>
      <c r="G535">
        <v>16.25</v>
      </c>
      <c r="H535" t="s">
        <v>36</v>
      </c>
      <c r="I535" t="s">
        <v>3331</v>
      </c>
      <c r="J535" t="str">
        <f>_xlfn.XLOOKUP(Table8[[#This Row],[Supporter_ID]],tb1_supporters[Supporter_ID ],tb1_supporters[Segment],"")</f>
        <v>Regular Giver</v>
      </c>
      <c r="K535" t="str">
        <f>_xlfn.XLOOKUP(Table8[[#This Row],[Supporter_ID]],tb1_supporters[Supporter_ID ],tb1_supporters[Acquisition_Source],"")</f>
        <v>Door-To-Door</v>
      </c>
      <c r="L535" t="str">
        <f>_xlfn.XLOOKUP(Table8[[#This Row],[Supporter_ID]],tb1_supporters[Supporter_ID ],tb1_supporters[County],"")</f>
        <v>Hertfordshire</v>
      </c>
      <c r="M535" t="str">
        <f>_xlfn.XLOOKUP(Table8[[#This Row],[Supporter_ID]],tb1_supporters[Supporter_ID ],tb1_supporters[Gender],"")</f>
        <v>Female</v>
      </c>
      <c r="N535">
        <f ca="1">_xlfn.XLOOKUP(Table8[[#This Row],[Supporter_ID]],tb1_supporters[Supporter_ID ],tb1_supporters[Age],"")</f>
        <v>80</v>
      </c>
      <c r="O535" t="str">
        <f ca="1">_xlfn.XLOOKUP(Table8[[#This Row],[Supporter_ID]],tb1_supporters[Supporter_ID ],tb1_supporters[Age_Band],"")</f>
        <v>65+</v>
      </c>
      <c r="P535" t="str">
        <f ca="1">IF(Table8[[#This Row],[Age_Band]]="","Unknown",Table8[[#This Row],[Age_Band]])</f>
        <v>65+</v>
      </c>
      <c r="Q535" t="str">
        <f>_xlfn.XLOOKUP(Table8[[#This Row],[Supporter_ID]],tb1_supporters[Supporter_ID ],tb1_supporters[Communication_Preference],"")</f>
        <v>No Preference</v>
      </c>
      <c r="R535" t="str">
        <f>_xlfn.XLOOKUP(Table8[[#This Row],[Supporter_ID]],tb1_supporters[Supporter_ID ],tb1_supporters[Duplicate_Profile_Flag],"")</f>
        <v/>
      </c>
      <c r="S535" t="str">
        <f>_xlfn.XLOOKUP(Table8[[#This Row],[Supporter_ID]],tb1_supporters[Supporter_ID ],tb1_supporters[Preference_Compliance_Flag],"")</f>
        <v/>
      </c>
      <c r="T535" t="str">
        <f ca="1">IF(Table8[[#This Row],[Age]]="","Review - missing DOB",IF(Table8[[#This Row],[Age]]&gt;TODAY(),"Review - future DOB",IF(Table8[[#This Row],[Age]]=0,"Review -  potential entry error (age 0)","")))</f>
        <v/>
      </c>
      <c r="U535" t="str">
        <f>_xlfn.XLOOKUP(Table8[[#This Row],[Campaign_Code]],tb3_CampaignMaster[Campaign_Code],tb3_CampaignMaster[Campaign_Type],"")</f>
        <v>Appeal</v>
      </c>
      <c r="V535" t="str">
        <f>_xlfn.XLOOKUP(Table8[[#This Row],[Campaign_Code]],tb3_CampaignMaster[Campaign_Code],tb3_CampaignMaster[Target_Audience],"")</f>
        <v>All Active</v>
      </c>
      <c r="W535" s="17">
        <f>_xlfn.XLOOKUP(Table8[[#This Row],[Campaign_Code]],tb3_CampaignMaster[Campaign_Code],tb3_CampaignMaster[Start_Date],"")</f>
        <v>45597</v>
      </c>
      <c r="X535" s="17">
        <f>_xlfn.XLOOKUP(Table8[[#This Row],[Campaign_Code]],tb3_CampaignMaster[Campaign_Code],tb3_CampaignMaster[End_Date],"")</f>
        <v>45657</v>
      </c>
      <c r="Y535">
        <f>_xlfn.XLOOKUP(Table8[[#This Row],[Campaign_Code]],tb3_CampaignMaster[Campaign_Code],tb3_CampaignMaster[Budget_GBP],"")</f>
        <v>25000</v>
      </c>
      <c r="Z535" t="str">
        <f>_xlfn.XLOOKUP(Table8[[#This Row],[Campaign_Code]],tb3_CampaignMaster[Campaign_Code],tb3_CampaignMaster[Primary_Channel],"")</f>
        <v>Multi-channel</v>
      </c>
      <c r="AA535" s="13">
        <f>IF(Table8[[#This Row],[Gift_Aid_Eligible]]="Yes",Table8[[#This Row],[Gift_Amount]]*1.25,Table8[[#This Row],[Gift_Amount]])</f>
        <v>20.3125</v>
      </c>
      <c r="AB535" t="str">
        <f>IF(Table8[[#This Row],[Supporter_ID]]="","Review - missing supporter ID","")</f>
        <v/>
      </c>
      <c r="AC535" t="str">
        <f>IF(OR(Table8[[#This Row],[Response_Date]]&lt;Table8[[#This Row],[Start_Date]],Table8[[#This Row],[Response_Date]]&gt;Table8[[#This Row],[End_Date]]),"Review - response outside campaign dates","")</f>
        <v/>
      </c>
      <c r="AD535" t="str">
        <f>IF(Table8[[#This Row],[Campaign_Type]]="","Review - campaign code not found","")</f>
        <v/>
      </c>
    </row>
    <row r="536" spans="1:30" x14ac:dyDescent="0.25">
      <c r="A536" t="s">
        <v>4263</v>
      </c>
      <c r="B536" t="s">
        <v>2479</v>
      </c>
      <c r="C536" t="s">
        <v>3325</v>
      </c>
      <c r="D536" t="s">
        <v>3326</v>
      </c>
      <c r="E536" t="s">
        <v>3316</v>
      </c>
      <c r="F536" s="17">
        <v>45657</v>
      </c>
      <c r="G536">
        <v>12.39</v>
      </c>
      <c r="H536" t="s">
        <v>36</v>
      </c>
      <c r="I536" t="s">
        <v>3334</v>
      </c>
      <c r="J536" t="str">
        <f>_xlfn.XLOOKUP(Table8[[#This Row],[Supporter_ID]],tb1_supporters[Supporter_ID ],tb1_supporters[Segment],"")</f>
        <v>Regular Giver</v>
      </c>
      <c r="K536" t="str">
        <f>_xlfn.XLOOKUP(Table8[[#This Row],[Supporter_ID]],tb1_supporters[Supporter_ID ],tb1_supporters[Acquisition_Source],"")</f>
        <v>Social Media</v>
      </c>
      <c r="L536" t="str">
        <f>_xlfn.XLOOKUP(Table8[[#This Row],[Supporter_ID]],tb1_supporters[Supporter_ID ],tb1_supporters[County],"")</f>
        <v>Angus</v>
      </c>
      <c r="M536" t="str">
        <f>_xlfn.XLOOKUP(Table8[[#This Row],[Supporter_ID]],tb1_supporters[Supporter_ID ],tb1_supporters[Gender],"")</f>
        <v>Female</v>
      </c>
      <c r="N536">
        <f ca="1">_xlfn.XLOOKUP(Table8[[#This Row],[Supporter_ID]],tb1_supporters[Supporter_ID ],tb1_supporters[Age],"")</f>
        <v>37</v>
      </c>
      <c r="O536" t="str">
        <f ca="1">_xlfn.XLOOKUP(Table8[[#This Row],[Supporter_ID]],tb1_supporters[Supporter_ID ],tb1_supporters[Age_Band],"")</f>
        <v>35-49</v>
      </c>
      <c r="P536" t="str">
        <f ca="1">IF(Table8[[#This Row],[Age_Band]]="","Unknown",Table8[[#This Row],[Age_Band]])</f>
        <v>35-49</v>
      </c>
      <c r="Q536" t="str">
        <f>_xlfn.XLOOKUP(Table8[[#This Row],[Supporter_ID]],tb1_supporters[Supporter_ID ],tb1_supporters[Communication_Preference],"")</f>
        <v>No Preference</v>
      </c>
      <c r="R536" t="str">
        <f>_xlfn.XLOOKUP(Table8[[#This Row],[Supporter_ID]],tb1_supporters[Supporter_ID ],tb1_supporters[Duplicate_Profile_Flag],"")</f>
        <v/>
      </c>
      <c r="S536" t="str">
        <f>_xlfn.XLOOKUP(Table8[[#This Row],[Supporter_ID]],tb1_supporters[Supporter_ID ],tb1_supporters[Preference_Compliance_Flag],"")</f>
        <v/>
      </c>
      <c r="T536" t="str">
        <f ca="1">IF(Table8[[#This Row],[Age]]="","Review - missing DOB",IF(Table8[[#This Row],[Age]]&gt;TODAY(),"Review - future DOB",IF(Table8[[#This Row],[Age]]=0,"Review -  potential entry error (age 0)","")))</f>
        <v/>
      </c>
      <c r="U536" t="str">
        <f>_xlfn.XLOOKUP(Table8[[#This Row],[Campaign_Code]],tb3_CampaignMaster[Campaign_Code],tb3_CampaignMaster[Campaign_Type],"")</f>
        <v>Appeal</v>
      </c>
      <c r="V536" t="str">
        <f>_xlfn.XLOOKUP(Table8[[#This Row],[Campaign_Code]],tb3_CampaignMaster[Campaign_Code],tb3_CampaignMaster[Target_Audience],"")</f>
        <v>All Active</v>
      </c>
      <c r="W536" s="17">
        <f>_xlfn.XLOOKUP(Table8[[#This Row],[Campaign_Code]],tb3_CampaignMaster[Campaign_Code],tb3_CampaignMaster[Start_Date],"")</f>
        <v>45597</v>
      </c>
      <c r="X536" s="17">
        <f>_xlfn.XLOOKUP(Table8[[#This Row],[Campaign_Code]],tb3_CampaignMaster[Campaign_Code],tb3_CampaignMaster[End_Date],"")</f>
        <v>45657</v>
      </c>
      <c r="Y536">
        <f>_xlfn.XLOOKUP(Table8[[#This Row],[Campaign_Code]],tb3_CampaignMaster[Campaign_Code],tb3_CampaignMaster[Budget_GBP],"")</f>
        <v>25000</v>
      </c>
      <c r="Z536" t="str">
        <f>_xlfn.XLOOKUP(Table8[[#This Row],[Campaign_Code]],tb3_CampaignMaster[Campaign_Code],tb3_CampaignMaster[Primary_Channel],"")</f>
        <v>Multi-channel</v>
      </c>
      <c r="AA536" s="13">
        <f>IF(Table8[[#This Row],[Gift_Aid_Eligible]]="Yes",Table8[[#This Row],[Gift_Amount]]*1.25,Table8[[#This Row],[Gift_Amount]])</f>
        <v>15.487500000000001</v>
      </c>
      <c r="AB536" t="str">
        <f>IF(Table8[[#This Row],[Supporter_ID]]="","Review - missing supporter ID","")</f>
        <v/>
      </c>
      <c r="AC536" t="str">
        <f>IF(OR(Table8[[#This Row],[Response_Date]]&lt;Table8[[#This Row],[Start_Date]],Table8[[#This Row],[Response_Date]]&gt;Table8[[#This Row],[End_Date]]),"Review - response outside campaign dates","")</f>
        <v/>
      </c>
      <c r="AD536" t="str">
        <f>IF(Table8[[#This Row],[Campaign_Type]]="","Review - campaign code not found","")</f>
        <v/>
      </c>
    </row>
    <row r="537" spans="1:30" x14ac:dyDescent="0.25">
      <c r="A537" t="s">
        <v>4265</v>
      </c>
      <c r="B537" t="s">
        <v>1625</v>
      </c>
      <c r="C537" t="s">
        <v>3367</v>
      </c>
      <c r="D537" t="s">
        <v>3368</v>
      </c>
      <c r="E537" t="s">
        <v>4</v>
      </c>
      <c r="F537" s="17">
        <v>45741</v>
      </c>
      <c r="G537">
        <v>91.23</v>
      </c>
      <c r="H537" t="s">
        <v>37</v>
      </c>
      <c r="I537" t="s">
        <v>3334</v>
      </c>
      <c r="J537" t="str">
        <f>_xlfn.XLOOKUP(Table8[[#This Row],[Supporter_ID]],tb1_supporters[Supporter_ID ],tb1_supporters[Segment],"")</f>
        <v>Lapsed</v>
      </c>
      <c r="K537" t="str">
        <f>_xlfn.XLOOKUP(Table8[[#This Row],[Supporter_ID]],tb1_supporters[Supporter_ID ],tb1_supporters[Acquisition_Source],"")</f>
        <v>Telephone</v>
      </c>
      <c r="L537" t="str">
        <f>_xlfn.XLOOKUP(Table8[[#This Row],[Supporter_ID]],tb1_supporters[Supporter_ID ],tb1_supporters[County],"")</f>
        <v>Suffolk</v>
      </c>
      <c r="M537" t="str">
        <f>_xlfn.XLOOKUP(Table8[[#This Row],[Supporter_ID]],tb1_supporters[Supporter_ID ],tb1_supporters[Gender],"")</f>
        <v>Female</v>
      </c>
      <c r="N537">
        <f ca="1">_xlfn.XLOOKUP(Table8[[#This Row],[Supporter_ID]],tb1_supporters[Supporter_ID ],tb1_supporters[Age],"")</f>
        <v>61</v>
      </c>
      <c r="O537" t="str">
        <f ca="1">_xlfn.XLOOKUP(Table8[[#This Row],[Supporter_ID]],tb1_supporters[Supporter_ID ],tb1_supporters[Age_Band],"")</f>
        <v>50-64</v>
      </c>
      <c r="P537" t="str">
        <f ca="1">IF(Table8[[#This Row],[Age_Band]]="","Unknown",Table8[[#This Row],[Age_Band]])</f>
        <v>50-64</v>
      </c>
      <c r="Q537" t="str">
        <f>_xlfn.XLOOKUP(Table8[[#This Row],[Supporter_ID]],tb1_supporters[Supporter_ID ],tb1_supporters[Communication_Preference],"")</f>
        <v>No Preference</v>
      </c>
      <c r="R537" t="str">
        <f>_xlfn.XLOOKUP(Table8[[#This Row],[Supporter_ID]],tb1_supporters[Supporter_ID ],tb1_supporters[Duplicate_Profile_Flag],"")</f>
        <v/>
      </c>
      <c r="S537" t="str">
        <f>_xlfn.XLOOKUP(Table8[[#This Row],[Supporter_ID]],tb1_supporters[Supporter_ID ],tb1_supporters[Preference_Compliance_Flag],"")</f>
        <v/>
      </c>
      <c r="T537" t="str">
        <f ca="1">IF(Table8[[#This Row],[Age]]="","Review - missing DOB",IF(Table8[[#This Row],[Age]]&gt;TODAY(),"Review - future DOB",IF(Table8[[#This Row],[Age]]=0,"Review -  potential entry error (age 0)","")))</f>
        <v/>
      </c>
      <c r="U537" t="str">
        <f>_xlfn.XLOOKUP(Table8[[#This Row],[Campaign_Code]],tb3_CampaignMaster[Campaign_Code],tb3_CampaignMaster[Campaign_Type],"")</f>
        <v>Raffle</v>
      </c>
      <c r="V537" t="str">
        <f>_xlfn.XLOOKUP(Table8[[#This Row],[Campaign_Code]],tb3_CampaignMaster[Campaign_Code],tb3_CampaignMaster[Target_Audience],"")</f>
        <v>Regular Givers</v>
      </c>
      <c r="W537" s="17">
        <f>_xlfn.XLOOKUP(Table8[[#This Row],[Campaign_Code]],tb3_CampaignMaster[Campaign_Code],tb3_CampaignMaster[Start_Date],"")</f>
        <v>45717</v>
      </c>
      <c r="X537" s="17">
        <f>_xlfn.XLOOKUP(Table8[[#This Row],[Campaign_Code]],tb3_CampaignMaster[Campaign_Code],tb3_CampaignMaster[End_Date],"")</f>
        <v>45777</v>
      </c>
      <c r="Y537">
        <f>_xlfn.XLOOKUP(Table8[[#This Row],[Campaign_Code]],tb3_CampaignMaster[Campaign_Code],tb3_CampaignMaster[Budget_GBP],"")</f>
        <v>8000</v>
      </c>
      <c r="Z537" t="str">
        <f>_xlfn.XLOOKUP(Table8[[#This Row],[Campaign_Code]],tb3_CampaignMaster[Campaign_Code],tb3_CampaignMaster[Primary_Channel],"")</f>
        <v>Direct Mail</v>
      </c>
      <c r="AA537" s="13">
        <f>IF(Table8[[#This Row],[Gift_Aid_Eligible]]="Yes",Table8[[#This Row],[Gift_Amount]]*1.25,Table8[[#This Row],[Gift_Amount]])</f>
        <v>91.23</v>
      </c>
      <c r="AB537" t="str">
        <f>IF(Table8[[#This Row],[Supporter_ID]]="","Review - missing supporter ID","")</f>
        <v/>
      </c>
      <c r="AC537" t="str">
        <f>IF(OR(Table8[[#This Row],[Response_Date]]&lt;Table8[[#This Row],[Start_Date]],Table8[[#This Row],[Response_Date]]&gt;Table8[[#This Row],[End_Date]]),"Review - response outside campaign dates","")</f>
        <v/>
      </c>
      <c r="AD537" t="str">
        <f>IF(Table8[[#This Row],[Campaign_Type]]="","Review - campaign code not found","")</f>
        <v/>
      </c>
    </row>
    <row r="538" spans="1:30" x14ac:dyDescent="0.25">
      <c r="A538" t="s">
        <v>4267</v>
      </c>
      <c r="B538" t="s">
        <v>441</v>
      </c>
      <c r="C538" t="s">
        <v>3325</v>
      </c>
      <c r="D538" t="s">
        <v>3326</v>
      </c>
      <c r="E538" t="s">
        <v>4</v>
      </c>
      <c r="F538" s="17">
        <v>45621</v>
      </c>
      <c r="G538">
        <v>29.69</v>
      </c>
      <c r="H538" t="s">
        <v>36</v>
      </c>
      <c r="I538" t="s">
        <v>3318</v>
      </c>
      <c r="J538" t="str">
        <f>_xlfn.XLOOKUP(Table8[[#This Row],[Supporter_ID]],tb1_supporters[Supporter_ID ],tb1_supporters[Segment],"")</f>
        <v>Lapsed</v>
      </c>
      <c r="K538" t="str">
        <f>_xlfn.XLOOKUP(Table8[[#This Row],[Supporter_ID]],tb1_supporters[Supporter_ID ],tb1_supporters[Acquisition_Source],"")</f>
        <v>Website</v>
      </c>
      <c r="L538" t="str">
        <f>_xlfn.XLOOKUP(Table8[[#This Row],[Supporter_ID]],tb1_supporters[Supporter_ID ],tb1_supporters[County],"")</f>
        <v>South Glamorgan</v>
      </c>
      <c r="M538" t="str">
        <f>_xlfn.XLOOKUP(Table8[[#This Row],[Supporter_ID]],tb1_supporters[Supporter_ID ],tb1_supporters[Gender],"")</f>
        <v>Female</v>
      </c>
      <c r="N538">
        <f ca="1">_xlfn.XLOOKUP(Table8[[#This Row],[Supporter_ID]],tb1_supporters[Supporter_ID ],tb1_supporters[Age],"")</f>
        <v>59</v>
      </c>
      <c r="O538" t="str">
        <f ca="1">_xlfn.XLOOKUP(Table8[[#This Row],[Supporter_ID]],tb1_supporters[Supporter_ID ],tb1_supporters[Age_Band],"")</f>
        <v>50-64</v>
      </c>
      <c r="P538" t="str">
        <f ca="1">IF(Table8[[#This Row],[Age_Band]]="","Unknown",Table8[[#This Row],[Age_Band]])</f>
        <v>50-64</v>
      </c>
      <c r="Q538" t="str">
        <f>_xlfn.XLOOKUP(Table8[[#This Row],[Supporter_ID]],tb1_supporters[Supporter_ID ],tb1_supporters[Communication_Preference],"")</f>
        <v>Post</v>
      </c>
      <c r="R538" t="str">
        <f>_xlfn.XLOOKUP(Table8[[#This Row],[Supporter_ID]],tb1_supporters[Supporter_ID ],tb1_supporters[Duplicate_Profile_Flag],"")</f>
        <v/>
      </c>
      <c r="S538" t="str">
        <f>_xlfn.XLOOKUP(Table8[[#This Row],[Supporter_ID]],tb1_supporters[Supporter_ID ],tb1_supporters[Preference_Compliance_Flag],"")</f>
        <v/>
      </c>
      <c r="T538" t="str">
        <f ca="1">IF(Table8[[#This Row],[Age]]="","Review - missing DOB",IF(Table8[[#This Row],[Age]]&gt;TODAY(),"Review - future DOB",IF(Table8[[#This Row],[Age]]=0,"Review -  potential entry error (age 0)","")))</f>
        <v/>
      </c>
      <c r="U538" t="str">
        <f>_xlfn.XLOOKUP(Table8[[#This Row],[Campaign_Code]],tb3_CampaignMaster[Campaign_Code],tb3_CampaignMaster[Campaign_Type],"")</f>
        <v>Appeal</v>
      </c>
      <c r="V538" t="str">
        <f>_xlfn.XLOOKUP(Table8[[#This Row],[Campaign_Code]],tb3_CampaignMaster[Campaign_Code],tb3_CampaignMaster[Target_Audience],"")</f>
        <v>All Active</v>
      </c>
      <c r="W538" s="17">
        <f>_xlfn.XLOOKUP(Table8[[#This Row],[Campaign_Code]],tb3_CampaignMaster[Campaign_Code],tb3_CampaignMaster[Start_Date],"")</f>
        <v>45597</v>
      </c>
      <c r="X538" s="17">
        <f>_xlfn.XLOOKUP(Table8[[#This Row],[Campaign_Code]],tb3_CampaignMaster[Campaign_Code],tb3_CampaignMaster[End_Date],"")</f>
        <v>45657</v>
      </c>
      <c r="Y538">
        <f>_xlfn.XLOOKUP(Table8[[#This Row],[Campaign_Code]],tb3_CampaignMaster[Campaign_Code],tb3_CampaignMaster[Budget_GBP],"")</f>
        <v>25000</v>
      </c>
      <c r="Z538" t="str">
        <f>_xlfn.XLOOKUP(Table8[[#This Row],[Campaign_Code]],tb3_CampaignMaster[Campaign_Code],tb3_CampaignMaster[Primary_Channel],"")</f>
        <v>Multi-channel</v>
      </c>
      <c r="AA538" s="13">
        <f>IF(Table8[[#This Row],[Gift_Aid_Eligible]]="Yes",Table8[[#This Row],[Gift_Amount]]*1.25,Table8[[#This Row],[Gift_Amount]])</f>
        <v>37.112500000000004</v>
      </c>
      <c r="AB538" t="str">
        <f>IF(Table8[[#This Row],[Supporter_ID]]="","Review - missing supporter ID","")</f>
        <v/>
      </c>
      <c r="AC538" t="str">
        <f>IF(OR(Table8[[#This Row],[Response_Date]]&lt;Table8[[#This Row],[Start_Date]],Table8[[#This Row],[Response_Date]]&gt;Table8[[#This Row],[End_Date]]),"Review - response outside campaign dates","")</f>
        <v/>
      </c>
      <c r="AD538" t="str">
        <f>IF(Table8[[#This Row],[Campaign_Type]]="","Review - campaign code not found","")</f>
        <v/>
      </c>
    </row>
    <row r="539" spans="1:30" x14ac:dyDescent="0.25">
      <c r="A539" t="s">
        <v>4269</v>
      </c>
      <c r="B539" t="s">
        <v>3015</v>
      </c>
      <c r="C539" t="s">
        <v>3362</v>
      </c>
      <c r="D539" t="s">
        <v>3363</v>
      </c>
      <c r="E539" t="s">
        <v>65</v>
      </c>
      <c r="F539" s="17">
        <v>45575</v>
      </c>
      <c r="G539">
        <v>110.51</v>
      </c>
      <c r="H539" t="s">
        <v>37</v>
      </c>
      <c r="I539" t="s">
        <v>3334</v>
      </c>
      <c r="J539" t="str">
        <f>_xlfn.XLOOKUP(Table8[[#This Row],[Supporter_ID]],tb1_supporters[Supporter_ID ],tb1_supporters[Segment],"")</f>
        <v>Mid-Value</v>
      </c>
      <c r="K539" t="str">
        <f>_xlfn.XLOOKUP(Table8[[#This Row],[Supporter_ID]],tb1_supporters[Supporter_ID ],tb1_supporters[Acquisition_Source],"")</f>
        <v>Telephone</v>
      </c>
      <c r="L539" t="str">
        <f>_xlfn.XLOOKUP(Table8[[#This Row],[Supporter_ID]],tb1_supporters[Supporter_ID ],tb1_supporters[County],"")</f>
        <v>North Yorkshire</v>
      </c>
      <c r="M539" t="str">
        <f>_xlfn.XLOOKUP(Table8[[#This Row],[Supporter_ID]],tb1_supporters[Supporter_ID ],tb1_supporters[Gender],"")</f>
        <v>Female</v>
      </c>
      <c r="N539">
        <f ca="1">_xlfn.XLOOKUP(Table8[[#This Row],[Supporter_ID]],tb1_supporters[Supporter_ID ],tb1_supporters[Age],"")</f>
        <v>74</v>
      </c>
      <c r="O539" t="str">
        <f ca="1">_xlfn.XLOOKUP(Table8[[#This Row],[Supporter_ID]],tb1_supporters[Supporter_ID ],tb1_supporters[Age_Band],"")</f>
        <v>65+</v>
      </c>
      <c r="P539" t="str">
        <f ca="1">IF(Table8[[#This Row],[Age_Band]]="","Unknown",Table8[[#This Row],[Age_Band]])</f>
        <v>65+</v>
      </c>
      <c r="Q539" t="str">
        <f>_xlfn.XLOOKUP(Table8[[#This Row],[Supporter_ID]],tb1_supporters[Supporter_ID ],tb1_supporters[Communication_Preference],"")</f>
        <v>Phone</v>
      </c>
      <c r="R539" t="str">
        <f>_xlfn.XLOOKUP(Table8[[#This Row],[Supporter_ID]],tb1_supporters[Supporter_ID ],tb1_supporters[Duplicate_Profile_Flag],"")</f>
        <v/>
      </c>
      <c r="S539" t="str">
        <f>_xlfn.XLOOKUP(Table8[[#This Row],[Supporter_ID]],tb1_supporters[Supporter_ID ],tb1_supporters[Preference_Compliance_Flag],"")</f>
        <v/>
      </c>
      <c r="T539" t="str">
        <f ca="1">IF(Table8[[#This Row],[Age]]="","Review - missing DOB",IF(Table8[[#This Row],[Age]]&gt;TODAY(),"Review - future DOB",IF(Table8[[#This Row],[Age]]=0,"Review -  potential entry error (age 0)","")))</f>
        <v/>
      </c>
      <c r="U539" t="str">
        <f>_xlfn.XLOOKUP(Table8[[#This Row],[Campaign_Code]],tb3_CampaignMaster[Campaign_Code],tb3_CampaignMaster[Campaign_Type],"")</f>
        <v>Legacy</v>
      </c>
      <c r="V539" t="str">
        <f>_xlfn.XLOOKUP(Table8[[#This Row],[Campaign_Code]],tb3_CampaignMaster[Campaign_Code],tb3_CampaignMaster[Target_Audience],"")</f>
        <v>Over 55s</v>
      </c>
      <c r="W539" s="17">
        <f>_xlfn.XLOOKUP(Table8[[#This Row],[Campaign_Code]],tb3_CampaignMaster[Campaign_Code],tb3_CampaignMaster[Start_Date],"")</f>
        <v>45572</v>
      </c>
      <c r="X539" s="17">
        <f>_xlfn.XLOOKUP(Table8[[#This Row],[Campaign_Code]],tb3_CampaignMaster[Campaign_Code],tb3_CampaignMaster[End_Date],"")</f>
        <v>45578</v>
      </c>
      <c r="Y539">
        <f>_xlfn.XLOOKUP(Table8[[#This Row],[Campaign_Code]],tb3_CampaignMaster[Campaign_Code],tb3_CampaignMaster[Budget_GBP],"")</f>
        <v>5000</v>
      </c>
      <c r="Z539" t="str">
        <f>_xlfn.XLOOKUP(Table8[[#This Row],[Campaign_Code]],tb3_CampaignMaster[Campaign_Code],tb3_CampaignMaster[Primary_Channel],"")</f>
        <v>Direct Mail</v>
      </c>
      <c r="AA539" s="13">
        <f>IF(Table8[[#This Row],[Gift_Aid_Eligible]]="Yes",Table8[[#This Row],[Gift_Amount]]*1.25,Table8[[#This Row],[Gift_Amount]])</f>
        <v>110.51</v>
      </c>
      <c r="AB539" t="str">
        <f>IF(Table8[[#This Row],[Supporter_ID]]="","Review - missing supporter ID","")</f>
        <v/>
      </c>
      <c r="AC539" t="str">
        <f>IF(OR(Table8[[#This Row],[Response_Date]]&lt;Table8[[#This Row],[Start_Date]],Table8[[#This Row],[Response_Date]]&gt;Table8[[#This Row],[End_Date]]),"Review - response outside campaign dates","")</f>
        <v/>
      </c>
      <c r="AD539" t="str">
        <f>IF(Table8[[#This Row],[Campaign_Type]]="","Review - campaign code not found","")</f>
        <v/>
      </c>
    </row>
    <row r="540" spans="1:30" x14ac:dyDescent="0.25">
      <c r="A540" t="s">
        <v>4270</v>
      </c>
      <c r="B540" t="s">
        <v>1796</v>
      </c>
      <c r="C540" t="s">
        <v>3325</v>
      </c>
      <c r="D540" t="s">
        <v>3326</v>
      </c>
      <c r="E540" t="s">
        <v>3338</v>
      </c>
      <c r="F540" s="17">
        <v>45602</v>
      </c>
      <c r="G540">
        <v>48.31</v>
      </c>
      <c r="H540" t="s">
        <v>36</v>
      </c>
      <c r="I540" t="s">
        <v>3370</v>
      </c>
      <c r="J540" t="str">
        <f>_xlfn.XLOOKUP(Table8[[#This Row],[Supporter_ID]],tb1_supporters[Supporter_ID ],tb1_supporters[Segment],"")</f>
        <v>One-Time Donor</v>
      </c>
      <c r="K540" t="str">
        <f>_xlfn.XLOOKUP(Table8[[#This Row],[Supporter_ID]],tb1_supporters[Supporter_ID ],tb1_supporters[Acquisition_Source],"")</f>
        <v>Website</v>
      </c>
      <c r="L540" t="str">
        <f>_xlfn.XLOOKUP(Table8[[#This Row],[Supporter_ID]],tb1_supporters[Supporter_ID ],tb1_supporters[County],"")</f>
        <v>Oxfordshire</v>
      </c>
      <c r="M540" t="str">
        <f>_xlfn.XLOOKUP(Table8[[#This Row],[Supporter_ID]],tb1_supporters[Supporter_ID ],tb1_supporters[Gender],"")</f>
        <v>Female</v>
      </c>
      <c r="N540">
        <f ca="1">_xlfn.XLOOKUP(Table8[[#This Row],[Supporter_ID]],tb1_supporters[Supporter_ID ],tb1_supporters[Age],"")</f>
        <v>71</v>
      </c>
      <c r="O540" t="str">
        <f ca="1">_xlfn.XLOOKUP(Table8[[#This Row],[Supporter_ID]],tb1_supporters[Supporter_ID ],tb1_supporters[Age_Band],"")</f>
        <v>65+</v>
      </c>
      <c r="P540" t="str">
        <f ca="1">IF(Table8[[#This Row],[Age_Band]]="","Unknown",Table8[[#This Row],[Age_Band]])</f>
        <v>65+</v>
      </c>
      <c r="Q540" t="str">
        <f>_xlfn.XLOOKUP(Table8[[#This Row],[Supporter_ID]],tb1_supporters[Supporter_ID ],tb1_supporters[Communication_Preference],"")</f>
        <v>Email</v>
      </c>
      <c r="R540" t="str">
        <f>_xlfn.XLOOKUP(Table8[[#This Row],[Supporter_ID]],tb1_supporters[Supporter_ID ],tb1_supporters[Duplicate_Profile_Flag],"")</f>
        <v/>
      </c>
      <c r="S540" t="str">
        <f>_xlfn.XLOOKUP(Table8[[#This Row],[Supporter_ID]],tb1_supporters[Supporter_ID ],tb1_supporters[Preference_Compliance_Flag],"")</f>
        <v>Review - prefers email but not opted in</v>
      </c>
      <c r="T540" t="str">
        <f ca="1">IF(Table8[[#This Row],[Age]]="","Review - missing DOB",IF(Table8[[#This Row],[Age]]&gt;TODAY(),"Review - future DOB",IF(Table8[[#This Row],[Age]]=0,"Review -  potential entry error (age 0)","")))</f>
        <v/>
      </c>
      <c r="U540" t="str">
        <f>_xlfn.XLOOKUP(Table8[[#This Row],[Campaign_Code]],tb3_CampaignMaster[Campaign_Code],tb3_CampaignMaster[Campaign_Type],"")</f>
        <v>Appeal</v>
      </c>
      <c r="V540" t="str">
        <f>_xlfn.XLOOKUP(Table8[[#This Row],[Campaign_Code]],tb3_CampaignMaster[Campaign_Code],tb3_CampaignMaster[Target_Audience],"")</f>
        <v>All Active</v>
      </c>
      <c r="W540" s="17">
        <f>_xlfn.XLOOKUP(Table8[[#This Row],[Campaign_Code]],tb3_CampaignMaster[Campaign_Code],tb3_CampaignMaster[Start_Date],"")</f>
        <v>45597</v>
      </c>
      <c r="X540" s="17">
        <f>_xlfn.XLOOKUP(Table8[[#This Row],[Campaign_Code]],tb3_CampaignMaster[Campaign_Code],tb3_CampaignMaster[End_Date],"")</f>
        <v>45657</v>
      </c>
      <c r="Y540">
        <f>_xlfn.XLOOKUP(Table8[[#This Row],[Campaign_Code]],tb3_CampaignMaster[Campaign_Code],tb3_CampaignMaster[Budget_GBP],"")</f>
        <v>25000</v>
      </c>
      <c r="Z540" t="str">
        <f>_xlfn.XLOOKUP(Table8[[#This Row],[Campaign_Code]],tb3_CampaignMaster[Campaign_Code],tb3_CampaignMaster[Primary_Channel],"")</f>
        <v>Multi-channel</v>
      </c>
      <c r="AA540" s="13">
        <f>IF(Table8[[#This Row],[Gift_Aid_Eligible]]="Yes",Table8[[#This Row],[Gift_Amount]]*1.25,Table8[[#This Row],[Gift_Amount]])</f>
        <v>60.387500000000003</v>
      </c>
      <c r="AB540" t="str">
        <f>IF(Table8[[#This Row],[Supporter_ID]]="","Review - missing supporter ID","")</f>
        <v/>
      </c>
      <c r="AC540" t="str">
        <f>IF(OR(Table8[[#This Row],[Response_Date]]&lt;Table8[[#This Row],[Start_Date]],Table8[[#This Row],[Response_Date]]&gt;Table8[[#This Row],[End_Date]]),"Review - response outside campaign dates","")</f>
        <v/>
      </c>
      <c r="AD540" t="str">
        <f>IF(Table8[[#This Row],[Campaign_Type]]="","Review - campaign code not found","")</f>
        <v/>
      </c>
    </row>
    <row r="541" spans="1:30" x14ac:dyDescent="0.25">
      <c r="A541" t="s">
        <v>4272</v>
      </c>
      <c r="B541" t="s">
        <v>106</v>
      </c>
      <c r="C541" t="s">
        <v>3403</v>
      </c>
      <c r="D541" t="s">
        <v>3404</v>
      </c>
      <c r="E541" t="s">
        <v>3316</v>
      </c>
      <c r="F541" s="17">
        <v>45642</v>
      </c>
      <c r="G541">
        <v>15.99</v>
      </c>
      <c r="H541" t="s">
        <v>36</v>
      </c>
      <c r="I541" t="s">
        <v>3370</v>
      </c>
      <c r="J541" t="str">
        <f>_xlfn.XLOOKUP(Table8[[#This Row],[Supporter_ID]],tb1_supporters[Supporter_ID ],tb1_supporters[Segment],"")</f>
        <v>Prospect</v>
      </c>
      <c r="K541" t="str">
        <f>_xlfn.XLOOKUP(Table8[[#This Row],[Supporter_ID]],tb1_supporters[Supporter_ID ],tb1_supporters[Acquisition_Source],"")</f>
        <v>Event</v>
      </c>
      <c r="L541" t="str">
        <f>_xlfn.XLOOKUP(Table8[[#This Row],[Supporter_ID]],tb1_supporters[Supporter_ID ],tb1_supporters[County],"")</f>
        <v>Hampshire</v>
      </c>
      <c r="M541" t="str">
        <f>_xlfn.XLOOKUP(Table8[[#This Row],[Supporter_ID]],tb1_supporters[Supporter_ID ],tb1_supporters[Gender],"")</f>
        <v>Male</v>
      </c>
      <c r="N541">
        <f ca="1">_xlfn.XLOOKUP(Table8[[#This Row],[Supporter_ID]],tb1_supporters[Supporter_ID ],tb1_supporters[Age],"")</f>
        <v>19</v>
      </c>
      <c r="O541" t="str">
        <f ca="1">_xlfn.XLOOKUP(Table8[[#This Row],[Supporter_ID]],tb1_supporters[Supporter_ID ],tb1_supporters[Age_Band],"")</f>
        <v>18-34</v>
      </c>
      <c r="P541" t="str">
        <f ca="1">IF(Table8[[#This Row],[Age_Band]]="","Unknown",Table8[[#This Row],[Age_Band]])</f>
        <v>18-34</v>
      </c>
      <c r="Q541" t="str">
        <f>_xlfn.XLOOKUP(Table8[[#This Row],[Supporter_ID]],tb1_supporters[Supporter_ID ],tb1_supporters[Communication_Preference],"")</f>
        <v>Email</v>
      </c>
      <c r="R541" t="str">
        <f>_xlfn.XLOOKUP(Table8[[#This Row],[Supporter_ID]],tb1_supporters[Supporter_ID ],tb1_supporters[Duplicate_Profile_Flag],"")</f>
        <v/>
      </c>
      <c r="S541" t="str">
        <f>_xlfn.XLOOKUP(Table8[[#This Row],[Supporter_ID]],tb1_supporters[Supporter_ID ],tb1_supporters[Preference_Compliance_Flag],"")</f>
        <v/>
      </c>
      <c r="T541" t="str">
        <f ca="1">IF(Table8[[#This Row],[Age]]="","Review - missing DOB",IF(Table8[[#This Row],[Age]]&gt;TODAY(),"Review - future DOB",IF(Table8[[#This Row],[Age]]=0,"Review -  potential entry error (age 0)","")))</f>
        <v/>
      </c>
      <c r="U541" t="str">
        <f>_xlfn.XLOOKUP(Table8[[#This Row],[Campaign_Code]],tb3_CampaignMaster[Campaign_Code],tb3_CampaignMaster[Campaign_Type],"")</f>
        <v>Trading</v>
      </c>
      <c r="V541" t="str">
        <f>_xlfn.XLOOKUP(Table8[[#This Row],[Campaign_Code]],tb3_CampaignMaster[Campaign_Code],tb3_CampaignMaster[Target_Audience],"")</f>
        <v>All Active</v>
      </c>
      <c r="W541" s="17">
        <f>_xlfn.XLOOKUP(Table8[[#This Row],[Campaign_Code]],tb3_CampaignMaster[Campaign_Code],tb3_CampaignMaster[Start_Date],"")</f>
        <v>45580</v>
      </c>
      <c r="X541" s="17">
        <f>_xlfn.XLOOKUP(Table8[[#This Row],[Campaign_Code]],tb3_CampaignMaster[Campaign_Code],tb3_CampaignMaster[End_Date],"")</f>
        <v>45646</v>
      </c>
      <c r="Y541">
        <f>_xlfn.XLOOKUP(Table8[[#This Row],[Campaign_Code]],tb3_CampaignMaster[Campaign_Code],tb3_CampaignMaster[Budget_GBP],"")</f>
        <v>12000</v>
      </c>
      <c r="Z541" t="str">
        <f>_xlfn.XLOOKUP(Table8[[#This Row],[Campaign_Code]],tb3_CampaignMaster[Campaign_Code],tb3_CampaignMaster[Primary_Channel],"")</f>
        <v>Multi-channel</v>
      </c>
      <c r="AA541" s="13">
        <f>IF(Table8[[#This Row],[Gift_Aid_Eligible]]="Yes",Table8[[#This Row],[Gift_Amount]]*1.25,Table8[[#This Row],[Gift_Amount]])</f>
        <v>19.987500000000001</v>
      </c>
      <c r="AB541" t="str">
        <f>IF(Table8[[#This Row],[Supporter_ID]]="","Review - missing supporter ID","")</f>
        <v/>
      </c>
      <c r="AC541" t="str">
        <f>IF(OR(Table8[[#This Row],[Response_Date]]&lt;Table8[[#This Row],[Start_Date]],Table8[[#This Row],[Response_Date]]&gt;Table8[[#This Row],[End_Date]]),"Review - response outside campaign dates","")</f>
        <v/>
      </c>
      <c r="AD541" t="str">
        <f>IF(Table8[[#This Row],[Campaign_Type]]="","Review - campaign code not found","")</f>
        <v/>
      </c>
    </row>
    <row r="542" spans="1:30" x14ac:dyDescent="0.25">
      <c r="A542" t="s">
        <v>4274</v>
      </c>
      <c r="B542" t="s">
        <v>688</v>
      </c>
      <c r="C542" t="s">
        <v>3341</v>
      </c>
      <c r="D542" t="s">
        <v>3342</v>
      </c>
      <c r="E542" t="s">
        <v>91</v>
      </c>
      <c r="F542" s="17">
        <v>45750</v>
      </c>
      <c r="G542">
        <v>9.69</v>
      </c>
      <c r="H542" t="s">
        <v>37</v>
      </c>
      <c r="I542" t="s">
        <v>3328</v>
      </c>
      <c r="J542" t="str">
        <f>_xlfn.XLOOKUP(Table8[[#This Row],[Supporter_ID]],tb1_supporters[Supporter_ID ],tb1_supporters[Segment],"")</f>
        <v>Regular Giver</v>
      </c>
      <c r="K542" t="str">
        <f>_xlfn.XLOOKUP(Table8[[#This Row],[Supporter_ID]],tb1_supporters[Supporter_ID ],tb1_supporters[Acquisition_Source],"")</f>
        <v>Corporate Partner</v>
      </c>
      <c r="L542" t="str">
        <f>_xlfn.XLOOKUP(Table8[[#This Row],[Supporter_ID]],tb1_supporters[Supporter_ID ],tb1_supporters[County],"")</f>
        <v>Gloucestershire</v>
      </c>
      <c r="M542" t="str">
        <f>_xlfn.XLOOKUP(Table8[[#This Row],[Supporter_ID]],tb1_supporters[Supporter_ID ],tb1_supporters[Gender],"")</f>
        <v>Male</v>
      </c>
      <c r="N542">
        <f ca="1">_xlfn.XLOOKUP(Table8[[#This Row],[Supporter_ID]],tb1_supporters[Supporter_ID ],tb1_supporters[Age],"")</f>
        <v>87</v>
      </c>
      <c r="O542" t="str">
        <f ca="1">_xlfn.XLOOKUP(Table8[[#This Row],[Supporter_ID]],tb1_supporters[Supporter_ID ],tb1_supporters[Age_Band],"")</f>
        <v>65+</v>
      </c>
      <c r="P542" t="str">
        <f ca="1">IF(Table8[[#This Row],[Age_Band]]="","Unknown",Table8[[#This Row],[Age_Band]])</f>
        <v>65+</v>
      </c>
      <c r="Q542" t="str">
        <f>_xlfn.XLOOKUP(Table8[[#This Row],[Supporter_ID]],tb1_supporters[Supporter_ID ],tb1_supporters[Communication_Preference],"")</f>
        <v>Post</v>
      </c>
      <c r="R542" t="str">
        <f>_xlfn.XLOOKUP(Table8[[#This Row],[Supporter_ID]],tb1_supporters[Supporter_ID ],tb1_supporters[Duplicate_Profile_Flag],"")</f>
        <v/>
      </c>
      <c r="S542" t="str">
        <f>_xlfn.XLOOKUP(Table8[[#This Row],[Supporter_ID]],tb1_supporters[Supporter_ID ],tb1_supporters[Preference_Compliance_Flag],"")</f>
        <v/>
      </c>
      <c r="T542" t="str">
        <f ca="1">IF(Table8[[#This Row],[Age]]="","Review - missing DOB",IF(Table8[[#This Row],[Age]]&gt;TODAY(),"Review - future DOB",IF(Table8[[#This Row],[Age]]=0,"Review -  potential entry error (age 0)","")))</f>
        <v/>
      </c>
      <c r="U542" t="str">
        <f>_xlfn.XLOOKUP(Table8[[#This Row],[Campaign_Code]],tb3_CampaignMaster[Campaign_Code],tb3_CampaignMaster[Campaign_Type],"")</f>
        <v>Acquisition</v>
      </c>
      <c r="V542" t="str">
        <f>_xlfn.XLOOKUP(Table8[[#This Row],[Campaign_Code]],tb3_CampaignMaster[Campaign_Code],tb3_CampaignMaster[Target_Audience],"")</f>
        <v>Prospects</v>
      </c>
      <c r="W542" s="17">
        <f>_xlfn.XLOOKUP(Table8[[#This Row],[Campaign_Code]],tb3_CampaignMaster[Campaign_Code],tb3_CampaignMaster[Start_Date],"")</f>
        <v>45689</v>
      </c>
      <c r="X542" s="17">
        <f>_xlfn.XLOOKUP(Table8[[#This Row],[Campaign_Code]],tb3_CampaignMaster[Campaign_Code],tb3_CampaignMaster[End_Date],"")</f>
        <v>45777</v>
      </c>
      <c r="Y542">
        <f>_xlfn.XLOOKUP(Table8[[#This Row],[Campaign_Code]],tb3_CampaignMaster[Campaign_Code],tb3_CampaignMaster[Budget_GBP],"")</f>
        <v>20000</v>
      </c>
      <c r="Z542" t="str">
        <f>_xlfn.XLOOKUP(Table8[[#This Row],[Campaign_Code]],tb3_CampaignMaster[Campaign_Code],tb3_CampaignMaster[Primary_Channel],"")</f>
        <v>Digital</v>
      </c>
      <c r="AA542" s="13">
        <f>IF(Table8[[#This Row],[Gift_Aid_Eligible]]="Yes",Table8[[#This Row],[Gift_Amount]]*1.25,Table8[[#This Row],[Gift_Amount]])</f>
        <v>9.69</v>
      </c>
      <c r="AB542" t="str">
        <f>IF(Table8[[#This Row],[Supporter_ID]]="","Review - missing supporter ID","")</f>
        <v/>
      </c>
      <c r="AC542" t="str">
        <f>IF(OR(Table8[[#This Row],[Response_Date]]&lt;Table8[[#This Row],[Start_Date]],Table8[[#This Row],[Response_Date]]&gt;Table8[[#This Row],[End_Date]]),"Review - response outside campaign dates","")</f>
        <v/>
      </c>
      <c r="AD542" t="str">
        <f>IF(Table8[[#This Row],[Campaign_Type]]="","Review - campaign code not found","")</f>
        <v/>
      </c>
    </row>
    <row r="543" spans="1:30" x14ac:dyDescent="0.25">
      <c r="A543" t="s">
        <v>4276</v>
      </c>
      <c r="B543" t="s">
        <v>2538</v>
      </c>
      <c r="C543" t="s">
        <v>3325</v>
      </c>
      <c r="D543" t="s">
        <v>3326</v>
      </c>
      <c r="E543" t="s">
        <v>65</v>
      </c>
      <c r="F543" s="17">
        <v>45515</v>
      </c>
      <c r="G543">
        <v>74.28</v>
      </c>
      <c r="H543" t="s">
        <v>37</v>
      </c>
      <c r="I543" t="s">
        <v>3334</v>
      </c>
      <c r="J543" t="str">
        <f>_xlfn.XLOOKUP(Table8[[#This Row],[Supporter_ID]],tb1_supporters[Supporter_ID ],tb1_supporters[Segment],"")</f>
        <v>One-Time Donor</v>
      </c>
      <c r="K543" t="str">
        <f>_xlfn.XLOOKUP(Table8[[#This Row],[Supporter_ID]],tb1_supporters[Supporter_ID ],tb1_supporters[Acquisition_Source],"")</f>
        <v>Social Media</v>
      </c>
      <c r="L543" t="str">
        <f>_xlfn.XLOOKUP(Table8[[#This Row],[Supporter_ID]],tb1_supporters[Supporter_ID ],tb1_supporters[County],"")</f>
        <v>Somerset</v>
      </c>
      <c r="M543" t="str">
        <f>_xlfn.XLOOKUP(Table8[[#This Row],[Supporter_ID]],tb1_supporters[Supporter_ID ],tb1_supporters[Gender],"")</f>
        <v>Female</v>
      </c>
      <c r="N543">
        <f ca="1">_xlfn.XLOOKUP(Table8[[#This Row],[Supporter_ID]],tb1_supporters[Supporter_ID ],tb1_supporters[Age],"")</f>
        <v>55</v>
      </c>
      <c r="O543" t="str">
        <f ca="1">_xlfn.XLOOKUP(Table8[[#This Row],[Supporter_ID]],tb1_supporters[Supporter_ID ],tb1_supporters[Age_Band],"")</f>
        <v>50-64</v>
      </c>
      <c r="P543" t="str">
        <f ca="1">IF(Table8[[#This Row],[Age_Band]]="","Unknown",Table8[[#This Row],[Age_Band]])</f>
        <v>50-64</v>
      </c>
      <c r="Q543" t="str">
        <f>_xlfn.XLOOKUP(Table8[[#This Row],[Supporter_ID]],tb1_supporters[Supporter_ID ],tb1_supporters[Communication_Preference],"")</f>
        <v>Email</v>
      </c>
      <c r="R543" t="str">
        <f>_xlfn.XLOOKUP(Table8[[#This Row],[Supporter_ID]],tb1_supporters[Supporter_ID ],tb1_supporters[Duplicate_Profile_Flag],"")</f>
        <v/>
      </c>
      <c r="S543" t="str">
        <f>_xlfn.XLOOKUP(Table8[[#This Row],[Supporter_ID]],tb1_supporters[Supporter_ID ],tb1_supporters[Preference_Compliance_Flag],"")</f>
        <v/>
      </c>
      <c r="T543" t="str">
        <f ca="1">IF(Table8[[#This Row],[Age]]="","Review - missing DOB",IF(Table8[[#This Row],[Age]]&gt;TODAY(),"Review - future DOB",IF(Table8[[#This Row],[Age]]=0,"Review -  potential entry error (age 0)","")))</f>
        <v/>
      </c>
      <c r="U543" t="str">
        <f>_xlfn.XLOOKUP(Table8[[#This Row],[Campaign_Code]],tb3_CampaignMaster[Campaign_Code],tb3_CampaignMaster[Campaign_Type],"")</f>
        <v>Appeal</v>
      </c>
      <c r="V543" t="str">
        <f>_xlfn.XLOOKUP(Table8[[#This Row],[Campaign_Code]],tb3_CampaignMaster[Campaign_Code],tb3_CampaignMaster[Target_Audience],"")</f>
        <v>All Active</v>
      </c>
      <c r="W543" s="17">
        <f>_xlfn.XLOOKUP(Table8[[#This Row],[Campaign_Code]],tb3_CampaignMaster[Campaign_Code],tb3_CampaignMaster[Start_Date],"")</f>
        <v>45597</v>
      </c>
      <c r="X543" s="17">
        <f>_xlfn.XLOOKUP(Table8[[#This Row],[Campaign_Code]],tb3_CampaignMaster[Campaign_Code],tb3_CampaignMaster[End_Date],"")</f>
        <v>45657</v>
      </c>
      <c r="Y543">
        <f>_xlfn.XLOOKUP(Table8[[#This Row],[Campaign_Code]],tb3_CampaignMaster[Campaign_Code],tb3_CampaignMaster[Budget_GBP],"")</f>
        <v>25000</v>
      </c>
      <c r="Z543" t="str">
        <f>_xlfn.XLOOKUP(Table8[[#This Row],[Campaign_Code]],tb3_CampaignMaster[Campaign_Code],tb3_CampaignMaster[Primary_Channel],"")</f>
        <v>Multi-channel</v>
      </c>
      <c r="AA543" s="13">
        <f>IF(Table8[[#This Row],[Gift_Aid_Eligible]]="Yes",Table8[[#This Row],[Gift_Amount]]*1.25,Table8[[#This Row],[Gift_Amount]])</f>
        <v>74.28</v>
      </c>
      <c r="AB543" t="str">
        <f>IF(Table8[[#This Row],[Supporter_ID]]="","Review - missing supporter ID","")</f>
        <v/>
      </c>
      <c r="AC543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543" t="str">
        <f>IF(Table8[[#This Row],[Campaign_Type]]="","Review - campaign code not found","")</f>
        <v/>
      </c>
    </row>
    <row r="544" spans="1:30" x14ac:dyDescent="0.25">
      <c r="A544" t="s">
        <v>4278</v>
      </c>
      <c r="B544" t="s">
        <v>1903</v>
      </c>
      <c r="C544" t="s">
        <v>3367</v>
      </c>
      <c r="D544" t="s">
        <v>3368</v>
      </c>
      <c r="E544" t="s">
        <v>65</v>
      </c>
      <c r="F544" s="17">
        <v>45774</v>
      </c>
      <c r="G544">
        <v>24.71</v>
      </c>
      <c r="H544" t="s">
        <v>37</v>
      </c>
      <c r="I544" t="s">
        <v>3370</v>
      </c>
      <c r="J544" t="str">
        <f>_xlfn.XLOOKUP(Table8[[#This Row],[Supporter_ID]],tb1_supporters[Supporter_ID ],tb1_supporters[Segment],"")</f>
        <v>Regular Giver</v>
      </c>
      <c r="K544" t="str">
        <f>_xlfn.XLOOKUP(Table8[[#This Row],[Supporter_ID]],tb1_supporters[Supporter_ID ],tb1_supporters[Acquisition_Source],"")</f>
        <v>Website</v>
      </c>
      <c r="L544" t="str">
        <f>_xlfn.XLOOKUP(Table8[[#This Row],[Supporter_ID]],tb1_supporters[Supporter_ID ],tb1_supporters[County],"")</f>
        <v>Wiltshire</v>
      </c>
      <c r="M544" t="str">
        <f>_xlfn.XLOOKUP(Table8[[#This Row],[Supporter_ID]],tb1_supporters[Supporter_ID ],tb1_supporters[Gender],"")</f>
        <v>Female</v>
      </c>
      <c r="N544">
        <f ca="1">_xlfn.XLOOKUP(Table8[[#This Row],[Supporter_ID]],tb1_supporters[Supporter_ID ],tb1_supporters[Age],"")</f>
        <v>33</v>
      </c>
      <c r="O544" t="str">
        <f ca="1">_xlfn.XLOOKUP(Table8[[#This Row],[Supporter_ID]],tb1_supporters[Supporter_ID ],tb1_supporters[Age_Band],"")</f>
        <v>18-34</v>
      </c>
      <c r="P544" t="str">
        <f ca="1">IF(Table8[[#This Row],[Age_Band]]="","Unknown",Table8[[#This Row],[Age_Band]])</f>
        <v>18-34</v>
      </c>
      <c r="Q544" t="str">
        <f>_xlfn.XLOOKUP(Table8[[#This Row],[Supporter_ID]],tb1_supporters[Supporter_ID ],tb1_supporters[Communication_Preference],"")</f>
        <v>Email</v>
      </c>
      <c r="R544" t="str">
        <f>_xlfn.XLOOKUP(Table8[[#This Row],[Supporter_ID]],tb1_supporters[Supporter_ID ],tb1_supporters[Duplicate_Profile_Flag],"")</f>
        <v/>
      </c>
      <c r="S544" t="str">
        <f>_xlfn.XLOOKUP(Table8[[#This Row],[Supporter_ID]],tb1_supporters[Supporter_ID ],tb1_supporters[Preference_Compliance_Flag],"")</f>
        <v/>
      </c>
      <c r="T544" t="str">
        <f ca="1">IF(Table8[[#This Row],[Age]]="","Review - missing DOB",IF(Table8[[#This Row],[Age]]&gt;TODAY(),"Review - future DOB",IF(Table8[[#This Row],[Age]]=0,"Review -  potential entry error (age 0)","")))</f>
        <v/>
      </c>
      <c r="U544" t="str">
        <f>_xlfn.XLOOKUP(Table8[[#This Row],[Campaign_Code]],tb3_CampaignMaster[Campaign_Code],tb3_CampaignMaster[Campaign_Type],"")</f>
        <v>Raffle</v>
      </c>
      <c r="V544" t="str">
        <f>_xlfn.XLOOKUP(Table8[[#This Row],[Campaign_Code]],tb3_CampaignMaster[Campaign_Code],tb3_CampaignMaster[Target_Audience],"")</f>
        <v>Regular Givers</v>
      </c>
      <c r="W544" s="17">
        <f>_xlfn.XLOOKUP(Table8[[#This Row],[Campaign_Code]],tb3_CampaignMaster[Campaign_Code],tb3_CampaignMaster[Start_Date],"")</f>
        <v>45717</v>
      </c>
      <c r="X544" s="17">
        <f>_xlfn.XLOOKUP(Table8[[#This Row],[Campaign_Code]],tb3_CampaignMaster[Campaign_Code],tb3_CampaignMaster[End_Date],"")</f>
        <v>45777</v>
      </c>
      <c r="Y544">
        <f>_xlfn.XLOOKUP(Table8[[#This Row],[Campaign_Code]],tb3_CampaignMaster[Campaign_Code],tb3_CampaignMaster[Budget_GBP],"")</f>
        <v>8000</v>
      </c>
      <c r="Z544" t="str">
        <f>_xlfn.XLOOKUP(Table8[[#This Row],[Campaign_Code]],tb3_CampaignMaster[Campaign_Code],tb3_CampaignMaster[Primary_Channel],"")</f>
        <v>Direct Mail</v>
      </c>
      <c r="AA544" s="13">
        <f>IF(Table8[[#This Row],[Gift_Aid_Eligible]]="Yes",Table8[[#This Row],[Gift_Amount]]*1.25,Table8[[#This Row],[Gift_Amount]])</f>
        <v>24.71</v>
      </c>
      <c r="AB544" t="str">
        <f>IF(Table8[[#This Row],[Supporter_ID]]="","Review - missing supporter ID","")</f>
        <v/>
      </c>
      <c r="AC544" t="str">
        <f>IF(OR(Table8[[#This Row],[Response_Date]]&lt;Table8[[#This Row],[Start_Date]],Table8[[#This Row],[Response_Date]]&gt;Table8[[#This Row],[End_Date]]),"Review - response outside campaign dates","")</f>
        <v/>
      </c>
      <c r="AD544" t="str">
        <f>IF(Table8[[#This Row],[Campaign_Type]]="","Review - campaign code not found","")</f>
        <v/>
      </c>
    </row>
    <row r="545" spans="1:30" x14ac:dyDescent="0.25">
      <c r="A545" t="s">
        <v>4280</v>
      </c>
      <c r="B545" t="s">
        <v>2124</v>
      </c>
      <c r="C545" t="s">
        <v>3320</v>
      </c>
      <c r="D545" t="s">
        <v>3321</v>
      </c>
      <c r="E545" t="s">
        <v>65</v>
      </c>
      <c r="F545" s="17">
        <v>45467</v>
      </c>
      <c r="G545">
        <v>288.33999999999997</v>
      </c>
      <c r="H545" t="s">
        <v>36</v>
      </c>
      <c r="I545" t="s">
        <v>3370</v>
      </c>
      <c r="J545" t="str">
        <f>_xlfn.XLOOKUP(Table8[[#This Row],[Supporter_ID]],tb1_supporters[Supporter_ID ],tb1_supporters[Segment],"")</f>
        <v>Legacy Pledger</v>
      </c>
      <c r="K545" t="str">
        <f>_xlfn.XLOOKUP(Table8[[#This Row],[Supporter_ID]],tb1_supporters[Supporter_ID ],tb1_supporters[Acquisition_Source],"")</f>
        <v>Social Media</v>
      </c>
      <c r="L545" t="str">
        <f>_xlfn.XLOOKUP(Table8[[#This Row],[Supporter_ID]],tb1_supporters[Supporter_ID ],tb1_supporters[County],"")</f>
        <v>North Yorkshire</v>
      </c>
      <c r="M545" t="str">
        <f>_xlfn.XLOOKUP(Table8[[#This Row],[Supporter_ID]],tb1_supporters[Supporter_ID ],tb1_supporters[Gender],"")</f>
        <v>Female</v>
      </c>
      <c r="N545">
        <f ca="1">_xlfn.XLOOKUP(Table8[[#This Row],[Supporter_ID]],tb1_supporters[Supporter_ID ],tb1_supporters[Age],"")</f>
        <v>87</v>
      </c>
      <c r="O545" t="str">
        <f ca="1">_xlfn.XLOOKUP(Table8[[#This Row],[Supporter_ID]],tb1_supporters[Supporter_ID ],tb1_supporters[Age_Band],"")</f>
        <v>65+</v>
      </c>
      <c r="P545" t="str">
        <f ca="1">IF(Table8[[#This Row],[Age_Band]]="","Unknown",Table8[[#This Row],[Age_Band]])</f>
        <v>65+</v>
      </c>
      <c r="Q545" t="str">
        <f>_xlfn.XLOOKUP(Table8[[#This Row],[Supporter_ID]],tb1_supporters[Supporter_ID ],tb1_supporters[Communication_Preference],"")</f>
        <v>Email</v>
      </c>
      <c r="R545" t="str">
        <f>_xlfn.XLOOKUP(Table8[[#This Row],[Supporter_ID]],tb1_supporters[Supporter_ID ],tb1_supporters[Duplicate_Profile_Flag],"")</f>
        <v/>
      </c>
      <c r="S545" t="str">
        <f>_xlfn.XLOOKUP(Table8[[#This Row],[Supporter_ID]],tb1_supporters[Supporter_ID ],tb1_supporters[Preference_Compliance_Flag],"")</f>
        <v/>
      </c>
      <c r="T545" t="str">
        <f ca="1">IF(Table8[[#This Row],[Age]]="","Review - missing DOB",IF(Table8[[#This Row],[Age]]&gt;TODAY(),"Review - future DOB",IF(Table8[[#This Row],[Age]]=0,"Review -  potential entry error (age 0)","")))</f>
        <v/>
      </c>
      <c r="U545" t="str">
        <f>_xlfn.XLOOKUP(Table8[[#This Row],[Campaign_Code]],tb3_CampaignMaster[Campaign_Code],tb3_CampaignMaster[Campaign_Type],"")</f>
        <v>Stewardship</v>
      </c>
      <c r="V545" t="str">
        <f>_xlfn.XLOOKUP(Table8[[#This Row],[Campaign_Code]],tb3_CampaignMaster[Campaign_Code],tb3_CampaignMaster[Target_Audience],"")</f>
        <v>Major Donors</v>
      </c>
      <c r="W545" s="17">
        <f>_xlfn.XLOOKUP(Table8[[#This Row],[Campaign_Code]],tb3_CampaignMaster[Campaign_Code],tb3_CampaignMaster[Start_Date],"")</f>
        <v>45444</v>
      </c>
      <c r="X545" s="17">
        <f>_xlfn.XLOOKUP(Table8[[#This Row],[Campaign_Code]],tb3_CampaignMaster[Campaign_Code],tb3_CampaignMaster[End_Date],"")</f>
        <v>45473</v>
      </c>
      <c r="Y545">
        <f>_xlfn.XLOOKUP(Table8[[#This Row],[Campaign_Code]],tb3_CampaignMaster[Campaign_Code],tb3_CampaignMaster[Budget_GBP],"")</f>
        <v>7000</v>
      </c>
      <c r="Z545" t="str">
        <f>_xlfn.XLOOKUP(Table8[[#This Row],[Campaign_Code]],tb3_CampaignMaster[Campaign_Code],tb3_CampaignMaster[Primary_Channel],"")</f>
        <v>Direct Mail</v>
      </c>
      <c r="AA545" s="13">
        <f>IF(Table8[[#This Row],[Gift_Aid_Eligible]]="Yes",Table8[[#This Row],[Gift_Amount]]*1.25,Table8[[#This Row],[Gift_Amount]])</f>
        <v>360.42499999999995</v>
      </c>
      <c r="AB545" t="str">
        <f>IF(Table8[[#This Row],[Supporter_ID]]="","Review - missing supporter ID","")</f>
        <v/>
      </c>
      <c r="AC545" t="str">
        <f>IF(OR(Table8[[#This Row],[Response_Date]]&lt;Table8[[#This Row],[Start_Date]],Table8[[#This Row],[Response_Date]]&gt;Table8[[#This Row],[End_Date]]),"Review - response outside campaign dates","")</f>
        <v/>
      </c>
      <c r="AD545" t="str">
        <f>IF(Table8[[#This Row],[Campaign_Type]]="","Review - campaign code not found","")</f>
        <v/>
      </c>
    </row>
    <row r="546" spans="1:30" x14ac:dyDescent="0.25">
      <c r="A546" t="s">
        <v>4282</v>
      </c>
      <c r="B546" t="s">
        <v>282</v>
      </c>
      <c r="C546" t="s">
        <v>3427</v>
      </c>
      <c r="D546" t="s">
        <v>3428</v>
      </c>
      <c r="E546" t="s">
        <v>65</v>
      </c>
      <c r="F546" s="17">
        <v>45488</v>
      </c>
      <c r="G546">
        <v>233.87</v>
      </c>
      <c r="H546" t="s">
        <v>37</v>
      </c>
      <c r="I546" t="s">
        <v>3334</v>
      </c>
      <c r="J546" t="str">
        <f>_xlfn.XLOOKUP(Table8[[#This Row],[Supporter_ID]],tb1_supporters[Supporter_ID ],tb1_supporters[Segment],"")</f>
        <v>Legacy Pledger</v>
      </c>
      <c r="K546" t="str">
        <f>_xlfn.XLOOKUP(Table8[[#This Row],[Supporter_ID]],tb1_supporters[Supporter_ID ],tb1_supporters[Acquisition_Source],"")</f>
        <v>Direct Mail</v>
      </c>
      <c r="L546" t="str">
        <f>_xlfn.XLOOKUP(Table8[[#This Row],[Supporter_ID]],tb1_supporters[Supporter_ID ],tb1_supporters[County],"")</f>
        <v>Cambridgeshire</v>
      </c>
      <c r="M546" t="str">
        <f>_xlfn.XLOOKUP(Table8[[#This Row],[Supporter_ID]],tb1_supporters[Supporter_ID ],tb1_supporters[Gender],"")</f>
        <v>Female</v>
      </c>
      <c r="N546">
        <f ca="1">_xlfn.XLOOKUP(Table8[[#This Row],[Supporter_ID]],tb1_supporters[Supporter_ID ],tb1_supporters[Age],"")</f>
        <v>59</v>
      </c>
      <c r="O546" t="str">
        <f ca="1">_xlfn.XLOOKUP(Table8[[#This Row],[Supporter_ID]],tb1_supporters[Supporter_ID ],tb1_supporters[Age_Band],"")</f>
        <v>50-64</v>
      </c>
      <c r="P546" t="str">
        <f ca="1">IF(Table8[[#This Row],[Age_Band]]="","Unknown",Table8[[#This Row],[Age_Band]])</f>
        <v>50-64</v>
      </c>
      <c r="Q546" t="str">
        <f>_xlfn.XLOOKUP(Table8[[#This Row],[Supporter_ID]],tb1_supporters[Supporter_ID ],tb1_supporters[Communication_Preference],"")</f>
        <v>Do Not Contact</v>
      </c>
      <c r="R546" t="str">
        <f>_xlfn.XLOOKUP(Table8[[#This Row],[Supporter_ID]],tb1_supporters[Supporter_ID ],tb1_supporters[Duplicate_Profile_Flag],"")</f>
        <v/>
      </c>
      <c r="S546" t="str">
        <f>_xlfn.XLOOKUP(Table8[[#This Row],[Supporter_ID]],tb1_supporters[Supporter_ID ],tb1_supporters[Preference_Compliance_Flag],"")</f>
        <v/>
      </c>
      <c r="T546" t="str">
        <f ca="1">IF(Table8[[#This Row],[Age]]="","Review - missing DOB",IF(Table8[[#This Row],[Age]]&gt;TODAY(),"Review - future DOB",IF(Table8[[#This Row],[Age]]=0,"Review -  potential entry error (age 0)","")))</f>
        <v/>
      </c>
      <c r="U546" t="str">
        <f>_xlfn.XLOOKUP(Table8[[#This Row],[Campaign_Code]],tb3_CampaignMaster[Campaign_Code],tb3_CampaignMaster[Campaign_Type],"")</f>
        <v>Event</v>
      </c>
      <c r="V546" t="str">
        <f>_xlfn.XLOOKUP(Table8[[#This Row],[Campaign_Code]],tb3_CampaignMaster[Campaign_Code],tb3_CampaignMaster[Target_Audience],"")</f>
        <v>Major Donors</v>
      </c>
      <c r="W546" s="17">
        <f>_xlfn.XLOOKUP(Table8[[#This Row],[Campaign_Code]],tb3_CampaignMaster[Campaign_Code],tb3_CampaignMaster[Start_Date],"")</f>
        <v>45488</v>
      </c>
      <c r="X546" s="17">
        <f>_xlfn.XLOOKUP(Table8[[#This Row],[Campaign_Code]],tb3_CampaignMaster[Campaign_Code],tb3_CampaignMaster[End_Date],"")</f>
        <v>45488</v>
      </c>
      <c r="Y546">
        <f>_xlfn.XLOOKUP(Table8[[#This Row],[Campaign_Code]],tb3_CampaignMaster[Campaign_Code],tb3_CampaignMaster[Budget_GBP],"")</f>
        <v>45000</v>
      </c>
      <c r="Z546" t="str">
        <f>_xlfn.XLOOKUP(Table8[[#This Row],[Campaign_Code]],tb3_CampaignMaster[Campaign_Code],tb3_CampaignMaster[Primary_Channel],"")</f>
        <v>Direct Mail</v>
      </c>
      <c r="AA546" s="13">
        <f>IF(Table8[[#This Row],[Gift_Aid_Eligible]]="Yes",Table8[[#This Row],[Gift_Amount]]*1.25,Table8[[#This Row],[Gift_Amount]])</f>
        <v>233.87</v>
      </c>
      <c r="AB546" t="str">
        <f>IF(Table8[[#This Row],[Supporter_ID]]="","Review - missing supporter ID","")</f>
        <v/>
      </c>
      <c r="AC546" t="str">
        <f>IF(OR(Table8[[#This Row],[Response_Date]]&lt;Table8[[#This Row],[Start_Date]],Table8[[#This Row],[Response_Date]]&gt;Table8[[#This Row],[End_Date]]),"Review - response outside campaign dates","")</f>
        <v/>
      </c>
      <c r="AD546" t="str">
        <f>IF(Table8[[#This Row],[Campaign_Type]]="","Review - campaign code not found","")</f>
        <v/>
      </c>
    </row>
    <row r="547" spans="1:30" x14ac:dyDescent="0.25">
      <c r="A547" t="s">
        <v>4283</v>
      </c>
      <c r="B547" t="s">
        <v>2987</v>
      </c>
      <c r="C547" t="s">
        <v>3362</v>
      </c>
      <c r="D547" t="s">
        <v>3363</v>
      </c>
      <c r="E547" t="s">
        <v>65</v>
      </c>
      <c r="F547" s="17">
        <v>45574</v>
      </c>
      <c r="G547">
        <v>29.92</v>
      </c>
      <c r="H547" t="s">
        <v>36</v>
      </c>
      <c r="I547" t="s">
        <v>3370</v>
      </c>
      <c r="J547" t="str">
        <f>_xlfn.XLOOKUP(Table8[[#This Row],[Supporter_ID]],tb1_supporters[Supporter_ID ],tb1_supporters[Segment],"")</f>
        <v>Prospect</v>
      </c>
      <c r="K547" t="str">
        <f>_xlfn.XLOOKUP(Table8[[#This Row],[Supporter_ID]],tb1_supporters[Supporter_ID ],tb1_supporters[Acquisition_Source],"")</f>
        <v>Referral</v>
      </c>
      <c r="L547" t="str">
        <f>_xlfn.XLOOKUP(Table8[[#This Row],[Supporter_ID]],tb1_supporters[Supporter_ID ],tb1_supporters[County],"")</f>
        <v>South Yorkshire</v>
      </c>
      <c r="M547" t="str">
        <f>_xlfn.XLOOKUP(Table8[[#This Row],[Supporter_ID]],tb1_supporters[Supporter_ID ],tb1_supporters[Gender],"")</f>
        <v>Female</v>
      </c>
      <c r="N547">
        <f ca="1">_xlfn.XLOOKUP(Table8[[#This Row],[Supporter_ID]],tb1_supporters[Supporter_ID ],tb1_supporters[Age],"")</f>
        <v>74</v>
      </c>
      <c r="O547" t="str">
        <f ca="1">_xlfn.XLOOKUP(Table8[[#This Row],[Supporter_ID]],tb1_supporters[Supporter_ID ],tb1_supporters[Age_Band],"")</f>
        <v>65+</v>
      </c>
      <c r="P547" t="str">
        <f ca="1">IF(Table8[[#This Row],[Age_Band]]="","Unknown",Table8[[#This Row],[Age_Band]])</f>
        <v>65+</v>
      </c>
      <c r="Q547" t="str">
        <f>_xlfn.XLOOKUP(Table8[[#This Row],[Supporter_ID]],tb1_supporters[Supporter_ID ],tb1_supporters[Communication_Preference],"")</f>
        <v>Phone</v>
      </c>
      <c r="R547" t="str">
        <f>_xlfn.XLOOKUP(Table8[[#This Row],[Supporter_ID]],tb1_supporters[Supporter_ID ],tb1_supporters[Duplicate_Profile_Flag],"")</f>
        <v/>
      </c>
      <c r="S547" t="str">
        <f>_xlfn.XLOOKUP(Table8[[#This Row],[Supporter_ID]],tb1_supporters[Supporter_ID ],tb1_supporters[Preference_Compliance_Flag],"")</f>
        <v>Review - prefers phone but not opted in</v>
      </c>
      <c r="T547" t="str">
        <f ca="1">IF(Table8[[#This Row],[Age]]="","Review - missing DOB",IF(Table8[[#This Row],[Age]]&gt;TODAY(),"Review - future DOB",IF(Table8[[#This Row],[Age]]=0,"Review -  potential entry error (age 0)","")))</f>
        <v/>
      </c>
      <c r="U547" t="str">
        <f>_xlfn.XLOOKUP(Table8[[#This Row],[Campaign_Code]],tb3_CampaignMaster[Campaign_Code],tb3_CampaignMaster[Campaign_Type],"")</f>
        <v>Legacy</v>
      </c>
      <c r="V547" t="str">
        <f>_xlfn.XLOOKUP(Table8[[#This Row],[Campaign_Code]],tb3_CampaignMaster[Campaign_Code],tb3_CampaignMaster[Target_Audience],"")</f>
        <v>Over 55s</v>
      </c>
      <c r="W547" s="17">
        <f>_xlfn.XLOOKUP(Table8[[#This Row],[Campaign_Code]],tb3_CampaignMaster[Campaign_Code],tb3_CampaignMaster[Start_Date],"")</f>
        <v>45572</v>
      </c>
      <c r="X547" s="17">
        <f>_xlfn.XLOOKUP(Table8[[#This Row],[Campaign_Code]],tb3_CampaignMaster[Campaign_Code],tb3_CampaignMaster[End_Date],"")</f>
        <v>45578</v>
      </c>
      <c r="Y547">
        <f>_xlfn.XLOOKUP(Table8[[#This Row],[Campaign_Code]],tb3_CampaignMaster[Campaign_Code],tb3_CampaignMaster[Budget_GBP],"")</f>
        <v>5000</v>
      </c>
      <c r="Z547" t="str">
        <f>_xlfn.XLOOKUP(Table8[[#This Row],[Campaign_Code]],tb3_CampaignMaster[Campaign_Code],tb3_CampaignMaster[Primary_Channel],"")</f>
        <v>Direct Mail</v>
      </c>
      <c r="AA547" s="13">
        <f>IF(Table8[[#This Row],[Gift_Aid_Eligible]]="Yes",Table8[[#This Row],[Gift_Amount]]*1.25,Table8[[#This Row],[Gift_Amount]])</f>
        <v>37.400000000000006</v>
      </c>
      <c r="AB547" t="str">
        <f>IF(Table8[[#This Row],[Supporter_ID]]="","Review - missing supporter ID","")</f>
        <v/>
      </c>
      <c r="AC547" t="str">
        <f>IF(OR(Table8[[#This Row],[Response_Date]]&lt;Table8[[#This Row],[Start_Date]],Table8[[#This Row],[Response_Date]]&gt;Table8[[#This Row],[End_Date]]),"Review - response outside campaign dates","")</f>
        <v/>
      </c>
      <c r="AD547" t="str">
        <f>IF(Table8[[#This Row],[Campaign_Type]]="","Review - campaign code not found","")</f>
        <v/>
      </c>
    </row>
    <row r="548" spans="1:30" x14ac:dyDescent="0.25">
      <c r="A548" t="s">
        <v>4285</v>
      </c>
      <c r="B548" t="s">
        <v>3217</v>
      </c>
      <c r="C548" t="s">
        <v>3320</v>
      </c>
      <c r="D548" t="s">
        <v>3321</v>
      </c>
      <c r="E548" t="s">
        <v>65</v>
      </c>
      <c r="F548" s="17">
        <v>45457</v>
      </c>
      <c r="G548">
        <v>1903.44</v>
      </c>
      <c r="H548" t="s">
        <v>36</v>
      </c>
      <c r="I548" t="s">
        <v>3370</v>
      </c>
      <c r="J548" t="str">
        <f>_xlfn.XLOOKUP(Table8[[#This Row],[Supporter_ID]],tb1_supporters[Supporter_ID ],tb1_supporters[Segment],"")</f>
        <v>Major Donor</v>
      </c>
      <c r="K548" t="str">
        <f>_xlfn.XLOOKUP(Table8[[#This Row],[Supporter_ID]],tb1_supporters[Supporter_ID ],tb1_supporters[Acquisition_Source],"")</f>
        <v>Telephone</v>
      </c>
      <c r="L548" t="str">
        <f>_xlfn.XLOOKUP(Table8[[#This Row],[Supporter_ID]],tb1_supporters[Supporter_ID ],tb1_supporters[County],"")</f>
        <v>Oxfordshire</v>
      </c>
      <c r="M548" t="str">
        <f>_xlfn.XLOOKUP(Table8[[#This Row],[Supporter_ID]],tb1_supporters[Supporter_ID ],tb1_supporters[Gender],"")</f>
        <v>Female</v>
      </c>
      <c r="N548">
        <f ca="1">_xlfn.XLOOKUP(Table8[[#This Row],[Supporter_ID]],tb1_supporters[Supporter_ID ],tb1_supporters[Age],"")</f>
        <v>75</v>
      </c>
      <c r="O548" t="str">
        <f ca="1">_xlfn.XLOOKUP(Table8[[#This Row],[Supporter_ID]],tb1_supporters[Supporter_ID ],tb1_supporters[Age_Band],"")</f>
        <v>65+</v>
      </c>
      <c r="P548" t="str">
        <f ca="1">IF(Table8[[#This Row],[Age_Band]]="","Unknown",Table8[[#This Row],[Age_Band]])</f>
        <v>65+</v>
      </c>
      <c r="Q548" t="str">
        <f>_xlfn.XLOOKUP(Table8[[#This Row],[Supporter_ID]],tb1_supporters[Supporter_ID ],tb1_supporters[Communication_Preference],"")</f>
        <v>Email</v>
      </c>
      <c r="R548" t="str">
        <f>_xlfn.XLOOKUP(Table8[[#This Row],[Supporter_ID]],tb1_supporters[Supporter_ID ],tb1_supporters[Duplicate_Profile_Flag],"")</f>
        <v/>
      </c>
      <c r="S548" t="str">
        <f>_xlfn.XLOOKUP(Table8[[#This Row],[Supporter_ID]],tb1_supporters[Supporter_ID ],tb1_supporters[Preference_Compliance_Flag],"")</f>
        <v/>
      </c>
      <c r="T548" t="str">
        <f ca="1">IF(Table8[[#This Row],[Age]]="","Review - missing DOB",IF(Table8[[#This Row],[Age]]&gt;TODAY(),"Review - future DOB",IF(Table8[[#This Row],[Age]]=0,"Review -  potential entry error (age 0)","")))</f>
        <v/>
      </c>
      <c r="U548" t="str">
        <f>_xlfn.XLOOKUP(Table8[[#This Row],[Campaign_Code]],tb3_CampaignMaster[Campaign_Code],tb3_CampaignMaster[Campaign_Type],"")</f>
        <v>Stewardship</v>
      </c>
      <c r="V548" t="str">
        <f>_xlfn.XLOOKUP(Table8[[#This Row],[Campaign_Code]],tb3_CampaignMaster[Campaign_Code],tb3_CampaignMaster[Target_Audience],"")</f>
        <v>Major Donors</v>
      </c>
      <c r="W548" s="17">
        <f>_xlfn.XLOOKUP(Table8[[#This Row],[Campaign_Code]],tb3_CampaignMaster[Campaign_Code],tb3_CampaignMaster[Start_Date],"")</f>
        <v>45444</v>
      </c>
      <c r="X548" s="17">
        <f>_xlfn.XLOOKUP(Table8[[#This Row],[Campaign_Code]],tb3_CampaignMaster[Campaign_Code],tb3_CampaignMaster[End_Date],"")</f>
        <v>45473</v>
      </c>
      <c r="Y548">
        <f>_xlfn.XLOOKUP(Table8[[#This Row],[Campaign_Code]],tb3_CampaignMaster[Campaign_Code],tb3_CampaignMaster[Budget_GBP],"")</f>
        <v>7000</v>
      </c>
      <c r="Z548" t="str">
        <f>_xlfn.XLOOKUP(Table8[[#This Row],[Campaign_Code]],tb3_CampaignMaster[Campaign_Code],tb3_CampaignMaster[Primary_Channel],"")</f>
        <v>Direct Mail</v>
      </c>
      <c r="AA548" s="13">
        <f>IF(Table8[[#This Row],[Gift_Aid_Eligible]]="Yes",Table8[[#This Row],[Gift_Amount]]*1.25,Table8[[#This Row],[Gift_Amount]])</f>
        <v>2379.3000000000002</v>
      </c>
      <c r="AB548" t="str">
        <f>IF(Table8[[#This Row],[Supporter_ID]]="","Review - missing supporter ID","")</f>
        <v/>
      </c>
      <c r="AC548" t="str">
        <f>IF(OR(Table8[[#This Row],[Response_Date]]&lt;Table8[[#This Row],[Start_Date]],Table8[[#This Row],[Response_Date]]&gt;Table8[[#This Row],[End_Date]]),"Review - response outside campaign dates","")</f>
        <v/>
      </c>
      <c r="AD548" t="str">
        <f>IF(Table8[[#This Row],[Campaign_Type]]="","Review - campaign code not found","")</f>
        <v/>
      </c>
    </row>
    <row r="549" spans="1:30" x14ac:dyDescent="0.25">
      <c r="A549" t="s">
        <v>4287</v>
      </c>
      <c r="B549" t="s">
        <v>3290</v>
      </c>
      <c r="C549" t="s">
        <v>3320</v>
      </c>
      <c r="D549" t="s">
        <v>3321</v>
      </c>
      <c r="E549" t="s">
        <v>65</v>
      </c>
      <c r="F549" s="17">
        <v>45470</v>
      </c>
      <c r="G549">
        <v>33.36</v>
      </c>
      <c r="H549" t="s">
        <v>37</v>
      </c>
      <c r="I549" t="s">
        <v>3318</v>
      </c>
      <c r="J549" t="str">
        <f>_xlfn.XLOOKUP(Table8[[#This Row],[Supporter_ID]],tb1_supporters[Supporter_ID ],tb1_supporters[Segment],"")</f>
        <v>Mid-Value</v>
      </c>
      <c r="K549" t="str">
        <f>_xlfn.XLOOKUP(Table8[[#This Row],[Supporter_ID]],tb1_supporters[Supporter_ID ],tb1_supporters[Acquisition_Source],"")</f>
        <v>Referral</v>
      </c>
      <c r="L549" t="str">
        <f>_xlfn.XLOOKUP(Table8[[#This Row],[Supporter_ID]],tb1_supporters[Supporter_ID ],tb1_supporters[County],"")</f>
        <v>South Yorkshire</v>
      </c>
      <c r="M549" t="str">
        <f>_xlfn.XLOOKUP(Table8[[#This Row],[Supporter_ID]],tb1_supporters[Supporter_ID ],tb1_supporters[Gender],"")</f>
        <v>Female</v>
      </c>
      <c r="N549">
        <f ca="1">_xlfn.XLOOKUP(Table8[[#This Row],[Supporter_ID]],tb1_supporters[Supporter_ID ],tb1_supporters[Age],"")</f>
        <v>64</v>
      </c>
      <c r="O549" t="str">
        <f ca="1">_xlfn.XLOOKUP(Table8[[#This Row],[Supporter_ID]],tb1_supporters[Supporter_ID ],tb1_supporters[Age_Band],"")</f>
        <v>50-64</v>
      </c>
      <c r="P549" t="str">
        <f ca="1">IF(Table8[[#This Row],[Age_Band]]="","Unknown",Table8[[#This Row],[Age_Band]])</f>
        <v>50-64</v>
      </c>
      <c r="Q549" t="str">
        <f>_xlfn.XLOOKUP(Table8[[#This Row],[Supporter_ID]],tb1_supporters[Supporter_ID ],tb1_supporters[Communication_Preference],"")</f>
        <v>Email</v>
      </c>
      <c r="R549" t="str">
        <f>_xlfn.XLOOKUP(Table8[[#This Row],[Supporter_ID]],tb1_supporters[Supporter_ID ],tb1_supporters[Duplicate_Profile_Flag],"")</f>
        <v>Review - duplicate record, see Supporter_Duplicates tab</v>
      </c>
      <c r="S549" t="str">
        <f>_xlfn.XLOOKUP(Table8[[#This Row],[Supporter_ID]],tb1_supporters[Supporter_ID ],tb1_supporters[Preference_Compliance_Flag],"")</f>
        <v/>
      </c>
      <c r="T549" t="str">
        <f ca="1">IF(Table8[[#This Row],[Age]]="","Review - missing DOB",IF(Table8[[#This Row],[Age]]&gt;TODAY(),"Review - future DOB",IF(Table8[[#This Row],[Age]]=0,"Review -  potential entry error (age 0)","")))</f>
        <v/>
      </c>
      <c r="U549" t="str">
        <f>_xlfn.XLOOKUP(Table8[[#This Row],[Campaign_Code]],tb3_CampaignMaster[Campaign_Code],tb3_CampaignMaster[Campaign_Type],"")</f>
        <v>Stewardship</v>
      </c>
      <c r="V549" t="str">
        <f>_xlfn.XLOOKUP(Table8[[#This Row],[Campaign_Code]],tb3_CampaignMaster[Campaign_Code],tb3_CampaignMaster[Target_Audience],"")</f>
        <v>Major Donors</v>
      </c>
      <c r="W549" s="17">
        <f>_xlfn.XLOOKUP(Table8[[#This Row],[Campaign_Code]],tb3_CampaignMaster[Campaign_Code],tb3_CampaignMaster[Start_Date],"")</f>
        <v>45444</v>
      </c>
      <c r="X549" s="17">
        <f>_xlfn.XLOOKUP(Table8[[#This Row],[Campaign_Code]],tb3_CampaignMaster[Campaign_Code],tb3_CampaignMaster[End_Date],"")</f>
        <v>45473</v>
      </c>
      <c r="Y549">
        <f>_xlfn.XLOOKUP(Table8[[#This Row],[Campaign_Code]],tb3_CampaignMaster[Campaign_Code],tb3_CampaignMaster[Budget_GBP],"")</f>
        <v>7000</v>
      </c>
      <c r="Z549" t="str">
        <f>_xlfn.XLOOKUP(Table8[[#This Row],[Campaign_Code]],tb3_CampaignMaster[Campaign_Code],tb3_CampaignMaster[Primary_Channel],"")</f>
        <v>Direct Mail</v>
      </c>
      <c r="AA549" s="13">
        <f>IF(Table8[[#This Row],[Gift_Aid_Eligible]]="Yes",Table8[[#This Row],[Gift_Amount]]*1.25,Table8[[#This Row],[Gift_Amount]])</f>
        <v>33.36</v>
      </c>
      <c r="AB549" t="str">
        <f>IF(Table8[[#This Row],[Supporter_ID]]="","Review - missing supporter ID","")</f>
        <v/>
      </c>
      <c r="AC549" t="str">
        <f>IF(OR(Table8[[#This Row],[Response_Date]]&lt;Table8[[#This Row],[Start_Date]],Table8[[#This Row],[Response_Date]]&gt;Table8[[#This Row],[End_Date]]),"Review - response outside campaign dates","")</f>
        <v/>
      </c>
      <c r="AD549" t="str">
        <f>IF(Table8[[#This Row],[Campaign_Type]]="","Review - campaign code not found","")</f>
        <v/>
      </c>
    </row>
    <row r="550" spans="1:30" x14ac:dyDescent="0.25">
      <c r="A550" t="s">
        <v>4289</v>
      </c>
      <c r="B550" t="s">
        <v>1969</v>
      </c>
      <c r="C550" t="s">
        <v>3427</v>
      </c>
      <c r="D550" t="s">
        <v>3428</v>
      </c>
      <c r="E550" t="s">
        <v>4</v>
      </c>
      <c r="F550" s="17">
        <v>45488</v>
      </c>
      <c r="G550">
        <v>3530.56</v>
      </c>
      <c r="H550" t="s">
        <v>36</v>
      </c>
      <c r="I550" t="s">
        <v>3334</v>
      </c>
      <c r="J550" t="str">
        <f>_xlfn.XLOOKUP(Table8[[#This Row],[Supporter_ID]],tb1_supporters[Supporter_ID ],tb1_supporters[Segment],"")</f>
        <v>Major Donor</v>
      </c>
      <c r="K550" t="str">
        <f>_xlfn.XLOOKUP(Table8[[#This Row],[Supporter_ID]],tb1_supporters[Supporter_ID ],tb1_supporters[Acquisition_Source],"")</f>
        <v>Corporate Partner</v>
      </c>
      <c r="L550" t="str">
        <f>_xlfn.XLOOKUP(Table8[[#This Row],[Supporter_ID]],tb1_supporters[Supporter_ID ],tb1_supporters[County],"")</f>
        <v>Dorset</v>
      </c>
      <c r="M550" t="str">
        <f>_xlfn.XLOOKUP(Table8[[#This Row],[Supporter_ID]],tb1_supporters[Supporter_ID ],tb1_supporters[Gender],"")</f>
        <v>Female</v>
      </c>
      <c r="N550">
        <f ca="1">_xlfn.XLOOKUP(Table8[[#This Row],[Supporter_ID]],tb1_supporters[Supporter_ID ],tb1_supporters[Age],"")</f>
        <v>60</v>
      </c>
      <c r="O550" t="str">
        <f ca="1">_xlfn.XLOOKUP(Table8[[#This Row],[Supporter_ID]],tb1_supporters[Supporter_ID ],tb1_supporters[Age_Band],"")</f>
        <v>50-64</v>
      </c>
      <c r="P550" t="str">
        <f ca="1">IF(Table8[[#This Row],[Age_Band]]="","Unknown",Table8[[#This Row],[Age_Band]])</f>
        <v>50-64</v>
      </c>
      <c r="Q550" t="str">
        <f>_xlfn.XLOOKUP(Table8[[#This Row],[Supporter_ID]],tb1_supporters[Supporter_ID ],tb1_supporters[Communication_Preference],"")</f>
        <v>Phone</v>
      </c>
      <c r="R550" t="str">
        <f>_xlfn.XLOOKUP(Table8[[#This Row],[Supporter_ID]],tb1_supporters[Supporter_ID ],tb1_supporters[Duplicate_Profile_Flag],"")</f>
        <v/>
      </c>
      <c r="S550" t="str">
        <f>_xlfn.XLOOKUP(Table8[[#This Row],[Supporter_ID]],tb1_supporters[Supporter_ID ],tb1_supporters[Preference_Compliance_Flag],"")</f>
        <v/>
      </c>
      <c r="T550" t="str">
        <f ca="1">IF(Table8[[#This Row],[Age]]="","Review - missing DOB",IF(Table8[[#This Row],[Age]]&gt;TODAY(),"Review - future DOB",IF(Table8[[#This Row],[Age]]=0,"Review -  potential entry error (age 0)","")))</f>
        <v/>
      </c>
      <c r="U550" t="str">
        <f>_xlfn.XLOOKUP(Table8[[#This Row],[Campaign_Code]],tb3_CampaignMaster[Campaign_Code],tb3_CampaignMaster[Campaign_Type],"")</f>
        <v>Event</v>
      </c>
      <c r="V550" t="str">
        <f>_xlfn.XLOOKUP(Table8[[#This Row],[Campaign_Code]],tb3_CampaignMaster[Campaign_Code],tb3_CampaignMaster[Target_Audience],"")</f>
        <v>Major Donors</v>
      </c>
      <c r="W550" s="17">
        <f>_xlfn.XLOOKUP(Table8[[#This Row],[Campaign_Code]],tb3_CampaignMaster[Campaign_Code],tb3_CampaignMaster[Start_Date],"")</f>
        <v>45488</v>
      </c>
      <c r="X550" s="17">
        <f>_xlfn.XLOOKUP(Table8[[#This Row],[Campaign_Code]],tb3_CampaignMaster[Campaign_Code],tb3_CampaignMaster[End_Date],"")</f>
        <v>45488</v>
      </c>
      <c r="Y550">
        <f>_xlfn.XLOOKUP(Table8[[#This Row],[Campaign_Code]],tb3_CampaignMaster[Campaign_Code],tb3_CampaignMaster[Budget_GBP],"")</f>
        <v>45000</v>
      </c>
      <c r="Z550" t="str">
        <f>_xlfn.XLOOKUP(Table8[[#This Row],[Campaign_Code]],tb3_CampaignMaster[Campaign_Code],tb3_CampaignMaster[Primary_Channel],"")</f>
        <v>Direct Mail</v>
      </c>
      <c r="AA550" s="13">
        <f>IF(Table8[[#This Row],[Gift_Aid_Eligible]]="Yes",Table8[[#This Row],[Gift_Amount]]*1.25,Table8[[#This Row],[Gift_Amount]])</f>
        <v>4413.2</v>
      </c>
      <c r="AB550" t="str">
        <f>IF(Table8[[#This Row],[Supporter_ID]]="","Review - missing supporter ID","")</f>
        <v/>
      </c>
      <c r="AC550" t="str">
        <f>IF(OR(Table8[[#This Row],[Response_Date]]&lt;Table8[[#This Row],[Start_Date]],Table8[[#This Row],[Response_Date]]&gt;Table8[[#This Row],[End_Date]]),"Review - response outside campaign dates","")</f>
        <v/>
      </c>
      <c r="AD550" t="str">
        <f>IF(Table8[[#This Row],[Campaign_Type]]="","Review - campaign code not found","")</f>
        <v/>
      </c>
    </row>
    <row r="551" spans="1:30" x14ac:dyDescent="0.25">
      <c r="A551" t="s">
        <v>4290</v>
      </c>
      <c r="C551" t="s">
        <v>3403</v>
      </c>
      <c r="D551" t="s">
        <v>3404</v>
      </c>
      <c r="E551" t="s">
        <v>65</v>
      </c>
      <c r="F551" s="17">
        <v>45629</v>
      </c>
      <c r="G551">
        <v>142.94999999999999</v>
      </c>
      <c r="H551" t="s">
        <v>37</v>
      </c>
      <c r="I551" t="s">
        <v>3385</v>
      </c>
      <c r="J551" t="str">
        <f>_xlfn.XLOOKUP(Table8[[#This Row],[Supporter_ID]],tb1_supporters[Supporter_ID ],tb1_supporters[Segment],"")</f>
        <v/>
      </c>
      <c r="K551" t="str">
        <f>_xlfn.XLOOKUP(Table8[[#This Row],[Supporter_ID]],tb1_supporters[Supporter_ID ],tb1_supporters[Acquisition_Source],"")</f>
        <v/>
      </c>
      <c r="L551" t="str">
        <f>_xlfn.XLOOKUP(Table8[[#This Row],[Supporter_ID]],tb1_supporters[Supporter_ID ],tb1_supporters[County],"")</f>
        <v/>
      </c>
      <c r="M551" t="str">
        <f>_xlfn.XLOOKUP(Table8[[#This Row],[Supporter_ID]],tb1_supporters[Supporter_ID ],tb1_supporters[Gender],"")</f>
        <v/>
      </c>
      <c r="N551" t="str">
        <f>_xlfn.XLOOKUP(Table8[[#This Row],[Supporter_ID]],tb1_supporters[Supporter_ID ],tb1_supporters[Age],"")</f>
        <v/>
      </c>
      <c r="O551" t="str">
        <f>_xlfn.XLOOKUP(Table8[[#This Row],[Supporter_ID]],tb1_supporters[Supporter_ID ],tb1_supporters[Age_Band],"")</f>
        <v/>
      </c>
      <c r="P551" t="str">
        <f>IF(Table8[[#This Row],[Age_Band]]="","Unknown",Table8[[#This Row],[Age_Band]])</f>
        <v>Unknown</v>
      </c>
      <c r="Q551" t="str">
        <f>_xlfn.XLOOKUP(Table8[[#This Row],[Supporter_ID]],tb1_supporters[Supporter_ID ],tb1_supporters[Communication_Preference],"")</f>
        <v/>
      </c>
      <c r="R551" t="str">
        <f>_xlfn.XLOOKUP(Table8[[#This Row],[Supporter_ID]],tb1_supporters[Supporter_ID ],tb1_supporters[Duplicate_Profile_Flag],"")</f>
        <v/>
      </c>
      <c r="S551" t="str">
        <f>_xlfn.XLOOKUP(Table8[[#This Row],[Supporter_ID]],tb1_supporters[Supporter_ID ],tb1_supporters[Preference_Compliance_Flag],"")</f>
        <v/>
      </c>
      <c r="T551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551" t="str">
        <f>_xlfn.XLOOKUP(Table8[[#This Row],[Campaign_Code]],tb3_CampaignMaster[Campaign_Code],tb3_CampaignMaster[Campaign_Type],"")</f>
        <v>Trading</v>
      </c>
      <c r="V551" t="str">
        <f>_xlfn.XLOOKUP(Table8[[#This Row],[Campaign_Code]],tb3_CampaignMaster[Campaign_Code],tb3_CampaignMaster[Target_Audience],"")</f>
        <v>All Active</v>
      </c>
      <c r="W551" s="17">
        <f>_xlfn.XLOOKUP(Table8[[#This Row],[Campaign_Code]],tb3_CampaignMaster[Campaign_Code],tb3_CampaignMaster[Start_Date],"")</f>
        <v>45580</v>
      </c>
      <c r="X551" s="17">
        <f>_xlfn.XLOOKUP(Table8[[#This Row],[Campaign_Code]],tb3_CampaignMaster[Campaign_Code],tb3_CampaignMaster[End_Date],"")</f>
        <v>45646</v>
      </c>
      <c r="Y551">
        <f>_xlfn.XLOOKUP(Table8[[#This Row],[Campaign_Code]],tb3_CampaignMaster[Campaign_Code],tb3_CampaignMaster[Budget_GBP],"")</f>
        <v>12000</v>
      </c>
      <c r="Z551" t="str">
        <f>_xlfn.XLOOKUP(Table8[[#This Row],[Campaign_Code]],tb3_CampaignMaster[Campaign_Code],tb3_CampaignMaster[Primary_Channel],"")</f>
        <v>Multi-channel</v>
      </c>
      <c r="AA551" s="13">
        <f>IF(Table8[[#This Row],[Gift_Aid_Eligible]]="Yes",Table8[[#This Row],[Gift_Amount]]*1.25,Table8[[#This Row],[Gift_Amount]])</f>
        <v>142.94999999999999</v>
      </c>
      <c r="AB551" t="str">
        <f>IF(Table8[[#This Row],[Supporter_ID]]="","Review - missing supporter ID","")</f>
        <v>Review - missing supporter ID</v>
      </c>
      <c r="AC551" t="str">
        <f>IF(OR(Table8[[#This Row],[Response_Date]]&lt;Table8[[#This Row],[Start_Date]],Table8[[#This Row],[Response_Date]]&gt;Table8[[#This Row],[End_Date]]),"Review - response outside campaign dates","")</f>
        <v/>
      </c>
      <c r="AD551" t="str">
        <f>IF(Table8[[#This Row],[Campaign_Type]]="","Review - campaign code not found","")</f>
        <v/>
      </c>
    </row>
    <row r="552" spans="1:30" x14ac:dyDescent="0.25">
      <c r="A552" t="s">
        <v>4291</v>
      </c>
      <c r="B552" t="s">
        <v>1153</v>
      </c>
      <c r="C552" t="s">
        <v>3427</v>
      </c>
      <c r="D552" t="s">
        <v>3428</v>
      </c>
      <c r="E552" t="s">
        <v>4</v>
      </c>
      <c r="F552" s="17">
        <v>45488</v>
      </c>
      <c r="G552">
        <v>17.32</v>
      </c>
      <c r="H552" t="s">
        <v>37</v>
      </c>
      <c r="I552" t="s">
        <v>3323</v>
      </c>
      <c r="J552" t="str">
        <f>_xlfn.XLOOKUP(Table8[[#This Row],[Supporter_ID]],tb1_supporters[Supporter_ID ],tb1_supporters[Segment],"")</f>
        <v>Regular Giver</v>
      </c>
      <c r="K552" t="str">
        <f>_xlfn.XLOOKUP(Table8[[#This Row],[Supporter_ID]],tb1_supporters[Supporter_ID ],tb1_supporters[Acquisition_Source],"")</f>
        <v>Direct Mail</v>
      </c>
      <c r="L552" t="str">
        <f>_xlfn.XLOOKUP(Table8[[#This Row],[Supporter_ID]],tb1_supporters[Supporter_ID ],tb1_supporters[County],"")</f>
        <v>Devon</v>
      </c>
      <c r="M552" t="str">
        <f>_xlfn.XLOOKUP(Table8[[#This Row],[Supporter_ID]],tb1_supporters[Supporter_ID ],tb1_supporters[Gender],"")</f>
        <v>Female</v>
      </c>
      <c r="N552">
        <f ca="1">_xlfn.XLOOKUP(Table8[[#This Row],[Supporter_ID]],tb1_supporters[Supporter_ID ],tb1_supporters[Age],"")</f>
        <v>29</v>
      </c>
      <c r="O552" t="str">
        <f ca="1">_xlfn.XLOOKUP(Table8[[#This Row],[Supporter_ID]],tb1_supporters[Supporter_ID ],tb1_supporters[Age_Band],"")</f>
        <v>18-34</v>
      </c>
      <c r="P552" t="str">
        <f ca="1">IF(Table8[[#This Row],[Age_Band]]="","Unknown",Table8[[#This Row],[Age_Band]])</f>
        <v>18-34</v>
      </c>
      <c r="Q552" t="str">
        <f>_xlfn.XLOOKUP(Table8[[#This Row],[Supporter_ID]],tb1_supporters[Supporter_ID ],tb1_supporters[Communication_Preference],"")</f>
        <v>Email</v>
      </c>
      <c r="R552" t="str">
        <f>_xlfn.XLOOKUP(Table8[[#This Row],[Supporter_ID]],tb1_supporters[Supporter_ID ],tb1_supporters[Duplicate_Profile_Flag],"")</f>
        <v/>
      </c>
      <c r="S552" t="str">
        <f>_xlfn.XLOOKUP(Table8[[#This Row],[Supporter_ID]],tb1_supporters[Supporter_ID ],tb1_supporters[Preference_Compliance_Flag],"")</f>
        <v/>
      </c>
      <c r="T552" t="str">
        <f ca="1">IF(Table8[[#This Row],[Age]]="","Review - missing DOB",IF(Table8[[#This Row],[Age]]&gt;TODAY(),"Review - future DOB",IF(Table8[[#This Row],[Age]]=0,"Review -  potential entry error (age 0)","")))</f>
        <v/>
      </c>
      <c r="U552" t="str">
        <f>_xlfn.XLOOKUP(Table8[[#This Row],[Campaign_Code]],tb3_CampaignMaster[Campaign_Code],tb3_CampaignMaster[Campaign_Type],"")</f>
        <v>Event</v>
      </c>
      <c r="V552" t="str">
        <f>_xlfn.XLOOKUP(Table8[[#This Row],[Campaign_Code]],tb3_CampaignMaster[Campaign_Code],tb3_CampaignMaster[Target_Audience],"")</f>
        <v>Major Donors</v>
      </c>
      <c r="W552" s="17">
        <f>_xlfn.XLOOKUP(Table8[[#This Row],[Campaign_Code]],tb3_CampaignMaster[Campaign_Code],tb3_CampaignMaster[Start_Date],"")</f>
        <v>45488</v>
      </c>
      <c r="X552" s="17">
        <f>_xlfn.XLOOKUP(Table8[[#This Row],[Campaign_Code]],tb3_CampaignMaster[Campaign_Code],tb3_CampaignMaster[End_Date],"")</f>
        <v>45488</v>
      </c>
      <c r="Y552">
        <f>_xlfn.XLOOKUP(Table8[[#This Row],[Campaign_Code]],tb3_CampaignMaster[Campaign_Code],tb3_CampaignMaster[Budget_GBP],"")</f>
        <v>45000</v>
      </c>
      <c r="Z552" t="str">
        <f>_xlfn.XLOOKUP(Table8[[#This Row],[Campaign_Code]],tb3_CampaignMaster[Campaign_Code],tb3_CampaignMaster[Primary_Channel],"")</f>
        <v>Direct Mail</v>
      </c>
      <c r="AA552" s="13">
        <f>IF(Table8[[#This Row],[Gift_Aid_Eligible]]="Yes",Table8[[#This Row],[Gift_Amount]]*1.25,Table8[[#This Row],[Gift_Amount]])</f>
        <v>17.32</v>
      </c>
      <c r="AB552" t="str">
        <f>IF(Table8[[#This Row],[Supporter_ID]]="","Review - missing supporter ID","")</f>
        <v/>
      </c>
      <c r="AC552" t="str">
        <f>IF(OR(Table8[[#This Row],[Response_Date]]&lt;Table8[[#This Row],[Start_Date]],Table8[[#This Row],[Response_Date]]&gt;Table8[[#This Row],[End_Date]]),"Review - response outside campaign dates","")</f>
        <v/>
      </c>
      <c r="AD552" t="str">
        <f>IF(Table8[[#This Row],[Campaign_Type]]="","Review - campaign code not found","")</f>
        <v/>
      </c>
    </row>
    <row r="553" spans="1:30" x14ac:dyDescent="0.25">
      <c r="A553" t="s">
        <v>4292</v>
      </c>
      <c r="B553" t="s">
        <v>1526</v>
      </c>
      <c r="C553" t="s">
        <v>3427</v>
      </c>
      <c r="D553" t="s">
        <v>3428</v>
      </c>
      <c r="E553" t="s">
        <v>65</v>
      </c>
      <c r="F553" s="17">
        <v>45488</v>
      </c>
      <c r="G553">
        <v>81.540000000000006</v>
      </c>
      <c r="H553" t="s">
        <v>36</v>
      </c>
      <c r="I553" t="s">
        <v>3323</v>
      </c>
      <c r="J553" t="str">
        <f>_xlfn.XLOOKUP(Table8[[#This Row],[Supporter_ID]],tb1_supporters[Supporter_ID ],tb1_supporters[Segment],"")</f>
        <v>One-Time Donor</v>
      </c>
      <c r="K553" t="str">
        <f>_xlfn.XLOOKUP(Table8[[#This Row],[Supporter_ID]],tb1_supporters[Supporter_ID ],tb1_supporters[Acquisition_Source],"")</f>
        <v>Telephone</v>
      </c>
      <c r="L553" t="str">
        <f>_xlfn.XLOOKUP(Table8[[#This Row],[Supporter_ID]],tb1_supporters[Supporter_ID ],tb1_supporters[County],"")</f>
        <v>Dorset</v>
      </c>
      <c r="M553" t="str">
        <f>_xlfn.XLOOKUP(Table8[[#This Row],[Supporter_ID]],tb1_supporters[Supporter_ID ],tb1_supporters[Gender],"")</f>
        <v>Male</v>
      </c>
      <c r="N553">
        <f ca="1">_xlfn.XLOOKUP(Table8[[#This Row],[Supporter_ID]],tb1_supporters[Supporter_ID ],tb1_supporters[Age],"")</f>
        <v>73</v>
      </c>
      <c r="O553" t="str">
        <f ca="1">_xlfn.XLOOKUP(Table8[[#This Row],[Supporter_ID]],tb1_supporters[Supporter_ID ],tb1_supporters[Age_Band],"")</f>
        <v>65+</v>
      </c>
      <c r="P553" t="str">
        <f ca="1">IF(Table8[[#This Row],[Age_Band]]="","Unknown",Table8[[#This Row],[Age_Band]])</f>
        <v>65+</v>
      </c>
      <c r="Q553" t="str">
        <f>_xlfn.XLOOKUP(Table8[[#This Row],[Supporter_ID]],tb1_supporters[Supporter_ID ],tb1_supporters[Communication_Preference],"")</f>
        <v>Email</v>
      </c>
      <c r="R553" t="str">
        <f>_xlfn.XLOOKUP(Table8[[#This Row],[Supporter_ID]],tb1_supporters[Supporter_ID ],tb1_supporters[Duplicate_Profile_Flag],"")</f>
        <v/>
      </c>
      <c r="S553" t="str">
        <f>_xlfn.XLOOKUP(Table8[[#This Row],[Supporter_ID]],tb1_supporters[Supporter_ID ],tb1_supporters[Preference_Compliance_Flag],"")</f>
        <v/>
      </c>
      <c r="T553" t="str">
        <f ca="1">IF(Table8[[#This Row],[Age]]="","Review - missing DOB",IF(Table8[[#This Row],[Age]]&gt;TODAY(),"Review - future DOB",IF(Table8[[#This Row],[Age]]=0,"Review -  potential entry error (age 0)","")))</f>
        <v/>
      </c>
      <c r="U553" t="str">
        <f>_xlfn.XLOOKUP(Table8[[#This Row],[Campaign_Code]],tb3_CampaignMaster[Campaign_Code],tb3_CampaignMaster[Campaign_Type],"")</f>
        <v>Event</v>
      </c>
      <c r="V553" t="str">
        <f>_xlfn.XLOOKUP(Table8[[#This Row],[Campaign_Code]],tb3_CampaignMaster[Campaign_Code],tb3_CampaignMaster[Target_Audience],"")</f>
        <v>Major Donors</v>
      </c>
      <c r="W553" s="17">
        <f>_xlfn.XLOOKUP(Table8[[#This Row],[Campaign_Code]],tb3_CampaignMaster[Campaign_Code],tb3_CampaignMaster[Start_Date],"")</f>
        <v>45488</v>
      </c>
      <c r="X553" s="17">
        <f>_xlfn.XLOOKUP(Table8[[#This Row],[Campaign_Code]],tb3_CampaignMaster[Campaign_Code],tb3_CampaignMaster[End_Date],"")</f>
        <v>45488</v>
      </c>
      <c r="Y553">
        <f>_xlfn.XLOOKUP(Table8[[#This Row],[Campaign_Code]],tb3_CampaignMaster[Campaign_Code],tb3_CampaignMaster[Budget_GBP],"")</f>
        <v>45000</v>
      </c>
      <c r="Z553" t="str">
        <f>_xlfn.XLOOKUP(Table8[[#This Row],[Campaign_Code]],tb3_CampaignMaster[Campaign_Code],tb3_CampaignMaster[Primary_Channel],"")</f>
        <v>Direct Mail</v>
      </c>
      <c r="AA553" s="13">
        <f>IF(Table8[[#This Row],[Gift_Aid_Eligible]]="Yes",Table8[[#This Row],[Gift_Amount]]*1.25,Table8[[#This Row],[Gift_Amount]])</f>
        <v>101.92500000000001</v>
      </c>
      <c r="AB553" t="str">
        <f>IF(Table8[[#This Row],[Supporter_ID]]="","Review - missing supporter ID","")</f>
        <v/>
      </c>
      <c r="AC553" t="str">
        <f>IF(OR(Table8[[#This Row],[Response_Date]]&lt;Table8[[#This Row],[Start_Date]],Table8[[#This Row],[Response_Date]]&gt;Table8[[#This Row],[End_Date]]),"Review - response outside campaign dates","")</f>
        <v/>
      </c>
      <c r="AD553" t="str">
        <f>IF(Table8[[#This Row],[Campaign_Type]]="","Review - campaign code not found","")</f>
        <v/>
      </c>
    </row>
    <row r="554" spans="1:30" x14ac:dyDescent="0.25">
      <c r="A554" t="s">
        <v>4293</v>
      </c>
      <c r="B554" t="s">
        <v>272</v>
      </c>
      <c r="C554" t="s">
        <v>3320</v>
      </c>
      <c r="D554" t="s">
        <v>3321</v>
      </c>
      <c r="E554" t="s">
        <v>4</v>
      </c>
      <c r="F554" s="17">
        <v>45458</v>
      </c>
      <c r="G554">
        <v>6.73</v>
      </c>
      <c r="H554" t="s">
        <v>36</v>
      </c>
      <c r="I554" t="s">
        <v>3331</v>
      </c>
      <c r="J554" t="str">
        <f>_xlfn.XLOOKUP(Table8[[#This Row],[Supporter_ID]],tb1_supporters[Supporter_ID ],tb1_supporters[Segment],"")</f>
        <v>Prospect</v>
      </c>
      <c r="K554" t="str">
        <f>_xlfn.XLOOKUP(Table8[[#This Row],[Supporter_ID]],tb1_supporters[Supporter_ID ],tb1_supporters[Acquisition_Source],"")</f>
        <v>Door-To-Door</v>
      </c>
      <c r="L554" t="str">
        <f>_xlfn.XLOOKUP(Table8[[#This Row],[Supporter_ID]],tb1_supporters[Supporter_ID ],tb1_supporters[County],"")</f>
        <v>West Glamorgan</v>
      </c>
      <c r="M554" t="str">
        <f>_xlfn.XLOOKUP(Table8[[#This Row],[Supporter_ID]],tb1_supporters[Supporter_ID ],tb1_supporters[Gender],"")</f>
        <v>Female</v>
      </c>
      <c r="N554">
        <f ca="1">_xlfn.XLOOKUP(Table8[[#This Row],[Supporter_ID]],tb1_supporters[Supporter_ID ],tb1_supporters[Age],"")</f>
        <v>68</v>
      </c>
      <c r="O554" t="str">
        <f ca="1">_xlfn.XLOOKUP(Table8[[#This Row],[Supporter_ID]],tb1_supporters[Supporter_ID ],tb1_supporters[Age_Band],"")</f>
        <v>65+</v>
      </c>
      <c r="P554" t="str">
        <f ca="1">IF(Table8[[#This Row],[Age_Band]]="","Unknown",Table8[[#This Row],[Age_Band]])</f>
        <v>65+</v>
      </c>
      <c r="Q554" t="str">
        <f>_xlfn.XLOOKUP(Table8[[#This Row],[Supporter_ID]],tb1_supporters[Supporter_ID ],tb1_supporters[Communication_Preference],"")</f>
        <v>Post</v>
      </c>
      <c r="R554" t="str">
        <f>_xlfn.XLOOKUP(Table8[[#This Row],[Supporter_ID]],tb1_supporters[Supporter_ID ],tb1_supporters[Duplicate_Profile_Flag],"")</f>
        <v>Review - duplicate record, see Supporter_Duplicates tab</v>
      </c>
      <c r="S554" t="str">
        <f>_xlfn.XLOOKUP(Table8[[#This Row],[Supporter_ID]],tb1_supporters[Supporter_ID ],tb1_supporters[Preference_Compliance_Flag],"")</f>
        <v/>
      </c>
      <c r="T554" t="str">
        <f ca="1">IF(Table8[[#This Row],[Age]]="","Review - missing DOB",IF(Table8[[#This Row],[Age]]&gt;TODAY(),"Review - future DOB",IF(Table8[[#This Row],[Age]]=0,"Review -  potential entry error (age 0)","")))</f>
        <v/>
      </c>
      <c r="U554" t="str">
        <f>_xlfn.XLOOKUP(Table8[[#This Row],[Campaign_Code]],tb3_CampaignMaster[Campaign_Code],tb3_CampaignMaster[Campaign_Type],"")</f>
        <v>Stewardship</v>
      </c>
      <c r="V554" t="str">
        <f>_xlfn.XLOOKUP(Table8[[#This Row],[Campaign_Code]],tb3_CampaignMaster[Campaign_Code],tb3_CampaignMaster[Target_Audience],"")</f>
        <v>Major Donors</v>
      </c>
      <c r="W554" s="17">
        <f>_xlfn.XLOOKUP(Table8[[#This Row],[Campaign_Code]],tb3_CampaignMaster[Campaign_Code],tb3_CampaignMaster[Start_Date],"")</f>
        <v>45444</v>
      </c>
      <c r="X554" s="17">
        <f>_xlfn.XLOOKUP(Table8[[#This Row],[Campaign_Code]],tb3_CampaignMaster[Campaign_Code],tb3_CampaignMaster[End_Date],"")</f>
        <v>45473</v>
      </c>
      <c r="Y554">
        <f>_xlfn.XLOOKUP(Table8[[#This Row],[Campaign_Code]],tb3_CampaignMaster[Campaign_Code],tb3_CampaignMaster[Budget_GBP],"")</f>
        <v>7000</v>
      </c>
      <c r="Z554" t="str">
        <f>_xlfn.XLOOKUP(Table8[[#This Row],[Campaign_Code]],tb3_CampaignMaster[Campaign_Code],tb3_CampaignMaster[Primary_Channel],"")</f>
        <v>Direct Mail</v>
      </c>
      <c r="AA554" s="13">
        <f>IF(Table8[[#This Row],[Gift_Aid_Eligible]]="Yes",Table8[[#This Row],[Gift_Amount]]*1.25,Table8[[#This Row],[Gift_Amount]])</f>
        <v>8.4125000000000014</v>
      </c>
      <c r="AB554" t="str">
        <f>IF(Table8[[#This Row],[Supporter_ID]]="","Review - missing supporter ID","")</f>
        <v/>
      </c>
      <c r="AC554" t="str">
        <f>IF(OR(Table8[[#This Row],[Response_Date]]&lt;Table8[[#This Row],[Start_Date]],Table8[[#This Row],[Response_Date]]&gt;Table8[[#This Row],[End_Date]]),"Review - response outside campaign dates","")</f>
        <v/>
      </c>
      <c r="AD554" t="str">
        <f>IF(Table8[[#This Row],[Campaign_Type]]="","Review - campaign code not found","")</f>
        <v/>
      </c>
    </row>
    <row r="555" spans="1:30" x14ac:dyDescent="0.25">
      <c r="A555" t="s">
        <v>4295</v>
      </c>
      <c r="B555" t="s">
        <v>3159</v>
      </c>
      <c r="C555" t="s">
        <v>3427</v>
      </c>
      <c r="D555" t="s">
        <v>3428</v>
      </c>
      <c r="E555" t="s">
        <v>65</v>
      </c>
      <c r="F555" s="17">
        <v>45488</v>
      </c>
      <c r="G555">
        <v>4950.67</v>
      </c>
      <c r="H555" t="s">
        <v>36</v>
      </c>
      <c r="I555" t="s">
        <v>3328</v>
      </c>
      <c r="J555" t="str">
        <f>_xlfn.XLOOKUP(Table8[[#This Row],[Supporter_ID]],tb1_supporters[Supporter_ID ],tb1_supporters[Segment],"")</f>
        <v>Major Donor</v>
      </c>
      <c r="K555" t="str">
        <f>_xlfn.XLOOKUP(Table8[[#This Row],[Supporter_ID]],tb1_supporters[Supporter_ID ],tb1_supporters[Acquisition_Source],"")</f>
        <v>Telephone</v>
      </c>
      <c r="L555" t="str">
        <f>_xlfn.XLOOKUP(Table8[[#This Row],[Supporter_ID]],tb1_supporters[Supporter_ID ],tb1_supporters[County],"")</f>
        <v>Oxfordshire</v>
      </c>
      <c r="M555" t="str">
        <f>_xlfn.XLOOKUP(Table8[[#This Row],[Supporter_ID]],tb1_supporters[Supporter_ID ],tb1_supporters[Gender],"")</f>
        <v>Male</v>
      </c>
      <c r="N555">
        <f ca="1">_xlfn.XLOOKUP(Table8[[#This Row],[Supporter_ID]],tb1_supporters[Supporter_ID ],tb1_supporters[Age],"")</f>
        <v>46</v>
      </c>
      <c r="O555" t="str">
        <f ca="1">_xlfn.XLOOKUP(Table8[[#This Row],[Supporter_ID]],tb1_supporters[Supporter_ID ],tb1_supporters[Age_Band],"")</f>
        <v>35-49</v>
      </c>
      <c r="P555" t="str">
        <f ca="1">IF(Table8[[#This Row],[Age_Band]]="","Unknown",Table8[[#This Row],[Age_Band]])</f>
        <v>35-49</v>
      </c>
      <c r="Q555" t="str">
        <f>_xlfn.XLOOKUP(Table8[[#This Row],[Supporter_ID]],tb1_supporters[Supporter_ID ],tb1_supporters[Communication_Preference],"")</f>
        <v>Post</v>
      </c>
      <c r="R555" t="str">
        <f>_xlfn.XLOOKUP(Table8[[#This Row],[Supporter_ID]],tb1_supporters[Supporter_ID ],tb1_supporters[Duplicate_Profile_Flag],"")</f>
        <v/>
      </c>
      <c r="S555" t="str">
        <f>_xlfn.XLOOKUP(Table8[[#This Row],[Supporter_ID]],tb1_supporters[Supporter_ID ],tb1_supporters[Preference_Compliance_Flag],"")</f>
        <v/>
      </c>
      <c r="T555" t="str">
        <f ca="1">IF(Table8[[#This Row],[Age]]="","Review - missing DOB",IF(Table8[[#This Row],[Age]]&gt;TODAY(),"Review - future DOB",IF(Table8[[#This Row],[Age]]=0,"Review -  potential entry error (age 0)","")))</f>
        <v/>
      </c>
      <c r="U555" t="str">
        <f>_xlfn.XLOOKUP(Table8[[#This Row],[Campaign_Code]],tb3_CampaignMaster[Campaign_Code],tb3_CampaignMaster[Campaign_Type],"")</f>
        <v>Event</v>
      </c>
      <c r="V555" t="str">
        <f>_xlfn.XLOOKUP(Table8[[#This Row],[Campaign_Code]],tb3_CampaignMaster[Campaign_Code],tb3_CampaignMaster[Target_Audience],"")</f>
        <v>Major Donors</v>
      </c>
      <c r="W555" s="17">
        <f>_xlfn.XLOOKUP(Table8[[#This Row],[Campaign_Code]],tb3_CampaignMaster[Campaign_Code],tb3_CampaignMaster[Start_Date],"")</f>
        <v>45488</v>
      </c>
      <c r="X555" s="17">
        <f>_xlfn.XLOOKUP(Table8[[#This Row],[Campaign_Code]],tb3_CampaignMaster[Campaign_Code],tb3_CampaignMaster[End_Date],"")</f>
        <v>45488</v>
      </c>
      <c r="Y555">
        <f>_xlfn.XLOOKUP(Table8[[#This Row],[Campaign_Code]],tb3_CampaignMaster[Campaign_Code],tb3_CampaignMaster[Budget_GBP],"")</f>
        <v>45000</v>
      </c>
      <c r="Z555" t="str">
        <f>_xlfn.XLOOKUP(Table8[[#This Row],[Campaign_Code]],tb3_CampaignMaster[Campaign_Code],tb3_CampaignMaster[Primary_Channel],"")</f>
        <v>Direct Mail</v>
      </c>
      <c r="AA555" s="13">
        <f>IF(Table8[[#This Row],[Gift_Aid_Eligible]]="Yes",Table8[[#This Row],[Gift_Amount]]*1.25,Table8[[#This Row],[Gift_Amount]])</f>
        <v>6188.3374999999996</v>
      </c>
      <c r="AB555" t="str">
        <f>IF(Table8[[#This Row],[Supporter_ID]]="","Review - missing supporter ID","")</f>
        <v/>
      </c>
      <c r="AC555" t="str">
        <f>IF(OR(Table8[[#This Row],[Response_Date]]&lt;Table8[[#This Row],[Start_Date]],Table8[[#This Row],[Response_Date]]&gt;Table8[[#This Row],[End_Date]]),"Review - response outside campaign dates","")</f>
        <v/>
      </c>
      <c r="AD555" t="str">
        <f>IF(Table8[[#This Row],[Campaign_Type]]="","Review - campaign code not found","")</f>
        <v/>
      </c>
    </row>
    <row r="556" spans="1:30" x14ac:dyDescent="0.25">
      <c r="A556" t="s">
        <v>4296</v>
      </c>
      <c r="B556" t="s">
        <v>1526</v>
      </c>
      <c r="C556" t="s">
        <v>3341</v>
      </c>
      <c r="D556" t="s">
        <v>3342</v>
      </c>
      <c r="E556" t="s">
        <v>4</v>
      </c>
      <c r="F556" s="17">
        <v>45765</v>
      </c>
      <c r="G556">
        <v>24.43</v>
      </c>
      <c r="H556" t="s">
        <v>37</v>
      </c>
      <c r="I556" t="s">
        <v>3370</v>
      </c>
      <c r="J556" t="str">
        <f>_xlfn.XLOOKUP(Table8[[#This Row],[Supporter_ID]],tb1_supporters[Supporter_ID ],tb1_supporters[Segment],"")</f>
        <v>One-Time Donor</v>
      </c>
      <c r="K556" t="str">
        <f>_xlfn.XLOOKUP(Table8[[#This Row],[Supporter_ID]],tb1_supporters[Supporter_ID ],tb1_supporters[Acquisition_Source],"")</f>
        <v>Telephone</v>
      </c>
      <c r="L556" t="str">
        <f>_xlfn.XLOOKUP(Table8[[#This Row],[Supporter_ID]],tb1_supporters[Supporter_ID ],tb1_supporters[County],"")</f>
        <v>Dorset</v>
      </c>
      <c r="M556" t="str">
        <f>_xlfn.XLOOKUP(Table8[[#This Row],[Supporter_ID]],tb1_supporters[Supporter_ID ],tb1_supporters[Gender],"")</f>
        <v>Male</v>
      </c>
      <c r="N556">
        <f ca="1">_xlfn.XLOOKUP(Table8[[#This Row],[Supporter_ID]],tb1_supporters[Supporter_ID ],tb1_supporters[Age],"")</f>
        <v>73</v>
      </c>
      <c r="O556" t="str">
        <f ca="1">_xlfn.XLOOKUP(Table8[[#This Row],[Supporter_ID]],tb1_supporters[Supporter_ID ],tb1_supporters[Age_Band],"")</f>
        <v>65+</v>
      </c>
      <c r="P556" t="str">
        <f ca="1">IF(Table8[[#This Row],[Age_Band]]="","Unknown",Table8[[#This Row],[Age_Band]])</f>
        <v>65+</v>
      </c>
      <c r="Q556" t="str">
        <f>_xlfn.XLOOKUP(Table8[[#This Row],[Supporter_ID]],tb1_supporters[Supporter_ID ],tb1_supporters[Communication_Preference],"")</f>
        <v>Email</v>
      </c>
      <c r="R556" t="str">
        <f>_xlfn.XLOOKUP(Table8[[#This Row],[Supporter_ID]],tb1_supporters[Supporter_ID ],tb1_supporters[Duplicate_Profile_Flag],"")</f>
        <v/>
      </c>
      <c r="S556" t="str">
        <f>_xlfn.XLOOKUP(Table8[[#This Row],[Supporter_ID]],tb1_supporters[Supporter_ID ],tb1_supporters[Preference_Compliance_Flag],"")</f>
        <v/>
      </c>
      <c r="T556" t="str">
        <f ca="1">IF(Table8[[#This Row],[Age]]="","Review - missing DOB",IF(Table8[[#This Row],[Age]]&gt;TODAY(),"Review - future DOB",IF(Table8[[#This Row],[Age]]=0,"Review -  potential entry error (age 0)","")))</f>
        <v/>
      </c>
      <c r="U556" t="str">
        <f>_xlfn.XLOOKUP(Table8[[#This Row],[Campaign_Code]],tb3_CampaignMaster[Campaign_Code],tb3_CampaignMaster[Campaign_Type],"")</f>
        <v>Acquisition</v>
      </c>
      <c r="V556" t="str">
        <f>_xlfn.XLOOKUP(Table8[[#This Row],[Campaign_Code]],tb3_CampaignMaster[Campaign_Code],tb3_CampaignMaster[Target_Audience],"")</f>
        <v>Prospects</v>
      </c>
      <c r="W556" s="17">
        <f>_xlfn.XLOOKUP(Table8[[#This Row],[Campaign_Code]],tb3_CampaignMaster[Campaign_Code],tb3_CampaignMaster[Start_Date],"")</f>
        <v>45689</v>
      </c>
      <c r="X556" s="17">
        <f>_xlfn.XLOOKUP(Table8[[#This Row],[Campaign_Code]],tb3_CampaignMaster[Campaign_Code],tb3_CampaignMaster[End_Date],"")</f>
        <v>45777</v>
      </c>
      <c r="Y556">
        <f>_xlfn.XLOOKUP(Table8[[#This Row],[Campaign_Code]],tb3_CampaignMaster[Campaign_Code],tb3_CampaignMaster[Budget_GBP],"")</f>
        <v>20000</v>
      </c>
      <c r="Z556" t="str">
        <f>_xlfn.XLOOKUP(Table8[[#This Row],[Campaign_Code]],tb3_CampaignMaster[Campaign_Code],tb3_CampaignMaster[Primary_Channel],"")</f>
        <v>Digital</v>
      </c>
      <c r="AA556" s="13">
        <f>IF(Table8[[#This Row],[Gift_Aid_Eligible]]="Yes",Table8[[#This Row],[Gift_Amount]]*1.25,Table8[[#This Row],[Gift_Amount]])</f>
        <v>24.43</v>
      </c>
      <c r="AB556" t="str">
        <f>IF(Table8[[#This Row],[Supporter_ID]]="","Review - missing supporter ID","")</f>
        <v/>
      </c>
      <c r="AC556" t="str">
        <f>IF(OR(Table8[[#This Row],[Response_Date]]&lt;Table8[[#This Row],[Start_Date]],Table8[[#This Row],[Response_Date]]&gt;Table8[[#This Row],[End_Date]]),"Review - response outside campaign dates","")</f>
        <v/>
      </c>
      <c r="AD556" t="str">
        <f>IF(Table8[[#This Row],[Campaign_Type]]="","Review - campaign code not found","")</f>
        <v/>
      </c>
    </row>
    <row r="557" spans="1:30" x14ac:dyDescent="0.25">
      <c r="A557" t="s">
        <v>4298</v>
      </c>
      <c r="B557" t="s">
        <v>1550</v>
      </c>
      <c r="C557" t="s">
        <v>3325</v>
      </c>
      <c r="D557" t="s">
        <v>3326</v>
      </c>
      <c r="E557" t="s">
        <v>3338</v>
      </c>
      <c r="F557" s="17">
        <v>45651</v>
      </c>
      <c r="G557">
        <v>3571.71</v>
      </c>
      <c r="H557" t="s">
        <v>36</v>
      </c>
      <c r="I557" t="s">
        <v>3334</v>
      </c>
      <c r="J557" t="str">
        <f>_xlfn.XLOOKUP(Table8[[#This Row],[Supporter_ID]],tb1_supporters[Supporter_ID ],tb1_supporters[Segment],"")</f>
        <v>Major Donor</v>
      </c>
      <c r="K557" t="str">
        <f>_xlfn.XLOOKUP(Table8[[#This Row],[Supporter_ID]],tb1_supporters[Supporter_ID ],tb1_supporters[Acquisition_Source],"")</f>
        <v>Website</v>
      </c>
      <c r="L557" t="str">
        <f>_xlfn.XLOOKUP(Table8[[#This Row],[Supporter_ID]],tb1_supporters[Supporter_ID ],tb1_supporters[County],"")</f>
        <v>South Glamorgan</v>
      </c>
      <c r="M557" t="str">
        <f>_xlfn.XLOOKUP(Table8[[#This Row],[Supporter_ID]],tb1_supporters[Supporter_ID ],tb1_supporters[Gender],"")</f>
        <v>Male</v>
      </c>
      <c r="N557" t="str">
        <f ca="1">_xlfn.XLOOKUP(Table8[[#This Row],[Supporter_ID]],tb1_supporters[Supporter_ID ],tb1_supporters[Age],"")</f>
        <v/>
      </c>
      <c r="O557" t="str">
        <f ca="1">_xlfn.XLOOKUP(Table8[[#This Row],[Supporter_ID]],tb1_supporters[Supporter_ID ],tb1_supporters[Age_Band],"")</f>
        <v/>
      </c>
      <c r="P557" t="str">
        <f ca="1">IF(Table8[[#This Row],[Age_Band]]="","Unknown",Table8[[#This Row],[Age_Band]])</f>
        <v>Unknown</v>
      </c>
      <c r="Q557" t="str">
        <f>_xlfn.XLOOKUP(Table8[[#This Row],[Supporter_ID]],tb1_supporters[Supporter_ID ],tb1_supporters[Communication_Preference],"")</f>
        <v>Email</v>
      </c>
      <c r="R557" t="str">
        <f>_xlfn.XLOOKUP(Table8[[#This Row],[Supporter_ID]],tb1_supporters[Supporter_ID ],tb1_supporters[Duplicate_Profile_Flag],"")</f>
        <v/>
      </c>
      <c r="S557" t="str">
        <f>_xlfn.XLOOKUP(Table8[[#This Row],[Supporter_ID]],tb1_supporters[Supporter_ID ],tb1_supporters[Preference_Compliance_Flag],"")</f>
        <v/>
      </c>
      <c r="T557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557" t="str">
        <f>_xlfn.XLOOKUP(Table8[[#This Row],[Campaign_Code]],tb3_CampaignMaster[Campaign_Code],tb3_CampaignMaster[Campaign_Type],"")</f>
        <v>Appeal</v>
      </c>
      <c r="V557" t="str">
        <f>_xlfn.XLOOKUP(Table8[[#This Row],[Campaign_Code]],tb3_CampaignMaster[Campaign_Code],tb3_CampaignMaster[Target_Audience],"")</f>
        <v>All Active</v>
      </c>
      <c r="W557" s="17">
        <f>_xlfn.XLOOKUP(Table8[[#This Row],[Campaign_Code]],tb3_CampaignMaster[Campaign_Code],tb3_CampaignMaster[Start_Date],"")</f>
        <v>45597</v>
      </c>
      <c r="X557" s="17">
        <f>_xlfn.XLOOKUP(Table8[[#This Row],[Campaign_Code]],tb3_CampaignMaster[Campaign_Code],tb3_CampaignMaster[End_Date],"")</f>
        <v>45657</v>
      </c>
      <c r="Y557">
        <f>_xlfn.XLOOKUP(Table8[[#This Row],[Campaign_Code]],tb3_CampaignMaster[Campaign_Code],tb3_CampaignMaster[Budget_GBP],"")</f>
        <v>25000</v>
      </c>
      <c r="Z557" t="str">
        <f>_xlfn.XLOOKUP(Table8[[#This Row],[Campaign_Code]],tb3_CampaignMaster[Campaign_Code],tb3_CampaignMaster[Primary_Channel],"")</f>
        <v>Multi-channel</v>
      </c>
      <c r="AA557" s="13">
        <f>IF(Table8[[#This Row],[Gift_Aid_Eligible]]="Yes",Table8[[#This Row],[Gift_Amount]]*1.25,Table8[[#This Row],[Gift_Amount]])</f>
        <v>4464.6374999999998</v>
      </c>
      <c r="AB557" t="str">
        <f>IF(Table8[[#This Row],[Supporter_ID]]="","Review - missing supporter ID","")</f>
        <v/>
      </c>
      <c r="AC557" t="str">
        <f>IF(OR(Table8[[#This Row],[Response_Date]]&lt;Table8[[#This Row],[Start_Date]],Table8[[#This Row],[Response_Date]]&gt;Table8[[#This Row],[End_Date]]),"Review - response outside campaign dates","")</f>
        <v/>
      </c>
      <c r="AD557" t="str">
        <f>IF(Table8[[#This Row],[Campaign_Type]]="","Review - campaign code not found","")</f>
        <v/>
      </c>
    </row>
    <row r="558" spans="1:30" x14ac:dyDescent="0.25">
      <c r="A558" t="s">
        <v>4300</v>
      </c>
      <c r="B558" t="s">
        <v>3106</v>
      </c>
      <c r="C558" t="s">
        <v>3354</v>
      </c>
      <c r="D558" t="s">
        <v>3355</v>
      </c>
      <c r="E558" t="s">
        <v>4</v>
      </c>
      <c r="F558" s="17">
        <v>45618</v>
      </c>
      <c r="G558">
        <v>298.57</v>
      </c>
      <c r="H558" t="s">
        <v>37</v>
      </c>
      <c r="I558" t="s">
        <v>3331</v>
      </c>
      <c r="J558" t="str">
        <f>_xlfn.XLOOKUP(Table8[[#This Row],[Supporter_ID]],tb1_supporters[Supporter_ID ],tb1_supporters[Segment],"")</f>
        <v>Legacy Pledger</v>
      </c>
      <c r="K558" t="str">
        <f>_xlfn.XLOOKUP(Table8[[#This Row],[Supporter_ID]],tb1_supporters[Supporter_ID ],tb1_supporters[Acquisition_Source],"")</f>
        <v>Referral</v>
      </c>
      <c r="L558" t="str">
        <f>_xlfn.XLOOKUP(Table8[[#This Row],[Supporter_ID]],tb1_supporters[Supporter_ID ],tb1_supporters[County],"")</f>
        <v>West Yorkshire</v>
      </c>
      <c r="M558" t="str">
        <f>_xlfn.XLOOKUP(Table8[[#This Row],[Supporter_ID]],tb1_supporters[Supporter_ID ],tb1_supporters[Gender],"")</f>
        <v>Male</v>
      </c>
      <c r="N558">
        <f ca="1">_xlfn.XLOOKUP(Table8[[#This Row],[Supporter_ID]],tb1_supporters[Supporter_ID ],tb1_supporters[Age],"")</f>
        <v>54</v>
      </c>
      <c r="O558" t="str">
        <f ca="1">_xlfn.XLOOKUP(Table8[[#This Row],[Supporter_ID]],tb1_supporters[Supporter_ID ],tb1_supporters[Age_Band],"")</f>
        <v>50-64</v>
      </c>
      <c r="P558" t="str">
        <f ca="1">IF(Table8[[#This Row],[Age_Band]]="","Unknown",Table8[[#This Row],[Age_Band]])</f>
        <v>50-64</v>
      </c>
      <c r="Q558" t="str">
        <f>_xlfn.XLOOKUP(Table8[[#This Row],[Supporter_ID]],tb1_supporters[Supporter_ID ],tb1_supporters[Communication_Preference],"")</f>
        <v>Email</v>
      </c>
      <c r="R558" t="str">
        <f>_xlfn.XLOOKUP(Table8[[#This Row],[Supporter_ID]],tb1_supporters[Supporter_ID ],tb1_supporters[Duplicate_Profile_Flag],"")</f>
        <v/>
      </c>
      <c r="S558" t="str">
        <f>_xlfn.XLOOKUP(Table8[[#This Row],[Supporter_ID]],tb1_supporters[Supporter_ID ],tb1_supporters[Preference_Compliance_Flag],"")</f>
        <v>Review - prefers email but not opted in</v>
      </c>
      <c r="T558" t="str">
        <f ca="1">IF(Table8[[#This Row],[Age]]="","Review - missing DOB",IF(Table8[[#This Row],[Age]]&gt;TODAY(),"Review - future DOB",IF(Table8[[#This Row],[Age]]=0,"Review -  potential entry error (age 0)","")))</f>
        <v/>
      </c>
      <c r="U558" t="str">
        <f>_xlfn.XLOOKUP(Table8[[#This Row],[Campaign_Code]],tb3_CampaignMaster[Campaign_Code],tb3_CampaignMaster[Campaign_Type],"")</f>
        <v>Event</v>
      </c>
      <c r="V558" t="str">
        <f>_xlfn.XLOOKUP(Table8[[#This Row],[Campaign_Code]],tb3_CampaignMaster[Campaign_Code],tb3_CampaignMaster[Target_Audience],"")</f>
        <v>Volunteers</v>
      </c>
      <c r="W558" s="17">
        <f>_xlfn.XLOOKUP(Table8[[#This Row],[Campaign_Code]],tb3_CampaignMaster[Campaign_Code],tb3_CampaignMaster[Start_Date],"")</f>
        <v>45618</v>
      </c>
      <c r="X558" s="17">
        <f>_xlfn.XLOOKUP(Table8[[#This Row],[Campaign_Code]],tb3_CampaignMaster[Campaign_Code],tb3_CampaignMaster[End_Date],"")</f>
        <v>45618</v>
      </c>
      <c r="Y558">
        <f>_xlfn.XLOOKUP(Table8[[#This Row],[Campaign_Code]],tb3_CampaignMaster[Campaign_Code],tb3_CampaignMaster[Budget_GBP],"")</f>
        <v>3500</v>
      </c>
      <c r="Z558" t="str">
        <f>_xlfn.XLOOKUP(Table8[[#This Row],[Campaign_Code]],tb3_CampaignMaster[Campaign_Code],tb3_CampaignMaster[Primary_Channel],"")</f>
        <v>Email</v>
      </c>
      <c r="AA558" s="13">
        <f>IF(Table8[[#This Row],[Gift_Aid_Eligible]]="Yes",Table8[[#This Row],[Gift_Amount]]*1.25,Table8[[#This Row],[Gift_Amount]])</f>
        <v>298.57</v>
      </c>
      <c r="AB558" t="str">
        <f>IF(Table8[[#This Row],[Supporter_ID]]="","Review - missing supporter ID","")</f>
        <v/>
      </c>
      <c r="AC558" t="str">
        <f>IF(OR(Table8[[#This Row],[Response_Date]]&lt;Table8[[#This Row],[Start_Date]],Table8[[#This Row],[Response_Date]]&gt;Table8[[#This Row],[End_Date]]),"Review - response outside campaign dates","")</f>
        <v/>
      </c>
      <c r="AD558" t="str">
        <f>IF(Table8[[#This Row],[Campaign_Type]]="","Review - campaign code not found","")</f>
        <v/>
      </c>
    </row>
    <row r="559" spans="1:30" x14ac:dyDescent="0.25">
      <c r="A559" t="s">
        <v>4301</v>
      </c>
      <c r="B559" t="s">
        <v>1643</v>
      </c>
      <c r="C559" t="s">
        <v>3354</v>
      </c>
      <c r="D559" t="s">
        <v>3355</v>
      </c>
      <c r="E559" t="s">
        <v>65</v>
      </c>
      <c r="F559" s="17">
        <v>45618</v>
      </c>
      <c r="G559">
        <v>4793.99</v>
      </c>
      <c r="H559" t="s">
        <v>36</v>
      </c>
      <c r="I559" t="s">
        <v>3334</v>
      </c>
      <c r="J559" t="str">
        <f>_xlfn.XLOOKUP(Table8[[#This Row],[Supporter_ID]],tb1_supporters[Supporter_ID ],tb1_supporters[Segment],"")</f>
        <v>Major Donor</v>
      </c>
      <c r="K559" t="str">
        <f>_xlfn.XLOOKUP(Table8[[#This Row],[Supporter_ID]],tb1_supporters[Supporter_ID ],tb1_supporters[Acquisition_Source],"")</f>
        <v>Direct Mail</v>
      </c>
      <c r="L559" t="str">
        <f>_xlfn.XLOOKUP(Table8[[#This Row],[Supporter_ID]],tb1_supporters[Supporter_ID ],tb1_supporters[County],"")</f>
        <v>Hampshire</v>
      </c>
      <c r="M559" t="str">
        <f>_xlfn.XLOOKUP(Table8[[#This Row],[Supporter_ID]],tb1_supporters[Supporter_ID ],tb1_supporters[Gender],"")</f>
        <v>Male</v>
      </c>
      <c r="N559">
        <f ca="1">_xlfn.XLOOKUP(Table8[[#This Row],[Supporter_ID]],tb1_supporters[Supporter_ID ],tb1_supporters[Age],"")</f>
        <v>22</v>
      </c>
      <c r="O559" t="str">
        <f ca="1">_xlfn.XLOOKUP(Table8[[#This Row],[Supporter_ID]],tb1_supporters[Supporter_ID ],tb1_supporters[Age_Band],"")</f>
        <v>18-34</v>
      </c>
      <c r="P559" t="str">
        <f ca="1">IF(Table8[[#This Row],[Age_Band]]="","Unknown",Table8[[#This Row],[Age_Band]])</f>
        <v>18-34</v>
      </c>
      <c r="Q559" t="str">
        <f>_xlfn.XLOOKUP(Table8[[#This Row],[Supporter_ID]],tb1_supporters[Supporter_ID ],tb1_supporters[Communication_Preference],"")</f>
        <v>Do Not Contact</v>
      </c>
      <c r="R559" t="str">
        <f>_xlfn.XLOOKUP(Table8[[#This Row],[Supporter_ID]],tb1_supporters[Supporter_ID ],tb1_supporters[Duplicate_Profile_Flag],"")</f>
        <v/>
      </c>
      <c r="S559" t="str">
        <f>_xlfn.XLOOKUP(Table8[[#This Row],[Supporter_ID]],tb1_supporters[Supporter_ID ],tb1_supporters[Preference_Compliance_Flag],"")</f>
        <v/>
      </c>
      <c r="T559" t="str">
        <f ca="1">IF(Table8[[#This Row],[Age]]="","Review - missing DOB",IF(Table8[[#This Row],[Age]]&gt;TODAY(),"Review - future DOB",IF(Table8[[#This Row],[Age]]=0,"Review -  potential entry error (age 0)","")))</f>
        <v/>
      </c>
      <c r="U559" t="str">
        <f>_xlfn.XLOOKUP(Table8[[#This Row],[Campaign_Code]],tb3_CampaignMaster[Campaign_Code],tb3_CampaignMaster[Campaign_Type],"")</f>
        <v>Event</v>
      </c>
      <c r="V559" t="str">
        <f>_xlfn.XLOOKUP(Table8[[#This Row],[Campaign_Code]],tb3_CampaignMaster[Campaign_Code],tb3_CampaignMaster[Target_Audience],"")</f>
        <v>Volunteers</v>
      </c>
      <c r="W559" s="17">
        <f>_xlfn.XLOOKUP(Table8[[#This Row],[Campaign_Code]],tb3_CampaignMaster[Campaign_Code],tb3_CampaignMaster[Start_Date],"")</f>
        <v>45618</v>
      </c>
      <c r="X559" s="17">
        <f>_xlfn.XLOOKUP(Table8[[#This Row],[Campaign_Code]],tb3_CampaignMaster[Campaign_Code],tb3_CampaignMaster[End_Date],"")</f>
        <v>45618</v>
      </c>
      <c r="Y559">
        <f>_xlfn.XLOOKUP(Table8[[#This Row],[Campaign_Code]],tb3_CampaignMaster[Campaign_Code],tb3_CampaignMaster[Budget_GBP],"")</f>
        <v>3500</v>
      </c>
      <c r="Z559" t="str">
        <f>_xlfn.XLOOKUP(Table8[[#This Row],[Campaign_Code]],tb3_CampaignMaster[Campaign_Code],tb3_CampaignMaster[Primary_Channel],"")</f>
        <v>Email</v>
      </c>
      <c r="AA559" s="13">
        <f>IF(Table8[[#This Row],[Gift_Aid_Eligible]]="Yes",Table8[[#This Row],[Gift_Amount]]*1.25,Table8[[#This Row],[Gift_Amount]])</f>
        <v>5992.4874999999993</v>
      </c>
      <c r="AB559" t="str">
        <f>IF(Table8[[#This Row],[Supporter_ID]]="","Review - missing supporter ID","")</f>
        <v/>
      </c>
      <c r="AC559" t="str">
        <f>IF(OR(Table8[[#This Row],[Response_Date]]&lt;Table8[[#This Row],[Start_Date]],Table8[[#This Row],[Response_Date]]&gt;Table8[[#This Row],[End_Date]]),"Review - response outside campaign dates","")</f>
        <v/>
      </c>
      <c r="AD559" t="str">
        <f>IF(Table8[[#This Row],[Campaign_Type]]="","Review - campaign code not found","")</f>
        <v/>
      </c>
    </row>
    <row r="560" spans="1:30" x14ac:dyDescent="0.25">
      <c r="A560" t="s">
        <v>4302</v>
      </c>
      <c r="B560" t="s">
        <v>2638</v>
      </c>
      <c r="C560" t="s">
        <v>3314</v>
      </c>
      <c r="D560" t="s">
        <v>3315</v>
      </c>
      <c r="E560" t="s">
        <v>3316</v>
      </c>
      <c r="F560" s="17">
        <v>45739</v>
      </c>
      <c r="G560">
        <v>276.51</v>
      </c>
      <c r="H560" t="s">
        <v>36</v>
      </c>
      <c r="I560" t="s">
        <v>3328</v>
      </c>
      <c r="J560" t="str">
        <f>_xlfn.XLOOKUP(Table8[[#This Row],[Supporter_ID]],tb1_supporters[Supporter_ID ],tb1_supporters[Segment],"")</f>
        <v>Legacy Pledger</v>
      </c>
      <c r="K560" t="str">
        <f>_xlfn.XLOOKUP(Table8[[#This Row],[Supporter_ID]],tb1_supporters[Supporter_ID ],tb1_supporters[Acquisition_Source],"")</f>
        <v>Website</v>
      </c>
      <c r="L560" t="str">
        <f>_xlfn.XLOOKUP(Table8[[#This Row],[Supporter_ID]],tb1_supporters[Supporter_ID ],tb1_supporters[County],"")</f>
        <v>Hampshire</v>
      </c>
      <c r="M560" t="str">
        <f>_xlfn.XLOOKUP(Table8[[#This Row],[Supporter_ID]],tb1_supporters[Supporter_ID ],tb1_supporters[Gender],"")</f>
        <v>Male</v>
      </c>
      <c r="N560">
        <f ca="1">_xlfn.XLOOKUP(Table8[[#This Row],[Supporter_ID]],tb1_supporters[Supporter_ID ],tb1_supporters[Age],"")</f>
        <v>50</v>
      </c>
      <c r="O560" t="str">
        <f ca="1">_xlfn.XLOOKUP(Table8[[#This Row],[Supporter_ID]],tb1_supporters[Supporter_ID ],tb1_supporters[Age_Band],"")</f>
        <v>50-64</v>
      </c>
      <c r="P560" t="str">
        <f ca="1">IF(Table8[[#This Row],[Age_Band]]="","Unknown",Table8[[#This Row],[Age_Band]])</f>
        <v>50-64</v>
      </c>
      <c r="Q560" t="str">
        <f>_xlfn.XLOOKUP(Table8[[#This Row],[Supporter_ID]],tb1_supporters[Supporter_ID ],tb1_supporters[Communication_Preference],"")</f>
        <v>Email</v>
      </c>
      <c r="R560" t="str">
        <f>_xlfn.XLOOKUP(Table8[[#This Row],[Supporter_ID]],tb1_supporters[Supporter_ID ],tb1_supporters[Duplicate_Profile_Flag],"")</f>
        <v/>
      </c>
      <c r="S560" t="str">
        <f>_xlfn.XLOOKUP(Table8[[#This Row],[Supporter_ID]],tb1_supporters[Supporter_ID ],tb1_supporters[Preference_Compliance_Flag],"")</f>
        <v/>
      </c>
      <c r="T560" t="str">
        <f ca="1">IF(Table8[[#This Row],[Age]]="","Review - missing DOB",IF(Table8[[#This Row],[Age]]&gt;TODAY(),"Review - future DOB",IF(Table8[[#This Row],[Age]]=0,"Review -  potential entry error (age 0)","")))</f>
        <v/>
      </c>
      <c r="U560" t="str">
        <f>_xlfn.XLOOKUP(Table8[[#This Row],[Campaign_Code]],tb3_CampaignMaster[Campaign_Code],tb3_CampaignMaster[Campaign_Type],"")</f>
        <v>Regular Giving</v>
      </c>
      <c r="V560" t="str">
        <f>_xlfn.XLOOKUP(Table8[[#This Row],[Campaign_Code]],tb3_CampaignMaster[Campaign_Code],tb3_CampaignMaster[Target_Audience],"")</f>
        <v>One-time Donors</v>
      </c>
      <c r="W560" s="17">
        <f>_xlfn.XLOOKUP(Table8[[#This Row],[Campaign_Code]],tb3_CampaignMaster[Campaign_Code],tb3_CampaignMaster[Start_Date],"")</f>
        <v>45663</v>
      </c>
      <c r="X560" s="17">
        <f>_xlfn.XLOOKUP(Table8[[#This Row],[Campaign_Code]],tb3_CampaignMaster[Campaign_Code],tb3_CampaignMaster[End_Date],"")</f>
        <v>45747</v>
      </c>
      <c r="Y560">
        <f>_xlfn.XLOOKUP(Table8[[#This Row],[Campaign_Code]],tb3_CampaignMaster[Campaign_Code],tb3_CampaignMaster[Budget_GBP],"")</f>
        <v>10000</v>
      </c>
      <c r="Z560" t="str">
        <f>_xlfn.XLOOKUP(Table8[[#This Row],[Campaign_Code]],tb3_CampaignMaster[Campaign_Code],tb3_CampaignMaster[Primary_Channel],"")</f>
        <v>Telephone</v>
      </c>
      <c r="AA560" s="13">
        <f>IF(Table8[[#This Row],[Gift_Aid_Eligible]]="Yes",Table8[[#This Row],[Gift_Amount]]*1.25,Table8[[#This Row],[Gift_Amount]])</f>
        <v>345.63749999999999</v>
      </c>
      <c r="AB560" t="str">
        <f>IF(Table8[[#This Row],[Supporter_ID]]="","Review - missing supporter ID","")</f>
        <v/>
      </c>
      <c r="AC560" t="str">
        <f>IF(OR(Table8[[#This Row],[Response_Date]]&lt;Table8[[#This Row],[Start_Date]],Table8[[#This Row],[Response_Date]]&gt;Table8[[#This Row],[End_Date]]),"Review - response outside campaign dates","")</f>
        <v/>
      </c>
      <c r="AD560" t="str">
        <f>IF(Table8[[#This Row],[Campaign_Type]]="","Review - campaign code not found","")</f>
        <v/>
      </c>
    </row>
    <row r="561" spans="1:30" x14ac:dyDescent="0.25">
      <c r="A561" t="s">
        <v>4304</v>
      </c>
      <c r="B561" t="s">
        <v>1511</v>
      </c>
      <c r="C561" t="s">
        <v>3314</v>
      </c>
      <c r="D561" t="s">
        <v>3315</v>
      </c>
      <c r="E561" t="s">
        <v>33</v>
      </c>
      <c r="F561" s="17">
        <v>45701</v>
      </c>
      <c r="G561">
        <v>65.23</v>
      </c>
      <c r="H561" t="s">
        <v>37</v>
      </c>
      <c r="I561" t="s">
        <v>3334</v>
      </c>
      <c r="J561" t="str">
        <f>_xlfn.XLOOKUP(Table8[[#This Row],[Supporter_ID]],tb1_supporters[Supporter_ID ],tb1_supporters[Segment],"")</f>
        <v>Mid-Value</v>
      </c>
      <c r="K561" t="str">
        <f>_xlfn.XLOOKUP(Table8[[#This Row],[Supporter_ID]],tb1_supporters[Supporter_ID ],tb1_supporters[Acquisition_Source],"")</f>
        <v>Referral</v>
      </c>
      <c r="L561" t="str">
        <f>_xlfn.XLOOKUP(Table8[[#This Row],[Supporter_ID]],tb1_supporters[Supporter_ID ],tb1_supporters[County],"")</f>
        <v>South Yorkshire</v>
      </c>
      <c r="M561" t="str">
        <f>_xlfn.XLOOKUP(Table8[[#This Row],[Supporter_ID]],tb1_supporters[Supporter_ID ],tb1_supporters[Gender],"")</f>
        <v>Female</v>
      </c>
      <c r="N561">
        <f ca="1">_xlfn.XLOOKUP(Table8[[#This Row],[Supporter_ID]],tb1_supporters[Supporter_ID ],tb1_supporters[Age],"")</f>
        <v>64</v>
      </c>
      <c r="O561" t="str">
        <f ca="1">_xlfn.XLOOKUP(Table8[[#This Row],[Supporter_ID]],tb1_supporters[Supporter_ID ],tb1_supporters[Age_Band],"")</f>
        <v>50-64</v>
      </c>
      <c r="P561" t="str">
        <f ca="1">IF(Table8[[#This Row],[Age_Band]]="","Unknown",Table8[[#This Row],[Age_Band]])</f>
        <v>50-64</v>
      </c>
      <c r="Q561" t="str">
        <f>_xlfn.XLOOKUP(Table8[[#This Row],[Supporter_ID]],tb1_supporters[Supporter_ID ],tb1_supporters[Communication_Preference],"")</f>
        <v>Email</v>
      </c>
      <c r="R561" t="str">
        <f>_xlfn.XLOOKUP(Table8[[#This Row],[Supporter_ID]],tb1_supporters[Supporter_ID ],tb1_supporters[Duplicate_Profile_Flag],"")</f>
        <v>Review - duplicate record, see Supporter_Duplicates tab</v>
      </c>
      <c r="S561" t="str">
        <f>_xlfn.XLOOKUP(Table8[[#This Row],[Supporter_ID]],tb1_supporters[Supporter_ID ],tb1_supporters[Preference_Compliance_Flag],"")</f>
        <v/>
      </c>
      <c r="T561" t="str">
        <f ca="1">IF(Table8[[#This Row],[Age]]="","Review - missing DOB",IF(Table8[[#This Row],[Age]]&gt;TODAY(),"Review - future DOB",IF(Table8[[#This Row],[Age]]=0,"Review -  potential entry error (age 0)","")))</f>
        <v/>
      </c>
      <c r="U561" t="str">
        <f>_xlfn.XLOOKUP(Table8[[#This Row],[Campaign_Code]],tb3_CampaignMaster[Campaign_Code],tb3_CampaignMaster[Campaign_Type],"")</f>
        <v>Regular Giving</v>
      </c>
      <c r="V561" t="str">
        <f>_xlfn.XLOOKUP(Table8[[#This Row],[Campaign_Code]],tb3_CampaignMaster[Campaign_Code],tb3_CampaignMaster[Target_Audience],"")</f>
        <v>One-time Donors</v>
      </c>
      <c r="W561" s="17">
        <f>_xlfn.XLOOKUP(Table8[[#This Row],[Campaign_Code]],tb3_CampaignMaster[Campaign_Code],tb3_CampaignMaster[Start_Date],"")</f>
        <v>45663</v>
      </c>
      <c r="X561" s="17">
        <f>_xlfn.XLOOKUP(Table8[[#This Row],[Campaign_Code]],tb3_CampaignMaster[Campaign_Code],tb3_CampaignMaster[End_Date],"")</f>
        <v>45747</v>
      </c>
      <c r="Y561">
        <f>_xlfn.XLOOKUP(Table8[[#This Row],[Campaign_Code]],tb3_CampaignMaster[Campaign_Code],tb3_CampaignMaster[Budget_GBP],"")</f>
        <v>10000</v>
      </c>
      <c r="Z561" t="str">
        <f>_xlfn.XLOOKUP(Table8[[#This Row],[Campaign_Code]],tb3_CampaignMaster[Campaign_Code],tb3_CampaignMaster[Primary_Channel],"")</f>
        <v>Telephone</v>
      </c>
      <c r="AA561" s="13">
        <f>IF(Table8[[#This Row],[Gift_Aid_Eligible]]="Yes",Table8[[#This Row],[Gift_Amount]]*1.25,Table8[[#This Row],[Gift_Amount]])</f>
        <v>65.23</v>
      </c>
      <c r="AB561" t="str">
        <f>IF(Table8[[#This Row],[Supporter_ID]]="","Review - missing supporter ID","")</f>
        <v/>
      </c>
      <c r="AC561" t="str">
        <f>IF(OR(Table8[[#This Row],[Response_Date]]&lt;Table8[[#This Row],[Start_Date]],Table8[[#This Row],[Response_Date]]&gt;Table8[[#This Row],[End_Date]]),"Review - response outside campaign dates","")</f>
        <v/>
      </c>
      <c r="AD561" t="str">
        <f>IF(Table8[[#This Row],[Campaign_Type]]="","Review - campaign code not found","")</f>
        <v/>
      </c>
    </row>
    <row r="562" spans="1:30" x14ac:dyDescent="0.25">
      <c r="A562" t="s">
        <v>4306</v>
      </c>
      <c r="B562" t="s">
        <v>961</v>
      </c>
      <c r="C562" t="s">
        <v>3325</v>
      </c>
      <c r="D562" t="s">
        <v>3326</v>
      </c>
      <c r="E562" t="s">
        <v>65</v>
      </c>
      <c r="F562" s="17">
        <v>45363</v>
      </c>
      <c r="G562">
        <v>47.28</v>
      </c>
      <c r="H562" t="s">
        <v>36</v>
      </c>
      <c r="I562" t="s">
        <v>3331</v>
      </c>
      <c r="J562" t="str">
        <f>_xlfn.XLOOKUP(Table8[[#This Row],[Supporter_ID]],tb1_supporters[Supporter_ID ],tb1_supporters[Segment],"")</f>
        <v>Regular Giver</v>
      </c>
      <c r="K562" t="str">
        <f>_xlfn.XLOOKUP(Table8[[#This Row],[Supporter_ID]],tb1_supporters[Supporter_ID ],tb1_supporters[Acquisition_Source],"")</f>
        <v>Direct Mail</v>
      </c>
      <c r="L562" t="str">
        <f>_xlfn.XLOOKUP(Table8[[#This Row],[Supporter_ID]],tb1_supporters[Supporter_ID ],tb1_supporters[County],"")</f>
        <v>Strathclyde</v>
      </c>
      <c r="M562" t="str">
        <f>_xlfn.XLOOKUP(Table8[[#This Row],[Supporter_ID]],tb1_supporters[Supporter_ID ],tb1_supporters[Gender],"")</f>
        <v>Male</v>
      </c>
      <c r="N562">
        <f ca="1">_xlfn.XLOOKUP(Table8[[#This Row],[Supporter_ID]],tb1_supporters[Supporter_ID ],tb1_supporters[Age],"")</f>
        <v>67</v>
      </c>
      <c r="O562" t="str">
        <f ca="1">_xlfn.XLOOKUP(Table8[[#This Row],[Supporter_ID]],tb1_supporters[Supporter_ID ],tb1_supporters[Age_Band],"")</f>
        <v>65+</v>
      </c>
      <c r="P562" t="str">
        <f ca="1">IF(Table8[[#This Row],[Age_Band]]="","Unknown",Table8[[#This Row],[Age_Band]])</f>
        <v>65+</v>
      </c>
      <c r="Q562" t="str">
        <f>_xlfn.XLOOKUP(Table8[[#This Row],[Supporter_ID]],tb1_supporters[Supporter_ID ],tb1_supporters[Communication_Preference],"")</f>
        <v>Post</v>
      </c>
      <c r="R562" t="str">
        <f>_xlfn.XLOOKUP(Table8[[#This Row],[Supporter_ID]],tb1_supporters[Supporter_ID ],tb1_supporters[Duplicate_Profile_Flag],"")</f>
        <v/>
      </c>
      <c r="S562" t="str">
        <f>_xlfn.XLOOKUP(Table8[[#This Row],[Supporter_ID]],tb1_supporters[Supporter_ID ],tb1_supporters[Preference_Compliance_Flag],"")</f>
        <v/>
      </c>
      <c r="T562" t="str">
        <f ca="1">IF(Table8[[#This Row],[Age]]="","Review - missing DOB",IF(Table8[[#This Row],[Age]]&gt;TODAY(),"Review - future DOB",IF(Table8[[#This Row],[Age]]=0,"Review -  potential entry error (age 0)","")))</f>
        <v/>
      </c>
      <c r="U562" t="str">
        <f>_xlfn.XLOOKUP(Table8[[#This Row],[Campaign_Code]],tb3_CampaignMaster[Campaign_Code],tb3_CampaignMaster[Campaign_Type],"")</f>
        <v>Appeal</v>
      </c>
      <c r="V562" t="str">
        <f>_xlfn.XLOOKUP(Table8[[#This Row],[Campaign_Code]],tb3_CampaignMaster[Campaign_Code],tb3_CampaignMaster[Target_Audience],"")</f>
        <v>All Active</v>
      </c>
      <c r="W562" s="17">
        <f>_xlfn.XLOOKUP(Table8[[#This Row],[Campaign_Code]],tb3_CampaignMaster[Campaign_Code],tb3_CampaignMaster[Start_Date],"")</f>
        <v>45597</v>
      </c>
      <c r="X562" s="17">
        <f>_xlfn.XLOOKUP(Table8[[#This Row],[Campaign_Code]],tb3_CampaignMaster[Campaign_Code],tb3_CampaignMaster[End_Date],"")</f>
        <v>45657</v>
      </c>
      <c r="Y562">
        <f>_xlfn.XLOOKUP(Table8[[#This Row],[Campaign_Code]],tb3_CampaignMaster[Campaign_Code],tb3_CampaignMaster[Budget_GBP],"")</f>
        <v>25000</v>
      </c>
      <c r="Z562" t="str">
        <f>_xlfn.XLOOKUP(Table8[[#This Row],[Campaign_Code]],tb3_CampaignMaster[Campaign_Code],tb3_CampaignMaster[Primary_Channel],"")</f>
        <v>Multi-channel</v>
      </c>
      <c r="AA562" s="13">
        <f>IF(Table8[[#This Row],[Gift_Aid_Eligible]]="Yes",Table8[[#This Row],[Gift_Amount]]*1.25,Table8[[#This Row],[Gift_Amount]])</f>
        <v>59.1</v>
      </c>
      <c r="AB562" t="str">
        <f>IF(Table8[[#This Row],[Supporter_ID]]="","Review - missing supporter ID","")</f>
        <v/>
      </c>
      <c r="AC562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562" t="str">
        <f>IF(Table8[[#This Row],[Campaign_Type]]="","Review - campaign code not found","")</f>
        <v/>
      </c>
    </row>
    <row r="563" spans="1:30" x14ac:dyDescent="0.25">
      <c r="A563" t="s">
        <v>4308</v>
      </c>
      <c r="B563" t="s">
        <v>2819</v>
      </c>
      <c r="C563" t="s">
        <v>3403</v>
      </c>
      <c r="D563" t="s">
        <v>3404</v>
      </c>
      <c r="E563" t="s">
        <v>3316</v>
      </c>
      <c r="F563" s="17">
        <v>45605</v>
      </c>
      <c r="G563">
        <v>48.44</v>
      </c>
      <c r="H563" t="s">
        <v>37</v>
      </c>
      <c r="I563" t="s">
        <v>3385</v>
      </c>
      <c r="J563" t="str">
        <f>_xlfn.XLOOKUP(Table8[[#This Row],[Supporter_ID]],tb1_supporters[Supporter_ID ],tb1_supporters[Segment],"")</f>
        <v>Regular Giver</v>
      </c>
      <c r="K563" t="str">
        <f>_xlfn.XLOOKUP(Table8[[#This Row],[Supporter_ID]],tb1_supporters[Supporter_ID ],tb1_supporters[Acquisition_Source],"")</f>
        <v>Website</v>
      </c>
      <c r="L563" t="str">
        <f>_xlfn.XLOOKUP(Table8[[#This Row],[Supporter_ID]],tb1_supporters[Supporter_ID ],tb1_supporters[County],"")</f>
        <v>East Sussex</v>
      </c>
      <c r="M563" t="str">
        <f>_xlfn.XLOOKUP(Table8[[#This Row],[Supporter_ID]],tb1_supporters[Supporter_ID ],tb1_supporters[Gender],"")</f>
        <v>Female</v>
      </c>
      <c r="N563">
        <f ca="1">_xlfn.XLOOKUP(Table8[[#This Row],[Supporter_ID]],tb1_supporters[Supporter_ID ],tb1_supporters[Age],"")</f>
        <v>62</v>
      </c>
      <c r="O563" t="str">
        <f ca="1">_xlfn.XLOOKUP(Table8[[#This Row],[Supporter_ID]],tb1_supporters[Supporter_ID ],tb1_supporters[Age_Band],"")</f>
        <v>50-64</v>
      </c>
      <c r="P563" t="str">
        <f ca="1">IF(Table8[[#This Row],[Age_Band]]="","Unknown",Table8[[#This Row],[Age_Band]])</f>
        <v>50-64</v>
      </c>
      <c r="Q563" t="str">
        <f>_xlfn.XLOOKUP(Table8[[#This Row],[Supporter_ID]],tb1_supporters[Supporter_ID ],tb1_supporters[Communication_Preference],"")</f>
        <v>Post</v>
      </c>
      <c r="R563" t="str">
        <f>_xlfn.XLOOKUP(Table8[[#This Row],[Supporter_ID]],tb1_supporters[Supporter_ID ],tb1_supporters[Duplicate_Profile_Flag],"")</f>
        <v/>
      </c>
      <c r="S563" t="str">
        <f>_xlfn.XLOOKUP(Table8[[#This Row],[Supporter_ID]],tb1_supporters[Supporter_ID ],tb1_supporters[Preference_Compliance_Flag],"")</f>
        <v/>
      </c>
      <c r="T563" t="str">
        <f ca="1">IF(Table8[[#This Row],[Age]]="","Review - missing DOB",IF(Table8[[#This Row],[Age]]&gt;TODAY(),"Review - future DOB",IF(Table8[[#This Row],[Age]]=0,"Review -  potential entry error (age 0)","")))</f>
        <v/>
      </c>
      <c r="U563" t="str">
        <f>_xlfn.XLOOKUP(Table8[[#This Row],[Campaign_Code]],tb3_CampaignMaster[Campaign_Code],tb3_CampaignMaster[Campaign_Type],"")</f>
        <v>Trading</v>
      </c>
      <c r="V563" t="str">
        <f>_xlfn.XLOOKUP(Table8[[#This Row],[Campaign_Code]],tb3_CampaignMaster[Campaign_Code],tb3_CampaignMaster[Target_Audience],"")</f>
        <v>All Active</v>
      </c>
      <c r="W563" s="17">
        <f>_xlfn.XLOOKUP(Table8[[#This Row],[Campaign_Code]],tb3_CampaignMaster[Campaign_Code],tb3_CampaignMaster[Start_Date],"")</f>
        <v>45580</v>
      </c>
      <c r="X563" s="17">
        <f>_xlfn.XLOOKUP(Table8[[#This Row],[Campaign_Code]],tb3_CampaignMaster[Campaign_Code],tb3_CampaignMaster[End_Date],"")</f>
        <v>45646</v>
      </c>
      <c r="Y563">
        <f>_xlfn.XLOOKUP(Table8[[#This Row],[Campaign_Code]],tb3_CampaignMaster[Campaign_Code],tb3_CampaignMaster[Budget_GBP],"")</f>
        <v>12000</v>
      </c>
      <c r="Z563" t="str">
        <f>_xlfn.XLOOKUP(Table8[[#This Row],[Campaign_Code]],tb3_CampaignMaster[Campaign_Code],tb3_CampaignMaster[Primary_Channel],"")</f>
        <v>Multi-channel</v>
      </c>
      <c r="AA563" s="13">
        <f>IF(Table8[[#This Row],[Gift_Aid_Eligible]]="Yes",Table8[[#This Row],[Gift_Amount]]*1.25,Table8[[#This Row],[Gift_Amount]])</f>
        <v>48.44</v>
      </c>
      <c r="AB563" t="str">
        <f>IF(Table8[[#This Row],[Supporter_ID]]="","Review - missing supporter ID","")</f>
        <v/>
      </c>
      <c r="AC563" t="str">
        <f>IF(OR(Table8[[#This Row],[Response_Date]]&lt;Table8[[#This Row],[Start_Date]],Table8[[#This Row],[Response_Date]]&gt;Table8[[#This Row],[End_Date]]),"Review - response outside campaign dates","")</f>
        <v/>
      </c>
      <c r="AD563" t="str">
        <f>IF(Table8[[#This Row],[Campaign_Type]]="","Review - campaign code not found","")</f>
        <v/>
      </c>
    </row>
    <row r="564" spans="1:30" x14ac:dyDescent="0.25">
      <c r="A564" t="s">
        <v>4309</v>
      </c>
      <c r="B564" t="s">
        <v>1440</v>
      </c>
      <c r="C564" t="s">
        <v>3403</v>
      </c>
      <c r="D564" t="s">
        <v>3404</v>
      </c>
      <c r="E564" t="s">
        <v>65</v>
      </c>
      <c r="F564" s="17">
        <v>45590</v>
      </c>
      <c r="G564">
        <v>99.31</v>
      </c>
      <c r="H564" t="s">
        <v>37</v>
      </c>
      <c r="I564" t="s">
        <v>3323</v>
      </c>
      <c r="J564" t="str">
        <f>_xlfn.XLOOKUP(Table8[[#This Row],[Supporter_ID]],tb1_supporters[Supporter_ID ],tb1_supporters[Segment],"")</f>
        <v>One-Time Donor</v>
      </c>
      <c r="K564" t="str">
        <f>_xlfn.XLOOKUP(Table8[[#This Row],[Supporter_ID]],tb1_supporters[Supporter_ID ],tb1_supporters[Acquisition_Source],"")</f>
        <v>Website</v>
      </c>
      <c r="L564" t="str">
        <f>_xlfn.XLOOKUP(Table8[[#This Row],[Supporter_ID]],tb1_supporters[Supporter_ID ],tb1_supporters[County],"")</f>
        <v>West Midlands</v>
      </c>
      <c r="M564" t="str">
        <f>_xlfn.XLOOKUP(Table8[[#This Row],[Supporter_ID]],tb1_supporters[Supporter_ID ],tb1_supporters[Gender],"")</f>
        <v>Female</v>
      </c>
      <c r="N564">
        <f ca="1">_xlfn.XLOOKUP(Table8[[#This Row],[Supporter_ID]],tb1_supporters[Supporter_ID ],tb1_supporters[Age],"")</f>
        <v>39</v>
      </c>
      <c r="O564" t="str">
        <f ca="1">_xlfn.XLOOKUP(Table8[[#This Row],[Supporter_ID]],tb1_supporters[Supporter_ID ],tb1_supporters[Age_Band],"")</f>
        <v>35-49</v>
      </c>
      <c r="P564" t="str">
        <f ca="1">IF(Table8[[#This Row],[Age_Band]]="","Unknown",Table8[[#This Row],[Age_Band]])</f>
        <v>35-49</v>
      </c>
      <c r="Q564" t="str">
        <f>_xlfn.XLOOKUP(Table8[[#This Row],[Supporter_ID]],tb1_supporters[Supporter_ID ],tb1_supporters[Communication_Preference],"")</f>
        <v>Email</v>
      </c>
      <c r="R564" t="str">
        <f>_xlfn.XLOOKUP(Table8[[#This Row],[Supporter_ID]],tb1_supporters[Supporter_ID ],tb1_supporters[Duplicate_Profile_Flag],"")</f>
        <v/>
      </c>
      <c r="S564" t="str">
        <f>_xlfn.XLOOKUP(Table8[[#This Row],[Supporter_ID]],tb1_supporters[Supporter_ID ],tb1_supporters[Preference_Compliance_Flag],"")</f>
        <v/>
      </c>
      <c r="T564" t="str">
        <f ca="1">IF(Table8[[#This Row],[Age]]="","Review - missing DOB",IF(Table8[[#This Row],[Age]]&gt;TODAY(),"Review - future DOB",IF(Table8[[#This Row],[Age]]=0,"Review -  potential entry error (age 0)","")))</f>
        <v/>
      </c>
      <c r="U564" t="str">
        <f>_xlfn.XLOOKUP(Table8[[#This Row],[Campaign_Code]],tb3_CampaignMaster[Campaign_Code],tb3_CampaignMaster[Campaign_Type],"")</f>
        <v>Trading</v>
      </c>
      <c r="V564" t="str">
        <f>_xlfn.XLOOKUP(Table8[[#This Row],[Campaign_Code]],tb3_CampaignMaster[Campaign_Code],tb3_CampaignMaster[Target_Audience],"")</f>
        <v>All Active</v>
      </c>
      <c r="W564" s="17">
        <f>_xlfn.XLOOKUP(Table8[[#This Row],[Campaign_Code]],tb3_CampaignMaster[Campaign_Code],tb3_CampaignMaster[Start_Date],"")</f>
        <v>45580</v>
      </c>
      <c r="X564" s="17">
        <f>_xlfn.XLOOKUP(Table8[[#This Row],[Campaign_Code]],tb3_CampaignMaster[Campaign_Code],tb3_CampaignMaster[End_Date],"")</f>
        <v>45646</v>
      </c>
      <c r="Y564">
        <f>_xlfn.XLOOKUP(Table8[[#This Row],[Campaign_Code]],tb3_CampaignMaster[Campaign_Code],tb3_CampaignMaster[Budget_GBP],"")</f>
        <v>12000</v>
      </c>
      <c r="Z564" t="str">
        <f>_xlfn.XLOOKUP(Table8[[#This Row],[Campaign_Code]],tb3_CampaignMaster[Campaign_Code],tb3_CampaignMaster[Primary_Channel],"")</f>
        <v>Multi-channel</v>
      </c>
      <c r="AA564" s="13">
        <f>IF(Table8[[#This Row],[Gift_Aid_Eligible]]="Yes",Table8[[#This Row],[Gift_Amount]]*1.25,Table8[[#This Row],[Gift_Amount]])</f>
        <v>99.31</v>
      </c>
      <c r="AB564" t="str">
        <f>IF(Table8[[#This Row],[Supporter_ID]]="","Review - missing supporter ID","")</f>
        <v/>
      </c>
      <c r="AC564" t="str">
        <f>IF(OR(Table8[[#This Row],[Response_Date]]&lt;Table8[[#This Row],[Start_Date]],Table8[[#This Row],[Response_Date]]&gt;Table8[[#This Row],[End_Date]]),"Review - response outside campaign dates","")</f>
        <v/>
      </c>
      <c r="AD564" t="str">
        <f>IF(Table8[[#This Row],[Campaign_Type]]="","Review - campaign code not found","")</f>
        <v/>
      </c>
    </row>
    <row r="565" spans="1:30" x14ac:dyDescent="0.25">
      <c r="A565" t="s">
        <v>4311</v>
      </c>
      <c r="B565" t="s">
        <v>1180</v>
      </c>
      <c r="C565" t="s">
        <v>3336</v>
      </c>
      <c r="D565" t="s">
        <v>3337</v>
      </c>
      <c r="E565" t="s">
        <v>4</v>
      </c>
      <c r="F565" s="17">
        <v>45569</v>
      </c>
      <c r="G565">
        <v>2844.71</v>
      </c>
      <c r="H565" t="s">
        <v>37</v>
      </c>
      <c r="I565" t="s">
        <v>3318</v>
      </c>
      <c r="J565" t="str">
        <f>_xlfn.XLOOKUP(Table8[[#This Row],[Supporter_ID]],tb1_supporters[Supporter_ID ],tb1_supporters[Segment],"")</f>
        <v>Major Donor</v>
      </c>
      <c r="K565" t="str">
        <f>_xlfn.XLOOKUP(Table8[[#This Row],[Supporter_ID]],tb1_supporters[Supporter_ID ],tb1_supporters[Acquisition_Source],"")</f>
        <v>Direct Mail</v>
      </c>
      <c r="L565" t="str">
        <f>_xlfn.XLOOKUP(Table8[[#This Row],[Supporter_ID]],tb1_supporters[Supporter_ID ],tb1_supporters[County],"")</f>
        <v>Strathclyde</v>
      </c>
      <c r="M565" t="str">
        <f>_xlfn.XLOOKUP(Table8[[#This Row],[Supporter_ID]],tb1_supporters[Supporter_ID ],tb1_supporters[Gender],"")</f>
        <v>Female</v>
      </c>
      <c r="N565">
        <f ca="1">_xlfn.XLOOKUP(Table8[[#This Row],[Supporter_ID]],tb1_supporters[Supporter_ID ],tb1_supporters[Age],"")</f>
        <v>61</v>
      </c>
      <c r="O565" t="str">
        <f ca="1">_xlfn.XLOOKUP(Table8[[#This Row],[Supporter_ID]],tb1_supporters[Supporter_ID ],tb1_supporters[Age_Band],"")</f>
        <v>50-64</v>
      </c>
      <c r="P565" t="str">
        <f ca="1">IF(Table8[[#This Row],[Age_Band]]="","Unknown",Table8[[#This Row],[Age_Band]])</f>
        <v>50-64</v>
      </c>
      <c r="Q565" t="str">
        <f>_xlfn.XLOOKUP(Table8[[#This Row],[Supporter_ID]],tb1_supporters[Supporter_ID ],tb1_supporters[Communication_Preference],"")</f>
        <v>Email</v>
      </c>
      <c r="R565" t="str">
        <f>_xlfn.XLOOKUP(Table8[[#This Row],[Supporter_ID]],tb1_supporters[Supporter_ID ],tb1_supporters[Duplicate_Profile_Flag],"")</f>
        <v/>
      </c>
      <c r="S565" t="str">
        <f>_xlfn.XLOOKUP(Table8[[#This Row],[Supporter_ID]],tb1_supporters[Supporter_ID ],tb1_supporters[Preference_Compliance_Flag],"")</f>
        <v/>
      </c>
      <c r="T565" t="str">
        <f ca="1">IF(Table8[[#This Row],[Age]]="","Review - missing DOB",IF(Table8[[#This Row],[Age]]&gt;TODAY(),"Review - future DOB",IF(Table8[[#This Row],[Age]]=0,"Review -  potential entry error (age 0)","")))</f>
        <v/>
      </c>
      <c r="U565" t="str">
        <f>_xlfn.XLOOKUP(Table8[[#This Row],[Campaign_Code]],tb3_CampaignMaster[Campaign_Code],tb3_CampaignMaster[Campaign_Type],"")</f>
        <v>Appeal</v>
      </c>
      <c r="V565" t="str">
        <f>_xlfn.XLOOKUP(Table8[[#This Row],[Campaign_Code]],tb3_CampaignMaster[Campaign_Code],tb3_CampaignMaster[Target_Audience],"")</f>
        <v>All Supporters</v>
      </c>
      <c r="W565" s="17">
        <f>_xlfn.XLOOKUP(Table8[[#This Row],[Campaign_Code]],tb3_CampaignMaster[Campaign_Code],tb3_CampaignMaster[Start_Date],"")</f>
        <v>45545</v>
      </c>
      <c r="X565" s="17">
        <f>_xlfn.XLOOKUP(Table8[[#This Row],[Campaign_Code]],tb3_CampaignMaster[Campaign_Code],tb3_CampaignMaster[End_Date],"")</f>
        <v>45580</v>
      </c>
      <c r="Y565">
        <f>_xlfn.XLOOKUP(Table8[[#This Row],[Campaign_Code]],tb3_CampaignMaster[Campaign_Code],tb3_CampaignMaster[Budget_GBP],"")</f>
        <v>15000</v>
      </c>
      <c r="Z565" t="str">
        <f>_xlfn.XLOOKUP(Table8[[#This Row],[Campaign_Code]],tb3_CampaignMaster[Campaign_Code],tb3_CampaignMaster[Primary_Channel],"")</f>
        <v>Email</v>
      </c>
      <c r="AA565" s="13">
        <f>IF(Table8[[#This Row],[Gift_Aid_Eligible]]="Yes",Table8[[#This Row],[Gift_Amount]]*1.25,Table8[[#This Row],[Gift_Amount]])</f>
        <v>2844.71</v>
      </c>
      <c r="AB565" t="str">
        <f>IF(Table8[[#This Row],[Supporter_ID]]="","Review - missing supporter ID","")</f>
        <v/>
      </c>
      <c r="AC565" t="str">
        <f>IF(OR(Table8[[#This Row],[Response_Date]]&lt;Table8[[#This Row],[Start_Date]],Table8[[#This Row],[Response_Date]]&gt;Table8[[#This Row],[End_Date]]),"Review - response outside campaign dates","")</f>
        <v/>
      </c>
      <c r="AD565" t="str">
        <f>IF(Table8[[#This Row],[Campaign_Type]]="","Review - campaign code not found","")</f>
        <v/>
      </c>
    </row>
    <row r="566" spans="1:30" x14ac:dyDescent="0.25">
      <c r="A566" t="s">
        <v>4313</v>
      </c>
      <c r="B566" t="s">
        <v>1814</v>
      </c>
      <c r="C566" t="s">
        <v>3403</v>
      </c>
      <c r="D566" t="s">
        <v>3404</v>
      </c>
      <c r="E566" t="s">
        <v>4</v>
      </c>
      <c r="F566" s="17">
        <v>45629</v>
      </c>
      <c r="G566">
        <v>22.66</v>
      </c>
      <c r="H566" t="s">
        <v>36</v>
      </c>
      <c r="I566" t="s">
        <v>3385</v>
      </c>
      <c r="J566" t="str">
        <f>_xlfn.XLOOKUP(Table8[[#This Row],[Supporter_ID]],tb1_supporters[Supporter_ID ],tb1_supporters[Segment],"")</f>
        <v>Prospect</v>
      </c>
      <c r="K566" t="str">
        <f>_xlfn.XLOOKUP(Table8[[#This Row],[Supporter_ID]],tb1_supporters[Supporter_ID ],tb1_supporters[Acquisition_Source],"")</f>
        <v>Telephone</v>
      </c>
      <c r="L566" t="str">
        <f>_xlfn.XLOOKUP(Table8[[#This Row],[Supporter_ID]],tb1_supporters[Supporter_ID ],tb1_supporters[County],"")</f>
        <v>Nottinghamshire</v>
      </c>
      <c r="M566" t="str">
        <f>_xlfn.XLOOKUP(Table8[[#This Row],[Supporter_ID]],tb1_supporters[Supporter_ID ],tb1_supporters[Gender],"")</f>
        <v>Female</v>
      </c>
      <c r="N566">
        <f ca="1">_xlfn.XLOOKUP(Table8[[#This Row],[Supporter_ID]],tb1_supporters[Supporter_ID ],tb1_supporters[Age],"")</f>
        <v>69</v>
      </c>
      <c r="O566" t="str">
        <f ca="1">_xlfn.XLOOKUP(Table8[[#This Row],[Supporter_ID]],tb1_supporters[Supporter_ID ],tb1_supporters[Age_Band],"")</f>
        <v>65+</v>
      </c>
      <c r="P566" t="str">
        <f ca="1">IF(Table8[[#This Row],[Age_Band]]="","Unknown",Table8[[#This Row],[Age_Band]])</f>
        <v>65+</v>
      </c>
      <c r="Q566" t="str">
        <f>_xlfn.XLOOKUP(Table8[[#This Row],[Supporter_ID]],tb1_supporters[Supporter_ID ],tb1_supporters[Communication_Preference],"")</f>
        <v>Phone</v>
      </c>
      <c r="R566" t="str">
        <f>_xlfn.XLOOKUP(Table8[[#This Row],[Supporter_ID]],tb1_supporters[Supporter_ID ],tb1_supporters[Duplicate_Profile_Flag],"")</f>
        <v/>
      </c>
      <c r="S566" t="str">
        <f>_xlfn.XLOOKUP(Table8[[#This Row],[Supporter_ID]],tb1_supporters[Supporter_ID ],tb1_supporters[Preference_Compliance_Flag],"")</f>
        <v/>
      </c>
      <c r="T566" t="str">
        <f ca="1">IF(Table8[[#This Row],[Age]]="","Review - missing DOB",IF(Table8[[#This Row],[Age]]&gt;TODAY(),"Review - future DOB",IF(Table8[[#This Row],[Age]]=0,"Review -  potential entry error (age 0)","")))</f>
        <v/>
      </c>
      <c r="U566" t="str">
        <f>_xlfn.XLOOKUP(Table8[[#This Row],[Campaign_Code]],tb3_CampaignMaster[Campaign_Code],tb3_CampaignMaster[Campaign_Type],"")</f>
        <v>Trading</v>
      </c>
      <c r="V566" t="str">
        <f>_xlfn.XLOOKUP(Table8[[#This Row],[Campaign_Code]],tb3_CampaignMaster[Campaign_Code],tb3_CampaignMaster[Target_Audience],"")</f>
        <v>All Active</v>
      </c>
      <c r="W566" s="17">
        <f>_xlfn.XLOOKUP(Table8[[#This Row],[Campaign_Code]],tb3_CampaignMaster[Campaign_Code],tb3_CampaignMaster[Start_Date],"")</f>
        <v>45580</v>
      </c>
      <c r="X566" s="17">
        <f>_xlfn.XLOOKUP(Table8[[#This Row],[Campaign_Code]],tb3_CampaignMaster[Campaign_Code],tb3_CampaignMaster[End_Date],"")</f>
        <v>45646</v>
      </c>
      <c r="Y566">
        <f>_xlfn.XLOOKUP(Table8[[#This Row],[Campaign_Code]],tb3_CampaignMaster[Campaign_Code],tb3_CampaignMaster[Budget_GBP],"")</f>
        <v>12000</v>
      </c>
      <c r="Z566" t="str">
        <f>_xlfn.XLOOKUP(Table8[[#This Row],[Campaign_Code]],tb3_CampaignMaster[Campaign_Code],tb3_CampaignMaster[Primary_Channel],"")</f>
        <v>Multi-channel</v>
      </c>
      <c r="AA566" s="13">
        <f>IF(Table8[[#This Row],[Gift_Aid_Eligible]]="Yes",Table8[[#This Row],[Gift_Amount]]*1.25,Table8[[#This Row],[Gift_Amount]])</f>
        <v>28.324999999999999</v>
      </c>
      <c r="AB566" t="str">
        <f>IF(Table8[[#This Row],[Supporter_ID]]="","Review - missing supporter ID","")</f>
        <v/>
      </c>
      <c r="AC566" t="str">
        <f>IF(OR(Table8[[#This Row],[Response_Date]]&lt;Table8[[#This Row],[Start_Date]],Table8[[#This Row],[Response_Date]]&gt;Table8[[#This Row],[End_Date]]),"Review - response outside campaign dates","")</f>
        <v/>
      </c>
      <c r="AD566" t="str">
        <f>IF(Table8[[#This Row],[Campaign_Type]]="","Review - campaign code not found","")</f>
        <v/>
      </c>
    </row>
    <row r="567" spans="1:30" x14ac:dyDescent="0.25">
      <c r="A567" t="s">
        <v>4315</v>
      </c>
      <c r="B567" t="s">
        <v>2970</v>
      </c>
      <c r="C567" t="s">
        <v>3325</v>
      </c>
      <c r="D567" t="s">
        <v>3326</v>
      </c>
      <c r="E567" t="s">
        <v>4</v>
      </c>
      <c r="F567" s="17">
        <v>45599</v>
      </c>
      <c r="G567">
        <v>5.19</v>
      </c>
      <c r="H567" t="s">
        <v>37</v>
      </c>
      <c r="I567" t="s">
        <v>3365</v>
      </c>
      <c r="J567" t="str">
        <f>_xlfn.XLOOKUP(Table8[[#This Row],[Supporter_ID]],tb1_supporters[Supporter_ID ],tb1_supporters[Segment],"")</f>
        <v>Regular Giver</v>
      </c>
      <c r="K567" t="str">
        <f>_xlfn.XLOOKUP(Table8[[#This Row],[Supporter_ID]],tb1_supporters[Supporter_ID ],tb1_supporters[Acquisition_Source],"")</f>
        <v>Website</v>
      </c>
      <c r="L567" t="str">
        <f>_xlfn.XLOOKUP(Table8[[#This Row],[Supporter_ID]],tb1_supporters[Supporter_ID ],tb1_supporters[County],"")</f>
        <v>South Yorkshire</v>
      </c>
      <c r="M567" t="str">
        <f>_xlfn.XLOOKUP(Table8[[#This Row],[Supporter_ID]],tb1_supporters[Supporter_ID ],tb1_supporters[Gender],"")</f>
        <v>Female</v>
      </c>
      <c r="N567">
        <f ca="1">_xlfn.XLOOKUP(Table8[[#This Row],[Supporter_ID]],tb1_supporters[Supporter_ID ],tb1_supporters[Age],"")</f>
        <v>71</v>
      </c>
      <c r="O567" t="str">
        <f ca="1">_xlfn.XLOOKUP(Table8[[#This Row],[Supporter_ID]],tb1_supporters[Supporter_ID ],tb1_supporters[Age_Band],"")</f>
        <v>65+</v>
      </c>
      <c r="P567" t="str">
        <f ca="1">IF(Table8[[#This Row],[Age_Band]]="","Unknown",Table8[[#This Row],[Age_Band]])</f>
        <v>65+</v>
      </c>
      <c r="Q567" t="str">
        <f>_xlfn.XLOOKUP(Table8[[#This Row],[Supporter_ID]],tb1_supporters[Supporter_ID ],tb1_supporters[Communication_Preference],"")</f>
        <v>Email</v>
      </c>
      <c r="R567" t="str">
        <f>_xlfn.XLOOKUP(Table8[[#This Row],[Supporter_ID]],tb1_supporters[Supporter_ID ],tb1_supporters[Duplicate_Profile_Flag],"")</f>
        <v/>
      </c>
      <c r="S567" t="str">
        <f>_xlfn.XLOOKUP(Table8[[#This Row],[Supporter_ID]],tb1_supporters[Supporter_ID ],tb1_supporters[Preference_Compliance_Flag],"")</f>
        <v/>
      </c>
      <c r="T567" t="str">
        <f ca="1">IF(Table8[[#This Row],[Age]]="","Review - missing DOB",IF(Table8[[#This Row],[Age]]&gt;TODAY(),"Review - future DOB",IF(Table8[[#This Row],[Age]]=0,"Review -  potential entry error (age 0)","")))</f>
        <v/>
      </c>
      <c r="U567" t="str">
        <f>_xlfn.XLOOKUP(Table8[[#This Row],[Campaign_Code]],tb3_CampaignMaster[Campaign_Code],tb3_CampaignMaster[Campaign_Type],"")</f>
        <v>Appeal</v>
      </c>
      <c r="V567" t="str">
        <f>_xlfn.XLOOKUP(Table8[[#This Row],[Campaign_Code]],tb3_CampaignMaster[Campaign_Code],tb3_CampaignMaster[Target_Audience],"")</f>
        <v>All Active</v>
      </c>
      <c r="W567" s="17">
        <f>_xlfn.XLOOKUP(Table8[[#This Row],[Campaign_Code]],tb3_CampaignMaster[Campaign_Code],tb3_CampaignMaster[Start_Date],"")</f>
        <v>45597</v>
      </c>
      <c r="X567" s="17">
        <f>_xlfn.XLOOKUP(Table8[[#This Row],[Campaign_Code]],tb3_CampaignMaster[Campaign_Code],tb3_CampaignMaster[End_Date],"")</f>
        <v>45657</v>
      </c>
      <c r="Y567">
        <f>_xlfn.XLOOKUP(Table8[[#This Row],[Campaign_Code]],tb3_CampaignMaster[Campaign_Code],tb3_CampaignMaster[Budget_GBP],"")</f>
        <v>25000</v>
      </c>
      <c r="Z567" t="str">
        <f>_xlfn.XLOOKUP(Table8[[#This Row],[Campaign_Code]],tb3_CampaignMaster[Campaign_Code],tb3_CampaignMaster[Primary_Channel],"")</f>
        <v>Multi-channel</v>
      </c>
      <c r="AA567" s="13">
        <f>IF(Table8[[#This Row],[Gift_Aid_Eligible]]="Yes",Table8[[#This Row],[Gift_Amount]]*1.25,Table8[[#This Row],[Gift_Amount]])</f>
        <v>5.19</v>
      </c>
      <c r="AB567" t="str">
        <f>IF(Table8[[#This Row],[Supporter_ID]]="","Review - missing supporter ID","")</f>
        <v/>
      </c>
      <c r="AC567" t="str">
        <f>IF(OR(Table8[[#This Row],[Response_Date]]&lt;Table8[[#This Row],[Start_Date]],Table8[[#This Row],[Response_Date]]&gt;Table8[[#This Row],[End_Date]]),"Review - response outside campaign dates","")</f>
        <v/>
      </c>
      <c r="AD567" t="str">
        <f>IF(Table8[[#This Row],[Campaign_Type]]="","Review - campaign code not found","")</f>
        <v/>
      </c>
    </row>
    <row r="568" spans="1:30" x14ac:dyDescent="0.25">
      <c r="A568" t="s">
        <v>4317</v>
      </c>
      <c r="B568" t="s">
        <v>604</v>
      </c>
      <c r="C568" t="s">
        <v>3314</v>
      </c>
      <c r="D568" t="s">
        <v>3315</v>
      </c>
      <c r="E568" t="s">
        <v>65</v>
      </c>
      <c r="F568" s="17">
        <v>45694</v>
      </c>
      <c r="G568">
        <v>34.54</v>
      </c>
      <c r="H568" t="s">
        <v>36</v>
      </c>
      <c r="I568" t="s">
        <v>3318</v>
      </c>
      <c r="J568" t="str">
        <f>_xlfn.XLOOKUP(Table8[[#This Row],[Supporter_ID]],tb1_supporters[Supporter_ID ],tb1_supporters[Segment],"")</f>
        <v>Regular Giver</v>
      </c>
      <c r="K568" t="str">
        <f>_xlfn.XLOOKUP(Table8[[#This Row],[Supporter_ID]],tb1_supporters[Supporter_ID ],tb1_supporters[Acquisition_Source],"")</f>
        <v>Direct Mail</v>
      </c>
      <c r="L568" t="str">
        <f>_xlfn.XLOOKUP(Table8[[#This Row],[Supporter_ID]],tb1_supporters[Supporter_ID ],tb1_supporters[County],"")</f>
        <v>East Sussex</v>
      </c>
      <c r="M568" t="str">
        <f>_xlfn.XLOOKUP(Table8[[#This Row],[Supporter_ID]],tb1_supporters[Supporter_ID ],tb1_supporters[Gender],"")</f>
        <v>Female</v>
      </c>
      <c r="N568">
        <f ca="1">_xlfn.XLOOKUP(Table8[[#This Row],[Supporter_ID]],tb1_supporters[Supporter_ID ],tb1_supporters[Age],"")</f>
        <v>69</v>
      </c>
      <c r="O568" t="str">
        <f ca="1">_xlfn.XLOOKUP(Table8[[#This Row],[Supporter_ID]],tb1_supporters[Supporter_ID ],tb1_supporters[Age_Band],"")</f>
        <v>65+</v>
      </c>
      <c r="P568" t="str">
        <f ca="1">IF(Table8[[#This Row],[Age_Band]]="","Unknown",Table8[[#This Row],[Age_Band]])</f>
        <v>65+</v>
      </c>
      <c r="Q568" t="str">
        <f>_xlfn.XLOOKUP(Table8[[#This Row],[Supporter_ID]],tb1_supporters[Supporter_ID ],tb1_supporters[Communication_Preference],"")</f>
        <v>No Preference</v>
      </c>
      <c r="R568" t="str">
        <f>_xlfn.XLOOKUP(Table8[[#This Row],[Supporter_ID]],tb1_supporters[Supporter_ID ],tb1_supporters[Duplicate_Profile_Flag],"")</f>
        <v/>
      </c>
      <c r="S568" t="str">
        <f>_xlfn.XLOOKUP(Table8[[#This Row],[Supporter_ID]],tb1_supporters[Supporter_ID ],tb1_supporters[Preference_Compliance_Flag],"")</f>
        <v/>
      </c>
      <c r="T568" t="str">
        <f ca="1">IF(Table8[[#This Row],[Age]]="","Review - missing DOB",IF(Table8[[#This Row],[Age]]&gt;TODAY(),"Review - future DOB",IF(Table8[[#This Row],[Age]]=0,"Review -  potential entry error (age 0)","")))</f>
        <v/>
      </c>
      <c r="U568" t="str">
        <f>_xlfn.XLOOKUP(Table8[[#This Row],[Campaign_Code]],tb3_CampaignMaster[Campaign_Code],tb3_CampaignMaster[Campaign_Type],"")</f>
        <v>Regular Giving</v>
      </c>
      <c r="V568" t="str">
        <f>_xlfn.XLOOKUP(Table8[[#This Row],[Campaign_Code]],tb3_CampaignMaster[Campaign_Code],tb3_CampaignMaster[Target_Audience],"")</f>
        <v>One-time Donors</v>
      </c>
      <c r="W568" s="17">
        <f>_xlfn.XLOOKUP(Table8[[#This Row],[Campaign_Code]],tb3_CampaignMaster[Campaign_Code],tb3_CampaignMaster[Start_Date],"")</f>
        <v>45663</v>
      </c>
      <c r="X568" s="17">
        <f>_xlfn.XLOOKUP(Table8[[#This Row],[Campaign_Code]],tb3_CampaignMaster[Campaign_Code],tb3_CampaignMaster[End_Date],"")</f>
        <v>45747</v>
      </c>
      <c r="Y568">
        <f>_xlfn.XLOOKUP(Table8[[#This Row],[Campaign_Code]],tb3_CampaignMaster[Campaign_Code],tb3_CampaignMaster[Budget_GBP],"")</f>
        <v>10000</v>
      </c>
      <c r="Z568" t="str">
        <f>_xlfn.XLOOKUP(Table8[[#This Row],[Campaign_Code]],tb3_CampaignMaster[Campaign_Code],tb3_CampaignMaster[Primary_Channel],"")</f>
        <v>Telephone</v>
      </c>
      <c r="AA568" s="13">
        <f>IF(Table8[[#This Row],[Gift_Aid_Eligible]]="Yes",Table8[[#This Row],[Gift_Amount]]*1.25,Table8[[#This Row],[Gift_Amount]])</f>
        <v>43.174999999999997</v>
      </c>
      <c r="AB568" t="str">
        <f>IF(Table8[[#This Row],[Supporter_ID]]="","Review - missing supporter ID","")</f>
        <v/>
      </c>
      <c r="AC568" t="str">
        <f>IF(OR(Table8[[#This Row],[Response_Date]]&lt;Table8[[#This Row],[Start_Date]],Table8[[#This Row],[Response_Date]]&gt;Table8[[#This Row],[End_Date]]),"Review - response outside campaign dates","")</f>
        <v/>
      </c>
      <c r="AD568" t="str">
        <f>IF(Table8[[#This Row],[Campaign_Type]]="","Review - campaign code not found","")</f>
        <v/>
      </c>
    </row>
    <row r="569" spans="1:30" x14ac:dyDescent="0.25">
      <c r="A569" t="s">
        <v>4319</v>
      </c>
      <c r="B569" t="s">
        <v>223</v>
      </c>
      <c r="C569" t="s">
        <v>3325</v>
      </c>
      <c r="D569" t="s">
        <v>3326</v>
      </c>
      <c r="E569" t="s">
        <v>3316</v>
      </c>
      <c r="F569" s="17">
        <v>45609</v>
      </c>
      <c r="G569">
        <v>1657.14</v>
      </c>
      <c r="H569" t="s">
        <v>36</v>
      </c>
      <c r="I569" t="s">
        <v>3323</v>
      </c>
      <c r="J569" t="str">
        <f>_xlfn.XLOOKUP(Table8[[#This Row],[Supporter_ID]],tb1_supporters[Supporter_ID ],tb1_supporters[Segment],"")</f>
        <v>Major Donor</v>
      </c>
      <c r="K569" t="str">
        <f>_xlfn.XLOOKUP(Table8[[#This Row],[Supporter_ID]],tb1_supporters[Supporter_ID ],tb1_supporters[Acquisition_Source],"")</f>
        <v>Website</v>
      </c>
      <c r="L569" t="str">
        <f>_xlfn.XLOOKUP(Table8[[#This Row],[Supporter_ID]],tb1_supporters[Supporter_ID ],tb1_supporters[County],"")</f>
        <v>West Midlands</v>
      </c>
      <c r="M569" t="str">
        <f>_xlfn.XLOOKUP(Table8[[#This Row],[Supporter_ID]],tb1_supporters[Supporter_ID ],tb1_supporters[Gender],"")</f>
        <v>Female</v>
      </c>
      <c r="N569">
        <f ca="1">_xlfn.XLOOKUP(Table8[[#This Row],[Supporter_ID]],tb1_supporters[Supporter_ID ],tb1_supporters[Age],"")</f>
        <v>67</v>
      </c>
      <c r="O569" t="str">
        <f ca="1">_xlfn.XLOOKUP(Table8[[#This Row],[Supporter_ID]],tb1_supporters[Supporter_ID ],tb1_supporters[Age_Band],"")</f>
        <v>65+</v>
      </c>
      <c r="P569" t="str">
        <f ca="1">IF(Table8[[#This Row],[Age_Band]]="","Unknown",Table8[[#This Row],[Age_Band]])</f>
        <v>65+</v>
      </c>
      <c r="Q569" t="str">
        <f>_xlfn.XLOOKUP(Table8[[#This Row],[Supporter_ID]],tb1_supporters[Supporter_ID ],tb1_supporters[Communication_Preference],"")</f>
        <v>Email</v>
      </c>
      <c r="R569" t="str">
        <f>_xlfn.XLOOKUP(Table8[[#This Row],[Supporter_ID]],tb1_supporters[Supporter_ID ],tb1_supporters[Duplicate_Profile_Flag],"")</f>
        <v/>
      </c>
      <c r="S569" t="str">
        <f>_xlfn.XLOOKUP(Table8[[#This Row],[Supporter_ID]],tb1_supporters[Supporter_ID ],tb1_supporters[Preference_Compliance_Flag],"")</f>
        <v/>
      </c>
      <c r="T569" t="str">
        <f ca="1">IF(Table8[[#This Row],[Age]]="","Review - missing DOB",IF(Table8[[#This Row],[Age]]&gt;TODAY(),"Review - future DOB",IF(Table8[[#This Row],[Age]]=0,"Review -  potential entry error (age 0)","")))</f>
        <v/>
      </c>
      <c r="U569" t="str">
        <f>_xlfn.XLOOKUP(Table8[[#This Row],[Campaign_Code]],tb3_CampaignMaster[Campaign_Code],tb3_CampaignMaster[Campaign_Type],"")</f>
        <v>Appeal</v>
      </c>
      <c r="V569" t="str">
        <f>_xlfn.XLOOKUP(Table8[[#This Row],[Campaign_Code]],tb3_CampaignMaster[Campaign_Code],tb3_CampaignMaster[Target_Audience],"")</f>
        <v>All Active</v>
      </c>
      <c r="W569" s="17">
        <f>_xlfn.XLOOKUP(Table8[[#This Row],[Campaign_Code]],tb3_CampaignMaster[Campaign_Code],tb3_CampaignMaster[Start_Date],"")</f>
        <v>45597</v>
      </c>
      <c r="X569" s="17">
        <f>_xlfn.XLOOKUP(Table8[[#This Row],[Campaign_Code]],tb3_CampaignMaster[Campaign_Code],tb3_CampaignMaster[End_Date],"")</f>
        <v>45657</v>
      </c>
      <c r="Y569">
        <f>_xlfn.XLOOKUP(Table8[[#This Row],[Campaign_Code]],tb3_CampaignMaster[Campaign_Code],tb3_CampaignMaster[Budget_GBP],"")</f>
        <v>25000</v>
      </c>
      <c r="Z569" t="str">
        <f>_xlfn.XLOOKUP(Table8[[#This Row],[Campaign_Code]],tb3_CampaignMaster[Campaign_Code],tb3_CampaignMaster[Primary_Channel],"")</f>
        <v>Multi-channel</v>
      </c>
      <c r="AA569" s="13">
        <f>IF(Table8[[#This Row],[Gift_Aid_Eligible]]="Yes",Table8[[#This Row],[Gift_Amount]]*1.25,Table8[[#This Row],[Gift_Amount]])</f>
        <v>2071.4250000000002</v>
      </c>
      <c r="AB569" t="str">
        <f>IF(Table8[[#This Row],[Supporter_ID]]="","Review - missing supporter ID","")</f>
        <v/>
      </c>
      <c r="AC569" t="str">
        <f>IF(OR(Table8[[#This Row],[Response_Date]]&lt;Table8[[#This Row],[Start_Date]],Table8[[#This Row],[Response_Date]]&gt;Table8[[#This Row],[End_Date]]),"Review - response outside campaign dates","")</f>
        <v/>
      </c>
      <c r="AD569" t="str">
        <f>IF(Table8[[#This Row],[Campaign_Type]]="","Review - campaign code not found","")</f>
        <v/>
      </c>
    </row>
    <row r="570" spans="1:30" x14ac:dyDescent="0.25">
      <c r="A570" t="s">
        <v>4321</v>
      </c>
      <c r="B570" t="s">
        <v>3037</v>
      </c>
      <c r="C570" t="s">
        <v>3427</v>
      </c>
      <c r="D570" t="s">
        <v>3428</v>
      </c>
      <c r="E570" t="s">
        <v>4</v>
      </c>
      <c r="F570" s="17">
        <v>45488</v>
      </c>
      <c r="G570">
        <v>54.07</v>
      </c>
      <c r="H570" t="s">
        <v>36</v>
      </c>
      <c r="I570" t="s">
        <v>3323</v>
      </c>
      <c r="J570" t="str">
        <f>_xlfn.XLOOKUP(Table8[[#This Row],[Supporter_ID]],tb1_supporters[Supporter_ID ],tb1_supporters[Segment],"")</f>
        <v>One-Time Donor</v>
      </c>
      <c r="K570" t="str">
        <f>_xlfn.XLOOKUP(Table8[[#This Row],[Supporter_ID]],tb1_supporters[Supporter_ID ],tb1_supporters[Acquisition_Source],"")</f>
        <v>Social Media</v>
      </c>
      <c r="L570" t="str">
        <f>_xlfn.XLOOKUP(Table8[[#This Row],[Supporter_ID]],tb1_supporters[Supporter_ID ],tb1_supporters[County],"")</f>
        <v>Buckinghamshire</v>
      </c>
      <c r="M570" t="str">
        <f>_xlfn.XLOOKUP(Table8[[#This Row],[Supporter_ID]],tb1_supporters[Supporter_ID ],tb1_supporters[Gender],"")</f>
        <v>Female</v>
      </c>
      <c r="N570">
        <f ca="1">_xlfn.XLOOKUP(Table8[[#This Row],[Supporter_ID]],tb1_supporters[Supporter_ID ],tb1_supporters[Age],"")</f>
        <v>77</v>
      </c>
      <c r="O570" t="str">
        <f ca="1">_xlfn.XLOOKUP(Table8[[#This Row],[Supporter_ID]],tb1_supporters[Supporter_ID ],tb1_supporters[Age_Band],"")</f>
        <v>65+</v>
      </c>
      <c r="P570" t="str">
        <f ca="1">IF(Table8[[#This Row],[Age_Band]]="","Unknown",Table8[[#This Row],[Age_Band]])</f>
        <v>65+</v>
      </c>
      <c r="Q570" t="str">
        <f>_xlfn.XLOOKUP(Table8[[#This Row],[Supporter_ID]],tb1_supporters[Supporter_ID ],tb1_supporters[Communication_Preference],"")</f>
        <v>Phone</v>
      </c>
      <c r="R570" t="str">
        <f>_xlfn.XLOOKUP(Table8[[#This Row],[Supporter_ID]],tb1_supporters[Supporter_ID ],tb1_supporters[Duplicate_Profile_Flag],"")</f>
        <v/>
      </c>
      <c r="S570" t="str">
        <f>_xlfn.XLOOKUP(Table8[[#This Row],[Supporter_ID]],tb1_supporters[Supporter_ID ],tb1_supporters[Preference_Compliance_Flag],"")</f>
        <v/>
      </c>
      <c r="T570" t="str">
        <f ca="1">IF(Table8[[#This Row],[Age]]="","Review - missing DOB",IF(Table8[[#This Row],[Age]]&gt;TODAY(),"Review - future DOB",IF(Table8[[#This Row],[Age]]=0,"Review -  potential entry error (age 0)","")))</f>
        <v/>
      </c>
      <c r="U570" t="str">
        <f>_xlfn.XLOOKUP(Table8[[#This Row],[Campaign_Code]],tb3_CampaignMaster[Campaign_Code],tb3_CampaignMaster[Campaign_Type],"")</f>
        <v>Event</v>
      </c>
      <c r="V570" t="str">
        <f>_xlfn.XLOOKUP(Table8[[#This Row],[Campaign_Code]],tb3_CampaignMaster[Campaign_Code],tb3_CampaignMaster[Target_Audience],"")</f>
        <v>Major Donors</v>
      </c>
      <c r="W570" s="17">
        <f>_xlfn.XLOOKUP(Table8[[#This Row],[Campaign_Code]],tb3_CampaignMaster[Campaign_Code],tb3_CampaignMaster[Start_Date],"")</f>
        <v>45488</v>
      </c>
      <c r="X570" s="17">
        <f>_xlfn.XLOOKUP(Table8[[#This Row],[Campaign_Code]],tb3_CampaignMaster[Campaign_Code],tb3_CampaignMaster[End_Date],"")</f>
        <v>45488</v>
      </c>
      <c r="Y570">
        <f>_xlfn.XLOOKUP(Table8[[#This Row],[Campaign_Code]],tb3_CampaignMaster[Campaign_Code],tb3_CampaignMaster[Budget_GBP],"")</f>
        <v>45000</v>
      </c>
      <c r="Z570" t="str">
        <f>_xlfn.XLOOKUP(Table8[[#This Row],[Campaign_Code]],tb3_CampaignMaster[Campaign_Code],tb3_CampaignMaster[Primary_Channel],"")</f>
        <v>Direct Mail</v>
      </c>
      <c r="AA570" s="13">
        <f>IF(Table8[[#This Row],[Gift_Aid_Eligible]]="Yes",Table8[[#This Row],[Gift_Amount]]*1.25,Table8[[#This Row],[Gift_Amount]])</f>
        <v>67.587500000000006</v>
      </c>
      <c r="AB570" t="str">
        <f>IF(Table8[[#This Row],[Supporter_ID]]="","Review - missing supporter ID","")</f>
        <v/>
      </c>
      <c r="AC570" t="str">
        <f>IF(OR(Table8[[#This Row],[Response_Date]]&lt;Table8[[#This Row],[Start_Date]],Table8[[#This Row],[Response_Date]]&gt;Table8[[#This Row],[End_Date]]),"Review - response outside campaign dates","")</f>
        <v/>
      </c>
      <c r="AD570" t="str">
        <f>IF(Table8[[#This Row],[Campaign_Type]]="","Review - campaign code not found","")</f>
        <v/>
      </c>
    </row>
    <row r="571" spans="1:30" x14ac:dyDescent="0.25">
      <c r="A571" t="s">
        <v>4322</v>
      </c>
      <c r="B571" t="s">
        <v>2350</v>
      </c>
      <c r="C571" t="s">
        <v>3325</v>
      </c>
      <c r="D571" t="s">
        <v>3326</v>
      </c>
      <c r="E571" t="s">
        <v>3338</v>
      </c>
      <c r="F571" s="17">
        <v>45624</v>
      </c>
      <c r="G571">
        <v>-9.26</v>
      </c>
      <c r="H571" t="s">
        <v>37</v>
      </c>
      <c r="I571" t="s">
        <v>3323</v>
      </c>
      <c r="J571" t="str">
        <f>_xlfn.XLOOKUP(Table8[[#This Row],[Supporter_ID]],tb1_supporters[Supporter_ID ],tb1_supporters[Segment],"")</f>
        <v>Prospect</v>
      </c>
      <c r="K571" t="str">
        <f>_xlfn.XLOOKUP(Table8[[#This Row],[Supporter_ID]],tb1_supporters[Supporter_ID ],tb1_supporters[Acquisition_Source],"")</f>
        <v>Social Media</v>
      </c>
      <c r="L571" t="str">
        <f>_xlfn.XLOOKUP(Table8[[#This Row],[Supporter_ID]],tb1_supporters[Supporter_ID ],tb1_supporters[County],"")</f>
        <v>South Yorkshire</v>
      </c>
      <c r="M571" t="str">
        <f>_xlfn.XLOOKUP(Table8[[#This Row],[Supporter_ID]],tb1_supporters[Supporter_ID ],tb1_supporters[Gender],"")</f>
        <v>Female</v>
      </c>
      <c r="N571">
        <f ca="1">_xlfn.XLOOKUP(Table8[[#This Row],[Supporter_ID]],tb1_supporters[Supporter_ID ],tb1_supporters[Age],"")</f>
        <v>48</v>
      </c>
      <c r="O571" t="str">
        <f ca="1">_xlfn.XLOOKUP(Table8[[#This Row],[Supporter_ID]],tb1_supporters[Supporter_ID ],tb1_supporters[Age_Band],"")</f>
        <v>35-49</v>
      </c>
      <c r="P571" t="str">
        <f ca="1">IF(Table8[[#This Row],[Age_Band]]="","Unknown",Table8[[#This Row],[Age_Band]])</f>
        <v>35-49</v>
      </c>
      <c r="Q571" t="str">
        <f>_xlfn.XLOOKUP(Table8[[#This Row],[Supporter_ID]],tb1_supporters[Supporter_ID ],tb1_supporters[Communication_Preference],"")</f>
        <v>Post</v>
      </c>
      <c r="R571" t="str">
        <f>_xlfn.XLOOKUP(Table8[[#This Row],[Supporter_ID]],tb1_supporters[Supporter_ID ],tb1_supporters[Duplicate_Profile_Flag],"")</f>
        <v/>
      </c>
      <c r="S571" t="str">
        <f>_xlfn.XLOOKUP(Table8[[#This Row],[Supporter_ID]],tb1_supporters[Supporter_ID ],tb1_supporters[Preference_Compliance_Flag],"")</f>
        <v/>
      </c>
      <c r="T571" t="str">
        <f ca="1">IF(Table8[[#This Row],[Age]]="","Review - missing DOB",IF(Table8[[#This Row],[Age]]&gt;TODAY(),"Review - future DOB",IF(Table8[[#This Row],[Age]]=0,"Review -  potential entry error (age 0)","")))</f>
        <v/>
      </c>
      <c r="U571" t="str">
        <f>_xlfn.XLOOKUP(Table8[[#This Row],[Campaign_Code]],tb3_CampaignMaster[Campaign_Code],tb3_CampaignMaster[Campaign_Type],"")</f>
        <v>Appeal</v>
      </c>
      <c r="V571" t="str">
        <f>_xlfn.XLOOKUP(Table8[[#This Row],[Campaign_Code]],tb3_CampaignMaster[Campaign_Code],tb3_CampaignMaster[Target_Audience],"")</f>
        <v>All Active</v>
      </c>
      <c r="W571" s="17">
        <f>_xlfn.XLOOKUP(Table8[[#This Row],[Campaign_Code]],tb3_CampaignMaster[Campaign_Code],tb3_CampaignMaster[Start_Date],"")</f>
        <v>45597</v>
      </c>
      <c r="X571" s="17">
        <f>_xlfn.XLOOKUP(Table8[[#This Row],[Campaign_Code]],tb3_CampaignMaster[Campaign_Code],tb3_CampaignMaster[End_Date],"")</f>
        <v>45657</v>
      </c>
      <c r="Y571">
        <f>_xlfn.XLOOKUP(Table8[[#This Row],[Campaign_Code]],tb3_CampaignMaster[Campaign_Code],tb3_CampaignMaster[Budget_GBP],"")</f>
        <v>25000</v>
      </c>
      <c r="Z571" t="str">
        <f>_xlfn.XLOOKUP(Table8[[#This Row],[Campaign_Code]],tb3_CampaignMaster[Campaign_Code],tb3_CampaignMaster[Primary_Channel],"")</f>
        <v>Multi-channel</v>
      </c>
      <c r="AA571" s="13">
        <f>IF(Table8[[#This Row],[Gift_Aid_Eligible]]="Yes",Table8[[#This Row],[Gift_Amount]]*1.25,Table8[[#This Row],[Gift_Amount]])</f>
        <v>-9.26</v>
      </c>
      <c r="AB571" t="str">
        <f>IF(Table8[[#This Row],[Supporter_ID]]="","Review - missing supporter ID","")</f>
        <v/>
      </c>
      <c r="AC571" t="str">
        <f>IF(OR(Table8[[#This Row],[Response_Date]]&lt;Table8[[#This Row],[Start_Date]],Table8[[#This Row],[Response_Date]]&gt;Table8[[#This Row],[End_Date]]),"Review - response outside campaign dates","")</f>
        <v/>
      </c>
      <c r="AD571" t="str">
        <f>IF(Table8[[#This Row],[Campaign_Type]]="","Review - campaign code not found","")</f>
        <v/>
      </c>
    </row>
    <row r="572" spans="1:30" x14ac:dyDescent="0.25">
      <c r="A572" t="s">
        <v>4324</v>
      </c>
      <c r="B572" t="s">
        <v>939</v>
      </c>
      <c r="C572" t="s">
        <v>3320</v>
      </c>
      <c r="D572" t="s">
        <v>3321</v>
      </c>
      <c r="E572" t="s">
        <v>65</v>
      </c>
      <c r="F572" s="17">
        <v>45461</v>
      </c>
      <c r="G572">
        <v>22.87</v>
      </c>
      <c r="H572" t="s">
        <v>36</v>
      </c>
      <c r="I572" t="s">
        <v>3365</v>
      </c>
      <c r="J572" t="str">
        <f>_xlfn.XLOOKUP(Table8[[#This Row],[Supporter_ID]],tb1_supporters[Supporter_ID ],tb1_supporters[Segment],"")</f>
        <v>Regular Giver</v>
      </c>
      <c r="K572" t="str">
        <f>_xlfn.XLOOKUP(Table8[[#This Row],[Supporter_ID]],tb1_supporters[Supporter_ID ],tb1_supporters[Acquisition_Source],"")</f>
        <v>Website</v>
      </c>
      <c r="L572" t="str">
        <f>_xlfn.XLOOKUP(Table8[[#This Row],[Supporter_ID]],tb1_supporters[Supporter_ID ],tb1_supporters[County],"")</f>
        <v>West Yorkshire</v>
      </c>
      <c r="M572" t="str">
        <f>_xlfn.XLOOKUP(Table8[[#This Row],[Supporter_ID]],tb1_supporters[Supporter_ID ],tb1_supporters[Gender],"")</f>
        <v>Male</v>
      </c>
      <c r="N572">
        <f ca="1">_xlfn.XLOOKUP(Table8[[#This Row],[Supporter_ID]],tb1_supporters[Supporter_ID ],tb1_supporters[Age],"")</f>
        <v>25</v>
      </c>
      <c r="O572" t="str">
        <f ca="1">_xlfn.XLOOKUP(Table8[[#This Row],[Supporter_ID]],tb1_supporters[Supporter_ID ],tb1_supporters[Age_Band],"")</f>
        <v>18-34</v>
      </c>
      <c r="P572" t="str">
        <f ca="1">IF(Table8[[#This Row],[Age_Band]]="","Unknown",Table8[[#This Row],[Age_Band]])</f>
        <v>18-34</v>
      </c>
      <c r="Q572" t="str">
        <f>_xlfn.XLOOKUP(Table8[[#This Row],[Supporter_ID]],tb1_supporters[Supporter_ID ],tb1_supporters[Communication_Preference],"")</f>
        <v>Phone</v>
      </c>
      <c r="R572" t="str">
        <f>_xlfn.XLOOKUP(Table8[[#This Row],[Supporter_ID]],tb1_supporters[Supporter_ID ],tb1_supporters[Duplicate_Profile_Flag],"")</f>
        <v/>
      </c>
      <c r="S572" t="str">
        <f>_xlfn.XLOOKUP(Table8[[#This Row],[Supporter_ID]],tb1_supporters[Supporter_ID ],tb1_supporters[Preference_Compliance_Flag],"")</f>
        <v>Review - prefers phone but not opted in</v>
      </c>
      <c r="T572" t="str">
        <f ca="1">IF(Table8[[#This Row],[Age]]="","Review - missing DOB",IF(Table8[[#This Row],[Age]]&gt;TODAY(),"Review - future DOB",IF(Table8[[#This Row],[Age]]=0,"Review -  potential entry error (age 0)","")))</f>
        <v/>
      </c>
      <c r="U572" t="str">
        <f>_xlfn.XLOOKUP(Table8[[#This Row],[Campaign_Code]],tb3_CampaignMaster[Campaign_Code],tb3_CampaignMaster[Campaign_Type],"")</f>
        <v>Stewardship</v>
      </c>
      <c r="V572" t="str">
        <f>_xlfn.XLOOKUP(Table8[[#This Row],[Campaign_Code]],tb3_CampaignMaster[Campaign_Code],tb3_CampaignMaster[Target_Audience],"")</f>
        <v>Major Donors</v>
      </c>
      <c r="W572" s="17">
        <f>_xlfn.XLOOKUP(Table8[[#This Row],[Campaign_Code]],tb3_CampaignMaster[Campaign_Code],tb3_CampaignMaster[Start_Date],"")</f>
        <v>45444</v>
      </c>
      <c r="X572" s="17">
        <f>_xlfn.XLOOKUP(Table8[[#This Row],[Campaign_Code]],tb3_CampaignMaster[Campaign_Code],tb3_CampaignMaster[End_Date],"")</f>
        <v>45473</v>
      </c>
      <c r="Y572">
        <f>_xlfn.XLOOKUP(Table8[[#This Row],[Campaign_Code]],tb3_CampaignMaster[Campaign_Code],tb3_CampaignMaster[Budget_GBP],"")</f>
        <v>7000</v>
      </c>
      <c r="Z572" t="str">
        <f>_xlfn.XLOOKUP(Table8[[#This Row],[Campaign_Code]],tb3_CampaignMaster[Campaign_Code],tb3_CampaignMaster[Primary_Channel],"")</f>
        <v>Direct Mail</v>
      </c>
      <c r="AA572" s="13">
        <f>IF(Table8[[#This Row],[Gift_Aid_Eligible]]="Yes",Table8[[#This Row],[Gift_Amount]]*1.25,Table8[[#This Row],[Gift_Amount]])</f>
        <v>28.587500000000002</v>
      </c>
      <c r="AB572" t="str">
        <f>IF(Table8[[#This Row],[Supporter_ID]]="","Review - missing supporter ID","")</f>
        <v/>
      </c>
      <c r="AC572" t="str">
        <f>IF(OR(Table8[[#This Row],[Response_Date]]&lt;Table8[[#This Row],[Start_Date]],Table8[[#This Row],[Response_Date]]&gt;Table8[[#This Row],[End_Date]]),"Review - response outside campaign dates","")</f>
        <v/>
      </c>
      <c r="AD572" t="str">
        <f>IF(Table8[[#This Row],[Campaign_Type]]="","Review - campaign code not found","")</f>
        <v/>
      </c>
    </row>
    <row r="573" spans="1:30" x14ac:dyDescent="0.25">
      <c r="A573" t="s">
        <v>4326</v>
      </c>
      <c r="B573" t="s">
        <v>336</v>
      </c>
      <c r="C573" t="s">
        <v>3403</v>
      </c>
      <c r="D573" t="s">
        <v>3404</v>
      </c>
      <c r="E573" t="s">
        <v>3316</v>
      </c>
      <c r="F573" s="17">
        <v>45614</v>
      </c>
      <c r="G573">
        <v>98.53</v>
      </c>
      <c r="H573" t="s">
        <v>37</v>
      </c>
      <c r="I573" t="s">
        <v>3328</v>
      </c>
      <c r="J573" t="str">
        <f>_xlfn.XLOOKUP(Table8[[#This Row],[Supporter_ID]],tb1_supporters[Supporter_ID ],tb1_supporters[Segment],"")</f>
        <v>Legacy Pledger</v>
      </c>
      <c r="K573" t="str">
        <f>_xlfn.XLOOKUP(Table8[[#This Row],[Supporter_ID]],tb1_supporters[Supporter_ID ],tb1_supporters[Acquisition_Source],"")</f>
        <v>Direct Mail</v>
      </c>
      <c r="L573" t="str">
        <f>_xlfn.XLOOKUP(Table8[[#This Row],[Supporter_ID]],tb1_supporters[Supporter_ID ],tb1_supporters[County],"")</f>
        <v>Tyne and Wear</v>
      </c>
      <c r="M573" t="str">
        <f>_xlfn.XLOOKUP(Table8[[#This Row],[Supporter_ID]],tb1_supporters[Supporter_ID ],tb1_supporters[Gender],"")</f>
        <v>Male</v>
      </c>
      <c r="N573">
        <f ca="1">_xlfn.XLOOKUP(Table8[[#This Row],[Supporter_ID]],tb1_supporters[Supporter_ID ],tb1_supporters[Age],"")</f>
        <v>37</v>
      </c>
      <c r="O573" t="str">
        <f ca="1">_xlfn.XLOOKUP(Table8[[#This Row],[Supporter_ID]],tb1_supporters[Supporter_ID ],tb1_supporters[Age_Band],"")</f>
        <v>35-49</v>
      </c>
      <c r="P573" t="str">
        <f ca="1">IF(Table8[[#This Row],[Age_Band]]="","Unknown",Table8[[#This Row],[Age_Band]])</f>
        <v>35-49</v>
      </c>
      <c r="Q573" t="str">
        <f>_xlfn.XLOOKUP(Table8[[#This Row],[Supporter_ID]],tb1_supporters[Supporter_ID ],tb1_supporters[Communication_Preference],"")</f>
        <v>Phone</v>
      </c>
      <c r="R573" t="str">
        <f>_xlfn.XLOOKUP(Table8[[#This Row],[Supporter_ID]],tb1_supporters[Supporter_ID ],tb1_supporters[Duplicate_Profile_Flag],"")</f>
        <v/>
      </c>
      <c r="S573" t="str">
        <f>_xlfn.XLOOKUP(Table8[[#This Row],[Supporter_ID]],tb1_supporters[Supporter_ID ],tb1_supporters[Preference_Compliance_Flag],"")</f>
        <v>Review - prefers phone but not opted in</v>
      </c>
      <c r="T573" t="str">
        <f ca="1">IF(Table8[[#This Row],[Age]]="","Review - missing DOB",IF(Table8[[#This Row],[Age]]&gt;TODAY(),"Review - future DOB",IF(Table8[[#This Row],[Age]]=0,"Review -  potential entry error (age 0)","")))</f>
        <v/>
      </c>
      <c r="U573" t="str">
        <f>_xlfn.XLOOKUP(Table8[[#This Row],[Campaign_Code]],tb3_CampaignMaster[Campaign_Code],tb3_CampaignMaster[Campaign_Type],"")</f>
        <v>Trading</v>
      </c>
      <c r="V573" t="str">
        <f>_xlfn.XLOOKUP(Table8[[#This Row],[Campaign_Code]],tb3_CampaignMaster[Campaign_Code],tb3_CampaignMaster[Target_Audience],"")</f>
        <v>All Active</v>
      </c>
      <c r="W573" s="17">
        <f>_xlfn.XLOOKUP(Table8[[#This Row],[Campaign_Code]],tb3_CampaignMaster[Campaign_Code],tb3_CampaignMaster[Start_Date],"")</f>
        <v>45580</v>
      </c>
      <c r="X573" s="17">
        <f>_xlfn.XLOOKUP(Table8[[#This Row],[Campaign_Code]],tb3_CampaignMaster[Campaign_Code],tb3_CampaignMaster[End_Date],"")</f>
        <v>45646</v>
      </c>
      <c r="Y573">
        <f>_xlfn.XLOOKUP(Table8[[#This Row],[Campaign_Code]],tb3_CampaignMaster[Campaign_Code],tb3_CampaignMaster[Budget_GBP],"")</f>
        <v>12000</v>
      </c>
      <c r="Z573" t="str">
        <f>_xlfn.XLOOKUP(Table8[[#This Row],[Campaign_Code]],tb3_CampaignMaster[Campaign_Code],tb3_CampaignMaster[Primary_Channel],"")</f>
        <v>Multi-channel</v>
      </c>
      <c r="AA573" s="13">
        <f>IF(Table8[[#This Row],[Gift_Aid_Eligible]]="Yes",Table8[[#This Row],[Gift_Amount]]*1.25,Table8[[#This Row],[Gift_Amount]])</f>
        <v>98.53</v>
      </c>
      <c r="AB573" t="str">
        <f>IF(Table8[[#This Row],[Supporter_ID]]="","Review - missing supporter ID","")</f>
        <v/>
      </c>
      <c r="AC573" t="str">
        <f>IF(OR(Table8[[#This Row],[Response_Date]]&lt;Table8[[#This Row],[Start_Date]],Table8[[#This Row],[Response_Date]]&gt;Table8[[#This Row],[End_Date]]),"Review - response outside campaign dates","")</f>
        <v/>
      </c>
      <c r="AD573" t="str">
        <f>IF(Table8[[#This Row],[Campaign_Type]]="","Review - campaign code not found","")</f>
        <v/>
      </c>
    </row>
    <row r="574" spans="1:30" x14ac:dyDescent="0.25">
      <c r="A574" t="s">
        <v>4327</v>
      </c>
      <c r="B574" t="s">
        <v>2508</v>
      </c>
      <c r="C574" t="s">
        <v>3341</v>
      </c>
      <c r="D574" t="s">
        <v>3342</v>
      </c>
      <c r="E574" t="s">
        <v>4</v>
      </c>
      <c r="F574" s="17">
        <v>45701</v>
      </c>
      <c r="G574">
        <v>38.31</v>
      </c>
      <c r="H574" t="s">
        <v>36</v>
      </c>
      <c r="I574" t="s">
        <v>3385</v>
      </c>
      <c r="J574" t="str">
        <f>_xlfn.XLOOKUP(Table8[[#This Row],[Supporter_ID]],tb1_supporters[Supporter_ID ],tb1_supporters[Segment],"")</f>
        <v>Mid-Value</v>
      </c>
      <c r="K574" t="str">
        <f>_xlfn.XLOOKUP(Table8[[#This Row],[Supporter_ID]],tb1_supporters[Supporter_ID ],tb1_supporters[Acquisition_Source],"")</f>
        <v>Event</v>
      </c>
      <c r="L574" t="str">
        <f>_xlfn.XLOOKUP(Table8[[#This Row],[Supporter_ID]],tb1_supporters[Supporter_ID ],tb1_supporters[County],"")</f>
        <v>East Sussex</v>
      </c>
      <c r="M574" t="str">
        <f>_xlfn.XLOOKUP(Table8[[#This Row],[Supporter_ID]],tb1_supporters[Supporter_ID ],tb1_supporters[Gender],"")</f>
        <v>Female</v>
      </c>
      <c r="N574">
        <f ca="1">_xlfn.XLOOKUP(Table8[[#This Row],[Supporter_ID]],tb1_supporters[Supporter_ID ],tb1_supporters[Age],"")</f>
        <v>65</v>
      </c>
      <c r="O574" t="str">
        <f ca="1">_xlfn.XLOOKUP(Table8[[#This Row],[Supporter_ID]],tb1_supporters[Supporter_ID ],tb1_supporters[Age_Band],"")</f>
        <v>65+</v>
      </c>
      <c r="P574" t="str">
        <f ca="1">IF(Table8[[#This Row],[Age_Band]]="","Unknown",Table8[[#This Row],[Age_Band]])</f>
        <v>65+</v>
      </c>
      <c r="Q574" t="str">
        <f>_xlfn.XLOOKUP(Table8[[#This Row],[Supporter_ID]],tb1_supporters[Supporter_ID ],tb1_supporters[Communication_Preference],"")</f>
        <v>Post</v>
      </c>
      <c r="R574" t="str">
        <f>_xlfn.XLOOKUP(Table8[[#This Row],[Supporter_ID]],tb1_supporters[Supporter_ID ],tb1_supporters[Duplicate_Profile_Flag],"")</f>
        <v/>
      </c>
      <c r="S574" t="str">
        <f>_xlfn.XLOOKUP(Table8[[#This Row],[Supporter_ID]],tb1_supporters[Supporter_ID ],tb1_supporters[Preference_Compliance_Flag],"")</f>
        <v/>
      </c>
      <c r="T574" t="str">
        <f ca="1">IF(Table8[[#This Row],[Age]]="","Review - missing DOB",IF(Table8[[#This Row],[Age]]&gt;TODAY(),"Review - future DOB",IF(Table8[[#This Row],[Age]]=0,"Review -  potential entry error (age 0)","")))</f>
        <v/>
      </c>
      <c r="U574" t="str">
        <f>_xlfn.XLOOKUP(Table8[[#This Row],[Campaign_Code]],tb3_CampaignMaster[Campaign_Code],tb3_CampaignMaster[Campaign_Type],"")</f>
        <v>Acquisition</v>
      </c>
      <c r="V574" t="str">
        <f>_xlfn.XLOOKUP(Table8[[#This Row],[Campaign_Code]],tb3_CampaignMaster[Campaign_Code],tb3_CampaignMaster[Target_Audience],"")</f>
        <v>Prospects</v>
      </c>
      <c r="W574" s="17">
        <f>_xlfn.XLOOKUP(Table8[[#This Row],[Campaign_Code]],tb3_CampaignMaster[Campaign_Code],tb3_CampaignMaster[Start_Date],"")</f>
        <v>45689</v>
      </c>
      <c r="X574" s="17">
        <f>_xlfn.XLOOKUP(Table8[[#This Row],[Campaign_Code]],tb3_CampaignMaster[Campaign_Code],tb3_CampaignMaster[End_Date],"")</f>
        <v>45777</v>
      </c>
      <c r="Y574">
        <f>_xlfn.XLOOKUP(Table8[[#This Row],[Campaign_Code]],tb3_CampaignMaster[Campaign_Code],tb3_CampaignMaster[Budget_GBP],"")</f>
        <v>20000</v>
      </c>
      <c r="Z574" t="str">
        <f>_xlfn.XLOOKUP(Table8[[#This Row],[Campaign_Code]],tb3_CampaignMaster[Campaign_Code],tb3_CampaignMaster[Primary_Channel],"")</f>
        <v>Digital</v>
      </c>
      <c r="AA574" s="13">
        <f>IF(Table8[[#This Row],[Gift_Aid_Eligible]]="Yes",Table8[[#This Row],[Gift_Amount]]*1.25,Table8[[#This Row],[Gift_Amount]])</f>
        <v>47.887500000000003</v>
      </c>
      <c r="AB574" t="str">
        <f>IF(Table8[[#This Row],[Supporter_ID]]="","Review - missing supporter ID","")</f>
        <v/>
      </c>
      <c r="AC574" t="str">
        <f>IF(OR(Table8[[#This Row],[Response_Date]]&lt;Table8[[#This Row],[Start_Date]],Table8[[#This Row],[Response_Date]]&gt;Table8[[#This Row],[End_Date]]),"Review - response outside campaign dates","")</f>
        <v/>
      </c>
      <c r="AD574" t="str">
        <f>IF(Table8[[#This Row],[Campaign_Type]]="","Review - campaign code not found","")</f>
        <v/>
      </c>
    </row>
    <row r="575" spans="1:30" x14ac:dyDescent="0.25">
      <c r="A575" t="s">
        <v>4328</v>
      </c>
      <c r="B575" t="s">
        <v>471</v>
      </c>
      <c r="C575" t="s">
        <v>3336</v>
      </c>
      <c r="D575" t="s">
        <v>3337</v>
      </c>
      <c r="E575" t="s">
        <v>4</v>
      </c>
      <c r="F575" s="17">
        <v>45577</v>
      </c>
      <c r="G575">
        <v>63.03</v>
      </c>
      <c r="H575" t="s">
        <v>36</v>
      </c>
      <c r="I575" t="s">
        <v>3323</v>
      </c>
      <c r="J575" t="str">
        <f>_xlfn.XLOOKUP(Table8[[#This Row],[Supporter_ID]],tb1_supporters[Supporter_ID ],tb1_supporters[Segment],"")</f>
        <v>Legacy Pledger</v>
      </c>
      <c r="K575" t="str">
        <f>_xlfn.XLOOKUP(Table8[[#This Row],[Supporter_ID]],tb1_supporters[Supporter_ID ],tb1_supporters[Acquisition_Source],"")</f>
        <v>Referral</v>
      </c>
      <c r="L575" t="str">
        <f>_xlfn.XLOOKUP(Table8[[#This Row],[Supporter_ID]],tb1_supporters[Supporter_ID ],tb1_supporters[County],"")</f>
        <v>Leicestershire</v>
      </c>
      <c r="M575" t="str">
        <f>_xlfn.XLOOKUP(Table8[[#This Row],[Supporter_ID]],tb1_supporters[Supporter_ID ],tb1_supporters[Gender],"")</f>
        <v>Female</v>
      </c>
      <c r="N575">
        <f ca="1">_xlfn.XLOOKUP(Table8[[#This Row],[Supporter_ID]],tb1_supporters[Supporter_ID ],tb1_supporters[Age],"")</f>
        <v>96</v>
      </c>
      <c r="O575" t="str">
        <f ca="1">_xlfn.XLOOKUP(Table8[[#This Row],[Supporter_ID]],tb1_supporters[Supporter_ID ],tb1_supporters[Age_Band],"")</f>
        <v>65+</v>
      </c>
      <c r="P575" t="str">
        <f ca="1">IF(Table8[[#This Row],[Age_Band]]="","Unknown",Table8[[#This Row],[Age_Band]])</f>
        <v>65+</v>
      </c>
      <c r="Q575" t="str">
        <f>_xlfn.XLOOKUP(Table8[[#This Row],[Supporter_ID]],tb1_supporters[Supporter_ID ],tb1_supporters[Communication_Preference],"")</f>
        <v>Post</v>
      </c>
      <c r="R575" t="str">
        <f>_xlfn.XLOOKUP(Table8[[#This Row],[Supporter_ID]],tb1_supporters[Supporter_ID ],tb1_supporters[Duplicate_Profile_Flag],"")</f>
        <v>Review - duplicate record, see Supporter_Duplicates tab</v>
      </c>
      <c r="S575" t="str">
        <f>_xlfn.XLOOKUP(Table8[[#This Row],[Supporter_ID]],tb1_supporters[Supporter_ID ],tb1_supporters[Preference_Compliance_Flag],"")</f>
        <v>Review - prefers post but not opted in</v>
      </c>
      <c r="T575" t="str">
        <f ca="1">IF(Table8[[#This Row],[Age]]="","Review - missing DOB",IF(Table8[[#This Row],[Age]]&gt;TODAY(),"Review - future DOB",IF(Table8[[#This Row],[Age]]=0,"Review -  potential entry error (age 0)","")))</f>
        <v/>
      </c>
      <c r="U575" t="str">
        <f>_xlfn.XLOOKUP(Table8[[#This Row],[Campaign_Code]],tb3_CampaignMaster[Campaign_Code],tb3_CampaignMaster[Campaign_Type],"")</f>
        <v>Appeal</v>
      </c>
      <c r="V575" t="str">
        <f>_xlfn.XLOOKUP(Table8[[#This Row],[Campaign_Code]],tb3_CampaignMaster[Campaign_Code],tb3_CampaignMaster[Target_Audience],"")</f>
        <v>All Supporters</v>
      </c>
      <c r="W575" s="17">
        <f>_xlfn.XLOOKUP(Table8[[#This Row],[Campaign_Code]],tb3_CampaignMaster[Campaign_Code],tb3_CampaignMaster[Start_Date],"")</f>
        <v>45545</v>
      </c>
      <c r="X575" s="17">
        <f>_xlfn.XLOOKUP(Table8[[#This Row],[Campaign_Code]],tb3_CampaignMaster[Campaign_Code],tb3_CampaignMaster[End_Date],"")</f>
        <v>45580</v>
      </c>
      <c r="Y575">
        <f>_xlfn.XLOOKUP(Table8[[#This Row],[Campaign_Code]],tb3_CampaignMaster[Campaign_Code],tb3_CampaignMaster[Budget_GBP],"")</f>
        <v>15000</v>
      </c>
      <c r="Z575" t="str">
        <f>_xlfn.XLOOKUP(Table8[[#This Row],[Campaign_Code]],tb3_CampaignMaster[Campaign_Code],tb3_CampaignMaster[Primary_Channel],"")</f>
        <v>Email</v>
      </c>
      <c r="AA575" s="13">
        <f>IF(Table8[[#This Row],[Gift_Aid_Eligible]]="Yes",Table8[[#This Row],[Gift_Amount]]*1.25,Table8[[#This Row],[Gift_Amount]])</f>
        <v>78.787499999999994</v>
      </c>
      <c r="AB575" t="str">
        <f>IF(Table8[[#This Row],[Supporter_ID]]="","Review - missing supporter ID","")</f>
        <v/>
      </c>
      <c r="AC575" t="str">
        <f>IF(OR(Table8[[#This Row],[Response_Date]]&lt;Table8[[#This Row],[Start_Date]],Table8[[#This Row],[Response_Date]]&gt;Table8[[#This Row],[End_Date]]),"Review - response outside campaign dates","")</f>
        <v/>
      </c>
      <c r="AD575" t="str">
        <f>IF(Table8[[#This Row],[Campaign_Type]]="","Review - campaign code not found","")</f>
        <v/>
      </c>
    </row>
    <row r="576" spans="1:30" x14ac:dyDescent="0.25">
      <c r="A576" t="s">
        <v>4329</v>
      </c>
      <c r="B576" t="s">
        <v>1226</v>
      </c>
      <c r="C576" t="s">
        <v>3427</v>
      </c>
      <c r="D576" t="s">
        <v>3428</v>
      </c>
      <c r="E576" t="s">
        <v>65</v>
      </c>
      <c r="F576" s="17">
        <v>45488</v>
      </c>
      <c r="G576">
        <v>39.94</v>
      </c>
      <c r="H576" t="s">
        <v>37</v>
      </c>
      <c r="I576" t="s">
        <v>3385</v>
      </c>
      <c r="J576" t="str">
        <f>_xlfn.XLOOKUP(Table8[[#This Row],[Supporter_ID]],tb1_supporters[Supporter_ID ],tb1_supporters[Segment],"")</f>
        <v>Regular Giver</v>
      </c>
      <c r="K576" t="str">
        <f>_xlfn.XLOOKUP(Table8[[#This Row],[Supporter_ID]],tb1_supporters[Supporter_ID ],tb1_supporters[Acquisition_Source],"")</f>
        <v>Direct Mail</v>
      </c>
      <c r="L576" t="str">
        <f>_xlfn.XLOOKUP(Table8[[#This Row],[Supporter_ID]],tb1_supporters[Supporter_ID ],tb1_supporters[County],"")</f>
        <v>North Yorkshire</v>
      </c>
      <c r="M576" t="str">
        <f>_xlfn.XLOOKUP(Table8[[#This Row],[Supporter_ID]],tb1_supporters[Supporter_ID ],tb1_supporters[Gender],"")</f>
        <v>Female</v>
      </c>
      <c r="N576">
        <f ca="1">_xlfn.XLOOKUP(Table8[[#This Row],[Supporter_ID]],tb1_supporters[Supporter_ID ],tb1_supporters[Age],"")</f>
        <v>85</v>
      </c>
      <c r="O576" t="str">
        <f ca="1">_xlfn.XLOOKUP(Table8[[#This Row],[Supporter_ID]],tb1_supporters[Supporter_ID ],tb1_supporters[Age_Band],"")</f>
        <v>65+</v>
      </c>
      <c r="P576" t="str">
        <f ca="1">IF(Table8[[#This Row],[Age_Band]]="","Unknown",Table8[[#This Row],[Age_Band]])</f>
        <v>65+</v>
      </c>
      <c r="Q576" t="str">
        <f>_xlfn.XLOOKUP(Table8[[#This Row],[Supporter_ID]],tb1_supporters[Supporter_ID ],tb1_supporters[Communication_Preference],"")</f>
        <v>Post</v>
      </c>
      <c r="R576" t="str">
        <f>_xlfn.XLOOKUP(Table8[[#This Row],[Supporter_ID]],tb1_supporters[Supporter_ID ],tb1_supporters[Duplicate_Profile_Flag],"")</f>
        <v/>
      </c>
      <c r="S576" t="str">
        <f>_xlfn.XLOOKUP(Table8[[#This Row],[Supporter_ID]],tb1_supporters[Supporter_ID ],tb1_supporters[Preference_Compliance_Flag],"")</f>
        <v/>
      </c>
      <c r="T576" t="str">
        <f ca="1">IF(Table8[[#This Row],[Age]]="","Review - missing DOB",IF(Table8[[#This Row],[Age]]&gt;TODAY(),"Review - future DOB",IF(Table8[[#This Row],[Age]]=0,"Review -  potential entry error (age 0)","")))</f>
        <v/>
      </c>
      <c r="U576" t="str">
        <f>_xlfn.XLOOKUP(Table8[[#This Row],[Campaign_Code]],tb3_CampaignMaster[Campaign_Code],tb3_CampaignMaster[Campaign_Type],"")</f>
        <v>Event</v>
      </c>
      <c r="V576" t="str">
        <f>_xlfn.XLOOKUP(Table8[[#This Row],[Campaign_Code]],tb3_CampaignMaster[Campaign_Code],tb3_CampaignMaster[Target_Audience],"")</f>
        <v>Major Donors</v>
      </c>
      <c r="W576" s="17">
        <f>_xlfn.XLOOKUP(Table8[[#This Row],[Campaign_Code]],tb3_CampaignMaster[Campaign_Code],tb3_CampaignMaster[Start_Date],"")</f>
        <v>45488</v>
      </c>
      <c r="X576" s="17">
        <f>_xlfn.XLOOKUP(Table8[[#This Row],[Campaign_Code]],tb3_CampaignMaster[Campaign_Code],tb3_CampaignMaster[End_Date],"")</f>
        <v>45488</v>
      </c>
      <c r="Y576">
        <f>_xlfn.XLOOKUP(Table8[[#This Row],[Campaign_Code]],tb3_CampaignMaster[Campaign_Code],tb3_CampaignMaster[Budget_GBP],"")</f>
        <v>45000</v>
      </c>
      <c r="Z576" t="str">
        <f>_xlfn.XLOOKUP(Table8[[#This Row],[Campaign_Code]],tb3_CampaignMaster[Campaign_Code],tb3_CampaignMaster[Primary_Channel],"")</f>
        <v>Direct Mail</v>
      </c>
      <c r="AA576" s="13">
        <f>IF(Table8[[#This Row],[Gift_Aid_Eligible]]="Yes",Table8[[#This Row],[Gift_Amount]]*1.25,Table8[[#This Row],[Gift_Amount]])</f>
        <v>39.94</v>
      </c>
      <c r="AB576" t="str">
        <f>IF(Table8[[#This Row],[Supporter_ID]]="","Review - missing supporter ID","")</f>
        <v/>
      </c>
      <c r="AC576" t="str">
        <f>IF(OR(Table8[[#This Row],[Response_Date]]&lt;Table8[[#This Row],[Start_Date]],Table8[[#This Row],[Response_Date]]&gt;Table8[[#This Row],[End_Date]]),"Review - response outside campaign dates","")</f>
        <v/>
      </c>
      <c r="AD576" t="str">
        <f>IF(Table8[[#This Row],[Campaign_Type]]="","Review - campaign code not found","")</f>
        <v/>
      </c>
    </row>
    <row r="577" spans="1:30" x14ac:dyDescent="0.25">
      <c r="A577" t="s">
        <v>4330</v>
      </c>
      <c r="B577" t="s">
        <v>1903</v>
      </c>
      <c r="C577" t="s">
        <v>3427</v>
      </c>
      <c r="D577" t="s">
        <v>3428</v>
      </c>
      <c r="E577" t="s">
        <v>65</v>
      </c>
      <c r="F577" s="17">
        <v>45488</v>
      </c>
      <c r="G577">
        <v>26.98</v>
      </c>
      <c r="H577" t="s">
        <v>36</v>
      </c>
      <c r="I577" t="s">
        <v>3370</v>
      </c>
      <c r="J577" t="str">
        <f>_xlfn.XLOOKUP(Table8[[#This Row],[Supporter_ID]],tb1_supporters[Supporter_ID ],tb1_supporters[Segment],"")</f>
        <v>Regular Giver</v>
      </c>
      <c r="K577" t="str">
        <f>_xlfn.XLOOKUP(Table8[[#This Row],[Supporter_ID]],tb1_supporters[Supporter_ID ],tb1_supporters[Acquisition_Source],"")</f>
        <v>Website</v>
      </c>
      <c r="L577" t="str">
        <f>_xlfn.XLOOKUP(Table8[[#This Row],[Supporter_ID]],tb1_supporters[Supporter_ID ],tb1_supporters[County],"")</f>
        <v>Wiltshire</v>
      </c>
      <c r="M577" t="str">
        <f>_xlfn.XLOOKUP(Table8[[#This Row],[Supporter_ID]],tb1_supporters[Supporter_ID ],tb1_supporters[Gender],"")</f>
        <v>Female</v>
      </c>
      <c r="N577">
        <f ca="1">_xlfn.XLOOKUP(Table8[[#This Row],[Supporter_ID]],tb1_supporters[Supporter_ID ],tb1_supporters[Age],"")</f>
        <v>33</v>
      </c>
      <c r="O577" t="str">
        <f ca="1">_xlfn.XLOOKUP(Table8[[#This Row],[Supporter_ID]],tb1_supporters[Supporter_ID ],tb1_supporters[Age_Band],"")</f>
        <v>18-34</v>
      </c>
      <c r="P577" t="str">
        <f ca="1">IF(Table8[[#This Row],[Age_Band]]="","Unknown",Table8[[#This Row],[Age_Band]])</f>
        <v>18-34</v>
      </c>
      <c r="Q577" t="str">
        <f>_xlfn.XLOOKUP(Table8[[#This Row],[Supporter_ID]],tb1_supporters[Supporter_ID ],tb1_supporters[Communication_Preference],"")</f>
        <v>Email</v>
      </c>
      <c r="R577" t="str">
        <f>_xlfn.XLOOKUP(Table8[[#This Row],[Supporter_ID]],tb1_supporters[Supporter_ID ],tb1_supporters[Duplicate_Profile_Flag],"")</f>
        <v/>
      </c>
      <c r="S577" t="str">
        <f>_xlfn.XLOOKUP(Table8[[#This Row],[Supporter_ID]],tb1_supporters[Supporter_ID ],tb1_supporters[Preference_Compliance_Flag],"")</f>
        <v/>
      </c>
      <c r="T577" t="str">
        <f ca="1">IF(Table8[[#This Row],[Age]]="","Review - missing DOB",IF(Table8[[#This Row],[Age]]&gt;TODAY(),"Review - future DOB",IF(Table8[[#This Row],[Age]]=0,"Review -  potential entry error (age 0)","")))</f>
        <v/>
      </c>
      <c r="U577" t="str">
        <f>_xlfn.XLOOKUP(Table8[[#This Row],[Campaign_Code]],tb3_CampaignMaster[Campaign_Code],tb3_CampaignMaster[Campaign_Type],"")</f>
        <v>Event</v>
      </c>
      <c r="V577" t="str">
        <f>_xlfn.XLOOKUP(Table8[[#This Row],[Campaign_Code]],tb3_CampaignMaster[Campaign_Code],tb3_CampaignMaster[Target_Audience],"")</f>
        <v>Major Donors</v>
      </c>
      <c r="W577" s="17">
        <f>_xlfn.XLOOKUP(Table8[[#This Row],[Campaign_Code]],tb3_CampaignMaster[Campaign_Code],tb3_CampaignMaster[Start_Date],"")</f>
        <v>45488</v>
      </c>
      <c r="X577" s="17">
        <f>_xlfn.XLOOKUP(Table8[[#This Row],[Campaign_Code]],tb3_CampaignMaster[Campaign_Code],tb3_CampaignMaster[End_Date],"")</f>
        <v>45488</v>
      </c>
      <c r="Y577">
        <f>_xlfn.XLOOKUP(Table8[[#This Row],[Campaign_Code]],tb3_CampaignMaster[Campaign_Code],tb3_CampaignMaster[Budget_GBP],"")</f>
        <v>45000</v>
      </c>
      <c r="Z577" t="str">
        <f>_xlfn.XLOOKUP(Table8[[#This Row],[Campaign_Code]],tb3_CampaignMaster[Campaign_Code],tb3_CampaignMaster[Primary_Channel],"")</f>
        <v>Direct Mail</v>
      </c>
      <c r="AA577" s="13">
        <f>IF(Table8[[#This Row],[Gift_Aid_Eligible]]="Yes",Table8[[#This Row],[Gift_Amount]]*1.25,Table8[[#This Row],[Gift_Amount]])</f>
        <v>33.725000000000001</v>
      </c>
      <c r="AB577" t="str">
        <f>IF(Table8[[#This Row],[Supporter_ID]]="","Review - missing supporter ID","")</f>
        <v/>
      </c>
      <c r="AC577" t="str">
        <f>IF(OR(Table8[[#This Row],[Response_Date]]&lt;Table8[[#This Row],[Start_Date]],Table8[[#This Row],[Response_Date]]&gt;Table8[[#This Row],[End_Date]]),"Review - response outside campaign dates","")</f>
        <v/>
      </c>
      <c r="AD577" t="str">
        <f>IF(Table8[[#This Row],[Campaign_Type]]="","Review - campaign code not found","")</f>
        <v/>
      </c>
    </row>
    <row r="578" spans="1:30" x14ac:dyDescent="0.25">
      <c r="A578" t="s">
        <v>4331</v>
      </c>
      <c r="B578" t="s">
        <v>2463</v>
      </c>
      <c r="C578" t="s">
        <v>3403</v>
      </c>
      <c r="D578" t="s">
        <v>3404</v>
      </c>
      <c r="E578" t="s">
        <v>65</v>
      </c>
      <c r="F578" s="17">
        <v>45629</v>
      </c>
      <c r="G578">
        <v>80.69</v>
      </c>
      <c r="H578" t="s">
        <v>37</v>
      </c>
      <c r="I578" t="s">
        <v>3334</v>
      </c>
      <c r="J578" t="str">
        <f>_xlfn.XLOOKUP(Table8[[#This Row],[Supporter_ID]],tb1_supporters[Supporter_ID ],tb1_supporters[Segment],"")</f>
        <v>Lapsed</v>
      </c>
      <c r="K578" t="str">
        <f>_xlfn.XLOOKUP(Table8[[#This Row],[Supporter_ID]],tb1_supporters[Supporter_ID ],tb1_supporters[Acquisition_Source],"")</f>
        <v>Website</v>
      </c>
      <c r="L578" t="str">
        <f>_xlfn.XLOOKUP(Table8[[#This Row],[Supporter_ID]],tb1_supporters[Supporter_ID ],tb1_supporters[County],"")</f>
        <v>Devon</v>
      </c>
      <c r="M578" t="str">
        <f>_xlfn.XLOOKUP(Table8[[#This Row],[Supporter_ID]],tb1_supporters[Supporter_ID ],tb1_supporters[Gender],"")</f>
        <v>Female</v>
      </c>
      <c r="N578">
        <f ca="1">_xlfn.XLOOKUP(Table8[[#This Row],[Supporter_ID]],tb1_supporters[Supporter_ID ],tb1_supporters[Age],"")</f>
        <v>46</v>
      </c>
      <c r="O578" t="str">
        <f ca="1">_xlfn.XLOOKUP(Table8[[#This Row],[Supporter_ID]],tb1_supporters[Supporter_ID ],tb1_supporters[Age_Band],"")</f>
        <v>35-49</v>
      </c>
      <c r="P578" t="str">
        <f ca="1">IF(Table8[[#This Row],[Age_Band]]="","Unknown",Table8[[#This Row],[Age_Band]])</f>
        <v>35-49</v>
      </c>
      <c r="Q578" t="str">
        <f>_xlfn.XLOOKUP(Table8[[#This Row],[Supporter_ID]],tb1_supporters[Supporter_ID ],tb1_supporters[Communication_Preference],"")</f>
        <v>Post</v>
      </c>
      <c r="R578" t="str">
        <f>_xlfn.XLOOKUP(Table8[[#This Row],[Supporter_ID]],tb1_supporters[Supporter_ID ],tb1_supporters[Duplicate_Profile_Flag],"")</f>
        <v/>
      </c>
      <c r="S578" t="str">
        <f>_xlfn.XLOOKUP(Table8[[#This Row],[Supporter_ID]],tb1_supporters[Supporter_ID ],tb1_supporters[Preference_Compliance_Flag],"")</f>
        <v/>
      </c>
      <c r="T578" t="str">
        <f ca="1">IF(Table8[[#This Row],[Age]]="","Review - missing DOB",IF(Table8[[#This Row],[Age]]&gt;TODAY(),"Review - future DOB",IF(Table8[[#This Row],[Age]]=0,"Review -  potential entry error (age 0)","")))</f>
        <v/>
      </c>
      <c r="U578" t="str">
        <f>_xlfn.XLOOKUP(Table8[[#This Row],[Campaign_Code]],tb3_CampaignMaster[Campaign_Code],tb3_CampaignMaster[Campaign_Type],"")</f>
        <v>Trading</v>
      </c>
      <c r="V578" t="str">
        <f>_xlfn.XLOOKUP(Table8[[#This Row],[Campaign_Code]],tb3_CampaignMaster[Campaign_Code],tb3_CampaignMaster[Target_Audience],"")</f>
        <v>All Active</v>
      </c>
      <c r="W578" s="17">
        <f>_xlfn.XLOOKUP(Table8[[#This Row],[Campaign_Code]],tb3_CampaignMaster[Campaign_Code],tb3_CampaignMaster[Start_Date],"")</f>
        <v>45580</v>
      </c>
      <c r="X578" s="17">
        <f>_xlfn.XLOOKUP(Table8[[#This Row],[Campaign_Code]],tb3_CampaignMaster[Campaign_Code],tb3_CampaignMaster[End_Date],"")</f>
        <v>45646</v>
      </c>
      <c r="Y578">
        <f>_xlfn.XLOOKUP(Table8[[#This Row],[Campaign_Code]],tb3_CampaignMaster[Campaign_Code],tb3_CampaignMaster[Budget_GBP],"")</f>
        <v>12000</v>
      </c>
      <c r="Z578" t="str">
        <f>_xlfn.XLOOKUP(Table8[[#This Row],[Campaign_Code]],tb3_CampaignMaster[Campaign_Code],tb3_CampaignMaster[Primary_Channel],"")</f>
        <v>Multi-channel</v>
      </c>
      <c r="AA578" s="13">
        <f>IF(Table8[[#This Row],[Gift_Aid_Eligible]]="Yes",Table8[[#This Row],[Gift_Amount]]*1.25,Table8[[#This Row],[Gift_Amount]])</f>
        <v>80.69</v>
      </c>
      <c r="AB578" t="str">
        <f>IF(Table8[[#This Row],[Supporter_ID]]="","Review - missing supporter ID","")</f>
        <v/>
      </c>
      <c r="AC578" t="str">
        <f>IF(OR(Table8[[#This Row],[Response_Date]]&lt;Table8[[#This Row],[Start_Date]],Table8[[#This Row],[Response_Date]]&gt;Table8[[#This Row],[End_Date]]),"Review - response outside campaign dates","")</f>
        <v/>
      </c>
      <c r="AD578" t="str">
        <f>IF(Table8[[#This Row],[Campaign_Type]]="","Review - campaign code not found","")</f>
        <v/>
      </c>
    </row>
    <row r="579" spans="1:30" x14ac:dyDescent="0.25">
      <c r="A579" t="s">
        <v>4333</v>
      </c>
      <c r="B579" t="s">
        <v>863</v>
      </c>
      <c r="C579" t="s">
        <v>3403</v>
      </c>
      <c r="D579" t="s">
        <v>3404</v>
      </c>
      <c r="E579" t="s">
        <v>65</v>
      </c>
      <c r="F579" s="17">
        <v>45598</v>
      </c>
      <c r="G579">
        <v>9.82</v>
      </c>
      <c r="H579" t="s">
        <v>37</v>
      </c>
      <c r="I579" t="s">
        <v>3331</v>
      </c>
      <c r="J579" t="str">
        <f>_xlfn.XLOOKUP(Table8[[#This Row],[Supporter_ID]],tb1_supporters[Supporter_ID ],tb1_supporters[Segment],"")</f>
        <v>Prospect</v>
      </c>
      <c r="K579" t="str">
        <f>_xlfn.XLOOKUP(Table8[[#This Row],[Supporter_ID]],tb1_supporters[Supporter_ID ],tb1_supporters[Acquisition_Source],"")</f>
        <v>Social Media</v>
      </c>
      <c r="L579" t="str">
        <f>_xlfn.XLOOKUP(Table8[[#This Row],[Supporter_ID]],tb1_supporters[Supporter_ID ],tb1_supporters[County],"")</f>
        <v>West Midlands</v>
      </c>
      <c r="M579" t="str">
        <f>_xlfn.XLOOKUP(Table8[[#This Row],[Supporter_ID]],tb1_supporters[Supporter_ID ],tb1_supporters[Gender],"")</f>
        <v>Male</v>
      </c>
      <c r="N579" t="str">
        <f ca="1">_xlfn.XLOOKUP(Table8[[#This Row],[Supporter_ID]],tb1_supporters[Supporter_ID ],tb1_supporters[Age],"")</f>
        <v/>
      </c>
      <c r="O579" t="str">
        <f ca="1">_xlfn.XLOOKUP(Table8[[#This Row],[Supporter_ID]],tb1_supporters[Supporter_ID ],tb1_supporters[Age_Band],"")</f>
        <v/>
      </c>
      <c r="P579" t="str">
        <f ca="1">IF(Table8[[#This Row],[Age_Band]]="","Unknown",Table8[[#This Row],[Age_Band]])</f>
        <v>Unknown</v>
      </c>
      <c r="Q579" t="str">
        <f>_xlfn.XLOOKUP(Table8[[#This Row],[Supporter_ID]],tb1_supporters[Supporter_ID ],tb1_supporters[Communication_Preference],"")</f>
        <v>Email</v>
      </c>
      <c r="R579" t="str">
        <f>_xlfn.XLOOKUP(Table8[[#This Row],[Supporter_ID]],tb1_supporters[Supporter_ID ],tb1_supporters[Duplicate_Profile_Flag],"")</f>
        <v/>
      </c>
      <c r="S579" t="str">
        <f>_xlfn.XLOOKUP(Table8[[#This Row],[Supporter_ID]],tb1_supporters[Supporter_ID ],tb1_supporters[Preference_Compliance_Flag],"")</f>
        <v/>
      </c>
      <c r="T579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579" t="str">
        <f>_xlfn.XLOOKUP(Table8[[#This Row],[Campaign_Code]],tb3_CampaignMaster[Campaign_Code],tb3_CampaignMaster[Campaign_Type],"")</f>
        <v>Trading</v>
      </c>
      <c r="V579" t="str">
        <f>_xlfn.XLOOKUP(Table8[[#This Row],[Campaign_Code]],tb3_CampaignMaster[Campaign_Code],tb3_CampaignMaster[Target_Audience],"")</f>
        <v>All Active</v>
      </c>
      <c r="W579" s="17">
        <f>_xlfn.XLOOKUP(Table8[[#This Row],[Campaign_Code]],tb3_CampaignMaster[Campaign_Code],tb3_CampaignMaster[Start_Date],"")</f>
        <v>45580</v>
      </c>
      <c r="X579" s="17">
        <f>_xlfn.XLOOKUP(Table8[[#This Row],[Campaign_Code]],tb3_CampaignMaster[Campaign_Code],tb3_CampaignMaster[End_Date],"")</f>
        <v>45646</v>
      </c>
      <c r="Y579">
        <f>_xlfn.XLOOKUP(Table8[[#This Row],[Campaign_Code]],tb3_CampaignMaster[Campaign_Code],tb3_CampaignMaster[Budget_GBP],"")</f>
        <v>12000</v>
      </c>
      <c r="Z579" t="str">
        <f>_xlfn.XLOOKUP(Table8[[#This Row],[Campaign_Code]],tb3_CampaignMaster[Campaign_Code],tb3_CampaignMaster[Primary_Channel],"")</f>
        <v>Multi-channel</v>
      </c>
      <c r="AA579" s="13">
        <f>IF(Table8[[#This Row],[Gift_Aid_Eligible]]="Yes",Table8[[#This Row],[Gift_Amount]]*1.25,Table8[[#This Row],[Gift_Amount]])</f>
        <v>9.82</v>
      </c>
      <c r="AB579" t="str">
        <f>IF(Table8[[#This Row],[Supporter_ID]]="","Review - missing supporter ID","")</f>
        <v/>
      </c>
      <c r="AC579" t="str">
        <f>IF(OR(Table8[[#This Row],[Response_Date]]&lt;Table8[[#This Row],[Start_Date]],Table8[[#This Row],[Response_Date]]&gt;Table8[[#This Row],[End_Date]]),"Review - response outside campaign dates","")</f>
        <v/>
      </c>
      <c r="AD579" t="str">
        <f>IF(Table8[[#This Row],[Campaign_Type]]="","Review - campaign code not found","")</f>
        <v/>
      </c>
    </row>
    <row r="580" spans="1:30" x14ac:dyDescent="0.25">
      <c r="A580" t="s">
        <v>4334</v>
      </c>
      <c r="B580" t="s">
        <v>1000</v>
      </c>
      <c r="C580" t="s">
        <v>3336</v>
      </c>
      <c r="D580" t="s">
        <v>3337</v>
      </c>
      <c r="E580" t="s">
        <v>65</v>
      </c>
      <c r="F580" s="17">
        <v>45546</v>
      </c>
      <c r="G580">
        <v>73.319999999999993</v>
      </c>
      <c r="H580" t="s">
        <v>37</v>
      </c>
      <c r="I580" t="s">
        <v>3328</v>
      </c>
      <c r="J580" t="str">
        <f>_xlfn.XLOOKUP(Table8[[#This Row],[Supporter_ID]],tb1_supporters[Supporter_ID ],tb1_supporters[Segment],"")</f>
        <v>One-Time Donor</v>
      </c>
      <c r="K580" t="str">
        <f>_xlfn.XLOOKUP(Table8[[#This Row],[Supporter_ID]],tb1_supporters[Supporter_ID ],tb1_supporters[Acquisition_Source],"")</f>
        <v>Website</v>
      </c>
      <c r="L580" t="str">
        <f>_xlfn.XLOOKUP(Table8[[#This Row],[Supporter_ID]],tb1_supporters[Supporter_ID ],tb1_supporters[County],"")</f>
        <v>North Yorkshire</v>
      </c>
      <c r="M580" t="str">
        <f>_xlfn.XLOOKUP(Table8[[#This Row],[Supporter_ID]],tb1_supporters[Supporter_ID ],tb1_supporters[Gender],"")</f>
        <v>Male</v>
      </c>
      <c r="N580">
        <f ca="1">_xlfn.XLOOKUP(Table8[[#This Row],[Supporter_ID]],tb1_supporters[Supporter_ID ],tb1_supporters[Age],"")</f>
        <v>65</v>
      </c>
      <c r="O580" t="str">
        <f ca="1">_xlfn.XLOOKUP(Table8[[#This Row],[Supporter_ID]],tb1_supporters[Supporter_ID ],tb1_supporters[Age_Band],"")</f>
        <v>65+</v>
      </c>
      <c r="P580" t="str">
        <f ca="1">IF(Table8[[#This Row],[Age_Band]]="","Unknown",Table8[[#This Row],[Age_Band]])</f>
        <v>65+</v>
      </c>
      <c r="Q580" t="str">
        <f>_xlfn.XLOOKUP(Table8[[#This Row],[Supporter_ID]],tb1_supporters[Supporter_ID ],tb1_supporters[Communication_Preference],"")</f>
        <v>Email</v>
      </c>
      <c r="R580" t="str">
        <f>_xlfn.XLOOKUP(Table8[[#This Row],[Supporter_ID]],tb1_supporters[Supporter_ID ],tb1_supporters[Duplicate_Profile_Flag],"")</f>
        <v/>
      </c>
      <c r="S580" t="str">
        <f>_xlfn.XLOOKUP(Table8[[#This Row],[Supporter_ID]],tb1_supporters[Supporter_ID ],tb1_supporters[Preference_Compliance_Flag],"")</f>
        <v/>
      </c>
      <c r="T580" t="str">
        <f ca="1">IF(Table8[[#This Row],[Age]]="","Review - missing DOB",IF(Table8[[#This Row],[Age]]&gt;TODAY(),"Review - future DOB",IF(Table8[[#This Row],[Age]]=0,"Review -  potential entry error (age 0)","")))</f>
        <v/>
      </c>
      <c r="U580" t="str">
        <f>_xlfn.XLOOKUP(Table8[[#This Row],[Campaign_Code]],tb3_CampaignMaster[Campaign_Code],tb3_CampaignMaster[Campaign_Type],"")</f>
        <v>Appeal</v>
      </c>
      <c r="V580" t="str">
        <f>_xlfn.XLOOKUP(Table8[[#This Row],[Campaign_Code]],tb3_CampaignMaster[Campaign_Code],tb3_CampaignMaster[Target_Audience],"")</f>
        <v>All Supporters</v>
      </c>
      <c r="W580" s="17">
        <f>_xlfn.XLOOKUP(Table8[[#This Row],[Campaign_Code]],tb3_CampaignMaster[Campaign_Code],tb3_CampaignMaster[Start_Date],"")</f>
        <v>45545</v>
      </c>
      <c r="X580" s="17">
        <f>_xlfn.XLOOKUP(Table8[[#This Row],[Campaign_Code]],tb3_CampaignMaster[Campaign_Code],tb3_CampaignMaster[End_Date],"")</f>
        <v>45580</v>
      </c>
      <c r="Y580">
        <f>_xlfn.XLOOKUP(Table8[[#This Row],[Campaign_Code]],tb3_CampaignMaster[Campaign_Code],tb3_CampaignMaster[Budget_GBP],"")</f>
        <v>15000</v>
      </c>
      <c r="Z580" t="str">
        <f>_xlfn.XLOOKUP(Table8[[#This Row],[Campaign_Code]],tb3_CampaignMaster[Campaign_Code],tb3_CampaignMaster[Primary_Channel],"")</f>
        <v>Email</v>
      </c>
      <c r="AA580" s="13">
        <f>IF(Table8[[#This Row],[Gift_Aid_Eligible]]="Yes",Table8[[#This Row],[Gift_Amount]]*1.25,Table8[[#This Row],[Gift_Amount]])</f>
        <v>73.319999999999993</v>
      </c>
      <c r="AB580" t="str">
        <f>IF(Table8[[#This Row],[Supporter_ID]]="","Review - missing supporter ID","")</f>
        <v/>
      </c>
      <c r="AC580" t="str">
        <f>IF(OR(Table8[[#This Row],[Response_Date]]&lt;Table8[[#This Row],[Start_Date]],Table8[[#This Row],[Response_Date]]&gt;Table8[[#This Row],[End_Date]]),"Review - response outside campaign dates","")</f>
        <v/>
      </c>
      <c r="AD580" t="str">
        <f>IF(Table8[[#This Row],[Campaign_Type]]="","Review - campaign code not found","")</f>
        <v/>
      </c>
    </row>
    <row r="581" spans="1:30" x14ac:dyDescent="0.25">
      <c r="A581" t="s">
        <v>4336</v>
      </c>
      <c r="B581" t="s">
        <v>1161</v>
      </c>
      <c r="C581" t="s">
        <v>3427</v>
      </c>
      <c r="D581" t="s">
        <v>3428</v>
      </c>
      <c r="E581" t="s">
        <v>65</v>
      </c>
      <c r="F581" s="17">
        <v>45488</v>
      </c>
      <c r="G581">
        <v>129.94999999999999</v>
      </c>
      <c r="H581" t="s">
        <v>36</v>
      </c>
      <c r="I581" t="s">
        <v>3318</v>
      </c>
      <c r="J581" t="str">
        <f>_xlfn.XLOOKUP(Table8[[#This Row],[Supporter_ID]],tb1_supporters[Supporter_ID ],tb1_supporters[Segment],"")</f>
        <v>Mid-Value</v>
      </c>
      <c r="K581" t="str">
        <f>_xlfn.XLOOKUP(Table8[[#This Row],[Supporter_ID]],tb1_supporters[Supporter_ID ],tb1_supporters[Acquisition_Source],"")</f>
        <v>Referral</v>
      </c>
      <c r="L581" t="str">
        <f>_xlfn.XLOOKUP(Table8[[#This Row],[Supporter_ID]],tb1_supporters[Supporter_ID ],tb1_supporters[County],"")</f>
        <v>Nottinghamshire</v>
      </c>
      <c r="M581" t="str">
        <f>_xlfn.XLOOKUP(Table8[[#This Row],[Supporter_ID]],tb1_supporters[Supporter_ID ],tb1_supporters[Gender],"")</f>
        <v>Male</v>
      </c>
      <c r="N581">
        <f ca="1">_xlfn.XLOOKUP(Table8[[#This Row],[Supporter_ID]],tb1_supporters[Supporter_ID ],tb1_supporters[Age],"")</f>
        <v>35</v>
      </c>
      <c r="O581" t="str">
        <f ca="1">_xlfn.XLOOKUP(Table8[[#This Row],[Supporter_ID]],tb1_supporters[Supporter_ID ],tb1_supporters[Age_Band],"")</f>
        <v>35-49</v>
      </c>
      <c r="P581" t="str">
        <f ca="1">IF(Table8[[#This Row],[Age_Band]]="","Unknown",Table8[[#This Row],[Age_Band]])</f>
        <v>35-49</v>
      </c>
      <c r="Q581" t="str">
        <f>_xlfn.XLOOKUP(Table8[[#This Row],[Supporter_ID]],tb1_supporters[Supporter_ID ],tb1_supporters[Communication_Preference],"")</f>
        <v>Email</v>
      </c>
      <c r="R581" t="str">
        <f>_xlfn.XLOOKUP(Table8[[#This Row],[Supporter_ID]],tb1_supporters[Supporter_ID ],tb1_supporters[Duplicate_Profile_Flag],"")</f>
        <v/>
      </c>
      <c r="S581" t="str">
        <f>_xlfn.XLOOKUP(Table8[[#This Row],[Supporter_ID]],tb1_supporters[Supporter_ID ],tb1_supporters[Preference_Compliance_Flag],"")</f>
        <v/>
      </c>
      <c r="T581" t="str">
        <f ca="1">IF(Table8[[#This Row],[Age]]="","Review - missing DOB",IF(Table8[[#This Row],[Age]]&gt;TODAY(),"Review - future DOB",IF(Table8[[#This Row],[Age]]=0,"Review -  potential entry error (age 0)","")))</f>
        <v/>
      </c>
      <c r="U581" t="str">
        <f>_xlfn.XLOOKUP(Table8[[#This Row],[Campaign_Code]],tb3_CampaignMaster[Campaign_Code],tb3_CampaignMaster[Campaign_Type],"")</f>
        <v>Event</v>
      </c>
      <c r="V581" t="str">
        <f>_xlfn.XLOOKUP(Table8[[#This Row],[Campaign_Code]],tb3_CampaignMaster[Campaign_Code],tb3_CampaignMaster[Target_Audience],"")</f>
        <v>Major Donors</v>
      </c>
      <c r="W581" s="17">
        <f>_xlfn.XLOOKUP(Table8[[#This Row],[Campaign_Code]],tb3_CampaignMaster[Campaign_Code],tb3_CampaignMaster[Start_Date],"")</f>
        <v>45488</v>
      </c>
      <c r="X581" s="17">
        <f>_xlfn.XLOOKUP(Table8[[#This Row],[Campaign_Code]],tb3_CampaignMaster[Campaign_Code],tb3_CampaignMaster[End_Date],"")</f>
        <v>45488</v>
      </c>
      <c r="Y581">
        <f>_xlfn.XLOOKUP(Table8[[#This Row],[Campaign_Code]],tb3_CampaignMaster[Campaign_Code],tb3_CampaignMaster[Budget_GBP],"")</f>
        <v>45000</v>
      </c>
      <c r="Z581" t="str">
        <f>_xlfn.XLOOKUP(Table8[[#This Row],[Campaign_Code]],tb3_CampaignMaster[Campaign_Code],tb3_CampaignMaster[Primary_Channel],"")</f>
        <v>Direct Mail</v>
      </c>
      <c r="AA581" s="13">
        <f>IF(Table8[[#This Row],[Gift_Aid_Eligible]]="Yes",Table8[[#This Row],[Gift_Amount]]*1.25,Table8[[#This Row],[Gift_Amount]])</f>
        <v>162.4375</v>
      </c>
      <c r="AB581" t="str">
        <f>IF(Table8[[#This Row],[Supporter_ID]]="","Review - missing supporter ID","")</f>
        <v/>
      </c>
      <c r="AC581" t="str">
        <f>IF(OR(Table8[[#This Row],[Response_Date]]&lt;Table8[[#This Row],[Start_Date]],Table8[[#This Row],[Response_Date]]&gt;Table8[[#This Row],[End_Date]]),"Review - response outside campaign dates","")</f>
        <v/>
      </c>
      <c r="AD581" t="str">
        <f>IF(Table8[[#This Row],[Campaign_Type]]="","Review - campaign code not found","")</f>
        <v/>
      </c>
    </row>
    <row r="582" spans="1:30" x14ac:dyDescent="0.25">
      <c r="A582" t="s">
        <v>4337</v>
      </c>
      <c r="B582" t="s">
        <v>119</v>
      </c>
      <c r="C582" t="s">
        <v>3427</v>
      </c>
      <c r="D582" t="s">
        <v>3428</v>
      </c>
      <c r="E582" t="s">
        <v>65</v>
      </c>
      <c r="F582" s="17">
        <v>45488</v>
      </c>
      <c r="G582">
        <v>57.73</v>
      </c>
      <c r="H582" t="s">
        <v>37</v>
      </c>
      <c r="I582" t="s">
        <v>3328</v>
      </c>
      <c r="J582" t="str">
        <f>_xlfn.XLOOKUP(Table8[[#This Row],[Supporter_ID]],tb1_supporters[Supporter_ID ],tb1_supporters[Segment],"")</f>
        <v>One-Time Donor</v>
      </c>
      <c r="K582" t="str">
        <f>_xlfn.XLOOKUP(Table8[[#This Row],[Supporter_ID]],tb1_supporters[Supporter_ID ],tb1_supporters[Acquisition_Source],"")</f>
        <v>Event</v>
      </c>
      <c r="L582" t="str">
        <f>_xlfn.XLOOKUP(Table8[[#This Row],[Supporter_ID]],tb1_supporters[Supporter_ID ],tb1_supporters[County],"")</f>
        <v>Somerset</v>
      </c>
      <c r="M582" t="str">
        <f>_xlfn.XLOOKUP(Table8[[#This Row],[Supporter_ID]],tb1_supporters[Supporter_ID ],tb1_supporters[Gender],"")</f>
        <v>Male</v>
      </c>
      <c r="N582">
        <f ca="1">_xlfn.XLOOKUP(Table8[[#This Row],[Supporter_ID]],tb1_supporters[Supporter_ID ],tb1_supporters[Age],"")</f>
        <v>93</v>
      </c>
      <c r="O582" t="str">
        <f ca="1">_xlfn.XLOOKUP(Table8[[#This Row],[Supporter_ID]],tb1_supporters[Supporter_ID ],tb1_supporters[Age_Band],"")</f>
        <v>65+</v>
      </c>
      <c r="P582" t="str">
        <f ca="1">IF(Table8[[#This Row],[Age_Band]]="","Unknown",Table8[[#This Row],[Age_Band]])</f>
        <v>65+</v>
      </c>
      <c r="Q582" t="str">
        <f>_xlfn.XLOOKUP(Table8[[#This Row],[Supporter_ID]],tb1_supporters[Supporter_ID ],tb1_supporters[Communication_Preference],"")</f>
        <v>Post</v>
      </c>
      <c r="R582" t="str">
        <f>_xlfn.XLOOKUP(Table8[[#This Row],[Supporter_ID]],tb1_supporters[Supporter_ID ],tb1_supporters[Duplicate_Profile_Flag],"")</f>
        <v/>
      </c>
      <c r="S582" t="str">
        <f>_xlfn.XLOOKUP(Table8[[#This Row],[Supporter_ID]],tb1_supporters[Supporter_ID ],tb1_supporters[Preference_Compliance_Flag],"")</f>
        <v/>
      </c>
      <c r="T582" t="str">
        <f ca="1">IF(Table8[[#This Row],[Age]]="","Review - missing DOB",IF(Table8[[#This Row],[Age]]&gt;TODAY(),"Review - future DOB",IF(Table8[[#This Row],[Age]]=0,"Review -  potential entry error (age 0)","")))</f>
        <v/>
      </c>
      <c r="U582" t="str">
        <f>_xlfn.XLOOKUP(Table8[[#This Row],[Campaign_Code]],tb3_CampaignMaster[Campaign_Code],tb3_CampaignMaster[Campaign_Type],"")</f>
        <v>Event</v>
      </c>
      <c r="V582" t="str">
        <f>_xlfn.XLOOKUP(Table8[[#This Row],[Campaign_Code]],tb3_CampaignMaster[Campaign_Code],tb3_CampaignMaster[Target_Audience],"")</f>
        <v>Major Donors</v>
      </c>
      <c r="W582" s="17">
        <f>_xlfn.XLOOKUP(Table8[[#This Row],[Campaign_Code]],tb3_CampaignMaster[Campaign_Code],tb3_CampaignMaster[Start_Date],"")</f>
        <v>45488</v>
      </c>
      <c r="X582" s="17">
        <f>_xlfn.XLOOKUP(Table8[[#This Row],[Campaign_Code]],tb3_CampaignMaster[Campaign_Code],tb3_CampaignMaster[End_Date],"")</f>
        <v>45488</v>
      </c>
      <c r="Y582">
        <f>_xlfn.XLOOKUP(Table8[[#This Row],[Campaign_Code]],tb3_CampaignMaster[Campaign_Code],tb3_CampaignMaster[Budget_GBP],"")</f>
        <v>45000</v>
      </c>
      <c r="Z582" t="str">
        <f>_xlfn.XLOOKUP(Table8[[#This Row],[Campaign_Code]],tb3_CampaignMaster[Campaign_Code],tb3_CampaignMaster[Primary_Channel],"")</f>
        <v>Direct Mail</v>
      </c>
      <c r="AA582" s="13">
        <f>IF(Table8[[#This Row],[Gift_Aid_Eligible]]="Yes",Table8[[#This Row],[Gift_Amount]]*1.25,Table8[[#This Row],[Gift_Amount]])</f>
        <v>57.73</v>
      </c>
      <c r="AB582" t="str">
        <f>IF(Table8[[#This Row],[Supporter_ID]]="","Review - missing supporter ID","")</f>
        <v/>
      </c>
      <c r="AC582" t="str">
        <f>IF(OR(Table8[[#This Row],[Response_Date]]&lt;Table8[[#This Row],[Start_Date]],Table8[[#This Row],[Response_Date]]&gt;Table8[[#This Row],[End_Date]]),"Review - response outside campaign dates","")</f>
        <v/>
      </c>
      <c r="AD582" t="str">
        <f>IF(Table8[[#This Row],[Campaign_Type]]="","Review - campaign code not found","")</f>
        <v/>
      </c>
    </row>
    <row r="583" spans="1:30" x14ac:dyDescent="0.25">
      <c r="A583" t="s">
        <v>4338</v>
      </c>
      <c r="B583" t="s">
        <v>723</v>
      </c>
      <c r="C583" t="s">
        <v>3403</v>
      </c>
      <c r="D583" t="s">
        <v>3404</v>
      </c>
      <c r="E583" t="s">
        <v>3316</v>
      </c>
      <c r="F583" s="17">
        <v>45622</v>
      </c>
      <c r="G583">
        <v>1926.84</v>
      </c>
      <c r="H583" t="s">
        <v>37</v>
      </c>
      <c r="I583" t="s">
        <v>3370</v>
      </c>
      <c r="J583" t="str">
        <f>_xlfn.XLOOKUP(Table8[[#This Row],[Supporter_ID]],tb1_supporters[Supporter_ID ],tb1_supporters[Segment],"")</f>
        <v>Major Donor</v>
      </c>
      <c r="K583" t="str">
        <f>_xlfn.XLOOKUP(Table8[[#This Row],[Supporter_ID]],tb1_supporters[Supporter_ID ],tb1_supporters[Acquisition_Source],"")</f>
        <v>Corporate Partner</v>
      </c>
      <c r="L583" t="str">
        <f>_xlfn.XLOOKUP(Table8[[#This Row],[Supporter_ID]],tb1_supporters[Supporter_ID ],tb1_supporters[County],"")</f>
        <v>Gloucestershire</v>
      </c>
      <c r="M583" t="str">
        <f>_xlfn.XLOOKUP(Table8[[#This Row],[Supporter_ID]],tb1_supporters[Supporter_ID ],tb1_supporters[Gender],"")</f>
        <v>Male</v>
      </c>
      <c r="N583">
        <f ca="1">_xlfn.XLOOKUP(Table8[[#This Row],[Supporter_ID]],tb1_supporters[Supporter_ID ],tb1_supporters[Age],"")</f>
        <v>86</v>
      </c>
      <c r="O583" t="str">
        <f ca="1">_xlfn.XLOOKUP(Table8[[#This Row],[Supporter_ID]],tb1_supporters[Supporter_ID ],tb1_supporters[Age_Band],"")</f>
        <v>65+</v>
      </c>
      <c r="P583" t="str">
        <f ca="1">IF(Table8[[#This Row],[Age_Band]]="","Unknown",Table8[[#This Row],[Age_Band]])</f>
        <v>65+</v>
      </c>
      <c r="Q583" t="str">
        <f>_xlfn.XLOOKUP(Table8[[#This Row],[Supporter_ID]],tb1_supporters[Supporter_ID ],tb1_supporters[Communication_Preference],"")</f>
        <v>Email</v>
      </c>
      <c r="R583" t="str">
        <f>_xlfn.XLOOKUP(Table8[[#This Row],[Supporter_ID]],tb1_supporters[Supporter_ID ],tb1_supporters[Duplicate_Profile_Flag],"")</f>
        <v>Review - duplicate record, see Supporter_Duplicates tab</v>
      </c>
      <c r="S583" t="str">
        <f>_xlfn.XLOOKUP(Table8[[#This Row],[Supporter_ID]],tb1_supporters[Supporter_ID ],tb1_supporters[Preference_Compliance_Flag],"")</f>
        <v/>
      </c>
      <c r="T583" t="str">
        <f ca="1">IF(Table8[[#This Row],[Age]]="","Review - missing DOB",IF(Table8[[#This Row],[Age]]&gt;TODAY(),"Review - future DOB",IF(Table8[[#This Row],[Age]]=0,"Review -  potential entry error (age 0)","")))</f>
        <v/>
      </c>
      <c r="U583" t="str">
        <f>_xlfn.XLOOKUP(Table8[[#This Row],[Campaign_Code]],tb3_CampaignMaster[Campaign_Code],tb3_CampaignMaster[Campaign_Type],"")</f>
        <v>Trading</v>
      </c>
      <c r="V583" t="str">
        <f>_xlfn.XLOOKUP(Table8[[#This Row],[Campaign_Code]],tb3_CampaignMaster[Campaign_Code],tb3_CampaignMaster[Target_Audience],"")</f>
        <v>All Active</v>
      </c>
      <c r="W583" s="17">
        <f>_xlfn.XLOOKUP(Table8[[#This Row],[Campaign_Code]],tb3_CampaignMaster[Campaign_Code],tb3_CampaignMaster[Start_Date],"")</f>
        <v>45580</v>
      </c>
      <c r="X583" s="17">
        <f>_xlfn.XLOOKUP(Table8[[#This Row],[Campaign_Code]],tb3_CampaignMaster[Campaign_Code],tb3_CampaignMaster[End_Date],"")</f>
        <v>45646</v>
      </c>
      <c r="Y583">
        <f>_xlfn.XLOOKUP(Table8[[#This Row],[Campaign_Code]],tb3_CampaignMaster[Campaign_Code],tb3_CampaignMaster[Budget_GBP],"")</f>
        <v>12000</v>
      </c>
      <c r="Z583" t="str">
        <f>_xlfn.XLOOKUP(Table8[[#This Row],[Campaign_Code]],tb3_CampaignMaster[Campaign_Code],tb3_CampaignMaster[Primary_Channel],"")</f>
        <v>Multi-channel</v>
      </c>
      <c r="AA583" s="13">
        <f>IF(Table8[[#This Row],[Gift_Aid_Eligible]]="Yes",Table8[[#This Row],[Gift_Amount]]*1.25,Table8[[#This Row],[Gift_Amount]])</f>
        <v>1926.84</v>
      </c>
      <c r="AB583" t="str">
        <f>IF(Table8[[#This Row],[Supporter_ID]]="","Review - missing supporter ID","")</f>
        <v/>
      </c>
      <c r="AC583" t="str">
        <f>IF(OR(Table8[[#This Row],[Response_Date]]&lt;Table8[[#This Row],[Start_Date]],Table8[[#This Row],[Response_Date]]&gt;Table8[[#This Row],[End_Date]]),"Review - response outside campaign dates","")</f>
        <v/>
      </c>
      <c r="AD583" t="str">
        <f>IF(Table8[[#This Row],[Campaign_Type]]="","Review - campaign code not found","")</f>
        <v/>
      </c>
    </row>
    <row r="584" spans="1:30" x14ac:dyDescent="0.25">
      <c r="A584" t="s">
        <v>4340</v>
      </c>
      <c r="B584" t="s">
        <v>3242</v>
      </c>
      <c r="C584" t="s">
        <v>3367</v>
      </c>
      <c r="D584" t="s">
        <v>3368</v>
      </c>
      <c r="E584" t="s">
        <v>65</v>
      </c>
      <c r="F584" s="17">
        <v>45719</v>
      </c>
      <c r="G584">
        <v>95.67</v>
      </c>
      <c r="H584" t="s">
        <v>36</v>
      </c>
      <c r="I584" t="s">
        <v>3334</v>
      </c>
      <c r="J584" t="str">
        <f>_xlfn.XLOOKUP(Table8[[#This Row],[Supporter_ID]],tb1_supporters[Supporter_ID ],tb1_supporters[Segment],"")</f>
        <v>One-Time Donor</v>
      </c>
      <c r="K584" t="str">
        <f>_xlfn.XLOOKUP(Table8[[#This Row],[Supporter_ID]],tb1_supporters[Supporter_ID ],tb1_supporters[Acquisition_Source],"")</f>
        <v>Event</v>
      </c>
      <c r="L584" t="str">
        <f>_xlfn.XLOOKUP(Table8[[#This Row],[Supporter_ID]],tb1_supporters[Supporter_ID ],tb1_supporters[County],"")</f>
        <v>Tyne and Wear</v>
      </c>
      <c r="M584" t="str">
        <f>_xlfn.XLOOKUP(Table8[[#This Row],[Supporter_ID]],tb1_supporters[Supporter_ID ],tb1_supporters[Gender],"")</f>
        <v>Male</v>
      </c>
      <c r="N584">
        <f ca="1">_xlfn.XLOOKUP(Table8[[#This Row],[Supporter_ID]],tb1_supporters[Supporter_ID ],tb1_supporters[Age],"")</f>
        <v>31</v>
      </c>
      <c r="O584" t="str">
        <f ca="1">_xlfn.XLOOKUP(Table8[[#This Row],[Supporter_ID]],tb1_supporters[Supporter_ID ],tb1_supporters[Age_Band],"")</f>
        <v>18-34</v>
      </c>
      <c r="P584" t="str">
        <f ca="1">IF(Table8[[#This Row],[Age_Band]]="","Unknown",Table8[[#This Row],[Age_Band]])</f>
        <v>18-34</v>
      </c>
      <c r="Q584" t="str">
        <f>_xlfn.XLOOKUP(Table8[[#This Row],[Supporter_ID]],tb1_supporters[Supporter_ID ],tb1_supporters[Communication_Preference],"")</f>
        <v>Phone</v>
      </c>
      <c r="R584" t="str">
        <f>_xlfn.XLOOKUP(Table8[[#This Row],[Supporter_ID]],tb1_supporters[Supporter_ID ],tb1_supporters[Duplicate_Profile_Flag],"")</f>
        <v/>
      </c>
      <c r="S584" t="str">
        <f>_xlfn.XLOOKUP(Table8[[#This Row],[Supporter_ID]],tb1_supporters[Supporter_ID ],tb1_supporters[Preference_Compliance_Flag],"")</f>
        <v>Review - prefers phone but not opted in</v>
      </c>
      <c r="T584" t="str">
        <f ca="1">IF(Table8[[#This Row],[Age]]="","Review - missing DOB",IF(Table8[[#This Row],[Age]]&gt;TODAY(),"Review - future DOB",IF(Table8[[#This Row],[Age]]=0,"Review -  potential entry error (age 0)","")))</f>
        <v/>
      </c>
      <c r="U584" t="str">
        <f>_xlfn.XLOOKUP(Table8[[#This Row],[Campaign_Code]],tb3_CampaignMaster[Campaign_Code],tb3_CampaignMaster[Campaign_Type],"")</f>
        <v>Raffle</v>
      </c>
      <c r="V584" t="str">
        <f>_xlfn.XLOOKUP(Table8[[#This Row],[Campaign_Code]],tb3_CampaignMaster[Campaign_Code],tb3_CampaignMaster[Target_Audience],"")</f>
        <v>Regular Givers</v>
      </c>
      <c r="W584" s="17">
        <f>_xlfn.XLOOKUP(Table8[[#This Row],[Campaign_Code]],tb3_CampaignMaster[Campaign_Code],tb3_CampaignMaster[Start_Date],"")</f>
        <v>45717</v>
      </c>
      <c r="X584" s="17">
        <f>_xlfn.XLOOKUP(Table8[[#This Row],[Campaign_Code]],tb3_CampaignMaster[Campaign_Code],tb3_CampaignMaster[End_Date],"")</f>
        <v>45777</v>
      </c>
      <c r="Y584">
        <f>_xlfn.XLOOKUP(Table8[[#This Row],[Campaign_Code]],tb3_CampaignMaster[Campaign_Code],tb3_CampaignMaster[Budget_GBP],"")</f>
        <v>8000</v>
      </c>
      <c r="Z584" t="str">
        <f>_xlfn.XLOOKUP(Table8[[#This Row],[Campaign_Code]],tb3_CampaignMaster[Campaign_Code],tb3_CampaignMaster[Primary_Channel],"")</f>
        <v>Direct Mail</v>
      </c>
      <c r="AA584" s="13">
        <f>IF(Table8[[#This Row],[Gift_Aid_Eligible]]="Yes",Table8[[#This Row],[Gift_Amount]]*1.25,Table8[[#This Row],[Gift_Amount]])</f>
        <v>119.58750000000001</v>
      </c>
      <c r="AB584" t="str">
        <f>IF(Table8[[#This Row],[Supporter_ID]]="","Review - missing supporter ID","")</f>
        <v/>
      </c>
      <c r="AC584" t="str">
        <f>IF(OR(Table8[[#This Row],[Response_Date]]&lt;Table8[[#This Row],[Start_Date]],Table8[[#This Row],[Response_Date]]&gt;Table8[[#This Row],[End_Date]]),"Review - response outside campaign dates","")</f>
        <v/>
      </c>
      <c r="AD584" t="str">
        <f>IF(Table8[[#This Row],[Campaign_Type]]="","Review - campaign code not found","")</f>
        <v/>
      </c>
    </row>
    <row r="585" spans="1:30" x14ac:dyDescent="0.25">
      <c r="A585" t="s">
        <v>4342</v>
      </c>
      <c r="B585" t="s">
        <v>3211</v>
      </c>
      <c r="C585" t="s">
        <v>3403</v>
      </c>
      <c r="D585" t="s">
        <v>3404</v>
      </c>
      <c r="E585" t="s">
        <v>4</v>
      </c>
      <c r="F585" s="17">
        <v>45627</v>
      </c>
      <c r="G585">
        <v>85.07</v>
      </c>
      <c r="H585" t="s">
        <v>36</v>
      </c>
      <c r="I585" t="s">
        <v>3370</v>
      </c>
      <c r="J585" t="str">
        <f>_xlfn.XLOOKUP(Table8[[#This Row],[Supporter_ID]],tb1_supporters[Supporter_ID ],tb1_supporters[Segment],"")</f>
        <v>Lapsed</v>
      </c>
      <c r="K585" t="str">
        <f>_xlfn.XLOOKUP(Table8[[#This Row],[Supporter_ID]],tb1_supporters[Supporter_ID ],tb1_supporters[Acquisition_Source],"")</f>
        <v>Event</v>
      </c>
      <c r="L585" t="str">
        <f>_xlfn.XLOOKUP(Table8[[#This Row],[Supporter_ID]],tb1_supporters[Supporter_ID ],tb1_supporters[County],"")</f>
        <v>Antrim</v>
      </c>
      <c r="M585" t="str">
        <f>_xlfn.XLOOKUP(Table8[[#This Row],[Supporter_ID]],tb1_supporters[Supporter_ID ],tb1_supporters[Gender],"")</f>
        <v>Female</v>
      </c>
      <c r="N585">
        <f ca="1">_xlfn.XLOOKUP(Table8[[#This Row],[Supporter_ID]],tb1_supporters[Supporter_ID ],tb1_supporters[Age],"")</f>
        <v>72</v>
      </c>
      <c r="O585" t="str">
        <f ca="1">_xlfn.XLOOKUP(Table8[[#This Row],[Supporter_ID]],tb1_supporters[Supporter_ID ],tb1_supporters[Age_Band],"")</f>
        <v>65+</v>
      </c>
      <c r="P585" t="str">
        <f ca="1">IF(Table8[[#This Row],[Age_Band]]="","Unknown",Table8[[#This Row],[Age_Band]])</f>
        <v>65+</v>
      </c>
      <c r="Q585" t="str">
        <f>_xlfn.XLOOKUP(Table8[[#This Row],[Supporter_ID]],tb1_supporters[Supporter_ID ],tb1_supporters[Communication_Preference],"")</f>
        <v>Email</v>
      </c>
      <c r="R585" t="str">
        <f>_xlfn.XLOOKUP(Table8[[#This Row],[Supporter_ID]],tb1_supporters[Supporter_ID ],tb1_supporters[Duplicate_Profile_Flag],"")</f>
        <v/>
      </c>
      <c r="S585" t="str">
        <f>_xlfn.XLOOKUP(Table8[[#This Row],[Supporter_ID]],tb1_supporters[Supporter_ID ],tb1_supporters[Preference_Compliance_Flag],"")</f>
        <v/>
      </c>
      <c r="T585" t="str">
        <f ca="1">IF(Table8[[#This Row],[Age]]="","Review - missing DOB",IF(Table8[[#This Row],[Age]]&gt;TODAY(),"Review - future DOB",IF(Table8[[#This Row],[Age]]=0,"Review -  potential entry error (age 0)","")))</f>
        <v/>
      </c>
      <c r="U585" t="str">
        <f>_xlfn.XLOOKUP(Table8[[#This Row],[Campaign_Code]],tb3_CampaignMaster[Campaign_Code],tb3_CampaignMaster[Campaign_Type],"")</f>
        <v>Trading</v>
      </c>
      <c r="V585" t="str">
        <f>_xlfn.XLOOKUP(Table8[[#This Row],[Campaign_Code]],tb3_CampaignMaster[Campaign_Code],tb3_CampaignMaster[Target_Audience],"")</f>
        <v>All Active</v>
      </c>
      <c r="W585" s="17">
        <f>_xlfn.XLOOKUP(Table8[[#This Row],[Campaign_Code]],tb3_CampaignMaster[Campaign_Code],tb3_CampaignMaster[Start_Date],"")</f>
        <v>45580</v>
      </c>
      <c r="X585" s="17">
        <f>_xlfn.XLOOKUP(Table8[[#This Row],[Campaign_Code]],tb3_CampaignMaster[Campaign_Code],tb3_CampaignMaster[End_Date],"")</f>
        <v>45646</v>
      </c>
      <c r="Y585">
        <f>_xlfn.XLOOKUP(Table8[[#This Row],[Campaign_Code]],tb3_CampaignMaster[Campaign_Code],tb3_CampaignMaster[Budget_GBP],"")</f>
        <v>12000</v>
      </c>
      <c r="Z585" t="str">
        <f>_xlfn.XLOOKUP(Table8[[#This Row],[Campaign_Code]],tb3_CampaignMaster[Campaign_Code],tb3_CampaignMaster[Primary_Channel],"")</f>
        <v>Multi-channel</v>
      </c>
      <c r="AA585" s="13">
        <f>IF(Table8[[#This Row],[Gift_Aid_Eligible]]="Yes",Table8[[#This Row],[Gift_Amount]]*1.25,Table8[[#This Row],[Gift_Amount]])</f>
        <v>106.33749999999999</v>
      </c>
      <c r="AB585" t="str">
        <f>IF(Table8[[#This Row],[Supporter_ID]]="","Review - missing supporter ID","")</f>
        <v/>
      </c>
      <c r="AC585" t="str">
        <f>IF(OR(Table8[[#This Row],[Response_Date]]&lt;Table8[[#This Row],[Start_Date]],Table8[[#This Row],[Response_Date]]&gt;Table8[[#This Row],[End_Date]]),"Review - response outside campaign dates","")</f>
        <v/>
      </c>
      <c r="AD585" t="str">
        <f>IF(Table8[[#This Row],[Campaign_Type]]="","Review - campaign code not found","")</f>
        <v/>
      </c>
    </row>
    <row r="586" spans="1:30" x14ac:dyDescent="0.25">
      <c r="A586" t="s">
        <v>4344</v>
      </c>
      <c r="B586" t="s">
        <v>169</v>
      </c>
      <c r="C586" t="s">
        <v>3325</v>
      </c>
      <c r="D586" t="s">
        <v>3326</v>
      </c>
      <c r="E586" t="s">
        <v>65</v>
      </c>
      <c r="F586" s="17">
        <v>45613</v>
      </c>
      <c r="G586">
        <v>47.03</v>
      </c>
      <c r="H586" t="s">
        <v>36</v>
      </c>
      <c r="I586" t="s">
        <v>3365</v>
      </c>
      <c r="J586" t="str">
        <f>_xlfn.XLOOKUP(Table8[[#This Row],[Supporter_ID]],tb1_supporters[Supporter_ID ],tb1_supporters[Segment],"")</f>
        <v>Regular Giver</v>
      </c>
      <c r="K586" t="str">
        <f>_xlfn.XLOOKUP(Table8[[#This Row],[Supporter_ID]],tb1_supporters[Supporter_ID ],tb1_supporters[Acquisition_Source],"")</f>
        <v>Website</v>
      </c>
      <c r="L586" t="str">
        <f>_xlfn.XLOOKUP(Table8[[#This Row],[Supporter_ID]],tb1_supporters[Supporter_ID ],tb1_supporters[County],"")</f>
        <v>Greater London</v>
      </c>
      <c r="M586" t="str">
        <f>_xlfn.XLOOKUP(Table8[[#This Row],[Supporter_ID]],tb1_supporters[Supporter_ID ],tb1_supporters[Gender],"")</f>
        <v>Female</v>
      </c>
      <c r="N586">
        <f ca="1">_xlfn.XLOOKUP(Table8[[#This Row],[Supporter_ID]],tb1_supporters[Supporter_ID ],tb1_supporters[Age],"")</f>
        <v>28</v>
      </c>
      <c r="O586" t="str">
        <f ca="1">_xlfn.XLOOKUP(Table8[[#This Row],[Supporter_ID]],tb1_supporters[Supporter_ID ],tb1_supporters[Age_Band],"")</f>
        <v>18-34</v>
      </c>
      <c r="P586" t="str">
        <f ca="1">IF(Table8[[#This Row],[Age_Band]]="","Unknown",Table8[[#This Row],[Age_Band]])</f>
        <v>18-34</v>
      </c>
      <c r="Q586" t="str">
        <f>_xlfn.XLOOKUP(Table8[[#This Row],[Supporter_ID]],tb1_supporters[Supporter_ID ],tb1_supporters[Communication_Preference],"")</f>
        <v>Phone</v>
      </c>
      <c r="R586" t="str">
        <f>_xlfn.XLOOKUP(Table8[[#This Row],[Supporter_ID]],tb1_supporters[Supporter_ID ],tb1_supporters[Duplicate_Profile_Flag],"")</f>
        <v/>
      </c>
      <c r="S586" t="str">
        <f>_xlfn.XLOOKUP(Table8[[#This Row],[Supporter_ID]],tb1_supporters[Supporter_ID ],tb1_supporters[Preference_Compliance_Flag],"")</f>
        <v/>
      </c>
      <c r="T586" t="str">
        <f ca="1">IF(Table8[[#This Row],[Age]]="","Review - missing DOB",IF(Table8[[#This Row],[Age]]&gt;TODAY(),"Review - future DOB",IF(Table8[[#This Row],[Age]]=0,"Review -  potential entry error (age 0)","")))</f>
        <v/>
      </c>
      <c r="U586" t="str">
        <f>_xlfn.XLOOKUP(Table8[[#This Row],[Campaign_Code]],tb3_CampaignMaster[Campaign_Code],tb3_CampaignMaster[Campaign_Type],"")</f>
        <v>Appeal</v>
      </c>
      <c r="V586" t="str">
        <f>_xlfn.XLOOKUP(Table8[[#This Row],[Campaign_Code]],tb3_CampaignMaster[Campaign_Code],tb3_CampaignMaster[Target_Audience],"")</f>
        <v>All Active</v>
      </c>
      <c r="W586" s="17">
        <f>_xlfn.XLOOKUP(Table8[[#This Row],[Campaign_Code]],tb3_CampaignMaster[Campaign_Code],tb3_CampaignMaster[Start_Date],"")</f>
        <v>45597</v>
      </c>
      <c r="X586" s="17">
        <f>_xlfn.XLOOKUP(Table8[[#This Row],[Campaign_Code]],tb3_CampaignMaster[Campaign_Code],tb3_CampaignMaster[End_Date],"")</f>
        <v>45657</v>
      </c>
      <c r="Y586">
        <f>_xlfn.XLOOKUP(Table8[[#This Row],[Campaign_Code]],tb3_CampaignMaster[Campaign_Code],tb3_CampaignMaster[Budget_GBP],"")</f>
        <v>25000</v>
      </c>
      <c r="Z586" t="str">
        <f>_xlfn.XLOOKUP(Table8[[#This Row],[Campaign_Code]],tb3_CampaignMaster[Campaign_Code],tb3_CampaignMaster[Primary_Channel],"")</f>
        <v>Multi-channel</v>
      </c>
      <c r="AA586" s="13">
        <f>IF(Table8[[#This Row],[Gift_Aid_Eligible]]="Yes",Table8[[#This Row],[Gift_Amount]]*1.25,Table8[[#This Row],[Gift_Amount]])</f>
        <v>58.787500000000001</v>
      </c>
      <c r="AB586" t="str">
        <f>IF(Table8[[#This Row],[Supporter_ID]]="","Review - missing supporter ID","")</f>
        <v/>
      </c>
      <c r="AC586" t="str">
        <f>IF(OR(Table8[[#This Row],[Response_Date]]&lt;Table8[[#This Row],[Start_Date]],Table8[[#This Row],[Response_Date]]&gt;Table8[[#This Row],[End_Date]]),"Review - response outside campaign dates","")</f>
        <v/>
      </c>
      <c r="AD586" t="str">
        <f>IF(Table8[[#This Row],[Campaign_Type]]="","Review - campaign code not found","")</f>
        <v/>
      </c>
    </row>
    <row r="587" spans="1:30" x14ac:dyDescent="0.25">
      <c r="A587" t="s">
        <v>4345</v>
      </c>
      <c r="B587" t="s">
        <v>156</v>
      </c>
      <c r="C587" t="s">
        <v>3367</v>
      </c>
      <c r="D587" t="s">
        <v>3368</v>
      </c>
      <c r="E587" t="s">
        <v>65</v>
      </c>
      <c r="F587" s="17">
        <v>45761</v>
      </c>
      <c r="G587">
        <v>41.25</v>
      </c>
      <c r="H587" t="s">
        <v>37</v>
      </c>
      <c r="I587" t="s">
        <v>3323</v>
      </c>
      <c r="J587" t="str">
        <f>_xlfn.XLOOKUP(Table8[[#This Row],[Supporter_ID]],tb1_supporters[Supporter_ID ],tb1_supporters[Segment],"")</f>
        <v>Regular Giver</v>
      </c>
      <c r="K587" t="str">
        <f>_xlfn.XLOOKUP(Table8[[#This Row],[Supporter_ID]],tb1_supporters[Supporter_ID ],tb1_supporters[Acquisition_Source],"")</f>
        <v>Door-To-Door</v>
      </c>
      <c r="L587" t="str">
        <f>_xlfn.XLOOKUP(Table8[[#This Row],[Supporter_ID]],tb1_supporters[Supporter_ID ],tb1_supporters[County],"")</f>
        <v>South Yorkshire</v>
      </c>
      <c r="M587" t="str">
        <f>_xlfn.XLOOKUP(Table8[[#This Row],[Supporter_ID]],tb1_supporters[Supporter_ID ],tb1_supporters[Gender],"")</f>
        <v>Male</v>
      </c>
      <c r="N587">
        <f ca="1">_xlfn.XLOOKUP(Table8[[#This Row],[Supporter_ID]],tb1_supporters[Supporter_ID ],tb1_supporters[Age],"")</f>
        <v>59</v>
      </c>
      <c r="O587" t="str">
        <f ca="1">_xlfn.XLOOKUP(Table8[[#This Row],[Supporter_ID]],tb1_supporters[Supporter_ID ],tb1_supporters[Age_Band],"")</f>
        <v>50-64</v>
      </c>
      <c r="P587" t="str">
        <f ca="1">IF(Table8[[#This Row],[Age_Band]]="","Unknown",Table8[[#This Row],[Age_Band]])</f>
        <v>50-64</v>
      </c>
      <c r="Q587" t="str">
        <f>_xlfn.XLOOKUP(Table8[[#This Row],[Supporter_ID]],tb1_supporters[Supporter_ID ],tb1_supporters[Communication_Preference],"")</f>
        <v>Post</v>
      </c>
      <c r="R587" t="str">
        <f>_xlfn.XLOOKUP(Table8[[#This Row],[Supporter_ID]],tb1_supporters[Supporter_ID ],tb1_supporters[Duplicate_Profile_Flag],"")</f>
        <v>Review - duplicate record, see Supporter_Duplicates tab</v>
      </c>
      <c r="S587" t="str">
        <f>_xlfn.XLOOKUP(Table8[[#This Row],[Supporter_ID]],tb1_supporters[Supporter_ID ],tb1_supporters[Preference_Compliance_Flag],"")</f>
        <v/>
      </c>
      <c r="T587" t="str">
        <f ca="1">IF(Table8[[#This Row],[Age]]="","Review - missing DOB",IF(Table8[[#This Row],[Age]]&gt;TODAY(),"Review - future DOB",IF(Table8[[#This Row],[Age]]=0,"Review -  potential entry error (age 0)","")))</f>
        <v/>
      </c>
      <c r="U587" t="str">
        <f>_xlfn.XLOOKUP(Table8[[#This Row],[Campaign_Code]],tb3_CampaignMaster[Campaign_Code],tb3_CampaignMaster[Campaign_Type],"")</f>
        <v>Raffle</v>
      </c>
      <c r="V587" t="str">
        <f>_xlfn.XLOOKUP(Table8[[#This Row],[Campaign_Code]],tb3_CampaignMaster[Campaign_Code],tb3_CampaignMaster[Target_Audience],"")</f>
        <v>Regular Givers</v>
      </c>
      <c r="W587" s="17">
        <f>_xlfn.XLOOKUP(Table8[[#This Row],[Campaign_Code]],tb3_CampaignMaster[Campaign_Code],tb3_CampaignMaster[Start_Date],"")</f>
        <v>45717</v>
      </c>
      <c r="X587" s="17">
        <f>_xlfn.XLOOKUP(Table8[[#This Row],[Campaign_Code]],tb3_CampaignMaster[Campaign_Code],tb3_CampaignMaster[End_Date],"")</f>
        <v>45777</v>
      </c>
      <c r="Y587">
        <f>_xlfn.XLOOKUP(Table8[[#This Row],[Campaign_Code]],tb3_CampaignMaster[Campaign_Code],tb3_CampaignMaster[Budget_GBP],"")</f>
        <v>8000</v>
      </c>
      <c r="Z587" t="str">
        <f>_xlfn.XLOOKUP(Table8[[#This Row],[Campaign_Code]],tb3_CampaignMaster[Campaign_Code],tb3_CampaignMaster[Primary_Channel],"")</f>
        <v>Direct Mail</v>
      </c>
      <c r="AA587" s="13">
        <f>IF(Table8[[#This Row],[Gift_Aid_Eligible]]="Yes",Table8[[#This Row],[Gift_Amount]]*1.25,Table8[[#This Row],[Gift_Amount]])</f>
        <v>41.25</v>
      </c>
      <c r="AB587" t="str">
        <f>IF(Table8[[#This Row],[Supporter_ID]]="","Review - missing supporter ID","")</f>
        <v/>
      </c>
      <c r="AC587" t="str">
        <f>IF(OR(Table8[[#This Row],[Response_Date]]&lt;Table8[[#This Row],[Start_Date]],Table8[[#This Row],[Response_Date]]&gt;Table8[[#This Row],[End_Date]]),"Review - response outside campaign dates","")</f>
        <v/>
      </c>
      <c r="AD587" t="str">
        <f>IF(Table8[[#This Row],[Campaign_Type]]="","Review - campaign code not found","")</f>
        <v/>
      </c>
    </row>
    <row r="588" spans="1:30" x14ac:dyDescent="0.25">
      <c r="A588" t="s">
        <v>4346</v>
      </c>
      <c r="B588" t="s">
        <v>1526</v>
      </c>
      <c r="C588" t="s">
        <v>3403</v>
      </c>
      <c r="D588" t="s">
        <v>3404</v>
      </c>
      <c r="E588" t="s">
        <v>3316</v>
      </c>
      <c r="F588" s="17">
        <v>45584</v>
      </c>
      <c r="G588">
        <v>62.91</v>
      </c>
      <c r="H588" t="s">
        <v>37</v>
      </c>
      <c r="I588" t="s">
        <v>3370</v>
      </c>
      <c r="J588" t="str">
        <f>_xlfn.XLOOKUP(Table8[[#This Row],[Supporter_ID]],tb1_supporters[Supporter_ID ],tb1_supporters[Segment],"")</f>
        <v>One-Time Donor</v>
      </c>
      <c r="K588" t="str">
        <f>_xlfn.XLOOKUP(Table8[[#This Row],[Supporter_ID]],tb1_supporters[Supporter_ID ],tb1_supporters[Acquisition_Source],"")</f>
        <v>Telephone</v>
      </c>
      <c r="L588" t="str">
        <f>_xlfn.XLOOKUP(Table8[[#This Row],[Supporter_ID]],tb1_supporters[Supporter_ID ],tb1_supporters[County],"")</f>
        <v>Dorset</v>
      </c>
      <c r="M588" t="str">
        <f>_xlfn.XLOOKUP(Table8[[#This Row],[Supporter_ID]],tb1_supporters[Supporter_ID ],tb1_supporters[Gender],"")</f>
        <v>Male</v>
      </c>
      <c r="N588">
        <f ca="1">_xlfn.XLOOKUP(Table8[[#This Row],[Supporter_ID]],tb1_supporters[Supporter_ID ],tb1_supporters[Age],"")</f>
        <v>73</v>
      </c>
      <c r="O588" t="str">
        <f ca="1">_xlfn.XLOOKUP(Table8[[#This Row],[Supporter_ID]],tb1_supporters[Supporter_ID ],tb1_supporters[Age_Band],"")</f>
        <v>65+</v>
      </c>
      <c r="P588" t="str">
        <f ca="1">IF(Table8[[#This Row],[Age_Band]]="","Unknown",Table8[[#This Row],[Age_Band]])</f>
        <v>65+</v>
      </c>
      <c r="Q588" t="str">
        <f>_xlfn.XLOOKUP(Table8[[#This Row],[Supporter_ID]],tb1_supporters[Supporter_ID ],tb1_supporters[Communication_Preference],"")</f>
        <v>Email</v>
      </c>
      <c r="R588" t="str">
        <f>_xlfn.XLOOKUP(Table8[[#This Row],[Supporter_ID]],tb1_supporters[Supporter_ID ],tb1_supporters[Duplicate_Profile_Flag],"")</f>
        <v/>
      </c>
      <c r="S588" t="str">
        <f>_xlfn.XLOOKUP(Table8[[#This Row],[Supporter_ID]],tb1_supporters[Supporter_ID ],tb1_supporters[Preference_Compliance_Flag],"")</f>
        <v/>
      </c>
      <c r="T588" t="str">
        <f ca="1">IF(Table8[[#This Row],[Age]]="","Review - missing DOB",IF(Table8[[#This Row],[Age]]&gt;TODAY(),"Review - future DOB",IF(Table8[[#This Row],[Age]]=0,"Review -  potential entry error (age 0)","")))</f>
        <v/>
      </c>
      <c r="U588" t="str">
        <f>_xlfn.XLOOKUP(Table8[[#This Row],[Campaign_Code]],tb3_CampaignMaster[Campaign_Code],tb3_CampaignMaster[Campaign_Type],"")</f>
        <v>Trading</v>
      </c>
      <c r="V588" t="str">
        <f>_xlfn.XLOOKUP(Table8[[#This Row],[Campaign_Code]],tb3_CampaignMaster[Campaign_Code],tb3_CampaignMaster[Target_Audience],"")</f>
        <v>All Active</v>
      </c>
      <c r="W588" s="17">
        <f>_xlfn.XLOOKUP(Table8[[#This Row],[Campaign_Code]],tb3_CampaignMaster[Campaign_Code],tb3_CampaignMaster[Start_Date],"")</f>
        <v>45580</v>
      </c>
      <c r="X588" s="17">
        <f>_xlfn.XLOOKUP(Table8[[#This Row],[Campaign_Code]],tb3_CampaignMaster[Campaign_Code],tb3_CampaignMaster[End_Date],"")</f>
        <v>45646</v>
      </c>
      <c r="Y588">
        <f>_xlfn.XLOOKUP(Table8[[#This Row],[Campaign_Code]],tb3_CampaignMaster[Campaign_Code],tb3_CampaignMaster[Budget_GBP],"")</f>
        <v>12000</v>
      </c>
      <c r="Z588" t="str">
        <f>_xlfn.XLOOKUP(Table8[[#This Row],[Campaign_Code]],tb3_CampaignMaster[Campaign_Code],tb3_CampaignMaster[Primary_Channel],"")</f>
        <v>Multi-channel</v>
      </c>
      <c r="AA588" s="13">
        <f>IF(Table8[[#This Row],[Gift_Aid_Eligible]]="Yes",Table8[[#This Row],[Gift_Amount]]*1.25,Table8[[#This Row],[Gift_Amount]])</f>
        <v>62.91</v>
      </c>
      <c r="AB588" t="str">
        <f>IF(Table8[[#This Row],[Supporter_ID]]="","Review - missing supporter ID","")</f>
        <v/>
      </c>
      <c r="AC588" t="str">
        <f>IF(OR(Table8[[#This Row],[Response_Date]]&lt;Table8[[#This Row],[Start_Date]],Table8[[#This Row],[Response_Date]]&gt;Table8[[#This Row],[End_Date]]),"Review - response outside campaign dates","")</f>
        <v/>
      </c>
      <c r="AD588" t="str">
        <f>IF(Table8[[#This Row],[Campaign_Type]]="","Review - campaign code not found","")</f>
        <v/>
      </c>
    </row>
    <row r="589" spans="1:30" x14ac:dyDescent="0.25">
      <c r="A589" t="s">
        <v>4348</v>
      </c>
      <c r="B589" t="s">
        <v>889</v>
      </c>
      <c r="C589" t="s">
        <v>3341</v>
      </c>
      <c r="D589" t="s">
        <v>3342</v>
      </c>
      <c r="E589" t="s">
        <v>91</v>
      </c>
      <c r="F589" s="17">
        <v>45741</v>
      </c>
      <c r="G589">
        <v>77.33</v>
      </c>
      <c r="H589" t="s">
        <v>37</v>
      </c>
      <c r="I589" t="s">
        <v>3385</v>
      </c>
      <c r="J589" t="str">
        <f>_xlfn.XLOOKUP(Table8[[#This Row],[Supporter_ID]],tb1_supporters[Supporter_ID ],tb1_supporters[Segment],"")</f>
        <v>Mid-Value</v>
      </c>
      <c r="K589" t="str">
        <f>_xlfn.XLOOKUP(Table8[[#This Row],[Supporter_ID]],tb1_supporters[Supporter_ID ],tb1_supporters[Acquisition_Source],"")</f>
        <v>Corporate Partner</v>
      </c>
      <c r="L589" t="str">
        <f>_xlfn.XLOOKUP(Table8[[#This Row],[Supporter_ID]],tb1_supporters[Supporter_ID ],tb1_supporters[County],"")</f>
        <v>Wiltshire</v>
      </c>
      <c r="M589" t="str">
        <f>_xlfn.XLOOKUP(Table8[[#This Row],[Supporter_ID]],tb1_supporters[Supporter_ID ],tb1_supporters[Gender],"")</f>
        <v>Female</v>
      </c>
      <c r="N589">
        <f ca="1">_xlfn.XLOOKUP(Table8[[#This Row],[Supporter_ID]],tb1_supporters[Supporter_ID ],tb1_supporters[Age],"")</f>
        <v>25</v>
      </c>
      <c r="O589" t="str">
        <f ca="1">_xlfn.XLOOKUP(Table8[[#This Row],[Supporter_ID]],tb1_supporters[Supporter_ID ],tb1_supporters[Age_Band],"")</f>
        <v>18-34</v>
      </c>
      <c r="P589" t="str">
        <f ca="1">IF(Table8[[#This Row],[Age_Band]]="","Unknown",Table8[[#This Row],[Age_Band]])</f>
        <v>18-34</v>
      </c>
      <c r="Q589" t="str">
        <f>_xlfn.XLOOKUP(Table8[[#This Row],[Supporter_ID]],tb1_supporters[Supporter_ID ],tb1_supporters[Communication_Preference],"")</f>
        <v>Email</v>
      </c>
      <c r="R589" t="str">
        <f>_xlfn.XLOOKUP(Table8[[#This Row],[Supporter_ID]],tb1_supporters[Supporter_ID ],tb1_supporters[Duplicate_Profile_Flag],"")</f>
        <v/>
      </c>
      <c r="S589" t="str">
        <f>_xlfn.XLOOKUP(Table8[[#This Row],[Supporter_ID]],tb1_supporters[Supporter_ID ],tb1_supporters[Preference_Compliance_Flag],"")</f>
        <v/>
      </c>
      <c r="T589" t="str">
        <f ca="1">IF(Table8[[#This Row],[Age]]="","Review - missing DOB",IF(Table8[[#This Row],[Age]]&gt;TODAY(),"Review - future DOB",IF(Table8[[#This Row],[Age]]=0,"Review -  potential entry error (age 0)","")))</f>
        <v/>
      </c>
      <c r="U589" t="str">
        <f>_xlfn.XLOOKUP(Table8[[#This Row],[Campaign_Code]],tb3_CampaignMaster[Campaign_Code],tb3_CampaignMaster[Campaign_Type],"")</f>
        <v>Acquisition</v>
      </c>
      <c r="V589" t="str">
        <f>_xlfn.XLOOKUP(Table8[[#This Row],[Campaign_Code]],tb3_CampaignMaster[Campaign_Code],tb3_CampaignMaster[Target_Audience],"")</f>
        <v>Prospects</v>
      </c>
      <c r="W589" s="17">
        <f>_xlfn.XLOOKUP(Table8[[#This Row],[Campaign_Code]],tb3_CampaignMaster[Campaign_Code],tb3_CampaignMaster[Start_Date],"")</f>
        <v>45689</v>
      </c>
      <c r="X589" s="17">
        <f>_xlfn.XLOOKUP(Table8[[#This Row],[Campaign_Code]],tb3_CampaignMaster[Campaign_Code],tb3_CampaignMaster[End_Date],"")</f>
        <v>45777</v>
      </c>
      <c r="Y589">
        <f>_xlfn.XLOOKUP(Table8[[#This Row],[Campaign_Code]],tb3_CampaignMaster[Campaign_Code],tb3_CampaignMaster[Budget_GBP],"")</f>
        <v>20000</v>
      </c>
      <c r="Z589" t="str">
        <f>_xlfn.XLOOKUP(Table8[[#This Row],[Campaign_Code]],tb3_CampaignMaster[Campaign_Code],tb3_CampaignMaster[Primary_Channel],"")</f>
        <v>Digital</v>
      </c>
      <c r="AA589" s="13">
        <f>IF(Table8[[#This Row],[Gift_Aid_Eligible]]="Yes",Table8[[#This Row],[Gift_Amount]]*1.25,Table8[[#This Row],[Gift_Amount]])</f>
        <v>77.33</v>
      </c>
      <c r="AB589" t="str">
        <f>IF(Table8[[#This Row],[Supporter_ID]]="","Review - missing supporter ID","")</f>
        <v/>
      </c>
      <c r="AC589" t="str">
        <f>IF(OR(Table8[[#This Row],[Response_Date]]&lt;Table8[[#This Row],[Start_Date]],Table8[[#This Row],[Response_Date]]&gt;Table8[[#This Row],[End_Date]]),"Review - response outside campaign dates","")</f>
        <v/>
      </c>
      <c r="AD589" t="str">
        <f>IF(Table8[[#This Row],[Campaign_Type]]="","Review - campaign code not found","")</f>
        <v/>
      </c>
    </row>
    <row r="590" spans="1:30" x14ac:dyDescent="0.25">
      <c r="A590" t="s">
        <v>4349</v>
      </c>
      <c r="B590" t="s">
        <v>2574</v>
      </c>
      <c r="C590" t="s">
        <v>3314</v>
      </c>
      <c r="D590" t="s">
        <v>3315</v>
      </c>
      <c r="E590" t="s">
        <v>33</v>
      </c>
      <c r="F590" s="17">
        <v>45736</v>
      </c>
      <c r="G590">
        <v>452.5</v>
      </c>
      <c r="H590" t="s">
        <v>36</v>
      </c>
      <c r="I590" t="s">
        <v>3318</v>
      </c>
      <c r="J590" t="str">
        <f>_xlfn.XLOOKUP(Table8[[#This Row],[Supporter_ID]],tb1_supporters[Supporter_ID ],tb1_supporters[Segment],"")</f>
        <v>Legacy Pledger</v>
      </c>
      <c r="K590" t="str">
        <f>_xlfn.XLOOKUP(Table8[[#This Row],[Supporter_ID]],tb1_supporters[Supporter_ID ],tb1_supporters[Acquisition_Source],"")</f>
        <v>Social Media</v>
      </c>
      <c r="L590" t="str">
        <f>_xlfn.XLOOKUP(Table8[[#This Row],[Supporter_ID]],tb1_supporters[Supporter_ID ],tb1_supporters[County],"")</f>
        <v>Cambridgeshire</v>
      </c>
      <c r="M590" t="str">
        <f>_xlfn.XLOOKUP(Table8[[#This Row],[Supporter_ID]],tb1_supporters[Supporter_ID ],tb1_supporters[Gender],"")</f>
        <v>Male</v>
      </c>
      <c r="N590">
        <f ca="1">_xlfn.XLOOKUP(Table8[[#This Row],[Supporter_ID]],tb1_supporters[Supporter_ID ],tb1_supporters[Age],"")</f>
        <v>90</v>
      </c>
      <c r="O590" t="str">
        <f ca="1">_xlfn.XLOOKUP(Table8[[#This Row],[Supporter_ID]],tb1_supporters[Supporter_ID ],tb1_supporters[Age_Band],"")</f>
        <v>65+</v>
      </c>
      <c r="P590" t="str">
        <f ca="1">IF(Table8[[#This Row],[Age_Band]]="","Unknown",Table8[[#This Row],[Age_Band]])</f>
        <v>65+</v>
      </c>
      <c r="Q590" t="str">
        <f>_xlfn.XLOOKUP(Table8[[#This Row],[Supporter_ID]],tb1_supporters[Supporter_ID ],tb1_supporters[Communication_Preference],"")</f>
        <v>Email</v>
      </c>
      <c r="R590" t="str">
        <f>_xlfn.XLOOKUP(Table8[[#This Row],[Supporter_ID]],tb1_supporters[Supporter_ID ],tb1_supporters[Duplicate_Profile_Flag],"")</f>
        <v/>
      </c>
      <c r="S590" t="str">
        <f>_xlfn.XLOOKUP(Table8[[#This Row],[Supporter_ID]],tb1_supporters[Supporter_ID ],tb1_supporters[Preference_Compliance_Flag],"")</f>
        <v/>
      </c>
      <c r="T590" t="str">
        <f ca="1">IF(Table8[[#This Row],[Age]]="","Review - missing DOB",IF(Table8[[#This Row],[Age]]&gt;TODAY(),"Review - future DOB",IF(Table8[[#This Row],[Age]]=0,"Review -  potential entry error (age 0)","")))</f>
        <v/>
      </c>
      <c r="U590" t="str">
        <f>_xlfn.XLOOKUP(Table8[[#This Row],[Campaign_Code]],tb3_CampaignMaster[Campaign_Code],tb3_CampaignMaster[Campaign_Type],"")</f>
        <v>Regular Giving</v>
      </c>
      <c r="V590" t="str">
        <f>_xlfn.XLOOKUP(Table8[[#This Row],[Campaign_Code]],tb3_CampaignMaster[Campaign_Code],tb3_CampaignMaster[Target_Audience],"")</f>
        <v>One-time Donors</v>
      </c>
      <c r="W590" s="17">
        <f>_xlfn.XLOOKUP(Table8[[#This Row],[Campaign_Code]],tb3_CampaignMaster[Campaign_Code],tb3_CampaignMaster[Start_Date],"")</f>
        <v>45663</v>
      </c>
      <c r="X590" s="17">
        <f>_xlfn.XLOOKUP(Table8[[#This Row],[Campaign_Code]],tb3_CampaignMaster[Campaign_Code],tb3_CampaignMaster[End_Date],"")</f>
        <v>45747</v>
      </c>
      <c r="Y590">
        <f>_xlfn.XLOOKUP(Table8[[#This Row],[Campaign_Code]],tb3_CampaignMaster[Campaign_Code],tb3_CampaignMaster[Budget_GBP],"")</f>
        <v>10000</v>
      </c>
      <c r="Z590" t="str">
        <f>_xlfn.XLOOKUP(Table8[[#This Row],[Campaign_Code]],tb3_CampaignMaster[Campaign_Code],tb3_CampaignMaster[Primary_Channel],"")</f>
        <v>Telephone</v>
      </c>
      <c r="AA590" s="13">
        <f>IF(Table8[[#This Row],[Gift_Aid_Eligible]]="Yes",Table8[[#This Row],[Gift_Amount]]*1.25,Table8[[#This Row],[Gift_Amount]])</f>
        <v>565.625</v>
      </c>
      <c r="AB590" t="str">
        <f>IF(Table8[[#This Row],[Supporter_ID]]="","Review - missing supporter ID","")</f>
        <v/>
      </c>
      <c r="AC590" t="str">
        <f>IF(OR(Table8[[#This Row],[Response_Date]]&lt;Table8[[#This Row],[Start_Date]],Table8[[#This Row],[Response_Date]]&gt;Table8[[#This Row],[End_Date]]),"Review - response outside campaign dates","")</f>
        <v/>
      </c>
      <c r="AD590" t="str">
        <f>IF(Table8[[#This Row],[Campaign_Type]]="","Review - campaign code not found","")</f>
        <v/>
      </c>
    </row>
    <row r="591" spans="1:30" x14ac:dyDescent="0.25">
      <c r="A591" t="s">
        <v>4350</v>
      </c>
      <c r="B591" t="s">
        <v>844</v>
      </c>
      <c r="C591" t="s">
        <v>3354</v>
      </c>
      <c r="D591" t="s">
        <v>3355</v>
      </c>
      <c r="E591" t="s">
        <v>4</v>
      </c>
      <c r="F591" s="17">
        <v>45618</v>
      </c>
      <c r="G591">
        <v>5.4</v>
      </c>
      <c r="H591" t="s">
        <v>37</v>
      </c>
      <c r="I591" t="s">
        <v>3328</v>
      </c>
      <c r="J591" t="str">
        <f>_xlfn.XLOOKUP(Table8[[#This Row],[Supporter_ID]],tb1_supporters[Supporter_ID ],tb1_supporters[Segment],"")</f>
        <v>Prospect</v>
      </c>
      <c r="K591" t="str">
        <f>_xlfn.XLOOKUP(Table8[[#This Row],[Supporter_ID]],tb1_supporters[Supporter_ID ],tb1_supporters[Acquisition_Source],"")</f>
        <v>Social Media</v>
      </c>
      <c r="L591" t="str">
        <f>_xlfn.XLOOKUP(Table8[[#This Row],[Supporter_ID]],tb1_supporters[Supporter_ID ],tb1_supporters[County],"")</f>
        <v>Leicestershire</v>
      </c>
      <c r="M591" t="str">
        <f>_xlfn.XLOOKUP(Table8[[#This Row],[Supporter_ID]],tb1_supporters[Supporter_ID ],tb1_supporters[Gender],"")</f>
        <v>Male</v>
      </c>
      <c r="N591">
        <f ca="1">_xlfn.XLOOKUP(Table8[[#This Row],[Supporter_ID]],tb1_supporters[Supporter_ID ],tb1_supporters[Age],"")</f>
        <v>60</v>
      </c>
      <c r="O591" t="str">
        <f ca="1">_xlfn.XLOOKUP(Table8[[#This Row],[Supporter_ID]],tb1_supporters[Supporter_ID ],tb1_supporters[Age_Band],"")</f>
        <v>50-64</v>
      </c>
      <c r="P591" t="str">
        <f ca="1">IF(Table8[[#This Row],[Age_Band]]="","Unknown",Table8[[#This Row],[Age_Band]])</f>
        <v>50-64</v>
      </c>
      <c r="Q591" t="str">
        <f>_xlfn.XLOOKUP(Table8[[#This Row],[Supporter_ID]],tb1_supporters[Supporter_ID ],tb1_supporters[Communication_Preference],"")</f>
        <v>Email</v>
      </c>
      <c r="R591" t="str">
        <f>_xlfn.XLOOKUP(Table8[[#This Row],[Supporter_ID]],tb1_supporters[Supporter_ID ],tb1_supporters[Duplicate_Profile_Flag],"")</f>
        <v/>
      </c>
      <c r="S591" t="str">
        <f>_xlfn.XLOOKUP(Table8[[#This Row],[Supporter_ID]],tb1_supporters[Supporter_ID ],tb1_supporters[Preference_Compliance_Flag],"")</f>
        <v>Review - prefers email but not opted in</v>
      </c>
      <c r="T591" t="str">
        <f ca="1">IF(Table8[[#This Row],[Age]]="","Review - missing DOB",IF(Table8[[#This Row],[Age]]&gt;TODAY(),"Review - future DOB",IF(Table8[[#This Row],[Age]]=0,"Review -  potential entry error (age 0)","")))</f>
        <v/>
      </c>
      <c r="U591" t="str">
        <f>_xlfn.XLOOKUP(Table8[[#This Row],[Campaign_Code]],tb3_CampaignMaster[Campaign_Code],tb3_CampaignMaster[Campaign_Type],"")</f>
        <v>Event</v>
      </c>
      <c r="V591" t="str">
        <f>_xlfn.XLOOKUP(Table8[[#This Row],[Campaign_Code]],tb3_CampaignMaster[Campaign_Code],tb3_CampaignMaster[Target_Audience],"")</f>
        <v>Volunteers</v>
      </c>
      <c r="W591" s="17">
        <f>_xlfn.XLOOKUP(Table8[[#This Row],[Campaign_Code]],tb3_CampaignMaster[Campaign_Code],tb3_CampaignMaster[Start_Date],"")</f>
        <v>45618</v>
      </c>
      <c r="X591" s="17">
        <f>_xlfn.XLOOKUP(Table8[[#This Row],[Campaign_Code]],tb3_CampaignMaster[Campaign_Code],tb3_CampaignMaster[End_Date],"")</f>
        <v>45618</v>
      </c>
      <c r="Y591">
        <f>_xlfn.XLOOKUP(Table8[[#This Row],[Campaign_Code]],tb3_CampaignMaster[Campaign_Code],tb3_CampaignMaster[Budget_GBP],"")</f>
        <v>3500</v>
      </c>
      <c r="Z591" t="str">
        <f>_xlfn.XLOOKUP(Table8[[#This Row],[Campaign_Code]],tb3_CampaignMaster[Campaign_Code],tb3_CampaignMaster[Primary_Channel],"")</f>
        <v>Email</v>
      </c>
      <c r="AA591" s="13">
        <f>IF(Table8[[#This Row],[Gift_Aid_Eligible]]="Yes",Table8[[#This Row],[Gift_Amount]]*1.25,Table8[[#This Row],[Gift_Amount]])</f>
        <v>5.4</v>
      </c>
      <c r="AB591" t="str">
        <f>IF(Table8[[#This Row],[Supporter_ID]]="","Review - missing supporter ID","")</f>
        <v/>
      </c>
      <c r="AC591" t="str">
        <f>IF(OR(Table8[[#This Row],[Response_Date]]&lt;Table8[[#This Row],[Start_Date]],Table8[[#This Row],[Response_Date]]&gt;Table8[[#This Row],[End_Date]]),"Review - response outside campaign dates","")</f>
        <v/>
      </c>
      <c r="AD591" t="str">
        <f>IF(Table8[[#This Row],[Campaign_Type]]="","Review - campaign code not found","")</f>
        <v/>
      </c>
    </row>
    <row r="592" spans="1:30" x14ac:dyDescent="0.25">
      <c r="A592" t="s">
        <v>4351</v>
      </c>
      <c r="B592" t="s">
        <v>1335</v>
      </c>
      <c r="C592" t="s">
        <v>3314</v>
      </c>
      <c r="D592" t="s">
        <v>3315</v>
      </c>
      <c r="E592" t="s">
        <v>33</v>
      </c>
      <c r="F592" s="17">
        <v>45725</v>
      </c>
      <c r="G592">
        <v>24.53</v>
      </c>
      <c r="H592" t="s">
        <v>37</v>
      </c>
      <c r="I592" t="s">
        <v>3323</v>
      </c>
      <c r="J592" t="str">
        <f>_xlfn.XLOOKUP(Table8[[#This Row],[Supporter_ID]],tb1_supporters[Supporter_ID ],tb1_supporters[Segment],"")</f>
        <v>Prospect</v>
      </c>
      <c r="K592" t="str">
        <f>_xlfn.XLOOKUP(Table8[[#This Row],[Supporter_ID]],tb1_supporters[Supporter_ID ],tb1_supporters[Acquisition_Source],"")</f>
        <v>Social Media</v>
      </c>
      <c r="L592" t="str">
        <f>_xlfn.XLOOKUP(Table8[[#This Row],[Supporter_ID]],tb1_supporters[Supporter_ID ],tb1_supporters[County],"")</f>
        <v>Antrim</v>
      </c>
      <c r="M592" t="str">
        <f>_xlfn.XLOOKUP(Table8[[#This Row],[Supporter_ID]],tb1_supporters[Supporter_ID ],tb1_supporters[Gender],"")</f>
        <v>Male</v>
      </c>
      <c r="N592">
        <f ca="1">_xlfn.XLOOKUP(Table8[[#This Row],[Supporter_ID]],tb1_supporters[Supporter_ID ],tb1_supporters[Age],"")</f>
        <v>54</v>
      </c>
      <c r="O592" t="str">
        <f ca="1">_xlfn.XLOOKUP(Table8[[#This Row],[Supporter_ID]],tb1_supporters[Supporter_ID ],tb1_supporters[Age_Band],"")</f>
        <v>50-64</v>
      </c>
      <c r="P592" t="str">
        <f ca="1">IF(Table8[[#This Row],[Age_Band]]="","Unknown",Table8[[#This Row],[Age_Band]])</f>
        <v>50-64</v>
      </c>
      <c r="Q592" t="str">
        <f>_xlfn.XLOOKUP(Table8[[#This Row],[Supporter_ID]],tb1_supporters[Supporter_ID ],tb1_supporters[Communication_Preference],"")</f>
        <v>Post</v>
      </c>
      <c r="R592" t="str">
        <f>_xlfn.XLOOKUP(Table8[[#This Row],[Supporter_ID]],tb1_supporters[Supporter_ID ],tb1_supporters[Duplicate_Profile_Flag],"")</f>
        <v/>
      </c>
      <c r="S592" t="str">
        <f>_xlfn.XLOOKUP(Table8[[#This Row],[Supporter_ID]],tb1_supporters[Supporter_ID ],tb1_supporters[Preference_Compliance_Flag],"")</f>
        <v/>
      </c>
      <c r="T592" t="str">
        <f ca="1">IF(Table8[[#This Row],[Age]]="","Review - missing DOB",IF(Table8[[#This Row],[Age]]&gt;TODAY(),"Review - future DOB",IF(Table8[[#This Row],[Age]]=0,"Review -  potential entry error (age 0)","")))</f>
        <v/>
      </c>
      <c r="U592" t="str">
        <f>_xlfn.XLOOKUP(Table8[[#This Row],[Campaign_Code]],tb3_CampaignMaster[Campaign_Code],tb3_CampaignMaster[Campaign_Type],"")</f>
        <v>Regular Giving</v>
      </c>
      <c r="V592" t="str">
        <f>_xlfn.XLOOKUP(Table8[[#This Row],[Campaign_Code]],tb3_CampaignMaster[Campaign_Code],tb3_CampaignMaster[Target_Audience],"")</f>
        <v>One-time Donors</v>
      </c>
      <c r="W592" s="17">
        <f>_xlfn.XLOOKUP(Table8[[#This Row],[Campaign_Code]],tb3_CampaignMaster[Campaign_Code],tb3_CampaignMaster[Start_Date],"")</f>
        <v>45663</v>
      </c>
      <c r="X592" s="17">
        <f>_xlfn.XLOOKUP(Table8[[#This Row],[Campaign_Code]],tb3_CampaignMaster[Campaign_Code],tb3_CampaignMaster[End_Date],"")</f>
        <v>45747</v>
      </c>
      <c r="Y592">
        <f>_xlfn.XLOOKUP(Table8[[#This Row],[Campaign_Code]],tb3_CampaignMaster[Campaign_Code],tb3_CampaignMaster[Budget_GBP],"")</f>
        <v>10000</v>
      </c>
      <c r="Z592" t="str">
        <f>_xlfn.XLOOKUP(Table8[[#This Row],[Campaign_Code]],tb3_CampaignMaster[Campaign_Code],tb3_CampaignMaster[Primary_Channel],"")</f>
        <v>Telephone</v>
      </c>
      <c r="AA592" s="13">
        <f>IF(Table8[[#This Row],[Gift_Aid_Eligible]]="Yes",Table8[[#This Row],[Gift_Amount]]*1.25,Table8[[#This Row],[Gift_Amount]])</f>
        <v>24.53</v>
      </c>
      <c r="AB592" t="str">
        <f>IF(Table8[[#This Row],[Supporter_ID]]="","Review - missing supporter ID","")</f>
        <v/>
      </c>
      <c r="AC592" t="str">
        <f>IF(OR(Table8[[#This Row],[Response_Date]]&lt;Table8[[#This Row],[Start_Date]],Table8[[#This Row],[Response_Date]]&gt;Table8[[#This Row],[End_Date]]),"Review - response outside campaign dates","")</f>
        <v/>
      </c>
      <c r="AD592" t="str">
        <f>IF(Table8[[#This Row],[Campaign_Type]]="","Review - campaign code not found","")</f>
        <v/>
      </c>
    </row>
    <row r="593" spans="1:30" x14ac:dyDescent="0.25">
      <c r="A593" t="s">
        <v>4352</v>
      </c>
      <c r="B593" t="s">
        <v>1688</v>
      </c>
      <c r="C593" t="s">
        <v>3314</v>
      </c>
      <c r="D593" t="s">
        <v>3315</v>
      </c>
      <c r="E593" t="s">
        <v>65</v>
      </c>
      <c r="F593" s="17">
        <v>45713</v>
      </c>
      <c r="G593">
        <v>94.3</v>
      </c>
      <c r="H593" t="s">
        <v>37</v>
      </c>
      <c r="I593" t="s">
        <v>3328</v>
      </c>
      <c r="J593" t="str">
        <f>_xlfn.XLOOKUP(Table8[[#This Row],[Supporter_ID]],tb1_supporters[Supporter_ID ],tb1_supporters[Segment],"")</f>
        <v>Mid-Value</v>
      </c>
      <c r="K593" t="str">
        <f>_xlfn.XLOOKUP(Table8[[#This Row],[Supporter_ID]],tb1_supporters[Supporter_ID ],tb1_supporters[Acquisition_Source],"")</f>
        <v>Social Media</v>
      </c>
      <c r="L593" t="str">
        <f>_xlfn.XLOOKUP(Table8[[#This Row],[Supporter_ID]],tb1_supporters[Supporter_ID ],tb1_supporters[County],"")</f>
        <v>Cheshire</v>
      </c>
      <c r="M593" t="str">
        <f>_xlfn.XLOOKUP(Table8[[#This Row],[Supporter_ID]],tb1_supporters[Supporter_ID ],tb1_supporters[Gender],"")</f>
        <v>Female</v>
      </c>
      <c r="N593">
        <f ca="1">_xlfn.XLOOKUP(Table8[[#This Row],[Supporter_ID]],tb1_supporters[Supporter_ID ],tb1_supporters[Age],"")</f>
        <v>66</v>
      </c>
      <c r="O593" t="str">
        <f ca="1">_xlfn.XLOOKUP(Table8[[#This Row],[Supporter_ID]],tb1_supporters[Supporter_ID ],tb1_supporters[Age_Band],"")</f>
        <v>65+</v>
      </c>
      <c r="P593" t="str">
        <f ca="1">IF(Table8[[#This Row],[Age_Band]]="","Unknown",Table8[[#This Row],[Age_Band]])</f>
        <v>65+</v>
      </c>
      <c r="Q593" t="str">
        <f>_xlfn.XLOOKUP(Table8[[#This Row],[Supporter_ID]],tb1_supporters[Supporter_ID ],tb1_supporters[Communication_Preference],"")</f>
        <v>Phone</v>
      </c>
      <c r="R593" t="str">
        <f>_xlfn.XLOOKUP(Table8[[#This Row],[Supporter_ID]],tb1_supporters[Supporter_ID ],tb1_supporters[Duplicate_Profile_Flag],"")</f>
        <v/>
      </c>
      <c r="S593" t="str">
        <f>_xlfn.XLOOKUP(Table8[[#This Row],[Supporter_ID]],tb1_supporters[Supporter_ID ],tb1_supporters[Preference_Compliance_Flag],"")</f>
        <v>Review - prefers phone but not opted in</v>
      </c>
      <c r="T593" t="str">
        <f ca="1">IF(Table8[[#This Row],[Age]]="","Review - missing DOB",IF(Table8[[#This Row],[Age]]&gt;TODAY(),"Review - future DOB",IF(Table8[[#This Row],[Age]]=0,"Review -  potential entry error (age 0)","")))</f>
        <v/>
      </c>
      <c r="U593" t="str">
        <f>_xlfn.XLOOKUP(Table8[[#This Row],[Campaign_Code]],tb3_CampaignMaster[Campaign_Code],tb3_CampaignMaster[Campaign_Type],"")</f>
        <v>Regular Giving</v>
      </c>
      <c r="V593" t="str">
        <f>_xlfn.XLOOKUP(Table8[[#This Row],[Campaign_Code]],tb3_CampaignMaster[Campaign_Code],tb3_CampaignMaster[Target_Audience],"")</f>
        <v>One-time Donors</v>
      </c>
      <c r="W593" s="17">
        <f>_xlfn.XLOOKUP(Table8[[#This Row],[Campaign_Code]],tb3_CampaignMaster[Campaign_Code],tb3_CampaignMaster[Start_Date],"")</f>
        <v>45663</v>
      </c>
      <c r="X593" s="17">
        <f>_xlfn.XLOOKUP(Table8[[#This Row],[Campaign_Code]],tb3_CampaignMaster[Campaign_Code],tb3_CampaignMaster[End_Date],"")</f>
        <v>45747</v>
      </c>
      <c r="Y593">
        <f>_xlfn.XLOOKUP(Table8[[#This Row],[Campaign_Code]],tb3_CampaignMaster[Campaign_Code],tb3_CampaignMaster[Budget_GBP],"")</f>
        <v>10000</v>
      </c>
      <c r="Z593" t="str">
        <f>_xlfn.XLOOKUP(Table8[[#This Row],[Campaign_Code]],tb3_CampaignMaster[Campaign_Code],tb3_CampaignMaster[Primary_Channel],"")</f>
        <v>Telephone</v>
      </c>
      <c r="AA593" s="13">
        <f>IF(Table8[[#This Row],[Gift_Aid_Eligible]]="Yes",Table8[[#This Row],[Gift_Amount]]*1.25,Table8[[#This Row],[Gift_Amount]])</f>
        <v>94.3</v>
      </c>
      <c r="AB593" t="str">
        <f>IF(Table8[[#This Row],[Supporter_ID]]="","Review - missing supporter ID","")</f>
        <v/>
      </c>
      <c r="AC593" t="str">
        <f>IF(OR(Table8[[#This Row],[Response_Date]]&lt;Table8[[#This Row],[Start_Date]],Table8[[#This Row],[Response_Date]]&gt;Table8[[#This Row],[End_Date]]),"Review - response outside campaign dates","")</f>
        <v/>
      </c>
      <c r="AD593" t="str">
        <f>IF(Table8[[#This Row],[Campaign_Type]]="","Review - campaign code not found","")</f>
        <v/>
      </c>
    </row>
    <row r="594" spans="1:30" x14ac:dyDescent="0.25">
      <c r="A594" t="s">
        <v>4354</v>
      </c>
      <c r="C594" t="s">
        <v>3325</v>
      </c>
      <c r="D594" t="s">
        <v>3326</v>
      </c>
      <c r="E594" t="s">
        <v>3338</v>
      </c>
      <c r="F594" s="17">
        <v>45616</v>
      </c>
      <c r="G594">
        <v>4410.08</v>
      </c>
      <c r="H594" t="s">
        <v>36</v>
      </c>
      <c r="I594" t="s">
        <v>3328</v>
      </c>
      <c r="J594" t="str">
        <f>_xlfn.XLOOKUP(Table8[[#This Row],[Supporter_ID]],tb1_supporters[Supporter_ID ],tb1_supporters[Segment],"")</f>
        <v/>
      </c>
      <c r="K594" t="str">
        <f>_xlfn.XLOOKUP(Table8[[#This Row],[Supporter_ID]],tb1_supporters[Supporter_ID ],tb1_supporters[Acquisition_Source],"")</f>
        <v/>
      </c>
      <c r="L594" t="str">
        <f>_xlfn.XLOOKUP(Table8[[#This Row],[Supporter_ID]],tb1_supporters[Supporter_ID ],tb1_supporters[County],"")</f>
        <v/>
      </c>
      <c r="M594" t="str">
        <f>_xlfn.XLOOKUP(Table8[[#This Row],[Supporter_ID]],tb1_supporters[Supporter_ID ],tb1_supporters[Gender],"")</f>
        <v/>
      </c>
      <c r="N594" t="str">
        <f>_xlfn.XLOOKUP(Table8[[#This Row],[Supporter_ID]],tb1_supporters[Supporter_ID ],tb1_supporters[Age],"")</f>
        <v/>
      </c>
      <c r="O594" t="str">
        <f>_xlfn.XLOOKUP(Table8[[#This Row],[Supporter_ID]],tb1_supporters[Supporter_ID ],tb1_supporters[Age_Band],"")</f>
        <v/>
      </c>
      <c r="P594" t="str">
        <f>IF(Table8[[#This Row],[Age_Band]]="","Unknown",Table8[[#This Row],[Age_Band]])</f>
        <v>Unknown</v>
      </c>
      <c r="Q594" t="str">
        <f>_xlfn.XLOOKUP(Table8[[#This Row],[Supporter_ID]],tb1_supporters[Supporter_ID ],tb1_supporters[Communication_Preference],"")</f>
        <v/>
      </c>
      <c r="R594" t="str">
        <f>_xlfn.XLOOKUP(Table8[[#This Row],[Supporter_ID]],tb1_supporters[Supporter_ID ],tb1_supporters[Duplicate_Profile_Flag],"")</f>
        <v/>
      </c>
      <c r="S594" t="str">
        <f>_xlfn.XLOOKUP(Table8[[#This Row],[Supporter_ID]],tb1_supporters[Supporter_ID ],tb1_supporters[Preference_Compliance_Flag],"")</f>
        <v/>
      </c>
      <c r="T594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594" t="str">
        <f>_xlfn.XLOOKUP(Table8[[#This Row],[Campaign_Code]],tb3_CampaignMaster[Campaign_Code],tb3_CampaignMaster[Campaign_Type],"")</f>
        <v>Appeal</v>
      </c>
      <c r="V594" t="str">
        <f>_xlfn.XLOOKUP(Table8[[#This Row],[Campaign_Code]],tb3_CampaignMaster[Campaign_Code],tb3_CampaignMaster[Target_Audience],"")</f>
        <v>All Active</v>
      </c>
      <c r="W594" s="17">
        <f>_xlfn.XLOOKUP(Table8[[#This Row],[Campaign_Code]],tb3_CampaignMaster[Campaign_Code],tb3_CampaignMaster[Start_Date],"")</f>
        <v>45597</v>
      </c>
      <c r="X594" s="17">
        <f>_xlfn.XLOOKUP(Table8[[#This Row],[Campaign_Code]],tb3_CampaignMaster[Campaign_Code],tb3_CampaignMaster[End_Date],"")</f>
        <v>45657</v>
      </c>
      <c r="Y594">
        <f>_xlfn.XLOOKUP(Table8[[#This Row],[Campaign_Code]],tb3_CampaignMaster[Campaign_Code],tb3_CampaignMaster[Budget_GBP],"")</f>
        <v>25000</v>
      </c>
      <c r="Z594" t="str">
        <f>_xlfn.XLOOKUP(Table8[[#This Row],[Campaign_Code]],tb3_CampaignMaster[Campaign_Code],tb3_CampaignMaster[Primary_Channel],"")</f>
        <v>Multi-channel</v>
      </c>
      <c r="AA594" s="13">
        <f>IF(Table8[[#This Row],[Gift_Aid_Eligible]]="Yes",Table8[[#This Row],[Gift_Amount]]*1.25,Table8[[#This Row],[Gift_Amount]])</f>
        <v>5512.6</v>
      </c>
      <c r="AB594" t="str">
        <f>IF(Table8[[#This Row],[Supporter_ID]]="","Review - missing supporter ID","")</f>
        <v>Review - missing supporter ID</v>
      </c>
      <c r="AC594" t="str">
        <f>IF(OR(Table8[[#This Row],[Response_Date]]&lt;Table8[[#This Row],[Start_Date]],Table8[[#This Row],[Response_Date]]&gt;Table8[[#This Row],[End_Date]]),"Review - response outside campaign dates","")</f>
        <v/>
      </c>
      <c r="AD594" t="str">
        <f>IF(Table8[[#This Row],[Campaign_Type]]="","Review - campaign code not found","")</f>
        <v/>
      </c>
    </row>
    <row r="595" spans="1:30" x14ac:dyDescent="0.25">
      <c r="A595" t="s">
        <v>4356</v>
      </c>
      <c r="B595" t="s">
        <v>2981</v>
      </c>
      <c r="C595" t="s">
        <v>3336</v>
      </c>
      <c r="D595" t="s">
        <v>3337</v>
      </c>
      <c r="E595" t="s">
        <v>3316</v>
      </c>
      <c r="F595" s="17">
        <v>45565</v>
      </c>
      <c r="G595">
        <v>38.17</v>
      </c>
      <c r="H595" t="s">
        <v>36</v>
      </c>
      <c r="I595" t="s">
        <v>3318</v>
      </c>
      <c r="J595" t="str">
        <f>_xlfn.XLOOKUP(Table8[[#This Row],[Supporter_ID]],tb1_supporters[Supporter_ID ],tb1_supporters[Segment],"")</f>
        <v>Lapsed</v>
      </c>
      <c r="K595" t="str">
        <f>_xlfn.XLOOKUP(Table8[[#This Row],[Supporter_ID]],tb1_supporters[Supporter_ID ],tb1_supporters[Acquisition_Source],"")</f>
        <v>Telephone</v>
      </c>
      <c r="L595" t="str">
        <f>_xlfn.XLOOKUP(Table8[[#This Row],[Supporter_ID]],tb1_supporters[Supporter_ID ],tb1_supporters[County],"")</f>
        <v>Hampshire</v>
      </c>
      <c r="M595" t="str">
        <f>_xlfn.XLOOKUP(Table8[[#This Row],[Supporter_ID]],tb1_supporters[Supporter_ID ],tb1_supporters[Gender],"")</f>
        <v>Male</v>
      </c>
      <c r="N595">
        <f ca="1">_xlfn.XLOOKUP(Table8[[#This Row],[Supporter_ID]],tb1_supporters[Supporter_ID ],tb1_supporters[Age],"")</f>
        <v>67</v>
      </c>
      <c r="O595" t="str">
        <f ca="1">_xlfn.XLOOKUP(Table8[[#This Row],[Supporter_ID]],tb1_supporters[Supporter_ID ],tb1_supporters[Age_Band],"")</f>
        <v>65+</v>
      </c>
      <c r="P595" t="str">
        <f ca="1">IF(Table8[[#This Row],[Age_Band]]="","Unknown",Table8[[#This Row],[Age_Band]])</f>
        <v>65+</v>
      </c>
      <c r="Q595" t="str">
        <f>_xlfn.XLOOKUP(Table8[[#This Row],[Supporter_ID]],tb1_supporters[Supporter_ID ],tb1_supporters[Communication_Preference],"")</f>
        <v>Post</v>
      </c>
      <c r="R595" t="str">
        <f>_xlfn.XLOOKUP(Table8[[#This Row],[Supporter_ID]],tb1_supporters[Supporter_ID ],tb1_supporters[Duplicate_Profile_Flag],"")</f>
        <v/>
      </c>
      <c r="S595" t="str">
        <f>_xlfn.XLOOKUP(Table8[[#This Row],[Supporter_ID]],tb1_supporters[Supporter_ID ],tb1_supporters[Preference_Compliance_Flag],"")</f>
        <v/>
      </c>
      <c r="T595" t="str">
        <f ca="1">IF(Table8[[#This Row],[Age]]="","Review - missing DOB",IF(Table8[[#This Row],[Age]]&gt;TODAY(),"Review - future DOB",IF(Table8[[#This Row],[Age]]=0,"Review -  potential entry error (age 0)","")))</f>
        <v/>
      </c>
      <c r="U595" t="str">
        <f>_xlfn.XLOOKUP(Table8[[#This Row],[Campaign_Code]],tb3_CampaignMaster[Campaign_Code],tb3_CampaignMaster[Campaign_Type],"")</f>
        <v>Appeal</v>
      </c>
      <c r="V595" t="str">
        <f>_xlfn.XLOOKUP(Table8[[#This Row],[Campaign_Code]],tb3_CampaignMaster[Campaign_Code],tb3_CampaignMaster[Target_Audience],"")</f>
        <v>All Supporters</v>
      </c>
      <c r="W595" s="17">
        <f>_xlfn.XLOOKUP(Table8[[#This Row],[Campaign_Code]],tb3_CampaignMaster[Campaign_Code],tb3_CampaignMaster[Start_Date],"")</f>
        <v>45545</v>
      </c>
      <c r="X595" s="17">
        <f>_xlfn.XLOOKUP(Table8[[#This Row],[Campaign_Code]],tb3_CampaignMaster[Campaign_Code],tb3_CampaignMaster[End_Date],"")</f>
        <v>45580</v>
      </c>
      <c r="Y595">
        <f>_xlfn.XLOOKUP(Table8[[#This Row],[Campaign_Code]],tb3_CampaignMaster[Campaign_Code],tb3_CampaignMaster[Budget_GBP],"")</f>
        <v>15000</v>
      </c>
      <c r="Z595" t="str">
        <f>_xlfn.XLOOKUP(Table8[[#This Row],[Campaign_Code]],tb3_CampaignMaster[Campaign_Code],tb3_CampaignMaster[Primary_Channel],"")</f>
        <v>Email</v>
      </c>
      <c r="AA595" s="13">
        <f>IF(Table8[[#This Row],[Gift_Aid_Eligible]]="Yes",Table8[[#This Row],[Gift_Amount]]*1.25,Table8[[#This Row],[Gift_Amount]])</f>
        <v>47.712500000000006</v>
      </c>
      <c r="AB595" t="str">
        <f>IF(Table8[[#This Row],[Supporter_ID]]="","Review - missing supporter ID","")</f>
        <v/>
      </c>
      <c r="AC595" t="str">
        <f>IF(OR(Table8[[#This Row],[Response_Date]]&lt;Table8[[#This Row],[Start_Date]],Table8[[#This Row],[Response_Date]]&gt;Table8[[#This Row],[End_Date]]),"Review - response outside campaign dates","")</f>
        <v/>
      </c>
      <c r="AD595" t="str">
        <f>IF(Table8[[#This Row],[Campaign_Type]]="","Review - campaign code not found","")</f>
        <v/>
      </c>
    </row>
    <row r="596" spans="1:30" x14ac:dyDescent="0.25">
      <c r="A596" t="s">
        <v>4357</v>
      </c>
      <c r="B596" t="s">
        <v>2928</v>
      </c>
      <c r="C596" t="s">
        <v>3320</v>
      </c>
      <c r="D596" t="s">
        <v>3321</v>
      </c>
      <c r="E596" t="s">
        <v>4</v>
      </c>
      <c r="F596" s="17">
        <v>45450</v>
      </c>
      <c r="G596">
        <v>14.25</v>
      </c>
      <c r="H596" t="s">
        <v>36</v>
      </c>
      <c r="I596" t="s">
        <v>3370</v>
      </c>
      <c r="J596" t="str">
        <f>_xlfn.XLOOKUP(Table8[[#This Row],[Supporter_ID]],tb1_supporters[Supporter_ID ],tb1_supporters[Segment],"")</f>
        <v>Prospect</v>
      </c>
      <c r="K596" t="str">
        <f>_xlfn.XLOOKUP(Table8[[#This Row],[Supporter_ID]],tb1_supporters[Supporter_ID ],tb1_supporters[Acquisition_Source],"")</f>
        <v>Door-To-Door</v>
      </c>
      <c r="L596" t="str">
        <f>_xlfn.XLOOKUP(Table8[[#This Row],[Supporter_ID]],tb1_supporters[Supporter_ID ],tb1_supporters[County],"")</f>
        <v>North Yorkshire</v>
      </c>
      <c r="M596" t="str">
        <f>_xlfn.XLOOKUP(Table8[[#This Row],[Supporter_ID]],tb1_supporters[Supporter_ID ],tb1_supporters[Gender],"")</f>
        <v>Female</v>
      </c>
      <c r="N596">
        <f ca="1">_xlfn.XLOOKUP(Table8[[#This Row],[Supporter_ID]],tb1_supporters[Supporter_ID ],tb1_supporters[Age],"")</f>
        <v>75</v>
      </c>
      <c r="O596" t="str">
        <f ca="1">_xlfn.XLOOKUP(Table8[[#This Row],[Supporter_ID]],tb1_supporters[Supporter_ID ],tb1_supporters[Age_Band],"")</f>
        <v>65+</v>
      </c>
      <c r="P596" t="str">
        <f ca="1">IF(Table8[[#This Row],[Age_Band]]="","Unknown",Table8[[#This Row],[Age_Band]])</f>
        <v>65+</v>
      </c>
      <c r="Q596" t="str">
        <f>_xlfn.XLOOKUP(Table8[[#This Row],[Supporter_ID]],tb1_supporters[Supporter_ID ],tb1_supporters[Communication_Preference],"")</f>
        <v>Email</v>
      </c>
      <c r="R596" t="str">
        <f>_xlfn.XLOOKUP(Table8[[#This Row],[Supporter_ID]],tb1_supporters[Supporter_ID ],tb1_supporters[Duplicate_Profile_Flag],"")</f>
        <v/>
      </c>
      <c r="S596" t="str">
        <f>_xlfn.XLOOKUP(Table8[[#This Row],[Supporter_ID]],tb1_supporters[Supporter_ID ],tb1_supporters[Preference_Compliance_Flag],"")</f>
        <v/>
      </c>
      <c r="T596" t="str">
        <f ca="1">IF(Table8[[#This Row],[Age]]="","Review - missing DOB",IF(Table8[[#This Row],[Age]]&gt;TODAY(),"Review - future DOB",IF(Table8[[#This Row],[Age]]=0,"Review -  potential entry error (age 0)","")))</f>
        <v/>
      </c>
      <c r="U596" t="str">
        <f>_xlfn.XLOOKUP(Table8[[#This Row],[Campaign_Code]],tb3_CampaignMaster[Campaign_Code],tb3_CampaignMaster[Campaign_Type],"")</f>
        <v>Stewardship</v>
      </c>
      <c r="V596" t="str">
        <f>_xlfn.XLOOKUP(Table8[[#This Row],[Campaign_Code]],tb3_CampaignMaster[Campaign_Code],tb3_CampaignMaster[Target_Audience],"")</f>
        <v>Major Donors</v>
      </c>
      <c r="W596" s="17">
        <f>_xlfn.XLOOKUP(Table8[[#This Row],[Campaign_Code]],tb3_CampaignMaster[Campaign_Code],tb3_CampaignMaster[Start_Date],"")</f>
        <v>45444</v>
      </c>
      <c r="X596" s="17">
        <f>_xlfn.XLOOKUP(Table8[[#This Row],[Campaign_Code]],tb3_CampaignMaster[Campaign_Code],tb3_CampaignMaster[End_Date],"")</f>
        <v>45473</v>
      </c>
      <c r="Y596">
        <f>_xlfn.XLOOKUP(Table8[[#This Row],[Campaign_Code]],tb3_CampaignMaster[Campaign_Code],tb3_CampaignMaster[Budget_GBP],"")</f>
        <v>7000</v>
      </c>
      <c r="Z596" t="str">
        <f>_xlfn.XLOOKUP(Table8[[#This Row],[Campaign_Code]],tb3_CampaignMaster[Campaign_Code],tb3_CampaignMaster[Primary_Channel],"")</f>
        <v>Direct Mail</v>
      </c>
      <c r="AA596" s="13">
        <f>IF(Table8[[#This Row],[Gift_Aid_Eligible]]="Yes",Table8[[#This Row],[Gift_Amount]]*1.25,Table8[[#This Row],[Gift_Amount]])</f>
        <v>17.8125</v>
      </c>
      <c r="AB596" t="str">
        <f>IF(Table8[[#This Row],[Supporter_ID]]="","Review - missing supporter ID","")</f>
        <v/>
      </c>
      <c r="AC596" t="str">
        <f>IF(OR(Table8[[#This Row],[Response_Date]]&lt;Table8[[#This Row],[Start_Date]],Table8[[#This Row],[Response_Date]]&gt;Table8[[#This Row],[End_Date]]),"Review - response outside campaign dates","")</f>
        <v/>
      </c>
      <c r="AD596" t="str">
        <f>IF(Table8[[#This Row],[Campaign_Type]]="","Review - campaign code not found","")</f>
        <v/>
      </c>
    </row>
    <row r="597" spans="1:30" x14ac:dyDescent="0.25">
      <c r="A597" t="s">
        <v>4358</v>
      </c>
      <c r="B597" t="s">
        <v>961</v>
      </c>
      <c r="C597" t="s">
        <v>3314</v>
      </c>
      <c r="D597" t="s">
        <v>3315</v>
      </c>
      <c r="E597" t="s">
        <v>3316</v>
      </c>
      <c r="F597" s="17">
        <v>45674</v>
      </c>
      <c r="G597">
        <v>12.12</v>
      </c>
      <c r="H597" t="s">
        <v>37</v>
      </c>
      <c r="I597" t="s">
        <v>3318</v>
      </c>
      <c r="J597" t="str">
        <f>_xlfn.XLOOKUP(Table8[[#This Row],[Supporter_ID]],tb1_supporters[Supporter_ID ],tb1_supporters[Segment],"")</f>
        <v>Regular Giver</v>
      </c>
      <c r="K597" t="str">
        <f>_xlfn.XLOOKUP(Table8[[#This Row],[Supporter_ID]],tb1_supporters[Supporter_ID ],tb1_supporters[Acquisition_Source],"")</f>
        <v>Direct Mail</v>
      </c>
      <c r="L597" t="str">
        <f>_xlfn.XLOOKUP(Table8[[#This Row],[Supporter_ID]],tb1_supporters[Supporter_ID ],tb1_supporters[County],"")</f>
        <v>Strathclyde</v>
      </c>
      <c r="M597" t="str">
        <f>_xlfn.XLOOKUP(Table8[[#This Row],[Supporter_ID]],tb1_supporters[Supporter_ID ],tb1_supporters[Gender],"")</f>
        <v>Male</v>
      </c>
      <c r="N597">
        <f ca="1">_xlfn.XLOOKUP(Table8[[#This Row],[Supporter_ID]],tb1_supporters[Supporter_ID ],tb1_supporters[Age],"")</f>
        <v>67</v>
      </c>
      <c r="O597" t="str">
        <f ca="1">_xlfn.XLOOKUP(Table8[[#This Row],[Supporter_ID]],tb1_supporters[Supporter_ID ],tb1_supporters[Age_Band],"")</f>
        <v>65+</v>
      </c>
      <c r="P597" t="str">
        <f ca="1">IF(Table8[[#This Row],[Age_Band]]="","Unknown",Table8[[#This Row],[Age_Band]])</f>
        <v>65+</v>
      </c>
      <c r="Q597" t="str">
        <f>_xlfn.XLOOKUP(Table8[[#This Row],[Supporter_ID]],tb1_supporters[Supporter_ID ],tb1_supporters[Communication_Preference],"")</f>
        <v>Post</v>
      </c>
      <c r="R597" t="str">
        <f>_xlfn.XLOOKUP(Table8[[#This Row],[Supporter_ID]],tb1_supporters[Supporter_ID ],tb1_supporters[Duplicate_Profile_Flag],"")</f>
        <v/>
      </c>
      <c r="S597" t="str">
        <f>_xlfn.XLOOKUP(Table8[[#This Row],[Supporter_ID]],tb1_supporters[Supporter_ID ],tb1_supporters[Preference_Compliance_Flag],"")</f>
        <v/>
      </c>
      <c r="T597" t="str">
        <f ca="1">IF(Table8[[#This Row],[Age]]="","Review - missing DOB",IF(Table8[[#This Row],[Age]]&gt;TODAY(),"Review - future DOB",IF(Table8[[#This Row],[Age]]=0,"Review -  potential entry error (age 0)","")))</f>
        <v/>
      </c>
      <c r="U597" t="str">
        <f>_xlfn.XLOOKUP(Table8[[#This Row],[Campaign_Code]],tb3_CampaignMaster[Campaign_Code],tb3_CampaignMaster[Campaign_Type],"")</f>
        <v>Regular Giving</v>
      </c>
      <c r="V597" t="str">
        <f>_xlfn.XLOOKUP(Table8[[#This Row],[Campaign_Code]],tb3_CampaignMaster[Campaign_Code],tb3_CampaignMaster[Target_Audience],"")</f>
        <v>One-time Donors</v>
      </c>
      <c r="W597" s="17">
        <f>_xlfn.XLOOKUP(Table8[[#This Row],[Campaign_Code]],tb3_CampaignMaster[Campaign_Code],tb3_CampaignMaster[Start_Date],"")</f>
        <v>45663</v>
      </c>
      <c r="X597" s="17">
        <f>_xlfn.XLOOKUP(Table8[[#This Row],[Campaign_Code]],tb3_CampaignMaster[Campaign_Code],tb3_CampaignMaster[End_Date],"")</f>
        <v>45747</v>
      </c>
      <c r="Y597">
        <f>_xlfn.XLOOKUP(Table8[[#This Row],[Campaign_Code]],tb3_CampaignMaster[Campaign_Code],tb3_CampaignMaster[Budget_GBP],"")</f>
        <v>10000</v>
      </c>
      <c r="Z597" t="str">
        <f>_xlfn.XLOOKUP(Table8[[#This Row],[Campaign_Code]],tb3_CampaignMaster[Campaign_Code],tb3_CampaignMaster[Primary_Channel],"")</f>
        <v>Telephone</v>
      </c>
      <c r="AA597" s="13">
        <f>IF(Table8[[#This Row],[Gift_Aid_Eligible]]="Yes",Table8[[#This Row],[Gift_Amount]]*1.25,Table8[[#This Row],[Gift_Amount]])</f>
        <v>12.12</v>
      </c>
      <c r="AB597" t="str">
        <f>IF(Table8[[#This Row],[Supporter_ID]]="","Review - missing supporter ID","")</f>
        <v/>
      </c>
      <c r="AC597" t="str">
        <f>IF(OR(Table8[[#This Row],[Response_Date]]&lt;Table8[[#This Row],[Start_Date]],Table8[[#This Row],[Response_Date]]&gt;Table8[[#This Row],[End_Date]]),"Review - response outside campaign dates","")</f>
        <v/>
      </c>
      <c r="AD597" t="str">
        <f>IF(Table8[[#This Row],[Campaign_Type]]="","Review - campaign code not found","")</f>
        <v/>
      </c>
    </row>
    <row r="598" spans="1:30" x14ac:dyDescent="0.25">
      <c r="A598" t="s">
        <v>4360</v>
      </c>
      <c r="B598" t="s">
        <v>3290</v>
      </c>
      <c r="C598" t="s">
        <v>3341</v>
      </c>
      <c r="D598" t="s">
        <v>3342</v>
      </c>
      <c r="E598" t="s">
        <v>3316</v>
      </c>
      <c r="F598" s="17">
        <v>45750</v>
      </c>
      <c r="G598">
        <v>60.08</v>
      </c>
      <c r="H598" t="s">
        <v>37</v>
      </c>
      <c r="I598" t="s">
        <v>3331</v>
      </c>
      <c r="J598" t="str">
        <f>_xlfn.XLOOKUP(Table8[[#This Row],[Supporter_ID]],tb1_supporters[Supporter_ID ],tb1_supporters[Segment],"")</f>
        <v>Mid-Value</v>
      </c>
      <c r="K598" t="str">
        <f>_xlfn.XLOOKUP(Table8[[#This Row],[Supporter_ID]],tb1_supporters[Supporter_ID ],tb1_supporters[Acquisition_Source],"")</f>
        <v>Referral</v>
      </c>
      <c r="L598" t="str">
        <f>_xlfn.XLOOKUP(Table8[[#This Row],[Supporter_ID]],tb1_supporters[Supporter_ID ],tb1_supporters[County],"")</f>
        <v>South Yorkshire</v>
      </c>
      <c r="M598" t="str">
        <f>_xlfn.XLOOKUP(Table8[[#This Row],[Supporter_ID]],tb1_supporters[Supporter_ID ],tb1_supporters[Gender],"")</f>
        <v>Female</v>
      </c>
      <c r="N598">
        <f ca="1">_xlfn.XLOOKUP(Table8[[#This Row],[Supporter_ID]],tb1_supporters[Supporter_ID ],tb1_supporters[Age],"")</f>
        <v>64</v>
      </c>
      <c r="O598" t="str">
        <f ca="1">_xlfn.XLOOKUP(Table8[[#This Row],[Supporter_ID]],tb1_supporters[Supporter_ID ],tb1_supporters[Age_Band],"")</f>
        <v>50-64</v>
      </c>
      <c r="P598" t="str">
        <f ca="1">IF(Table8[[#This Row],[Age_Band]]="","Unknown",Table8[[#This Row],[Age_Band]])</f>
        <v>50-64</v>
      </c>
      <c r="Q598" t="str">
        <f>_xlfn.XLOOKUP(Table8[[#This Row],[Supporter_ID]],tb1_supporters[Supporter_ID ],tb1_supporters[Communication_Preference],"")</f>
        <v>Email</v>
      </c>
      <c r="R598" t="str">
        <f>_xlfn.XLOOKUP(Table8[[#This Row],[Supporter_ID]],tb1_supporters[Supporter_ID ],tb1_supporters[Duplicate_Profile_Flag],"")</f>
        <v>Review - duplicate record, see Supporter_Duplicates tab</v>
      </c>
      <c r="S598" t="str">
        <f>_xlfn.XLOOKUP(Table8[[#This Row],[Supporter_ID]],tb1_supporters[Supporter_ID ],tb1_supporters[Preference_Compliance_Flag],"")</f>
        <v/>
      </c>
      <c r="T598" t="str">
        <f ca="1">IF(Table8[[#This Row],[Age]]="","Review - missing DOB",IF(Table8[[#This Row],[Age]]&gt;TODAY(),"Review - future DOB",IF(Table8[[#This Row],[Age]]=0,"Review -  potential entry error (age 0)","")))</f>
        <v/>
      </c>
      <c r="U598" t="str">
        <f>_xlfn.XLOOKUP(Table8[[#This Row],[Campaign_Code]],tb3_CampaignMaster[Campaign_Code],tb3_CampaignMaster[Campaign_Type],"")</f>
        <v>Acquisition</v>
      </c>
      <c r="V598" t="str">
        <f>_xlfn.XLOOKUP(Table8[[#This Row],[Campaign_Code]],tb3_CampaignMaster[Campaign_Code],tb3_CampaignMaster[Target_Audience],"")</f>
        <v>Prospects</v>
      </c>
      <c r="W598" s="17">
        <f>_xlfn.XLOOKUP(Table8[[#This Row],[Campaign_Code]],tb3_CampaignMaster[Campaign_Code],tb3_CampaignMaster[Start_Date],"")</f>
        <v>45689</v>
      </c>
      <c r="X598" s="17">
        <f>_xlfn.XLOOKUP(Table8[[#This Row],[Campaign_Code]],tb3_CampaignMaster[Campaign_Code],tb3_CampaignMaster[End_Date],"")</f>
        <v>45777</v>
      </c>
      <c r="Y598">
        <f>_xlfn.XLOOKUP(Table8[[#This Row],[Campaign_Code]],tb3_CampaignMaster[Campaign_Code],tb3_CampaignMaster[Budget_GBP],"")</f>
        <v>20000</v>
      </c>
      <c r="Z598" t="str">
        <f>_xlfn.XLOOKUP(Table8[[#This Row],[Campaign_Code]],tb3_CampaignMaster[Campaign_Code],tb3_CampaignMaster[Primary_Channel],"")</f>
        <v>Digital</v>
      </c>
      <c r="AA598" s="13">
        <f>IF(Table8[[#This Row],[Gift_Aid_Eligible]]="Yes",Table8[[#This Row],[Gift_Amount]]*1.25,Table8[[#This Row],[Gift_Amount]])</f>
        <v>60.08</v>
      </c>
      <c r="AB598" t="str">
        <f>IF(Table8[[#This Row],[Supporter_ID]]="","Review - missing supporter ID","")</f>
        <v/>
      </c>
      <c r="AC598" t="str">
        <f>IF(OR(Table8[[#This Row],[Response_Date]]&lt;Table8[[#This Row],[Start_Date]],Table8[[#This Row],[Response_Date]]&gt;Table8[[#This Row],[End_Date]]),"Review - response outside campaign dates","")</f>
        <v/>
      </c>
      <c r="AD598" t="str">
        <f>IF(Table8[[#This Row],[Campaign_Type]]="","Review - campaign code not found","")</f>
        <v/>
      </c>
    </row>
    <row r="599" spans="1:30" x14ac:dyDescent="0.25">
      <c r="A599" t="s">
        <v>4362</v>
      </c>
      <c r="B599" t="s">
        <v>967</v>
      </c>
      <c r="C599" t="s">
        <v>3314</v>
      </c>
      <c r="D599" t="s">
        <v>3315</v>
      </c>
      <c r="E599" t="s">
        <v>65</v>
      </c>
      <c r="F599" s="17">
        <v>45686</v>
      </c>
      <c r="G599">
        <v>40.82</v>
      </c>
      <c r="H599" t="s">
        <v>37</v>
      </c>
      <c r="I599" t="s">
        <v>3323</v>
      </c>
      <c r="J599" t="str">
        <f>_xlfn.XLOOKUP(Table8[[#This Row],[Supporter_ID]],tb1_supporters[Supporter_ID ],tb1_supporters[Segment],"")</f>
        <v>Lapsed</v>
      </c>
      <c r="K599" t="str">
        <f>_xlfn.XLOOKUP(Table8[[#This Row],[Supporter_ID]],tb1_supporters[Supporter_ID ],tb1_supporters[Acquisition_Source],"")</f>
        <v>Social Media</v>
      </c>
      <c r="L599" t="str">
        <f>_xlfn.XLOOKUP(Table8[[#This Row],[Supporter_ID]],tb1_supporters[Supporter_ID ],tb1_supporters[County],"")</f>
        <v>Tyne and Wear</v>
      </c>
      <c r="M599" t="str">
        <f>_xlfn.XLOOKUP(Table8[[#This Row],[Supporter_ID]],tb1_supporters[Supporter_ID ],tb1_supporters[Gender],"")</f>
        <v>Female</v>
      </c>
      <c r="N599">
        <f ca="1">_xlfn.XLOOKUP(Table8[[#This Row],[Supporter_ID]],tb1_supporters[Supporter_ID ],tb1_supporters[Age],"")</f>
        <v>21</v>
      </c>
      <c r="O599" t="str">
        <f ca="1">_xlfn.XLOOKUP(Table8[[#This Row],[Supporter_ID]],tb1_supporters[Supporter_ID ],tb1_supporters[Age_Band],"")</f>
        <v>18-34</v>
      </c>
      <c r="P599" t="str">
        <f ca="1">IF(Table8[[#This Row],[Age_Band]]="","Unknown",Table8[[#This Row],[Age_Band]])</f>
        <v>18-34</v>
      </c>
      <c r="Q599" t="str">
        <f>_xlfn.XLOOKUP(Table8[[#This Row],[Supporter_ID]],tb1_supporters[Supporter_ID ],tb1_supporters[Communication_Preference],"")</f>
        <v>Phone</v>
      </c>
      <c r="R599" t="str">
        <f>_xlfn.XLOOKUP(Table8[[#This Row],[Supporter_ID]],tb1_supporters[Supporter_ID ],tb1_supporters[Duplicate_Profile_Flag],"")</f>
        <v/>
      </c>
      <c r="S599" t="str">
        <f>_xlfn.XLOOKUP(Table8[[#This Row],[Supporter_ID]],tb1_supporters[Supporter_ID ],tb1_supporters[Preference_Compliance_Flag],"")</f>
        <v/>
      </c>
      <c r="T599" t="str">
        <f ca="1">IF(Table8[[#This Row],[Age]]="","Review - missing DOB",IF(Table8[[#This Row],[Age]]&gt;TODAY(),"Review - future DOB",IF(Table8[[#This Row],[Age]]=0,"Review -  potential entry error (age 0)","")))</f>
        <v/>
      </c>
      <c r="U599" t="str">
        <f>_xlfn.XLOOKUP(Table8[[#This Row],[Campaign_Code]],tb3_CampaignMaster[Campaign_Code],tb3_CampaignMaster[Campaign_Type],"")</f>
        <v>Regular Giving</v>
      </c>
      <c r="V599" t="str">
        <f>_xlfn.XLOOKUP(Table8[[#This Row],[Campaign_Code]],tb3_CampaignMaster[Campaign_Code],tb3_CampaignMaster[Target_Audience],"")</f>
        <v>One-time Donors</v>
      </c>
      <c r="W599" s="17">
        <f>_xlfn.XLOOKUP(Table8[[#This Row],[Campaign_Code]],tb3_CampaignMaster[Campaign_Code],tb3_CampaignMaster[Start_Date],"")</f>
        <v>45663</v>
      </c>
      <c r="X599" s="17">
        <f>_xlfn.XLOOKUP(Table8[[#This Row],[Campaign_Code]],tb3_CampaignMaster[Campaign_Code],tb3_CampaignMaster[End_Date],"")</f>
        <v>45747</v>
      </c>
      <c r="Y599">
        <f>_xlfn.XLOOKUP(Table8[[#This Row],[Campaign_Code]],tb3_CampaignMaster[Campaign_Code],tb3_CampaignMaster[Budget_GBP],"")</f>
        <v>10000</v>
      </c>
      <c r="Z599" t="str">
        <f>_xlfn.XLOOKUP(Table8[[#This Row],[Campaign_Code]],tb3_CampaignMaster[Campaign_Code],tb3_CampaignMaster[Primary_Channel],"")</f>
        <v>Telephone</v>
      </c>
      <c r="AA599" s="13">
        <f>IF(Table8[[#This Row],[Gift_Aid_Eligible]]="Yes",Table8[[#This Row],[Gift_Amount]]*1.25,Table8[[#This Row],[Gift_Amount]])</f>
        <v>40.82</v>
      </c>
      <c r="AB599" t="str">
        <f>IF(Table8[[#This Row],[Supporter_ID]]="","Review - missing supporter ID","")</f>
        <v/>
      </c>
      <c r="AC599" t="str">
        <f>IF(OR(Table8[[#This Row],[Response_Date]]&lt;Table8[[#This Row],[Start_Date]],Table8[[#This Row],[Response_Date]]&gt;Table8[[#This Row],[End_Date]]),"Review - response outside campaign dates","")</f>
        <v/>
      </c>
      <c r="AD599" t="str">
        <f>IF(Table8[[#This Row],[Campaign_Type]]="","Review - campaign code not found","")</f>
        <v/>
      </c>
    </row>
    <row r="600" spans="1:30" x14ac:dyDescent="0.25">
      <c r="A600" t="s">
        <v>4364</v>
      </c>
      <c r="B600" t="s">
        <v>2194</v>
      </c>
      <c r="C600" t="s">
        <v>3354</v>
      </c>
      <c r="D600" t="s">
        <v>3355</v>
      </c>
      <c r="E600" t="s">
        <v>4</v>
      </c>
      <c r="F600" s="17">
        <v>45618</v>
      </c>
      <c r="G600">
        <v>66.09</v>
      </c>
      <c r="H600" t="s">
        <v>36</v>
      </c>
      <c r="I600" t="s">
        <v>3318</v>
      </c>
      <c r="J600" t="str">
        <f>_xlfn.XLOOKUP(Table8[[#This Row],[Supporter_ID]],tb1_supporters[Supporter_ID ],tb1_supporters[Segment],"")</f>
        <v>Lapsed</v>
      </c>
      <c r="K600" t="str">
        <f>_xlfn.XLOOKUP(Table8[[#This Row],[Supporter_ID]],tb1_supporters[Supporter_ID ],tb1_supporters[Acquisition_Source],"")</f>
        <v>Social Media</v>
      </c>
      <c r="L600" t="str">
        <f>_xlfn.XLOOKUP(Table8[[#This Row],[Supporter_ID]],tb1_supporters[Supporter_ID ],tb1_supporters[County],"")</f>
        <v>Antrim</v>
      </c>
      <c r="M600" t="str">
        <f>_xlfn.XLOOKUP(Table8[[#This Row],[Supporter_ID]],tb1_supporters[Supporter_ID ],tb1_supporters[Gender],"")</f>
        <v>Male</v>
      </c>
      <c r="N600">
        <f ca="1">_xlfn.XLOOKUP(Table8[[#This Row],[Supporter_ID]],tb1_supporters[Supporter_ID ],tb1_supporters[Age],"")</f>
        <v>78</v>
      </c>
      <c r="O600" t="str">
        <f ca="1">_xlfn.XLOOKUP(Table8[[#This Row],[Supporter_ID]],tb1_supporters[Supporter_ID ],tb1_supporters[Age_Band],"")</f>
        <v>65+</v>
      </c>
      <c r="P600" t="str">
        <f ca="1">IF(Table8[[#This Row],[Age_Band]]="","Unknown",Table8[[#This Row],[Age_Band]])</f>
        <v>65+</v>
      </c>
      <c r="Q600" t="str">
        <f>_xlfn.XLOOKUP(Table8[[#This Row],[Supporter_ID]],tb1_supporters[Supporter_ID ],tb1_supporters[Communication_Preference],"")</f>
        <v>Email</v>
      </c>
      <c r="R600" t="str">
        <f>_xlfn.XLOOKUP(Table8[[#This Row],[Supporter_ID]],tb1_supporters[Supporter_ID ],tb1_supporters[Duplicate_Profile_Flag],"")</f>
        <v/>
      </c>
      <c r="S600" t="str">
        <f>_xlfn.XLOOKUP(Table8[[#This Row],[Supporter_ID]],tb1_supporters[Supporter_ID ],tb1_supporters[Preference_Compliance_Flag],"")</f>
        <v/>
      </c>
      <c r="T600" t="str">
        <f ca="1">IF(Table8[[#This Row],[Age]]="","Review - missing DOB",IF(Table8[[#This Row],[Age]]&gt;TODAY(),"Review - future DOB",IF(Table8[[#This Row],[Age]]=0,"Review -  potential entry error (age 0)","")))</f>
        <v/>
      </c>
      <c r="U600" t="str">
        <f>_xlfn.XLOOKUP(Table8[[#This Row],[Campaign_Code]],tb3_CampaignMaster[Campaign_Code],tb3_CampaignMaster[Campaign_Type],"")</f>
        <v>Event</v>
      </c>
      <c r="V600" t="str">
        <f>_xlfn.XLOOKUP(Table8[[#This Row],[Campaign_Code]],tb3_CampaignMaster[Campaign_Code],tb3_CampaignMaster[Target_Audience],"")</f>
        <v>Volunteers</v>
      </c>
      <c r="W600" s="17">
        <f>_xlfn.XLOOKUP(Table8[[#This Row],[Campaign_Code]],tb3_CampaignMaster[Campaign_Code],tb3_CampaignMaster[Start_Date],"")</f>
        <v>45618</v>
      </c>
      <c r="X600" s="17">
        <f>_xlfn.XLOOKUP(Table8[[#This Row],[Campaign_Code]],tb3_CampaignMaster[Campaign_Code],tb3_CampaignMaster[End_Date],"")</f>
        <v>45618</v>
      </c>
      <c r="Y600">
        <f>_xlfn.XLOOKUP(Table8[[#This Row],[Campaign_Code]],tb3_CampaignMaster[Campaign_Code],tb3_CampaignMaster[Budget_GBP],"")</f>
        <v>3500</v>
      </c>
      <c r="Z600" t="str">
        <f>_xlfn.XLOOKUP(Table8[[#This Row],[Campaign_Code]],tb3_CampaignMaster[Campaign_Code],tb3_CampaignMaster[Primary_Channel],"")</f>
        <v>Email</v>
      </c>
      <c r="AA600" s="13">
        <f>IF(Table8[[#This Row],[Gift_Aid_Eligible]]="Yes",Table8[[#This Row],[Gift_Amount]]*1.25,Table8[[#This Row],[Gift_Amount]])</f>
        <v>82.612500000000011</v>
      </c>
      <c r="AB600" t="str">
        <f>IF(Table8[[#This Row],[Supporter_ID]]="","Review - missing supporter ID","")</f>
        <v/>
      </c>
      <c r="AC600" t="str">
        <f>IF(OR(Table8[[#This Row],[Response_Date]]&lt;Table8[[#This Row],[Start_Date]],Table8[[#This Row],[Response_Date]]&gt;Table8[[#This Row],[End_Date]]),"Review - response outside campaign dates","")</f>
        <v/>
      </c>
      <c r="AD600" t="str">
        <f>IF(Table8[[#This Row],[Campaign_Type]]="","Review - campaign code not found","")</f>
        <v/>
      </c>
    </row>
    <row r="601" spans="1:30" x14ac:dyDescent="0.25">
      <c r="A601" t="s">
        <v>4365</v>
      </c>
      <c r="B601" t="s">
        <v>663</v>
      </c>
      <c r="C601" t="s">
        <v>3427</v>
      </c>
      <c r="D601" t="s">
        <v>3428</v>
      </c>
      <c r="E601" t="s">
        <v>65</v>
      </c>
      <c r="F601" s="17">
        <v>45488</v>
      </c>
      <c r="G601">
        <v>149.24</v>
      </c>
      <c r="H601" t="s">
        <v>37</v>
      </c>
      <c r="I601" t="s">
        <v>3385</v>
      </c>
      <c r="J601" t="str">
        <f>_xlfn.XLOOKUP(Table8[[#This Row],[Supporter_ID]],tb1_supporters[Supporter_ID ],tb1_supporters[Segment],"")</f>
        <v>Mid-Value</v>
      </c>
      <c r="K601" t="str">
        <f>_xlfn.XLOOKUP(Table8[[#This Row],[Supporter_ID]],tb1_supporters[Supporter_ID ],tb1_supporters[Acquisition_Source],"")</f>
        <v>Telephone</v>
      </c>
      <c r="L601" t="str">
        <f>_xlfn.XLOOKUP(Table8[[#This Row],[Supporter_ID]],tb1_supporters[Supporter_ID ],tb1_supporters[County],"")</f>
        <v>Surrey</v>
      </c>
      <c r="M601" t="str">
        <f>_xlfn.XLOOKUP(Table8[[#This Row],[Supporter_ID]],tb1_supporters[Supporter_ID ],tb1_supporters[Gender],"")</f>
        <v>Male</v>
      </c>
      <c r="N601">
        <f ca="1">_xlfn.XLOOKUP(Table8[[#This Row],[Supporter_ID]],tb1_supporters[Supporter_ID ],tb1_supporters[Age],"")</f>
        <v>67</v>
      </c>
      <c r="O601" t="str">
        <f ca="1">_xlfn.XLOOKUP(Table8[[#This Row],[Supporter_ID]],tb1_supporters[Supporter_ID ],tb1_supporters[Age_Band],"")</f>
        <v>65+</v>
      </c>
      <c r="P601" t="str">
        <f ca="1">IF(Table8[[#This Row],[Age_Band]]="","Unknown",Table8[[#This Row],[Age_Band]])</f>
        <v>65+</v>
      </c>
      <c r="Q601" t="str">
        <f>_xlfn.XLOOKUP(Table8[[#This Row],[Supporter_ID]],tb1_supporters[Supporter_ID ],tb1_supporters[Communication_Preference],"")</f>
        <v>No Preference</v>
      </c>
      <c r="R601" t="str">
        <f>_xlfn.XLOOKUP(Table8[[#This Row],[Supporter_ID]],tb1_supporters[Supporter_ID ],tb1_supporters[Duplicate_Profile_Flag],"")</f>
        <v/>
      </c>
      <c r="S601" t="str">
        <f>_xlfn.XLOOKUP(Table8[[#This Row],[Supporter_ID]],tb1_supporters[Supporter_ID ],tb1_supporters[Preference_Compliance_Flag],"")</f>
        <v/>
      </c>
      <c r="T601" t="str">
        <f ca="1">IF(Table8[[#This Row],[Age]]="","Review - missing DOB",IF(Table8[[#This Row],[Age]]&gt;TODAY(),"Review - future DOB",IF(Table8[[#This Row],[Age]]=0,"Review -  potential entry error (age 0)","")))</f>
        <v/>
      </c>
      <c r="U601" t="str">
        <f>_xlfn.XLOOKUP(Table8[[#This Row],[Campaign_Code]],tb3_CampaignMaster[Campaign_Code],tb3_CampaignMaster[Campaign_Type],"")</f>
        <v>Event</v>
      </c>
      <c r="V601" t="str">
        <f>_xlfn.XLOOKUP(Table8[[#This Row],[Campaign_Code]],tb3_CampaignMaster[Campaign_Code],tb3_CampaignMaster[Target_Audience],"")</f>
        <v>Major Donors</v>
      </c>
      <c r="W601" s="17">
        <f>_xlfn.XLOOKUP(Table8[[#This Row],[Campaign_Code]],tb3_CampaignMaster[Campaign_Code],tb3_CampaignMaster[Start_Date],"")</f>
        <v>45488</v>
      </c>
      <c r="X601" s="17">
        <f>_xlfn.XLOOKUP(Table8[[#This Row],[Campaign_Code]],tb3_CampaignMaster[Campaign_Code],tb3_CampaignMaster[End_Date],"")</f>
        <v>45488</v>
      </c>
      <c r="Y601">
        <f>_xlfn.XLOOKUP(Table8[[#This Row],[Campaign_Code]],tb3_CampaignMaster[Campaign_Code],tb3_CampaignMaster[Budget_GBP],"")</f>
        <v>45000</v>
      </c>
      <c r="Z601" t="str">
        <f>_xlfn.XLOOKUP(Table8[[#This Row],[Campaign_Code]],tb3_CampaignMaster[Campaign_Code],tb3_CampaignMaster[Primary_Channel],"")</f>
        <v>Direct Mail</v>
      </c>
      <c r="AA601" s="13">
        <f>IF(Table8[[#This Row],[Gift_Aid_Eligible]]="Yes",Table8[[#This Row],[Gift_Amount]]*1.25,Table8[[#This Row],[Gift_Amount]])</f>
        <v>149.24</v>
      </c>
      <c r="AB601" t="str">
        <f>IF(Table8[[#This Row],[Supporter_ID]]="","Review - missing supporter ID","")</f>
        <v/>
      </c>
      <c r="AC601" t="str">
        <f>IF(OR(Table8[[#This Row],[Response_Date]]&lt;Table8[[#This Row],[Start_Date]],Table8[[#This Row],[Response_Date]]&gt;Table8[[#This Row],[End_Date]]),"Review - response outside campaign dates","")</f>
        <v/>
      </c>
      <c r="AD601" t="str">
        <f>IF(Table8[[#This Row],[Campaign_Type]]="","Review - campaign code not found","")</f>
        <v/>
      </c>
    </row>
    <row r="602" spans="1:30" x14ac:dyDescent="0.25">
      <c r="A602" t="s">
        <v>4366</v>
      </c>
      <c r="B602" t="s">
        <v>796</v>
      </c>
      <c r="C602" t="s">
        <v>3341</v>
      </c>
      <c r="D602" t="s">
        <v>3342</v>
      </c>
      <c r="E602" t="s">
        <v>65</v>
      </c>
      <c r="F602" s="17">
        <v>45689</v>
      </c>
      <c r="G602">
        <v>44.86</v>
      </c>
      <c r="H602" t="s">
        <v>36</v>
      </c>
      <c r="I602" t="s">
        <v>3328</v>
      </c>
      <c r="J602" t="str">
        <f>_xlfn.XLOOKUP(Table8[[#This Row],[Supporter_ID]],tb1_supporters[Supporter_ID ],tb1_supporters[Segment],"")</f>
        <v>One-Time Donor</v>
      </c>
      <c r="K602" t="str">
        <f>_xlfn.XLOOKUP(Table8[[#This Row],[Supporter_ID]],tb1_supporters[Supporter_ID ],tb1_supporters[Acquisition_Source],"")</f>
        <v>Telephone</v>
      </c>
      <c r="L602" t="str">
        <f>_xlfn.XLOOKUP(Table8[[#This Row],[Supporter_ID]],tb1_supporters[Supporter_ID ],tb1_supporters[County],"")</f>
        <v>Devon</v>
      </c>
      <c r="M602" t="str">
        <f>_xlfn.XLOOKUP(Table8[[#This Row],[Supporter_ID]],tb1_supporters[Supporter_ID ],tb1_supporters[Gender],"")</f>
        <v>Female</v>
      </c>
      <c r="N602">
        <f ca="1">_xlfn.XLOOKUP(Table8[[#This Row],[Supporter_ID]],tb1_supporters[Supporter_ID ],tb1_supporters[Age],"")</f>
        <v>35</v>
      </c>
      <c r="O602" t="str">
        <f ca="1">_xlfn.XLOOKUP(Table8[[#This Row],[Supporter_ID]],tb1_supporters[Supporter_ID ],tb1_supporters[Age_Band],"")</f>
        <v>35-49</v>
      </c>
      <c r="P602" t="str">
        <f ca="1">IF(Table8[[#This Row],[Age_Band]]="","Unknown",Table8[[#This Row],[Age_Band]])</f>
        <v>35-49</v>
      </c>
      <c r="Q602" t="str">
        <f>_xlfn.XLOOKUP(Table8[[#This Row],[Supporter_ID]],tb1_supporters[Supporter_ID ],tb1_supporters[Communication_Preference],"")</f>
        <v>Do Not Contact</v>
      </c>
      <c r="R602" t="str">
        <f>_xlfn.XLOOKUP(Table8[[#This Row],[Supporter_ID]],tb1_supporters[Supporter_ID ],tb1_supporters[Duplicate_Profile_Flag],"")</f>
        <v/>
      </c>
      <c r="S602" t="str">
        <f>_xlfn.XLOOKUP(Table8[[#This Row],[Supporter_ID]],tb1_supporters[Supporter_ID ],tb1_supporters[Preference_Compliance_Flag],"")</f>
        <v/>
      </c>
      <c r="T602" t="str">
        <f ca="1">IF(Table8[[#This Row],[Age]]="","Review - missing DOB",IF(Table8[[#This Row],[Age]]&gt;TODAY(),"Review - future DOB",IF(Table8[[#This Row],[Age]]=0,"Review -  potential entry error (age 0)","")))</f>
        <v/>
      </c>
      <c r="U602" t="str">
        <f>_xlfn.XLOOKUP(Table8[[#This Row],[Campaign_Code]],tb3_CampaignMaster[Campaign_Code],tb3_CampaignMaster[Campaign_Type],"")</f>
        <v>Acquisition</v>
      </c>
      <c r="V602" t="str">
        <f>_xlfn.XLOOKUP(Table8[[#This Row],[Campaign_Code]],tb3_CampaignMaster[Campaign_Code],tb3_CampaignMaster[Target_Audience],"")</f>
        <v>Prospects</v>
      </c>
      <c r="W602" s="17">
        <f>_xlfn.XLOOKUP(Table8[[#This Row],[Campaign_Code]],tb3_CampaignMaster[Campaign_Code],tb3_CampaignMaster[Start_Date],"")</f>
        <v>45689</v>
      </c>
      <c r="X602" s="17">
        <f>_xlfn.XLOOKUP(Table8[[#This Row],[Campaign_Code]],tb3_CampaignMaster[Campaign_Code],tb3_CampaignMaster[End_Date],"")</f>
        <v>45777</v>
      </c>
      <c r="Y602">
        <f>_xlfn.XLOOKUP(Table8[[#This Row],[Campaign_Code]],tb3_CampaignMaster[Campaign_Code],tb3_CampaignMaster[Budget_GBP],"")</f>
        <v>20000</v>
      </c>
      <c r="Z602" t="str">
        <f>_xlfn.XLOOKUP(Table8[[#This Row],[Campaign_Code]],tb3_CampaignMaster[Campaign_Code],tb3_CampaignMaster[Primary_Channel],"")</f>
        <v>Digital</v>
      </c>
      <c r="AA602" s="13">
        <f>IF(Table8[[#This Row],[Gift_Aid_Eligible]]="Yes",Table8[[#This Row],[Gift_Amount]]*1.25,Table8[[#This Row],[Gift_Amount]])</f>
        <v>56.075000000000003</v>
      </c>
      <c r="AB602" t="str">
        <f>IF(Table8[[#This Row],[Supporter_ID]]="","Review - missing supporter ID","")</f>
        <v/>
      </c>
      <c r="AC602" t="str">
        <f>IF(OR(Table8[[#This Row],[Response_Date]]&lt;Table8[[#This Row],[Start_Date]],Table8[[#This Row],[Response_Date]]&gt;Table8[[#This Row],[End_Date]]),"Review - response outside campaign dates","")</f>
        <v/>
      </c>
      <c r="AD602" t="str">
        <f>IF(Table8[[#This Row],[Campaign_Type]]="","Review - campaign code not found","")</f>
        <v/>
      </c>
    </row>
    <row r="603" spans="1:30" x14ac:dyDescent="0.25">
      <c r="A603" t="s">
        <v>4368</v>
      </c>
      <c r="B603" t="s">
        <v>307</v>
      </c>
      <c r="C603" t="s">
        <v>3341</v>
      </c>
      <c r="D603" t="s">
        <v>3342</v>
      </c>
      <c r="E603" t="s">
        <v>4</v>
      </c>
      <c r="F603" s="17">
        <v>45764</v>
      </c>
      <c r="G603">
        <v>14.77</v>
      </c>
      <c r="H603" t="s">
        <v>36</v>
      </c>
      <c r="I603" t="s">
        <v>3334</v>
      </c>
      <c r="J603" t="str">
        <f>_xlfn.XLOOKUP(Table8[[#This Row],[Supporter_ID]],tb1_supporters[Supporter_ID ],tb1_supporters[Segment],"")</f>
        <v>Lapsed</v>
      </c>
      <c r="K603" t="str">
        <f>_xlfn.XLOOKUP(Table8[[#This Row],[Supporter_ID]],tb1_supporters[Supporter_ID ],tb1_supporters[Acquisition_Source],"")</f>
        <v>Telephone</v>
      </c>
      <c r="L603" t="str">
        <f>_xlfn.XLOOKUP(Table8[[#This Row],[Supporter_ID]],tb1_supporters[Supporter_ID ],tb1_supporters[County],"")</f>
        <v>Merseyside</v>
      </c>
      <c r="M603" t="str">
        <f>_xlfn.XLOOKUP(Table8[[#This Row],[Supporter_ID]],tb1_supporters[Supporter_ID ],tb1_supporters[Gender],"")</f>
        <v>Female</v>
      </c>
      <c r="N603">
        <f ca="1">_xlfn.XLOOKUP(Table8[[#This Row],[Supporter_ID]],tb1_supporters[Supporter_ID ],tb1_supporters[Age],"")</f>
        <v>47</v>
      </c>
      <c r="O603" t="str">
        <f ca="1">_xlfn.XLOOKUP(Table8[[#This Row],[Supporter_ID]],tb1_supporters[Supporter_ID ],tb1_supporters[Age_Band],"")</f>
        <v>35-49</v>
      </c>
      <c r="P603" t="str">
        <f ca="1">IF(Table8[[#This Row],[Age_Band]]="","Unknown",Table8[[#This Row],[Age_Band]])</f>
        <v>35-49</v>
      </c>
      <c r="Q603" t="str">
        <f>_xlfn.XLOOKUP(Table8[[#This Row],[Supporter_ID]],tb1_supporters[Supporter_ID ],tb1_supporters[Communication_Preference],"")</f>
        <v>Phone</v>
      </c>
      <c r="R603" t="str">
        <f>_xlfn.XLOOKUP(Table8[[#This Row],[Supporter_ID]],tb1_supporters[Supporter_ID ],tb1_supporters[Duplicate_Profile_Flag],"")</f>
        <v/>
      </c>
      <c r="S603" t="str">
        <f>_xlfn.XLOOKUP(Table8[[#This Row],[Supporter_ID]],tb1_supporters[Supporter_ID ],tb1_supporters[Preference_Compliance_Flag],"")</f>
        <v>Review - prefers phone but not opted in</v>
      </c>
      <c r="T603" t="str">
        <f ca="1">IF(Table8[[#This Row],[Age]]="","Review - missing DOB",IF(Table8[[#This Row],[Age]]&gt;TODAY(),"Review - future DOB",IF(Table8[[#This Row],[Age]]=0,"Review -  potential entry error (age 0)","")))</f>
        <v/>
      </c>
      <c r="U603" t="str">
        <f>_xlfn.XLOOKUP(Table8[[#This Row],[Campaign_Code]],tb3_CampaignMaster[Campaign_Code],tb3_CampaignMaster[Campaign_Type],"")</f>
        <v>Acquisition</v>
      </c>
      <c r="V603" t="str">
        <f>_xlfn.XLOOKUP(Table8[[#This Row],[Campaign_Code]],tb3_CampaignMaster[Campaign_Code],tb3_CampaignMaster[Target_Audience],"")</f>
        <v>Prospects</v>
      </c>
      <c r="W603" s="17">
        <f>_xlfn.XLOOKUP(Table8[[#This Row],[Campaign_Code]],tb3_CampaignMaster[Campaign_Code],tb3_CampaignMaster[Start_Date],"")</f>
        <v>45689</v>
      </c>
      <c r="X603" s="17">
        <f>_xlfn.XLOOKUP(Table8[[#This Row],[Campaign_Code]],tb3_CampaignMaster[Campaign_Code],tb3_CampaignMaster[End_Date],"")</f>
        <v>45777</v>
      </c>
      <c r="Y603">
        <f>_xlfn.XLOOKUP(Table8[[#This Row],[Campaign_Code]],tb3_CampaignMaster[Campaign_Code],tb3_CampaignMaster[Budget_GBP],"")</f>
        <v>20000</v>
      </c>
      <c r="Z603" t="str">
        <f>_xlfn.XLOOKUP(Table8[[#This Row],[Campaign_Code]],tb3_CampaignMaster[Campaign_Code],tb3_CampaignMaster[Primary_Channel],"")</f>
        <v>Digital</v>
      </c>
      <c r="AA603" s="13">
        <f>IF(Table8[[#This Row],[Gift_Aid_Eligible]]="Yes",Table8[[#This Row],[Gift_Amount]]*1.25,Table8[[#This Row],[Gift_Amount]])</f>
        <v>18.462499999999999</v>
      </c>
      <c r="AB603" t="str">
        <f>IF(Table8[[#This Row],[Supporter_ID]]="","Review - missing supporter ID","")</f>
        <v/>
      </c>
      <c r="AC603" t="str">
        <f>IF(OR(Table8[[#This Row],[Response_Date]]&lt;Table8[[#This Row],[Start_Date]],Table8[[#This Row],[Response_Date]]&gt;Table8[[#This Row],[End_Date]]),"Review - response outside campaign dates","")</f>
        <v/>
      </c>
      <c r="AD603" t="str">
        <f>IF(Table8[[#This Row],[Campaign_Type]]="","Review - campaign code not found","")</f>
        <v/>
      </c>
    </row>
    <row r="604" spans="1:30" x14ac:dyDescent="0.25">
      <c r="A604" t="s">
        <v>4370</v>
      </c>
      <c r="B604" t="s">
        <v>2059</v>
      </c>
      <c r="C604" t="s">
        <v>3403</v>
      </c>
      <c r="D604" t="s">
        <v>3404</v>
      </c>
      <c r="E604" t="s">
        <v>3316</v>
      </c>
      <c r="F604" s="17">
        <v>45601</v>
      </c>
      <c r="G604">
        <v>14</v>
      </c>
      <c r="H604" t="s">
        <v>37</v>
      </c>
      <c r="I604" t="s">
        <v>3331</v>
      </c>
      <c r="J604" t="str">
        <f>_xlfn.XLOOKUP(Table8[[#This Row],[Supporter_ID]],tb1_supporters[Supporter_ID ],tb1_supporters[Segment],"")</f>
        <v>One-Time Donor</v>
      </c>
      <c r="K604" t="str">
        <f>_xlfn.XLOOKUP(Table8[[#This Row],[Supporter_ID]],tb1_supporters[Supporter_ID ],tb1_supporters[Acquisition_Source],"")</f>
        <v>Direct Mail</v>
      </c>
      <c r="L604" t="str">
        <f>_xlfn.XLOOKUP(Table8[[#This Row],[Supporter_ID]],tb1_supporters[Supporter_ID ],tb1_supporters[County],"")</f>
        <v>Bedfordshire</v>
      </c>
      <c r="M604" t="str">
        <f>_xlfn.XLOOKUP(Table8[[#This Row],[Supporter_ID]],tb1_supporters[Supporter_ID ],tb1_supporters[Gender],"")</f>
        <v>Male</v>
      </c>
      <c r="N604">
        <f ca="1">_xlfn.XLOOKUP(Table8[[#This Row],[Supporter_ID]],tb1_supporters[Supporter_ID ],tb1_supporters[Age],"")</f>
        <v>30</v>
      </c>
      <c r="O604" t="str">
        <f ca="1">_xlfn.XLOOKUP(Table8[[#This Row],[Supporter_ID]],tb1_supporters[Supporter_ID ],tb1_supporters[Age_Band],"")</f>
        <v>18-34</v>
      </c>
      <c r="P604" t="str">
        <f ca="1">IF(Table8[[#This Row],[Age_Band]]="","Unknown",Table8[[#This Row],[Age_Band]])</f>
        <v>18-34</v>
      </c>
      <c r="Q604" t="str">
        <f>_xlfn.XLOOKUP(Table8[[#This Row],[Supporter_ID]],tb1_supporters[Supporter_ID ],tb1_supporters[Communication_Preference],"")</f>
        <v>No Preference</v>
      </c>
      <c r="R604" t="str">
        <f>_xlfn.XLOOKUP(Table8[[#This Row],[Supporter_ID]],tb1_supporters[Supporter_ID ],tb1_supporters[Duplicate_Profile_Flag],"")</f>
        <v/>
      </c>
      <c r="S604" t="str">
        <f>_xlfn.XLOOKUP(Table8[[#This Row],[Supporter_ID]],tb1_supporters[Supporter_ID ],tb1_supporters[Preference_Compliance_Flag],"")</f>
        <v/>
      </c>
      <c r="T604" t="str">
        <f ca="1">IF(Table8[[#This Row],[Age]]="","Review - missing DOB",IF(Table8[[#This Row],[Age]]&gt;TODAY(),"Review - future DOB",IF(Table8[[#This Row],[Age]]=0,"Review -  potential entry error (age 0)","")))</f>
        <v/>
      </c>
      <c r="U604" t="str">
        <f>_xlfn.XLOOKUP(Table8[[#This Row],[Campaign_Code]],tb3_CampaignMaster[Campaign_Code],tb3_CampaignMaster[Campaign_Type],"")</f>
        <v>Trading</v>
      </c>
      <c r="V604" t="str">
        <f>_xlfn.XLOOKUP(Table8[[#This Row],[Campaign_Code]],tb3_CampaignMaster[Campaign_Code],tb3_CampaignMaster[Target_Audience],"")</f>
        <v>All Active</v>
      </c>
      <c r="W604" s="17">
        <f>_xlfn.XLOOKUP(Table8[[#This Row],[Campaign_Code]],tb3_CampaignMaster[Campaign_Code],tb3_CampaignMaster[Start_Date],"")</f>
        <v>45580</v>
      </c>
      <c r="X604" s="17">
        <f>_xlfn.XLOOKUP(Table8[[#This Row],[Campaign_Code]],tb3_CampaignMaster[Campaign_Code],tb3_CampaignMaster[End_Date],"")</f>
        <v>45646</v>
      </c>
      <c r="Y604">
        <f>_xlfn.XLOOKUP(Table8[[#This Row],[Campaign_Code]],tb3_CampaignMaster[Campaign_Code],tb3_CampaignMaster[Budget_GBP],"")</f>
        <v>12000</v>
      </c>
      <c r="Z604" t="str">
        <f>_xlfn.XLOOKUP(Table8[[#This Row],[Campaign_Code]],tb3_CampaignMaster[Campaign_Code],tb3_CampaignMaster[Primary_Channel],"")</f>
        <v>Multi-channel</v>
      </c>
      <c r="AA604" s="13">
        <f>IF(Table8[[#This Row],[Gift_Aid_Eligible]]="Yes",Table8[[#This Row],[Gift_Amount]]*1.25,Table8[[#This Row],[Gift_Amount]])</f>
        <v>14</v>
      </c>
      <c r="AB604" t="str">
        <f>IF(Table8[[#This Row],[Supporter_ID]]="","Review - missing supporter ID","")</f>
        <v/>
      </c>
      <c r="AC604" t="str">
        <f>IF(OR(Table8[[#This Row],[Response_Date]]&lt;Table8[[#This Row],[Start_Date]],Table8[[#This Row],[Response_Date]]&gt;Table8[[#This Row],[End_Date]]),"Review - response outside campaign dates","")</f>
        <v/>
      </c>
      <c r="AD604" t="str">
        <f>IF(Table8[[#This Row],[Campaign_Type]]="","Review - campaign code not found","")</f>
        <v/>
      </c>
    </row>
    <row r="605" spans="1:30" x14ac:dyDescent="0.25">
      <c r="A605" t="s">
        <v>4372</v>
      </c>
      <c r="B605" t="s">
        <v>2495</v>
      </c>
      <c r="C605" t="s">
        <v>3403</v>
      </c>
      <c r="D605" t="s">
        <v>3404</v>
      </c>
      <c r="E605" t="s">
        <v>4</v>
      </c>
      <c r="F605" s="17">
        <v>45605</v>
      </c>
      <c r="G605">
        <v>5.04</v>
      </c>
      <c r="H605" t="s">
        <v>36</v>
      </c>
      <c r="I605" t="s">
        <v>3385</v>
      </c>
      <c r="J605" t="str">
        <f>_xlfn.XLOOKUP(Table8[[#This Row],[Supporter_ID]],tb1_supporters[Supporter_ID ],tb1_supporters[Segment],"")</f>
        <v>Regular Giver</v>
      </c>
      <c r="K605" t="str">
        <f>_xlfn.XLOOKUP(Table8[[#This Row],[Supporter_ID]],tb1_supporters[Supporter_ID ],tb1_supporters[Acquisition_Source],"")</f>
        <v>Corporate Partner</v>
      </c>
      <c r="L605" t="str">
        <f>_xlfn.XLOOKUP(Table8[[#This Row],[Supporter_ID]],tb1_supporters[Supporter_ID ],tb1_supporters[County],"")</f>
        <v>Somerset</v>
      </c>
      <c r="M605" t="str">
        <f>_xlfn.XLOOKUP(Table8[[#This Row],[Supporter_ID]],tb1_supporters[Supporter_ID ],tb1_supporters[Gender],"")</f>
        <v>Male</v>
      </c>
      <c r="N605">
        <f ca="1">_xlfn.XLOOKUP(Table8[[#This Row],[Supporter_ID]],tb1_supporters[Supporter_ID ],tb1_supporters[Age],"")</f>
        <v>49</v>
      </c>
      <c r="O605" t="str">
        <f ca="1">_xlfn.XLOOKUP(Table8[[#This Row],[Supporter_ID]],tb1_supporters[Supporter_ID ],tb1_supporters[Age_Band],"")</f>
        <v>35-49</v>
      </c>
      <c r="P605" t="str">
        <f ca="1">IF(Table8[[#This Row],[Age_Band]]="","Unknown",Table8[[#This Row],[Age_Band]])</f>
        <v>35-49</v>
      </c>
      <c r="Q605" t="str">
        <f>_xlfn.XLOOKUP(Table8[[#This Row],[Supporter_ID]],tb1_supporters[Supporter_ID ],tb1_supporters[Communication_Preference],"")</f>
        <v>Email</v>
      </c>
      <c r="R605" t="str">
        <f>_xlfn.XLOOKUP(Table8[[#This Row],[Supporter_ID]],tb1_supporters[Supporter_ID ],tb1_supporters[Duplicate_Profile_Flag],"")</f>
        <v/>
      </c>
      <c r="S605" t="str">
        <f>_xlfn.XLOOKUP(Table8[[#This Row],[Supporter_ID]],tb1_supporters[Supporter_ID ],tb1_supporters[Preference_Compliance_Flag],"")</f>
        <v/>
      </c>
      <c r="T605" t="str">
        <f ca="1">IF(Table8[[#This Row],[Age]]="","Review - missing DOB",IF(Table8[[#This Row],[Age]]&gt;TODAY(),"Review - future DOB",IF(Table8[[#This Row],[Age]]=0,"Review -  potential entry error (age 0)","")))</f>
        <v/>
      </c>
      <c r="U605" t="str">
        <f>_xlfn.XLOOKUP(Table8[[#This Row],[Campaign_Code]],tb3_CampaignMaster[Campaign_Code],tb3_CampaignMaster[Campaign_Type],"")</f>
        <v>Trading</v>
      </c>
      <c r="V605" t="str">
        <f>_xlfn.XLOOKUP(Table8[[#This Row],[Campaign_Code]],tb3_CampaignMaster[Campaign_Code],tb3_CampaignMaster[Target_Audience],"")</f>
        <v>All Active</v>
      </c>
      <c r="W605" s="17">
        <f>_xlfn.XLOOKUP(Table8[[#This Row],[Campaign_Code]],tb3_CampaignMaster[Campaign_Code],tb3_CampaignMaster[Start_Date],"")</f>
        <v>45580</v>
      </c>
      <c r="X605" s="17">
        <f>_xlfn.XLOOKUP(Table8[[#This Row],[Campaign_Code]],tb3_CampaignMaster[Campaign_Code],tb3_CampaignMaster[End_Date],"")</f>
        <v>45646</v>
      </c>
      <c r="Y605">
        <f>_xlfn.XLOOKUP(Table8[[#This Row],[Campaign_Code]],tb3_CampaignMaster[Campaign_Code],tb3_CampaignMaster[Budget_GBP],"")</f>
        <v>12000</v>
      </c>
      <c r="Z605" t="str">
        <f>_xlfn.XLOOKUP(Table8[[#This Row],[Campaign_Code]],tb3_CampaignMaster[Campaign_Code],tb3_CampaignMaster[Primary_Channel],"")</f>
        <v>Multi-channel</v>
      </c>
      <c r="AA605" s="13">
        <f>IF(Table8[[#This Row],[Gift_Aid_Eligible]]="Yes",Table8[[#This Row],[Gift_Amount]]*1.25,Table8[[#This Row],[Gift_Amount]])</f>
        <v>6.3</v>
      </c>
      <c r="AB605" t="str">
        <f>IF(Table8[[#This Row],[Supporter_ID]]="","Review - missing supporter ID","")</f>
        <v/>
      </c>
      <c r="AC605" t="str">
        <f>IF(OR(Table8[[#This Row],[Response_Date]]&lt;Table8[[#This Row],[Start_Date]],Table8[[#This Row],[Response_Date]]&gt;Table8[[#This Row],[End_Date]]),"Review - response outside campaign dates","")</f>
        <v/>
      </c>
      <c r="AD605" t="str">
        <f>IF(Table8[[#This Row],[Campaign_Type]]="","Review - campaign code not found","")</f>
        <v/>
      </c>
    </row>
    <row r="606" spans="1:30" x14ac:dyDescent="0.25">
      <c r="A606" t="s">
        <v>4373</v>
      </c>
      <c r="B606" t="s">
        <v>680</v>
      </c>
      <c r="C606" t="s">
        <v>3367</v>
      </c>
      <c r="D606" t="s">
        <v>3368</v>
      </c>
      <c r="E606" t="s">
        <v>65</v>
      </c>
      <c r="F606" s="17">
        <v>45726</v>
      </c>
      <c r="G606">
        <v>20.9</v>
      </c>
      <c r="H606" t="s">
        <v>36</v>
      </c>
      <c r="I606" t="s">
        <v>3323</v>
      </c>
      <c r="J606" t="str">
        <f>_xlfn.XLOOKUP(Table8[[#This Row],[Supporter_ID]],tb1_supporters[Supporter_ID ],tb1_supporters[Segment],"")</f>
        <v>Prospect</v>
      </c>
      <c r="K606" t="str">
        <f>_xlfn.XLOOKUP(Table8[[#This Row],[Supporter_ID]],tb1_supporters[Supporter_ID ],tb1_supporters[Acquisition_Source],"")</f>
        <v>Event</v>
      </c>
      <c r="L606" t="str">
        <f>_xlfn.XLOOKUP(Table8[[#This Row],[Supporter_ID]],tb1_supporters[Supporter_ID ],tb1_supporters[County],"")</f>
        <v>Hertfordshire</v>
      </c>
      <c r="M606" t="str">
        <f>_xlfn.XLOOKUP(Table8[[#This Row],[Supporter_ID]],tb1_supporters[Supporter_ID ],tb1_supporters[Gender],"")</f>
        <v>Male</v>
      </c>
      <c r="N606">
        <f ca="1">_xlfn.XLOOKUP(Table8[[#This Row],[Supporter_ID]],tb1_supporters[Supporter_ID ],tb1_supporters[Age],"")</f>
        <v>54</v>
      </c>
      <c r="O606" t="str">
        <f ca="1">_xlfn.XLOOKUP(Table8[[#This Row],[Supporter_ID]],tb1_supporters[Supporter_ID ],tb1_supporters[Age_Band],"")</f>
        <v>50-64</v>
      </c>
      <c r="P606" t="str">
        <f ca="1">IF(Table8[[#This Row],[Age_Band]]="","Unknown",Table8[[#This Row],[Age_Band]])</f>
        <v>50-64</v>
      </c>
      <c r="Q606" t="str">
        <f>_xlfn.XLOOKUP(Table8[[#This Row],[Supporter_ID]],tb1_supporters[Supporter_ID ],tb1_supporters[Communication_Preference],"")</f>
        <v>Post</v>
      </c>
      <c r="R606" t="str">
        <f>_xlfn.XLOOKUP(Table8[[#This Row],[Supporter_ID]],tb1_supporters[Supporter_ID ],tb1_supporters[Duplicate_Profile_Flag],"")</f>
        <v/>
      </c>
      <c r="S606" t="str">
        <f>_xlfn.XLOOKUP(Table8[[#This Row],[Supporter_ID]],tb1_supporters[Supporter_ID ],tb1_supporters[Preference_Compliance_Flag],"")</f>
        <v>Review - prefers post but not opted in</v>
      </c>
      <c r="T606" t="str">
        <f ca="1">IF(Table8[[#This Row],[Age]]="","Review - missing DOB",IF(Table8[[#This Row],[Age]]&gt;TODAY(),"Review - future DOB",IF(Table8[[#This Row],[Age]]=0,"Review -  potential entry error (age 0)","")))</f>
        <v/>
      </c>
      <c r="U606" t="str">
        <f>_xlfn.XLOOKUP(Table8[[#This Row],[Campaign_Code]],tb3_CampaignMaster[Campaign_Code],tb3_CampaignMaster[Campaign_Type],"")</f>
        <v>Raffle</v>
      </c>
      <c r="V606" t="str">
        <f>_xlfn.XLOOKUP(Table8[[#This Row],[Campaign_Code]],tb3_CampaignMaster[Campaign_Code],tb3_CampaignMaster[Target_Audience],"")</f>
        <v>Regular Givers</v>
      </c>
      <c r="W606" s="17">
        <f>_xlfn.XLOOKUP(Table8[[#This Row],[Campaign_Code]],tb3_CampaignMaster[Campaign_Code],tb3_CampaignMaster[Start_Date],"")</f>
        <v>45717</v>
      </c>
      <c r="X606" s="17">
        <f>_xlfn.XLOOKUP(Table8[[#This Row],[Campaign_Code]],tb3_CampaignMaster[Campaign_Code],tb3_CampaignMaster[End_Date],"")</f>
        <v>45777</v>
      </c>
      <c r="Y606">
        <f>_xlfn.XLOOKUP(Table8[[#This Row],[Campaign_Code]],tb3_CampaignMaster[Campaign_Code],tb3_CampaignMaster[Budget_GBP],"")</f>
        <v>8000</v>
      </c>
      <c r="Z606" t="str">
        <f>_xlfn.XLOOKUP(Table8[[#This Row],[Campaign_Code]],tb3_CampaignMaster[Campaign_Code],tb3_CampaignMaster[Primary_Channel],"")</f>
        <v>Direct Mail</v>
      </c>
      <c r="AA606" s="13">
        <f>IF(Table8[[#This Row],[Gift_Aid_Eligible]]="Yes",Table8[[#This Row],[Gift_Amount]]*1.25,Table8[[#This Row],[Gift_Amount]])</f>
        <v>26.125</v>
      </c>
      <c r="AB606" t="str">
        <f>IF(Table8[[#This Row],[Supporter_ID]]="","Review - missing supporter ID","")</f>
        <v/>
      </c>
      <c r="AC606" t="str">
        <f>IF(OR(Table8[[#This Row],[Response_Date]]&lt;Table8[[#This Row],[Start_Date]],Table8[[#This Row],[Response_Date]]&gt;Table8[[#This Row],[End_Date]]),"Review - response outside campaign dates","")</f>
        <v/>
      </c>
      <c r="AD606" t="str">
        <f>IF(Table8[[#This Row],[Campaign_Type]]="","Review - campaign code not found","")</f>
        <v/>
      </c>
    </row>
    <row r="607" spans="1:30" x14ac:dyDescent="0.25">
      <c r="A607" t="s">
        <v>4374</v>
      </c>
      <c r="B607" t="s">
        <v>1814</v>
      </c>
      <c r="C607" t="s">
        <v>3314</v>
      </c>
      <c r="D607" t="s">
        <v>3315</v>
      </c>
      <c r="E607" t="s">
        <v>65</v>
      </c>
      <c r="F607" s="17">
        <v>45719</v>
      </c>
      <c r="G607">
        <v>11.13</v>
      </c>
      <c r="H607" t="s">
        <v>37</v>
      </c>
      <c r="I607" t="s">
        <v>3323</v>
      </c>
      <c r="J607" t="str">
        <f>_xlfn.XLOOKUP(Table8[[#This Row],[Supporter_ID]],tb1_supporters[Supporter_ID ],tb1_supporters[Segment],"")</f>
        <v>Prospect</v>
      </c>
      <c r="K607" t="str">
        <f>_xlfn.XLOOKUP(Table8[[#This Row],[Supporter_ID]],tb1_supporters[Supporter_ID ],tb1_supporters[Acquisition_Source],"")</f>
        <v>Telephone</v>
      </c>
      <c r="L607" t="str">
        <f>_xlfn.XLOOKUP(Table8[[#This Row],[Supporter_ID]],tb1_supporters[Supporter_ID ],tb1_supporters[County],"")</f>
        <v>Nottinghamshire</v>
      </c>
      <c r="M607" t="str">
        <f>_xlfn.XLOOKUP(Table8[[#This Row],[Supporter_ID]],tb1_supporters[Supporter_ID ],tb1_supporters[Gender],"")</f>
        <v>Female</v>
      </c>
      <c r="N607">
        <f ca="1">_xlfn.XLOOKUP(Table8[[#This Row],[Supporter_ID]],tb1_supporters[Supporter_ID ],tb1_supporters[Age],"")</f>
        <v>69</v>
      </c>
      <c r="O607" t="str">
        <f ca="1">_xlfn.XLOOKUP(Table8[[#This Row],[Supporter_ID]],tb1_supporters[Supporter_ID ],tb1_supporters[Age_Band],"")</f>
        <v>65+</v>
      </c>
      <c r="P607" t="str">
        <f ca="1">IF(Table8[[#This Row],[Age_Band]]="","Unknown",Table8[[#This Row],[Age_Band]])</f>
        <v>65+</v>
      </c>
      <c r="Q607" t="str">
        <f>_xlfn.XLOOKUP(Table8[[#This Row],[Supporter_ID]],tb1_supporters[Supporter_ID ],tb1_supporters[Communication_Preference],"")</f>
        <v>Phone</v>
      </c>
      <c r="R607" t="str">
        <f>_xlfn.XLOOKUP(Table8[[#This Row],[Supporter_ID]],tb1_supporters[Supporter_ID ],tb1_supporters[Duplicate_Profile_Flag],"")</f>
        <v/>
      </c>
      <c r="S607" t="str">
        <f>_xlfn.XLOOKUP(Table8[[#This Row],[Supporter_ID]],tb1_supporters[Supporter_ID ],tb1_supporters[Preference_Compliance_Flag],"")</f>
        <v/>
      </c>
      <c r="T607" t="str">
        <f ca="1">IF(Table8[[#This Row],[Age]]="","Review - missing DOB",IF(Table8[[#This Row],[Age]]&gt;TODAY(),"Review - future DOB",IF(Table8[[#This Row],[Age]]=0,"Review -  potential entry error (age 0)","")))</f>
        <v/>
      </c>
      <c r="U607" t="str">
        <f>_xlfn.XLOOKUP(Table8[[#This Row],[Campaign_Code]],tb3_CampaignMaster[Campaign_Code],tb3_CampaignMaster[Campaign_Type],"")</f>
        <v>Regular Giving</v>
      </c>
      <c r="V607" t="str">
        <f>_xlfn.XLOOKUP(Table8[[#This Row],[Campaign_Code]],tb3_CampaignMaster[Campaign_Code],tb3_CampaignMaster[Target_Audience],"")</f>
        <v>One-time Donors</v>
      </c>
      <c r="W607" s="17">
        <f>_xlfn.XLOOKUP(Table8[[#This Row],[Campaign_Code]],tb3_CampaignMaster[Campaign_Code],tb3_CampaignMaster[Start_Date],"")</f>
        <v>45663</v>
      </c>
      <c r="X607" s="17">
        <f>_xlfn.XLOOKUP(Table8[[#This Row],[Campaign_Code]],tb3_CampaignMaster[Campaign_Code],tb3_CampaignMaster[End_Date],"")</f>
        <v>45747</v>
      </c>
      <c r="Y607">
        <f>_xlfn.XLOOKUP(Table8[[#This Row],[Campaign_Code]],tb3_CampaignMaster[Campaign_Code],tb3_CampaignMaster[Budget_GBP],"")</f>
        <v>10000</v>
      </c>
      <c r="Z607" t="str">
        <f>_xlfn.XLOOKUP(Table8[[#This Row],[Campaign_Code]],tb3_CampaignMaster[Campaign_Code],tb3_CampaignMaster[Primary_Channel],"")</f>
        <v>Telephone</v>
      </c>
      <c r="AA607" s="13">
        <f>IF(Table8[[#This Row],[Gift_Aid_Eligible]]="Yes",Table8[[#This Row],[Gift_Amount]]*1.25,Table8[[#This Row],[Gift_Amount]])</f>
        <v>11.13</v>
      </c>
      <c r="AB607" t="str">
        <f>IF(Table8[[#This Row],[Supporter_ID]]="","Review - missing supporter ID","")</f>
        <v/>
      </c>
      <c r="AC607" t="str">
        <f>IF(OR(Table8[[#This Row],[Response_Date]]&lt;Table8[[#This Row],[Start_Date]],Table8[[#This Row],[Response_Date]]&gt;Table8[[#This Row],[End_Date]]),"Review - response outside campaign dates","")</f>
        <v/>
      </c>
      <c r="AD607" t="str">
        <f>IF(Table8[[#This Row],[Campaign_Type]]="","Review - campaign code not found","")</f>
        <v/>
      </c>
    </row>
    <row r="608" spans="1:30" x14ac:dyDescent="0.25">
      <c r="A608" t="s">
        <v>4376</v>
      </c>
      <c r="B608" t="s">
        <v>1000</v>
      </c>
      <c r="C608" t="s">
        <v>3314</v>
      </c>
      <c r="D608" t="s">
        <v>3315</v>
      </c>
      <c r="E608" t="s">
        <v>33</v>
      </c>
      <c r="F608" s="17">
        <v>45745</v>
      </c>
      <c r="G608">
        <v>146.19</v>
      </c>
      <c r="H608" t="s">
        <v>37</v>
      </c>
      <c r="I608" t="s">
        <v>3334</v>
      </c>
      <c r="J608" t="str">
        <f>_xlfn.XLOOKUP(Table8[[#This Row],[Supporter_ID]],tb1_supporters[Supporter_ID ],tb1_supporters[Segment],"")</f>
        <v>One-Time Donor</v>
      </c>
      <c r="K608" t="str">
        <f>_xlfn.XLOOKUP(Table8[[#This Row],[Supporter_ID]],tb1_supporters[Supporter_ID ],tb1_supporters[Acquisition_Source],"")</f>
        <v>Website</v>
      </c>
      <c r="L608" t="str">
        <f>_xlfn.XLOOKUP(Table8[[#This Row],[Supporter_ID]],tb1_supporters[Supporter_ID ],tb1_supporters[County],"")</f>
        <v>North Yorkshire</v>
      </c>
      <c r="M608" t="str">
        <f>_xlfn.XLOOKUP(Table8[[#This Row],[Supporter_ID]],tb1_supporters[Supporter_ID ],tb1_supporters[Gender],"")</f>
        <v>Male</v>
      </c>
      <c r="N608">
        <f ca="1">_xlfn.XLOOKUP(Table8[[#This Row],[Supporter_ID]],tb1_supporters[Supporter_ID ],tb1_supporters[Age],"")</f>
        <v>65</v>
      </c>
      <c r="O608" t="str">
        <f ca="1">_xlfn.XLOOKUP(Table8[[#This Row],[Supporter_ID]],tb1_supporters[Supporter_ID ],tb1_supporters[Age_Band],"")</f>
        <v>65+</v>
      </c>
      <c r="P608" t="str">
        <f ca="1">IF(Table8[[#This Row],[Age_Band]]="","Unknown",Table8[[#This Row],[Age_Band]])</f>
        <v>65+</v>
      </c>
      <c r="Q608" t="str">
        <f>_xlfn.XLOOKUP(Table8[[#This Row],[Supporter_ID]],tb1_supporters[Supporter_ID ],tb1_supporters[Communication_Preference],"")</f>
        <v>Email</v>
      </c>
      <c r="R608" t="str">
        <f>_xlfn.XLOOKUP(Table8[[#This Row],[Supporter_ID]],tb1_supporters[Supporter_ID ],tb1_supporters[Duplicate_Profile_Flag],"")</f>
        <v/>
      </c>
      <c r="S608" t="str">
        <f>_xlfn.XLOOKUP(Table8[[#This Row],[Supporter_ID]],tb1_supporters[Supporter_ID ],tb1_supporters[Preference_Compliance_Flag],"")</f>
        <v/>
      </c>
      <c r="T608" t="str">
        <f ca="1">IF(Table8[[#This Row],[Age]]="","Review - missing DOB",IF(Table8[[#This Row],[Age]]&gt;TODAY(),"Review - future DOB",IF(Table8[[#This Row],[Age]]=0,"Review -  potential entry error (age 0)","")))</f>
        <v/>
      </c>
      <c r="U608" t="str">
        <f>_xlfn.XLOOKUP(Table8[[#This Row],[Campaign_Code]],tb3_CampaignMaster[Campaign_Code],tb3_CampaignMaster[Campaign_Type],"")</f>
        <v>Regular Giving</v>
      </c>
      <c r="V608" t="str">
        <f>_xlfn.XLOOKUP(Table8[[#This Row],[Campaign_Code]],tb3_CampaignMaster[Campaign_Code],tb3_CampaignMaster[Target_Audience],"")</f>
        <v>One-time Donors</v>
      </c>
      <c r="W608" s="17">
        <f>_xlfn.XLOOKUP(Table8[[#This Row],[Campaign_Code]],tb3_CampaignMaster[Campaign_Code],tb3_CampaignMaster[Start_Date],"")</f>
        <v>45663</v>
      </c>
      <c r="X608" s="17">
        <f>_xlfn.XLOOKUP(Table8[[#This Row],[Campaign_Code]],tb3_CampaignMaster[Campaign_Code],tb3_CampaignMaster[End_Date],"")</f>
        <v>45747</v>
      </c>
      <c r="Y608">
        <f>_xlfn.XLOOKUP(Table8[[#This Row],[Campaign_Code]],tb3_CampaignMaster[Campaign_Code],tb3_CampaignMaster[Budget_GBP],"")</f>
        <v>10000</v>
      </c>
      <c r="Z608" t="str">
        <f>_xlfn.XLOOKUP(Table8[[#This Row],[Campaign_Code]],tb3_CampaignMaster[Campaign_Code],tb3_CampaignMaster[Primary_Channel],"")</f>
        <v>Telephone</v>
      </c>
      <c r="AA608" s="13">
        <f>IF(Table8[[#This Row],[Gift_Aid_Eligible]]="Yes",Table8[[#This Row],[Gift_Amount]]*1.25,Table8[[#This Row],[Gift_Amount]])</f>
        <v>146.19</v>
      </c>
      <c r="AB608" t="str">
        <f>IF(Table8[[#This Row],[Supporter_ID]]="","Review - missing supporter ID","")</f>
        <v/>
      </c>
      <c r="AC608" t="str">
        <f>IF(OR(Table8[[#This Row],[Response_Date]]&lt;Table8[[#This Row],[Start_Date]],Table8[[#This Row],[Response_Date]]&gt;Table8[[#This Row],[End_Date]]),"Review - response outside campaign dates","")</f>
        <v/>
      </c>
      <c r="AD608" t="str">
        <f>IF(Table8[[#This Row],[Campaign_Type]]="","Review - campaign code not found","")</f>
        <v/>
      </c>
    </row>
    <row r="609" spans="1:30" x14ac:dyDescent="0.25">
      <c r="A609" t="s">
        <v>4377</v>
      </c>
      <c r="B609" t="s">
        <v>2900</v>
      </c>
      <c r="C609" t="s">
        <v>3403</v>
      </c>
      <c r="D609" t="s">
        <v>3404</v>
      </c>
      <c r="E609" t="s">
        <v>4</v>
      </c>
      <c r="F609" s="17">
        <v>45303</v>
      </c>
      <c r="G609">
        <v>17.010000000000002</v>
      </c>
      <c r="H609" t="s">
        <v>37</v>
      </c>
      <c r="I609" t="s">
        <v>3331</v>
      </c>
      <c r="J609" t="str">
        <f>_xlfn.XLOOKUP(Table8[[#This Row],[Supporter_ID]],tb1_supporters[Supporter_ID ],tb1_supporters[Segment],"")</f>
        <v>One-Time Donor</v>
      </c>
      <c r="K609" t="str">
        <f>_xlfn.XLOOKUP(Table8[[#This Row],[Supporter_ID]],tb1_supporters[Supporter_ID ],tb1_supporters[Acquisition_Source],"")</f>
        <v>Telephone</v>
      </c>
      <c r="L609" t="str">
        <f>_xlfn.XLOOKUP(Table8[[#This Row],[Supporter_ID]],tb1_supporters[Supporter_ID ],tb1_supporters[County],"")</f>
        <v>Somerset</v>
      </c>
      <c r="M609" t="str">
        <f>_xlfn.XLOOKUP(Table8[[#This Row],[Supporter_ID]],tb1_supporters[Supporter_ID ],tb1_supporters[Gender],"")</f>
        <v>Male</v>
      </c>
      <c r="N609">
        <f ca="1">_xlfn.XLOOKUP(Table8[[#This Row],[Supporter_ID]],tb1_supporters[Supporter_ID ],tb1_supporters[Age],"")</f>
        <v>73</v>
      </c>
      <c r="O609" t="str">
        <f ca="1">_xlfn.XLOOKUP(Table8[[#This Row],[Supporter_ID]],tb1_supporters[Supporter_ID ],tb1_supporters[Age_Band],"")</f>
        <v>65+</v>
      </c>
      <c r="P609" t="str">
        <f ca="1">IF(Table8[[#This Row],[Age_Band]]="","Unknown",Table8[[#This Row],[Age_Band]])</f>
        <v>65+</v>
      </c>
      <c r="Q609" t="str">
        <f>_xlfn.XLOOKUP(Table8[[#This Row],[Supporter_ID]],tb1_supporters[Supporter_ID ],tb1_supporters[Communication_Preference],"")</f>
        <v>Email</v>
      </c>
      <c r="R609" t="str">
        <f>_xlfn.XLOOKUP(Table8[[#This Row],[Supporter_ID]],tb1_supporters[Supporter_ID ],tb1_supporters[Duplicate_Profile_Flag],"")</f>
        <v/>
      </c>
      <c r="S609" t="str">
        <f>_xlfn.XLOOKUP(Table8[[#This Row],[Supporter_ID]],tb1_supporters[Supporter_ID ],tb1_supporters[Preference_Compliance_Flag],"")</f>
        <v/>
      </c>
      <c r="T609" t="str">
        <f ca="1">IF(Table8[[#This Row],[Age]]="","Review - missing DOB",IF(Table8[[#This Row],[Age]]&gt;TODAY(),"Review - future DOB",IF(Table8[[#This Row],[Age]]=0,"Review -  potential entry error (age 0)","")))</f>
        <v/>
      </c>
      <c r="U609" t="str">
        <f>_xlfn.XLOOKUP(Table8[[#This Row],[Campaign_Code]],tb3_CampaignMaster[Campaign_Code],tb3_CampaignMaster[Campaign_Type],"")</f>
        <v>Trading</v>
      </c>
      <c r="V609" t="str">
        <f>_xlfn.XLOOKUP(Table8[[#This Row],[Campaign_Code]],tb3_CampaignMaster[Campaign_Code],tb3_CampaignMaster[Target_Audience],"")</f>
        <v>All Active</v>
      </c>
      <c r="W609" s="17">
        <f>_xlfn.XLOOKUP(Table8[[#This Row],[Campaign_Code]],tb3_CampaignMaster[Campaign_Code],tb3_CampaignMaster[Start_Date],"")</f>
        <v>45580</v>
      </c>
      <c r="X609" s="17">
        <f>_xlfn.XLOOKUP(Table8[[#This Row],[Campaign_Code]],tb3_CampaignMaster[Campaign_Code],tb3_CampaignMaster[End_Date],"")</f>
        <v>45646</v>
      </c>
      <c r="Y609">
        <f>_xlfn.XLOOKUP(Table8[[#This Row],[Campaign_Code]],tb3_CampaignMaster[Campaign_Code],tb3_CampaignMaster[Budget_GBP],"")</f>
        <v>12000</v>
      </c>
      <c r="Z609" t="str">
        <f>_xlfn.XLOOKUP(Table8[[#This Row],[Campaign_Code]],tb3_CampaignMaster[Campaign_Code],tb3_CampaignMaster[Primary_Channel],"")</f>
        <v>Multi-channel</v>
      </c>
      <c r="AA609" s="13">
        <f>IF(Table8[[#This Row],[Gift_Aid_Eligible]]="Yes",Table8[[#This Row],[Gift_Amount]]*1.25,Table8[[#This Row],[Gift_Amount]])</f>
        <v>17.010000000000002</v>
      </c>
      <c r="AB609" t="str">
        <f>IF(Table8[[#This Row],[Supporter_ID]]="","Review - missing supporter ID","")</f>
        <v/>
      </c>
      <c r="AC609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609" t="str">
        <f>IF(Table8[[#This Row],[Campaign_Type]]="","Review - campaign code not found","")</f>
        <v/>
      </c>
    </row>
    <row r="610" spans="1:30" x14ac:dyDescent="0.25">
      <c r="A610" t="s">
        <v>4379</v>
      </c>
      <c r="B610" t="s">
        <v>1124</v>
      </c>
      <c r="C610" t="s">
        <v>3325</v>
      </c>
      <c r="D610" t="s">
        <v>3326</v>
      </c>
      <c r="E610" t="s">
        <v>4</v>
      </c>
      <c r="F610" s="17">
        <v>45637</v>
      </c>
      <c r="G610">
        <v>38.89</v>
      </c>
      <c r="H610" t="s">
        <v>37</v>
      </c>
      <c r="I610" t="s">
        <v>3318</v>
      </c>
      <c r="J610" t="str">
        <f>_xlfn.XLOOKUP(Table8[[#This Row],[Supporter_ID]],tb1_supporters[Supporter_ID ],tb1_supporters[Segment],"")</f>
        <v>Regular Giver</v>
      </c>
      <c r="K610" t="str">
        <f>_xlfn.XLOOKUP(Table8[[#This Row],[Supporter_ID]],tb1_supporters[Supporter_ID ],tb1_supporters[Acquisition_Source],"")</f>
        <v>Door-To-Door</v>
      </c>
      <c r="L610" t="str">
        <f>_xlfn.XLOOKUP(Table8[[#This Row],[Supporter_ID]],tb1_supporters[Supporter_ID ],tb1_supporters[County],"")</f>
        <v>Suffolk</v>
      </c>
      <c r="M610" t="str">
        <f>_xlfn.XLOOKUP(Table8[[#This Row],[Supporter_ID]],tb1_supporters[Supporter_ID ],tb1_supporters[Gender],"")</f>
        <v>Female</v>
      </c>
      <c r="N610" t="str">
        <f ca="1">_xlfn.XLOOKUP(Table8[[#This Row],[Supporter_ID]],tb1_supporters[Supporter_ID ],tb1_supporters[Age],"")</f>
        <v/>
      </c>
      <c r="O610" t="str">
        <f ca="1">_xlfn.XLOOKUP(Table8[[#This Row],[Supporter_ID]],tb1_supporters[Supporter_ID ],tb1_supporters[Age_Band],"")</f>
        <v/>
      </c>
      <c r="P610" t="str">
        <f ca="1">IF(Table8[[#This Row],[Age_Band]]="","Unknown",Table8[[#This Row],[Age_Band]])</f>
        <v>Unknown</v>
      </c>
      <c r="Q610" t="str">
        <f>_xlfn.XLOOKUP(Table8[[#This Row],[Supporter_ID]],tb1_supporters[Supporter_ID ],tb1_supporters[Communication_Preference],"")</f>
        <v>Email</v>
      </c>
      <c r="R610" t="str">
        <f>_xlfn.XLOOKUP(Table8[[#This Row],[Supporter_ID]],tb1_supporters[Supporter_ID ],tb1_supporters[Duplicate_Profile_Flag],"")</f>
        <v/>
      </c>
      <c r="S610" t="str">
        <f>_xlfn.XLOOKUP(Table8[[#This Row],[Supporter_ID]],tb1_supporters[Supporter_ID ],tb1_supporters[Preference_Compliance_Flag],"")</f>
        <v/>
      </c>
      <c r="T610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610" t="str">
        <f>_xlfn.XLOOKUP(Table8[[#This Row],[Campaign_Code]],tb3_CampaignMaster[Campaign_Code],tb3_CampaignMaster[Campaign_Type],"")</f>
        <v>Appeal</v>
      </c>
      <c r="V610" t="str">
        <f>_xlfn.XLOOKUP(Table8[[#This Row],[Campaign_Code]],tb3_CampaignMaster[Campaign_Code],tb3_CampaignMaster[Target_Audience],"")</f>
        <v>All Active</v>
      </c>
      <c r="W610" s="17">
        <f>_xlfn.XLOOKUP(Table8[[#This Row],[Campaign_Code]],tb3_CampaignMaster[Campaign_Code],tb3_CampaignMaster[Start_Date],"")</f>
        <v>45597</v>
      </c>
      <c r="X610" s="17">
        <f>_xlfn.XLOOKUP(Table8[[#This Row],[Campaign_Code]],tb3_CampaignMaster[Campaign_Code],tb3_CampaignMaster[End_Date],"")</f>
        <v>45657</v>
      </c>
      <c r="Y610">
        <f>_xlfn.XLOOKUP(Table8[[#This Row],[Campaign_Code]],tb3_CampaignMaster[Campaign_Code],tb3_CampaignMaster[Budget_GBP],"")</f>
        <v>25000</v>
      </c>
      <c r="Z610" t="str">
        <f>_xlfn.XLOOKUP(Table8[[#This Row],[Campaign_Code]],tb3_CampaignMaster[Campaign_Code],tb3_CampaignMaster[Primary_Channel],"")</f>
        <v>Multi-channel</v>
      </c>
      <c r="AA610" s="13">
        <f>IF(Table8[[#This Row],[Gift_Aid_Eligible]]="Yes",Table8[[#This Row],[Gift_Amount]]*1.25,Table8[[#This Row],[Gift_Amount]])</f>
        <v>38.89</v>
      </c>
      <c r="AB610" t="str">
        <f>IF(Table8[[#This Row],[Supporter_ID]]="","Review - missing supporter ID","")</f>
        <v/>
      </c>
      <c r="AC610" t="str">
        <f>IF(OR(Table8[[#This Row],[Response_Date]]&lt;Table8[[#This Row],[Start_Date]],Table8[[#This Row],[Response_Date]]&gt;Table8[[#This Row],[End_Date]]),"Review - response outside campaign dates","")</f>
        <v/>
      </c>
      <c r="AD610" t="str">
        <f>IF(Table8[[#This Row],[Campaign_Type]]="","Review - campaign code not found","")</f>
        <v/>
      </c>
    </row>
    <row r="611" spans="1:30" x14ac:dyDescent="0.25">
      <c r="A611" t="s">
        <v>4380</v>
      </c>
      <c r="B611" t="s">
        <v>2870</v>
      </c>
      <c r="C611" t="s">
        <v>3325</v>
      </c>
      <c r="D611" t="s">
        <v>3326</v>
      </c>
      <c r="E611" t="s">
        <v>4</v>
      </c>
      <c r="F611" s="17">
        <v>45614</v>
      </c>
      <c r="G611">
        <v>66.38</v>
      </c>
      <c r="H611" t="s">
        <v>37</v>
      </c>
      <c r="I611" t="s">
        <v>3318</v>
      </c>
      <c r="J611" t="str">
        <f>_xlfn.XLOOKUP(Table8[[#This Row],[Supporter_ID]],tb1_supporters[Supporter_ID ],tb1_supporters[Segment],"")</f>
        <v>One-Time Donor</v>
      </c>
      <c r="K611" t="str">
        <f>_xlfn.XLOOKUP(Table8[[#This Row],[Supporter_ID]],tb1_supporters[Supporter_ID ],tb1_supporters[Acquisition_Source],"")</f>
        <v>Website</v>
      </c>
      <c r="L611" t="str">
        <f>_xlfn.XLOOKUP(Table8[[#This Row],[Supporter_ID]],tb1_supporters[Supporter_ID ],tb1_supporters[County],"")</f>
        <v>Suffolk</v>
      </c>
      <c r="M611" t="str">
        <f>_xlfn.XLOOKUP(Table8[[#This Row],[Supporter_ID]],tb1_supporters[Supporter_ID ],tb1_supporters[Gender],"")</f>
        <v>Female</v>
      </c>
      <c r="N611">
        <f ca="1">_xlfn.XLOOKUP(Table8[[#This Row],[Supporter_ID]],tb1_supporters[Supporter_ID ],tb1_supporters[Age],"")</f>
        <v>0</v>
      </c>
      <c r="O611" t="str">
        <f ca="1">_xlfn.XLOOKUP(Table8[[#This Row],[Supporter_ID]],tb1_supporters[Supporter_ID ],tb1_supporters[Age_Band],"")</f>
        <v>Under 18</v>
      </c>
      <c r="P611" t="str">
        <f ca="1">IF(Table8[[#This Row],[Age_Band]]="","Unknown",Table8[[#This Row],[Age_Band]])</f>
        <v>Under 18</v>
      </c>
      <c r="Q611" t="str">
        <f>_xlfn.XLOOKUP(Table8[[#This Row],[Supporter_ID]],tb1_supporters[Supporter_ID ],tb1_supporters[Communication_Preference],"")</f>
        <v>No Preference</v>
      </c>
      <c r="R611" t="str">
        <f>_xlfn.XLOOKUP(Table8[[#This Row],[Supporter_ID]],tb1_supporters[Supporter_ID ],tb1_supporters[Duplicate_Profile_Flag],"")</f>
        <v/>
      </c>
      <c r="S611" t="str">
        <f>_xlfn.XLOOKUP(Table8[[#This Row],[Supporter_ID]],tb1_supporters[Supporter_ID ],tb1_supporters[Preference_Compliance_Flag],"")</f>
        <v/>
      </c>
      <c r="T611" t="str">
        <f ca="1">IF(Table8[[#This Row],[Age]]="","Review - missing DOB",IF(Table8[[#This Row],[Age]]&gt;TODAY(),"Review - future DOB",IF(Table8[[#This Row],[Age]]=0,"Review -  potential entry error (age 0)","")))</f>
        <v>Review -  potential entry error (age 0)</v>
      </c>
      <c r="U611" t="str">
        <f>_xlfn.XLOOKUP(Table8[[#This Row],[Campaign_Code]],tb3_CampaignMaster[Campaign_Code],tb3_CampaignMaster[Campaign_Type],"")</f>
        <v>Appeal</v>
      </c>
      <c r="V611" t="str">
        <f>_xlfn.XLOOKUP(Table8[[#This Row],[Campaign_Code]],tb3_CampaignMaster[Campaign_Code],tb3_CampaignMaster[Target_Audience],"")</f>
        <v>All Active</v>
      </c>
      <c r="W611" s="17">
        <f>_xlfn.XLOOKUP(Table8[[#This Row],[Campaign_Code]],tb3_CampaignMaster[Campaign_Code],tb3_CampaignMaster[Start_Date],"")</f>
        <v>45597</v>
      </c>
      <c r="X611" s="17">
        <f>_xlfn.XLOOKUP(Table8[[#This Row],[Campaign_Code]],tb3_CampaignMaster[Campaign_Code],tb3_CampaignMaster[End_Date],"")</f>
        <v>45657</v>
      </c>
      <c r="Y611">
        <f>_xlfn.XLOOKUP(Table8[[#This Row],[Campaign_Code]],tb3_CampaignMaster[Campaign_Code],tb3_CampaignMaster[Budget_GBP],"")</f>
        <v>25000</v>
      </c>
      <c r="Z611" t="str">
        <f>_xlfn.XLOOKUP(Table8[[#This Row],[Campaign_Code]],tb3_CampaignMaster[Campaign_Code],tb3_CampaignMaster[Primary_Channel],"")</f>
        <v>Multi-channel</v>
      </c>
      <c r="AA611" s="13">
        <f>IF(Table8[[#This Row],[Gift_Aid_Eligible]]="Yes",Table8[[#This Row],[Gift_Amount]]*1.25,Table8[[#This Row],[Gift_Amount]])</f>
        <v>66.38</v>
      </c>
      <c r="AB611" t="str">
        <f>IF(Table8[[#This Row],[Supporter_ID]]="","Review - missing supporter ID","")</f>
        <v/>
      </c>
      <c r="AC611" t="str">
        <f>IF(OR(Table8[[#This Row],[Response_Date]]&lt;Table8[[#This Row],[Start_Date]],Table8[[#This Row],[Response_Date]]&gt;Table8[[#This Row],[End_Date]]),"Review - response outside campaign dates","")</f>
        <v/>
      </c>
      <c r="AD611" t="str">
        <f>IF(Table8[[#This Row],[Campaign_Type]]="","Review - campaign code not found","")</f>
        <v/>
      </c>
    </row>
    <row r="612" spans="1:30" x14ac:dyDescent="0.25">
      <c r="A612" t="s">
        <v>4382</v>
      </c>
      <c r="B612" t="s">
        <v>596</v>
      </c>
      <c r="C612" t="s">
        <v>3427</v>
      </c>
      <c r="D612" t="s">
        <v>3428</v>
      </c>
      <c r="E612" t="s">
        <v>4</v>
      </c>
      <c r="F612" s="17">
        <v>46266</v>
      </c>
      <c r="G612">
        <v>323.14</v>
      </c>
      <c r="H612" t="s">
        <v>36</v>
      </c>
      <c r="I612" t="s">
        <v>3370</v>
      </c>
      <c r="J612" t="str">
        <f>_xlfn.XLOOKUP(Table8[[#This Row],[Supporter_ID]],tb1_supporters[Supporter_ID ],tb1_supporters[Segment],"")</f>
        <v>Legacy Pledger</v>
      </c>
      <c r="K612" t="str">
        <f>_xlfn.XLOOKUP(Table8[[#This Row],[Supporter_ID]],tb1_supporters[Supporter_ID ],tb1_supporters[Acquisition_Source],"")</f>
        <v>Telephone</v>
      </c>
      <c r="L612" t="str">
        <f>_xlfn.XLOOKUP(Table8[[#This Row],[Supporter_ID]],tb1_supporters[Supporter_ID ],tb1_supporters[County],"")</f>
        <v>Kent</v>
      </c>
      <c r="M612" t="str">
        <f>_xlfn.XLOOKUP(Table8[[#This Row],[Supporter_ID]],tb1_supporters[Supporter_ID ],tb1_supporters[Gender],"")</f>
        <v>Male</v>
      </c>
      <c r="N612">
        <f ca="1">_xlfn.XLOOKUP(Table8[[#This Row],[Supporter_ID]],tb1_supporters[Supporter_ID ],tb1_supporters[Age],"")</f>
        <v>44</v>
      </c>
      <c r="O612" t="str">
        <f ca="1">_xlfn.XLOOKUP(Table8[[#This Row],[Supporter_ID]],tb1_supporters[Supporter_ID ],tb1_supporters[Age_Band],"")</f>
        <v>35-49</v>
      </c>
      <c r="P612" t="str">
        <f ca="1">IF(Table8[[#This Row],[Age_Band]]="","Unknown",Table8[[#This Row],[Age_Band]])</f>
        <v>35-49</v>
      </c>
      <c r="Q612" t="str">
        <f>_xlfn.XLOOKUP(Table8[[#This Row],[Supporter_ID]],tb1_supporters[Supporter_ID ],tb1_supporters[Communication_Preference],"")</f>
        <v>Email</v>
      </c>
      <c r="R612" t="str">
        <f>_xlfn.XLOOKUP(Table8[[#This Row],[Supporter_ID]],tb1_supporters[Supporter_ID ],tb1_supporters[Duplicate_Profile_Flag],"")</f>
        <v/>
      </c>
      <c r="S612" t="str">
        <f>_xlfn.XLOOKUP(Table8[[#This Row],[Supporter_ID]],tb1_supporters[Supporter_ID ],tb1_supporters[Preference_Compliance_Flag],"")</f>
        <v>Review - prefers email but not opted in</v>
      </c>
      <c r="T612" t="str">
        <f ca="1">IF(Table8[[#This Row],[Age]]="","Review - missing DOB",IF(Table8[[#This Row],[Age]]&gt;TODAY(),"Review - future DOB",IF(Table8[[#This Row],[Age]]=0,"Review -  potential entry error (age 0)","")))</f>
        <v/>
      </c>
      <c r="U612" t="str">
        <f>_xlfn.XLOOKUP(Table8[[#This Row],[Campaign_Code]],tb3_CampaignMaster[Campaign_Code],tb3_CampaignMaster[Campaign_Type],"")</f>
        <v>Event</v>
      </c>
      <c r="V612" t="str">
        <f>_xlfn.XLOOKUP(Table8[[#This Row],[Campaign_Code]],tb3_CampaignMaster[Campaign_Code],tb3_CampaignMaster[Target_Audience],"")</f>
        <v>Major Donors</v>
      </c>
      <c r="W612" s="17">
        <f>_xlfn.XLOOKUP(Table8[[#This Row],[Campaign_Code]],tb3_CampaignMaster[Campaign_Code],tb3_CampaignMaster[Start_Date],"")</f>
        <v>45488</v>
      </c>
      <c r="X612" s="17">
        <f>_xlfn.XLOOKUP(Table8[[#This Row],[Campaign_Code]],tb3_CampaignMaster[Campaign_Code],tb3_CampaignMaster[End_Date],"")</f>
        <v>45488</v>
      </c>
      <c r="Y612">
        <f>_xlfn.XLOOKUP(Table8[[#This Row],[Campaign_Code]],tb3_CampaignMaster[Campaign_Code],tb3_CampaignMaster[Budget_GBP],"")</f>
        <v>45000</v>
      </c>
      <c r="Z612" t="str">
        <f>_xlfn.XLOOKUP(Table8[[#This Row],[Campaign_Code]],tb3_CampaignMaster[Campaign_Code],tb3_CampaignMaster[Primary_Channel],"")</f>
        <v>Direct Mail</v>
      </c>
      <c r="AA612" s="13">
        <f>IF(Table8[[#This Row],[Gift_Aid_Eligible]]="Yes",Table8[[#This Row],[Gift_Amount]]*1.25,Table8[[#This Row],[Gift_Amount]])</f>
        <v>403.92499999999995</v>
      </c>
      <c r="AB612" t="str">
        <f>IF(Table8[[#This Row],[Supporter_ID]]="","Review - missing supporter ID","")</f>
        <v/>
      </c>
      <c r="AC612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612" t="str">
        <f>IF(Table8[[#This Row],[Campaign_Type]]="","Review - campaign code not found","")</f>
        <v/>
      </c>
    </row>
    <row r="613" spans="1:30" x14ac:dyDescent="0.25">
      <c r="A613" t="s">
        <v>4384</v>
      </c>
      <c r="B613" t="s">
        <v>423</v>
      </c>
      <c r="C613" t="s">
        <v>3427</v>
      </c>
      <c r="D613" t="s">
        <v>3428</v>
      </c>
      <c r="E613" t="s">
        <v>65</v>
      </c>
      <c r="F613" s="17">
        <v>45488</v>
      </c>
      <c r="G613">
        <v>99.89</v>
      </c>
      <c r="H613" t="s">
        <v>37</v>
      </c>
      <c r="I613" t="s">
        <v>3331</v>
      </c>
      <c r="J613" t="str">
        <f>_xlfn.XLOOKUP(Table8[[#This Row],[Supporter_ID]],tb1_supporters[Supporter_ID ],tb1_supporters[Segment],"")</f>
        <v>Lapsed</v>
      </c>
      <c r="K613" t="str">
        <f>_xlfn.XLOOKUP(Table8[[#This Row],[Supporter_ID]],tb1_supporters[Supporter_ID ],tb1_supporters[Acquisition_Source],"")</f>
        <v>Direct Mail</v>
      </c>
      <c r="L613" t="str">
        <f>_xlfn.XLOOKUP(Table8[[#This Row],[Supporter_ID]],tb1_supporters[Supporter_ID ],tb1_supporters[County],"")</f>
        <v>Leicestershire</v>
      </c>
      <c r="M613" t="str">
        <f>_xlfn.XLOOKUP(Table8[[#This Row],[Supporter_ID]],tb1_supporters[Supporter_ID ],tb1_supporters[Gender],"")</f>
        <v>Male</v>
      </c>
      <c r="N613" t="str">
        <f ca="1">_xlfn.XLOOKUP(Table8[[#This Row],[Supporter_ID]],tb1_supporters[Supporter_ID ],tb1_supporters[Age],"")</f>
        <v/>
      </c>
      <c r="O613" t="str">
        <f ca="1">_xlfn.XLOOKUP(Table8[[#This Row],[Supporter_ID]],tb1_supporters[Supporter_ID ],tb1_supporters[Age_Band],"")</f>
        <v/>
      </c>
      <c r="P613" t="str">
        <f ca="1">IF(Table8[[#This Row],[Age_Band]]="","Unknown",Table8[[#This Row],[Age_Band]])</f>
        <v>Unknown</v>
      </c>
      <c r="Q613" t="str">
        <f>_xlfn.XLOOKUP(Table8[[#This Row],[Supporter_ID]],tb1_supporters[Supporter_ID ],tb1_supporters[Communication_Preference],"")</f>
        <v>No Preference</v>
      </c>
      <c r="R613" t="str">
        <f>_xlfn.XLOOKUP(Table8[[#This Row],[Supporter_ID]],tb1_supporters[Supporter_ID ],tb1_supporters[Duplicate_Profile_Flag],"")</f>
        <v/>
      </c>
      <c r="S613" t="str">
        <f>_xlfn.XLOOKUP(Table8[[#This Row],[Supporter_ID]],tb1_supporters[Supporter_ID ],tb1_supporters[Preference_Compliance_Flag],"")</f>
        <v/>
      </c>
      <c r="T613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613" t="str">
        <f>_xlfn.XLOOKUP(Table8[[#This Row],[Campaign_Code]],tb3_CampaignMaster[Campaign_Code],tb3_CampaignMaster[Campaign_Type],"")</f>
        <v>Event</v>
      </c>
      <c r="V613" t="str">
        <f>_xlfn.XLOOKUP(Table8[[#This Row],[Campaign_Code]],tb3_CampaignMaster[Campaign_Code],tb3_CampaignMaster[Target_Audience],"")</f>
        <v>Major Donors</v>
      </c>
      <c r="W613" s="17">
        <f>_xlfn.XLOOKUP(Table8[[#This Row],[Campaign_Code]],tb3_CampaignMaster[Campaign_Code],tb3_CampaignMaster[Start_Date],"")</f>
        <v>45488</v>
      </c>
      <c r="X613" s="17">
        <f>_xlfn.XLOOKUP(Table8[[#This Row],[Campaign_Code]],tb3_CampaignMaster[Campaign_Code],tb3_CampaignMaster[End_Date],"")</f>
        <v>45488</v>
      </c>
      <c r="Y613">
        <f>_xlfn.XLOOKUP(Table8[[#This Row],[Campaign_Code]],tb3_CampaignMaster[Campaign_Code],tb3_CampaignMaster[Budget_GBP],"")</f>
        <v>45000</v>
      </c>
      <c r="Z613" t="str">
        <f>_xlfn.XLOOKUP(Table8[[#This Row],[Campaign_Code]],tb3_CampaignMaster[Campaign_Code],tb3_CampaignMaster[Primary_Channel],"")</f>
        <v>Direct Mail</v>
      </c>
      <c r="AA613" s="13">
        <f>IF(Table8[[#This Row],[Gift_Aid_Eligible]]="Yes",Table8[[#This Row],[Gift_Amount]]*1.25,Table8[[#This Row],[Gift_Amount]])</f>
        <v>99.89</v>
      </c>
      <c r="AB613" t="str">
        <f>IF(Table8[[#This Row],[Supporter_ID]]="","Review - missing supporter ID","")</f>
        <v/>
      </c>
      <c r="AC613" t="str">
        <f>IF(OR(Table8[[#This Row],[Response_Date]]&lt;Table8[[#This Row],[Start_Date]],Table8[[#This Row],[Response_Date]]&gt;Table8[[#This Row],[End_Date]]),"Review - response outside campaign dates","")</f>
        <v/>
      </c>
      <c r="AD613" t="str">
        <f>IF(Table8[[#This Row],[Campaign_Type]]="","Review - campaign code not found","")</f>
        <v/>
      </c>
    </row>
    <row r="614" spans="1:30" x14ac:dyDescent="0.25">
      <c r="A614" t="s">
        <v>4385</v>
      </c>
      <c r="B614" t="s">
        <v>3106</v>
      </c>
      <c r="C614" t="s">
        <v>3314</v>
      </c>
      <c r="D614" t="s">
        <v>3315</v>
      </c>
      <c r="E614" t="s">
        <v>3316</v>
      </c>
      <c r="F614" s="17">
        <v>45931</v>
      </c>
      <c r="G614">
        <v>483.11</v>
      </c>
      <c r="H614" t="s">
        <v>36</v>
      </c>
      <c r="I614" t="s">
        <v>3328</v>
      </c>
      <c r="J614" t="str">
        <f>_xlfn.XLOOKUP(Table8[[#This Row],[Supporter_ID]],tb1_supporters[Supporter_ID ],tb1_supporters[Segment],"")</f>
        <v>Legacy Pledger</v>
      </c>
      <c r="K614" t="str">
        <f>_xlfn.XLOOKUP(Table8[[#This Row],[Supporter_ID]],tb1_supporters[Supporter_ID ],tb1_supporters[Acquisition_Source],"")</f>
        <v>Referral</v>
      </c>
      <c r="L614" t="str">
        <f>_xlfn.XLOOKUP(Table8[[#This Row],[Supporter_ID]],tb1_supporters[Supporter_ID ],tb1_supporters[County],"")</f>
        <v>West Yorkshire</v>
      </c>
      <c r="M614" t="str">
        <f>_xlfn.XLOOKUP(Table8[[#This Row],[Supporter_ID]],tb1_supporters[Supporter_ID ],tb1_supporters[Gender],"")</f>
        <v>Male</v>
      </c>
      <c r="N614">
        <f ca="1">_xlfn.XLOOKUP(Table8[[#This Row],[Supporter_ID]],tb1_supporters[Supporter_ID ],tb1_supporters[Age],"")</f>
        <v>54</v>
      </c>
      <c r="O614" t="str">
        <f ca="1">_xlfn.XLOOKUP(Table8[[#This Row],[Supporter_ID]],tb1_supporters[Supporter_ID ],tb1_supporters[Age_Band],"")</f>
        <v>50-64</v>
      </c>
      <c r="P614" t="str">
        <f ca="1">IF(Table8[[#This Row],[Age_Band]]="","Unknown",Table8[[#This Row],[Age_Band]])</f>
        <v>50-64</v>
      </c>
      <c r="Q614" t="str">
        <f>_xlfn.XLOOKUP(Table8[[#This Row],[Supporter_ID]],tb1_supporters[Supporter_ID ],tb1_supporters[Communication_Preference],"")</f>
        <v>Email</v>
      </c>
      <c r="R614" t="str">
        <f>_xlfn.XLOOKUP(Table8[[#This Row],[Supporter_ID]],tb1_supporters[Supporter_ID ],tb1_supporters[Duplicate_Profile_Flag],"")</f>
        <v/>
      </c>
      <c r="S614" t="str">
        <f>_xlfn.XLOOKUP(Table8[[#This Row],[Supporter_ID]],tb1_supporters[Supporter_ID ],tb1_supporters[Preference_Compliance_Flag],"")</f>
        <v>Review - prefers email but not opted in</v>
      </c>
      <c r="T614" t="str">
        <f ca="1">IF(Table8[[#This Row],[Age]]="","Review - missing DOB",IF(Table8[[#This Row],[Age]]&gt;TODAY(),"Review - future DOB",IF(Table8[[#This Row],[Age]]=0,"Review -  potential entry error (age 0)","")))</f>
        <v/>
      </c>
      <c r="U614" t="str">
        <f>_xlfn.XLOOKUP(Table8[[#This Row],[Campaign_Code]],tb3_CampaignMaster[Campaign_Code],tb3_CampaignMaster[Campaign_Type],"")</f>
        <v>Regular Giving</v>
      </c>
      <c r="V614" t="str">
        <f>_xlfn.XLOOKUP(Table8[[#This Row],[Campaign_Code]],tb3_CampaignMaster[Campaign_Code],tb3_CampaignMaster[Target_Audience],"")</f>
        <v>One-time Donors</v>
      </c>
      <c r="W614" s="17">
        <f>_xlfn.XLOOKUP(Table8[[#This Row],[Campaign_Code]],tb3_CampaignMaster[Campaign_Code],tb3_CampaignMaster[Start_Date],"")</f>
        <v>45663</v>
      </c>
      <c r="X614" s="17">
        <f>_xlfn.XLOOKUP(Table8[[#This Row],[Campaign_Code]],tb3_CampaignMaster[Campaign_Code],tb3_CampaignMaster[End_Date],"")</f>
        <v>45747</v>
      </c>
      <c r="Y614">
        <f>_xlfn.XLOOKUP(Table8[[#This Row],[Campaign_Code]],tb3_CampaignMaster[Campaign_Code],tb3_CampaignMaster[Budget_GBP],"")</f>
        <v>10000</v>
      </c>
      <c r="Z614" t="str">
        <f>_xlfn.XLOOKUP(Table8[[#This Row],[Campaign_Code]],tb3_CampaignMaster[Campaign_Code],tb3_CampaignMaster[Primary_Channel],"")</f>
        <v>Telephone</v>
      </c>
      <c r="AA614" s="13">
        <f>IF(Table8[[#This Row],[Gift_Aid_Eligible]]="Yes",Table8[[#This Row],[Gift_Amount]]*1.25,Table8[[#This Row],[Gift_Amount]])</f>
        <v>603.88750000000005</v>
      </c>
      <c r="AB614" t="str">
        <f>IF(Table8[[#This Row],[Supporter_ID]]="","Review - missing supporter ID","")</f>
        <v/>
      </c>
      <c r="AC614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614" t="str">
        <f>IF(Table8[[#This Row],[Campaign_Type]]="","Review - campaign code not found","")</f>
        <v/>
      </c>
    </row>
    <row r="615" spans="1:30" x14ac:dyDescent="0.25">
      <c r="A615" t="s">
        <v>4387</v>
      </c>
      <c r="B615" t="s">
        <v>2451</v>
      </c>
      <c r="C615" t="s">
        <v>3320</v>
      </c>
      <c r="D615" t="s">
        <v>3321</v>
      </c>
      <c r="E615" t="s">
        <v>65</v>
      </c>
      <c r="F615" s="17">
        <v>45447</v>
      </c>
      <c r="G615">
        <v>31.72</v>
      </c>
      <c r="H615" t="s">
        <v>36</v>
      </c>
      <c r="I615" t="s">
        <v>3331</v>
      </c>
      <c r="J615" t="str">
        <f>_xlfn.XLOOKUP(Table8[[#This Row],[Supporter_ID]],tb1_supporters[Supporter_ID ],tb1_supporters[Segment],"")</f>
        <v>Regular Giver</v>
      </c>
      <c r="K615" t="str">
        <f>_xlfn.XLOOKUP(Table8[[#This Row],[Supporter_ID]],tb1_supporters[Supporter_ID ],tb1_supporters[Acquisition_Source],"")</f>
        <v>Door-To-Door</v>
      </c>
      <c r="L615" t="str">
        <f>_xlfn.XLOOKUP(Table8[[#This Row],[Supporter_ID]],tb1_supporters[Supporter_ID ],tb1_supporters[County],"")</f>
        <v>Hertfordshire</v>
      </c>
      <c r="M615" t="str">
        <f>_xlfn.XLOOKUP(Table8[[#This Row],[Supporter_ID]],tb1_supporters[Supporter_ID ],tb1_supporters[Gender],"")</f>
        <v>Female</v>
      </c>
      <c r="N615">
        <f ca="1">_xlfn.XLOOKUP(Table8[[#This Row],[Supporter_ID]],tb1_supporters[Supporter_ID ],tb1_supporters[Age],"")</f>
        <v>80</v>
      </c>
      <c r="O615" t="str">
        <f ca="1">_xlfn.XLOOKUP(Table8[[#This Row],[Supporter_ID]],tb1_supporters[Supporter_ID ],tb1_supporters[Age_Band],"")</f>
        <v>65+</v>
      </c>
      <c r="P615" t="str">
        <f ca="1">IF(Table8[[#This Row],[Age_Band]]="","Unknown",Table8[[#This Row],[Age_Band]])</f>
        <v>65+</v>
      </c>
      <c r="Q615" t="str">
        <f>_xlfn.XLOOKUP(Table8[[#This Row],[Supporter_ID]],tb1_supporters[Supporter_ID ],tb1_supporters[Communication_Preference],"")</f>
        <v>No Preference</v>
      </c>
      <c r="R615" t="str">
        <f>_xlfn.XLOOKUP(Table8[[#This Row],[Supporter_ID]],tb1_supporters[Supporter_ID ],tb1_supporters[Duplicate_Profile_Flag],"")</f>
        <v/>
      </c>
      <c r="S615" t="str">
        <f>_xlfn.XLOOKUP(Table8[[#This Row],[Supporter_ID]],tb1_supporters[Supporter_ID ],tb1_supporters[Preference_Compliance_Flag],"")</f>
        <v/>
      </c>
      <c r="T615" t="str">
        <f ca="1">IF(Table8[[#This Row],[Age]]="","Review - missing DOB",IF(Table8[[#This Row],[Age]]&gt;TODAY(),"Review - future DOB",IF(Table8[[#This Row],[Age]]=0,"Review -  potential entry error (age 0)","")))</f>
        <v/>
      </c>
      <c r="U615" t="str">
        <f>_xlfn.XLOOKUP(Table8[[#This Row],[Campaign_Code]],tb3_CampaignMaster[Campaign_Code],tb3_CampaignMaster[Campaign_Type],"")</f>
        <v>Stewardship</v>
      </c>
      <c r="V615" t="str">
        <f>_xlfn.XLOOKUP(Table8[[#This Row],[Campaign_Code]],tb3_CampaignMaster[Campaign_Code],tb3_CampaignMaster[Target_Audience],"")</f>
        <v>Major Donors</v>
      </c>
      <c r="W615" s="17">
        <f>_xlfn.XLOOKUP(Table8[[#This Row],[Campaign_Code]],tb3_CampaignMaster[Campaign_Code],tb3_CampaignMaster[Start_Date],"")</f>
        <v>45444</v>
      </c>
      <c r="X615" s="17">
        <f>_xlfn.XLOOKUP(Table8[[#This Row],[Campaign_Code]],tb3_CampaignMaster[Campaign_Code],tb3_CampaignMaster[End_Date],"")</f>
        <v>45473</v>
      </c>
      <c r="Y615">
        <f>_xlfn.XLOOKUP(Table8[[#This Row],[Campaign_Code]],tb3_CampaignMaster[Campaign_Code],tb3_CampaignMaster[Budget_GBP],"")</f>
        <v>7000</v>
      </c>
      <c r="Z615" t="str">
        <f>_xlfn.XLOOKUP(Table8[[#This Row],[Campaign_Code]],tb3_CampaignMaster[Campaign_Code],tb3_CampaignMaster[Primary_Channel],"")</f>
        <v>Direct Mail</v>
      </c>
      <c r="AA615" s="13">
        <f>IF(Table8[[#This Row],[Gift_Aid_Eligible]]="Yes",Table8[[#This Row],[Gift_Amount]]*1.25,Table8[[#This Row],[Gift_Amount]])</f>
        <v>39.65</v>
      </c>
      <c r="AB615" t="str">
        <f>IF(Table8[[#This Row],[Supporter_ID]]="","Review - missing supporter ID","")</f>
        <v/>
      </c>
      <c r="AC615" t="str">
        <f>IF(OR(Table8[[#This Row],[Response_Date]]&lt;Table8[[#This Row],[Start_Date]],Table8[[#This Row],[Response_Date]]&gt;Table8[[#This Row],[End_Date]]),"Review - response outside campaign dates","")</f>
        <v/>
      </c>
      <c r="AD615" t="str">
        <f>IF(Table8[[#This Row],[Campaign_Type]]="","Review - campaign code not found","")</f>
        <v/>
      </c>
    </row>
    <row r="616" spans="1:30" x14ac:dyDescent="0.25">
      <c r="A616" t="s">
        <v>4389</v>
      </c>
      <c r="B616" t="s">
        <v>3302</v>
      </c>
      <c r="C616" t="s">
        <v>3320</v>
      </c>
      <c r="D616" t="s">
        <v>3321</v>
      </c>
      <c r="E616" t="s">
        <v>65</v>
      </c>
      <c r="F616" s="17">
        <v>45455</v>
      </c>
      <c r="G616">
        <v>44.9</v>
      </c>
      <c r="H616" t="s">
        <v>36</v>
      </c>
      <c r="I616" t="s">
        <v>3318</v>
      </c>
      <c r="J616" t="str">
        <f>_xlfn.XLOOKUP(Table8[[#This Row],[Supporter_ID]],tb1_supporters[Supporter_ID ],tb1_supporters[Segment],"")</f>
        <v>Regular Giver</v>
      </c>
      <c r="K616" t="str">
        <f>_xlfn.XLOOKUP(Table8[[#This Row],[Supporter_ID]],tb1_supporters[Supporter_ID ],tb1_supporters[Acquisition_Source],"")</f>
        <v>Referral</v>
      </c>
      <c r="L616" t="str">
        <f>_xlfn.XLOOKUP(Table8[[#This Row],[Supporter_ID]],tb1_supporters[Supporter_ID ],tb1_supporters[County],"")</f>
        <v>East Sussex</v>
      </c>
      <c r="M616" t="str">
        <f>_xlfn.XLOOKUP(Table8[[#This Row],[Supporter_ID]],tb1_supporters[Supporter_ID ],tb1_supporters[Gender],"")</f>
        <v>Male</v>
      </c>
      <c r="N616">
        <f ca="1">_xlfn.XLOOKUP(Table8[[#This Row],[Supporter_ID]],tb1_supporters[Supporter_ID ],tb1_supporters[Age],"")</f>
        <v>39</v>
      </c>
      <c r="O616" t="str">
        <f ca="1">_xlfn.XLOOKUP(Table8[[#This Row],[Supporter_ID]],tb1_supporters[Supporter_ID ],tb1_supporters[Age_Band],"")</f>
        <v>35-49</v>
      </c>
      <c r="P616" t="str">
        <f ca="1">IF(Table8[[#This Row],[Age_Band]]="","Unknown",Table8[[#This Row],[Age_Band]])</f>
        <v>35-49</v>
      </c>
      <c r="Q616" t="str">
        <f>_xlfn.XLOOKUP(Table8[[#This Row],[Supporter_ID]],tb1_supporters[Supporter_ID ],tb1_supporters[Communication_Preference],"")</f>
        <v>Phone</v>
      </c>
      <c r="R616" t="str">
        <f>_xlfn.XLOOKUP(Table8[[#This Row],[Supporter_ID]],tb1_supporters[Supporter_ID ],tb1_supporters[Duplicate_Profile_Flag],"")</f>
        <v>Review - duplicate record, see Supporter_Duplicates tab</v>
      </c>
      <c r="S616" t="str">
        <f>_xlfn.XLOOKUP(Table8[[#This Row],[Supporter_ID]],tb1_supporters[Supporter_ID ],tb1_supporters[Preference_Compliance_Flag],"")</f>
        <v>Review - prefers phone but not opted in</v>
      </c>
      <c r="T616" t="str">
        <f ca="1">IF(Table8[[#This Row],[Age]]="","Review - missing DOB",IF(Table8[[#This Row],[Age]]&gt;TODAY(),"Review - future DOB",IF(Table8[[#This Row],[Age]]=0,"Review -  potential entry error (age 0)","")))</f>
        <v/>
      </c>
      <c r="U616" t="str">
        <f>_xlfn.XLOOKUP(Table8[[#This Row],[Campaign_Code]],tb3_CampaignMaster[Campaign_Code],tb3_CampaignMaster[Campaign_Type],"")</f>
        <v>Stewardship</v>
      </c>
      <c r="V616" t="str">
        <f>_xlfn.XLOOKUP(Table8[[#This Row],[Campaign_Code]],tb3_CampaignMaster[Campaign_Code],tb3_CampaignMaster[Target_Audience],"")</f>
        <v>Major Donors</v>
      </c>
      <c r="W616" s="17">
        <f>_xlfn.XLOOKUP(Table8[[#This Row],[Campaign_Code]],tb3_CampaignMaster[Campaign_Code],tb3_CampaignMaster[Start_Date],"")</f>
        <v>45444</v>
      </c>
      <c r="X616" s="17">
        <f>_xlfn.XLOOKUP(Table8[[#This Row],[Campaign_Code]],tb3_CampaignMaster[Campaign_Code],tb3_CampaignMaster[End_Date],"")</f>
        <v>45473</v>
      </c>
      <c r="Y616">
        <f>_xlfn.XLOOKUP(Table8[[#This Row],[Campaign_Code]],tb3_CampaignMaster[Campaign_Code],tb3_CampaignMaster[Budget_GBP],"")</f>
        <v>7000</v>
      </c>
      <c r="Z616" t="str">
        <f>_xlfn.XLOOKUP(Table8[[#This Row],[Campaign_Code]],tb3_CampaignMaster[Campaign_Code],tb3_CampaignMaster[Primary_Channel],"")</f>
        <v>Direct Mail</v>
      </c>
      <c r="AA616" s="13">
        <f>IF(Table8[[#This Row],[Gift_Aid_Eligible]]="Yes",Table8[[#This Row],[Gift_Amount]]*1.25,Table8[[#This Row],[Gift_Amount]])</f>
        <v>56.125</v>
      </c>
      <c r="AB616" t="str">
        <f>IF(Table8[[#This Row],[Supporter_ID]]="","Review - missing supporter ID","")</f>
        <v/>
      </c>
      <c r="AC616" t="str">
        <f>IF(OR(Table8[[#This Row],[Response_Date]]&lt;Table8[[#This Row],[Start_Date]],Table8[[#This Row],[Response_Date]]&gt;Table8[[#This Row],[End_Date]]),"Review - response outside campaign dates","")</f>
        <v/>
      </c>
      <c r="AD616" t="str">
        <f>IF(Table8[[#This Row],[Campaign_Type]]="","Review - campaign code not found","")</f>
        <v/>
      </c>
    </row>
    <row r="617" spans="1:30" x14ac:dyDescent="0.25">
      <c r="A617" t="s">
        <v>4391</v>
      </c>
      <c r="B617" t="s">
        <v>3261</v>
      </c>
      <c r="C617" t="s">
        <v>3341</v>
      </c>
      <c r="D617" t="s">
        <v>3342</v>
      </c>
      <c r="E617" t="s">
        <v>3316</v>
      </c>
      <c r="F617" s="17">
        <v>45723</v>
      </c>
      <c r="G617">
        <v>6.76</v>
      </c>
      <c r="H617" t="s">
        <v>36</v>
      </c>
      <c r="I617" t="s">
        <v>3365</v>
      </c>
      <c r="J617" t="str">
        <f>_xlfn.XLOOKUP(Table8[[#This Row],[Supporter_ID]],tb1_supporters[Supporter_ID ],tb1_supporters[Segment],"")</f>
        <v>Prospect</v>
      </c>
      <c r="K617" t="str">
        <f>_xlfn.XLOOKUP(Table8[[#This Row],[Supporter_ID]],tb1_supporters[Supporter_ID ],tb1_supporters[Acquisition_Source],"")</f>
        <v>Referral</v>
      </c>
      <c r="L617" t="str">
        <f>_xlfn.XLOOKUP(Table8[[#This Row],[Supporter_ID]],tb1_supporters[Supporter_ID ],tb1_supporters[County],"")</f>
        <v>Gloucestershire</v>
      </c>
      <c r="M617" t="str">
        <f>_xlfn.XLOOKUP(Table8[[#This Row],[Supporter_ID]],tb1_supporters[Supporter_ID ],tb1_supporters[Gender],"")</f>
        <v>Female</v>
      </c>
      <c r="N617">
        <f ca="1">_xlfn.XLOOKUP(Table8[[#This Row],[Supporter_ID]],tb1_supporters[Supporter_ID ],tb1_supporters[Age],"")</f>
        <v>32</v>
      </c>
      <c r="O617" t="str">
        <f ca="1">_xlfn.XLOOKUP(Table8[[#This Row],[Supporter_ID]],tb1_supporters[Supporter_ID ],tb1_supporters[Age_Band],"")</f>
        <v>18-34</v>
      </c>
      <c r="P617" t="str">
        <f ca="1">IF(Table8[[#This Row],[Age_Band]]="","Unknown",Table8[[#This Row],[Age_Band]])</f>
        <v>18-34</v>
      </c>
      <c r="Q617" t="str">
        <f>_xlfn.XLOOKUP(Table8[[#This Row],[Supporter_ID]],tb1_supporters[Supporter_ID ],tb1_supporters[Communication_Preference],"")</f>
        <v>Phone</v>
      </c>
      <c r="R617" t="str">
        <f>_xlfn.XLOOKUP(Table8[[#This Row],[Supporter_ID]],tb1_supporters[Supporter_ID ],tb1_supporters[Duplicate_Profile_Flag],"")</f>
        <v/>
      </c>
      <c r="S617" t="str">
        <f>_xlfn.XLOOKUP(Table8[[#This Row],[Supporter_ID]],tb1_supporters[Supporter_ID ],tb1_supporters[Preference_Compliance_Flag],"")</f>
        <v/>
      </c>
      <c r="T617" t="str">
        <f ca="1">IF(Table8[[#This Row],[Age]]="","Review - missing DOB",IF(Table8[[#This Row],[Age]]&gt;TODAY(),"Review - future DOB",IF(Table8[[#This Row],[Age]]=0,"Review -  potential entry error (age 0)","")))</f>
        <v/>
      </c>
      <c r="U617" t="str">
        <f>_xlfn.XLOOKUP(Table8[[#This Row],[Campaign_Code]],tb3_CampaignMaster[Campaign_Code],tb3_CampaignMaster[Campaign_Type],"")</f>
        <v>Acquisition</v>
      </c>
      <c r="V617" t="str">
        <f>_xlfn.XLOOKUP(Table8[[#This Row],[Campaign_Code]],tb3_CampaignMaster[Campaign_Code],tb3_CampaignMaster[Target_Audience],"")</f>
        <v>Prospects</v>
      </c>
      <c r="W617" s="17">
        <f>_xlfn.XLOOKUP(Table8[[#This Row],[Campaign_Code]],tb3_CampaignMaster[Campaign_Code],tb3_CampaignMaster[Start_Date],"")</f>
        <v>45689</v>
      </c>
      <c r="X617" s="17">
        <f>_xlfn.XLOOKUP(Table8[[#This Row],[Campaign_Code]],tb3_CampaignMaster[Campaign_Code],tb3_CampaignMaster[End_Date],"")</f>
        <v>45777</v>
      </c>
      <c r="Y617">
        <f>_xlfn.XLOOKUP(Table8[[#This Row],[Campaign_Code]],tb3_CampaignMaster[Campaign_Code],tb3_CampaignMaster[Budget_GBP],"")</f>
        <v>20000</v>
      </c>
      <c r="Z617" t="str">
        <f>_xlfn.XLOOKUP(Table8[[#This Row],[Campaign_Code]],tb3_CampaignMaster[Campaign_Code],tb3_CampaignMaster[Primary_Channel],"")</f>
        <v>Digital</v>
      </c>
      <c r="AA617" s="13">
        <f>IF(Table8[[#This Row],[Gift_Aid_Eligible]]="Yes",Table8[[#This Row],[Gift_Amount]]*1.25,Table8[[#This Row],[Gift_Amount]])</f>
        <v>8.4499999999999993</v>
      </c>
      <c r="AB617" t="str">
        <f>IF(Table8[[#This Row],[Supporter_ID]]="","Review - missing supporter ID","")</f>
        <v/>
      </c>
      <c r="AC617" t="str">
        <f>IF(OR(Table8[[#This Row],[Response_Date]]&lt;Table8[[#This Row],[Start_Date]],Table8[[#This Row],[Response_Date]]&gt;Table8[[#This Row],[End_Date]]),"Review - response outside campaign dates","")</f>
        <v/>
      </c>
      <c r="AD617" t="str">
        <f>IF(Table8[[#This Row],[Campaign_Type]]="","Review - campaign code not found","")</f>
        <v/>
      </c>
    </row>
    <row r="618" spans="1:30" x14ac:dyDescent="0.25">
      <c r="A618" t="s">
        <v>4392</v>
      </c>
      <c r="B618" t="s">
        <v>2508</v>
      </c>
      <c r="C618" t="s">
        <v>3403</v>
      </c>
      <c r="D618" t="s">
        <v>3404</v>
      </c>
      <c r="E618" t="s">
        <v>3316</v>
      </c>
      <c r="F618" s="17">
        <v>45625</v>
      </c>
      <c r="G618">
        <v>156.61000000000001</v>
      </c>
      <c r="H618" t="s">
        <v>37</v>
      </c>
      <c r="I618" t="s">
        <v>3328</v>
      </c>
      <c r="J618" t="str">
        <f>_xlfn.XLOOKUP(Table8[[#This Row],[Supporter_ID]],tb1_supporters[Supporter_ID ],tb1_supporters[Segment],"")</f>
        <v>Mid-Value</v>
      </c>
      <c r="K618" t="str">
        <f>_xlfn.XLOOKUP(Table8[[#This Row],[Supporter_ID]],tb1_supporters[Supporter_ID ],tb1_supporters[Acquisition_Source],"")</f>
        <v>Event</v>
      </c>
      <c r="L618" t="str">
        <f>_xlfn.XLOOKUP(Table8[[#This Row],[Supporter_ID]],tb1_supporters[Supporter_ID ],tb1_supporters[County],"")</f>
        <v>East Sussex</v>
      </c>
      <c r="M618" t="str">
        <f>_xlfn.XLOOKUP(Table8[[#This Row],[Supporter_ID]],tb1_supporters[Supporter_ID ],tb1_supporters[Gender],"")</f>
        <v>Female</v>
      </c>
      <c r="N618">
        <f ca="1">_xlfn.XLOOKUP(Table8[[#This Row],[Supporter_ID]],tb1_supporters[Supporter_ID ],tb1_supporters[Age],"")</f>
        <v>65</v>
      </c>
      <c r="O618" t="str">
        <f ca="1">_xlfn.XLOOKUP(Table8[[#This Row],[Supporter_ID]],tb1_supporters[Supporter_ID ],tb1_supporters[Age_Band],"")</f>
        <v>65+</v>
      </c>
      <c r="P618" t="str">
        <f ca="1">IF(Table8[[#This Row],[Age_Band]]="","Unknown",Table8[[#This Row],[Age_Band]])</f>
        <v>65+</v>
      </c>
      <c r="Q618" t="str">
        <f>_xlfn.XLOOKUP(Table8[[#This Row],[Supporter_ID]],tb1_supporters[Supporter_ID ],tb1_supporters[Communication_Preference],"")</f>
        <v>Post</v>
      </c>
      <c r="R618" t="str">
        <f>_xlfn.XLOOKUP(Table8[[#This Row],[Supporter_ID]],tb1_supporters[Supporter_ID ],tb1_supporters[Duplicate_Profile_Flag],"")</f>
        <v/>
      </c>
      <c r="S618" t="str">
        <f>_xlfn.XLOOKUP(Table8[[#This Row],[Supporter_ID]],tb1_supporters[Supporter_ID ],tb1_supporters[Preference_Compliance_Flag],"")</f>
        <v/>
      </c>
      <c r="T618" t="str">
        <f ca="1">IF(Table8[[#This Row],[Age]]="","Review - missing DOB",IF(Table8[[#This Row],[Age]]&gt;TODAY(),"Review - future DOB",IF(Table8[[#This Row],[Age]]=0,"Review -  potential entry error (age 0)","")))</f>
        <v/>
      </c>
      <c r="U618" t="str">
        <f>_xlfn.XLOOKUP(Table8[[#This Row],[Campaign_Code]],tb3_CampaignMaster[Campaign_Code],tb3_CampaignMaster[Campaign_Type],"")</f>
        <v>Trading</v>
      </c>
      <c r="V618" t="str">
        <f>_xlfn.XLOOKUP(Table8[[#This Row],[Campaign_Code]],tb3_CampaignMaster[Campaign_Code],tb3_CampaignMaster[Target_Audience],"")</f>
        <v>All Active</v>
      </c>
      <c r="W618" s="17">
        <f>_xlfn.XLOOKUP(Table8[[#This Row],[Campaign_Code]],tb3_CampaignMaster[Campaign_Code],tb3_CampaignMaster[Start_Date],"")</f>
        <v>45580</v>
      </c>
      <c r="X618" s="17">
        <f>_xlfn.XLOOKUP(Table8[[#This Row],[Campaign_Code]],tb3_CampaignMaster[Campaign_Code],tb3_CampaignMaster[End_Date],"")</f>
        <v>45646</v>
      </c>
      <c r="Y618">
        <f>_xlfn.XLOOKUP(Table8[[#This Row],[Campaign_Code]],tb3_CampaignMaster[Campaign_Code],tb3_CampaignMaster[Budget_GBP],"")</f>
        <v>12000</v>
      </c>
      <c r="Z618" t="str">
        <f>_xlfn.XLOOKUP(Table8[[#This Row],[Campaign_Code]],tb3_CampaignMaster[Campaign_Code],tb3_CampaignMaster[Primary_Channel],"")</f>
        <v>Multi-channel</v>
      </c>
      <c r="AA618" s="13">
        <f>IF(Table8[[#This Row],[Gift_Aid_Eligible]]="Yes",Table8[[#This Row],[Gift_Amount]]*1.25,Table8[[#This Row],[Gift_Amount]])</f>
        <v>156.61000000000001</v>
      </c>
      <c r="AB618" t="str">
        <f>IF(Table8[[#This Row],[Supporter_ID]]="","Review - missing supporter ID","")</f>
        <v/>
      </c>
      <c r="AC618" t="str">
        <f>IF(OR(Table8[[#This Row],[Response_Date]]&lt;Table8[[#This Row],[Start_Date]],Table8[[#This Row],[Response_Date]]&gt;Table8[[#This Row],[End_Date]]),"Review - response outside campaign dates","")</f>
        <v/>
      </c>
      <c r="AD618" t="str">
        <f>IF(Table8[[#This Row],[Campaign_Type]]="","Review - campaign code not found","")</f>
        <v/>
      </c>
    </row>
    <row r="619" spans="1:30" x14ac:dyDescent="0.25">
      <c r="A619" t="s">
        <v>4393</v>
      </c>
      <c r="B619" t="s">
        <v>3266</v>
      </c>
      <c r="C619" t="s">
        <v>3320</v>
      </c>
      <c r="D619" t="s">
        <v>3321</v>
      </c>
      <c r="E619" t="s">
        <v>65</v>
      </c>
      <c r="F619" s="17">
        <v>45461</v>
      </c>
      <c r="G619">
        <v>95.94</v>
      </c>
      <c r="H619" t="s">
        <v>37</v>
      </c>
      <c r="I619" t="s">
        <v>3365</v>
      </c>
      <c r="J619" t="str">
        <f>_xlfn.XLOOKUP(Table8[[#This Row],[Supporter_ID]],tb1_supporters[Supporter_ID ],tb1_supporters[Segment],"")</f>
        <v>Mid-Value</v>
      </c>
      <c r="K619" t="str">
        <f>_xlfn.XLOOKUP(Table8[[#This Row],[Supporter_ID]],tb1_supporters[Supporter_ID ],tb1_supporters[Acquisition_Source],"")</f>
        <v>Door-To-Door</v>
      </c>
      <c r="L619" t="str">
        <f>_xlfn.XLOOKUP(Table8[[#This Row],[Supporter_ID]],tb1_supporters[Supporter_ID ],tb1_supporters[County],"")</f>
        <v>Angus</v>
      </c>
      <c r="M619" t="str">
        <f>_xlfn.XLOOKUP(Table8[[#This Row],[Supporter_ID]],tb1_supporters[Supporter_ID ],tb1_supporters[Gender],"")</f>
        <v>Female</v>
      </c>
      <c r="N619">
        <f ca="1">_xlfn.XLOOKUP(Table8[[#This Row],[Supporter_ID]],tb1_supporters[Supporter_ID ],tb1_supporters[Age],"")</f>
        <v>59</v>
      </c>
      <c r="O619" t="str">
        <f ca="1">_xlfn.XLOOKUP(Table8[[#This Row],[Supporter_ID]],tb1_supporters[Supporter_ID ],tb1_supporters[Age_Band],"")</f>
        <v>50-64</v>
      </c>
      <c r="P619" t="str">
        <f ca="1">IF(Table8[[#This Row],[Age_Band]]="","Unknown",Table8[[#This Row],[Age_Band]])</f>
        <v>50-64</v>
      </c>
      <c r="Q619" t="str">
        <f>_xlfn.XLOOKUP(Table8[[#This Row],[Supporter_ID]],tb1_supporters[Supporter_ID ],tb1_supporters[Communication_Preference],"")</f>
        <v>Post</v>
      </c>
      <c r="R619" t="str">
        <f>_xlfn.XLOOKUP(Table8[[#This Row],[Supporter_ID]],tb1_supporters[Supporter_ID ],tb1_supporters[Duplicate_Profile_Flag],"")</f>
        <v/>
      </c>
      <c r="S619" t="str">
        <f>_xlfn.XLOOKUP(Table8[[#This Row],[Supporter_ID]],tb1_supporters[Supporter_ID ],tb1_supporters[Preference_Compliance_Flag],"")</f>
        <v>Review - prefers post but not opted in</v>
      </c>
      <c r="T619" t="str">
        <f ca="1">IF(Table8[[#This Row],[Age]]="","Review - missing DOB",IF(Table8[[#This Row],[Age]]&gt;TODAY(),"Review - future DOB",IF(Table8[[#This Row],[Age]]=0,"Review -  potential entry error (age 0)","")))</f>
        <v/>
      </c>
      <c r="U619" t="str">
        <f>_xlfn.XLOOKUP(Table8[[#This Row],[Campaign_Code]],tb3_CampaignMaster[Campaign_Code],tb3_CampaignMaster[Campaign_Type],"")</f>
        <v>Stewardship</v>
      </c>
      <c r="V619" t="str">
        <f>_xlfn.XLOOKUP(Table8[[#This Row],[Campaign_Code]],tb3_CampaignMaster[Campaign_Code],tb3_CampaignMaster[Target_Audience],"")</f>
        <v>Major Donors</v>
      </c>
      <c r="W619" s="17">
        <f>_xlfn.XLOOKUP(Table8[[#This Row],[Campaign_Code]],tb3_CampaignMaster[Campaign_Code],tb3_CampaignMaster[Start_Date],"")</f>
        <v>45444</v>
      </c>
      <c r="X619" s="17">
        <f>_xlfn.XLOOKUP(Table8[[#This Row],[Campaign_Code]],tb3_CampaignMaster[Campaign_Code],tb3_CampaignMaster[End_Date],"")</f>
        <v>45473</v>
      </c>
      <c r="Y619">
        <f>_xlfn.XLOOKUP(Table8[[#This Row],[Campaign_Code]],tb3_CampaignMaster[Campaign_Code],tb3_CampaignMaster[Budget_GBP],"")</f>
        <v>7000</v>
      </c>
      <c r="Z619" t="str">
        <f>_xlfn.XLOOKUP(Table8[[#This Row],[Campaign_Code]],tb3_CampaignMaster[Campaign_Code],tb3_CampaignMaster[Primary_Channel],"")</f>
        <v>Direct Mail</v>
      </c>
      <c r="AA619" s="13">
        <f>IF(Table8[[#This Row],[Gift_Aid_Eligible]]="Yes",Table8[[#This Row],[Gift_Amount]]*1.25,Table8[[#This Row],[Gift_Amount]])</f>
        <v>95.94</v>
      </c>
      <c r="AB619" t="str">
        <f>IF(Table8[[#This Row],[Supporter_ID]]="","Review - missing supporter ID","")</f>
        <v/>
      </c>
      <c r="AC619" t="str">
        <f>IF(OR(Table8[[#This Row],[Response_Date]]&lt;Table8[[#This Row],[Start_Date]],Table8[[#This Row],[Response_Date]]&gt;Table8[[#This Row],[End_Date]]),"Review - response outside campaign dates","")</f>
        <v/>
      </c>
      <c r="AD619" t="str">
        <f>IF(Table8[[#This Row],[Campaign_Type]]="","Review - campaign code not found","")</f>
        <v/>
      </c>
    </row>
    <row r="620" spans="1:30" x14ac:dyDescent="0.25">
      <c r="A620" t="s">
        <v>4394</v>
      </c>
      <c r="B620" t="s">
        <v>1826</v>
      </c>
      <c r="C620" t="s">
        <v>3427</v>
      </c>
      <c r="D620" t="s">
        <v>3428</v>
      </c>
      <c r="E620" t="s">
        <v>65</v>
      </c>
      <c r="F620" s="17">
        <v>45488</v>
      </c>
      <c r="G620">
        <v>2870.47</v>
      </c>
      <c r="H620" t="s">
        <v>37</v>
      </c>
      <c r="I620" t="s">
        <v>3328</v>
      </c>
      <c r="J620" t="str">
        <f>_xlfn.XLOOKUP(Table8[[#This Row],[Supporter_ID]],tb1_supporters[Supporter_ID ],tb1_supporters[Segment],"")</f>
        <v>Major Donor</v>
      </c>
      <c r="K620" t="str">
        <f>_xlfn.XLOOKUP(Table8[[#This Row],[Supporter_ID]],tb1_supporters[Supporter_ID ],tb1_supporters[Acquisition_Source],"")</f>
        <v>Direct Mail</v>
      </c>
      <c r="L620" t="str">
        <f>_xlfn.XLOOKUP(Table8[[#This Row],[Supporter_ID]],tb1_supporters[Supporter_ID ],tb1_supporters[County],"")</f>
        <v>Wiltshire</v>
      </c>
      <c r="M620" t="str">
        <f>_xlfn.XLOOKUP(Table8[[#This Row],[Supporter_ID]],tb1_supporters[Supporter_ID ],tb1_supporters[Gender],"")</f>
        <v>Male</v>
      </c>
      <c r="N620">
        <f ca="1">_xlfn.XLOOKUP(Table8[[#This Row],[Supporter_ID]],tb1_supporters[Supporter_ID ],tb1_supporters[Age],"")</f>
        <v>55</v>
      </c>
      <c r="O620" t="str">
        <f ca="1">_xlfn.XLOOKUP(Table8[[#This Row],[Supporter_ID]],tb1_supporters[Supporter_ID ],tb1_supporters[Age_Band],"")</f>
        <v>50-64</v>
      </c>
      <c r="P620" t="str">
        <f ca="1">IF(Table8[[#This Row],[Age_Band]]="","Unknown",Table8[[#This Row],[Age_Band]])</f>
        <v>50-64</v>
      </c>
      <c r="Q620" t="str">
        <f>_xlfn.XLOOKUP(Table8[[#This Row],[Supporter_ID]],tb1_supporters[Supporter_ID ],tb1_supporters[Communication_Preference],"")</f>
        <v>No Preference</v>
      </c>
      <c r="R620" t="str">
        <f>_xlfn.XLOOKUP(Table8[[#This Row],[Supporter_ID]],tb1_supporters[Supporter_ID ],tb1_supporters[Duplicate_Profile_Flag],"")</f>
        <v/>
      </c>
      <c r="S620" t="str">
        <f>_xlfn.XLOOKUP(Table8[[#This Row],[Supporter_ID]],tb1_supporters[Supporter_ID ],tb1_supporters[Preference_Compliance_Flag],"")</f>
        <v/>
      </c>
      <c r="T620" t="str">
        <f ca="1">IF(Table8[[#This Row],[Age]]="","Review - missing DOB",IF(Table8[[#This Row],[Age]]&gt;TODAY(),"Review - future DOB",IF(Table8[[#This Row],[Age]]=0,"Review -  potential entry error (age 0)","")))</f>
        <v/>
      </c>
      <c r="U620" t="str">
        <f>_xlfn.XLOOKUP(Table8[[#This Row],[Campaign_Code]],tb3_CampaignMaster[Campaign_Code],tb3_CampaignMaster[Campaign_Type],"")</f>
        <v>Event</v>
      </c>
      <c r="V620" t="str">
        <f>_xlfn.XLOOKUP(Table8[[#This Row],[Campaign_Code]],tb3_CampaignMaster[Campaign_Code],tb3_CampaignMaster[Target_Audience],"")</f>
        <v>Major Donors</v>
      </c>
      <c r="W620" s="17">
        <f>_xlfn.XLOOKUP(Table8[[#This Row],[Campaign_Code]],tb3_CampaignMaster[Campaign_Code],tb3_CampaignMaster[Start_Date],"")</f>
        <v>45488</v>
      </c>
      <c r="X620" s="17">
        <f>_xlfn.XLOOKUP(Table8[[#This Row],[Campaign_Code]],tb3_CampaignMaster[Campaign_Code],tb3_CampaignMaster[End_Date],"")</f>
        <v>45488</v>
      </c>
      <c r="Y620">
        <f>_xlfn.XLOOKUP(Table8[[#This Row],[Campaign_Code]],tb3_CampaignMaster[Campaign_Code],tb3_CampaignMaster[Budget_GBP],"")</f>
        <v>45000</v>
      </c>
      <c r="Z620" t="str">
        <f>_xlfn.XLOOKUP(Table8[[#This Row],[Campaign_Code]],tb3_CampaignMaster[Campaign_Code],tb3_CampaignMaster[Primary_Channel],"")</f>
        <v>Direct Mail</v>
      </c>
      <c r="AA620" s="13">
        <f>IF(Table8[[#This Row],[Gift_Aid_Eligible]]="Yes",Table8[[#This Row],[Gift_Amount]]*1.25,Table8[[#This Row],[Gift_Amount]])</f>
        <v>2870.47</v>
      </c>
      <c r="AB620" t="str">
        <f>IF(Table8[[#This Row],[Supporter_ID]]="","Review - missing supporter ID","")</f>
        <v/>
      </c>
      <c r="AC620" t="str">
        <f>IF(OR(Table8[[#This Row],[Response_Date]]&lt;Table8[[#This Row],[Start_Date]],Table8[[#This Row],[Response_Date]]&gt;Table8[[#This Row],[End_Date]]),"Review - response outside campaign dates","")</f>
        <v/>
      </c>
      <c r="AD620" t="str">
        <f>IF(Table8[[#This Row],[Campaign_Type]]="","Review - campaign code not found","")</f>
        <v/>
      </c>
    </row>
    <row r="621" spans="1:30" x14ac:dyDescent="0.25">
      <c r="A621" t="s">
        <v>4395</v>
      </c>
      <c r="B621" t="s">
        <v>2070</v>
      </c>
      <c r="C621" t="s">
        <v>3320</v>
      </c>
      <c r="D621" t="s">
        <v>3321</v>
      </c>
      <c r="E621" t="s">
        <v>65</v>
      </c>
      <c r="F621" s="17">
        <v>45466</v>
      </c>
      <c r="G621">
        <v>24.77</v>
      </c>
      <c r="H621" t="s">
        <v>37</v>
      </c>
      <c r="I621" t="s">
        <v>3365</v>
      </c>
      <c r="J621" t="str">
        <f>_xlfn.XLOOKUP(Table8[[#This Row],[Supporter_ID]],tb1_supporters[Supporter_ID ],tb1_supporters[Segment],"")</f>
        <v>Prospect</v>
      </c>
      <c r="K621" t="str">
        <f>_xlfn.XLOOKUP(Table8[[#This Row],[Supporter_ID]],tb1_supporters[Supporter_ID ],tb1_supporters[Acquisition_Source],"")</f>
        <v>Direct Mail</v>
      </c>
      <c r="L621" t="str">
        <f>_xlfn.XLOOKUP(Table8[[#This Row],[Supporter_ID]],tb1_supporters[Supporter_ID ],tb1_supporters[County],"")</f>
        <v>Cambridgeshire</v>
      </c>
      <c r="M621" t="str">
        <f>_xlfn.XLOOKUP(Table8[[#This Row],[Supporter_ID]],tb1_supporters[Supporter_ID ],tb1_supporters[Gender],"")</f>
        <v>Female</v>
      </c>
      <c r="N621">
        <f ca="1">_xlfn.XLOOKUP(Table8[[#This Row],[Supporter_ID]],tb1_supporters[Supporter_ID ],tb1_supporters[Age],"")</f>
        <v>64</v>
      </c>
      <c r="O621" t="str">
        <f ca="1">_xlfn.XLOOKUP(Table8[[#This Row],[Supporter_ID]],tb1_supporters[Supporter_ID ],tb1_supporters[Age_Band],"")</f>
        <v>50-64</v>
      </c>
      <c r="P621" t="str">
        <f ca="1">IF(Table8[[#This Row],[Age_Band]]="","Unknown",Table8[[#This Row],[Age_Band]])</f>
        <v>50-64</v>
      </c>
      <c r="Q621" t="str">
        <f>_xlfn.XLOOKUP(Table8[[#This Row],[Supporter_ID]],tb1_supporters[Supporter_ID ],tb1_supporters[Communication_Preference],"")</f>
        <v>Post</v>
      </c>
      <c r="R621" t="str">
        <f>_xlfn.XLOOKUP(Table8[[#This Row],[Supporter_ID]],tb1_supporters[Supporter_ID ],tb1_supporters[Duplicate_Profile_Flag],"")</f>
        <v/>
      </c>
      <c r="S621" t="str">
        <f>_xlfn.XLOOKUP(Table8[[#This Row],[Supporter_ID]],tb1_supporters[Supporter_ID ],tb1_supporters[Preference_Compliance_Flag],"")</f>
        <v>Review - prefers post but not opted in</v>
      </c>
      <c r="T621" t="str">
        <f ca="1">IF(Table8[[#This Row],[Age]]="","Review - missing DOB",IF(Table8[[#This Row],[Age]]&gt;TODAY(),"Review - future DOB",IF(Table8[[#This Row],[Age]]=0,"Review -  potential entry error (age 0)","")))</f>
        <v/>
      </c>
      <c r="U621" t="str">
        <f>_xlfn.XLOOKUP(Table8[[#This Row],[Campaign_Code]],tb3_CampaignMaster[Campaign_Code],tb3_CampaignMaster[Campaign_Type],"")</f>
        <v>Stewardship</v>
      </c>
      <c r="V621" t="str">
        <f>_xlfn.XLOOKUP(Table8[[#This Row],[Campaign_Code]],tb3_CampaignMaster[Campaign_Code],tb3_CampaignMaster[Target_Audience],"")</f>
        <v>Major Donors</v>
      </c>
      <c r="W621" s="17">
        <f>_xlfn.XLOOKUP(Table8[[#This Row],[Campaign_Code]],tb3_CampaignMaster[Campaign_Code],tb3_CampaignMaster[Start_Date],"")</f>
        <v>45444</v>
      </c>
      <c r="X621" s="17">
        <f>_xlfn.XLOOKUP(Table8[[#This Row],[Campaign_Code]],tb3_CampaignMaster[Campaign_Code],tb3_CampaignMaster[End_Date],"")</f>
        <v>45473</v>
      </c>
      <c r="Y621">
        <f>_xlfn.XLOOKUP(Table8[[#This Row],[Campaign_Code]],tb3_CampaignMaster[Campaign_Code],tb3_CampaignMaster[Budget_GBP],"")</f>
        <v>7000</v>
      </c>
      <c r="Z621" t="str">
        <f>_xlfn.XLOOKUP(Table8[[#This Row],[Campaign_Code]],tb3_CampaignMaster[Campaign_Code],tb3_CampaignMaster[Primary_Channel],"")</f>
        <v>Direct Mail</v>
      </c>
      <c r="AA621" s="13">
        <f>IF(Table8[[#This Row],[Gift_Aid_Eligible]]="Yes",Table8[[#This Row],[Gift_Amount]]*1.25,Table8[[#This Row],[Gift_Amount]])</f>
        <v>24.77</v>
      </c>
      <c r="AB621" t="str">
        <f>IF(Table8[[#This Row],[Supporter_ID]]="","Review - missing supporter ID","")</f>
        <v/>
      </c>
      <c r="AC621" t="str">
        <f>IF(OR(Table8[[#This Row],[Response_Date]]&lt;Table8[[#This Row],[Start_Date]],Table8[[#This Row],[Response_Date]]&gt;Table8[[#This Row],[End_Date]]),"Review - response outside campaign dates","")</f>
        <v/>
      </c>
      <c r="AD621" t="str">
        <f>IF(Table8[[#This Row],[Campaign_Type]]="","Review - campaign code not found","")</f>
        <v/>
      </c>
    </row>
    <row r="622" spans="1:30" x14ac:dyDescent="0.25">
      <c r="A622" t="s">
        <v>4397</v>
      </c>
      <c r="B622" t="s">
        <v>876</v>
      </c>
      <c r="C622" t="s">
        <v>3325</v>
      </c>
      <c r="D622" t="s">
        <v>3326</v>
      </c>
      <c r="E622" t="s">
        <v>3338</v>
      </c>
      <c r="F622" s="17">
        <v>45608</v>
      </c>
      <c r="G622">
        <v>3696.02</v>
      </c>
      <c r="H622" t="s">
        <v>36</v>
      </c>
      <c r="I622" t="s">
        <v>3318</v>
      </c>
      <c r="J622" t="str">
        <f>_xlfn.XLOOKUP(Table8[[#This Row],[Supporter_ID]],tb1_supporters[Supporter_ID ],tb1_supporters[Segment],"")</f>
        <v>Major Donor</v>
      </c>
      <c r="K622" t="str">
        <f>_xlfn.XLOOKUP(Table8[[#This Row],[Supporter_ID]],tb1_supporters[Supporter_ID ],tb1_supporters[Acquisition_Source],"")</f>
        <v>Website</v>
      </c>
      <c r="L622" t="str">
        <f>_xlfn.XLOOKUP(Table8[[#This Row],[Supporter_ID]],tb1_supporters[Supporter_ID ],tb1_supporters[County],"")</f>
        <v>Norfolk</v>
      </c>
      <c r="M622" t="str">
        <f>_xlfn.XLOOKUP(Table8[[#This Row],[Supporter_ID]],tb1_supporters[Supporter_ID ],tb1_supporters[Gender],"")</f>
        <v>Female</v>
      </c>
      <c r="N622">
        <f ca="1">_xlfn.XLOOKUP(Table8[[#This Row],[Supporter_ID]],tb1_supporters[Supporter_ID ],tb1_supporters[Age],"")</f>
        <v>64</v>
      </c>
      <c r="O622" t="str">
        <f ca="1">_xlfn.XLOOKUP(Table8[[#This Row],[Supporter_ID]],tb1_supporters[Supporter_ID ],tb1_supporters[Age_Band],"")</f>
        <v>50-64</v>
      </c>
      <c r="P622" t="str">
        <f ca="1">IF(Table8[[#This Row],[Age_Band]]="","Unknown",Table8[[#This Row],[Age_Band]])</f>
        <v>50-64</v>
      </c>
      <c r="Q622" t="str">
        <f>_xlfn.XLOOKUP(Table8[[#This Row],[Supporter_ID]],tb1_supporters[Supporter_ID ],tb1_supporters[Communication_Preference],"")</f>
        <v>Email</v>
      </c>
      <c r="R622" t="str">
        <f>_xlfn.XLOOKUP(Table8[[#This Row],[Supporter_ID]],tb1_supporters[Supporter_ID ],tb1_supporters[Duplicate_Profile_Flag],"")</f>
        <v/>
      </c>
      <c r="S622" t="str">
        <f>_xlfn.XLOOKUP(Table8[[#This Row],[Supporter_ID]],tb1_supporters[Supporter_ID ],tb1_supporters[Preference_Compliance_Flag],"")</f>
        <v/>
      </c>
      <c r="T622" t="str">
        <f ca="1">IF(Table8[[#This Row],[Age]]="","Review - missing DOB",IF(Table8[[#This Row],[Age]]&gt;TODAY(),"Review - future DOB",IF(Table8[[#This Row],[Age]]=0,"Review -  potential entry error (age 0)","")))</f>
        <v/>
      </c>
      <c r="U622" t="str">
        <f>_xlfn.XLOOKUP(Table8[[#This Row],[Campaign_Code]],tb3_CampaignMaster[Campaign_Code],tb3_CampaignMaster[Campaign_Type],"")</f>
        <v>Appeal</v>
      </c>
      <c r="V622" t="str">
        <f>_xlfn.XLOOKUP(Table8[[#This Row],[Campaign_Code]],tb3_CampaignMaster[Campaign_Code],tb3_CampaignMaster[Target_Audience],"")</f>
        <v>All Active</v>
      </c>
      <c r="W622" s="17">
        <f>_xlfn.XLOOKUP(Table8[[#This Row],[Campaign_Code]],tb3_CampaignMaster[Campaign_Code],tb3_CampaignMaster[Start_Date],"")</f>
        <v>45597</v>
      </c>
      <c r="X622" s="17">
        <f>_xlfn.XLOOKUP(Table8[[#This Row],[Campaign_Code]],tb3_CampaignMaster[Campaign_Code],tb3_CampaignMaster[End_Date],"")</f>
        <v>45657</v>
      </c>
      <c r="Y622">
        <f>_xlfn.XLOOKUP(Table8[[#This Row],[Campaign_Code]],tb3_CampaignMaster[Campaign_Code],tb3_CampaignMaster[Budget_GBP],"")</f>
        <v>25000</v>
      </c>
      <c r="Z622" t="str">
        <f>_xlfn.XLOOKUP(Table8[[#This Row],[Campaign_Code]],tb3_CampaignMaster[Campaign_Code],tb3_CampaignMaster[Primary_Channel],"")</f>
        <v>Multi-channel</v>
      </c>
      <c r="AA622" s="13">
        <f>IF(Table8[[#This Row],[Gift_Aid_Eligible]]="Yes",Table8[[#This Row],[Gift_Amount]]*1.25,Table8[[#This Row],[Gift_Amount]])</f>
        <v>4620.0249999999996</v>
      </c>
      <c r="AB622" t="str">
        <f>IF(Table8[[#This Row],[Supporter_ID]]="","Review - missing supporter ID","")</f>
        <v/>
      </c>
      <c r="AC622" t="str">
        <f>IF(OR(Table8[[#This Row],[Response_Date]]&lt;Table8[[#This Row],[Start_Date]],Table8[[#This Row],[Response_Date]]&gt;Table8[[#This Row],[End_Date]]),"Review - response outside campaign dates","")</f>
        <v/>
      </c>
      <c r="AD622" t="str">
        <f>IF(Table8[[#This Row],[Campaign_Type]]="","Review - campaign code not found","")</f>
        <v/>
      </c>
    </row>
    <row r="623" spans="1:30" x14ac:dyDescent="0.25">
      <c r="A623" t="s">
        <v>4399</v>
      </c>
      <c r="B623" t="s">
        <v>3118</v>
      </c>
      <c r="C623" t="s">
        <v>3427</v>
      </c>
      <c r="D623" t="s">
        <v>3428</v>
      </c>
      <c r="E623" t="s">
        <v>65</v>
      </c>
      <c r="F623" s="17">
        <v>45488</v>
      </c>
      <c r="G623">
        <v>38.49</v>
      </c>
      <c r="H623" t="s">
        <v>36</v>
      </c>
      <c r="I623" t="s">
        <v>3334</v>
      </c>
      <c r="J623" t="str">
        <f>_xlfn.XLOOKUP(Table8[[#This Row],[Supporter_ID]],tb1_supporters[Supporter_ID ],tb1_supporters[Segment],"")</f>
        <v>Regular Giver</v>
      </c>
      <c r="K623" t="str">
        <f>_xlfn.XLOOKUP(Table8[[#This Row],[Supporter_ID]],tb1_supporters[Supporter_ID ],tb1_supporters[Acquisition_Source],"")</f>
        <v>Referral</v>
      </c>
      <c r="L623" t="str">
        <f>_xlfn.XLOOKUP(Table8[[#This Row],[Supporter_ID]],tb1_supporters[Supporter_ID ],tb1_supporters[County],"")</f>
        <v>Dorset</v>
      </c>
      <c r="M623" t="str">
        <f>_xlfn.XLOOKUP(Table8[[#This Row],[Supporter_ID]],tb1_supporters[Supporter_ID ],tb1_supporters[Gender],"")</f>
        <v>Female</v>
      </c>
      <c r="N623">
        <f ca="1">_xlfn.XLOOKUP(Table8[[#This Row],[Supporter_ID]],tb1_supporters[Supporter_ID ],tb1_supporters[Age],"")</f>
        <v>62</v>
      </c>
      <c r="O623" t="str">
        <f ca="1">_xlfn.XLOOKUP(Table8[[#This Row],[Supporter_ID]],tb1_supporters[Supporter_ID ],tb1_supporters[Age_Band],"")</f>
        <v>50-64</v>
      </c>
      <c r="P623" t="str">
        <f ca="1">IF(Table8[[#This Row],[Age_Band]]="","Unknown",Table8[[#This Row],[Age_Band]])</f>
        <v>50-64</v>
      </c>
      <c r="Q623" t="str">
        <f>_xlfn.XLOOKUP(Table8[[#This Row],[Supporter_ID]],tb1_supporters[Supporter_ID ],tb1_supporters[Communication_Preference],"")</f>
        <v>Post</v>
      </c>
      <c r="R623" t="str">
        <f>_xlfn.XLOOKUP(Table8[[#This Row],[Supporter_ID]],tb1_supporters[Supporter_ID ],tb1_supporters[Duplicate_Profile_Flag],"")</f>
        <v/>
      </c>
      <c r="S623" t="str">
        <f>_xlfn.XLOOKUP(Table8[[#This Row],[Supporter_ID]],tb1_supporters[Supporter_ID ],tb1_supporters[Preference_Compliance_Flag],"")</f>
        <v/>
      </c>
      <c r="T623" t="str">
        <f ca="1">IF(Table8[[#This Row],[Age]]="","Review - missing DOB",IF(Table8[[#This Row],[Age]]&gt;TODAY(),"Review - future DOB",IF(Table8[[#This Row],[Age]]=0,"Review -  potential entry error (age 0)","")))</f>
        <v/>
      </c>
      <c r="U623" t="str">
        <f>_xlfn.XLOOKUP(Table8[[#This Row],[Campaign_Code]],tb3_CampaignMaster[Campaign_Code],tb3_CampaignMaster[Campaign_Type],"")</f>
        <v>Event</v>
      </c>
      <c r="V623" t="str">
        <f>_xlfn.XLOOKUP(Table8[[#This Row],[Campaign_Code]],tb3_CampaignMaster[Campaign_Code],tb3_CampaignMaster[Target_Audience],"")</f>
        <v>Major Donors</v>
      </c>
      <c r="W623" s="17">
        <f>_xlfn.XLOOKUP(Table8[[#This Row],[Campaign_Code]],tb3_CampaignMaster[Campaign_Code],tb3_CampaignMaster[Start_Date],"")</f>
        <v>45488</v>
      </c>
      <c r="X623" s="17">
        <f>_xlfn.XLOOKUP(Table8[[#This Row],[Campaign_Code]],tb3_CampaignMaster[Campaign_Code],tb3_CampaignMaster[End_Date],"")</f>
        <v>45488</v>
      </c>
      <c r="Y623">
        <f>_xlfn.XLOOKUP(Table8[[#This Row],[Campaign_Code]],tb3_CampaignMaster[Campaign_Code],tb3_CampaignMaster[Budget_GBP],"")</f>
        <v>45000</v>
      </c>
      <c r="Z623" t="str">
        <f>_xlfn.XLOOKUP(Table8[[#This Row],[Campaign_Code]],tb3_CampaignMaster[Campaign_Code],tb3_CampaignMaster[Primary_Channel],"")</f>
        <v>Direct Mail</v>
      </c>
      <c r="AA623" s="13">
        <f>IF(Table8[[#This Row],[Gift_Aid_Eligible]]="Yes",Table8[[#This Row],[Gift_Amount]]*1.25,Table8[[#This Row],[Gift_Amount]])</f>
        <v>48.112500000000004</v>
      </c>
      <c r="AB623" t="str">
        <f>IF(Table8[[#This Row],[Supporter_ID]]="","Review - missing supporter ID","")</f>
        <v/>
      </c>
      <c r="AC623" t="str">
        <f>IF(OR(Table8[[#This Row],[Response_Date]]&lt;Table8[[#This Row],[Start_Date]],Table8[[#This Row],[Response_Date]]&gt;Table8[[#This Row],[End_Date]]),"Review - response outside campaign dates","")</f>
        <v/>
      </c>
      <c r="AD623" t="str">
        <f>IF(Table8[[#This Row],[Campaign_Type]]="","Review - campaign code not found","")</f>
        <v/>
      </c>
    </row>
    <row r="624" spans="1:30" x14ac:dyDescent="0.25">
      <c r="A624" t="s">
        <v>4400</v>
      </c>
      <c r="B624" t="s">
        <v>1608</v>
      </c>
      <c r="C624" t="s">
        <v>3341</v>
      </c>
      <c r="D624" t="s">
        <v>3342</v>
      </c>
      <c r="E624" t="s">
        <v>91</v>
      </c>
      <c r="F624" s="17">
        <v>45739</v>
      </c>
      <c r="G624">
        <v>73.38</v>
      </c>
      <c r="H624" t="s">
        <v>36</v>
      </c>
      <c r="I624" t="s">
        <v>3323</v>
      </c>
      <c r="J624" t="str">
        <f>_xlfn.XLOOKUP(Table8[[#This Row],[Supporter_ID]],tb1_supporters[Supporter_ID ],tb1_supporters[Segment],"")</f>
        <v>Lapsed</v>
      </c>
      <c r="K624" t="str">
        <f>_xlfn.XLOOKUP(Table8[[#This Row],[Supporter_ID]],tb1_supporters[Supporter_ID ],tb1_supporters[Acquisition_Source],"")</f>
        <v>Event</v>
      </c>
      <c r="L624" t="str">
        <f>_xlfn.XLOOKUP(Table8[[#This Row],[Supporter_ID]],tb1_supporters[Supporter_ID ],tb1_supporters[County],"")</f>
        <v>Berkshire</v>
      </c>
      <c r="M624" t="str">
        <f>_xlfn.XLOOKUP(Table8[[#This Row],[Supporter_ID]],tb1_supporters[Supporter_ID ],tb1_supporters[Gender],"")</f>
        <v>Female</v>
      </c>
      <c r="N624" t="str">
        <f ca="1">_xlfn.XLOOKUP(Table8[[#This Row],[Supporter_ID]],tb1_supporters[Supporter_ID ],tb1_supporters[Age],"")</f>
        <v/>
      </c>
      <c r="O624" t="str">
        <f ca="1">_xlfn.XLOOKUP(Table8[[#This Row],[Supporter_ID]],tb1_supporters[Supporter_ID ],tb1_supporters[Age_Band],"")</f>
        <v/>
      </c>
      <c r="P624" t="str">
        <f ca="1">IF(Table8[[#This Row],[Age_Band]]="","Unknown",Table8[[#This Row],[Age_Band]])</f>
        <v>Unknown</v>
      </c>
      <c r="Q624" t="str">
        <f>_xlfn.XLOOKUP(Table8[[#This Row],[Supporter_ID]],tb1_supporters[Supporter_ID ],tb1_supporters[Communication_Preference],"")</f>
        <v>Email</v>
      </c>
      <c r="R624" t="str">
        <f>_xlfn.XLOOKUP(Table8[[#This Row],[Supporter_ID]],tb1_supporters[Supporter_ID ],tb1_supporters[Duplicate_Profile_Flag],"")</f>
        <v/>
      </c>
      <c r="S624" t="str">
        <f>_xlfn.XLOOKUP(Table8[[#This Row],[Supporter_ID]],tb1_supporters[Supporter_ID ],tb1_supporters[Preference_Compliance_Flag],"")</f>
        <v/>
      </c>
      <c r="T624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624" t="str">
        <f>_xlfn.XLOOKUP(Table8[[#This Row],[Campaign_Code]],tb3_CampaignMaster[Campaign_Code],tb3_CampaignMaster[Campaign_Type],"")</f>
        <v>Acquisition</v>
      </c>
      <c r="V624" t="str">
        <f>_xlfn.XLOOKUP(Table8[[#This Row],[Campaign_Code]],tb3_CampaignMaster[Campaign_Code],tb3_CampaignMaster[Target_Audience],"")</f>
        <v>Prospects</v>
      </c>
      <c r="W624" s="17">
        <f>_xlfn.XLOOKUP(Table8[[#This Row],[Campaign_Code]],tb3_CampaignMaster[Campaign_Code],tb3_CampaignMaster[Start_Date],"")</f>
        <v>45689</v>
      </c>
      <c r="X624" s="17">
        <f>_xlfn.XLOOKUP(Table8[[#This Row],[Campaign_Code]],tb3_CampaignMaster[Campaign_Code],tb3_CampaignMaster[End_Date],"")</f>
        <v>45777</v>
      </c>
      <c r="Y624">
        <f>_xlfn.XLOOKUP(Table8[[#This Row],[Campaign_Code]],tb3_CampaignMaster[Campaign_Code],tb3_CampaignMaster[Budget_GBP],"")</f>
        <v>20000</v>
      </c>
      <c r="Z624" t="str">
        <f>_xlfn.XLOOKUP(Table8[[#This Row],[Campaign_Code]],tb3_CampaignMaster[Campaign_Code],tb3_CampaignMaster[Primary_Channel],"")</f>
        <v>Digital</v>
      </c>
      <c r="AA624" s="13">
        <f>IF(Table8[[#This Row],[Gift_Aid_Eligible]]="Yes",Table8[[#This Row],[Gift_Amount]]*1.25,Table8[[#This Row],[Gift_Amount]])</f>
        <v>91.724999999999994</v>
      </c>
      <c r="AB624" t="str">
        <f>IF(Table8[[#This Row],[Supporter_ID]]="","Review - missing supporter ID","")</f>
        <v/>
      </c>
      <c r="AC624" t="str">
        <f>IF(OR(Table8[[#This Row],[Response_Date]]&lt;Table8[[#This Row],[Start_Date]],Table8[[#This Row],[Response_Date]]&gt;Table8[[#This Row],[End_Date]]),"Review - response outside campaign dates","")</f>
        <v/>
      </c>
      <c r="AD624" t="str">
        <f>IF(Table8[[#This Row],[Campaign_Type]]="","Review - campaign code not found","")</f>
        <v/>
      </c>
    </row>
    <row r="625" spans="1:30" x14ac:dyDescent="0.25">
      <c r="A625" t="s">
        <v>4401</v>
      </c>
      <c r="B625" t="s">
        <v>1663</v>
      </c>
      <c r="C625" t="s">
        <v>3354</v>
      </c>
      <c r="D625" t="s">
        <v>3355</v>
      </c>
      <c r="E625" t="s">
        <v>65</v>
      </c>
      <c r="F625" s="17">
        <v>45618</v>
      </c>
      <c r="G625">
        <v>489.26</v>
      </c>
      <c r="H625" t="s">
        <v>36</v>
      </c>
      <c r="I625" t="s">
        <v>3318</v>
      </c>
      <c r="J625" t="str">
        <f>_xlfn.XLOOKUP(Table8[[#This Row],[Supporter_ID]],tb1_supporters[Supporter_ID ],tb1_supporters[Segment],"")</f>
        <v>Legacy Pledger</v>
      </c>
      <c r="K625" t="str">
        <f>_xlfn.XLOOKUP(Table8[[#This Row],[Supporter_ID]],tb1_supporters[Supporter_ID ],tb1_supporters[Acquisition_Source],"")</f>
        <v>Referral</v>
      </c>
      <c r="L625" t="str">
        <f>_xlfn.XLOOKUP(Table8[[#This Row],[Supporter_ID]],tb1_supporters[Supporter_ID ],tb1_supporters[County],"")</f>
        <v>Cambridgeshire</v>
      </c>
      <c r="M625" t="str">
        <f>_xlfn.XLOOKUP(Table8[[#This Row],[Supporter_ID]],tb1_supporters[Supporter_ID ],tb1_supporters[Gender],"")</f>
        <v>Female</v>
      </c>
      <c r="N625">
        <f ca="1">_xlfn.XLOOKUP(Table8[[#This Row],[Supporter_ID]],tb1_supporters[Supporter_ID ],tb1_supporters[Age],"")</f>
        <v>94</v>
      </c>
      <c r="O625" t="str">
        <f ca="1">_xlfn.XLOOKUP(Table8[[#This Row],[Supporter_ID]],tb1_supporters[Supporter_ID ],tb1_supporters[Age_Band],"")</f>
        <v>65+</v>
      </c>
      <c r="P625" t="str">
        <f ca="1">IF(Table8[[#This Row],[Age_Band]]="","Unknown",Table8[[#This Row],[Age_Band]])</f>
        <v>65+</v>
      </c>
      <c r="Q625" t="str">
        <f>_xlfn.XLOOKUP(Table8[[#This Row],[Supporter_ID]],tb1_supporters[Supporter_ID ],tb1_supporters[Communication_Preference],"")</f>
        <v>No Preference</v>
      </c>
      <c r="R625" t="str">
        <f>_xlfn.XLOOKUP(Table8[[#This Row],[Supporter_ID]],tb1_supporters[Supporter_ID ],tb1_supporters[Duplicate_Profile_Flag],"")</f>
        <v/>
      </c>
      <c r="S625" t="str">
        <f>_xlfn.XLOOKUP(Table8[[#This Row],[Supporter_ID]],tb1_supporters[Supporter_ID ],tb1_supporters[Preference_Compliance_Flag],"")</f>
        <v/>
      </c>
      <c r="T625" t="str">
        <f ca="1">IF(Table8[[#This Row],[Age]]="","Review - missing DOB",IF(Table8[[#This Row],[Age]]&gt;TODAY(),"Review - future DOB",IF(Table8[[#This Row],[Age]]=0,"Review -  potential entry error (age 0)","")))</f>
        <v/>
      </c>
      <c r="U625" t="str">
        <f>_xlfn.XLOOKUP(Table8[[#This Row],[Campaign_Code]],tb3_CampaignMaster[Campaign_Code],tb3_CampaignMaster[Campaign_Type],"")</f>
        <v>Event</v>
      </c>
      <c r="V625" t="str">
        <f>_xlfn.XLOOKUP(Table8[[#This Row],[Campaign_Code]],tb3_CampaignMaster[Campaign_Code],tb3_CampaignMaster[Target_Audience],"")</f>
        <v>Volunteers</v>
      </c>
      <c r="W625" s="17">
        <f>_xlfn.XLOOKUP(Table8[[#This Row],[Campaign_Code]],tb3_CampaignMaster[Campaign_Code],tb3_CampaignMaster[Start_Date],"")</f>
        <v>45618</v>
      </c>
      <c r="X625" s="17">
        <f>_xlfn.XLOOKUP(Table8[[#This Row],[Campaign_Code]],tb3_CampaignMaster[Campaign_Code],tb3_CampaignMaster[End_Date],"")</f>
        <v>45618</v>
      </c>
      <c r="Y625">
        <f>_xlfn.XLOOKUP(Table8[[#This Row],[Campaign_Code]],tb3_CampaignMaster[Campaign_Code],tb3_CampaignMaster[Budget_GBP],"")</f>
        <v>3500</v>
      </c>
      <c r="Z625" t="str">
        <f>_xlfn.XLOOKUP(Table8[[#This Row],[Campaign_Code]],tb3_CampaignMaster[Campaign_Code],tb3_CampaignMaster[Primary_Channel],"")</f>
        <v>Email</v>
      </c>
      <c r="AA625" s="13">
        <f>IF(Table8[[#This Row],[Gift_Aid_Eligible]]="Yes",Table8[[#This Row],[Gift_Amount]]*1.25,Table8[[#This Row],[Gift_Amount]])</f>
        <v>611.57500000000005</v>
      </c>
      <c r="AB625" t="str">
        <f>IF(Table8[[#This Row],[Supporter_ID]]="","Review - missing supporter ID","")</f>
        <v/>
      </c>
      <c r="AC625" t="str">
        <f>IF(OR(Table8[[#This Row],[Response_Date]]&lt;Table8[[#This Row],[Start_Date]],Table8[[#This Row],[Response_Date]]&gt;Table8[[#This Row],[End_Date]]),"Review - response outside campaign dates","")</f>
        <v/>
      </c>
      <c r="AD625" t="str">
        <f>IF(Table8[[#This Row],[Campaign_Type]]="","Review - campaign code not found","")</f>
        <v/>
      </c>
    </row>
    <row r="626" spans="1:30" x14ac:dyDescent="0.25">
      <c r="A626" t="s">
        <v>4402</v>
      </c>
      <c r="B626" t="s">
        <v>3205</v>
      </c>
      <c r="C626" t="s">
        <v>3367</v>
      </c>
      <c r="D626" t="s">
        <v>3368</v>
      </c>
      <c r="E626" t="s">
        <v>65</v>
      </c>
      <c r="F626" s="17">
        <v>45748</v>
      </c>
      <c r="G626">
        <v>93.44</v>
      </c>
      <c r="H626" t="s">
        <v>36</v>
      </c>
      <c r="I626" t="s">
        <v>3318</v>
      </c>
      <c r="J626" t="str">
        <f>_xlfn.XLOOKUP(Table8[[#This Row],[Supporter_ID]],tb1_supporters[Supporter_ID ],tb1_supporters[Segment],"")</f>
        <v>Legacy Pledger</v>
      </c>
      <c r="K626" t="str">
        <f>_xlfn.XLOOKUP(Table8[[#This Row],[Supporter_ID]],tb1_supporters[Supporter_ID ],tb1_supporters[Acquisition_Source],"")</f>
        <v>Website</v>
      </c>
      <c r="L626" t="str">
        <f>_xlfn.XLOOKUP(Table8[[#This Row],[Supporter_ID]],tb1_supporters[Supporter_ID ],tb1_supporters[County],"")</f>
        <v>Hertfordshire</v>
      </c>
      <c r="M626" t="str">
        <f>_xlfn.XLOOKUP(Table8[[#This Row],[Supporter_ID]],tb1_supporters[Supporter_ID ],tb1_supporters[Gender],"")</f>
        <v>Male</v>
      </c>
      <c r="N626">
        <f ca="1">_xlfn.XLOOKUP(Table8[[#This Row],[Supporter_ID]],tb1_supporters[Supporter_ID ],tb1_supporters[Age],"")</f>
        <v>68</v>
      </c>
      <c r="O626" t="str">
        <f ca="1">_xlfn.XLOOKUP(Table8[[#This Row],[Supporter_ID]],tb1_supporters[Supporter_ID ],tb1_supporters[Age_Band],"")</f>
        <v>65+</v>
      </c>
      <c r="P626" t="str">
        <f ca="1">IF(Table8[[#This Row],[Age_Band]]="","Unknown",Table8[[#This Row],[Age_Band]])</f>
        <v>65+</v>
      </c>
      <c r="Q626" t="str">
        <f>_xlfn.XLOOKUP(Table8[[#This Row],[Supporter_ID]],tb1_supporters[Supporter_ID ],tb1_supporters[Communication_Preference],"")</f>
        <v>Do Not Contact</v>
      </c>
      <c r="R626" t="str">
        <f>_xlfn.XLOOKUP(Table8[[#This Row],[Supporter_ID]],tb1_supporters[Supporter_ID ],tb1_supporters[Duplicate_Profile_Flag],"")</f>
        <v/>
      </c>
      <c r="S626" t="str">
        <f>_xlfn.XLOOKUP(Table8[[#This Row],[Supporter_ID]],tb1_supporters[Supporter_ID ],tb1_supporters[Preference_Compliance_Flag],"")</f>
        <v/>
      </c>
      <c r="T626" t="str">
        <f ca="1">IF(Table8[[#This Row],[Age]]="","Review - missing DOB",IF(Table8[[#This Row],[Age]]&gt;TODAY(),"Review - future DOB",IF(Table8[[#This Row],[Age]]=0,"Review -  potential entry error (age 0)","")))</f>
        <v/>
      </c>
      <c r="U626" t="str">
        <f>_xlfn.XLOOKUP(Table8[[#This Row],[Campaign_Code]],tb3_CampaignMaster[Campaign_Code],tb3_CampaignMaster[Campaign_Type],"")</f>
        <v>Raffle</v>
      </c>
      <c r="V626" t="str">
        <f>_xlfn.XLOOKUP(Table8[[#This Row],[Campaign_Code]],tb3_CampaignMaster[Campaign_Code],tb3_CampaignMaster[Target_Audience],"")</f>
        <v>Regular Givers</v>
      </c>
      <c r="W626" s="17">
        <f>_xlfn.XLOOKUP(Table8[[#This Row],[Campaign_Code]],tb3_CampaignMaster[Campaign_Code],tb3_CampaignMaster[Start_Date],"")</f>
        <v>45717</v>
      </c>
      <c r="X626" s="17">
        <f>_xlfn.XLOOKUP(Table8[[#This Row],[Campaign_Code]],tb3_CampaignMaster[Campaign_Code],tb3_CampaignMaster[End_Date],"")</f>
        <v>45777</v>
      </c>
      <c r="Y626">
        <f>_xlfn.XLOOKUP(Table8[[#This Row],[Campaign_Code]],tb3_CampaignMaster[Campaign_Code],tb3_CampaignMaster[Budget_GBP],"")</f>
        <v>8000</v>
      </c>
      <c r="Z626" t="str">
        <f>_xlfn.XLOOKUP(Table8[[#This Row],[Campaign_Code]],tb3_CampaignMaster[Campaign_Code],tb3_CampaignMaster[Primary_Channel],"")</f>
        <v>Direct Mail</v>
      </c>
      <c r="AA626" s="13">
        <f>IF(Table8[[#This Row],[Gift_Aid_Eligible]]="Yes",Table8[[#This Row],[Gift_Amount]]*1.25,Table8[[#This Row],[Gift_Amount]])</f>
        <v>116.8</v>
      </c>
      <c r="AB626" t="str">
        <f>IF(Table8[[#This Row],[Supporter_ID]]="","Review - missing supporter ID","")</f>
        <v/>
      </c>
      <c r="AC626" t="str">
        <f>IF(OR(Table8[[#This Row],[Response_Date]]&lt;Table8[[#This Row],[Start_Date]],Table8[[#This Row],[Response_Date]]&gt;Table8[[#This Row],[End_Date]]),"Review - response outside campaign dates","")</f>
        <v/>
      </c>
      <c r="AD626" t="str">
        <f>IF(Table8[[#This Row],[Campaign_Type]]="","Review - campaign code not found","")</f>
        <v/>
      </c>
    </row>
    <row r="627" spans="1:30" x14ac:dyDescent="0.25">
      <c r="A627" t="s">
        <v>4404</v>
      </c>
      <c r="B627" t="s">
        <v>1963</v>
      </c>
      <c r="C627" t="s">
        <v>3341</v>
      </c>
      <c r="D627" t="s">
        <v>3342</v>
      </c>
      <c r="E627" t="s">
        <v>91</v>
      </c>
      <c r="F627" s="17">
        <v>45757</v>
      </c>
      <c r="G627">
        <v>57.8</v>
      </c>
      <c r="H627" t="s">
        <v>36</v>
      </c>
      <c r="I627" t="s">
        <v>3370</v>
      </c>
      <c r="J627" t="str">
        <f>_xlfn.XLOOKUP(Table8[[#This Row],[Supporter_ID]],tb1_supporters[Supporter_ID ],tb1_supporters[Segment],"")</f>
        <v>Mid-Value</v>
      </c>
      <c r="K627" t="str">
        <f>_xlfn.XLOOKUP(Table8[[#This Row],[Supporter_ID]],tb1_supporters[Supporter_ID ],tb1_supporters[Acquisition_Source],"")</f>
        <v>Corporate Partner</v>
      </c>
      <c r="L627" t="str">
        <f>_xlfn.XLOOKUP(Table8[[#This Row],[Supporter_ID]],tb1_supporters[Supporter_ID ],tb1_supporters[County],"")</f>
        <v>Leicestershire</v>
      </c>
      <c r="M627" t="str">
        <f>_xlfn.XLOOKUP(Table8[[#This Row],[Supporter_ID]],tb1_supporters[Supporter_ID ],tb1_supporters[Gender],"")</f>
        <v>Male</v>
      </c>
      <c r="N627">
        <f ca="1">_xlfn.XLOOKUP(Table8[[#This Row],[Supporter_ID]],tb1_supporters[Supporter_ID ],tb1_supporters[Age],"")</f>
        <v>52</v>
      </c>
      <c r="O627" t="str">
        <f ca="1">_xlfn.XLOOKUP(Table8[[#This Row],[Supporter_ID]],tb1_supporters[Supporter_ID ],tb1_supporters[Age_Band],"")</f>
        <v>50-64</v>
      </c>
      <c r="P627" t="str">
        <f ca="1">IF(Table8[[#This Row],[Age_Band]]="","Unknown",Table8[[#This Row],[Age_Band]])</f>
        <v>50-64</v>
      </c>
      <c r="Q627" t="str">
        <f>_xlfn.XLOOKUP(Table8[[#This Row],[Supporter_ID]],tb1_supporters[Supporter_ID ],tb1_supporters[Communication_Preference],"")</f>
        <v>Email</v>
      </c>
      <c r="R627" t="str">
        <f>_xlfn.XLOOKUP(Table8[[#This Row],[Supporter_ID]],tb1_supporters[Supporter_ID ],tb1_supporters[Duplicate_Profile_Flag],"")</f>
        <v/>
      </c>
      <c r="S627" t="str">
        <f>_xlfn.XLOOKUP(Table8[[#This Row],[Supporter_ID]],tb1_supporters[Supporter_ID ],tb1_supporters[Preference_Compliance_Flag],"")</f>
        <v/>
      </c>
      <c r="T627" t="str">
        <f ca="1">IF(Table8[[#This Row],[Age]]="","Review - missing DOB",IF(Table8[[#This Row],[Age]]&gt;TODAY(),"Review - future DOB",IF(Table8[[#This Row],[Age]]=0,"Review -  potential entry error (age 0)","")))</f>
        <v/>
      </c>
      <c r="U627" t="str">
        <f>_xlfn.XLOOKUP(Table8[[#This Row],[Campaign_Code]],tb3_CampaignMaster[Campaign_Code],tb3_CampaignMaster[Campaign_Type],"")</f>
        <v>Acquisition</v>
      </c>
      <c r="V627" t="str">
        <f>_xlfn.XLOOKUP(Table8[[#This Row],[Campaign_Code]],tb3_CampaignMaster[Campaign_Code],tb3_CampaignMaster[Target_Audience],"")</f>
        <v>Prospects</v>
      </c>
      <c r="W627" s="17">
        <f>_xlfn.XLOOKUP(Table8[[#This Row],[Campaign_Code]],tb3_CampaignMaster[Campaign_Code],tb3_CampaignMaster[Start_Date],"")</f>
        <v>45689</v>
      </c>
      <c r="X627" s="17">
        <f>_xlfn.XLOOKUP(Table8[[#This Row],[Campaign_Code]],tb3_CampaignMaster[Campaign_Code],tb3_CampaignMaster[End_Date],"")</f>
        <v>45777</v>
      </c>
      <c r="Y627">
        <f>_xlfn.XLOOKUP(Table8[[#This Row],[Campaign_Code]],tb3_CampaignMaster[Campaign_Code],tb3_CampaignMaster[Budget_GBP],"")</f>
        <v>20000</v>
      </c>
      <c r="Z627" t="str">
        <f>_xlfn.XLOOKUP(Table8[[#This Row],[Campaign_Code]],tb3_CampaignMaster[Campaign_Code],tb3_CampaignMaster[Primary_Channel],"")</f>
        <v>Digital</v>
      </c>
      <c r="AA627" s="13">
        <f>IF(Table8[[#This Row],[Gift_Aid_Eligible]]="Yes",Table8[[#This Row],[Gift_Amount]]*1.25,Table8[[#This Row],[Gift_Amount]])</f>
        <v>72.25</v>
      </c>
      <c r="AB627" t="str">
        <f>IF(Table8[[#This Row],[Supporter_ID]]="","Review - missing supporter ID","")</f>
        <v/>
      </c>
      <c r="AC627" t="str">
        <f>IF(OR(Table8[[#This Row],[Response_Date]]&lt;Table8[[#This Row],[Start_Date]],Table8[[#This Row],[Response_Date]]&gt;Table8[[#This Row],[End_Date]]),"Review - response outside campaign dates","")</f>
        <v/>
      </c>
      <c r="AD627" t="str">
        <f>IF(Table8[[#This Row],[Campaign_Type]]="","Review - campaign code not found","")</f>
        <v/>
      </c>
    </row>
    <row r="628" spans="1:30" x14ac:dyDescent="0.25">
      <c r="A628" t="s">
        <v>4406</v>
      </c>
      <c r="B628" t="s">
        <v>559</v>
      </c>
      <c r="C628" t="s">
        <v>3354</v>
      </c>
      <c r="D628" t="s">
        <v>3355</v>
      </c>
      <c r="E628" t="s">
        <v>65</v>
      </c>
      <c r="F628" s="17">
        <v>45618</v>
      </c>
      <c r="G628">
        <v>26.16</v>
      </c>
      <c r="H628" t="s">
        <v>37</v>
      </c>
      <c r="I628" t="s">
        <v>3318</v>
      </c>
      <c r="J628" t="str">
        <f>_xlfn.XLOOKUP(Table8[[#This Row],[Supporter_ID]],tb1_supporters[Supporter_ID ],tb1_supporters[Segment],"")</f>
        <v>Regular Giver</v>
      </c>
      <c r="K628" t="str">
        <f>_xlfn.XLOOKUP(Table8[[#This Row],[Supporter_ID]],tb1_supporters[Supporter_ID ],tb1_supporters[Acquisition_Source],"")</f>
        <v>Website</v>
      </c>
      <c r="L628" t="str">
        <f>_xlfn.XLOOKUP(Table8[[#This Row],[Supporter_ID]],tb1_supporters[Supporter_ID ],tb1_supporters[County],"")</f>
        <v>Greater London</v>
      </c>
      <c r="M628" t="str">
        <f>_xlfn.XLOOKUP(Table8[[#This Row],[Supporter_ID]],tb1_supporters[Supporter_ID ],tb1_supporters[Gender],"")</f>
        <v>Male</v>
      </c>
      <c r="N628">
        <f ca="1">_xlfn.XLOOKUP(Table8[[#This Row],[Supporter_ID]],tb1_supporters[Supporter_ID ],tb1_supporters[Age],"")</f>
        <v>74</v>
      </c>
      <c r="O628" t="str">
        <f ca="1">_xlfn.XLOOKUP(Table8[[#This Row],[Supporter_ID]],tb1_supporters[Supporter_ID ],tb1_supporters[Age_Band],"")</f>
        <v>65+</v>
      </c>
      <c r="P628" t="str">
        <f ca="1">IF(Table8[[#This Row],[Age_Band]]="","Unknown",Table8[[#This Row],[Age_Band]])</f>
        <v>65+</v>
      </c>
      <c r="Q628" t="str">
        <f>_xlfn.XLOOKUP(Table8[[#This Row],[Supporter_ID]],tb1_supporters[Supporter_ID ],tb1_supporters[Communication_Preference],"")</f>
        <v>Email</v>
      </c>
      <c r="R628" t="str">
        <f>_xlfn.XLOOKUP(Table8[[#This Row],[Supporter_ID]],tb1_supporters[Supporter_ID ],tb1_supporters[Duplicate_Profile_Flag],"")</f>
        <v/>
      </c>
      <c r="S628" t="str">
        <f>_xlfn.XLOOKUP(Table8[[#This Row],[Supporter_ID]],tb1_supporters[Supporter_ID ],tb1_supporters[Preference_Compliance_Flag],"")</f>
        <v/>
      </c>
      <c r="T628" t="str">
        <f ca="1">IF(Table8[[#This Row],[Age]]="","Review - missing DOB",IF(Table8[[#This Row],[Age]]&gt;TODAY(),"Review - future DOB",IF(Table8[[#This Row],[Age]]=0,"Review -  potential entry error (age 0)","")))</f>
        <v/>
      </c>
      <c r="U628" t="str">
        <f>_xlfn.XLOOKUP(Table8[[#This Row],[Campaign_Code]],tb3_CampaignMaster[Campaign_Code],tb3_CampaignMaster[Campaign_Type],"")</f>
        <v>Event</v>
      </c>
      <c r="V628" t="str">
        <f>_xlfn.XLOOKUP(Table8[[#This Row],[Campaign_Code]],tb3_CampaignMaster[Campaign_Code],tb3_CampaignMaster[Target_Audience],"")</f>
        <v>Volunteers</v>
      </c>
      <c r="W628" s="17">
        <f>_xlfn.XLOOKUP(Table8[[#This Row],[Campaign_Code]],tb3_CampaignMaster[Campaign_Code],tb3_CampaignMaster[Start_Date],"")</f>
        <v>45618</v>
      </c>
      <c r="X628" s="17">
        <f>_xlfn.XLOOKUP(Table8[[#This Row],[Campaign_Code]],tb3_CampaignMaster[Campaign_Code],tb3_CampaignMaster[End_Date],"")</f>
        <v>45618</v>
      </c>
      <c r="Y628">
        <f>_xlfn.XLOOKUP(Table8[[#This Row],[Campaign_Code]],tb3_CampaignMaster[Campaign_Code],tb3_CampaignMaster[Budget_GBP],"")</f>
        <v>3500</v>
      </c>
      <c r="Z628" t="str">
        <f>_xlfn.XLOOKUP(Table8[[#This Row],[Campaign_Code]],tb3_CampaignMaster[Campaign_Code],tb3_CampaignMaster[Primary_Channel],"")</f>
        <v>Email</v>
      </c>
      <c r="AA628" s="13">
        <f>IF(Table8[[#This Row],[Gift_Aid_Eligible]]="Yes",Table8[[#This Row],[Gift_Amount]]*1.25,Table8[[#This Row],[Gift_Amount]])</f>
        <v>26.16</v>
      </c>
      <c r="AB628" t="str">
        <f>IF(Table8[[#This Row],[Supporter_ID]]="","Review - missing supporter ID","")</f>
        <v/>
      </c>
      <c r="AC628" t="str">
        <f>IF(OR(Table8[[#This Row],[Response_Date]]&lt;Table8[[#This Row],[Start_Date]],Table8[[#This Row],[Response_Date]]&gt;Table8[[#This Row],[End_Date]]),"Review - response outside campaign dates","")</f>
        <v/>
      </c>
      <c r="AD628" t="str">
        <f>IF(Table8[[#This Row],[Campaign_Type]]="","Review - campaign code not found","")</f>
        <v/>
      </c>
    </row>
    <row r="629" spans="1:30" x14ac:dyDescent="0.25">
      <c r="A629" t="s">
        <v>4407</v>
      </c>
      <c r="B629" t="s">
        <v>363</v>
      </c>
      <c r="C629" t="s">
        <v>3320</v>
      </c>
      <c r="D629" t="s">
        <v>3321</v>
      </c>
      <c r="E629" t="s">
        <v>4</v>
      </c>
      <c r="F629" s="17">
        <v>45449</v>
      </c>
      <c r="G629">
        <v>125.14</v>
      </c>
      <c r="H629" t="s">
        <v>37</v>
      </c>
      <c r="I629" t="s">
        <v>3334</v>
      </c>
      <c r="J629" t="str">
        <f>_xlfn.XLOOKUP(Table8[[#This Row],[Supporter_ID]],tb1_supporters[Supporter_ID ],tb1_supporters[Segment],"")</f>
        <v>Mid-Value</v>
      </c>
      <c r="K629" t="str">
        <f>_xlfn.XLOOKUP(Table8[[#This Row],[Supporter_ID]],tb1_supporters[Supporter_ID ],tb1_supporters[Acquisition_Source],"")</f>
        <v>Telephone</v>
      </c>
      <c r="L629" t="str">
        <f>_xlfn.XLOOKUP(Table8[[#This Row],[Supporter_ID]],tb1_supporters[Supporter_ID ],tb1_supporters[County],"")</f>
        <v>Kent</v>
      </c>
      <c r="M629" t="str">
        <f>_xlfn.XLOOKUP(Table8[[#This Row],[Supporter_ID]],tb1_supporters[Supporter_ID ],tb1_supporters[Gender],"")</f>
        <v>Male</v>
      </c>
      <c r="N629">
        <f ca="1">_xlfn.XLOOKUP(Table8[[#This Row],[Supporter_ID]],tb1_supporters[Supporter_ID ],tb1_supporters[Age],"")</f>
        <v>63</v>
      </c>
      <c r="O629" t="str">
        <f ca="1">_xlfn.XLOOKUP(Table8[[#This Row],[Supporter_ID]],tb1_supporters[Supporter_ID ],tb1_supporters[Age_Band],"")</f>
        <v>50-64</v>
      </c>
      <c r="P629" t="str">
        <f ca="1">IF(Table8[[#This Row],[Age_Band]]="","Unknown",Table8[[#This Row],[Age_Band]])</f>
        <v>50-64</v>
      </c>
      <c r="Q629" t="str">
        <f>_xlfn.XLOOKUP(Table8[[#This Row],[Supporter_ID]],tb1_supporters[Supporter_ID ],tb1_supporters[Communication_Preference],"")</f>
        <v>Phone</v>
      </c>
      <c r="R629" t="str">
        <f>_xlfn.XLOOKUP(Table8[[#This Row],[Supporter_ID]],tb1_supporters[Supporter_ID ],tb1_supporters[Duplicate_Profile_Flag],"")</f>
        <v/>
      </c>
      <c r="S629" t="str">
        <f>_xlfn.XLOOKUP(Table8[[#This Row],[Supporter_ID]],tb1_supporters[Supporter_ID ],tb1_supporters[Preference_Compliance_Flag],"")</f>
        <v>Review - prefers phone but not opted in</v>
      </c>
      <c r="T629" t="str">
        <f ca="1">IF(Table8[[#This Row],[Age]]="","Review - missing DOB",IF(Table8[[#This Row],[Age]]&gt;TODAY(),"Review - future DOB",IF(Table8[[#This Row],[Age]]=0,"Review -  potential entry error (age 0)","")))</f>
        <v/>
      </c>
      <c r="U629" t="str">
        <f>_xlfn.XLOOKUP(Table8[[#This Row],[Campaign_Code]],tb3_CampaignMaster[Campaign_Code],tb3_CampaignMaster[Campaign_Type],"")</f>
        <v>Stewardship</v>
      </c>
      <c r="V629" t="str">
        <f>_xlfn.XLOOKUP(Table8[[#This Row],[Campaign_Code]],tb3_CampaignMaster[Campaign_Code],tb3_CampaignMaster[Target_Audience],"")</f>
        <v>Major Donors</v>
      </c>
      <c r="W629" s="17">
        <f>_xlfn.XLOOKUP(Table8[[#This Row],[Campaign_Code]],tb3_CampaignMaster[Campaign_Code],tb3_CampaignMaster[Start_Date],"")</f>
        <v>45444</v>
      </c>
      <c r="X629" s="17">
        <f>_xlfn.XLOOKUP(Table8[[#This Row],[Campaign_Code]],tb3_CampaignMaster[Campaign_Code],tb3_CampaignMaster[End_Date],"")</f>
        <v>45473</v>
      </c>
      <c r="Y629">
        <f>_xlfn.XLOOKUP(Table8[[#This Row],[Campaign_Code]],tb3_CampaignMaster[Campaign_Code],tb3_CampaignMaster[Budget_GBP],"")</f>
        <v>7000</v>
      </c>
      <c r="Z629" t="str">
        <f>_xlfn.XLOOKUP(Table8[[#This Row],[Campaign_Code]],tb3_CampaignMaster[Campaign_Code],tb3_CampaignMaster[Primary_Channel],"")</f>
        <v>Direct Mail</v>
      </c>
      <c r="AA629" s="13">
        <f>IF(Table8[[#This Row],[Gift_Aid_Eligible]]="Yes",Table8[[#This Row],[Gift_Amount]]*1.25,Table8[[#This Row],[Gift_Amount]])</f>
        <v>125.14</v>
      </c>
      <c r="AB629" t="str">
        <f>IF(Table8[[#This Row],[Supporter_ID]]="","Review - missing supporter ID","")</f>
        <v/>
      </c>
      <c r="AC629" t="str">
        <f>IF(OR(Table8[[#This Row],[Response_Date]]&lt;Table8[[#This Row],[Start_Date]],Table8[[#This Row],[Response_Date]]&gt;Table8[[#This Row],[End_Date]]),"Review - response outside campaign dates","")</f>
        <v/>
      </c>
      <c r="AD629" t="str">
        <f>IF(Table8[[#This Row],[Campaign_Type]]="","Review - campaign code not found","")</f>
        <v/>
      </c>
    </row>
    <row r="630" spans="1:30" x14ac:dyDescent="0.25">
      <c r="A630" t="s">
        <v>4409</v>
      </c>
      <c r="B630" t="s">
        <v>1386</v>
      </c>
      <c r="C630" t="s">
        <v>3427</v>
      </c>
      <c r="D630" t="s">
        <v>3428</v>
      </c>
      <c r="E630" t="s">
        <v>65</v>
      </c>
      <c r="F630" s="17">
        <v>45488</v>
      </c>
      <c r="G630">
        <v>124.1</v>
      </c>
      <c r="H630" t="s">
        <v>36</v>
      </c>
      <c r="I630" t="s">
        <v>3331</v>
      </c>
      <c r="J630" t="str">
        <f>_xlfn.XLOOKUP(Table8[[#This Row],[Supporter_ID]],tb1_supporters[Supporter_ID ],tb1_supporters[Segment],"")</f>
        <v>Mid-Value</v>
      </c>
      <c r="K630" t="str">
        <f>_xlfn.XLOOKUP(Table8[[#This Row],[Supporter_ID]],tb1_supporters[Supporter_ID ],tb1_supporters[Acquisition_Source],"")</f>
        <v>Telephone</v>
      </c>
      <c r="L630" t="str">
        <f>_xlfn.XLOOKUP(Table8[[#This Row],[Supporter_ID]],tb1_supporters[Supporter_ID ],tb1_supporters[County],"")</f>
        <v>Norfolk</v>
      </c>
      <c r="M630" t="str">
        <f>_xlfn.XLOOKUP(Table8[[#This Row],[Supporter_ID]],tb1_supporters[Supporter_ID ],tb1_supporters[Gender],"")</f>
        <v>Female</v>
      </c>
      <c r="N630">
        <f ca="1">_xlfn.XLOOKUP(Table8[[#This Row],[Supporter_ID]],tb1_supporters[Supporter_ID ],tb1_supporters[Age],"")</f>
        <v>44</v>
      </c>
      <c r="O630" t="str">
        <f ca="1">_xlfn.XLOOKUP(Table8[[#This Row],[Supporter_ID]],tb1_supporters[Supporter_ID ],tb1_supporters[Age_Band],"")</f>
        <v>35-49</v>
      </c>
      <c r="P630" t="str">
        <f ca="1">IF(Table8[[#This Row],[Age_Band]]="","Unknown",Table8[[#This Row],[Age_Band]])</f>
        <v>35-49</v>
      </c>
      <c r="Q630" t="str">
        <f>_xlfn.XLOOKUP(Table8[[#This Row],[Supporter_ID]],tb1_supporters[Supporter_ID ],tb1_supporters[Communication_Preference],"")</f>
        <v>Post</v>
      </c>
      <c r="R630" t="str">
        <f>_xlfn.XLOOKUP(Table8[[#This Row],[Supporter_ID]],tb1_supporters[Supporter_ID ],tb1_supporters[Duplicate_Profile_Flag],"")</f>
        <v/>
      </c>
      <c r="S630" t="str">
        <f>_xlfn.XLOOKUP(Table8[[#This Row],[Supporter_ID]],tb1_supporters[Supporter_ID ],tb1_supporters[Preference_Compliance_Flag],"")</f>
        <v/>
      </c>
      <c r="T630" t="str">
        <f ca="1">IF(Table8[[#This Row],[Age]]="","Review - missing DOB",IF(Table8[[#This Row],[Age]]&gt;TODAY(),"Review - future DOB",IF(Table8[[#This Row],[Age]]=0,"Review -  potential entry error (age 0)","")))</f>
        <v/>
      </c>
      <c r="U630" t="str">
        <f>_xlfn.XLOOKUP(Table8[[#This Row],[Campaign_Code]],tb3_CampaignMaster[Campaign_Code],tb3_CampaignMaster[Campaign_Type],"")</f>
        <v>Event</v>
      </c>
      <c r="V630" t="str">
        <f>_xlfn.XLOOKUP(Table8[[#This Row],[Campaign_Code]],tb3_CampaignMaster[Campaign_Code],tb3_CampaignMaster[Target_Audience],"")</f>
        <v>Major Donors</v>
      </c>
      <c r="W630" s="17">
        <f>_xlfn.XLOOKUP(Table8[[#This Row],[Campaign_Code]],tb3_CampaignMaster[Campaign_Code],tb3_CampaignMaster[Start_Date],"")</f>
        <v>45488</v>
      </c>
      <c r="X630" s="17">
        <f>_xlfn.XLOOKUP(Table8[[#This Row],[Campaign_Code]],tb3_CampaignMaster[Campaign_Code],tb3_CampaignMaster[End_Date],"")</f>
        <v>45488</v>
      </c>
      <c r="Y630">
        <f>_xlfn.XLOOKUP(Table8[[#This Row],[Campaign_Code]],tb3_CampaignMaster[Campaign_Code],tb3_CampaignMaster[Budget_GBP],"")</f>
        <v>45000</v>
      </c>
      <c r="Z630" t="str">
        <f>_xlfn.XLOOKUP(Table8[[#This Row],[Campaign_Code]],tb3_CampaignMaster[Campaign_Code],tb3_CampaignMaster[Primary_Channel],"")</f>
        <v>Direct Mail</v>
      </c>
      <c r="AA630" s="13">
        <f>IF(Table8[[#This Row],[Gift_Aid_Eligible]]="Yes",Table8[[#This Row],[Gift_Amount]]*1.25,Table8[[#This Row],[Gift_Amount]])</f>
        <v>155.125</v>
      </c>
      <c r="AB630" t="str">
        <f>IF(Table8[[#This Row],[Supporter_ID]]="","Review - missing supporter ID","")</f>
        <v/>
      </c>
      <c r="AC630" t="str">
        <f>IF(OR(Table8[[#This Row],[Response_Date]]&lt;Table8[[#This Row],[Start_Date]],Table8[[#This Row],[Response_Date]]&gt;Table8[[#This Row],[End_Date]]),"Review - response outside campaign dates","")</f>
        <v/>
      </c>
      <c r="AD630" t="str">
        <f>IF(Table8[[#This Row],[Campaign_Type]]="","Review - campaign code not found","")</f>
        <v/>
      </c>
    </row>
    <row r="631" spans="1:30" x14ac:dyDescent="0.25">
      <c r="A631" t="s">
        <v>4410</v>
      </c>
      <c r="B631" t="s">
        <v>3171</v>
      </c>
      <c r="C631" t="s">
        <v>3320</v>
      </c>
      <c r="D631" t="s">
        <v>3321</v>
      </c>
      <c r="E631" t="s">
        <v>4</v>
      </c>
      <c r="F631" s="17">
        <v>45467</v>
      </c>
      <c r="G631">
        <v>14.86</v>
      </c>
      <c r="H631" t="s">
        <v>36</v>
      </c>
      <c r="I631" t="s">
        <v>3328</v>
      </c>
      <c r="J631" t="str">
        <f>_xlfn.XLOOKUP(Table8[[#This Row],[Supporter_ID]],tb1_supporters[Supporter_ID ],tb1_supporters[Segment],"")</f>
        <v>Regular Giver</v>
      </c>
      <c r="K631" t="str">
        <f>_xlfn.XLOOKUP(Table8[[#This Row],[Supporter_ID]],tb1_supporters[Supporter_ID ],tb1_supporters[Acquisition_Source],"")</f>
        <v>Door-To-Door</v>
      </c>
      <c r="L631" t="str">
        <f>_xlfn.XLOOKUP(Table8[[#This Row],[Supporter_ID]],tb1_supporters[Supporter_ID ],tb1_supporters[County],"")</f>
        <v>East Sussex</v>
      </c>
      <c r="M631" t="str">
        <f>_xlfn.XLOOKUP(Table8[[#This Row],[Supporter_ID]],tb1_supporters[Supporter_ID ],tb1_supporters[Gender],"")</f>
        <v>Female</v>
      </c>
      <c r="N631">
        <f ca="1">_xlfn.XLOOKUP(Table8[[#This Row],[Supporter_ID]],tb1_supporters[Supporter_ID ],tb1_supporters[Age],"")</f>
        <v>50</v>
      </c>
      <c r="O631" t="str">
        <f ca="1">_xlfn.XLOOKUP(Table8[[#This Row],[Supporter_ID]],tb1_supporters[Supporter_ID ],tb1_supporters[Age_Band],"")</f>
        <v>50-64</v>
      </c>
      <c r="P631" t="str">
        <f ca="1">IF(Table8[[#This Row],[Age_Band]]="","Unknown",Table8[[#This Row],[Age_Band]])</f>
        <v>50-64</v>
      </c>
      <c r="Q631" t="str">
        <f>_xlfn.XLOOKUP(Table8[[#This Row],[Supporter_ID]],tb1_supporters[Supporter_ID ],tb1_supporters[Communication_Preference],"")</f>
        <v>Email</v>
      </c>
      <c r="R631" t="str">
        <f>_xlfn.XLOOKUP(Table8[[#This Row],[Supporter_ID]],tb1_supporters[Supporter_ID ],tb1_supporters[Duplicate_Profile_Flag],"")</f>
        <v/>
      </c>
      <c r="S631" t="str">
        <f>_xlfn.XLOOKUP(Table8[[#This Row],[Supporter_ID]],tb1_supporters[Supporter_ID ],tb1_supporters[Preference_Compliance_Flag],"")</f>
        <v/>
      </c>
      <c r="T631" t="str">
        <f ca="1">IF(Table8[[#This Row],[Age]]="","Review - missing DOB",IF(Table8[[#This Row],[Age]]&gt;TODAY(),"Review - future DOB",IF(Table8[[#This Row],[Age]]=0,"Review -  potential entry error (age 0)","")))</f>
        <v/>
      </c>
      <c r="U631" t="str">
        <f>_xlfn.XLOOKUP(Table8[[#This Row],[Campaign_Code]],tb3_CampaignMaster[Campaign_Code],tb3_CampaignMaster[Campaign_Type],"")</f>
        <v>Stewardship</v>
      </c>
      <c r="V631" t="str">
        <f>_xlfn.XLOOKUP(Table8[[#This Row],[Campaign_Code]],tb3_CampaignMaster[Campaign_Code],tb3_CampaignMaster[Target_Audience],"")</f>
        <v>Major Donors</v>
      </c>
      <c r="W631" s="17">
        <f>_xlfn.XLOOKUP(Table8[[#This Row],[Campaign_Code]],tb3_CampaignMaster[Campaign_Code],tb3_CampaignMaster[Start_Date],"")</f>
        <v>45444</v>
      </c>
      <c r="X631" s="17">
        <f>_xlfn.XLOOKUP(Table8[[#This Row],[Campaign_Code]],tb3_CampaignMaster[Campaign_Code],tb3_CampaignMaster[End_Date],"")</f>
        <v>45473</v>
      </c>
      <c r="Y631">
        <f>_xlfn.XLOOKUP(Table8[[#This Row],[Campaign_Code]],tb3_CampaignMaster[Campaign_Code],tb3_CampaignMaster[Budget_GBP],"")</f>
        <v>7000</v>
      </c>
      <c r="Z631" t="str">
        <f>_xlfn.XLOOKUP(Table8[[#This Row],[Campaign_Code]],tb3_CampaignMaster[Campaign_Code],tb3_CampaignMaster[Primary_Channel],"")</f>
        <v>Direct Mail</v>
      </c>
      <c r="AA631" s="13">
        <f>IF(Table8[[#This Row],[Gift_Aid_Eligible]]="Yes",Table8[[#This Row],[Gift_Amount]]*1.25,Table8[[#This Row],[Gift_Amount]])</f>
        <v>18.574999999999999</v>
      </c>
      <c r="AB631" t="str">
        <f>IF(Table8[[#This Row],[Supporter_ID]]="","Review - missing supporter ID","")</f>
        <v/>
      </c>
      <c r="AC631" t="str">
        <f>IF(OR(Table8[[#This Row],[Response_Date]]&lt;Table8[[#This Row],[Start_Date]],Table8[[#This Row],[Response_Date]]&gt;Table8[[#This Row],[End_Date]]),"Review - response outside campaign dates","")</f>
        <v/>
      </c>
      <c r="AD631" t="str">
        <f>IF(Table8[[#This Row],[Campaign_Type]]="","Review - campaign code not found","")</f>
        <v/>
      </c>
    </row>
    <row r="632" spans="1:30" x14ac:dyDescent="0.25">
      <c r="A632" t="s">
        <v>4412</v>
      </c>
      <c r="B632" t="s">
        <v>1446</v>
      </c>
      <c r="C632" t="s">
        <v>3354</v>
      </c>
      <c r="D632" t="s">
        <v>3355</v>
      </c>
      <c r="E632" t="s">
        <v>4</v>
      </c>
      <c r="F632" s="17">
        <v>45618</v>
      </c>
      <c r="G632">
        <v>13.47</v>
      </c>
      <c r="H632" t="s">
        <v>36</v>
      </c>
      <c r="I632" t="s">
        <v>3331</v>
      </c>
      <c r="J632" t="str">
        <f>_xlfn.XLOOKUP(Table8[[#This Row],[Supporter_ID]],tb1_supporters[Supporter_ID ],tb1_supporters[Segment],"")</f>
        <v>Prospect</v>
      </c>
      <c r="K632" t="str">
        <f>_xlfn.XLOOKUP(Table8[[#This Row],[Supporter_ID]],tb1_supporters[Supporter_ID ],tb1_supporters[Acquisition_Source],"")</f>
        <v>Direct Mail</v>
      </c>
      <c r="L632" t="str">
        <f>_xlfn.XLOOKUP(Table8[[#This Row],[Supporter_ID]],tb1_supporters[Supporter_ID ],tb1_supporters[County],"")</f>
        <v>Greater London</v>
      </c>
      <c r="M632" t="str">
        <f>_xlfn.XLOOKUP(Table8[[#This Row],[Supporter_ID]],tb1_supporters[Supporter_ID ],tb1_supporters[Gender],"")</f>
        <v>Male</v>
      </c>
      <c r="N632">
        <f ca="1">_xlfn.XLOOKUP(Table8[[#This Row],[Supporter_ID]],tb1_supporters[Supporter_ID ],tb1_supporters[Age],"")</f>
        <v>44</v>
      </c>
      <c r="O632" t="str">
        <f ca="1">_xlfn.XLOOKUP(Table8[[#This Row],[Supporter_ID]],tb1_supporters[Supporter_ID ],tb1_supporters[Age_Band],"")</f>
        <v>35-49</v>
      </c>
      <c r="P632" t="str">
        <f ca="1">IF(Table8[[#This Row],[Age_Band]]="","Unknown",Table8[[#This Row],[Age_Band]])</f>
        <v>35-49</v>
      </c>
      <c r="Q632" t="str">
        <f>_xlfn.XLOOKUP(Table8[[#This Row],[Supporter_ID]],tb1_supporters[Supporter_ID ],tb1_supporters[Communication_Preference],"")</f>
        <v>No Preference</v>
      </c>
      <c r="R632" t="str">
        <f>_xlfn.XLOOKUP(Table8[[#This Row],[Supporter_ID]],tb1_supporters[Supporter_ID ],tb1_supporters[Duplicate_Profile_Flag],"")</f>
        <v/>
      </c>
      <c r="S632" t="str">
        <f>_xlfn.XLOOKUP(Table8[[#This Row],[Supporter_ID]],tb1_supporters[Supporter_ID ],tb1_supporters[Preference_Compliance_Flag],"")</f>
        <v/>
      </c>
      <c r="T632" t="str">
        <f ca="1">IF(Table8[[#This Row],[Age]]="","Review - missing DOB",IF(Table8[[#This Row],[Age]]&gt;TODAY(),"Review - future DOB",IF(Table8[[#This Row],[Age]]=0,"Review -  potential entry error (age 0)","")))</f>
        <v/>
      </c>
      <c r="U632" t="str">
        <f>_xlfn.XLOOKUP(Table8[[#This Row],[Campaign_Code]],tb3_CampaignMaster[Campaign_Code],tb3_CampaignMaster[Campaign_Type],"")</f>
        <v>Event</v>
      </c>
      <c r="V632" t="str">
        <f>_xlfn.XLOOKUP(Table8[[#This Row],[Campaign_Code]],tb3_CampaignMaster[Campaign_Code],tb3_CampaignMaster[Target_Audience],"")</f>
        <v>Volunteers</v>
      </c>
      <c r="W632" s="17">
        <f>_xlfn.XLOOKUP(Table8[[#This Row],[Campaign_Code]],tb3_CampaignMaster[Campaign_Code],tb3_CampaignMaster[Start_Date],"")</f>
        <v>45618</v>
      </c>
      <c r="X632" s="17">
        <f>_xlfn.XLOOKUP(Table8[[#This Row],[Campaign_Code]],tb3_CampaignMaster[Campaign_Code],tb3_CampaignMaster[End_Date],"")</f>
        <v>45618</v>
      </c>
      <c r="Y632">
        <f>_xlfn.XLOOKUP(Table8[[#This Row],[Campaign_Code]],tb3_CampaignMaster[Campaign_Code],tb3_CampaignMaster[Budget_GBP],"")</f>
        <v>3500</v>
      </c>
      <c r="Z632" t="str">
        <f>_xlfn.XLOOKUP(Table8[[#This Row],[Campaign_Code]],tb3_CampaignMaster[Campaign_Code],tb3_CampaignMaster[Primary_Channel],"")</f>
        <v>Email</v>
      </c>
      <c r="AA632" s="13">
        <f>IF(Table8[[#This Row],[Gift_Aid_Eligible]]="Yes",Table8[[#This Row],[Gift_Amount]]*1.25,Table8[[#This Row],[Gift_Amount]])</f>
        <v>16.837500000000002</v>
      </c>
      <c r="AB632" t="str">
        <f>IF(Table8[[#This Row],[Supporter_ID]]="","Review - missing supporter ID","")</f>
        <v/>
      </c>
      <c r="AC632" t="str">
        <f>IF(OR(Table8[[#This Row],[Response_Date]]&lt;Table8[[#This Row],[Start_Date]],Table8[[#This Row],[Response_Date]]&gt;Table8[[#This Row],[End_Date]]),"Review - response outside campaign dates","")</f>
        <v/>
      </c>
      <c r="AD632" t="str">
        <f>IF(Table8[[#This Row],[Campaign_Type]]="","Review - campaign code not found","")</f>
        <v/>
      </c>
    </row>
    <row r="633" spans="1:30" x14ac:dyDescent="0.25">
      <c r="A633" t="s">
        <v>4413</v>
      </c>
      <c r="B633" t="s">
        <v>1916</v>
      </c>
      <c r="C633" t="s">
        <v>3325</v>
      </c>
      <c r="D633" t="s">
        <v>3326</v>
      </c>
      <c r="E633" t="s">
        <v>65</v>
      </c>
      <c r="F633" s="17">
        <v>45625</v>
      </c>
      <c r="G633">
        <v>76.67</v>
      </c>
      <c r="H633" t="s">
        <v>37</v>
      </c>
      <c r="I633" t="s">
        <v>3370</v>
      </c>
      <c r="J633" t="str">
        <f>_xlfn.XLOOKUP(Table8[[#This Row],[Supporter_ID]],tb1_supporters[Supporter_ID ],tb1_supporters[Segment],"")</f>
        <v>One-Time Donor</v>
      </c>
      <c r="K633" t="str">
        <f>_xlfn.XLOOKUP(Table8[[#This Row],[Supporter_ID]],tb1_supporters[Supporter_ID ],tb1_supporters[Acquisition_Source],"")</f>
        <v>Telephone</v>
      </c>
      <c r="L633" t="str">
        <f>_xlfn.XLOOKUP(Table8[[#This Row],[Supporter_ID]],tb1_supporters[Supporter_ID ],tb1_supporters[County],"")</f>
        <v>Angus</v>
      </c>
      <c r="M633" t="str">
        <f>_xlfn.XLOOKUP(Table8[[#This Row],[Supporter_ID]],tb1_supporters[Supporter_ID ],tb1_supporters[Gender],"")</f>
        <v>Female</v>
      </c>
      <c r="N633">
        <f ca="1">_xlfn.XLOOKUP(Table8[[#This Row],[Supporter_ID]],tb1_supporters[Supporter_ID ],tb1_supporters[Age],"")</f>
        <v>66</v>
      </c>
      <c r="O633" t="str">
        <f ca="1">_xlfn.XLOOKUP(Table8[[#This Row],[Supporter_ID]],tb1_supporters[Supporter_ID ],tb1_supporters[Age_Band],"")</f>
        <v>65+</v>
      </c>
      <c r="P633" t="str">
        <f ca="1">IF(Table8[[#This Row],[Age_Band]]="","Unknown",Table8[[#This Row],[Age_Band]])</f>
        <v>65+</v>
      </c>
      <c r="Q633" t="str">
        <f>_xlfn.XLOOKUP(Table8[[#This Row],[Supporter_ID]],tb1_supporters[Supporter_ID ],tb1_supporters[Communication_Preference],"")</f>
        <v>Post</v>
      </c>
      <c r="R633" t="str">
        <f>_xlfn.XLOOKUP(Table8[[#This Row],[Supporter_ID]],tb1_supporters[Supporter_ID ],tb1_supporters[Duplicate_Profile_Flag],"")</f>
        <v/>
      </c>
      <c r="S633" t="str">
        <f>_xlfn.XLOOKUP(Table8[[#This Row],[Supporter_ID]],tb1_supporters[Supporter_ID ],tb1_supporters[Preference_Compliance_Flag],"")</f>
        <v>Review - prefers post but not opted in</v>
      </c>
      <c r="T633" t="str">
        <f ca="1">IF(Table8[[#This Row],[Age]]="","Review - missing DOB",IF(Table8[[#This Row],[Age]]&gt;TODAY(),"Review - future DOB",IF(Table8[[#This Row],[Age]]=0,"Review -  potential entry error (age 0)","")))</f>
        <v/>
      </c>
      <c r="U633" t="str">
        <f>_xlfn.XLOOKUP(Table8[[#This Row],[Campaign_Code]],tb3_CampaignMaster[Campaign_Code],tb3_CampaignMaster[Campaign_Type],"")</f>
        <v>Appeal</v>
      </c>
      <c r="V633" t="str">
        <f>_xlfn.XLOOKUP(Table8[[#This Row],[Campaign_Code]],tb3_CampaignMaster[Campaign_Code],tb3_CampaignMaster[Target_Audience],"")</f>
        <v>All Active</v>
      </c>
      <c r="W633" s="17">
        <f>_xlfn.XLOOKUP(Table8[[#This Row],[Campaign_Code]],tb3_CampaignMaster[Campaign_Code],tb3_CampaignMaster[Start_Date],"")</f>
        <v>45597</v>
      </c>
      <c r="X633" s="17">
        <f>_xlfn.XLOOKUP(Table8[[#This Row],[Campaign_Code]],tb3_CampaignMaster[Campaign_Code],tb3_CampaignMaster[End_Date],"")</f>
        <v>45657</v>
      </c>
      <c r="Y633">
        <f>_xlfn.XLOOKUP(Table8[[#This Row],[Campaign_Code]],tb3_CampaignMaster[Campaign_Code],tb3_CampaignMaster[Budget_GBP],"")</f>
        <v>25000</v>
      </c>
      <c r="Z633" t="str">
        <f>_xlfn.XLOOKUP(Table8[[#This Row],[Campaign_Code]],tb3_CampaignMaster[Campaign_Code],tb3_CampaignMaster[Primary_Channel],"")</f>
        <v>Multi-channel</v>
      </c>
      <c r="AA633" s="13">
        <f>IF(Table8[[#This Row],[Gift_Aid_Eligible]]="Yes",Table8[[#This Row],[Gift_Amount]]*1.25,Table8[[#This Row],[Gift_Amount]])</f>
        <v>76.67</v>
      </c>
      <c r="AB633" t="str">
        <f>IF(Table8[[#This Row],[Supporter_ID]]="","Review - missing supporter ID","")</f>
        <v/>
      </c>
      <c r="AC633" t="str">
        <f>IF(OR(Table8[[#This Row],[Response_Date]]&lt;Table8[[#This Row],[Start_Date]],Table8[[#This Row],[Response_Date]]&gt;Table8[[#This Row],[End_Date]]),"Review - response outside campaign dates","")</f>
        <v/>
      </c>
      <c r="AD633" t="str">
        <f>IF(Table8[[#This Row],[Campaign_Type]]="","Review - campaign code not found","")</f>
        <v/>
      </c>
    </row>
    <row r="634" spans="1:30" x14ac:dyDescent="0.25">
      <c r="A634" t="s">
        <v>4415</v>
      </c>
      <c r="C634" t="s">
        <v>3354</v>
      </c>
      <c r="D634" t="s">
        <v>3355</v>
      </c>
      <c r="E634" t="s">
        <v>4</v>
      </c>
      <c r="F634" s="17">
        <v>45618</v>
      </c>
      <c r="G634">
        <v>23.47</v>
      </c>
      <c r="H634" t="s">
        <v>37</v>
      </c>
      <c r="I634" t="s">
        <v>3323</v>
      </c>
      <c r="J634" t="str">
        <f>_xlfn.XLOOKUP(Table8[[#This Row],[Supporter_ID]],tb1_supporters[Supporter_ID ],tb1_supporters[Segment],"")</f>
        <v/>
      </c>
      <c r="K634" t="str">
        <f>_xlfn.XLOOKUP(Table8[[#This Row],[Supporter_ID]],tb1_supporters[Supporter_ID ],tb1_supporters[Acquisition_Source],"")</f>
        <v/>
      </c>
      <c r="L634" t="str">
        <f>_xlfn.XLOOKUP(Table8[[#This Row],[Supporter_ID]],tb1_supporters[Supporter_ID ],tb1_supporters[County],"")</f>
        <v/>
      </c>
      <c r="M634" t="str">
        <f>_xlfn.XLOOKUP(Table8[[#This Row],[Supporter_ID]],tb1_supporters[Supporter_ID ],tb1_supporters[Gender],"")</f>
        <v/>
      </c>
      <c r="N634" t="str">
        <f>_xlfn.XLOOKUP(Table8[[#This Row],[Supporter_ID]],tb1_supporters[Supporter_ID ],tb1_supporters[Age],"")</f>
        <v/>
      </c>
      <c r="O634" t="str">
        <f>_xlfn.XLOOKUP(Table8[[#This Row],[Supporter_ID]],tb1_supporters[Supporter_ID ],tb1_supporters[Age_Band],"")</f>
        <v/>
      </c>
      <c r="P634" t="str">
        <f>IF(Table8[[#This Row],[Age_Band]]="","Unknown",Table8[[#This Row],[Age_Band]])</f>
        <v>Unknown</v>
      </c>
      <c r="Q634" t="str">
        <f>_xlfn.XLOOKUP(Table8[[#This Row],[Supporter_ID]],tb1_supporters[Supporter_ID ],tb1_supporters[Communication_Preference],"")</f>
        <v/>
      </c>
      <c r="R634" t="str">
        <f>_xlfn.XLOOKUP(Table8[[#This Row],[Supporter_ID]],tb1_supporters[Supporter_ID ],tb1_supporters[Duplicate_Profile_Flag],"")</f>
        <v/>
      </c>
      <c r="S634" t="str">
        <f>_xlfn.XLOOKUP(Table8[[#This Row],[Supporter_ID]],tb1_supporters[Supporter_ID ],tb1_supporters[Preference_Compliance_Flag],"")</f>
        <v/>
      </c>
      <c r="T634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634" t="str">
        <f>_xlfn.XLOOKUP(Table8[[#This Row],[Campaign_Code]],tb3_CampaignMaster[Campaign_Code],tb3_CampaignMaster[Campaign_Type],"")</f>
        <v>Event</v>
      </c>
      <c r="V634" t="str">
        <f>_xlfn.XLOOKUP(Table8[[#This Row],[Campaign_Code]],tb3_CampaignMaster[Campaign_Code],tb3_CampaignMaster[Target_Audience],"")</f>
        <v>Volunteers</v>
      </c>
      <c r="W634" s="17">
        <f>_xlfn.XLOOKUP(Table8[[#This Row],[Campaign_Code]],tb3_CampaignMaster[Campaign_Code],tb3_CampaignMaster[Start_Date],"")</f>
        <v>45618</v>
      </c>
      <c r="X634" s="17">
        <f>_xlfn.XLOOKUP(Table8[[#This Row],[Campaign_Code]],tb3_CampaignMaster[Campaign_Code],tb3_CampaignMaster[End_Date],"")</f>
        <v>45618</v>
      </c>
      <c r="Y634">
        <f>_xlfn.XLOOKUP(Table8[[#This Row],[Campaign_Code]],tb3_CampaignMaster[Campaign_Code],tb3_CampaignMaster[Budget_GBP],"")</f>
        <v>3500</v>
      </c>
      <c r="Z634" t="str">
        <f>_xlfn.XLOOKUP(Table8[[#This Row],[Campaign_Code]],tb3_CampaignMaster[Campaign_Code],tb3_CampaignMaster[Primary_Channel],"")</f>
        <v>Email</v>
      </c>
      <c r="AA634" s="13">
        <f>IF(Table8[[#This Row],[Gift_Aid_Eligible]]="Yes",Table8[[#This Row],[Gift_Amount]]*1.25,Table8[[#This Row],[Gift_Amount]])</f>
        <v>23.47</v>
      </c>
      <c r="AB634" t="str">
        <f>IF(Table8[[#This Row],[Supporter_ID]]="","Review - missing supporter ID","")</f>
        <v>Review - missing supporter ID</v>
      </c>
      <c r="AC634" t="str">
        <f>IF(OR(Table8[[#This Row],[Response_Date]]&lt;Table8[[#This Row],[Start_Date]],Table8[[#This Row],[Response_Date]]&gt;Table8[[#This Row],[End_Date]]),"Review - response outside campaign dates","")</f>
        <v/>
      </c>
      <c r="AD634" t="str">
        <f>IF(Table8[[#This Row],[Campaign_Type]]="","Review - campaign code not found","")</f>
        <v/>
      </c>
    </row>
    <row r="635" spans="1:30" x14ac:dyDescent="0.25">
      <c r="A635" t="s">
        <v>4416</v>
      </c>
      <c r="B635" t="s">
        <v>2252</v>
      </c>
      <c r="C635" t="s">
        <v>3314</v>
      </c>
      <c r="D635" t="s">
        <v>3315</v>
      </c>
      <c r="E635" t="s">
        <v>65</v>
      </c>
      <c r="F635" s="17">
        <v>45727</v>
      </c>
      <c r="G635">
        <v>334.01</v>
      </c>
      <c r="H635" t="s">
        <v>36</v>
      </c>
      <c r="I635" t="s">
        <v>3318</v>
      </c>
      <c r="J635" t="str">
        <f>_xlfn.XLOOKUP(Table8[[#This Row],[Supporter_ID]],tb1_supporters[Supporter_ID ],tb1_supporters[Segment],"")</f>
        <v>Legacy Pledger</v>
      </c>
      <c r="K635" t="str">
        <f>_xlfn.XLOOKUP(Table8[[#This Row],[Supporter_ID]],tb1_supporters[Supporter_ID ],tb1_supporters[Acquisition_Source],"")</f>
        <v>Telephone</v>
      </c>
      <c r="L635" t="str">
        <f>_xlfn.XLOOKUP(Table8[[#This Row],[Supporter_ID]],tb1_supporters[Supporter_ID ],tb1_supporters[County],"")</f>
        <v>Buckinghamshire</v>
      </c>
      <c r="M635" t="str">
        <f>_xlfn.XLOOKUP(Table8[[#This Row],[Supporter_ID]],tb1_supporters[Supporter_ID ],tb1_supporters[Gender],"")</f>
        <v>Male</v>
      </c>
      <c r="N635">
        <f ca="1">_xlfn.XLOOKUP(Table8[[#This Row],[Supporter_ID]],tb1_supporters[Supporter_ID ],tb1_supporters[Age],"")</f>
        <v>63</v>
      </c>
      <c r="O635" t="str">
        <f ca="1">_xlfn.XLOOKUP(Table8[[#This Row],[Supporter_ID]],tb1_supporters[Supporter_ID ],tb1_supporters[Age_Band],"")</f>
        <v>50-64</v>
      </c>
      <c r="P635" t="str">
        <f ca="1">IF(Table8[[#This Row],[Age_Band]]="","Unknown",Table8[[#This Row],[Age_Band]])</f>
        <v>50-64</v>
      </c>
      <c r="Q635" t="str">
        <f>_xlfn.XLOOKUP(Table8[[#This Row],[Supporter_ID]],tb1_supporters[Supporter_ID ],tb1_supporters[Communication_Preference],"")</f>
        <v>Email</v>
      </c>
      <c r="R635" t="str">
        <f>_xlfn.XLOOKUP(Table8[[#This Row],[Supporter_ID]],tb1_supporters[Supporter_ID ],tb1_supporters[Duplicate_Profile_Flag],"")</f>
        <v/>
      </c>
      <c r="S635" t="str">
        <f>_xlfn.XLOOKUP(Table8[[#This Row],[Supporter_ID]],tb1_supporters[Supporter_ID ],tb1_supporters[Preference_Compliance_Flag],"")</f>
        <v/>
      </c>
      <c r="T635" t="str">
        <f ca="1">IF(Table8[[#This Row],[Age]]="","Review - missing DOB",IF(Table8[[#This Row],[Age]]&gt;TODAY(),"Review - future DOB",IF(Table8[[#This Row],[Age]]=0,"Review -  potential entry error (age 0)","")))</f>
        <v/>
      </c>
      <c r="U635" t="str">
        <f>_xlfn.XLOOKUP(Table8[[#This Row],[Campaign_Code]],tb3_CampaignMaster[Campaign_Code],tb3_CampaignMaster[Campaign_Type],"")</f>
        <v>Regular Giving</v>
      </c>
      <c r="V635" t="str">
        <f>_xlfn.XLOOKUP(Table8[[#This Row],[Campaign_Code]],tb3_CampaignMaster[Campaign_Code],tb3_CampaignMaster[Target_Audience],"")</f>
        <v>One-time Donors</v>
      </c>
      <c r="W635" s="17">
        <f>_xlfn.XLOOKUP(Table8[[#This Row],[Campaign_Code]],tb3_CampaignMaster[Campaign_Code],tb3_CampaignMaster[Start_Date],"")</f>
        <v>45663</v>
      </c>
      <c r="X635" s="17">
        <f>_xlfn.XLOOKUP(Table8[[#This Row],[Campaign_Code]],tb3_CampaignMaster[Campaign_Code],tb3_CampaignMaster[End_Date],"")</f>
        <v>45747</v>
      </c>
      <c r="Y635">
        <f>_xlfn.XLOOKUP(Table8[[#This Row],[Campaign_Code]],tb3_CampaignMaster[Campaign_Code],tb3_CampaignMaster[Budget_GBP],"")</f>
        <v>10000</v>
      </c>
      <c r="Z635" t="str">
        <f>_xlfn.XLOOKUP(Table8[[#This Row],[Campaign_Code]],tb3_CampaignMaster[Campaign_Code],tb3_CampaignMaster[Primary_Channel],"")</f>
        <v>Telephone</v>
      </c>
      <c r="AA635" s="13">
        <f>IF(Table8[[#This Row],[Gift_Aid_Eligible]]="Yes",Table8[[#This Row],[Gift_Amount]]*1.25,Table8[[#This Row],[Gift_Amount]])</f>
        <v>417.51249999999999</v>
      </c>
      <c r="AB635" t="str">
        <f>IF(Table8[[#This Row],[Supporter_ID]]="","Review - missing supporter ID","")</f>
        <v/>
      </c>
      <c r="AC635" t="str">
        <f>IF(OR(Table8[[#This Row],[Response_Date]]&lt;Table8[[#This Row],[Start_Date]],Table8[[#This Row],[Response_Date]]&gt;Table8[[#This Row],[End_Date]]),"Review - response outside campaign dates","")</f>
        <v/>
      </c>
      <c r="AD635" t="str">
        <f>IF(Table8[[#This Row],[Campaign_Type]]="","Review - campaign code not found","")</f>
        <v/>
      </c>
    </row>
    <row r="636" spans="1:30" x14ac:dyDescent="0.25">
      <c r="A636" t="s">
        <v>4418</v>
      </c>
      <c r="B636" t="s">
        <v>433</v>
      </c>
      <c r="C636" t="s">
        <v>3427</v>
      </c>
      <c r="D636" t="s">
        <v>3428</v>
      </c>
      <c r="E636" t="s">
        <v>65</v>
      </c>
      <c r="F636" s="17">
        <v>45488</v>
      </c>
      <c r="G636">
        <v>35.96</v>
      </c>
      <c r="H636" t="s">
        <v>36</v>
      </c>
      <c r="I636" t="s">
        <v>3334</v>
      </c>
      <c r="J636" t="str">
        <f>_xlfn.XLOOKUP(Table8[[#This Row],[Supporter_ID]],tb1_supporters[Supporter_ID ],tb1_supporters[Segment],"")</f>
        <v>Lapsed</v>
      </c>
      <c r="K636" t="str">
        <f>_xlfn.XLOOKUP(Table8[[#This Row],[Supporter_ID]],tb1_supporters[Supporter_ID ],tb1_supporters[Acquisition_Source],"")</f>
        <v>Event</v>
      </c>
      <c r="L636" t="str">
        <f>_xlfn.XLOOKUP(Table8[[#This Row],[Supporter_ID]],tb1_supporters[Supporter_ID ],tb1_supporters[County],"")</f>
        <v>Hertfordshire</v>
      </c>
      <c r="M636" t="str">
        <f>_xlfn.XLOOKUP(Table8[[#This Row],[Supporter_ID]],tb1_supporters[Supporter_ID ],tb1_supporters[Gender],"")</f>
        <v>Male</v>
      </c>
      <c r="N636">
        <f ca="1">_xlfn.XLOOKUP(Table8[[#This Row],[Supporter_ID]],tb1_supporters[Supporter_ID ],tb1_supporters[Age],"")</f>
        <v>81</v>
      </c>
      <c r="O636" t="str">
        <f ca="1">_xlfn.XLOOKUP(Table8[[#This Row],[Supporter_ID]],tb1_supporters[Supporter_ID ],tb1_supporters[Age_Band],"")</f>
        <v>65+</v>
      </c>
      <c r="P636" t="str">
        <f ca="1">IF(Table8[[#This Row],[Age_Band]]="","Unknown",Table8[[#This Row],[Age_Band]])</f>
        <v>65+</v>
      </c>
      <c r="Q636" t="str">
        <f>_xlfn.XLOOKUP(Table8[[#This Row],[Supporter_ID]],tb1_supporters[Supporter_ID ],tb1_supporters[Communication_Preference],"")</f>
        <v>No Preference</v>
      </c>
      <c r="R636" t="str">
        <f>_xlfn.XLOOKUP(Table8[[#This Row],[Supporter_ID]],tb1_supporters[Supporter_ID ],tb1_supporters[Duplicate_Profile_Flag],"")</f>
        <v/>
      </c>
      <c r="S636" t="str">
        <f>_xlfn.XLOOKUP(Table8[[#This Row],[Supporter_ID]],tb1_supporters[Supporter_ID ],tb1_supporters[Preference_Compliance_Flag],"")</f>
        <v/>
      </c>
      <c r="T636" t="str">
        <f ca="1">IF(Table8[[#This Row],[Age]]="","Review - missing DOB",IF(Table8[[#This Row],[Age]]&gt;TODAY(),"Review - future DOB",IF(Table8[[#This Row],[Age]]=0,"Review -  potential entry error (age 0)","")))</f>
        <v/>
      </c>
      <c r="U636" t="str">
        <f>_xlfn.XLOOKUP(Table8[[#This Row],[Campaign_Code]],tb3_CampaignMaster[Campaign_Code],tb3_CampaignMaster[Campaign_Type],"")</f>
        <v>Event</v>
      </c>
      <c r="V636" t="str">
        <f>_xlfn.XLOOKUP(Table8[[#This Row],[Campaign_Code]],tb3_CampaignMaster[Campaign_Code],tb3_CampaignMaster[Target_Audience],"")</f>
        <v>Major Donors</v>
      </c>
      <c r="W636" s="17">
        <f>_xlfn.XLOOKUP(Table8[[#This Row],[Campaign_Code]],tb3_CampaignMaster[Campaign_Code],tb3_CampaignMaster[Start_Date],"")</f>
        <v>45488</v>
      </c>
      <c r="X636" s="17">
        <f>_xlfn.XLOOKUP(Table8[[#This Row],[Campaign_Code]],tb3_CampaignMaster[Campaign_Code],tb3_CampaignMaster[End_Date],"")</f>
        <v>45488</v>
      </c>
      <c r="Y636">
        <f>_xlfn.XLOOKUP(Table8[[#This Row],[Campaign_Code]],tb3_CampaignMaster[Campaign_Code],tb3_CampaignMaster[Budget_GBP],"")</f>
        <v>45000</v>
      </c>
      <c r="Z636" t="str">
        <f>_xlfn.XLOOKUP(Table8[[#This Row],[Campaign_Code]],tb3_CampaignMaster[Campaign_Code],tb3_CampaignMaster[Primary_Channel],"")</f>
        <v>Direct Mail</v>
      </c>
      <c r="AA636" s="13">
        <f>IF(Table8[[#This Row],[Gift_Aid_Eligible]]="Yes",Table8[[#This Row],[Gift_Amount]]*1.25,Table8[[#This Row],[Gift_Amount]])</f>
        <v>44.95</v>
      </c>
      <c r="AB636" t="str">
        <f>IF(Table8[[#This Row],[Supporter_ID]]="","Review - missing supporter ID","")</f>
        <v/>
      </c>
      <c r="AC636" t="str">
        <f>IF(OR(Table8[[#This Row],[Response_Date]]&lt;Table8[[#This Row],[Start_Date]],Table8[[#This Row],[Response_Date]]&gt;Table8[[#This Row],[End_Date]]),"Review - response outside campaign dates","")</f>
        <v/>
      </c>
      <c r="AD636" t="str">
        <f>IF(Table8[[#This Row],[Campaign_Type]]="","Review - campaign code not found","")</f>
        <v/>
      </c>
    </row>
    <row r="637" spans="1:30" x14ac:dyDescent="0.25">
      <c r="A637" t="s">
        <v>4419</v>
      </c>
      <c r="B637" t="s">
        <v>770</v>
      </c>
      <c r="C637" t="s">
        <v>3341</v>
      </c>
      <c r="D637" t="s">
        <v>3342</v>
      </c>
      <c r="E637" t="s">
        <v>4</v>
      </c>
      <c r="F637" s="17">
        <v>45752</v>
      </c>
      <c r="G637">
        <v>4964.12</v>
      </c>
      <c r="H637" t="s">
        <v>36</v>
      </c>
      <c r="I637" t="s">
        <v>3323</v>
      </c>
      <c r="J637" t="str">
        <f>_xlfn.XLOOKUP(Table8[[#This Row],[Supporter_ID]],tb1_supporters[Supporter_ID ],tb1_supporters[Segment],"")</f>
        <v>Major Donor</v>
      </c>
      <c r="K637" t="str">
        <f>_xlfn.XLOOKUP(Table8[[#This Row],[Supporter_ID]],tb1_supporters[Supporter_ID ],tb1_supporters[Acquisition_Source],"")</f>
        <v>Telephone</v>
      </c>
      <c r="L637" t="str">
        <f>_xlfn.XLOOKUP(Table8[[#This Row],[Supporter_ID]],tb1_supporters[Supporter_ID ],tb1_supporters[County],"")</f>
        <v>Strathclyde</v>
      </c>
      <c r="M637" t="str">
        <f>_xlfn.XLOOKUP(Table8[[#This Row],[Supporter_ID]],tb1_supporters[Supporter_ID ],tb1_supporters[Gender],"")</f>
        <v>Male</v>
      </c>
      <c r="N637">
        <f ca="1">_xlfn.XLOOKUP(Table8[[#This Row],[Supporter_ID]],tb1_supporters[Supporter_ID ],tb1_supporters[Age],"")</f>
        <v>58</v>
      </c>
      <c r="O637" t="str">
        <f ca="1">_xlfn.XLOOKUP(Table8[[#This Row],[Supporter_ID]],tb1_supporters[Supporter_ID ],tb1_supporters[Age_Band],"")</f>
        <v>50-64</v>
      </c>
      <c r="P637" t="str">
        <f ca="1">IF(Table8[[#This Row],[Age_Band]]="","Unknown",Table8[[#This Row],[Age_Band]])</f>
        <v>50-64</v>
      </c>
      <c r="Q637" t="str">
        <f>_xlfn.XLOOKUP(Table8[[#This Row],[Supporter_ID]],tb1_supporters[Supporter_ID ],tb1_supporters[Communication_Preference],"")</f>
        <v>Email</v>
      </c>
      <c r="R637" t="str">
        <f>_xlfn.XLOOKUP(Table8[[#This Row],[Supporter_ID]],tb1_supporters[Supporter_ID ],tb1_supporters[Duplicate_Profile_Flag],"")</f>
        <v/>
      </c>
      <c r="S637" t="str">
        <f>_xlfn.XLOOKUP(Table8[[#This Row],[Supporter_ID]],tb1_supporters[Supporter_ID ],tb1_supporters[Preference_Compliance_Flag],"")</f>
        <v/>
      </c>
      <c r="T637" t="str">
        <f ca="1">IF(Table8[[#This Row],[Age]]="","Review - missing DOB",IF(Table8[[#This Row],[Age]]&gt;TODAY(),"Review - future DOB",IF(Table8[[#This Row],[Age]]=0,"Review -  potential entry error (age 0)","")))</f>
        <v/>
      </c>
      <c r="U637" t="str">
        <f>_xlfn.XLOOKUP(Table8[[#This Row],[Campaign_Code]],tb3_CampaignMaster[Campaign_Code],tb3_CampaignMaster[Campaign_Type],"")</f>
        <v>Acquisition</v>
      </c>
      <c r="V637" t="str">
        <f>_xlfn.XLOOKUP(Table8[[#This Row],[Campaign_Code]],tb3_CampaignMaster[Campaign_Code],tb3_CampaignMaster[Target_Audience],"")</f>
        <v>Prospects</v>
      </c>
      <c r="W637" s="17">
        <f>_xlfn.XLOOKUP(Table8[[#This Row],[Campaign_Code]],tb3_CampaignMaster[Campaign_Code],tb3_CampaignMaster[Start_Date],"")</f>
        <v>45689</v>
      </c>
      <c r="X637" s="17">
        <f>_xlfn.XLOOKUP(Table8[[#This Row],[Campaign_Code]],tb3_CampaignMaster[Campaign_Code],tb3_CampaignMaster[End_Date],"")</f>
        <v>45777</v>
      </c>
      <c r="Y637">
        <f>_xlfn.XLOOKUP(Table8[[#This Row],[Campaign_Code]],tb3_CampaignMaster[Campaign_Code],tb3_CampaignMaster[Budget_GBP],"")</f>
        <v>20000</v>
      </c>
      <c r="Z637" t="str">
        <f>_xlfn.XLOOKUP(Table8[[#This Row],[Campaign_Code]],tb3_CampaignMaster[Campaign_Code],tb3_CampaignMaster[Primary_Channel],"")</f>
        <v>Digital</v>
      </c>
      <c r="AA637" s="13">
        <f>IF(Table8[[#This Row],[Gift_Aid_Eligible]]="Yes",Table8[[#This Row],[Gift_Amount]]*1.25,Table8[[#This Row],[Gift_Amount]])</f>
        <v>6205.15</v>
      </c>
      <c r="AB637" t="str">
        <f>IF(Table8[[#This Row],[Supporter_ID]]="","Review - missing supporter ID","")</f>
        <v/>
      </c>
      <c r="AC637" t="str">
        <f>IF(OR(Table8[[#This Row],[Response_Date]]&lt;Table8[[#This Row],[Start_Date]],Table8[[#This Row],[Response_Date]]&gt;Table8[[#This Row],[End_Date]]),"Review - response outside campaign dates","")</f>
        <v/>
      </c>
      <c r="AD637" t="str">
        <f>IF(Table8[[#This Row],[Campaign_Type]]="","Review - campaign code not found","")</f>
        <v/>
      </c>
    </row>
    <row r="638" spans="1:30" x14ac:dyDescent="0.25">
      <c r="A638" t="s">
        <v>4421</v>
      </c>
      <c r="B638" t="s">
        <v>1767</v>
      </c>
      <c r="C638" t="s">
        <v>3341</v>
      </c>
      <c r="D638" t="s">
        <v>3342</v>
      </c>
      <c r="E638" t="s">
        <v>3316</v>
      </c>
      <c r="F638" s="17">
        <v>45711</v>
      </c>
      <c r="G638">
        <v>46.57</v>
      </c>
      <c r="H638" t="s">
        <v>36</v>
      </c>
      <c r="I638" t="s">
        <v>3328</v>
      </c>
      <c r="J638" t="str">
        <f>_xlfn.XLOOKUP(Table8[[#This Row],[Supporter_ID]],tb1_supporters[Supporter_ID ],tb1_supporters[Segment],"")</f>
        <v>Mid-Value</v>
      </c>
      <c r="K638" t="str">
        <f>_xlfn.XLOOKUP(Table8[[#This Row],[Supporter_ID]],tb1_supporters[Supporter_ID ],tb1_supporters[Acquisition_Source],"")</f>
        <v>Referral</v>
      </c>
      <c r="L638" t="str">
        <f>_xlfn.XLOOKUP(Table8[[#This Row],[Supporter_ID]],tb1_supporters[Supporter_ID ],tb1_supporters[County],"")</f>
        <v>Suffolk</v>
      </c>
      <c r="M638" t="str">
        <f>_xlfn.XLOOKUP(Table8[[#This Row],[Supporter_ID]],tb1_supporters[Supporter_ID ],tb1_supporters[Gender],"")</f>
        <v>Female</v>
      </c>
      <c r="N638">
        <f ca="1">_xlfn.XLOOKUP(Table8[[#This Row],[Supporter_ID]],tb1_supporters[Supporter_ID ],tb1_supporters[Age],"")</f>
        <v>45</v>
      </c>
      <c r="O638" t="str">
        <f ca="1">_xlfn.XLOOKUP(Table8[[#This Row],[Supporter_ID]],tb1_supporters[Supporter_ID ],tb1_supporters[Age_Band],"")</f>
        <v>35-49</v>
      </c>
      <c r="P638" t="str">
        <f ca="1">IF(Table8[[#This Row],[Age_Band]]="","Unknown",Table8[[#This Row],[Age_Band]])</f>
        <v>35-49</v>
      </c>
      <c r="Q638" t="str">
        <f>_xlfn.XLOOKUP(Table8[[#This Row],[Supporter_ID]],tb1_supporters[Supporter_ID ],tb1_supporters[Communication_Preference],"")</f>
        <v>Post</v>
      </c>
      <c r="R638" t="str">
        <f>_xlfn.XLOOKUP(Table8[[#This Row],[Supporter_ID]],tb1_supporters[Supporter_ID ],tb1_supporters[Duplicate_Profile_Flag],"")</f>
        <v/>
      </c>
      <c r="S638" t="str">
        <f>_xlfn.XLOOKUP(Table8[[#This Row],[Supporter_ID]],tb1_supporters[Supporter_ID ],tb1_supporters[Preference_Compliance_Flag],"")</f>
        <v/>
      </c>
      <c r="T638" t="str">
        <f ca="1">IF(Table8[[#This Row],[Age]]="","Review - missing DOB",IF(Table8[[#This Row],[Age]]&gt;TODAY(),"Review - future DOB",IF(Table8[[#This Row],[Age]]=0,"Review -  potential entry error (age 0)","")))</f>
        <v/>
      </c>
      <c r="U638" t="str">
        <f>_xlfn.XLOOKUP(Table8[[#This Row],[Campaign_Code]],tb3_CampaignMaster[Campaign_Code],tb3_CampaignMaster[Campaign_Type],"")</f>
        <v>Acquisition</v>
      </c>
      <c r="V638" t="str">
        <f>_xlfn.XLOOKUP(Table8[[#This Row],[Campaign_Code]],tb3_CampaignMaster[Campaign_Code],tb3_CampaignMaster[Target_Audience],"")</f>
        <v>Prospects</v>
      </c>
      <c r="W638" s="17">
        <f>_xlfn.XLOOKUP(Table8[[#This Row],[Campaign_Code]],tb3_CampaignMaster[Campaign_Code],tb3_CampaignMaster[Start_Date],"")</f>
        <v>45689</v>
      </c>
      <c r="X638" s="17">
        <f>_xlfn.XLOOKUP(Table8[[#This Row],[Campaign_Code]],tb3_CampaignMaster[Campaign_Code],tb3_CampaignMaster[End_Date],"")</f>
        <v>45777</v>
      </c>
      <c r="Y638">
        <f>_xlfn.XLOOKUP(Table8[[#This Row],[Campaign_Code]],tb3_CampaignMaster[Campaign_Code],tb3_CampaignMaster[Budget_GBP],"")</f>
        <v>20000</v>
      </c>
      <c r="Z638" t="str">
        <f>_xlfn.XLOOKUP(Table8[[#This Row],[Campaign_Code]],tb3_CampaignMaster[Campaign_Code],tb3_CampaignMaster[Primary_Channel],"")</f>
        <v>Digital</v>
      </c>
      <c r="AA638" s="13">
        <f>IF(Table8[[#This Row],[Gift_Aid_Eligible]]="Yes",Table8[[#This Row],[Gift_Amount]]*1.25,Table8[[#This Row],[Gift_Amount]])</f>
        <v>58.212499999999999</v>
      </c>
      <c r="AB638" t="str">
        <f>IF(Table8[[#This Row],[Supporter_ID]]="","Review - missing supporter ID","")</f>
        <v/>
      </c>
      <c r="AC638" t="str">
        <f>IF(OR(Table8[[#This Row],[Response_Date]]&lt;Table8[[#This Row],[Start_Date]],Table8[[#This Row],[Response_Date]]&gt;Table8[[#This Row],[End_Date]]),"Review - response outside campaign dates","")</f>
        <v/>
      </c>
      <c r="AD638" t="str">
        <f>IF(Table8[[#This Row],[Campaign_Type]]="","Review - campaign code not found","")</f>
        <v/>
      </c>
    </row>
    <row r="639" spans="1:30" x14ac:dyDescent="0.25">
      <c r="A639" t="s">
        <v>4423</v>
      </c>
      <c r="B639" t="s">
        <v>831</v>
      </c>
      <c r="C639" t="s">
        <v>3320</v>
      </c>
      <c r="D639" t="s">
        <v>3321</v>
      </c>
      <c r="E639" t="s">
        <v>65</v>
      </c>
      <c r="F639" s="17">
        <v>45469</v>
      </c>
      <c r="G639">
        <v>4519.09</v>
      </c>
      <c r="H639" t="s">
        <v>36</v>
      </c>
      <c r="I639" t="s">
        <v>3323</v>
      </c>
      <c r="J639" t="str">
        <f>_xlfn.XLOOKUP(Table8[[#This Row],[Supporter_ID]],tb1_supporters[Supporter_ID ],tb1_supporters[Segment],"")</f>
        <v>Major Donor</v>
      </c>
      <c r="K639" t="str">
        <f>_xlfn.XLOOKUP(Table8[[#This Row],[Supporter_ID]],tb1_supporters[Supporter_ID ],tb1_supporters[Acquisition_Source],"")</f>
        <v>Referral</v>
      </c>
      <c r="L639" t="str">
        <f>_xlfn.XLOOKUP(Table8[[#This Row],[Supporter_ID]],tb1_supporters[Supporter_ID ],tb1_supporters[County],"")</f>
        <v>Kent</v>
      </c>
      <c r="M639" t="str">
        <f>_xlfn.XLOOKUP(Table8[[#This Row],[Supporter_ID]],tb1_supporters[Supporter_ID ],tb1_supporters[Gender],"")</f>
        <v>Male</v>
      </c>
      <c r="N639">
        <f ca="1">_xlfn.XLOOKUP(Table8[[#This Row],[Supporter_ID]],tb1_supporters[Supporter_ID ],tb1_supporters[Age],"")</f>
        <v>66</v>
      </c>
      <c r="O639" t="str">
        <f ca="1">_xlfn.XLOOKUP(Table8[[#This Row],[Supporter_ID]],tb1_supporters[Supporter_ID ],tb1_supporters[Age_Band],"")</f>
        <v>65+</v>
      </c>
      <c r="P639" t="str">
        <f ca="1">IF(Table8[[#This Row],[Age_Band]]="","Unknown",Table8[[#This Row],[Age_Band]])</f>
        <v>65+</v>
      </c>
      <c r="Q639" t="str">
        <f>_xlfn.XLOOKUP(Table8[[#This Row],[Supporter_ID]],tb1_supporters[Supporter_ID ],tb1_supporters[Communication_Preference],"")</f>
        <v>Phone</v>
      </c>
      <c r="R639" t="str">
        <f>_xlfn.XLOOKUP(Table8[[#This Row],[Supporter_ID]],tb1_supporters[Supporter_ID ],tb1_supporters[Duplicate_Profile_Flag],"")</f>
        <v/>
      </c>
      <c r="S639" t="str">
        <f>_xlfn.XLOOKUP(Table8[[#This Row],[Supporter_ID]],tb1_supporters[Supporter_ID ],tb1_supporters[Preference_Compliance_Flag],"")</f>
        <v>Review - prefers phone but not opted in</v>
      </c>
      <c r="T639" t="str">
        <f ca="1">IF(Table8[[#This Row],[Age]]="","Review - missing DOB",IF(Table8[[#This Row],[Age]]&gt;TODAY(),"Review - future DOB",IF(Table8[[#This Row],[Age]]=0,"Review -  potential entry error (age 0)","")))</f>
        <v/>
      </c>
      <c r="U639" t="str">
        <f>_xlfn.XLOOKUP(Table8[[#This Row],[Campaign_Code]],tb3_CampaignMaster[Campaign_Code],tb3_CampaignMaster[Campaign_Type],"")</f>
        <v>Stewardship</v>
      </c>
      <c r="V639" t="str">
        <f>_xlfn.XLOOKUP(Table8[[#This Row],[Campaign_Code]],tb3_CampaignMaster[Campaign_Code],tb3_CampaignMaster[Target_Audience],"")</f>
        <v>Major Donors</v>
      </c>
      <c r="W639" s="17">
        <f>_xlfn.XLOOKUP(Table8[[#This Row],[Campaign_Code]],tb3_CampaignMaster[Campaign_Code],tb3_CampaignMaster[Start_Date],"")</f>
        <v>45444</v>
      </c>
      <c r="X639" s="17">
        <f>_xlfn.XLOOKUP(Table8[[#This Row],[Campaign_Code]],tb3_CampaignMaster[Campaign_Code],tb3_CampaignMaster[End_Date],"")</f>
        <v>45473</v>
      </c>
      <c r="Y639">
        <f>_xlfn.XLOOKUP(Table8[[#This Row],[Campaign_Code]],tb3_CampaignMaster[Campaign_Code],tb3_CampaignMaster[Budget_GBP],"")</f>
        <v>7000</v>
      </c>
      <c r="Z639" t="str">
        <f>_xlfn.XLOOKUP(Table8[[#This Row],[Campaign_Code]],tb3_CampaignMaster[Campaign_Code],tb3_CampaignMaster[Primary_Channel],"")</f>
        <v>Direct Mail</v>
      </c>
      <c r="AA639" s="13">
        <f>IF(Table8[[#This Row],[Gift_Aid_Eligible]]="Yes",Table8[[#This Row],[Gift_Amount]]*1.25,Table8[[#This Row],[Gift_Amount]])</f>
        <v>5648.8625000000002</v>
      </c>
      <c r="AB639" t="str">
        <f>IF(Table8[[#This Row],[Supporter_ID]]="","Review - missing supporter ID","")</f>
        <v/>
      </c>
      <c r="AC639" t="str">
        <f>IF(OR(Table8[[#This Row],[Response_Date]]&lt;Table8[[#This Row],[Start_Date]],Table8[[#This Row],[Response_Date]]&gt;Table8[[#This Row],[End_Date]]),"Review - response outside campaign dates","")</f>
        <v/>
      </c>
      <c r="AD639" t="str">
        <f>IF(Table8[[#This Row],[Campaign_Type]]="","Review - campaign code not found","")</f>
        <v/>
      </c>
    </row>
    <row r="640" spans="1:30" x14ac:dyDescent="0.25">
      <c r="A640" t="s">
        <v>4424</v>
      </c>
      <c r="B640" t="s">
        <v>901</v>
      </c>
      <c r="C640" t="s">
        <v>3367</v>
      </c>
      <c r="D640" t="s">
        <v>3368</v>
      </c>
      <c r="E640" t="s">
        <v>4</v>
      </c>
      <c r="F640" s="17">
        <v>45734</v>
      </c>
      <c r="G640">
        <v>185.92</v>
      </c>
      <c r="H640" t="s">
        <v>36</v>
      </c>
      <c r="I640" t="s">
        <v>3331</v>
      </c>
      <c r="J640" t="str">
        <f>_xlfn.XLOOKUP(Table8[[#This Row],[Supporter_ID]],tb1_supporters[Supporter_ID ],tb1_supporters[Segment],"")</f>
        <v>Mid-Value</v>
      </c>
      <c r="K640" t="str">
        <f>_xlfn.XLOOKUP(Table8[[#This Row],[Supporter_ID]],tb1_supporters[Supporter_ID ],tb1_supporters[Acquisition_Source],"")</f>
        <v>Corporate Partner</v>
      </c>
      <c r="L640" t="str">
        <f>_xlfn.XLOOKUP(Table8[[#This Row],[Supporter_ID]],tb1_supporters[Supporter_ID ],tb1_supporters[County],"")</f>
        <v>Norfolk</v>
      </c>
      <c r="M640" t="str">
        <f>_xlfn.XLOOKUP(Table8[[#This Row],[Supporter_ID]],tb1_supporters[Supporter_ID ],tb1_supporters[Gender],"")</f>
        <v>Female</v>
      </c>
      <c r="N640">
        <f ca="1">_xlfn.XLOOKUP(Table8[[#This Row],[Supporter_ID]],tb1_supporters[Supporter_ID ],tb1_supporters[Age],"")</f>
        <v>54</v>
      </c>
      <c r="O640" t="str">
        <f ca="1">_xlfn.XLOOKUP(Table8[[#This Row],[Supporter_ID]],tb1_supporters[Supporter_ID ],tb1_supporters[Age_Band],"")</f>
        <v>50-64</v>
      </c>
      <c r="P640" t="str">
        <f ca="1">IF(Table8[[#This Row],[Age_Band]]="","Unknown",Table8[[#This Row],[Age_Band]])</f>
        <v>50-64</v>
      </c>
      <c r="Q640" t="str">
        <f>_xlfn.XLOOKUP(Table8[[#This Row],[Supporter_ID]],tb1_supporters[Supporter_ID ],tb1_supporters[Communication_Preference],"")</f>
        <v>Email</v>
      </c>
      <c r="R640" t="str">
        <f>_xlfn.XLOOKUP(Table8[[#This Row],[Supporter_ID]],tb1_supporters[Supporter_ID ],tb1_supporters[Duplicate_Profile_Flag],"")</f>
        <v/>
      </c>
      <c r="S640" t="str">
        <f>_xlfn.XLOOKUP(Table8[[#This Row],[Supporter_ID]],tb1_supporters[Supporter_ID ],tb1_supporters[Preference_Compliance_Flag],"")</f>
        <v/>
      </c>
      <c r="T640" t="str">
        <f ca="1">IF(Table8[[#This Row],[Age]]="","Review - missing DOB",IF(Table8[[#This Row],[Age]]&gt;TODAY(),"Review - future DOB",IF(Table8[[#This Row],[Age]]=0,"Review -  potential entry error (age 0)","")))</f>
        <v/>
      </c>
      <c r="U640" t="str">
        <f>_xlfn.XLOOKUP(Table8[[#This Row],[Campaign_Code]],tb3_CampaignMaster[Campaign_Code],tb3_CampaignMaster[Campaign_Type],"")</f>
        <v>Raffle</v>
      </c>
      <c r="V640" t="str">
        <f>_xlfn.XLOOKUP(Table8[[#This Row],[Campaign_Code]],tb3_CampaignMaster[Campaign_Code],tb3_CampaignMaster[Target_Audience],"")</f>
        <v>Regular Givers</v>
      </c>
      <c r="W640" s="17">
        <f>_xlfn.XLOOKUP(Table8[[#This Row],[Campaign_Code]],tb3_CampaignMaster[Campaign_Code],tb3_CampaignMaster[Start_Date],"")</f>
        <v>45717</v>
      </c>
      <c r="X640" s="17">
        <f>_xlfn.XLOOKUP(Table8[[#This Row],[Campaign_Code]],tb3_CampaignMaster[Campaign_Code],tb3_CampaignMaster[End_Date],"")</f>
        <v>45777</v>
      </c>
      <c r="Y640">
        <f>_xlfn.XLOOKUP(Table8[[#This Row],[Campaign_Code]],tb3_CampaignMaster[Campaign_Code],tb3_CampaignMaster[Budget_GBP],"")</f>
        <v>8000</v>
      </c>
      <c r="Z640" t="str">
        <f>_xlfn.XLOOKUP(Table8[[#This Row],[Campaign_Code]],tb3_CampaignMaster[Campaign_Code],tb3_CampaignMaster[Primary_Channel],"")</f>
        <v>Direct Mail</v>
      </c>
      <c r="AA640" s="13">
        <f>IF(Table8[[#This Row],[Gift_Aid_Eligible]]="Yes",Table8[[#This Row],[Gift_Amount]]*1.25,Table8[[#This Row],[Gift_Amount]])</f>
        <v>232.39999999999998</v>
      </c>
      <c r="AB640" t="str">
        <f>IF(Table8[[#This Row],[Supporter_ID]]="","Review - missing supporter ID","")</f>
        <v/>
      </c>
      <c r="AC640" t="str">
        <f>IF(OR(Table8[[#This Row],[Response_Date]]&lt;Table8[[#This Row],[Start_Date]],Table8[[#This Row],[Response_Date]]&gt;Table8[[#This Row],[End_Date]]),"Review - response outside campaign dates","")</f>
        <v/>
      </c>
      <c r="AD640" t="str">
        <f>IF(Table8[[#This Row],[Campaign_Type]]="","Review - campaign code not found","")</f>
        <v/>
      </c>
    </row>
    <row r="641" spans="1:30" x14ac:dyDescent="0.25">
      <c r="A641" t="s">
        <v>4426</v>
      </c>
      <c r="B641" t="s">
        <v>1532</v>
      </c>
      <c r="C641" t="s">
        <v>3325</v>
      </c>
      <c r="D641" t="s">
        <v>3326</v>
      </c>
      <c r="E641" t="s">
        <v>3316</v>
      </c>
      <c r="F641" s="17">
        <v>45632</v>
      </c>
      <c r="G641">
        <v>39.659999999999997</v>
      </c>
      <c r="H641" t="s">
        <v>37</v>
      </c>
      <c r="I641" t="s">
        <v>3328</v>
      </c>
      <c r="J641" t="str">
        <f>_xlfn.XLOOKUP(Table8[[#This Row],[Supporter_ID]],tb1_supporters[Supporter_ID ],tb1_supporters[Segment],"")</f>
        <v>One-Time Donor</v>
      </c>
      <c r="K641" t="str">
        <f>_xlfn.XLOOKUP(Table8[[#This Row],[Supporter_ID]],tb1_supporters[Supporter_ID ],tb1_supporters[Acquisition_Source],"")</f>
        <v>Telephone</v>
      </c>
      <c r="L641" t="str">
        <f>_xlfn.XLOOKUP(Table8[[#This Row],[Supporter_ID]],tb1_supporters[Supporter_ID ],tb1_supporters[County],"")</f>
        <v>West Midlands</v>
      </c>
      <c r="M641" t="str">
        <f>_xlfn.XLOOKUP(Table8[[#This Row],[Supporter_ID]],tb1_supporters[Supporter_ID ],tb1_supporters[Gender],"")</f>
        <v>Female</v>
      </c>
      <c r="N641">
        <f ca="1">_xlfn.XLOOKUP(Table8[[#This Row],[Supporter_ID]],tb1_supporters[Supporter_ID ],tb1_supporters[Age],"")</f>
        <v>57</v>
      </c>
      <c r="O641" t="str">
        <f ca="1">_xlfn.XLOOKUP(Table8[[#This Row],[Supporter_ID]],tb1_supporters[Supporter_ID ],tb1_supporters[Age_Band],"")</f>
        <v>50-64</v>
      </c>
      <c r="P641" t="str">
        <f ca="1">IF(Table8[[#This Row],[Age_Band]]="","Unknown",Table8[[#This Row],[Age_Band]])</f>
        <v>50-64</v>
      </c>
      <c r="Q641" t="str">
        <f>_xlfn.XLOOKUP(Table8[[#This Row],[Supporter_ID]],tb1_supporters[Supporter_ID ],tb1_supporters[Communication_Preference],"")</f>
        <v>Post</v>
      </c>
      <c r="R641" t="str">
        <f>_xlfn.XLOOKUP(Table8[[#This Row],[Supporter_ID]],tb1_supporters[Supporter_ID ],tb1_supporters[Duplicate_Profile_Flag],"")</f>
        <v/>
      </c>
      <c r="S641" t="str">
        <f>_xlfn.XLOOKUP(Table8[[#This Row],[Supporter_ID]],tb1_supporters[Supporter_ID ],tb1_supporters[Preference_Compliance_Flag],"")</f>
        <v>Review - prefers post but not opted in</v>
      </c>
      <c r="T641" t="str">
        <f ca="1">IF(Table8[[#This Row],[Age]]="","Review - missing DOB",IF(Table8[[#This Row],[Age]]&gt;TODAY(),"Review - future DOB",IF(Table8[[#This Row],[Age]]=0,"Review -  potential entry error (age 0)","")))</f>
        <v/>
      </c>
      <c r="U641" t="str">
        <f>_xlfn.XLOOKUP(Table8[[#This Row],[Campaign_Code]],tb3_CampaignMaster[Campaign_Code],tb3_CampaignMaster[Campaign_Type],"")</f>
        <v>Appeal</v>
      </c>
      <c r="V641" t="str">
        <f>_xlfn.XLOOKUP(Table8[[#This Row],[Campaign_Code]],tb3_CampaignMaster[Campaign_Code],tb3_CampaignMaster[Target_Audience],"")</f>
        <v>All Active</v>
      </c>
      <c r="W641" s="17">
        <f>_xlfn.XLOOKUP(Table8[[#This Row],[Campaign_Code]],tb3_CampaignMaster[Campaign_Code],tb3_CampaignMaster[Start_Date],"")</f>
        <v>45597</v>
      </c>
      <c r="X641" s="17">
        <f>_xlfn.XLOOKUP(Table8[[#This Row],[Campaign_Code]],tb3_CampaignMaster[Campaign_Code],tb3_CampaignMaster[End_Date],"")</f>
        <v>45657</v>
      </c>
      <c r="Y641">
        <f>_xlfn.XLOOKUP(Table8[[#This Row],[Campaign_Code]],tb3_CampaignMaster[Campaign_Code],tb3_CampaignMaster[Budget_GBP],"")</f>
        <v>25000</v>
      </c>
      <c r="Z641" t="str">
        <f>_xlfn.XLOOKUP(Table8[[#This Row],[Campaign_Code]],tb3_CampaignMaster[Campaign_Code],tb3_CampaignMaster[Primary_Channel],"")</f>
        <v>Multi-channel</v>
      </c>
      <c r="AA641" s="13">
        <f>IF(Table8[[#This Row],[Gift_Aid_Eligible]]="Yes",Table8[[#This Row],[Gift_Amount]]*1.25,Table8[[#This Row],[Gift_Amount]])</f>
        <v>39.659999999999997</v>
      </c>
      <c r="AB641" t="str">
        <f>IF(Table8[[#This Row],[Supporter_ID]]="","Review - missing supporter ID","")</f>
        <v/>
      </c>
      <c r="AC641" t="str">
        <f>IF(OR(Table8[[#This Row],[Response_Date]]&lt;Table8[[#This Row],[Start_Date]],Table8[[#This Row],[Response_Date]]&gt;Table8[[#This Row],[End_Date]]),"Review - response outside campaign dates","")</f>
        <v/>
      </c>
      <c r="AD641" t="str">
        <f>IF(Table8[[#This Row],[Campaign_Type]]="","Review - campaign code not found","")</f>
        <v/>
      </c>
    </row>
    <row r="642" spans="1:30" x14ac:dyDescent="0.25">
      <c r="A642" t="s">
        <v>4428</v>
      </c>
      <c r="B642" t="s">
        <v>2373</v>
      </c>
      <c r="C642" t="s">
        <v>3320</v>
      </c>
      <c r="D642" t="s">
        <v>3321</v>
      </c>
      <c r="E642" t="s">
        <v>4</v>
      </c>
      <c r="F642" s="17">
        <v>45457</v>
      </c>
      <c r="G642">
        <v>20.76</v>
      </c>
      <c r="H642" t="s">
        <v>37</v>
      </c>
      <c r="I642" t="s">
        <v>3334</v>
      </c>
      <c r="J642" t="str">
        <f>_xlfn.XLOOKUP(Table8[[#This Row],[Supporter_ID]],tb1_supporters[Supporter_ID ],tb1_supporters[Segment],"")</f>
        <v>Prospect</v>
      </c>
      <c r="K642" t="str">
        <f>_xlfn.XLOOKUP(Table8[[#This Row],[Supporter_ID]],tb1_supporters[Supporter_ID ],tb1_supporters[Acquisition_Source],"")</f>
        <v>Telephone</v>
      </c>
      <c r="L642" t="str">
        <f>_xlfn.XLOOKUP(Table8[[#This Row],[Supporter_ID]],tb1_supporters[Supporter_ID ],tb1_supporters[County],"")</f>
        <v>Tyne and Wear</v>
      </c>
      <c r="M642" t="str">
        <f>_xlfn.XLOOKUP(Table8[[#This Row],[Supporter_ID]],tb1_supporters[Supporter_ID ],tb1_supporters[Gender],"")</f>
        <v>Male</v>
      </c>
      <c r="N642">
        <f ca="1">_xlfn.XLOOKUP(Table8[[#This Row],[Supporter_ID]],tb1_supporters[Supporter_ID ],tb1_supporters[Age],"")</f>
        <v>68</v>
      </c>
      <c r="O642" t="str">
        <f ca="1">_xlfn.XLOOKUP(Table8[[#This Row],[Supporter_ID]],tb1_supporters[Supporter_ID ],tb1_supporters[Age_Band],"")</f>
        <v>65+</v>
      </c>
      <c r="P642" t="str">
        <f ca="1">IF(Table8[[#This Row],[Age_Band]]="","Unknown",Table8[[#This Row],[Age_Band]])</f>
        <v>65+</v>
      </c>
      <c r="Q642" t="str">
        <f>_xlfn.XLOOKUP(Table8[[#This Row],[Supporter_ID]],tb1_supporters[Supporter_ID ],tb1_supporters[Communication_Preference],"")</f>
        <v>Phone</v>
      </c>
      <c r="R642" t="str">
        <f>_xlfn.XLOOKUP(Table8[[#This Row],[Supporter_ID]],tb1_supporters[Supporter_ID ],tb1_supporters[Duplicate_Profile_Flag],"")</f>
        <v/>
      </c>
      <c r="S642" t="str">
        <f>_xlfn.XLOOKUP(Table8[[#This Row],[Supporter_ID]],tb1_supporters[Supporter_ID ],tb1_supporters[Preference_Compliance_Flag],"")</f>
        <v>Review - prefers phone but not opted in</v>
      </c>
      <c r="T642" t="str">
        <f ca="1">IF(Table8[[#This Row],[Age]]="","Review - missing DOB",IF(Table8[[#This Row],[Age]]&gt;TODAY(),"Review - future DOB",IF(Table8[[#This Row],[Age]]=0,"Review -  potential entry error (age 0)","")))</f>
        <v/>
      </c>
      <c r="U642" t="str">
        <f>_xlfn.XLOOKUP(Table8[[#This Row],[Campaign_Code]],tb3_CampaignMaster[Campaign_Code],tb3_CampaignMaster[Campaign_Type],"")</f>
        <v>Stewardship</v>
      </c>
      <c r="V642" t="str">
        <f>_xlfn.XLOOKUP(Table8[[#This Row],[Campaign_Code]],tb3_CampaignMaster[Campaign_Code],tb3_CampaignMaster[Target_Audience],"")</f>
        <v>Major Donors</v>
      </c>
      <c r="W642" s="17">
        <f>_xlfn.XLOOKUP(Table8[[#This Row],[Campaign_Code]],tb3_CampaignMaster[Campaign_Code],tb3_CampaignMaster[Start_Date],"")</f>
        <v>45444</v>
      </c>
      <c r="X642" s="17">
        <f>_xlfn.XLOOKUP(Table8[[#This Row],[Campaign_Code]],tb3_CampaignMaster[Campaign_Code],tb3_CampaignMaster[End_Date],"")</f>
        <v>45473</v>
      </c>
      <c r="Y642">
        <f>_xlfn.XLOOKUP(Table8[[#This Row],[Campaign_Code]],tb3_CampaignMaster[Campaign_Code],tb3_CampaignMaster[Budget_GBP],"")</f>
        <v>7000</v>
      </c>
      <c r="Z642" t="str">
        <f>_xlfn.XLOOKUP(Table8[[#This Row],[Campaign_Code]],tb3_CampaignMaster[Campaign_Code],tb3_CampaignMaster[Primary_Channel],"")</f>
        <v>Direct Mail</v>
      </c>
      <c r="AA642" s="13">
        <f>IF(Table8[[#This Row],[Gift_Aid_Eligible]]="Yes",Table8[[#This Row],[Gift_Amount]]*1.25,Table8[[#This Row],[Gift_Amount]])</f>
        <v>20.76</v>
      </c>
      <c r="AB642" t="str">
        <f>IF(Table8[[#This Row],[Supporter_ID]]="","Review - missing supporter ID","")</f>
        <v/>
      </c>
      <c r="AC642" t="str">
        <f>IF(OR(Table8[[#This Row],[Response_Date]]&lt;Table8[[#This Row],[Start_Date]],Table8[[#This Row],[Response_Date]]&gt;Table8[[#This Row],[End_Date]]),"Review - response outside campaign dates","")</f>
        <v/>
      </c>
      <c r="AD642" t="str">
        <f>IF(Table8[[#This Row],[Campaign_Type]]="","Review - campaign code not found","")</f>
        <v/>
      </c>
    </row>
    <row r="643" spans="1:30" x14ac:dyDescent="0.25">
      <c r="A643" t="s">
        <v>4430</v>
      </c>
      <c r="B643" t="s">
        <v>1097</v>
      </c>
      <c r="C643" t="s">
        <v>3427</v>
      </c>
      <c r="D643" t="s">
        <v>3428</v>
      </c>
      <c r="E643" t="s">
        <v>4</v>
      </c>
      <c r="F643" s="17">
        <v>45488</v>
      </c>
      <c r="G643">
        <v>13.95</v>
      </c>
      <c r="H643" t="s">
        <v>36</v>
      </c>
      <c r="I643" t="s">
        <v>3328</v>
      </c>
      <c r="J643" t="str">
        <f>_xlfn.XLOOKUP(Table8[[#This Row],[Supporter_ID]],tb1_supporters[Supporter_ID ],tb1_supporters[Segment],"")</f>
        <v>Prospect</v>
      </c>
      <c r="K643" t="str">
        <f>_xlfn.XLOOKUP(Table8[[#This Row],[Supporter_ID]],tb1_supporters[Supporter_ID ],tb1_supporters[Acquisition_Source],"")</f>
        <v>Social Media</v>
      </c>
      <c r="L643" t="str">
        <f>_xlfn.XLOOKUP(Table8[[#This Row],[Supporter_ID]],tb1_supporters[Supporter_ID ],tb1_supporters[County],"")</f>
        <v>West Midlands</v>
      </c>
      <c r="M643" t="str">
        <f>_xlfn.XLOOKUP(Table8[[#This Row],[Supporter_ID]],tb1_supporters[Supporter_ID ],tb1_supporters[Gender],"")</f>
        <v>Male</v>
      </c>
      <c r="N643">
        <f ca="1">_xlfn.XLOOKUP(Table8[[#This Row],[Supporter_ID]],tb1_supporters[Supporter_ID ],tb1_supporters[Age],"")</f>
        <v>61</v>
      </c>
      <c r="O643" t="str">
        <f ca="1">_xlfn.XLOOKUP(Table8[[#This Row],[Supporter_ID]],tb1_supporters[Supporter_ID ],tb1_supporters[Age_Band],"")</f>
        <v>50-64</v>
      </c>
      <c r="P643" t="str">
        <f ca="1">IF(Table8[[#This Row],[Age_Band]]="","Unknown",Table8[[#This Row],[Age_Band]])</f>
        <v>50-64</v>
      </c>
      <c r="Q643" t="str">
        <f>_xlfn.XLOOKUP(Table8[[#This Row],[Supporter_ID]],tb1_supporters[Supporter_ID ],tb1_supporters[Communication_Preference],"")</f>
        <v>Do Not Contact</v>
      </c>
      <c r="R643" t="str">
        <f>_xlfn.XLOOKUP(Table8[[#This Row],[Supporter_ID]],tb1_supporters[Supporter_ID ],tb1_supporters[Duplicate_Profile_Flag],"")</f>
        <v/>
      </c>
      <c r="S643" t="str">
        <f>_xlfn.XLOOKUP(Table8[[#This Row],[Supporter_ID]],tb1_supporters[Supporter_ID ],tb1_supporters[Preference_Compliance_Flag],"")</f>
        <v/>
      </c>
      <c r="T643" t="str">
        <f ca="1">IF(Table8[[#This Row],[Age]]="","Review - missing DOB",IF(Table8[[#This Row],[Age]]&gt;TODAY(),"Review - future DOB",IF(Table8[[#This Row],[Age]]=0,"Review -  potential entry error (age 0)","")))</f>
        <v/>
      </c>
      <c r="U643" t="str">
        <f>_xlfn.XLOOKUP(Table8[[#This Row],[Campaign_Code]],tb3_CampaignMaster[Campaign_Code],tb3_CampaignMaster[Campaign_Type],"")</f>
        <v>Event</v>
      </c>
      <c r="V643" t="str">
        <f>_xlfn.XLOOKUP(Table8[[#This Row],[Campaign_Code]],tb3_CampaignMaster[Campaign_Code],tb3_CampaignMaster[Target_Audience],"")</f>
        <v>Major Donors</v>
      </c>
      <c r="W643" s="17">
        <f>_xlfn.XLOOKUP(Table8[[#This Row],[Campaign_Code]],tb3_CampaignMaster[Campaign_Code],tb3_CampaignMaster[Start_Date],"")</f>
        <v>45488</v>
      </c>
      <c r="X643" s="17">
        <f>_xlfn.XLOOKUP(Table8[[#This Row],[Campaign_Code]],tb3_CampaignMaster[Campaign_Code],tb3_CampaignMaster[End_Date],"")</f>
        <v>45488</v>
      </c>
      <c r="Y643">
        <f>_xlfn.XLOOKUP(Table8[[#This Row],[Campaign_Code]],tb3_CampaignMaster[Campaign_Code],tb3_CampaignMaster[Budget_GBP],"")</f>
        <v>45000</v>
      </c>
      <c r="Z643" t="str">
        <f>_xlfn.XLOOKUP(Table8[[#This Row],[Campaign_Code]],tb3_CampaignMaster[Campaign_Code],tb3_CampaignMaster[Primary_Channel],"")</f>
        <v>Direct Mail</v>
      </c>
      <c r="AA643" s="13">
        <f>IF(Table8[[#This Row],[Gift_Aid_Eligible]]="Yes",Table8[[#This Row],[Gift_Amount]]*1.25,Table8[[#This Row],[Gift_Amount]])</f>
        <v>17.4375</v>
      </c>
      <c r="AB643" t="str">
        <f>IF(Table8[[#This Row],[Supporter_ID]]="","Review - missing supporter ID","")</f>
        <v/>
      </c>
      <c r="AC643" t="str">
        <f>IF(OR(Table8[[#This Row],[Response_Date]]&lt;Table8[[#This Row],[Start_Date]],Table8[[#This Row],[Response_Date]]&gt;Table8[[#This Row],[End_Date]]),"Review - response outside campaign dates","")</f>
        <v/>
      </c>
      <c r="AD643" t="str">
        <f>IF(Table8[[#This Row],[Campaign_Type]]="","Review - campaign code not found","")</f>
        <v/>
      </c>
    </row>
    <row r="644" spans="1:30" x14ac:dyDescent="0.25">
      <c r="A644" t="s">
        <v>4431</v>
      </c>
      <c r="B644" t="s">
        <v>1951</v>
      </c>
      <c r="C644" t="s">
        <v>3427</v>
      </c>
      <c r="D644" t="s">
        <v>3428</v>
      </c>
      <c r="E644" t="s">
        <v>4</v>
      </c>
      <c r="F644" s="17">
        <v>45488</v>
      </c>
      <c r="G644">
        <v>14</v>
      </c>
      <c r="H644" t="s">
        <v>36</v>
      </c>
      <c r="I644" t="s">
        <v>3328</v>
      </c>
      <c r="J644" t="str">
        <f>_xlfn.XLOOKUP(Table8[[#This Row],[Supporter_ID]],tb1_supporters[Supporter_ID ],tb1_supporters[Segment],"")</f>
        <v>Lapsed</v>
      </c>
      <c r="K644" t="str">
        <f>_xlfn.XLOOKUP(Table8[[#This Row],[Supporter_ID]],tb1_supporters[Supporter_ID ],tb1_supporters[Acquisition_Source],"")</f>
        <v>Event</v>
      </c>
      <c r="L644" t="str">
        <f>_xlfn.XLOOKUP(Table8[[#This Row],[Supporter_ID]],tb1_supporters[Supporter_ID ],tb1_supporters[County],"")</f>
        <v>Surrey</v>
      </c>
      <c r="M644" t="str">
        <f>_xlfn.XLOOKUP(Table8[[#This Row],[Supporter_ID]],tb1_supporters[Supporter_ID ],tb1_supporters[Gender],"")</f>
        <v>Female</v>
      </c>
      <c r="N644">
        <f ca="1">_xlfn.XLOOKUP(Table8[[#This Row],[Supporter_ID]],tb1_supporters[Supporter_ID ],tb1_supporters[Age],"")</f>
        <v>39</v>
      </c>
      <c r="O644" t="str">
        <f ca="1">_xlfn.XLOOKUP(Table8[[#This Row],[Supporter_ID]],tb1_supporters[Supporter_ID ],tb1_supporters[Age_Band],"")</f>
        <v>35-49</v>
      </c>
      <c r="P644" t="str">
        <f ca="1">IF(Table8[[#This Row],[Age_Band]]="","Unknown",Table8[[#This Row],[Age_Band]])</f>
        <v>35-49</v>
      </c>
      <c r="Q644" t="str">
        <f>_xlfn.XLOOKUP(Table8[[#This Row],[Supporter_ID]],tb1_supporters[Supporter_ID ],tb1_supporters[Communication_Preference],"")</f>
        <v>No Preference</v>
      </c>
      <c r="R644" t="str">
        <f>_xlfn.XLOOKUP(Table8[[#This Row],[Supporter_ID]],tb1_supporters[Supporter_ID ],tb1_supporters[Duplicate_Profile_Flag],"")</f>
        <v/>
      </c>
      <c r="S644" t="str">
        <f>_xlfn.XLOOKUP(Table8[[#This Row],[Supporter_ID]],tb1_supporters[Supporter_ID ],tb1_supporters[Preference_Compliance_Flag],"")</f>
        <v/>
      </c>
      <c r="T644" t="str">
        <f ca="1">IF(Table8[[#This Row],[Age]]="","Review - missing DOB",IF(Table8[[#This Row],[Age]]&gt;TODAY(),"Review - future DOB",IF(Table8[[#This Row],[Age]]=0,"Review -  potential entry error (age 0)","")))</f>
        <v/>
      </c>
      <c r="U644" t="str">
        <f>_xlfn.XLOOKUP(Table8[[#This Row],[Campaign_Code]],tb3_CampaignMaster[Campaign_Code],tb3_CampaignMaster[Campaign_Type],"")</f>
        <v>Event</v>
      </c>
      <c r="V644" t="str">
        <f>_xlfn.XLOOKUP(Table8[[#This Row],[Campaign_Code]],tb3_CampaignMaster[Campaign_Code],tb3_CampaignMaster[Target_Audience],"")</f>
        <v>Major Donors</v>
      </c>
      <c r="W644" s="17">
        <f>_xlfn.XLOOKUP(Table8[[#This Row],[Campaign_Code]],tb3_CampaignMaster[Campaign_Code],tb3_CampaignMaster[Start_Date],"")</f>
        <v>45488</v>
      </c>
      <c r="X644" s="17">
        <f>_xlfn.XLOOKUP(Table8[[#This Row],[Campaign_Code]],tb3_CampaignMaster[Campaign_Code],tb3_CampaignMaster[End_Date],"")</f>
        <v>45488</v>
      </c>
      <c r="Y644">
        <f>_xlfn.XLOOKUP(Table8[[#This Row],[Campaign_Code]],tb3_CampaignMaster[Campaign_Code],tb3_CampaignMaster[Budget_GBP],"")</f>
        <v>45000</v>
      </c>
      <c r="Z644" t="str">
        <f>_xlfn.XLOOKUP(Table8[[#This Row],[Campaign_Code]],tb3_CampaignMaster[Campaign_Code],tb3_CampaignMaster[Primary_Channel],"")</f>
        <v>Direct Mail</v>
      </c>
      <c r="AA644" s="13">
        <f>IF(Table8[[#This Row],[Gift_Aid_Eligible]]="Yes",Table8[[#This Row],[Gift_Amount]]*1.25,Table8[[#This Row],[Gift_Amount]])</f>
        <v>17.5</v>
      </c>
      <c r="AB644" t="str">
        <f>IF(Table8[[#This Row],[Supporter_ID]]="","Review - missing supporter ID","")</f>
        <v/>
      </c>
      <c r="AC644" t="str">
        <f>IF(OR(Table8[[#This Row],[Response_Date]]&lt;Table8[[#This Row],[Start_Date]],Table8[[#This Row],[Response_Date]]&gt;Table8[[#This Row],[End_Date]]),"Review - response outside campaign dates","")</f>
        <v/>
      </c>
      <c r="AD644" t="str">
        <f>IF(Table8[[#This Row],[Campaign_Type]]="","Review - campaign code not found","")</f>
        <v/>
      </c>
    </row>
    <row r="645" spans="1:30" x14ac:dyDescent="0.25">
      <c r="A645" t="s">
        <v>4432</v>
      </c>
      <c r="B645" t="s">
        <v>2934</v>
      </c>
      <c r="C645" t="s">
        <v>3403</v>
      </c>
      <c r="D645" t="s">
        <v>3404</v>
      </c>
      <c r="E645" t="s">
        <v>65</v>
      </c>
      <c r="F645" s="17">
        <v>45630</v>
      </c>
      <c r="G645">
        <v>41.07</v>
      </c>
      <c r="H645" t="s">
        <v>37</v>
      </c>
      <c r="I645" t="s">
        <v>3385</v>
      </c>
      <c r="J645" t="str">
        <f>_xlfn.XLOOKUP(Table8[[#This Row],[Supporter_ID]],tb1_supporters[Supporter_ID ],tb1_supporters[Segment],"")</f>
        <v>Regular Giver</v>
      </c>
      <c r="K645" t="str">
        <f>_xlfn.XLOOKUP(Table8[[#This Row],[Supporter_ID]],tb1_supporters[Supporter_ID ],tb1_supporters[Acquisition_Source],"")</f>
        <v>Social Media</v>
      </c>
      <c r="L645" t="str">
        <f>_xlfn.XLOOKUP(Table8[[#This Row],[Supporter_ID]],tb1_supporters[Supporter_ID ],tb1_supporters[County],"")</f>
        <v>Cambridgeshire</v>
      </c>
      <c r="M645" t="str">
        <f>_xlfn.XLOOKUP(Table8[[#This Row],[Supporter_ID]],tb1_supporters[Supporter_ID ],tb1_supporters[Gender],"")</f>
        <v>Female</v>
      </c>
      <c r="N645">
        <f ca="1">_xlfn.XLOOKUP(Table8[[#This Row],[Supporter_ID]],tb1_supporters[Supporter_ID ],tb1_supporters[Age],"")</f>
        <v>28</v>
      </c>
      <c r="O645" t="str">
        <f ca="1">_xlfn.XLOOKUP(Table8[[#This Row],[Supporter_ID]],tb1_supporters[Supporter_ID ],tb1_supporters[Age_Band],"")</f>
        <v>18-34</v>
      </c>
      <c r="P645" t="str">
        <f ca="1">IF(Table8[[#This Row],[Age_Band]]="","Unknown",Table8[[#This Row],[Age_Band]])</f>
        <v>18-34</v>
      </c>
      <c r="Q645" t="str">
        <f>_xlfn.XLOOKUP(Table8[[#This Row],[Supporter_ID]],tb1_supporters[Supporter_ID ],tb1_supporters[Communication_Preference],"")</f>
        <v>Post</v>
      </c>
      <c r="R645" t="str">
        <f>_xlfn.XLOOKUP(Table8[[#This Row],[Supporter_ID]],tb1_supporters[Supporter_ID ],tb1_supporters[Duplicate_Profile_Flag],"")</f>
        <v/>
      </c>
      <c r="S645" t="str">
        <f>_xlfn.XLOOKUP(Table8[[#This Row],[Supporter_ID]],tb1_supporters[Supporter_ID ],tb1_supporters[Preference_Compliance_Flag],"")</f>
        <v/>
      </c>
      <c r="T645" t="str">
        <f ca="1">IF(Table8[[#This Row],[Age]]="","Review - missing DOB",IF(Table8[[#This Row],[Age]]&gt;TODAY(),"Review - future DOB",IF(Table8[[#This Row],[Age]]=0,"Review -  potential entry error (age 0)","")))</f>
        <v/>
      </c>
      <c r="U645" t="str">
        <f>_xlfn.XLOOKUP(Table8[[#This Row],[Campaign_Code]],tb3_CampaignMaster[Campaign_Code],tb3_CampaignMaster[Campaign_Type],"")</f>
        <v>Trading</v>
      </c>
      <c r="V645" t="str">
        <f>_xlfn.XLOOKUP(Table8[[#This Row],[Campaign_Code]],tb3_CampaignMaster[Campaign_Code],tb3_CampaignMaster[Target_Audience],"")</f>
        <v>All Active</v>
      </c>
      <c r="W645" s="17">
        <f>_xlfn.XLOOKUP(Table8[[#This Row],[Campaign_Code]],tb3_CampaignMaster[Campaign_Code],tb3_CampaignMaster[Start_Date],"")</f>
        <v>45580</v>
      </c>
      <c r="X645" s="17">
        <f>_xlfn.XLOOKUP(Table8[[#This Row],[Campaign_Code]],tb3_CampaignMaster[Campaign_Code],tb3_CampaignMaster[End_Date],"")</f>
        <v>45646</v>
      </c>
      <c r="Y645">
        <f>_xlfn.XLOOKUP(Table8[[#This Row],[Campaign_Code]],tb3_CampaignMaster[Campaign_Code],tb3_CampaignMaster[Budget_GBP],"")</f>
        <v>12000</v>
      </c>
      <c r="Z645" t="str">
        <f>_xlfn.XLOOKUP(Table8[[#This Row],[Campaign_Code]],tb3_CampaignMaster[Campaign_Code],tb3_CampaignMaster[Primary_Channel],"")</f>
        <v>Multi-channel</v>
      </c>
      <c r="AA645" s="13">
        <f>IF(Table8[[#This Row],[Gift_Aid_Eligible]]="Yes",Table8[[#This Row],[Gift_Amount]]*1.25,Table8[[#This Row],[Gift_Amount]])</f>
        <v>41.07</v>
      </c>
      <c r="AB645" t="str">
        <f>IF(Table8[[#This Row],[Supporter_ID]]="","Review - missing supporter ID","")</f>
        <v/>
      </c>
      <c r="AC645" t="str">
        <f>IF(OR(Table8[[#This Row],[Response_Date]]&lt;Table8[[#This Row],[Start_Date]],Table8[[#This Row],[Response_Date]]&gt;Table8[[#This Row],[End_Date]]),"Review - response outside campaign dates","")</f>
        <v/>
      </c>
      <c r="AD645" t="str">
        <f>IF(Table8[[#This Row],[Campaign_Type]]="","Review - campaign code not found","")</f>
        <v/>
      </c>
    </row>
    <row r="646" spans="1:30" x14ac:dyDescent="0.25">
      <c r="A646" t="s">
        <v>4433</v>
      </c>
      <c r="B646" t="s">
        <v>2224</v>
      </c>
      <c r="C646" t="s">
        <v>3367</v>
      </c>
      <c r="D646" t="s">
        <v>3368</v>
      </c>
      <c r="E646" t="s">
        <v>65</v>
      </c>
      <c r="F646" s="17">
        <v>45745</v>
      </c>
      <c r="G646">
        <v>9.89</v>
      </c>
      <c r="H646" t="s">
        <v>37</v>
      </c>
      <c r="I646" t="s">
        <v>3331</v>
      </c>
      <c r="J646" t="str">
        <f>_xlfn.XLOOKUP(Table8[[#This Row],[Supporter_ID]],tb1_supporters[Supporter_ID ],tb1_supporters[Segment],"")</f>
        <v>Prospect</v>
      </c>
      <c r="K646" t="str">
        <f>_xlfn.XLOOKUP(Table8[[#This Row],[Supporter_ID]],tb1_supporters[Supporter_ID ],tb1_supporters[Acquisition_Source],"")</f>
        <v>Event</v>
      </c>
      <c r="L646" t="str">
        <f>_xlfn.XLOOKUP(Table8[[#This Row],[Supporter_ID]],tb1_supporters[Supporter_ID ],tb1_supporters[County],"")</f>
        <v>Tyne and Wear</v>
      </c>
      <c r="M646" t="str">
        <f>_xlfn.XLOOKUP(Table8[[#This Row],[Supporter_ID]],tb1_supporters[Supporter_ID ],tb1_supporters[Gender],"")</f>
        <v>Male</v>
      </c>
      <c r="N646">
        <f ca="1">_xlfn.XLOOKUP(Table8[[#This Row],[Supporter_ID]],tb1_supporters[Supporter_ID ],tb1_supporters[Age],"")</f>
        <v>29</v>
      </c>
      <c r="O646" t="str">
        <f ca="1">_xlfn.XLOOKUP(Table8[[#This Row],[Supporter_ID]],tb1_supporters[Supporter_ID ],tb1_supporters[Age_Band],"")</f>
        <v>18-34</v>
      </c>
      <c r="P646" t="str">
        <f ca="1">IF(Table8[[#This Row],[Age_Band]]="","Unknown",Table8[[#This Row],[Age_Band]])</f>
        <v>18-34</v>
      </c>
      <c r="Q646" t="str">
        <f>_xlfn.XLOOKUP(Table8[[#This Row],[Supporter_ID]],tb1_supporters[Supporter_ID ],tb1_supporters[Communication_Preference],"")</f>
        <v>No Preference</v>
      </c>
      <c r="R646" t="str">
        <f>_xlfn.XLOOKUP(Table8[[#This Row],[Supporter_ID]],tb1_supporters[Supporter_ID ],tb1_supporters[Duplicate_Profile_Flag],"")</f>
        <v/>
      </c>
      <c r="S646" t="str">
        <f>_xlfn.XLOOKUP(Table8[[#This Row],[Supporter_ID]],tb1_supporters[Supporter_ID ],tb1_supporters[Preference_Compliance_Flag],"")</f>
        <v/>
      </c>
      <c r="T646" t="str">
        <f ca="1">IF(Table8[[#This Row],[Age]]="","Review - missing DOB",IF(Table8[[#This Row],[Age]]&gt;TODAY(),"Review - future DOB",IF(Table8[[#This Row],[Age]]=0,"Review -  potential entry error (age 0)","")))</f>
        <v/>
      </c>
      <c r="U646" t="str">
        <f>_xlfn.XLOOKUP(Table8[[#This Row],[Campaign_Code]],tb3_CampaignMaster[Campaign_Code],tb3_CampaignMaster[Campaign_Type],"")</f>
        <v>Raffle</v>
      </c>
      <c r="V646" t="str">
        <f>_xlfn.XLOOKUP(Table8[[#This Row],[Campaign_Code]],tb3_CampaignMaster[Campaign_Code],tb3_CampaignMaster[Target_Audience],"")</f>
        <v>Regular Givers</v>
      </c>
      <c r="W646" s="17">
        <f>_xlfn.XLOOKUP(Table8[[#This Row],[Campaign_Code]],tb3_CampaignMaster[Campaign_Code],tb3_CampaignMaster[Start_Date],"")</f>
        <v>45717</v>
      </c>
      <c r="X646" s="17">
        <f>_xlfn.XLOOKUP(Table8[[#This Row],[Campaign_Code]],tb3_CampaignMaster[Campaign_Code],tb3_CampaignMaster[End_Date],"")</f>
        <v>45777</v>
      </c>
      <c r="Y646">
        <f>_xlfn.XLOOKUP(Table8[[#This Row],[Campaign_Code]],tb3_CampaignMaster[Campaign_Code],tb3_CampaignMaster[Budget_GBP],"")</f>
        <v>8000</v>
      </c>
      <c r="Z646" t="str">
        <f>_xlfn.XLOOKUP(Table8[[#This Row],[Campaign_Code]],tb3_CampaignMaster[Campaign_Code],tb3_CampaignMaster[Primary_Channel],"")</f>
        <v>Direct Mail</v>
      </c>
      <c r="AA646" s="13">
        <f>IF(Table8[[#This Row],[Gift_Aid_Eligible]]="Yes",Table8[[#This Row],[Gift_Amount]]*1.25,Table8[[#This Row],[Gift_Amount]])</f>
        <v>9.89</v>
      </c>
      <c r="AB646" t="str">
        <f>IF(Table8[[#This Row],[Supporter_ID]]="","Review - missing supporter ID","")</f>
        <v/>
      </c>
      <c r="AC646" t="str">
        <f>IF(OR(Table8[[#This Row],[Response_Date]]&lt;Table8[[#This Row],[Start_Date]],Table8[[#This Row],[Response_Date]]&gt;Table8[[#This Row],[End_Date]]),"Review - response outside campaign dates","")</f>
        <v/>
      </c>
      <c r="AD646" t="str">
        <f>IF(Table8[[#This Row],[Campaign_Type]]="","Review - campaign code not found","")</f>
        <v/>
      </c>
    </row>
    <row r="647" spans="1:30" x14ac:dyDescent="0.25">
      <c r="A647" t="s">
        <v>4435</v>
      </c>
      <c r="B647" t="s">
        <v>654</v>
      </c>
      <c r="C647" t="s">
        <v>3341</v>
      </c>
      <c r="D647" t="s">
        <v>3342</v>
      </c>
      <c r="E647" t="s">
        <v>3316</v>
      </c>
      <c r="F647" s="17">
        <v>45766</v>
      </c>
      <c r="G647">
        <v>142.87</v>
      </c>
      <c r="H647" t="s">
        <v>36</v>
      </c>
      <c r="I647" t="s">
        <v>3365</v>
      </c>
      <c r="J647" t="str">
        <f>_xlfn.XLOOKUP(Table8[[#This Row],[Supporter_ID]],tb1_supporters[Supporter_ID ],tb1_supporters[Segment],"")</f>
        <v>Mid-Value</v>
      </c>
      <c r="K647" t="str">
        <f>_xlfn.XLOOKUP(Table8[[#This Row],[Supporter_ID]],tb1_supporters[Supporter_ID ],tb1_supporters[Acquisition_Source],"")</f>
        <v>Website</v>
      </c>
      <c r="L647" t="str">
        <f>_xlfn.XLOOKUP(Table8[[#This Row],[Supporter_ID]],tb1_supporters[Supporter_ID ],tb1_supporters[County],"")</f>
        <v>West Midlands</v>
      </c>
      <c r="M647" t="str">
        <f>_xlfn.XLOOKUP(Table8[[#This Row],[Supporter_ID]],tb1_supporters[Supporter_ID ],tb1_supporters[Gender],"")</f>
        <v>Female</v>
      </c>
      <c r="N647">
        <f ca="1">_xlfn.XLOOKUP(Table8[[#This Row],[Supporter_ID]],tb1_supporters[Supporter_ID ],tb1_supporters[Age],"")</f>
        <v>68</v>
      </c>
      <c r="O647" t="str">
        <f ca="1">_xlfn.XLOOKUP(Table8[[#This Row],[Supporter_ID]],tb1_supporters[Supporter_ID ],tb1_supporters[Age_Band],"")</f>
        <v>65+</v>
      </c>
      <c r="P647" t="str">
        <f ca="1">IF(Table8[[#This Row],[Age_Band]]="","Unknown",Table8[[#This Row],[Age_Band]])</f>
        <v>65+</v>
      </c>
      <c r="Q647" t="str">
        <f>_xlfn.XLOOKUP(Table8[[#This Row],[Supporter_ID]],tb1_supporters[Supporter_ID ],tb1_supporters[Communication_Preference],"")</f>
        <v>Email</v>
      </c>
      <c r="R647" t="str">
        <f>_xlfn.XLOOKUP(Table8[[#This Row],[Supporter_ID]],tb1_supporters[Supporter_ID ],tb1_supporters[Duplicate_Profile_Flag],"")</f>
        <v/>
      </c>
      <c r="S647" t="str">
        <f>_xlfn.XLOOKUP(Table8[[#This Row],[Supporter_ID]],tb1_supporters[Supporter_ID ],tb1_supporters[Preference_Compliance_Flag],"")</f>
        <v/>
      </c>
      <c r="T647" t="str">
        <f ca="1">IF(Table8[[#This Row],[Age]]="","Review - missing DOB",IF(Table8[[#This Row],[Age]]&gt;TODAY(),"Review - future DOB",IF(Table8[[#This Row],[Age]]=0,"Review -  potential entry error (age 0)","")))</f>
        <v/>
      </c>
      <c r="U647" t="str">
        <f>_xlfn.XLOOKUP(Table8[[#This Row],[Campaign_Code]],tb3_CampaignMaster[Campaign_Code],tb3_CampaignMaster[Campaign_Type],"")</f>
        <v>Acquisition</v>
      </c>
      <c r="V647" t="str">
        <f>_xlfn.XLOOKUP(Table8[[#This Row],[Campaign_Code]],tb3_CampaignMaster[Campaign_Code],tb3_CampaignMaster[Target_Audience],"")</f>
        <v>Prospects</v>
      </c>
      <c r="W647" s="17">
        <f>_xlfn.XLOOKUP(Table8[[#This Row],[Campaign_Code]],tb3_CampaignMaster[Campaign_Code],tb3_CampaignMaster[Start_Date],"")</f>
        <v>45689</v>
      </c>
      <c r="X647" s="17">
        <f>_xlfn.XLOOKUP(Table8[[#This Row],[Campaign_Code]],tb3_CampaignMaster[Campaign_Code],tb3_CampaignMaster[End_Date],"")</f>
        <v>45777</v>
      </c>
      <c r="Y647">
        <f>_xlfn.XLOOKUP(Table8[[#This Row],[Campaign_Code]],tb3_CampaignMaster[Campaign_Code],tb3_CampaignMaster[Budget_GBP],"")</f>
        <v>20000</v>
      </c>
      <c r="Z647" t="str">
        <f>_xlfn.XLOOKUP(Table8[[#This Row],[Campaign_Code]],tb3_CampaignMaster[Campaign_Code],tb3_CampaignMaster[Primary_Channel],"")</f>
        <v>Digital</v>
      </c>
      <c r="AA647" s="13">
        <f>IF(Table8[[#This Row],[Gift_Aid_Eligible]]="Yes",Table8[[#This Row],[Gift_Amount]]*1.25,Table8[[#This Row],[Gift_Amount]])</f>
        <v>178.58750000000001</v>
      </c>
      <c r="AB647" t="str">
        <f>IF(Table8[[#This Row],[Supporter_ID]]="","Review - missing supporter ID","")</f>
        <v/>
      </c>
      <c r="AC647" t="str">
        <f>IF(OR(Table8[[#This Row],[Response_Date]]&lt;Table8[[#This Row],[Start_Date]],Table8[[#This Row],[Response_Date]]&gt;Table8[[#This Row],[End_Date]]),"Review - response outside campaign dates","")</f>
        <v/>
      </c>
      <c r="AD647" t="str">
        <f>IF(Table8[[#This Row],[Campaign_Type]]="","Review - campaign code not found","")</f>
        <v/>
      </c>
    </row>
    <row r="648" spans="1:30" x14ac:dyDescent="0.25">
      <c r="A648" t="s">
        <v>4436</v>
      </c>
      <c r="B648" t="s">
        <v>1790</v>
      </c>
      <c r="C648" t="s">
        <v>3336</v>
      </c>
      <c r="D648" t="s">
        <v>3337</v>
      </c>
      <c r="E648" t="s">
        <v>4</v>
      </c>
      <c r="F648" s="17">
        <v>45560</v>
      </c>
      <c r="G648">
        <v>43.92</v>
      </c>
      <c r="H648" t="s">
        <v>37</v>
      </c>
      <c r="I648" t="s">
        <v>3334</v>
      </c>
      <c r="J648" t="str">
        <f>_xlfn.XLOOKUP(Table8[[#This Row],[Supporter_ID]],tb1_supporters[Supporter_ID ],tb1_supporters[Segment],"")</f>
        <v>Regular Giver</v>
      </c>
      <c r="K648" t="str">
        <f>_xlfn.XLOOKUP(Table8[[#This Row],[Supporter_ID]],tb1_supporters[Supporter_ID ],tb1_supporters[Acquisition_Source],"")</f>
        <v>Event</v>
      </c>
      <c r="L648" t="str">
        <f>_xlfn.XLOOKUP(Table8[[#This Row],[Supporter_ID]],tb1_supporters[Supporter_ID ],tb1_supporters[County],"")</f>
        <v>South Glamorgan</v>
      </c>
      <c r="M648" t="str">
        <f>_xlfn.XLOOKUP(Table8[[#This Row],[Supporter_ID]],tb1_supporters[Supporter_ID ],tb1_supporters[Gender],"")</f>
        <v>Female</v>
      </c>
      <c r="N648">
        <f ca="1">_xlfn.XLOOKUP(Table8[[#This Row],[Supporter_ID]],tb1_supporters[Supporter_ID ],tb1_supporters[Age],"")</f>
        <v>59</v>
      </c>
      <c r="O648" t="str">
        <f ca="1">_xlfn.XLOOKUP(Table8[[#This Row],[Supporter_ID]],tb1_supporters[Supporter_ID ],tb1_supporters[Age_Band],"")</f>
        <v>50-64</v>
      </c>
      <c r="P648" t="str">
        <f ca="1">IF(Table8[[#This Row],[Age_Band]]="","Unknown",Table8[[#This Row],[Age_Band]])</f>
        <v>50-64</v>
      </c>
      <c r="Q648" t="str">
        <f>_xlfn.XLOOKUP(Table8[[#This Row],[Supporter_ID]],tb1_supporters[Supporter_ID ],tb1_supporters[Communication_Preference],"")</f>
        <v>No Preference</v>
      </c>
      <c r="R648" t="str">
        <f>_xlfn.XLOOKUP(Table8[[#This Row],[Supporter_ID]],tb1_supporters[Supporter_ID ],tb1_supporters[Duplicate_Profile_Flag],"")</f>
        <v/>
      </c>
      <c r="S648" t="str">
        <f>_xlfn.XLOOKUP(Table8[[#This Row],[Supporter_ID]],tb1_supporters[Supporter_ID ],tb1_supporters[Preference_Compliance_Flag],"")</f>
        <v/>
      </c>
      <c r="T648" t="str">
        <f ca="1">IF(Table8[[#This Row],[Age]]="","Review - missing DOB",IF(Table8[[#This Row],[Age]]&gt;TODAY(),"Review - future DOB",IF(Table8[[#This Row],[Age]]=0,"Review -  potential entry error (age 0)","")))</f>
        <v/>
      </c>
      <c r="U648" t="str">
        <f>_xlfn.XLOOKUP(Table8[[#This Row],[Campaign_Code]],tb3_CampaignMaster[Campaign_Code],tb3_CampaignMaster[Campaign_Type],"")</f>
        <v>Appeal</v>
      </c>
      <c r="V648" t="str">
        <f>_xlfn.XLOOKUP(Table8[[#This Row],[Campaign_Code]],tb3_CampaignMaster[Campaign_Code],tb3_CampaignMaster[Target_Audience],"")</f>
        <v>All Supporters</v>
      </c>
      <c r="W648" s="17">
        <f>_xlfn.XLOOKUP(Table8[[#This Row],[Campaign_Code]],tb3_CampaignMaster[Campaign_Code],tb3_CampaignMaster[Start_Date],"")</f>
        <v>45545</v>
      </c>
      <c r="X648" s="17">
        <f>_xlfn.XLOOKUP(Table8[[#This Row],[Campaign_Code]],tb3_CampaignMaster[Campaign_Code],tb3_CampaignMaster[End_Date],"")</f>
        <v>45580</v>
      </c>
      <c r="Y648">
        <f>_xlfn.XLOOKUP(Table8[[#This Row],[Campaign_Code]],tb3_CampaignMaster[Campaign_Code],tb3_CampaignMaster[Budget_GBP],"")</f>
        <v>15000</v>
      </c>
      <c r="Z648" t="str">
        <f>_xlfn.XLOOKUP(Table8[[#This Row],[Campaign_Code]],tb3_CampaignMaster[Campaign_Code],tb3_CampaignMaster[Primary_Channel],"")</f>
        <v>Email</v>
      </c>
      <c r="AA648" s="13">
        <f>IF(Table8[[#This Row],[Gift_Aid_Eligible]]="Yes",Table8[[#This Row],[Gift_Amount]]*1.25,Table8[[#This Row],[Gift_Amount]])</f>
        <v>43.92</v>
      </c>
      <c r="AB648" t="str">
        <f>IF(Table8[[#This Row],[Supporter_ID]]="","Review - missing supporter ID","")</f>
        <v/>
      </c>
      <c r="AC648" t="str">
        <f>IF(OR(Table8[[#This Row],[Response_Date]]&lt;Table8[[#This Row],[Start_Date]],Table8[[#This Row],[Response_Date]]&gt;Table8[[#This Row],[End_Date]]),"Review - response outside campaign dates","")</f>
        <v/>
      </c>
      <c r="AD648" t="str">
        <f>IF(Table8[[#This Row],[Campaign_Type]]="","Review - campaign code not found","")</f>
        <v/>
      </c>
    </row>
    <row r="649" spans="1:30" x14ac:dyDescent="0.25">
      <c r="A649" t="s">
        <v>4438</v>
      </c>
      <c r="B649" t="s">
        <v>3297</v>
      </c>
      <c r="C649" t="s">
        <v>3341</v>
      </c>
      <c r="D649" t="s">
        <v>3342</v>
      </c>
      <c r="E649" t="s">
        <v>3316</v>
      </c>
      <c r="F649" s="17">
        <v>45724</v>
      </c>
      <c r="G649">
        <v>99.33</v>
      </c>
      <c r="H649" t="s">
        <v>36</v>
      </c>
      <c r="I649" t="s">
        <v>3331</v>
      </c>
      <c r="J649" t="str">
        <f>_xlfn.XLOOKUP(Table8[[#This Row],[Supporter_ID]],tb1_supporters[Supporter_ID ],tb1_supporters[Segment],"")</f>
        <v>One-Time Donor</v>
      </c>
      <c r="K649" t="str">
        <f>_xlfn.XLOOKUP(Table8[[#This Row],[Supporter_ID]],tb1_supporters[Supporter_ID ],tb1_supporters[Acquisition_Source],"")</f>
        <v>Door-To-Door</v>
      </c>
      <c r="L649" t="str">
        <f>_xlfn.XLOOKUP(Table8[[#This Row],[Supporter_ID]],tb1_supporters[Supporter_ID ],tb1_supporters[County],"")</f>
        <v>Avon</v>
      </c>
      <c r="M649" t="str">
        <f>_xlfn.XLOOKUP(Table8[[#This Row],[Supporter_ID]],tb1_supporters[Supporter_ID ],tb1_supporters[Gender],"")</f>
        <v>Female</v>
      </c>
      <c r="N649">
        <f ca="1">_xlfn.XLOOKUP(Table8[[#This Row],[Supporter_ID]],tb1_supporters[Supporter_ID ],tb1_supporters[Age],"")</f>
        <v>68</v>
      </c>
      <c r="O649" t="str">
        <f ca="1">_xlfn.XLOOKUP(Table8[[#This Row],[Supporter_ID]],tb1_supporters[Supporter_ID ],tb1_supporters[Age_Band],"")</f>
        <v>65+</v>
      </c>
      <c r="P649" t="str">
        <f ca="1">IF(Table8[[#This Row],[Age_Band]]="","Unknown",Table8[[#This Row],[Age_Band]])</f>
        <v>65+</v>
      </c>
      <c r="Q649" t="str">
        <f>_xlfn.XLOOKUP(Table8[[#This Row],[Supporter_ID]],tb1_supporters[Supporter_ID ],tb1_supporters[Communication_Preference],"")</f>
        <v>No Preference</v>
      </c>
      <c r="R649" t="str">
        <f>_xlfn.XLOOKUP(Table8[[#This Row],[Supporter_ID]],tb1_supporters[Supporter_ID ],tb1_supporters[Duplicate_Profile_Flag],"")</f>
        <v/>
      </c>
      <c r="S649" t="str">
        <f>_xlfn.XLOOKUP(Table8[[#This Row],[Supporter_ID]],tb1_supporters[Supporter_ID ],tb1_supporters[Preference_Compliance_Flag],"")</f>
        <v/>
      </c>
      <c r="T649" t="str">
        <f ca="1">IF(Table8[[#This Row],[Age]]="","Review - missing DOB",IF(Table8[[#This Row],[Age]]&gt;TODAY(),"Review - future DOB",IF(Table8[[#This Row],[Age]]=0,"Review -  potential entry error (age 0)","")))</f>
        <v/>
      </c>
      <c r="U649" t="str">
        <f>_xlfn.XLOOKUP(Table8[[#This Row],[Campaign_Code]],tb3_CampaignMaster[Campaign_Code],tb3_CampaignMaster[Campaign_Type],"")</f>
        <v>Acquisition</v>
      </c>
      <c r="V649" t="str">
        <f>_xlfn.XLOOKUP(Table8[[#This Row],[Campaign_Code]],tb3_CampaignMaster[Campaign_Code],tb3_CampaignMaster[Target_Audience],"")</f>
        <v>Prospects</v>
      </c>
      <c r="W649" s="17">
        <f>_xlfn.XLOOKUP(Table8[[#This Row],[Campaign_Code]],tb3_CampaignMaster[Campaign_Code],tb3_CampaignMaster[Start_Date],"")</f>
        <v>45689</v>
      </c>
      <c r="X649" s="17">
        <f>_xlfn.XLOOKUP(Table8[[#This Row],[Campaign_Code]],tb3_CampaignMaster[Campaign_Code],tb3_CampaignMaster[End_Date],"")</f>
        <v>45777</v>
      </c>
      <c r="Y649">
        <f>_xlfn.XLOOKUP(Table8[[#This Row],[Campaign_Code]],tb3_CampaignMaster[Campaign_Code],tb3_CampaignMaster[Budget_GBP],"")</f>
        <v>20000</v>
      </c>
      <c r="Z649" t="str">
        <f>_xlfn.XLOOKUP(Table8[[#This Row],[Campaign_Code]],tb3_CampaignMaster[Campaign_Code],tb3_CampaignMaster[Primary_Channel],"")</f>
        <v>Digital</v>
      </c>
      <c r="AA649" s="13">
        <f>IF(Table8[[#This Row],[Gift_Aid_Eligible]]="Yes",Table8[[#This Row],[Gift_Amount]]*1.25,Table8[[#This Row],[Gift_Amount]])</f>
        <v>124.16249999999999</v>
      </c>
      <c r="AB649" t="str">
        <f>IF(Table8[[#This Row],[Supporter_ID]]="","Review - missing supporter ID","")</f>
        <v/>
      </c>
      <c r="AC649" t="str">
        <f>IF(OR(Table8[[#This Row],[Response_Date]]&lt;Table8[[#This Row],[Start_Date]],Table8[[#This Row],[Response_Date]]&gt;Table8[[#This Row],[End_Date]]),"Review - response outside campaign dates","")</f>
        <v/>
      </c>
      <c r="AD649" t="str">
        <f>IF(Table8[[#This Row],[Campaign_Type]]="","Review - campaign code not found","")</f>
        <v/>
      </c>
    </row>
    <row r="650" spans="1:30" x14ac:dyDescent="0.25">
      <c r="A650" t="s">
        <v>4440</v>
      </c>
      <c r="B650" t="s">
        <v>1850</v>
      </c>
      <c r="C650" t="s">
        <v>3354</v>
      </c>
      <c r="D650" t="s">
        <v>3355</v>
      </c>
      <c r="E650" t="s">
        <v>65</v>
      </c>
      <c r="F650" s="17">
        <v>45618</v>
      </c>
      <c r="G650">
        <v>22.14</v>
      </c>
      <c r="H650" t="s">
        <v>36</v>
      </c>
      <c r="I650" t="s">
        <v>3328</v>
      </c>
      <c r="J650" t="str">
        <f>_xlfn.XLOOKUP(Table8[[#This Row],[Supporter_ID]],tb1_supporters[Supporter_ID ],tb1_supporters[Segment],"")</f>
        <v>Lapsed</v>
      </c>
      <c r="K650" t="str">
        <f>_xlfn.XLOOKUP(Table8[[#This Row],[Supporter_ID]],tb1_supporters[Supporter_ID ],tb1_supporters[Acquisition_Source],"")</f>
        <v>Corporate Partner</v>
      </c>
      <c r="L650" t="str">
        <f>_xlfn.XLOOKUP(Table8[[#This Row],[Supporter_ID]],tb1_supporters[Supporter_ID ],tb1_supporters[County],"")</f>
        <v>Grampian</v>
      </c>
      <c r="M650" t="str">
        <f>_xlfn.XLOOKUP(Table8[[#This Row],[Supporter_ID]],tb1_supporters[Supporter_ID ],tb1_supporters[Gender],"")</f>
        <v>Female</v>
      </c>
      <c r="N650">
        <f ca="1">_xlfn.XLOOKUP(Table8[[#This Row],[Supporter_ID]],tb1_supporters[Supporter_ID ],tb1_supporters[Age],"")</f>
        <v>77</v>
      </c>
      <c r="O650" t="str">
        <f ca="1">_xlfn.XLOOKUP(Table8[[#This Row],[Supporter_ID]],tb1_supporters[Supporter_ID ],tb1_supporters[Age_Band],"")</f>
        <v>65+</v>
      </c>
      <c r="P650" t="str">
        <f ca="1">IF(Table8[[#This Row],[Age_Band]]="","Unknown",Table8[[#This Row],[Age_Band]])</f>
        <v>65+</v>
      </c>
      <c r="Q650" t="str">
        <f>_xlfn.XLOOKUP(Table8[[#This Row],[Supporter_ID]],tb1_supporters[Supporter_ID ],tb1_supporters[Communication_Preference],"")</f>
        <v>Email</v>
      </c>
      <c r="R650" t="str">
        <f>_xlfn.XLOOKUP(Table8[[#This Row],[Supporter_ID]],tb1_supporters[Supporter_ID ],tb1_supporters[Duplicate_Profile_Flag],"")</f>
        <v/>
      </c>
      <c r="S650" t="str">
        <f>_xlfn.XLOOKUP(Table8[[#This Row],[Supporter_ID]],tb1_supporters[Supporter_ID ],tb1_supporters[Preference_Compliance_Flag],"")</f>
        <v/>
      </c>
      <c r="T650" t="str">
        <f ca="1">IF(Table8[[#This Row],[Age]]="","Review - missing DOB",IF(Table8[[#This Row],[Age]]&gt;TODAY(),"Review - future DOB",IF(Table8[[#This Row],[Age]]=0,"Review -  potential entry error (age 0)","")))</f>
        <v/>
      </c>
      <c r="U650" t="str">
        <f>_xlfn.XLOOKUP(Table8[[#This Row],[Campaign_Code]],tb3_CampaignMaster[Campaign_Code],tb3_CampaignMaster[Campaign_Type],"")</f>
        <v>Event</v>
      </c>
      <c r="V650" t="str">
        <f>_xlfn.XLOOKUP(Table8[[#This Row],[Campaign_Code]],tb3_CampaignMaster[Campaign_Code],tb3_CampaignMaster[Target_Audience],"")</f>
        <v>Volunteers</v>
      </c>
      <c r="W650" s="17">
        <f>_xlfn.XLOOKUP(Table8[[#This Row],[Campaign_Code]],tb3_CampaignMaster[Campaign_Code],tb3_CampaignMaster[Start_Date],"")</f>
        <v>45618</v>
      </c>
      <c r="X650" s="17">
        <f>_xlfn.XLOOKUP(Table8[[#This Row],[Campaign_Code]],tb3_CampaignMaster[Campaign_Code],tb3_CampaignMaster[End_Date],"")</f>
        <v>45618</v>
      </c>
      <c r="Y650">
        <f>_xlfn.XLOOKUP(Table8[[#This Row],[Campaign_Code]],tb3_CampaignMaster[Campaign_Code],tb3_CampaignMaster[Budget_GBP],"")</f>
        <v>3500</v>
      </c>
      <c r="Z650" t="str">
        <f>_xlfn.XLOOKUP(Table8[[#This Row],[Campaign_Code]],tb3_CampaignMaster[Campaign_Code],tb3_CampaignMaster[Primary_Channel],"")</f>
        <v>Email</v>
      </c>
      <c r="AA650" s="13">
        <f>IF(Table8[[#This Row],[Gift_Aid_Eligible]]="Yes",Table8[[#This Row],[Gift_Amount]]*1.25,Table8[[#This Row],[Gift_Amount]])</f>
        <v>27.675000000000001</v>
      </c>
      <c r="AB650" t="str">
        <f>IF(Table8[[#This Row],[Supporter_ID]]="","Review - missing supporter ID","")</f>
        <v/>
      </c>
      <c r="AC650" t="str">
        <f>IF(OR(Table8[[#This Row],[Response_Date]]&lt;Table8[[#This Row],[Start_Date]],Table8[[#This Row],[Response_Date]]&gt;Table8[[#This Row],[End_Date]]),"Review - response outside campaign dates","")</f>
        <v/>
      </c>
      <c r="AD650" t="str">
        <f>IF(Table8[[#This Row],[Campaign_Type]]="","Review - campaign code not found","")</f>
        <v/>
      </c>
    </row>
    <row r="651" spans="1:30" x14ac:dyDescent="0.25">
      <c r="A651" t="s">
        <v>4441</v>
      </c>
      <c r="B651" t="s">
        <v>1726</v>
      </c>
      <c r="C651" t="s">
        <v>3325</v>
      </c>
      <c r="D651" t="s">
        <v>3326</v>
      </c>
      <c r="E651" t="s">
        <v>65</v>
      </c>
      <c r="F651" s="17">
        <v>45650</v>
      </c>
      <c r="G651">
        <v>23.8</v>
      </c>
      <c r="H651" t="s">
        <v>36</v>
      </c>
      <c r="I651" t="s">
        <v>3370</v>
      </c>
      <c r="J651" t="str">
        <f>_xlfn.XLOOKUP(Table8[[#This Row],[Supporter_ID]],tb1_supporters[Supporter_ID ],tb1_supporters[Segment],"")</f>
        <v>Lapsed</v>
      </c>
      <c r="K651" t="str">
        <f>_xlfn.XLOOKUP(Table8[[#This Row],[Supporter_ID]],tb1_supporters[Supporter_ID ],tb1_supporters[Acquisition_Source],"")</f>
        <v>Event</v>
      </c>
      <c r="L651" t="str">
        <f>_xlfn.XLOOKUP(Table8[[#This Row],[Supporter_ID]],tb1_supporters[Supporter_ID ],tb1_supporters[County],"")</f>
        <v>North Yorkshire</v>
      </c>
      <c r="M651" t="str">
        <f>_xlfn.XLOOKUP(Table8[[#This Row],[Supporter_ID]],tb1_supporters[Supporter_ID ],tb1_supporters[Gender],"")</f>
        <v>Female</v>
      </c>
      <c r="N651">
        <f ca="1">_xlfn.XLOOKUP(Table8[[#This Row],[Supporter_ID]],tb1_supporters[Supporter_ID ],tb1_supporters[Age],"")</f>
        <v>93</v>
      </c>
      <c r="O651" t="str">
        <f ca="1">_xlfn.XLOOKUP(Table8[[#This Row],[Supporter_ID]],tb1_supporters[Supporter_ID ],tb1_supporters[Age_Band],"")</f>
        <v>65+</v>
      </c>
      <c r="P651" t="str">
        <f ca="1">IF(Table8[[#This Row],[Age_Band]]="","Unknown",Table8[[#This Row],[Age_Band]])</f>
        <v>65+</v>
      </c>
      <c r="Q651" t="str">
        <f>_xlfn.XLOOKUP(Table8[[#This Row],[Supporter_ID]],tb1_supporters[Supporter_ID ],tb1_supporters[Communication_Preference],"")</f>
        <v>Post</v>
      </c>
      <c r="R651" t="str">
        <f>_xlfn.XLOOKUP(Table8[[#This Row],[Supporter_ID]],tb1_supporters[Supporter_ID ],tb1_supporters[Duplicate_Profile_Flag],"")</f>
        <v/>
      </c>
      <c r="S651" t="str">
        <f>_xlfn.XLOOKUP(Table8[[#This Row],[Supporter_ID]],tb1_supporters[Supporter_ID ],tb1_supporters[Preference_Compliance_Flag],"")</f>
        <v/>
      </c>
      <c r="T651" t="str">
        <f ca="1">IF(Table8[[#This Row],[Age]]="","Review - missing DOB",IF(Table8[[#This Row],[Age]]&gt;TODAY(),"Review - future DOB",IF(Table8[[#This Row],[Age]]=0,"Review -  potential entry error (age 0)","")))</f>
        <v/>
      </c>
      <c r="U651" t="str">
        <f>_xlfn.XLOOKUP(Table8[[#This Row],[Campaign_Code]],tb3_CampaignMaster[Campaign_Code],tb3_CampaignMaster[Campaign_Type],"")</f>
        <v>Appeal</v>
      </c>
      <c r="V651" t="str">
        <f>_xlfn.XLOOKUP(Table8[[#This Row],[Campaign_Code]],tb3_CampaignMaster[Campaign_Code],tb3_CampaignMaster[Target_Audience],"")</f>
        <v>All Active</v>
      </c>
      <c r="W651" s="17">
        <f>_xlfn.XLOOKUP(Table8[[#This Row],[Campaign_Code]],tb3_CampaignMaster[Campaign_Code],tb3_CampaignMaster[Start_Date],"")</f>
        <v>45597</v>
      </c>
      <c r="X651" s="17">
        <f>_xlfn.XLOOKUP(Table8[[#This Row],[Campaign_Code]],tb3_CampaignMaster[Campaign_Code],tb3_CampaignMaster[End_Date],"")</f>
        <v>45657</v>
      </c>
      <c r="Y651">
        <f>_xlfn.XLOOKUP(Table8[[#This Row],[Campaign_Code]],tb3_CampaignMaster[Campaign_Code],tb3_CampaignMaster[Budget_GBP],"")</f>
        <v>25000</v>
      </c>
      <c r="Z651" t="str">
        <f>_xlfn.XLOOKUP(Table8[[#This Row],[Campaign_Code]],tb3_CampaignMaster[Campaign_Code],tb3_CampaignMaster[Primary_Channel],"")</f>
        <v>Multi-channel</v>
      </c>
      <c r="AA651" s="13">
        <f>IF(Table8[[#This Row],[Gift_Aid_Eligible]]="Yes",Table8[[#This Row],[Gift_Amount]]*1.25,Table8[[#This Row],[Gift_Amount]])</f>
        <v>29.75</v>
      </c>
      <c r="AB651" t="str">
        <f>IF(Table8[[#This Row],[Supporter_ID]]="","Review - missing supporter ID","")</f>
        <v/>
      </c>
      <c r="AC651" t="str">
        <f>IF(OR(Table8[[#This Row],[Response_Date]]&lt;Table8[[#This Row],[Start_Date]],Table8[[#This Row],[Response_Date]]&gt;Table8[[#This Row],[End_Date]]),"Review - response outside campaign dates","")</f>
        <v/>
      </c>
      <c r="AD651" t="str">
        <f>IF(Table8[[#This Row],[Campaign_Type]]="","Review - campaign code not found","")</f>
        <v/>
      </c>
    </row>
    <row r="652" spans="1:30" x14ac:dyDescent="0.25">
      <c r="A652" t="s">
        <v>4442</v>
      </c>
      <c r="B652" t="s">
        <v>1832</v>
      </c>
      <c r="C652" t="s">
        <v>3367</v>
      </c>
      <c r="D652" t="s">
        <v>3368</v>
      </c>
      <c r="E652" t="s">
        <v>4</v>
      </c>
      <c r="F652" s="17">
        <v>45754</v>
      </c>
      <c r="G652">
        <v>50.61</v>
      </c>
      <c r="H652" t="s">
        <v>36</v>
      </c>
      <c r="I652" t="s">
        <v>3318</v>
      </c>
      <c r="J652" t="str">
        <f>_xlfn.XLOOKUP(Table8[[#This Row],[Supporter_ID]],tb1_supporters[Supporter_ID ],tb1_supporters[Segment],"")</f>
        <v>One-Time Donor</v>
      </c>
      <c r="K652" t="str">
        <f>_xlfn.XLOOKUP(Table8[[#This Row],[Supporter_ID]],tb1_supporters[Supporter_ID ],tb1_supporters[Acquisition_Source],"")</f>
        <v>Telephone</v>
      </c>
      <c r="L652" t="str">
        <f>_xlfn.XLOOKUP(Table8[[#This Row],[Supporter_ID]],tb1_supporters[Supporter_ID ],tb1_supporters[County],"")</f>
        <v>Wiltshire</v>
      </c>
      <c r="M652" t="str">
        <f>_xlfn.XLOOKUP(Table8[[#This Row],[Supporter_ID]],tb1_supporters[Supporter_ID ],tb1_supporters[Gender],"")</f>
        <v>Male</v>
      </c>
      <c r="N652">
        <f ca="1">_xlfn.XLOOKUP(Table8[[#This Row],[Supporter_ID]],tb1_supporters[Supporter_ID ],tb1_supporters[Age],"")</f>
        <v>67</v>
      </c>
      <c r="O652" t="str">
        <f ca="1">_xlfn.XLOOKUP(Table8[[#This Row],[Supporter_ID]],tb1_supporters[Supporter_ID ],tb1_supporters[Age_Band],"")</f>
        <v>65+</v>
      </c>
      <c r="P652" t="str">
        <f ca="1">IF(Table8[[#This Row],[Age_Band]]="","Unknown",Table8[[#This Row],[Age_Band]])</f>
        <v>65+</v>
      </c>
      <c r="Q652" t="str">
        <f>_xlfn.XLOOKUP(Table8[[#This Row],[Supporter_ID]],tb1_supporters[Supporter_ID ],tb1_supporters[Communication_Preference],"")</f>
        <v>Phone</v>
      </c>
      <c r="R652" t="str">
        <f>_xlfn.XLOOKUP(Table8[[#This Row],[Supporter_ID]],tb1_supporters[Supporter_ID ],tb1_supporters[Duplicate_Profile_Flag],"")</f>
        <v/>
      </c>
      <c r="S652" t="str">
        <f>_xlfn.XLOOKUP(Table8[[#This Row],[Supporter_ID]],tb1_supporters[Supporter_ID ],tb1_supporters[Preference_Compliance_Flag],"")</f>
        <v>Review - prefers phone but not opted in</v>
      </c>
      <c r="T652" t="str">
        <f ca="1">IF(Table8[[#This Row],[Age]]="","Review - missing DOB",IF(Table8[[#This Row],[Age]]&gt;TODAY(),"Review - future DOB",IF(Table8[[#This Row],[Age]]=0,"Review -  potential entry error (age 0)","")))</f>
        <v/>
      </c>
      <c r="U652" t="str">
        <f>_xlfn.XLOOKUP(Table8[[#This Row],[Campaign_Code]],tb3_CampaignMaster[Campaign_Code],tb3_CampaignMaster[Campaign_Type],"")</f>
        <v>Raffle</v>
      </c>
      <c r="V652" t="str">
        <f>_xlfn.XLOOKUP(Table8[[#This Row],[Campaign_Code]],tb3_CampaignMaster[Campaign_Code],tb3_CampaignMaster[Target_Audience],"")</f>
        <v>Regular Givers</v>
      </c>
      <c r="W652" s="17">
        <f>_xlfn.XLOOKUP(Table8[[#This Row],[Campaign_Code]],tb3_CampaignMaster[Campaign_Code],tb3_CampaignMaster[Start_Date],"")</f>
        <v>45717</v>
      </c>
      <c r="X652" s="17">
        <f>_xlfn.XLOOKUP(Table8[[#This Row],[Campaign_Code]],tb3_CampaignMaster[Campaign_Code],tb3_CampaignMaster[End_Date],"")</f>
        <v>45777</v>
      </c>
      <c r="Y652">
        <f>_xlfn.XLOOKUP(Table8[[#This Row],[Campaign_Code]],tb3_CampaignMaster[Campaign_Code],tb3_CampaignMaster[Budget_GBP],"")</f>
        <v>8000</v>
      </c>
      <c r="Z652" t="str">
        <f>_xlfn.XLOOKUP(Table8[[#This Row],[Campaign_Code]],tb3_CampaignMaster[Campaign_Code],tb3_CampaignMaster[Primary_Channel],"")</f>
        <v>Direct Mail</v>
      </c>
      <c r="AA652" s="13">
        <f>IF(Table8[[#This Row],[Gift_Aid_Eligible]]="Yes",Table8[[#This Row],[Gift_Amount]]*1.25,Table8[[#This Row],[Gift_Amount]])</f>
        <v>63.262500000000003</v>
      </c>
      <c r="AB652" t="str">
        <f>IF(Table8[[#This Row],[Supporter_ID]]="","Review - missing supporter ID","")</f>
        <v/>
      </c>
      <c r="AC652" t="str">
        <f>IF(OR(Table8[[#This Row],[Response_Date]]&lt;Table8[[#This Row],[Start_Date]],Table8[[#This Row],[Response_Date]]&gt;Table8[[#This Row],[End_Date]]),"Review - response outside campaign dates","")</f>
        <v/>
      </c>
      <c r="AD652" t="str">
        <f>IF(Table8[[#This Row],[Campaign_Type]]="","Review - campaign code not found","")</f>
        <v/>
      </c>
    </row>
    <row r="653" spans="1:30" x14ac:dyDescent="0.25">
      <c r="A653" t="s">
        <v>4444</v>
      </c>
      <c r="B653" t="s">
        <v>1976</v>
      </c>
      <c r="C653" t="s">
        <v>3427</v>
      </c>
      <c r="D653" t="s">
        <v>3428</v>
      </c>
      <c r="E653" t="s">
        <v>65</v>
      </c>
      <c r="F653" s="17">
        <v>45488</v>
      </c>
      <c r="G653">
        <v>1956.31</v>
      </c>
      <c r="H653" t="s">
        <v>37</v>
      </c>
      <c r="I653" t="s">
        <v>3365</v>
      </c>
      <c r="J653" t="str">
        <f>_xlfn.XLOOKUP(Table8[[#This Row],[Supporter_ID]],tb1_supporters[Supporter_ID ],tb1_supporters[Segment],"")</f>
        <v>Major Donor</v>
      </c>
      <c r="K653" t="str">
        <f>_xlfn.XLOOKUP(Table8[[#This Row],[Supporter_ID]],tb1_supporters[Supporter_ID ],tb1_supporters[Acquisition_Source],"")</f>
        <v>Referral</v>
      </c>
      <c r="L653" t="str">
        <f>_xlfn.XLOOKUP(Table8[[#This Row],[Supporter_ID]],tb1_supporters[Supporter_ID ],tb1_supporters[County],"")</f>
        <v>East Sussex</v>
      </c>
      <c r="M653" t="str">
        <f>_xlfn.XLOOKUP(Table8[[#This Row],[Supporter_ID]],tb1_supporters[Supporter_ID ],tb1_supporters[Gender],"")</f>
        <v>Female</v>
      </c>
      <c r="N653">
        <f ca="1">_xlfn.XLOOKUP(Table8[[#This Row],[Supporter_ID]],tb1_supporters[Supporter_ID ],tb1_supporters[Age],"")</f>
        <v>75</v>
      </c>
      <c r="O653" t="str">
        <f ca="1">_xlfn.XLOOKUP(Table8[[#This Row],[Supporter_ID]],tb1_supporters[Supporter_ID ],tb1_supporters[Age_Band],"")</f>
        <v>65+</v>
      </c>
      <c r="P653" t="str">
        <f ca="1">IF(Table8[[#This Row],[Age_Band]]="","Unknown",Table8[[#This Row],[Age_Band]])</f>
        <v>65+</v>
      </c>
      <c r="Q653" t="str">
        <f>_xlfn.XLOOKUP(Table8[[#This Row],[Supporter_ID]],tb1_supporters[Supporter_ID ],tb1_supporters[Communication_Preference],"")</f>
        <v>Email</v>
      </c>
      <c r="R653" t="str">
        <f>_xlfn.XLOOKUP(Table8[[#This Row],[Supporter_ID]],tb1_supporters[Supporter_ID ],tb1_supporters[Duplicate_Profile_Flag],"")</f>
        <v/>
      </c>
      <c r="S653" t="str">
        <f>_xlfn.XLOOKUP(Table8[[#This Row],[Supporter_ID]],tb1_supporters[Supporter_ID ],tb1_supporters[Preference_Compliance_Flag],"")</f>
        <v/>
      </c>
      <c r="T653" t="str">
        <f ca="1">IF(Table8[[#This Row],[Age]]="","Review - missing DOB",IF(Table8[[#This Row],[Age]]&gt;TODAY(),"Review - future DOB",IF(Table8[[#This Row],[Age]]=0,"Review -  potential entry error (age 0)","")))</f>
        <v/>
      </c>
      <c r="U653" t="str">
        <f>_xlfn.XLOOKUP(Table8[[#This Row],[Campaign_Code]],tb3_CampaignMaster[Campaign_Code],tb3_CampaignMaster[Campaign_Type],"")</f>
        <v>Event</v>
      </c>
      <c r="V653" t="str">
        <f>_xlfn.XLOOKUP(Table8[[#This Row],[Campaign_Code]],tb3_CampaignMaster[Campaign_Code],tb3_CampaignMaster[Target_Audience],"")</f>
        <v>Major Donors</v>
      </c>
      <c r="W653" s="17">
        <f>_xlfn.XLOOKUP(Table8[[#This Row],[Campaign_Code]],tb3_CampaignMaster[Campaign_Code],tb3_CampaignMaster[Start_Date],"")</f>
        <v>45488</v>
      </c>
      <c r="X653" s="17">
        <f>_xlfn.XLOOKUP(Table8[[#This Row],[Campaign_Code]],tb3_CampaignMaster[Campaign_Code],tb3_CampaignMaster[End_Date],"")</f>
        <v>45488</v>
      </c>
      <c r="Y653">
        <f>_xlfn.XLOOKUP(Table8[[#This Row],[Campaign_Code]],tb3_CampaignMaster[Campaign_Code],tb3_CampaignMaster[Budget_GBP],"")</f>
        <v>45000</v>
      </c>
      <c r="Z653" t="str">
        <f>_xlfn.XLOOKUP(Table8[[#This Row],[Campaign_Code]],tb3_CampaignMaster[Campaign_Code],tb3_CampaignMaster[Primary_Channel],"")</f>
        <v>Direct Mail</v>
      </c>
      <c r="AA653" s="13">
        <f>IF(Table8[[#This Row],[Gift_Aid_Eligible]]="Yes",Table8[[#This Row],[Gift_Amount]]*1.25,Table8[[#This Row],[Gift_Amount]])</f>
        <v>1956.31</v>
      </c>
      <c r="AB653" t="str">
        <f>IF(Table8[[#This Row],[Supporter_ID]]="","Review - missing supporter ID","")</f>
        <v/>
      </c>
      <c r="AC653" t="str">
        <f>IF(OR(Table8[[#This Row],[Response_Date]]&lt;Table8[[#This Row],[Start_Date]],Table8[[#This Row],[Response_Date]]&gt;Table8[[#This Row],[End_Date]]),"Review - response outside campaign dates","")</f>
        <v/>
      </c>
      <c r="AD653" t="str">
        <f>IF(Table8[[#This Row],[Campaign_Type]]="","Review - campaign code not found","")</f>
        <v/>
      </c>
    </row>
    <row r="654" spans="1:30" x14ac:dyDescent="0.25">
      <c r="A654" t="s">
        <v>4445</v>
      </c>
      <c r="B654" t="s">
        <v>53</v>
      </c>
      <c r="C654" t="s">
        <v>3403</v>
      </c>
      <c r="D654" t="s">
        <v>3404</v>
      </c>
      <c r="E654" t="s">
        <v>65</v>
      </c>
      <c r="F654" s="17">
        <v>45615</v>
      </c>
      <c r="G654">
        <v>25.53</v>
      </c>
      <c r="H654" t="s">
        <v>36</v>
      </c>
      <c r="I654" t="s">
        <v>3323</v>
      </c>
      <c r="J654" t="str">
        <f>_xlfn.XLOOKUP(Table8[[#This Row],[Supporter_ID]],tb1_supporters[Supporter_ID ],tb1_supporters[Segment],"")</f>
        <v>Lapsed</v>
      </c>
      <c r="K654" t="str">
        <f>_xlfn.XLOOKUP(Table8[[#This Row],[Supporter_ID]],tb1_supporters[Supporter_ID ],tb1_supporters[Acquisition_Source],"")</f>
        <v>Direct Mail</v>
      </c>
      <c r="L654" t="str">
        <f>_xlfn.XLOOKUP(Table8[[#This Row],[Supporter_ID]],tb1_supporters[Supporter_ID ],tb1_supporters[County],"")</f>
        <v>Wiltshire</v>
      </c>
      <c r="M654" t="str">
        <f>_xlfn.XLOOKUP(Table8[[#This Row],[Supporter_ID]],tb1_supporters[Supporter_ID ],tb1_supporters[Gender],"")</f>
        <v>Male</v>
      </c>
      <c r="N654">
        <f ca="1">_xlfn.XLOOKUP(Table8[[#This Row],[Supporter_ID]],tb1_supporters[Supporter_ID ],tb1_supporters[Age],"")</f>
        <v>67</v>
      </c>
      <c r="O654" t="str">
        <f ca="1">_xlfn.XLOOKUP(Table8[[#This Row],[Supporter_ID]],tb1_supporters[Supporter_ID ],tb1_supporters[Age_Band],"")</f>
        <v>65+</v>
      </c>
      <c r="P654" t="str">
        <f ca="1">IF(Table8[[#This Row],[Age_Band]]="","Unknown",Table8[[#This Row],[Age_Band]])</f>
        <v>65+</v>
      </c>
      <c r="Q654" t="str">
        <f>_xlfn.XLOOKUP(Table8[[#This Row],[Supporter_ID]],tb1_supporters[Supporter_ID ],tb1_supporters[Communication_Preference],"")</f>
        <v>Phone</v>
      </c>
      <c r="R654" t="str">
        <f>_xlfn.XLOOKUP(Table8[[#This Row],[Supporter_ID]],tb1_supporters[Supporter_ID ],tb1_supporters[Duplicate_Profile_Flag],"")</f>
        <v/>
      </c>
      <c r="S654" t="str">
        <f>_xlfn.XLOOKUP(Table8[[#This Row],[Supporter_ID]],tb1_supporters[Supporter_ID ],tb1_supporters[Preference_Compliance_Flag],"")</f>
        <v/>
      </c>
      <c r="T654" t="str">
        <f ca="1">IF(Table8[[#This Row],[Age]]="","Review - missing DOB",IF(Table8[[#This Row],[Age]]&gt;TODAY(),"Review - future DOB",IF(Table8[[#This Row],[Age]]=0,"Review -  potential entry error (age 0)","")))</f>
        <v/>
      </c>
      <c r="U654" t="str">
        <f>_xlfn.XLOOKUP(Table8[[#This Row],[Campaign_Code]],tb3_CampaignMaster[Campaign_Code],tb3_CampaignMaster[Campaign_Type],"")</f>
        <v>Trading</v>
      </c>
      <c r="V654" t="str">
        <f>_xlfn.XLOOKUP(Table8[[#This Row],[Campaign_Code]],tb3_CampaignMaster[Campaign_Code],tb3_CampaignMaster[Target_Audience],"")</f>
        <v>All Active</v>
      </c>
      <c r="W654" s="17">
        <f>_xlfn.XLOOKUP(Table8[[#This Row],[Campaign_Code]],tb3_CampaignMaster[Campaign_Code],tb3_CampaignMaster[Start_Date],"")</f>
        <v>45580</v>
      </c>
      <c r="X654" s="17">
        <f>_xlfn.XLOOKUP(Table8[[#This Row],[Campaign_Code]],tb3_CampaignMaster[Campaign_Code],tb3_CampaignMaster[End_Date],"")</f>
        <v>45646</v>
      </c>
      <c r="Y654">
        <f>_xlfn.XLOOKUP(Table8[[#This Row],[Campaign_Code]],tb3_CampaignMaster[Campaign_Code],tb3_CampaignMaster[Budget_GBP],"")</f>
        <v>12000</v>
      </c>
      <c r="Z654" t="str">
        <f>_xlfn.XLOOKUP(Table8[[#This Row],[Campaign_Code]],tb3_CampaignMaster[Campaign_Code],tb3_CampaignMaster[Primary_Channel],"")</f>
        <v>Multi-channel</v>
      </c>
      <c r="AA654" s="13">
        <f>IF(Table8[[#This Row],[Gift_Aid_Eligible]]="Yes",Table8[[#This Row],[Gift_Amount]]*1.25,Table8[[#This Row],[Gift_Amount]])</f>
        <v>31.912500000000001</v>
      </c>
      <c r="AB654" t="str">
        <f>IF(Table8[[#This Row],[Supporter_ID]]="","Review - missing supporter ID","")</f>
        <v/>
      </c>
      <c r="AC654" t="str">
        <f>IF(OR(Table8[[#This Row],[Response_Date]]&lt;Table8[[#This Row],[Start_Date]],Table8[[#This Row],[Response_Date]]&gt;Table8[[#This Row],[End_Date]]),"Review - response outside campaign dates","")</f>
        <v/>
      </c>
      <c r="AD654" t="str">
        <f>IF(Table8[[#This Row],[Campaign_Type]]="","Review - campaign code not found","")</f>
        <v/>
      </c>
    </row>
    <row r="655" spans="1:30" x14ac:dyDescent="0.25">
      <c r="A655" t="s">
        <v>4447</v>
      </c>
      <c r="B655" t="s">
        <v>1084</v>
      </c>
      <c r="C655" t="s">
        <v>3362</v>
      </c>
      <c r="D655" t="s">
        <v>3363</v>
      </c>
      <c r="E655" t="s">
        <v>65</v>
      </c>
      <c r="F655" s="17">
        <v>45573</v>
      </c>
      <c r="G655">
        <v>19.010000000000002</v>
      </c>
      <c r="H655" t="s">
        <v>36</v>
      </c>
      <c r="I655" t="s">
        <v>3334</v>
      </c>
      <c r="J655" t="str">
        <f>_xlfn.XLOOKUP(Table8[[#This Row],[Supporter_ID]],tb1_supporters[Supporter_ID ],tb1_supporters[Segment],"")</f>
        <v>Lapsed</v>
      </c>
      <c r="K655" t="str">
        <f>_xlfn.XLOOKUP(Table8[[#This Row],[Supporter_ID]],tb1_supporters[Supporter_ID ],tb1_supporters[Acquisition_Source],"")</f>
        <v>Door-To-Door</v>
      </c>
      <c r="L655" t="str">
        <f>_xlfn.XLOOKUP(Table8[[#This Row],[Supporter_ID]],tb1_supporters[Supporter_ID ],tb1_supporters[County],"")</f>
        <v>South Yorkshire</v>
      </c>
      <c r="M655" t="str">
        <f>_xlfn.XLOOKUP(Table8[[#This Row],[Supporter_ID]],tb1_supporters[Supporter_ID ],tb1_supporters[Gender],"")</f>
        <v>Male</v>
      </c>
      <c r="N655">
        <f ca="1">_xlfn.XLOOKUP(Table8[[#This Row],[Supporter_ID]],tb1_supporters[Supporter_ID ],tb1_supporters[Age],"")</f>
        <v>78</v>
      </c>
      <c r="O655" t="str">
        <f ca="1">_xlfn.XLOOKUP(Table8[[#This Row],[Supporter_ID]],tb1_supporters[Supporter_ID ],tb1_supporters[Age_Band],"")</f>
        <v>65+</v>
      </c>
      <c r="P655" t="str">
        <f ca="1">IF(Table8[[#This Row],[Age_Band]]="","Unknown",Table8[[#This Row],[Age_Band]])</f>
        <v>65+</v>
      </c>
      <c r="Q655" t="str">
        <f>_xlfn.XLOOKUP(Table8[[#This Row],[Supporter_ID]],tb1_supporters[Supporter_ID ],tb1_supporters[Communication_Preference],"")</f>
        <v>No Preference</v>
      </c>
      <c r="R655" t="str">
        <f>_xlfn.XLOOKUP(Table8[[#This Row],[Supporter_ID]],tb1_supporters[Supporter_ID ],tb1_supporters[Duplicate_Profile_Flag],"")</f>
        <v/>
      </c>
      <c r="S655" t="str">
        <f>_xlfn.XLOOKUP(Table8[[#This Row],[Supporter_ID]],tb1_supporters[Supporter_ID ],tb1_supporters[Preference_Compliance_Flag],"")</f>
        <v/>
      </c>
      <c r="T655" t="str">
        <f ca="1">IF(Table8[[#This Row],[Age]]="","Review - missing DOB",IF(Table8[[#This Row],[Age]]&gt;TODAY(),"Review - future DOB",IF(Table8[[#This Row],[Age]]=0,"Review -  potential entry error (age 0)","")))</f>
        <v/>
      </c>
      <c r="U655" t="str">
        <f>_xlfn.XLOOKUP(Table8[[#This Row],[Campaign_Code]],tb3_CampaignMaster[Campaign_Code],tb3_CampaignMaster[Campaign_Type],"")</f>
        <v>Legacy</v>
      </c>
      <c r="V655" t="str">
        <f>_xlfn.XLOOKUP(Table8[[#This Row],[Campaign_Code]],tb3_CampaignMaster[Campaign_Code],tb3_CampaignMaster[Target_Audience],"")</f>
        <v>Over 55s</v>
      </c>
      <c r="W655" s="17">
        <f>_xlfn.XLOOKUP(Table8[[#This Row],[Campaign_Code]],tb3_CampaignMaster[Campaign_Code],tb3_CampaignMaster[Start_Date],"")</f>
        <v>45572</v>
      </c>
      <c r="X655" s="17">
        <f>_xlfn.XLOOKUP(Table8[[#This Row],[Campaign_Code]],tb3_CampaignMaster[Campaign_Code],tb3_CampaignMaster[End_Date],"")</f>
        <v>45578</v>
      </c>
      <c r="Y655">
        <f>_xlfn.XLOOKUP(Table8[[#This Row],[Campaign_Code]],tb3_CampaignMaster[Campaign_Code],tb3_CampaignMaster[Budget_GBP],"")</f>
        <v>5000</v>
      </c>
      <c r="Z655" t="str">
        <f>_xlfn.XLOOKUP(Table8[[#This Row],[Campaign_Code]],tb3_CampaignMaster[Campaign_Code],tb3_CampaignMaster[Primary_Channel],"")</f>
        <v>Direct Mail</v>
      </c>
      <c r="AA655" s="13">
        <f>IF(Table8[[#This Row],[Gift_Aid_Eligible]]="Yes",Table8[[#This Row],[Gift_Amount]]*1.25,Table8[[#This Row],[Gift_Amount]])</f>
        <v>23.762500000000003</v>
      </c>
      <c r="AB655" t="str">
        <f>IF(Table8[[#This Row],[Supporter_ID]]="","Review - missing supporter ID","")</f>
        <v/>
      </c>
      <c r="AC655" t="str">
        <f>IF(OR(Table8[[#This Row],[Response_Date]]&lt;Table8[[#This Row],[Start_Date]],Table8[[#This Row],[Response_Date]]&gt;Table8[[#This Row],[End_Date]]),"Review - response outside campaign dates","")</f>
        <v/>
      </c>
      <c r="AD655" t="str">
        <f>IF(Table8[[#This Row],[Campaign_Type]]="","Review - campaign code not found","")</f>
        <v/>
      </c>
    </row>
    <row r="656" spans="1:30" x14ac:dyDescent="0.25">
      <c r="A656" t="s">
        <v>4449</v>
      </c>
      <c r="B656" t="s">
        <v>2212</v>
      </c>
      <c r="C656" t="s">
        <v>3427</v>
      </c>
      <c r="D656" t="s">
        <v>3428</v>
      </c>
      <c r="E656" t="s">
        <v>4</v>
      </c>
      <c r="F656" s="17">
        <v>45488</v>
      </c>
      <c r="G656">
        <v>61.76</v>
      </c>
      <c r="H656" t="s">
        <v>37</v>
      </c>
      <c r="I656" t="s">
        <v>3370</v>
      </c>
      <c r="J656" t="str">
        <f>_xlfn.XLOOKUP(Table8[[#This Row],[Supporter_ID]],tb1_supporters[Supporter_ID ],tb1_supporters[Segment],"")</f>
        <v>Lapsed</v>
      </c>
      <c r="K656" t="str">
        <f>_xlfn.XLOOKUP(Table8[[#This Row],[Supporter_ID]],tb1_supporters[Supporter_ID ],tb1_supporters[Acquisition_Source],"")</f>
        <v>Referral</v>
      </c>
      <c r="L656" t="str">
        <f>_xlfn.XLOOKUP(Table8[[#This Row],[Supporter_ID]],tb1_supporters[Supporter_ID ],tb1_supporters[County],"")</f>
        <v>Dorset</v>
      </c>
      <c r="M656" t="str">
        <f>_xlfn.XLOOKUP(Table8[[#This Row],[Supporter_ID]],tb1_supporters[Supporter_ID ],tb1_supporters[Gender],"")</f>
        <v>Female</v>
      </c>
      <c r="N656">
        <f ca="1">_xlfn.XLOOKUP(Table8[[#This Row],[Supporter_ID]],tb1_supporters[Supporter_ID ],tb1_supporters[Age],"")</f>
        <v>34</v>
      </c>
      <c r="O656" t="str">
        <f ca="1">_xlfn.XLOOKUP(Table8[[#This Row],[Supporter_ID]],tb1_supporters[Supporter_ID ],tb1_supporters[Age_Band],"")</f>
        <v>18-34</v>
      </c>
      <c r="P656" t="str">
        <f ca="1">IF(Table8[[#This Row],[Age_Band]]="","Unknown",Table8[[#This Row],[Age_Band]])</f>
        <v>18-34</v>
      </c>
      <c r="Q656" t="str">
        <f>_xlfn.XLOOKUP(Table8[[#This Row],[Supporter_ID]],tb1_supporters[Supporter_ID ],tb1_supporters[Communication_Preference],"")</f>
        <v>Post</v>
      </c>
      <c r="R656" t="str">
        <f>_xlfn.XLOOKUP(Table8[[#This Row],[Supporter_ID]],tb1_supporters[Supporter_ID ],tb1_supporters[Duplicate_Profile_Flag],"")</f>
        <v/>
      </c>
      <c r="S656" t="str">
        <f>_xlfn.XLOOKUP(Table8[[#This Row],[Supporter_ID]],tb1_supporters[Supporter_ID ],tb1_supporters[Preference_Compliance_Flag],"")</f>
        <v/>
      </c>
      <c r="T656" t="str">
        <f ca="1">IF(Table8[[#This Row],[Age]]="","Review - missing DOB",IF(Table8[[#This Row],[Age]]&gt;TODAY(),"Review - future DOB",IF(Table8[[#This Row],[Age]]=0,"Review -  potential entry error (age 0)","")))</f>
        <v/>
      </c>
      <c r="U656" t="str">
        <f>_xlfn.XLOOKUP(Table8[[#This Row],[Campaign_Code]],tb3_CampaignMaster[Campaign_Code],tb3_CampaignMaster[Campaign_Type],"")</f>
        <v>Event</v>
      </c>
      <c r="V656" t="str">
        <f>_xlfn.XLOOKUP(Table8[[#This Row],[Campaign_Code]],tb3_CampaignMaster[Campaign_Code],tb3_CampaignMaster[Target_Audience],"")</f>
        <v>Major Donors</v>
      </c>
      <c r="W656" s="17">
        <f>_xlfn.XLOOKUP(Table8[[#This Row],[Campaign_Code]],tb3_CampaignMaster[Campaign_Code],tb3_CampaignMaster[Start_Date],"")</f>
        <v>45488</v>
      </c>
      <c r="X656" s="17">
        <f>_xlfn.XLOOKUP(Table8[[#This Row],[Campaign_Code]],tb3_CampaignMaster[Campaign_Code],tb3_CampaignMaster[End_Date],"")</f>
        <v>45488</v>
      </c>
      <c r="Y656">
        <f>_xlfn.XLOOKUP(Table8[[#This Row],[Campaign_Code]],tb3_CampaignMaster[Campaign_Code],tb3_CampaignMaster[Budget_GBP],"")</f>
        <v>45000</v>
      </c>
      <c r="Z656" t="str">
        <f>_xlfn.XLOOKUP(Table8[[#This Row],[Campaign_Code]],tb3_CampaignMaster[Campaign_Code],tb3_CampaignMaster[Primary_Channel],"")</f>
        <v>Direct Mail</v>
      </c>
      <c r="AA656" s="13">
        <f>IF(Table8[[#This Row],[Gift_Aid_Eligible]]="Yes",Table8[[#This Row],[Gift_Amount]]*1.25,Table8[[#This Row],[Gift_Amount]])</f>
        <v>61.76</v>
      </c>
      <c r="AB656" t="str">
        <f>IF(Table8[[#This Row],[Supporter_ID]]="","Review - missing supporter ID","")</f>
        <v/>
      </c>
      <c r="AC656" t="str">
        <f>IF(OR(Table8[[#This Row],[Response_Date]]&lt;Table8[[#This Row],[Start_Date]],Table8[[#This Row],[Response_Date]]&gt;Table8[[#This Row],[End_Date]]),"Review - response outside campaign dates","")</f>
        <v/>
      </c>
      <c r="AD656" t="str">
        <f>IF(Table8[[#This Row],[Campaign_Type]]="","Review - campaign code not found","")</f>
        <v/>
      </c>
    </row>
    <row r="657" spans="1:30" x14ac:dyDescent="0.25">
      <c r="A657" t="s">
        <v>4450</v>
      </c>
      <c r="B657" t="s">
        <v>2952</v>
      </c>
      <c r="C657" t="s">
        <v>3362</v>
      </c>
      <c r="D657" t="s">
        <v>3363</v>
      </c>
      <c r="E657" t="s">
        <v>65</v>
      </c>
      <c r="F657" s="17">
        <v>45572</v>
      </c>
      <c r="G657">
        <v>78.69</v>
      </c>
      <c r="H657" t="s">
        <v>36</v>
      </c>
      <c r="I657" t="s">
        <v>3370</v>
      </c>
      <c r="J657" t="str">
        <f>_xlfn.XLOOKUP(Table8[[#This Row],[Supporter_ID]],tb1_supporters[Supporter_ID ],tb1_supporters[Segment],"")</f>
        <v>Lapsed</v>
      </c>
      <c r="K657" t="str">
        <f>_xlfn.XLOOKUP(Table8[[#This Row],[Supporter_ID]],tb1_supporters[Supporter_ID ],tb1_supporters[Acquisition_Source],"")</f>
        <v>Direct Mail</v>
      </c>
      <c r="L657" t="str">
        <f>_xlfn.XLOOKUP(Table8[[#This Row],[Supporter_ID]],tb1_supporters[Supporter_ID ],tb1_supporters[County],"")</f>
        <v>West Glamorgan</v>
      </c>
      <c r="M657" t="str">
        <f>_xlfn.XLOOKUP(Table8[[#This Row],[Supporter_ID]],tb1_supporters[Supporter_ID ],tb1_supporters[Gender],"")</f>
        <v>Female</v>
      </c>
      <c r="N657">
        <f ca="1">_xlfn.XLOOKUP(Table8[[#This Row],[Supporter_ID]],tb1_supporters[Supporter_ID ],tb1_supporters[Age],"")</f>
        <v>55</v>
      </c>
      <c r="O657" t="str">
        <f ca="1">_xlfn.XLOOKUP(Table8[[#This Row],[Supporter_ID]],tb1_supporters[Supporter_ID ],tb1_supporters[Age_Band],"")</f>
        <v>50-64</v>
      </c>
      <c r="P657" t="str">
        <f ca="1">IF(Table8[[#This Row],[Age_Band]]="","Unknown",Table8[[#This Row],[Age_Band]])</f>
        <v>50-64</v>
      </c>
      <c r="Q657" t="str">
        <f>_xlfn.XLOOKUP(Table8[[#This Row],[Supporter_ID]],tb1_supporters[Supporter_ID ],tb1_supporters[Communication_Preference],"")</f>
        <v>Post</v>
      </c>
      <c r="R657" t="str">
        <f>_xlfn.XLOOKUP(Table8[[#This Row],[Supporter_ID]],tb1_supporters[Supporter_ID ],tb1_supporters[Duplicate_Profile_Flag],"")</f>
        <v/>
      </c>
      <c r="S657" t="str">
        <f>_xlfn.XLOOKUP(Table8[[#This Row],[Supporter_ID]],tb1_supporters[Supporter_ID ],tb1_supporters[Preference_Compliance_Flag],"")</f>
        <v/>
      </c>
      <c r="T657" t="str">
        <f ca="1">IF(Table8[[#This Row],[Age]]="","Review - missing DOB",IF(Table8[[#This Row],[Age]]&gt;TODAY(),"Review - future DOB",IF(Table8[[#This Row],[Age]]=0,"Review -  potential entry error (age 0)","")))</f>
        <v/>
      </c>
      <c r="U657" t="str">
        <f>_xlfn.XLOOKUP(Table8[[#This Row],[Campaign_Code]],tb3_CampaignMaster[Campaign_Code],tb3_CampaignMaster[Campaign_Type],"")</f>
        <v>Legacy</v>
      </c>
      <c r="V657" t="str">
        <f>_xlfn.XLOOKUP(Table8[[#This Row],[Campaign_Code]],tb3_CampaignMaster[Campaign_Code],tb3_CampaignMaster[Target_Audience],"")</f>
        <v>Over 55s</v>
      </c>
      <c r="W657" s="17">
        <f>_xlfn.XLOOKUP(Table8[[#This Row],[Campaign_Code]],tb3_CampaignMaster[Campaign_Code],tb3_CampaignMaster[Start_Date],"")</f>
        <v>45572</v>
      </c>
      <c r="X657" s="17">
        <f>_xlfn.XLOOKUP(Table8[[#This Row],[Campaign_Code]],tb3_CampaignMaster[Campaign_Code],tb3_CampaignMaster[End_Date],"")</f>
        <v>45578</v>
      </c>
      <c r="Y657">
        <f>_xlfn.XLOOKUP(Table8[[#This Row],[Campaign_Code]],tb3_CampaignMaster[Campaign_Code],tb3_CampaignMaster[Budget_GBP],"")</f>
        <v>5000</v>
      </c>
      <c r="Z657" t="str">
        <f>_xlfn.XLOOKUP(Table8[[#This Row],[Campaign_Code]],tb3_CampaignMaster[Campaign_Code],tb3_CampaignMaster[Primary_Channel],"")</f>
        <v>Direct Mail</v>
      </c>
      <c r="AA657" s="13">
        <f>IF(Table8[[#This Row],[Gift_Aid_Eligible]]="Yes",Table8[[#This Row],[Gift_Amount]]*1.25,Table8[[#This Row],[Gift_Amount]])</f>
        <v>98.362499999999997</v>
      </c>
      <c r="AB657" t="str">
        <f>IF(Table8[[#This Row],[Supporter_ID]]="","Review - missing supporter ID","")</f>
        <v/>
      </c>
      <c r="AC657" t="str">
        <f>IF(OR(Table8[[#This Row],[Response_Date]]&lt;Table8[[#This Row],[Start_Date]],Table8[[#This Row],[Response_Date]]&gt;Table8[[#This Row],[End_Date]]),"Review - response outside campaign dates","")</f>
        <v/>
      </c>
      <c r="AD657" t="str">
        <f>IF(Table8[[#This Row],[Campaign_Type]]="","Review - campaign code not found","")</f>
        <v/>
      </c>
    </row>
    <row r="658" spans="1:30" x14ac:dyDescent="0.25">
      <c r="A658" t="s">
        <v>4451</v>
      </c>
      <c r="B658" t="s">
        <v>1933</v>
      </c>
      <c r="C658" t="s">
        <v>3341</v>
      </c>
      <c r="D658" t="s">
        <v>3342</v>
      </c>
      <c r="E658" t="s">
        <v>91</v>
      </c>
      <c r="F658" s="17">
        <v>45737</v>
      </c>
      <c r="G658">
        <v>329.81</v>
      </c>
      <c r="H658" t="s">
        <v>36</v>
      </c>
      <c r="I658" t="s">
        <v>3323</v>
      </c>
      <c r="J658" t="str">
        <f>_xlfn.XLOOKUP(Table8[[#This Row],[Supporter_ID]],tb1_supporters[Supporter_ID ],tb1_supporters[Segment],"")</f>
        <v>Legacy Pledger</v>
      </c>
      <c r="K658" t="str">
        <f>_xlfn.XLOOKUP(Table8[[#This Row],[Supporter_ID]],tb1_supporters[Supporter_ID ],tb1_supporters[Acquisition_Source],"")</f>
        <v>Door-To-Door</v>
      </c>
      <c r="L658" t="str">
        <f>_xlfn.XLOOKUP(Table8[[#This Row],[Supporter_ID]],tb1_supporters[Supporter_ID ],tb1_supporters[County],"")</f>
        <v>Strathclyde</v>
      </c>
      <c r="M658" t="str">
        <f>_xlfn.XLOOKUP(Table8[[#This Row],[Supporter_ID]],tb1_supporters[Supporter_ID ],tb1_supporters[Gender],"")</f>
        <v>Female</v>
      </c>
      <c r="N658">
        <f ca="1">_xlfn.XLOOKUP(Table8[[#This Row],[Supporter_ID]],tb1_supporters[Supporter_ID ],tb1_supporters[Age],"")</f>
        <v>78</v>
      </c>
      <c r="O658" t="str">
        <f ca="1">_xlfn.XLOOKUP(Table8[[#This Row],[Supporter_ID]],tb1_supporters[Supporter_ID ],tb1_supporters[Age_Band],"")</f>
        <v>65+</v>
      </c>
      <c r="P658" t="str">
        <f ca="1">IF(Table8[[#This Row],[Age_Band]]="","Unknown",Table8[[#This Row],[Age_Band]])</f>
        <v>65+</v>
      </c>
      <c r="Q658" t="str">
        <f>_xlfn.XLOOKUP(Table8[[#This Row],[Supporter_ID]],tb1_supporters[Supporter_ID ],tb1_supporters[Communication_Preference],"")</f>
        <v>Post</v>
      </c>
      <c r="R658" t="str">
        <f>_xlfn.XLOOKUP(Table8[[#This Row],[Supporter_ID]],tb1_supporters[Supporter_ID ],tb1_supporters[Duplicate_Profile_Flag],"")</f>
        <v/>
      </c>
      <c r="S658" t="str">
        <f>_xlfn.XLOOKUP(Table8[[#This Row],[Supporter_ID]],tb1_supporters[Supporter_ID ],tb1_supporters[Preference_Compliance_Flag],"")</f>
        <v/>
      </c>
      <c r="T658" t="str">
        <f ca="1">IF(Table8[[#This Row],[Age]]="","Review - missing DOB",IF(Table8[[#This Row],[Age]]&gt;TODAY(),"Review - future DOB",IF(Table8[[#This Row],[Age]]=0,"Review -  potential entry error (age 0)","")))</f>
        <v/>
      </c>
      <c r="U658" t="str">
        <f>_xlfn.XLOOKUP(Table8[[#This Row],[Campaign_Code]],tb3_CampaignMaster[Campaign_Code],tb3_CampaignMaster[Campaign_Type],"")</f>
        <v>Acquisition</v>
      </c>
      <c r="V658" t="str">
        <f>_xlfn.XLOOKUP(Table8[[#This Row],[Campaign_Code]],tb3_CampaignMaster[Campaign_Code],tb3_CampaignMaster[Target_Audience],"")</f>
        <v>Prospects</v>
      </c>
      <c r="W658" s="17">
        <f>_xlfn.XLOOKUP(Table8[[#This Row],[Campaign_Code]],tb3_CampaignMaster[Campaign_Code],tb3_CampaignMaster[Start_Date],"")</f>
        <v>45689</v>
      </c>
      <c r="X658" s="17">
        <f>_xlfn.XLOOKUP(Table8[[#This Row],[Campaign_Code]],tb3_CampaignMaster[Campaign_Code],tb3_CampaignMaster[End_Date],"")</f>
        <v>45777</v>
      </c>
      <c r="Y658">
        <f>_xlfn.XLOOKUP(Table8[[#This Row],[Campaign_Code]],tb3_CampaignMaster[Campaign_Code],tb3_CampaignMaster[Budget_GBP],"")</f>
        <v>20000</v>
      </c>
      <c r="Z658" t="str">
        <f>_xlfn.XLOOKUP(Table8[[#This Row],[Campaign_Code]],tb3_CampaignMaster[Campaign_Code],tb3_CampaignMaster[Primary_Channel],"")</f>
        <v>Digital</v>
      </c>
      <c r="AA658" s="13">
        <f>IF(Table8[[#This Row],[Gift_Aid_Eligible]]="Yes",Table8[[#This Row],[Gift_Amount]]*1.25,Table8[[#This Row],[Gift_Amount]])</f>
        <v>412.26249999999999</v>
      </c>
      <c r="AB658" t="str">
        <f>IF(Table8[[#This Row],[Supporter_ID]]="","Review - missing supporter ID","")</f>
        <v/>
      </c>
      <c r="AC658" t="str">
        <f>IF(OR(Table8[[#This Row],[Response_Date]]&lt;Table8[[#This Row],[Start_Date]],Table8[[#This Row],[Response_Date]]&gt;Table8[[#This Row],[End_Date]]),"Review - response outside campaign dates","")</f>
        <v/>
      </c>
      <c r="AD658" t="str">
        <f>IF(Table8[[#This Row],[Campaign_Type]]="","Review - campaign code not found","")</f>
        <v/>
      </c>
    </row>
    <row r="659" spans="1:30" x14ac:dyDescent="0.25">
      <c r="A659" t="s">
        <v>4453</v>
      </c>
      <c r="B659" t="s">
        <v>762</v>
      </c>
      <c r="C659" t="s">
        <v>3341</v>
      </c>
      <c r="D659" t="s">
        <v>3342</v>
      </c>
      <c r="E659" t="s">
        <v>3316</v>
      </c>
      <c r="F659" s="17">
        <v>45740</v>
      </c>
      <c r="G659">
        <v>43.16</v>
      </c>
      <c r="H659" t="s">
        <v>37</v>
      </c>
      <c r="I659" t="s">
        <v>3328</v>
      </c>
      <c r="J659" t="str">
        <f>_xlfn.XLOOKUP(Table8[[#This Row],[Supporter_ID]],tb1_supporters[Supporter_ID ],tb1_supporters[Segment],"")</f>
        <v>Regular Giver</v>
      </c>
      <c r="K659" t="str">
        <f>_xlfn.XLOOKUP(Table8[[#This Row],[Supporter_ID]],tb1_supporters[Supporter_ID ],tb1_supporters[Acquisition_Source],"")</f>
        <v>Website</v>
      </c>
      <c r="L659" t="str">
        <f>_xlfn.XLOOKUP(Table8[[#This Row],[Supporter_ID]],tb1_supporters[Supporter_ID ],tb1_supporters[County],"")</f>
        <v>Strathclyde</v>
      </c>
      <c r="M659" t="str">
        <f>_xlfn.XLOOKUP(Table8[[#This Row],[Supporter_ID]],tb1_supporters[Supporter_ID ],tb1_supporters[Gender],"")</f>
        <v>Female</v>
      </c>
      <c r="N659" t="str">
        <f ca="1">_xlfn.XLOOKUP(Table8[[#This Row],[Supporter_ID]],tb1_supporters[Supporter_ID ],tb1_supporters[Age],"")</f>
        <v/>
      </c>
      <c r="O659" t="str">
        <f ca="1">_xlfn.XLOOKUP(Table8[[#This Row],[Supporter_ID]],tb1_supporters[Supporter_ID ],tb1_supporters[Age_Band],"")</f>
        <v/>
      </c>
      <c r="P659" t="str">
        <f ca="1">IF(Table8[[#This Row],[Age_Band]]="","Unknown",Table8[[#This Row],[Age_Band]])</f>
        <v>Unknown</v>
      </c>
      <c r="Q659" t="str">
        <f>_xlfn.XLOOKUP(Table8[[#This Row],[Supporter_ID]],tb1_supporters[Supporter_ID ],tb1_supporters[Communication_Preference],"")</f>
        <v>Email</v>
      </c>
      <c r="R659" t="str">
        <f>_xlfn.XLOOKUP(Table8[[#This Row],[Supporter_ID]],tb1_supporters[Supporter_ID ],tb1_supporters[Duplicate_Profile_Flag],"")</f>
        <v/>
      </c>
      <c r="S659" t="str">
        <f>_xlfn.XLOOKUP(Table8[[#This Row],[Supporter_ID]],tb1_supporters[Supporter_ID ],tb1_supporters[Preference_Compliance_Flag],"")</f>
        <v/>
      </c>
      <c r="T659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659" t="str">
        <f>_xlfn.XLOOKUP(Table8[[#This Row],[Campaign_Code]],tb3_CampaignMaster[Campaign_Code],tb3_CampaignMaster[Campaign_Type],"")</f>
        <v>Acquisition</v>
      </c>
      <c r="V659" t="str">
        <f>_xlfn.XLOOKUP(Table8[[#This Row],[Campaign_Code]],tb3_CampaignMaster[Campaign_Code],tb3_CampaignMaster[Target_Audience],"")</f>
        <v>Prospects</v>
      </c>
      <c r="W659" s="17">
        <f>_xlfn.XLOOKUP(Table8[[#This Row],[Campaign_Code]],tb3_CampaignMaster[Campaign_Code],tb3_CampaignMaster[Start_Date],"")</f>
        <v>45689</v>
      </c>
      <c r="X659" s="17">
        <f>_xlfn.XLOOKUP(Table8[[#This Row],[Campaign_Code]],tb3_CampaignMaster[Campaign_Code],tb3_CampaignMaster[End_Date],"")</f>
        <v>45777</v>
      </c>
      <c r="Y659">
        <f>_xlfn.XLOOKUP(Table8[[#This Row],[Campaign_Code]],tb3_CampaignMaster[Campaign_Code],tb3_CampaignMaster[Budget_GBP],"")</f>
        <v>20000</v>
      </c>
      <c r="Z659" t="str">
        <f>_xlfn.XLOOKUP(Table8[[#This Row],[Campaign_Code]],tb3_CampaignMaster[Campaign_Code],tb3_CampaignMaster[Primary_Channel],"")</f>
        <v>Digital</v>
      </c>
      <c r="AA659" s="13">
        <f>IF(Table8[[#This Row],[Gift_Aid_Eligible]]="Yes",Table8[[#This Row],[Gift_Amount]]*1.25,Table8[[#This Row],[Gift_Amount]])</f>
        <v>43.16</v>
      </c>
      <c r="AB659" t="str">
        <f>IF(Table8[[#This Row],[Supporter_ID]]="","Review - missing supporter ID","")</f>
        <v/>
      </c>
      <c r="AC659" t="str">
        <f>IF(OR(Table8[[#This Row],[Response_Date]]&lt;Table8[[#This Row],[Start_Date]],Table8[[#This Row],[Response_Date]]&gt;Table8[[#This Row],[End_Date]]),"Review - response outside campaign dates","")</f>
        <v/>
      </c>
      <c r="AD659" t="str">
        <f>IF(Table8[[#This Row],[Campaign_Type]]="","Review - campaign code not found","")</f>
        <v/>
      </c>
    </row>
    <row r="660" spans="1:30" x14ac:dyDescent="0.25">
      <c r="A660" t="s">
        <v>4455</v>
      </c>
      <c r="B660" t="s">
        <v>1261</v>
      </c>
      <c r="C660" t="s">
        <v>3427</v>
      </c>
      <c r="D660" t="s">
        <v>3428</v>
      </c>
      <c r="E660" t="s">
        <v>4</v>
      </c>
      <c r="F660" s="17">
        <v>45488</v>
      </c>
      <c r="G660">
        <v>90.73</v>
      </c>
      <c r="H660" t="s">
        <v>37</v>
      </c>
      <c r="I660" t="s">
        <v>3370</v>
      </c>
      <c r="J660" t="str">
        <f>_xlfn.XLOOKUP(Table8[[#This Row],[Supporter_ID]],tb1_supporters[Supporter_ID ],tb1_supporters[Segment],"")</f>
        <v>Lapsed</v>
      </c>
      <c r="K660" t="str">
        <f>_xlfn.XLOOKUP(Table8[[#This Row],[Supporter_ID]],tb1_supporters[Supporter_ID ],tb1_supporters[Acquisition_Source],"")</f>
        <v>Social Media</v>
      </c>
      <c r="L660" t="str">
        <f>_xlfn.XLOOKUP(Table8[[#This Row],[Supporter_ID]],tb1_supporters[Supporter_ID ],tb1_supporters[County],"")</f>
        <v>East Sussex</v>
      </c>
      <c r="M660" t="str">
        <f>_xlfn.XLOOKUP(Table8[[#This Row],[Supporter_ID]],tb1_supporters[Supporter_ID ],tb1_supporters[Gender],"")</f>
        <v>Female</v>
      </c>
      <c r="N660" t="str">
        <f ca="1">_xlfn.XLOOKUP(Table8[[#This Row],[Supporter_ID]],tb1_supporters[Supporter_ID ],tb1_supporters[Age],"")</f>
        <v/>
      </c>
      <c r="O660" t="str">
        <f ca="1">_xlfn.XLOOKUP(Table8[[#This Row],[Supporter_ID]],tb1_supporters[Supporter_ID ],tb1_supporters[Age_Band],"")</f>
        <v/>
      </c>
      <c r="P660" t="str">
        <f ca="1">IF(Table8[[#This Row],[Age_Band]]="","Unknown",Table8[[#This Row],[Age_Band]])</f>
        <v>Unknown</v>
      </c>
      <c r="Q660" t="str">
        <f>_xlfn.XLOOKUP(Table8[[#This Row],[Supporter_ID]],tb1_supporters[Supporter_ID ],tb1_supporters[Communication_Preference],"")</f>
        <v>Phone</v>
      </c>
      <c r="R660" t="str">
        <f>_xlfn.XLOOKUP(Table8[[#This Row],[Supporter_ID]],tb1_supporters[Supporter_ID ],tb1_supporters[Duplicate_Profile_Flag],"")</f>
        <v/>
      </c>
      <c r="S660" t="str">
        <f>_xlfn.XLOOKUP(Table8[[#This Row],[Supporter_ID]],tb1_supporters[Supporter_ID ],tb1_supporters[Preference_Compliance_Flag],"")</f>
        <v/>
      </c>
      <c r="T660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660" t="str">
        <f>_xlfn.XLOOKUP(Table8[[#This Row],[Campaign_Code]],tb3_CampaignMaster[Campaign_Code],tb3_CampaignMaster[Campaign_Type],"")</f>
        <v>Event</v>
      </c>
      <c r="V660" t="str">
        <f>_xlfn.XLOOKUP(Table8[[#This Row],[Campaign_Code]],tb3_CampaignMaster[Campaign_Code],tb3_CampaignMaster[Target_Audience],"")</f>
        <v>Major Donors</v>
      </c>
      <c r="W660" s="17">
        <f>_xlfn.XLOOKUP(Table8[[#This Row],[Campaign_Code]],tb3_CampaignMaster[Campaign_Code],tb3_CampaignMaster[Start_Date],"")</f>
        <v>45488</v>
      </c>
      <c r="X660" s="17">
        <f>_xlfn.XLOOKUP(Table8[[#This Row],[Campaign_Code]],tb3_CampaignMaster[Campaign_Code],tb3_CampaignMaster[End_Date],"")</f>
        <v>45488</v>
      </c>
      <c r="Y660">
        <f>_xlfn.XLOOKUP(Table8[[#This Row],[Campaign_Code]],tb3_CampaignMaster[Campaign_Code],tb3_CampaignMaster[Budget_GBP],"")</f>
        <v>45000</v>
      </c>
      <c r="Z660" t="str">
        <f>_xlfn.XLOOKUP(Table8[[#This Row],[Campaign_Code]],tb3_CampaignMaster[Campaign_Code],tb3_CampaignMaster[Primary_Channel],"")</f>
        <v>Direct Mail</v>
      </c>
      <c r="AA660" s="13">
        <f>IF(Table8[[#This Row],[Gift_Aid_Eligible]]="Yes",Table8[[#This Row],[Gift_Amount]]*1.25,Table8[[#This Row],[Gift_Amount]])</f>
        <v>90.73</v>
      </c>
      <c r="AB660" t="str">
        <f>IF(Table8[[#This Row],[Supporter_ID]]="","Review - missing supporter ID","")</f>
        <v/>
      </c>
      <c r="AC660" t="str">
        <f>IF(OR(Table8[[#This Row],[Response_Date]]&lt;Table8[[#This Row],[Start_Date]],Table8[[#This Row],[Response_Date]]&gt;Table8[[#This Row],[End_Date]]),"Review - response outside campaign dates","")</f>
        <v/>
      </c>
      <c r="AD660" t="str">
        <f>IF(Table8[[#This Row],[Campaign_Type]]="","Review - campaign code not found","")</f>
        <v/>
      </c>
    </row>
    <row r="661" spans="1:30" x14ac:dyDescent="0.25">
      <c r="A661" t="s">
        <v>4456</v>
      </c>
      <c r="B661" t="s">
        <v>2315</v>
      </c>
      <c r="C661" t="s">
        <v>3427</v>
      </c>
      <c r="D661" t="s">
        <v>3428</v>
      </c>
      <c r="E661" t="s">
        <v>4</v>
      </c>
      <c r="F661" s="17">
        <v>45488</v>
      </c>
      <c r="G661">
        <v>26.9</v>
      </c>
      <c r="H661" t="s">
        <v>36</v>
      </c>
      <c r="I661" t="s">
        <v>3365</v>
      </c>
      <c r="J661" t="str">
        <f>_xlfn.XLOOKUP(Table8[[#This Row],[Supporter_ID]],tb1_supporters[Supporter_ID ],tb1_supporters[Segment],"")</f>
        <v>Prospect</v>
      </c>
      <c r="K661" t="str">
        <f>_xlfn.XLOOKUP(Table8[[#This Row],[Supporter_ID]],tb1_supporters[Supporter_ID ],tb1_supporters[Acquisition_Source],"")</f>
        <v>Referral</v>
      </c>
      <c r="L661" t="str">
        <f>_xlfn.XLOOKUP(Table8[[#This Row],[Supporter_ID]],tb1_supporters[Supporter_ID ],tb1_supporters[County],"")</f>
        <v>Berkshire</v>
      </c>
      <c r="M661" t="str">
        <f>_xlfn.XLOOKUP(Table8[[#This Row],[Supporter_ID]],tb1_supporters[Supporter_ID ],tb1_supporters[Gender],"")</f>
        <v>Male</v>
      </c>
      <c r="N661">
        <f ca="1">_xlfn.XLOOKUP(Table8[[#This Row],[Supporter_ID]],tb1_supporters[Supporter_ID ],tb1_supporters[Age],"")</f>
        <v>67</v>
      </c>
      <c r="O661" t="str">
        <f ca="1">_xlfn.XLOOKUP(Table8[[#This Row],[Supporter_ID]],tb1_supporters[Supporter_ID ],tb1_supporters[Age_Band],"")</f>
        <v>65+</v>
      </c>
      <c r="P661" t="str">
        <f ca="1">IF(Table8[[#This Row],[Age_Band]]="","Unknown",Table8[[#This Row],[Age_Band]])</f>
        <v>65+</v>
      </c>
      <c r="Q661" t="str">
        <f>_xlfn.XLOOKUP(Table8[[#This Row],[Supporter_ID]],tb1_supporters[Supporter_ID ],tb1_supporters[Communication_Preference],"")</f>
        <v>Email</v>
      </c>
      <c r="R661" t="str">
        <f>_xlfn.XLOOKUP(Table8[[#This Row],[Supporter_ID]],tb1_supporters[Supporter_ID ],tb1_supporters[Duplicate_Profile_Flag],"")</f>
        <v/>
      </c>
      <c r="S661" t="str">
        <f>_xlfn.XLOOKUP(Table8[[#This Row],[Supporter_ID]],tb1_supporters[Supporter_ID ],tb1_supporters[Preference_Compliance_Flag],"")</f>
        <v>Review - prefers email but not opted in</v>
      </c>
      <c r="T661" t="str">
        <f ca="1">IF(Table8[[#This Row],[Age]]="","Review - missing DOB",IF(Table8[[#This Row],[Age]]&gt;TODAY(),"Review - future DOB",IF(Table8[[#This Row],[Age]]=0,"Review -  potential entry error (age 0)","")))</f>
        <v/>
      </c>
      <c r="U661" t="str">
        <f>_xlfn.XLOOKUP(Table8[[#This Row],[Campaign_Code]],tb3_CampaignMaster[Campaign_Code],tb3_CampaignMaster[Campaign_Type],"")</f>
        <v>Event</v>
      </c>
      <c r="V661" t="str">
        <f>_xlfn.XLOOKUP(Table8[[#This Row],[Campaign_Code]],tb3_CampaignMaster[Campaign_Code],tb3_CampaignMaster[Target_Audience],"")</f>
        <v>Major Donors</v>
      </c>
      <c r="W661" s="17">
        <f>_xlfn.XLOOKUP(Table8[[#This Row],[Campaign_Code]],tb3_CampaignMaster[Campaign_Code],tb3_CampaignMaster[Start_Date],"")</f>
        <v>45488</v>
      </c>
      <c r="X661" s="17">
        <f>_xlfn.XLOOKUP(Table8[[#This Row],[Campaign_Code]],tb3_CampaignMaster[Campaign_Code],tb3_CampaignMaster[End_Date],"")</f>
        <v>45488</v>
      </c>
      <c r="Y661">
        <f>_xlfn.XLOOKUP(Table8[[#This Row],[Campaign_Code]],tb3_CampaignMaster[Campaign_Code],tb3_CampaignMaster[Budget_GBP],"")</f>
        <v>45000</v>
      </c>
      <c r="Z661" t="str">
        <f>_xlfn.XLOOKUP(Table8[[#This Row],[Campaign_Code]],tb3_CampaignMaster[Campaign_Code],tb3_CampaignMaster[Primary_Channel],"")</f>
        <v>Direct Mail</v>
      </c>
      <c r="AA661" s="13">
        <f>IF(Table8[[#This Row],[Gift_Aid_Eligible]]="Yes",Table8[[#This Row],[Gift_Amount]]*1.25,Table8[[#This Row],[Gift_Amount]])</f>
        <v>33.625</v>
      </c>
      <c r="AB661" t="str">
        <f>IF(Table8[[#This Row],[Supporter_ID]]="","Review - missing supporter ID","")</f>
        <v/>
      </c>
      <c r="AC661" t="str">
        <f>IF(OR(Table8[[#This Row],[Response_Date]]&lt;Table8[[#This Row],[Start_Date]],Table8[[#This Row],[Response_Date]]&gt;Table8[[#This Row],[End_Date]]),"Review - response outside campaign dates","")</f>
        <v/>
      </c>
      <c r="AD661" t="str">
        <f>IF(Table8[[#This Row],[Campaign_Type]]="","Review - campaign code not found","")</f>
        <v/>
      </c>
    </row>
    <row r="662" spans="1:30" x14ac:dyDescent="0.25">
      <c r="A662" t="s">
        <v>4457</v>
      </c>
      <c r="B662" t="s">
        <v>2550</v>
      </c>
      <c r="C662" t="s">
        <v>3427</v>
      </c>
      <c r="D662" t="s">
        <v>3428</v>
      </c>
      <c r="E662" t="s">
        <v>4</v>
      </c>
      <c r="F662" s="17">
        <v>45488</v>
      </c>
      <c r="G662">
        <v>69.33</v>
      </c>
      <c r="H662" t="s">
        <v>37</v>
      </c>
      <c r="I662" t="s">
        <v>3318</v>
      </c>
      <c r="J662" t="str">
        <f>_xlfn.XLOOKUP(Table8[[#This Row],[Supporter_ID]],tb1_supporters[Supporter_ID ],tb1_supporters[Segment],"")</f>
        <v>Lapsed</v>
      </c>
      <c r="K662" t="str">
        <f>_xlfn.XLOOKUP(Table8[[#This Row],[Supporter_ID]],tb1_supporters[Supporter_ID ],tb1_supporters[Acquisition_Source],"")</f>
        <v>Corporate Partner</v>
      </c>
      <c r="L662" t="str">
        <f>_xlfn.XLOOKUP(Table8[[#This Row],[Supporter_ID]],tb1_supporters[Supporter_ID ],tb1_supporters[County],"")</f>
        <v>North Yorkshire</v>
      </c>
      <c r="M662" t="str">
        <f>_xlfn.XLOOKUP(Table8[[#This Row],[Supporter_ID]],tb1_supporters[Supporter_ID ],tb1_supporters[Gender],"")</f>
        <v>Male</v>
      </c>
      <c r="N662">
        <f ca="1">_xlfn.XLOOKUP(Table8[[#This Row],[Supporter_ID]],tb1_supporters[Supporter_ID ],tb1_supporters[Age],"")</f>
        <v>53</v>
      </c>
      <c r="O662" t="str">
        <f ca="1">_xlfn.XLOOKUP(Table8[[#This Row],[Supporter_ID]],tb1_supporters[Supporter_ID ],tb1_supporters[Age_Band],"")</f>
        <v>50-64</v>
      </c>
      <c r="P662" t="str">
        <f ca="1">IF(Table8[[#This Row],[Age_Band]]="","Unknown",Table8[[#This Row],[Age_Band]])</f>
        <v>50-64</v>
      </c>
      <c r="Q662" t="str">
        <f>_xlfn.XLOOKUP(Table8[[#This Row],[Supporter_ID]],tb1_supporters[Supporter_ID ],tb1_supporters[Communication_Preference],"")</f>
        <v>Email</v>
      </c>
      <c r="R662" t="str">
        <f>_xlfn.XLOOKUP(Table8[[#This Row],[Supporter_ID]],tb1_supporters[Supporter_ID ],tb1_supporters[Duplicate_Profile_Flag],"")</f>
        <v/>
      </c>
      <c r="S662" t="str">
        <f>_xlfn.XLOOKUP(Table8[[#This Row],[Supporter_ID]],tb1_supporters[Supporter_ID ],tb1_supporters[Preference_Compliance_Flag],"")</f>
        <v/>
      </c>
      <c r="T662" t="str">
        <f ca="1">IF(Table8[[#This Row],[Age]]="","Review - missing DOB",IF(Table8[[#This Row],[Age]]&gt;TODAY(),"Review - future DOB",IF(Table8[[#This Row],[Age]]=0,"Review -  potential entry error (age 0)","")))</f>
        <v/>
      </c>
      <c r="U662" t="str">
        <f>_xlfn.XLOOKUP(Table8[[#This Row],[Campaign_Code]],tb3_CampaignMaster[Campaign_Code],tb3_CampaignMaster[Campaign_Type],"")</f>
        <v>Event</v>
      </c>
      <c r="V662" t="str">
        <f>_xlfn.XLOOKUP(Table8[[#This Row],[Campaign_Code]],tb3_CampaignMaster[Campaign_Code],tb3_CampaignMaster[Target_Audience],"")</f>
        <v>Major Donors</v>
      </c>
      <c r="W662" s="17">
        <f>_xlfn.XLOOKUP(Table8[[#This Row],[Campaign_Code]],tb3_CampaignMaster[Campaign_Code],tb3_CampaignMaster[Start_Date],"")</f>
        <v>45488</v>
      </c>
      <c r="X662" s="17">
        <f>_xlfn.XLOOKUP(Table8[[#This Row],[Campaign_Code]],tb3_CampaignMaster[Campaign_Code],tb3_CampaignMaster[End_Date],"")</f>
        <v>45488</v>
      </c>
      <c r="Y662">
        <f>_xlfn.XLOOKUP(Table8[[#This Row],[Campaign_Code]],tb3_CampaignMaster[Campaign_Code],tb3_CampaignMaster[Budget_GBP],"")</f>
        <v>45000</v>
      </c>
      <c r="Z662" t="str">
        <f>_xlfn.XLOOKUP(Table8[[#This Row],[Campaign_Code]],tb3_CampaignMaster[Campaign_Code],tb3_CampaignMaster[Primary_Channel],"")</f>
        <v>Direct Mail</v>
      </c>
      <c r="AA662" s="13">
        <f>IF(Table8[[#This Row],[Gift_Aid_Eligible]]="Yes",Table8[[#This Row],[Gift_Amount]]*1.25,Table8[[#This Row],[Gift_Amount]])</f>
        <v>69.33</v>
      </c>
      <c r="AB662" t="str">
        <f>IF(Table8[[#This Row],[Supporter_ID]]="","Review - missing supporter ID","")</f>
        <v/>
      </c>
      <c r="AC662" t="str">
        <f>IF(OR(Table8[[#This Row],[Response_Date]]&lt;Table8[[#This Row],[Start_Date]],Table8[[#This Row],[Response_Date]]&gt;Table8[[#This Row],[End_Date]]),"Review - response outside campaign dates","")</f>
        <v/>
      </c>
      <c r="AD662" t="str">
        <f>IF(Table8[[#This Row],[Campaign_Type]]="","Review - campaign code not found","")</f>
        <v/>
      </c>
    </row>
    <row r="663" spans="1:30" x14ac:dyDescent="0.25">
      <c r="A663" t="s">
        <v>4458</v>
      </c>
      <c r="C663" t="s">
        <v>3403</v>
      </c>
      <c r="D663" t="s">
        <v>3404</v>
      </c>
      <c r="E663" t="s">
        <v>4</v>
      </c>
      <c r="F663" s="17">
        <v>45606</v>
      </c>
      <c r="G663">
        <v>23.66</v>
      </c>
      <c r="H663" t="s">
        <v>37</v>
      </c>
      <c r="I663" t="s">
        <v>3385</v>
      </c>
      <c r="J663" t="str">
        <f>_xlfn.XLOOKUP(Table8[[#This Row],[Supporter_ID]],tb1_supporters[Supporter_ID ],tb1_supporters[Segment],"")</f>
        <v/>
      </c>
      <c r="K663" t="str">
        <f>_xlfn.XLOOKUP(Table8[[#This Row],[Supporter_ID]],tb1_supporters[Supporter_ID ],tb1_supporters[Acquisition_Source],"")</f>
        <v/>
      </c>
      <c r="L663" t="str">
        <f>_xlfn.XLOOKUP(Table8[[#This Row],[Supporter_ID]],tb1_supporters[Supporter_ID ],tb1_supporters[County],"")</f>
        <v/>
      </c>
      <c r="M663" t="str">
        <f>_xlfn.XLOOKUP(Table8[[#This Row],[Supporter_ID]],tb1_supporters[Supporter_ID ],tb1_supporters[Gender],"")</f>
        <v/>
      </c>
      <c r="N663" t="str">
        <f>_xlfn.XLOOKUP(Table8[[#This Row],[Supporter_ID]],tb1_supporters[Supporter_ID ],tb1_supporters[Age],"")</f>
        <v/>
      </c>
      <c r="O663" t="str">
        <f>_xlfn.XLOOKUP(Table8[[#This Row],[Supporter_ID]],tb1_supporters[Supporter_ID ],tb1_supporters[Age_Band],"")</f>
        <v/>
      </c>
      <c r="P663" t="str">
        <f>IF(Table8[[#This Row],[Age_Band]]="","Unknown",Table8[[#This Row],[Age_Band]])</f>
        <v>Unknown</v>
      </c>
      <c r="Q663" t="str">
        <f>_xlfn.XLOOKUP(Table8[[#This Row],[Supporter_ID]],tb1_supporters[Supporter_ID ],tb1_supporters[Communication_Preference],"")</f>
        <v/>
      </c>
      <c r="R663" t="str">
        <f>_xlfn.XLOOKUP(Table8[[#This Row],[Supporter_ID]],tb1_supporters[Supporter_ID ],tb1_supporters[Duplicate_Profile_Flag],"")</f>
        <v/>
      </c>
      <c r="S663" t="str">
        <f>_xlfn.XLOOKUP(Table8[[#This Row],[Supporter_ID]],tb1_supporters[Supporter_ID ],tb1_supporters[Preference_Compliance_Flag],"")</f>
        <v/>
      </c>
      <c r="T663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663" t="str">
        <f>_xlfn.XLOOKUP(Table8[[#This Row],[Campaign_Code]],tb3_CampaignMaster[Campaign_Code],tb3_CampaignMaster[Campaign_Type],"")</f>
        <v>Trading</v>
      </c>
      <c r="V663" t="str">
        <f>_xlfn.XLOOKUP(Table8[[#This Row],[Campaign_Code]],tb3_CampaignMaster[Campaign_Code],tb3_CampaignMaster[Target_Audience],"")</f>
        <v>All Active</v>
      </c>
      <c r="W663" s="17">
        <f>_xlfn.XLOOKUP(Table8[[#This Row],[Campaign_Code]],tb3_CampaignMaster[Campaign_Code],tb3_CampaignMaster[Start_Date],"")</f>
        <v>45580</v>
      </c>
      <c r="X663" s="17">
        <f>_xlfn.XLOOKUP(Table8[[#This Row],[Campaign_Code]],tb3_CampaignMaster[Campaign_Code],tb3_CampaignMaster[End_Date],"")</f>
        <v>45646</v>
      </c>
      <c r="Y663">
        <f>_xlfn.XLOOKUP(Table8[[#This Row],[Campaign_Code]],tb3_CampaignMaster[Campaign_Code],tb3_CampaignMaster[Budget_GBP],"")</f>
        <v>12000</v>
      </c>
      <c r="Z663" t="str">
        <f>_xlfn.XLOOKUP(Table8[[#This Row],[Campaign_Code]],tb3_CampaignMaster[Campaign_Code],tb3_CampaignMaster[Primary_Channel],"")</f>
        <v>Multi-channel</v>
      </c>
      <c r="AA663" s="13">
        <f>IF(Table8[[#This Row],[Gift_Aid_Eligible]]="Yes",Table8[[#This Row],[Gift_Amount]]*1.25,Table8[[#This Row],[Gift_Amount]])</f>
        <v>23.66</v>
      </c>
      <c r="AB663" t="str">
        <f>IF(Table8[[#This Row],[Supporter_ID]]="","Review - missing supporter ID","")</f>
        <v>Review - missing supporter ID</v>
      </c>
      <c r="AC663" t="str">
        <f>IF(OR(Table8[[#This Row],[Response_Date]]&lt;Table8[[#This Row],[Start_Date]],Table8[[#This Row],[Response_Date]]&gt;Table8[[#This Row],[End_Date]]),"Review - response outside campaign dates","")</f>
        <v/>
      </c>
      <c r="AD663" t="str">
        <f>IF(Table8[[#This Row],[Campaign_Type]]="","Review - campaign code not found","")</f>
        <v/>
      </c>
    </row>
    <row r="664" spans="1:30" x14ac:dyDescent="0.25">
      <c r="A664" t="s">
        <v>4460</v>
      </c>
      <c r="B664" t="s">
        <v>680</v>
      </c>
      <c r="C664" t="s">
        <v>3427</v>
      </c>
      <c r="D664" t="s">
        <v>3428</v>
      </c>
      <c r="E664" t="s">
        <v>65</v>
      </c>
      <c r="F664" s="17">
        <v>45488</v>
      </c>
      <c r="G664">
        <v>26.04</v>
      </c>
      <c r="H664" t="s">
        <v>36</v>
      </c>
      <c r="I664" t="s">
        <v>3365</v>
      </c>
      <c r="J664" t="str">
        <f>_xlfn.XLOOKUP(Table8[[#This Row],[Supporter_ID]],tb1_supporters[Supporter_ID ],tb1_supporters[Segment],"")</f>
        <v>Prospect</v>
      </c>
      <c r="K664" t="str">
        <f>_xlfn.XLOOKUP(Table8[[#This Row],[Supporter_ID]],tb1_supporters[Supporter_ID ],tb1_supporters[Acquisition_Source],"")</f>
        <v>Event</v>
      </c>
      <c r="L664" t="str">
        <f>_xlfn.XLOOKUP(Table8[[#This Row],[Supporter_ID]],tb1_supporters[Supporter_ID ],tb1_supporters[County],"")</f>
        <v>Hertfordshire</v>
      </c>
      <c r="M664" t="str">
        <f>_xlfn.XLOOKUP(Table8[[#This Row],[Supporter_ID]],tb1_supporters[Supporter_ID ],tb1_supporters[Gender],"")</f>
        <v>Male</v>
      </c>
      <c r="N664">
        <f ca="1">_xlfn.XLOOKUP(Table8[[#This Row],[Supporter_ID]],tb1_supporters[Supporter_ID ],tb1_supporters[Age],"")</f>
        <v>54</v>
      </c>
      <c r="O664" t="str">
        <f ca="1">_xlfn.XLOOKUP(Table8[[#This Row],[Supporter_ID]],tb1_supporters[Supporter_ID ],tb1_supporters[Age_Band],"")</f>
        <v>50-64</v>
      </c>
      <c r="P664" t="str">
        <f ca="1">IF(Table8[[#This Row],[Age_Band]]="","Unknown",Table8[[#This Row],[Age_Band]])</f>
        <v>50-64</v>
      </c>
      <c r="Q664" t="str">
        <f>_xlfn.XLOOKUP(Table8[[#This Row],[Supporter_ID]],tb1_supporters[Supporter_ID ],tb1_supporters[Communication_Preference],"")</f>
        <v>Post</v>
      </c>
      <c r="R664" t="str">
        <f>_xlfn.XLOOKUP(Table8[[#This Row],[Supporter_ID]],tb1_supporters[Supporter_ID ],tb1_supporters[Duplicate_Profile_Flag],"")</f>
        <v/>
      </c>
      <c r="S664" t="str">
        <f>_xlfn.XLOOKUP(Table8[[#This Row],[Supporter_ID]],tb1_supporters[Supporter_ID ],tb1_supporters[Preference_Compliance_Flag],"")</f>
        <v>Review - prefers post but not opted in</v>
      </c>
      <c r="T664" t="str">
        <f ca="1">IF(Table8[[#This Row],[Age]]="","Review - missing DOB",IF(Table8[[#This Row],[Age]]&gt;TODAY(),"Review - future DOB",IF(Table8[[#This Row],[Age]]=0,"Review -  potential entry error (age 0)","")))</f>
        <v/>
      </c>
      <c r="U664" t="str">
        <f>_xlfn.XLOOKUP(Table8[[#This Row],[Campaign_Code]],tb3_CampaignMaster[Campaign_Code],tb3_CampaignMaster[Campaign_Type],"")</f>
        <v>Event</v>
      </c>
      <c r="V664" t="str">
        <f>_xlfn.XLOOKUP(Table8[[#This Row],[Campaign_Code]],tb3_CampaignMaster[Campaign_Code],tb3_CampaignMaster[Target_Audience],"")</f>
        <v>Major Donors</v>
      </c>
      <c r="W664" s="17">
        <f>_xlfn.XLOOKUP(Table8[[#This Row],[Campaign_Code]],tb3_CampaignMaster[Campaign_Code],tb3_CampaignMaster[Start_Date],"")</f>
        <v>45488</v>
      </c>
      <c r="X664" s="17">
        <f>_xlfn.XLOOKUP(Table8[[#This Row],[Campaign_Code]],tb3_CampaignMaster[Campaign_Code],tb3_CampaignMaster[End_Date],"")</f>
        <v>45488</v>
      </c>
      <c r="Y664">
        <f>_xlfn.XLOOKUP(Table8[[#This Row],[Campaign_Code]],tb3_CampaignMaster[Campaign_Code],tb3_CampaignMaster[Budget_GBP],"")</f>
        <v>45000</v>
      </c>
      <c r="Z664" t="str">
        <f>_xlfn.XLOOKUP(Table8[[#This Row],[Campaign_Code]],tb3_CampaignMaster[Campaign_Code],tb3_CampaignMaster[Primary_Channel],"")</f>
        <v>Direct Mail</v>
      </c>
      <c r="AA664" s="13">
        <f>IF(Table8[[#This Row],[Gift_Aid_Eligible]]="Yes",Table8[[#This Row],[Gift_Amount]]*1.25,Table8[[#This Row],[Gift_Amount]])</f>
        <v>32.549999999999997</v>
      </c>
      <c r="AB664" t="str">
        <f>IF(Table8[[#This Row],[Supporter_ID]]="","Review - missing supporter ID","")</f>
        <v/>
      </c>
      <c r="AC664" t="str">
        <f>IF(OR(Table8[[#This Row],[Response_Date]]&lt;Table8[[#This Row],[Start_Date]],Table8[[#This Row],[Response_Date]]&gt;Table8[[#This Row],[End_Date]]),"Review - response outside campaign dates","")</f>
        <v/>
      </c>
      <c r="AD664" t="str">
        <f>IF(Table8[[#This Row],[Campaign_Type]]="","Review - campaign code not found","")</f>
        <v/>
      </c>
    </row>
    <row r="665" spans="1:30" x14ac:dyDescent="0.25">
      <c r="A665" t="s">
        <v>4461</v>
      </c>
      <c r="B665" t="s">
        <v>2519</v>
      </c>
      <c r="C665" t="s">
        <v>3354</v>
      </c>
      <c r="D665" t="s">
        <v>3355</v>
      </c>
      <c r="E665" t="s">
        <v>4</v>
      </c>
      <c r="F665" s="17">
        <v>45618</v>
      </c>
      <c r="G665">
        <v>49.19</v>
      </c>
      <c r="H665" t="s">
        <v>36</v>
      </c>
      <c r="I665" t="s">
        <v>3318</v>
      </c>
      <c r="J665" t="str">
        <f>_xlfn.XLOOKUP(Table8[[#This Row],[Supporter_ID]],tb1_supporters[Supporter_ID ],tb1_supporters[Segment],"")</f>
        <v>Regular Giver</v>
      </c>
      <c r="K665" t="str">
        <f>_xlfn.XLOOKUP(Table8[[#This Row],[Supporter_ID]],tb1_supporters[Supporter_ID ],tb1_supporters[Acquisition_Source],"")</f>
        <v>Direct Mail</v>
      </c>
      <c r="L665" t="str">
        <f>_xlfn.XLOOKUP(Table8[[#This Row],[Supporter_ID]],tb1_supporters[Supporter_ID ],tb1_supporters[County],"")</f>
        <v>Wiltshire</v>
      </c>
      <c r="M665" t="str">
        <f>_xlfn.XLOOKUP(Table8[[#This Row],[Supporter_ID]],tb1_supporters[Supporter_ID ],tb1_supporters[Gender],"")</f>
        <v>Female</v>
      </c>
      <c r="N665">
        <f ca="1">_xlfn.XLOOKUP(Table8[[#This Row],[Supporter_ID]],tb1_supporters[Supporter_ID ],tb1_supporters[Age],"")</f>
        <v>59</v>
      </c>
      <c r="O665" t="str">
        <f ca="1">_xlfn.XLOOKUP(Table8[[#This Row],[Supporter_ID]],tb1_supporters[Supporter_ID ],tb1_supporters[Age_Band],"")</f>
        <v>50-64</v>
      </c>
      <c r="P665" t="str">
        <f ca="1">IF(Table8[[#This Row],[Age_Band]]="","Unknown",Table8[[#This Row],[Age_Band]])</f>
        <v>50-64</v>
      </c>
      <c r="Q665" t="str">
        <f>_xlfn.XLOOKUP(Table8[[#This Row],[Supporter_ID]],tb1_supporters[Supporter_ID ],tb1_supporters[Communication_Preference],"")</f>
        <v>Post</v>
      </c>
      <c r="R665" t="str">
        <f>_xlfn.XLOOKUP(Table8[[#This Row],[Supporter_ID]],tb1_supporters[Supporter_ID ],tb1_supporters[Duplicate_Profile_Flag],"")</f>
        <v/>
      </c>
      <c r="S665" t="str">
        <f>_xlfn.XLOOKUP(Table8[[#This Row],[Supporter_ID]],tb1_supporters[Supporter_ID ],tb1_supporters[Preference_Compliance_Flag],"")</f>
        <v/>
      </c>
      <c r="T665" t="str">
        <f ca="1">IF(Table8[[#This Row],[Age]]="","Review - missing DOB",IF(Table8[[#This Row],[Age]]&gt;TODAY(),"Review - future DOB",IF(Table8[[#This Row],[Age]]=0,"Review -  potential entry error (age 0)","")))</f>
        <v/>
      </c>
      <c r="U665" t="str">
        <f>_xlfn.XLOOKUP(Table8[[#This Row],[Campaign_Code]],tb3_CampaignMaster[Campaign_Code],tb3_CampaignMaster[Campaign_Type],"")</f>
        <v>Event</v>
      </c>
      <c r="V665" t="str">
        <f>_xlfn.XLOOKUP(Table8[[#This Row],[Campaign_Code]],tb3_CampaignMaster[Campaign_Code],tb3_CampaignMaster[Target_Audience],"")</f>
        <v>Volunteers</v>
      </c>
      <c r="W665" s="17">
        <f>_xlfn.XLOOKUP(Table8[[#This Row],[Campaign_Code]],tb3_CampaignMaster[Campaign_Code],tb3_CampaignMaster[Start_Date],"")</f>
        <v>45618</v>
      </c>
      <c r="X665" s="17">
        <f>_xlfn.XLOOKUP(Table8[[#This Row],[Campaign_Code]],tb3_CampaignMaster[Campaign_Code],tb3_CampaignMaster[End_Date],"")</f>
        <v>45618</v>
      </c>
      <c r="Y665">
        <f>_xlfn.XLOOKUP(Table8[[#This Row],[Campaign_Code]],tb3_CampaignMaster[Campaign_Code],tb3_CampaignMaster[Budget_GBP],"")</f>
        <v>3500</v>
      </c>
      <c r="Z665" t="str">
        <f>_xlfn.XLOOKUP(Table8[[#This Row],[Campaign_Code]],tb3_CampaignMaster[Campaign_Code],tb3_CampaignMaster[Primary_Channel],"")</f>
        <v>Email</v>
      </c>
      <c r="AA665" s="13">
        <f>IF(Table8[[#This Row],[Gift_Aid_Eligible]]="Yes",Table8[[#This Row],[Gift_Amount]]*1.25,Table8[[#This Row],[Gift_Amount]])</f>
        <v>61.487499999999997</v>
      </c>
      <c r="AB665" t="str">
        <f>IF(Table8[[#This Row],[Supporter_ID]]="","Review - missing supporter ID","")</f>
        <v/>
      </c>
      <c r="AC665" t="str">
        <f>IF(OR(Table8[[#This Row],[Response_Date]]&lt;Table8[[#This Row],[Start_Date]],Table8[[#This Row],[Response_Date]]&gt;Table8[[#This Row],[End_Date]]),"Review - response outside campaign dates","")</f>
        <v/>
      </c>
      <c r="AD665" t="str">
        <f>IF(Table8[[#This Row],[Campaign_Type]]="","Review - campaign code not found","")</f>
        <v/>
      </c>
    </row>
    <row r="666" spans="1:30" x14ac:dyDescent="0.25">
      <c r="A666" t="s">
        <v>4462</v>
      </c>
      <c r="B666" t="s">
        <v>2876</v>
      </c>
      <c r="C666" t="s">
        <v>3341</v>
      </c>
      <c r="D666" t="s">
        <v>3342</v>
      </c>
      <c r="E666" t="s">
        <v>4</v>
      </c>
      <c r="F666" s="17">
        <v>45717</v>
      </c>
      <c r="G666">
        <v>108.3</v>
      </c>
      <c r="H666" t="s">
        <v>37</v>
      </c>
      <c r="I666" t="s">
        <v>3318</v>
      </c>
      <c r="J666" t="str">
        <f>_xlfn.XLOOKUP(Table8[[#This Row],[Supporter_ID]],tb1_supporters[Supporter_ID ],tb1_supporters[Segment],"")</f>
        <v>One-Time Donor</v>
      </c>
      <c r="K666" t="str">
        <f>_xlfn.XLOOKUP(Table8[[#This Row],[Supporter_ID]],tb1_supporters[Supporter_ID ],tb1_supporters[Acquisition_Source],"")</f>
        <v>Direct Mail</v>
      </c>
      <c r="L666" t="str">
        <f>_xlfn.XLOOKUP(Table8[[#This Row],[Supporter_ID]],tb1_supporters[Supporter_ID ],tb1_supporters[County],"")</f>
        <v>Grampian</v>
      </c>
      <c r="M666" t="str">
        <f>_xlfn.XLOOKUP(Table8[[#This Row],[Supporter_ID]],tb1_supporters[Supporter_ID ],tb1_supporters[Gender],"")</f>
        <v>Female</v>
      </c>
      <c r="N666">
        <f ca="1">_xlfn.XLOOKUP(Table8[[#This Row],[Supporter_ID]],tb1_supporters[Supporter_ID ],tb1_supporters[Age],"")</f>
        <v>47</v>
      </c>
      <c r="O666" t="str">
        <f ca="1">_xlfn.XLOOKUP(Table8[[#This Row],[Supporter_ID]],tb1_supporters[Supporter_ID ],tb1_supporters[Age_Band],"")</f>
        <v>35-49</v>
      </c>
      <c r="P666" t="str">
        <f ca="1">IF(Table8[[#This Row],[Age_Band]]="","Unknown",Table8[[#This Row],[Age_Band]])</f>
        <v>35-49</v>
      </c>
      <c r="Q666" t="str">
        <f>_xlfn.XLOOKUP(Table8[[#This Row],[Supporter_ID]],tb1_supporters[Supporter_ID ],tb1_supporters[Communication_Preference],"")</f>
        <v>Phone</v>
      </c>
      <c r="R666" t="str">
        <f>_xlfn.XLOOKUP(Table8[[#This Row],[Supporter_ID]],tb1_supporters[Supporter_ID ],tb1_supporters[Duplicate_Profile_Flag],"")</f>
        <v/>
      </c>
      <c r="S666" t="str">
        <f>_xlfn.XLOOKUP(Table8[[#This Row],[Supporter_ID]],tb1_supporters[Supporter_ID ],tb1_supporters[Preference_Compliance_Flag],"")</f>
        <v>Review - prefers phone but not opted in</v>
      </c>
      <c r="T666" t="str">
        <f ca="1">IF(Table8[[#This Row],[Age]]="","Review - missing DOB",IF(Table8[[#This Row],[Age]]&gt;TODAY(),"Review - future DOB",IF(Table8[[#This Row],[Age]]=0,"Review -  potential entry error (age 0)","")))</f>
        <v/>
      </c>
      <c r="U666" t="str">
        <f>_xlfn.XLOOKUP(Table8[[#This Row],[Campaign_Code]],tb3_CampaignMaster[Campaign_Code],tb3_CampaignMaster[Campaign_Type],"")</f>
        <v>Acquisition</v>
      </c>
      <c r="V666" t="str">
        <f>_xlfn.XLOOKUP(Table8[[#This Row],[Campaign_Code]],tb3_CampaignMaster[Campaign_Code],tb3_CampaignMaster[Target_Audience],"")</f>
        <v>Prospects</v>
      </c>
      <c r="W666" s="17">
        <f>_xlfn.XLOOKUP(Table8[[#This Row],[Campaign_Code]],tb3_CampaignMaster[Campaign_Code],tb3_CampaignMaster[Start_Date],"")</f>
        <v>45689</v>
      </c>
      <c r="X666" s="17">
        <f>_xlfn.XLOOKUP(Table8[[#This Row],[Campaign_Code]],tb3_CampaignMaster[Campaign_Code],tb3_CampaignMaster[End_Date],"")</f>
        <v>45777</v>
      </c>
      <c r="Y666">
        <f>_xlfn.XLOOKUP(Table8[[#This Row],[Campaign_Code]],tb3_CampaignMaster[Campaign_Code],tb3_CampaignMaster[Budget_GBP],"")</f>
        <v>20000</v>
      </c>
      <c r="Z666" t="str">
        <f>_xlfn.XLOOKUP(Table8[[#This Row],[Campaign_Code]],tb3_CampaignMaster[Campaign_Code],tb3_CampaignMaster[Primary_Channel],"")</f>
        <v>Digital</v>
      </c>
      <c r="AA666" s="13">
        <f>IF(Table8[[#This Row],[Gift_Aid_Eligible]]="Yes",Table8[[#This Row],[Gift_Amount]]*1.25,Table8[[#This Row],[Gift_Amount]])</f>
        <v>108.3</v>
      </c>
      <c r="AB666" t="str">
        <f>IF(Table8[[#This Row],[Supporter_ID]]="","Review - missing supporter ID","")</f>
        <v/>
      </c>
      <c r="AC666" t="str">
        <f>IF(OR(Table8[[#This Row],[Response_Date]]&lt;Table8[[#This Row],[Start_Date]],Table8[[#This Row],[Response_Date]]&gt;Table8[[#This Row],[End_Date]]),"Review - response outside campaign dates","")</f>
        <v/>
      </c>
      <c r="AD666" t="str">
        <f>IF(Table8[[#This Row],[Campaign_Type]]="","Review - campaign code not found","")</f>
        <v/>
      </c>
    </row>
    <row r="667" spans="1:30" x14ac:dyDescent="0.25">
      <c r="A667" t="s">
        <v>4464</v>
      </c>
      <c r="B667" t="s">
        <v>374</v>
      </c>
      <c r="C667" t="s">
        <v>3354</v>
      </c>
      <c r="D667" t="s">
        <v>3355</v>
      </c>
      <c r="E667" t="s">
        <v>65</v>
      </c>
      <c r="F667" s="17">
        <v>45618</v>
      </c>
      <c r="G667">
        <v>46.41</v>
      </c>
      <c r="H667" t="s">
        <v>36</v>
      </c>
      <c r="I667" t="s">
        <v>3370</v>
      </c>
      <c r="J667" t="str">
        <f>_xlfn.XLOOKUP(Table8[[#This Row],[Supporter_ID]],tb1_supporters[Supporter_ID ],tb1_supporters[Segment],"")</f>
        <v>Regular Giver</v>
      </c>
      <c r="K667" t="str">
        <f>_xlfn.XLOOKUP(Table8[[#This Row],[Supporter_ID]],tb1_supporters[Supporter_ID ],tb1_supporters[Acquisition_Source],"")</f>
        <v>Event</v>
      </c>
      <c r="L667" t="str">
        <f>_xlfn.XLOOKUP(Table8[[#This Row],[Supporter_ID]],tb1_supporters[Supporter_ID ],tb1_supporters[County],"")</f>
        <v>Norfolk</v>
      </c>
      <c r="M667" t="str">
        <f>_xlfn.XLOOKUP(Table8[[#This Row],[Supporter_ID]],tb1_supporters[Supporter_ID ],tb1_supporters[Gender],"")</f>
        <v>Male</v>
      </c>
      <c r="N667">
        <f ca="1">_xlfn.XLOOKUP(Table8[[#This Row],[Supporter_ID]],tb1_supporters[Supporter_ID ],tb1_supporters[Age],"")</f>
        <v>53</v>
      </c>
      <c r="O667" t="str">
        <f ca="1">_xlfn.XLOOKUP(Table8[[#This Row],[Supporter_ID]],tb1_supporters[Supporter_ID ],tb1_supporters[Age_Band],"")</f>
        <v>50-64</v>
      </c>
      <c r="P667" t="str">
        <f ca="1">IF(Table8[[#This Row],[Age_Band]]="","Unknown",Table8[[#This Row],[Age_Band]])</f>
        <v>50-64</v>
      </c>
      <c r="Q667" t="str">
        <f>_xlfn.XLOOKUP(Table8[[#This Row],[Supporter_ID]],tb1_supporters[Supporter_ID ],tb1_supporters[Communication_Preference],"")</f>
        <v>Post</v>
      </c>
      <c r="R667" t="str">
        <f>_xlfn.XLOOKUP(Table8[[#This Row],[Supporter_ID]],tb1_supporters[Supporter_ID ],tb1_supporters[Duplicate_Profile_Flag],"")</f>
        <v/>
      </c>
      <c r="S667" t="str">
        <f>_xlfn.XLOOKUP(Table8[[#This Row],[Supporter_ID]],tb1_supporters[Supporter_ID ],tb1_supporters[Preference_Compliance_Flag],"")</f>
        <v/>
      </c>
      <c r="T667" t="str">
        <f ca="1">IF(Table8[[#This Row],[Age]]="","Review - missing DOB",IF(Table8[[#This Row],[Age]]&gt;TODAY(),"Review - future DOB",IF(Table8[[#This Row],[Age]]=0,"Review -  potential entry error (age 0)","")))</f>
        <v/>
      </c>
      <c r="U667" t="str">
        <f>_xlfn.XLOOKUP(Table8[[#This Row],[Campaign_Code]],tb3_CampaignMaster[Campaign_Code],tb3_CampaignMaster[Campaign_Type],"")</f>
        <v>Event</v>
      </c>
      <c r="V667" t="str">
        <f>_xlfn.XLOOKUP(Table8[[#This Row],[Campaign_Code]],tb3_CampaignMaster[Campaign_Code],tb3_CampaignMaster[Target_Audience],"")</f>
        <v>Volunteers</v>
      </c>
      <c r="W667" s="17">
        <f>_xlfn.XLOOKUP(Table8[[#This Row],[Campaign_Code]],tb3_CampaignMaster[Campaign_Code],tb3_CampaignMaster[Start_Date],"")</f>
        <v>45618</v>
      </c>
      <c r="X667" s="17">
        <f>_xlfn.XLOOKUP(Table8[[#This Row],[Campaign_Code]],tb3_CampaignMaster[Campaign_Code],tb3_CampaignMaster[End_Date],"")</f>
        <v>45618</v>
      </c>
      <c r="Y667">
        <f>_xlfn.XLOOKUP(Table8[[#This Row],[Campaign_Code]],tb3_CampaignMaster[Campaign_Code],tb3_CampaignMaster[Budget_GBP],"")</f>
        <v>3500</v>
      </c>
      <c r="Z667" t="str">
        <f>_xlfn.XLOOKUP(Table8[[#This Row],[Campaign_Code]],tb3_CampaignMaster[Campaign_Code],tb3_CampaignMaster[Primary_Channel],"")</f>
        <v>Email</v>
      </c>
      <c r="AA667" s="13">
        <f>IF(Table8[[#This Row],[Gift_Aid_Eligible]]="Yes",Table8[[#This Row],[Gift_Amount]]*1.25,Table8[[#This Row],[Gift_Amount]])</f>
        <v>58.012499999999996</v>
      </c>
      <c r="AB667" t="str">
        <f>IF(Table8[[#This Row],[Supporter_ID]]="","Review - missing supporter ID","")</f>
        <v/>
      </c>
      <c r="AC667" t="str">
        <f>IF(OR(Table8[[#This Row],[Response_Date]]&lt;Table8[[#This Row],[Start_Date]],Table8[[#This Row],[Response_Date]]&gt;Table8[[#This Row],[End_Date]]),"Review - response outside campaign dates","")</f>
        <v/>
      </c>
      <c r="AD667" t="str">
        <f>IF(Table8[[#This Row],[Campaign_Type]]="","Review - campaign code not found","")</f>
        <v/>
      </c>
    </row>
    <row r="668" spans="1:30" x14ac:dyDescent="0.25">
      <c r="A668" t="s">
        <v>4465</v>
      </c>
      <c r="B668" t="s">
        <v>1951</v>
      </c>
      <c r="C668" t="s">
        <v>3325</v>
      </c>
      <c r="D668" t="s">
        <v>3326</v>
      </c>
      <c r="E668" t="s">
        <v>4</v>
      </c>
      <c r="F668" s="17">
        <v>45635</v>
      </c>
      <c r="G668">
        <v>71.13</v>
      </c>
      <c r="H668" t="s">
        <v>36</v>
      </c>
      <c r="I668" t="s">
        <v>3370</v>
      </c>
      <c r="J668" t="str">
        <f>_xlfn.XLOOKUP(Table8[[#This Row],[Supporter_ID]],tb1_supporters[Supporter_ID ],tb1_supporters[Segment],"")</f>
        <v>Lapsed</v>
      </c>
      <c r="K668" t="str">
        <f>_xlfn.XLOOKUP(Table8[[#This Row],[Supporter_ID]],tb1_supporters[Supporter_ID ],tb1_supporters[Acquisition_Source],"")</f>
        <v>Event</v>
      </c>
      <c r="L668" t="str">
        <f>_xlfn.XLOOKUP(Table8[[#This Row],[Supporter_ID]],tb1_supporters[Supporter_ID ],tb1_supporters[County],"")</f>
        <v>Surrey</v>
      </c>
      <c r="M668" t="str">
        <f>_xlfn.XLOOKUP(Table8[[#This Row],[Supporter_ID]],tb1_supporters[Supporter_ID ],tb1_supporters[Gender],"")</f>
        <v>Female</v>
      </c>
      <c r="N668">
        <f ca="1">_xlfn.XLOOKUP(Table8[[#This Row],[Supporter_ID]],tb1_supporters[Supporter_ID ],tb1_supporters[Age],"")</f>
        <v>39</v>
      </c>
      <c r="O668" t="str">
        <f ca="1">_xlfn.XLOOKUP(Table8[[#This Row],[Supporter_ID]],tb1_supporters[Supporter_ID ],tb1_supporters[Age_Band],"")</f>
        <v>35-49</v>
      </c>
      <c r="P668" t="str">
        <f ca="1">IF(Table8[[#This Row],[Age_Band]]="","Unknown",Table8[[#This Row],[Age_Band]])</f>
        <v>35-49</v>
      </c>
      <c r="Q668" t="str">
        <f>_xlfn.XLOOKUP(Table8[[#This Row],[Supporter_ID]],tb1_supporters[Supporter_ID ],tb1_supporters[Communication_Preference],"")</f>
        <v>No Preference</v>
      </c>
      <c r="R668" t="str">
        <f>_xlfn.XLOOKUP(Table8[[#This Row],[Supporter_ID]],tb1_supporters[Supporter_ID ],tb1_supporters[Duplicate_Profile_Flag],"")</f>
        <v/>
      </c>
      <c r="S668" t="str">
        <f>_xlfn.XLOOKUP(Table8[[#This Row],[Supporter_ID]],tb1_supporters[Supporter_ID ],tb1_supporters[Preference_Compliance_Flag],"")</f>
        <v/>
      </c>
      <c r="T668" t="str">
        <f ca="1">IF(Table8[[#This Row],[Age]]="","Review - missing DOB",IF(Table8[[#This Row],[Age]]&gt;TODAY(),"Review - future DOB",IF(Table8[[#This Row],[Age]]=0,"Review -  potential entry error (age 0)","")))</f>
        <v/>
      </c>
      <c r="U668" t="str">
        <f>_xlfn.XLOOKUP(Table8[[#This Row],[Campaign_Code]],tb3_CampaignMaster[Campaign_Code],tb3_CampaignMaster[Campaign_Type],"")</f>
        <v>Appeal</v>
      </c>
      <c r="V668" t="str">
        <f>_xlfn.XLOOKUP(Table8[[#This Row],[Campaign_Code]],tb3_CampaignMaster[Campaign_Code],tb3_CampaignMaster[Target_Audience],"")</f>
        <v>All Active</v>
      </c>
      <c r="W668" s="17">
        <f>_xlfn.XLOOKUP(Table8[[#This Row],[Campaign_Code]],tb3_CampaignMaster[Campaign_Code],tb3_CampaignMaster[Start_Date],"")</f>
        <v>45597</v>
      </c>
      <c r="X668" s="17">
        <f>_xlfn.XLOOKUP(Table8[[#This Row],[Campaign_Code]],tb3_CampaignMaster[Campaign_Code],tb3_CampaignMaster[End_Date],"")</f>
        <v>45657</v>
      </c>
      <c r="Y668">
        <f>_xlfn.XLOOKUP(Table8[[#This Row],[Campaign_Code]],tb3_CampaignMaster[Campaign_Code],tb3_CampaignMaster[Budget_GBP],"")</f>
        <v>25000</v>
      </c>
      <c r="Z668" t="str">
        <f>_xlfn.XLOOKUP(Table8[[#This Row],[Campaign_Code]],tb3_CampaignMaster[Campaign_Code],tb3_CampaignMaster[Primary_Channel],"")</f>
        <v>Multi-channel</v>
      </c>
      <c r="AA668" s="13">
        <f>IF(Table8[[#This Row],[Gift_Aid_Eligible]]="Yes",Table8[[#This Row],[Gift_Amount]]*1.25,Table8[[#This Row],[Gift_Amount]])</f>
        <v>88.912499999999994</v>
      </c>
      <c r="AB668" t="str">
        <f>IF(Table8[[#This Row],[Supporter_ID]]="","Review - missing supporter ID","")</f>
        <v/>
      </c>
      <c r="AC668" t="str">
        <f>IF(OR(Table8[[#This Row],[Response_Date]]&lt;Table8[[#This Row],[Start_Date]],Table8[[#This Row],[Response_Date]]&gt;Table8[[#This Row],[End_Date]]),"Review - response outside campaign dates","")</f>
        <v/>
      </c>
      <c r="AD668" t="str">
        <f>IF(Table8[[#This Row],[Campaign_Type]]="","Review - campaign code not found","")</f>
        <v/>
      </c>
    </row>
    <row r="669" spans="1:30" x14ac:dyDescent="0.25">
      <c r="A669" t="s">
        <v>4467</v>
      </c>
      <c r="B669" t="s">
        <v>729</v>
      </c>
      <c r="C669" t="s">
        <v>3325</v>
      </c>
      <c r="D669" t="s">
        <v>3326</v>
      </c>
      <c r="E669" t="s">
        <v>3316</v>
      </c>
      <c r="F669" s="17">
        <v>45619</v>
      </c>
      <c r="G669">
        <v>15.35</v>
      </c>
      <c r="H669" t="s">
        <v>36</v>
      </c>
      <c r="I669" t="s">
        <v>3328</v>
      </c>
      <c r="J669" t="str">
        <f>_xlfn.XLOOKUP(Table8[[#This Row],[Supporter_ID]],tb1_supporters[Supporter_ID ],tb1_supporters[Segment],"")</f>
        <v>Prospect</v>
      </c>
      <c r="K669" t="str">
        <f>_xlfn.XLOOKUP(Table8[[#This Row],[Supporter_ID]],tb1_supporters[Supporter_ID ],tb1_supporters[Acquisition_Source],"")</f>
        <v>Direct Mail</v>
      </c>
      <c r="L669" t="str">
        <f>_xlfn.XLOOKUP(Table8[[#This Row],[Supporter_ID]],tb1_supporters[Supporter_ID ],tb1_supporters[County],"")</f>
        <v>Greater London</v>
      </c>
      <c r="M669" t="str">
        <f>_xlfn.XLOOKUP(Table8[[#This Row],[Supporter_ID]],tb1_supporters[Supporter_ID ],tb1_supporters[Gender],"")</f>
        <v>Female</v>
      </c>
      <c r="N669">
        <f ca="1">_xlfn.XLOOKUP(Table8[[#This Row],[Supporter_ID]],tb1_supporters[Supporter_ID ],tb1_supporters[Age],"")</f>
        <v>37</v>
      </c>
      <c r="O669" t="str">
        <f ca="1">_xlfn.XLOOKUP(Table8[[#This Row],[Supporter_ID]],tb1_supporters[Supporter_ID ],tb1_supporters[Age_Band],"")</f>
        <v>35-49</v>
      </c>
      <c r="P669" t="str">
        <f ca="1">IF(Table8[[#This Row],[Age_Band]]="","Unknown",Table8[[#This Row],[Age_Band]])</f>
        <v>35-49</v>
      </c>
      <c r="Q669" t="str">
        <f>_xlfn.XLOOKUP(Table8[[#This Row],[Supporter_ID]],tb1_supporters[Supporter_ID ],tb1_supporters[Communication_Preference],"")</f>
        <v>No Preference</v>
      </c>
      <c r="R669" t="str">
        <f>_xlfn.XLOOKUP(Table8[[#This Row],[Supporter_ID]],tb1_supporters[Supporter_ID ],tb1_supporters[Duplicate_Profile_Flag],"")</f>
        <v/>
      </c>
      <c r="S669" t="str">
        <f>_xlfn.XLOOKUP(Table8[[#This Row],[Supporter_ID]],tb1_supporters[Supporter_ID ],tb1_supporters[Preference_Compliance_Flag],"")</f>
        <v/>
      </c>
      <c r="T669" t="str">
        <f ca="1">IF(Table8[[#This Row],[Age]]="","Review - missing DOB",IF(Table8[[#This Row],[Age]]&gt;TODAY(),"Review - future DOB",IF(Table8[[#This Row],[Age]]=0,"Review -  potential entry error (age 0)","")))</f>
        <v/>
      </c>
      <c r="U669" t="str">
        <f>_xlfn.XLOOKUP(Table8[[#This Row],[Campaign_Code]],tb3_CampaignMaster[Campaign_Code],tb3_CampaignMaster[Campaign_Type],"")</f>
        <v>Appeal</v>
      </c>
      <c r="V669" t="str">
        <f>_xlfn.XLOOKUP(Table8[[#This Row],[Campaign_Code]],tb3_CampaignMaster[Campaign_Code],tb3_CampaignMaster[Target_Audience],"")</f>
        <v>All Active</v>
      </c>
      <c r="W669" s="17">
        <f>_xlfn.XLOOKUP(Table8[[#This Row],[Campaign_Code]],tb3_CampaignMaster[Campaign_Code],tb3_CampaignMaster[Start_Date],"")</f>
        <v>45597</v>
      </c>
      <c r="X669" s="17">
        <f>_xlfn.XLOOKUP(Table8[[#This Row],[Campaign_Code]],tb3_CampaignMaster[Campaign_Code],tb3_CampaignMaster[End_Date],"")</f>
        <v>45657</v>
      </c>
      <c r="Y669">
        <f>_xlfn.XLOOKUP(Table8[[#This Row],[Campaign_Code]],tb3_CampaignMaster[Campaign_Code],tb3_CampaignMaster[Budget_GBP],"")</f>
        <v>25000</v>
      </c>
      <c r="Z669" t="str">
        <f>_xlfn.XLOOKUP(Table8[[#This Row],[Campaign_Code]],tb3_CampaignMaster[Campaign_Code],tb3_CampaignMaster[Primary_Channel],"")</f>
        <v>Multi-channel</v>
      </c>
      <c r="AA669" s="13">
        <f>IF(Table8[[#This Row],[Gift_Aid_Eligible]]="Yes",Table8[[#This Row],[Gift_Amount]]*1.25,Table8[[#This Row],[Gift_Amount]])</f>
        <v>19.1875</v>
      </c>
      <c r="AB669" t="str">
        <f>IF(Table8[[#This Row],[Supporter_ID]]="","Review - missing supporter ID","")</f>
        <v/>
      </c>
      <c r="AC669" t="str">
        <f>IF(OR(Table8[[#This Row],[Response_Date]]&lt;Table8[[#This Row],[Start_Date]],Table8[[#This Row],[Response_Date]]&gt;Table8[[#This Row],[End_Date]]),"Review - response outside campaign dates","")</f>
        <v/>
      </c>
      <c r="AD669" t="str">
        <f>IF(Table8[[#This Row],[Campaign_Type]]="","Review - campaign code not found","")</f>
        <v/>
      </c>
    </row>
    <row r="670" spans="1:30" x14ac:dyDescent="0.25">
      <c r="A670" t="s">
        <v>4469</v>
      </c>
      <c r="B670" t="s">
        <v>2380</v>
      </c>
      <c r="C670" t="s">
        <v>3320</v>
      </c>
      <c r="D670" t="s">
        <v>3321</v>
      </c>
      <c r="E670" t="s">
        <v>65</v>
      </c>
      <c r="F670" s="17">
        <v>45297</v>
      </c>
      <c r="G670">
        <v>141.9</v>
      </c>
      <c r="H670" t="s">
        <v>37</v>
      </c>
      <c r="I670" t="s">
        <v>3331</v>
      </c>
      <c r="J670" t="str">
        <f>_xlfn.XLOOKUP(Table8[[#This Row],[Supporter_ID]],tb1_supporters[Supporter_ID ],tb1_supporters[Segment],"")</f>
        <v>Mid-Value</v>
      </c>
      <c r="K670" t="str">
        <f>_xlfn.XLOOKUP(Table8[[#This Row],[Supporter_ID]],tb1_supporters[Supporter_ID ],tb1_supporters[Acquisition_Source],"")</f>
        <v>Direct Mail</v>
      </c>
      <c r="L670" t="str">
        <f>_xlfn.XLOOKUP(Table8[[#This Row],[Supporter_ID]],tb1_supporters[Supporter_ID ],tb1_supporters[County],"")</f>
        <v>West Glamorgan</v>
      </c>
      <c r="M670" t="str">
        <f>_xlfn.XLOOKUP(Table8[[#This Row],[Supporter_ID]],tb1_supporters[Supporter_ID ],tb1_supporters[Gender],"")</f>
        <v>Female</v>
      </c>
      <c r="N670">
        <f ca="1">_xlfn.XLOOKUP(Table8[[#This Row],[Supporter_ID]],tb1_supporters[Supporter_ID ],tb1_supporters[Age],"")</f>
        <v>49</v>
      </c>
      <c r="O670" t="str">
        <f ca="1">_xlfn.XLOOKUP(Table8[[#This Row],[Supporter_ID]],tb1_supporters[Supporter_ID ],tb1_supporters[Age_Band],"")</f>
        <v>35-49</v>
      </c>
      <c r="P670" t="str">
        <f ca="1">IF(Table8[[#This Row],[Age_Band]]="","Unknown",Table8[[#This Row],[Age_Band]])</f>
        <v>35-49</v>
      </c>
      <c r="Q670" t="str">
        <f>_xlfn.XLOOKUP(Table8[[#This Row],[Supporter_ID]],tb1_supporters[Supporter_ID ],tb1_supporters[Communication_Preference],"")</f>
        <v>Email</v>
      </c>
      <c r="R670" t="str">
        <f>_xlfn.XLOOKUP(Table8[[#This Row],[Supporter_ID]],tb1_supporters[Supporter_ID ],tb1_supporters[Duplicate_Profile_Flag],"")</f>
        <v/>
      </c>
      <c r="S670" t="str">
        <f>_xlfn.XLOOKUP(Table8[[#This Row],[Supporter_ID]],tb1_supporters[Supporter_ID ],tb1_supporters[Preference_Compliance_Flag],"")</f>
        <v/>
      </c>
      <c r="T670" t="str">
        <f ca="1">IF(Table8[[#This Row],[Age]]="","Review - missing DOB",IF(Table8[[#This Row],[Age]]&gt;TODAY(),"Review - future DOB",IF(Table8[[#This Row],[Age]]=0,"Review -  potential entry error (age 0)","")))</f>
        <v/>
      </c>
      <c r="U670" t="str">
        <f>_xlfn.XLOOKUP(Table8[[#This Row],[Campaign_Code]],tb3_CampaignMaster[Campaign_Code],tb3_CampaignMaster[Campaign_Type],"")</f>
        <v>Stewardship</v>
      </c>
      <c r="V670" t="str">
        <f>_xlfn.XLOOKUP(Table8[[#This Row],[Campaign_Code]],tb3_CampaignMaster[Campaign_Code],tb3_CampaignMaster[Target_Audience],"")</f>
        <v>Major Donors</v>
      </c>
      <c r="W670" s="17">
        <f>_xlfn.XLOOKUP(Table8[[#This Row],[Campaign_Code]],tb3_CampaignMaster[Campaign_Code],tb3_CampaignMaster[Start_Date],"")</f>
        <v>45444</v>
      </c>
      <c r="X670" s="17">
        <f>_xlfn.XLOOKUP(Table8[[#This Row],[Campaign_Code]],tb3_CampaignMaster[Campaign_Code],tb3_CampaignMaster[End_Date],"")</f>
        <v>45473</v>
      </c>
      <c r="Y670">
        <f>_xlfn.XLOOKUP(Table8[[#This Row],[Campaign_Code]],tb3_CampaignMaster[Campaign_Code],tb3_CampaignMaster[Budget_GBP],"")</f>
        <v>7000</v>
      </c>
      <c r="Z670" t="str">
        <f>_xlfn.XLOOKUP(Table8[[#This Row],[Campaign_Code]],tb3_CampaignMaster[Campaign_Code],tb3_CampaignMaster[Primary_Channel],"")</f>
        <v>Direct Mail</v>
      </c>
      <c r="AA670" s="13">
        <f>IF(Table8[[#This Row],[Gift_Aid_Eligible]]="Yes",Table8[[#This Row],[Gift_Amount]]*1.25,Table8[[#This Row],[Gift_Amount]])</f>
        <v>141.9</v>
      </c>
      <c r="AB670" t="str">
        <f>IF(Table8[[#This Row],[Supporter_ID]]="","Review - missing supporter ID","")</f>
        <v/>
      </c>
      <c r="AC670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670" t="str">
        <f>IF(Table8[[#This Row],[Campaign_Type]]="","Review - campaign code not found","")</f>
        <v/>
      </c>
    </row>
    <row r="671" spans="1:30" x14ac:dyDescent="0.25">
      <c r="A671" t="s">
        <v>4470</v>
      </c>
      <c r="B671" t="s">
        <v>1399</v>
      </c>
      <c r="C671" t="s">
        <v>3362</v>
      </c>
      <c r="D671" t="s">
        <v>3363</v>
      </c>
      <c r="E671" t="s">
        <v>65</v>
      </c>
      <c r="F671" s="17">
        <v>45576</v>
      </c>
      <c r="G671">
        <v>148.97999999999999</v>
      </c>
      <c r="H671" t="s">
        <v>37</v>
      </c>
      <c r="I671" t="s">
        <v>3331</v>
      </c>
      <c r="J671" t="str">
        <f>_xlfn.XLOOKUP(Table8[[#This Row],[Supporter_ID]],tb1_supporters[Supporter_ID ],tb1_supporters[Segment],"")</f>
        <v>One-Time Donor</v>
      </c>
      <c r="K671" t="str">
        <f>_xlfn.XLOOKUP(Table8[[#This Row],[Supporter_ID]],tb1_supporters[Supporter_ID ],tb1_supporters[Acquisition_Source],"")</f>
        <v>Website</v>
      </c>
      <c r="L671" t="str">
        <f>_xlfn.XLOOKUP(Table8[[#This Row],[Supporter_ID]],tb1_supporters[Supporter_ID ],tb1_supporters[County],"")</f>
        <v>Devon</v>
      </c>
      <c r="M671" t="str">
        <f>_xlfn.XLOOKUP(Table8[[#This Row],[Supporter_ID]],tb1_supporters[Supporter_ID ],tb1_supporters[Gender],"")</f>
        <v>Male</v>
      </c>
      <c r="N671">
        <f ca="1">_xlfn.XLOOKUP(Table8[[#This Row],[Supporter_ID]],tb1_supporters[Supporter_ID ],tb1_supporters[Age],"")</f>
        <v>69</v>
      </c>
      <c r="O671" t="str">
        <f ca="1">_xlfn.XLOOKUP(Table8[[#This Row],[Supporter_ID]],tb1_supporters[Supporter_ID ],tb1_supporters[Age_Band],"")</f>
        <v>65+</v>
      </c>
      <c r="P671" t="str">
        <f ca="1">IF(Table8[[#This Row],[Age_Band]]="","Unknown",Table8[[#This Row],[Age_Band]])</f>
        <v>65+</v>
      </c>
      <c r="Q671" t="str">
        <f>_xlfn.XLOOKUP(Table8[[#This Row],[Supporter_ID]],tb1_supporters[Supporter_ID ],tb1_supporters[Communication_Preference],"")</f>
        <v>No Preference</v>
      </c>
      <c r="R671" t="str">
        <f>_xlfn.XLOOKUP(Table8[[#This Row],[Supporter_ID]],tb1_supporters[Supporter_ID ],tb1_supporters[Duplicate_Profile_Flag],"")</f>
        <v/>
      </c>
      <c r="S671" t="str">
        <f>_xlfn.XLOOKUP(Table8[[#This Row],[Supporter_ID]],tb1_supporters[Supporter_ID ],tb1_supporters[Preference_Compliance_Flag],"")</f>
        <v/>
      </c>
      <c r="T671" t="str">
        <f ca="1">IF(Table8[[#This Row],[Age]]="","Review - missing DOB",IF(Table8[[#This Row],[Age]]&gt;TODAY(),"Review - future DOB",IF(Table8[[#This Row],[Age]]=0,"Review -  potential entry error (age 0)","")))</f>
        <v/>
      </c>
      <c r="U671" t="str">
        <f>_xlfn.XLOOKUP(Table8[[#This Row],[Campaign_Code]],tb3_CampaignMaster[Campaign_Code],tb3_CampaignMaster[Campaign_Type],"")</f>
        <v>Legacy</v>
      </c>
      <c r="V671" t="str">
        <f>_xlfn.XLOOKUP(Table8[[#This Row],[Campaign_Code]],tb3_CampaignMaster[Campaign_Code],tb3_CampaignMaster[Target_Audience],"")</f>
        <v>Over 55s</v>
      </c>
      <c r="W671" s="17">
        <f>_xlfn.XLOOKUP(Table8[[#This Row],[Campaign_Code]],tb3_CampaignMaster[Campaign_Code],tb3_CampaignMaster[Start_Date],"")</f>
        <v>45572</v>
      </c>
      <c r="X671" s="17">
        <f>_xlfn.XLOOKUP(Table8[[#This Row],[Campaign_Code]],tb3_CampaignMaster[Campaign_Code],tb3_CampaignMaster[End_Date],"")</f>
        <v>45578</v>
      </c>
      <c r="Y671">
        <f>_xlfn.XLOOKUP(Table8[[#This Row],[Campaign_Code]],tb3_CampaignMaster[Campaign_Code],tb3_CampaignMaster[Budget_GBP],"")</f>
        <v>5000</v>
      </c>
      <c r="Z671" t="str">
        <f>_xlfn.XLOOKUP(Table8[[#This Row],[Campaign_Code]],tb3_CampaignMaster[Campaign_Code],tb3_CampaignMaster[Primary_Channel],"")</f>
        <v>Direct Mail</v>
      </c>
      <c r="AA671" s="13">
        <f>IF(Table8[[#This Row],[Gift_Aid_Eligible]]="Yes",Table8[[#This Row],[Gift_Amount]]*1.25,Table8[[#This Row],[Gift_Amount]])</f>
        <v>148.97999999999999</v>
      </c>
      <c r="AB671" t="str">
        <f>IF(Table8[[#This Row],[Supporter_ID]]="","Review - missing supporter ID","")</f>
        <v/>
      </c>
      <c r="AC671" t="str">
        <f>IF(OR(Table8[[#This Row],[Response_Date]]&lt;Table8[[#This Row],[Start_Date]],Table8[[#This Row],[Response_Date]]&gt;Table8[[#This Row],[End_Date]]),"Review - response outside campaign dates","")</f>
        <v/>
      </c>
      <c r="AD671" t="str">
        <f>IF(Table8[[#This Row],[Campaign_Type]]="","Review - campaign code not found","")</f>
        <v/>
      </c>
    </row>
    <row r="672" spans="1:30" x14ac:dyDescent="0.25">
      <c r="A672" t="s">
        <v>4472</v>
      </c>
      <c r="B672" t="s">
        <v>637</v>
      </c>
      <c r="C672" t="s">
        <v>3427</v>
      </c>
      <c r="D672" t="s">
        <v>3428</v>
      </c>
      <c r="E672" t="s">
        <v>65</v>
      </c>
      <c r="F672" s="17">
        <v>45488</v>
      </c>
      <c r="G672">
        <v>27.92</v>
      </c>
      <c r="H672" t="s">
        <v>36</v>
      </c>
      <c r="I672" t="s">
        <v>3328</v>
      </c>
      <c r="J672" t="str">
        <f>_xlfn.XLOOKUP(Table8[[#This Row],[Supporter_ID]],tb1_supporters[Supporter_ID ],tb1_supporters[Segment],"")</f>
        <v>Lapsed</v>
      </c>
      <c r="K672" t="str">
        <f>_xlfn.XLOOKUP(Table8[[#This Row],[Supporter_ID]],tb1_supporters[Supporter_ID ],tb1_supporters[Acquisition_Source],"")</f>
        <v>Direct Mail</v>
      </c>
      <c r="L672" t="str">
        <f>_xlfn.XLOOKUP(Table8[[#This Row],[Supporter_ID]],tb1_supporters[Supporter_ID ],tb1_supporters[County],"")</f>
        <v>Cheshire</v>
      </c>
      <c r="M672" t="str">
        <f>_xlfn.XLOOKUP(Table8[[#This Row],[Supporter_ID]],tb1_supporters[Supporter_ID ],tb1_supporters[Gender],"")</f>
        <v>Male</v>
      </c>
      <c r="N672">
        <f ca="1">_xlfn.XLOOKUP(Table8[[#This Row],[Supporter_ID]],tb1_supporters[Supporter_ID ],tb1_supporters[Age],"")</f>
        <v>41</v>
      </c>
      <c r="O672" t="str">
        <f ca="1">_xlfn.XLOOKUP(Table8[[#This Row],[Supporter_ID]],tb1_supporters[Supporter_ID ],tb1_supporters[Age_Band],"")</f>
        <v>35-49</v>
      </c>
      <c r="P672" t="str">
        <f ca="1">IF(Table8[[#This Row],[Age_Band]]="","Unknown",Table8[[#This Row],[Age_Band]])</f>
        <v>35-49</v>
      </c>
      <c r="Q672" t="str">
        <f>_xlfn.XLOOKUP(Table8[[#This Row],[Supporter_ID]],tb1_supporters[Supporter_ID ],tb1_supporters[Communication_Preference],"")</f>
        <v>Do Not Contact</v>
      </c>
      <c r="R672" t="str">
        <f>_xlfn.XLOOKUP(Table8[[#This Row],[Supporter_ID]],tb1_supporters[Supporter_ID ],tb1_supporters[Duplicate_Profile_Flag],"")</f>
        <v/>
      </c>
      <c r="S672" t="str">
        <f>_xlfn.XLOOKUP(Table8[[#This Row],[Supporter_ID]],tb1_supporters[Supporter_ID ],tb1_supporters[Preference_Compliance_Flag],"")</f>
        <v/>
      </c>
      <c r="T672" t="str">
        <f ca="1">IF(Table8[[#This Row],[Age]]="","Review - missing DOB",IF(Table8[[#This Row],[Age]]&gt;TODAY(),"Review - future DOB",IF(Table8[[#This Row],[Age]]=0,"Review -  potential entry error (age 0)","")))</f>
        <v/>
      </c>
      <c r="U672" t="str">
        <f>_xlfn.XLOOKUP(Table8[[#This Row],[Campaign_Code]],tb3_CampaignMaster[Campaign_Code],tb3_CampaignMaster[Campaign_Type],"")</f>
        <v>Event</v>
      </c>
      <c r="V672" t="str">
        <f>_xlfn.XLOOKUP(Table8[[#This Row],[Campaign_Code]],tb3_CampaignMaster[Campaign_Code],tb3_CampaignMaster[Target_Audience],"")</f>
        <v>Major Donors</v>
      </c>
      <c r="W672" s="17">
        <f>_xlfn.XLOOKUP(Table8[[#This Row],[Campaign_Code]],tb3_CampaignMaster[Campaign_Code],tb3_CampaignMaster[Start_Date],"")</f>
        <v>45488</v>
      </c>
      <c r="X672" s="17">
        <f>_xlfn.XLOOKUP(Table8[[#This Row],[Campaign_Code]],tb3_CampaignMaster[Campaign_Code],tb3_CampaignMaster[End_Date],"")</f>
        <v>45488</v>
      </c>
      <c r="Y672">
        <f>_xlfn.XLOOKUP(Table8[[#This Row],[Campaign_Code]],tb3_CampaignMaster[Campaign_Code],tb3_CampaignMaster[Budget_GBP],"")</f>
        <v>45000</v>
      </c>
      <c r="Z672" t="str">
        <f>_xlfn.XLOOKUP(Table8[[#This Row],[Campaign_Code]],tb3_CampaignMaster[Campaign_Code],tb3_CampaignMaster[Primary_Channel],"")</f>
        <v>Direct Mail</v>
      </c>
      <c r="AA672" s="13">
        <f>IF(Table8[[#This Row],[Gift_Aid_Eligible]]="Yes",Table8[[#This Row],[Gift_Amount]]*1.25,Table8[[#This Row],[Gift_Amount]])</f>
        <v>34.900000000000006</v>
      </c>
      <c r="AB672" t="str">
        <f>IF(Table8[[#This Row],[Supporter_ID]]="","Review - missing supporter ID","")</f>
        <v/>
      </c>
      <c r="AC672" t="str">
        <f>IF(OR(Table8[[#This Row],[Response_Date]]&lt;Table8[[#This Row],[Start_Date]],Table8[[#This Row],[Response_Date]]&gt;Table8[[#This Row],[End_Date]]),"Review - response outside campaign dates","")</f>
        <v/>
      </c>
      <c r="AD672" t="str">
        <f>IF(Table8[[#This Row],[Campaign_Type]]="","Review - campaign code not found","")</f>
        <v/>
      </c>
    </row>
    <row r="673" spans="1:30" x14ac:dyDescent="0.25">
      <c r="A673" t="s">
        <v>4473</v>
      </c>
      <c r="B673" t="s">
        <v>2332</v>
      </c>
      <c r="C673" t="s">
        <v>3354</v>
      </c>
      <c r="D673" t="s">
        <v>3355</v>
      </c>
      <c r="E673" t="s">
        <v>4</v>
      </c>
      <c r="F673" s="17">
        <v>45618</v>
      </c>
      <c r="G673">
        <v>452.29</v>
      </c>
      <c r="H673" t="s">
        <v>37</v>
      </c>
      <c r="I673" t="s">
        <v>3370</v>
      </c>
      <c r="J673" t="str">
        <f>_xlfn.XLOOKUP(Table8[[#This Row],[Supporter_ID]],tb1_supporters[Supporter_ID ],tb1_supporters[Segment],"")</f>
        <v>Legacy Pledger</v>
      </c>
      <c r="K673" t="str">
        <f>_xlfn.XLOOKUP(Table8[[#This Row],[Supporter_ID]],tb1_supporters[Supporter_ID ],tb1_supporters[Acquisition_Source],"")</f>
        <v>Telephone</v>
      </c>
      <c r="L673" t="str">
        <f>_xlfn.XLOOKUP(Table8[[#This Row],[Supporter_ID]],tb1_supporters[Supporter_ID ],tb1_supporters[County],"")</f>
        <v>Strathclyde</v>
      </c>
      <c r="M673" t="str">
        <f>_xlfn.XLOOKUP(Table8[[#This Row],[Supporter_ID]],tb1_supporters[Supporter_ID ],tb1_supporters[Gender],"")</f>
        <v>Male</v>
      </c>
      <c r="N673">
        <f ca="1">_xlfn.XLOOKUP(Table8[[#This Row],[Supporter_ID]],tb1_supporters[Supporter_ID ],tb1_supporters[Age],"")</f>
        <v>37</v>
      </c>
      <c r="O673" t="str">
        <f ca="1">_xlfn.XLOOKUP(Table8[[#This Row],[Supporter_ID]],tb1_supporters[Supporter_ID ],tb1_supporters[Age_Band],"")</f>
        <v>35-49</v>
      </c>
      <c r="P673" t="str">
        <f ca="1">IF(Table8[[#This Row],[Age_Band]]="","Unknown",Table8[[#This Row],[Age_Band]])</f>
        <v>35-49</v>
      </c>
      <c r="Q673" t="str">
        <f>_xlfn.XLOOKUP(Table8[[#This Row],[Supporter_ID]],tb1_supporters[Supporter_ID ],tb1_supporters[Communication_Preference],"")</f>
        <v>Email</v>
      </c>
      <c r="R673" t="str">
        <f>_xlfn.XLOOKUP(Table8[[#This Row],[Supporter_ID]],tb1_supporters[Supporter_ID ],tb1_supporters[Duplicate_Profile_Flag],"")</f>
        <v/>
      </c>
      <c r="S673" t="str">
        <f>_xlfn.XLOOKUP(Table8[[#This Row],[Supporter_ID]],tb1_supporters[Supporter_ID ],tb1_supporters[Preference_Compliance_Flag],"")</f>
        <v>Review - prefers email but not opted in</v>
      </c>
      <c r="T673" t="str">
        <f ca="1">IF(Table8[[#This Row],[Age]]="","Review - missing DOB",IF(Table8[[#This Row],[Age]]&gt;TODAY(),"Review - future DOB",IF(Table8[[#This Row],[Age]]=0,"Review -  potential entry error (age 0)","")))</f>
        <v/>
      </c>
      <c r="U673" t="str">
        <f>_xlfn.XLOOKUP(Table8[[#This Row],[Campaign_Code]],tb3_CampaignMaster[Campaign_Code],tb3_CampaignMaster[Campaign_Type],"")</f>
        <v>Event</v>
      </c>
      <c r="V673" t="str">
        <f>_xlfn.XLOOKUP(Table8[[#This Row],[Campaign_Code]],tb3_CampaignMaster[Campaign_Code],tb3_CampaignMaster[Target_Audience],"")</f>
        <v>Volunteers</v>
      </c>
      <c r="W673" s="17">
        <f>_xlfn.XLOOKUP(Table8[[#This Row],[Campaign_Code]],tb3_CampaignMaster[Campaign_Code],tb3_CampaignMaster[Start_Date],"")</f>
        <v>45618</v>
      </c>
      <c r="X673" s="17">
        <f>_xlfn.XLOOKUP(Table8[[#This Row],[Campaign_Code]],tb3_CampaignMaster[Campaign_Code],tb3_CampaignMaster[End_Date],"")</f>
        <v>45618</v>
      </c>
      <c r="Y673">
        <f>_xlfn.XLOOKUP(Table8[[#This Row],[Campaign_Code]],tb3_CampaignMaster[Campaign_Code],tb3_CampaignMaster[Budget_GBP],"")</f>
        <v>3500</v>
      </c>
      <c r="Z673" t="str">
        <f>_xlfn.XLOOKUP(Table8[[#This Row],[Campaign_Code]],tb3_CampaignMaster[Campaign_Code],tb3_CampaignMaster[Primary_Channel],"")</f>
        <v>Email</v>
      </c>
      <c r="AA673" s="13">
        <f>IF(Table8[[#This Row],[Gift_Aid_Eligible]]="Yes",Table8[[#This Row],[Gift_Amount]]*1.25,Table8[[#This Row],[Gift_Amount]])</f>
        <v>452.29</v>
      </c>
      <c r="AB673" t="str">
        <f>IF(Table8[[#This Row],[Supporter_ID]]="","Review - missing supporter ID","")</f>
        <v/>
      </c>
      <c r="AC673" t="str">
        <f>IF(OR(Table8[[#This Row],[Response_Date]]&lt;Table8[[#This Row],[Start_Date]],Table8[[#This Row],[Response_Date]]&gt;Table8[[#This Row],[End_Date]]),"Review - response outside campaign dates","")</f>
        <v/>
      </c>
      <c r="AD673" t="str">
        <f>IF(Table8[[#This Row],[Campaign_Type]]="","Review - campaign code not found","")</f>
        <v/>
      </c>
    </row>
    <row r="674" spans="1:30" x14ac:dyDescent="0.25">
      <c r="A674" t="s">
        <v>4474</v>
      </c>
      <c r="B674" t="s">
        <v>1147</v>
      </c>
      <c r="C674" t="s">
        <v>3403</v>
      </c>
      <c r="D674" t="s">
        <v>3404</v>
      </c>
      <c r="E674" t="s">
        <v>3316</v>
      </c>
      <c r="F674" s="17">
        <v>45632</v>
      </c>
      <c r="G674">
        <v>17.82</v>
      </c>
      <c r="H674" t="s">
        <v>36</v>
      </c>
      <c r="I674" t="s">
        <v>3323</v>
      </c>
      <c r="J674" t="str">
        <f>_xlfn.XLOOKUP(Table8[[#This Row],[Supporter_ID]],tb1_supporters[Supporter_ID ],tb1_supporters[Segment],"")</f>
        <v>Regular Giver</v>
      </c>
      <c r="K674" t="str">
        <f>_xlfn.XLOOKUP(Table8[[#This Row],[Supporter_ID]],tb1_supporters[Supporter_ID ],tb1_supporters[Acquisition_Source],"")</f>
        <v>Social Media</v>
      </c>
      <c r="L674" t="str">
        <f>_xlfn.XLOOKUP(Table8[[#This Row],[Supporter_ID]],tb1_supporters[Supporter_ID ],tb1_supporters[County],"")</f>
        <v>Greater Manchester</v>
      </c>
      <c r="M674" t="str">
        <f>_xlfn.XLOOKUP(Table8[[#This Row],[Supporter_ID]],tb1_supporters[Supporter_ID ],tb1_supporters[Gender],"")</f>
        <v>Female</v>
      </c>
      <c r="N674">
        <f ca="1">_xlfn.XLOOKUP(Table8[[#This Row],[Supporter_ID]],tb1_supporters[Supporter_ID ],tb1_supporters[Age],"")</f>
        <v>67</v>
      </c>
      <c r="O674" t="str">
        <f ca="1">_xlfn.XLOOKUP(Table8[[#This Row],[Supporter_ID]],tb1_supporters[Supporter_ID ],tb1_supporters[Age_Band],"")</f>
        <v>65+</v>
      </c>
      <c r="P674" t="str">
        <f ca="1">IF(Table8[[#This Row],[Age_Band]]="","Unknown",Table8[[#This Row],[Age_Band]])</f>
        <v>65+</v>
      </c>
      <c r="Q674" t="str">
        <f>_xlfn.XLOOKUP(Table8[[#This Row],[Supporter_ID]],tb1_supporters[Supporter_ID ],tb1_supporters[Communication_Preference],"")</f>
        <v>Phone</v>
      </c>
      <c r="R674" t="str">
        <f>_xlfn.XLOOKUP(Table8[[#This Row],[Supporter_ID]],tb1_supporters[Supporter_ID ],tb1_supporters[Duplicate_Profile_Flag],"")</f>
        <v/>
      </c>
      <c r="S674" t="str">
        <f>_xlfn.XLOOKUP(Table8[[#This Row],[Supporter_ID]],tb1_supporters[Supporter_ID ],tb1_supporters[Preference_Compliance_Flag],"")</f>
        <v/>
      </c>
      <c r="T674" t="str">
        <f ca="1">IF(Table8[[#This Row],[Age]]="","Review - missing DOB",IF(Table8[[#This Row],[Age]]&gt;TODAY(),"Review - future DOB",IF(Table8[[#This Row],[Age]]=0,"Review -  potential entry error (age 0)","")))</f>
        <v/>
      </c>
      <c r="U674" t="str">
        <f>_xlfn.XLOOKUP(Table8[[#This Row],[Campaign_Code]],tb3_CampaignMaster[Campaign_Code],tb3_CampaignMaster[Campaign_Type],"")</f>
        <v>Trading</v>
      </c>
      <c r="V674" t="str">
        <f>_xlfn.XLOOKUP(Table8[[#This Row],[Campaign_Code]],tb3_CampaignMaster[Campaign_Code],tb3_CampaignMaster[Target_Audience],"")</f>
        <v>All Active</v>
      </c>
      <c r="W674" s="17">
        <f>_xlfn.XLOOKUP(Table8[[#This Row],[Campaign_Code]],tb3_CampaignMaster[Campaign_Code],tb3_CampaignMaster[Start_Date],"")</f>
        <v>45580</v>
      </c>
      <c r="X674" s="17">
        <f>_xlfn.XLOOKUP(Table8[[#This Row],[Campaign_Code]],tb3_CampaignMaster[Campaign_Code],tb3_CampaignMaster[End_Date],"")</f>
        <v>45646</v>
      </c>
      <c r="Y674">
        <f>_xlfn.XLOOKUP(Table8[[#This Row],[Campaign_Code]],tb3_CampaignMaster[Campaign_Code],tb3_CampaignMaster[Budget_GBP],"")</f>
        <v>12000</v>
      </c>
      <c r="Z674" t="str">
        <f>_xlfn.XLOOKUP(Table8[[#This Row],[Campaign_Code]],tb3_CampaignMaster[Campaign_Code],tb3_CampaignMaster[Primary_Channel],"")</f>
        <v>Multi-channel</v>
      </c>
      <c r="AA674" s="13">
        <f>IF(Table8[[#This Row],[Gift_Aid_Eligible]]="Yes",Table8[[#This Row],[Gift_Amount]]*1.25,Table8[[#This Row],[Gift_Amount]])</f>
        <v>22.274999999999999</v>
      </c>
      <c r="AB674" t="str">
        <f>IF(Table8[[#This Row],[Supporter_ID]]="","Review - missing supporter ID","")</f>
        <v/>
      </c>
      <c r="AC674" t="str">
        <f>IF(OR(Table8[[#This Row],[Response_Date]]&lt;Table8[[#This Row],[Start_Date]],Table8[[#This Row],[Response_Date]]&gt;Table8[[#This Row],[End_Date]]),"Review - response outside campaign dates","")</f>
        <v/>
      </c>
      <c r="AD674" t="str">
        <f>IF(Table8[[#This Row],[Campaign_Type]]="","Review - campaign code not found","")</f>
        <v/>
      </c>
    </row>
    <row r="675" spans="1:30" x14ac:dyDescent="0.25">
      <c r="A675" t="s">
        <v>4476</v>
      </c>
      <c r="B675" t="s">
        <v>2876</v>
      </c>
      <c r="C675" t="s">
        <v>3325</v>
      </c>
      <c r="D675" t="s">
        <v>3326</v>
      </c>
      <c r="E675" t="s">
        <v>3338</v>
      </c>
      <c r="F675" s="17">
        <v>45602</v>
      </c>
      <c r="G675">
        <v>26.57</v>
      </c>
      <c r="H675" t="s">
        <v>37</v>
      </c>
      <c r="I675" t="s">
        <v>3370</v>
      </c>
      <c r="J675" t="str">
        <f>_xlfn.XLOOKUP(Table8[[#This Row],[Supporter_ID]],tb1_supporters[Supporter_ID ],tb1_supporters[Segment],"")</f>
        <v>One-Time Donor</v>
      </c>
      <c r="K675" t="str">
        <f>_xlfn.XLOOKUP(Table8[[#This Row],[Supporter_ID]],tb1_supporters[Supporter_ID ],tb1_supporters[Acquisition_Source],"")</f>
        <v>Direct Mail</v>
      </c>
      <c r="L675" t="str">
        <f>_xlfn.XLOOKUP(Table8[[#This Row],[Supporter_ID]],tb1_supporters[Supporter_ID ],tb1_supporters[County],"")</f>
        <v>Grampian</v>
      </c>
      <c r="M675" t="str">
        <f>_xlfn.XLOOKUP(Table8[[#This Row],[Supporter_ID]],tb1_supporters[Supporter_ID ],tb1_supporters[Gender],"")</f>
        <v>Female</v>
      </c>
      <c r="N675">
        <f ca="1">_xlfn.XLOOKUP(Table8[[#This Row],[Supporter_ID]],tb1_supporters[Supporter_ID ],tb1_supporters[Age],"")</f>
        <v>47</v>
      </c>
      <c r="O675" t="str">
        <f ca="1">_xlfn.XLOOKUP(Table8[[#This Row],[Supporter_ID]],tb1_supporters[Supporter_ID ],tb1_supporters[Age_Band],"")</f>
        <v>35-49</v>
      </c>
      <c r="P675" t="str">
        <f ca="1">IF(Table8[[#This Row],[Age_Band]]="","Unknown",Table8[[#This Row],[Age_Band]])</f>
        <v>35-49</v>
      </c>
      <c r="Q675" t="str">
        <f>_xlfn.XLOOKUP(Table8[[#This Row],[Supporter_ID]],tb1_supporters[Supporter_ID ],tb1_supporters[Communication_Preference],"")</f>
        <v>Phone</v>
      </c>
      <c r="R675" t="str">
        <f>_xlfn.XLOOKUP(Table8[[#This Row],[Supporter_ID]],tb1_supporters[Supporter_ID ],tb1_supporters[Duplicate_Profile_Flag],"")</f>
        <v/>
      </c>
      <c r="S675" t="str">
        <f>_xlfn.XLOOKUP(Table8[[#This Row],[Supporter_ID]],tb1_supporters[Supporter_ID ],tb1_supporters[Preference_Compliance_Flag],"")</f>
        <v>Review - prefers phone but not opted in</v>
      </c>
      <c r="T675" t="str">
        <f ca="1">IF(Table8[[#This Row],[Age]]="","Review - missing DOB",IF(Table8[[#This Row],[Age]]&gt;TODAY(),"Review - future DOB",IF(Table8[[#This Row],[Age]]=0,"Review -  potential entry error (age 0)","")))</f>
        <v/>
      </c>
      <c r="U675" t="str">
        <f>_xlfn.XLOOKUP(Table8[[#This Row],[Campaign_Code]],tb3_CampaignMaster[Campaign_Code],tb3_CampaignMaster[Campaign_Type],"")</f>
        <v>Appeal</v>
      </c>
      <c r="V675" t="str">
        <f>_xlfn.XLOOKUP(Table8[[#This Row],[Campaign_Code]],tb3_CampaignMaster[Campaign_Code],tb3_CampaignMaster[Target_Audience],"")</f>
        <v>All Active</v>
      </c>
      <c r="W675" s="17">
        <f>_xlfn.XLOOKUP(Table8[[#This Row],[Campaign_Code]],tb3_CampaignMaster[Campaign_Code],tb3_CampaignMaster[Start_Date],"")</f>
        <v>45597</v>
      </c>
      <c r="X675" s="17">
        <f>_xlfn.XLOOKUP(Table8[[#This Row],[Campaign_Code]],tb3_CampaignMaster[Campaign_Code],tb3_CampaignMaster[End_Date],"")</f>
        <v>45657</v>
      </c>
      <c r="Y675">
        <f>_xlfn.XLOOKUP(Table8[[#This Row],[Campaign_Code]],tb3_CampaignMaster[Campaign_Code],tb3_CampaignMaster[Budget_GBP],"")</f>
        <v>25000</v>
      </c>
      <c r="Z675" t="str">
        <f>_xlfn.XLOOKUP(Table8[[#This Row],[Campaign_Code]],tb3_CampaignMaster[Campaign_Code],tb3_CampaignMaster[Primary_Channel],"")</f>
        <v>Multi-channel</v>
      </c>
      <c r="AA675" s="13">
        <f>IF(Table8[[#This Row],[Gift_Aid_Eligible]]="Yes",Table8[[#This Row],[Gift_Amount]]*1.25,Table8[[#This Row],[Gift_Amount]])</f>
        <v>26.57</v>
      </c>
      <c r="AB675" t="str">
        <f>IF(Table8[[#This Row],[Supporter_ID]]="","Review - missing supporter ID","")</f>
        <v/>
      </c>
      <c r="AC675" t="str">
        <f>IF(OR(Table8[[#This Row],[Response_Date]]&lt;Table8[[#This Row],[Start_Date]],Table8[[#This Row],[Response_Date]]&gt;Table8[[#This Row],[End_Date]]),"Review - response outside campaign dates","")</f>
        <v/>
      </c>
      <c r="AD675" t="str">
        <f>IF(Table8[[#This Row],[Campaign_Type]]="","Review - campaign code not found","")</f>
        <v/>
      </c>
    </row>
    <row r="676" spans="1:30" x14ac:dyDescent="0.25">
      <c r="A676" t="s">
        <v>4477</v>
      </c>
      <c r="B676" t="s">
        <v>1625</v>
      </c>
      <c r="C676" t="s">
        <v>3320</v>
      </c>
      <c r="D676" t="s">
        <v>3321</v>
      </c>
      <c r="E676" t="s">
        <v>4</v>
      </c>
      <c r="F676" s="17">
        <v>45462</v>
      </c>
      <c r="G676">
        <v>25.75</v>
      </c>
      <c r="H676" t="s">
        <v>36</v>
      </c>
      <c r="I676" t="s">
        <v>3365</v>
      </c>
      <c r="J676" t="str">
        <f>_xlfn.XLOOKUP(Table8[[#This Row],[Supporter_ID]],tb1_supporters[Supporter_ID ],tb1_supporters[Segment],"")</f>
        <v>Lapsed</v>
      </c>
      <c r="K676" t="str">
        <f>_xlfn.XLOOKUP(Table8[[#This Row],[Supporter_ID]],tb1_supporters[Supporter_ID ],tb1_supporters[Acquisition_Source],"")</f>
        <v>Telephone</v>
      </c>
      <c r="L676" t="str">
        <f>_xlfn.XLOOKUP(Table8[[#This Row],[Supporter_ID]],tb1_supporters[Supporter_ID ],tb1_supporters[County],"")</f>
        <v>Suffolk</v>
      </c>
      <c r="M676" t="str">
        <f>_xlfn.XLOOKUP(Table8[[#This Row],[Supporter_ID]],tb1_supporters[Supporter_ID ],tb1_supporters[Gender],"")</f>
        <v>Female</v>
      </c>
      <c r="N676">
        <f ca="1">_xlfn.XLOOKUP(Table8[[#This Row],[Supporter_ID]],tb1_supporters[Supporter_ID ],tb1_supporters[Age],"")</f>
        <v>61</v>
      </c>
      <c r="O676" t="str">
        <f ca="1">_xlfn.XLOOKUP(Table8[[#This Row],[Supporter_ID]],tb1_supporters[Supporter_ID ],tb1_supporters[Age_Band],"")</f>
        <v>50-64</v>
      </c>
      <c r="P676" t="str">
        <f ca="1">IF(Table8[[#This Row],[Age_Band]]="","Unknown",Table8[[#This Row],[Age_Band]])</f>
        <v>50-64</v>
      </c>
      <c r="Q676" t="str">
        <f>_xlfn.XLOOKUP(Table8[[#This Row],[Supporter_ID]],tb1_supporters[Supporter_ID ],tb1_supporters[Communication_Preference],"")</f>
        <v>No Preference</v>
      </c>
      <c r="R676" t="str">
        <f>_xlfn.XLOOKUP(Table8[[#This Row],[Supporter_ID]],tb1_supporters[Supporter_ID ],tb1_supporters[Duplicate_Profile_Flag],"")</f>
        <v/>
      </c>
      <c r="S676" t="str">
        <f>_xlfn.XLOOKUP(Table8[[#This Row],[Supporter_ID]],tb1_supporters[Supporter_ID ],tb1_supporters[Preference_Compliance_Flag],"")</f>
        <v/>
      </c>
      <c r="T676" t="str">
        <f ca="1">IF(Table8[[#This Row],[Age]]="","Review - missing DOB",IF(Table8[[#This Row],[Age]]&gt;TODAY(),"Review - future DOB",IF(Table8[[#This Row],[Age]]=0,"Review -  potential entry error (age 0)","")))</f>
        <v/>
      </c>
      <c r="U676" t="str">
        <f>_xlfn.XLOOKUP(Table8[[#This Row],[Campaign_Code]],tb3_CampaignMaster[Campaign_Code],tb3_CampaignMaster[Campaign_Type],"")</f>
        <v>Stewardship</v>
      </c>
      <c r="V676" t="str">
        <f>_xlfn.XLOOKUP(Table8[[#This Row],[Campaign_Code]],tb3_CampaignMaster[Campaign_Code],tb3_CampaignMaster[Target_Audience],"")</f>
        <v>Major Donors</v>
      </c>
      <c r="W676" s="17">
        <f>_xlfn.XLOOKUP(Table8[[#This Row],[Campaign_Code]],tb3_CampaignMaster[Campaign_Code],tb3_CampaignMaster[Start_Date],"")</f>
        <v>45444</v>
      </c>
      <c r="X676" s="17">
        <f>_xlfn.XLOOKUP(Table8[[#This Row],[Campaign_Code]],tb3_CampaignMaster[Campaign_Code],tb3_CampaignMaster[End_Date],"")</f>
        <v>45473</v>
      </c>
      <c r="Y676">
        <f>_xlfn.XLOOKUP(Table8[[#This Row],[Campaign_Code]],tb3_CampaignMaster[Campaign_Code],tb3_CampaignMaster[Budget_GBP],"")</f>
        <v>7000</v>
      </c>
      <c r="Z676" t="str">
        <f>_xlfn.XLOOKUP(Table8[[#This Row],[Campaign_Code]],tb3_CampaignMaster[Campaign_Code],tb3_CampaignMaster[Primary_Channel],"")</f>
        <v>Direct Mail</v>
      </c>
      <c r="AA676" s="13">
        <f>IF(Table8[[#This Row],[Gift_Aid_Eligible]]="Yes",Table8[[#This Row],[Gift_Amount]]*1.25,Table8[[#This Row],[Gift_Amount]])</f>
        <v>32.1875</v>
      </c>
      <c r="AB676" t="str">
        <f>IF(Table8[[#This Row],[Supporter_ID]]="","Review - missing supporter ID","")</f>
        <v/>
      </c>
      <c r="AC676" t="str">
        <f>IF(OR(Table8[[#This Row],[Response_Date]]&lt;Table8[[#This Row],[Start_Date]],Table8[[#This Row],[Response_Date]]&gt;Table8[[#This Row],[End_Date]]),"Review - response outside campaign dates","")</f>
        <v/>
      </c>
      <c r="AD676" t="str">
        <f>IF(Table8[[#This Row],[Campaign_Type]]="","Review - campaign code not found","")</f>
        <v/>
      </c>
    </row>
    <row r="677" spans="1:30" x14ac:dyDescent="0.25">
      <c r="A677" t="s">
        <v>4479</v>
      </c>
      <c r="B677" t="s">
        <v>2463</v>
      </c>
      <c r="C677" t="s">
        <v>3320</v>
      </c>
      <c r="D677" t="s">
        <v>3321</v>
      </c>
      <c r="E677" t="s">
        <v>4</v>
      </c>
      <c r="F677" s="17">
        <v>45463</v>
      </c>
      <c r="G677">
        <v>30.5</v>
      </c>
      <c r="H677" t="s">
        <v>37</v>
      </c>
      <c r="I677" t="s">
        <v>3318</v>
      </c>
      <c r="J677" t="str">
        <f>_xlfn.XLOOKUP(Table8[[#This Row],[Supporter_ID]],tb1_supporters[Supporter_ID ],tb1_supporters[Segment],"")</f>
        <v>Lapsed</v>
      </c>
      <c r="K677" t="str">
        <f>_xlfn.XLOOKUP(Table8[[#This Row],[Supporter_ID]],tb1_supporters[Supporter_ID ],tb1_supporters[Acquisition_Source],"")</f>
        <v>Website</v>
      </c>
      <c r="L677" t="str">
        <f>_xlfn.XLOOKUP(Table8[[#This Row],[Supporter_ID]],tb1_supporters[Supporter_ID ],tb1_supporters[County],"")</f>
        <v>Devon</v>
      </c>
      <c r="M677" t="str">
        <f>_xlfn.XLOOKUP(Table8[[#This Row],[Supporter_ID]],tb1_supporters[Supporter_ID ],tb1_supporters[Gender],"")</f>
        <v>Female</v>
      </c>
      <c r="N677">
        <f ca="1">_xlfn.XLOOKUP(Table8[[#This Row],[Supporter_ID]],tb1_supporters[Supporter_ID ],tb1_supporters[Age],"")</f>
        <v>46</v>
      </c>
      <c r="O677" t="str">
        <f ca="1">_xlfn.XLOOKUP(Table8[[#This Row],[Supporter_ID]],tb1_supporters[Supporter_ID ],tb1_supporters[Age_Band],"")</f>
        <v>35-49</v>
      </c>
      <c r="P677" t="str">
        <f ca="1">IF(Table8[[#This Row],[Age_Band]]="","Unknown",Table8[[#This Row],[Age_Band]])</f>
        <v>35-49</v>
      </c>
      <c r="Q677" t="str">
        <f>_xlfn.XLOOKUP(Table8[[#This Row],[Supporter_ID]],tb1_supporters[Supporter_ID ],tb1_supporters[Communication_Preference],"")</f>
        <v>Post</v>
      </c>
      <c r="R677" t="str">
        <f>_xlfn.XLOOKUP(Table8[[#This Row],[Supporter_ID]],tb1_supporters[Supporter_ID ],tb1_supporters[Duplicate_Profile_Flag],"")</f>
        <v/>
      </c>
      <c r="S677" t="str">
        <f>_xlfn.XLOOKUP(Table8[[#This Row],[Supporter_ID]],tb1_supporters[Supporter_ID ],tb1_supporters[Preference_Compliance_Flag],"")</f>
        <v/>
      </c>
      <c r="T677" t="str">
        <f ca="1">IF(Table8[[#This Row],[Age]]="","Review - missing DOB",IF(Table8[[#This Row],[Age]]&gt;TODAY(),"Review - future DOB",IF(Table8[[#This Row],[Age]]=0,"Review -  potential entry error (age 0)","")))</f>
        <v/>
      </c>
      <c r="U677" t="str">
        <f>_xlfn.XLOOKUP(Table8[[#This Row],[Campaign_Code]],tb3_CampaignMaster[Campaign_Code],tb3_CampaignMaster[Campaign_Type],"")</f>
        <v>Stewardship</v>
      </c>
      <c r="V677" t="str">
        <f>_xlfn.XLOOKUP(Table8[[#This Row],[Campaign_Code]],tb3_CampaignMaster[Campaign_Code],tb3_CampaignMaster[Target_Audience],"")</f>
        <v>Major Donors</v>
      </c>
      <c r="W677" s="17">
        <f>_xlfn.XLOOKUP(Table8[[#This Row],[Campaign_Code]],tb3_CampaignMaster[Campaign_Code],tb3_CampaignMaster[Start_Date],"")</f>
        <v>45444</v>
      </c>
      <c r="X677" s="17">
        <f>_xlfn.XLOOKUP(Table8[[#This Row],[Campaign_Code]],tb3_CampaignMaster[Campaign_Code],tb3_CampaignMaster[End_Date],"")</f>
        <v>45473</v>
      </c>
      <c r="Y677">
        <f>_xlfn.XLOOKUP(Table8[[#This Row],[Campaign_Code]],tb3_CampaignMaster[Campaign_Code],tb3_CampaignMaster[Budget_GBP],"")</f>
        <v>7000</v>
      </c>
      <c r="Z677" t="str">
        <f>_xlfn.XLOOKUP(Table8[[#This Row],[Campaign_Code]],tb3_CampaignMaster[Campaign_Code],tb3_CampaignMaster[Primary_Channel],"")</f>
        <v>Direct Mail</v>
      </c>
      <c r="AA677" s="13">
        <f>IF(Table8[[#This Row],[Gift_Aid_Eligible]]="Yes",Table8[[#This Row],[Gift_Amount]]*1.25,Table8[[#This Row],[Gift_Amount]])</f>
        <v>30.5</v>
      </c>
      <c r="AB677" t="str">
        <f>IF(Table8[[#This Row],[Supporter_ID]]="","Review - missing supporter ID","")</f>
        <v/>
      </c>
      <c r="AC677" t="str">
        <f>IF(OR(Table8[[#This Row],[Response_Date]]&lt;Table8[[#This Row],[Start_Date]],Table8[[#This Row],[Response_Date]]&gt;Table8[[#This Row],[End_Date]]),"Review - response outside campaign dates","")</f>
        <v/>
      </c>
      <c r="AD677" t="str">
        <f>IF(Table8[[#This Row],[Campaign_Type]]="","Review - campaign code not found","")</f>
        <v/>
      </c>
    </row>
    <row r="678" spans="1:30" x14ac:dyDescent="0.25">
      <c r="A678" t="s">
        <v>4480</v>
      </c>
      <c r="B678" t="s">
        <v>2615</v>
      </c>
      <c r="C678" t="s">
        <v>3320</v>
      </c>
      <c r="D678" t="s">
        <v>3321</v>
      </c>
      <c r="E678" t="s">
        <v>65</v>
      </c>
      <c r="F678" s="17">
        <v>45459</v>
      </c>
      <c r="G678">
        <v>375.25</v>
      </c>
      <c r="H678" t="s">
        <v>36</v>
      </c>
      <c r="I678" t="s">
        <v>3334</v>
      </c>
      <c r="J678" t="str">
        <f>_xlfn.XLOOKUP(Table8[[#This Row],[Supporter_ID]],tb1_supporters[Supporter_ID ],tb1_supporters[Segment],"")</f>
        <v>Legacy Pledger</v>
      </c>
      <c r="K678" t="str">
        <f>_xlfn.XLOOKUP(Table8[[#This Row],[Supporter_ID]],tb1_supporters[Supporter_ID ],tb1_supporters[Acquisition_Source],"")</f>
        <v>Telephone</v>
      </c>
      <c r="L678" t="str">
        <f>_xlfn.XLOOKUP(Table8[[#This Row],[Supporter_ID]],tb1_supporters[Supporter_ID ],tb1_supporters[County],"")</f>
        <v>Leicestershire</v>
      </c>
      <c r="M678" t="str">
        <f>_xlfn.XLOOKUP(Table8[[#This Row],[Supporter_ID]],tb1_supporters[Supporter_ID ],tb1_supporters[Gender],"")</f>
        <v>Female</v>
      </c>
      <c r="N678">
        <f ca="1">_xlfn.XLOOKUP(Table8[[#This Row],[Supporter_ID]],tb1_supporters[Supporter_ID ],tb1_supporters[Age],"")</f>
        <v>61</v>
      </c>
      <c r="O678" t="str">
        <f ca="1">_xlfn.XLOOKUP(Table8[[#This Row],[Supporter_ID]],tb1_supporters[Supporter_ID ],tb1_supporters[Age_Band],"")</f>
        <v>50-64</v>
      </c>
      <c r="P678" t="str">
        <f ca="1">IF(Table8[[#This Row],[Age_Band]]="","Unknown",Table8[[#This Row],[Age_Band]])</f>
        <v>50-64</v>
      </c>
      <c r="Q678" t="str">
        <f>_xlfn.XLOOKUP(Table8[[#This Row],[Supporter_ID]],tb1_supporters[Supporter_ID ],tb1_supporters[Communication_Preference],"")</f>
        <v>Email</v>
      </c>
      <c r="R678" t="str">
        <f>_xlfn.XLOOKUP(Table8[[#This Row],[Supporter_ID]],tb1_supporters[Supporter_ID ],tb1_supporters[Duplicate_Profile_Flag],"")</f>
        <v/>
      </c>
      <c r="S678" t="str">
        <f>_xlfn.XLOOKUP(Table8[[#This Row],[Supporter_ID]],tb1_supporters[Supporter_ID ],tb1_supporters[Preference_Compliance_Flag],"")</f>
        <v/>
      </c>
      <c r="T678" t="str">
        <f ca="1">IF(Table8[[#This Row],[Age]]="","Review - missing DOB",IF(Table8[[#This Row],[Age]]&gt;TODAY(),"Review - future DOB",IF(Table8[[#This Row],[Age]]=0,"Review -  potential entry error (age 0)","")))</f>
        <v/>
      </c>
      <c r="U678" t="str">
        <f>_xlfn.XLOOKUP(Table8[[#This Row],[Campaign_Code]],tb3_CampaignMaster[Campaign_Code],tb3_CampaignMaster[Campaign_Type],"")</f>
        <v>Stewardship</v>
      </c>
      <c r="V678" t="str">
        <f>_xlfn.XLOOKUP(Table8[[#This Row],[Campaign_Code]],tb3_CampaignMaster[Campaign_Code],tb3_CampaignMaster[Target_Audience],"")</f>
        <v>Major Donors</v>
      </c>
      <c r="W678" s="17">
        <f>_xlfn.XLOOKUP(Table8[[#This Row],[Campaign_Code]],tb3_CampaignMaster[Campaign_Code],tb3_CampaignMaster[Start_Date],"")</f>
        <v>45444</v>
      </c>
      <c r="X678" s="17">
        <f>_xlfn.XLOOKUP(Table8[[#This Row],[Campaign_Code]],tb3_CampaignMaster[Campaign_Code],tb3_CampaignMaster[End_Date],"")</f>
        <v>45473</v>
      </c>
      <c r="Y678">
        <f>_xlfn.XLOOKUP(Table8[[#This Row],[Campaign_Code]],tb3_CampaignMaster[Campaign_Code],tb3_CampaignMaster[Budget_GBP],"")</f>
        <v>7000</v>
      </c>
      <c r="Z678" t="str">
        <f>_xlfn.XLOOKUP(Table8[[#This Row],[Campaign_Code]],tb3_CampaignMaster[Campaign_Code],tb3_CampaignMaster[Primary_Channel],"")</f>
        <v>Direct Mail</v>
      </c>
      <c r="AA678" s="13">
        <f>IF(Table8[[#This Row],[Gift_Aid_Eligible]]="Yes",Table8[[#This Row],[Gift_Amount]]*1.25,Table8[[#This Row],[Gift_Amount]])</f>
        <v>469.0625</v>
      </c>
      <c r="AB678" t="str">
        <f>IF(Table8[[#This Row],[Supporter_ID]]="","Review - missing supporter ID","")</f>
        <v/>
      </c>
      <c r="AC678" t="str">
        <f>IF(OR(Table8[[#This Row],[Response_Date]]&lt;Table8[[#This Row],[Start_Date]],Table8[[#This Row],[Response_Date]]&gt;Table8[[#This Row],[End_Date]]),"Review - response outside campaign dates","")</f>
        <v/>
      </c>
      <c r="AD678" t="str">
        <f>IF(Table8[[#This Row],[Campaign_Type]]="","Review - campaign code not found","")</f>
        <v/>
      </c>
    </row>
    <row r="679" spans="1:30" x14ac:dyDescent="0.25">
      <c r="A679" t="s">
        <v>4482</v>
      </c>
      <c r="B679" t="s">
        <v>967</v>
      </c>
      <c r="C679" t="s">
        <v>3362</v>
      </c>
      <c r="D679" t="s">
        <v>3363</v>
      </c>
      <c r="E679" t="s">
        <v>65</v>
      </c>
      <c r="F679" s="17">
        <v>45575</v>
      </c>
      <c r="G679">
        <v>54.78</v>
      </c>
      <c r="H679" t="s">
        <v>36</v>
      </c>
      <c r="I679" t="s">
        <v>3370</v>
      </c>
      <c r="J679" t="str">
        <f>_xlfn.XLOOKUP(Table8[[#This Row],[Supporter_ID]],tb1_supporters[Supporter_ID ],tb1_supporters[Segment],"")</f>
        <v>Lapsed</v>
      </c>
      <c r="K679" t="str">
        <f>_xlfn.XLOOKUP(Table8[[#This Row],[Supporter_ID]],tb1_supporters[Supporter_ID ],tb1_supporters[Acquisition_Source],"")</f>
        <v>Social Media</v>
      </c>
      <c r="L679" t="str">
        <f>_xlfn.XLOOKUP(Table8[[#This Row],[Supporter_ID]],tb1_supporters[Supporter_ID ],tb1_supporters[County],"")</f>
        <v>Tyne and Wear</v>
      </c>
      <c r="M679" t="str">
        <f>_xlfn.XLOOKUP(Table8[[#This Row],[Supporter_ID]],tb1_supporters[Supporter_ID ],tb1_supporters[Gender],"")</f>
        <v>Female</v>
      </c>
      <c r="N679">
        <f ca="1">_xlfn.XLOOKUP(Table8[[#This Row],[Supporter_ID]],tb1_supporters[Supporter_ID ],tb1_supporters[Age],"")</f>
        <v>21</v>
      </c>
      <c r="O679" t="str">
        <f ca="1">_xlfn.XLOOKUP(Table8[[#This Row],[Supporter_ID]],tb1_supporters[Supporter_ID ],tb1_supporters[Age_Band],"")</f>
        <v>18-34</v>
      </c>
      <c r="P679" t="str">
        <f ca="1">IF(Table8[[#This Row],[Age_Band]]="","Unknown",Table8[[#This Row],[Age_Band]])</f>
        <v>18-34</v>
      </c>
      <c r="Q679" t="str">
        <f>_xlfn.XLOOKUP(Table8[[#This Row],[Supporter_ID]],tb1_supporters[Supporter_ID ],tb1_supporters[Communication_Preference],"")</f>
        <v>Phone</v>
      </c>
      <c r="R679" t="str">
        <f>_xlfn.XLOOKUP(Table8[[#This Row],[Supporter_ID]],tb1_supporters[Supporter_ID ],tb1_supporters[Duplicate_Profile_Flag],"")</f>
        <v/>
      </c>
      <c r="S679" t="str">
        <f>_xlfn.XLOOKUP(Table8[[#This Row],[Supporter_ID]],tb1_supporters[Supporter_ID ],tb1_supporters[Preference_Compliance_Flag],"")</f>
        <v/>
      </c>
      <c r="T679" t="str">
        <f ca="1">IF(Table8[[#This Row],[Age]]="","Review - missing DOB",IF(Table8[[#This Row],[Age]]&gt;TODAY(),"Review - future DOB",IF(Table8[[#This Row],[Age]]=0,"Review -  potential entry error (age 0)","")))</f>
        <v/>
      </c>
      <c r="U679" t="str">
        <f>_xlfn.XLOOKUP(Table8[[#This Row],[Campaign_Code]],tb3_CampaignMaster[Campaign_Code],tb3_CampaignMaster[Campaign_Type],"")</f>
        <v>Legacy</v>
      </c>
      <c r="V679" t="str">
        <f>_xlfn.XLOOKUP(Table8[[#This Row],[Campaign_Code]],tb3_CampaignMaster[Campaign_Code],tb3_CampaignMaster[Target_Audience],"")</f>
        <v>Over 55s</v>
      </c>
      <c r="W679" s="17">
        <f>_xlfn.XLOOKUP(Table8[[#This Row],[Campaign_Code]],tb3_CampaignMaster[Campaign_Code],tb3_CampaignMaster[Start_Date],"")</f>
        <v>45572</v>
      </c>
      <c r="X679" s="17">
        <f>_xlfn.XLOOKUP(Table8[[#This Row],[Campaign_Code]],tb3_CampaignMaster[Campaign_Code],tb3_CampaignMaster[End_Date],"")</f>
        <v>45578</v>
      </c>
      <c r="Y679">
        <f>_xlfn.XLOOKUP(Table8[[#This Row],[Campaign_Code]],tb3_CampaignMaster[Campaign_Code],tb3_CampaignMaster[Budget_GBP],"")</f>
        <v>5000</v>
      </c>
      <c r="Z679" t="str">
        <f>_xlfn.XLOOKUP(Table8[[#This Row],[Campaign_Code]],tb3_CampaignMaster[Campaign_Code],tb3_CampaignMaster[Primary_Channel],"")</f>
        <v>Direct Mail</v>
      </c>
      <c r="AA679" s="13">
        <f>IF(Table8[[#This Row],[Gift_Aid_Eligible]]="Yes",Table8[[#This Row],[Gift_Amount]]*1.25,Table8[[#This Row],[Gift_Amount]])</f>
        <v>68.474999999999994</v>
      </c>
      <c r="AB679" t="str">
        <f>IF(Table8[[#This Row],[Supporter_ID]]="","Review - missing supporter ID","")</f>
        <v/>
      </c>
      <c r="AC679" t="str">
        <f>IF(OR(Table8[[#This Row],[Response_Date]]&lt;Table8[[#This Row],[Start_Date]],Table8[[#This Row],[Response_Date]]&gt;Table8[[#This Row],[End_Date]]),"Review - response outside campaign dates","")</f>
        <v/>
      </c>
      <c r="AD679" t="str">
        <f>IF(Table8[[#This Row],[Campaign_Type]]="","Review - campaign code not found","")</f>
        <v/>
      </c>
    </row>
    <row r="680" spans="1:30" x14ac:dyDescent="0.25">
      <c r="A680" t="s">
        <v>4483</v>
      </c>
      <c r="B680" t="s">
        <v>3188</v>
      </c>
      <c r="C680" t="s">
        <v>3320</v>
      </c>
      <c r="D680" t="s">
        <v>3321</v>
      </c>
      <c r="E680" t="s">
        <v>65</v>
      </c>
      <c r="F680" s="17">
        <v>45466</v>
      </c>
      <c r="G680">
        <v>240.87</v>
      </c>
      <c r="H680" t="s">
        <v>36</v>
      </c>
      <c r="I680" t="s">
        <v>3331</v>
      </c>
      <c r="J680" t="str">
        <f>_xlfn.XLOOKUP(Table8[[#This Row],[Supporter_ID]],tb1_supporters[Supporter_ID ],tb1_supporters[Segment],"")</f>
        <v>Mid-Value</v>
      </c>
      <c r="K680" t="str">
        <f>_xlfn.XLOOKUP(Table8[[#This Row],[Supporter_ID]],tb1_supporters[Supporter_ID ],tb1_supporters[Acquisition_Source],"")</f>
        <v>Event</v>
      </c>
      <c r="L680" t="str">
        <f>_xlfn.XLOOKUP(Table8[[#This Row],[Supporter_ID]],tb1_supporters[Supporter_ID ],tb1_supporters[County],"")</f>
        <v>Tyne and Wear</v>
      </c>
      <c r="M680" t="str">
        <f>_xlfn.XLOOKUP(Table8[[#This Row],[Supporter_ID]],tb1_supporters[Supporter_ID ],tb1_supporters[Gender],"")</f>
        <v>Female</v>
      </c>
      <c r="N680">
        <f ca="1">_xlfn.XLOOKUP(Table8[[#This Row],[Supporter_ID]],tb1_supporters[Supporter_ID ],tb1_supporters[Age],"")</f>
        <v>81</v>
      </c>
      <c r="O680" t="str">
        <f ca="1">_xlfn.XLOOKUP(Table8[[#This Row],[Supporter_ID]],tb1_supporters[Supporter_ID ],tb1_supporters[Age_Band],"")</f>
        <v>65+</v>
      </c>
      <c r="P680" t="str">
        <f ca="1">IF(Table8[[#This Row],[Age_Band]]="","Unknown",Table8[[#This Row],[Age_Band]])</f>
        <v>65+</v>
      </c>
      <c r="Q680" t="str">
        <f>_xlfn.XLOOKUP(Table8[[#This Row],[Supporter_ID]],tb1_supporters[Supporter_ID ],tb1_supporters[Communication_Preference],"")</f>
        <v>Email</v>
      </c>
      <c r="R680" t="str">
        <f>_xlfn.XLOOKUP(Table8[[#This Row],[Supporter_ID]],tb1_supporters[Supporter_ID ],tb1_supporters[Duplicate_Profile_Flag],"")</f>
        <v/>
      </c>
      <c r="S680" t="str">
        <f>_xlfn.XLOOKUP(Table8[[#This Row],[Supporter_ID]],tb1_supporters[Supporter_ID ],tb1_supporters[Preference_Compliance_Flag],"")</f>
        <v>Review - prefers email but not opted in</v>
      </c>
      <c r="T680" t="str">
        <f ca="1">IF(Table8[[#This Row],[Age]]="","Review - missing DOB",IF(Table8[[#This Row],[Age]]&gt;TODAY(),"Review - future DOB",IF(Table8[[#This Row],[Age]]=0,"Review -  potential entry error (age 0)","")))</f>
        <v/>
      </c>
      <c r="U680" t="str">
        <f>_xlfn.XLOOKUP(Table8[[#This Row],[Campaign_Code]],tb3_CampaignMaster[Campaign_Code],tb3_CampaignMaster[Campaign_Type],"")</f>
        <v>Stewardship</v>
      </c>
      <c r="V680" t="str">
        <f>_xlfn.XLOOKUP(Table8[[#This Row],[Campaign_Code]],tb3_CampaignMaster[Campaign_Code],tb3_CampaignMaster[Target_Audience],"")</f>
        <v>Major Donors</v>
      </c>
      <c r="W680" s="17">
        <f>_xlfn.XLOOKUP(Table8[[#This Row],[Campaign_Code]],tb3_CampaignMaster[Campaign_Code],tb3_CampaignMaster[Start_Date],"")</f>
        <v>45444</v>
      </c>
      <c r="X680" s="17">
        <f>_xlfn.XLOOKUP(Table8[[#This Row],[Campaign_Code]],tb3_CampaignMaster[Campaign_Code],tb3_CampaignMaster[End_Date],"")</f>
        <v>45473</v>
      </c>
      <c r="Y680">
        <f>_xlfn.XLOOKUP(Table8[[#This Row],[Campaign_Code]],tb3_CampaignMaster[Campaign_Code],tb3_CampaignMaster[Budget_GBP],"")</f>
        <v>7000</v>
      </c>
      <c r="Z680" t="str">
        <f>_xlfn.XLOOKUP(Table8[[#This Row],[Campaign_Code]],tb3_CampaignMaster[Campaign_Code],tb3_CampaignMaster[Primary_Channel],"")</f>
        <v>Direct Mail</v>
      </c>
      <c r="AA680" s="13">
        <f>IF(Table8[[#This Row],[Gift_Aid_Eligible]]="Yes",Table8[[#This Row],[Gift_Amount]]*1.25,Table8[[#This Row],[Gift_Amount]])</f>
        <v>301.08749999999998</v>
      </c>
      <c r="AB680" t="str">
        <f>IF(Table8[[#This Row],[Supporter_ID]]="","Review - missing supporter ID","")</f>
        <v/>
      </c>
      <c r="AC680" t="str">
        <f>IF(OR(Table8[[#This Row],[Response_Date]]&lt;Table8[[#This Row],[Start_Date]],Table8[[#This Row],[Response_Date]]&gt;Table8[[#This Row],[End_Date]]),"Review - response outside campaign dates","")</f>
        <v/>
      </c>
      <c r="AD680" t="str">
        <f>IF(Table8[[#This Row],[Campaign_Type]]="","Review - campaign code not found","")</f>
        <v/>
      </c>
    </row>
    <row r="681" spans="1:30" x14ac:dyDescent="0.25">
      <c r="A681" t="s">
        <v>4484</v>
      </c>
      <c r="B681" t="s">
        <v>1207</v>
      </c>
      <c r="C681" t="s">
        <v>3320</v>
      </c>
      <c r="D681" t="s">
        <v>3321</v>
      </c>
      <c r="E681" t="s">
        <v>65</v>
      </c>
      <c r="F681" s="17">
        <v>45459</v>
      </c>
      <c r="G681">
        <v>33.93</v>
      </c>
      <c r="H681" t="s">
        <v>36</v>
      </c>
      <c r="I681" t="s">
        <v>3365</v>
      </c>
      <c r="J681" t="str">
        <f>_xlfn.XLOOKUP(Table8[[#This Row],[Supporter_ID]],tb1_supporters[Supporter_ID ],tb1_supporters[Segment],"")</f>
        <v>Regular Giver</v>
      </c>
      <c r="K681" t="str">
        <f>_xlfn.XLOOKUP(Table8[[#This Row],[Supporter_ID]],tb1_supporters[Supporter_ID ],tb1_supporters[Acquisition_Source],"")</f>
        <v>Website</v>
      </c>
      <c r="L681" t="str">
        <f>_xlfn.XLOOKUP(Table8[[#This Row],[Supporter_ID]],tb1_supporters[Supporter_ID ],tb1_supporters[County],"")</f>
        <v>South Yorkshire</v>
      </c>
      <c r="M681" t="str">
        <f>_xlfn.XLOOKUP(Table8[[#This Row],[Supporter_ID]],tb1_supporters[Supporter_ID ],tb1_supporters[Gender],"")</f>
        <v>Male</v>
      </c>
      <c r="N681">
        <f ca="1">_xlfn.XLOOKUP(Table8[[#This Row],[Supporter_ID]],tb1_supporters[Supporter_ID ],tb1_supporters[Age],"")</f>
        <v>53</v>
      </c>
      <c r="O681" t="str">
        <f ca="1">_xlfn.XLOOKUP(Table8[[#This Row],[Supporter_ID]],tb1_supporters[Supporter_ID ],tb1_supporters[Age_Band],"")</f>
        <v>50-64</v>
      </c>
      <c r="P681" t="str">
        <f ca="1">IF(Table8[[#This Row],[Age_Band]]="","Unknown",Table8[[#This Row],[Age_Band]])</f>
        <v>50-64</v>
      </c>
      <c r="Q681" t="str">
        <f>_xlfn.XLOOKUP(Table8[[#This Row],[Supporter_ID]],tb1_supporters[Supporter_ID ],tb1_supporters[Communication_Preference],"")</f>
        <v>Post</v>
      </c>
      <c r="R681" t="str">
        <f>_xlfn.XLOOKUP(Table8[[#This Row],[Supporter_ID]],tb1_supporters[Supporter_ID ],tb1_supporters[Duplicate_Profile_Flag],"")</f>
        <v/>
      </c>
      <c r="S681" t="str">
        <f>_xlfn.XLOOKUP(Table8[[#This Row],[Supporter_ID]],tb1_supporters[Supporter_ID ],tb1_supporters[Preference_Compliance_Flag],"")</f>
        <v/>
      </c>
      <c r="T681" t="str">
        <f ca="1">IF(Table8[[#This Row],[Age]]="","Review - missing DOB",IF(Table8[[#This Row],[Age]]&gt;TODAY(),"Review - future DOB",IF(Table8[[#This Row],[Age]]=0,"Review -  potential entry error (age 0)","")))</f>
        <v/>
      </c>
      <c r="U681" t="str">
        <f>_xlfn.XLOOKUP(Table8[[#This Row],[Campaign_Code]],tb3_CampaignMaster[Campaign_Code],tb3_CampaignMaster[Campaign_Type],"")</f>
        <v>Stewardship</v>
      </c>
      <c r="V681" t="str">
        <f>_xlfn.XLOOKUP(Table8[[#This Row],[Campaign_Code]],tb3_CampaignMaster[Campaign_Code],tb3_CampaignMaster[Target_Audience],"")</f>
        <v>Major Donors</v>
      </c>
      <c r="W681" s="17">
        <f>_xlfn.XLOOKUP(Table8[[#This Row],[Campaign_Code]],tb3_CampaignMaster[Campaign_Code],tb3_CampaignMaster[Start_Date],"")</f>
        <v>45444</v>
      </c>
      <c r="X681" s="17">
        <f>_xlfn.XLOOKUP(Table8[[#This Row],[Campaign_Code]],tb3_CampaignMaster[Campaign_Code],tb3_CampaignMaster[End_Date],"")</f>
        <v>45473</v>
      </c>
      <c r="Y681">
        <f>_xlfn.XLOOKUP(Table8[[#This Row],[Campaign_Code]],tb3_CampaignMaster[Campaign_Code],tb3_CampaignMaster[Budget_GBP],"")</f>
        <v>7000</v>
      </c>
      <c r="Z681" t="str">
        <f>_xlfn.XLOOKUP(Table8[[#This Row],[Campaign_Code]],tb3_CampaignMaster[Campaign_Code],tb3_CampaignMaster[Primary_Channel],"")</f>
        <v>Direct Mail</v>
      </c>
      <c r="AA681" s="13">
        <f>IF(Table8[[#This Row],[Gift_Aid_Eligible]]="Yes",Table8[[#This Row],[Gift_Amount]]*1.25,Table8[[#This Row],[Gift_Amount]])</f>
        <v>42.412500000000001</v>
      </c>
      <c r="AB681" t="str">
        <f>IF(Table8[[#This Row],[Supporter_ID]]="","Review - missing supporter ID","")</f>
        <v/>
      </c>
      <c r="AC681" t="str">
        <f>IF(OR(Table8[[#This Row],[Response_Date]]&lt;Table8[[#This Row],[Start_Date]],Table8[[#This Row],[Response_Date]]&gt;Table8[[#This Row],[End_Date]]),"Review - response outside campaign dates","")</f>
        <v/>
      </c>
      <c r="AD681" t="str">
        <f>IF(Table8[[#This Row],[Campaign_Type]]="","Review - campaign code not found","")</f>
        <v/>
      </c>
    </row>
    <row r="682" spans="1:30" x14ac:dyDescent="0.25">
      <c r="A682" t="s">
        <v>4486</v>
      </c>
      <c r="B682" t="s">
        <v>2770</v>
      </c>
      <c r="C682" t="s">
        <v>3325</v>
      </c>
      <c r="D682" t="s">
        <v>3326</v>
      </c>
      <c r="E682" t="s">
        <v>65</v>
      </c>
      <c r="F682" s="17">
        <v>45599</v>
      </c>
      <c r="G682">
        <v>27.4</v>
      </c>
      <c r="H682" t="s">
        <v>37</v>
      </c>
      <c r="I682" t="s">
        <v>3370</v>
      </c>
      <c r="J682" t="str">
        <f>_xlfn.XLOOKUP(Table8[[#This Row],[Supporter_ID]],tb1_supporters[Supporter_ID ],tb1_supporters[Segment],"")</f>
        <v>Prospect</v>
      </c>
      <c r="K682" t="str">
        <f>_xlfn.XLOOKUP(Table8[[#This Row],[Supporter_ID]],tb1_supporters[Supporter_ID ],tb1_supporters[Acquisition_Source],"")</f>
        <v>Website</v>
      </c>
      <c r="L682" t="str">
        <f>_xlfn.XLOOKUP(Table8[[#This Row],[Supporter_ID]],tb1_supporters[Supporter_ID ],tb1_supporters[County],"")</f>
        <v>Surrey</v>
      </c>
      <c r="M682" t="str">
        <f>_xlfn.XLOOKUP(Table8[[#This Row],[Supporter_ID]],tb1_supporters[Supporter_ID ],tb1_supporters[Gender],"")</f>
        <v>Female</v>
      </c>
      <c r="N682">
        <f ca="1">_xlfn.XLOOKUP(Table8[[#This Row],[Supporter_ID]],tb1_supporters[Supporter_ID ],tb1_supporters[Age],"")</f>
        <v>54</v>
      </c>
      <c r="O682" t="str">
        <f ca="1">_xlfn.XLOOKUP(Table8[[#This Row],[Supporter_ID]],tb1_supporters[Supporter_ID ],tb1_supporters[Age_Band],"")</f>
        <v>50-64</v>
      </c>
      <c r="P682" t="str">
        <f ca="1">IF(Table8[[#This Row],[Age_Band]]="","Unknown",Table8[[#This Row],[Age_Band]])</f>
        <v>50-64</v>
      </c>
      <c r="Q682" t="str">
        <f>_xlfn.XLOOKUP(Table8[[#This Row],[Supporter_ID]],tb1_supporters[Supporter_ID ],tb1_supporters[Communication_Preference],"")</f>
        <v>Email</v>
      </c>
      <c r="R682" t="str">
        <f>_xlfn.XLOOKUP(Table8[[#This Row],[Supporter_ID]],tb1_supporters[Supporter_ID ],tb1_supporters[Duplicate_Profile_Flag],"")</f>
        <v/>
      </c>
      <c r="S682" t="str">
        <f>_xlfn.XLOOKUP(Table8[[#This Row],[Supporter_ID]],tb1_supporters[Supporter_ID ],tb1_supporters[Preference_Compliance_Flag],"")</f>
        <v>Review - prefers email but not opted in</v>
      </c>
      <c r="T682" t="str">
        <f ca="1">IF(Table8[[#This Row],[Age]]="","Review - missing DOB",IF(Table8[[#This Row],[Age]]&gt;TODAY(),"Review - future DOB",IF(Table8[[#This Row],[Age]]=0,"Review -  potential entry error (age 0)","")))</f>
        <v/>
      </c>
      <c r="U682" t="str">
        <f>_xlfn.XLOOKUP(Table8[[#This Row],[Campaign_Code]],tb3_CampaignMaster[Campaign_Code],tb3_CampaignMaster[Campaign_Type],"")</f>
        <v>Appeal</v>
      </c>
      <c r="V682" t="str">
        <f>_xlfn.XLOOKUP(Table8[[#This Row],[Campaign_Code]],tb3_CampaignMaster[Campaign_Code],tb3_CampaignMaster[Target_Audience],"")</f>
        <v>All Active</v>
      </c>
      <c r="W682" s="17">
        <f>_xlfn.XLOOKUP(Table8[[#This Row],[Campaign_Code]],tb3_CampaignMaster[Campaign_Code],tb3_CampaignMaster[Start_Date],"")</f>
        <v>45597</v>
      </c>
      <c r="X682" s="17">
        <f>_xlfn.XLOOKUP(Table8[[#This Row],[Campaign_Code]],tb3_CampaignMaster[Campaign_Code],tb3_CampaignMaster[End_Date],"")</f>
        <v>45657</v>
      </c>
      <c r="Y682">
        <f>_xlfn.XLOOKUP(Table8[[#This Row],[Campaign_Code]],tb3_CampaignMaster[Campaign_Code],tb3_CampaignMaster[Budget_GBP],"")</f>
        <v>25000</v>
      </c>
      <c r="Z682" t="str">
        <f>_xlfn.XLOOKUP(Table8[[#This Row],[Campaign_Code]],tb3_CampaignMaster[Campaign_Code],tb3_CampaignMaster[Primary_Channel],"")</f>
        <v>Multi-channel</v>
      </c>
      <c r="AA682" s="13">
        <f>IF(Table8[[#This Row],[Gift_Aid_Eligible]]="Yes",Table8[[#This Row],[Gift_Amount]]*1.25,Table8[[#This Row],[Gift_Amount]])</f>
        <v>27.4</v>
      </c>
      <c r="AB682" t="str">
        <f>IF(Table8[[#This Row],[Supporter_ID]]="","Review - missing supporter ID","")</f>
        <v/>
      </c>
      <c r="AC682" t="str">
        <f>IF(OR(Table8[[#This Row],[Response_Date]]&lt;Table8[[#This Row],[Start_Date]],Table8[[#This Row],[Response_Date]]&gt;Table8[[#This Row],[End_Date]]),"Review - response outside campaign dates","")</f>
        <v/>
      </c>
      <c r="AD682" t="str">
        <f>IF(Table8[[#This Row],[Campaign_Type]]="","Review - campaign code not found","")</f>
        <v/>
      </c>
    </row>
    <row r="683" spans="1:30" x14ac:dyDescent="0.25">
      <c r="A683" t="s">
        <v>4487</v>
      </c>
      <c r="B683" t="s">
        <v>883</v>
      </c>
      <c r="C683" t="s">
        <v>3325</v>
      </c>
      <c r="D683" t="s">
        <v>3326</v>
      </c>
      <c r="E683" t="s">
        <v>3316</v>
      </c>
      <c r="F683" s="17">
        <v>45616</v>
      </c>
      <c r="G683">
        <v>41.38</v>
      </c>
      <c r="H683" t="s">
        <v>36</v>
      </c>
      <c r="I683" t="s">
        <v>3365</v>
      </c>
      <c r="J683" t="str">
        <f>_xlfn.XLOOKUP(Table8[[#This Row],[Supporter_ID]],tb1_supporters[Supporter_ID ],tb1_supporters[Segment],"")</f>
        <v>Regular Giver</v>
      </c>
      <c r="K683" t="str">
        <f>_xlfn.XLOOKUP(Table8[[#This Row],[Supporter_ID]],tb1_supporters[Supporter_ID ],tb1_supporters[Acquisition_Source],"")</f>
        <v>Website</v>
      </c>
      <c r="L683" t="str">
        <f>_xlfn.XLOOKUP(Table8[[#This Row],[Supporter_ID]],tb1_supporters[Supporter_ID ],tb1_supporters[County],"")</f>
        <v>Kent</v>
      </c>
      <c r="M683" t="str">
        <f>_xlfn.XLOOKUP(Table8[[#This Row],[Supporter_ID]],tb1_supporters[Supporter_ID ],tb1_supporters[Gender],"")</f>
        <v>Female</v>
      </c>
      <c r="N683">
        <f ca="1">_xlfn.XLOOKUP(Table8[[#This Row],[Supporter_ID]],tb1_supporters[Supporter_ID ],tb1_supporters[Age],"")</f>
        <v>69</v>
      </c>
      <c r="O683" t="str">
        <f ca="1">_xlfn.XLOOKUP(Table8[[#This Row],[Supporter_ID]],tb1_supporters[Supporter_ID ],tb1_supporters[Age_Band],"")</f>
        <v>65+</v>
      </c>
      <c r="P683" t="str">
        <f ca="1">IF(Table8[[#This Row],[Age_Band]]="","Unknown",Table8[[#This Row],[Age_Band]])</f>
        <v>65+</v>
      </c>
      <c r="Q683" t="str">
        <f>_xlfn.XLOOKUP(Table8[[#This Row],[Supporter_ID]],tb1_supporters[Supporter_ID ],tb1_supporters[Communication_Preference],"")</f>
        <v>Post</v>
      </c>
      <c r="R683" t="str">
        <f>_xlfn.XLOOKUP(Table8[[#This Row],[Supporter_ID]],tb1_supporters[Supporter_ID ],tb1_supporters[Duplicate_Profile_Flag],"")</f>
        <v/>
      </c>
      <c r="S683" t="str">
        <f>_xlfn.XLOOKUP(Table8[[#This Row],[Supporter_ID]],tb1_supporters[Supporter_ID ],tb1_supporters[Preference_Compliance_Flag],"")</f>
        <v/>
      </c>
      <c r="T683" t="str">
        <f ca="1">IF(Table8[[#This Row],[Age]]="","Review - missing DOB",IF(Table8[[#This Row],[Age]]&gt;TODAY(),"Review - future DOB",IF(Table8[[#This Row],[Age]]=0,"Review -  potential entry error (age 0)","")))</f>
        <v/>
      </c>
      <c r="U683" t="str">
        <f>_xlfn.XLOOKUP(Table8[[#This Row],[Campaign_Code]],tb3_CampaignMaster[Campaign_Code],tb3_CampaignMaster[Campaign_Type],"")</f>
        <v>Appeal</v>
      </c>
      <c r="V683" t="str">
        <f>_xlfn.XLOOKUP(Table8[[#This Row],[Campaign_Code]],tb3_CampaignMaster[Campaign_Code],tb3_CampaignMaster[Target_Audience],"")</f>
        <v>All Active</v>
      </c>
      <c r="W683" s="17">
        <f>_xlfn.XLOOKUP(Table8[[#This Row],[Campaign_Code]],tb3_CampaignMaster[Campaign_Code],tb3_CampaignMaster[Start_Date],"")</f>
        <v>45597</v>
      </c>
      <c r="X683" s="17">
        <f>_xlfn.XLOOKUP(Table8[[#This Row],[Campaign_Code]],tb3_CampaignMaster[Campaign_Code],tb3_CampaignMaster[End_Date],"")</f>
        <v>45657</v>
      </c>
      <c r="Y683">
        <f>_xlfn.XLOOKUP(Table8[[#This Row],[Campaign_Code]],tb3_CampaignMaster[Campaign_Code],tb3_CampaignMaster[Budget_GBP],"")</f>
        <v>25000</v>
      </c>
      <c r="Z683" t="str">
        <f>_xlfn.XLOOKUP(Table8[[#This Row],[Campaign_Code]],tb3_CampaignMaster[Campaign_Code],tb3_CampaignMaster[Primary_Channel],"")</f>
        <v>Multi-channel</v>
      </c>
      <c r="AA683" s="13">
        <f>IF(Table8[[#This Row],[Gift_Aid_Eligible]]="Yes",Table8[[#This Row],[Gift_Amount]]*1.25,Table8[[#This Row],[Gift_Amount]])</f>
        <v>51.725000000000001</v>
      </c>
      <c r="AB683" t="str">
        <f>IF(Table8[[#This Row],[Supporter_ID]]="","Review - missing supporter ID","")</f>
        <v/>
      </c>
      <c r="AC683" t="str">
        <f>IF(OR(Table8[[#This Row],[Response_Date]]&lt;Table8[[#This Row],[Start_Date]],Table8[[#This Row],[Response_Date]]&gt;Table8[[#This Row],[End_Date]]),"Review - response outside campaign dates","")</f>
        <v/>
      </c>
      <c r="AD683" t="str">
        <f>IF(Table8[[#This Row],[Campaign_Type]]="","Review - campaign code not found","")</f>
        <v/>
      </c>
    </row>
    <row r="684" spans="1:30" x14ac:dyDescent="0.25">
      <c r="A684" t="s">
        <v>4488</v>
      </c>
      <c r="B684" t="s">
        <v>1147</v>
      </c>
      <c r="C684" t="s">
        <v>3325</v>
      </c>
      <c r="D684" t="s">
        <v>3326</v>
      </c>
      <c r="E684" t="s">
        <v>65</v>
      </c>
      <c r="F684" s="17">
        <v>45609</v>
      </c>
      <c r="G684">
        <v>32.33</v>
      </c>
      <c r="H684" t="s">
        <v>37</v>
      </c>
      <c r="I684" t="s">
        <v>3370</v>
      </c>
      <c r="J684" t="str">
        <f>_xlfn.XLOOKUP(Table8[[#This Row],[Supporter_ID]],tb1_supporters[Supporter_ID ],tb1_supporters[Segment],"")</f>
        <v>Regular Giver</v>
      </c>
      <c r="K684" t="str">
        <f>_xlfn.XLOOKUP(Table8[[#This Row],[Supporter_ID]],tb1_supporters[Supporter_ID ],tb1_supporters[Acquisition_Source],"")</f>
        <v>Social Media</v>
      </c>
      <c r="L684" t="str">
        <f>_xlfn.XLOOKUP(Table8[[#This Row],[Supporter_ID]],tb1_supporters[Supporter_ID ],tb1_supporters[County],"")</f>
        <v>Greater Manchester</v>
      </c>
      <c r="M684" t="str">
        <f>_xlfn.XLOOKUP(Table8[[#This Row],[Supporter_ID]],tb1_supporters[Supporter_ID ],tb1_supporters[Gender],"")</f>
        <v>Female</v>
      </c>
      <c r="N684">
        <f ca="1">_xlfn.XLOOKUP(Table8[[#This Row],[Supporter_ID]],tb1_supporters[Supporter_ID ],tb1_supporters[Age],"")</f>
        <v>67</v>
      </c>
      <c r="O684" t="str">
        <f ca="1">_xlfn.XLOOKUP(Table8[[#This Row],[Supporter_ID]],tb1_supporters[Supporter_ID ],tb1_supporters[Age_Band],"")</f>
        <v>65+</v>
      </c>
      <c r="P684" t="str">
        <f ca="1">IF(Table8[[#This Row],[Age_Band]]="","Unknown",Table8[[#This Row],[Age_Band]])</f>
        <v>65+</v>
      </c>
      <c r="Q684" t="str">
        <f>_xlfn.XLOOKUP(Table8[[#This Row],[Supporter_ID]],tb1_supporters[Supporter_ID ],tb1_supporters[Communication_Preference],"")</f>
        <v>Phone</v>
      </c>
      <c r="R684" t="str">
        <f>_xlfn.XLOOKUP(Table8[[#This Row],[Supporter_ID]],tb1_supporters[Supporter_ID ],tb1_supporters[Duplicate_Profile_Flag],"")</f>
        <v/>
      </c>
      <c r="S684" t="str">
        <f>_xlfn.XLOOKUP(Table8[[#This Row],[Supporter_ID]],tb1_supporters[Supporter_ID ],tb1_supporters[Preference_Compliance_Flag],"")</f>
        <v/>
      </c>
      <c r="T684" t="str">
        <f ca="1">IF(Table8[[#This Row],[Age]]="","Review - missing DOB",IF(Table8[[#This Row],[Age]]&gt;TODAY(),"Review - future DOB",IF(Table8[[#This Row],[Age]]=0,"Review -  potential entry error (age 0)","")))</f>
        <v/>
      </c>
      <c r="U684" t="str">
        <f>_xlfn.XLOOKUP(Table8[[#This Row],[Campaign_Code]],tb3_CampaignMaster[Campaign_Code],tb3_CampaignMaster[Campaign_Type],"")</f>
        <v>Appeal</v>
      </c>
      <c r="V684" t="str">
        <f>_xlfn.XLOOKUP(Table8[[#This Row],[Campaign_Code]],tb3_CampaignMaster[Campaign_Code],tb3_CampaignMaster[Target_Audience],"")</f>
        <v>All Active</v>
      </c>
      <c r="W684" s="17">
        <f>_xlfn.XLOOKUP(Table8[[#This Row],[Campaign_Code]],tb3_CampaignMaster[Campaign_Code],tb3_CampaignMaster[Start_Date],"")</f>
        <v>45597</v>
      </c>
      <c r="X684" s="17">
        <f>_xlfn.XLOOKUP(Table8[[#This Row],[Campaign_Code]],tb3_CampaignMaster[Campaign_Code],tb3_CampaignMaster[End_Date],"")</f>
        <v>45657</v>
      </c>
      <c r="Y684">
        <f>_xlfn.XLOOKUP(Table8[[#This Row],[Campaign_Code]],tb3_CampaignMaster[Campaign_Code],tb3_CampaignMaster[Budget_GBP],"")</f>
        <v>25000</v>
      </c>
      <c r="Z684" t="str">
        <f>_xlfn.XLOOKUP(Table8[[#This Row],[Campaign_Code]],tb3_CampaignMaster[Campaign_Code],tb3_CampaignMaster[Primary_Channel],"")</f>
        <v>Multi-channel</v>
      </c>
      <c r="AA684" s="13">
        <f>IF(Table8[[#This Row],[Gift_Aid_Eligible]]="Yes",Table8[[#This Row],[Gift_Amount]]*1.25,Table8[[#This Row],[Gift_Amount]])</f>
        <v>32.33</v>
      </c>
      <c r="AB684" t="str">
        <f>IF(Table8[[#This Row],[Supporter_ID]]="","Review - missing supporter ID","")</f>
        <v/>
      </c>
      <c r="AC684" t="str">
        <f>IF(OR(Table8[[#This Row],[Response_Date]]&lt;Table8[[#This Row],[Start_Date]],Table8[[#This Row],[Response_Date]]&gt;Table8[[#This Row],[End_Date]]),"Review - response outside campaign dates","")</f>
        <v/>
      </c>
      <c r="AD684" t="str">
        <f>IF(Table8[[#This Row],[Campaign_Type]]="","Review - campaign code not found","")</f>
        <v/>
      </c>
    </row>
    <row r="685" spans="1:30" x14ac:dyDescent="0.25">
      <c r="A685" t="s">
        <v>4490</v>
      </c>
      <c r="B685" t="s">
        <v>844</v>
      </c>
      <c r="C685" t="s">
        <v>3354</v>
      </c>
      <c r="D685" t="s">
        <v>3355</v>
      </c>
      <c r="E685" t="s">
        <v>4</v>
      </c>
      <c r="F685" s="17">
        <v>45618</v>
      </c>
      <c r="G685">
        <v>5.4</v>
      </c>
      <c r="H685" t="s">
        <v>37</v>
      </c>
      <c r="I685" t="s">
        <v>3328</v>
      </c>
      <c r="J685" t="str">
        <f>_xlfn.XLOOKUP(Table8[[#This Row],[Supporter_ID]],tb1_supporters[Supporter_ID ],tb1_supporters[Segment],"")</f>
        <v>Prospect</v>
      </c>
      <c r="K685" t="str">
        <f>_xlfn.XLOOKUP(Table8[[#This Row],[Supporter_ID]],tb1_supporters[Supporter_ID ],tb1_supporters[Acquisition_Source],"")</f>
        <v>Social Media</v>
      </c>
      <c r="L685" t="str">
        <f>_xlfn.XLOOKUP(Table8[[#This Row],[Supporter_ID]],tb1_supporters[Supporter_ID ],tb1_supporters[County],"")</f>
        <v>Leicestershire</v>
      </c>
      <c r="M685" t="str">
        <f>_xlfn.XLOOKUP(Table8[[#This Row],[Supporter_ID]],tb1_supporters[Supporter_ID ],tb1_supporters[Gender],"")</f>
        <v>Male</v>
      </c>
      <c r="N685">
        <f ca="1">_xlfn.XLOOKUP(Table8[[#This Row],[Supporter_ID]],tb1_supporters[Supporter_ID ],tb1_supporters[Age],"")</f>
        <v>60</v>
      </c>
      <c r="O685" t="str">
        <f ca="1">_xlfn.XLOOKUP(Table8[[#This Row],[Supporter_ID]],tb1_supporters[Supporter_ID ],tb1_supporters[Age_Band],"")</f>
        <v>50-64</v>
      </c>
      <c r="P685" t="str">
        <f ca="1">IF(Table8[[#This Row],[Age_Band]]="","Unknown",Table8[[#This Row],[Age_Band]])</f>
        <v>50-64</v>
      </c>
      <c r="Q685" t="str">
        <f>_xlfn.XLOOKUP(Table8[[#This Row],[Supporter_ID]],tb1_supporters[Supporter_ID ],tb1_supporters[Communication_Preference],"")</f>
        <v>Email</v>
      </c>
      <c r="R685" t="str">
        <f>_xlfn.XLOOKUP(Table8[[#This Row],[Supporter_ID]],tb1_supporters[Supporter_ID ],tb1_supporters[Duplicate_Profile_Flag],"")</f>
        <v/>
      </c>
      <c r="S685" t="str">
        <f>_xlfn.XLOOKUP(Table8[[#This Row],[Supporter_ID]],tb1_supporters[Supporter_ID ],tb1_supporters[Preference_Compliance_Flag],"")</f>
        <v>Review - prefers email but not opted in</v>
      </c>
      <c r="T685" t="str">
        <f ca="1">IF(Table8[[#This Row],[Age]]="","Review - missing DOB",IF(Table8[[#This Row],[Age]]&gt;TODAY(),"Review - future DOB",IF(Table8[[#This Row],[Age]]=0,"Review -  potential entry error (age 0)","")))</f>
        <v/>
      </c>
      <c r="U685" t="str">
        <f>_xlfn.XLOOKUP(Table8[[#This Row],[Campaign_Code]],tb3_CampaignMaster[Campaign_Code],tb3_CampaignMaster[Campaign_Type],"")</f>
        <v>Event</v>
      </c>
      <c r="V685" t="str">
        <f>_xlfn.XLOOKUP(Table8[[#This Row],[Campaign_Code]],tb3_CampaignMaster[Campaign_Code],tb3_CampaignMaster[Target_Audience],"")</f>
        <v>Volunteers</v>
      </c>
      <c r="W685" s="17">
        <f>_xlfn.XLOOKUP(Table8[[#This Row],[Campaign_Code]],tb3_CampaignMaster[Campaign_Code],tb3_CampaignMaster[Start_Date],"")</f>
        <v>45618</v>
      </c>
      <c r="X685" s="17">
        <f>_xlfn.XLOOKUP(Table8[[#This Row],[Campaign_Code]],tb3_CampaignMaster[Campaign_Code],tb3_CampaignMaster[End_Date],"")</f>
        <v>45618</v>
      </c>
      <c r="Y685">
        <f>_xlfn.XLOOKUP(Table8[[#This Row],[Campaign_Code]],tb3_CampaignMaster[Campaign_Code],tb3_CampaignMaster[Budget_GBP],"")</f>
        <v>3500</v>
      </c>
      <c r="Z685" t="str">
        <f>_xlfn.XLOOKUP(Table8[[#This Row],[Campaign_Code]],tb3_CampaignMaster[Campaign_Code],tb3_CampaignMaster[Primary_Channel],"")</f>
        <v>Email</v>
      </c>
      <c r="AA685" s="13">
        <f>IF(Table8[[#This Row],[Gift_Aid_Eligible]]="Yes",Table8[[#This Row],[Gift_Amount]]*1.25,Table8[[#This Row],[Gift_Amount]])</f>
        <v>5.4</v>
      </c>
      <c r="AB685" t="str">
        <f>IF(Table8[[#This Row],[Supporter_ID]]="","Review - missing supporter ID","")</f>
        <v/>
      </c>
      <c r="AC685" t="str">
        <f>IF(OR(Table8[[#This Row],[Response_Date]]&lt;Table8[[#This Row],[Start_Date]],Table8[[#This Row],[Response_Date]]&gt;Table8[[#This Row],[End_Date]]),"Review - response outside campaign dates","")</f>
        <v/>
      </c>
      <c r="AD685" t="str">
        <f>IF(Table8[[#This Row],[Campaign_Type]]="","Review - campaign code not found","")</f>
        <v/>
      </c>
    </row>
    <row r="686" spans="1:30" x14ac:dyDescent="0.25">
      <c r="A686" t="s">
        <v>4491</v>
      </c>
      <c r="B686" t="s">
        <v>1428</v>
      </c>
      <c r="C686" t="s">
        <v>3367</v>
      </c>
      <c r="D686" t="s">
        <v>3368</v>
      </c>
      <c r="E686" t="s">
        <v>65</v>
      </c>
      <c r="F686" s="17">
        <v>45739</v>
      </c>
      <c r="G686">
        <v>7.25</v>
      </c>
      <c r="H686" t="s">
        <v>36</v>
      </c>
      <c r="I686" t="s">
        <v>3331</v>
      </c>
      <c r="J686" t="str">
        <f>_xlfn.XLOOKUP(Table8[[#This Row],[Supporter_ID]],tb1_supporters[Supporter_ID ],tb1_supporters[Segment],"")</f>
        <v>Regular Giver</v>
      </c>
      <c r="K686" t="str">
        <f>_xlfn.XLOOKUP(Table8[[#This Row],[Supporter_ID]],tb1_supporters[Supporter_ID ],tb1_supporters[Acquisition_Source],"")</f>
        <v>Social Media</v>
      </c>
      <c r="L686" t="str">
        <f>_xlfn.XLOOKUP(Table8[[#This Row],[Supporter_ID]],tb1_supporters[Supporter_ID ],tb1_supporters[County],"")</f>
        <v>Greater London</v>
      </c>
      <c r="M686" t="str">
        <f>_xlfn.XLOOKUP(Table8[[#This Row],[Supporter_ID]],tb1_supporters[Supporter_ID ],tb1_supporters[Gender],"")</f>
        <v>Male</v>
      </c>
      <c r="N686">
        <f ca="1">_xlfn.XLOOKUP(Table8[[#This Row],[Supporter_ID]],tb1_supporters[Supporter_ID ],tb1_supporters[Age],"")</f>
        <v>42</v>
      </c>
      <c r="O686" t="str">
        <f ca="1">_xlfn.XLOOKUP(Table8[[#This Row],[Supporter_ID]],tb1_supporters[Supporter_ID ],tb1_supporters[Age_Band],"")</f>
        <v>35-49</v>
      </c>
      <c r="P686" t="str">
        <f ca="1">IF(Table8[[#This Row],[Age_Band]]="","Unknown",Table8[[#This Row],[Age_Band]])</f>
        <v>35-49</v>
      </c>
      <c r="Q686" t="str">
        <f>_xlfn.XLOOKUP(Table8[[#This Row],[Supporter_ID]],tb1_supporters[Supporter_ID ],tb1_supporters[Communication_Preference],"")</f>
        <v>Post</v>
      </c>
      <c r="R686" t="str">
        <f>_xlfn.XLOOKUP(Table8[[#This Row],[Supporter_ID]],tb1_supporters[Supporter_ID ],tb1_supporters[Duplicate_Profile_Flag],"")</f>
        <v/>
      </c>
      <c r="S686" t="str">
        <f>_xlfn.XLOOKUP(Table8[[#This Row],[Supporter_ID]],tb1_supporters[Supporter_ID ],tb1_supporters[Preference_Compliance_Flag],"")</f>
        <v>Review - prefers post but not opted in</v>
      </c>
      <c r="T686" t="str">
        <f ca="1">IF(Table8[[#This Row],[Age]]="","Review - missing DOB",IF(Table8[[#This Row],[Age]]&gt;TODAY(),"Review - future DOB",IF(Table8[[#This Row],[Age]]=0,"Review -  potential entry error (age 0)","")))</f>
        <v/>
      </c>
      <c r="U686" t="str">
        <f>_xlfn.XLOOKUP(Table8[[#This Row],[Campaign_Code]],tb3_CampaignMaster[Campaign_Code],tb3_CampaignMaster[Campaign_Type],"")</f>
        <v>Raffle</v>
      </c>
      <c r="V686" t="str">
        <f>_xlfn.XLOOKUP(Table8[[#This Row],[Campaign_Code]],tb3_CampaignMaster[Campaign_Code],tb3_CampaignMaster[Target_Audience],"")</f>
        <v>Regular Givers</v>
      </c>
      <c r="W686" s="17">
        <f>_xlfn.XLOOKUP(Table8[[#This Row],[Campaign_Code]],tb3_CampaignMaster[Campaign_Code],tb3_CampaignMaster[Start_Date],"")</f>
        <v>45717</v>
      </c>
      <c r="X686" s="17">
        <f>_xlfn.XLOOKUP(Table8[[#This Row],[Campaign_Code]],tb3_CampaignMaster[Campaign_Code],tb3_CampaignMaster[End_Date],"")</f>
        <v>45777</v>
      </c>
      <c r="Y686">
        <f>_xlfn.XLOOKUP(Table8[[#This Row],[Campaign_Code]],tb3_CampaignMaster[Campaign_Code],tb3_CampaignMaster[Budget_GBP],"")</f>
        <v>8000</v>
      </c>
      <c r="Z686" t="str">
        <f>_xlfn.XLOOKUP(Table8[[#This Row],[Campaign_Code]],tb3_CampaignMaster[Campaign_Code],tb3_CampaignMaster[Primary_Channel],"")</f>
        <v>Direct Mail</v>
      </c>
      <c r="AA686" s="13">
        <f>IF(Table8[[#This Row],[Gift_Aid_Eligible]]="Yes",Table8[[#This Row],[Gift_Amount]]*1.25,Table8[[#This Row],[Gift_Amount]])</f>
        <v>9.0625</v>
      </c>
      <c r="AB686" t="str">
        <f>IF(Table8[[#This Row],[Supporter_ID]]="","Review - missing supporter ID","")</f>
        <v/>
      </c>
      <c r="AC686" t="str">
        <f>IF(OR(Table8[[#This Row],[Response_Date]]&lt;Table8[[#This Row],[Start_Date]],Table8[[#This Row],[Response_Date]]&gt;Table8[[#This Row],[End_Date]]),"Review - response outside campaign dates","")</f>
        <v/>
      </c>
      <c r="AD686" t="str">
        <f>IF(Table8[[#This Row],[Campaign_Type]]="","Review - campaign code not found","")</f>
        <v/>
      </c>
    </row>
    <row r="687" spans="1:30" x14ac:dyDescent="0.25">
      <c r="A687" t="s">
        <v>4492</v>
      </c>
      <c r="B687" t="s">
        <v>796</v>
      </c>
      <c r="C687" t="s">
        <v>3367</v>
      </c>
      <c r="D687" t="s">
        <v>3368</v>
      </c>
      <c r="E687" t="s">
        <v>65</v>
      </c>
      <c r="F687" s="17">
        <v>45776</v>
      </c>
      <c r="G687">
        <v>41.36</v>
      </c>
      <c r="H687" t="s">
        <v>36</v>
      </c>
      <c r="I687" t="s">
        <v>3331</v>
      </c>
      <c r="J687" t="str">
        <f>_xlfn.XLOOKUP(Table8[[#This Row],[Supporter_ID]],tb1_supporters[Supporter_ID ],tb1_supporters[Segment],"")</f>
        <v>One-Time Donor</v>
      </c>
      <c r="K687" t="str">
        <f>_xlfn.XLOOKUP(Table8[[#This Row],[Supporter_ID]],tb1_supporters[Supporter_ID ],tb1_supporters[Acquisition_Source],"")</f>
        <v>Telephone</v>
      </c>
      <c r="L687" t="str">
        <f>_xlfn.XLOOKUP(Table8[[#This Row],[Supporter_ID]],tb1_supporters[Supporter_ID ],tb1_supporters[County],"")</f>
        <v>Devon</v>
      </c>
      <c r="M687" t="str">
        <f>_xlfn.XLOOKUP(Table8[[#This Row],[Supporter_ID]],tb1_supporters[Supporter_ID ],tb1_supporters[Gender],"")</f>
        <v>Female</v>
      </c>
      <c r="N687">
        <f ca="1">_xlfn.XLOOKUP(Table8[[#This Row],[Supporter_ID]],tb1_supporters[Supporter_ID ],tb1_supporters[Age],"")</f>
        <v>35</v>
      </c>
      <c r="O687" t="str">
        <f ca="1">_xlfn.XLOOKUP(Table8[[#This Row],[Supporter_ID]],tb1_supporters[Supporter_ID ],tb1_supporters[Age_Band],"")</f>
        <v>35-49</v>
      </c>
      <c r="P687" t="str">
        <f ca="1">IF(Table8[[#This Row],[Age_Band]]="","Unknown",Table8[[#This Row],[Age_Band]])</f>
        <v>35-49</v>
      </c>
      <c r="Q687" t="str">
        <f>_xlfn.XLOOKUP(Table8[[#This Row],[Supporter_ID]],tb1_supporters[Supporter_ID ],tb1_supporters[Communication_Preference],"")</f>
        <v>Do Not Contact</v>
      </c>
      <c r="R687" t="str">
        <f>_xlfn.XLOOKUP(Table8[[#This Row],[Supporter_ID]],tb1_supporters[Supporter_ID ],tb1_supporters[Duplicate_Profile_Flag],"")</f>
        <v/>
      </c>
      <c r="S687" t="str">
        <f>_xlfn.XLOOKUP(Table8[[#This Row],[Supporter_ID]],tb1_supporters[Supporter_ID ],tb1_supporters[Preference_Compliance_Flag],"")</f>
        <v/>
      </c>
      <c r="T687" t="str">
        <f ca="1">IF(Table8[[#This Row],[Age]]="","Review - missing DOB",IF(Table8[[#This Row],[Age]]&gt;TODAY(),"Review - future DOB",IF(Table8[[#This Row],[Age]]=0,"Review -  potential entry error (age 0)","")))</f>
        <v/>
      </c>
      <c r="U687" t="str">
        <f>_xlfn.XLOOKUP(Table8[[#This Row],[Campaign_Code]],tb3_CampaignMaster[Campaign_Code],tb3_CampaignMaster[Campaign_Type],"")</f>
        <v>Raffle</v>
      </c>
      <c r="V687" t="str">
        <f>_xlfn.XLOOKUP(Table8[[#This Row],[Campaign_Code]],tb3_CampaignMaster[Campaign_Code],tb3_CampaignMaster[Target_Audience],"")</f>
        <v>Regular Givers</v>
      </c>
      <c r="W687" s="17">
        <f>_xlfn.XLOOKUP(Table8[[#This Row],[Campaign_Code]],tb3_CampaignMaster[Campaign_Code],tb3_CampaignMaster[Start_Date],"")</f>
        <v>45717</v>
      </c>
      <c r="X687" s="17">
        <f>_xlfn.XLOOKUP(Table8[[#This Row],[Campaign_Code]],tb3_CampaignMaster[Campaign_Code],tb3_CampaignMaster[End_Date],"")</f>
        <v>45777</v>
      </c>
      <c r="Y687">
        <f>_xlfn.XLOOKUP(Table8[[#This Row],[Campaign_Code]],tb3_CampaignMaster[Campaign_Code],tb3_CampaignMaster[Budget_GBP],"")</f>
        <v>8000</v>
      </c>
      <c r="Z687" t="str">
        <f>_xlfn.XLOOKUP(Table8[[#This Row],[Campaign_Code]],tb3_CampaignMaster[Campaign_Code],tb3_CampaignMaster[Primary_Channel],"")</f>
        <v>Direct Mail</v>
      </c>
      <c r="AA687" s="13">
        <f>IF(Table8[[#This Row],[Gift_Aid_Eligible]]="Yes",Table8[[#This Row],[Gift_Amount]]*1.25,Table8[[#This Row],[Gift_Amount]])</f>
        <v>51.7</v>
      </c>
      <c r="AB687" t="str">
        <f>IF(Table8[[#This Row],[Supporter_ID]]="","Review - missing supporter ID","")</f>
        <v/>
      </c>
      <c r="AC687" t="str">
        <f>IF(OR(Table8[[#This Row],[Response_Date]]&lt;Table8[[#This Row],[Start_Date]],Table8[[#This Row],[Response_Date]]&gt;Table8[[#This Row],[End_Date]]),"Review - response outside campaign dates","")</f>
        <v/>
      </c>
      <c r="AD687" t="str">
        <f>IF(Table8[[#This Row],[Campaign_Type]]="","Review - campaign code not found","")</f>
        <v/>
      </c>
    </row>
    <row r="688" spans="1:30" x14ac:dyDescent="0.25">
      <c r="A688" t="s">
        <v>4493</v>
      </c>
      <c r="B688" t="s">
        <v>1124</v>
      </c>
      <c r="C688" t="s">
        <v>3367</v>
      </c>
      <c r="D688" t="s">
        <v>3368</v>
      </c>
      <c r="E688" t="s">
        <v>4</v>
      </c>
      <c r="F688" s="17">
        <v>45772</v>
      </c>
      <c r="G688">
        <v>30.44</v>
      </c>
      <c r="H688" t="s">
        <v>36</v>
      </c>
      <c r="I688" t="s">
        <v>3365</v>
      </c>
      <c r="J688" t="str">
        <f>_xlfn.XLOOKUP(Table8[[#This Row],[Supporter_ID]],tb1_supporters[Supporter_ID ],tb1_supporters[Segment],"")</f>
        <v>Regular Giver</v>
      </c>
      <c r="K688" t="str">
        <f>_xlfn.XLOOKUP(Table8[[#This Row],[Supporter_ID]],tb1_supporters[Supporter_ID ],tb1_supporters[Acquisition_Source],"")</f>
        <v>Door-To-Door</v>
      </c>
      <c r="L688" t="str">
        <f>_xlfn.XLOOKUP(Table8[[#This Row],[Supporter_ID]],tb1_supporters[Supporter_ID ],tb1_supporters[County],"")</f>
        <v>Suffolk</v>
      </c>
      <c r="M688" t="str">
        <f>_xlfn.XLOOKUP(Table8[[#This Row],[Supporter_ID]],tb1_supporters[Supporter_ID ],tb1_supporters[Gender],"")</f>
        <v>Female</v>
      </c>
      <c r="N688" t="str">
        <f ca="1">_xlfn.XLOOKUP(Table8[[#This Row],[Supporter_ID]],tb1_supporters[Supporter_ID ],tb1_supporters[Age],"")</f>
        <v/>
      </c>
      <c r="O688" t="str">
        <f ca="1">_xlfn.XLOOKUP(Table8[[#This Row],[Supporter_ID]],tb1_supporters[Supporter_ID ],tb1_supporters[Age_Band],"")</f>
        <v/>
      </c>
      <c r="P688" t="str">
        <f ca="1">IF(Table8[[#This Row],[Age_Band]]="","Unknown",Table8[[#This Row],[Age_Band]])</f>
        <v>Unknown</v>
      </c>
      <c r="Q688" t="str">
        <f>_xlfn.XLOOKUP(Table8[[#This Row],[Supporter_ID]],tb1_supporters[Supporter_ID ],tb1_supporters[Communication_Preference],"")</f>
        <v>Email</v>
      </c>
      <c r="R688" t="str">
        <f>_xlfn.XLOOKUP(Table8[[#This Row],[Supporter_ID]],tb1_supporters[Supporter_ID ],tb1_supporters[Duplicate_Profile_Flag],"")</f>
        <v/>
      </c>
      <c r="S688" t="str">
        <f>_xlfn.XLOOKUP(Table8[[#This Row],[Supporter_ID]],tb1_supporters[Supporter_ID ],tb1_supporters[Preference_Compliance_Flag],"")</f>
        <v/>
      </c>
      <c r="T688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688" t="str">
        <f>_xlfn.XLOOKUP(Table8[[#This Row],[Campaign_Code]],tb3_CampaignMaster[Campaign_Code],tb3_CampaignMaster[Campaign_Type],"")</f>
        <v>Raffle</v>
      </c>
      <c r="V688" t="str">
        <f>_xlfn.XLOOKUP(Table8[[#This Row],[Campaign_Code]],tb3_CampaignMaster[Campaign_Code],tb3_CampaignMaster[Target_Audience],"")</f>
        <v>Regular Givers</v>
      </c>
      <c r="W688" s="17">
        <f>_xlfn.XLOOKUP(Table8[[#This Row],[Campaign_Code]],tb3_CampaignMaster[Campaign_Code],tb3_CampaignMaster[Start_Date],"")</f>
        <v>45717</v>
      </c>
      <c r="X688" s="17">
        <f>_xlfn.XLOOKUP(Table8[[#This Row],[Campaign_Code]],tb3_CampaignMaster[Campaign_Code],tb3_CampaignMaster[End_Date],"")</f>
        <v>45777</v>
      </c>
      <c r="Y688">
        <f>_xlfn.XLOOKUP(Table8[[#This Row],[Campaign_Code]],tb3_CampaignMaster[Campaign_Code],tb3_CampaignMaster[Budget_GBP],"")</f>
        <v>8000</v>
      </c>
      <c r="Z688" t="str">
        <f>_xlfn.XLOOKUP(Table8[[#This Row],[Campaign_Code]],tb3_CampaignMaster[Campaign_Code],tb3_CampaignMaster[Primary_Channel],"")</f>
        <v>Direct Mail</v>
      </c>
      <c r="AA688" s="13">
        <f>IF(Table8[[#This Row],[Gift_Aid_Eligible]]="Yes",Table8[[#This Row],[Gift_Amount]]*1.25,Table8[[#This Row],[Gift_Amount]])</f>
        <v>38.050000000000004</v>
      </c>
      <c r="AB688" t="str">
        <f>IF(Table8[[#This Row],[Supporter_ID]]="","Review - missing supporter ID","")</f>
        <v/>
      </c>
      <c r="AC688" t="str">
        <f>IF(OR(Table8[[#This Row],[Response_Date]]&lt;Table8[[#This Row],[Start_Date]],Table8[[#This Row],[Response_Date]]&gt;Table8[[#This Row],[End_Date]]),"Review - response outside campaign dates","")</f>
        <v/>
      </c>
      <c r="AD688" t="str">
        <f>IF(Table8[[#This Row],[Campaign_Type]]="","Review - campaign code not found","")</f>
        <v/>
      </c>
    </row>
    <row r="689" spans="1:30" x14ac:dyDescent="0.25">
      <c r="A689" t="s">
        <v>4494</v>
      </c>
      <c r="B689" t="s">
        <v>2332</v>
      </c>
      <c r="C689" t="s">
        <v>3367</v>
      </c>
      <c r="D689" t="s">
        <v>3368</v>
      </c>
      <c r="E689" t="s">
        <v>4</v>
      </c>
      <c r="F689" s="17">
        <v>45768</v>
      </c>
      <c r="G689">
        <v>269.07</v>
      </c>
      <c r="H689" t="s">
        <v>36</v>
      </c>
      <c r="I689" t="s">
        <v>3331</v>
      </c>
      <c r="J689" t="str">
        <f>_xlfn.XLOOKUP(Table8[[#This Row],[Supporter_ID]],tb1_supporters[Supporter_ID ],tb1_supporters[Segment],"")</f>
        <v>Legacy Pledger</v>
      </c>
      <c r="K689" t="str">
        <f>_xlfn.XLOOKUP(Table8[[#This Row],[Supporter_ID]],tb1_supporters[Supporter_ID ],tb1_supporters[Acquisition_Source],"")</f>
        <v>Telephone</v>
      </c>
      <c r="L689" t="str">
        <f>_xlfn.XLOOKUP(Table8[[#This Row],[Supporter_ID]],tb1_supporters[Supporter_ID ],tb1_supporters[County],"")</f>
        <v>Strathclyde</v>
      </c>
      <c r="M689" t="str">
        <f>_xlfn.XLOOKUP(Table8[[#This Row],[Supporter_ID]],tb1_supporters[Supporter_ID ],tb1_supporters[Gender],"")</f>
        <v>Male</v>
      </c>
      <c r="N689">
        <f ca="1">_xlfn.XLOOKUP(Table8[[#This Row],[Supporter_ID]],tb1_supporters[Supporter_ID ],tb1_supporters[Age],"")</f>
        <v>37</v>
      </c>
      <c r="O689" t="str">
        <f ca="1">_xlfn.XLOOKUP(Table8[[#This Row],[Supporter_ID]],tb1_supporters[Supporter_ID ],tb1_supporters[Age_Band],"")</f>
        <v>35-49</v>
      </c>
      <c r="P689" t="str">
        <f ca="1">IF(Table8[[#This Row],[Age_Band]]="","Unknown",Table8[[#This Row],[Age_Band]])</f>
        <v>35-49</v>
      </c>
      <c r="Q689" t="str">
        <f>_xlfn.XLOOKUP(Table8[[#This Row],[Supporter_ID]],tb1_supporters[Supporter_ID ],tb1_supporters[Communication_Preference],"")</f>
        <v>Email</v>
      </c>
      <c r="R689" t="str">
        <f>_xlfn.XLOOKUP(Table8[[#This Row],[Supporter_ID]],tb1_supporters[Supporter_ID ],tb1_supporters[Duplicate_Profile_Flag],"")</f>
        <v/>
      </c>
      <c r="S689" t="str">
        <f>_xlfn.XLOOKUP(Table8[[#This Row],[Supporter_ID]],tb1_supporters[Supporter_ID ],tb1_supporters[Preference_Compliance_Flag],"")</f>
        <v>Review - prefers email but not opted in</v>
      </c>
      <c r="T689" t="str">
        <f ca="1">IF(Table8[[#This Row],[Age]]="","Review - missing DOB",IF(Table8[[#This Row],[Age]]&gt;TODAY(),"Review - future DOB",IF(Table8[[#This Row],[Age]]=0,"Review -  potential entry error (age 0)","")))</f>
        <v/>
      </c>
      <c r="U689" t="str">
        <f>_xlfn.XLOOKUP(Table8[[#This Row],[Campaign_Code]],tb3_CampaignMaster[Campaign_Code],tb3_CampaignMaster[Campaign_Type],"")</f>
        <v>Raffle</v>
      </c>
      <c r="V689" t="str">
        <f>_xlfn.XLOOKUP(Table8[[#This Row],[Campaign_Code]],tb3_CampaignMaster[Campaign_Code],tb3_CampaignMaster[Target_Audience],"")</f>
        <v>Regular Givers</v>
      </c>
      <c r="W689" s="17">
        <f>_xlfn.XLOOKUP(Table8[[#This Row],[Campaign_Code]],tb3_CampaignMaster[Campaign_Code],tb3_CampaignMaster[Start_Date],"")</f>
        <v>45717</v>
      </c>
      <c r="X689" s="17">
        <f>_xlfn.XLOOKUP(Table8[[#This Row],[Campaign_Code]],tb3_CampaignMaster[Campaign_Code],tb3_CampaignMaster[End_Date],"")</f>
        <v>45777</v>
      </c>
      <c r="Y689">
        <f>_xlfn.XLOOKUP(Table8[[#This Row],[Campaign_Code]],tb3_CampaignMaster[Campaign_Code],tb3_CampaignMaster[Budget_GBP],"")</f>
        <v>8000</v>
      </c>
      <c r="Z689" t="str">
        <f>_xlfn.XLOOKUP(Table8[[#This Row],[Campaign_Code]],tb3_CampaignMaster[Campaign_Code],tb3_CampaignMaster[Primary_Channel],"")</f>
        <v>Direct Mail</v>
      </c>
      <c r="AA689" s="13">
        <f>IF(Table8[[#This Row],[Gift_Aid_Eligible]]="Yes",Table8[[#This Row],[Gift_Amount]]*1.25,Table8[[#This Row],[Gift_Amount]])</f>
        <v>336.33749999999998</v>
      </c>
      <c r="AB689" t="str">
        <f>IF(Table8[[#This Row],[Supporter_ID]]="","Review - missing supporter ID","")</f>
        <v/>
      </c>
      <c r="AC689" t="str">
        <f>IF(OR(Table8[[#This Row],[Response_Date]]&lt;Table8[[#This Row],[Start_Date]],Table8[[#This Row],[Response_Date]]&gt;Table8[[#This Row],[End_Date]]),"Review - response outside campaign dates","")</f>
        <v/>
      </c>
      <c r="AD689" t="str">
        <f>IF(Table8[[#This Row],[Campaign_Type]]="","Review - campaign code not found","")</f>
        <v/>
      </c>
    </row>
    <row r="690" spans="1:30" x14ac:dyDescent="0.25">
      <c r="A690" t="s">
        <v>4496</v>
      </c>
      <c r="B690" t="s">
        <v>1767</v>
      </c>
      <c r="C690" t="s">
        <v>3320</v>
      </c>
      <c r="D690" t="s">
        <v>3321</v>
      </c>
      <c r="E690" t="s">
        <v>65</v>
      </c>
      <c r="F690" s="17">
        <v>45457</v>
      </c>
      <c r="G690">
        <v>191.02</v>
      </c>
      <c r="H690" t="s">
        <v>37</v>
      </c>
      <c r="I690" t="s">
        <v>3365</v>
      </c>
      <c r="J690" t="str">
        <f>_xlfn.XLOOKUP(Table8[[#This Row],[Supporter_ID]],tb1_supporters[Supporter_ID ],tb1_supporters[Segment],"")</f>
        <v>Mid-Value</v>
      </c>
      <c r="K690" t="str">
        <f>_xlfn.XLOOKUP(Table8[[#This Row],[Supporter_ID]],tb1_supporters[Supporter_ID ],tb1_supporters[Acquisition_Source],"")</f>
        <v>Referral</v>
      </c>
      <c r="L690" t="str">
        <f>_xlfn.XLOOKUP(Table8[[#This Row],[Supporter_ID]],tb1_supporters[Supporter_ID ],tb1_supporters[County],"")</f>
        <v>Suffolk</v>
      </c>
      <c r="M690" t="str">
        <f>_xlfn.XLOOKUP(Table8[[#This Row],[Supporter_ID]],tb1_supporters[Supporter_ID ],tb1_supporters[Gender],"")</f>
        <v>Female</v>
      </c>
      <c r="N690">
        <f ca="1">_xlfn.XLOOKUP(Table8[[#This Row],[Supporter_ID]],tb1_supporters[Supporter_ID ],tb1_supporters[Age],"")</f>
        <v>45</v>
      </c>
      <c r="O690" t="str">
        <f ca="1">_xlfn.XLOOKUP(Table8[[#This Row],[Supporter_ID]],tb1_supporters[Supporter_ID ],tb1_supporters[Age_Band],"")</f>
        <v>35-49</v>
      </c>
      <c r="P690" t="str">
        <f ca="1">IF(Table8[[#This Row],[Age_Band]]="","Unknown",Table8[[#This Row],[Age_Band]])</f>
        <v>35-49</v>
      </c>
      <c r="Q690" t="str">
        <f>_xlfn.XLOOKUP(Table8[[#This Row],[Supporter_ID]],tb1_supporters[Supporter_ID ],tb1_supporters[Communication_Preference],"")</f>
        <v>Post</v>
      </c>
      <c r="R690" t="str">
        <f>_xlfn.XLOOKUP(Table8[[#This Row],[Supporter_ID]],tb1_supporters[Supporter_ID ],tb1_supporters[Duplicate_Profile_Flag],"")</f>
        <v/>
      </c>
      <c r="S690" t="str">
        <f>_xlfn.XLOOKUP(Table8[[#This Row],[Supporter_ID]],tb1_supporters[Supporter_ID ],tb1_supporters[Preference_Compliance_Flag],"")</f>
        <v/>
      </c>
      <c r="T690" t="str">
        <f ca="1">IF(Table8[[#This Row],[Age]]="","Review - missing DOB",IF(Table8[[#This Row],[Age]]&gt;TODAY(),"Review - future DOB",IF(Table8[[#This Row],[Age]]=0,"Review -  potential entry error (age 0)","")))</f>
        <v/>
      </c>
      <c r="U690" t="str">
        <f>_xlfn.XLOOKUP(Table8[[#This Row],[Campaign_Code]],tb3_CampaignMaster[Campaign_Code],tb3_CampaignMaster[Campaign_Type],"")</f>
        <v>Stewardship</v>
      </c>
      <c r="V690" t="str">
        <f>_xlfn.XLOOKUP(Table8[[#This Row],[Campaign_Code]],tb3_CampaignMaster[Campaign_Code],tb3_CampaignMaster[Target_Audience],"")</f>
        <v>Major Donors</v>
      </c>
      <c r="W690" s="17">
        <f>_xlfn.XLOOKUP(Table8[[#This Row],[Campaign_Code]],tb3_CampaignMaster[Campaign_Code],tb3_CampaignMaster[Start_Date],"")</f>
        <v>45444</v>
      </c>
      <c r="X690" s="17">
        <f>_xlfn.XLOOKUP(Table8[[#This Row],[Campaign_Code]],tb3_CampaignMaster[Campaign_Code],tb3_CampaignMaster[End_Date],"")</f>
        <v>45473</v>
      </c>
      <c r="Y690">
        <f>_xlfn.XLOOKUP(Table8[[#This Row],[Campaign_Code]],tb3_CampaignMaster[Campaign_Code],tb3_CampaignMaster[Budget_GBP],"")</f>
        <v>7000</v>
      </c>
      <c r="Z690" t="str">
        <f>_xlfn.XLOOKUP(Table8[[#This Row],[Campaign_Code]],tb3_CampaignMaster[Campaign_Code],tb3_CampaignMaster[Primary_Channel],"")</f>
        <v>Direct Mail</v>
      </c>
      <c r="AA690" s="13">
        <f>IF(Table8[[#This Row],[Gift_Aid_Eligible]]="Yes",Table8[[#This Row],[Gift_Amount]]*1.25,Table8[[#This Row],[Gift_Amount]])</f>
        <v>191.02</v>
      </c>
      <c r="AB690" t="str">
        <f>IF(Table8[[#This Row],[Supporter_ID]]="","Review - missing supporter ID","")</f>
        <v/>
      </c>
      <c r="AC690" t="str">
        <f>IF(OR(Table8[[#This Row],[Response_Date]]&lt;Table8[[#This Row],[Start_Date]],Table8[[#This Row],[Response_Date]]&gt;Table8[[#This Row],[End_Date]]),"Review - response outside campaign dates","")</f>
        <v/>
      </c>
      <c r="AD690" t="str">
        <f>IF(Table8[[#This Row],[Campaign_Type]]="","Review - campaign code not found","")</f>
        <v/>
      </c>
    </row>
    <row r="691" spans="1:30" x14ac:dyDescent="0.25">
      <c r="A691" t="s">
        <v>4497</v>
      </c>
      <c r="B691" t="s">
        <v>2240</v>
      </c>
      <c r="C691" t="s">
        <v>3403</v>
      </c>
      <c r="D691" t="s">
        <v>3404</v>
      </c>
      <c r="E691" t="s">
        <v>65</v>
      </c>
      <c r="F691" s="17">
        <v>45592</v>
      </c>
      <c r="G691">
        <v>264.8</v>
      </c>
      <c r="H691" t="s">
        <v>36</v>
      </c>
      <c r="I691" t="s">
        <v>3318</v>
      </c>
      <c r="J691" t="str">
        <f>_xlfn.XLOOKUP(Table8[[#This Row],[Supporter_ID]],tb1_supporters[Supporter_ID ],tb1_supporters[Segment],"")</f>
        <v>Legacy Pledger</v>
      </c>
      <c r="K691" t="str">
        <f>_xlfn.XLOOKUP(Table8[[#This Row],[Supporter_ID]],tb1_supporters[Supporter_ID ],tb1_supporters[Acquisition_Source],"")</f>
        <v>Website</v>
      </c>
      <c r="L691" t="str">
        <f>_xlfn.XLOOKUP(Table8[[#This Row],[Supporter_ID]],tb1_supporters[Supporter_ID ],tb1_supporters[County],"")</f>
        <v>Bedfordshire</v>
      </c>
      <c r="M691" t="str">
        <f>_xlfn.XLOOKUP(Table8[[#This Row],[Supporter_ID]],tb1_supporters[Supporter_ID ],tb1_supporters[Gender],"")</f>
        <v>Female</v>
      </c>
      <c r="N691">
        <f ca="1">_xlfn.XLOOKUP(Table8[[#This Row],[Supporter_ID]],tb1_supporters[Supporter_ID ],tb1_supporters[Age],"")</f>
        <v>71</v>
      </c>
      <c r="O691" t="str">
        <f ca="1">_xlfn.XLOOKUP(Table8[[#This Row],[Supporter_ID]],tb1_supporters[Supporter_ID ],tb1_supporters[Age_Band],"")</f>
        <v>65+</v>
      </c>
      <c r="P691" t="str">
        <f ca="1">IF(Table8[[#This Row],[Age_Band]]="","Unknown",Table8[[#This Row],[Age_Band]])</f>
        <v>65+</v>
      </c>
      <c r="Q691" t="str">
        <f>_xlfn.XLOOKUP(Table8[[#This Row],[Supporter_ID]],tb1_supporters[Supporter_ID ],tb1_supporters[Communication_Preference],"")</f>
        <v>Email</v>
      </c>
      <c r="R691" t="str">
        <f>_xlfn.XLOOKUP(Table8[[#This Row],[Supporter_ID]],tb1_supporters[Supporter_ID ],tb1_supporters[Duplicate_Profile_Flag],"")</f>
        <v/>
      </c>
      <c r="S691" t="str">
        <f>_xlfn.XLOOKUP(Table8[[#This Row],[Supporter_ID]],tb1_supporters[Supporter_ID ],tb1_supporters[Preference_Compliance_Flag],"")</f>
        <v/>
      </c>
      <c r="T691" t="str">
        <f ca="1">IF(Table8[[#This Row],[Age]]="","Review - missing DOB",IF(Table8[[#This Row],[Age]]&gt;TODAY(),"Review - future DOB",IF(Table8[[#This Row],[Age]]=0,"Review -  potential entry error (age 0)","")))</f>
        <v/>
      </c>
      <c r="U691" t="str">
        <f>_xlfn.XLOOKUP(Table8[[#This Row],[Campaign_Code]],tb3_CampaignMaster[Campaign_Code],tb3_CampaignMaster[Campaign_Type],"")</f>
        <v>Trading</v>
      </c>
      <c r="V691" t="str">
        <f>_xlfn.XLOOKUP(Table8[[#This Row],[Campaign_Code]],tb3_CampaignMaster[Campaign_Code],tb3_CampaignMaster[Target_Audience],"")</f>
        <v>All Active</v>
      </c>
      <c r="W691" s="17">
        <f>_xlfn.XLOOKUP(Table8[[#This Row],[Campaign_Code]],tb3_CampaignMaster[Campaign_Code],tb3_CampaignMaster[Start_Date],"")</f>
        <v>45580</v>
      </c>
      <c r="X691" s="17">
        <f>_xlfn.XLOOKUP(Table8[[#This Row],[Campaign_Code]],tb3_CampaignMaster[Campaign_Code],tb3_CampaignMaster[End_Date],"")</f>
        <v>45646</v>
      </c>
      <c r="Y691">
        <f>_xlfn.XLOOKUP(Table8[[#This Row],[Campaign_Code]],tb3_CampaignMaster[Campaign_Code],tb3_CampaignMaster[Budget_GBP],"")</f>
        <v>12000</v>
      </c>
      <c r="Z691" t="str">
        <f>_xlfn.XLOOKUP(Table8[[#This Row],[Campaign_Code]],tb3_CampaignMaster[Campaign_Code],tb3_CampaignMaster[Primary_Channel],"")</f>
        <v>Multi-channel</v>
      </c>
      <c r="AA691" s="13">
        <f>IF(Table8[[#This Row],[Gift_Aid_Eligible]]="Yes",Table8[[#This Row],[Gift_Amount]]*1.25,Table8[[#This Row],[Gift_Amount]])</f>
        <v>331</v>
      </c>
      <c r="AB691" t="str">
        <f>IF(Table8[[#This Row],[Supporter_ID]]="","Review - missing supporter ID","")</f>
        <v/>
      </c>
      <c r="AC691" t="str">
        <f>IF(OR(Table8[[#This Row],[Response_Date]]&lt;Table8[[#This Row],[Start_Date]],Table8[[#This Row],[Response_Date]]&gt;Table8[[#This Row],[End_Date]]),"Review - response outside campaign dates","")</f>
        <v/>
      </c>
      <c r="AD691" t="str">
        <f>IF(Table8[[#This Row],[Campaign_Type]]="","Review - campaign code not found","")</f>
        <v/>
      </c>
    </row>
    <row r="692" spans="1:30" x14ac:dyDescent="0.25">
      <c r="A692" t="s">
        <v>4498</v>
      </c>
      <c r="B692" t="s">
        <v>169</v>
      </c>
      <c r="C692" t="s">
        <v>3314</v>
      </c>
      <c r="D692" t="s">
        <v>3315</v>
      </c>
      <c r="E692" t="s">
        <v>33</v>
      </c>
      <c r="F692" s="17">
        <v>45684</v>
      </c>
      <c r="G692">
        <v>19.63</v>
      </c>
      <c r="H692" t="s">
        <v>36</v>
      </c>
      <c r="I692" t="s">
        <v>3318</v>
      </c>
      <c r="J692" t="str">
        <f>_xlfn.XLOOKUP(Table8[[#This Row],[Supporter_ID]],tb1_supporters[Supporter_ID ],tb1_supporters[Segment],"")</f>
        <v>Regular Giver</v>
      </c>
      <c r="K692" t="str">
        <f>_xlfn.XLOOKUP(Table8[[#This Row],[Supporter_ID]],tb1_supporters[Supporter_ID ],tb1_supporters[Acquisition_Source],"")</f>
        <v>Website</v>
      </c>
      <c r="L692" t="str">
        <f>_xlfn.XLOOKUP(Table8[[#This Row],[Supporter_ID]],tb1_supporters[Supporter_ID ],tb1_supporters[County],"")</f>
        <v>Greater London</v>
      </c>
      <c r="M692" t="str">
        <f>_xlfn.XLOOKUP(Table8[[#This Row],[Supporter_ID]],tb1_supporters[Supporter_ID ],tb1_supporters[Gender],"")</f>
        <v>Female</v>
      </c>
      <c r="N692">
        <f ca="1">_xlfn.XLOOKUP(Table8[[#This Row],[Supporter_ID]],tb1_supporters[Supporter_ID ],tb1_supporters[Age],"")</f>
        <v>28</v>
      </c>
      <c r="O692" t="str">
        <f ca="1">_xlfn.XLOOKUP(Table8[[#This Row],[Supporter_ID]],tb1_supporters[Supporter_ID ],tb1_supporters[Age_Band],"")</f>
        <v>18-34</v>
      </c>
      <c r="P692" t="str">
        <f ca="1">IF(Table8[[#This Row],[Age_Band]]="","Unknown",Table8[[#This Row],[Age_Band]])</f>
        <v>18-34</v>
      </c>
      <c r="Q692" t="str">
        <f>_xlfn.XLOOKUP(Table8[[#This Row],[Supporter_ID]],tb1_supporters[Supporter_ID ],tb1_supporters[Communication_Preference],"")</f>
        <v>Phone</v>
      </c>
      <c r="R692" t="str">
        <f>_xlfn.XLOOKUP(Table8[[#This Row],[Supporter_ID]],tb1_supporters[Supporter_ID ],tb1_supporters[Duplicate_Profile_Flag],"")</f>
        <v/>
      </c>
      <c r="S692" t="str">
        <f>_xlfn.XLOOKUP(Table8[[#This Row],[Supporter_ID]],tb1_supporters[Supporter_ID ],tb1_supporters[Preference_Compliance_Flag],"")</f>
        <v/>
      </c>
      <c r="T692" t="str">
        <f ca="1">IF(Table8[[#This Row],[Age]]="","Review - missing DOB",IF(Table8[[#This Row],[Age]]&gt;TODAY(),"Review - future DOB",IF(Table8[[#This Row],[Age]]=0,"Review -  potential entry error (age 0)","")))</f>
        <v/>
      </c>
      <c r="U692" t="str">
        <f>_xlfn.XLOOKUP(Table8[[#This Row],[Campaign_Code]],tb3_CampaignMaster[Campaign_Code],tb3_CampaignMaster[Campaign_Type],"")</f>
        <v>Regular Giving</v>
      </c>
      <c r="V692" t="str">
        <f>_xlfn.XLOOKUP(Table8[[#This Row],[Campaign_Code]],tb3_CampaignMaster[Campaign_Code],tb3_CampaignMaster[Target_Audience],"")</f>
        <v>One-time Donors</v>
      </c>
      <c r="W692" s="17">
        <f>_xlfn.XLOOKUP(Table8[[#This Row],[Campaign_Code]],tb3_CampaignMaster[Campaign_Code],tb3_CampaignMaster[Start_Date],"")</f>
        <v>45663</v>
      </c>
      <c r="X692" s="17">
        <f>_xlfn.XLOOKUP(Table8[[#This Row],[Campaign_Code]],tb3_CampaignMaster[Campaign_Code],tb3_CampaignMaster[End_Date],"")</f>
        <v>45747</v>
      </c>
      <c r="Y692">
        <f>_xlfn.XLOOKUP(Table8[[#This Row],[Campaign_Code]],tb3_CampaignMaster[Campaign_Code],tb3_CampaignMaster[Budget_GBP],"")</f>
        <v>10000</v>
      </c>
      <c r="Z692" t="str">
        <f>_xlfn.XLOOKUP(Table8[[#This Row],[Campaign_Code]],tb3_CampaignMaster[Campaign_Code],tb3_CampaignMaster[Primary_Channel],"")</f>
        <v>Telephone</v>
      </c>
      <c r="AA692" s="13">
        <f>IF(Table8[[#This Row],[Gift_Aid_Eligible]]="Yes",Table8[[#This Row],[Gift_Amount]]*1.25,Table8[[#This Row],[Gift_Amount]])</f>
        <v>24.537499999999998</v>
      </c>
      <c r="AB692" t="str">
        <f>IF(Table8[[#This Row],[Supporter_ID]]="","Review - missing supporter ID","")</f>
        <v/>
      </c>
      <c r="AC692" t="str">
        <f>IF(OR(Table8[[#This Row],[Response_Date]]&lt;Table8[[#This Row],[Start_Date]],Table8[[#This Row],[Response_Date]]&gt;Table8[[#This Row],[End_Date]]),"Review - response outside campaign dates","")</f>
        <v/>
      </c>
      <c r="AD692" t="str">
        <f>IF(Table8[[#This Row],[Campaign_Type]]="","Review - campaign code not found","")</f>
        <v/>
      </c>
    </row>
    <row r="693" spans="1:30" x14ac:dyDescent="0.25">
      <c r="A693" t="s">
        <v>4500</v>
      </c>
      <c r="B693" t="s">
        <v>1280</v>
      </c>
      <c r="C693" t="s">
        <v>3314</v>
      </c>
      <c r="D693" t="s">
        <v>3315</v>
      </c>
      <c r="E693" t="s">
        <v>33</v>
      </c>
      <c r="F693" s="17">
        <v>45685</v>
      </c>
      <c r="G693">
        <v>36.03</v>
      </c>
      <c r="H693" t="s">
        <v>37</v>
      </c>
      <c r="I693" t="s">
        <v>3365</v>
      </c>
      <c r="J693" t="str">
        <f>_xlfn.XLOOKUP(Table8[[#This Row],[Supporter_ID]],tb1_supporters[Supporter_ID ],tb1_supporters[Segment],"")</f>
        <v>Regular Giver</v>
      </c>
      <c r="K693" t="str">
        <f>_xlfn.XLOOKUP(Table8[[#This Row],[Supporter_ID]],tb1_supporters[Supporter_ID ],tb1_supporters[Acquisition_Source],"")</f>
        <v>Social Media</v>
      </c>
      <c r="L693" t="str">
        <f>_xlfn.XLOOKUP(Table8[[#This Row],[Supporter_ID]],tb1_supporters[Supporter_ID ],tb1_supporters[County],"")</f>
        <v>Bedfordshire</v>
      </c>
      <c r="M693" t="str">
        <f>_xlfn.XLOOKUP(Table8[[#This Row],[Supporter_ID]],tb1_supporters[Supporter_ID ],tb1_supporters[Gender],"")</f>
        <v>Male</v>
      </c>
      <c r="N693">
        <f ca="1">_xlfn.XLOOKUP(Table8[[#This Row],[Supporter_ID]],tb1_supporters[Supporter_ID ],tb1_supporters[Age],"")</f>
        <v>71</v>
      </c>
      <c r="O693" t="str">
        <f ca="1">_xlfn.XLOOKUP(Table8[[#This Row],[Supporter_ID]],tb1_supporters[Supporter_ID ],tb1_supporters[Age_Band],"")</f>
        <v>65+</v>
      </c>
      <c r="P693" t="str">
        <f ca="1">IF(Table8[[#This Row],[Age_Band]]="","Unknown",Table8[[#This Row],[Age_Band]])</f>
        <v>65+</v>
      </c>
      <c r="Q693" t="str">
        <f>_xlfn.XLOOKUP(Table8[[#This Row],[Supporter_ID]],tb1_supporters[Supporter_ID ],tb1_supporters[Communication_Preference],"")</f>
        <v>Email</v>
      </c>
      <c r="R693" t="str">
        <f>_xlfn.XLOOKUP(Table8[[#This Row],[Supporter_ID]],tb1_supporters[Supporter_ID ],tb1_supporters[Duplicate_Profile_Flag],"")</f>
        <v/>
      </c>
      <c r="S693" t="str">
        <f>_xlfn.XLOOKUP(Table8[[#This Row],[Supporter_ID]],tb1_supporters[Supporter_ID ],tb1_supporters[Preference_Compliance_Flag],"")</f>
        <v/>
      </c>
      <c r="T693" t="str">
        <f ca="1">IF(Table8[[#This Row],[Age]]="","Review - missing DOB",IF(Table8[[#This Row],[Age]]&gt;TODAY(),"Review - future DOB",IF(Table8[[#This Row],[Age]]=0,"Review -  potential entry error (age 0)","")))</f>
        <v/>
      </c>
      <c r="U693" t="str">
        <f>_xlfn.XLOOKUP(Table8[[#This Row],[Campaign_Code]],tb3_CampaignMaster[Campaign_Code],tb3_CampaignMaster[Campaign_Type],"")</f>
        <v>Regular Giving</v>
      </c>
      <c r="V693" t="str">
        <f>_xlfn.XLOOKUP(Table8[[#This Row],[Campaign_Code]],tb3_CampaignMaster[Campaign_Code],tb3_CampaignMaster[Target_Audience],"")</f>
        <v>One-time Donors</v>
      </c>
      <c r="W693" s="17">
        <f>_xlfn.XLOOKUP(Table8[[#This Row],[Campaign_Code]],tb3_CampaignMaster[Campaign_Code],tb3_CampaignMaster[Start_Date],"")</f>
        <v>45663</v>
      </c>
      <c r="X693" s="17">
        <f>_xlfn.XLOOKUP(Table8[[#This Row],[Campaign_Code]],tb3_CampaignMaster[Campaign_Code],tb3_CampaignMaster[End_Date],"")</f>
        <v>45747</v>
      </c>
      <c r="Y693">
        <f>_xlfn.XLOOKUP(Table8[[#This Row],[Campaign_Code]],tb3_CampaignMaster[Campaign_Code],tb3_CampaignMaster[Budget_GBP],"")</f>
        <v>10000</v>
      </c>
      <c r="Z693" t="str">
        <f>_xlfn.XLOOKUP(Table8[[#This Row],[Campaign_Code]],tb3_CampaignMaster[Campaign_Code],tb3_CampaignMaster[Primary_Channel],"")</f>
        <v>Telephone</v>
      </c>
      <c r="AA693" s="13">
        <f>IF(Table8[[#This Row],[Gift_Aid_Eligible]]="Yes",Table8[[#This Row],[Gift_Amount]]*1.25,Table8[[#This Row],[Gift_Amount]])</f>
        <v>36.03</v>
      </c>
      <c r="AB693" t="str">
        <f>IF(Table8[[#This Row],[Supporter_ID]]="","Review - missing supporter ID","")</f>
        <v/>
      </c>
      <c r="AC693" t="str">
        <f>IF(OR(Table8[[#This Row],[Response_Date]]&lt;Table8[[#This Row],[Start_Date]],Table8[[#This Row],[Response_Date]]&gt;Table8[[#This Row],[End_Date]]),"Review - response outside campaign dates","")</f>
        <v/>
      </c>
      <c r="AD693" t="str">
        <f>IF(Table8[[#This Row],[Campaign_Type]]="","Review - campaign code not found","")</f>
        <v/>
      </c>
    </row>
    <row r="694" spans="1:30" x14ac:dyDescent="0.25">
      <c r="A694" t="s">
        <v>4502</v>
      </c>
      <c r="B694" t="s">
        <v>3165</v>
      </c>
      <c r="C694" t="s">
        <v>3325</v>
      </c>
      <c r="D694" t="s">
        <v>3326</v>
      </c>
      <c r="E694" t="s">
        <v>3338</v>
      </c>
      <c r="F694" s="17">
        <v>45607</v>
      </c>
      <c r="G694">
        <v>129.36000000000001</v>
      </c>
      <c r="H694" t="s">
        <v>36</v>
      </c>
      <c r="I694" t="s">
        <v>3370</v>
      </c>
      <c r="J694" t="str">
        <f>_xlfn.XLOOKUP(Table8[[#This Row],[Supporter_ID]],tb1_supporters[Supporter_ID ],tb1_supporters[Segment],"")</f>
        <v>One-Time Donor</v>
      </c>
      <c r="K694" t="str">
        <f>_xlfn.XLOOKUP(Table8[[#This Row],[Supporter_ID]],tb1_supporters[Supporter_ID ],tb1_supporters[Acquisition_Source],"")</f>
        <v>Door-To-Door</v>
      </c>
      <c r="L694" t="str">
        <f>_xlfn.XLOOKUP(Table8[[#This Row],[Supporter_ID]],tb1_supporters[Supporter_ID ],tb1_supporters[County],"")</f>
        <v>Antrim</v>
      </c>
      <c r="M694" t="str">
        <f>_xlfn.XLOOKUP(Table8[[#This Row],[Supporter_ID]],tb1_supporters[Supporter_ID ],tb1_supporters[Gender],"")</f>
        <v>Male</v>
      </c>
      <c r="N694">
        <f ca="1">_xlfn.XLOOKUP(Table8[[#This Row],[Supporter_ID]],tb1_supporters[Supporter_ID ],tb1_supporters[Age],"")</f>
        <v>33</v>
      </c>
      <c r="O694" t="str">
        <f ca="1">_xlfn.XLOOKUP(Table8[[#This Row],[Supporter_ID]],tb1_supporters[Supporter_ID ],tb1_supporters[Age_Band],"")</f>
        <v>18-34</v>
      </c>
      <c r="P694" t="str">
        <f ca="1">IF(Table8[[#This Row],[Age_Band]]="","Unknown",Table8[[#This Row],[Age_Band]])</f>
        <v>18-34</v>
      </c>
      <c r="Q694" t="str">
        <f>_xlfn.XLOOKUP(Table8[[#This Row],[Supporter_ID]],tb1_supporters[Supporter_ID ],tb1_supporters[Communication_Preference],"")</f>
        <v>Phone</v>
      </c>
      <c r="R694" t="str">
        <f>_xlfn.XLOOKUP(Table8[[#This Row],[Supporter_ID]],tb1_supporters[Supporter_ID ],tb1_supporters[Duplicate_Profile_Flag],"")</f>
        <v/>
      </c>
      <c r="S694" t="str">
        <f>_xlfn.XLOOKUP(Table8[[#This Row],[Supporter_ID]],tb1_supporters[Supporter_ID ],tb1_supporters[Preference_Compliance_Flag],"")</f>
        <v/>
      </c>
      <c r="T694" t="str">
        <f ca="1">IF(Table8[[#This Row],[Age]]="","Review - missing DOB",IF(Table8[[#This Row],[Age]]&gt;TODAY(),"Review - future DOB",IF(Table8[[#This Row],[Age]]=0,"Review -  potential entry error (age 0)","")))</f>
        <v/>
      </c>
      <c r="U694" t="str">
        <f>_xlfn.XLOOKUP(Table8[[#This Row],[Campaign_Code]],tb3_CampaignMaster[Campaign_Code],tb3_CampaignMaster[Campaign_Type],"")</f>
        <v>Appeal</v>
      </c>
      <c r="V694" t="str">
        <f>_xlfn.XLOOKUP(Table8[[#This Row],[Campaign_Code]],tb3_CampaignMaster[Campaign_Code],tb3_CampaignMaster[Target_Audience],"")</f>
        <v>All Active</v>
      </c>
      <c r="W694" s="17">
        <f>_xlfn.XLOOKUP(Table8[[#This Row],[Campaign_Code]],tb3_CampaignMaster[Campaign_Code],tb3_CampaignMaster[Start_Date],"")</f>
        <v>45597</v>
      </c>
      <c r="X694" s="17">
        <f>_xlfn.XLOOKUP(Table8[[#This Row],[Campaign_Code]],tb3_CampaignMaster[Campaign_Code],tb3_CampaignMaster[End_Date],"")</f>
        <v>45657</v>
      </c>
      <c r="Y694">
        <f>_xlfn.XLOOKUP(Table8[[#This Row],[Campaign_Code]],tb3_CampaignMaster[Campaign_Code],tb3_CampaignMaster[Budget_GBP],"")</f>
        <v>25000</v>
      </c>
      <c r="Z694" t="str">
        <f>_xlfn.XLOOKUP(Table8[[#This Row],[Campaign_Code]],tb3_CampaignMaster[Campaign_Code],tb3_CampaignMaster[Primary_Channel],"")</f>
        <v>Multi-channel</v>
      </c>
      <c r="AA694" s="13">
        <f>IF(Table8[[#This Row],[Gift_Aid_Eligible]]="Yes",Table8[[#This Row],[Gift_Amount]]*1.25,Table8[[#This Row],[Gift_Amount]])</f>
        <v>161.70000000000002</v>
      </c>
      <c r="AB694" t="str">
        <f>IF(Table8[[#This Row],[Supporter_ID]]="","Review - missing supporter ID","")</f>
        <v/>
      </c>
      <c r="AC694" t="str">
        <f>IF(OR(Table8[[#This Row],[Response_Date]]&lt;Table8[[#This Row],[Start_Date]],Table8[[#This Row],[Response_Date]]&gt;Table8[[#This Row],[End_Date]]),"Review - response outside campaign dates","")</f>
        <v/>
      </c>
      <c r="AD694" t="str">
        <f>IF(Table8[[#This Row],[Campaign_Type]]="","Review - campaign code not found","")</f>
        <v/>
      </c>
    </row>
    <row r="695" spans="1:30" x14ac:dyDescent="0.25">
      <c r="A695" t="s">
        <v>4504</v>
      </c>
      <c r="B695" t="s">
        <v>2544</v>
      </c>
      <c r="C695" t="s">
        <v>3341</v>
      </c>
      <c r="D695" t="s">
        <v>3342</v>
      </c>
      <c r="E695" t="s">
        <v>3316</v>
      </c>
      <c r="F695" s="17">
        <v>45769</v>
      </c>
      <c r="G695">
        <v>305.12</v>
      </c>
      <c r="H695" t="s">
        <v>36</v>
      </c>
      <c r="I695" t="s">
        <v>3370</v>
      </c>
      <c r="J695" t="str">
        <f>_xlfn.XLOOKUP(Table8[[#This Row],[Supporter_ID]],tb1_supporters[Supporter_ID ],tb1_supporters[Segment],"")</f>
        <v>Legacy Pledger</v>
      </c>
      <c r="K695" t="str">
        <f>_xlfn.XLOOKUP(Table8[[#This Row],[Supporter_ID]],tb1_supporters[Supporter_ID ],tb1_supporters[Acquisition_Source],"")</f>
        <v>Direct Mail</v>
      </c>
      <c r="L695" t="str">
        <f>_xlfn.XLOOKUP(Table8[[#This Row],[Supporter_ID]],tb1_supporters[Supporter_ID ],tb1_supporters[County],"")</f>
        <v>Lothian</v>
      </c>
      <c r="M695" t="str">
        <f>_xlfn.XLOOKUP(Table8[[#This Row],[Supporter_ID]],tb1_supporters[Supporter_ID ],tb1_supporters[Gender],"")</f>
        <v>Female</v>
      </c>
      <c r="N695">
        <f ca="1">_xlfn.XLOOKUP(Table8[[#This Row],[Supporter_ID]],tb1_supporters[Supporter_ID ],tb1_supporters[Age],"")</f>
        <v>69</v>
      </c>
      <c r="O695" t="str">
        <f ca="1">_xlfn.XLOOKUP(Table8[[#This Row],[Supporter_ID]],tb1_supporters[Supporter_ID ],tb1_supporters[Age_Band],"")</f>
        <v>65+</v>
      </c>
      <c r="P695" t="str">
        <f ca="1">IF(Table8[[#This Row],[Age_Band]]="","Unknown",Table8[[#This Row],[Age_Band]])</f>
        <v>65+</v>
      </c>
      <c r="Q695" t="str">
        <f>_xlfn.XLOOKUP(Table8[[#This Row],[Supporter_ID]],tb1_supporters[Supporter_ID ],tb1_supporters[Communication_Preference],"")</f>
        <v>Email</v>
      </c>
      <c r="R695" t="str">
        <f>_xlfn.XLOOKUP(Table8[[#This Row],[Supporter_ID]],tb1_supporters[Supporter_ID ],tb1_supporters[Duplicate_Profile_Flag],"")</f>
        <v/>
      </c>
      <c r="S695" t="str">
        <f>_xlfn.XLOOKUP(Table8[[#This Row],[Supporter_ID]],tb1_supporters[Supporter_ID ],tb1_supporters[Preference_Compliance_Flag],"")</f>
        <v/>
      </c>
      <c r="T695" t="str">
        <f ca="1">IF(Table8[[#This Row],[Age]]="","Review - missing DOB",IF(Table8[[#This Row],[Age]]&gt;TODAY(),"Review - future DOB",IF(Table8[[#This Row],[Age]]=0,"Review -  potential entry error (age 0)","")))</f>
        <v/>
      </c>
      <c r="U695" t="str">
        <f>_xlfn.XLOOKUP(Table8[[#This Row],[Campaign_Code]],tb3_CampaignMaster[Campaign_Code],tb3_CampaignMaster[Campaign_Type],"")</f>
        <v>Acquisition</v>
      </c>
      <c r="V695" t="str">
        <f>_xlfn.XLOOKUP(Table8[[#This Row],[Campaign_Code]],tb3_CampaignMaster[Campaign_Code],tb3_CampaignMaster[Target_Audience],"")</f>
        <v>Prospects</v>
      </c>
      <c r="W695" s="17">
        <f>_xlfn.XLOOKUP(Table8[[#This Row],[Campaign_Code]],tb3_CampaignMaster[Campaign_Code],tb3_CampaignMaster[Start_Date],"")</f>
        <v>45689</v>
      </c>
      <c r="X695" s="17">
        <f>_xlfn.XLOOKUP(Table8[[#This Row],[Campaign_Code]],tb3_CampaignMaster[Campaign_Code],tb3_CampaignMaster[End_Date],"")</f>
        <v>45777</v>
      </c>
      <c r="Y695">
        <f>_xlfn.XLOOKUP(Table8[[#This Row],[Campaign_Code]],tb3_CampaignMaster[Campaign_Code],tb3_CampaignMaster[Budget_GBP],"")</f>
        <v>20000</v>
      </c>
      <c r="Z695" t="str">
        <f>_xlfn.XLOOKUP(Table8[[#This Row],[Campaign_Code]],tb3_CampaignMaster[Campaign_Code],tb3_CampaignMaster[Primary_Channel],"")</f>
        <v>Digital</v>
      </c>
      <c r="AA695" s="13">
        <f>IF(Table8[[#This Row],[Gift_Aid_Eligible]]="Yes",Table8[[#This Row],[Gift_Amount]]*1.25,Table8[[#This Row],[Gift_Amount]])</f>
        <v>381.4</v>
      </c>
      <c r="AB695" t="str">
        <f>IF(Table8[[#This Row],[Supporter_ID]]="","Review - missing supporter ID","")</f>
        <v/>
      </c>
      <c r="AC695" t="str">
        <f>IF(OR(Table8[[#This Row],[Response_Date]]&lt;Table8[[#This Row],[Start_Date]],Table8[[#This Row],[Response_Date]]&gt;Table8[[#This Row],[End_Date]]),"Review - response outside campaign dates","")</f>
        <v/>
      </c>
      <c r="AD695" t="str">
        <f>IF(Table8[[#This Row],[Campaign_Type]]="","Review - campaign code not found","")</f>
        <v/>
      </c>
    </row>
    <row r="696" spans="1:30" x14ac:dyDescent="0.25">
      <c r="A696" t="s">
        <v>4506</v>
      </c>
      <c r="B696" t="s">
        <v>2263</v>
      </c>
      <c r="C696" t="s">
        <v>3320</v>
      </c>
      <c r="D696" t="s">
        <v>3321</v>
      </c>
      <c r="E696" t="s">
        <v>65</v>
      </c>
      <c r="F696" s="17">
        <v>45450</v>
      </c>
      <c r="G696">
        <v>28.01</v>
      </c>
      <c r="H696" t="s">
        <v>36</v>
      </c>
      <c r="I696" t="s">
        <v>3323</v>
      </c>
      <c r="J696" t="str">
        <f>_xlfn.XLOOKUP(Table8[[#This Row],[Supporter_ID]],tb1_supporters[Supporter_ID ],tb1_supporters[Segment],"")</f>
        <v>Lapsed</v>
      </c>
      <c r="K696" t="str">
        <f>_xlfn.XLOOKUP(Table8[[#This Row],[Supporter_ID]],tb1_supporters[Supporter_ID ],tb1_supporters[Acquisition_Source],"")</f>
        <v>Event</v>
      </c>
      <c r="L696" t="str">
        <f>_xlfn.XLOOKUP(Table8[[#This Row],[Supporter_ID]],tb1_supporters[Supporter_ID ],tb1_supporters[County],"")</f>
        <v>Tyne and Wear</v>
      </c>
      <c r="M696" t="str">
        <f>_xlfn.XLOOKUP(Table8[[#This Row],[Supporter_ID]],tb1_supporters[Supporter_ID ],tb1_supporters[Gender],"")</f>
        <v>Female</v>
      </c>
      <c r="N696">
        <f ca="1">_xlfn.XLOOKUP(Table8[[#This Row],[Supporter_ID]],tb1_supporters[Supporter_ID ],tb1_supporters[Age],"")</f>
        <v>34</v>
      </c>
      <c r="O696" t="str">
        <f ca="1">_xlfn.XLOOKUP(Table8[[#This Row],[Supporter_ID]],tb1_supporters[Supporter_ID ],tb1_supporters[Age_Band],"")</f>
        <v>18-34</v>
      </c>
      <c r="P696" t="str">
        <f ca="1">IF(Table8[[#This Row],[Age_Band]]="","Unknown",Table8[[#This Row],[Age_Band]])</f>
        <v>18-34</v>
      </c>
      <c r="Q696" t="str">
        <f>_xlfn.XLOOKUP(Table8[[#This Row],[Supporter_ID]],tb1_supporters[Supporter_ID ],tb1_supporters[Communication_Preference],"")</f>
        <v>Phone</v>
      </c>
      <c r="R696" t="str">
        <f>_xlfn.XLOOKUP(Table8[[#This Row],[Supporter_ID]],tb1_supporters[Supporter_ID ],tb1_supporters[Duplicate_Profile_Flag],"")</f>
        <v/>
      </c>
      <c r="S696" t="str">
        <f>_xlfn.XLOOKUP(Table8[[#This Row],[Supporter_ID]],tb1_supporters[Supporter_ID ],tb1_supporters[Preference_Compliance_Flag],"")</f>
        <v>Review - prefers phone but not opted in</v>
      </c>
      <c r="T696" t="str">
        <f ca="1">IF(Table8[[#This Row],[Age]]="","Review - missing DOB",IF(Table8[[#This Row],[Age]]&gt;TODAY(),"Review - future DOB",IF(Table8[[#This Row],[Age]]=0,"Review -  potential entry error (age 0)","")))</f>
        <v/>
      </c>
      <c r="U696" t="str">
        <f>_xlfn.XLOOKUP(Table8[[#This Row],[Campaign_Code]],tb3_CampaignMaster[Campaign_Code],tb3_CampaignMaster[Campaign_Type],"")</f>
        <v>Stewardship</v>
      </c>
      <c r="V696" t="str">
        <f>_xlfn.XLOOKUP(Table8[[#This Row],[Campaign_Code]],tb3_CampaignMaster[Campaign_Code],tb3_CampaignMaster[Target_Audience],"")</f>
        <v>Major Donors</v>
      </c>
      <c r="W696" s="17">
        <f>_xlfn.XLOOKUP(Table8[[#This Row],[Campaign_Code]],tb3_CampaignMaster[Campaign_Code],tb3_CampaignMaster[Start_Date],"")</f>
        <v>45444</v>
      </c>
      <c r="X696" s="17">
        <f>_xlfn.XLOOKUP(Table8[[#This Row],[Campaign_Code]],tb3_CampaignMaster[Campaign_Code],tb3_CampaignMaster[End_Date],"")</f>
        <v>45473</v>
      </c>
      <c r="Y696">
        <f>_xlfn.XLOOKUP(Table8[[#This Row],[Campaign_Code]],tb3_CampaignMaster[Campaign_Code],tb3_CampaignMaster[Budget_GBP],"")</f>
        <v>7000</v>
      </c>
      <c r="Z696" t="str">
        <f>_xlfn.XLOOKUP(Table8[[#This Row],[Campaign_Code]],tb3_CampaignMaster[Campaign_Code],tb3_CampaignMaster[Primary_Channel],"")</f>
        <v>Direct Mail</v>
      </c>
      <c r="AA696" s="13">
        <f>IF(Table8[[#This Row],[Gift_Aid_Eligible]]="Yes",Table8[[#This Row],[Gift_Amount]]*1.25,Table8[[#This Row],[Gift_Amount]])</f>
        <v>35.012500000000003</v>
      </c>
      <c r="AB696" t="str">
        <f>IF(Table8[[#This Row],[Supporter_ID]]="","Review - missing supporter ID","")</f>
        <v/>
      </c>
      <c r="AC696" t="str">
        <f>IF(OR(Table8[[#This Row],[Response_Date]]&lt;Table8[[#This Row],[Start_Date]],Table8[[#This Row],[Response_Date]]&gt;Table8[[#This Row],[End_Date]]),"Review - response outside campaign dates","")</f>
        <v/>
      </c>
      <c r="AD696" t="str">
        <f>IF(Table8[[#This Row],[Campaign_Type]]="","Review - campaign code not found","")</f>
        <v/>
      </c>
    </row>
    <row r="697" spans="1:30" x14ac:dyDescent="0.25">
      <c r="A697" t="s">
        <v>4507</v>
      </c>
      <c r="B697" t="s">
        <v>3106</v>
      </c>
      <c r="C697" t="s">
        <v>3341</v>
      </c>
      <c r="D697" t="s">
        <v>3342</v>
      </c>
      <c r="E697" t="s">
        <v>4</v>
      </c>
      <c r="F697" s="17">
        <v>45697</v>
      </c>
      <c r="G697">
        <v>116.55</v>
      </c>
      <c r="H697" t="s">
        <v>36</v>
      </c>
      <c r="I697" t="s">
        <v>3331</v>
      </c>
      <c r="J697" t="str">
        <f>_xlfn.XLOOKUP(Table8[[#This Row],[Supporter_ID]],tb1_supporters[Supporter_ID ],tb1_supporters[Segment],"")</f>
        <v>Legacy Pledger</v>
      </c>
      <c r="K697" t="str">
        <f>_xlfn.XLOOKUP(Table8[[#This Row],[Supporter_ID]],tb1_supporters[Supporter_ID ],tb1_supporters[Acquisition_Source],"")</f>
        <v>Referral</v>
      </c>
      <c r="L697" t="str">
        <f>_xlfn.XLOOKUP(Table8[[#This Row],[Supporter_ID]],tb1_supporters[Supporter_ID ],tb1_supporters[County],"")</f>
        <v>West Yorkshire</v>
      </c>
      <c r="M697" t="str">
        <f>_xlfn.XLOOKUP(Table8[[#This Row],[Supporter_ID]],tb1_supporters[Supporter_ID ],tb1_supporters[Gender],"")</f>
        <v>Male</v>
      </c>
      <c r="N697">
        <f ca="1">_xlfn.XLOOKUP(Table8[[#This Row],[Supporter_ID]],tb1_supporters[Supporter_ID ],tb1_supporters[Age],"")</f>
        <v>54</v>
      </c>
      <c r="O697" t="str">
        <f ca="1">_xlfn.XLOOKUP(Table8[[#This Row],[Supporter_ID]],tb1_supporters[Supporter_ID ],tb1_supporters[Age_Band],"")</f>
        <v>50-64</v>
      </c>
      <c r="P697" t="str">
        <f ca="1">IF(Table8[[#This Row],[Age_Band]]="","Unknown",Table8[[#This Row],[Age_Band]])</f>
        <v>50-64</v>
      </c>
      <c r="Q697" t="str">
        <f>_xlfn.XLOOKUP(Table8[[#This Row],[Supporter_ID]],tb1_supporters[Supporter_ID ],tb1_supporters[Communication_Preference],"")</f>
        <v>Email</v>
      </c>
      <c r="R697" t="str">
        <f>_xlfn.XLOOKUP(Table8[[#This Row],[Supporter_ID]],tb1_supporters[Supporter_ID ],tb1_supporters[Duplicate_Profile_Flag],"")</f>
        <v/>
      </c>
      <c r="S697" t="str">
        <f>_xlfn.XLOOKUP(Table8[[#This Row],[Supporter_ID]],tb1_supporters[Supporter_ID ],tb1_supporters[Preference_Compliance_Flag],"")</f>
        <v>Review - prefers email but not opted in</v>
      </c>
      <c r="T697" t="str">
        <f ca="1">IF(Table8[[#This Row],[Age]]="","Review - missing DOB",IF(Table8[[#This Row],[Age]]&gt;TODAY(),"Review - future DOB",IF(Table8[[#This Row],[Age]]=0,"Review -  potential entry error (age 0)","")))</f>
        <v/>
      </c>
      <c r="U697" t="str">
        <f>_xlfn.XLOOKUP(Table8[[#This Row],[Campaign_Code]],tb3_CampaignMaster[Campaign_Code],tb3_CampaignMaster[Campaign_Type],"")</f>
        <v>Acquisition</v>
      </c>
      <c r="V697" t="str">
        <f>_xlfn.XLOOKUP(Table8[[#This Row],[Campaign_Code]],tb3_CampaignMaster[Campaign_Code],tb3_CampaignMaster[Target_Audience],"")</f>
        <v>Prospects</v>
      </c>
      <c r="W697" s="17">
        <f>_xlfn.XLOOKUP(Table8[[#This Row],[Campaign_Code]],tb3_CampaignMaster[Campaign_Code],tb3_CampaignMaster[Start_Date],"")</f>
        <v>45689</v>
      </c>
      <c r="X697" s="17">
        <f>_xlfn.XLOOKUP(Table8[[#This Row],[Campaign_Code]],tb3_CampaignMaster[Campaign_Code],tb3_CampaignMaster[End_Date],"")</f>
        <v>45777</v>
      </c>
      <c r="Y697">
        <f>_xlfn.XLOOKUP(Table8[[#This Row],[Campaign_Code]],tb3_CampaignMaster[Campaign_Code],tb3_CampaignMaster[Budget_GBP],"")</f>
        <v>20000</v>
      </c>
      <c r="Z697" t="str">
        <f>_xlfn.XLOOKUP(Table8[[#This Row],[Campaign_Code]],tb3_CampaignMaster[Campaign_Code],tb3_CampaignMaster[Primary_Channel],"")</f>
        <v>Digital</v>
      </c>
      <c r="AA697" s="13">
        <f>IF(Table8[[#This Row],[Gift_Aid_Eligible]]="Yes",Table8[[#This Row],[Gift_Amount]]*1.25,Table8[[#This Row],[Gift_Amount]])</f>
        <v>145.6875</v>
      </c>
      <c r="AB697" t="str">
        <f>IF(Table8[[#This Row],[Supporter_ID]]="","Review - missing supporter ID","")</f>
        <v/>
      </c>
      <c r="AC697" t="str">
        <f>IF(OR(Table8[[#This Row],[Response_Date]]&lt;Table8[[#This Row],[Start_Date]],Table8[[#This Row],[Response_Date]]&gt;Table8[[#This Row],[End_Date]]),"Review - response outside campaign dates","")</f>
        <v/>
      </c>
      <c r="AD697" t="str">
        <f>IF(Table8[[#This Row],[Campaign_Type]]="","Review - campaign code not found","")</f>
        <v/>
      </c>
    </row>
    <row r="698" spans="1:30" x14ac:dyDescent="0.25">
      <c r="A698" t="s">
        <v>4509</v>
      </c>
      <c r="B698" t="s">
        <v>2556</v>
      </c>
      <c r="C698" t="s">
        <v>3403</v>
      </c>
      <c r="D698" t="s">
        <v>3404</v>
      </c>
      <c r="E698" t="s">
        <v>3316</v>
      </c>
      <c r="F698" s="17">
        <v>45638</v>
      </c>
      <c r="G698">
        <v>89.76</v>
      </c>
      <c r="H698" t="s">
        <v>37</v>
      </c>
      <c r="I698" t="s">
        <v>3328</v>
      </c>
      <c r="J698" t="str">
        <f>_xlfn.XLOOKUP(Table8[[#This Row],[Supporter_ID]],tb1_supporters[Supporter_ID ],tb1_supporters[Segment],"")</f>
        <v>Mid-Value</v>
      </c>
      <c r="K698" t="str">
        <f>_xlfn.XLOOKUP(Table8[[#This Row],[Supporter_ID]],tb1_supporters[Supporter_ID ],tb1_supporters[Acquisition_Source],"")</f>
        <v>Referral</v>
      </c>
      <c r="L698" t="str">
        <f>_xlfn.XLOOKUP(Table8[[#This Row],[Supporter_ID]],tb1_supporters[Supporter_ID ],tb1_supporters[County],"")</f>
        <v>West Yorkshire</v>
      </c>
      <c r="M698" t="str">
        <f>_xlfn.XLOOKUP(Table8[[#This Row],[Supporter_ID]],tb1_supporters[Supporter_ID ],tb1_supporters[Gender],"")</f>
        <v>Female</v>
      </c>
      <c r="N698">
        <f ca="1">_xlfn.XLOOKUP(Table8[[#This Row],[Supporter_ID]],tb1_supporters[Supporter_ID ],tb1_supporters[Age],"")</f>
        <v>58</v>
      </c>
      <c r="O698" t="str">
        <f ca="1">_xlfn.XLOOKUP(Table8[[#This Row],[Supporter_ID]],tb1_supporters[Supporter_ID ],tb1_supporters[Age_Band],"")</f>
        <v>50-64</v>
      </c>
      <c r="P698" t="str">
        <f ca="1">IF(Table8[[#This Row],[Age_Band]]="","Unknown",Table8[[#This Row],[Age_Band]])</f>
        <v>50-64</v>
      </c>
      <c r="Q698" t="str">
        <f>_xlfn.XLOOKUP(Table8[[#This Row],[Supporter_ID]],tb1_supporters[Supporter_ID ],tb1_supporters[Communication_Preference],"")</f>
        <v>Email</v>
      </c>
      <c r="R698" t="str">
        <f>_xlfn.XLOOKUP(Table8[[#This Row],[Supporter_ID]],tb1_supporters[Supporter_ID ],tb1_supporters[Duplicate_Profile_Flag],"")</f>
        <v/>
      </c>
      <c r="S698" t="str">
        <f>_xlfn.XLOOKUP(Table8[[#This Row],[Supporter_ID]],tb1_supporters[Supporter_ID ],tb1_supporters[Preference_Compliance_Flag],"")</f>
        <v/>
      </c>
      <c r="T698" t="str">
        <f ca="1">IF(Table8[[#This Row],[Age]]="","Review - missing DOB",IF(Table8[[#This Row],[Age]]&gt;TODAY(),"Review - future DOB",IF(Table8[[#This Row],[Age]]=0,"Review -  potential entry error (age 0)","")))</f>
        <v/>
      </c>
      <c r="U698" t="str">
        <f>_xlfn.XLOOKUP(Table8[[#This Row],[Campaign_Code]],tb3_CampaignMaster[Campaign_Code],tb3_CampaignMaster[Campaign_Type],"")</f>
        <v>Trading</v>
      </c>
      <c r="V698" t="str">
        <f>_xlfn.XLOOKUP(Table8[[#This Row],[Campaign_Code]],tb3_CampaignMaster[Campaign_Code],tb3_CampaignMaster[Target_Audience],"")</f>
        <v>All Active</v>
      </c>
      <c r="W698" s="17">
        <f>_xlfn.XLOOKUP(Table8[[#This Row],[Campaign_Code]],tb3_CampaignMaster[Campaign_Code],tb3_CampaignMaster[Start_Date],"")</f>
        <v>45580</v>
      </c>
      <c r="X698" s="17">
        <f>_xlfn.XLOOKUP(Table8[[#This Row],[Campaign_Code]],tb3_CampaignMaster[Campaign_Code],tb3_CampaignMaster[End_Date],"")</f>
        <v>45646</v>
      </c>
      <c r="Y698">
        <f>_xlfn.XLOOKUP(Table8[[#This Row],[Campaign_Code]],tb3_CampaignMaster[Campaign_Code],tb3_CampaignMaster[Budget_GBP],"")</f>
        <v>12000</v>
      </c>
      <c r="Z698" t="str">
        <f>_xlfn.XLOOKUP(Table8[[#This Row],[Campaign_Code]],tb3_CampaignMaster[Campaign_Code],tb3_CampaignMaster[Primary_Channel],"")</f>
        <v>Multi-channel</v>
      </c>
      <c r="AA698" s="13">
        <f>IF(Table8[[#This Row],[Gift_Aid_Eligible]]="Yes",Table8[[#This Row],[Gift_Amount]]*1.25,Table8[[#This Row],[Gift_Amount]])</f>
        <v>89.76</v>
      </c>
      <c r="AB698" t="str">
        <f>IF(Table8[[#This Row],[Supporter_ID]]="","Review - missing supporter ID","")</f>
        <v/>
      </c>
      <c r="AC698" t="str">
        <f>IF(OR(Table8[[#This Row],[Response_Date]]&lt;Table8[[#This Row],[Start_Date]],Table8[[#This Row],[Response_Date]]&gt;Table8[[#This Row],[End_Date]]),"Review - response outside campaign dates","")</f>
        <v/>
      </c>
      <c r="AD698" t="str">
        <f>IF(Table8[[#This Row],[Campaign_Type]]="","Review - campaign code not found","")</f>
        <v/>
      </c>
    </row>
    <row r="699" spans="1:30" x14ac:dyDescent="0.25">
      <c r="A699" t="s">
        <v>4511</v>
      </c>
      <c r="B699" t="s">
        <v>3290</v>
      </c>
      <c r="C699" t="s">
        <v>3325</v>
      </c>
      <c r="D699" t="s">
        <v>3326</v>
      </c>
      <c r="E699" t="s">
        <v>3316</v>
      </c>
      <c r="F699" s="17">
        <v>45616</v>
      </c>
      <c r="G699">
        <v>48.15</v>
      </c>
      <c r="H699" t="s">
        <v>37</v>
      </c>
      <c r="I699" t="s">
        <v>3385</v>
      </c>
      <c r="J699" t="str">
        <f>_xlfn.XLOOKUP(Table8[[#This Row],[Supporter_ID]],tb1_supporters[Supporter_ID ],tb1_supporters[Segment],"")</f>
        <v>Mid-Value</v>
      </c>
      <c r="K699" t="str">
        <f>_xlfn.XLOOKUP(Table8[[#This Row],[Supporter_ID]],tb1_supporters[Supporter_ID ],tb1_supporters[Acquisition_Source],"")</f>
        <v>Referral</v>
      </c>
      <c r="L699" t="str">
        <f>_xlfn.XLOOKUP(Table8[[#This Row],[Supporter_ID]],tb1_supporters[Supporter_ID ],tb1_supporters[County],"")</f>
        <v>South Yorkshire</v>
      </c>
      <c r="M699" t="str">
        <f>_xlfn.XLOOKUP(Table8[[#This Row],[Supporter_ID]],tb1_supporters[Supporter_ID ],tb1_supporters[Gender],"")</f>
        <v>Female</v>
      </c>
      <c r="N699">
        <f ca="1">_xlfn.XLOOKUP(Table8[[#This Row],[Supporter_ID]],tb1_supporters[Supporter_ID ],tb1_supporters[Age],"")</f>
        <v>64</v>
      </c>
      <c r="O699" t="str">
        <f ca="1">_xlfn.XLOOKUP(Table8[[#This Row],[Supporter_ID]],tb1_supporters[Supporter_ID ],tb1_supporters[Age_Band],"")</f>
        <v>50-64</v>
      </c>
      <c r="P699" t="str">
        <f ca="1">IF(Table8[[#This Row],[Age_Band]]="","Unknown",Table8[[#This Row],[Age_Band]])</f>
        <v>50-64</v>
      </c>
      <c r="Q699" t="str">
        <f>_xlfn.XLOOKUP(Table8[[#This Row],[Supporter_ID]],tb1_supporters[Supporter_ID ],tb1_supporters[Communication_Preference],"")</f>
        <v>Email</v>
      </c>
      <c r="R699" t="str">
        <f>_xlfn.XLOOKUP(Table8[[#This Row],[Supporter_ID]],tb1_supporters[Supporter_ID ],tb1_supporters[Duplicate_Profile_Flag],"")</f>
        <v>Review - duplicate record, see Supporter_Duplicates tab</v>
      </c>
      <c r="S699" t="str">
        <f>_xlfn.XLOOKUP(Table8[[#This Row],[Supporter_ID]],tb1_supporters[Supporter_ID ],tb1_supporters[Preference_Compliance_Flag],"")</f>
        <v/>
      </c>
      <c r="T699" t="str">
        <f ca="1">IF(Table8[[#This Row],[Age]]="","Review - missing DOB",IF(Table8[[#This Row],[Age]]&gt;TODAY(),"Review - future DOB",IF(Table8[[#This Row],[Age]]=0,"Review -  potential entry error (age 0)","")))</f>
        <v/>
      </c>
      <c r="U699" t="str">
        <f>_xlfn.XLOOKUP(Table8[[#This Row],[Campaign_Code]],tb3_CampaignMaster[Campaign_Code],tb3_CampaignMaster[Campaign_Type],"")</f>
        <v>Appeal</v>
      </c>
      <c r="V699" t="str">
        <f>_xlfn.XLOOKUP(Table8[[#This Row],[Campaign_Code]],tb3_CampaignMaster[Campaign_Code],tb3_CampaignMaster[Target_Audience],"")</f>
        <v>All Active</v>
      </c>
      <c r="W699" s="17">
        <f>_xlfn.XLOOKUP(Table8[[#This Row],[Campaign_Code]],tb3_CampaignMaster[Campaign_Code],tb3_CampaignMaster[Start_Date],"")</f>
        <v>45597</v>
      </c>
      <c r="X699" s="17">
        <f>_xlfn.XLOOKUP(Table8[[#This Row],[Campaign_Code]],tb3_CampaignMaster[Campaign_Code],tb3_CampaignMaster[End_Date],"")</f>
        <v>45657</v>
      </c>
      <c r="Y699">
        <f>_xlfn.XLOOKUP(Table8[[#This Row],[Campaign_Code]],tb3_CampaignMaster[Campaign_Code],tb3_CampaignMaster[Budget_GBP],"")</f>
        <v>25000</v>
      </c>
      <c r="Z699" t="str">
        <f>_xlfn.XLOOKUP(Table8[[#This Row],[Campaign_Code]],tb3_CampaignMaster[Campaign_Code],tb3_CampaignMaster[Primary_Channel],"")</f>
        <v>Multi-channel</v>
      </c>
      <c r="AA699" s="13">
        <f>IF(Table8[[#This Row],[Gift_Aid_Eligible]]="Yes",Table8[[#This Row],[Gift_Amount]]*1.25,Table8[[#This Row],[Gift_Amount]])</f>
        <v>48.15</v>
      </c>
      <c r="AB699" t="str">
        <f>IF(Table8[[#This Row],[Supporter_ID]]="","Review - missing supporter ID","")</f>
        <v/>
      </c>
      <c r="AC699" t="str">
        <f>IF(OR(Table8[[#This Row],[Response_Date]]&lt;Table8[[#This Row],[Start_Date]],Table8[[#This Row],[Response_Date]]&gt;Table8[[#This Row],[End_Date]]),"Review - response outside campaign dates","")</f>
        <v/>
      </c>
      <c r="AD699" t="str">
        <f>IF(Table8[[#This Row],[Campaign_Type]]="","Review - campaign code not found","")</f>
        <v/>
      </c>
    </row>
    <row r="700" spans="1:30" x14ac:dyDescent="0.25">
      <c r="A700" t="s">
        <v>4513</v>
      </c>
      <c r="B700" t="s">
        <v>3071</v>
      </c>
      <c r="C700" t="s">
        <v>3427</v>
      </c>
      <c r="D700" t="s">
        <v>3428</v>
      </c>
      <c r="E700" t="s">
        <v>65</v>
      </c>
      <c r="F700" s="17">
        <v>45488</v>
      </c>
      <c r="G700">
        <v>305.48</v>
      </c>
      <c r="H700" t="s">
        <v>36</v>
      </c>
      <c r="I700" t="s">
        <v>3328</v>
      </c>
      <c r="J700" t="str">
        <f>_xlfn.XLOOKUP(Table8[[#This Row],[Supporter_ID]],tb1_supporters[Supporter_ID ],tb1_supporters[Segment],"")</f>
        <v>Major Donor</v>
      </c>
      <c r="K700" t="str">
        <f>_xlfn.XLOOKUP(Table8[[#This Row],[Supporter_ID]],tb1_supporters[Supporter_ID ],tb1_supporters[Acquisition_Source],"")</f>
        <v>Social Media</v>
      </c>
      <c r="L700" t="str">
        <f>_xlfn.XLOOKUP(Table8[[#This Row],[Supporter_ID]],tb1_supporters[Supporter_ID ],tb1_supporters[County],"")</f>
        <v>Avon</v>
      </c>
      <c r="M700" t="str">
        <f>_xlfn.XLOOKUP(Table8[[#This Row],[Supporter_ID]],tb1_supporters[Supporter_ID ],tb1_supporters[Gender],"")</f>
        <v>Female</v>
      </c>
      <c r="N700">
        <f ca="1">_xlfn.XLOOKUP(Table8[[#This Row],[Supporter_ID]],tb1_supporters[Supporter_ID ],tb1_supporters[Age],"")</f>
        <v>47</v>
      </c>
      <c r="O700" t="str">
        <f ca="1">_xlfn.XLOOKUP(Table8[[#This Row],[Supporter_ID]],tb1_supporters[Supporter_ID ],tb1_supporters[Age_Band],"")</f>
        <v>35-49</v>
      </c>
      <c r="P700" t="str">
        <f ca="1">IF(Table8[[#This Row],[Age_Band]]="","Unknown",Table8[[#This Row],[Age_Band]])</f>
        <v>35-49</v>
      </c>
      <c r="Q700" t="str">
        <f>_xlfn.XLOOKUP(Table8[[#This Row],[Supporter_ID]],tb1_supporters[Supporter_ID ],tb1_supporters[Communication_Preference],"")</f>
        <v>Email</v>
      </c>
      <c r="R700" t="str">
        <f>_xlfn.XLOOKUP(Table8[[#This Row],[Supporter_ID]],tb1_supporters[Supporter_ID ],tb1_supporters[Duplicate_Profile_Flag],"")</f>
        <v/>
      </c>
      <c r="S700" t="str">
        <f>_xlfn.XLOOKUP(Table8[[#This Row],[Supporter_ID]],tb1_supporters[Supporter_ID ],tb1_supporters[Preference_Compliance_Flag],"")</f>
        <v/>
      </c>
      <c r="T700" t="str">
        <f ca="1">IF(Table8[[#This Row],[Age]]="","Review - missing DOB",IF(Table8[[#This Row],[Age]]&gt;TODAY(),"Review - future DOB",IF(Table8[[#This Row],[Age]]=0,"Review -  potential entry error (age 0)","")))</f>
        <v/>
      </c>
      <c r="U700" t="str">
        <f>_xlfn.XLOOKUP(Table8[[#This Row],[Campaign_Code]],tb3_CampaignMaster[Campaign_Code],tb3_CampaignMaster[Campaign_Type],"")</f>
        <v>Event</v>
      </c>
      <c r="V700" t="str">
        <f>_xlfn.XLOOKUP(Table8[[#This Row],[Campaign_Code]],tb3_CampaignMaster[Campaign_Code],tb3_CampaignMaster[Target_Audience],"")</f>
        <v>Major Donors</v>
      </c>
      <c r="W700" s="17">
        <f>_xlfn.XLOOKUP(Table8[[#This Row],[Campaign_Code]],tb3_CampaignMaster[Campaign_Code],tb3_CampaignMaster[Start_Date],"")</f>
        <v>45488</v>
      </c>
      <c r="X700" s="17">
        <f>_xlfn.XLOOKUP(Table8[[#This Row],[Campaign_Code]],tb3_CampaignMaster[Campaign_Code],tb3_CampaignMaster[End_Date],"")</f>
        <v>45488</v>
      </c>
      <c r="Y700">
        <f>_xlfn.XLOOKUP(Table8[[#This Row],[Campaign_Code]],tb3_CampaignMaster[Campaign_Code],tb3_CampaignMaster[Budget_GBP],"")</f>
        <v>45000</v>
      </c>
      <c r="Z700" t="str">
        <f>_xlfn.XLOOKUP(Table8[[#This Row],[Campaign_Code]],tb3_CampaignMaster[Campaign_Code],tb3_CampaignMaster[Primary_Channel],"")</f>
        <v>Direct Mail</v>
      </c>
      <c r="AA700" s="13">
        <f>IF(Table8[[#This Row],[Gift_Aid_Eligible]]="Yes",Table8[[#This Row],[Gift_Amount]]*1.25,Table8[[#This Row],[Gift_Amount]])</f>
        <v>381.85</v>
      </c>
      <c r="AB700" t="str">
        <f>IF(Table8[[#This Row],[Supporter_ID]]="","Review - missing supporter ID","")</f>
        <v/>
      </c>
      <c r="AC700" t="str">
        <f>IF(OR(Table8[[#This Row],[Response_Date]]&lt;Table8[[#This Row],[Start_Date]],Table8[[#This Row],[Response_Date]]&gt;Table8[[#This Row],[End_Date]]),"Review - response outside campaign dates","")</f>
        <v/>
      </c>
      <c r="AD700" t="str">
        <f>IF(Table8[[#This Row],[Campaign_Type]]="","Review - campaign code not found","")</f>
        <v/>
      </c>
    </row>
    <row r="701" spans="1:30" x14ac:dyDescent="0.25">
      <c r="A701" t="s">
        <v>4514</v>
      </c>
      <c r="B701" t="s">
        <v>2586</v>
      </c>
      <c r="C701" t="s">
        <v>3427</v>
      </c>
      <c r="D701" t="s">
        <v>3428</v>
      </c>
      <c r="E701" t="s">
        <v>4</v>
      </c>
      <c r="F701" s="17">
        <v>45488</v>
      </c>
      <c r="G701">
        <v>171.23</v>
      </c>
      <c r="H701" t="s">
        <v>37</v>
      </c>
      <c r="I701" t="s">
        <v>3334</v>
      </c>
      <c r="J701" t="str">
        <f>_xlfn.XLOOKUP(Table8[[#This Row],[Supporter_ID]],tb1_supporters[Supporter_ID ],tb1_supporters[Segment],"")</f>
        <v>Mid-Value</v>
      </c>
      <c r="K701" t="str">
        <f>_xlfn.XLOOKUP(Table8[[#This Row],[Supporter_ID]],tb1_supporters[Supporter_ID ],tb1_supporters[Acquisition_Source],"")</f>
        <v>Direct Mail</v>
      </c>
      <c r="L701" t="str">
        <f>_xlfn.XLOOKUP(Table8[[#This Row],[Supporter_ID]],tb1_supporters[Supporter_ID ],tb1_supporters[County],"")</f>
        <v>Wiltshire</v>
      </c>
      <c r="M701" t="str">
        <f>_xlfn.XLOOKUP(Table8[[#This Row],[Supporter_ID]],tb1_supporters[Supporter_ID ],tb1_supporters[Gender],"")</f>
        <v>Female</v>
      </c>
      <c r="N701">
        <f ca="1">_xlfn.XLOOKUP(Table8[[#This Row],[Supporter_ID]],tb1_supporters[Supporter_ID ],tb1_supporters[Age],"")</f>
        <v>25</v>
      </c>
      <c r="O701" t="str">
        <f ca="1">_xlfn.XLOOKUP(Table8[[#This Row],[Supporter_ID]],tb1_supporters[Supporter_ID ],tb1_supporters[Age_Band],"")</f>
        <v>18-34</v>
      </c>
      <c r="P701" t="str">
        <f ca="1">IF(Table8[[#This Row],[Age_Band]]="","Unknown",Table8[[#This Row],[Age_Band]])</f>
        <v>18-34</v>
      </c>
      <c r="Q701" t="str">
        <f>_xlfn.XLOOKUP(Table8[[#This Row],[Supporter_ID]],tb1_supporters[Supporter_ID ],tb1_supporters[Communication_Preference],"")</f>
        <v>Email</v>
      </c>
      <c r="R701" t="str">
        <f>_xlfn.XLOOKUP(Table8[[#This Row],[Supporter_ID]],tb1_supporters[Supporter_ID ],tb1_supporters[Duplicate_Profile_Flag],"")</f>
        <v/>
      </c>
      <c r="S701" t="str">
        <f>_xlfn.XLOOKUP(Table8[[#This Row],[Supporter_ID]],tb1_supporters[Supporter_ID ],tb1_supporters[Preference_Compliance_Flag],"")</f>
        <v/>
      </c>
      <c r="T701" t="str">
        <f ca="1">IF(Table8[[#This Row],[Age]]="","Review - missing DOB",IF(Table8[[#This Row],[Age]]&gt;TODAY(),"Review - future DOB",IF(Table8[[#This Row],[Age]]=0,"Review -  potential entry error (age 0)","")))</f>
        <v/>
      </c>
      <c r="U701" t="str">
        <f>_xlfn.XLOOKUP(Table8[[#This Row],[Campaign_Code]],tb3_CampaignMaster[Campaign_Code],tb3_CampaignMaster[Campaign_Type],"")</f>
        <v>Event</v>
      </c>
      <c r="V701" t="str">
        <f>_xlfn.XLOOKUP(Table8[[#This Row],[Campaign_Code]],tb3_CampaignMaster[Campaign_Code],tb3_CampaignMaster[Target_Audience],"")</f>
        <v>Major Donors</v>
      </c>
      <c r="W701" s="17">
        <f>_xlfn.XLOOKUP(Table8[[#This Row],[Campaign_Code]],tb3_CampaignMaster[Campaign_Code],tb3_CampaignMaster[Start_Date],"")</f>
        <v>45488</v>
      </c>
      <c r="X701" s="17">
        <f>_xlfn.XLOOKUP(Table8[[#This Row],[Campaign_Code]],tb3_CampaignMaster[Campaign_Code],tb3_CampaignMaster[End_Date],"")</f>
        <v>45488</v>
      </c>
      <c r="Y701">
        <f>_xlfn.XLOOKUP(Table8[[#This Row],[Campaign_Code]],tb3_CampaignMaster[Campaign_Code],tb3_CampaignMaster[Budget_GBP],"")</f>
        <v>45000</v>
      </c>
      <c r="Z701" t="str">
        <f>_xlfn.XLOOKUP(Table8[[#This Row],[Campaign_Code]],tb3_CampaignMaster[Campaign_Code],tb3_CampaignMaster[Primary_Channel],"")</f>
        <v>Direct Mail</v>
      </c>
      <c r="AA701" s="13">
        <f>IF(Table8[[#This Row],[Gift_Aid_Eligible]]="Yes",Table8[[#This Row],[Gift_Amount]]*1.25,Table8[[#This Row],[Gift_Amount]])</f>
        <v>171.23</v>
      </c>
      <c r="AB701" t="str">
        <f>IF(Table8[[#This Row],[Supporter_ID]]="","Review - missing supporter ID","")</f>
        <v/>
      </c>
      <c r="AC701" t="str">
        <f>IF(OR(Table8[[#This Row],[Response_Date]]&lt;Table8[[#This Row],[Start_Date]],Table8[[#This Row],[Response_Date]]&gt;Table8[[#This Row],[End_Date]]),"Review - response outside campaign dates","")</f>
        <v/>
      </c>
      <c r="AD701" t="str">
        <f>IF(Table8[[#This Row],[Campaign_Type]]="","Review - campaign code not found","")</f>
        <v/>
      </c>
    </row>
    <row r="702" spans="1:30" x14ac:dyDescent="0.25">
      <c r="A702" t="s">
        <v>4515</v>
      </c>
      <c r="B702" t="s">
        <v>1261</v>
      </c>
      <c r="C702" t="s">
        <v>3403</v>
      </c>
      <c r="D702" t="s">
        <v>3404</v>
      </c>
      <c r="E702" t="s">
        <v>3316</v>
      </c>
      <c r="F702" s="17">
        <v>45586</v>
      </c>
      <c r="G702">
        <v>56.26</v>
      </c>
      <c r="H702" t="s">
        <v>36</v>
      </c>
      <c r="I702" t="s">
        <v>3370</v>
      </c>
      <c r="J702" t="str">
        <f>_xlfn.XLOOKUP(Table8[[#This Row],[Supporter_ID]],tb1_supporters[Supporter_ID ],tb1_supporters[Segment],"")</f>
        <v>Lapsed</v>
      </c>
      <c r="K702" t="str">
        <f>_xlfn.XLOOKUP(Table8[[#This Row],[Supporter_ID]],tb1_supporters[Supporter_ID ],tb1_supporters[Acquisition_Source],"")</f>
        <v>Social Media</v>
      </c>
      <c r="L702" t="str">
        <f>_xlfn.XLOOKUP(Table8[[#This Row],[Supporter_ID]],tb1_supporters[Supporter_ID ],tb1_supporters[County],"")</f>
        <v>East Sussex</v>
      </c>
      <c r="M702" t="str">
        <f>_xlfn.XLOOKUP(Table8[[#This Row],[Supporter_ID]],tb1_supporters[Supporter_ID ],tb1_supporters[Gender],"")</f>
        <v>Female</v>
      </c>
      <c r="N702" t="str">
        <f ca="1">_xlfn.XLOOKUP(Table8[[#This Row],[Supporter_ID]],tb1_supporters[Supporter_ID ],tb1_supporters[Age],"")</f>
        <v/>
      </c>
      <c r="O702" t="str">
        <f ca="1">_xlfn.XLOOKUP(Table8[[#This Row],[Supporter_ID]],tb1_supporters[Supporter_ID ],tb1_supporters[Age_Band],"")</f>
        <v/>
      </c>
      <c r="P702" t="str">
        <f ca="1">IF(Table8[[#This Row],[Age_Band]]="","Unknown",Table8[[#This Row],[Age_Band]])</f>
        <v>Unknown</v>
      </c>
      <c r="Q702" t="str">
        <f>_xlfn.XLOOKUP(Table8[[#This Row],[Supporter_ID]],tb1_supporters[Supporter_ID ],tb1_supporters[Communication_Preference],"")</f>
        <v>Phone</v>
      </c>
      <c r="R702" t="str">
        <f>_xlfn.XLOOKUP(Table8[[#This Row],[Supporter_ID]],tb1_supporters[Supporter_ID ],tb1_supporters[Duplicate_Profile_Flag],"")</f>
        <v/>
      </c>
      <c r="S702" t="str">
        <f>_xlfn.XLOOKUP(Table8[[#This Row],[Supporter_ID]],tb1_supporters[Supporter_ID ],tb1_supporters[Preference_Compliance_Flag],"")</f>
        <v/>
      </c>
      <c r="T702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702" t="str">
        <f>_xlfn.XLOOKUP(Table8[[#This Row],[Campaign_Code]],tb3_CampaignMaster[Campaign_Code],tb3_CampaignMaster[Campaign_Type],"")</f>
        <v>Trading</v>
      </c>
      <c r="V702" t="str">
        <f>_xlfn.XLOOKUP(Table8[[#This Row],[Campaign_Code]],tb3_CampaignMaster[Campaign_Code],tb3_CampaignMaster[Target_Audience],"")</f>
        <v>All Active</v>
      </c>
      <c r="W702" s="17">
        <f>_xlfn.XLOOKUP(Table8[[#This Row],[Campaign_Code]],tb3_CampaignMaster[Campaign_Code],tb3_CampaignMaster[Start_Date],"")</f>
        <v>45580</v>
      </c>
      <c r="X702" s="17">
        <f>_xlfn.XLOOKUP(Table8[[#This Row],[Campaign_Code]],tb3_CampaignMaster[Campaign_Code],tb3_CampaignMaster[End_Date],"")</f>
        <v>45646</v>
      </c>
      <c r="Y702">
        <f>_xlfn.XLOOKUP(Table8[[#This Row],[Campaign_Code]],tb3_CampaignMaster[Campaign_Code],tb3_CampaignMaster[Budget_GBP],"")</f>
        <v>12000</v>
      </c>
      <c r="Z702" t="str">
        <f>_xlfn.XLOOKUP(Table8[[#This Row],[Campaign_Code]],tb3_CampaignMaster[Campaign_Code],tb3_CampaignMaster[Primary_Channel],"")</f>
        <v>Multi-channel</v>
      </c>
      <c r="AA702" s="13">
        <f>IF(Table8[[#This Row],[Gift_Aid_Eligible]]="Yes",Table8[[#This Row],[Gift_Amount]]*1.25,Table8[[#This Row],[Gift_Amount]])</f>
        <v>70.325000000000003</v>
      </c>
      <c r="AB702" t="str">
        <f>IF(Table8[[#This Row],[Supporter_ID]]="","Review - missing supporter ID","")</f>
        <v/>
      </c>
      <c r="AC702" t="str">
        <f>IF(OR(Table8[[#This Row],[Response_Date]]&lt;Table8[[#This Row],[Start_Date]],Table8[[#This Row],[Response_Date]]&gt;Table8[[#This Row],[End_Date]]),"Review - response outside campaign dates","")</f>
        <v/>
      </c>
      <c r="AD702" t="str">
        <f>IF(Table8[[#This Row],[Campaign_Type]]="","Review - campaign code not found","")</f>
        <v/>
      </c>
    </row>
    <row r="703" spans="1:30" x14ac:dyDescent="0.25">
      <c r="A703" t="s">
        <v>4516</v>
      </c>
      <c r="B703" t="s">
        <v>979</v>
      </c>
      <c r="C703" t="s">
        <v>3354</v>
      </c>
      <c r="D703" t="s">
        <v>3355</v>
      </c>
      <c r="E703" t="s">
        <v>4</v>
      </c>
      <c r="F703" s="17">
        <v>45618</v>
      </c>
      <c r="G703">
        <v>45.71</v>
      </c>
      <c r="H703" t="s">
        <v>37</v>
      </c>
      <c r="I703" t="s">
        <v>3328</v>
      </c>
      <c r="J703" t="str">
        <f>_xlfn.XLOOKUP(Table8[[#This Row],[Supporter_ID]],tb1_supporters[Supporter_ID ],tb1_supporters[Segment],"")</f>
        <v>Regular Giver</v>
      </c>
      <c r="K703" t="str">
        <f>_xlfn.XLOOKUP(Table8[[#This Row],[Supporter_ID]],tb1_supporters[Supporter_ID ],tb1_supporters[Acquisition_Source],"")</f>
        <v>Referral</v>
      </c>
      <c r="L703" t="str">
        <f>_xlfn.XLOOKUP(Table8[[#This Row],[Supporter_ID]],tb1_supporters[Supporter_ID ],tb1_supporters[County],"")</f>
        <v>Wiltshire</v>
      </c>
      <c r="M703" t="str">
        <f>_xlfn.XLOOKUP(Table8[[#This Row],[Supporter_ID]],tb1_supporters[Supporter_ID ],tb1_supporters[Gender],"")</f>
        <v>Male</v>
      </c>
      <c r="N703">
        <f ca="1">_xlfn.XLOOKUP(Table8[[#This Row],[Supporter_ID]],tb1_supporters[Supporter_ID ],tb1_supporters[Age],"")</f>
        <v>54</v>
      </c>
      <c r="O703" t="str">
        <f ca="1">_xlfn.XLOOKUP(Table8[[#This Row],[Supporter_ID]],tb1_supporters[Supporter_ID ],tb1_supporters[Age_Band],"")</f>
        <v>50-64</v>
      </c>
      <c r="P703" t="str">
        <f ca="1">IF(Table8[[#This Row],[Age_Band]]="","Unknown",Table8[[#This Row],[Age_Band]])</f>
        <v>50-64</v>
      </c>
      <c r="Q703" t="str">
        <f>_xlfn.XLOOKUP(Table8[[#This Row],[Supporter_ID]],tb1_supporters[Supporter_ID ],tb1_supporters[Communication_Preference],"")</f>
        <v>Email</v>
      </c>
      <c r="R703" t="str">
        <f>_xlfn.XLOOKUP(Table8[[#This Row],[Supporter_ID]],tb1_supporters[Supporter_ID ],tb1_supporters[Duplicate_Profile_Flag],"")</f>
        <v/>
      </c>
      <c r="S703" t="str">
        <f>_xlfn.XLOOKUP(Table8[[#This Row],[Supporter_ID]],tb1_supporters[Supporter_ID ],tb1_supporters[Preference_Compliance_Flag],"")</f>
        <v>Review - prefers email but not opted in</v>
      </c>
      <c r="T703" t="str">
        <f ca="1">IF(Table8[[#This Row],[Age]]="","Review - missing DOB",IF(Table8[[#This Row],[Age]]&gt;TODAY(),"Review - future DOB",IF(Table8[[#This Row],[Age]]=0,"Review -  potential entry error (age 0)","")))</f>
        <v/>
      </c>
      <c r="U703" t="str">
        <f>_xlfn.XLOOKUP(Table8[[#This Row],[Campaign_Code]],tb3_CampaignMaster[Campaign_Code],tb3_CampaignMaster[Campaign_Type],"")</f>
        <v>Event</v>
      </c>
      <c r="V703" t="str">
        <f>_xlfn.XLOOKUP(Table8[[#This Row],[Campaign_Code]],tb3_CampaignMaster[Campaign_Code],tb3_CampaignMaster[Target_Audience],"")</f>
        <v>Volunteers</v>
      </c>
      <c r="W703" s="17">
        <f>_xlfn.XLOOKUP(Table8[[#This Row],[Campaign_Code]],tb3_CampaignMaster[Campaign_Code],tb3_CampaignMaster[Start_Date],"")</f>
        <v>45618</v>
      </c>
      <c r="X703" s="17">
        <f>_xlfn.XLOOKUP(Table8[[#This Row],[Campaign_Code]],tb3_CampaignMaster[Campaign_Code],tb3_CampaignMaster[End_Date],"")</f>
        <v>45618</v>
      </c>
      <c r="Y703">
        <f>_xlfn.XLOOKUP(Table8[[#This Row],[Campaign_Code]],tb3_CampaignMaster[Campaign_Code],tb3_CampaignMaster[Budget_GBP],"")</f>
        <v>3500</v>
      </c>
      <c r="Z703" t="str">
        <f>_xlfn.XLOOKUP(Table8[[#This Row],[Campaign_Code]],tb3_CampaignMaster[Campaign_Code],tb3_CampaignMaster[Primary_Channel],"")</f>
        <v>Email</v>
      </c>
      <c r="AA703" s="13">
        <f>IF(Table8[[#This Row],[Gift_Aid_Eligible]]="Yes",Table8[[#This Row],[Gift_Amount]]*1.25,Table8[[#This Row],[Gift_Amount]])</f>
        <v>45.71</v>
      </c>
      <c r="AB703" t="str">
        <f>IF(Table8[[#This Row],[Supporter_ID]]="","Review - missing supporter ID","")</f>
        <v/>
      </c>
      <c r="AC703" t="str">
        <f>IF(OR(Table8[[#This Row],[Response_Date]]&lt;Table8[[#This Row],[Start_Date]],Table8[[#This Row],[Response_Date]]&gt;Table8[[#This Row],[End_Date]]),"Review - response outside campaign dates","")</f>
        <v/>
      </c>
      <c r="AD703" t="str">
        <f>IF(Table8[[#This Row],[Campaign_Type]]="","Review - campaign code not found","")</f>
        <v/>
      </c>
    </row>
    <row r="704" spans="1:30" x14ac:dyDescent="0.25">
      <c r="A704" t="s">
        <v>4517</v>
      </c>
      <c r="B704" t="s">
        <v>2206</v>
      </c>
      <c r="C704" t="s">
        <v>3320</v>
      </c>
      <c r="D704" t="s">
        <v>3321</v>
      </c>
      <c r="E704" t="s">
        <v>4</v>
      </c>
      <c r="F704" s="17">
        <v>45459</v>
      </c>
      <c r="G704">
        <v>30.08</v>
      </c>
      <c r="H704" t="s">
        <v>37</v>
      </c>
      <c r="I704" t="s">
        <v>3334</v>
      </c>
      <c r="J704" t="str">
        <f>_xlfn.XLOOKUP(Table8[[#This Row],[Supporter_ID]],tb1_supporters[Supporter_ID ],tb1_supporters[Segment],"")</f>
        <v>Mid-Value</v>
      </c>
      <c r="K704" t="str">
        <f>_xlfn.XLOOKUP(Table8[[#This Row],[Supporter_ID]],tb1_supporters[Supporter_ID ],tb1_supporters[Acquisition_Source],"")</f>
        <v>Referral</v>
      </c>
      <c r="L704" t="str">
        <f>_xlfn.XLOOKUP(Table8[[#This Row],[Supporter_ID]],tb1_supporters[Supporter_ID ],tb1_supporters[County],"")</f>
        <v>Oxfordshire</v>
      </c>
      <c r="M704" t="str">
        <f>_xlfn.XLOOKUP(Table8[[#This Row],[Supporter_ID]],tb1_supporters[Supporter_ID ],tb1_supporters[Gender],"")</f>
        <v>Male</v>
      </c>
      <c r="N704">
        <f ca="1">_xlfn.XLOOKUP(Table8[[#This Row],[Supporter_ID]],tb1_supporters[Supporter_ID ],tb1_supporters[Age],"")</f>
        <v>43</v>
      </c>
      <c r="O704" t="str">
        <f ca="1">_xlfn.XLOOKUP(Table8[[#This Row],[Supporter_ID]],tb1_supporters[Supporter_ID ],tb1_supporters[Age_Band],"")</f>
        <v>35-49</v>
      </c>
      <c r="P704" t="str">
        <f ca="1">IF(Table8[[#This Row],[Age_Band]]="","Unknown",Table8[[#This Row],[Age_Band]])</f>
        <v>35-49</v>
      </c>
      <c r="Q704" t="str">
        <f>_xlfn.XLOOKUP(Table8[[#This Row],[Supporter_ID]],tb1_supporters[Supporter_ID ],tb1_supporters[Communication_Preference],"")</f>
        <v>Post</v>
      </c>
      <c r="R704" t="str">
        <f>_xlfn.XLOOKUP(Table8[[#This Row],[Supporter_ID]],tb1_supporters[Supporter_ID ],tb1_supporters[Duplicate_Profile_Flag],"")</f>
        <v/>
      </c>
      <c r="S704" t="str">
        <f>_xlfn.XLOOKUP(Table8[[#This Row],[Supporter_ID]],tb1_supporters[Supporter_ID ],tb1_supporters[Preference_Compliance_Flag],"")</f>
        <v>Review - prefers post but not opted in</v>
      </c>
      <c r="T704" t="str">
        <f ca="1">IF(Table8[[#This Row],[Age]]="","Review - missing DOB",IF(Table8[[#This Row],[Age]]&gt;TODAY(),"Review - future DOB",IF(Table8[[#This Row],[Age]]=0,"Review -  potential entry error (age 0)","")))</f>
        <v/>
      </c>
      <c r="U704" t="str">
        <f>_xlfn.XLOOKUP(Table8[[#This Row],[Campaign_Code]],tb3_CampaignMaster[Campaign_Code],tb3_CampaignMaster[Campaign_Type],"")</f>
        <v>Stewardship</v>
      </c>
      <c r="V704" t="str">
        <f>_xlfn.XLOOKUP(Table8[[#This Row],[Campaign_Code]],tb3_CampaignMaster[Campaign_Code],tb3_CampaignMaster[Target_Audience],"")</f>
        <v>Major Donors</v>
      </c>
      <c r="W704" s="17">
        <f>_xlfn.XLOOKUP(Table8[[#This Row],[Campaign_Code]],tb3_CampaignMaster[Campaign_Code],tb3_CampaignMaster[Start_Date],"")</f>
        <v>45444</v>
      </c>
      <c r="X704" s="17">
        <f>_xlfn.XLOOKUP(Table8[[#This Row],[Campaign_Code]],tb3_CampaignMaster[Campaign_Code],tb3_CampaignMaster[End_Date],"")</f>
        <v>45473</v>
      </c>
      <c r="Y704">
        <f>_xlfn.XLOOKUP(Table8[[#This Row],[Campaign_Code]],tb3_CampaignMaster[Campaign_Code],tb3_CampaignMaster[Budget_GBP],"")</f>
        <v>7000</v>
      </c>
      <c r="Z704" t="str">
        <f>_xlfn.XLOOKUP(Table8[[#This Row],[Campaign_Code]],tb3_CampaignMaster[Campaign_Code],tb3_CampaignMaster[Primary_Channel],"")</f>
        <v>Direct Mail</v>
      </c>
      <c r="AA704" s="13">
        <f>IF(Table8[[#This Row],[Gift_Aid_Eligible]]="Yes",Table8[[#This Row],[Gift_Amount]]*1.25,Table8[[#This Row],[Gift_Amount]])</f>
        <v>30.08</v>
      </c>
      <c r="AB704" t="str">
        <f>IF(Table8[[#This Row],[Supporter_ID]]="","Review - missing supporter ID","")</f>
        <v/>
      </c>
      <c r="AC704" t="str">
        <f>IF(OR(Table8[[#This Row],[Response_Date]]&lt;Table8[[#This Row],[Start_Date]],Table8[[#This Row],[Response_Date]]&gt;Table8[[#This Row],[End_Date]]),"Review - response outside campaign dates","")</f>
        <v/>
      </c>
      <c r="AD704" t="str">
        <f>IF(Table8[[#This Row],[Campaign_Type]]="","Review - campaign code not found","")</f>
        <v/>
      </c>
    </row>
    <row r="705" spans="1:30" x14ac:dyDescent="0.25">
      <c r="A705" t="s">
        <v>4518</v>
      </c>
      <c r="B705" t="s">
        <v>2568</v>
      </c>
      <c r="C705" t="s">
        <v>3427</v>
      </c>
      <c r="D705" t="s">
        <v>3428</v>
      </c>
      <c r="E705" t="s">
        <v>65</v>
      </c>
      <c r="F705" s="17">
        <v>45488</v>
      </c>
      <c r="G705">
        <v>372.31</v>
      </c>
      <c r="H705" t="s">
        <v>36</v>
      </c>
      <c r="I705" t="s">
        <v>3318</v>
      </c>
      <c r="J705" t="str">
        <f>_xlfn.XLOOKUP(Table8[[#This Row],[Supporter_ID]],tb1_supporters[Supporter_ID ],tb1_supporters[Segment],"")</f>
        <v>Legacy Pledger</v>
      </c>
      <c r="K705" t="str">
        <f>_xlfn.XLOOKUP(Table8[[#This Row],[Supporter_ID]],tb1_supporters[Supporter_ID ],tb1_supporters[Acquisition_Source],"")</f>
        <v>Door-To-Door</v>
      </c>
      <c r="L705" t="str">
        <f>_xlfn.XLOOKUP(Table8[[#This Row],[Supporter_ID]],tb1_supporters[Supporter_ID ],tb1_supporters[County],"")</f>
        <v>West Glamorgan</v>
      </c>
      <c r="M705" t="str">
        <f>_xlfn.XLOOKUP(Table8[[#This Row],[Supporter_ID]],tb1_supporters[Supporter_ID ],tb1_supporters[Gender],"")</f>
        <v>Female</v>
      </c>
      <c r="N705">
        <f ca="1">_xlfn.XLOOKUP(Table8[[#This Row],[Supporter_ID]],tb1_supporters[Supporter_ID ],tb1_supporters[Age],"")</f>
        <v>62</v>
      </c>
      <c r="O705" t="str">
        <f ca="1">_xlfn.XLOOKUP(Table8[[#This Row],[Supporter_ID]],tb1_supporters[Supporter_ID ],tb1_supporters[Age_Band],"")</f>
        <v>50-64</v>
      </c>
      <c r="P705" t="str">
        <f ca="1">IF(Table8[[#This Row],[Age_Band]]="","Unknown",Table8[[#This Row],[Age_Band]])</f>
        <v>50-64</v>
      </c>
      <c r="Q705" t="str">
        <f>_xlfn.XLOOKUP(Table8[[#This Row],[Supporter_ID]],tb1_supporters[Supporter_ID ],tb1_supporters[Communication_Preference],"")</f>
        <v>Post</v>
      </c>
      <c r="R705" t="str">
        <f>_xlfn.XLOOKUP(Table8[[#This Row],[Supporter_ID]],tb1_supporters[Supporter_ID ],tb1_supporters[Duplicate_Profile_Flag],"")</f>
        <v/>
      </c>
      <c r="S705" t="str">
        <f>_xlfn.XLOOKUP(Table8[[#This Row],[Supporter_ID]],tb1_supporters[Supporter_ID ],tb1_supporters[Preference_Compliance_Flag],"")</f>
        <v/>
      </c>
      <c r="T705" t="str">
        <f ca="1">IF(Table8[[#This Row],[Age]]="","Review - missing DOB",IF(Table8[[#This Row],[Age]]&gt;TODAY(),"Review - future DOB",IF(Table8[[#This Row],[Age]]=0,"Review -  potential entry error (age 0)","")))</f>
        <v/>
      </c>
      <c r="U705" t="str">
        <f>_xlfn.XLOOKUP(Table8[[#This Row],[Campaign_Code]],tb3_CampaignMaster[Campaign_Code],tb3_CampaignMaster[Campaign_Type],"")</f>
        <v>Event</v>
      </c>
      <c r="V705" t="str">
        <f>_xlfn.XLOOKUP(Table8[[#This Row],[Campaign_Code]],tb3_CampaignMaster[Campaign_Code],tb3_CampaignMaster[Target_Audience],"")</f>
        <v>Major Donors</v>
      </c>
      <c r="W705" s="17">
        <f>_xlfn.XLOOKUP(Table8[[#This Row],[Campaign_Code]],tb3_CampaignMaster[Campaign_Code],tb3_CampaignMaster[Start_Date],"")</f>
        <v>45488</v>
      </c>
      <c r="X705" s="17">
        <f>_xlfn.XLOOKUP(Table8[[#This Row],[Campaign_Code]],tb3_CampaignMaster[Campaign_Code],tb3_CampaignMaster[End_Date],"")</f>
        <v>45488</v>
      </c>
      <c r="Y705">
        <f>_xlfn.XLOOKUP(Table8[[#This Row],[Campaign_Code]],tb3_CampaignMaster[Campaign_Code],tb3_CampaignMaster[Budget_GBP],"")</f>
        <v>45000</v>
      </c>
      <c r="Z705" t="str">
        <f>_xlfn.XLOOKUP(Table8[[#This Row],[Campaign_Code]],tb3_CampaignMaster[Campaign_Code],tb3_CampaignMaster[Primary_Channel],"")</f>
        <v>Direct Mail</v>
      </c>
      <c r="AA705" s="13">
        <f>IF(Table8[[#This Row],[Gift_Aid_Eligible]]="Yes",Table8[[#This Row],[Gift_Amount]]*1.25,Table8[[#This Row],[Gift_Amount]])</f>
        <v>465.38749999999999</v>
      </c>
      <c r="AB705" t="str">
        <f>IF(Table8[[#This Row],[Supporter_ID]]="","Review - missing supporter ID","")</f>
        <v/>
      </c>
      <c r="AC705" t="str">
        <f>IF(OR(Table8[[#This Row],[Response_Date]]&lt;Table8[[#This Row],[Start_Date]],Table8[[#This Row],[Response_Date]]&gt;Table8[[#This Row],[End_Date]]),"Review - response outside campaign dates","")</f>
        <v/>
      </c>
      <c r="AD705" t="str">
        <f>IF(Table8[[#This Row],[Campaign_Type]]="","Review - campaign code not found","")</f>
        <v/>
      </c>
    </row>
    <row r="706" spans="1:30" x14ac:dyDescent="0.25">
      <c r="A706" t="s">
        <v>4519</v>
      </c>
      <c r="B706" t="s">
        <v>2807</v>
      </c>
      <c r="C706" t="s">
        <v>3341</v>
      </c>
      <c r="D706" t="s">
        <v>3342</v>
      </c>
      <c r="E706" t="s">
        <v>3316</v>
      </c>
      <c r="F706" s="17">
        <v>45744</v>
      </c>
      <c r="G706">
        <v>220.61</v>
      </c>
      <c r="H706" t="s">
        <v>37</v>
      </c>
      <c r="I706" t="s">
        <v>3328</v>
      </c>
      <c r="J706" t="str">
        <f>_xlfn.XLOOKUP(Table8[[#This Row],[Supporter_ID]],tb1_supporters[Supporter_ID ],tb1_supporters[Segment],"")</f>
        <v>Mid-Value</v>
      </c>
      <c r="K706" t="str">
        <f>_xlfn.XLOOKUP(Table8[[#This Row],[Supporter_ID]],tb1_supporters[Supporter_ID ],tb1_supporters[Acquisition_Source],"")</f>
        <v>Referral</v>
      </c>
      <c r="L706" t="str">
        <f>_xlfn.XLOOKUP(Table8[[#This Row],[Supporter_ID]],tb1_supporters[Supporter_ID ],tb1_supporters[County],"")</f>
        <v>Grampian</v>
      </c>
      <c r="M706" t="str">
        <f>_xlfn.XLOOKUP(Table8[[#This Row],[Supporter_ID]],tb1_supporters[Supporter_ID ],tb1_supporters[Gender],"")</f>
        <v>Male</v>
      </c>
      <c r="N706">
        <f ca="1">_xlfn.XLOOKUP(Table8[[#This Row],[Supporter_ID]],tb1_supporters[Supporter_ID ],tb1_supporters[Age],"")</f>
        <v>92</v>
      </c>
      <c r="O706" t="str">
        <f ca="1">_xlfn.XLOOKUP(Table8[[#This Row],[Supporter_ID]],tb1_supporters[Supporter_ID ],tb1_supporters[Age_Band],"")</f>
        <v>65+</v>
      </c>
      <c r="P706" t="str">
        <f ca="1">IF(Table8[[#This Row],[Age_Band]]="","Unknown",Table8[[#This Row],[Age_Band]])</f>
        <v>65+</v>
      </c>
      <c r="Q706" t="str">
        <f>_xlfn.XLOOKUP(Table8[[#This Row],[Supporter_ID]],tb1_supporters[Supporter_ID ],tb1_supporters[Communication_Preference],"")</f>
        <v>Email</v>
      </c>
      <c r="R706" t="str">
        <f>_xlfn.XLOOKUP(Table8[[#This Row],[Supporter_ID]],tb1_supporters[Supporter_ID ],tb1_supporters[Duplicate_Profile_Flag],"")</f>
        <v/>
      </c>
      <c r="S706" t="str">
        <f>_xlfn.XLOOKUP(Table8[[#This Row],[Supporter_ID]],tb1_supporters[Supporter_ID ],tb1_supporters[Preference_Compliance_Flag],"")</f>
        <v/>
      </c>
      <c r="T706" t="str">
        <f ca="1">IF(Table8[[#This Row],[Age]]="","Review - missing DOB",IF(Table8[[#This Row],[Age]]&gt;TODAY(),"Review - future DOB",IF(Table8[[#This Row],[Age]]=0,"Review -  potential entry error (age 0)","")))</f>
        <v/>
      </c>
      <c r="U706" t="str">
        <f>_xlfn.XLOOKUP(Table8[[#This Row],[Campaign_Code]],tb3_CampaignMaster[Campaign_Code],tb3_CampaignMaster[Campaign_Type],"")</f>
        <v>Acquisition</v>
      </c>
      <c r="V706" t="str">
        <f>_xlfn.XLOOKUP(Table8[[#This Row],[Campaign_Code]],tb3_CampaignMaster[Campaign_Code],tb3_CampaignMaster[Target_Audience],"")</f>
        <v>Prospects</v>
      </c>
      <c r="W706" s="17">
        <f>_xlfn.XLOOKUP(Table8[[#This Row],[Campaign_Code]],tb3_CampaignMaster[Campaign_Code],tb3_CampaignMaster[Start_Date],"")</f>
        <v>45689</v>
      </c>
      <c r="X706" s="17">
        <f>_xlfn.XLOOKUP(Table8[[#This Row],[Campaign_Code]],tb3_CampaignMaster[Campaign_Code],tb3_CampaignMaster[End_Date],"")</f>
        <v>45777</v>
      </c>
      <c r="Y706">
        <f>_xlfn.XLOOKUP(Table8[[#This Row],[Campaign_Code]],tb3_CampaignMaster[Campaign_Code],tb3_CampaignMaster[Budget_GBP],"")</f>
        <v>20000</v>
      </c>
      <c r="Z706" t="str">
        <f>_xlfn.XLOOKUP(Table8[[#This Row],[Campaign_Code]],tb3_CampaignMaster[Campaign_Code],tb3_CampaignMaster[Primary_Channel],"")</f>
        <v>Digital</v>
      </c>
      <c r="AA706" s="13">
        <f>IF(Table8[[#This Row],[Gift_Aid_Eligible]]="Yes",Table8[[#This Row],[Gift_Amount]]*1.25,Table8[[#This Row],[Gift_Amount]])</f>
        <v>220.61</v>
      </c>
      <c r="AB706" t="str">
        <f>IF(Table8[[#This Row],[Supporter_ID]]="","Review - missing supporter ID","")</f>
        <v/>
      </c>
      <c r="AC706" t="str">
        <f>IF(OR(Table8[[#This Row],[Response_Date]]&lt;Table8[[#This Row],[Start_Date]],Table8[[#This Row],[Response_Date]]&gt;Table8[[#This Row],[End_Date]]),"Review - response outside campaign dates","")</f>
        <v/>
      </c>
      <c r="AD706" t="str">
        <f>IF(Table8[[#This Row],[Campaign_Type]]="","Review - campaign code not found","")</f>
        <v/>
      </c>
    </row>
    <row r="707" spans="1:30" x14ac:dyDescent="0.25">
      <c r="A707" t="s">
        <v>4521</v>
      </c>
      <c r="B707" t="s">
        <v>465</v>
      </c>
      <c r="C707" t="s">
        <v>3354</v>
      </c>
      <c r="D707" t="s">
        <v>3355</v>
      </c>
      <c r="E707" t="s">
        <v>4</v>
      </c>
      <c r="F707" s="17">
        <v>45618</v>
      </c>
      <c r="G707">
        <v>446.87</v>
      </c>
      <c r="H707" t="s">
        <v>36</v>
      </c>
      <c r="I707" t="s">
        <v>3365</v>
      </c>
      <c r="J707" t="str">
        <f>_xlfn.XLOOKUP(Table8[[#This Row],[Supporter_ID]],tb1_supporters[Supporter_ID ],tb1_supporters[Segment],"")</f>
        <v>Legacy Pledger</v>
      </c>
      <c r="K707" t="str">
        <f>_xlfn.XLOOKUP(Table8[[#This Row],[Supporter_ID]],tb1_supporters[Supporter_ID ],tb1_supporters[Acquisition_Source],"")</f>
        <v>Social Media</v>
      </c>
      <c r="L707" t="str">
        <f>_xlfn.XLOOKUP(Table8[[#This Row],[Supporter_ID]],tb1_supporters[Supporter_ID ],tb1_supporters[County],"")</f>
        <v>Somerset</v>
      </c>
      <c r="M707" t="str">
        <f>_xlfn.XLOOKUP(Table8[[#This Row],[Supporter_ID]],tb1_supporters[Supporter_ID ],tb1_supporters[Gender],"")</f>
        <v>Female</v>
      </c>
      <c r="N707">
        <f ca="1">_xlfn.XLOOKUP(Table8[[#This Row],[Supporter_ID]],tb1_supporters[Supporter_ID ],tb1_supporters[Age],"")</f>
        <v>61</v>
      </c>
      <c r="O707" t="str">
        <f ca="1">_xlfn.XLOOKUP(Table8[[#This Row],[Supporter_ID]],tb1_supporters[Supporter_ID ],tb1_supporters[Age_Band],"")</f>
        <v>50-64</v>
      </c>
      <c r="P707" t="str">
        <f ca="1">IF(Table8[[#This Row],[Age_Band]]="","Unknown",Table8[[#This Row],[Age_Band]])</f>
        <v>50-64</v>
      </c>
      <c r="Q707" t="str">
        <f>_xlfn.XLOOKUP(Table8[[#This Row],[Supporter_ID]],tb1_supporters[Supporter_ID ],tb1_supporters[Communication_Preference],"")</f>
        <v>Phone</v>
      </c>
      <c r="R707" t="str">
        <f>_xlfn.XLOOKUP(Table8[[#This Row],[Supporter_ID]],tb1_supporters[Supporter_ID ],tb1_supporters[Duplicate_Profile_Flag],"")</f>
        <v/>
      </c>
      <c r="S707" t="str">
        <f>_xlfn.XLOOKUP(Table8[[#This Row],[Supporter_ID]],tb1_supporters[Supporter_ID ],tb1_supporters[Preference_Compliance_Flag],"")</f>
        <v/>
      </c>
      <c r="T707" t="str">
        <f ca="1">IF(Table8[[#This Row],[Age]]="","Review - missing DOB",IF(Table8[[#This Row],[Age]]&gt;TODAY(),"Review - future DOB",IF(Table8[[#This Row],[Age]]=0,"Review -  potential entry error (age 0)","")))</f>
        <v/>
      </c>
      <c r="U707" t="str">
        <f>_xlfn.XLOOKUP(Table8[[#This Row],[Campaign_Code]],tb3_CampaignMaster[Campaign_Code],tb3_CampaignMaster[Campaign_Type],"")</f>
        <v>Event</v>
      </c>
      <c r="V707" t="str">
        <f>_xlfn.XLOOKUP(Table8[[#This Row],[Campaign_Code]],tb3_CampaignMaster[Campaign_Code],tb3_CampaignMaster[Target_Audience],"")</f>
        <v>Volunteers</v>
      </c>
      <c r="W707" s="17">
        <f>_xlfn.XLOOKUP(Table8[[#This Row],[Campaign_Code]],tb3_CampaignMaster[Campaign_Code],tb3_CampaignMaster[Start_Date],"")</f>
        <v>45618</v>
      </c>
      <c r="X707" s="17">
        <f>_xlfn.XLOOKUP(Table8[[#This Row],[Campaign_Code]],tb3_CampaignMaster[Campaign_Code],tb3_CampaignMaster[End_Date],"")</f>
        <v>45618</v>
      </c>
      <c r="Y707">
        <f>_xlfn.XLOOKUP(Table8[[#This Row],[Campaign_Code]],tb3_CampaignMaster[Campaign_Code],tb3_CampaignMaster[Budget_GBP],"")</f>
        <v>3500</v>
      </c>
      <c r="Z707" t="str">
        <f>_xlfn.XLOOKUP(Table8[[#This Row],[Campaign_Code]],tb3_CampaignMaster[Campaign_Code],tb3_CampaignMaster[Primary_Channel],"")</f>
        <v>Email</v>
      </c>
      <c r="AA707" s="13">
        <f>IF(Table8[[#This Row],[Gift_Aid_Eligible]]="Yes",Table8[[#This Row],[Gift_Amount]]*1.25,Table8[[#This Row],[Gift_Amount]])</f>
        <v>558.58749999999998</v>
      </c>
      <c r="AB707" t="str">
        <f>IF(Table8[[#This Row],[Supporter_ID]]="","Review - missing supporter ID","")</f>
        <v/>
      </c>
      <c r="AC707" t="str">
        <f>IF(OR(Table8[[#This Row],[Response_Date]]&lt;Table8[[#This Row],[Start_Date]],Table8[[#This Row],[Response_Date]]&gt;Table8[[#This Row],[End_Date]]),"Review - response outside campaign dates","")</f>
        <v/>
      </c>
      <c r="AD707" t="str">
        <f>IF(Table8[[#This Row],[Campaign_Type]]="","Review - campaign code not found","")</f>
        <v/>
      </c>
    </row>
    <row r="708" spans="1:30" x14ac:dyDescent="0.25">
      <c r="A708" t="s">
        <v>4522</v>
      </c>
      <c r="B708" t="s">
        <v>1522</v>
      </c>
      <c r="C708" t="s">
        <v>3314</v>
      </c>
      <c r="D708" t="s">
        <v>3315</v>
      </c>
      <c r="E708" t="s">
        <v>65</v>
      </c>
      <c r="F708" s="17">
        <v>45694</v>
      </c>
      <c r="G708">
        <v>135.88999999999999</v>
      </c>
      <c r="H708" t="s">
        <v>37</v>
      </c>
      <c r="I708" t="s">
        <v>3331</v>
      </c>
      <c r="J708" t="str">
        <f>_xlfn.XLOOKUP(Table8[[#This Row],[Supporter_ID]],tb1_supporters[Supporter_ID ],tb1_supporters[Segment],"")</f>
        <v>One-Time Donor</v>
      </c>
      <c r="K708" t="str">
        <f>_xlfn.XLOOKUP(Table8[[#This Row],[Supporter_ID]],tb1_supporters[Supporter_ID ],tb1_supporters[Acquisition_Source],"")</f>
        <v>Website</v>
      </c>
      <c r="L708" t="str">
        <f>_xlfn.XLOOKUP(Table8[[#This Row],[Supporter_ID]],tb1_supporters[Supporter_ID ],tb1_supporters[County],"")</f>
        <v>Angus</v>
      </c>
      <c r="M708" t="str">
        <f>_xlfn.XLOOKUP(Table8[[#This Row],[Supporter_ID]],tb1_supporters[Supporter_ID ],tb1_supporters[Gender],"")</f>
        <v>Male</v>
      </c>
      <c r="N708">
        <f ca="1">_xlfn.XLOOKUP(Table8[[#This Row],[Supporter_ID]],tb1_supporters[Supporter_ID ],tb1_supporters[Age],"")</f>
        <v>61</v>
      </c>
      <c r="O708" t="str">
        <f ca="1">_xlfn.XLOOKUP(Table8[[#This Row],[Supporter_ID]],tb1_supporters[Supporter_ID ],tb1_supporters[Age_Band],"")</f>
        <v>50-64</v>
      </c>
      <c r="P708" t="str">
        <f ca="1">IF(Table8[[#This Row],[Age_Band]]="","Unknown",Table8[[#This Row],[Age_Band]])</f>
        <v>50-64</v>
      </c>
      <c r="Q708" t="str">
        <f>_xlfn.XLOOKUP(Table8[[#This Row],[Supporter_ID]],tb1_supporters[Supporter_ID ],tb1_supporters[Communication_Preference],"")</f>
        <v>Email</v>
      </c>
      <c r="R708" t="str">
        <f>_xlfn.XLOOKUP(Table8[[#This Row],[Supporter_ID]],tb1_supporters[Supporter_ID ],tb1_supporters[Duplicate_Profile_Flag],"")</f>
        <v/>
      </c>
      <c r="S708" t="str">
        <f>_xlfn.XLOOKUP(Table8[[#This Row],[Supporter_ID]],tb1_supporters[Supporter_ID ],tb1_supporters[Preference_Compliance_Flag],"")</f>
        <v/>
      </c>
      <c r="T708" t="str">
        <f ca="1">IF(Table8[[#This Row],[Age]]="","Review - missing DOB",IF(Table8[[#This Row],[Age]]&gt;TODAY(),"Review - future DOB",IF(Table8[[#This Row],[Age]]=0,"Review -  potential entry error (age 0)","")))</f>
        <v/>
      </c>
      <c r="U708" t="str">
        <f>_xlfn.XLOOKUP(Table8[[#This Row],[Campaign_Code]],tb3_CampaignMaster[Campaign_Code],tb3_CampaignMaster[Campaign_Type],"")</f>
        <v>Regular Giving</v>
      </c>
      <c r="V708" t="str">
        <f>_xlfn.XLOOKUP(Table8[[#This Row],[Campaign_Code]],tb3_CampaignMaster[Campaign_Code],tb3_CampaignMaster[Target_Audience],"")</f>
        <v>One-time Donors</v>
      </c>
      <c r="W708" s="17">
        <f>_xlfn.XLOOKUP(Table8[[#This Row],[Campaign_Code]],tb3_CampaignMaster[Campaign_Code],tb3_CampaignMaster[Start_Date],"")</f>
        <v>45663</v>
      </c>
      <c r="X708" s="17">
        <f>_xlfn.XLOOKUP(Table8[[#This Row],[Campaign_Code]],tb3_CampaignMaster[Campaign_Code],tb3_CampaignMaster[End_Date],"")</f>
        <v>45747</v>
      </c>
      <c r="Y708">
        <f>_xlfn.XLOOKUP(Table8[[#This Row],[Campaign_Code]],tb3_CampaignMaster[Campaign_Code],tb3_CampaignMaster[Budget_GBP],"")</f>
        <v>10000</v>
      </c>
      <c r="Z708" t="str">
        <f>_xlfn.XLOOKUP(Table8[[#This Row],[Campaign_Code]],tb3_CampaignMaster[Campaign_Code],tb3_CampaignMaster[Primary_Channel],"")</f>
        <v>Telephone</v>
      </c>
      <c r="AA708" s="13">
        <f>IF(Table8[[#This Row],[Gift_Aid_Eligible]]="Yes",Table8[[#This Row],[Gift_Amount]]*1.25,Table8[[#This Row],[Gift_Amount]])</f>
        <v>135.88999999999999</v>
      </c>
      <c r="AB708" t="str">
        <f>IF(Table8[[#This Row],[Supporter_ID]]="","Review - missing supporter ID","")</f>
        <v/>
      </c>
      <c r="AC708" t="str">
        <f>IF(OR(Table8[[#This Row],[Response_Date]]&lt;Table8[[#This Row],[Start_Date]],Table8[[#This Row],[Response_Date]]&gt;Table8[[#This Row],[End_Date]]),"Review - response outside campaign dates","")</f>
        <v/>
      </c>
      <c r="AD708" t="str">
        <f>IF(Table8[[#This Row],[Campaign_Type]]="","Review - campaign code not found","")</f>
        <v/>
      </c>
    </row>
    <row r="709" spans="1:30" x14ac:dyDescent="0.25">
      <c r="A709" t="s">
        <v>4523</v>
      </c>
      <c r="B709" t="s">
        <v>1826</v>
      </c>
      <c r="C709" t="s">
        <v>3314</v>
      </c>
      <c r="D709" t="s">
        <v>3315</v>
      </c>
      <c r="E709" t="s">
        <v>3316</v>
      </c>
      <c r="F709" s="17">
        <v>45704</v>
      </c>
      <c r="G709">
        <v>1130.43</v>
      </c>
      <c r="H709" t="s">
        <v>36</v>
      </c>
      <c r="I709" t="s">
        <v>3385</v>
      </c>
      <c r="J709" t="str">
        <f>_xlfn.XLOOKUP(Table8[[#This Row],[Supporter_ID]],tb1_supporters[Supporter_ID ],tb1_supporters[Segment],"")</f>
        <v>Major Donor</v>
      </c>
      <c r="K709" t="str">
        <f>_xlfn.XLOOKUP(Table8[[#This Row],[Supporter_ID]],tb1_supporters[Supporter_ID ],tb1_supporters[Acquisition_Source],"")</f>
        <v>Direct Mail</v>
      </c>
      <c r="L709" t="str">
        <f>_xlfn.XLOOKUP(Table8[[#This Row],[Supporter_ID]],tb1_supporters[Supporter_ID ],tb1_supporters[County],"")</f>
        <v>Wiltshire</v>
      </c>
      <c r="M709" t="str">
        <f>_xlfn.XLOOKUP(Table8[[#This Row],[Supporter_ID]],tb1_supporters[Supporter_ID ],tb1_supporters[Gender],"")</f>
        <v>Male</v>
      </c>
      <c r="N709">
        <f ca="1">_xlfn.XLOOKUP(Table8[[#This Row],[Supporter_ID]],tb1_supporters[Supporter_ID ],tb1_supporters[Age],"")</f>
        <v>55</v>
      </c>
      <c r="O709" t="str">
        <f ca="1">_xlfn.XLOOKUP(Table8[[#This Row],[Supporter_ID]],tb1_supporters[Supporter_ID ],tb1_supporters[Age_Band],"")</f>
        <v>50-64</v>
      </c>
      <c r="P709" t="str">
        <f ca="1">IF(Table8[[#This Row],[Age_Band]]="","Unknown",Table8[[#This Row],[Age_Band]])</f>
        <v>50-64</v>
      </c>
      <c r="Q709" t="str">
        <f>_xlfn.XLOOKUP(Table8[[#This Row],[Supporter_ID]],tb1_supporters[Supporter_ID ],tb1_supporters[Communication_Preference],"")</f>
        <v>No Preference</v>
      </c>
      <c r="R709" t="str">
        <f>_xlfn.XLOOKUP(Table8[[#This Row],[Supporter_ID]],tb1_supporters[Supporter_ID ],tb1_supporters[Duplicate_Profile_Flag],"")</f>
        <v/>
      </c>
      <c r="S709" t="str">
        <f>_xlfn.XLOOKUP(Table8[[#This Row],[Supporter_ID]],tb1_supporters[Supporter_ID ],tb1_supporters[Preference_Compliance_Flag],"")</f>
        <v/>
      </c>
      <c r="T709" t="str">
        <f ca="1">IF(Table8[[#This Row],[Age]]="","Review - missing DOB",IF(Table8[[#This Row],[Age]]&gt;TODAY(),"Review - future DOB",IF(Table8[[#This Row],[Age]]=0,"Review -  potential entry error (age 0)","")))</f>
        <v/>
      </c>
      <c r="U709" t="str">
        <f>_xlfn.XLOOKUP(Table8[[#This Row],[Campaign_Code]],tb3_CampaignMaster[Campaign_Code],tb3_CampaignMaster[Campaign_Type],"")</f>
        <v>Regular Giving</v>
      </c>
      <c r="V709" t="str">
        <f>_xlfn.XLOOKUP(Table8[[#This Row],[Campaign_Code]],tb3_CampaignMaster[Campaign_Code],tb3_CampaignMaster[Target_Audience],"")</f>
        <v>One-time Donors</v>
      </c>
      <c r="W709" s="17">
        <f>_xlfn.XLOOKUP(Table8[[#This Row],[Campaign_Code]],tb3_CampaignMaster[Campaign_Code],tb3_CampaignMaster[Start_Date],"")</f>
        <v>45663</v>
      </c>
      <c r="X709" s="17">
        <f>_xlfn.XLOOKUP(Table8[[#This Row],[Campaign_Code]],tb3_CampaignMaster[Campaign_Code],tb3_CampaignMaster[End_Date],"")</f>
        <v>45747</v>
      </c>
      <c r="Y709">
        <f>_xlfn.XLOOKUP(Table8[[#This Row],[Campaign_Code]],tb3_CampaignMaster[Campaign_Code],tb3_CampaignMaster[Budget_GBP],"")</f>
        <v>10000</v>
      </c>
      <c r="Z709" t="str">
        <f>_xlfn.XLOOKUP(Table8[[#This Row],[Campaign_Code]],tb3_CampaignMaster[Campaign_Code],tb3_CampaignMaster[Primary_Channel],"")</f>
        <v>Telephone</v>
      </c>
      <c r="AA709" s="13">
        <f>IF(Table8[[#This Row],[Gift_Aid_Eligible]]="Yes",Table8[[#This Row],[Gift_Amount]]*1.25,Table8[[#This Row],[Gift_Amount]])</f>
        <v>1413.0375000000001</v>
      </c>
      <c r="AB709" t="str">
        <f>IF(Table8[[#This Row],[Supporter_ID]]="","Review - missing supporter ID","")</f>
        <v/>
      </c>
      <c r="AC709" t="str">
        <f>IF(OR(Table8[[#This Row],[Response_Date]]&lt;Table8[[#This Row],[Start_Date]],Table8[[#This Row],[Response_Date]]&gt;Table8[[#This Row],[End_Date]]),"Review - response outside campaign dates","")</f>
        <v/>
      </c>
      <c r="AD709" t="str">
        <f>IF(Table8[[#This Row],[Campaign_Type]]="","Review - campaign code not found","")</f>
        <v/>
      </c>
    </row>
    <row r="710" spans="1:30" x14ac:dyDescent="0.25">
      <c r="A710" t="s">
        <v>4525</v>
      </c>
      <c r="B710" t="s">
        <v>1897</v>
      </c>
      <c r="C710" t="s">
        <v>3354</v>
      </c>
      <c r="D710" t="s">
        <v>3355</v>
      </c>
      <c r="E710" t="s">
        <v>4</v>
      </c>
      <c r="F710" s="17">
        <v>45618</v>
      </c>
      <c r="G710">
        <v>202.01</v>
      </c>
      <c r="H710" t="s">
        <v>37</v>
      </c>
      <c r="I710" t="s">
        <v>3385</v>
      </c>
      <c r="J710" t="str">
        <f>_xlfn.XLOOKUP(Table8[[#This Row],[Supporter_ID]],tb1_supporters[Supporter_ID ],tb1_supporters[Segment],"")</f>
        <v>Legacy Pledger</v>
      </c>
      <c r="K710" t="str">
        <f>_xlfn.XLOOKUP(Table8[[#This Row],[Supporter_ID]],tb1_supporters[Supporter_ID ],tb1_supporters[Acquisition_Source],"")</f>
        <v>Referral</v>
      </c>
      <c r="L710" t="str">
        <f>_xlfn.XLOOKUP(Table8[[#This Row],[Supporter_ID]],tb1_supporters[Supporter_ID ],tb1_supporters[County],"")</f>
        <v>Surrey</v>
      </c>
      <c r="M710" t="str">
        <f>_xlfn.XLOOKUP(Table8[[#This Row],[Supporter_ID]],tb1_supporters[Supporter_ID ],tb1_supporters[Gender],"")</f>
        <v>Male</v>
      </c>
      <c r="N710">
        <f ca="1">_xlfn.XLOOKUP(Table8[[#This Row],[Supporter_ID]],tb1_supporters[Supporter_ID ],tb1_supporters[Age],"")</f>
        <v>43</v>
      </c>
      <c r="O710" t="str">
        <f ca="1">_xlfn.XLOOKUP(Table8[[#This Row],[Supporter_ID]],tb1_supporters[Supporter_ID ],tb1_supporters[Age_Band],"")</f>
        <v>35-49</v>
      </c>
      <c r="P710" t="str">
        <f ca="1">IF(Table8[[#This Row],[Age_Band]]="","Unknown",Table8[[#This Row],[Age_Band]])</f>
        <v>35-49</v>
      </c>
      <c r="Q710" t="str">
        <f>_xlfn.XLOOKUP(Table8[[#This Row],[Supporter_ID]],tb1_supporters[Supporter_ID ],tb1_supporters[Communication_Preference],"")</f>
        <v>Post</v>
      </c>
      <c r="R710" t="str">
        <f>_xlfn.XLOOKUP(Table8[[#This Row],[Supporter_ID]],tb1_supporters[Supporter_ID ],tb1_supporters[Duplicate_Profile_Flag],"")</f>
        <v/>
      </c>
      <c r="S710" t="str">
        <f>_xlfn.XLOOKUP(Table8[[#This Row],[Supporter_ID]],tb1_supporters[Supporter_ID ],tb1_supporters[Preference_Compliance_Flag],"")</f>
        <v/>
      </c>
      <c r="T710" t="str">
        <f ca="1">IF(Table8[[#This Row],[Age]]="","Review - missing DOB",IF(Table8[[#This Row],[Age]]&gt;TODAY(),"Review - future DOB",IF(Table8[[#This Row],[Age]]=0,"Review -  potential entry error (age 0)","")))</f>
        <v/>
      </c>
      <c r="U710" t="str">
        <f>_xlfn.XLOOKUP(Table8[[#This Row],[Campaign_Code]],tb3_CampaignMaster[Campaign_Code],tb3_CampaignMaster[Campaign_Type],"")</f>
        <v>Event</v>
      </c>
      <c r="V710" t="str">
        <f>_xlfn.XLOOKUP(Table8[[#This Row],[Campaign_Code]],tb3_CampaignMaster[Campaign_Code],tb3_CampaignMaster[Target_Audience],"")</f>
        <v>Volunteers</v>
      </c>
      <c r="W710" s="17">
        <f>_xlfn.XLOOKUP(Table8[[#This Row],[Campaign_Code]],tb3_CampaignMaster[Campaign_Code],tb3_CampaignMaster[Start_Date],"")</f>
        <v>45618</v>
      </c>
      <c r="X710" s="17">
        <f>_xlfn.XLOOKUP(Table8[[#This Row],[Campaign_Code]],tb3_CampaignMaster[Campaign_Code],tb3_CampaignMaster[End_Date],"")</f>
        <v>45618</v>
      </c>
      <c r="Y710">
        <f>_xlfn.XLOOKUP(Table8[[#This Row],[Campaign_Code]],tb3_CampaignMaster[Campaign_Code],tb3_CampaignMaster[Budget_GBP],"")</f>
        <v>3500</v>
      </c>
      <c r="Z710" t="str">
        <f>_xlfn.XLOOKUP(Table8[[#This Row],[Campaign_Code]],tb3_CampaignMaster[Campaign_Code],tb3_CampaignMaster[Primary_Channel],"")</f>
        <v>Email</v>
      </c>
      <c r="AA710" s="13">
        <f>IF(Table8[[#This Row],[Gift_Aid_Eligible]]="Yes",Table8[[#This Row],[Gift_Amount]]*1.25,Table8[[#This Row],[Gift_Amount]])</f>
        <v>202.01</v>
      </c>
      <c r="AB710" t="str">
        <f>IF(Table8[[#This Row],[Supporter_ID]]="","Review - missing supporter ID","")</f>
        <v/>
      </c>
      <c r="AC710" t="str">
        <f>IF(OR(Table8[[#This Row],[Response_Date]]&lt;Table8[[#This Row],[Start_Date]],Table8[[#This Row],[Response_Date]]&gt;Table8[[#This Row],[End_Date]]),"Review - response outside campaign dates","")</f>
        <v/>
      </c>
      <c r="AD710" t="str">
        <f>IF(Table8[[#This Row],[Campaign_Type]]="","Review - campaign code not found","")</f>
        <v/>
      </c>
    </row>
    <row r="711" spans="1:30" x14ac:dyDescent="0.25">
      <c r="A711" t="s">
        <v>4526</v>
      </c>
      <c r="B711" t="s">
        <v>1585</v>
      </c>
      <c r="C711" t="s">
        <v>3367</v>
      </c>
      <c r="D711" t="s">
        <v>3368</v>
      </c>
      <c r="E711" t="s">
        <v>4</v>
      </c>
      <c r="F711" s="17">
        <v>45755</v>
      </c>
      <c r="G711">
        <v>491.48</v>
      </c>
      <c r="H711" t="s">
        <v>37</v>
      </c>
      <c r="I711" t="s">
        <v>3334</v>
      </c>
      <c r="J711" t="str">
        <f>_xlfn.XLOOKUP(Table8[[#This Row],[Supporter_ID]],tb1_supporters[Supporter_ID ],tb1_supporters[Segment],"")</f>
        <v>Legacy Pledger</v>
      </c>
      <c r="K711" t="str">
        <f>_xlfn.XLOOKUP(Table8[[#This Row],[Supporter_ID]],tb1_supporters[Supporter_ID ],tb1_supporters[Acquisition_Source],"")</f>
        <v>Website</v>
      </c>
      <c r="L711" t="str">
        <f>_xlfn.XLOOKUP(Table8[[#This Row],[Supporter_ID]],tb1_supporters[Supporter_ID ],tb1_supporters[County],"")</f>
        <v>Hampshire</v>
      </c>
      <c r="M711" t="str">
        <f>_xlfn.XLOOKUP(Table8[[#This Row],[Supporter_ID]],tb1_supporters[Supporter_ID ],tb1_supporters[Gender],"")</f>
        <v>Male</v>
      </c>
      <c r="N711">
        <f ca="1">_xlfn.XLOOKUP(Table8[[#This Row],[Supporter_ID]],tb1_supporters[Supporter_ID ],tb1_supporters[Age],"")</f>
        <v>57</v>
      </c>
      <c r="O711" t="str">
        <f ca="1">_xlfn.XLOOKUP(Table8[[#This Row],[Supporter_ID]],tb1_supporters[Supporter_ID ],tb1_supporters[Age_Band],"")</f>
        <v>50-64</v>
      </c>
      <c r="P711" t="str">
        <f ca="1">IF(Table8[[#This Row],[Age_Band]]="","Unknown",Table8[[#This Row],[Age_Band]])</f>
        <v>50-64</v>
      </c>
      <c r="Q711" t="str">
        <f>_xlfn.XLOOKUP(Table8[[#This Row],[Supporter_ID]],tb1_supporters[Supporter_ID ],tb1_supporters[Communication_Preference],"")</f>
        <v>Email</v>
      </c>
      <c r="R711" t="str">
        <f>_xlfn.XLOOKUP(Table8[[#This Row],[Supporter_ID]],tb1_supporters[Supporter_ID ],tb1_supporters[Duplicate_Profile_Flag],"")</f>
        <v/>
      </c>
      <c r="S711" t="str">
        <f>_xlfn.XLOOKUP(Table8[[#This Row],[Supporter_ID]],tb1_supporters[Supporter_ID ],tb1_supporters[Preference_Compliance_Flag],"")</f>
        <v/>
      </c>
      <c r="T711" t="str">
        <f ca="1">IF(Table8[[#This Row],[Age]]="","Review - missing DOB",IF(Table8[[#This Row],[Age]]&gt;TODAY(),"Review - future DOB",IF(Table8[[#This Row],[Age]]=0,"Review -  potential entry error (age 0)","")))</f>
        <v/>
      </c>
      <c r="U711" t="str">
        <f>_xlfn.XLOOKUP(Table8[[#This Row],[Campaign_Code]],tb3_CampaignMaster[Campaign_Code],tb3_CampaignMaster[Campaign_Type],"")</f>
        <v>Raffle</v>
      </c>
      <c r="V711" t="str">
        <f>_xlfn.XLOOKUP(Table8[[#This Row],[Campaign_Code]],tb3_CampaignMaster[Campaign_Code],tb3_CampaignMaster[Target_Audience],"")</f>
        <v>Regular Givers</v>
      </c>
      <c r="W711" s="17">
        <f>_xlfn.XLOOKUP(Table8[[#This Row],[Campaign_Code]],tb3_CampaignMaster[Campaign_Code],tb3_CampaignMaster[Start_Date],"")</f>
        <v>45717</v>
      </c>
      <c r="X711" s="17">
        <f>_xlfn.XLOOKUP(Table8[[#This Row],[Campaign_Code]],tb3_CampaignMaster[Campaign_Code],tb3_CampaignMaster[End_Date],"")</f>
        <v>45777</v>
      </c>
      <c r="Y711">
        <f>_xlfn.XLOOKUP(Table8[[#This Row],[Campaign_Code]],tb3_CampaignMaster[Campaign_Code],tb3_CampaignMaster[Budget_GBP],"")</f>
        <v>8000</v>
      </c>
      <c r="Z711" t="str">
        <f>_xlfn.XLOOKUP(Table8[[#This Row],[Campaign_Code]],tb3_CampaignMaster[Campaign_Code],tb3_CampaignMaster[Primary_Channel],"")</f>
        <v>Direct Mail</v>
      </c>
      <c r="AA711" s="13">
        <f>IF(Table8[[#This Row],[Gift_Aid_Eligible]]="Yes",Table8[[#This Row],[Gift_Amount]]*1.25,Table8[[#This Row],[Gift_Amount]])</f>
        <v>491.48</v>
      </c>
      <c r="AB711" t="str">
        <f>IF(Table8[[#This Row],[Supporter_ID]]="","Review - missing supporter ID","")</f>
        <v/>
      </c>
      <c r="AC711" t="str">
        <f>IF(OR(Table8[[#This Row],[Response_Date]]&lt;Table8[[#This Row],[Start_Date]],Table8[[#This Row],[Response_Date]]&gt;Table8[[#This Row],[End_Date]]),"Review - response outside campaign dates","")</f>
        <v/>
      </c>
      <c r="AD711" t="str">
        <f>IF(Table8[[#This Row],[Campaign_Type]]="","Review - campaign code not found","")</f>
        <v/>
      </c>
    </row>
    <row r="712" spans="1:30" x14ac:dyDescent="0.25">
      <c r="A712" t="s">
        <v>4528</v>
      </c>
      <c r="B712" t="s">
        <v>2668</v>
      </c>
      <c r="C712" t="s">
        <v>3325</v>
      </c>
      <c r="D712" t="s">
        <v>3326</v>
      </c>
      <c r="E712" t="s">
        <v>3316</v>
      </c>
      <c r="F712" s="17">
        <v>45607</v>
      </c>
      <c r="G712">
        <v>20.73</v>
      </c>
      <c r="H712" t="s">
        <v>37</v>
      </c>
      <c r="I712" t="s">
        <v>3370</v>
      </c>
      <c r="J712" t="str">
        <f>_xlfn.XLOOKUP(Table8[[#This Row],[Supporter_ID]],tb1_supporters[Supporter_ID ],tb1_supporters[Segment],"")</f>
        <v>Lapsed</v>
      </c>
      <c r="K712" t="str">
        <f>_xlfn.XLOOKUP(Table8[[#This Row],[Supporter_ID]],tb1_supporters[Supporter_ID ],tb1_supporters[Acquisition_Source],"")</f>
        <v>Door-To-Door</v>
      </c>
      <c r="L712" t="str">
        <f>_xlfn.XLOOKUP(Table8[[#This Row],[Supporter_ID]],tb1_supporters[Supporter_ID ],tb1_supporters[County],"")</f>
        <v>Berkshire</v>
      </c>
      <c r="M712" t="str">
        <f>_xlfn.XLOOKUP(Table8[[#This Row],[Supporter_ID]],tb1_supporters[Supporter_ID ],tb1_supporters[Gender],"")</f>
        <v>Male</v>
      </c>
      <c r="N712">
        <f ca="1">_xlfn.XLOOKUP(Table8[[#This Row],[Supporter_ID]],tb1_supporters[Supporter_ID ],tb1_supporters[Age],"")</f>
        <v>27</v>
      </c>
      <c r="O712" t="str">
        <f ca="1">_xlfn.XLOOKUP(Table8[[#This Row],[Supporter_ID]],tb1_supporters[Supporter_ID ],tb1_supporters[Age_Band],"")</f>
        <v>18-34</v>
      </c>
      <c r="P712" t="str">
        <f ca="1">IF(Table8[[#This Row],[Age_Band]]="","Unknown",Table8[[#This Row],[Age_Band]])</f>
        <v>18-34</v>
      </c>
      <c r="Q712" t="str">
        <f>_xlfn.XLOOKUP(Table8[[#This Row],[Supporter_ID]],tb1_supporters[Supporter_ID ],tb1_supporters[Communication_Preference],"")</f>
        <v>Post</v>
      </c>
      <c r="R712" t="str">
        <f>_xlfn.XLOOKUP(Table8[[#This Row],[Supporter_ID]],tb1_supporters[Supporter_ID ],tb1_supporters[Duplicate_Profile_Flag],"")</f>
        <v/>
      </c>
      <c r="S712" t="str">
        <f>_xlfn.XLOOKUP(Table8[[#This Row],[Supporter_ID]],tb1_supporters[Supporter_ID ],tb1_supporters[Preference_Compliance_Flag],"")</f>
        <v>Review - prefers post but not opted in</v>
      </c>
      <c r="T712" t="str">
        <f ca="1">IF(Table8[[#This Row],[Age]]="","Review - missing DOB",IF(Table8[[#This Row],[Age]]&gt;TODAY(),"Review - future DOB",IF(Table8[[#This Row],[Age]]=0,"Review -  potential entry error (age 0)","")))</f>
        <v/>
      </c>
      <c r="U712" t="str">
        <f>_xlfn.XLOOKUP(Table8[[#This Row],[Campaign_Code]],tb3_CampaignMaster[Campaign_Code],tb3_CampaignMaster[Campaign_Type],"")</f>
        <v>Appeal</v>
      </c>
      <c r="V712" t="str">
        <f>_xlfn.XLOOKUP(Table8[[#This Row],[Campaign_Code]],tb3_CampaignMaster[Campaign_Code],tb3_CampaignMaster[Target_Audience],"")</f>
        <v>All Active</v>
      </c>
      <c r="W712" s="17">
        <f>_xlfn.XLOOKUP(Table8[[#This Row],[Campaign_Code]],tb3_CampaignMaster[Campaign_Code],tb3_CampaignMaster[Start_Date],"")</f>
        <v>45597</v>
      </c>
      <c r="X712" s="17">
        <f>_xlfn.XLOOKUP(Table8[[#This Row],[Campaign_Code]],tb3_CampaignMaster[Campaign_Code],tb3_CampaignMaster[End_Date],"")</f>
        <v>45657</v>
      </c>
      <c r="Y712">
        <f>_xlfn.XLOOKUP(Table8[[#This Row],[Campaign_Code]],tb3_CampaignMaster[Campaign_Code],tb3_CampaignMaster[Budget_GBP],"")</f>
        <v>25000</v>
      </c>
      <c r="Z712" t="str">
        <f>_xlfn.XLOOKUP(Table8[[#This Row],[Campaign_Code]],tb3_CampaignMaster[Campaign_Code],tb3_CampaignMaster[Primary_Channel],"")</f>
        <v>Multi-channel</v>
      </c>
      <c r="AA712" s="13">
        <f>IF(Table8[[#This Row],[Gift_Aid_Eligible]]="Yes",Table8[[#This Row],[Gift_Amount]]*1.25,Table8[[#This Row],[Gift_Amount]])</f>
        <v>20.73</v>
      </c>
      <c r="AB712" t="str">
        <f>IF(Table8[[#This Row],[Supporter_ID]]="","Review - missing supporter ID","")</f>
        <v/>
      </c>
      <c r="AC712" t="str">
        <f>IF(OR(Table8[[#This Row],[Response_Date]]&lt;Table8[[#This Row],[Start_Date]],Table8[[#This Row],[Response_Date]]&gt;Table8[[#This Row],[End_Date]]),"Review - response outside campaign dates","")</f>
        <v/>
      </c>
      <c r="AD712" t="str">
        <f>IF(Table8[[#This Row],[Campaign_Type]]="","Review - campaign code not found","")</f>
        <v/>
      </c>
    </row>
    <row r="713" spans="1:30" x14ac:dyDescent="0.25">
      <c r="A713" t="s">
        <v>4530</v>
      </c>
      <c r="B713" t="s">
        <v>2568</v>
      </c>
      <c r="C713" t="s">
        <v>3325</v>
      </c>
      <c r="D713" t="s">
        <v>3326</v>
      </c>
      <c r="E713" t="s">
        <v>3316</v>
      </c>
      <c r="F713" s="17">
        <v>45652</v>
      </c>
      <c r="G713">
        <v>470.22</v>
      </c>
      <c r="H713" t="s">
        <v>37</v>
      </c>
      <c r="I713" t="s">
        <v>3370</v>
      </c>
      <c r="J713" t="str">
        <f>_xlfn.XLOOKUP(Table8[[#This Row],[Supporter_ID]],tb1_supporters[Supporter_ID ],tb1_supporters[Segment],"")</f>
        <v>Legacy Pledger</v>
      </c>
      <c r="K713" t="str">
        <f>_xlfn.XLOOKUP(Table8[[#This Row],[Supporter_ID]],tb1_supporters[Supporter_ID ],tb1_supporters[Acquisition_Source],"")</f>
        <v>Door-To-Door</v>
      </c>
      <c r="L713" t="str">
        <f>_xlfn.XLOOKUP(Table8[[#This Row],[Supporter_ID]],tb1_supporters[Supporter_ID ],tb1_supporters[County],"")</f>
        <v>West Glamorgan</v>
      </c>
      <c r="M713" t="str">
        <f>_xlfn.XLOOKUP(Table8[[#This Row],[Supporter_ID]],tb1_supporters[Supporter_ID ],tb1_supporters[Gender],"")</f>
        <v>Female</v>
      </c>
      <c r="N713">
        <f ca="1">_xlfn.XLOOKUP(Table8[[#This Row],[Supporter_ID]],tb1_supporters[Supporter_ID ],tb1_supporters[Age],"")</f>
        <v>62</v>
      </c>
      <c r="O713" t="str">
        <f ca="1">_xlfn.XLOOKUP(Table8[[#This Row],[Supporter_ID]],tb1_supporters[Supporter_ID ],tb1_supporters[Age_Band],"")</f>
        <v>50-64</v>
      </c>
      <c r="P713" t="str">
        <f ca="1">IF(Table8[[#This Row],[Age_Band]]="","Unknown",Table8[[#This Row],[Age_Band]])</f>
        <v>50-64</v>
      </c>
      <c r="Q713" t="str">
        <f>_xlfn.XLOOKUP(Table8[[#This Row],[Supporter_ID]],tb1_supporters[Supporter_ID ],tb1_supporters[Communication_Preference],"")</f>
        <v>Post</v>
      </c>
      <c r="R713" t="str">
        <f>_xlfn.XLOOKUP(Table8[[#This Row],[Supporter_ID]],tb1_supporters[Supporter_ID ],tb1_supporters[Duplicate_Profile_Flag],"")</f>
        <v/>
      </c>
      <c r="S713" t="str">
        <f>_xlfn.XLOOKUP(Table8[[#This Row],[Supporter_ID]],tb1_supporters[Supporter_ID ],tb1_supporters[Preference_Compliance_Flag],"")</f>
        <v/>
      </c>
      <c r="T713" t="str">
        <f ca="1">IF(Table8[[#This Row],[Age]]="","Review - missing DOB",IF(Table8[[#This Row],[Age]]&gt;TODAY(),"Review - future DOB",IF(Table8[[#This Row],[Age]]=0,"Review -  potential entry error (age 0)","")))</f>
        <v/>
      </c>
      <c r="U713" t="str">
        <f>_xlfn.XLOOKUP(Table8[[#This Row],[Campaign_Code]],tb3_CampaignMaster[Campaign_Code],tb3_CampaignMaster[Campaign_Type],"")</f>
        <v>Appeal</v>
      </c>
      <c r="V713" t="str">
        <f>_xlfn.XLOOKUP(Table8[[#This Row],[Campaign_Code]],tb3_CampaignMaster[Campaign_Code],tb3_CampaignMaster[Target_Audience],"")</f>
        <v>All Active</v>
      </c>
      <c r="W713" s="17">
        <f>_xlfn.XLOOKUP(Table8[[#This Row],[Campaign_Code]],tb3_CampaignMaster[Campaign_Code],tb3_CampaignMaster[Start_Date],"")</f>
        <v>45597</v>
      </c>
      <c r="X713" s="17">
        <f>_xlfn.XLOOKUP(Table8[[#This Row],[Campaign_Code]],tb3_CampaignMaster[Campaign_Code],tb3_CampaignMaster[End_Date],"")</f>
        <v>45657</v>
      </c>
      <c r="Y713">
        <f>_xlfn.XLOOKUP(Table8[[#This Row],[Campaign_Code]],tb3_CampaignMaster[Campaign_Code],tb3_CampaignMaster[Budget_GBP],"")</f>
        <v>25000</v>
      </c>
      <c r="Z713" t="str">
        <f>_xlfn.XLOOKUP(Table8[[#This Row],[Campaign_Code]],tb3_CampaignMaster[Campaign_Code],tb3_CampaignMaster[Primary_Channel],"")</f>
        <v>Multi-channel</v>
      </c>
      <c r="AA713" s="13">
        <f>IF(Table8[[#This Row],[Gift_Aid_Eligible]]="Yes",Table8[[#This Row],[Gift_Amount]]*1.25,Table8[[#This Row],[Gift_Amount]])</f>
        <v>470.22</v>
      </c>
      <c r="AB713" t="str">
        <f>IF(Table8[[#This Row],[Supporter_ID]]="","Review - missing supporter ID","")</f>
        <v/>
      </c>
      <c r="AC713" t="str">
        <f>IF(OR(Table8[[#This Row],[Response_Date]]&lt;Table8[[#This Row],[Start_Date]],Table8[[#This Row],[Response_Date]]&gt;Table8[[#This Row],[End_Date]]),"Review - response outside campaign dates","")</f>
        <v/>
      </c>
      <c r="AD713" t="str">
        <f>IF(Table8[[#This Row],[Campaign_Type]]="","Review - campaign code not found","")</f>
        <v/>
      </c>
    </row>
    <row r="714" spans="1:30" x14ac:dyDescent="0.25">
      <c r="A714" t="s">
        <v>4531</v>
      </c>
      <c r="B714" t="s">
        <v>3235</v>
      </c>
      <c r="C714" t="s">
        <v>3320</v>
      </c>
      <c r="D714" t="s">
        <v>3321</v>
      </c>
      <c r="E714" t="s">
        <v>4</v>
      </c>
      <c r="F714" s="17">
        <v>45464</v>
      </c>
      <c r="G714">
        <v>41.84</v>
      </c>
      <c r="H714" t="s">
        <v>36</v>
      </c>
      <c r="I714" t="s">
        <v>3365</v>
      </c>
      <c r="J714" t="str">
        <f>_xlfn.XLOOKUP(Table8[[#This Row],[Supporter_ID]],tb1_supporters[Supporter_ID ],tb1_supporters[Segment],"")</f>
        <v>One-Time Donor</v>
      </c>
      <c r="K714" t="str">
        <f>_xlfn.XLOOKUP(Table8[[#This Row],[Supporter_ID]],tb1_supporters[Supporter_ID ],tb1_supporters[Acquisition_Source],"")</f>
        <v>Telephone</v>
      </c>
      <c r="L714" t="str">
        <f>_xlfn.XLOOKUP(Table8[[#This Row],[Supporter_ID]],tb1_supporters[Supporter_ID ],tb1_supporters[County],"")</f>
        <v>Leicestershire</v>
      </c>
      <c r="M714" t="str">
        <f>_xlfn.XLOOKUP(Table8[[#This Row],[Supporter_ID]],tb1_supporters[Supporter_ID ],tb1_supporters[Gender],"")</f>
        <v>Female</v>
      </c>
      <c r="N714">
        <f ca="1">_xlfn.XLOOKUP(Table8[[#This Row],[Supporter_ID]],tb1_supporters[Supporter_ID ],tb1_supporters[Age],"")</f>
        <v>80</v>
      </c>
      <c r="O714" t="str">
        <f ca="1">_xlfn.XLOOKUP(Table8[[#This Row],[Supporter_ID]],tb1_supporters[Supporter_ID ],tb1_supporters[Age_Band],"")</f>
        <v>65+</v>
      </c>
      <c r="P714" t="str">
        <f ca="1">IF(Table8[[#This Row],[Age_Band]]="","Unknown",Table8[[#This Row],[Age_Band]])</f>
        <v>65+</v>
      </c>
      <c r="Q714" t="str">
        <f>_xlfn.XLOOKUP(Table8[[#This Row],[Supporter_ID]],tb1_supporters[Supporter_ID ],tb1_supporters[Communication_Preference],"")</f>
        <v>Post</v>
      </c>
      <c r="R714" t="str">
        <f>_xlfn.XLOOKUP(Table8[[#This Row],[Supporter_ID]],tb1_supporters[Supporter_ID ],tb1_supporters[Duplicate_Profile_Flag],"")</f>
        <v/>
      </c>
      <c r="S714" t="str">
        <f>_xlfn.XLOOKUP(Table8[[#This Row],[Supporter_ID]],tb1_supporters[Supporter_ID ],tb1_supporters[Preference_Compliance_Flag],"")</f>
        <v/>
      </c>
      <c r="T714" t="str">
        <f ca="1">IF(Table8[[#This Row],[Age]]="","Review - missing DOB",IF(Table8[[#This Row],[Age]]&gt;TODAY(),"Review - future DOB",IF(Table8[[#This Row],[Age]]=0,"Review -  potential entry error (age 0)","")))</f>
        <v/>
      </c>
      <c r="U714" t="str">
        <f>_xlfn.XLOOKUP(Table8[[#This Row],[Campaign_Code]],tb3_CampaignMaster[Campaign_Code],tb3_CampaignMaster[Campaign_Type],"")</f>
        <v>Stewardship</v>
      </c>
      <c r="V714" t="str">
        <f>_xlfn.XLOOKUP(Table8[[#This Row],[Campaign_Code]],tb3_CampaignMaster[Campaign_Code],tb3_CampaignMaster[Target_Audience],"")</f>
        <v>Major Donors</v>
      </c>
      <c r="W714" s="17">
        <f>_xlfn.XLOOKUP(Table8[[#This Row],[Campaign_Code]],tb3_CampaignMaster[Campaign_Code],tb3_CampaignMaster[Start_Date],"")</f>
        <v>45444</v>
      </c>
      <c r="X714" s="17">
        <f>_xlfn.XLOOKUP(Table8[[#This Row],[Campaign_Code]],tb3_CampaignMaster[Campaign_Code],tb3_CampaignMaster[End_Date],"")</f>
        <v>45473</v>
      </c>
      <c r="Y714">
        <f>_xlfn.XLOOKUP(Table8[[#This Row],[Campaign_Code]],tb3_CampaignMaster[Campaign_Code],tb3_CampaignMaster[Budget_GBP],"")</f>
        <v>7000</v>
      </c>
      <c r="Z714" t="str">
        <f>_xlfn.XLOOKUP(Table8[[#This Row],[Campaign_Code]],tb3_CampaignMaster[Campaign_Code],tb3_CampaignMaster[Primary_Channel],"")</f>
        <v>Direct Mail</v>
      </c>
      <c r="AA714" s="13">
        <f>IF(Table8[[#This Row],[Gift_Aid_Eligible]]="Yes",Table8[[#This Row],[Gift_Amount]]*1.25,Table8[[#This Row],[Gift_Amount]])</f>
        <v>52.300000000000004</v>
      </c>
      <c r="AB714" t="str">
        <f>IF(Table8[[#This Row],[Supporter_ID]]="","Review - missing supporter ID","")</f>
        <v/>
      </c>
      <c r="AC714" t="str">
        <f>IF(OR(Table8[[#This Row],[Response_Date]]&lt;Table8[[#This Row],[Start_Date]],Table8[[#This Row],[Response_Date]]&gt;Table8[[#This Row],[End_Date]]),"Review - response outside campaign dates","")</f>
        <v/>
      </c>
      <c r="AD714" t="str">
        <f>IF(Table8[[#This Row],[Campaign_Type]]="","Review - campaign code not found","")</f>
        <v/>
      </c>
    </row>
    <row r="715" spans="1:30" x14ac:dyDescent="0.25">
      <c r="A715" t="s">
        <v>4532</v>
      </c>
      <c r="B715" t="s">
        <v>1613</v>
      </c>
      <c r="C715" t="s">
        <v>3362</v>
      </c>
      <c r="D715" t="s">
        <v>3363</v>
      </c>
      <c r="E715" t="s">
        <v>65</v>
      </c>
      <c r="F715" s="17">
        <v>45572</v>
      </c>
      <c r="G715">
        <v>12.56</v>
      </c>
      <c r="H715" t="s">
        <v>37</v>
      </c>
      <c r="I715" t="s">
        <v>3385</v>
      </c>
      <c r="J715" t="str">
        <f>_xlfn.XLOOKUP(Table8[[#This Row],[Supporter_ID]],tb1_supporters[Supporter_ID ],tb1_supporters[Segment],"")</f>
        <v>Lapsed</v>
      </c>
      <c r="K715" t="str">
        <f>_xlfn.XLOOKUP(Table8[[#This Row],[Supporter_ID]],tb1_supporters[Supporter_ID ],tb1_supporters[Acquisition_Source],"")</f>
        <v>Door-To-Door</v>
      </c>
      <c r="L715" t="str">
        <f>_xlfn.XLOOKUP(Table8[[#This Row],[Supporter_ID]],tb1_supporters[Supporter_ID ],tb1_supporters[County],"")</f>
        <v>North Yorkshire</v>
      </c>
      <c r="M715" t="str">
        <f>_xlfn.XLOOKUP(Table8[[#This Row],[Supporter_ID]],tb1_supporters[Supporter_ID ],tb1_supporters[Gender],"")</f>
        <v>Female</v>
      </c>
      <c r="N715">
        <f ca="1">_xlfn.XLOOKUP(Table8[[#This Row],[Supporter_ID]],tb1_supporters[Supporter_ID ],tb1_supporters[Age],"")</f>
        <v>45</v>
      </c>
      <c r="O715" t="str">
        <f ca="1">_xlfn.XLOOKUP(Table8[[#This Row],[Supporter_ID]],tb1_supporters[Supporter_ID ],tb1_supporters[Age_Band],"")</f>
        <v>35-49</v>
      </c>
      <c r="P715" t="str">
        <f ca="1">IF(Table8[[#This Row],[Age_Band]]="","Unknown",Table8[[#This Row],[Age_Band]])</f>
        <v>35-49</v>
      </c>
      <c r="Q715" t="str">
        <f>_xlfn.XLOOKUP(Table8[[#This Row],[Supporter_ID]],tb1_supporters[Supporter_ID ],tb1_supporters[Communication_Preference],"")</f>
        <v>Email</v>
      </c>
      <c r="R715" t="str">
        <f>_xlfn.XLOOKUP(Table8[[#This Row],[Supporter_ID]],tb1_supporters[Supporter_ID ],tb1_supporters[Duplicate_Profile_Flag],"")</f>
        <v/>
      </c>
      <c r="S715" t="str">
        <f>_xlfn.XLOOKUP(Table8[[#This Row],[Supporter_ID]],tb1_supporters[Supporter_ID ],tb1_supporters[Preference_Compliance_Flag],"")</f>
        <v/>
      </c>
      <c r="T715" t="str">
        <f ca="1">IF(Table8[[#This Row],[Age]]="","Review - missing DOB",IF(Table8[[#This Row],[Age]]&gt;TODAY(),"Review - future DOB",IF(Table8[[#This Row],[Age]]=0,"Review -  potential entry error (age 0)","")))</f>
        <v/>
      </c>
      <c r="U715" t="str">
        <f>_xlfn.XLOOKUP(Table8[[#This Row],[Campaign_Code]],tb3_CampaignMaster[Campaign_Code],tb3_CampaignMaster[Campaign_Type],"")</f>
        <v>Legacy</v>
      </c>
      <c r="V715" t="str">
        <f>_xlfn.XLOOKUP(Table8[[#This Row],[Campaign_Code]],tb3_CampaignMaster[Campaign_Code],tb3_CampaignMaster[Target_Audience],"")</f>
        <v>Over 55s</v>
      </c>
      <c r="W715" s="17">
        <f>_xlfn.XLOOKUP(Table8[[#This Row],[Campaign_Code]],tb3_CampaignMaster[Campaign_Code],tb3_CampaignMaster[Start_Date],"")</f>
        <v>45572</v>
      </c>
      <c r="X715" s="17">
        <f>_xlfn.XLOOKUP(Table8[[#This Row],[Campaign_Code]],tb3_CampaignMaster[Campaign_Code],tb3_CampaignMaster[End_Date],"")</f>
        <v>45578</v>
      </c>
      <c r="Y715">
        <f>_xlfn.XLOOKUP(Table8[[#This Row],[Campaign_Code]],tb3_CampaignMaster[Campaign_Code],tb3_CampaignMaster[Budget_GBP],"")</f>
        <v>5000</v>
      </c>
      <c r="Z715" t="str">
        <f>_xlfn.XLOOKUP(Table8[[#This Row],[Campaign_Code]],tb3_CampaignMaster[Campaign_Code],tb3_CampaignMaster[Primary_Channel],"")</f>
        <v>Direct Mail</v>
      </c>
      <c r="AA715" s="13">
        <f>IF(Table8[[#This Row],[Gift_Aid_Eligible]]="Yes",Table8[[#This Row],[Gift_Amount]]*1.25,Table8[[#This Row],[Gift_Amount]])</f>
        <v>12.56</v>
      </c>
      <c r="AB715" t="str">
        <f>IF(Table8[[#This Row],[Supporter_ID]]="","Review - missing supporter ID","")</f>
        <v/>
      </c>
      <c r="AC715" t="str">
        <f>IF(OR(Table8[[#This Row],[Response_Date]]&lt;Table8[[#This Row],[Start_Date]],Table8[[#This Row],[Response_Date]]&gt;Table8[[#This Row],[End_Date]]),"Review - response outside campaign dates","")</f>
        <v/>
      </c>
      <c r="AD715" t="str">
        <f>IF(Table8[[#This Row],[Campaign_Type]]="","Review - campaign code not found","")</f>
        <v/>
      </c>
    </row>
    <row r="716" spans="1:30" x14ac:dyDescent="0.25">
      <c r="A716" t="s">
        <v>4534</v>
      </c>
      <c r="B716" t="s">
        <v>3261</v>
      </c>
      <c r="C716" t="s">
        <v>3403</v>
      </c>
      <c r="D716" t="s">
        <v>3404</v>
      </c>
      <c r="E716" t="s">
        <v>4</v>
      </c>
      <c r="F716" s="17">
        <v>45635</v>
      </c>
      <c r="G716">
        <v>25.23</v>
      </c>
      <c r="H716" t="s">
        <v>37</v>
      </c>
      <c r="I716" t="s">
        <v>3328</v>
      </c>
      <c r="J716" t="str">
        <f>_xlfn.XLOOKUP(Table8[[#This Row],[Supporter_ID]],tb1_supporters[Supporter_ID ],tb1_supporters[Segment],"")</f>
        <v>Prospect</v>
      </c>
      <c r="K716" t="str">
        <f>_xlfn.XLOOKUP(Table8[[#This Row],[Supporter_ID]],tb1_supporters[Supporter_ID ],tb1_supporters[Acquisition_Source],"")</f>
        <v>Referral</v>
      </c>
      <c r="L716" t="str">
        <f>_xlfn.XLOOKUP(Table8[[#This Row],[Supporter_ID]],tb1_supporters[Supporter_ID ],tb1_supporters[County],"")</f>
        <v>Gloucestershire</v>
      </c>
      <c r="M716" t="str">
        <f>_xlfn.XLOOKUP(Table8[[#This Row],[Supporter_ID]],tb1_supporters[Supporter_ID ],tb1_supporters[Gender],"")</f>
        <v>Female</v>
      </c>
      <c r="N716">
        <f ca="1">_xlfn.XLOOKUP(Table8[[#This Row],[Supporter_ID]],tb1_supporters[Supporter_ID ],tb1_supporters[Age],"")</f>
        <v>32</v>
      </c>
      <c r="O716" t="str">
        <f ca="1">_xlfn.XLOOKUP(Table8[[#This Row],[Supporter_ID]],tb1_supporters[Supporter_ID ],tb1_supporters[Age_Band],"")</f>
        <v>18-34</v>
      </c>
      <c r="P716" t="str">
        <f ca="1">IF(Table8[[#This Row],[Age_Band]]="","Unknown",Table8[[#This Row],[Age_Band]])</f>
        <v>18-34</v>
      </c>
      <c r="Q716" t="str">
        <f>_xlfn.XLOOKUP(Table8[[#This Row],[Supporter_ID]],tb1_supporters[Supporter_ID ],tb1_supporters[Communication_Preference],"")</f>
        <v>Phone</v>
      </c>
      <c r="R716" t="str">
        <f>_xlfn.XLOOKUP(Table8[[#This Row],[Supporter_ID]],tb1_supporters[Supporter_ID ],tb1_supporters[Duplicate_Profile_Flag],"")</f>
        <v/>
      </c>
      <c r="S716" t="str">
        <f>_xlfn.XLOOKUP(Table8[[#This Row],[Supporter_ID]],tb1_supporters[Supporter_ID ],tb1_supporters[Preference_Compliance_Flag],"")</f>
        <v/>
      </c>
      <c r="T716" t="str">
        <f ca="1">IF(Table8[[#This Row],[Age]]="","Review - missing DOB",IF(Table8[[#This Row],[Age]]&gt;TODAY(),"Review - future DOB",IF(Table8[[#This Row],[Age]]=0,"Review -  potential entry error (age 0)","")))</f>
        <v/>
      </c>
      <c r="U716" t="str">
        <f>_xlfn.XLOOKUP(Table8[[#This Row],[Campaign_Code]],tb3_CampaignMaster[Campaign_Code],tb3_CampaignMaster[Campaign_Type],"")</f>
        <v>Trading</v>
      </c>
      <c r="V716" t="str">
        <f>_xlfn.XLOOKUP(Table8[[#This Row],[Campaign_Code]],tb3_CampaignMaster[Campaign_Code],tb3_CampaignMaster[Target_Audience],"")</f>
        <v>All Active</v>
      </c>
      <c r="W716" s="17">
        <f>_xlfn.XLOOKUP(Table8[[#This Row],[Campaign_Code]],tb3_CampaignMaster[Campaign_Code],tb3_CampaignMaster[Start_Date],"")</f>
        <v>45580</v>
      </c>
      <c r="X716" s="17">
        <f>_xlfn.XLOOKUP(Table8[[#This Row],[Campaign_Code]],tb3_CampaignMaster[Campaign_Code],tb3_CampaignMaster[End_Date],"")</f>
        <v>45646</v>
      </c>
      <c r="Y716">
        <f>_xlfn.XLOOKUP(Table8[[#This Row],[Campaign_Code]],tb3_CampaignMaster[Campaign_Code],tb3_CampaignMaster[Budget_GBP],"")</f>
        <v>12000</v>
      </c>
      <c r="Z716" t="str">
        <f>_xlfn.XLOOKUP(Table8[[#This Row],[Campaign_Code]],tb3_CampaignMaster[Campaign_Code],tb3_CampaignMaster[Primary_Channel],"")</f>
        <v>Multi-channel</v>
      </c>
      <c r="AA716" s="13">
        <f>IF(Table8[[#This Row],[Gift_Aid_Eligible]]="Yes",Table8[[#This Row],[Gift_Amount]]*1.25,Table8[[#This Row],[Gift_Amount]])</f>
        <v>25.23</v>
      </c>
      <c r="AB716" t="str">
        <f>IF(Table8[[#This Row],[Supporter_ID]]="","Review - missing supporter ID","")</f>
        <v/>
      </c>
      <c r="AC716" t="str">
        <f>IF(OR(Table8[[#This Row],[Response_Date]]&lt;Table8[[#This Row],[Start_Date]],Table8[[#This Row],[Response_Date]]&gt;Table8[[#This Row],[End_Date]]),"Review - response outside campaign dates","")</f>
        <v/>
      </c>
      <c r="AD716" t="str">
        <f>IF(Table8[[#This Row],[Campaign_Type]]="","Review - campaign code not found","")</f>
        <v/>
      </c>
    </row>
    <row r="717" spans="1:30" x14ac:dyDescent="0.25">
      <c r="A717" t="s">
        <v>4536</v>
      </c>
      <c r="B717" t="s">
        <v>106</v>
      </c>
      <c r="C717" t="s">
        <v>3367</v>
      </c>
      <c r="D717" t="s">
        <v>3368</v>
      </c>
      <c r="E717" t="s">
        <v>4</v>
      </c>
      <c r="F717" s="17">
        <v>45735</v>
      </c>
      <c r="G717">
        <v>19.63</v>
      </c>
      <c r="H717" t="s">
        <v>36</v>
      </c>
      <c r="I717" t="s">
        <v>3323</v>
      </c>
      <c r="J717" t="str">
        <f>_xlfn.XLOOKUP(Table8[[#This Row],[Supporter_ID]],tb1_supporters[Supporter_ID ],tb1_supporters[Segment],"")</f>
        <v>Prospect</v>
      </c>
      <c r="K717" t="str">
        <f>_xlfn.XLOOKUP(Table8[[#This Row],[Supporter_ID]],tb1_supporters[Supporter_ID ],tb1_supporters[Acquisition_Source],"")</f>
        <v>Event</v>
      </c>
      <c r="L717" t="str">
        <f>_xlfn.XLOOKUP(Table8[[#This Row],[Supporter_ID]],tb1_supporters[Supporter_ID ],tb1_supporters[County],"")</f>
        <v>Hampshire</v>
      </c>
      <c r="M717" t="str">
        <f>_xlfn.XLOOKUP(Table8[[#This Row],[Supporter_ID]],tb1_supporters[Supporter_ID ],tb1_supporters[Gender],"")</f>
        <v>Male</v>
      </c>
      <c r="N717">
        <f ca="1">_xlfn.XLOOKUP(Table8[[#This Row],[Supporter_ID]],tb1_supporters[Supporter_ID ],tb1_supporters[Age],"")</f>
        <v>19</v>
      </c>
      <c r="O717" t="str">
        <f ca="1">_xlfn.XLOOKUP(Table8[[#This Row],[Supporter_ID]],tb1_supporters[Supporter_ID ],tb1_supporters[Age_Band],"")</f>
        <v>18-34</v>
      </c>
      <c r="P717" t="str">
        <f ca="1">IF(Table8[[#This Row],[Age_Band]]="","Unknown",Table8[[#This Row],[Age_Band]])</f>
        <v>18-34</v>
      </c>
      <c r="Q717" t="str">
        <f>_xlfn.XLOOKUP(Table8[[#This Row],[Supporter_ID]],tb1_supporters[Supporter_ID ],tb1_supporters[Communication_Preference],"")</f>
        <v>Email</v>
      </c>
      <c r="R717" t="str">
        <f>_xlfn.XLOOKUP(Table8[[#This Row],[Supporter_ID]],tb1_supporters[Supporter_ID ],tb1_supporters[Duplicate_Profile_Flag],"")</f>
        <v/>
      </c>
      <c r="S717" t="str">
        <f>_xlfn.XLOOKUP(Table8[[#This Row],[Supporter_ID]],tb1_supporters[Supporter_ID ],tb1_supporters[Preference_Compliance_Flag],"")</f>
        <v/>
      </c>
      <c r="T717" t="str">
        <f ca="1">IF(Table8[[#This Row],[Age]]="","Review - missing DOB",IF(Table8[[#This Row],[Age]]&gt;TODAY(),"Review - future DOB",IF(Table8[[#This Row],[Age]]=0,"Review -  potential entry error (age 0)","")))</f>
        <v/>
      </c>
      <c r="U717" t="str">
        <f>_xlfn.XLOOKUP(Table8[[#This Row],[Campaign_Code]],tb3_CampaignMaster[Campaign_Code],tb3_CampaignMaster[Campaign_Type],"")</f>
        <v>Raffle</v>
      </c>
      <c r="V717" t="str">
        <f>_xlfn.XLOOKUP(Table8[[#This Row],[Campaign_Code]],tb3_CampaignMaster[Campaign_Code],tb3_CampaignMaster[Target_Audience],"")</f>
        <v>Regular Givers</v>
      </c>
      <c r="W717" s="17">
        <f>_xlfn.XLOOKUP(Table8[[#This Row],[Campaign_Code]],tb3_CampaignMaster[Campaign_Code],tb3_CampaignMaster[Start_Date],"")</f>
        <v>45717</v>
      </c>
      <c r="X717" s="17">
        <f>_xlfn.XLOOKUP(Table8[[#This Row],[Campaign_Code]],tb3_CampaignMaster[Campaign_Code],tb3_CampaignMaster[End_Date],"")</f>
        <v>45777</v>
      </c>
      <c r="Y717">
        <f>_xlfn.XLOOKUP(Table8[[#This Row],[Campaign_Code]],tb3_CampaignMaster[Campaign_Code],tb3_CampaignMaster[Budget_GBP],"")</f>
        <v>8000</v>
      </c>
      <c r="Z717" t="str">
        <f>_xlfn.XLOOKUP(Table8[[#This Row],[Campaign_Code]],tb3_CampaignMaster[Campaign_Code],tb3_CampaignMaster[Primary_Channel],"")</f>
        <v>Direct Mail</v>
      </c>
      <c r="AA717" s="13">
        <f>IF(Table8[[#This Row],[Gift_Aid_Eligible]]="Yes",Table8[[#This Row],[Gift_Amount]]*1.25,Table8[[#This Row],[Gift_Amount]])</f>
        <v>24.537499999999998</v>
      </c>
      <c r="AB717" t="str">
        <f>IF(Table8[[#This Row],[Supporter_ID]]="","Review - missing supporter ID","")</f>
        <v/>
      </c>
      <c r="AC717" t="str">
        <f>IF(OR(Table8[[#This Row],[Response_Date]]&lt;Table8[[#This Row],[Start_Date]],Table8[[#This Row],[Response_Date]]&gt;Table8[[#This Row],[End_Date]]),"Review - response outside campaign dates","")</f>
        <v/>
      </c>
      <c r="AD717" t="str">
        <f>IF(Table8[[#This Row],[Campaign_Type]]="","Review - campaign code not found","")</f>
        <v/>
      </c>
    </row>
    <row r="718" spans="1:30" x14ac:dyDescent="0.25">
      <c r="A718" t="s">
        <v>4538</v>
      </c>
      <c r="B718" t="s">
        <v>3153</v>
      </c>
      <c r="C718" t="s">
        <v>3427</v>
      </c>
      <c r="D718" t="s">
        <v>3428</v>
      </c>
      <c r="E718" t="s">
        <v>4</v>
      </c>
      <c r="F718" s="17">
        <v>45488</v>
      </c>
      <c r="G718">
        <v>5.39</v>
      </c>
      <c r="H718" t="s">
        <v>36</v>
      </c>
      <c r="I718" t="s">
        <v>3328</v>
      </c>
      <c r="J718" t="str">
        <f>_xlfn.XLOOKUP(Table8[[#This Row],[Supporter_ID]],tb1_supporters[Supporter_ID ],tb1_supporters[Segment],"")</f>
        <v>Prospect</v>
      </c>
      <c r="K718" t="str">
        <f>_xlfn.XLOOKUP(Table8[[#This Row],[Supporter_ID]],tb1_supporters[Supporter_ID ],tb1_supporters[Acquisition_Source],"")</f>
        <v>Telephone</v>
      </c>
      <c r="L718" t="str">
        <f>_xlfn.XLOOKUP(Table8[[#This Row],[Supporter_ID]],tb1_supporters[Supporter_ID ],tb1_supporters[County],"")</f>
        <v>Grampian</v>
      </c>
      <c r="M718" t="str">
        <f>_xlfn.XLOOKUP(Table8[[#This Row],[Supporter_ID]],tb1_supporters[Supporter_ID ],tb1_supporters[Gender],"")</f>
        <v>Female</v>
      </c>
      <c r="N718">
        <f ca="1">_xlfn.XLOOKUP(Table8[[#This Row],[Supporter_ID]],tb1_supporters[Supporter_ID ],tb1_supporters[Age],"")</f>
        <v>28</v>
      </c>
      <c r="O718" t="str">
        <f ca="1">_xlfn.XLOOKUP(Table8[[#This Row],[Supporter_ID]],tb1_supporters[Supporter_ID ],tb1_supporters[Age_Band],"")</f>
        <v>18-34</v>
      </c>
      <c r="P718" t="str">
        <f ca="1">IF(Table8[[#This Row],[Age_Band]]="","Unknown",Table8[[#This Row],[Age_Band]])</f>
        <v>18-34</v>
      </c>
      <c r="Q718" t="str">
        <f>_xlfn.XLOOKUP(Table8[[#This Row],[Supporter_ID]],tb1_supporters[Supporter_ID ],tb1_supporters[Communication_Preference],"")</f>
        <v>Post</v>
      </c>
      <c r="R718" t="str">
        <f>_xlfn.XLOOKUP(Table8[[#This Row],[Supporter_ID]],tb1_supporters[Supporter_ID ],tb1_supporters[Duplicate_Profile_Flag],"")</f>
        <v/>
      </c>
      <c r="S718" t="str">
        <f>_xlfn.XLOOKUP(Table8[[#This Row],[Supporter_ID]],tb1_supporters[Supporter_ID ],tb1_supporters[Preference_Compliance_Flag],"")</f>
        <v/>
      </c>
      <c r="T718" t="str">
        <f ca="1">IF(Table8[[#This Row],[Age]]="","Review - missing DOB",IF(Table8[[#This Row],[Age]]&gt;TODAY(),"Review - future DOB",IF(Table8[[#This Row],[Age]]=0,"Review -  potential entry error (age 0)","")))</f>
        <v/>
      </c>
      <c r="U718" t="str">
        <f>_xlfn.XLOOKUP(Table8[[#This Row],[Campaign_Code]],tb3_CampaignMaster[Campaign_Code],tb3_CampaignMaster[Campaign_Type],"")</f>
        <v>Event</v>
      </c>
      <c r="V718" t="str">
        <f>_xlfn.XLOOKUP(Table8[[#This Row],[Campaign_Code]],tb3_CampaignMaster[Campaign_Code],tb3_CampaignMaster[Target_Audience],"")</f>
        <v>Major Donors</v>
      </c>
      <c r="W718" s="17">
        <f>_xlfn.XLOOKUP(Table8[[#This Row],[Campaign_Code]],tb3_CampaignMaster[Campaign_Code],tb3_CampaignMaster[Start_Date],"")</f>
        <v>45488</v>
      </c>
      <c r="X718" s="17">
        <f>_xlfn.XLOOKUP(Table8[[#This Row],[Campaign_Code]],tb3_CampaignMaster[Campaign_Code],tb3_CampaignMaster[End_Date],"")</f>
        <v>45488</v>
      </c>
      <c r="Y718">
        <f>_xlfn.XLOOKUP(Table8[[#This Row],[Campaign_Code]],tb3_CampaignMaster[Campaign_Code],tb3_CampaignMaster[Budget_GBP],"")</f>
        <v>45000</v>
      </c>
      <c r="Z718" t="str">
        <f>_xlfn.XLOOKUP(Table8[[#This Row],[Campaign_Code]],tb3_CampaignMaster[Campaign_Code],tb3_CampaignMaster[Primary_Channel],"")</f>
        <v>Direct Mail</v>
      </c>
      <c r="AA718" s="13">
        <f>IF(Table8[[#This Row],[Gift_Aid_Eligible]]="Yes",Table8[[#This Row],[Gift_Amount]]*1.25,Table8[[#This Row],[Gift_Amount]])</f>
        <v>6.7374999999999998</v>
      </c>
      <c r="AB718" t="str">
        <f>IF(Table8[[#This Row],[Supporter_ID]]="","Review - missing supporter ID","")</f>
        <v/>
      </c>
      <c r="AC718" t="str">
        <f>IF(OR(Table8[[#This Row],[Response_Date]]&lt;Table8[[#This Row],[Start_Date]],Table8[[#This Row],[Response_Date]]&gt;Table8[[#This Row],[End_Date]]),"Review - response outside campaign dates","")</f>
        <v/>
      </c>
      <c r="AD718" t="str">
        <f>IF(Table8[[#This Row],[Campaign_Type]]="","Review - campaign code not found","")</f>
        <v/>
      </c>
    </row>
    <row r="719" spans="1:30" x14ac:dyDescent="0.25">
      <c r="A719" t="s">
        <v>4539</v>
      </c>
      <c r="B719" t="s">
        <v>3287</v>
      </c>
      <c r="C719" t="s">
        <v>3325</v>
      </c>
      <c r="D719" t="s">
        <v>3326</v>
      </c>
      <c r="E719" t="s">
        <v>3338</v>
      </c>
      <c r="F719" s="17">
        <v>45622</v>
      </c>
      <c r="G719">
        <v>48.45</v>
      </c>
      <c r="H719" t="s">
        <v>36</v>
      </c>
      <c r="I719" t="s">
        <v>3334</v>
      </c>
      <c r="J719" t="str">
        <f>_xlfn.XLOOKUP(Table8[[#This Row],[Supporter_ID]],tb1_supporters[Supporter_ID ],tb1_supporters[Segment],"")</f>
        <v>One-Time Donor</v>
      </c>
      <c r="K719" t="str">
        <f>_xlfn.XLOOKUP(Table8[[#This Row],[Supporter_ID]],tb1_supporters[Supporter_ID ],tb1_supporters[Acquisition_Source],"")</f>
        <v>Website</v>
      </c>
      <c r="L719" t="str">
        <f>_xlfn.XLOOKUP(Table8[[#This Row],[Supporter_ID]],tb1_supporters[Supporter_ID ],tb1_supporters[County],"")</f>
        <v>North Yorkshire</v>
      </c>
      <c r="M719" t="str">
        <f>_xlfn.XLOOKUP(Table8[[#This Row],[Supporter_ID]],tb1_supporters[Supporter_ID ],tb1_supporters[Gender],"")</f>
        <v>Male</v>
      </c>
      <c r="N719">
        <f ca="1">_xlfn.XLOOKUP(Table8[[#This Row],[Supporter_ID]],tb1_supporters[Supporter_ID ],tb1_supporters[Age],"")</f>
        <v>65</v>
      </c>
      <c r="O719" t="str">
        <f ca="1">_xlfn.XLOOKUP(Table8[[#This Row],[Supporter_ID]],tb1_supporters[Supporter_ID ],tb1_supporters[Age_Band],"")</f>
        <v>65+</v>
      </c>
      <c r="P719" t="str">
        <f ca="1">IF(Table8[[#This Row],[Age_Band]]="","Unknown",Table8[[#This Row],[Age_Band]])</f>
        <v>65+</v>
      </c>
      <c r="Q719" t="str">
        <f>_xlfn.XLOOKUP(Table8[[#This Row],[Supporter_ID]],tb1_supporters[Supporter_ID ],tb1_supporters[Communication_Preference],"")</f>
        <v>Email</v>
      </c>
      <c r="R719" t="str">
        <f>_xlfn.XLOOKUP(Table8[[#This Row],[Supporter_ID]],tb1_supporters[Supporter_ID ],tb1_supporters[Duplicate_Profile_Flag],"")</f>
        <v/>
      </c>
      <c r="S719" t="str">
        <f>_xlfn.XLOOKUP(Table8[[#This Row],[Supporter_ID]],tb1_supporters[Supporter_ID ],tb1_supporters[Preference_Compliance_Flag],"")</f>
        <v/>
      </c>
      <c r="T719" t="str">
        <f ca="1">IF(Table8[[#This Row],[Age]]="","Review - missing DOB",IF(Table8[[#This Row],[Age]]&gt;TODAY(),"Review - future DOB",IF(Table8[[#This Row],[Age]]=0,"Review -  potential entry error (age 0)","")))</f>
        <v/>
      </c>
      <c r="U719" t="str">
        <f>_xlfn.XLOOKUP(Table8[[#This Row],[Campaign_Code]],tb3_CampaignMaster[Campaign_Code],tb3_CampaignMaster[Campaign_Type],"")</f>
        <v>Appeal</v>
      </c>
      <c r="V719" t="str">
        <f>_xlfn.XLOOKUP(Table8[[#This Row],[Campaign_Code]],tb3_CampaignMaster[Campaign_Code],tb3_CampaignMaster[Target_Audience],"")</f>
        <v>All Active</v>
      </c>
      <c r="W719" s="17">
        <f>_xlfn.XLOOKUP(Table8[[#This Row],[Campaign_Code]],tb3_CampaignMaster[Campaign_Code],tb3_CampaignMaster[Start_Date],"")</f>
        <v>45597</v>
      </c>
      <c r="X719" s="17">
        <f>_xlfn.XLOOKUP(Table8[[#This Row],[Campaign_Code]],tb3_CampaignMaster[Campaign_Code],tb3_CampaignMaster[End_Date],"")</f>
        <v>45657</v>
      </c>
      <c r="Y719">
        <f>_xlfn.XLOOKUP(Table8[[#This Row],[Campaign_Code]],tb3_CampaignMaster[Campaign_Code],tb3_CampaignMaster[Budget_GBP],"")</f>
        <v>25000</v>
      </c>
      <c r="Z719" t="str">
        <f>_xlfn.XLOOKUP(Table8[[#This Row],[Campaign_Code]],tb3_CampaignMaster[Campaign_Code],tb3_CampaignMaster[Primary_Channel],"")</f>
        <v>Multi-channel</v>
      </c>
      <c r="AA719" s="13">
        <f>IF(Table8[[#This Row],[Gift_Aid_Eligible]]="Yes",Table8[[#This Row],[Gift_Amount]]*1.25,Table8[[#This Row],[Gift_Amount]])</f>
        <v>60.5625</v>
      </c>
      <c r="AB719" t="str">
        <f>IF(Table8[[#This Row],[Supporter_ID]]="","Review - missing supporter ID","")</f>
        <v/>
      </c>
      <c r="AC719" t="str">
        <f>IF(OR(Table8[[#This Row],[Response_Date]]&lt;Table8[[#This Row],[Start_Date]],Table8[[#This Row],[Response_Date]]&gt;Table8[[#This Row],[End_Date]]),"Review - response outside campaign dates","")</f>
        <v/>
      </c>
      <c r="AD719" t="str">
        <f>IF(Table8[[#This Row],[Campaign_Type]]="","Review - campaign code not found","")</f>
        <v/>
      </c>
    </row>
    <row r="720" spans="1:30" x14ac:dyDescent="0.25">
      <c r="A720" t="s">
        <v>4541</v>
      </c>
      <c r="B720" t="s">
        <v>2638</v>
      </c>
      <c r="C720" t="s">
        <v>3320</v>
      </c>
      <c r="D720" t="s">
        <v>3321</v>
      </c>
      <c r="E720" t="s">
        <v>65</v>
      </c>
      <c r="F720" s="17">
        <v>45469</v>
      </c>
      <c r="G720">
        <v>155.66999999999999</v>
      </c>
      <c r="H720" t="s">
        <v>37</v>
      </c>
      <c r="I720" t="s">
        <v>3365</v>
      </c>
      <c r="J720" t="str">
        <f>_xlfn.XLOOKUP(Table8[[#This Row],[Supporter_ID]],tb1_supporters[Supporter_ID ],tb1_supporters[Segment],"")</f>
        <v>Legacy Pledger</v>
      </c>
      <c r="K720" t="str">
        <f>_xlfn.XLOOKUP(Table8[[#This Row],[Supporter_ID]],tb1_supporters[Supporter_ID ],tb1_supporters[Acquisition_Source],"")</f>
        <v>Website</v>
      </c>
      <c r="L720" t="str">
        <f>_xlfn.XLOOKUP(Table8[[#This Row],[Supporter_ID]],tb1_supporters[Supporter_ID ],tb1_supporters[County],"")</f>
        <v>Hampshire</v>
      </c>
      <c r="M720" t="str">
        <f>_xlfn.XLOOKUP(Table8[[#This Row],[Supporter_ID]],tb1_supporters[Supporter_ID ],tb1_supporters[Gender],"")</f>
        <v>Male</v>
      </c>
      <c r="N720">
        <f ca="1">_xlfn.XLOOKUP(Table8[[#This Row],[Supporter_ID]],tb1_supporters[Supporter_ID ],tb1_supporters[Age],"")</f>
        <v>50</v>
      </c>
      <c r="O720" t="str">
        <f ca="1">_xlfn.XLOOKUP(Table8[[#This Row],[Supporter_ID]],tb1_supporters[Supporter_ID ],tb1_supporters[Age_Band],"")</f>
        <v>50-64</v>
      </c>
      <c r="P720" t="str">
        <f ca="1">IF(Table8[[#This Row],[Age_Band]]="","Unknown",Table8[[#This Row],[Age_Band]])</f>
        <v>50-64</v>
      </c>
      <c r="Q720" t="str">
        <f>_xlfn.XLOOKUP(Table8[[#This Row],[Supporter_ID]],tb1_supporters[Supporter_ID ],tb1_supporters[Communication_Preference],"")</f>
        <v>Email</v>
      </c>
      <c r="R720" t="str">
        <f>_xlfn.XLOOKUP(Table8[[#This Row],[Supporter_ID]],tb1_supporters[Supporter_ID ],tb1_supporters[Duplicate_Profile_Flag],"")</f>
        <v/>
      </c>
      <c r="S720" t="str">
        <f>_xlfn.XLOOKUP(Table8[[#This Row],[Supporter_ID]],tb1_supporters[Supporter_ID ],tb1_supporters[Preference_Compliance_Flag],"")</f>
        <v/>
      </c>
      <c r="T720" t="str">
        <f ca="1">IF(Table8[[#This Row],[Age]]="","Review - missing DOB",IF(Table8[[#This Row],[Age]]&gt;TODAY(),"Review - future DOB",IF(Table8[[#This Row],[Age]]=0,"Review -  potential entry error (age 0)","")))</f>
        <v/>
      </c>
      <c r="U720" t="str">
        <f>_xlfn.XLOOKUP(Table8[[#This Row],[Campaign_Code]],tb3_CampaignMaster[Campaign_Code],tb3_CampaignMaster[Campaign_Type],"")</f>
        <v>Stewardship</v>
      </c>
      <c r="V720" t="str">
        <f>_xlfn.XLOOKUP(Table8[[#This Row],[Campaign_Code]],tb3_CampaignMaster[Campaign_Code],tb3_CampaignMaster[Target_Audience],"")</f>
        <v>Major Donors</v>
      </c>
      <c r="W720" s="17">
        <f>_xlfn.XLOOKUP(Table8[[#This Row],[Campaign_Code]],tb3_CampaignMaster[Campaign_Code],tb3_CampaignMaster[Start_Date],"")</f>
        <v>45444</v>
      </c>
      <c r="X720" s="17">
        <f>_xlfn.XLOOKUP(Table8[[#This Row],[Campaign_Code]],tb3_CampaignMaster[Campaign_Code],tb3_CampaignMaster[End_Date],"")</f>
        <v>45473</v>
      </c>
      <c r="Y720">
        <f>_xlfn.XLOOKUP(Table8[[#This Row],[Campaign_Code]],tb3_CampaignMaster[Campaign_Code],tb3_CampaignMaster[Budget_GBP],"")</f>
        <v>7000</v>
      </c>
      <c r="Z720" t="str">
        <f>_xlfn.XLOOKUP(Table8[[#This Row],[Campaign_Code]],tb3_CampaignMaster[Campaign_Code],tb3_CampaignMaster[Primary_Channel],"")</f>
        <v>Direct Mail</v>
      </c>
      <c r="AA720" s="13">
        <f>IF(Table8[[#This Row],[Gift_Aid_Eligible]]="Yes",Table8[[#This Row],[Gift_Amount]]*1.25,Table8[[#This Row],[Gift_Amount]])</f>
        <v>155.66999999999999</v>
      </c>
      <c r="AB720" t="str">
        <f>IF(Table8[[#This Row],[Supporter_ID]]="","Review - missing supporter ID","")</f>
        <v/>
      </c>
      <c r="AC720" t="str">
        <f>IF(OR(Table8[[#This Row],[Response_Date]]&lt;Table8[[#This Row],[Start_Date]],Table8[[#This Row],[Response_Date]]&gt;Table8[[#This Row],[End_Date]]),"Review - response outside campaign dates","")</f>
        <v/>
      </c>
      <c r="AD720" t="str">
        <f>IF(Table8[[#This Row],[Campaign_Type]]="","Review - campaign code not found","")</f>
        <v/>
      </c>
    </row>
    <row r="721" spans="1:30" x14ac:dyDescent="0.25">
      <c r="A721" t="s">
        <v>4543</v>
      </c>
      <c r="B721" t="s">
        <v>2303</v>
      </c>
      <c r="C721" t="s">
        <v>3427</v>
      </c>
      <c r="D721" t="s">
        <v>3428</v>
      </c>
      <c r="E721" t="s">
        <v>65</v>
      </c>
      <c r="F721" s="17">
        <v>45488</v>
      </c>
      <c r="G721">
        <v>26.74</v>
      </c>
      <c r="H721" t="s">
        <v>37</v>
      </c>
      <c r="I721" t="s">
        <v>3365</v>
      </c>
      <c r="J721" t="str">
        <f>_xlfn.XLOOKUP(Table8[[#This Row],[Supporter_ID]],tb1_supporters[Supporter_ID ],tb1_supporters[Segment],"")</f>
        <v>Prospect</v>
      </c>
      <c r="K721" t="str">
        <f>_xlfn.XLOOKUP(Table8[[#This Row],[Supporter_ID]],tb1_supporters[Supporter_ID ],tb1_supporters[Acquisition_Source],"")</f>
        <v>Direct Mail</v>
      </c>
      <c r="L721" t="str">
        <f>_xlfn.XLOOKUP(Table8[[#This Row],[Supporter_ID]],tb1_supporters[Supporter_ID ],tb1_supporters[County],"")</f>
        <v>Angus</v>
      </c>
      <c r="M721" t="str">
        <f>_xlfn.XLOOKUP(Table8[[#This Row],[Supporter_ID]],tb1_supporters[Supporter_ID ],tb1_supporters[Gender],"")</f>
        <v>Female</v>
      </c>
      <c r="N721" t="str">
        <f ca="1">_xlfn.XLOOKUP(Table8[[#This Row],[Supporter_ID]],tb1_supporters[Supporter_ID ],tb1_supporters[Age],"")</f>
        <v/>
      </c>
      <c r="O721" t="str">
        <f ca="1">_xlfn.XLOOKUP(Table8[[#This Row],[Supporter_ID]],tb1_supporters[Supporter_ID ],tb1_supporters[Age_Band],"")</f>
        <v/>
      </c>
      <c r="P721" t="str">
        <f ca="1">IF(Table8[[#This Row],[Age_Band]]="","Unknown",Table8[[#This Row],[Age_Band]])</f>
        <v>Unknown</v>
      </c>
      <c r="Q721" t="str">
        <f>_xlfn.XLOOKUP(Table8[[#This Row],[Supporter_ID]],tb1_supporters[Supporter_ID ],tb1_supporters[Communication_Preference],"")</f>
        <v>No Preference</v>
      </c>
      <c r="R721" t="str">
        <f>_xlfn.XLOOKUP(Table8[[#This Row],[Supporter_ID]],tb1_supporters[Supporter_ID ],tb1_supporters[Duplicate_Profile_Flag],"")</f>
        <v/>
      </c>
      <c r="S721" t="str">
        <f>_xlfn.XLOOKUP(Table8[[#This Row],[Supporter_ID]],tb1_supporters[Supporter_ID ],tb1_supporters[Preference_Compliance_Flag],"")</f>
        <v/>
      </c>
      <c r="T721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721" t="str">
        <f>_xlfn.XLOOKUP(Table8[[#This Row],[Campaign_Code]],tb3_CampaignMaster[Campaign_Code],tb3_CampaignMaster[Campaign_Type],"")</f>
        <v>Event</v>
      </c>
      <c r="V721" t="str">
        <f>_xlfn.XLOOKUP(Table8[[#This Row],[Campaign_Code]],tb3_CampaignMaster[Campaign_Code],tb3_CampaignMaster[Target_Audience],"")</f>
        <v>Major Donors</v>
      </c>
      <c r="W721" s="17">
        <f>_xlfn.XLOOKUP(Table8[[#This Row],[Campaign_Code]],tb3_CampaignMaster[Campaign_Code],tb3_CampaignMaster[Start_Date],"")</f>
        <v>45488</v>
      </c>
      <c r="X721" s="17">
        <f>_xlfn.XLOOKUP(Table8[[#This Row],[Campaign_Code]],tb3_CampaignMaster[Campaign_Code],tb3_CampaignMaster[End_Date],"")</f>
        <v>45488</v>
      </c>
      <c r="Y721">
        <f>_xlfn.XLOOKUP(Table8[[#This Row],[Campaign_Code]],tb3_CampaignMaster[Campaign_Code],tb3_CampaignMaster[Budget_GBP],"")</f>
        <v>45000</v>
      </c>
      <c r="Z721" t="str">
        <f>_xlfn.XLOOKUP(Table8[[#This Row],[Campaign_Code]],tb3_CampaignMaster[Campaign_Code],tb3_CampaignMaster[Primary_Channel],"")</f>
        <v>Direct Mail</v>
      </c>
      <c r="AA721" s="13">
        <f>IF(Table8[[#This Row],[Gift_Aid_Eligible]]="Yes",Table8[[#This Row],[Gift_Amount]]*1.25,Table8[[#This Row],[Gift_Amount]])</f>
        <v>26.74</v>
      </c>
      <c r="AB721" t="str">
        <f>IF(Table8[[#This Row],[Supporter_ID]]="","Review - missing supporter ID","")</f>
        <v/>
      </c>
      <c r="AC721" t="str">
        <f>IF(OR(Table8[[#This Row],[Response_Date]]&lt;Table8[[#This Row],[Start_Date]],Table8[[#This Row],[Response_Date]]&gt;Table8[[#This Row],[End_Date]]),"Review - response outside campaign dates","")</f>
        <v/>
      </c>
      <c r="AD721" t="str">
        <f>IF(Table8[[#This Row],[Campaign_Type]]="","Review - campaign code not found","")</f>
        <v/>
      </c>
    </row>
    <row r="722" spans="1:30" x14ac:dyDescent="0.25">
      <c r="A722" t="s">
        <v>4544</v>
      </c>
      <c r="B722" t="s">
        <v>1173</v>
      </c>
      <c r="C722" t="s">
        <v>3320</v>
      </c>
      <c r="D722" t="s">
        <v>3321</v>
      </c>
      <c r="E722" t="s">
        <v>4</v>
      </c>
      <c r="F722" s="17">
        <v>45462</v>
      </c>
      <c r="G722">
        <v>26.61</v>
      </c>
      <c r="H722" t="s">
        <v>36</v>
      </c>
      <c r="I722" t="s">
        <v>3370</v>
      </c>
      <c r="J722" t="str">
        <f>_xlfn.XLOOKUP(Table8[[#This Row],[Supporter_ID]],tb1_supporters[Supporter_ID ],tb1_supporters[Segment],"")</f>
        <v>Mid-Value</v>
      </c>
      <c r="K722" t="str">
        <f>_xlfn.XLOOKUP(Table8[[#This Row],[Supporter_ID]],tb1_supporters[Supporter_ID ],tb1_supporters[Acquisition_Source],"")</f>
        <v>Door-To-Door</v>
      </c>
      <c r="L722" t="str">
        <f>_xlfn.XLOOKUP(Table8[[#This Row],[Supporter_ID]],tb1_supporters[Supporter_ID ],tb1_supporters[County],"")</f>
        <v>Buckinghamshire</v>
      </c>
      <c r="M722" t="str">
        <f>_xlfn.XLOOKUP(Table8[[#This Row],[Supporter_ID]],tb1_supporters[Supporter_ID ],tb1_supporters[Gender],"")</f>
        <v>Female</v>
      </c>
      <c r="N722">
        <f ca="1">_xlfn.XLOOKUP(Table8[[#This Row],[Supporter_ID]],tb1_supporters[Supporter_ID ],tb1_supporters[Age],"")</f>
        <v>67</v>
      </c>
      <c r="O722" t="str">
        <f ca="1">_xlfn.XLOOKUP(Table8[[#This Row],[Supporter_ID]],tb1_supporters[Supporter_ID ],tb1_supporters[Age_Band],"")</f>
        <v>65+</v>
      </c>
      <c r="P722" t="str">
        <f ca="1">IF(Table8[[#This Row],[Age_Band]]="","Unknown",Table8[[#This Row],[Age_Band]])</f>
        <v>65+</v>
      </c>
      <c r="Q722" t="str">
        <f>_xlfn.XLOOKUP(Table8[[#This Row],[Supporter_ID]],tb1_supporters[Supporter_ID ],tb1_supporters[Communication_Preference],"")</f>
        <v>Post</v>
      </c>
      <c r="R722" t="str">
        <f>_xlfn.XLOOKUP(Table8[[#This Row],[Supporter_ID]],tb1_supporters[Supporter_ID ],tb1_supporters[Duplicate_Profile_Flag],"")</f>
        <v/>
      </c>
      <c r="S722" t="str">
        <f>_xlfn.XLOOKUP(Table8[[#This Row],[Supporter_ID]],tb1_supporters[Supporter_ID ],tb1_supporters[Preference_Compliance_Flag],"")</f>
        <v/>
      </c>
      <c r="T722" t="str">
        <f ca="1">IF(Table8[[#This Row],[Age]]="","Review - missing DOB",IF(Table8[[#This Row],[Age]]&gt;TODAY(),"Review - future DOB",IF(Table8[[#This Row],[Age]]=0,"Review -  potential entry error (age 0)","")))</f>
        <v/>
      </c>
      <c r="U722" t="str">
        <f>_xlfn.XLOOKUP(Table8[[#This Row],[Campaign_Code]],tb3_CampaignMaster[Campaign_Code],tb3_CampaignMaster[Campaign_Type],"")</f>
        <v>Stewardship</v>
      </c>
      <c r="V722" t="str">
        <f>_xlfn.XLOOKUP(Table8[[#This Row],[Campaign_Code]],tb3_CampaignMaster[Campaign_Code],tb3_CampaignMaster[Target_Audience],"")</f>
        <v>Major Donors</v>
      </c>
      <c r="W722" s="17">
        <f>_xlfn.XLOOKUP(Table8[[#This Row],[Campaign_Code]],tb3_CampaignMaster[Campaign_Code],tb3_CampaignMaster[Start_Date],"")</f>
        <v>45444</v>
      </c>
      <c r="X722" s="17">
        <f>_xlfn.XLOOKUP(Table8[[#This Row],[Campaign_Code]],tb3_CampaignMaster[Campaign_Code],tb3_CampaignMaster[End_Date],"")</f>
        <v>45473</v>
      </c>
      <c r="Y722">
        <f>_xlfn.XLOOKUP(Table8[[#This Row],[Campaign_Code]],tb3_CampaignMaster[Campaign_Code],tb3_CampaignMaster[Budget_GBP],"")</f>
        <v>7000</v>
      </c>
      <c r="Z722" t="str">
        <f>_xlfn.XLOOKUP(Table8[[#This Row],[Campaign_Code]],tb3_CampaignMaster[Campaign_Code],tb3_CampaignMaster[Primary_Channel],"")</f>
        <v>Direct Mail</v>
      </c>
      <c r="AA722" s="13">
        <f>IF(Table8[[#This Row],[Gift_Aid_Eligible]]="Yes",Table8[[#This Row],[Gift_Amount]]*1.25,Table8[[#This Row],[Gift_Amount]])</f>
        <v>33.262500000000003</v>
      </c>
      <c r="AB722" t="str">
        <f>IF(Table8[[#This Row],[Supporter_ID]]="","Review - missing supporter ID","")</f>
        <v/>
      </c>
      <c r="AC722" t="str">
        <f>IF(OR(Table8[[#This Row],[Response_Date]]&lt;Table8[[#This Row],[Start_Date]],Table8[[#This Row],[Response_Date]]&gt;Table8[[#This Row],[End_Date]]),"Review - response outside campaign dates","")</f>
        <v/>
      </c>
      <c r="AD722" t="str">
        <f>IF(Table8[[#This Row],[Campaign_Type]]="","Review - campaign code not found","")</f>
        <v/>
      </c>
    </row>
    <row r="723" spans="1:30" x14ac:dyDescent="0.25">
      <c r="A723" t="s">
        <v>4546</v>
      </c>
      <c r="B723" t="s">
        <v>753</v>
      </c>
      <c r="C723" t="s">
        <v>3320</v>
      </c>
      <c r="D723" t="s">
        <v>3321</v>
      </c>
      <c r="E723" t="s">
        <v>65</v>
      </c>
      <c r="F723" s="17">
        <v>45455</v>
      </c>
      <c r="G723">
        <v>45.67</v>
      </c>
      <c r="H723" t="s">
        <v>36</v>
      </c>
      <c r="I723" t="s">
        <v>3370</v>
      </c>
      <c r="J723" t="str">
        <f>_xlfn.XLOOKUP(Table8[[#This Row],[Supporter_ID]],tb1_supporters[Supporter_ID ],tb1_supporters[Segment],"")</f>
        <v>Mid-Value</v>
      </c>
      <c r="K723" t="str">
        <f>_xlfn.XLOOKUP(Table8[[#This Row],[Supporter_ID]],tb1_supporters[Supporter_ID ],tb1_supporters[Acquisition_Source],"")</f>
        <v>Corporate Partner</v>
      </c>
      <c r="L723" t="str">
        <f>_xlfn.XLOOKUP(Table8[[#This Row],[Supporter_ID]],tb1_supporters[Supporter_ID ],tb1_supporters[County],"")</f>
        <v>Avon</v>
      </c>
      <c r="M723" t="str">
        <f>_xlfn.XLOOKUP(Table8[[#This Row],[Supporter_ID]],tb1_supporters[Supporter_ID ],tb1_supporters[Gender],"")</f>
        <v>Male</v>
      </c>
      <c r="N723">
        <f ca="1">_xlfn.XLOOKUP(Table8[[#This Row],[Supporter_ID]],tb1_supporters[Supporter_ID ],tb1_supporters[Age],"")</f>
        <v>49</v>
      </c>
      <c r="O723" t="str">
        <f ca="1">_xlfn.XLOOKUP(Table8[[#This Row],[Supporter_ID]],tb1_supporters[Supporter_ID ],tb1_supporters[Age_Band],"")</f>
        <v>35-49</v>
      </c>
      <c r="P723" t="str">
        <f ca="1">IF(Table8[[#This Row],[Age_Band]]="","Unknown",Table8[[#This Row],[Age_Band]])</f>
        <v>35-49</v>
      </c>
      <c r="Q723" t="str">
        <f>_xlfn.XLOOKUP(Table8[[#This Row],[Supporter_ID]],tb1_supporters[Supporter_ID ],tb1_supporters[Communication_Preference],"")</f>
        <v>Phone</v>
      </c>
      <c r="R723" t="str">
        <f>_xlfn.XLOOKUP(Table8[[#This Row],[Supporter_ID]],tb1_supporters[Supporter_ID ],tb1_supporters[Duplicate_Profile_Flag],"")</f>
        <v/>
      </c>
      <c r="S723" t="str">
        <f>_xlfn.XLOOKUP(Table8[[#This Row],[Supporter_ID]],tb1_supporters[Supporter_ID ],tb1_supporters[Preference_Compliance_Flag],"")</f>
        <v>Review - prefers phone but not opted in</v>
      </c>
      <c r="T723" t="str">
        <f ca="1">IF(Table8[[#This Row],[Age]]="","Review - missing DOB",IF(Table8[[#This Row],[Age]]&gt;TODAY(),"Review - future DOB",IF(Table8[[#This Row],[Age]]=0,"Review -  potential entry error (age 0)","")))</f>
        <v/>
      </c>
      <c r="U723" t="str">
        <f>_xlfn.XLOOKUP(Table8[[#This Row],[Campaign_Code]],tb3_CampaignMaster[Campaign_Code],tb3_CampaignMaster[Campaign_Type],"")</f>
        <v>Stewardship</v>
      </c>
      <c r="V723" t="str">
        <f>_xlfn.XLOOKUP(Table8[[#This Row],[Campaign_Code]],tb3_CampaignMaster[Campaign_Code],tb3_CampaignMaster[Target_Audience],"")</f>
        <v>Major Donors</v>
      </c>
      <c r="W723" s="17">
        <f>_xlfn.XLOOKUP(Table8[[#This Row],[Campaign_Code]],tb3_CampaignMaster[Campaign_Code],tb3_CampaignMaster[Start_Date],"")</f>
        <v>45444</v>
      </c>
      <c r="X723" s="17">
        <f>_xlfn.XLOOKUP(Table8[[#This Row],[Campaign_Code]],tb3_CampaignMaster[Campaign_Code],tb3_CampaignMaster[End_Date],"")</f>
        <v>45473</v>
      </c>
      <c r="Y723">
        <f>_xlfn.XLOOKUP(Table8[[#This Row],[Campaign_Code]],tb3_CampaignMaster[Campaign_Code],tb3_CampaignMaster[Budget_GBP],"")</f>
        <v>7000</v>
      </c>
      <c r="Z723" t="str">
        <f>_xlfn.XLOOKUP(Table8[[#This Row],[Campaign_Code]],tb3_CampaignMaster[Campaign_Code],tb3_CampaignMaster[Primary_Channel],"")</f>
        <v>Direct Mail</v>
      </c>
      <c r="AA723" s="13">
        <f>IF(Table8[[#This Row],[Gift_Aid_Eligible]]="Yes",Table8[[#This Row],[Gift_Amount]]*1.25,Table8[[#This Row],[Gift_Amount]])</f>
        <v>57.087500000000006</v>
      </c>
      <c r="AB723" t="str">
        <f>IF(Table8[[#This Row],[Supporter_ID]]="","Review - missing supporter ID","")</f>
        <v/>
      </c>
      <c r="AC723" t="str">
        <f>IF(OR(Table8[[#This Row],[Response_Date]]&lt;Table8[[#This Row],[Start_Date]],Table8[[#This Row],[Response_Date]]&gt;Table8[[#This Row],[End_Date]]),"Review - response outside campaign dates","")</f>
        <v/>
      </c>
      <c r="AD723" t="str">
        <f>IF(Table8[[#This Row],[Campaign_Type]]="","Review - campaign code not found","")</f>
        <v/>
      </c>
    </row>
    <row r="724" spans="1:30" x14ac:dyDescent="0.25">
      <c r="A724" t="s">
        <v>4548</v>
      </c>
      <c r="B724" t="s">
        <v>1631</v>
      </c>
      <c r="C724" t="s">
        <v>3362</v>
      </c>
      <c r="D724" t="s">
        <v>3363</v>
      </c>
      <c r="E724" t="s">
        <v>65</v>
      </c>
      <c r="F724" s="17">
        <v>45575</v>
      </c>
      <c r="G724">
        <v>16.489999999999998</v>
      </c>
      <c r="H724" t="s">
        <v>36</v>
      </c>
      <c r="I724" t="s">
        <v>3365</v>
      </c>
      <c r="J724" t="str">
        <f>_xlfn.XLOOKUP(Table8[[#This Row],[Supporter_ID]],tb1_supporters[Supporter_ID ],tb1_supporters[Segment],"")</f>
        <v>Regular Giver</v>
      </c>
      <c r="K724" t="str">
        <f>_xlfn.XLOOKUP(Table8[[#This Row],[Supporter_ID]],tb1_supporters[Supporter_ID ],tb1_supporters[Acquisition_Source],"")</f>
        <v>Social Media</v>
      </c>
      <c r="L724" t="str">
        <f>_xlfn.XLOOKUP(Table8[[#This Row],[Supporter_ID]],tb1_supporters[Supporter_ID ],tb1_supporters[County],"")</f>
        <v>Somerset</v>
      </c>
      <c r="M724" t="str">
        <f>_xlfn.XLOOKUP(Table8[[#This Row],[Supporter_ID]],tb1_supporters[Supporter_ID ],tb1_supporters[Gender],"")</f>
        <v>Male</v>
      </c>
      <c r="N724">
        <f ca="1">_xlfn.XLOOKUP(Table8[[#This Row],[Supporter_ID]],tb1_supporters[Supporter_ID ],tb1_supporters[Age],"")</f>
        <v>76</v>
      </c>
      <c r="O724" t="str">
        <f ca="1">_xlfn.XLOOKUP(Table8[[#This Row],[Supporter_ID]],tb1_supporters[Supporter_ID ],tb1_supporters[Age_Band],"")</f>
        <v>65+</v>
      </c>
      <c r="P724" t="str">
        <f ca="1">IF(Table8[[#This Row],[Age_Band]]="","Unknown",Table8[[#This Row],[Age_Band]])</f>
        <v>65+</v>
      </c>
      <c r="Q724" t="str">
        <f>_xlfn.XLOOKUP(Table8[[#This Row],[Supporter_ID]],tb1_supporters[Supporter_ID ],tb1_supporters[Communication_Preference],"")</f>
        <v>Email</v>
      </c>
      <c r="R724" t="str">
        <f>_xlfn.XLOOKUP(Table8[[#This Row],[Supporter_ID]],tb1_supporters[Supporter_ID ],tb1_supporters[Duplicate_Profile_Flag],"")</f>
        <v/>
      </c>
      <c r="S724" t="str">
        <f>_xlfn.XLOOKUP(Table8[[#This Row],[Supporter_ID]],tb1_supporters[Supporter_ID ],tb1_supporters[Preference_Compliance_Flag],"")</f>
        <v/>
      </c>
      <c r="T724" t="str">
        <f ca="1">IF(Table8[[#This Row],[Age]]="","Review - missing DOB",IF(Table8[[#This Row],[Age]]&gt;TODAY(),"Review - future DOB",IF(Table8[[#This Row],[Age]]=0,"Review -  potential entry error (age 0)","")))</f>
        <v/>
      </c>
      <c r="U724" t="str">
        <f>_xlfn.XLOOKUP(Table8[[#This Row],[Campaign_Code]],tb3_CampaignMaster[Campaign_Code],tb3_CampaignMaster[Campaign_Type],"")</f>
        <v>Legacy</v>
      </c>
      <c r="V724" t="str">
        <f>_xlfn.XLOOKUP(Table8[[#This Row],[Campaign_Code]],tb3_CampaignMaster[Campaign_Code],tb3_CampaignMaster[Target_Audience],"")</f>
        <v>Over 55s</v>
      </c>
      <c r="W724" s="17">
        <f>_xlfn.XLOOKUP(Table8[[#This Row],[Campaign_Code]],tb3_CampaignMaster[Campaign_Code],tb3_CampaignMaster[Start_Date],"")</f>
        <v>45572</v>
      </c>
      <c r="X724" s="17">
        <f>_xlfn.XLOOKUP(Table8[[#This Row],[Campaign_Code]],tb3_CampaignMaster[Campaign_Code],tb3_CampaignMaster[End_Date],"")</f>
        <v>45578</v>
      </c>
      <c r="Y724">
        <f>_xlfn.XLOOKUP(Table8[[#This Row],[Campaign_Code]],tb3_CampaignMaster[Campaign_Code],tb3_CampaignMaster[Budget_GBP],"")</f>
        <v>5000</v>
      </c>
      <c r="Z724" t="str">
        <f>_xlfn.XLOOKUP(Table8[[#This Row],[Campaign_Code]],tb3_CampaignMaster[Campaign_Code],tb3_CampaignMaster[Primary_Channel],"")</f>
        <v>Direct Mail</v>
      </c>
      <c r="AA724" s="13">
        <f>IF(Table8[[#This Row],[Gift_Aid_Eligible]]="Yes",Table8[[#This Row],[Gift_Amount]]*1.25,Table8[[#This Row],[Gift_Amount]])</f>
        <v>20.612499999999997</v>
      </c>
      <c r="AB724" t="str">
        <f>IF(Table8[[#This Row],[Supporter_ID]]="","Review - missing supporter ID","")</f>
        <v/>
      </c>
      <c r="AC724" t="str">
        <f>IF(OR(Table8[[#This Row],[Response_Date]]&lt;Table8[[#This Row],[Start_Date]],Table8[[#This Row],[Response_Date]]&gt;Table8[[#This Row],[End_Date]]),"Review - response outside campaign dates","")</f>
        <v/>
      </c>
      <c r="AD724" t="str">
        <f>IF(Table8[[#This Row],[Campaign_Type]]="","Review - campaign code not found","")</f>
        <v/>
      </c>
    </row>
    <row r="725" spans="1:30" x14ac:dyDescent="0.25">
      <c r="A725" t="s">
        <v>4550</v>
      </c>
      <c r="B725" t="s">
        <v>1186</v>
      </c>
      <c r="C725" t="s">
        <v>3314</v>
      </c>
      <c r="D725" t="s">
        <v>3315</v>
      </c>
      <c r="E725" t="s">
        <v>3316</v>
      </c>
      <c r="F725" s="17">
        <v>45719</v>
      </c>
      <c r="G725">
        <v>3206.08</v>
      </c>
      <c r="H725" t="s">
        <v>37</v>
      </c>
      <c r="I725" t="s">
        <v>3331</v>
      </c>
      <c r="J725" t="str">
        <f>_xlfn.XLOOKUP(Table8[[#This Row],[Supporter_ID]],tb1_supporters[Supporter_ID ],tb1_supporters[Segment],"")</f>
        <v>Major Donor</v>
      </c>
      <c r="K725" t="str">
        <f>_xlfn.XLOOKUP(Table8[[#This Row],[Supporter_ID]],tb1_supporters[Supporter_ID ],tb1_supporters[Acquisition_Source],"")</f>
        <v>Social Media</v>
      </c>
      <c r="L725" t="str">
        <f>_xlfn.XLOOKUP(Table8[[#This Row],[Supporter_ID]],tb1_supporters[Supporter_ID ],tb1_supporters[County],"")</f>
        <v>Hampshire</v>
      </c>
      <c r="M725" t="str">
        <f>_xlfn.XLOOKUP(Table8[[#This Row],[Supporter_ID]],tb1_supporters[Supporter_ID ],tb1_supporters[Gender],"")</f>
        <v>Female</v>
      </c>
      <c r="N725">
        <f ca="1">_xlfn.XLOOKUP(Table8[[#This Row],[Supporter_ID]],tb1_supporters[Supporter_ID ],tb1_supporters[Age],"")</f>
        <v>49</v>
      </c>
      <c r="O725" t="str">
        <f ca="1">_xlfn.XLOOKUP(Table8[[#This Row],[Supporter_ID]],tb1_supporters[Supporter_ID ],tb1_supporters[Age_Band],"")</f>
        <v>35-49</v>
      </c>
      <c r="P725" t="str">
        <f ca="1">IF(Table8[[#This Row],[Age_Band]]="","Unknown",Table8[[#This Row],[Age_Band]])</f>
        <v>35-49</v>
      </c>
      <c r="Q725" t="str">
        <f>_xlfn.XLOOKUP(Table8[[#This Row],[Supporter_ID]],tb1_supporters[Supporter_ID ],tb1_supporters[Communication_Preference],"")</f>
        <v>Email</v>
      </c>
      <c r="R725" t="str">
        <f>_xlfn.XLOOKUP(Table8[[#This Row],[Supporter_ID]],tb1_supporters[Supporter_ID ],tb1_supporters[Duplicate_Profile_Flag],"")</f>
        <v/>
      </c>
      <c r="S725" t="str">
        <f>_xlfn.XLOOKUP(Table8[[#This Row],[Supporter_ID]],tb1_supporters[Supporter_ID ],tb1_supporters[Preference_Compliance_Flag],"")</f>
        <v/>
      </c>
      <c r="T725" t="str">
        <f ca="1">IF(Table8[[#This Row],[Age]]="","Review - missing DOB",IF(Table8[[#This Row],[Age]]&gt;TODAY(),"Review - future DOB",IF(Table8[[#This Row],[Age]]=0,"Review -  potential entry error (age 0)","")))</f>
        <v/>
      </c>
      <c r="U725" t="str">
        <f>_xlfn.XLOOKUP(Table8[[#This Row],[Campaign_Code]],tb3_CampaignMaster[Campaign_Code],tb3_CampaignMaster[Campaign_Type],"")</f>
        <v>Regular Giving</v>
      </c>
      <c r="V725" t="str">
        <f>_xlfn.XLOOKUP(Table8[[#This Row],[Campaign_Code]],tb3_CampaignMaster[Campaign_Code],tb3_CampaignMaster[Target_Audience],"")</f>
        <v>One-time Donors</v>
      </c>
      <c r="W725" s="17">
        <f>_xlfn.XLOOKUP(Table8[[#This Row],[Campaign_Code]],tb3_CampaignMaster[Campaign_Code],tb3_CampaignMaster[Start_Date],"")</f>
        <v>45663</v>
      </c>
      <c r="X725" s="17">
        <f>_xlfn.XLOOKUP(Table8[[#This Row],[Campaign_Code]],tb3_CampaignMaster[Campaign_Code],tb3_CampaignMaster[End_Date],"")</f>
        <v>45747</v>
      </c>
      <c r="Y725">
        <f>_xlfn.XLOOKUP(Table8[[#This Row],[Campaign_Code]],tb3_CampaignMaster[Campaign_Code],tb3_CampaignMaster[Budget_GBP],"")</f>
        <v>10000</v>
      </c>
      <c r="Z725" t="str">
        <f>_xlfn.XLOOKUP(Table8[[#This Row],[Campaign_Code]],tb3_CampaignMaster[Campaign_Code],tb3_CampaignMaster[Primary_Channel],"")</f>
        <v>Telephone</v>
      </c>
      <c r="AA725" s="13">
        <f>IF(Table8[[#This Row],[Gift_Aid_Eligible]]="Yes",Table8[[#This Row],[Gift_Amount]]*1.25,Table8[[#This Row],[Gift_Amount]])</f>
        <v>3206.08</v>
      </c>
      <c r="AB725" t="str">
        <f>IF(Table8[[#This Row],[Supporter_ID]]="","Review - missing supporter ID","")</f>
        <v/>
      </c>
      <c r="AC725" t="str">
        <f>IF(OR(Table8[[#This Row],[Response_Date]]&lt;Table8[[#This Row],[Start_Date]],Table8[[#This Row],[Response_Date]]&gt;Table8[[#This Row],[End_Date]]),"Review - response outside campaign dates","")</f>
        <v/>
      </c>
      <c r="AD725" t="str">
        <f>IF(Table8[[#This Row],[Campaign_Type]]="","Review - campaign code not found","")</f>
        <v/>
      </c>
    </row>
    <row r="726" spans="1:30" x14ac:dyDescent="0.25">
      <c r="A726" t="s">
        <v>4551</v>
      </c>
      <c r="B726" t="s">
        <v>3026</v>
      </c>
      <c r="C726" t="s">
        <v>3362</v>
      </c>
      <c r="D726" t="s">
        <v>3363</v>
      </c>
      <c r="E726" t="s">
        <v>65</v>
      </c>
      <c r="F726" s="17">
        <v>45577</v>
      </c>
      <c r="G726">
        <v>26.49</v>
      </c>
      <c r="H726" t="s">
        <v>36</v>
      </c>
      <c r="I726" t="s">
        <v>3370</v>
      </c>
      <c r="J726" t="str">
        <f>_xlfn.XLOOKUP(Table8[[#This Row],[Supporter_ID]],tb1_supporters[Supporter_ID ],tb1_supporters[Segment],"")</f>
        <v>One-Time Donor</v>
      </c>
      <c r="K726" t="str">
        <f>_xlfn.XLOOKUP(Table8[[#This Row],[Supporter_ID]],tb1_supporters[Supporter_ID ],tb1_supporters[Acquisition_Source],"")</f>
        <v>Event</v>
      </c>
      <c r="L726" t="str">
        <f>_xlfn.XLOOKUP(Table8[[#This Row],[Supporter_ID]],tb1_supporters[Supporter_ID ],tb1_supporters[County],"")</f>
        <v>West Midlands</v>
      </c>
      <c r="M726" t="str">
        <f>_xlfn.XLOOKUP(Table8[[#This Row],[Supporter_ID]],tb1_supporters[Supporter_ID ],tb1_supporters[Gender],"")</f>
        <v>Male</v>
      </c>
      <c r="N726">
        <f ca="1">_xlfn.XLOOKUP(Table8[[#This Row],[Supporter_ID]],tb1_supporters[Supporter_ID ],tb1_supporters[Age],"")</f>
        <v>64</v>
      </c>
      <c r="O726" t="str">
        <f ca="1">_xlfn.XLOOKUP(Table8[[#This Row],[Supporter_ID]],tb1_supporters[Supporter_ID ],tb1_supporters[Age_Band],"")</f>
        <v>50-64</v>
      </c>
      <c r="P726" t="str">
        <f ca="1">IF(Table8[[#This Row],[Age_Band]]="","Unknown",Table8[[#This Row],[Age_Band]])</f>
        <v>50-64</v>
      </c>
      <c r="Q726" t="str">
        <f>_xlfn.XLOOKUP(Table8[[#This Row],[Supporter_ID]],tb1_supporters[Supporter_ID ],tb1_supporters[Communication_Preference],"")</f>
        <v>Email</v>
      </c>
      <c r="R726" t="str">
        <f>_xlfn.XLOOKUP(Table8[[#This Row],[Supporter_ID]],tb1_supporters[Supporter_ID ],tb1_supporters[Duplicate_Profile_Flag],"")</f>
        <v/>
      </c>
      <c r="S726" t="str">
        <f>_xlfn.XLOOKUP(Table8[[#This Row],[Supporter_ID]],tb1_supporters[Supporter_ID ],tb1_supporters[Preference_Compliance_Flag],"")</f>
        <v>Review - prefers email but not opted in</v>
      </c>
      <c r="T726" t="str">
        <f ca="1">IF(Table8[[#This Row],[Age]]="","Review - missing DOB",IF(Table8[[#This Row],[Age]]&gt;TODAY(),"Review - future DOB",IF(Table8[[#This Row],[Age]]=0,"Review -  potential entry error (age 0)","")))</f>
        <v/>
      </c>
      <c r="U726" t="str">
        <f>_xlfn.XLOOKUP(Table8[[#This Row],[Campaign_Code]],tb3_CampaignMaster[Campaign_Code],tb3_CampaignMaster[Campaign_Type],"")</f>
        <v>Legacy</v>
      </c>
      <c r="V726" t="str">
        <f>_xlfn.XLOOKUP(Table8[[#This Row],[Campaign_Code]],tb3_CampaignMaster[Campaign_Code],tb3_CampaignMaster[Target_Audience],"")</f>
        <v>Over 55s</v>
      </c>
      <c r="W726" s="17">
        <f>_xlfn.XLOOKUP(Table8[[#This Row],[Campaign_Code]],tb3_CampaignMaster[Campaign_Code],tb3_CampaignMaster[Start_Date],"")</f>
        <v>45572</v>
      </c>
      <c r="X726" s="17">
        <f>_xlfn.XLOOKUP(Table8[[#This Row],[Campaign_Code]],tb3_CampaignMaster[Campaign_Code],tb3_CampaignMaster[End_Date],"")</f>
        <v>45578</v>
      </c>
      <c r="Y726">
        <f>_xlfn.XLOOKUP(Table8[[#This Row],[Campaign_Code]],tb3_CampaignMaster[Campaign_Code],tb3_CampaignMaster[Budget_GBP],"")</f>
        <v>5000</v>
      </c>
      <c r="Z726" t="str">
        <f>_xlfn.XLOOKUP(Table8[[#This Row],[Campaign_Code]],tb3_CampaignMaster[Campaign_Code],tb3_CampaignMaster[Primary_Channel],"")</f>
        <v>Direct Mail</v>
      </c>
      <c r="AA726" s="13">
        <f>IF(Table8[[#This Row],[Gift_Aid_Eligible]]="Yes",Table8[[#This Row],[Gift_Amount]]*1.25,Table8[[#This Row],[Gift_Amount]])</f>
        <v>33.112499999999997</v>
      </c>
      <c r="AB726" t="str">
        <f>IF(Table8[[#This Row],[Supporter_ID]]="","Review - missing supporter ID","")</f>
        <v/>
      </c>
      <c r="AC726" t="str">
        <f>IF(OR(Table8[[#This Row],[Response_Date]]&lt;Table8[[#This Row],[Start_Date]],Table8[[#This Row],[Response_Date]]&gt;Table8[[#This Row],[End_Date]]),"Review - response outside campaign dates","")</f>
        <v/>
      </c>
      <c r="AD726" t="str">
        <f>IF(Table8[[#This Row],[Campaign_Type]]="","Review - campaign code not found","")</f>
        <v/>
      </c>
    </row>
    <row r="727" spans="1:30" x14ac:dyDescent="0.25">
      <c r="A727" t="s">
        <v>4552</v>
      </c>
      <c r="B727" t="s">
        <v>2159</v>
      </c>
      <c r="C727" t="s">
        <v>3320</v>
      </c>
      <c r="D727" t="s">
        <v>3321</v>
      </c>
      <c r="E727" t="s">
        <v>65</v>
      </c>
      <c r="F727" s="17">
        <v>45449</v>
      </c>
      <c r="G727">
        <v>11.95</v>
      </c>
      <c r="H727" t="s">
        <v>37</v>
      </c>
      <c r="I727" t="s">
        <v>3331</v>
      </c>
      <c r="J727" t="str">
        <f>_xlfn.XLOOKUP(Table8[[#This Row],[Supporter_ID]],tb1_supporters[Supporter_ID ],tb1_supporters[Segment],"")</f>
        <v>Lapsed</v>
      </c>
      <c r="K727" t="str">
        <f>_xlfn.XLOOKUP(Table8[[#This Row],[Supporter_ID]],tb1_supporters[Supporter_ID ],tb1_supporters[Acquisition_Source],"")</f>
        <v>Website</v>
      </c>
      <c r="L727" t="str">
        <f>_xlfn.XLOOKUP(Table8[[#This Row],[Supporter_ID]],tb1_supporters[Supporter_ID ],tb1_supporters[County],"")</f>
        <v>Hampshire</v>
      </c>
      <c r="M727" t="str">
        <f>_xlfn.XLOOKUP(Table8[[#This Row],[Supporter_ID]],tb1_supporters[Supporter_ID ],tb1_supporters[Gender],"")</f>
        <v>Male</v>
      </c>
      <c r="N727" t="str">
        <f ca="1">_xlfn.XLOOKUP(Table8[[#This Row],[Supporter_ID]],tb1_supporters[Supporter_ID ],tb1_supporters[Age],"")</f>
        <v/>
      </c>
      <c r="O727" t="str">
        <f ca="1">_xlfn.XLOOKUP(Table8[[#This Row],[Supporter_ID]],tb1_supporters[Supporter_ID ],tb1_supporters[Age_Band],"")</f>
        <v/>
      </c>
      <c r="P727" t="str">
        <f ca="1">IF(Table8[[#This Row],[Age_Band]]="","Unknown",Table8[[#This Row],[Age_Band]])</f>
        <v>Unknown</v>
      </c>
      <c r="Q727" t="str">
        <f>_xlfn.XLOOKUP(Table8[[#This Row],[Supporter_ID]],tb1_supporters[Supporter_ID ],tb1_supporters[Communication_Preference],"")</f>
        <v>Phone</v>
      </c>
      <c r="R727" t="str">
        <f>_xlfn.XLOOKUP(Table8[[#This Row],[Supporter_ID]],tb1_supporters[Supporter_ID ],tb1_supporters[Duplicate_Profile_Flag],"")</f>
        <v/>
      </c>
      <c r="S727" t="str">
        <f>_xlfn.XLOOKUP(Table8[[#This Row],[Supporter_ID]],tb1_supporters[Supporter_ID ],tb1_supporters[Preference_Compliance_Flag],"")</f>
        <v>Review - prefers phone but not opted in</v>
      </c>
      <c r="T727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727" t="str">
        <f>_xlfn.XLOOKUP(Table8[[#This Row],[Campaign_Code]],tb3_CampaignMaster[Campaign_Code],tb3_CampaignMaster[Campaign_Type],"")</f>
        <v>Stewardship</v>
      </c>
      <c r="V727" t="str">
        <f>_xlfn.XLOOKUP(Table8[[#This Row],[Campaign_Code]],tb3_CampaignMaster[Campaign_Code],tb3_CampaignMaster[Target_Audience],"")</f>
        <v>Major Donors</v>
      </c>
      <c r="W727" s="17">
        <f>_xlfn.XLOOKUP(Table8[[#This Row],[Campaign_Code]],tb3_CampaignMaster[Campaign_Code],tb3_CampaignMaster[Start_Date],"")</f>
        <v>45444</v>
      </c>
      <c r="X727" s="17">
        <f>_xlfn.XLOOKUP(Table8[[#This Row],[Campaign_Code]],tb3_CampaignMaster[Campaign_Code],tb3_CampaignMaster[End_Date],"")</f>
        <v>45473</v>
      </c>
      <c r="Y727">
        <f>_xlfn.XLOOKUP(Table8[[#This Row],[Campaign_Code]],tb3_CampaignMaster[Campaign_Code],tb3_CampaignMaster[Budget_GBP],"")</f>
        <v>7000</v>
      </c>
      <c r="Z727" t="str">
        <f>_xlfn.XLOOKUP(Table8[[#This Row],[Campaign_Code]],tb3_CampaignMaster[Campaign_Code],tb3_CampaignMaster[Primary_Channel],"")</f>
        <v>Direct Mail</v>
      </c>
      <c r="AA727" s="13">
        <f>IF(Table8[[#This Row],[Gift_Aid_Eligible]]="Yes",Table8[[#This Row],[Gift_Amount]]*1.25,Table8[[#This Row],[Gift_Amount]])</f>
        <v>11.95</v>
      </c>
      <c r="AB727" t="str">
        <f>IF(Table8[[#This Row],[Supporter_ID]]="","Review - missing supporter ID","")</f>
        <v/>
      </c>
      <c r="AC727" t="str">
        <f>IF(OR(Table8[[#This Row],[Response_Date]]&lt;Table8[[#This Row],[Start_Date]],Table8[[#This Row],[Response_Date]]&gt;Table8[[#This Row],[End_Date]]),"Review - response outside campaign dates","")</f>
        <v/>
      </c>
      <c r="AD727" t="str">
        <f>IF(Table8[[#This Row],[Campaign_Type]]="","Review - campaign code not found","")</f>
        <v/>
      </c>
    </row>
    <row r="728" spans="1:30" x14ac:dyDescent="0.25">
      <c r="A728" t="s">
        <v>4554</v>
      </c>
      <c r="B728" t="s">
        <v>2246</v>
      </c>
      <c r="C728" t="s">
        <v>3314</v>
      </c>
      <c r="D728" t="s">
        <v>3315</v>
      </c>
      <c r="E728" t="s">
        <v>3316</v>
      </c>
      <c r="F728" s="17">
        <v>45738</v>
      </c>
      <c r="G728">
        <v>4443.9399999999996</v>
      </c>
      <c r="H728" t="s">
        <v>36</v>
      </c>
      <c r="I728" t="s">
        <v>3318</v>
      </c>
      <c r="J728" t="str">
        <f>_xlfn.XLOOKUP(Table8[[#This Row],[Supporter_ID]],tb1_supporters[Supporter_ID ],tb1_supporters[Segment],"")</f>
        <v>Major Donor</v>
      </c>
      <c r="K728" t="str">
        <f>_xlfn.XLOOKUP(Table8[[#This Row],[Supporter_ID]],tb1_supporters[Supporter_ID ],tb1_supporters[Acquisition_Source],"")</f>
        <v>Referral</v>
      </c>
      <c r="L728" t="str">
        <f>_xlfn.XLOOKUP(Table8[[#This Row],[Supporter_ID]],tb1_supporters[Supporter_ID ],tb1_supporters[County],"")</f>
        <v>Dorset</v>
      </c>
      <c r="M728" t="str">
        <f>_xlfn.XLOOKUP(Table8[[#This Row],[Supporter_ID]],tb1_supporters[Supporter_ID ],tb1_supporters[Gender],"")</f>
        <v>Male</v>
      </c>
      <c r="N728">
        <f ca="1">_xlfn.XLOOKUP(Table8[[#This Row],[Supporter_ID]],tb1_supporters[Supporter_ID ],tb1_supporters[Age],"")</f>
        <v>48</v>
      </c>
      <c r="O728" t="str">
        <f ca="1">_xlfn.XLOOKUP(Table8[[#This Row],[Supporter_ID]],tb1_supporters[Supporter_ID ],tb1_supporters[Age_Band],"")</f>
        <v>35-49</v>
      </c>
      <c r="P728" t="str">
        <f ca="1">IF(Table8[[#This Row],[Age_Band]]="","Unknown",Table8[[#This Row],[Age_Band]])</f>
        <v>35-49</v>
      </c>
      <c r="Q728" t="str">
        <f>_xlfn.XLOOKUP(Table8[[#This Row],[Supporter_ID]],tb1_supporters[Supporter_ID ],tb1_supporters[Communication_Preference],"")</f>
        <v>Email</v>
      </c>
      <c r="R728" t="str">
        <f>_xlfn.XLOOKUP(Table8[[#This Row],[Supporter_ID]],tb1_supporters[Supporter_ID ],tb1_supporters[Duplicate_Profile_Flag],"")</f>
        <v/>
      </c>
      <c r="S728" t="str">
        <f>_xlfn.XLOOKUP(Table8[[#This Row],[Supporter_ID]],tb1_supporters[Supporter_ID ],tb1_supporters[Preference_Compliance_Flag],"")</f>
        <v/>
      </c>
      <c r="T728" t="str">
        <f ca="1">IF(Table8[[#This Row],[Age]]="","Review - missing DOB",IF(Table8[[#This Row],[Age]]&gt;TODAY(),"Review - future DOB",IF(Table8[[#This Row],[Age]]=0,"Review -  potential entry error (age 0)","")))</f>
        <v/>
      </c>
      <c r="U728" t="str">
        <f>_xlfn.XLOOKUP(Table8[[#This Row],[Campaign_Code]],tb3_CampaignMaster[Campaign_Code],tb3_CampaignMaster[Campaign_Type],"")</f>
        <v>Regular Giving</v>
      </c>
      <c r="V728" t="str">
        <f>_xlfn.XLOOKUP(Table8[[#This Row],[Campaign_Code]],tb3_CampaignMaster[Campaign_Code],tb3_CampaignMaster[Target_Audience],"")</f>
        <v>One-time Donors</v>
      </c>
      <c r="W728" s="17">
        <f>_xlfn.XLOOKUP(Table8[[#This Row],[Campaign_Code]],tb3_CampaignMaster[Campaign_Code],tb3_CampaignMaster[Start_Date],"")</f>
        <v>45663</v>
      </c>
      <c r="X728" s="17">
        <f>_xlfn.XLOOKUP(Table8[[#This Row],[Campaign_Code]],tb3_CampaignMaster[Campaign_Code],tb3_CampaignMaster[End_Date],"")</f>
        <v>45747</v>
      </c>
      <c r="Y728">
        <f>_xlfn.XLOOKUP(Table8[[#This Row],[Campaign_Code]],tb3_CampaignMaster[Campaign_Code],tb3_CampaignMaster[Budget_GBP],"")</f>
        <v>10000</v>
      </c>
      <c r="Z728" t="str">
        <f>_xlfn.XLOOKUP(Table8[[#This Row],[Campaign_Code]],tb3_CampaignMaster[Campaign_Code],tb3_CampaignMaster[Primary_Channel],"")</f>
        <v>Telephone</v>
      </c>
      <c r="AA728" s="13">
        <f>IF(Table8[[#This Row],[Gift_Aid_Eligible]]="Yes",Table8[[#This Row],[Gift_Amount]]*1.25,Table8[[#This Row],[Gift_Amount]])</f>
        <v>5554.9249999999993</v>
      </c>
      <c r="AB728" t="str">
        <f>IF(Table8[[#This Row],[Supporter_ID]]="","Review - missing supporter ID","")</f>
        <v/>
      </c>
      <c r="AC728" t="str">
        <f>IF(OR(Table8[[#This Row],[Response_Date]]&lt;Table8[[#This Row],[Start_Date]],Table8[[#This Row],[Response_Date]]&gt;Table8[[#This Row],[End_Date]]),"Review - response outside campaign dates","")</f>
        <v/>
      </c>
      <c r="AD728" t="str">
        <f>IF(Table8[[#This Row],[Campaign_Type]]="","Review - campaign code not found","")</f>
        <v/>
      </c>
    </row>
    <row r="729" spans="1:30" x14ac:dyDescent="0.25">
      <c r="A729" t="s">
        <v>4556</v>
      </c>
      <c r="B729" t="s">
        <v>2592</v>
      </c>
      <c r="C729" t="s">
        <v>3403</v>
      </c>
      <c r="D729" t="s">
        <v>3404</v>
      </c>
      <c r="E729" t="s">
        <v>4</v>
      </c>
      <c r="F729" s="17">
        <v>45583</v>
      </c>
      <c r="G729">
        <v>26.97</v>
      </c>
      <c r="H729" t="s">
        <v>37</v>
      </c>
      <c r="I729" t="s">
        <v>3323</v>
      </c>
      <c r="J729" t="str">
        <f>_xlfn.XLOOKUP(Table8[[#This Row],[Supporter_ID]],tb1_supporters[Supporter_ID ],tb1_supporters[Segment],"")</f>
        <v>Regular Giver</v>
      </c>
      <c r="K729" t="str">
        <f>_xlfn.XLOOKUP(Table8[[#This Row],[Supporter_ID]],tb1_supporters[Supporter_ID ],tb1_supporters[Acquisition_Source],"")</f>
        <v>Corporate Partner</v>
      </c>
      <c r="L729" t="str">
        <f>_xlfn.XLOOKUP(Table8[[#This Row],[Supporter_ID]],tb1_supporters[Supporter_ID ],tb1_supporters[County],"")</f>
        <v>Oxfordshire</v>
      </c>
      <c r="M729" t="str">
        <f>_xlfn.XLOOKUP(Table8[[#This Row],[Supporter_ID]],tb1_supporters[Supporter_ID ],tb1_supporters[Gender],"")</f>
        <v>Male</v>
      </c>
      <c r="N729">
        <f ca="1">_xlfn.XLOOKUP(Table8[[#This Row],[Supporter_ID]],tb1_supporters[Supporter_ID ],tb1_supporters[Age],"")</f>
        <v>22</v>
      </c>
      <c r="O729" t="str">
        <f ca="1">_xlfn.XLOOKUP(Table8[[#This Row],[Supporter_ID]],tb1_supporters[Supporter_ID ],tb1_supporters[Age_Band],"")</f>
        <v>18-34</v>
      </c>
      <c r="P729" t="str">
        <f ca="1">IF(Table8[[#This Row],[Age_Band]]="","Unknown",Table8[[#This Row],[Age_Band]])</f>
        <v>18-34</v>
      </c>
      <c r="Q729" t="str">
        <f>_xlfn.XLOOKUP(Table8[[#This Row],[Supporter_ID]],tb1_supporters[Supporter_ID ],tb1_supporters[Communication_Preference],"")</f>
        <v>Post</v>
      </c>
      <c r="R729" t="str">
        <f>_xlfn.XLOOKUP(Table8[[#This Row],[Supporter_ID]],tb1_supporters[Supporter_ID ],tb1_supporters[Duplicate_Profile_Flag],"")</f>
        <v/>
      </c>
      <c r="S729" t="str">
        <f>_xlfn.XLOOKUP(Table8[[#This Row],[Supporter_ID]],tb1_supporters[Supporter_ID ],tb1_supporters[Preference_Compliance_Flag],"")</f>
        <v/>
      </c>
      <c r="T729" t="str">
        <f ca="1">IF(Table8[[#This Row],[Age]]="","Review - missing DOB",IF(Table8[[#This Row],[Age]]&gt;TODAY(),"Review - future DOB",IF(Table8[[#This Row],[Age]]=0,"Review -  potential entry error (age 0)","")))</f>
        <v/>
      </c>
      <c r="U729" t="str">
        <f>_xlfn.XLOOKUP(Table8[[#This Row],[Campaign_Code]],tb3_CampaignMaster[Campaign_Code],tb3_CampaignMaster[Campaign_Type],"")</f>
        <v>Trading</v>
      </c>
      <c r="V729" t="str">
        <f>_xlfn.XLOOKUP(Table8[[#This Row],[Campaign_Code]],tb3_CampaignMaster[Campaign_Code],tb3_CampaignMaster[Target_Audience],"")</f>
        <v>All Active</v>
      </c>
      <c r="W729" s="17">
        <f>_xlfn.XLOOKUP(Table8[[#This Row],[Campaign_Code]],tb3_CampaignMaster[Campaign_Code],tb3_CampaignMaster[Start_Date],"")</f>
        <v>45580</v>
      </c>
      <c r="X729" s="17">
        <f>_xlfn.XLOOKUP(Table8[[#This Row],[Campaign_Code]],tb3_CampaignMaster[Campaign_Code],tb3_CampaignMaster[End_Date],"")</f>
        <v>45646</v>
      </c>
      <c r="Y729">
        <f>_xlfn.XLOOKUP(Table8[[#This Row],[Campaign_Code]],tb3_CampaignMaster[Campaign_Code],tb3_CampaignMaster[Budget_GBP],"")</f>
        <v>12000</v>
      </c>
      <c r="Z729" t="str">
        <f>_xlfn.XLOOKUP(Table8[[#This Row],[Campaign_Code]],tb3_CampaignMaster[Campaign_Code],tb3_CampaignMaster[Primary_Channel],"")</f>
        <v>Multi-channel</v>
      </c>
      <c r="AA729" s="13">
        <f>IF(Table8[[#This Row],[Gift_Aid_Eligible]]="Yes",Table8[[#This Row],[Gift_Amount]]*1.25,Table8[[#This Row],[Gift_Amount]])</f>
        <v>26.97</v>
      </c>
      <c r="AB729" t="str">
        <f>IF(Table8[[#This Row],[Supporter_ID]]="","Review - missing supporter ID","")</f>
        <v/>
      </c>
      <c r="AC729" t="str">
        <f>IF(OR(Table8[[#This Row],[Response_Date]]&lt;Table8[[#This Row],[Start_Date]],Table8[[#This Row],[Response_Date]]&gt;Table8[[#This Row],[End_Date]]),"Review - response outside campaign dates","")</f>
        <v/>
      </c>
      <c r="AD729" t="str">
        <f>IF(Table8[[#This Row],[Campaign_Type]]="","Review - campaign code not found","")</f>
        <v/>
      </c>
    </row>
    <row r="730" spans="1:30" x14ac:dyDescent="0.25">
      <c r="A730" t="s">
        <v>4558</v>
      </c>
      <c r="B730" t="s">
        <v>949</v>
      </c>
      <c r="C730" t="s">
        <v>3427</v>
      </c>
      <c r="D730" t="s">
        <v>3428</v>
      </c>
      <c r="E730" t="s">
        <v>65</v>
      </c>
      <c r="F730" s="17">
        <v>45488</v>
      </c>
      <c r="G730">
        <v>13.8</v>
      </c>
      <c r="H730" t="s">
        <v>37</v>
      </c>
      <c r="I730" t="s">
        <v>3334</v>
      </c>
      <c r="J730" t="str">
        <f>_xlfn.XLOOKUP(Table8[[#This Row],[Supporter_ID]],tb1_supporters[Supporter_ID ],tb1_supporters[Segment],"")</f>
        <v>Prospect</v>
      </c>
      <c r="K730" t="str">
        <f>_xlfn.XLOOKUP(Table8[[#This Row],[Supporter_ID]],tb1_supporters[Supporter_ID ],tb1_supporters[Acquisition_Source],"")</f>
        <v>Door-To-Door</v>
      </c>
      <c r="L730" t="str">
        <f>_xlfn.XLOOKUP(Table8[[#This Row],[Supporter_ID]],tb1_supporters[Supporter_ID ],tb1_supporters[County],"")</f>
        <v>Leicestershire</v>
      </c>
      <c r="M730" t="str">
        <f>_xlfn.XLOOKUP(Table8[[#This Row],[Supporter_ID]],tb1_supporters[Supporter_ID ],tb1_supporters[Gender],"")</f>
        <v>Female</v>
      </c>
      <c r="N730">
        <f ca="1">_xlfn.XLOOKUP(Table8[[#This Row],[Supporter_ID]],tb1_supporters[Supporter_ID ],tb1_supporters[Age],"")</f>
        <v>50</v>
      </c>
      <c r="O730" t="str">
        <f ca="1">_xlfn.XLOOKUP(Table8[[#This Row],[Supporter_ID]],tb1_supporters[Supporter_ID ],tb1_supporters[Age_Band],"")</f>
        <v>50-64</v>
      </c>
      <c r="P730" t="str">
        <f ca="1">IF(Table8[[#This Row],[Age_Band]]="","Unknown",Table8[[#This Row],[Age_Band]])</f>
        <v>50-64</v>
      </c>
      <c r="Q730" t="str">
        <f>_xlfn.XLOOKUP(Table8[[#This Row],[Supporter_ID]],tb1_supporters[Supporter_ID ],tb1_supporters[Communication_Preference],"")</f>
        <v>Post</v>
      </c>
      <c r="R730" t="str">
        <f>_xlfn.XLOOKUP(Table8[[#This Row],[Supporter_ID]],tb1_supporters[Supporter_ID ],tb1_supporters[Duplicate_Profile_Flag],"")</f>
        <v/>
      </c>
      <c r="S730" t="str">
        <f>_xlfn.XLOOKUP(Table8[[#This Row],[Supporter_ID]],tb1_supporters[Supporter_ID ],tb1_supporters[Preference_Compliance_Flag],"")</f>
        <v/>
      </c>
      <c r="T730" t="str">
        <f ca="1">IF(Table8[[#This Row],[Age]]="","Review - missing DOB",IF(Table8[[#This Row],[Age]]&gt;TODAY(),"Review - future DOB",IF(Table8[[#This Row],[Age]]=0,"Review -  potential entry error (age 0)","")))</f>
        <v/>
      </c>
      <c r="U730" t="str">
        <f>_xlfn.XLOOKUP(Table8[[#This Row],[Campaign_Code]],tb3_CampaignMaster[Campaign_Code],tb3_CampaignMaster[Campaign_Type],"")</f>
        <v>Event</v>
      </c>
      <c r="V730" t="str">
        <f>_xlfn.XLOOKUP(Table8[[#This Row],[Campaign_Code]],tb3_CampaignMaster[Campaign_Code],tb3_CampaignMaster[Target_Audience],"")</f>
        <v>Major Donors</v>
      </c>
      <c r="W730" s="17">
        <f>_xlfn.XLOOKUP(Table8[[#This Row],[Campaign_Code]],tb3_CampaignMaster[Campaign_Code],tb3_CampaignMaster[Start_Date],"")</f>
        <v>45488</v>
      </c>
      <c r="X730" s="17">
        <f>_xlfn.XLOOKUP(Table8[[#This Row],[Campaign_Code]],tb3_CampaignMaster[Campaign_Code],tb3_CampaignMaster[End_Date],"")</f>
        <v>45488</v>
      </c>
      <c r="Y730">
        <f>_xlfn.XLOOKUP(Table8[[#This Row],[Campaign_Code]],tb3_CampaignMaster[Campaign_Code],tb3_CampaignMaster[Budget_GBP],"")</f>
        <v>45000</v>
      </c>
      <c r="Z730" t="str">
        <f>_xlfn.XLOOKUP(Table8[[#This Row],[Campaign_Code]],tb3_CampaignMaster[Campaign_Code],tb3_CampaignMaster[Primary_Channel],"")</f>
        <v>Direct Mail</v>
      </c>
      <c r="AA730" s="13">
        <f>IF(Table8[[#This Row],[Gift_Aid_Eligible]]="Yes",Table8[[#This Row],[Gift_Amount]]*1.25,Table8[[#This Row],[Gift_Amount]])</f>
        <v>13.8</v>
      </c>
      <c r="AB730" t="str">
        <f>IF(Table8[[#This Row],[Supporter_ID]]="","Review - missing supporter ID","")</f>
        <v/>
      </c>
      <c r="AC730" t="str">
        <f>IF(OR(Table8[[#This Row],[Response_Date]]&lt;Table8[[#This Row],[Start_Date]],Table8[[#This Row],[Response_Date]]&gt;Table8[[#This Row],[End_Date]]),"Review - response outside campaign dates","")</f>
        <v/>
      </c>
      <c r="AD730" t="str">
        <f>IF(Table8[[#This Row],[Campaign_Type]]="","Review - campaign code not found","")</f>
        <v/>
      </c>
    </row>
    <row r="731" spans="1:30" x14ac:dyDescent="0.25">
      <c r="A731" t="s">
        <v>4559</v>
      </c>
      <c r="B731" t="s">
        <v>2433</v>
      </c>
      <c r="C731" t="s">
        <v>3403</v>
      </c>
      <c r="D731" t="s">
        <v>3404</v>
      </c>
      <c r="E731" t="s">
        <v>4</v>
      </c>
      <c r="F731" s="17">
        <v>45592</v>
      </c>
      <c r="G731">
        <v>131.99</v>
      </c>
      <c r="H731" t="s">
        <v>36</v>
      </c>
      <c r="I731" t="s">
        <v>3385</v>
      </c>
      <c r="J731" t="str">
        <f>_xlfn.XLOOKUP(Table8[[#This Row],[Supporter_ID]],tb1_supporters[Supporter_ID ],tb1_supporters[Segment],"")</f>
        <v>Mid-Value</v>
      </c>
      <c r="K731" t="str">
        <f>_xlfn.XLOOKUP(Table8[[#This Row],[Supporter_ID]],tb1_supporters[Supporter_ID ],tb1_supporters[Acquisition_Source],"")</f>
        <v>Door-To-Door</v>
      </c>
      <c r="L731" t="str">
        <f>_xlfn.XLOOKUP(Table8[[#This Row],[Supporter_ID]],tb1_supporters[Supporter_ID ],tb1_supporters[County],"")</f>
        <v>Leicestershire</v>
      </c>
      <c r="M731" t="str">
        <f>_xlfn.XLOOKUP(Table8[[#This Row],[Supporter_ID]],tb1_supporters[Supporter_ID ],tb1_supporters[Gender],"")</f>
        <v>Female</v>
      </c>
      <c r="N731">
        <f ca="1">_xlfn.XLOOKUP(Table8[[#This Row],[Supporter_ID]],tb1_supporters[Supporter_ID ],tb1_supporters[Age],"")</f>
        <v>43</v>
      </c>
      <c r="O731" t="str">
        <f ca="1">_xlfn.XLOOKUP(Table8[[#This Row],[Supporter_ID]],tb1_supporters[Supporter_ID ],tb1_supporters[Age_Band],"")</f>
        <v>35-49</v>
      </c>
      <c r="P731" t="str">
        <f ca="1">IF(Table8[[#This Row],[Age_Band]]="","Unknown",Table8[[#This Row],[Age_Band]])</f>
        <v>35-49</v>
      </c>
      <c r="Q731" t="str">
        <f>_xlfn.XLOOKUP(Table8[[#This Row],[Supporter_ID]],tb1_supporters[Supporter_ID ],tb1_supporters[Communication_Preference],"")</f>
        <v>Do Not Contact</v>
      </c>
      <c r="R731" t="str">
        <f>_xlfn.XLOOKUP(Table8[[#This Row],[Supporter_ID]],tb1_supporters[Supporter_ID ],tb1_supporters[Duplicate_Profile_Flag],"")</f>
        <v/>
      </c>
      <c r="S731" t="str">
        <f>_xlfn.XLOOKUP(Table8[[#This Row],[Supporter_ID]],tb1_supporters[Supporter_ID ],tb1_supporters[Preference_Compliance_Flag],"")</f>
        <v/>
      </c>
      <c r="T731" t="str">
        <f ca="1">IF(Table8[[#This Row],[Age]]="","Review - missing DOB",IF(Table8[[#This Row],[Age]]&gt;TODAY(),"Review - future DOB",IF(Table8[[#This Row],[Age]]=0,"Review -  potential entry error (age 0)","")))</f>
        <v/>
      </c>
      <c r="U731" t="str">
        <f>_xlfn.XLOOKUP(Table8[[#This Row],[Campaign_Code]],tb3_CampaignMaster[Campaign_Code],tb3_CampaignMaster[Campaign_Type],"")</f>
        <v>Trading</v>
      </c>
      <c r="V731" t="str">
        <f>_xlfn.XLOOKUP(Table8[[#This Row],[Campaign_Code]],tb3_CampaignMaster[Campaign_Code],tb3_CampaignMaster[Target_Audience],"")</f>
        <v>All Active</v>
      </c>
      <c r="W731" s="17">
        <f>_xlfn.XLOOKUP(Table8[[#This Row],[Campaign_Code]],tb3_CampaignMaster[Campaign_Code],tb3_CampaignMaster[Start_Date],"")</f>
        <v>45580</v>
      </c>
      <c r="X731" s="17">
        <f>_xlfn.XLOOKUP(Table8[[#This Row],[Campaign_Code]],tb3_CampaignMaster[Campaign_Code],tb3_CampaignMaster[End_Date],"")</f>
        <v>45646</v>
      </c>
      <c r="Y731">
        <f>_xlfn.XLOOKUP(Table8[[#This Row],[Campaign_Code]],tb3_CampaignMaster[Campaign_Code],tb3_CampaignMaster[Budget_GBP],"")</f>
        <v>12000</v>
      </c>
      <c r="Z731" t="str">
        <f>_xlfn.XLOOKUP(Table8[[#This Row],[Campaign_Code]],tb3_CampaignMaster[Campaign_Code],tb3_CampaignMaster[Primary_Channel],"")</f>
        <v>Multi-channel</v>
      </c>
      <c r="AA731" s="13">
        <f>IF(Table8[[#This Row],[Gift_Aid_Eligible]]="Yes",Table8[[#This Row],[Gift_Amount]]*1.25,Table8[[#This Row],[Gift_Amount]])</f>
        <v>164.98750000000001</v>
      </c>
      <c r="AB731" t="str">
        <f>IF(Table8[[#This Row],[Supporter_ID]]="","Review - missing supporter ID","")</f>
        <v/>
      </c>
      <c r="AC731" t="str">
        <f>IF(OR(Table8[[#This Row],[Response_Date]]&lt;Table8[[#This Row],[Start_Date]],Table8[[#This Row],[Response_Date]]&gt;Table8[[#This Row],[End_Date]]),"Review - response outside campaign dates","")</f>
        <v/>
      </c>
      <c r="AD731" t="str">
        <f>IF(Table8[[#This Row],[Campaign_Type]]="","Review - campaign code not found","")</f>
        <v/>
      </c>
    </row>
    <row r="732" spans="1:30" x14ac:dyDescent="0.25">
      <c r="A732" t="s">
        <v>4561</v>
      </c>
      <c r="C732" t="s">
        <v>3314</v>
      </c>
      <c r="D732" t="s">
        <v>3315</v>
      </c>
      <c r="E732" t="s">
        <v>65</v>
      </c>
      <c r="F732" s="17">
        <v>45746</v>
      </c>
      <c r="G732">
        <v>480.52</v>
      </c>
      <c r="H732" t="s">
        <v>37</v>
      </c>
      <c r="I732" t="s">
        <v>3328</v>
      </c>
      <c r="J732" t="str">
        <f>_xlfn.XLOOKUP(Table8[[#This Row],[Supporter_ID]],tb1_supporters[Supporter_ID ],tb1_supporters[Segment],"")</f>
        <v/>
      </c>
      <c r="K732" t="str">
        <f>_xlfn.XLOOKUP(Table8[[#This Row],[Supporter_ID]],tb1_supporters[Supporter_ID ],tb1_supporters[Acquisition_Source],"")</f>
        <v/>
      </c>
      <c r="L732" t="str">
        <f>_xlfn.XLOOKUP(Table8[[#This Row],[Supporter_ID]],tb1_supporters[Supporter_ID ],tb1_supporters[County],"")</f>
        <v/>
      </c>
      <c r="M732" t="str">
        <f>_xlfn.XLOOKUP(Table8[[#This Row],[Supporter_ID]],tb1_supporters[Supporter_ID ],tb1_supporters[Gender],"")</f>
        <v/>
      </c>
      <c r="N732" t="str">
        <f>_xlfn.XLOOKUP(Table8[[#This Row],[Supporter_ID]],tb1_supporters[Supporter_ID ],tb1_supporters[Age],"")</f>
        <v/>
      </c>
      <c r="O732" t="str">
        <f>_xlfn.XLOOKUP(Table8[[#This Row],[Supporter_ID]],tb1_supporters[Supporter_ID ],tb1_supporters[Age_Band],"")</f>
        <v/>
      </c>
      <c r="P732" t="str">
        <f>IF(Table8[[#This Row],[Age_Band]]="","Unknown",Table8[[#This Row],[Age_Band]])</f>
        <v>Unknown</v>
      </c>
      <c r="Q732" t="str">
        <f>_xlfn.XLOOKUP(Table8[[#This Row],[Supporter_ID]],tb1_supporters[Supporter_ID ],tb1_supporters[Communication_Preference],"")</f>
        <v/>
      </c>
      <c r="R732" t="str">
        <f>_xlfn.XLOOKUP(Table8[[#This Row],[Supporter_ID]],tb1_supporters[Supporter_ID ],tb1_supporters[Duplicate_Profile_Flag],"")</f>
        <v/>
      </c>
      <c r="S732" t="str">
        <f>_xlfn.XLOOKUP(Table8[[#This Row],[Supporter_ID]],tb1_supporters[Supporter_ID ],tb1_supporters[Preference_Compliance_Flag],"")</f>
        <v/>
      </c>
      <c r="T732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732" t="str">
        <f>_xlfn.XLOOKUP(Table8[[#This Row],[Campaign_Code]],tb3_CampaignMaster[Campaign_Code],tb3_CampaignMaster[Campaign_Type],"")</f>
        <v>Regular Giving</v>
      </c>
      <c r="V732" t="str">
        <f>_xlfn.XLOOKUP(Table8[[#This Row],[Campaign_Code]],tb3_CampaignMaster[Campaign_Code],tb3_CampaignMaster[Target_Audience],"")</f>
        <v>One-time Donors</v>
      </c>
      <c r="W732" s="17">
        <f>_xlfn.XLOOKUP(Table8[[#This Row],[Campaign_Code]],tb3_CampaignMaster[Campaign_Code],tb3_CampaignMaster[Start_Date],"")</f>
        <v>45663</v>
      </c>
      <c r="X732" s="17">
        <f>_xlfn.XLOOKUP(Table8[[#This Row],[Campaign_Code]],tb3_CampaignMaster[Campaign_Code],tb3_CampaignMaster[End_Date],"")</f>
        <v>45747</v>
      </c>
      <c r="Y732">
        <f>_xlfn.XLOOKUP(Table8[[#This Row],[Campaign_Code]],tb3_CampaignMaster[Campaign_Code],tb3_CampaignMaster[Budget_GBP],"")</f>
        <v>10000</v>
      </c>
      <c r="Z732" t="str">
        <f>_xlfn.XLOOKUP(Table8[[#This Row],[Campaign_Code]],tb3_CampaignMaster[Campaign_Code],tb3_CampaignMaster[Primary_Channel],"")</f>
        <v>Telephone</v>
      </c>
      <c r="AA732" s="13">
        <f>IF(Table8[[#This Row],[Gift_Aid_Eligible]]="Yes",Table8[[#This Row],[Gift_Amount]]*1.25,Table8[[#This Row],[Gift_Amount]])</f>
        <v>480.52</v>
      </c>
      <c r="AB732" t="str">
        <f>IF(Table8[[#This Row],[Supporter_ID]]="","Review - missing supporter ID","")</f>
        <v>Review - missing supporter ID</v>
      </c>
      <c r="AC732" t="str">
        <f>IF(OR(Table8[[#This Row],[Response_Date]]&lt;Table8[[#This Row],[Start_Date]],Table8[[#This Row],[Response_Date]]&gt;Table8[[#This Row],[End_Date]]),"Review - response outside campaign dates","")</f>
        <v/>
      </c>
      <c r="AD732" t="str">
        <f>IF(Table8[[#This Row],[Campaign_Type]]="","Review - campaign code not found","")</f>
        <v/>
      </c>
    </row>
    <row r="733" spans="1:30" x14ac:dyDescent="0.25">
      <c r="A733" t="s">
        <v>4563</v>
      </c>
      <c r="B733" t="s">
        <v>1059</v>
      </c>
      <c r="C733" t="s">
        <v>3341</v>
      </c>
      <c r="D733" t="s">
        <v>3342</v>
      </c>
      <c r="E733" t="s">
        <v>3316</v>
      </c>
      <c r="F733" s="17">
        <v>45701</v>
      </c>
      <c r="G733">
        <v>290.85000000000002</v>
      </c>
      <c r="H733" t="s">
        <v>36</v>
      </c>
      <c r="I733" t="s">
        <v>3385</v>
      </c>
      <c r="J733" t="str">
        <f>_xlfn.XLOOKUP(Table8[[#This Row],[Supporter_ID]],tb1_supporters[Supporter_ID ],tb1_supporters[Segment],"")</f>
        <v>Legacy Pledger</v>
      </c>
      <c r="K733" t="str">
        <f>_xlfn.XLOOKUP(Table8[[#This Row],[Supporter_ID]],tb1_supporters[Supporter_ID ],tb1_supporters[Acquisition_Source],"")</f>
        <v>Direct Mail</v>
      </c>
      <c r="L733" t="str">
        <f>_xlfn.XLOOKUP(Table8[[#This Row],[Supporter_ID]],tb1_supporters[Supporter_ID ],tb1_supporters[County],"")</f>
        <v>Oxfordshire</v>
      </c>
      <c r="M733" t="str">
        <f>_xlfn.XLOOKUP(Table8[[#This Row],[Supporter_ID]],tb1_supporters[Supporter_ID ],tb1_supporters[Gender],"")</f>
        <v>Male</v>
      </c>
      <c r="N733">
        <f ca="1">_xlfn.XLOOKUP(Table8[[#This Row],[Supporter_ID]],tb1_supporters[Supporter_ID ],tb1_supporters[Age],"")</f>
        <v>36</v>
      </c>
      <c r="O733" t="str">
        <f ca="1">_xlfn.XLOOKUP(Table8[[#This Row],[Supporter_ID]],tb1_supporters[Supporter_ID ],tb1_supporters[Age_Band],"")</f>
        <v>35-49</v>
      </c>
      <c r="P733" t="str">
        <f ca="1">IF(Table8[[#This Row],[Age_Band]]="","Unknown",Table8[[#This Row],[Age_Band]])</f>
        <v>35-49</v>
      </c>
      <c r="Q733" t="str">
        <f>_xlfn.XLOOKUP(Table8[[#This Row],[Supporter_ID]],tb1_supporters[Supporter_ID ],tb1_supporters[Communication_Preference],"")</f>
        <v>Post</v>
      </c>
      <c r="R733" t="str">
        <f>_xlfn.XLOOKUP(Table8[[#This Row],[Supporter_ID]],tb1_supporters[Supporter_ID ],tb1_supporters[Duplicate_Profile_Flag],"")</f>
        <v/>
      </c>
      <c r="S733" t="str">
        <f>_xlfn.XLOOKUP(Table8[[#This Row],[Supporter_ID]],tb1_supporters[Supporter_ID ],tb1_supporters[Preference_Compliance_Flag],"")</f>
        <v/>
      </c>
      <c r="T733" t="str">
        <f ca="1">IF(Table8[[#This Row],[Age]]="","Review - missing DOB",IF(Table8[[#This Row],[Age]]&gt;TODAY(),"Review - future DOB",IF(Table8[[#This Row],[Age]]=0,"Review -  potential entry error (age 0)","")))</f>
        <v/>
      </c>
      <c r="U733" t="str">
        <f>_xlfn.XLOOKUP(Table8[[#This Row],[Campaign_Code]],tb3_CampaignMaster[Campaign_Code],tb3_CampaignMaster[Campaign_Type],"")</f>
        <v>Acquisition</v>
      </c>
      <c r="V733" t="str">
        <f>_xlfn.XLOOKUP(Table8[[#This Row],[Campaign_Code]],tb3_CampaignMaster[Campaign_Code],tb3_CampaignMaster[Target_Audience],"")</f>
        <v>Prospects</v>
      </c>
      <c r="W733" s="17">
        <f>_xlfn.XLOOKUP(Table8[[#This Row],[Campaign_Code]],tb3_CampaignMaster[Campaign_Code],tb3_CampaignMaster[Start_Date],"")</f>
        <v>45689</v>
      </c>
      <c r="X733" s="17">
        <f>_xlfn.XLOOKUP(Table8[[#This Row],[Campaign_Code]],tb3_CampaignMaster[Campaign_Code],tb3_CampaignMaster[End_Date],"")</f>
        <v>45777</v>
      </c>
      <c r="Y733">
        <f>_xlfn.XLOOKUP(Table8[[#This Row],[Campaign_Code]],tb3_CampaignMaster[Campaign_Code],tb3_CampaignMaster[Budget_GBP],"")</f>
        <v>20000</v>
      </c>
      <c r="Z733" t="str">
        <f>_xlfn.XLOOKUP(Table8[[#This Row],[Campaign_Code]],tb3_CampaignMaster[Campaign_Code],tb3_CampaignMaster[Primary_Channel],"")</f>
        <v>Digital</v>
      </c>
      <c r="AA733" s="13">
        <f>IF(Table8[[#This Row],[Gift_Aid_Eligible]]="Yes",Table8[[#This Row],[Gift_Amount]]*1.25,Table8[[#This Row],[Gift_Amount]])</f>
        <v>363.5625</v>
      </c>
      <c r="AB733" t="str">
        <f>IF(Table8[[#This Row],[Supporter_ID]]="","Review - missing supporter ID","")</f>
        <v/>
      </c>
      <c r="AC733" t="str">
        <f>IF(OR(Table8[[#This Row],[Response_Date]]&lt;Table8[[#This Row],[Start_Date]],Table8[[#This Row],[Response_Date]]&gt;Table8[[#This Row],[End_Date]]),"Review - response outside campaign dates","")</f>
        <v/>
      </c>
      <c r="AD733" t="str">
        <f>IF(Table8[[#This Row],[Campaign_Type]]="","Review - campaign code not found","")</f>
        <v/>
      </c>
    </row>
    <row r="734" spans="1:30" x14ac:dyDescent="0.25">
      <c r="A734" t="s">
        <v>4565</v>
      </c>
      <c r="B734" t="s">
        <v>3077</v>
      </c>
      <c r="C734" t="s">
        <v>3367</v>
      </c>
      <c r="D734" t="s">
        <v>3368</v>
      </c>
      <c r="E734" t="s">
        <v>4</v>
      </c>
      <c r="F734" s="17">
        <v>45732</v>
      </c>
      <c r="G734">
        <v>83.65</v>
      </c>
      <c r="H734" t="s">
        <v>37</v>
      </c>
      <c r="I734" t="s">
        <v>3331</v>
      </c>
      <c r="J734" t="str">
        <f>_xlfn.XLOOKUP(Table8[[#This Row],[Supporter_ID]],tb1_supporters[Supporter_ID ],tb1_supporters[Segment],"")</f>
        <v>Legacy Pledger</v>
      </c>
      <c r="K734" t="str">
        <f>_xlfn.XLOOKUP(Table8[[#This Row],[Supporter_ID]],tb1_supporters[Supporter_ID ],tb1_supporters[Acquisition_Source],"")</f>
        <v>Social Media</v>
      </c>
      <c r="L734" t="str">
        <f>_xlfn.XLOOKUP(Table8[[#This Row],[Supporter_ID]],tb1_supporters[Supporter_ID ],tb1_supporters[County],"")</f>
        <v>Hertfordshire</v>
      </c>
      <c r="M734" t="str">
        <f>_xlfn.XLOOKUP(Table8[[#This Row],[Supporter_ID]],tb1_supporters[Supporter_ID ],tb1_supporters[Gender],"")</f>
        <v>Female</v>
      </c>
      <c r="N734">
        <f ca="1">_xlfn.XLOOKUP(Table8[[#This Row],[Supporter_ID]],tb1_supporters[Supporter_ID ],tb1_supporters[Age],"")</f>
        <v>83</v>
      </c>
      <c r="O734" t="str">
        <f ca="1">_xlfn.XLOOKUP(Table8[[#This Row],[Supporter_ID]],tb1_supporters[Supporter_ID ],tb1_supporters[Age_Band],"")</f>
        <v>65+</v>
      </c>
      <c r="P734" t="str">
        <f ca="1">IF(Table8[[#This Row],[Age_Band]]="","Unknown",Table8[[#This Row],[Age_Band]])</f>
        <v>65+</v>
      </c>
      <c r="Q734" t="str">
        <f>_xlfn.XLOOKUP(Table8[[#This Row],[Supporter_ID]],tb1_supporters[Supporter_ID ],tb1_supporters[Communication_Preference],"")</f>
        <v>Email</v>
      </c>
      <c r="R734" t="str">
        <f>_xlfn.XLOOKUP(Table8[[#This Row],[Supporter_ID]],tb1_supporters[Supporter_ID ],tb1_supporters[Duplicate_Profile_Flag],"")</f>
        <v/>
      </c>
      <c r="S734" t="str">
        <f>_xlfn.XLOOKUP(Table8[[#This Row],[Supporter_ID]],tb1_supporters[Supporter_ID ],tb1_supporters[Preference_Compliance_Flag],"")</f>
        <v/>
      </c>
      <c r="T734" t="str">
        <f ca="1">IF(Table8[[#This Row],[Age]]="","Review - missing DOB",IF(Table8[[#This Row],[Age]]&gt;TODAY(),"Review - future DOB",IF(Table8[[#This Row],[Age]]=0,"Review -  potential entry error (age 0)","")))</f>
        <v/>
      </c>
      <c r="U734" t="str">
        <f>_xlfn.XLOOKUP(Table8[[#This Row],[Campaign_Code]],tb3_CampaignMaster[Campaign_Code],tb3_CampaignMaster[Campaign_Type],"")</f>
        <v>Raffle</v>
      </c>
      <c r="V734" t="str">
        <f>_xlfn.XLOOKUP(Table8[[#This Row],[Campaign_Code]],tb3_CampaignMaster[Campaign_Code],tb3_CampaignMaster[Target_Audience],"")</f>
        <v>Regular Givers</v>
      </c>
      <c r="W734" s="17">
        <f>_xlfn.XLOOKUP(Table8[[#This Row],[Campaign_Code]],tb3_CampaignMaster[Campaign_Code],tb3_CampaignMaster[Start_Date],"")</f>
        <v>45717</v>
      </c>
      <c r="X734" s="17">
        <f>_xlfn.XLOOKUP(Table8[[#This Row],[Campaign_Code]],tb3_CampaignMaster[Campaign_Code],tb3_CampaignMaster[End_Date],"")</f>
        <v>45777</v>
      </c>
      <c r="Y734">
        <f>_xlfn.XLOOKUP(Table8[[#This Row],[Campaign_Code]],tb3_CampaignMaster[Campaign_Code],tb3_CampaignMaster[Budget_GBP],"")</f>
        <v>8000</v>
      </c>
      <c r="Z734" t="str">
        <f>_xlfn.XLOOKUP(Table8[[#This Row],[Campaign_Code]],tb3_CampaignMaster[Campaign_Code],tb3_CampaignMaster[Primary_Channel],"")</f>
        <v>Direct Mail</v>
      </c>
      <c r="AA734" s="13">
        <f>IF(Table8[[#This Row],[Gift_Aid_Eligible]]="Yes",Table8[[#This Row],[Gift_Amount]]*1.25,Table8[[#This Row],[Gift_Amount]])</f>
        <v>83.65</v>
      </c>
      <c r="AB734" t="str">
        <f>IF(Table8[[#This Row],[Supporter_ID]]="","Review - missing supporter ID","")</f>
        <v/>
      </c>
      <c r="AC734" t="str">
        <f>IF(OR(Table8[[#This Row],[Response_Date]]&lt;Table8[[#This Row],[Start_Date]],Table8[[#This Row],[Response_Date]]&gt;Table8[[#This Row],[End_Date]]),"Review - response outside campaign dates","")</f>
        <v/>
      </c>
      <c r="AD734" t="str">
        <f>IF(Table8[[#This Row],[Campaign_Type]]="","Review - campaign code not found","")</f>
        <v/>
      </c>
    </row>
    <row r="735" spans="1:30" x14ac:dyDescent="0.25">
      <c r="A735" t="s">
        <v>4567</v>
      </c>
      <c r="B735" t="s">
        <v>1861</v>
      </c>
      <c r="C735" t="s">
        <v>3320</v>
      </c>
      <c r="D735" t="s">
        <v>3321</v>
      </c>
      <c r="E735" t="s">
        <v>65</v>
      </c>
      <c r="F735" s="17">
        <v>45459</v>
      </c>
      <c r="G735">
        <v>415.99</v>
      </c>
      <c r="H735" t="s">
        <v>36</v>
      </c>
      <c r="I735" t="s">
        <v>3318</v>
      </c>
      <c r="J735" t="str">
        <f>_xlfn.XLOOKUP(Table8[[#This Row],[Supporter_ID]],tb1_supporters[Supporter_ID ],tb1_supporters[Segment],"")</f>
        <v>Legacy Pledger</v>
      </c>
      <c r="K735" t="str">
        <f>_xlfn.XLOOKUP(Table8[[#This Row],[Supporter_ID]],tb1_supporters[Supporter_ID ],tb1_supporters[Acquisition_Source],"")</f>
        <v>Direct Mail</v>
      </c>
      <c r="L735" t="str">
        <f>_xlfn.XLOOKUP(Table8[[#This Row],[Supporter_ID]],tb1_supporters[Supporter_ID ],tb1_supporters[County],"")</f>
        <v>West Midlands</v>
      </c>
      <c r="M735" t="str">
        <f>_xlfn.XLOOKUP(Table8[[#This Row],[Supporter_ID]],tb1_supporters[Supporter_ID ],tb1_supporters[Gender],"")</f>
        <v>Female</v>
      </c>
      <c r="N735">
        <f ca="1">_xlfn.XLOOKUP(Table8[[#This Row],[Supporter_ID]],tb1_supporters[Supporter_ID ],tb1_supporters[Age],"")</f>
        <v>44</v>
      </c>
      <c r="O735" t="str">
        <f ca="1">_xlfn.XLOOKUP(Table8[[#This Row],[Supporter_ID]],tb1_supporters[Supporter_ID ],tb1_supporters[Age_Band],"")</f>
        <v>35-49</v>
      </c>
      <c r="P735" t="str">
        <f ca="1">IF(Table8[[#This Row],[Age_Band]]="","Unknown",Table8[[#This Row],[Age_Band]])</f>
        <v>35-49</v>
      </c>
      <c r="Q735" t="str">
        <f>_xlfn.XLOOKUP(Table8[[#This Row],[Supporter_ID]],tb1_supporters[Supporter_ID ],tb1_supporters[Communication_Preference],"")</f>
        <v>Post</v>
      </c>
      <c r="R735" t="str">
        <f>_xlfn.XLOOKUP(Table8[[#This Row],[Supporter_ID]],tb1_supporters[Supporter_ID ],tb1_supporters[Duplicate_Profile_Flag],"")</f>
        <v/>
      </c>
      <c r="S735" t="str">
        <f>_xlfn.XLOOKUP(Table8[[#This Row],[Supporter_ID]],tb1_supporters[Supporter_ID ],tb1_supporters[Preference_Compliance_Flag],"")</f>
        <v/>
      </c>
      <c r="T735" t="str">
        <f ca="1">IF(Table8[[#This Row],[Age]]="","Review - missing DOB",IF(Table8[[#This Row],[Age]]&gt;TODAY(),"Review - future DOB",IF(Table8[[#This Row],[Age]]=0,"Review -  potential entry error (age 0)","")))</f>
        <v/>
      </c>
      <c r="U735" t="str">
        <f>_xlfn.XLOOKUP(Table8[[#This Row],[Campaign_Code]],tb3_CampaignMaster[Campaign_Code],tb3_CampaignMaster[Campaign_Type],"")</f>
        <v>Stewardship</v>
      </c>
      <c r="V735" t="str">
        <f>_xlfn.XLOOKUP(Table8[[#This Row],[Campaign_Code]],tb3_CampaignMaster[Campaign_Code],tb3_CampaignMaster[Target_Audience],"")</f>
        <v>Major Donors</v>
      </c>
      <c r="W735" s="17">
        <f>_xlfn.XLOOKUP(Table8[[#This Row],[Campaign_Code]],tb3_CampaignMaster[Campaign_Code],tb3_CampaignMaster[Start_Date],"")</f>
        <v>45444</v>
      </c>
      <c r="X735" s="17">
        <f>_xlfn.XLOOKUP(Table8[[#This Row],[Campaign_Code]],tb3_CampaignMaster[Campaign_Code],tb3_CampaignMaster[End_Date],"")</f>
        <v>45473</v>
      </c>
      <c r="Y735">
        <f>_xlfn.XLOOKUP(Table8[[#This Row],[Campaign_Code]],tb3_CampaignMaster[Campaign_Code],tb3_CampaignMaster[Budget_GBP],"")</f>
        <v>7000</v>
      </c>
      <c r="Z735" t="str">
        <f>_xlfn.XLOOKUP(Table8[[#This Row],[Campaign_Code]],tb3_CampaignMaster[Campaign_Code],tb3_CampaignMaster[Primary_Channel],"")</f>
        <v>Direct Mail</v>
      </c>
      <c r="AA735" s="13">
        <f>IF(Table8[[#This Row],[Gift_Aid_Eligible]]="Yes",Table8[[#This Row],[Gift_Amount]]*1.25,Table8[[#This Row],[Gift_Amount]])</f>
        <v>519.98749999999995</v>
      </c>
      <c r="AB735" t="str">
        <f>IF(Table8[[#This Row],[Supporter_ID]]="","Review - missing supporter ID","")</f>
        <v/>
      </c>
      <c r="AC735" t="str">
        <f>IF(OR(Table8[[#This Row],[Response_Date]]&lt;Table8[[#This Row],[Start_Date]],Table8[[#This Row],[Response_Date]]&gt;Table8[[#This Row],[End_Date]]),"Review - response outside campaign dates","")</f>
        <v/>
      </c>
      <c r="AD735" t="str">
        <f>IF(Table8[[#This Row],[Campaign_Type]]="","Review - campaign code not found","")</f>
        <v/>
      </c>
    </row>
    <row r="736" spans="1:30" x14ac:dyDescent="0.25">
      <c r="A736" t="s">
        <v>4568</v>
      </c>
      <c r="B736" t="s">
        <v>1643</v>
      </c>
      <c r="C736" t="s">
        <v>3320</v>
      </c>
      <c r="D736" t="s">
        <v>3321</v>
      </c>
      <c r="E736" t="s">
        <v>4</v>
      </c>
      <c r="F736" s="17">
        <v>45510</v>
      </c>
      <c r="G736">
        <v>74.239999999999995</v>
      </c>
      <c r="H736" t="s">
        <v>36</v>
      </c>
      <c r="I736" t="s">
        <v>3328</v>
      </c>
      <c r="J736" t="str">
        <f>_xlfn.XLOOKUP(Table8[[#This Row],[Supporter_ID]],tb1_supporters[Supporter_ID ],tb1_supporters[Segment],"")</f>
        <v>Major Donor</v>
      </c>
      <c r="K736" t="str">
        <f>_xlfn.XLOOKUP(Table8[[#This Row],[Supporter_ID]],tb1_supporters[Supporter_ID ],tb1_supporters[Acquisition_Source],"")</f>
        <v>Direct Mail</v>
      </c>
      <c r="L736" t="str">
        <f>_xlfn.XLOOKUP(Table8[[#This Row],[Supporter_ID]],tb1_supporters[Supporter_ID ],tb1_supporters[County],"")</f>
        <v>Hampshire</v>
      </c>
      <c r="M736" t="str">
        <f>_xlfn.XLOOKUP(Table8[[#This Row],[Supporter_ID]],tb1_supporters[Supporter_ID ],tb1_supporters[Gender],"")</f>
        <v>Male</v>
      </c>
      <c r="N736">
        <f ca="1">_xlfn.XLOOKUP(Table8[[#This Row],[Supporter_ID]],tb1_supporters[Supporter_ID ],tb1_supporters[Age],"")</f>
        <v>22</v>
      </c>
      <c r="O736" t="str">
        <f ca="1">_xlfn.XLOOKUP(Table8[[#This Row],[Supporter_ID]],tb1_supporters[Supporter_ID ],tb1_supporters[Age_Band],"")</f>
        <v>18-34</v>
      </c>
      <c r="P736" t="str">
        <f ca="1">IF(Table8[[#This Row],[Age_Band]]="","Unknown",Table8[[#This Row],[Age_Band]])</f>
        <v>18-34</v>
      </c>
      <c r="Q736" t="str">
        <f>_xlfn.XLOOKUP(Table8[[#This Row],[Supporter_ID]],tb1_supporters[Supporter_ID ],tb1_supporters[Communication_Preference],"")</f>
        <v>Do Not Contact</v>
      </c>
      <c r="R736" t="str">
        <f>_xlfn.XLOOKUP(Table8[[#This Row],[Supporter_ID]],tb1_supporters[Supporter_ID ],tb1_supporters[Duplicate_Profile_Flag],"")</f>
        <v/>
      </c>
      <c r="S736" t="str">
        <f>_xlfn.XLOOKUP(Table8[[#This Row],[Supporter_ID]],tb1_supporters[Supporter_ID ],tb1_supporters[Preference_Compliance_Flag],"")</f>
        <v/>
      </c>
      <c r="T736" t="str">
        <f ca="1">IF(Table8[[#This Row],[Age]]="","Review - missing DOB",IF(Table8[[#This Row],[Age]]&gt;TODAY(),"Review - future DOB",IF(Table8[[#This Row],[Age]]=0,"Review -  potential entry error (age 0)","")))</f>
        <v/>
      </c>
      <c r="U736" t="str">
        <f>_xlfn.XLOOKUP(Table8[[#This Row],[Campaign_Code]],tb3_CampaignMaster[Campaign_Code],tb3_CampaignMaster[Campaign_Type],"")</f>
        <v>Stewardship</v>
      </c>
      <c r="V736" t="str">
        <f>_xlfn.XLOOKUP(Table8[[#This Row],[Campaign_Code]],tb3_CampaignMaster[Campaign_Code],tb3_CampaignMaster[Target_Audience],"")</f>
        <v>Major Donors</v>
      </c>
      <c r="W736" s="17">
        <f>_xlfn.XLOOKUP(Table8[[#This Row],[Campaign_Code]],tb3_CampaignMaster[Campaign_Code],tb3_CampaignMaster[Start_Date],"")</f>
        <v>45444</v>
      </c>
      <c r="X736" s="17">
        <f>_xlfn.XLOOKUP(Table8[[#This Row],[Campaign_Code]],tb3_CampaignMaster[Campaign_Code],tb3_CampaignMaster[End_Date],"")</f>
        <v>45473</v>
      </c>
      <c r="Y736">
        <f>_xlfn.XLOOKUP(Table8[[#This Row],[Campaign_Code]],tb3_CampaignMaster[Campaign_Code],tb3_CampaignMaster[Budget_GBP],"")</f>
        <v>7000</v>
      </c>
      <c r="Z736" t="str">
        <f>_xlfn.XLOOKUP(Table8[[#This Row],[Campaign_Code]],tb3_CampaignMaster[Campaign_Code],tb3_CampaignMaster[Primary_Channel],"")</f>
        <v>Direct Mail</v>
      </c>
      <c r="AA736" s="13">
        <f>IF(Table8[[#This Row],[Gift_Aid_Eligible]]="Yes",Table8[[#This Row],[Gift_Amount]]*1.25,Table8[[#This Row],[Gift_Amount]])</f>
        <v>92.8</v>
      </c>
      <c r="AB736" t="str">
        <f>IF(Table8[[#This Row],[Supporter_ID]]="","Review - missing supporter ID","")</f>
        <v/>
      </c>
      <c r="AC736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736" t="str">
        <f>IF(Table8[[#This Row],[Campaign_Type]]="","Review - campaign code not found","")</f>
        <v/>
      </c>
    </row>
    <row r="737" spans="1:30" x14ac:dyDescent="0.25">
      <c r="A737" t="s">
        <v>4570</v>
      </c>
      <c r="B737" t="s">
        <v>796</v>
      </c>
      <c r="C737" t="s">
        <v>3354</v>
      </c>
      <c r="D737" t="s">
        <v>3355</v>
      </c>
      <c r="E737" t="s">
        <v>4</v>
      </c>
      <c r="F737" s="17">
        <v>45618</v>
      </c>
      <c r="G737">
        <v>21.66</v>
      </c>
      <c r="H737" t="s">
        <v>37</v>
      </c>
      <c r="I737" t="s">
        <v>3334</v>
      </c>
      <c r="J737" t="str">
        <f>_xlfn.XLOOKUP(Table8[[#This Row],[Supporter_ID]],tb1_supporters[Supporter_ID ],tb1_supporters[Segment],"")</f>
        <v>One-Time Donor</v>
      </c>
      <c r="K737" t="str">
        <f>_xlfn.XLOOKUP(Table8[[#This Row],[Supporter_ID]],tb1_supporters[Supporter_ID ],tb1_supporters[Acquisition_Source],"")</f>
        <v>Telephone</v>
      </c>
      <c r="L737" t="str">
        <f>_xlfn.XLOOKUP(Table8[[#This Row],[Supporter_ID]],tb1_supporters[Supporter_ID ],tb1_supporters[County],"")</f>
        <v>Devon</v>
      </c>
      <c r="M737" t="str">
        <f>_xlfn.XLOOKUP(Table8[[#This Row],[Supporter_ID]],tb1_supporters[Supporter_ID ],tb1_supporters[Gender],"")</f>
        <v>Female</v>
      </c>
      <c r="N737">
        <f ca="1">_xlfn.XLOOKUP(Table8[[#This Row],[Supporter_ID]],tb1_supporters[Supporter_ID ],tb1_supporters[Age],"")</f>
        <v>35</v>
      </c>
      <c r="O737" t="str">
        <f ca="1">_xlfn.XLOOKUP(Table8[[#This Row],[Supporter_ID]],tb1_supporters[Supporter_ID ],tb1_supporters[Age_Band],"")</f>
        <v>35-49</v>
      </c>
      <c r="P737" t="str">
        <f ca="1">IF(Table8[[#This Row],[Age_Band]]="","Unknown",Table8[[#This Row],[Age_Band]])</f>
        <v>35-49</v>
      </c>
      <c r="Q737" t="str">
        <f>_xlfn.XLOOKUP(Table8[[#This Row],[Supporter_ID]],tb1_supporters[Supporter_ID ],tb1_supporters[Communication_Preference],"")</f>
        <v>Do Not Contact</v>
      </c>
      <c r="R737" t="str">
        <f>_xlfn.XLOOKUP(Table8[[#This Row],[Supporter_ID]],tb1_supporters[Supporter_ID ],tb1_supporters[Duplicate_Profile_Flag],"")</f>
        <v/>
      </c>
      <c r="S737" t="str">
        <f>_xlfn.XLOOKUP(Table8[[#This Row],[Supporter_ID]],tb1_supporters[Supporter_ID ],tb1_supporters[Preference_Compliance_Flag],"")</f>
        <v/>
      </c>
      <c r="T737" t="str">
        <f ca="1">IF(Table8[[#This Row],[Age]]="","Review - missing DOB",IF(Table8[[#This Row],[Age]]&gt;TODAY(),"Review - future DOB",IF(Table8[[#This Row],[Age]]=0,"Review -  potential entry error (age 0)","")))</f>
        <v/>
      </c>
      <c r="U737" t="str">
        <f>_xlfn.XLOOKUP(Table8[[#This Row],[Campaign_Code]],tb3_CampaignMaster[Campaign_Code],tb3_CampaignMaster[Campaign_Type],"")</f>
        <v>Event</v>
      </c>
      <c r="V737" t="str">
        <f>_xlfn.XLOOKUP(Table8[[#This Row],[Campaign_Code]],tb3_CampaignMaster[Campaign_Code],tb3_CampaignMaster[Target_Audience],"")</f>
        <v>Volunteers</v>
      </c>
      <c r="W737" s="17">
        <f>_xlfn.XLOOKUP(Table8[[#This Row],[Campaign_Code]],tb3_CampaignMaster[Campaign_Code],tb3_CampaignMaster[Start_Date],"")</f>
        <v>45618</v>
      </c>
      <c r="X737" s="17">
        <f>_xlfn.XLOOKUP(Table8[[#This Row],[Campaign_Code]],tb3_CampaignMaster[Campaign_Code],tb3_CampaignMaster[End_Date],"")</f>
        <v>45618</v>
      </c>
      <c r="Y737">
        <f>_xlfn.XLOOKUP(Table8[[#This Row],[Campaign_Code]],tb3_CampaignMaster[Campaign_Code],tb3_CampaignMaster[Budget_GBP],"")</f>
        <v>3500</v>
      </c>
      <c r="Z737" t="str">
        <f>_xlfn.XLOOKUP(Table8[[#This Row],[Campaign_Code]],tb3_CampaignMaster[Campaign_Code],tb3_CampaignMaster[Primary_Channel],"")</f>
        <v>Email</v>
      </c>
      <c r="AA737" s="13">
        <f>IF(Table8[[#This Row],[Gift_Aid_Eligible]]="Yes",Table8[[#This Row],[Gift_Amount]]*1.25,Table8[[#This Row],[Gift_Amount]])</f>
        <v>21.66</v>
      </c>
      <c r="AB737" t="str">
        <f>IF(Table8[[#This Row],[Supporter_ID]]="","Review - missing supporter ID","")</f>
        <v/>
      </c>
      <c r="AC737" t="str">
        <f>IF(OR(Table8[[#This Row],[Response_Date]]&lt;Table8[[#This Row],[Start_Date]],Table8[[#This Row],[Response_Date]]&gt;Table8[[#This Row],[End_Date]]),"Review - response outside campaign dates","")</f>
        <v/>
      </c>
      <c r="AD737" t="str">
        <f>IF(Table8[[#This Row],[Campaign_Type]]="","Review - campaign code not found","")</f>
        <v/>
      </c>
    </row>
    <row r="738" spans="1:30" x14ac:dyDescent="0.25">
      <c r="A738" t="s">
        <v>4571</v>
      </c>
      <c r="B738" t="s">
        <v>289</v>
      </c>
      <c r="C738" t="s">
        <v>3427</v>
      </c>
      <c r="D738" t="s">
        <v>3428</v>
      </c>
      <c r="E738" t="s">
        <v>4</v>
      </c>
      <c r="F738" s="17">
        <v>45488</v>
      </c>
      <c r="G738">
        <v>64.09</v>
      </c>
      <c r="H738" t="s">
        <v>36</v>
      </c>
      <c r="I738" t="s">
        <v>3365</v>
      </c>
      <c r="J738" t="str">
        <f>_xlfn.XLOOKUP(Table8[[#This Row],[Supporter_ID]],tb1_supporters[Supporter_ID ],tb1_supporters[Segment],"")</f>
        <v>Legacy Pledger</v>
      </c>
      <c r="K738" t="str">
        <f>_xlfn.XLOOKUP(Table8[[#This Row],[Supporter_ID]],tb1_supporters[Supporter_ID ],tb1_supporters[Acquisition_Source],"")</f>
        <v>Website</v>
      </c>
      <c r="L738" t="str">
        <f>_xlfn.XLOOKUP(Table8[[#This Row],[Supporter_ID]],tb1_supporters[Supporter_ID ],tb1_supporters[County],"")</f>
        <v>Cheshire</v>
      </c>
      <c r="M738" t="str">
        <f>_xlfn.XLOOKUP(Table8[[#This Row],[Supporter_ID]],tb1_supporters[Supporter_ID ],tb1_supporters[Gender],"")</f>
        <v>Male</v>
      </c>
      <c r="N738">
        <f ca="1">_xlfn.XLOOKUP(Table8[[#This Row],[Supporter_ID]],tb1_supporters[Supporter_ID ],tb1_supporters[Age],"")</f>
        <v>77</v>
      </c>
      <c r="O738" t="str">
        <f ca="1">_xlfn.XLOOKUP(Table8[[#This Row],[Supporter_ID]],tb1_supporters[Supporter_ID ],tb1_supporters[Age_Band],"")</f>
        <v>65+</v>
      </c>
      <c r="P738" t="str">
        <f ca="1">IF(Table8[[#This Row],[Age_Band]]="","Unknown",Table8[[#This Row],[Age_Band]])</f>
        <v>65+</v>
      </c>
      <c r="Q738" t="str">
        <f>_xlfn.XLOOKUP(Table8[[#This Row],[Supporter_ID]],tb1_supporters[Supporter_ID ],tb1_supporters[Communication_Preference],"")</f>
        <v>No Preference</v>
      </c>
      <c r="R738" t="str">
        <f>_xlfn.XLOOKUP(Table8[[#This Row],[Supporter_ID]],tb1_supporters[Supporter_ID ],tb1_supporters[Duplicate_Profile_Flag],"")</f>
        <v/>
      </c>
      <c r="S738" t="str">
        <f>_xlfn.XLOOKUP(Table8[[#This Row],[Supporter_ID]],tb1_supporters[Supporter_ID ],tb1_supporters[Preference_Compliance_Flag],"")</f>
        <v/>
      </c>
      <c r="T738" t="str">
        <f ca="1">IF(Table8[[#This Row],[Age]]="","Review - missing DOB",IF(Table8[[#This Row],[Age]]&gt;TODAY(),"Review - future DOB",IF(Table8[[#This Row],[Age]]=0,"Review -  potential entry error (age 0)","")))</f>
        <v/>
      </c>
      <c r="U738" t="str">
        <f>_xlfn.XLOOKUP(Table8[[#This Row],[Campaign_Code]],tb3_CampaignMaster[Campaign_Code],tb3_CampaignMaster[Campaign_Type],"")</f>
        <v>Event</v>
      </c>
      <c r="V738" t="str">
        <f>_xlfn.XLOOKUP(Table8[[#This Row],[Campaign_Code]],tb3_CampaignMaster[Campaign_Code],tb3_CampaignMaster[Target_Audience],"")</f>
        <v>Major Donors</v>
      </c>
      <c r="W738" s="17">
        <f>_xlfn.XLOOKUP(Table8[[#This Row],[Campaign_Code]],tb3_CampaignMaster[Campaign_Code],tb3_CampaignMaster[Start_Date],"")</f>
        <v>45488</v>
      </c>
      <c r="X738" s="17">
        <f>_xlfn.XLOOKUP(Table8[[#This Row],[Campaign_Code]],tb3_CampaignMaster[Campaign_Code],tb3_CampaignMaster[End_Date],"")</f>
        <v>45488</v>
      </c>
      <c r="Y738">
        <f>_xlfn.XLOOKUP(Table8[[#This Row],[Campaign_Code]],tb3_CampaignMaster[Campaign_Code],tb3_CampaignMaster[Budget_GBP],"")</f>
        <v>45000</v>
      </c>
      <c r="Z738" t="str">
        <f>_xlfn.XLOOKUP(Table8[[#This Row],[Campaign_Code]],tb3_CampaignMaster[Campaign_Code],tb3_CampaignMaster[Primary_Channel],"")</f>
        <v>Direct Mail</v>
      </c>
      <c r="AA738" s="13">
        <f>IF(Table8[[#This Row],[Gift_Aid_Eligible]]="Yes",Table8[[#This Row],[Gift_Amount]]*1.25,Table8[[#This Row],[Gift_Amount]])</f>
        <v>80.112500000000011</v>
      </c>
      <c r="AB738" t="str">
        <f>IF(Table8[[#This Row],[Supporter_ID]]="","Review - missing supporter ID","")</f>
        <v/>
      </c>
      <c r="AC738" t="str">
        <f>IF(OR(Table8[[#This Row],[Response_Date]]&lt;Table8[[#This Row],[Start_Date]],Table8[[#This Row],[Response_Date]]&gt;Table8[[#This Row],[End_Date]]),"Review - response outside campaign dates","")</f>
        <v/>
      </c>
      <c r="AD738" t="str">
        <f>IF(Table8[[#This Row],[Campaign_Type]]="","Review - campaign code not found","")</f>
        <v/>
      </c>
    </row>
    <row r="739" spans="1:30" x14ac:dyDescent="0.25">
      <c r="A739" t="s">
        <v>4572</v>
      </c>
      <c r="B739" t="s">
        <v>1838</v>
      </c>
      <c r="C739" t="s">
        <v>3320</v>
      </c>
      <c r="D739" t="s">
        <v>3321</v>
      </c>
      <c r="E739" t="s">
        <v>4</v>
      </c>
      <c r="F739" s="17">
        <v>45453</v>
      </c>
      <c r="G739">
        <v>5.26</v>
      </c>
      <c r="H739" t="s">
        <v>37</v>
      </c>
      <c r="I739" t="s">
        <v>3370</v>
      </c>
      <c r="J739" t="str">
        <f>_xlfn.XLOOKUP(Table8[[#This Row],[Supporter_ID]],tb1_supporters[Supporter_ID ],tb1_supporters[Segment],"")</f>
        <v>Prospect</v>
      </c>
      <c r="K739" t="str">
        <f>_xlfn.XLOOKUP(Table8[[#This Row],[Supporter_ID]],tb1_supporters[Supporter_ID ],tb1_supporters[Acquisition_Source],"")</f>
        <v>Telephone</v>
      </c>
      <c r="L739" t="str">
        <f>_xlfn.XLOOKUP(Table8[[#This Row],[Supporter_ID]],tb1_supporters[Supporter_ID ],tb1_supporters[County],"")</f>
        <v>West Yorkshire</v>
      </c>
      <c r="M739" t="str">
        <f>_xlfn.XLOOKUP(Table8[[#This Row],[Supporter_ID]],tb1_supporters[Supporter_ID ],tb1_supporters[Gender],"")</f>
        <v>Female</v>
      </c>
      <c r="N739">
        <f ca="1">_xlfn.XLOOKUP(Table8[[#This Row],[Supporter_ID]],tb1_supporters[Supporter_ID ],tb1_supporters[Age],"")</f>
        <v>54</v>
      </c>
      <c r="O739" t="str">
        <f ca="1">_xlfn.XLOOKUP(Table8[[#This Row],[Supporter_ID]],tb1_supporters[Supporter_ID ],tb1_supporters[Age_Band],"")</f>
        <v>50-64</v>
      </c>
      <c r="P739" t="str">
        <f ca="1">IF(Table8[[#This Row],[Age_Band]]="","Unknown",Table8[[#This Row],[Age_Band]])</f>
        <v>50-64</v>
      </c>
      <c r="Q739" t="str">
        <f>_xlfn.XLOOKUP(Table8[[#This Row],[Supporter_ID]],tb1_supporters[Supporter_ID ],tb1_supporters[Communication_Preference],"")</f>
        <v>Email</v>
      </c>
      <c r="R739" t="str">
        <f>_xlfn.XLOOKUP(Table8[[#This Row],[Supporter_ID]],tb1_supporters[Supporter_ID ],tb1_supporters[Duplicate_Profile_Flag],"")</f>
        <v/>
      </c>
      <c r="S739" t="str">
        <f>_xlfn.XLOOKUP(Table8[[#This Row],[Supporter_ID]],tb1_supporters[Supporter_ID ],tb1_supporters[Preference_Compliance_Flag],"")</f>
        <v/>
      </c>
      <c r="T739" t="str">
        <f ca="1">IF(Table8[[#This Row],[Age]]="","Review - missing DOB",IF(Table8[[#This Row],[Age]]&gt;TODAY(),"Review - future DOB",IF(Table8[[#This Row],[Age]]=0,"Review -  potential entry error (age 0)","")))</f>
        <v/>
      </c>
      <c r="U739" t="str">
        <f>_xlfn.XLOOKUP(Table8[[#This Row],[Campaign_Code]],tb3_CampaignMaster[Campaign_Code],tb3_CampaignMaster[Campaign_Type],"")</f>
        <v>Stewardship</v>
      </c>
      <c r="V739" t="str">
        <f>_xlfn.XLOOKUP(Table8[[#This Row],[Campaign_Code]],tb3_CampaignMaster[Campaign_Code],tb3_CampaignMaster[Target_Audience],"")</f>
        <v>Major Donors</v>
      </c>
      <c r="W739" s="17">
        <f>_xlfn.XLOOKUP(Table8[[#This Row],[Campaign_Code]],tb3_CampaignMaster[Campaign_Code],tb3_CampaignMaster[Start_Date],"")</f>
        <v>45444</v>
      </c>
      <c r="X739" s="17">
        <f>_xlfn.XLOOKUP(Table8[[#This Row],[Campaign_Code]],tb3_CampaignMaster[Campaign_Code],tb3_CampaignMaster[End_Date],"")</f>
        <v>45473</v>
      </c>
      <c r="Y739">
        <f>_xlfn.XLOOKUP(Table8[[#This Row],[Campaign_Code]],tb3_CampaignMaster[Campaign_Code],tb3_CampaignMaster[Budget_GBP],"")</f>
        <v>7000</v>
      </c>
      <c r="Z739" t="str">
        <f>_xlfn.XLOOKUP(Table8[[#This Row],[Campaign_Code]],tb3_CampaignMaster[Campaign_Code],tb3_CampaignMaster[Primary_Channel],"")</f>
        <v>Direct Mail</v>
      </c>
      <c r="AA739" s="13">
        <f>IF(Table8[[#This Row],[Gift_Aid_Eligible]]="Yes",Table8[[#This Row],[Gift_Amount]]*1.25,Table8[[#This Row],[Gift_Amount]])</f>
        <v>5.26</v>
      </c>
      <c r="AB739" t="str">
        <f>IF(Table8[[#This Row],[Supporter_ID]]="","Review - missing supporter ID","")</f>
        <v/>
      </c>
      <c r="AC739" t="str">
        <f>IF(OR(Table8[[#This Row],[Response_Date]]&lt;Table8[[#This Row],[Start_Date]],Table8[[#This Row],[Response_Date]]&gt;Table8[[#This Row],[End_Date]]),"Review - response outside campaign dates","")</f>
        <v/>
      </c>
      <c r="AD739" t="str">
        <f>IF(Table8[[#This Row],[Campaign_Type]]="","Review - campaign code not found","")</f>
        <v/>
      </c>
    </row>
    <row r="740" spans="1:30" x14ac:dyDescent="0.25">
      <c r="A740" t="s">
        <v>4574</v>
      </c>
      <c r="B740" t="s">
        <v>1909</v>
      </c>
      <c r="C740" t="s">
        <v>3341</v>
      </c>
      <c r="D740" t="s">
        <v>3342</v>
      </c>
      <c r="E740" t="s">
        <v>3316</v>
      </c>
      <c r="F740" s="17">
        <v>45762</v>
      </c>
      <c r="G740">
        <v>9.24</v>
      </c>
      <c r="H740" t="s">
        <v>37</v>
      </c>
      <c r="I740" t="s">
        <v>3328</v>
      </c>
      <c r="J740" t="str">
        <f>_xlfn.XLOOKUP(Table8[[#This Row],[Supporter_ID]],tb1_supporters[Supporter_ID ],tb1_supporters[Segment],"")</f>
        <v>Regular Giver</v>
      </c>
      <c r="K740" t="str">
        <f>_xlfn.XLOOKUP(Table8[[#This Row],[Supporter_ID]],tb1_supporters[Supporter_ID ],tb1_supporters[Acquisition_Source],"")</f>
        <v>Telephone</v>
      </c>
      <c r="L740" t="str">
        <f>_xlfn.XLOOKUP(Table8[[#This Row],[Supporter_ID]],tb1_supporters[Supporter_ID ],tb1_supporters[County],"")</f>
        <v>Devon</v>
      </c>
      <c r="M740" t="str">
        <f>_xlfn.XLOOKUP(Table8[[#This Row],[Supporter_ID]],tb1_supporters[Supporter_ID ],tb1_supporters[Gender],"")</f>
        <v>Male</v>
      </c>
      <c r="N740">
        <f ca="1">_xlfn.XLOOKUP(Table8[[#This Row],[Supporter_ID]],tb1_supporters[Supporter_ID ],tb1_supporters[Age],"")</f>
        <v>53</v>
      </c>
      <c r="O740" t="str">
        <f ca="1">_xlfn.XLOOKUP(Table8[[#This Row],[Supporter_ID]],tb1_supporters[Supporter_ID ],tb1_supporters[Age_Band],"")</f>
        <v>50-64</v>
      </c>
      <c r="P740" t="str">
        <f ca="1">IF(Table8[[#This Row],[Age_Band]]="","Unknown",Table8[[#This Row],[Age_Band]])</f>
        <v>50-64</v>
      </c>
      <c r="Q740" t="str">
        <f>_xlfn.XLOOKUP(Table8[[#This Row],[Supporter_ID]],tb1_supporters[Supporter_ID ],tb1_supporters[Communication_Preference],"")</f>
        <v>Do Not Contact</v>
      </c>
      <c r="R740" t="str">
        <f>_xlfn.XLOOKUP(Table8[[#This Row],[Supporter_ID]],tb1_supporters[Supporter_ID ],tb1_supporters[Duplicate_Profile_Flag],"")</f>
        <v/>
      </c>
      <c r="S740" t="str">
        <f>_xlfn.XLOOKUP(Table8[[#This Row],[Supporter_ID]],tb1_supporters[Supporter_ID ],tb1_supporters[Preference_Compliance_Flag],"")</f>
        <v/>
      </c>
      <c r="T740" t="str">
        <f ca="1">IF(Table8[[#This Row],[Age]]="","Review - missing DOB",IF(Table8[[#This Row],[Age]]&gt;TODAY(),"Review - future DOB",IF(Table8[[#This Row],[Age]]=0,"Review -  potential entry error (age 0)","")))</f>
        <v/>
      </c>
      <c r="U740" t="str">
        <f>_xlfn.XLOOKUP(Table8[[#This Row],[Campaign_Code]],tb3_CampaignMaster[Campaign_Code],tb3_CampaignMaster[Campaign_Type],"")</f>
        <v>Acquisition</v>
      </c>
      <c r="V740" t="str">
        <f>_xlfn.XLOOKUP(Table8[[#This Row],[Campaign_Code]],tb3_CampaignMaster[Campaign_Code],tb3_CampaignMaster[Target_Audience],"")</f>
        <v>Prospects</v>
      </c>
      <c r="W740" s="17">
        <f>_xlfn.XLOOKUP(Table8[[#This Row],[Campaign_Code]],tb3_CampaignMaster[Campaign_Code],tb3_CampaignMaster[Start_Date],"")</f>
        <v>45689</v>
      </c>
      <c r="X740" s="17">
        <f>_xlfn.XLOOKUP(Table8[[#This Row],[Campaign_Code]],tb3_CampaignMaster[Campaign_Code],tb3_CampaignMaster[End_Date],"")</f>
        <v>45777</v>
      </c>
      <c r="Y740">
        <f>_xlfn.XLOOKUP(Table8[[#This Row],[Campaign_Code]],tb3_CampaignMaster[Campaign_Code],tb3_CampaignMaster[Budget_GBP],"")</f>
        <v>20000</v>
      </c>
      <c r="Z740" t="str">
        <f>_xlfn.XLOOKUP(Table8[[#This Row],[Campaign_Code]],tb3_CampaignMaster[Campaign_Code],tb3_CampaignMaster[Primary_Channel],"")</f>
        <v>Digital</v>
      </c>
      <c r="AA740" s="13">
        <f>IF(Table8[[#This Row],[Gift_Aid_Eligible]]="Yes",Table8[[#This Row],[Gift_Amount]]*1.25,Table8[[#This Row],[Gift_Amount]])</f>
        <v>9.24</v>
      </c>
      <c r="AB740" t="str">
        <f>IF(Table8[[#This Row],[Supporter_ID]]="","Review - missing supporter ID","")</f>
        <v/>
      </c>
      <c r="AC740" t="str">
        <f>IF(OR(Table8[[#This Row],[Response_Date]]&lt;Table8[[#This Row],[Start_Date]],Table8[[#This Row],[Response_Date]]&gt;Table8[[#This Row],[End_Date]]),"Review - response outside campaign dates","")</f>
        <v/>
      </c>
      <c r="AD740" t="str">
        <f>IF(Table8[[#This Row],[Campaign_Type]]="","Review - campaign code not found","")</f>
        <v/>
      </c>
    </row>
    <row r="741" spans="1:30" x14ac:dyDescent="0.25">
      <c r="A741" t="s">
        <v>4575</v>
      </c>
      <c r="B741" t="s">
        <v>3193</v>
      </c>
      <c r="C741" t="s">
        <v>3336</v>
      </c>
      <c r="D741" t="s">
        <v>3337</v>
      </c>
      <c r="E741" t="s">
        <v>3316</v>
      </c>
      <c r="F741" s="17">
        <v>45561</v>
      </c>
      <c r="G741">
        <v>6.52</v>
      </c>
      <c r="H741" t="s">
        <v>36</v>
      </c>
      <c r="I741" t="s">
        <v>3370</v>
      </c>
      <c r="J741" t="str">
        <f>_xlfn.XLOOKUP(Table8[[#This Row],[Supporter_ID]],tb1_supporters[Supporter_ID ],tb1_supporters[Segment],"")</f>
        <v>Prospect</v>
      </c>
      <c r="K741" t="str">
        <f>_xlfn.XLOOKUP(Table8[[#This Row],[Supporter_ID]],tb1_supporters[Supporter_ID ],tb1_supporters[Acquisition_Source],"")</f>
        <v>Event</v>
      </c>
      <c r="L741" t="str">
        <f>_xlfn.XLOOKUP(Table8[[#This Row],[Supporter_ID]],tb1_supporters[Supporter_ID ],tb1_supporters[County],"")</f>
        <v>Merseyside</v>
      </c>
      <c r="M741" t="str">
        <f>_xlfn.XLOOKUP(Table8[[#This Row],[Supporter_ID]],tb1_supporters[Supporter_ID ],tb1_supporters[Gender],"")</f>
        <v>Female</v>
      </c>
      <c r="N741">
        <f ca="1">_xlfn.XLOOKUP(Table8[[#This Row],[Supporter_ID]],tb1_supporters[Supporter_ID ],tb1_supporters[Age],"")</f>
        <v>63</v>
      </c>
      <c r="O741" t="str">
        <f ca="1">_xlfn.XLOOKUP(Table8[[#This Row],[Supporter_ID]],tb1_supporters[Supporter_ID ],tb1_supporters[Age_Band],"")</f>
        <v>50-64</v>
      </c>
      <c r="P741" t="str">
        <f ca="1">IF(Table8[[#This Row],[Age_Band]]="","Unknown",Table8[[#This Row],[Age_Band]])</f>
        <v>50-64</v>
      </c>
      <c r="Q741" t="str">
        <f>_xlfn.XLOOKUP(Table8[[#This Row],[Supporter_ID]],tb1_supporters[Supporter_ID ],tb1_supporters[Communication_Preference],"")</f>
        <v>Email</v>
      </c>
      <c r="R741" t="str">
        <f>_xlfn.XLOOKUP(Table8[[#This Row],[Supporter_ID]],tb1_supporters[Supporter_ID ],tb1_supporters[Duplicate_Profile_Flag],"")</f>
        <v/>
      </c>
      <c r="S741" t="str">
        <f>_xlfn.XLOOKUP(Table8[[#This Row],[Supporter_ID]],tb1_supporters[Supporter_ID ],tb1_supporters[Preference_Compliance_Flag],"")</f>
        <v>Review - prefers email but not opted in</v>
      </c>
      <c r="T741" t="str">
        <f ca="1">IF(Table8[[#This Row],[Age]]="","Review - missing DOB",IF(Table8[[#This Row],[Age]]&gt;TODAY(),"Review - future DOB",IF(Table8[[#This Row],[Age]]=0,"Review -  potential entry error (age 0)","")))</f>
        <v/>
      </c>
      <c r="U741" t="str">
        <f>_xlfn.XLOOKUP(Table8[[#This Row],[Campaign_Code]],tb3_CampaignMaster[Campaign_Code],tb3_CampaignMaster[Campaign_Type],"")</f>
        <v>Appeal</v>
      </c>
      <c r="V741" t="str">
        <f>_xlfn.XLOOKUP(Table8[[#This Row],[Campaign_Code]],tb3_CampaignMaster[Campaign_Code],tb3_CampaignMaster[Target_Audience],"")</f>
        <v>All Supporters</v>
      </c>
      <c r="W741" s="17">
        <f>_xlfn.XLOOKUP(Table8[[#This Row],[Campaign_Code]],tb3_CampaignMaster[Campaign_Code],tb3_CampaignMaster[Start_Date],"")</f>
        <v>45545</v>
      </c>
      <c r="X741" s="17">
        <f>_xlfn.XLOOKUP(Table8[[#This Row],[Campaign_Code]],tb3_CampaignMaster[Campaign_Code],tb3_CampaignMaster[End_Date],"")</f>
        <v>45580</v>
      </c>
      <c r="Y741">
        <f>_xlfn.XLOOKUP(Table8[[#This Row],[Campaign_Code]],tb3_CampaignMaster[Campaign_Code],tb3_CampaignMaster[Budget_GBP],"")</f>
        <v>15000</v>
      </c>
      <c r="Z741" t="str">
        <f>_xlfn.XLOOKUP(Table8[[#This Row],[Campaign_Code]],tb3_CampaignMaster[Campaign_Code],tb3_CampaignMaster[Primary_Channel],"")</f>
        <v>Email</v>
      </c>
      <c r="AA741" s="13">
        <f>IF(Table8[[#This Row],[Gift_Aid_Eligible]]="Yes",Table8[[#This Row],[Gift_Amount]]*1.25,Table8[[#This Row],[Gift_Amount]])</f>
        <v>8.1499999999999986</v>
      </c>
      <c r="AB741" t="str">
        <f>IF(Table8[[#This Row],[Supporter_ID]]="","Review - missing supporter ID","")</f>
        <v/>
      </c>
      <c r="AC741" t="str">
        <f>IF(OR(Table8[[#This Row],[Response_Date]]&lt;Table8[[#This Row],[Start_Date]],Table8[[#This Row],[Response_Date]]&gt;Table8[[#This Row],[End_Date]]),"Review - response outside campaign dates","")</f>
        <v/>
      </c>
      <c r="AD741" t="str">
        <f>IF(Table8[[#This Row],[Campaign_Type]]="","Review - campaign code not found","")</f>
        <v/>
      </c>
    </row>
    <row r="742" spans="1:30" x14ac:dyDescent="0.25">
      <c r="A742" t="s">
        <v>4577</v>
      </c>
      <c r="B742" t="s">
        <v>1982</v>
      </c>
      <c r="C742" t="s">
        <v>3367</v>
      </c>
      <c r="D742" t="s">
        <v>3368</v>
      </c>
      <c r="E742" t="s">
        <v>4</v>
      </c>
      <c r="F742" s="17">
        <v>45748</v>
      </c>
      <c r="G742">
        <v>99.59</v>
      </c>
      <c r="H742" t="s">
        <v>36</v>
      </c>
      <c r="I742" t="s">
        <v>3385</v>
      </c>
      <c r="J742" t="str">
        <f>_xlfn.XLOOKUP(Table8[[#This Row],[Supporter_ID]],tb1_supporters[Supporter_ID ],tb1_supporters[Segment],"")</f>
        <v>Legacy Pledger</v>
      </c>
      <c r="K742" t="str">
        <f>_xlfn.XLOOKUP(Table8[[#This Row],[Supporter_ID]],tb1_supporters[Supporter_ID ],tb1_supporters[Acquisition_Source],"")</f>
        <v>Direct Mail</v>
      </c>
      <c r="L742" t="str">
        <f>_xlfn.XLOOKUP(Table8[[#This Row],[Supporter_ID]],tb1_supporters[Supporter_ID ],tb1_supporters[County],"")</f>
        <v>Buckinghamshire</v>
      </c>
      <c r="M742" t="str">
        <f>_xlfn.XLOOKUP(Table8[[#This Row],[Supporter_ID]],tb1_supporters[Supporter_ID ],tb1_supporters[Gender],"")</f>
        <v>Male</v>
      </c>
      <c r="N742">
        <f ca="1">_xlfn.XLOOKUP(Table8[[#This Row],[Supporter_ID]],tb1_supporters[Supporter_ID ],tb1_supporters[Age],"")</f>
        <v>71</v>
      </c>
      <c r="O742" t="str">
        <f ca="1">_xlfn.XLOOKUP(Table8[[#This Row],[Supporter_ID]],tb1_supporters[Supporter_ID ],tb1_supporters[Age_Band],"")</f>
        <v>65+</v>
      </c>
      <c r="P742" t="str">
        <f ca="1">IF(Table8[[#This Row],[Age_Band]]="","Unknown",Table8[[#This Row],[Age_Band]])</f>
        <v>65+</v>
      </c>
      <c r="Q742" t="str">
        <f>_xlfn.XLOOKUP(Table8[[#This Row],[Supporter_ID]],tb1_supporters[Supporter_ID ],tb1_supporters[Communication_Preference],"")</f>
        <v>Post</v>
      </c>
      <c r="R742" t="str">
        <f>_xlfn.XLOOKUP(Table8[[#This Row],[Supporter_ID]],tb1_supporters[Supporter_ID ],tb1_supporters[Duplicate_Profile_Flag],"")</f>
        <v/>
      </c>
      <c r="S742" t="str">
        <f>_xlfn.XLOOKUP(Table8[[#This Row],[Supporter_ID]],tb1_supporters[Supporter_ID ],tb1_supporters[Preference_Compliance_Flag],"")</f>
        <v/>
      </c>
      <c r="T742" t="str">
        <f ca="1">IF(Table8[[#This Row],[Age]]="","Review - missing DOB",IF(Table8[[#This Row],[Age]]&gt;TODAY(),"Review - future DOB",IF(Table8[[#This Row],[Age]]=0,"Review -  potential entry error (age 0)","")))</f>
        <v/>
      </c>
      <c r="U742" t="str">
        <f>_xlfn.XLOOKUP(Table8[[#This Row],[Campaign_Code]],tb3_CampaignMaster[Campaign_Code],tb3_CampaignMaster[Campaign_Type],"")</f>
        <v>Raffle</v>
      </c>
      <c r="V742" t="str">
        <f>_xlfn.XLOOKUP(Table8[[#This Row],[Campaign_Code]],tb3_CampaignMaster[Campaign_Code],tb3_CampaignMaster[Target_Audience],"")</f>
        <v>Regular Givers</v>
      </c>
      <c r="W742" s="17">
        <f>_xlfn.XLOOKUP(Table8[[#This Row],[Campaign_Code]],tb3_CampaignMaster[Campaign_Code],tb3_CampaignMaster[Start_Date],"")</f>
        <v>45717</v>
      </c>
      <c r="X742" s="17">
        <f>_xlfn.XLOOKUP(Table8[[#This Row],[Campaign_Code]],tb3_CampaignMaster[Campaign_Code],tb3_CampaignMaster[End_Date],"")</f>
        <v>45777</v>
      </c>
      <c r="Y742">
        <f>_xlfn.XLOOKUP(Table8[[#This Row],[Campaign_Code]],tb3_CampaignMaster[Campaign_Code],tb3_CampaignMaster[Budget_GBP],"")</f>
        <v>8000</v>
      </c>
      <c r="Z742" t="str">
        <f>_xlfn.XLOOKUP(Table8[[#This Row],[Campaign_Code]],tb3_CampaignMaster[Campaign_Code],tb3_CampaignMaster[Primary_Channel],"")</f>
        <v>Direct Mail</v>
      </c>
      <c r="AA742" s="13">
        <f>IF(Table8[[#This Row],[Gift_Aid_Eligible]]="Yes",Table8[[#This Row],[Gift_Amount]]*1.25,Table8[[#This Row],[Gift_Amount]])</f>
        <v>124.48750000000001</v>
      </c>
      <c r="AB742" t="str">
        <f>IF(Table8[[#This Row],[Supporter_ID]]="","Review - missing supporter ID","")</f>
        <v/>
      </c>
      <c r="AC742" t="str">
        <f>IF(OR(Table8[[#This Row],[Response_Date]]&lt;Table8[[#This Row],[Start_Date]],Table8[[#This Row],[Response_Date]]&gt;Table8[[#This Row],[End_Date]]),"Review - response outside campaign dates","")</f>
        <v/>
      </c>
      <c r="AD742" t="str">
        <f>IF(Table8[[#This Row],[Campaign_Type]]="","Review - campaign code not found","")</f>
        <v/>
      </c>
    </row>
    <row r="743" spans="1:30" x14ac:dyDescent="0.25">
      <c r="A743" t="s">
        <v>4579</v>
      </c>
      <c r="B743" t="s">
        <v>1976</v>
      </c>
      <c r="C743" t="s">
        <v>3367</v>
      </c>
      <c r="D743" t="s">
        <v>3368</v>
      </c>
      <c r="E743" t="s">
        <v>65</v>
      </c>
      <c r="F743" s="17">
        <v>45730</v>
      </c>
      <c r="G743">
        <v>2952.33</v>
      </c>
      <c r="H743" t="s">
        <v>36</v>
      </c>
      <c r="I743" t="s">
        <v>3365</v>
      </c>
      <c r="J743" t="str">
        <f>_xlfn.XLOOKUP(Table8[[#This Row],[Supporter_ID]],tb1_supporters[Supporter_ID ],tb1_supporters[Segment],"")</f>
        <v>Major Donor</v>
      </c>
      <c r="K743" t="str">
        <f>_xlfn.XLOOKUP(Table8[[#This Row],[Supporter_ID]],tb1_supporters[Supporter_ID ],tb1_supporters[Acquisition_Source],"")</f>
        <v>Referral</v>
      </c>
      <c r="L743" t="str">
        <f>_xlfn.XLOOKUP(Table8[[#This Row],[Supporter_ID]],tb1_supporters[Supporter_ID ],tb1_supporters[County],"")</f>
        <v>East Sussex</v>
      </c>
      <c r="M743" t="str">
        <f>_xlfn.XLOOKUP(Table8[[#This Row],[Supporter_ID]],tb1_supporters[Supporter_ID ],tb1_supporters[Gender],"")</f>
        <v>Female</v>
      </c>
      <c r="N743">
        <f ca="1">_xlfn.XLOOKUP(Table8[[#This Row],[Supporter_ID]],tb1_supporters[Supporter_ID ],tb1_supporters[Age],"")</f>
        <v>75</v>
      </c>
      <c r="O743" t="str">
        <f ca="1">_xlfn.XLOOKUP(Table8[[#This Row],[Supporter_ID]],tb1_supporters[Supporter_ID ],tb1_supporters[Age_Band],"")</f>
        <v>65+</v>
      </c>
      <c r="P743" t="str">
        <f ca="1">IF(Table8[[#This Row],[Age_Band]]="","Unknown",Table8[[#This Row],[Age_Band]])</f>
        <v>65+</v>
      </c>
      <c r="Q743" t="str">
        <f>_xlfn.XLOOKUP(Table8[[#This Row],[Supporter_ID]],tb1_supporters[Supporter_ID ],tb1_supporters[Communication_Preference],"")</f>
        <v>Email</v>
      </c>
      <c r="R743" t="str">
        <f>_xlfn.XLOOKUP(Table8[[#This Row],[Supporter_ID]],tb1_supporters[Supporter_ID ],tb1_supporters[Duplicate_Profile_Flag],"")</f>
        <v/>
      </c>
      <c r="S743" t="str">
        <f>_xlfn.XLOOKUP(Table8[[#This Row],[Supporter_ID]],tb1_supporters[Supporter_ID ],tb1_supporters[Preference_Compliance_Flag],"")</f>
        <v/>
      </c>
      <c r="T743" t="str">
        <f ca="1">IF(Table8[[#This Row],[Age]]="","Review - missing DOB",IF(Table8[[#This Row],[Age]]&gt;TODAY(),"Review - future DOB",IF(Table8[[#This Row],[Age]]=0,"Review -  potential entry error (age 0)","")))</f>
        <v/>
      </c>
      <c r="U743" t="str">
        <f>_xlfn.XLOOKUP(Table8[[#This Row],[Campaign_Code]],tb3_CampaignMaster[Campaign_Code],tb3_CampaignMaster[Campaign_Type],"")</f>
        <v>Raffle</v>
      </c>
      <c r="V743" t="str">
        <f>_xlfn.XLOOKUP(Table8[[#This Row],[Campaign_Code]],tb3_CampaignMaster[Campaign_Code],tb3_CampaignMaster[Target_Audience],"")</f>
        <v>Regular Givers</v>
      </c>
      <c r="W743" s="17">
        <f>_xlfn.XLOOKUP(Table8[[#This Row],[Campaign_Code]],tb3_CampaignMaster[Campaign_Code],tb3_CampaignMaster[Start_Date],"")</f>
        <v>45717</v>
      </c>
      <c r="X743" s="17">
        <f>_xlfn.XLOOKUP(Table8[[#This Row],[Campaign_Code]],tb3_CampaignMaster[Campaign_Code],tb3_CampaignMaster[End_Date],"")</f>
        <v>45777</v>
      </c>
      <c r="Y743">
        <f>_xlfn.XLOOKUP(Table8[[#This Row],[Campaign_Code]],tb3_CampaignMaster[Campaign_Code],tb3_CampaignMaster[Budget_GBP],"")</f>
        <v>8000</v>
      </c>
      <c r="Z743" t="str">
        <f>_xlfn.XLOOKUP(Table8[[#This Row],[Campaign_Code]],tb3_CampaignMaster[Campaign_Code],tb3_CampaignMaster[Primary_Channel],"")</f>
        <v>Direct Mail</v>
      </c>
      <c r="AA743" s="13">
        <f>IF(Table8[[#This Row],[Gift_Aid_Eligible]]="Yes",Table8[[#This Row],[Gift_Amount]]*1.25,Table8[[#This Row],[Gift_Amount]])</f>
        <v>3690.4124999999999</v>
      </c>
      <c r="AB743" t="str">
        <f>IF(Table8[[#This Row],[Supporter_ID]]="","Review - missing supporter ID","")</f>
        <v/>
      </c>
      <c r="AC743" t="str">
        <f>IF(OR(Table8[[#This Row],[Response_Date]]&lt;Table8[[#This Row],[Start_Date]],Table8[[#This Row],[Response_Date]]&gt;Table8[[#This Row],[End_Date]]),"Review - response outside campaign dates","")</f>
        <v/>
      </c>
      <c r="AD743" t="str">
        <f>IF(Table8[[#This Row],[Campaign_Type]]="","Review - campaign code not found","")</f>
        <v/>
      </c>
    </row>
    <row r="744" spans="1:30" x14ac:dyDescent="0.25">
      <c r="A744" t="s">
        <v>4581</v>
      </c>
      <c r="B744" t="s">
        <v>844</v>
      </c>
      <c r="C744" t="s">
        <v>3314</v>
      </c>
      <c r="D744" t="s">
        <v>3315</v>
      </c>
      <c r="E744" t="s">
        <v>3316</v>
      </c>
      <c r="F744" s="17">
        <v>45710</v>
      </c>
      <c r="G744">
        <v>6.51</v>
      </c>
      <c r="H744" t="s">
        <v>37</v>
      </c>
      <c r="I744" t="s">
        <v>3365</v>
      </c>
      <c r="J744" t="str">
        <f>_xlfn.XLOOKUP(Table8[[#This Row],[Supporter_ID]],tb1_supporters[Supporter_ID ],tb1_supporters[Segment],"")</f>
        <v>Prospect</v>
      </c>
      <c r="K744" t="str">
        <f>_xlfn.XLOOKUP(Table8[[#This Row],[Supporter_ID]],tb1_supporters[Supporter_ID ],tb1_supporters[Acquisition_Source],"")</f>
        <v>Social Media</v>
      </c>
      <c r="L744" t="str">
        <f>_xlfn.XLOOKUP(Table8[[#This Row],[Supporter_ID]],tb1_supporters[Supporter_ID ],tb1_supporters[County],"")</f>
        <v>Leicestershire</v>
      </c>
      <c r="M744" t="str">
        <f>_xlfn.XLOOKUP(Table8[[#This Row],[Supporter_ID]],tb1_supporters[Supporter_ID ],tb1_supporters[Gender],"")</f>
        <v>Male</v>
      </c>
      <c r="N744">
        <f ca="1">_xlfn.XLOOKUP(Table8[[#This Row],[Supporter_ID]],tb1_supporters[Supporter_ID ],tb1_supporters[Age],"")</f>
        <v>60</v>
      </c>
      <c r="O744" t="str">
        <f ca="1">_xlfn.XLOOKUP(Table8[[#This Row],[Supporter_ID]],tb1_supporters[Supporter_ID ],tb1_supporters[Age_Band],"")</f>
        <v>50-64</v>
      </c>
      <c r="P744" t="str">
        <f ca="1">IF(Table8[[#This Row],[Age_Band]]="","Unknown",Table8[[#This Row],[Age_Band]])</f>
        <v>50-64</v>
      </c>
      <c r="Q744" t="str">
        <f>_xlfn.XLOOKUP(Table8[[#This Row],[Supporter_ID]],tb1_supporters[Supporter_ID ],tb1_supporters[Communication_Preference],"")</f>
        <v>Email</v>
      </c>
      <c r="R744" t="str">
        <f>_xlfn.XLOOKUP(Table8[[#This Row],[Supporter_ID]],tb1_supporters[Supporter_ID ],tb1_supporters[Duplicate_Profile_Flag],"")</f>
        <v/>
      </c>
      <c r="S744" t="str">
        <f>_xlfn.XLOOKUP(Table8[[#This Row],[Supporter_ID]],tb1_supporters[Supporter_ID ],tb1_supporters[Preference_Compliance_Flag],"")</f>
        <v>Review - prefers email but not opted in</v>
      </c>
      <c r="T744" t="str">
        <f ca="1">IF(Table8[[#This Row],[Age]]="","Review - missing DOB",IF(Table8[[#This Row],[Age]]&gt;TODAY(),"Review - future DOB",IF(Table8[[#This Row],[Age]]=0,"Review -  potential entry error (age 0)","")))</f>
        <v/>
      </c>
      <c r="U744" t="str">
        <f>_xlfn.XLOOKUP(Table8[[#This Row],[Campaign_Code]],tb3_CampaignMaster[Campaign_Code],tb3_CampaignMaster[Campaign_Type],"")</f>
        <v>Regular Giving</v>
      </c>
      <c r="V744" t="str">
        <f>_xlfn.XLOOKUP(Table8[[#This Row],[Campaign_Code]],tb3_CampaignMaster[Campaign_Code],tb3_CampaignMaster[Target_Audience],"")</f>
        <v>One-time Donors</v>
      </c>
      <c r="W744" s="17">
        <f>_xlfn.XLOOKUP(Table8[[#This Row],[Campaign_Code]],tb3_CampaignMaster[Campaign_Code],tb3_CampaignMaster[Start_Date],"")</f>
        <v>45663</v>
      </c>
      <c r="X744" s="17">
        <f>_xlfn.XLOOKUP(Table8[[#This Row],[Campaign_Code]],tb3_CampaignMaster[Campaign_Code],tb3_CampaignMaster[End_Date],"")</f>
        <v>45747</v>
      </c>
      <c r="Y744">
        <f>_xlfn.XLOOKUP(Table8[[#This Row],[Campaign_Code]],tb3_CampaignMaster[Campaign_Code],tb3_CampaignMaster[Budget_GBP],"")</f>
        <v>10000</v>
      </c>
      <c r="Z744" t="str">
        <f>_xlfn.XLOOKUP(Table8[[#This Row],[Campaign_Code]],tb3_CampaignMaster[Campaign_Code],tb3_CampaignMaster[Primary_Channel],"")</f>
        <v>Telephone</v>
      </c>
      <c r="AA744" s="13">
        <f>IF(Table8[[#This Row],[Gift_Aid_Eligible]]="Yes",Table8[[#This Row],[Gift_Amount]]*1.25,Table8[[#This Row],[Gift_Amount]])</f>
        <v>6.51</v>
      </c>
      <c r="AB744" t="str">
        <f>IF(Table8[[#This Row],[Supporter_ID]]="","Review - missing supporter ID","")</f>
        <v/>
      </c>
      <c r="AC744" t="str">
        <f>IF(OR(Table8[[#This Row],[Response_Date]]&lt;Table8[[#This Row],[Start_Date]],Table8[[#This Row],[Response_Date]]&gt;Table8[[#This Row],[End_Date]]),"Review - response outside campaign dates","")</f>
        <v/>
      </c>
      <c r="AD744" t="str">
        <f>IF(Table8[[#This Row],[Campaign_Type]]="","Review - campaign code not found","")</f>
        <v/>
      </c>
    </row>
    <row r="745" spans="1:30" x14ac:dyDescent="0.25">
      <c r="A745" t="s">
        <v>4583</v>
      </c>
      <c r="B745" t="s">
        <v>825</v>
      </c>
      <c r="C745" t="s">
        <v>3341</v>
      </c>
      <c r="D745" t="s">
        <v>3342</v>
      </c>
      <c r="E745" t="s">
        <v>91</v>
      </c>
      <c r="F745" s="17">
        <v>45933</v>
      </c>
      <c r="G745">
        <v>62.65</v>
      </c>
      <c r="H745" t="s">
        <v>37</v>
      </c>
      <c r="I745" t="s">
        <v>3323</v>
      </c>
      <c r="J745" t="str">
        <f>_xlfn.XLOOKUP(Table8[[#This Row],[Supporter_ID]],tb1_supporters[Supporter_ID ],tb1_supporters[Segment],"")</f>
        <v>Lapsed</v>
      </c>
      <c r="K745" t="str">
        <f>_xlfn.XLOOKUP(Table8[[#This Row],[Supporter_ID]],tb1_supporters[Supporter_ID ],tb1_supporters[Acquisition_Source],"")</f>
        <v>Direct Mail</v>
      </c>
      <c r="L745" t="str">
        <f>_xlfn.XLOOKUP(Table8[[#This Row],[Supporter_ID]],tb1_supporters[Supporter_ID ],tb1_supporters[County],"")</f>
        <v>West Midlands</v>
      </c>
      <c r="M745" t="str">
        <f>_xlfn.XLOOKUP(Table8[[#This Row],[Supporter_ID]],tb1_supporters[Supporter_ID ],tb1_supporters[Gender],"")</f>
        <v>Male</v>
      </c>
      <c r="N745">
        <f ca="1">_xlfn.XLOOKUP(Table8[[#This Row],[Supporter_ID]],tb1_supporters[Supporter_ID ],tb1_supporters[Age],"")</f>
        <v>52</v>
      </c>
      <c r="O745" t="str">
        <f ca="1">_xlfn.XLOOKUP(Table8[[#This Row],[Supporter_ID]],tb1_supporters[Supporter_ID ],tb1_supporters[Age_Band],"")</f>
        <v>50-64</v>
      </c>
      <c r="P745" t="str">
        <f ca="1">IF(Table8[[#This Row],[Age_Band]]="","Unknown",Table8[[#This Row],[Age_Band]])</f>
        <v>50-64</v>
      </c>
      <c r="Q745" t="str">
        <f>_xlfn.XLOOKUP(Table8[[#This Row],[Supporter_ID]],tb1_supporters[Supporter_ID ],tb1_supporters[Communication_Preference],"")</f>
        <v>Phone</v>
      </c>
      <c r="R745" t="str">
        <f>_xlfn.XLOOKUP(Table8[[#This Row],[Supporter_ID]],tb1_supporters[Supporter_ID ],tb1_supporters[Duplicate_Profile_Flag],"")</f>
        <v/>
      </c>
      <c r="S745" t="str">
        <f>_xlfn.XLOOKUP(Table8[[#This Row],[Supporter_ID]],tb1_supporters[Supporter_ID ],tb1_supporters[Preference_Compliance_Flag],"")</f>
        <v/>
      </c>
      <c r="T745" t="str">
        <f ca="1">IF(Table8[[#This Row],[Age]]="","Review - missing DOB",IF(Table8[[#This Row],[Age]]&gt;TODAY(),"Review - future DOB",IF(Table8[[#This Row],[Age]]=0,"Review -  potential entry error (age 0)","")))</f>
        <v/>
      </c>
      <c r="U745" t="str">
        <f>_xlfn.XLOOKUP(Table8[[#This Row],[Campaign_Code]],tb3_CampaignMaster[Campaign_Code],tb3_CampaignMaster[Campaign_Type],"")</f>
        <v>Acquisition</v>
      </c>
      <c r="V745" t="str">
        <f>_xlfn.XLOOKUP(Table8[[#This Row],[Campaign_Code]],tb3_CampaignMaster[Campaign_Code],tb3_CampaignMaster[Target_Audience],"")</f>
        <v>Prospects</v>
      </c>
      <c r="W745" s="17">
        <f>_xlfn.XLOOKUP(Table8[[#This Row],[Campaign_Code]],tb3_CampaignMaster[Campaign_Code],tb3_CampaignMaster[Start_Date],"")</f>
        <v>45689</v>
      </c>
      <c r="X745" s="17">
        <f>_xlfn.XLOOKUP(Table8[[#This Row],[Campaign_Code]],tb3_CampaignMaster[Campaign_Code],tb3_CampaignMaster[End_Date],"")</f>
        <v>45777</v>
      </c>
      <c r="Y745">
        <f>_xlfn.XLOOKUP(Table8[[#This Row],[Campaign_Code]],tb3_CampaignMaster[Campaign_Code],tb3_CampaignMaster[Budget_GBP],"")</f>
        <v>20000</v>
      </c>
      <c r="Z745" t="str">
        <f>_xlfn.XLOOKUP(Table8[[#This Row],[Campaign_Code]],tb3_CampaignMaster[Campaign_Code],tb3_CampaignMaster[Primary_Channel],"")</f>
        <v>Digital</v>
      </c>
      <c r="AA745" s="13">
        <f>IF(Table8[[#This Row],[Gift_Aid_Eligible]]="Yes",Table8[[#This Row],[Gift_Amount]]*1.25,Table8[[#This Row],[Gift_Amount]])</f>
        <v>62.65</v>
      </c>
      <c r="AB745" t="str">
        <f>IF(Table8[[#This Row],[Supporter_ID]]="","Review - missing supporter ID","")</f>
        <v/>
      </c>
      <c r="AC745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745" t="str">
        <f>IF(Table8[[#This Row],[Campaign_Type]]="","Review - campaign code not found","")</f>
        <v/>
      </c>
    </row>
    <row r="746" spans="1:30" x14ac:dyDescent="0.25">
      <c r="A746" t="s">
        <v>4584</v>
      </c>
      <c r="B746" t="s">
        <v>740</v>
      </c>
      <c r="C746" t="s">
        <v>3314</v>
      </c>
      <c r="D746" t="s">
        <v>3315</v>
      </c>
      <c r="E746" t="s">
        <v>3316</v>
      </c>
      <c r="F746" s="17">
        <v>45839</v>
      </c>
      <c r="G746">
        <v>93.17</v>
      </c>
      <c r="H746" t="s">
        <v>37</v>
      </c>
      <c r="I746" t="s">
        <v>3331</v>
      </c>
      <c r="J746" t="str">
        <f>_xlfn.XLOOKUP(Table8[[#This Row],[Supporter_ID]],tb1_supporters[Supporter_ID ],tb1_supporters[Segment],"")</f>
        <v>Mid-Value</v>
      </c>
      <c r="K746" t="str">
        <f>_xlfn.XLOOKUP(Table8[[#This Row],[Supporter_ID]],tb1_supporters[Supporter_ID ],tb1_supporters[Acquisition_Source],"")</f>
        <v>Referral</v>
      </c>
      <c r="L746" t="str">
        <f>_xlfn.XLOOKUP(Table8[[#This Row],[Supporter_ID]],tb1_supporters[Supporter_ID ],tb1_supporters[County],"")</f>
        <v>Nottinghamshire</v>
      </c>
      <c r="M746" t="str">
        <f>_xlfn.XLOOKUP(Table8[[#This Row],[Supporter_ID]],tb1_supporters[Supporter_ID ],tb1_supporters[Gender],"")</f>
        <v>Female</v>
      </c>
      <c r="N746">
        <f ca="1">_xlfn.XLOOKUP(Table8[[#This Row],[Supporter_ID]],tb1_supporters[Supporter_ID ],tb1_supporters[Age],"")</f>
        <v>60</v>
      </c>
      <c r="O746" t="str">
        <f ca="1">_xlfn.XLOOKUP(Table8[[#This Row],[Supporter_ID]],tb1_supporters[Supporter_ID ],tb1_supporters[Age_Band],"")</f>
        <v>50-64</v>
      </c>
      <c r="P746" t="str">
        <f ca="1">IF(Table8[[#This Row],[Age_Band]]="","Unknown",Table8[[#This Row],[Age_Band]])</f>
        <v>50-64</v>
      </c>
      <c r="Q746" t="str">
        <f>_xlfn.XLOOKUP(Table8[[#This Row],[Supporter_ID]],tb1_supporters[Supporter_ID ],tb1_supporters[Communication_Preference],"")</f>
        <v>Email</v>
      </c>
      <c r="R746" t="str">
        <f>_xlfn.XLOOKUP(Table8[[#This Row],[Supporter_ID]],tb1_supporters[Supporter_ID ],tb1_supporters[Duplicate_Profile_Flag],"")</f>
        <v/>
      </c>
      <c r="S746" t="str">
        <f>_xlfn.XLOOKUP(Table8[[#This Row],[Supporter_ID]],tb1_supporters[Supporter_ID ],tb1_supporters[Preference_Compliance_Flag],"")</f>
        <v/>
      </c>
      <c r="T746" t="str">
        <f ca="1">IF(Table8[[#This Row],[Age]]="","Review - missing DOB",IF(Table8[[#This Row],[Age]]&gt;TODAY(),"Review - future DOB",IF(Table8[[#This Row],[Age]]=0,"Review -  potential entry error (age 0)","")))</f>
        <v/>
      </c>
      <c r="U746" t="str">
        <f>_xlfn.XLOOKUP(Table8[[#This Row],[Campaign_Code]],tb3_CampaignMaster[Campaign_Code],tb3_CampaignMaster[Campaign_Type],"")</f>
        <v>Regular Giving</v>
      </c>
      <c r="V746" t="str">
        <f>_xlfn.XLOOKUP(Table8[[#This Row],[Campaign_Code]],tb3_CampaignMaster[Campaign_Code],tb3_CampaignMaster[Target_Audience],"")</f>
        <v>One-time Donors</v>
      </c>
      <c r="W746" s="17">
        <f>_xlfn.XLOOKUP(Table8[[#This Row],[Campaign_Code]],tb3_CampaignMaster[Campaign_Code],tb3_CampaignMaster[Start_Date],"")</f>
        <v>45663</v>
      </c>
      <c r="X746" s="17">
        <f>_xlfn.XLOOKUP(Table8[[#This Row],[Campaign_Code]],tb3_CampaignMaster[Campaign_Code],tb3_CampaignMaster[End_Date],"")</f>
        <v>45747</v>
      </c>
      <c r="Y746">
        <f>_xlfn.XLOOKUP(Table8[[#This Row],[Campaign_Code]],tb3_CampaignMaster[Campaign_Code],tb3_CampaignMaster[Budget_GBP],"")</f>
        <v>10000</v>
      </c>
      <c r="Z746" t="str">
        <f>_xlfn.XLOOKUP(Table8[[#This Row],[Campaign_Code]],tb3_CampaignMaster[Campaign_Code],tb3_CampaignMaster[Primary_Channel],"")</f>
        <v>Telephone</v>
      </c>
      <c r="AA746" s="13">
        <f>IF(Table8[[#This Row],[Gift_Aid_Eligible]]="Yes",Table8[[#This Row],[Gift_Amount]]*1.25,Table8[[#This Row],[Gift_Amount]])</f>
        <v>93.17</v>
      </c>
      <c r="AB746" t="str">
        <f>IF(Table8[[#This Row],[Supporter_ID]]="","Review - missing supporter ID","")</f>
        <v/>
      </c>
      <c r="AC746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746" t="str">
        <f>IF(Table8[[#This Row],[Campaign_Type]]="","Review - campaign code not found","")</f>
        <v/>
      </c>
    </row>
    <row r="747" spans="1:30" x14ac:dyDescent="0.25">
      <c r="A747" t="s">
        <v>4586</v>
      </c>
      <c r="B747" t="s">
        <v>2046</v>
      </c>
      <c r="C747" t="s">
        <v>3427</v>
      </c>
      <c r="D747" t="s">
        <v>3428</v>
      </c>
      <c r="E747" t="s">
        <v>65</v>
      </c>
      <c r="F747" s="17">
        <v>45488</v>
      </c>
      <c r="G747">
        <v>346.97</v>
      </c>
      <c r="H747" t="s">
        <v>37</v>
      </c>
      <c r="I747" t="s">
        <v>3365</v>
      </c>
      <c r="J747" t="str">
        <f>_xlfn.XLOOKUP(Table8[[#This Row],[Supporter_ID]],tb1_supporters[Supporter_ID ],tb1_supporters[Segment],"")</f>
        <v>Legacy Pledger</v>
      </c>
      <c r="K747" t="str">
        <f>_xlfn.XLOOKUP(Table8[[#This Row],[Supporter_ID]],tb1_supporters[Supporter_ID ],tb1_supporters[Acquisition_Source],"")</f>
        <v>Referral</v>
      </c>
      <c r="L747" t="str">
        <f>_xlfn.XLOOKUP(Table8[[#This Row],[Supporter_ID]],tb1_supporters[Supporter_ID ],tb1_supporters[County],"")</f>
        <v>Cheshire</v>
      </c>
      <c r="M747" t="str">
        <f>_xlfn.XLOOKUP(Table8[[#This Row],[Supporter_ID]],tb1_supporters[Supporter_ID ],tb1_supporters[Gender],"")</f>
        <v>Male</v>
      </c>
      <c r="N747">
        <f ca="1">_xlfn.XLOOKUP(Table8[[#This Row],[Supporter_ID]],tb1_supporters[Supporter_ID ],tb1_supporters[Age],"")</f>
        <v>34</v>
      </c>
      <c r="O747" t="str">
        <f ca="1">_xlfn.XLOOKUP(Table8[[#This Row],[Supporter_ID]],tb1_supporters[Supporter_ID ],tb1_supporters[Age_Band],"")</f>
        <v>18-34</v>
      </c>
      <c r="P747" t="str">
        <f ca="1">IF(Table8[[#This Row],[Age_Band]]="","Unknown",Table8[[#This Row],[Age_Band]])</f>
        <v>18-34</v>
      </c>
      <c r="Q747" t="str">
        <f>_xlfn.XLOOKUP(Table8[[#This Row],[Supporter_ID]],tb1_supporters[Supporter_ID ],tb1_supporters[Communication_Preference],"")</f>
        <v>No Preference</v>
      </c>
      <c r="R747" t="str">
        <f>_xlfn.XLOOKUP(Table8[[#This Row],[Supporter_ID]],tb1_supporters[Supporter_ID ],tb1_supporters[Duplicate_Profile_Flag],"")</f>
        <v/>
      </c>
      <c r="S747" t="str">
        <f>_xlfn.XLOOKUP(Table8[[#This Row],[Supporter_ID]],tb1_supporters[Supporter_ID ],tb1_supporters[Preference_Compliance_Flag],"")</f>
        <v/>
      </c>
      <c r="T747" t="str">
        <f ca="1">IF(Table8[[#This Row],[Age]]="","Review - missing DOB",IF(Table8[[#This Row],[Age]]&gt;TODAY(),"Review - future DOB",IF(Table8[[#This Row],[Age]]=0,"Review -  potential entry error (age 0)","")))</f>
        <v/>
      </c>
      <c r="U747" t="str">
        <f>_xlfn.XLOOKUP(Table8[[#This Row],[Campaign_Code]],tb3_CampaignMaster[Campaign_Code],tb3_CampaignMaster[Campaign_Type],"")</f>
        <v>Event</v>
      </c>
      <c r="V747" t="str">
        <f>_xlfn.XLOOKUP(Table8[[#This Row],[Campaign_Code]],tb3_CampaignMaster[Campaign_Code],tb3_CampaignMaster[Target_Audience],"")</f>
        <v>Major Donors</v>
      </c>
      <c r="W747" s="17">
        <f>_xlfn.XLOOKUP(Table8[[#This Row],[Campaign_Code]],tb3_CampaignMaster[Campaign_Code],tb3_CampaignMaster[Start_Date],"")</f>
        <v>45488</v>
      </c>
      <c r="X747" s="17">
        <f>_xlfn.XLOOKUP(Table8[[#This Row],[Campaign_Code]],tb3_CampaignMaster[Campaign_Code],tb3_CampaignMaster[End_Date],"")</f>
        <v>45488</v>
      </c>
      <c r="Y747">
        <f>_xlfn.XLOOKUP(Table8[[#This Row],[Campaign_Code]],tb3_CampaignMaster[Campaign_Code],tb3_CampaignMaster[Budget_GBP],"")</f>
        <v>45000</v>
      </c>
      <c r="Z747" t="str">
        <f>_xlfn.XLOOKUP(Table8[[#This Row],[Campaign_Code]],tb3_CampaignMaster[Campaign_Code],tb3_CampaignMaster[Primary_Channel],"")</f>
        <v>Direct Mail</v>
      </c>
      <c r="AA747" s="13">
        <f>IF(Table8[[#This Row],[Gift_Aid_Eligible]]="Yes",Table8[[#This Row],[Gift_Amount]]*1.25,Table8[[#This Row],[Gift_Amount]])</f>
        <v>346.97</v>
      </c>
      <c r="AB747" t="str">
        <f>IF(Table8[[#This Row],[Supporter_ID]]="","Review - missing supporter ID","")</f>
        <v/>
      </c>
      <c r="AC747" t="str">
        <f>IF(OR(Table8[[#This Row],[Response_Date]]&lt;Table8[[#This Row],[Start_Date]],Table8[[#This Row],[Response_Date]]&gt;Table8[[#This Row],[End_Date]]),"Review - response outside campaign dates","")</f>
        <v/>
      </c>
      <c r="AD747" t="str">
        <f>IF(Table8[[#This Row],[Campaign_Type]]="","Review - campaign code not found","")</f>
        <v/>
      </c>
    </row>
    <row r="748" spans="1:30" x14ac:dyDescent="0.25">
      <c r="A748" t="s">
        <v>4587</v>
      </c>
      <c r="B748" t="s">
        <v>1423</v>
      </c>
      <c r="C748" t="s">
        <v>3320</v>
      </c>
      <c r="D748" t="s">
        <v>3321</v>
      </c>
      <c r="E748" t="s">
        <v>4</v>
      </c>
      <c r="F748" s="17">
        <v>45472</v>
      </c>
      <c r="G748">
        <v>38.92</v>
      </c>
      <c r="H748" t="s">
        <v>36</v>
      </c>
      <c r="I748" t="s">
        <v>3365</v>
      </c>
      <c r="J748" t="str">
        <f>_xlfn.XLOOKUP(Table8[[#This Row],[Supporter_ID]],tb1_supporters[Supporter_ID ],tb1_supporters[Segment],"")</f>
        <v>Regular Giver</v>
      </c>
      <c r="K748" t="str">
        <f>_xlfn.XLOOKUP(Table8[[#This Row],[Supporter_ID]],tb1_supporters[Supporter_ID ],tb1_supporters[Acquisition_Source],"")</f>
        <v>Direct Mail</v>
      </c>
      <c r="L748" t="str">
        <f>_xlfn.XLOOKUP(Table8[[#This Row],[Supporter_ID]],tb1_supporters[Supporter_ID ],tb1_supporters[County],"")</f>
        <v>West Yorkshire</v>
      </c>
      <c r="M748" t="str">
        <f>_xlfn.XLOOKUP(Table8[[#This Row],[Supporter_ID]],tb1_supporters[Supporter_ID ],tb1_supporters[Gender],"")</f>
        <v>Male</v>
      </c>
      <c r="N748" t="str">
        <f ca="1">_xlfn.XLOOKUP(Table8[[#This Row],[Supporter_ID]],tb1_supporters[Supporter_ID ],tb1_supporters[Age],"")</f>
        <v/>
      </c>
      <c r="O748" t="str">
        <f ca="1">_xlfn.XLOOKUP(Table8[[#This Row],[Supporter_ID]],tb1_supporters[Supporter_ID ],tb1_supporters[Age_Band],"")</f>
        <v/>
      </c>
      <c r="P748" t="str">
        <f ca="1">IF(Table8[[#This Row],[Age_Band]]="","Unknown",Table8[[#This Row],[Age_Band]])</f>
        <v>Unknown</v>
      </c>
      <c r="Q748" t="str">
        <f>_xlfn.XLOOKUP(Table8[[#This Row],[Supporter_ID]],tb1_supporters[Supporter_ID ],tb1_supporters[Communication_Preference],"")</f>
        <v>No Preference</v>
      </c>
      <c r="R748" t="str">
        <f>_xlfn.XLOOKUP(Table8[[#This Row],[Supporter_ID]],tb1_supporters[Supporter_ID ],tb1_supporters[Duplicate_Profile_Flag],"")</f>
        <v/>
      </c>
      <c r="S748" t="str">
        <f>_xlfn.XLOOKUP(Table8[[#This Row],[Supporter_ID]],tb1_supporters[Supporter_ID ],tb1_supporters[Preference_Compliance_Flag],"")</f>
        <v/>
      </c>
      <c r="T748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748" t="str">
        <f>_xlfn.XLOOKUP(Table8[[#This Row],[Campaign_Code]],tb3_CampaignMaster[Campaign_Code],tb3_CampaignMaster[Campaign_Type],"")</f>
        <v>Stewardship</v>
      </c>
      <c r="V748" t="str">
        <f>_xlfn.XLOOKUP(Table8[[#This Row],[Campaign_Code]],tb3_CampaignMaster[Campaign_Code],tb3_CampaignMaster[Target_Audience],"")</f>
        <v>Major Donors</v>
      </c>
      <c r="W748" s="17">
        <f>_xlfn.XLOOKUP(Table8[[#This Row],[Campaign_Code]],tb3_CampaignMaster[Campaign_Code],tb3_CampaignMaster[Start_Date],"")</f>
        <v>45444</v>
      </c>
      <c r="X748" s="17">
        <f>_xlfn.XLOOKUP(Table8[[#This Row],[Campaign_Code]],tb3_CampaignMaster[Campaign_Code],tb3_CampaignMaster[End_Date],"")</f>
        <v>45473</v>
      </c>
      <c r="Y748">
        <f>_xlfn.XLOOKUP(Table8[[#This Row],[Campaign_Code]],tb3_CampaignMaster[Campaign_Code],tb3_CampaignMaster[Budget_GBP],"")</f>
        <v>7000</v>
      </c>
      <c r="Z748" t="str">
        <f>_xlfn.XLOOKUP(Table8[[#This Row],[Campaign_Code]],tb3_CampaignMaster[Campaign_Code],tb3_CampaignMaster[Primary_Channel],"")</f>
        <v>Direct Mail</v>
      </c>
      <c r="AA748" s="13">
        <f>IF(Table8[[#This Row],[Gift_Aid_Eligible]]="Yes",Table8[[#This Row],[Gift_Amount]]*1.25,Table8[[#This Row],[Gift_Amount]])</f>
        <v>48.650000000000006</v>
      </c>
      <c r="AB748" t="str">
        <f>IF(Table8[[#This Row],[Supporter_ID]]="","Review - missing supporter ID","")</f>
        <v/>
      </c>
      <c r="AC748" t="str">
        <f>IF(OR(Table8[[#This Row],[Response_Date]]&lt;Table8[[#This Row],[Start_Date]],Table8[[#This Row],[Response_Date]]&gt;Table8[[#This Row],[End_Date]]),"Review - response outside campaign dates","")</f>
        <v/>
      </c>
      <c r="AD748" t="str">
        <f>IF(Table8[[#This Row],[Campaign_Type]]="","Review - campaign code not found","")</f>
        <v/>
      </c>
    </row>
    <row r="749" spans="1:30" x14ac:dyDescent="0.25">
      <c r="A749" t="s">
        <v>4589</v>
      </c>
      <c r="B749" t="s">
        <v>1909</v>
      </c>
      <c r="C749" t="s">
        <v>3367</v>
      </c>
      <c r="D749" t="s">
        <v>3368</v>
      </c>
      <c r="E749" t="s">
        <v>65</v>
      </c>
      <c r="F749" s="17">
        <v>45727</v>
      </c>
      <c r="G749">
        <v>22.53</v>
      </c>
      <c r="H749" t="s">
        <v>36</v>
      </c>
      <c r="I749" t="s">
        <v>3328</v>
      </c>
      <c r="J749" t="str">
        <f>_xlfn.XLOOKUP(Table8[[#This Row],[Supporter_ID]],tb1_supporters[Supporter_ID ],tb1_supporters[Segment],"")</f>
        <v>Regular Giver</v>
      </c>
      <c r="K749" t="str">
        <f>_xlfn.XLOOKUP(Table8[[#This Row],[Supporter_ID]],tb1_supporters[Supporter_ID ],tb1_supporters[Acquisition_Source],"")</f>
        <v>Telephone</v>
      </c>
      <c r="L749" t="str">
        <f>_xlfn.XLOOKUP(Table8[[#This Row],[Supporter_ID]],tb1_supporters[Supporter_ID ],tb1_supporters[County],"")</f>
        <v>Devon</v>
      </c>
      <c r="M749" t="str">
        <f>_xlfn.XLOOKUP(Table8[[#This Row],[Supporter_ID]],tb1_supporters[Supporter_ID ],tb1_supporters[Gender],"")</f>
        <v>Male</v>
      </c>
      <c r="N749">
        <f ca="1">_xlfn.XLOOKUP(Table8[[#This Row],[Supporter_ID]],tb1_supporters[Supporter_ID ],tb1_supporters[Age],"")</f>
        <v>53</v>
      </c>
      <c r="O749" t="str">
        <f ca="1">_xlfn.XLOOKUP(Table8[[#This Row],[Supporter_ID]],tb1_supporters[Supporter_ID ],tb1_supporters[Age_Band],"")</f>
        <v>50-64</v>
      </c>
      <c r="P749" t="str">
        <f ca="1">IF(Table8[[#This Row],[Age_Band]]="","Unknown",Table8[[#This Row],[Age_Band]])</f>
        <v>50-64</v>
      </c>
      <c r="Q749" t="str">
        <f>_xlfn.XLOOKUP(Table8[[#This Row],[Supporter_ID]],tb1_supporters[Supporter_ID ],tb1_supporters[Communication_Preference],"")</f>
        <v>Do Not Contact</v>
      </c>
      <c r="R749" t="str">
        <f>_xlfn.XLOOKUP(Table8[[#This Row],[Supporter_ID]],tb1_supporters[Supporter_ID ],tb1_supporters[Duplicate_Profile_Flag],"")</f>
        <v/>
      </c>
      <c r="S749" t="str">
        <f>_xlfn.XLOOKUP(Table8[[#This Row],[Supporter_ID]],tb1_supporters[Supporter_ID ],tb1_supporters[Preference_Compliance_Flag],"")</f>
        <v/>
      </c>
      <c r="T749" t="str">
        <f ca="1">IF(Table8[[#This Row],[Age]]="","Review - missing DOB",IF(Table8[[#This Row],[Age]]&gt;TODAY(),"Review - future DOB",IF(Table8[[#This Row],[Age]]=0,"Review -  potential entry error (age 0)","")))</f>
        <v/>
      </c>
      <c r="U749" t="str">
        <f>_xlfn.XLOOKUP(Table8[[#This Row],[Campaign_Code]],tb3_CampaignMaster[Campaign_Code],tb3_CampaignMaster[Campaign_Type],"")</f>
        <v>Raffle</v>
      </c>
      <c r="V749" t="str">
        <f>_xlfn.XLOOKUP(Table8[[#This Row],[Campaign_Code]],tb3_CampaignMaster[Campaign_Code],tb3_CampaignMaster[Target_Audience],"")</f>
        <v>Regular Givers</v>
      </c>
      <c r="W749" s="17">
        <f>_xlfn.XLOOKUP(Table8[[#This Row],[Campaign_Code]],tb3_CampaignMaster[Campaign_Code],tb3_CampaignMaster[Start_Date],"")</f>
        <v>45717</v>
      </c>
      <c r="X749" s="17">
        <f>_xlfn.XLOOKUP(Table8[[#This Row],[Campaign_Code]],tb3_CampaignMaster[Campaign_Code],tb3_CampaignMaster[End_Date],"")</f>
        <v>45777</v>
      </c>
      <c r="Y749">
        <f>_xlfn.XLOOKUP(Table8[[#This Row],[Campaign_Code]],tb3_CampaignMaster[Campaign_Code],tb3_CampaignMaster[Budget_GBP],"")</f>
        <v>8000</v>
      </c>
      <c r="Z749" t="str">
        <f>_xlfn.XLOOKUP(Table8[[#This Row],[Campaign_Code]],tb3_CampaignMaster[Campaign_Code],tb3_CampaignMaster[Primary_Channel],"")</f>
        <v>Direct Mail</v>
      </c>
      <c r="AA749" s="13">
        <f>IF(Table8[[#This Row],[Gift_Aid_Eligible]]="Yes",Table8[[#This Row],[Gift_Amount]]*1.25,Table8[[#This Row],[Gift_Amount]])</f>
        <v>28.162500000000001</v>
      </c>
      <c r="AB749" t="str">
        <f>IF(Table8[[#This Row],[Supporter_ID]]="","Review - missing supporter ID","")</f>
        <v/>
      </c>
      <c r="AC749" t="str">
        <f>IF(OR(Table8[[#This Row],[Response_Date]]&lt;Table8[[#This Row],[Start_Date]],Table8[[#This Row],[Response_Date]]&gt;Table8[[#This Row],[End_Date]]),"Review - response outside campaign dates","")</f>
        <v/>
      </c>
      <c r="AD749" t="str">
        <f>IF(Table8[[#This Row],[Campaign_Type]]="","Review - campaign code not found","")</f>
        <v/>
      </c>
    </row>
    <row r="750" spans="1:30" x14ac:dyDescent="0.25">
      <c r="A750" t="s">
        <v>4591</v>
      </c>
      <c r="B750" t="s">
        <v>68</v>
      </c>
      <c r="C750" t="s">
        <v>3362</v>
      </c>
      <c r="D750" t="s">
        <v>3363</v>
      </c>
      <c r="E750" t="s">
        <v>65</v>
      </c>
      <c r="F750" s="17">
        <v>45573</v>
      </c>
      <c r="G750">
        <v>29.7</v>
      </c>
      <c r="H750" t="s">
        <v>36</v>
      </c>
      <c r="I750" t="s">
        <v>3365</v>
      </c>
      <c r="J750" t="str">
        <f>_xlfn.XLOOKUP(Table8[[#This Row],[Supporter_ID]],tb1_supporters[Supporter_ID ],tb1_supporters[Segment],"")</f>
        <v>One-Time Donor</v>
      </c>
      <c r="K750" t="str">
        <f>_xlfn.XLOOKUP(Table8[[#This Row],[Supporter_ID]],tb1_supporters[Supporter_ID ],tb1_supporters[Acquisition_Source],"")</f>
        <v>Telephone</v>
      </c>
      <c r="L750" t="str">
        <f>_xlfn.XLOOKUP(Table8[[#This Row],[Supporter_ID]],tb1_supporters[Supporter_ID ],tb1_supporters[County],"")</f>
        <v>Merseyside</v>
      </c>
      <c r="M750" t="str">
        <f>_xlfn.XLOOKUP(Table8[[#This Row],[Supporter_ID]],tb1_supporters[Supporter_ID ],tb1_supporters[Gender],"")</f>
        <v>Male</v>
      </c>
      <c r="N750">
        <f ca="1">_xlfn.XLOOKUP(Table8[[#This Row],[Supporter_ID]],tb1_supporters[Supporter_ID ],tb1_supporters[Age],"")</f>
        <v>86</v>
      </c>
      <c r="O750" t="str">
        <f ca="1">_xlfn.XLOOKUP(Table8[[#This Row],[Supporter_ID]],tb1_supporters[Supporter_ID ],tb1_supporters[Age_Band],"")</f>
        <v>65+</v>
      </c>
      <c r="P750" t="str">
        <f ca="1">IF(Table8[[#This Row],[Age_Band]]="","Unknown",Table8[[#This Row],[Age_Band]])</f>
        <v>65+</v>
      </c>
      <c r="Q750" t="str">
        <f>_xlfn.XLOOKUP(Table8[[#This Row],[Supporter_ID]],tb1_supporters[Supporter_ID ],tb1_supporters[Communication_Preference],"")</f>
        <v>No Preference</v>
      </c>
      <c r="R750" t="str">
        <f>_xlfn.XLOOKUP(Table8[[#This Row],[Supporter_ID]],tb1_supporters[Supporter_ID ],tb1_supporters[Duplicate_Profile_Flag],"")</f>
        <v/>
      </c>
      <c r="S750" t="str">
        <f>_xlfn.XLOOKUP(Table8[[#This Row],[Supporter_ID]],tb1_supporters[Supporter_ID ],tb1_supporters[Preference_Compliance_Flag],"")</f>
        <v/>
      </c>
      <c r="T750" t="str">
        <f ca="1">IF(Table8[[#This Row],[Age]]="","Review - missing DOB",IF(Table8[[#This Row],[Age]]&gt;TODAY(),"Review - future DOB",IF(Table8[[#This Row],[Age]]=0,"Review -  potential entry error (age 0)","")))</f>
        <v/>
      </c>
      <c r="U750" t="str">
        <f>_xlfn.XLOOKUP(Table8[[#This Row],[Campaign_Code]],tb3_CampaignMaster[Campaign_Code],tb3_CampaignMaster[Campaign_Type],"")</f>
        <v>Legacy</v>
      </c>
      <c r="V750" t="str">
        <f>_xlfn.XLOOKUP(Table8[[#This Row],[Campaign_Code]],tb3_CampaignMaster[Campaign_Code],tb3_CampaignMaster[Target_Audience],"")</f>
        <v>Over 55s</v>
      </c>
      <c r="W750" s="17">
        <f>_xlfn.XLOOKUP(Table8[[#This Row],[Campaign_Code]],tb3_CampaignMaster[Campaign_Code],tb3_CampaignMaster[Start_Date],"")</f>
        <v>45572</v>
      </c>
      <c r="X750" s="17">
        <f>_xlfn.XLOOKUP(Table8[[#This Row],[Campaign_Code]],tb3_CampaignMaster[Campaign_Code],tb3_CampaignMaster[End_Date],"")</f>
        <v>45578</v>
      </c>
      <c r="Y750">
        <f>_xlfn.XLOOKUP(Table8[[#This Row],[Campaign_Code]],tb3_CampaignMaster[Campaign_Code],tb3_CampaignMaster[Budget_GBP],"")</f>
        <v>5000</v>
      </c>
      <c r="Z750" t="str">
        <f>_xlfn.XLOOKUP(Table8[[#This Row],[Campaign_Code]],tb3_CampaignMaster[Campaign_Code],tb3_CampaignMaster[Primary_Channel],"")</f>
        <v>Direct Mail</v>
      </c>
      <c r="AA750" s="13">
        <f>IF(Table8[[#This Row],[Gift_Aid_Eligible]]="Yes",Table8[[#This Row],[Gift_Amount]]*1.25,Table8[[#This Row],[Gift_Amount]])</f>
        <v>37.125</v>
      </c>
      <c r="AB750" t="str">
        <f>IF(Table8[[#This Row],[Supporter_ID]]="","Review - missing supporter ID","")</f>
        <v/>
      </c>
      <c r="AC750" t="str">
        <f>IF(OR(Table8[[#This Row],[Response_Date]]&lt;Table8[[#This Row],[Start_Date]],Table8[[#This Row],[Response_Date]]&gt;Table8[[#This Row],[End_Date]]),"Review - response outside campaign dates","")</f>
        <v/>
      </c>
      <c r="AD750" t="str">
        <f>IF(Table8[[#This Row],[Campaign_Type]]="","Review - campaign code not found","")</f>
        <v/>
      </c>
    </row>
    <row r="751" spans="1:30" x14ac:dyDescent="0.25">
      <c r="A751" t="s">
        <v>4592</v>
      </c>
      <c r="B751" t="s">
        <v>447</v>
      </c>
      <c r="C751" t="s">
        <v>3354</v>
      </c>
      <c r="D751" t="s">
        <v>3355</v>
      </c>
      <c r="E751" t="s">
        <v>4</v>
      </c>
      <c r="F751" s="17">
        <v>45618</v>
      </c>
      <c r="G751">
        <v>308.77999999999997</v>
      </c>
      <c r="H751" t="s">
        <v>36</v>
      </c>
      <c r="I751" t="s">
        <v>3385</v>
      </c>
      <c r="J751" t="str">
        <f>_xlfn.XLOOKUP(Table8[[#This Row],[Supporter_ID]],tb1_supporters[Supporter_ID ],tb1_supporters[Segment],"")</f>
        <v>Legacy Pledger</v>
      </c>
      <c r="K751" t="str">
        <f>_xlfn.XLOOKUP(Table8[[#This Row],[Supporter_ID]],tb1_supporters[Supporter_ID ],tb1_supporters[Acquisition_Source],"")</f>
        <v>Corporate Partner</v>
      </c>
      <c r="L751" t="str">
        <f>_xlfn.XLOOKUP(Table8[[#This Row],[Supporter_ID]],tb1_supporters[Supporter_ID ],tb1_supporters[County],"")</f>
        <v>Dorset</v>
      </c>
      <c r="M751" t="str">
        <f>_xlfn.XLOOKUP(Table8[[#This Row],[Supporter_ID]],tb1_supporters[Supporter_ID ],tb1_supporters[Gender],"")</f>
        <v>Male</v>
      </c>
      <c r="N751">
        <f ca="1">_xlfn.XLOOKUP(Table8[[#This Row],[Supporter_ID]],tb1_supporters[Supporter_ID ],tb1_supporters[Age],"")</f>
        <v>94</v>
      </c>
      <c r="O751" t="str">
        <f ca="1">_xlfn.XLOOKUP(Table8[[#This Row],[Supporter_ID]],tb1_supporters[Supporter_ID ],tb1_supporters[Age_Band],"")</f>
        <v>65+</v>
      </c>
      <c r="P751" t="str">
        <f ca="1">IF(Table8[[#This Row],[Age_Band]]="","Unknown",Table8[[#This Row],[Age_Band]])</f>
        <v>65+</v>
      </c>
      <c r="Q751" t="str">
        <f>_xlfn.XLOOKUP(Table8[[#This Row],[Supporter_ID]],tb1_supporters[Supporter_ID ],tb1_supporters[Communication_Preference],"")</f>
        <v>Phone</v>
      </c>
      <c r="R751" t="str">
        <f>_xlfn.XLOOKUP(Table8[[#This Row],[Supporter_ID]],tb1_supporters[Supporter_ID ],tb1_supporters[Duplicate_Profile_Flag],"")</f>
        <v/>
      </c>
      <c r="S751" t="str">
        <f>_xlfn.XLOOKUP(Table8[[#This Row],[Supporter_ID]],tb1_supporters[Supporter_ID ],tb1_supporters[Preference_Compliance_Flag],"")</f>
        <v>Review - prefers phone but not opted in</v>
      </c>
      <c r="T751" t="str">
        <f ca="1">IF(Table8[[#This Row],[Age]]="","Review - missing DOB",IF(Table8[[#This Row],[Age]]&gt;TODAY(),"Review - future DOB",IF(Table8[[#This Row],[Age]]=0,"Review -  potential entry error (age 0)","")))</f>
        <v/>
      </c>
      <c r="U751" t="str">
        <f>_xlfn.XLOOKUP(Table8[[#This Row],[Campaign_Code]],tb3_CampaignMaster[Campaign_Code],tb3_CampaignMaster[Campaign_Type],"")</f>
        <v>Event</v>
      </c>
      <c r="V751" t="str">
        <f>_xlfn.XLOOKUP(Table8[[#This Row],[Campaign_Code]],tb3_CampaignMaster[Campaign_Code],tb3_CampaignMaster[Target_Audience],"")</f>
        <v>Volunteers</v>
      </c>
      <c r="W751" s="17">
        <f>_xlfn.XLOOKUP(Table8[[#This Row],[Campaign_Code]],tb3_CampaignMaster[Campaign_Code],tb3_CampaignMaster[Start_Date],"")</f>
        <v>45618</v>
      </c>
      <c r="X751" s="17">
        <f>_xlfn.XLOOKUP(Table8[[#This Row],[Campaign_Code]],tb3_CampaignMaster[Campaign_Code],tb3_CampaignMaster[End_Date],"")</f>
        <v>45618</v>
      </c>
      <c r="Y751">
        <f>_xlfn.XLOOKUP(Table8[[#This Row],[Campaign_Code]],tb3_CampaignMaster[Campaign_Code],tb3_CampaignMaster[Budget_GBP],"")</f>
        <v>3500</v>
      </c>
      <c r="Z751" t="str">
        <f>_xlfn.XLOOKUP(Table8[[#This Row],[Campaign_Code]],tb3_CampaignMaster[Campaign_Code],tb3_CampaignMaster[Primary_Channel],"")</f>
        <v>Email</v>
      </c>
      <c r="AA751" s="13">
        <f>IF(Table8[[#This Row],[Gift_Aid_Eligible]]="Yes",Table8[[#This Row],[Gift_Amount]]*1.25,Table8[[#This Row],[Gift_Amount]])</f>
        <v>385.97499999999997</v>
      </c>
      <c r="AB751" t="str">
        <f>IF(Table8[[#This Row],[Supporter_ID]]="","Review - missing supporter ID","")</f>
        <v/>
      </c>
      <c r="AC751" t="str">
        <f>IF(OR(Table8[[#This Row],[Response_Date]]&lt;Table8[[#This Row],[Start_Date]],Table8[[#This Row],[Response_Date]]&gt;Table8[[#This Row],[End_Date]]),"Review - response outside campaign dates","")</f>
        <v/>
      </c>
      <c r="AD751" t="str">
        <f>IF(Table8[[#This Row],[Campaign_Type]]="","Review - campaign code not found","")</f>
        <v/>
      </c>
    </row>
    <row r="752" spans="1:30" x14ac:dyDescent="0.25">
      <c r="A752" t="s">
        <v>4593</v>
      </c>
      <c r="B752" t="s">
        <v>2807</v>
      </c>
      <c r="C752" t="s">
        <v>3320</v>
      </c>
      <c r="D752" t="s">
        <v>3321</v>
      </c>
      <c r="E752" t="s">
        <v>65</v>
      </c>
      <c r="F752" s="17">
        <v>45469</v>
      </c>
      <c r="G752">
        <v>225.97</v>
      </c>
      <c r="H752" t="s">
        <v>37</v>
      </c>
      <c r="I752" t="s">
        <v>3334</v>
      </c>
      <c r="J752" t="str">
        <f>_xlfn.XLOOKUP(Table8[[#This Row],[Supporter_ID]],tb1_supporters[Supporter_ID ],tb1_supporters[Segment],"")</f>
        <v>Mid-Value</v>
      </c>
      <c r="K752" t="str">
        <f>_xlfn.XLOOKUP(Table8[[#This Row],[Supporter_ID]],tb1_supporters[Supporter_ID ],tb1_supporters[Acquisition_Source],"")</f>
        <v>Referral</v>
      </c>
      <c r="L752" t="str">
        <f>_xlfn.XLOOKUP(Table8[[#This Row],[Supporter_ID]],tb1_supporters[Supporter_ID ],tb1_supporters[County],"")</f>
        <v>Grampian</v>
      </c>
      <c r="M752" t="str">
        <f>_xlfn.XLOOKUP(Table8[[#This Row],[Supporter_ID]],tb1_supporters[Supporter_ID ],tb1_supporters[Gender],"")</f>
        <v>Male</v>
      </c>
      <c r="N752">
        <f ca="1">_xlfn.XLOOKUP(Table8[[#This Row],[Supporter_ID]],tb1_supporters[Supporter_ID ],tb1_supporters[Age],"")</f>
        <v>92</v>
      </c>
      <c r="O752" t="str">
        <f ca="1">_xlfn.XLOOKUP(Table8[[#This Row],[Supporter_ID]],tb1_supporters[Supporter_ID ],tb1_supporters[Age_Band],"")</f>
        <v>65+</v>
      </c>
      <c r="P752" t="str">
        <f ca="1">IF(Table8[[#This Row],[Age_Band]]="","Unknown",Table8[[#This Row],[Age_Band]])</f>
        <v>65+</v>
      </c>
      <c r="Q752" t="str">
        <f>_xlfn.XLOOKUP(Table8[[#This Row],[Supporter_ID]],tb1_supporters[Supporter_ID ],tb1_supporters[Communication_Preference],"")</f>
        <v>Email</v>
      </c>
      <c r="R752" t="str">
        <f>_xlfn.XLOOKUP(Table8[[#This Row],[Supporter_ID]],tb1_supporters[Supporter_ID ],tb1_supporters[Duplicate_Profile_Flag],"")</f>
        <v/>
      </c>
      <c r="S752" t="str">
        <f>_xlfn.XLOOKUP(Table8[[#This Row],[Supporter_ID]],tb1_supporters[Supporter_ID ],tb1_supporters[Preference_Compliance_Flag],"")</f>
        <v/>
      </c>
      <c r="T752" t="str">
        <f ca="1">IF(Table8[[#This Row],[Age]]="","Review - missing DOB",IF(Table8[[#This Row],[Age]]&gt;TODAY(),"Review - future DOB",IF(Table8[[#This Row],[Age]]=0,"Review -  potential entry error (age 0)","")))</f>
        <v/>
      </c>
      <c r="U752" t="str">
        <f>_xlfn.XLOOKUP(Table8[[#This Row],[Campaign_Code]],tb3_CampaignMaster[Campaign_Code],tb3_CampaignMaster[Campaign_Type],"")</f>
        <v>Stewardship</v>
      </c>
      <c r="V752" t="str">
        <f>_xlfn.XLOOKUP(Table8[[#This Row],[Campaign_Code]],tb3_CampaignMaster[Campaign_Code],tb3_CampaignMaster[Target_Audience],"")</f>
        <v>Major Donors</v>
      </c>
      <c r="W752" s="17">
        <f>_xlfn.XLOOKUP(Table8[[#This Row],[Campaign_Code]],tb3_CampaignMaster[Campaign_Code],tb3_CampaignMaster[Start_Date],"")</f>
        <v>45444</v>
      </c>
      <c r="X752" s="17">
        <f>_xlfn.XLOOKUP(Table8[[#This Row],[Campaign_Code]],tb3_CampaignMaster[Campaign_Code],tb3_CampaignMaster[End_Date],"")</f>
        <v>45473</v>
      </c>
      <c r="Y752">
        <f>_xlfn.XLOOKUP(Table8[[#This Row],[Campaign_Code]],tb3_CampaignMaster[Campaign_Code],tb3_CampaignMaster[Budget_GBP],"")</f>
        <v>7000</v>
      </c>
      <c r="Z752" t="str">
        <f>_xlfn.XLOOKUP(Table8[[#This Row],[Campaign_Code]],tb3_CampaignMaster[Campaign_Code],tb3_CampaignMaster[Primary_Channel],"")</f>
        <v>Direct Mail</v>
      </c>
      <c r="AA752" s="13">
        <f>IF(Table8[[#This Row],[Gift_Aid_Eligible]]="Yes",Table8[[#This Row],[Gift_Amount]]*1.25,Table8[[#This Row],[Gift_Amount]])</f>
        <v>225.97</v>
      </c>
      <c r="AB752" t="str">
        <f>IF(Table8[[#This Row],[Supporter_ID]]="","Review - missing supporter ID","")</f>
        <v/>
      </c>
      <c r="AC752" t="str">
        <f>IF(OR(Table8[[#This Row],[Response_Date]]&lt;Table8[[#This Row],[Start_Date]],Table8[[#This Row],[Response_Date]]&gt;Table8[[#This Row],[End_Date]]),"Review - response outside campaign dates","")</f>
        <v/>
      </c>
      <c r="AD752" t="str">
        <f>IF(Table8[[#This Row],[Campaign_Type]]="","Review - campaign code not found","")</f>
        <v/>
      </c>
    </row>
    <row r="753" spans="1:30" x14ac:dyDescent="0.25">
      <c r="A753" t="s">
        <v>4595</v>
      </c>
      <c r="B753" t="s">
        <v>2053</v>
      </c>
      <c r="C753" t="s">
        <v>3354</v>
      </c>
      <c r="D753" t="s">
        <v>3355</v>
      </c>
      <c r="E753" t="s">
        <v>65</v>
      </c>
      <c r="F753" s="17">
        <v>45618</v>
      </c>
      <c r="G753">
        <v>71.63</v>
      </c>
      <c r="H753" t="s">
        <v>37</v>
      </c>
      <c r="I753" t="s">
        <v>3365</v>
      </c>
      <c r="J753" t="str">
        <f>_xlfn.XLOOKUP(Table8[[#This Row],[Supporter_ID]],tb1_supporters[Supporter_ID ],tb1_supporters[Segment],"")</f>
        <v>Lapsed</v>
      </c>
      <c r="K753" t="str">
        <f>_xlfn.XLOOKUP(Table8[[#This Row],[Supporter_ID]],tb1_supporters[Supporter_ID ],tb1_supporters[Acquisition_Source],"")</f>
        <v>Corporate Partner</v>
      </c>
      <c r="L753" t="str">
        <f>_xlfn.XLOOKUP(Table8[[#This Row],[Supporter_ID]],tb1_supporters[Supporter_ID ],tb1_supporters[County],"")</f>
        <v>Lothian</v>
      </c>
      <c r="M753" t="str">
        <f>_xlfn.XLOOKUP(Table8[[#This Row],[Supporter_ID]],tb1_supporters[Supporter_ID ],tb1_supporters[Gender],"")</f>
        <v>Male</v>
      </c>
      <c r="N753">
        <f ca="1">_xlfn.XLOOKUP(Table8[[#This Row],[Supporter_ID]],tb1_supporters[Supporter_ID ],tb1_supporters[Age],"")</f>
        <v>77</v>
      </c>
      <c r="O753" t="str">
        <f ca="1">_xlfn.XLOOKUP(Table8[[#This Row],[Supporter_ID]],tb1_supporters[Supporter_ID ],tb1_supporters[Age_Band],"")</f>
        <v>65+</v>
      </c>
      <c r="P753" t="str">
        <f ca="1">IF(Table8[[#This Row],[Age_Band]]="","Unknown",Table8[[#This Row],[Age_Band]])</f>
        <v>65+</v>
      </c>
      <c r="Q753" t="str">
        <f>_xlfn.XLOOKUP(Table8[[#This Row],[Supporter_ID]],tb1_supporters[Supporter_ID ],tb1_supporters[Communication_Preference],"")</f>
        <v>Email</v>
      </c>
      <c r="R753" t="str">
        <f>_xlfn.XLOOKUP(Table8[[#This Row],[Supporter_ID]],tb1_supporters[Supporter_ID ],tb1_supporters[Duplicate_Profile_Flag],"")</f>
        <v/>
      </c>
      <c r="S753" t="str">
        <f>_xlfn.XLOOKUP(Table8[[#This Row],[Supporter_ID]],tb1_supporters[Supporter_ID ],tb1_supporters[Preference_Compliance_Flag],"")</f>
        <v/>
      </c>
      <c r="T753" t="str">
        <f ca="1">IF(Table8[[#This Row],[Age]]="","Review - missing DOB",IF(Table8[[#This Row],[Age]]&gt;TODAY(),"Review - future DOB",IF(Table8[[#This Row],[Age]]=0,"Review -  potential entry error (age 0)","")))</f>
        <v/>
      </c>
      <c r="U753" t="str">
        <f>_xlfn.XLOOKUP(Table8[[#This Row],[Campaign_Code]],tb3_CampaignMaster[Campaign_Code],tb3_CampaignMaster[Campaign_Type],"")</f>
        <v>Event</v>
      </c>
      <c r="V753" t="str">
        <f>_xlfn.XLOOKUP(Table8[[#This Row],[Campaign_Code]],tb3_CampaignMaster[Campaign_Code],tb3_CampaignMaster[Target_Audience],"")</f>
        <v>Volunteers</v>
      </c>
      <c r="W753" s="17">
        <f>_xlfn.XLOOKUP(Table8[[#This Row],[Campaign_Code]],tb3_CampaignMaster[Campaign_Code],tb3_CampaignMaster[Start_Date],"")</f>
        <v>45618</v>
      </c>
      <c r="X753" s="17">
        <f>_xlfn.XLOOKUP(Table8[[#This Row],[Campaign_Code]],tb3_CampaignMaster[Campaign_Code],tb3_CampaignMaster[End_Date],"")</f>
        <v>45618</v>
      </c>
      <c r="Y753">
        <f>_xlfn.XLOOKUP(Table8[[#This Row],[Campaign_Code]],tb3_CampaignMaster[Campaign_Code],tb3_CampaignMaster[Budget_GBP],"")</f>
        <v>3500</v>
      </c>
      <c r="Z753" t="str">
        <f>_xlfn.XLOOKUP(Table8[[#This Row],[Campaign_Code]],tb3_CampaignMaster[Campaign_Code],tb3_CampaignMaster[Primary_Channel],"")</f>
        <v>Email</v>
      </c>
      <c r="AA753" s="13">
        <f>IF(Table8[[#This Row],[Gift_Aid_Eligible]]="Yes",Table8[[#This Row],[Gift_Amount]]*1.25,Table8[[#This Row],[Gift_Amount]])</f>
        <v>71.63</v>
      </c>
      <c r="AB753" t="str">
        <f>IF(Table8[[#This Row],[Supporter_ID]]="","Review - missing supporter ID","")</f>
        <v/>
      </c>
      <c r="AC753" t="str">
        <f>IF(OR(Table8[[#This Row],[Response_Date]]&lt;Table8[[#This Row],[Start_Date]],Table8[[#This Row],[Response_Date]]&gt;Table8[[#This Row],[End_Date]]),"Review - response outside campaign dates","")</f>
        <v/>
      </c>
      <c r="AD753" t="str">
        <f>IF(Table8[[#This Row],[Campaign_Type]]="","Review - campaign code not found","")</f>
        <v/>
      </c>
    </row>
    <row r="754" spans="1:30" x14ac:dyDescent="0.25">
      <c r="A754" t="s">
        <v>4596</v>
      </c>
      <c r="B754" t="s">
        <v>1090</v>
      </c>
      <c r="C754" t="s">
        <v>3354</v>
      </c>
      <c r="D754" t="s">
        <v>3355</v>
      </c>
      <c r="E754" t="s">
        <v>65</v>
      </c>
      <c r="F754" s="17">
        <v>45618</v>
      </c>
      <c r="G754">
        <v>375.84</v>
      </c>
      <c r="H754" t="s">
        <v>36</v>
      </c>
      <c r="I754" t="s">
        <v>3370</v>
      </c>
      <c r="J754" t="str">
        <f>_xlfn.XLOOKUP(Table8[[#This Row],[Supporter_ID]],tb1_supporters[Supporter_ID ],tb1_supporters[Segment],"")</f>
        <v>Legacy Pledger</v>
      </c>
      <c r="K754" t="str">
        <f>_xlfn.XLOOKUP(Table8[[#This Row],[Supporter_ID]],tb1_supporters[Supporter_ID ],tb1_supporters[Acquisition_Source],"")</f>
        <v>Direct Mail</v>
      </c>
      <c r="L754" t="str">
        <f>_xlfn.XLOOKUP(Table8[[#This Row],[Supporter_ID]],tb1_supporters[Supporter_ID ],tb1_supporters[County],"")</f>
        <v>Grampian</v>
      </c>
      <c r="M754" t="str">
        <f>_xlfn.XLOOKUP(Table8[[#This Row],[Supporter_ID]],tb1_supporters[Supporter_ID ],tb1_supporters[Gender],"")</f>
        <v>Male</v>
      </c>
      <c r="N754">
        <f ca="1">_xlfn.XLOOKUP(Table8[[#This Row],[Supporter_ID]],tb1_supporters[Supporter_ID ],tb1_supporters[Age],"")</f>
        <v>43</v>
      </c>
      <c r="O754" t="str">
        <f ca="1">_xlfn.XLOOKUP(Table8[[#This Row],[Supporter_ID]],tb1_supporters[Supporter_ID ],tb1_supporters[Age_Band],"")</f>
        <v>35-49</v>
      </c>
      <c r="P754" t="str">
        <f ca="1">IF(Table8[[#This Row],[Age_Band]]="","Unknown",Table8[[#This Row],[Age_Band]])</f>
        <v>35-49</v>
      </c>
      <c r="Q754" t="str">
        <f>_xlfn.XLOOKUP(Table8[[#This Row],[Supporter_ID]],tb1_supporters[Supporter_ID ],tb1_supporters[Communication_Preference],"")</f>
        <v>No Preference</v>
      </c>
      <c r="R754" t="str">
        <f>_xlfn.XLOOKUP(Table8[[#This Row],[Supporter_ID]],tb1_supporters[Supporter_ID ],tb1_supporters[Duplicate_Profile_Flag],"")</f>
        <v/>
      </c>
      <c r="S754" t="str">
        <f>_xlfn.XLOOKUP(Table8[[#This Row],[Supporter_ID]],tb1_supporters[Supporter_ID ],tb1_supporters[Preference_Compliance_Flag],"")</f>
        <v/>
      </c>
      <c r="T754" t="str">
        <f ca="1">IF(Table8[[#This Row],[Age]]="","Review - missing DOB",IF(Table8[[#This Row],[Age]]&gt;TODAY(),"Review - future DOB",IF(Table8[[#This Row],[Age]]=0,"Review -  potential entry error (age 0)","")))</f>
        <v/>
      </c>
      <c r="U754" t="str">
        <f>_xlfn.XLOOKUP(Table8[[#This Row],[Campaign_Code]],tb3_CampaignMaster[Campaign_Code],tb3_CampaignMaster[Campaign_Type],"")</f>
        <v>Event</v>
      </c>
      <c r="V754" t="str">
        <f>_xlfn.XLOOKUP(Table8[[#This Row],[Campaign_Code]],tb3_CampaignMaster[Campaign_Code],tb3_CampaignMaster[Target_Audience],"")</f>
        <v>Volunteers</v>
      </c>
      <c r="W754" s="17">
        <f>_xlfn.XLOOKUP(Table8[[#This Row],[Campaign_Code]],tb3_CampaignMaster[Campaign_Code],tb3_CampaignMaster[Start_Date],"")</f>
        <v>45618</v>
      </c>
      <c r="X754" s="17">
        <f>_xlfn.XLOOKUP(Table8[[#This Row],[Campaign_Code]],tb3_CampaignMaster[Campaign_Code],tb3_CampaignMaster[End_Date],"")</f>
        <v>45618</v>
      </c>
      <c r="Y754">
        <f>_xlfn.XLOOKUP(Table8[[#This Row],[Campaign_Code]],tb3_CampaignMaster[Campaign_Code],tb3_CampaignMaster[Budget_GBP],"")</f>
        <v>3500</v>
      </c>
      <c r="Z754" t="str">
        <f>_xlfn.XLOOKUP(Table8[[#This Row],[Campaign_Code]],tb3_CampaignMaster[Campaign_Code],tb3_CampaignMaster[Primary_Channel],"")</f>
        <v>Email</v>
      </c>
      <c r="AA754" s="13">
        <f>IF(Table8[[#This Row],[Gift_Aid_Eligible]]="Yes",Table8[[#This Row],[Gift_Amount]]*1.25,Table8[[#This Row],[Gift_Amount]])</f>
        <v>469.79999999999995</v>
      </c>
      <c r="AB754" t="str">
        <f>IF(Table8[[#This Row],[Supporter_ID]]="","Review - missing supporter ID","")</f>
        <v/>
      </c>
      <c r="AC754" t="str">
        <f>IF(OR(Table8[[#This Row],[Response_Date]]&lt;Table8[[#This Row],[Start_Date]],Table8[[#This Row],[Response_Date]]&gt;Table8[[#This Row],[End_Date]]),"Review - response outside campaign dates","")</f>
        <v/>
      </c>
      <c r="AD754" t="str">
        <f>IF(Table8[[#This Row],[Campaign_Type]]="","Review - campaign code not found","")</f>
        <v/>
      </c>
    </row>
    <row r="755" spans="1:30" x14ac:dyDescent="0.25">
      <c r="A755" t="s">
        <v>4597</v>
      </c>
      <c r="B755" t="s">
        <v>3176</v>
      </c>
      <c r="C755" t="s">
        <v>3367</v>
      </c>
      <c r="D755" t="s">
        <v>3368</v>
      </c>
      <c r="E755" t="s">
        <v>4</v>
      </c>
      <c r="F755" s="17">
        <v>45763</v>
      </c>
      <c r="G755">
        <v>4738.34</v>
      </c>
      <c r="H755" t="s">
        <v>36</v>
      </c>
      <c r="I755" t="s">
        <v>3365</v>
      </c>
      <c r="J755" t="str">
        <f>_xlfn.XLOOKUP(Table8[[#This Row],[Supporter_ID]],tb1_supporters[Supporter_ID ],tb1_supporters[Segment],"")</f>
        <v>Major Donor</v>
      </c>
      <c r="K755" t="str">
        <f>_xlfn.XLOOKUP(Table8[[#This Row],[Supporter_ID]],tb1_supporters[Supporter_ID ],tb1_supporters[Acquisition_Source],"")</f>
        <v>Direct Mail</v>
      </c>
      <c r="L755" t="str">
        <f>_xlfn.XLOOKUP(Table8[[#This Row],[Supporter_ID]],tb1_supporters[Supporter_ID ],tb1_supporters[County],"")</f>
        <v>South Glamorgan</v>
      </c>
      <c r="M755" t="str">
        <f>_xlfn.XLOOKUP(Table8[[#This Row],[Supporter_ID]],tb1_supporters[Supporter_ID ],tb1_supporters[Gender],"")</f>
        <v>Male</v>
      </c>
      <c r="N755">
        <f ca="1">_xlfn.XLOOKUP(Table8[[#This Row],[Supporter_ID]],tb1_supporters[Supporter_ID ],tb1_supporters[Age],"")</f>
        <v>63</v>
      </c>
      <c r="O755" t="str">
        <f ca="1">_xlfn.XLOOKUP(Table8[[#This Row],[Supporter_ID]],tb1_supporters[Supporter_ID ],tb1_supporters[Age_Band],"")</f>
        <v>50-64</v>
      </c>
      <c r="P755" t="str">
        <f ca="1">IF(Table8[[#This Row],[Age_Band]]="","Unknown",Table8[[#This Row],[Age_Band]])</f>
        <v>50-64</v>
      </c>
      <c r="Q755" t="str">
        <f>_xlfn.XLOOKUP(Table8[[#This Row],[Supporter_ID]],tb1_supporters[Supporter_ID ],tb1_supporters[Communication_Preference],"")</f>
        <v>Email</v>
      </c>
      <c r="R755" t="str">
        <f>_xlfn.XLOOKUP(Table8[[#This Row],[Supporter_ID]],tb1_supporters[Supporter_ID ],tb1_supporters[Duplicate_Profile_Flag],"")</f>
        <v/>
      </c>
      <c r="S755" t="str">
        <f>_xlfn.XLOOKUP(Table8[[#This Row],[Supporter_ID]],tb1_supporters[Supporter_ID ],tb1_supporters[Preference_Compliance_Flag],"")</f>
        <v>Review - prefers email but not opted in</v>
      </c>
      <c r="T755" t="str">
        <f ca="1">IF(Table8[[#This Row],[Age]]="","Review - missing DOB",IF(Table8[[#This Row],[Age]]&gt;TODAY(),"Review - future DOB",IF(Table8[[#This Row],[Age]]=0,"Review -  potential entry error (age 0)","")))</f>
        <v/>
      </c>
      <c r="U755" t="str">
        <f>_xlfn.XLOOKUP(Table8[[#This Row],[Campaign_Code]],tb3_CampaignMaster[Campaign_Code],tb3_CampaignMaster[Campaign_Type],"")</f>
        <v>Raffle</v>
      </c>
      <c r="V755" t="str">
        <f>_xlfn.XLOOKUP(Table8[[#This Row],[Campaign_Code]],tb3_CampaignMaster[Campaign_Code],tb3_CampaignMaster[Target_Audience],"")</f>
        <v>Regular Givers</v>
      </c>
      <c r="W755" s="17">
        <f>_xlfn.XLOOKUP(Table8[[#This Row],[Campaign_Code]],tb3_CampaignMaster[Campaign_Code],tb3_CampaignMaster[Start_Date],"")</f>
        <v>45717</v>
      </c>
      <c r="X755" s="17">
        <f>_xlfn.XLOOKUP(Table8[[#This Row],[Campaign_Code]],tb3_CampaignMaster[Campaign_Code],tb3_CampaignMaster[End_Date],"")</f>
        <v>45777</v>
      </c>
      <c r="Y755">
        <f>_xlfn.XLOOKUP(Table8[[#This Row],[Campaign_Code]],tb3_CampaignMaster[Campaign_Code],tb3_CampaignMaster[Budget_GBP],"")</f>
        <v>8000</v>
      </c>
      <c r="Z755" t="str">
        <f>_xlfn.XLOOKUP(Table8[[#This Row],[Campaign_Code]],tb3_CampaignMaster[Campaign_Code],tb3_CampaignMaster[Primary_Channel],"")</f>
        <v>Direct Mail</v>
      </c>
      <c r="AA755" s="13">
        <f>IF(Table8[[#This Row],[Gift_Aid_Eligible]]="Yes",Table8[[#This Row],[Gift_Amount]]*1.25,Table8[[#This Row],[Gift_Amount]])</f>
        <v>5922.9250000000002</v>
      </c>
      <c r="AB755" t="str">
        <f>IF(Table8[[#This Row],[Supporter_ID]]="","Review - missing supporter ID","")</f>
        <v/>
      </c>
      <c r="AC755" t="str">
        <f>IF(OR(Table8[[#This Row],[Response_Date]]&lt;Table8[[#This Row],[Start_Date]],Table8[[#This Row],[Response_Date]]&gt;Table8[[#This Row],[End_Date]]),"Review - response outside campaign dates","")</f>
        <v/>
      </c>
      <c r="AD755" t="str">
        <f>IF(Table8[[#This Row],[Campaign_Type]]="","Review - campaign code not found","")</f>
        <v/>
      </c>
    </row>
    <row r="756" spans="1:30" x14ac:dyDescent="0.25">
      <c r="A756" t="s">
        <v>4599</v>
      </c>
      <c r="B756" t="s">
        <v>2592</v>
      </c>
      <c r="C756" t="s">
        <v>3336</v>
      </c>
      <c r="D756" t="s">
        <v>3337</v>
      </c>
      <c r="E756" t="s">
        <v>3316</v>
      </c>
      <c r="F756" s="17">
        <v>45579</v>
      </c>
      <c r="G756">
        <v>14.96</v>
      </c>
      <c r="H756" t="s">
        <v>36</v>
      </c>
      <c r="I756" t="s">
        <v>3323</v>
      </c>
      <c r="J756" t="str">
        <f>_xlfn.XLOOKUP(Table8[[#This Row],[Supporter_ID]],tb1_supporters[Supporter_ID ],tb1_supporters[Segment],"")</f>
        <v>Regular Giver</v>
      </c>
      <c r="K756" t="str">
        <f>_xlfn.XLOOKUP(Table8[[#This Row],[Supporter_ID]],tb1_supporters[Supporter_ID ],tb1_supporters[Acquisition_Source],"")</f>
        <v>Corporate Partner</v>
      </c>
      <c r="L756" t="str">
        <f>_xlfn.XLOOKUP(Table8[[#This Row],[Supporter_ID]],tb1_supporters[Supporter_ID ],tb1_supporters[County],"")</f>
        <v>Oxfordshire</v>
      </c>
      <c r="M756" t="str">
        <f>_xlfn.XLOOKUP(Table8[[#This Row],[Supporter_ID]],tb1_supporters[Supporter_ID ],tb1_supporters[Gender],"")</f>
        <v>Male</v>
      </c>
      <c r="N756">
        <f ca="1">_xlfn.XLOOKUP(Table8[[#This Row],[Supporter_ID]],tb1_supporters[Supporter_ID ],tb1_supporters[Age],"")</f>
        <v>22</v>
      </c>
      <c r="O756" t="str">
        <f ca="1">_xlfn.XLOOKUP(Table8[[#This Row],[Supporter_ID]],tb1_supporters[Supporter_ID ],tb1_supporters[Age_Band],"")</f>
        <v>18-34</v>
      </c>
      <c r="P756" t="str">
        <f ca="1">IF(Table8[[#This Row],[Age_Band]]="","Unknown",Table8[[#This Row],[Age_Band]])</f>
        <v>18-34</v>
      </c>
      <c r="Q756" t="str">
        <f>_xlfn.XLOOKUP(Table8[[#This Row],[Supporter_ID]],tb1_supporters[Supporter_ID ],tb1_supporters[Communication_Preference],"")</f>
        <v>Post</v>
      </c>
      <c r="R756" t="str">
        <f>_xlfn.XLOOKUP(Table8[[#This Row],[Supporter_ID]],tb1_supporters[Supporter_ID ],tb1_supporters[Duplicate_Profile_Flag],"")</f>
        <v/>
      </c>
      <c r="S756" t="str">
        <f>_xlfn.XLOOKUP(Table8[[#This Row],[Supporter_ID]],tb1_supporters[Supporter_ID ],tb1_supporters[Preference_Compliance_Flag],"")</f>
        <v/>
      </c>
      <c r="T756" t="str">
        <f ca="1">IF(Table8[[#This Row],[Age]]="","Review - missing DOB",IF(Table8[[#This Row],[Age]]&gt;TODAY(),"Review - future DOB",IF(Table8[[#This Row],[Age]]=0,"Review -  potential entry error (age 0)","")))</f>
        <v/>
      </c>
      <c r="U756" t="str">
        <f>_xlfn.XLOOKUP(Table8[[#This Row],[Campaign_Code]],tb3_CampaignMaster[Campaign_Code],tb3_CampaignMaster[Campaign_Type],"")</f>
        <v>Appeal</v>
      </c>
      <c r="V756" t="str">
        <f>_xlfn.XLOOKUP(Table8[[#This Row],[Campaign_Code]],tb3_CampaignMaster[Campaign_Code],tb3_CampaignMaster[Target_Audience],"")</f>
        <v>All Supporters</v>
      </c>
      <c r="W756" s="17">
        <f>_xlfn.XLOOKUP(Table8[[#This Row],[Campaign_Code]],tb3_CampaignMaster[Campaign_Code],tb3_CampaignMaster[Start_Date],"")</f>
        <v>45545</v>
      </c>
      <c r="X756" s="17">
        <f>_xlfn.XLOOKUP(Table8[[#This Row],[Campaign_Code]],tb3_CampaignMaster[Campaign_Code],tb3_CampaignMaster[End_Date],"")</f>
        <v>45580</v>
      </c>
      <c r="Y756">
        <f>_xlfn.XLOOKUP(Table8[[#This Row],[Campaign_Code]],tb3_CampaignMaster[Campaign_Code],tb3_CampaignMaster[Budget_GBP],"")</f>
        <v>15000</v>
      </c>
      <c r="Z756" t="str">
        <f>_xlfn.XLOOKUP(Table8[[#This Row],[Campaign_Code]],tb3_CampaignMaster[Campaign_Code],tb3_CampaignMaster[Primary_Channel],"")</f>
        <v>Email</v>
      </c>
      <c r="AA756" s="13">
        <f>IF(Table8[[#This Row],[Gift_Aid_Eligible]]="Yes",Table8[[#This Row],[Gift_Amount]]*1.25,Table8[[#This Row],[Gift_Amount]])</f>
        <v>18.700000000000003</v>
      </c>
      <c r="AB756" t="str">
        <f>IF(Table8[[#This Row],[Supporter_ID]]="","Review - missing supporter ID","")</f>
        <v/>
      </c>
      <c r="AC756" t="str">
        <f>IF(OR(Table8[[#This Row],[Response_Date]]&lt;Table8[[#This Row],[Start_Date]],Table8[[#This Row],[Response_Date]]&gt;Table8[[#This Row],[End_Date]]),"Review - response outside campaign dates","")</f>
        <v/>
      </c>
      <c r="AD756" t="str">
        <f>IF(Table8[[#This Row],[Campaign_Type]]="","Review - campaign code not found","")</f>
        <v/>
      </c>
    </row>
    <row r="757" spans="1:30" x14ac:dyDescent="0.25">
      <c r="A757" t="s">
        <v>4601</v>
      </c>
      <c r="B757" t="s">
        <v>2445</v>
      </c>
      <c r="C757" t="s">
        <v>3320</v>
      </c>
      <c r="D757" t="s">
        <v>3321</v>
      </c>
      <c r="E757" t="s">
        <v>65</v>
      </c>
      <c r="F757" s="17">
        <v>45446</v>
      </c>
      <c r="G757">
        <v>3293.01</v>
      </c>
      <c r="H757" t="s">
        <v>37</v>
      </c>
      <c r="I757" t="s">
        <v>3370</v>
      </c>
      <c r="J757" t="str">
        <f>_xlfn.XLOOKUP(Table8[[#This Row],[Supporter_ID]],tb1_supporters[Supporter_ID ],tb1_supporters[Segment],"")</f>
        <v>Major Donor</v>
      </c>
      <c r="K757" t="str">
        <f>_xlfn.XLOOKUP(Table8[[#This Row],[Supporter_ID]],tb1_supporters[Supporter_ID ],tb1_supporters[Acquisition_Source],"")</f>
        <v>Telephone</v>
      </c>
      <c r="L757" t="str">
        <f>_xlfn.XLOOKUP(Table8[[#This Row],[Supporter_ID]],tb1_supporters[Supporter_ID ],tb1_supporters[County],"")</f>
        <v>West Midlands</v>
      </c>
      <c r="M757" t="str">
        <f>_xlfn.XLOOKUP(Table8[[#This Row],[Supporter_ID]],tb1_supporters[Supporter_ID ],tb1_supporters[Gender],"")</f>
        <v>Female</v>
      </c>
      <c r="N757">
        <f ca="1">_xlfn.XLOOKUP(Table8[[#This Row],[Supporter_ID]],tb1_supporters[Supporter_ID ],tb1_supporters[Age],"")</f>
        <v>78</v>
      </c>
      <c r="O757" t="str">
        <f ca="1">_xlfn.XLOOKUP(Table8[[#This Row],[Supporter_ID]],tb1_supporters[Supporter_ID ],tb1_supporters[Age_Band],"")</f>
        <v>65+</v>
      </c>
      <c r="P757" t="str">
        <f ca="1">IF(Table8[[#This Row],[Age_Band]]="","Unknown",Table8[[#This Row],[Age_Band]])</f>
        <v>65+</v>
      </c>
      <c r="Q757" t="str">
        <f>_xlfn.XLOOKUP(Table8[[#This Row],[Supporter_ID]],tb1_supporters[Supporter_ID ],tb1_supporters[Communication_Preference],"")</f>
        <v>Post</v>
      </c>
      <c r="R757" t="str">
        <f>_xlfn.XLOOKUP(Table8[[#This Row],[Supporter_ID]],tb1_supporters[Supporter_ID ],tb1_supporters[Duplicate_Profile_Flag],"")</f>
        <v/>
      </c>
      <c r="S757" t="str">
        <f>_xlfn.XLOOKUP(Table8[[#This Row],[Supporter_ID]],tb1_supporters[Supporter_ID ],tb1_supporters[Preference_Compliance_Flag],"")</f>
        <v/>
      </c>
      <c r="T757" t="str">
        <f ca="1">IF(Table8[[#This Row],[Age]]="","Review - missing DOB",IF(Table8[[#This Row],[Age]]&gt;TODAY(),"Review - future DOB",IF(Table8[[#This Row],[Age]]=0,"Review -  potential entry error (age 0)","")))</f>
        <v/>
      </c>
      <c r="U757" t="str">
        <f>_xlfn.XLOOKUP(Table8[[#This Row],[Campaign_Code]],tb3_CampaignMaster[Campaign_Code],tb3_CampaignMaster[Campaign_Type],"")</f>
        <v>Stewardship</v>
      </c>
      <c r="V757" t="str">
        <f>_xlfn.XLOOKUP(Table8[[#This Row],[Campaign_Code]],tb3_CampaignMaster[Campaign_Code],tb3_CampaignMaster[Target_Audience],"")</f>
        <v>Major Donors</v>
      </c>
      <c r="W757" s="17">
        <f>_xlfn.XLOOKUP(Table8[[#This Row],[Campaign_Code]],tb3_CampaignMaster[Campaign_Code],tb3_CampaignMaster[Start_Date],"")</f>
        <v>45444</v>
      </c>
      <c r="X757" s="17">
        <f>_xlfn.XLOOKUP(Table8[[#This Row],[Campaign_Code]],tb3_CampaignMaster[Campaign_Code],tb3_CampaignMaster[End_Date],"")</f>
        <v>45473</v>
      </c>
      <c r="Y757">
        <f>_xlfn.XLOOKUP(Table8[[#This Row],[Campaign_Code]],tb3_CampaignMaster[Campaign_Code],tb3_CampaignMaster[Budget_GBP],"")</f>
        <v>7000</v>
      </c>
      <c r="Z757" t="str">
        <f>_xlfn.XLOOKUP(Table8[[#This Row],[Campaign_Code]],tb3_CampaignMaster[Campaign_Code],tb3_CampaignMaster[Primary_Channel],"")</f>
        <v>Direct Mail</v>
      </c>
      <c r="AA757" s="13">
        <f>IF(Table8[[#This Row],[Gift_Aid_Eligible]]="Yes",Table8[[#This Row],[Gift_Amount]]*1.25,Table8[[#This Row],[Gift_Amount]])</f>
        <v>3293.01</v>
      </c>
      <c r="AB757" t="str">
        <f>IF(Table8[[#This Row],[Supporter_ID]]="","Review - missing supporter ID","")</f>
        <v/>
      </c>
      <c r="AC757" t="str">
        <f>IF(OR(Table8[[#This Row],[Response_Date]]&lt;Table8[[#This Row],[Start_Date]],Table8[[#This Row],[Response_Date]]&gt;Table8[[#This Row],[End_Date]]),"Review - response outside campaign dates","")</f>
        <v/>
      </c>
      <c r="AD757" t="str">
        <f>IF(Table8[[#This Row],[Campaign_Type]]="","Review - campaign code not found","")</f>
        <v/>
      </c>
    </row>
    <row r="758" spans="1:30" x14ac:dyDescent="0.25">
      <c r="A758" t="s">
        <v>4603</v>
      </c>
      <c r="B758" t="s">
        <v>559</v>
      </c>
      <c r="C758" t="s">
        <v>3367</v>
      </c>
      <c r="D758" t="s">
        <v>3368</v>
      </c>
      <c r="E758" t="s">
        <v>65</v>
      </c>
      <c r="F758" s="17">
        <v>45738</v>
      </c>
      <c r="G758">
        <v>7.46</v>
      </c>
      <c r="H758" t="s">
        <v>36</v>
      </c>
      <c r="I758" t="s">
        <v>3334</v>
      </c>
      <c r="J758" t="str">
        <f>_xlfn.XLOOKUP(Table8[[#This Row],[Supporter_ID]],tb1_supporters[Supporter_ID ],tb1_supporters[Segment],"")</f>
        <v>Regular Giver</v>
      </c>
      <c r="K758" t="str">
        <f>_xlfn.XLOOKUP(Table8[[#This Row],[Supporter_ID]],tb1_supporters[Supporter_ID ],tb1_supporters[Acquisition_Source],"")</f>
        <v>Website</v>
      </c>
      <c r="L758" t="str">
        <f>_xlfn.XLOOKUP(Table8[[#This Row],[Supporter_ID]],tb1_supporters[Supporter_ID ],tb1_supporters[County],"")</f>
        <v>Greater London</v>
      </c>
      <c r="M758" t="str">
        <f>_xlfn.XLOOKUP(Table8[[#This Row],[Supporter_ID]],tb1_supporters[Supporter_ID ],tb1_supporters[Gender],"")</f>
        <v>Male</v>
      </c>
      <c r="N758">
        <f ca="1">_xlfn.XLOOKUP(Table8[[#This Row],[Supporter_ID]],tb1_supporters[Supporter_ID ],tb1_supporters[Age],"")</f>
        <v>74</v>
      </c>
      <c r="O758" t="str">
        <f ca="1">_xlfn.XLOOKUP(Table8[[#This Row],[Supporter_ID]],tb1_supporters[Supporter_ID ],tb1_supporters[Age_Band],"")</f>
        <v>65+</v>
      </c>
      <c r="P758" t="str">
        <f ca="1">IF(Table8[[#This Row],[Age_Band]]="","Unknown",Table8[[#This Row],[Age_Band]])</f>
        <v>65+</v>
      </c>
      <c r="Q758" t="str">
        <f>_xlfn.XLOOKUP(Table8[[#This Row],[Supporter_ID]],tb1_supporters[Supporter_ID ],tb1_supporters[Communication_Preference],"")</f>
        <v>Email</v>
      </c>
      <c r="R758" t="str">
        <f>_xlfn.XLOOKUP(Table8[[#This Row],[Supporter_ID]],tb1_supporters[Supporter_ID ],tb1_supporters[Duplicate_Profile_Flag],"")</f>
        <v/>
      </c>
      <c r="S758" t="str">
        <f>_xlfn.XLOOKUP(Table8[[#This Row],[Supporter_ID]],tb1_supporters[Supporter_ID ],tb1_supporters[Preference_Compliance_Flag],"")</f>
        <v/>
      </c>
      <c r="T758" t="str">
        <f ca="1">IF(Table8[[#This Row],[Age]]="","Review - missing DOB",IF(Table8[[#This Row],[Age]]&gt;TODAY(),"Review - future DOB",IF(Table8[[#This Row],[Age]]=0,"Review -  potential entry error (age 0)","")))</f>
        <v/>
      </c>
      <c r="U758" t="str">
        <f>_xlfn.XLOOKUP(Table8[[#This Row],[Campaign_Code]],tb3_CampaignMaster[Campaign_Code],tb3_CampaignMaster[Campaign_Type],"")</f>
        <v>Raffle</v>
      </c>
      <c r="V758" t="str">
        <f>_xlfn.XLOOKUP(Table8[[#This Row],[Campaign_Code]],tb3_CampaignMaster[Campaign_Code],tb3_CampaignMaster[Target_Audience],"")</f>
        <v>Regular Givers</v>
      </c>
      <c r="W758" s="17">
        <f>_xlfn.XLOOKUP(Table8[[#This Row],[Campaign_Code]],tb3_CampaignMaster[Campaign_Code],tb3_CampaignMaster[Start_Date],"")</f>
        <v>45717</v>
      </c>
      <c r="X758" s="17">
        <f>_xlfn.XLOOKUP(Table8[[#This Row],[Campaign_Code]],tb3_CampaignMaster[Campaign_Code],tb3_CampaignMaster[End_Date],"")</f>
        <v>45777</v>
      </c>
      <c r="Y758">
        <f>_xlfn.XLOOKUP(Table8[[#This Row],[Campaign_Code]],tb3_CampaignMaster[Campaign_Code],tb3_CampaignMaster[Budget_GBP],"")</f>
        <v>8000</v>
      </c>
      <c r="Z758" t="str">
        <f>_xlfn.XLOOKUP(Table8[[#This Row],[Campaign_Code]],tb3_CampaignMaster[Campaign_Code],tb3_CampaignMaster[Primary_Channel],"")</f>
        <v>Direct Mail</v>
      </c>
      <c r="AA758" s="13">
        <f>IF(Table8[[#This Row],[Gift_Aid_Eligible]]="Yes",Table8[[#This Row],[Gift_Amount]]*1.25,Table8[[#This Row],[Gift_Amount]])</f>
        <v>9.3249999999999993</v>
      </c>
      <c r="AB758" t="str">
        <f>IF(Table8[[#This Row],[Supporter_ID]]="","Review - missing supporter ID","")</f>
        <v/>
      </c>
      <c r="AC758" t="str">
        <f>IF(OR(Table8[[#This Row],[Response_Date]]&lt;Table8[[#This Row],[Start_Date]],Table8[[#This Row],[Response_Date]]&gt;Table8[[#This Row],[End_Date]]),"Review - response outside campaign dates","")</f>
        <v/>
      </c>
      <c r="AD758" t="str">
        <f>IF(Table8[[#This Row],[Campaign_Type]]="","Review - campaign code not found","")</f>
        <v/>
      </c>
    </row>
    <row r="759" spans="1:30" x14ac:dyDescent="0.25">
      <c r="A759" t="s">
        <v>4605</v>
      </c>
      <c r="B759" t="s">
        <v>3141</v>
      </c>
      <c r="C759" t="s">
        <v>3341</v>
      </c>
      <c r="D759" t="s">
        <v>3342</v>
      </c>
      <c r="E759" t="s">
        <v>91</v>
      </c>
      <c r="F759" s="17">
        <v>45759</v>
      </c>
      <c r="G759">
        <v>210.88</v>
      </c>
      <c r="H759" t="s">
        <v>36</v>
      </c>
      <c r="I759" t="s">
        <v>3385</v>
      </c>
      <c r="J759" t="str">
        <f>_xlfn.XLOOKUP(Table8[[#This Row],[Supporter_ID]],tb1_supporters[Supporter_ID ],tb1_supporters[Segment],"")</f>
        <v>Mid-Value</v>
      </c>
      <c r="K759" t="str">
        <f>_xlfn.XLOOKUP(Table8[[#This Row],[Supporter_ID]],tb1_supporters[Supporter_ID ],tb1_supporters[Acquisition_Source],"")</f>
        <v>Telephone</v>
      </c>
      <c r="L759" t="str">
        <f>_xlfn.XLOOKUP(Table8[[#This Row],[Supporter_ID]],tb1_supporters[Supporter_ID ],tb1_supporters[County],"")</f>
        <v>Suffolk</v>
      </c>
      <c r="M759" t="str">
        <f>_xlfn.XLOOKUP(Table8[[#This Row],[Supporter_ID]],tb1_supporters[Supporter_ID ],tb1_supporters[Gender],"")</f>
        <v>Female</v>
      </c>
      <c r="N759">
        <f ca="1">_xlfn.XLOOKUP(Table8[[#This Row],[Supporter_ID]],tb1_supporters[Supporter_ID ],tb1_supporters[Age],"")</f>
        <v>47</v>
      </c>
      <c r="O759" t="str">
        <f ca="1">_xlfn.XLOOKUP(Table8[[#This Row],[Supporter_ID]],tb1_supporters[Supporter_ID ],tb1_supporters[Age_Band],"")</f>
        <v>35-49</v>
      </c>
      <c r="P759" t="str">
        <f ca="1">IF(Table8[[#This Row],[Age_Band]]="","Unknown",Table8[[#This Row],[Age_Band]])</f>
        <v>35-49</v>
      </c>
      <c r="Q759" t="str">
        <f>_xlfn.XLOOKUP(Table8[[#This Row],[Supporter_ID]],tb1_supporters[Supporter_ID ],tb1_supporters[Communication_Preference],"")</f>
        <v>Email</v>
      </c>
      <c r="R759" t="str">
        <f>_xlfn.XLOOKUP(Table8[[#This Row],[Supporter_ID]],tb1_supporters[Supporter_ID ],tb1_supporters[Duplicate_Profile_Flag],"")</f>
        <v/>
      </c>
      <c r="S759" t="str">
        <f>_xlfn.XLOOKUP(Table8[[#This Row],[Supporter_ID]],tb1_supporters[Supporter_ID ],tb1_supporters[Preference_Compliance_Flag],"")</f>
        <v/>
      </c>
      <c r="T759" t="str">
        <f ca="1">IF(Table8[[#This Row],[Age]]="","Review - missing DOB",IF(Table8[[#This Row],[Age]]&gt;TODAY(),"Review - future DOB",IF(Table8[[#This Row],[Age]]=0,"Review -  potential entry error (age 0)","")))</f>
        <v/>
      </c>
      <c r="U759" t="str">
        <f>_xlfn.XLOOKUP(Table8[[#This Row],[Campaign_Code]],tb3_CampaignMaster[Campaign_Code],tb3_CampaignMaster[Campaign_Type],"")</f>
        <v>Acquisition</v>
      </c>
      <c r="V759" t="str">
        <f>_xlfn.XLOOKUP(Table8[[#This Row],[Campaign_Code]],tb3_CampaignMaster[Campaign_Code],tb3_CampaignMaster[Target_Audience],"")</f>
        <v>Prospects</v>
      </c>
      <c r="W759" s="17">
        <f>_xlfn.XLOOKUP(Table8[[#This Row],[Campaign_Code]],tb3_CampaignMaster[Campaign_Code],tb3_CampaignMaster[Start_Date],"")</f>
        <v>45689</v>
      </c>
      <c r="X759" s="17">
        <f>_xlfn.XLOOKUP(Table8[[#This Row],[Campaign_Code]],tb3_CampaignMaster[Campaign_Code],tb3_CampaignMaster[End_Date],"")</f>
        <v>45777</v>
      </c>
      <c r="Y759">
        <f>_xlfn.XLOOKUP(Table8[[#This Row],[Campaign_Code]],tb3_CampaignMaster[Campaign_Code],tb3_CampaignMaster[Budget_GBP],"")</f>
        <v>20000</v>
      </c>
      <c r="Z759" t="str">
        <f>_xlfn.XLOOKUP(Table8[[#This Row],[Campaign_Code]],tb3_CampaignMaster[Campaign_Code],tb3_CampaignMaster[Primary_Channel],"")</f>
        <v>Digital</v>
      </c>
      <c r="AA759" s="13">
        <f>IF(Table8[[#This Row],[Gift_Aid_Eligible]]="Yes",Table8[[#This Row],[Gift_Amount]]*1.25,Table8[[#This Row],[Gift_Amount]])</f>
        <v>263.60000000000002</v>
      </c>
      <c r="AB759" t="str">
        <f>IF(Table8[[#This Row],[Supporter_ID]]="","Review - missing supporter ID","")</f>
        <v/>
      </c>
      <c r="AC759" t="str">
        <f>IF(OR(Table8[[#This Row],[Response_Date]]&lt;Table8[[#This Row],[Start_Date]],Table8[[#This Row],[Response_Date]]&gt;Table8[[#This Row],[End_Date]]),"Review - response outside campaign dates","")</f>
        <v/>
      </c>
      <c r="AD759" t="str">
        <f>IF(Table8[[#This Row],[Campaign_Type]]="","Review - campaign code not found","")</f>
        <v/>
      </c>
    </row>
    <row r="760" spans="1:30" x14ac:dyDescent="0.25">
      <c r="A760" t="s">
        <v>4607</v>
      </c>
      <c r="B760" t="s">
        <v>2112</v>
      </c>
      <c r="C760" t="s">
        <v>3367</v>
      </c>
      <c r="D760" t="s">
        <v>3368</v>
      </c>
      <c r="E760" t="s">
        <v>65</v>
      </c>
      <c r="F760" s="17">
        <v>45768</v>
      </c>
      <c r="G760">
        <v>78.010000000000005</v>
      </c>
      <c r="H760" t="s">
        <v>36</v>
      </c>
      <c r="I760" t="s">
        <v>3365</v>
      </c>
      <c r="J760" t="str">
        <f>_xlfn.XLOOKUP(Table8[[#This Row],[Supporter_ID]],tb1_supporters[Supporter_ID ],tb1_supporters[Segment],"")</f>
        <v>Mid-Value</v>
      </c>
      <c r="K760" t="str">
        <f>_xlfn.XLOOKUP(Table8[[#This Row],[Supporter_ID]],tb1_supporters[Supporter_ID ],tb1_supporters[Acquisition_Source],"")</f>
        <v>Event</v>
      </c>
      <c r="L760" t="str">
        <f>_xlfn.XLOOKUP(Table8[[#This Row],[Supporter_ID]],tb1_supporters[Supporter_ID ],tb1_supporters[County],"")</f>
        <v>Devon</v>
      </c>
      <c r="M760" t="str">
        <f>_xlfn.XLOOKUP(Table8[[#This Row],[Supporter_ID]],tb1_supporters[Supporter_ID ],tb1_supporters[Gender],"")</f>
        <v>Female</v>
      </c>
      <c r="N760">
        <f ca="1">_xlfn.XLOOKUP(Table8[[#This Row],[Supporter_ID]],tb1_supporters[Supporter_ID ],tb1_supporters[Age],"")</f>
        <v>66</v>
      </c>
      <c r="O760" t="str">
        <f ca="1">_xlfn.XLOOKUP(Table8[[#This Row],[Supporter_ID]],tb1_supporters[Supporter_ID ],tb1_supporters[Age_Band],"")</f>
        <v>65+</v>
      </c>
      <c r="P760" t="str">
        <f ca="1">IF(Table8[[#This Row],[Age_Band]]="","Unknown",Table8[[#This Row],[Age_Band]])</f>
        <v>65+</v>
      </c>
      <c r="Q760" t="str">
        <f>_xlfn.XLOOKUP(Table8[[#This Row],[Supporter_ID]],tb1_supporters[Supporter_ID ],tb1_supporters[Communication_Preference],"")</f>
        <v>Phone</v>
      </c>
      <c r="R760" t="str">
        <f>_xlfn.XLOOKUP(Table8[[#This Row],[Supporter_ID]],tb1_supporters[Supporter_ID ],tb1_supporters[Duplicate_Profile_Flag],"")</f>
        <v/>
      </c>
      <c r="S760" t="str">
        <f>_xlfn.XLOOKUP(Table8[[#This Row],[Supporter_ID]],tb1_supporters[Supporter_ID ],tb1_supporters[Preference_Compliance_Flag],"")</f>
        <v>Review - prefers phone but not opted in</v>
      </c>
      <c r="T760" t="str">
        <f ca="1">IF(Table8[[#This Row],[Age]]="","Review - missing DOB",IF(Table8[[#This Row],[Age]]&gt;TODAY(),"Review - future DOB",IF(Table8[[#This Row],[Age]]=0,"Review -  potential entry error (age 0)","")))</f>
        <v/>
      </c>
      <c r="U760" t="str">
        <f>_xlfn.XLOOKUP(Table8[[#This Row],[Campaign_Code]],tb3_CampaignMaster[Campaign_Code],tb3_CampaignMaster[Campaign_Type],"")</f>
        <v>Raffle</v>
      </c>
      <c r="V760" t="str">
        <f>_xlfn.XLOOKUP(Table8[[#This Row],[Campaign_Code]],tb3_CampaignMaster[Campaign_Code],tb3_CampaignMaster[Target_Audience],"")</f>
        <v>Regular Givers</v>
      </c>
      <c r="W760" s="17">
        <f>_xlfn.XLOOKUP(Table8[[#This Row],[Campaign_Code]],tb3_CampaignMaster[Campaign_Code],tb3_CampaignMaster[Start_Date],"")</f>
        <v>45717</v>
      </c>
      <c r="X760" s="17">
        <f>_xlfn.XLOOKUP(Table8[[#This Row],[Campaign_Code]],tb3_CampaignMaster[Campaign_Code],tb3_CampaignMaster[End_Date],"")</f>
        <v>45777</v>
      </c>
      <c r="Y760">
        <f>_xlfn.XLOOKUP(Table8[[#This Row],[Campaign_Code]],tb3_CampaignMaster[Campaign_Code],tb3_CampaignMaster[Budget_GBP],"")</f>
        <v>8000</v>
      </c>
      <c r="Z760" t="str">
        <f>_xlfn.XLOOKUP(Table8[[#This Row],[Campaign_Code]],tb3_CampaignMaster[Campaign_Code],tb3_CampaignMaster[Primary_Channel],"")</f>
        <v>Direct Mail</v>
      </c>
      <c r="AA760" s="13">
        <f>IF(Table8[[#This Row],[Gift_Aid_Eligible]]="Yes",Table8[[#This Row],[Gift_Amount]]*1.25,Table8[[#This Row],[Gift_Amount]])</f>
        <v>97.512500000000003</v>
      </c>
      <c r="AB760" t="str">
        <f>IF(Table8[[#This Row],[Supporter_ID]]="","Review - missing supporter ID","")</f>
        <v/>
      </c>
      <c r="AC760" t="str">
        <f>IF(OR(Table8[[#This Row],[Response_Date]]&lt;Table8[[#This Row],[Start_Date]],Table8[[#This Row],[Response_Date]]&gt;Table8[[#This Row],[End_Date]]),"Review - response outside campaign dates","")</f>
        <v/>
      </c>
      <c r="AD760" t="str">
        <f>IF(Table8[[#This Row],[Campaign_Type]]="","Review - campaign code not found","")</f>
        <v/>
      </c>
    </row>
    <row r="761" spans="1:30" x14ac:dyDescent="0.25">
      <c r="A761" t="s">
        <v>4609</v>
      </c>
      <c r="B761" t="s">
        <v>2609</v>
      </c>
      <c r="C761" t="s">
        <v>3341</v>
      </c>
      <c r="D761" t="s">
        <v>3342</v>
      </c>
      <c r="E761" t="s">
        <v>4</v>
      </c>
      <c r="F761" s="17">
        <v>45730</v>
      </c>
      <c r="G761">
        <v>21.08</v>
      </c>
      <c r="H761" t="s">
        <v>36</v>
      </c>
      <c r="I761" t="s">
        <v>3385</v>
      </c>
      <c r="J761" t="str">
        <f>_xlfn.XLOOKUP(Table8[[#This Row],[Supporter_ID]],tb1_supporters[Supporter_ID ],tb1_supporters[Segment],"")</f>
        <v>Prospect</v>
      </c>
      <c r="K761" t="str">
        <f>_xlfn.XLOOKUP(Table8[[#This Row],[Supporter_ID]],tb1_supporters[Supporter_ID ],tb1_supporters[Acquisition_Source],"")</f>
        <v>Website</v>
      </c>
      <c r="L761" t="str">
        <f>_xlfn.XLOOKUP(Table8[[#This Row],[Supporter_ID]],tb1_supporters[Supporter_ID ],tb1_supporters[County],"")</f>
        <v>West Yorkshire</v>
      </c>
      <c r="M761" t="str">
        <f>_xlfn.XLOOKUP(Table8[[#This Row],[Supporter_ID]],tb1_supporters[Supporter_ID ],tb1_supporters[Gender],"")</f>
        <v>Female</v>
      </c>
      <c r="N761">
        <f ca="1">_xlfn.XLOOKUP(Table8[[#This Row],[Supporter_ID]],tb1_supporters[Supporter_ID ],tb1_supporters[Age],"")</f>
        <v>69</v>
      </c>
      <c r="O761" t="str">
        <f ca="1">_xlfn.XLOOKUP(Table8[[#This Row],[Supporter_ID]],tb1_supporters[Supporter_ID ],tb1_supporters[Age_Band],"")</f>
        <v>65+</v>
      </c>
      <c r="P761" t="str">
        <f ca="1">IF(Table8[[#This Row],[Age_Band]]="","Unknown",Table8[[#This Row],[Age_Band]])</f>
        <v>65+</v>
      </c>
      <c r="Q761" t="str">
        <f>_xlfn.XLOOKUP(Table8[[#This Row],[Supporter_ID]],tb1_supporters[Supporter_ID ],tb1_supporters[Communication_Preference],"")</f>
        <v>Post</v>
      </c>
      <c r="R761" t="str">
        <f>_xlfn.XLOOKUP(Table8[[#This Row],[Supporter_ID]],tb1_supporters[Supporter_ID ],tb1_supporters[Duplicate_Profile_Flag],"")</f>
        <v/>
      </c>
      <c r="S761" t="str">
        <f>_xlfn.XLOOKUP(Table8[[#This Row],[Supporter_ID]],tb1_supporters[Supporter_ID ],tb1_supporters[Preference_Compliance_Flag],"")</f>
        <v/>
      </c>
      <c r="T761" t="str">
        <f ca="1">IF(Table8[[#This Row],[Age]]="","Review - missing DOB",IF(Table8[[#This Row],[Age]]&gt;TODAY(),"Review - future DOB",IF(Table8[[#This Row],[Age]]=0,"Review -  potential entry error (age 0)","")))</f>
        <v/>
      </c>
      <c r="U761" t="str">
        <f>_xlfn.XLOOKUP(Table8[[#This Row],[Campaign_Code]],tb3_CampaignMaster[Campaign_Code],tb3_CampaignMaster[Campaign_Type],"")</f>
        <v>Acquisition</v>
      </c>
      <c r="V761" t="str">
        <f>_xlfn.XLOOKUP(Table8[[#This Row],[Campaign_Code]],tb3_CampaignMaster[Campaign_Code],tb3_CampaignMaster[Target_Audience],"")</f>
        <v>Prospects</v>
      </c>
      <c r="W761" s="17">
        <f>_xlfn.XLOOKUP(Table8[[#This Row],[Campaign_Code]],tb3_CampaignMaster[Campaign_Code],tb3_CampaignMaster[Start_Date],"")</f>
        <v>45689</v>
      </c>
      <c r="X761" s="17">
        <f>_xlfn.XLOOKUP(Table8[[#This Row],[Campaign_Code]],tb3_CampaignMaster[Campaign_Code],tb3_CampaignMaster[End_Date],"")</f>
        <v>45777</v>
      </c>
      <c r="Y761">
        <f>_xlfn.XLOOKUP(Table8[[#This Row],[Campaign_Code]],tb3_CampaignMaster[Campaign_Code],tb3_CampaignMaster[Budget_GBP],"")</f>
        <v>20000</v>
      </c>
      <c r="Z761" t="str">
        <f>_xlfn.XLOOKUP(Table8[[#This Row],[Campaign_Code]],tb3_CampaignMaster[Campaign_Code],tb3_CampaignMaster[Primary_Channel],"")</f>
        <v>Digital</v>
      </c>
      <c r="AA761" s="13">
        <f>IF(Table8[[#This Row],[Gift_Aid_Eligible]]="Yes",Table8[[#This Row],[Gift_Amount]]*1.25,Table8[[#This Row],[Gift_Amount]])</f>
        <v>26.349999999999998</v>
      </c>
      <c r="AB761" t="str">
        <f>IF(Table8[[#This Row],[Supporter_ID]]="","Review - missing supporter ID","")</f>
        <v/>
      </c>
      <c r="AC761" t="str">
        <f>IF(OR(Table8[[#This Row],[Response_Date]]&lt;Table8[[#This Row],[Start_Date]],Table8[[#This Row],[Response_Date]]&gt;Table8[[#This Row],[End_Date]]),"Review - response outside campaign dates","")</f>
        <v/>
      </c>
      <c r="AD761" t="str">
        <f>IF(Table8[[#This Row],[Campaign_Type]]="","Review - campaign code not found","")</f>
        <v/>
      </c>
    </row>
    <row r="762" spans="1:30" x14ac:dyDescent="0.25">
      <c r="A762" t="s">
        <v>4610</v>
      </c>
      <c r="B762" t="s">
        <v>3071</v>
      </c>
      <c r="C762" t="s">
        <v>3341</v>
      </c>
      <c r="D762" t="s">
        <v>3342</v>
      </c>
      <c r="E762" t="s">
        <v>91</v>
      </c>
      <c r="F762" s="17">
        <v>45729</v>
      </c>
      <c r="G762">
        <v>4754.83</v>
      </c>
      <c r="H762" t="s">
        <v>36</v>
      </c>
      <c r="I762" t="s">
        <v>3334</v>
      </c>
      <c r="J762" t="str">
        <f>_xlfn.XLOOKUP(Table8[[#This Row],[Supporter_ID]],tb1_supporters[Supporter_ID ],tb1_supporters[Segment],"")</f>
        <v>Major Donor</v>
      </c>
      <c r="K762" t="str">
        <f>_xlfn.XLOOKUP(Table8[[#This Row],[Supporter_ID]],tb1_supporters[Supporter_ID ],tb1_supporters[Acquisition_Source],"")</f>
        <v>Social Media</v>
      </c>
      <c r="L762" t="str">
        <f>_xlfn.XLOOKUP(Table8[[#This Row],[Supporter_ID]],tb1_supporters[Supporter_ID ],tb1_supporters[County],"")</f>
        <v>Avon</v>
      </c>
      <c r="M762" t="str">
        <f>_xlfn.XLOOKUP(Table8[[#This Row],[Supporter_ID]],tb1_supporters[Supporter_ID ],tb1_supporters[Gender],"")</f>
        <v>Female</v>
      </c>
      <c r="N762">
        <f ca="1">_xlfn.XLOOKUP(Table8[[#This Row],[Supporter_ID]],tb1_supporters[Supporter_ID ],tb1_supporters[Age],"")</f>
        <v>47</v>
      </c>
      <c r="O762" t="str">
        <f ca="1">_xlfn.XLOOKUP(Table8[[#This Row],[Supporter_ID]],tb1_supporters[Supporter_ID ],tb1_supporters[Age_Band],"")</f>
        <v>35-49</v>
      </c>
      <c r="P762" t="str">
        <f ca="1">IF(Table8[[#This Row],[Age_Band]]="","Unknown",Table8[[#This Row],[Age_Band]])</f>
        <v>35-49</v>
      </c>
      <c r="Q762" t="str">
        <f>_xlfn.XLOOKUP(Table8[[#This Row],[Supporter_ID]],tb1_supporters[Supporter_ID ],tb1_supporters[Communication_Preference],"")</f>
        <v>Email</v>
      </c>
      <c r="R762" t="str">
        <f>_xlfn.XLOOKUP(Table8[[#This Row],[Supporter_ID]],tb1_supporters[Supporter_ID ],tb1_supporters[Duplicate_Profile_Flag],"")</f>
        <v/>
      </c>
      <c r="S762" t="str">
        <f>_xlfn.XLOOKUP(Table8[[#This Row],[Supporter_ID]],tb1_supporters[Supporter_ID ],tb1_supporters[Preference_Compliance_Flag],"")</f>
        <v/>
      </c>
      <c r="T762" t="str">
        <f ca="1">IF(Table8[[#This Row],[Age]]="","Review - missing DOB",IF(Table8[[#This Row],[Age]]&gt;TODAY(),"Review - future DOB",IF(Table8[[#This Row],[Age]]=0,"Review -  potential entry error (age 0)","")))</f>
        <v/>
      </c>
      <c r="U762" t="str">
        <f>_xlfn.XLOOKUP(Table8[[#This Row],[Campaign_Code]],tb3_CampaignMaster[Campaign_Code],tb3_CampaignMaster[Campaign_Type],"")</f>
        <v>Acquisition</v>
      </c>
      <c r="V762" t="str">
        <f>_xlfn.XLOOKUP(Table8[[#This Row],[Campaign_Code]],tb3_CampaignMaster[Campaign_Code],tb3_CampaignMaster[Target_Audience],"")</f>
        <v>Prospects</v>
      </c>
      <c r="W762" s="17">
        <f>_xlfn.XLOOKUP(Table8[[#This Row],[Campaign_Code]],tb3_CampaignMaster[Campaign_Code],tb3_CampaignMaster[Start_Date],"")</f>
        <v>45689</v>
      </c>
      <c r="X762" s="17">
        <f>_xlfn.XLOOKUP(Table8[[#This Row],[Campaign_Code]],tb3_CampaignMaster[Campaign_Code],tb3_CampaignMaster[End_Date],"")</f>
        <v>45777</v>
      </c>
      <c r="Y762">
        <f>_xlfn.XLOOKUP(Table8[[#This Row],[Campaign_Code]],tb3_CampaignMaster[Campaign_Code],tb3_CampaignMaster[Budget_GBP],"")</f>
        <v>20000</v>
      </c>
      <c r="Z762" t="str">
        <f>_xlfn.XLOOKUP(Table8[[#This Row],[Campaign_Code]],tb3_CampaignMaster[Campaign_Code],tb3_CampaignMaster[Primary_Channel],"")</f>
        <v>Digital</v>
      </c>
      <c r="AA762" s="13">
        <f>IF(Table8[[#This Row],[Gift_Aid_Eligible]]="Yes",Table8[[#This Row],[Gift_Amount]]*1.25,Table8[[#This Row],[Gift_Amount]])</f>
        <v>5943.5375000000004</v>
      </c>
      <c r="AB762" t="str">
        <f>IF(Table8[[#This Row],[Supporter_ID]]="","Review - missing supporter ID","")</f>
        <v/>
      </c>
      <c r="AC762" t="str">
        <f>IF(OR(Table8[[#This Row],[Response_Date]]&lt;Table8[[#This Row],[Start_Date]],Table8[[#This Row],[Response_Date]]&gt;Table8[[#This Row],[End_Date]]),"Review - response outside campaign dates","")</f>
        <v/>
      </c>
      <c r="AD762" t="str">
        <f>IF(Table8[[#This Row],[Campaign_Type]]="","Review - campaign code not found","")</f>
        <v/>
      </c>
    </row>
    <row r="763" spans="1:30" x14ac:dyDescent="0.25">
      <c r="A763" t="s">
        <v>4611</v>
      </c>
      <c r="B763" t="s">
        <v>3297</v>
      </c>
      <c r="C763" t="s">
        <v>3403</v>
      </c>
      <c r="D763" t="s">
        <v>3404</v>
      </c>
      <c r="E763" t="s">
        <v>65</v>
      </c>
      <c r="F763" s="17">
        <v>45615</v>
      </c>
      <c r="G763">
        <v>119.49</v>
      </c>
      <c r="H763" t="s">
        <v>36</v>
      </c>
      <c r="I763" t="s">
        <v>3331</v>
      </c>
      <c r="J763" t="str">
        <f>_xlfn.XLOOKUP(Table8[[#This Row],[Supporter_ID]],tb1_supporters[Supporter_ID ],tb1_supporters[Segment],"")</f>
        <v>One-Time Donor</v>
      </c>
      <c r="K763" t="str">
        <f>_xlfn.XLOOKUP(Table8[[#This Row],[Supporter_ID]],tb1_supporters[Supporter_ID ],tb1_supporters[Acquisition_Source],"")</f>
        <v>Door-To-Door</v>
      </c>
      <c r="L763" t="str">
        <f>_xlfn.XLOOKUP(Table8[[#This Row],[Supporter_ID]],tb1_supporters[Supporter_ID ],tb1_supporters[County],"")</f>
        <v>Avon</v>
      </c>
      <c r="M763" t="str">
        <f>_xlfn.XLOOKUP(Table8[[#This Row],[Supporter_ID]],tb1_supporters[Supporter_ID ],tb1_supporters[Gender],"")</f>
        <v>Female</v>
      </c>
      <c r="N763">
        <f ca="1">_xlfn.XLOOKUP(Table8[[#This Row],[Supporter_ID]],tb1_supporters[Supporter_ID ],tb1_supporters[Age],"")</f>
        <v>68</v>
      </c>
      <c r="O763" t="str">
        <f ca="1">_xlfn.XLOOKUP(Table8[[#This Row],[Supporter_ID]],tb1_supporters[Supporter_ID ],tb1_supporters[Age_Band],"")</f>
        <v>65+</v>
      </c>
      <c r="P763" t="str">
        <f ca="1">IF(Table8[[#This Row],[Age_Band]]="","Unknown",Table8[[#This Row],[Age_Band]])</f>
        <v>65+</v>
      </c>
      <c r="Q763" t="str">
        <f>_xlfn.XLOOKUP(Table8[[#This Row],[Supporter_ID]],tb1_supporters[Supporter_ID ],tb1_supporters[Communication_Preference],"")</f>
        <v>No Preference</v>
      </c>
      <c r="R763" t="str">
        <f>_xlfn.XLOOKUP(Table8[[#This Row],[Supporter_ID]],tb1_supporters[Supporter_ID ],tb1_supporters[Duplicate_Profile_Flag],"")</f>
        <v/>
      </c>
      <c r="S763" t="str">
        <f>_xlfn.XLOOKUP(Table8[[#This Row],[Supporter_ID]],tb1_supporters[Supporter_ID ],tb1_supporters[Preference_Compliance_Flag],"")</f>
        <v/>
      </c>
      <c r="T763" t="str">
        <f ca="1">IF(Table8[[#This Row],[Age]]="","Review - missing DOB",IF(Table8[[#This Row],[Age]]&gt;TODAY(),"Review - future DOB",IF(Table8[[#This Row],[Age]]=0,"Review -  potential entry error (age 0)","")))</f>
        <v/>
      </c>
      <c r="U763" t="str">
        <f>_xlfn.XLOOKUP(Table8[[#This Row],[Campaign_Code]],tb3_CampaignMaster[Campaign_Code],tb3_CampaignMaster[Campaign_Type],"")</f>
        <v>Trading</v>
      </c>
      <c r="V763" t="str">
        <f>_xlfn.XLOOKUP(Table8[[#This Row],[Campaign_Code]],tb3_CampaignMaster[Campaign_Code],tb3_CampaignMaster[Target_Audience],"")</f>
        <v>All Active</v>
      </c>
      <c r="W763" s="17">
        <f>_xlfn.XLOOKUP(Table8[[#This Row],[Campaign_Code]],tb3_CampaignMaster[Campaign_Code],tb3_CampaignMaster[Start_Date],"")</f>
        <v>45580</v>
      </c>
      <c r="X763" s="17">
        <f>_xlfn.XLOOKUP(Table8[[#This Row],[Campaign_Code]],tb3_CampaignMaster[Campaign_Code],tb3_CampaignMaster[End_Date],"")</f>
        <v>45646</v>
      </c>
      <c r="Y763">
        <f>_xlfn.XLOOKUP(Table8[[#This Row],[Campaign_Code]],tb3_CampaignMaster[Campaign_Code],tb3_CampaignMaster[Budget_GBP],"")</f>
        <v>12000</v>
      </c>
      <c r="Z763" t="str">
        <f>_xlfn.XLOOKUP(Table8[[#This Row],[Campaign_Code]],tb3_CampaignMaster[Campaign_Code],tb3_CampaignMaster[Primary_Channel],"")</f>
        <v>Multi-channel</v>
      </c>
      <c r="AA763" s="13">
        <f>IF(Table8[[#This Row],[Gift_Aid_Eligible]]="Yes",Table8[[#This Row],[Gift_Amount]]*1.25,Table8[[#This Row],[Gift_Amount]])</f>
        <v>149.36249999999998</v>
      </c>
      <c r="AB763" t="str">
        <f>IF(Table8[[#This Row],[Supporter_ID]]="","Review - missing supporter ID","")</f>
        <v/>
      </c>
      <c r="AC763" t="str">
        <f>IF(OR(Table8[[#This Row],[Response_Date]]&lt;Table8[[#This Row],[Start_Date]],Table8[[#This Row],[Response_Date]]&gt;Table8[[#This Row],[End_Date]]),"Review - response outside campaign dates","")</f>
        <v/>
      </c>
      <c r="AD763" t="str">
        <f>IF(Table8[[#This Row],[Campaign_Type]]="","Review - campaign code not found","")</f>
        <v/>
      </c>
    </row>
    <row r="764" spans="1:30" x14ac:dyDescent="0.25">
      <c r="A764" t="s">
        <v>4613</v>
      </c>
      <c r="B764" t="s">
        <v>1921</v>
      </c>
      <c r="C764" t="s">
        <v>3341</v>
      </c>
      <c r="D764" t="s">
        <v>3342</v>
      </c>
      <c r="E764" t="s">
        <v>91</v>
      </c>
      <c r="F764" s="17">
        <v>45730</v>
      </c>
      <c r="G764">
        <v>250.7</v>
      </c>
      <c r="H764" t="s">
        <v>36</v>
      </c>
      <c r="I764" t="s">
        <v>3318</v>
      </c>
      <c r="J764" t="str">
        <f>_xlfn.XLOOKUP(Table8[[#This Row],[Supporter_ID]],tb1_supporters[Supporter_ID ],tb1_supporters[Segment],"")</f>
        <v>Legacy Pledger</v>
      </c>
      <c r="K764" t="str">
        <f>_xlfn.XLOOKUP(Table8[[#This Row],[Supporter_ID]],tb1_supporters[Supporter_ID ],tb1_supporters[Acquisition_Source],"")</f>
        <v>Referral</v>
      </c>
      <c r="L764" t="str">
        <f>_xlfn.XLOOKUP(Table8[[#This Row],[Supporter_ID]],tb1_supporters[Supporter_ID ],tb1_supporters[County],"")</f>
        <v>Grampian</v>
      </c>
      <c r="M764" t="str">
        <f>_xlfn.XLOOKUP(Table8[[#This Row],[Supporter_ID]],tb1_supporters[Supporter_ID ],tb1_supporters[Gender],"")</f>
        <v>Male</v>
      </c>
      <c r="N764">
        <f ca="1">_xlfn.XLOOKUP(Table8[[#This Row],[Supporter_ID]],tb1_supporters[Supporter_ID ],tb1_supporters[Age],"")</f>
        <v>82</v>
      </c>
      <c r="O764" t="str">
        <f ca="1">_xlfn.XLOOKUP(Table8[[#This Row],[Supporter_ID]],tb1_supporters[Supporter_ID ],tb1_supporters[Age_Band],"")</f>
        <v>65+</v>
      </c>
      <c r="P764" t="str">
        <f ca="1">IF(Table8[[#This Row],[Age_Band]]="","Unknown",Table8[[#This Row],[Age_Band]])</f>
        <v>65+</v>
      </c>
      <c r="Q764" t="str">
        <f>_xlfn.XLOOKUP(Table8[[#This Row],[Supporter_ID]],tb1_supporters[Supporter_ID ],tb1_supporters[Communication_Preference],"")</f>
        <v>Phone</v>
      </c>
      <c r="R764" t="str">
        <f>_xlfn.XLOOKUP(Table8[[#This Row],[Supporter_ID]],tb1_supporters[Supporter_ID ],tb1_supporters[Duplicate_Profile_Flag],"")</f>
        <v/>
      </c>
      <c r="S764" t="str">
        <f>_xlfn.XLOOKUP(Table8[[#This Row],[Supporter_ID]],tb1_supporters[Supporter_ID ],tb1_supporters[Preference_Compliance_Flag],"")</f>
        <v>Review - prefers phone but not opted in</v>
      </c>
      <c r="T764" t="str">
        <f ca="1">IF(Table8[[#This Row],[Age]]="","Review - missing DOB",IF(Table8[[#This Row],[Age]]&gt;TODAY(),"Review - future DOB",IF(Table8[[#This Row],[Age]]=0,"Review -  potential entry error (age 0)","")))</f>
        <v/>
      </c>
      <c r="U764" t="str">
        <f>_xlfn.XLOOKUP(Table8[[#This Row],[Campaign_Code]],tb3_CampaignMaster[Campaign_Code],tb3_CampaignMaster[Campaign_Type],"")</f>
        <v>Acquisition</v>
      </c>
      <c r="V764" t="str">
        <f>_xlfn.XLOOKUP(Table8[[#This Row],[Campaign_Code]],tb3_CampaignMaster[Campaign_Code],tb3_CampaignMaster[Target_Audience],"")</f>
        <v>Prospects</v>
      </c>
      <c r="W764" s="17">
        <f>_xlfn.XLOOKUP(Table8[[#This Row],[Campaign_Code]],tb3_CampaignMaster[Campaign_Code],tb3_CampaignMaster[Start_Date],"")</f>
        <v>45689</v>
      </c>
      <c r="X764" s="17">
        <f>_xlfn.XLOOKUP(Table8[[#This Row],[Campaign_Code]],tb3_CampaignMaster[Campaign_Code],tb3_CampaignMaster[End_Date],"")</f>
        <v>45777</v>
      </c>
      <c r="Y764">
        <f>_xlfn.XLOOKUP(Table8[[#This Row],[Campaign_Code]],tb3_CampaignMaster[Campaign_Code],tb3_CampaignMaster[Budget_GBP],"")</f>
        <v>20000</v>
      </c>
      <c r="Z764" t="str">
        <f>_xlfn.XLOOKUP(Table8[[#This Row],[Campaign_Code]],tb3_CampaignMaster[Campaign_Code],tb3_CampaignMaster[Primary_Channel],"")</f>
        <v>Digital</v>
      </c>
      <c r="AA764" s="13">
        <f>IF(Table8[[#This Row],[Gift_Aid_Eligible]]="Yes",Table8[[#This Row],[Gift_Amount]]*1.25,Table8[[#This Row],[Gift_Amount]])</f>
        <v>313.375</v>
      </c>
      <c r="AB764" t="str">
        <f>IF(Table8[[#This Row],[Supporter_ID]]="","Review - missing supporter ID","")</f>
        <v/>
      </c>
      <c r="AC764" t="str">
        <f>IF(OR(Table8[[#This Row],[Response_Date]]&lt;Table8[[#This Row],[Start_Date]],Table8[[#This Row],[Response_Date]]&gt;Table8[[#This Row],[End_Date]]),"Review - response outside campaign dates","")</f>
        <v/>
      </c>
      <c r="AD764" t="str">
        <f>IF(Table8[[#This Row],[Campaign_Type]]="","Review - campaign code not found","")</f>
        <v/>
      </c>
    </row>
    <row r="765" spans="1:30" x14ac:dyDescent="0.25">
      <c r="A765" t="s">
        <v>4615</v>
      </c>
      <c r="B765" t="s">
        <v>1375</v>
      </c>
      <c r="C765" t="s">
        <v>3427</v>
      </c>
      <c r="D765" t="s">
        <v>3428</v>
      </c>
      <c r="E765" t="s">
        <v>4</v>
      </c>
      <c r="F765" s="17">
        <v>45488</v>
      </c>
      <c r="G765">
        <v>135.99</v>
      </c>
      <c r="H765" t="s">
        <v>36</v>
      </c>
      <c r="I765" t="s">
        <v>3328</v>
      </c>
      <c r="J765" t="str">
        <f>_xlfn.XLOOKUP(Table8[[#This Row],[Supporter_ID]],tb1_supporters[Supporter_ID ],tb1_supporters[Segment],"")</f>
        <v>Mid-Value</v>
      </c>
      <c r="K765" t="str">
        <f>_xlfn.XLOOKUP(Table8[[#This Row],[Supporter_ID]],tb1_supporters[Supporter_ID ],tb1_supporters[Acquisition_Source],"")</f>
        <v>Social Media</v>
      </c>
      <c r="L765" t="str">
        <f>_xlfn.XLOOKUP(Table8[[#This Row],[Supporter_ID]],tb1_supporters[Supporter_ID ],tb1_supporters[County],"")</f>
        <v>Greater Manchester</v>
      </c>
      <c r="M765" t="str">
        <f>_xlfn.XLOOKUP(Table8[[#This Row],[Supporter_ID]],tb1_supporters[Supporter_ID ],tb1_supporters[Gender],"")</f>
        <v>Female</v>
      </c>
      <c r="N765">
        <f ca="1">_xlfn.XLOOKUP(Table8[[#This Row],[Supporter_ID]],tb1_supporters[Supporter_ID ],tb1_supporters[Age],"")</f>
        <v>78</v>
      </c>
      <c r="O765" t="str">
        <f ca="1">_xlfn.XLOOKUP(Table8[[#This Row],[Supporter_ID]],tb1_supporters[Supporter_ID ],tb1_supporters[Age_Band],"")</f>
        <v>65+</v>
      </c>
      <c r="P765" t="str">
        <f ca="1">IF(Table8[[#This Row],[Age_Band]]="","Unknown",Table8[[#This Row],[Age_Band]])</f>
        <v>65+</v>
      </c>
      <c r="Q765" t="str">
        <f>_xlfn.XLOOKUP(Table8[[#This Row],[Supporter_ID]],tb1_supporters[Supporter_ID ],tb1_supporters[Communication_Preference],"")</f>
        <v>Email</v>
      </c>
      <c r="R765" t="str">
        <f>_xlfn.XLOOKUP(Table8[[#This Row],[Supporter_ID]],tb1_supporters[Supporter_ID ],tb1_supporters[Duplicate_Profile_Flag],"")</f>
        <v/>
      </c>
      <c r="S765" t="str">
        <f>_xlfn.XLOOKUP(Table8[[#This Row],[Supporter_ID]],tb1_supporters[Supporter_ID ],tb1_supporters[Preference_Compliance_Flag],"")</f>
        <v>Review - prefers email but not opted in</v>
      </c>
      <c r="T765" t="str">
        <f ca="1">IF(Table8[[#This Row],[Age]]="","Review - missing DOB",IF(Table8[[#This Row],[Age]]&gt;TODAY(),"Review - future DOB",IF(Table8[[#This Row],[Age]]=0,"Review -  potential entry error (age 0)","")))</f>
        <v/>
      </c>
      <c r="U765" t="str">
        <f>_xlfn.XLOOKUP(Table8[[#This Row],[Campaign_Code]],tb3_CampaignMaster[Campaign_Code],tb3_CampaignMaster[Campaign_Type],"")</f>
        <v>Event</v>
      </c>
      <c r="V765" t="str">
        <f>_xlfn.XLOOKUP(Table8[[#This Row],[Campaign_Code]],tb3_CampaignMaster[Campaign_Code],tb3_CampaignMaster[Target_Audience],"")</f>
        <v>Major Donors</v>
      </c>
      <c r="W765" s="17">
        <f>_xlfn.XLOOKUP(Table8[[#This Row],[Campaign_Code]],tb3_CampaignMaster[Campaign_Code],tb3_CampaignMaster[Start_Date],"")</f>
        <v>45488</v>
      </c>
      <c r="X765" s="17">
        <f>_xlfn.XLOOKUP(Table8[[#This Row],[Campaign_Code]],tb3_CampaignMaster[Campaign_Code],tb3_CampaignMaster[End_Date],"")</f>
        <v>45488</v>
      </c>
      <c r="Y765">
        <f>_xlfn.XLOOKUP(Table8[[#This Row],[Campaign_Code]],tb3_CampaignMaster[Campaign_Code],tb3_CampaignMaster[Budget_GBP],"")</f>
        <v>45000</v>
      </c>
      <c r="Z765" t="str">
        <f>_xlfn.XLOOKUP(Table8[[#This Row],[Campaign_Code]],tb3_CampaignMaster[Campaign_Code],tb3_CampaignMaster[Primary_Channel],"")</f>
        <v>Direct Mail</v>
      </c>
      <c r="AA765" s="13">
        <f>IF(Table8[[#This Row],[Gift_Aid_Eligible]]="Yes",Table8[[#This Row],[Gift_Amount]]*1.25,Table8[[#This Row],[Gift_Amount]])</f>
        <v>169.98750000000001</v>
      </c>
      <c r="AB765" t="str">
        <f>IF(Table8[[#This Row],[Supporter_ID]]="","Review - missing supporter ID","")</f>
        <v/>
      </c>
      <c r="AC765" t="str">
        <f>IF(OR(Table8[[#This Row],[Response_Date]]&lt;Table8[[#This Row],[Start_Date]],Table8[[#This Row],[Response_Date]]&gt;Table8[[#This Row],[End_Date]]),"Review - response outside campaign dates","")</f>
        <v/>
      </c>
      <c r="AD765" t="str">
        <f>IF(Table8[[#This Row],[Campaign_Type]]="","Review - campaign code not found","")</f>
        <v/>
      </c>
    </row>
    <row r="766" spans="1:30" x14ac:dyDescent="0.25">
      <c r="A766" t="s">
        <v>4616</v>
      </c>
      <c r="B766" t="s">
        <v>914</v>
      </c>
      <c r="C766" t="s">
        <v>3427</v>
      </c>
      <c r="D766" t="s">
        <v>3428</v>
      </c>
      <c r="E766" t="s">
        <v>4</v>
      </c>
      <c r="F766" s="17">
        <v>45488</v>
      </c>
      <c r="G766">
        <v>3685.01</v>
      </c>
      <c r="H766" t="s">
        <v>36</v>
      </c>
      <c r="I766" t="s">
        <v>3370</v>
      </c>
      <c r="J766" t="str">
        <f>_xlfn.XLOOKUP(Table8[[#This Row],[Supporter_ID]],tb1_supporters[Supporter_ID ],tb1_supporters[Segment],"")</f>
        <v>Major Donor</v>
      </c>
      <c r="K766" t="str">
        <f>_xlfn.XLOOKUP(Table8[[#This Row],[Supporter_ID]],tb1_supporters[Supporter_ID ],tb1_supporters[Acquisition_Source],"")</f>
        <v>Corporate Partner</v>
      </c>
      <c r="L766" t="str">
        <f>_xlfn.XLOOKUP(Table8[[#This Row],[Supporter_ID]],tb1_supporters[Supporter_ID ],tb1_supporters[County],"")</f>
        <v>Buckinghamshire</v>
      </c>
      <c r="M766" t="str">
        <f>_xlfn.XLOOKUP(Table8[[#This Row],[Supporter_ID]],tb1_supporters[Supporter_ID ],tb1_supporters[Gender],"")</f>
        <v>Female</v>
      </c>
      <c r="N766">
        <f ca="1">_xlfn.XLOOKUP(Table8[[#This Row],[Supporter_ID]],tb1_supporters[Supporter_ID ],tb1_supporters[Age],"")</f>
        <v>64</v>
      </c>
      <c r="O766" t="str">
        <f ca="1">_xlfn.XLOOKUP(Table8[[#This Row],[Supporter_ID]],tb1_supporters[Supporter_ID ],tb1_supporters[Age_Band],"")</f>
        <v>50-64</v>
      </c>
      <c r="P766" t="str">
        <f ca="1">IF(Table8[[#This Row],[Age_Band]]="","Unknown",Table8[[#This Row],[Age_Band]])</f>
        <v>50-64</v>
      </c>
      <c r="Q766" t="str">
        <f>_xlfn.XLOOKUP(Table8[[#This Row],[Supporter_ID]],tb1_supporters[Supporter_ID ],tb1_supporters[Communication_Preference],"")</f>
        <v>Email</v>
      </c>
      <c r="R766" t="str">
        <f>_xlfn.XLOOKUP(Table8[[#This Row],[Supporter_ID]],tb1_supporters[Supporter_ID ],tb1_supporters[Duplicate_Profile_Flag],"")</f>
        <v/>
      </c>
      <c r="S766" t="str">
        <f>_xlfn.XLOOKUP(Table8[[#This Row],[Supporter_ID]],tb1_supporters[Supporter_ID ],tb1_supporters[Preference_Compliance_Flag],"")</f>
        <v/>
      </c>
      <c r="T766" t="str">
        <f ca="1">IF(Table8[[#This Row],[Age]]="","Review - missing DOB",IF(Table8[[#This Row],[Age]]&gt;TODAY(),"Review - future DOB",IF(Table8[[#This Row],[Age]]=0,"Review -  potential entry error (age 0)","")))</f>
        <v/>
      </c>
      <c r="U766" t="str">
        <f>_xlfn.XLOOKUP(Table8[[#This Row],[Campaign_Code]],tb3_CampaignMaster[Campaign_Code],tb3_CampaignMaster[Campaign_Type],"")</f>
        <v>Event</v>
      </c>
      <c r="V766" t="str">
        <f>_xlfn.XLOOKUP(Table8[[#This Row],[Campaign_Code]],tb3_CampaignMaster[Campaign_Code],tb3_CampaignMaster[Target_Audience],"")</f>
        <v>Major Donors</v>
      </c>
      <c r="W766" s="17">
        <f>_xlfn.XLOOKUP(Table8[[#This Row],[Campaign_Code]],tb3_CampaignMaster[Campaign_Code],tb3_CampaignMaster[Start_Date],"")</f>
        <v>45488</v>
      </c>
      <c r="X766" s="17">
        <f>_xlfn.XLOOKUP(Table8[[#This Row],[Campaign_Code]],tb3_CampaignMaster[Campaign_Code],tb3_CampaignMaster[End_Date],"")</f>
        <v>45488</v>
      </c>
      <c r="Y766">
        <f>_xlfn.XLOOKUP(Table8[[#This Row],[Campaign_Code]],tb3_CampaignMaster[Campaign_Code],tb3_CampaignMaster[Budget_GBP],"")</f>
        <v>45000</v>
      </c>
      <c r="Z766" t="str">
        <f>_xlfn.XLOOKUP(Table8[[#This Row],[Campaign_Code]],tb3_CampaignMaster[Campaign_Code],tb3_CampaignMaster[Primary_Channel],"")</f>
        <v>Direct Mail</v>
      </c>
      <c r="AA766" s="13">
        <f>IF(Table8[[#This Row],[Gift_Aid_Eligible]]="Yes",Table8[[#This Row],[Gift_Amount]]*1.25,Table8[[#This Row],[Gift_Amount]])</f>
        <v>4606.2625000000007</v>
      </c>
      <c r="AB766" t="str">
        <f>IF(Table8[[#This Row],[Supporter_ID]]="","Review - missing supporter ID","")</f>
        <v/>
      </c>
      <c r="AC766" t="str">
        <f>IF(OR(Table8[[#This Row],[Response_Date]]&lt;Table8[[#This Row],[Start_Date]],Table8[[#This Row],[Response_Date]]&gt;Table8[[#This Row],[End_Date]]),"Review - response outside campaign dates","")</f>
        <v/>
      </c>
      <c r="AD766" t="str">
        <f>IF(Table8[[#This Row],[Campaign_Type]]="","Review - campaign code not found","")</f>
        <v/>
      </c>
    </row>
    <row r="767" spans="1:30" x14ac:dyDescent="0.25">
      <c r="A767" t="s">
        <v>4617</v>
      </c>
      <c r="B767" t="s">
        <v>1591</v>
      </c>
      <c r="C767" t="s">
        <v>3403</v>
      </c>
      <c r="D767" t="s">
        <v>3404</v>
      </c>
      <c r="E767" t="s">
        <v>4</v>
      </c>
      <c r="F767" s="17">
        <v>45594</v>
      </c>
      <c r="G767">
        <v>91.98</v>
      </c>
      <c r="H767" t="s">
        <v>36</v>
      </c>
      <c r="I767" t="s">
        <v>3370</v>
      </c>
      <c r="J767" t="str">
        <f>_xlfn.XLOOKUP(Table8[[#This Row],[Supporter_ID]],tb1_supporters[Supporter_ID ],tb1_supporters[Segment],"")</f>
        <v>Mid-Value</v>
      </c>
      <c r="K767" t="str">
        <f>_xlfn.XLOOKUP(Table8[[#This Row],[Supporter_ID]],tb1_supporters[Supporter_ID ],tb1_supporters[Acquisition_Source],"")</f>
        <v>Corporate Partner</v>
      </c>
      <c r="L767" t="str">
        <f>_xlfn.XLOOKUP(Table8[[#This Row],[Supporter_ID]],tb1_supporters[Supporter_ID ],tb1_supporters[County],"")</f>
        <v>South Glamorgan</v>
      </c>
      <c r="M767" t="str">
        <f>_xlfn.XLOOKUP(Table8[[#This Row],[Supporter_ID]],tb1_supporters[Supporter_ID ],tb1_supporters[Gender],"")</f>
        <v>Male</v>
      </c>
      <c r="N767">
        <f ca="1">_xlfn.XLOOKUP(Table8[[#This Row],[Supporter_ID]],tb1_supporters[Supporter_ID ],tb1_supporters[Age],"")</f>
        <v>72</v>
      </c>
      <c r="O767" t="str">
        <f ca="1">_xlfn.XLOOKUP(Table8[[#This Row],[Supporter_ID]],tb1_supporters[Supporter_ID ],tb1_supporters[Age_Band],"")</f>
        <v>65+</v>
      </c>
      <c r="P767" t="str">
        <f ca="1">IF(Table8[[#This Row],[Age_Band]]="","Unknown",Table8[[#This Row],[Age_Band]])</f>
        <v>65+</v>
      </c>
      <c r="Q767" t="str">
        <f>_xlfn.XLOOKUP(Table8[[#This Row],[Supporter_ID]],tb1_supporters[Supporter_ID ],tb1_supporters[Communication_Preference],"")</f>
        <v>Email</v>
      </c>
      <c r="R767" t="str">
        <f>_xlfn.XLOOKUP(Table8[[#This Row],[Supporter_ID]],tb1_supporters[Supporter_ID ],tb1_supporters[Duplicate_Profile_Flag],"")</f>
        <v/>
      </c>
      <c r="S767" t="str">
        <f>_xlfn.XLOOKUP(Table8[[#This Row],[Supporter_ID]],tb1_supporters[Supporter_ID ],tb1_supporters[Preference_Compliance_Flag],"")</f>
        <v/>
      </c>
      <c r="T767" t="str">
        <f ca="1">IF(Table8[[#This Row],[Age]]="","Review - missing DOB",IF(Table8[[#This Row],[Age]]&gt;TODAY(),"Review - future DOB",IF(Table8[[#This Row],[Age]]=0,"Review -  potential entry error (age 0)","")))</f>
        <v/>
      </c>
      <c r="U767" t="str">
        <f>_xlfn.XLOOKUP(Table8[[#This Row],[Campaign_Code]],tb3_CampaignMaster[Campaign_Code],tb3_CampaignMaster[Campaign_Type],"")</f>
        <v>Trading</v>
      </c>
      <c r="V767" t="str">
        <f>_xlfn.XLOOKUP(Table8[[#This Row],[Campaign_Code]],tb3_CampaignMaster[Campaign_Code],tb3_CampaignMaster[Target_Audience],"")</f>
        <v>All Active</v>
      </c>
      <c r="W767" s="17">
        <f>_xlfn.XLOOKUP(Table8[[#This Row],[Campaign_Code]],tb3_CampaignMaster[Campaign_Code],tb3_CampaignMaster[Start_Date],"")</f>
        <v>45580</v>
      </c>
      <c r="X767" s="17">
        <f>_xlfn.XLOOKUP(Table8[[#This Row],[Campaign_Code]],tb3_CampaignMaster[Campaign_Code],tb3_CampaignMaster[End_Date],"")</f>
        <v>45646</v>
      </c>
      <c r="Y767">
        <f>_xlfn.XLOOKUP(Table8[[#This Row],[Campaign_Code]],tb3_CampaignMaster[Campaign_Code],tb3_CampaignMaster[Budget_GBP],"")</f>
        <v>12000</v>
      </c>
      <c r="Z767" t="str">
        <f>_xlfn.XLOOKUP(Table8[[#This Row],[Campaign_Code]],tb3_CampaignMaster[Campaign_Code],tb3_CampaignMaster[Primary_Channel],"")</f>
        <v>Multi-channel</v>
      </c>
      <c r="AA767" s="13">
        <f>IF(Table8[[#This Row],[Gift_Aid_Eligible]]="Yes",Table8[[#This Row],[Gift_Amount]]*1.25,Table8[[#This Row],[Gift_Amount]])</f>
        <v>114.97500000000001</v>
      </c>
      <c r="AB767" t="str">
        <f>IF(Table8[[#This Row],[Supporter_ID]]="","Review - missing supporter ID","")</f>
        <v/>
      </c>
      <c r="AC767" t="str">
        <f>IF(OR(Table8[[#This Row],[Response_Date]]&lt;Table8[[#This Row],[Start_Date]],Table8[[#This Row],[Response_Date]]&gt;Table8[[#This Row],[End_Date]]),"Review - response outside campaign dates","")</f>
        <v/>
      </c>
      <c r="AD767" t="str">
        <f>IF(Table8[[#This Row],[Campaign_Type]]="","Review - campaign code not found","")</f>
        <v/>
      </c>
    </row>
    <row r="768" spans="1:30" x14ac:dyDescent="0.25">
      <c r="A768" t="s">
        <v>4618</v>
      </c>
      <c r="B768" t="s">
        <v>1386</v>
      </c>
      <c r="C768" t="s">
        <v>3341</v>
      </c>
      <c r="D768" t="s">
        <v>3342</v>
      </c>
      <c r="E768" t="s">
        <v>91</v>
      </c>
      <c r="F768" s="17">
        <v>45741</v>
      </c>
      <c r="G768">
        <v>180.31</v>
      </c>
      <c r="H768" t="s">
        <v>37</v>
      </c>
      <c r="I768" t="s">
        <v>3328</v>
      </c>
      <c r="J768" t="str">
        <f>_xlfn.XLOOKUP(Table8[[#This Row],[Supporter_ID]],tb1_supporters[Supporter_ID ],tb1_supporters[Segment],"")</f>
        <v>Mid-Value</v>
      </c>
      <c r="K768" t="str">
        <f>_xlfn.XLOOKUP(Table8[[#This Row],[Supporter_ID]],tb1_supporters[Supporter_ID ],tb1_supporters[Acquisition_Source],"")</f>
        <v>Telephone</v>
      </c>
      <c r="L768" t="str">
        <f>_xlfn.XLOOKUP(Table8[[#This Row],[Supporter_ID]],tb1_supporters[Supporter_ID ],tb1_supporters[County],"")</f>
        <v>Norfolk</v>
      </c>
      <c r="M768" t="str">
        <f>_xlfn.XLOOKUP(Table8[[#This Row],[Supporter_ID]],tb1_supporters[Supporter_ID ],tb1_supporters[Gender],"")</f>
        <v>Female</v>
      </c>
      <c r="N768">
        <f ca="1">_xlfn.XLOOKUP(Table8[[#This Row],[Supporter_ID]],tb1_supporters[Supporter_ID ],tb1_supporters[Age],"")</f>
        <v>44</v>
      </c>
      <c r="O768" t="str">
        <f ca="1">_xlfn.XLOOKUP(Table8[[#This Row],[Supporter_ID]],tb1_supporters[Supporter_ID ],tb1_supporters[Age_Band],"")</f>
        <v>35-49</v>
      </c>
      <c r="P768" t="str">
        <f ca="1">IF(Table8[[#This Row],[Age_Band]]="","Unknown",Table8[[#This Row],[Age_Band]])</f>
        <v>35-49</v>
      </c>
      <c r="Q768" t="str">
        <f>_xlfn.XLOOKUP(Table8[[#This Row],[Supporter_ID]],tb1_supporters[Supporter_ID ],tb1_supporters[Communication_Preference],"")</f>
        <v>Post</v>
      </c>
      <c r="R768" t="str">
        <f>_xlfn.XLOOKUP(Table8[[#This Row],[Supporter_ID]],tb1_supporters[Supporter_ID ],tb1_supporters[Duplicate_Profile_Flag],"")</f>
        <v/>
      </c>
      <c r="S768" t="str">
        <f>_xlfn.XLOOKUP(Table8[[#This Row],[Supporter_ID]],tb1_supporters[Supporter_ID ],tb1_supporters[Preference_Compliance_Flag],"")</f>
        <v/>
      </c>
      <c r="T768" t="str">
        <f ca="1">IF(Table8[[#This Row],[Age]]="","Review - missing DOB",IF(Table8[[#This Row],[Age]]&gt;TODAY(),"Review - future DOB",IF(Table8[[#This Row],[Age]]=0,"Review -  potential entry error (age 0)","")))</f>
        <v/>
      </c>
      <c r="U768" t="str">
        <f>_xlfn.XLOOKUP(Table8[[#This Row],[Campaign_Code]],tb3_CampaignMaster[Campaign_Code],tb3_CampaignMaster[Campaign_Type],"")</f>
        <v>Acquisition</v>
      </c>
      <c r="V768" t="str">
        <f>_xlfn.XLOOKUP(Table8[[#This Row],[Campaign_Code]],tb3_CampaignMaster[Campaign_Code],tb3_CampaignMaster[Target_Audience],"")</f>
        <v>Prospects</v>
      </c>
      <c r="W768" s="17">
        <f>_xlfn.XLOOKUP(Table8[[#This Row],[Campaign_Code]],tb3_CampaignMaster[Campaign_Code],tb3_CampaignMaster[Start_Date],"")</f>
        <v>45689</v>
      </c>
      <c r="X768" s="17">
        <f>_xlfn.XLOOKUP(Table8[[#This Row],[Campaign_Code]],tb3_CampaignMaster[Campaign_Code],tb3_CampaignMaster[End_Date],"")</f>
        <v>45777</v>
      </c>
      <c r="Y768">
        <f>_xlfn.XLOOKUP(Table8[[#This Row],[Campaign_Code]],tb3_CampaignMaster[Campaign_Code],tb3_CampaignMaster[Budget_GBP],"")</f>
        <v>20000</v>
      </c>
      <c r="Z768" t="str">
        <f>_xlfn.XLOOKUP(Table8[[#This Row],[Campaign_Code]],tb3_CampaignMaster[Campaign_Code],tb3_CampaignMaster[Primary_Channel],"")</f>
        <v>Digital</v>
      </c>
      <c r="AA768" s="13">
        <f>IF(Table8[[#This Row],[Gift_Aid_Eligible]]="Yes",Table8[[#This Row],[Gift_Amount]]*1.25,Table8[[#This Row],[Gift_Amount]])</f>
        <v>180.31</v>
      </c>
      <c r="AB768" t="str">
        <f>IF(Table8[[#This Row],[Supporter_ID]]="","Review - missing supporter ID","")</f>
        <v/>
      </c>
      <c r="AC768" t="str">
        <f>IF(OR(Table8[[#This Row],[Response_Date]]&lt;Table8[[#This Row],[Start_Date]],Table8[[#This Row],[Response_Date]]&gt;Table8[[#This Row],[End_Date]]),"Review - response outside campaign dates","")</f>
        <v/>
      </c>
      <c r="AD768" t="str">
        <f>IF(Table8[[#This Row],[Campaign_Type]]="","Review - campaign code not found","")</f>
        <v/>
      </c>
    </row>
    <row r="769" spans="1:30" x14ac:dyDescent="0.25">
      <c r="A769" t="s">
        <v>4619</v>
      </c>
      <c r="B769" t="s">
        <v>3223</v>
      </c>
      <c r="C769" t="s">
        <v>3314</v>
      </c>
      <c r="D769" t="s">
        <v>3315</v>
      </c>
      <c r="E769" t="s">
        <v>65</v>
      </c>
      <c r="F769" s="17">
        <v>45680</v>
      </c>
      <c r="G769">
        <v>32.159999999999997</v>
      </c>
      <c r="H769" t="s">
        <v>36</v>
      </c>
      <c r="I769" t="s">
        <v>3334</v>
      </c>
      <c r="J769" t="str">
        <f>_xlfn.XLOOKUP(Table8[[#This Row],[Supporter_ID]],tb1_supporters[Supporter_ID ],tb1_supporters[Segment],"")</f>
        <v>Regular Giver</v>
      </c>
      <c r="K769" t="str">
        <f>_xlfn.XLOOKUP(Table8[[#This Row],[Supporter_ID]],tb1_supporters[Supporter_ID ],tb1_supporters[Acquisition_Source],"")</f>
        <v>Event</v>
      </c>
      <c r="L769" t="str">
        <f>_xlfn.XLOOKUP(Table8[[#This Row],[Supporter_ID]],tb1_supporters[Supporter_ID ],tb1_supporters[County],"")</f>
        <v>Hertfordshire</v>
      </c>
      <c r="M769" t="str">
        <f>_xlfn.XLOOKUP(Table8[[#This Row],[Supporter_ID]],tb1_supporters[Supporter_ID ],tb1_supporters[Gender],"")</f>
        <v>Female</v>
      </c>
      <c r="N769">
        <f ca="1">_xlfn.XLOOKUP(Table8[[#This Row],[Supporter_ID]],tb1_supporters[Supporter_ID ],tb1_supporters[Age],"")</f>
        <v>62</v>
      </c>
      <c r="O769" t="str">
        <f ca="1">_xlfn.XLOOKUP(Table8[[#This Row],[Supporter_ID]],tb1_supporters[Supporter_ID ],tb1_supporters[Age_Band],"")</f>
        <v>50-64</v>
      </c>
      <c r="P769" t="str">
        <f ca="1">IF(Table8[[#This Row],[Age_Band]]="","Unknown",Table8[[#This Row],[Age_Band]])</f>
        <v>50-64</v>
      </c>
      <c r="Q769" t="str">
        <f>_xlfn.XLOOKUP(Table8[[#This Row],[Supporter_ID]],tb1_supporters[Supporter_ID ],tb1_supporters[Communication_Preference],"")</f>
        <v>Email</v>
      </c>
      <c r="R769" t="str">
        <f>_xlfn.XLOOKUP(Table8[[#This Row],[Supporter_ID]],tb1_supporters[Supporter_ID ],tb1_supporters[Duplicate_Profile_Flag],"")</f>
        <v/>
      </c>
      <c r="S769" t="str">
        <f>_xlfn.XLOOKUP(Table8[[#This Row],[Supporter_ID]],tb1_supporters[Supporter_ID ],tb1_supporters[Preference_Compliance_Flag],"")</f>
        <v/>
      </c>
      <c r="T769" t="str">
        <f ca="1">IF(Table8[[#This Row],[Age]]="","Review - missing DOB",IF(Table8[[#This Row],[Age]]&gt;TODAY(),"Review - future DOB",IF(Table8[[#This Row],[Age]]=0,"Review -  potential entry error (age 0)","")))</f>
        <v/>
      </c>
      <c r="U769" t="str">
        <f>_xlfn.XLOOKUP(Table8[[#This Row],[Campaign_Code]],tb3_CampaignMaster[Campaign_Code],tb3_CampaignMaster[Campaign_Type],"")</f>
        <v>Regular Giving</v>
      </c>
      <c r="V769" t="str">
        <f>_xlfn.XLOOKUP(Table8[[#This Row],[Campaign_Code]],tb3_CampaignMaster[Campaign_Code],tb3_CampaignMaster[Target_Audience],"")</f>
        <v>One-time Donors</v>
      </c>
      <c r="W769" s="17">
        <f>_xlfn.XLOOKUP(Table8[[#This Row],[Campaign_Code]],tb3_CampaignMaster[Campaign_Code],tb3_CampaignMaster[Start_Date],"")</f>
        <v>45663</v>
      </c>
      <c r="X769" s="17">
        <f>_xlfn.XLOOKUP(Table8[[#This Row],[Campaign_Code]],tb3_CampaignMaster[Campaign_Code],tb3_CampaignMaster[End_Date],"")</f>
        <v>45747</v>
      </c>
      <c r="Y769">
        <f>_xlfn.XLOOKUP(Table8[[#This Row],[Campaign_Code]],tb3_CampaignMaster[Campaign_Code],tb3_CampaignMaster[Budget_GBP],"")</f>
        <v>10000</v>
      </c>
      <c r="Z769" t="str">
        <f>_xlfn.XLOOKUP(Table8[[#This Row],[Campaign_Code]],tb3_CampaignMaster[Campaign_Code],tb3_CampaignMaster[Primary_Channel],"")</f>
        <v>Telephone</v>
      </c>
      <c r="AA769" s="13">
        <f>IF(Table8[[#This Row],[Gift_Aid_Eligible]]="Yes",Table8[[#This Row],[Gift_Amount]]*1.25,Table8[[#This Row],[Gift_Amount]])</f>
        <v>40.199999999999996</v>
      </c>
      <c r="AB769" t="str">
        <f>IF(Table8[[#This Row],[Supporter_ID]]="","Review - missing supporter ID","")</f>
        <v/>
      </c>
      <c r="AC769" t="str">
        <f>IF(OR(Table8[[#This Row],[Response_Date]]&lt;Table8[[#This Row],[Start_Date]],Table8[[#This Row],[Response_Date]]&gt;Table8[[#This Row],[End_Date]]),"Review - response outside campaign dates","")</f>
        <v/>
      </c>
      <c r="AD769" t="str">
        <f>IF(Table8[[#This Row],[Campaign_Type]]="","Review - campaign code not found","")</f>
        <v/>
      </c>
    </row>
    <row r="770" spans="1:30" x14ac:dyDescent="0.25">
      <c r="A770" t="s">
        <v>4621</v>
      </c>
      <c r="B770" t="s">
        <v>1784</v>
      </c>
      <c r="C770" t="s">
        <v>3336</v>
      </c>
      <c r="D770" t="s">
        <v>3337</v>
      </c>
      <c r="E770" t="s">
        <v>3338</v>
      </c>
      <c r="F770" s="17">
        <v>45567</v>
      </c>
      <c r="G770">
        <v>33.64</v>
      </c>
      <c r="H770" t="s">
        <v>36</v>
      </c>
      <c r="I770" t="s">
        <v>3365</v>
      </c>
      <c r="J770" t="str">
        <f>_xlfn.XLOOKUP(Table8[[#This Row],[Supporter_ID]],tb1_supporters[Supporter_ID ],tb1_supporters[Segment],"")</f>
        <v>Regular Giver</v>
      </c>
      <c r="K770" t="str">
        <f>_xlfn.XLOOKUP(Table8[[#This Row],[Supporter_ID]],tb1_supporters[Supporter_ID ],tb1_supporters[Acquisition_Source],"")</f>
        <v>Direct Mail</v>
      </c>
      <c r="L770" t="str">
        <f>_xlfn.XLOOKUP(Table8[[#This Row],[Supporter_ID]],tb1_supporters[Supporter_ID ],tb1_supporters[County],"")</f>
        <v>Greater Manchester</v>
      </c>
      <c r="M770" t="str">
        <f>_xlfn.XLOOKUP(Table8[[#This Row],[Supporter_ID]],tb1_supporters[Supporter_ID ],tb1_supporters[Gender],"")</f>
        <v>Male</v>
      </c>
      <c r="N770">
        <f ca="1">_xlfn.XLOOKUP(Table8[[#This Row],[Supporter_ID]],tb1_supporters[Supporter_ID ],tb1_supporters[Age],"")</f>
        <v>28</v>
      </c>
      <c r="O770" t="str">
        <f ca="1">_xlfn.XLOOKUP(Table8[[#This Row],[Supporter_ID]],tb1_supporters[Supporter_ID ],tb1_supporters[Age_Band],"")</f>
        <v>18-34</v>
      </c>
      <c r="P770" t="str">
        <f ca="1">IF(Table8[[#This Row],[Age_Band]]="","Unknown",Table8[[#This Row],[Age_Band]])</f>
        <v>18-34</v>
      </c>
      <c r="Q770" t="str">
        <f>_xlfn.XLOOKUP(Table8[[#This Row],[Supporter_ID]],tb1_supporters[Supporter_ID ],tb1_supporters[Communication_Preference],"")</f>
        <v>Phone</v>
      </c>
      <c r="R770" t="str">
        <f>_xlfn.XLOOKUP(Table8[[#This Row],[Supporter_ID]],tb1_supporters[Supporter_ID ],tb1_supporters[Duplicate_Profile_Flag],"")</f>
        <v/>
      </c>
      <c r="S770" t="str">
        <f>_xlfn.XLOOKUP(Table8[[#This Row],[Supporter_ID]],tb1_supporters[Supporter_ID ],tb1_supporters[Preference_Compliance_Flag],"")</f>
        <v/>
      </c>
      <c r="T770" t="str">
        <f ca="1">IF(Table8[[#This Row],[Age]]="","Review - missing DOB",IF(Table8[[#This Row],[Age]]&gt;TODAY(),"Review - future DOB",IF(Table8[[#This Row],[Age]]=0,"Review -  potential entry error (age 0)","")))</f>
        <v/>
      </c>
      <c r="U770" t="str">
        <f>_xlfn.XLOOKUP(Table8[[#This Row],[Campaign_Code]],tb3_CampaignMaster[Campaign_Code],tb3_CampaignMaster[Campaign_Type],"")</f>
        <v>Appeal</v>
      </c>
      <c r="V770" t="str">
        <f>_xlfn.XLOOKUP(Table8[[#This Row],[Campaign_Code]],tb3_CampaignMaster[Campaign_Code],tb3_CampaignMaster[Target_Audience],"")</f>
        <v>All Supporters</v>
      </c>
      <c r="W770" s="17">
        <f>_xlfn.XLOOKUP(Table8[[#This Row],[Campaign_Code]],tb3_CampaignMaster[Campaign_Code],tb3_CampaignMaster[Start_Date],"")</f>
        <v>45545</v>
      </c>
      <c r="X770" s="17">
        <f>_xlfn.XLOOKUP(Table8[[#This Row],[Campaign_Code]],tb3_CampaignMaster[Campaign_Code],tb3_CampaignMaster[End_Date],"")</f>
        <v>45580</v>
      </c>
      <c r="Y770">
        <f>_xlfn.XLOOKUP(Table8[[#This Row],[Campaign_Code]],tb3_CampaignMaster[Campaign_Code],tb3_CampaignMaster[Budget_GBP],"")</f>
        <v>15000</v>
      </c>
      <c r="Z770" t="str">
        <f>_xlfn.XLOOKUP(Table8[[#This Row],[Campaign_Code]],tb3_CampaignMaster[Campaign_Code],tb3_CampaignMaster[Primary_Channel],"")</f>
        <v>Email</v>
      </c>
      <c r="AA770" s="13">
        <f>IF(Table8[[#This Row],[Gift_Aid_Eligible]]="Yes",Table8[[#This Row],[Gift_Amount]]*1.25,Table8[[#This Row],[Gift_Amount]])</f>
        <v>42.05</v>
      </c>
      <c r="AB770" t="str">
        <f>IF(Table8[[#This Row],[Supporter_ID]]="","Review - missing supporter ID","")</f>
        <v/>
      </c>
      <c r="AC770" t="str">
        <f>IF(OR(Table8[[#This Row],[Response_Date]]&lt;Table8[[#This Row],[Start_Date]],Table8[[#This Row],[Response_Date]]&gt;Table8[[#This Row],[End_Date]]),"Review - response outside campaign dates","")</f>
        <v/>
      </c>
      <c r="AD770" t="str">
        <f>IF(Table8[[#This Row],[Campaign_Type]]="","Review - campaign code not found","")</f>
        <v/>
      </c>
    </row>
    <row r="771" spans="1:30" x14ac:dyDescent="0.25">
      <c r="A771" t="s">
        <v>4623</v>
      </c>
      <c r="B771" t="s">
        <v>1250</v>
      </c>
      <c r="C771" t="s">
        <v>3367</v>
      </c>
      <c r="D771" t="s">
        <v>3368</v>
      </c>
      <c r="E771" t="s">
        <v>4</v>
      </c>
      <c r="F771" s="17">
        <v>45718</v>
      </c>
      <c r="G771">
        <v>2440.1999999999998</v>
      </c>
      <c r="H771" t="s">
        <v>36</v>
      </c>
      <c r="I771" t="s">
        <v>3365</v>
      </c>
      <c r="J771" t="str">
        <f>_xlfn.XLOOKUP(Table8[[#This Row],[Supporter_ID]],tb1_supporters[Supporter_ID ],tb1_supporters[Segment],"")</f>
        <v>Major Donor</v>
      </c>
      <c r="K771" t="str">
        <f>_xlfn.XLOOKUP(Table8[[#This Row],[Supporter_ID]],tb1_supporters[Supporter_ID ],tb1_supporters[Acquisition_Source],"")</f>
        <v>Direct Mail</v>
      </c>
      <c r="L771" t="str">
        <f>_xlfn.XLOOKUP(Table8[[#This Row],[Supporter_ID]],tb1_supporters[Supporter_ID ],tb1_supporters[County],"")</f>
        <v>Greater Manchester</v>
      </c>
      <c r="M771" t="str">
        <f>_xlfn.XLOOKUP(Table8[[#This Row],[Supporter_ID]],tb1_supporters[Supporter_ID ],tb1_supporters[Gender],"")</f>
        <v>Male</v>
      </c>
      <c r="N771">
        <f ca="1">_xlfn.XLOOKUP(Table8[[#This Row],[Supporter_ID]],tb1_supporters[Supporter_ID ],tb1_supporters[Age],"")</f>
        <v>49</v>
      </c>
      <c r="O771" t="str">
        <f ca="1">_xlfn.XLOOKUP(Table8[[#This Row],[Supporter_ID]],tb1_supporters[Supporter_ID ],tb1_supporters[Age_Band],"")</f>
        <v>35-49</v>
      </c>
      <c r="P771" t="str">
        <f ca="1">IF(Table8[[#This Row],[Age_Band]]="","Unknown",Table8[[#This Row],[Age_Band]])</f>
        <v>35-49</v>
      </c>
      <c r="Q771" t="str">
        <f>_xlfn.XLOOKUP(Table8[[#This Row],[Supporter_ID]],tb1_supporters[Supporter_ID ],tb1_supporters[Communication_Preference],"")</f>
        <v>Phone</v>
      </c>
      <c r="R771" t="str">
        <f>_xlfn.XLOOKUP(Table8[[#This Row],[Supporter_ID]],tb1_supporters[Supporter_ID ],tb1_supporters[Duplicate_Profile_Flag],"")</f>
        <v/>
      </c>
      <c r="S771" t="str">
        <f>_xlfn.XLOOKUP(Table8[[#This Row],[Supporter_ID]],tb1_supporters[Supporter_ID ],tb1_supporters[Preference_Compliance_Flag],"")</f>
        <v/>
      </c>
      <c r="T771" t="str">
        <f ca="1">IF(Table8[[#This Row],[Age]]="","Review - missing DOB",IF(Table8[[#This Row],[Age]]&gt;TODAY(),"Review - future DOB",IF(Table8[[#This Row],[Age]]=0,"Review -  potential entry error (age 0)","")))</f>
        <v/>
      </c>
      <c r="U771" t="str">
        <f>_xlfn.XLOOKUP(Table8[[#This Row],[Campaign_Code]],tb3_CampaignMaster[Campaign_Code],tb3_CampaignMaster[Campaign_Type],"")</f>
        <v>Raffle</v>
      </c>
      <c r="V771" t="str">
        <f>_xlfn.XLOOKUP(Table8[[#This Row],[Campaign_Code]],tb3_CampaignMaster[Campaign_Code],tb3_CampaignMaster[Target_Audience],"")</f>
        <v>Regular Givers</v>
      </c>
      <c r="W771" s="17">
        <f>_xlfn.XLOOKUP(Table8[[#This Row],[Campaign_Code]],tb3_CampaignMaster[Campaign_Code],tb3_CampaignMaster[Start_Date],"")</f>
        <v>45717</v>
      </c>
      <c r="X771" s="17">
        <f>_xlfn.XLOOKUP(Table8[[#This Row],[Campaign_Code]],tb3_CampaignMaster[Campaign_Code],tb3_CampaignMaster[End_Date],"")</f>
        <v>45777</v>
      </c>
      <c r="Y771">
        <f>_xlfn.XLOOKUP(Table8[[#This Row],[Campaign_Code]],tb3_CampaignMaster[Campaign_Code],tb3_CampaignMaster[Budget_GBP],"")</f>
        <v>8000</v>
      </c>
      <c r="Z771" t="str">
        <f>_xlfn.XLOOKUP(Table8[[#This Row],[Campaign_Code]],tb3_CampaignMaster[Campaign_Code],tb3_CampaignMaster[Primary_Channel],"")</f>
        <v>Direct Mail</v>
      </c>
      <c r="AA771" s="13">
        <f>IF(Table8[[#This Row],[Gift_Aid_Eligible]]="Yes",Table8[[#This Row],[Gift_Amount]]*1.25,Table8[[#This Row],[Gift_Amount]])</f>
        <v>3050.25</v>
      </c>
      <c r="AB771" t="str">
        <f>IF(Table8[[#This Row],[Supporter_ID]]="","Review - missing supporter ID","")</f>
        <v/>
      </c>
      <c r="AC771" t="str">
        <f>IF(OR(Table8[[#This Row],[Response_Date]]&lt;Table8[[#This Row],[Start_Date]],Table8[[#This Row],[Response_Date]]&gt;Table8[[#This Row],[End_Date]]),"Review - response outside campaign dates","")</f>
        <v/>
      </c>
      <c r="AD771" t="str">
        <f>IF(Table8[[#This Row],[Campaign_Type]]="","Review - campaign code not found","")</f>
        <v/>
      </c>
    </row>
    <row r="772" spans="1:30" x14ac:dyDescent="0.25">
      <c r="A772" t="s">
        <v>4624</v>
      </c>
      <c r="B772" t="s">
        <v>256</v>
      </c>
      <c r="C772" t="s">
        <v>3336</v>
      </c>
      <c r="D772" t="s">
        <v>3337</v>
      </c>
      <c r="E772" t="s">
        <v>3338</v>
      </c>
      <c r="F772" s="17">
        <v>45549</v>
      </c>
      <c r="G772">
        <v>4323.72</v>
      </c>
      <c r="H772" t="s">
        <v>36</v>
      </c>
      <c r="I772" t="s">
        <v>3328</v>
      </c>
      <c r="J772" t="str">
        <f>_xlfn.XLOOKUP(Table8[[#This Row],[Supporter_ID]],tb1_supporters[Supporter_ID ],tb1_supporters[Segment],"")</f>
        <v>Major Donor</v>
      </c>
      <c r="K772" t="str">
        <f>_xlfn.XLOOKUP(Table8[[#This Row],[Supporter_ID]],tb1_supporters[Supporter_ID ],tb1_supporters[Acquisition_Source],"")</f>
        <v>Website</v>
      </c>
      <c r="L772" t="str">
        <f>_xlfn.XLOOKUP(Table8[[#This Row],[Supporter_ID]],tb1_supporters[Supporter_ID ],tb1_supporters[County],"")</f>
        <v>Hampshire</v>
      </c>
      <c r="M772" t="str">
        <f>_xlfn.XLOOKUP(Table8[[#This Row],[Supporter_ID]],tb1_supporters[Supporter_ID ],tb1_supporters[Gender],"")</f>
        <v>Male</v>
      </c>
      <c r="N772">
        <f ca="1">_xlfn.XLOOKUP(Table8[[#This Row],[Supporter_ID]],tb1_supporters[Supporter_ID ],tb1_supporters[Age],"")</f>
        <v>49</v>
      </c>
      <c r="O772" t="str">
        <f ca="1">_xlfn.XLOOKUP(Table8[[#This Row],[Supporter_ID]],tb1_supporters[Supporter_ID ],tb1_supporters[Age_Band],"")</f>
        <v>35-49</v>
      </c>
      <c r="P772" t="str">
        <f ca="1">IF(Table8[[#This Row],[Age_Band]]="","Unknown",Table8[[#This Row],[Age_Band]])</f>
        <v>35-49</v>
      </c>
      <c r="Q772" t="str">
        <f>_xlfn.XLOOKUP(Table8[[#This Row],[Supporter_ID]],tb1_supporters[Supporter_ID ],tb1_supporters[Communication_Preference],"")</f>
        <v>No Preference</v>
      </c>
      <c r="R772" t="str">
        <f>_xlfn.XLOOKUP(Table8[[#This Row],[Supporter_ID]],tb1_supporters[Supporter_ID ],tb1_supporters[Duplicate_Profile_Flag],"")</f>
        <v/>
      </c>
      <c r="S772" t="str">
        <f>_xlfn.XLOOKUP(Table8[[#This Row],[Supporter_ID]],tb1_supporters[Supporter_ID ],tb1_supporters[Preference_Compliance_Flag],"")</f>
        <v/>
      </c>
      <c r="T772" t="str">
        <f ca="1">IF(Table8[[#This Row],[Age]]="","Review - missing DOB",IF(Table8[[#This Row],[Age]]&gt;TODAY(),"Review - future DOB",IF(Table8[[#This Row],[Age]]=0,"Review -  potential entry error (age 0)","")))</f>
        <v/>
      </c>
      <c r="U772" t="str">
        <f>_xlfn.XLOOKUP(Table8[[#This Row],[Campaign_Code]],tb3_CampaignMaster[Campaign_Code],tb3_CampaignMaster[Campaign_Type],"")</f>
        <v>Appeal</v>
      </c>
      <c r="V772" t="str">
        <f>_xlfn.XLOOKUP(Table8[[#This Row],[Campaign_Code]],tb3_CampaignMaster[Campaign_Code],tb3_CampaignMaster[Target_Audience],"")</f>
        <v>All Supporters</v>
      </c>
      <c r="W772" s="17">
        <f>_xlfn.XLOOKUP(Table8[[#This Row],[Campaign_Code]],tb3_CampaignMaster[Campaign_Code],tb3_CampaignMaster[Start_Date],"")</f>
        <v>45545</v>
      </c>
      <c r="X772" s="17">
        <f>_xlfn.XLOOKUP(Table8[[#This Row],[Campaign_Code]],tb3_CampaignMaster[Campaign_Code],tb3_CampaignMaster[End_Date],"")</f>
        <v>45580</v>
      </c>
      <c r="Y772">
        <f>_xlfn.XLOOKUP(Table8[[#This Row],[Campaign_Code]],tb3_CampaignMaster[Campaign_Code],tb3_CampaignMaster[Budget_GBP],"")</f>
        <v>15000</v>
      </c>
      <c r="Z772" t="str">
        <f>_xlfn.XLOOKUP(Table8[[#This Row],[Campaign_Code]],tb3_CampaignMaster[Campaign_Code],tb3_CampaignMaster[Primary_Channel],"")</f>
        <v>Email</v>
      </c>
      <c r="AA772" s="13">
        <f>IF(Table8[[#This Row],[Gift_Aid_Eligible]]="Yes",Table8[[#This Row],[Gift_Amount]]*1.25,Table8[[#This Row],[Gift_Amount]])</f>
        <v>5404.6500000000005</v>
      </c>
      <c r="AB772" t="str">
        <f>IF(Table8[[#This Row],[Supporter_ID]]="","Review - missing supporter ID","")</f>
        <v/>
      </c>
      <c r="AC772" t="str">
        <f>IF(OR(Table8[[#This Row],[Response_Date]]&lt;Table8[[#This Row],[Start_Date]],Table8[[#This Row],[Response_Date]]&gt;Table8[[#This Row],[End_Date]]),"Review - response outside campaign dates","")</f>
        <v/>
      </c>
      <c r="AD772" t="str">
        <f>IF(Table8[[#This Row],[Campaign_Type]]="","Review - campaign code not found","")</f>
        <v/>
      </c>
    </row>
    <row r="773" spans="1:30" x14ac:dyDescent="0.25">
      <c r="A773" t="s">
        <v>4626</v>
      </c>
      <c r="B773" t="s">
        <v>1303</v>
      </c>
      <c r="C773" t="s">
        <v>3336</v>
      </c>
      <c r="D773" t="s">
        <v>3337</v>
      </c>
      <c r="E773" t="s">
        <v>3316</v>
      </c>
      <c r="F773" s="17">
        <v>45552</v>
      </c>
      <c r="G773">
        <v>27.05</v>
      </c>
      <c r="H773" t="s">
        <v>36</v>
      </c>
      <c r="I773" t="s">
        <v>3328</v>
      </c>
      <c r="J773" t="str">
        <f>_xlfn.XLOOKUP(Table8[[#This Row],[Supporter_ID]],tb1_supporters[Supporter_ID ],tb1_supporters[Segment],"")</f>
        <v>Regular Giver</v>
      </c>
      <c r="K773" t="str">
        <f>_xlfn.XLOOKUP(Table8[[#This Row],[Supporter_ID]],tb1_supporters[Supporter_ID ],tb1_supporters[Acquisition_Source],"")</f>
        <v>Direct Mail</v>
      </c>
      <c r="L773" t="str">
        <f>_xlfn.XLOOKUP(Table8[[#This Row],[Supporter_ID]],tb1_supporters[Supporter_ID ],tb1_supporters[County],"")</f>
        <v>West Midlands</v>
      </c>
      <c r="M773" t="str">
        <f>_xlfn.XLOOKUP(Table8[[#This Row],[Supporter_ID]],tb1_supporters[Supporter_ID ],tb1_supporters[Gender],"")</f>
        <v>Female</v>
      </c>
      <c r="N773">
        <f ca="1">_xlfn.XLOOKUP(Table8[[#This Row],[Supporter_ID]],tb1_supporters[Supporter_ID ],tb1_supporters[Age],"")</f>
        <v>95</v>
      </c>
      <c r="O773" t="str">
        <f ca="1">_xlfn.XLOOKUP(Table8[[#This Row],[Supporter_ID]],tb1_supporters[Supporter_ID ],tb1_supporters[Age_Band],"")</f>
        <v>65+</v>
      </c>
      <c r="P773" t="str">
        <f ca="1">IF(Table8[[#This Row],[Age_Band]]="","Unknown",Table8[[#This Row],[Age_Band]])</f>
        <v>65+</v>
      </c>
      <c r="Q773" t="str">
        <f>_xlfn.XLOOKUP(Table8[[#This Row],[Supporter_ID]],tb1_supporters[Supporter_ID ],tb1_supporters[Communication_Preference],"")</f>
        <v>Post</v>
      </c>
      <c r="R773" t="str">
        <f>_xlfn.XLOOKUP(Table8[[#This Row],[Supporter_ID]],tb1_supporters[Supporter_ID ],tb1_supporters[Duplicate_Profile_Flag],"")</f>
        <v/>
      </c>
      <c r="S773" t="str">
        <f>_xlfn.XLOOKUP(Table8[[#This Row],[Supporter_ID]],tb1_supporters[Supporter_ID ],tb1_supporters[Preference_Compliance_Flag],"")</f>
        <v/>
      </c>
      <c r="T773" t="str">
        <f ca="1">IF(Table8[[#This Row],[Age]]="","Review - missing DOB",IF(Table8[[#This Row],[Age]]&gt;TODAY(),"Review - future DOB",IF(Table8[[#This Row],[Age]]=0,"Review -  potential entry error (age 0)","")))</f>
        <v/>
      </c>
      <c r="U773" t="str">
        <f>_xlfn.XLOOKUP(Table8[[#This Row],[Campaign_Code]],tb3_CampaignMaster[Campaign_Code],tb3_CampaignMaster[Campaign_Type],"")</f>
        <v>Appeal</v>
      </c>
      <c r="V773" t="str">
        <f>_xlfn.XLOOKUP(Table8[[#This Row],[Campaign_Code]],tb3_CampaignMaster[Campaign_Code],tb3_CampaignMaster[Target_Audience],"")</f>
        <v>All Supporters</v>
      </c>
      <c r="W773" s="17">
        <f>_xlfn.XLOOKUP(Table8[[#This Row],[Campaign_Code]],tb3_CampaignMaster[Campaign_Code],tb3_CampaignMaster[Start_Date],"")</f>
        <v>45545</v>
      </c>
      <c r="X773" s="17">
        <f>_xlfn.XLOOKUP(Table8[[#This Row],[Campaign_Code]],tb3_CampaignMaster[Campaign_Code],tb3_CampaignMaster[End_Date],"")</f>
        <v>45580</v>
      </c>
      <c r="Y773">
        <f>_xlfn.XLOOKUP(Table8[[#This Row],[Campaign_Code]],tb3_CampaignMaster[Campaign_Code],tb3_CampaignMaster[Budget_GBP],"")</f>
        <v>15000</v>
      </c>
      <c r="Z773" t="str">
        <f>_xlfn.XLOOKUP(Table8[[#This Row],[Campaign_Code]],tb3_CampaignMaster[Campaign_Code],tb3_CampaignMaster[Primary_Channel],"")</f>
        <v>Email</v>
      </c>
      <c r="AA773" s="13">
        <f>IF(Table8[[#This Row],[Gift_Aid_Eligible]]="Yes",Table8[[#This Row],[Gift_Amount]]*1.25,Table8[[#This Row],[Gift_Amount]])</f>
        <v>33.8125</v>
      </c>
      <c r="AB773" t="str">
        <f>IF(Table8[[#This Row],[Supporter_ID]]="","Review - missing supporter ID","")</f>
        <v/>
      </c>
      <c r="AC773" t="str">
        <f>IF(OR(Table8[[#This Row],[Response_Date]]&lt;Table8[[#This Row],[Start_Date]],Table8[[#This Row],[Response_Date]]&gt;Table8[[#This Row],[End_Date]]),"Review - response outside campaign dates","")</f>
        <v/>
      </c>
      <c r="AD773" t="str">
        <f>IF(Table8[[#This Row],[Campaign_Type]]="","Review - campaign code not found","")</f>
        <v/>
      </c>
    </row>
    <row r="774" spans="1:30" x14ac:dyDescent="0.25">
      <c r="A774" t="s">
        <v>4628</v>
      </c>
      <c r="B774" t="s">
        <v>1141</v>
      </c>
      <c r="C774" t="s">
        <v>3367</v>
      </c>
      <c r="D774" t="s">
        <v>3368</v>
      </c>
      <c r="E774" t="s">
        <v>65</v>
      </c>
      <c r="F774" s="17">
        <v>45731</v>
      </c>
      <c r="G774">
        <v>5.89</v>
      </c>
      <c r="H774" t="s">
        <v>37</v>
      </c>
      <c r="I774" t="s">
        <v>3370</v>
      </c>
      <c r="J774" t="str">
        <f>_xlfn.XLOOKUP(Table8[[#This Row],[Supporter_ID]],tb1_supporters[Supporter_ID ],tb1_supporters[Segment],"")</f>
        <v>Prospect</v>
      </c>
      <c r="K774" t="str">
        <f>_xlfn.XLOOKUP(Table8[[#This Row],[Supporter_ID]],tb1_supporters[Supporter_ID ],tb1_supporters[Acquisition_Source],"")</f>
        <v>Referral</v>
      </c>
      <c r="L774" t="str">
        <f>_xlfn.XLOOKUP(Table8[[#This Row],[Supporter_ID]],tb1_supporters[Supporter_ID ],tb1_supporters[County],"")</f>
        <v>Lothian</v>
      </c>
      <c r="M774" t="str">
        <f>_xlfn.XLOOKUP(Table8[[#This Row],[Supporter_ID]],tb1_supporters[Supporter_ID ],tb1_supporters[Gender],"")</f>
        <v>Female</v>
      </c>
      <c r="N774">
        <f ca="1">_xlfn.XLOOKUP(Table8[[#This Row],[Supporter_ID]],tb1_supporters[Supporter_ID ],tb1_supporters[Age],"")</f>
        <v>92</v>
      </c>
      <c r="O774" t="str">
        <f ca="1">_xlfn.XLOOKUP(Table8[[#This Row],[Supporter_ID]],tb1_supporters[Supporter_ID ],tb1_supporters[Age_Band],"")</f>
        <v>65+</v>
      </c>
      <c r="P774" t="str">
        <f ca="1">IF(Table8[[#This Row],[Age_Band]]="","Unknown",Table8[[#This Row],[Age_Band]])</f>
        <v>65+</v>
      </c>
      <c r="Q774" t="str">
        <f>_xlfn.XLOOKUP(Table8[[#This Row],[Supporter_ID]],tb1_supporters[Supporter_ID ],tb1_supporters[Communication_Preference],"")</f>
        <v>Email</v>
      </c>
      <c r="R774" t="str">
        <f>_xlfn.XLOOKUP(Table8[[#This Row],[Supporter_ID]],tb1_supporters[Supporter_ID ],tb1_supporters[Duplicate_Profile_Flag],"")</f>
        <v/>
      </c>
      <c r="S774" t="str">
        <f>_xlfn.XLOOKUP(Table8[[#This Row],[Supporter_ID]],tb1_supporters[Supporter_ID ],tb1_supporters[Preference_Compliance_Flag],"")</f>
        <v/>
      </c>
      <c r="T774" t="str">
        <f ca="1">IF(Table8[[#This Row],[Age]]="","Review - missing DOB",IF(Table8[[#This Row],[Age]]&gt;TODAY(),"Review - future DOB",IF(Table8[[#This Row],[Age]]=0,"Review -  potential entry error (age 0)","")))</f>
        <v/>
      </c>
      <c r="U774" t="str">
        <f>_xlfn.XLOOKUP(Table8[[#This Row],[Campaign_Code]],tb3_CampaignMaster[Campaign_Code],tb3_CampaignMaster[Campaign_Type],"")</f>
        <v>Raffle</v>
      </c>
      <c r="V774" t="str">
        <f>_xlfn.XLOOKUP(Table8[[#This Row],[Campaign_Code]],tb3_CampaignMaster[Campaign_Code],tb3_CampaignMaster[Target_Audience],"")</f>
        <v>Regular Givers</v>
      </c>
      <c r="W774" s="17">
        <f>_xlfn.XLOOKUP(Table8[[#This Row],[Campaign_Code]],tb3_CampaignMaster[Campaign_Code],tb3_CampaignMaster[Start_Date],"")</f>
        <v>45717</v>
      </c>
      <c r="X774" s="17">
        <f>_xlfn.XLOOKUP(Table8[[#This Row],[Campaign_Code]],tb3_CampaignMaster[Campaign_Code],tb3_CampaignMaster[End_Date],"")</f>
        <v>45777</v>
      </c>
      <c r="Y774">
        <f>_xlfn.XLOOKUP(Table8[[#This Row],[Campaign_Code]],tb3_CampaignMaster[Campaign_Code],tb3_CampaignMaster[Budget_GBP],"")</f>
        <v>8000</v>
      </c>
      <c r="Z774" t="str">
        <f>_xlfn.XLOOKUP(Table8[[#This Row],[Campaign_Code]],tb3_CampaignMaster[Campaign_Code],tb3_CampaignMaster[Primary_Channel],"")</f>
        <v>Direct Mail</v>
      </c>
      <c r="AA774" s="13">
        <f>IF(Table8[[#This Row],[Gift_Aid_Eligible]]="Yes",Table8[[#This Row],[Gift_Amount]]*1.25,Table8[[#This Row],[Gift_Amount]])</f>
        <v>5.89</v>
      </c>
      <c r="AB774" t="str">
        <f>IF(Table8[[#This Row],[Supporter_ID]]="","Review - missing supporter ID","")</f>
        <v/>
      </c>
      <c r="AC774" t="str">
        <f>IF(OR(Table8[[#This Row],[Response_Date]]&lt;Table8[[#This Row],[Start_Date]],Table8[[#This Row],[Response_Date]]&gt;Table8[[#This Row],[End_Date]]),"Review - response outside campaign dates","")</f>
        <v/>
      </c>
      <c r="AD774" t="str">
        <f>IF(Table8[[#This Row],[Campaign_Type]]="","Review - campaign code not found","")</f>
        <v/>
      </c>
    </row>
    <row r="775" spans="1:30" x14ac:dyDescent="0.25">
      <c r="A775" t="s">
        <v>4630</v>
      </c>
      <c r="B775" t="s">
        <v>2632</v>
      </c>
      <c r="C775" t="s">
        <v>3320</v>
      </c>
      <c r="D775" t="s">
        <v>3321</v>
      </c>
      <c r="E775" t="s">
        <v>65</v>
      </c>
      <c r="F775" s="17">
        <v>45459</v>
      </c>
      <c r="G775">
        <v>21.98</v>
      </c>
      <c r="H775" t="s">
        <v>36</v>
      </c>
      <c r="I775" t="s">
        <v>3370</v>
      </c>
      <c r="J775" t="str">
        <f>_xlfn.XLOOKUP(Table8[[#This Row],[Supporter_ID]],tb1_supporters[Supporter_ID ],tb1_supporters[Segment],"")</f>
        <v>Prospect</v>
      </c>
      <c r="K775" t="str">
        <f>_xlfn.XLOOKUP(Table8[[#This Row],[Supporter_ID]],tb1_supporters[Supporter_ID ],tb1_supporters[Acquisition_Source],"")</f>
        <v>Website</v>
      </c>
      <c r="L775" t="str">
        <f>_xlfn.XLOOKUP(Table8[[#This Row],[Supporter_ID]],tb1_supporters[Supporter_ID ],tb1_supporters[County],"")</f>
        <v>West Glamorgan</v>
      </c>
      <c r="M775" t="str">
        <f>_xlfn.XLOOKUP(Table8[[#This Row],[Supporter_ID]],tb1_supporters[Supporter_ID ],tb1_supporters[Gender],"")</f>
        <v>Male</v>
      </c>
      <c r="N775">
        <f ca="1">_xlfn.XLOOKUP(Table8[[#This Row],[Supporter_ID]],tb1_supporters[Supporter_ID ],tb1_supporters[Age],"")</f>
        <v>62</v>
      </c>
      <c r="O775" t="str">
        <f ca="1">_xlfn.XLOOKUP(Table8[[#This Row],[Supporter_ID]],tb1_supporters[Supporter_ID ],tb1_supporters[Age_Band],"")</f>
        <v>50-64</v>
      </c>
      <c r="P775" t="str">
        <f ca="1">IF(Table8[[#This Row],[Age_Band]]="","Unknown",Table8[[#This Row],[Age_Band]])</f>
        <v>50-64</v>
      </c>
      <c r="Q775" t="str">
        <f>_xlfn.XLOOKUP(Table8[[#This Row],[Supporter_ID]],tb1_supporters[Supporter_ID ],tb1_supporters[Communication_Preference],"")</f>
        <v>Phone</v>
      </c>
      <c r="R775" t="str">
        <f>_xlfn.XLOOKUP(Table8[[#This Row],[Supporter_ID]],tb1_supporters[Supporter_ID ],tb1_supporters[Duplicate_Profile_Flag],"")</f>
        <v/>
      </c>
      <c r="S775" t="str">
        <f>_xlfn.XLOOKUP(Table8[[#This Row],[Supporter_ID]],tb1_supporters[Supporter_ID ],tb1_supporters[Preference_Compliance_Flag],"")</f>
        <v>Review - prefers phone but not opted in</v>
      </c>
      <c r="T775" t="str">
        <f ca="1">IF(Table8[[#This Row],[Age]]="","Review - missing DOB",IF(Table8[[#This Row],[Age]]&gt;TODAY(),"Review - future DOB",IF(Table8[[#This Row],[Age]]=0,"Review -  potential entry error (age 0)","")))</f>
        <v/>
      </c>
      <c r="U775" t="str">
        <f>_xlfn.XLOOKUP(Table8[[#This Row],[Campaign_Code]],tb3_CampaignMaster[Campaign_Code],tb3_CampaignMaster[Campaign_Type],"")</f>
        <v>Stewardship</v>
      </c>
      <c r="V775" t="str">
        <f>_xlfn.XLOOKUP(Table8[[#This Row],[Campaign_Code]],tb3_CampaignMaster[Campaign_Code],tb3_CampaignMaster[Target_Audience],"")</f>
        <v>Major Donors</v>
      </c>
      <c r="W775" s="17">
        <f>_xlfn.XLOOKUP(Table8[[#This Row],[Campaign_Code]],tb3_CampaignMaster[Campaign_Code],tb3_CampaignMaster[Start_Date],"")</f>
        <v>45444</v>
      </c>
      <c r="X775" s="17">
        <f>_xlfn.XLOOKUP(Table8[[#This Row],[Campaign_Code]],tb3_CampaignMaster[Campaign_Code],tb3_CampaignMaster[End_Date],"")</f>
        <v>45473</v>
      </c>
      <c r="Y775">
        <f>_xlfn.XLOOKUP(Table8[[#This Row],[Campaign_Code]],tb3_CampaignMaster[Campaign_Code],tb3_CampaignMaster[Budget_GBP],"")</f>
        <v>7000</v>
      </c>
      <c r="Z775" t="str">
        <f>_xlfn.XLOOKUP(Table8[[#This Row],[Campaign_Code]],tb3_CampaignMaster[Campaign_Code],tb3_CampaignMaster[Primary_Channel],"")</f>
        <v>Direct Mail</v>
      </c>
      <c r="AA775" s="13">
        <f>IF(Table8[[#This Row],[Gift_Aid_Eligible]]="Yes",Table8[[#This Row],[Gift_Amount]]*1.25,Table8[[#This Row],[Gift_Amount]])</f>
        <v>27.475000000000001</v>
      </c>
      <c r="AB775" t="str">
        <f>IF(Table8[[#This Row],[Supporter_ID]]="","Review - missing supporter ID","")</f>
        <v/>
      </c>
      <c r="AC775" t="str">
        <f>IF(OR(Table8[[#This Row],[Response_Date]]&lt;Table8[[#This Row],[Start_Date]],Table8[[#This Row],[Response_Date]]&gt;Table8[[#This Row],[End_Date]]),"Review - response outside campaign dates","")</f>
        <v/>
      </c>
      <c r="AD775" t="str">
        <f>IF(Table8[[#This Row],[Campaign_Type]]="","Review - campaign code not found","")</f>
        <v/>
      </c>
    </row>
    <row r="776" spans="1:30" x14ac:dyDescent="0.25">
      <c r="A776" t="s">
        <v>4631</v>
      </c>
      <c r="B776" t="s">
        <v>2463</v>
      </c>
      <c r="C776" t="s">
        <v>3427</v>
      </c>
      <c r="D776" t="s">
        <v>3428</v>
      </c>
      <c r="E776" t="s">
        <v>65</v>
      </c>
      <c r="F776" s="17">
        <v>45488</v>
      </c>
      <c r="G776">
        <v>86.28</v>
      </c>
      <c r="H776" t="s">
        <v>37</v>
      </c>
      <c r="I776" t="s">
        <v>3365</v>
      </c>
      <c r="J776" t="str">
        <f>_xlfn.XLOOKUP(Table8[[#This Row],[Supporter_ID]],tb1_supporters[Supporter_ID ],tb1_supporters[Segment],"")</f>
        <v>Lapsed</v>
      </c>
      <c r="K776" t="str">
        <f>_xlfn.XLOOKUP(Table8[[#This Row],[Supporter_ID]],tb1_supporters[Supporter_ID ],tb1_supporters[Acquisition_Source],"")</f>
        <v>Website</v>
      </c>
      <c r="L776" t="str">
        <f>_xlfn.XLOOKUP(Table8[[#This Row],[Supporter_ID]],tb1_supporters[Supporter_ID ],tb1_supporters[County],"")</f>
        <v>Devon</v>
      </c>
      <c r="M776" t="str">
        <f>_xlfn.XLOOKUP(Table8[[#This Row],[Supporter_ID]],tb1_supporters[Supporter_ID ],tb1_supporters[Gender],"")</f>
        <v>Female</v>
      </c>
      <c r="N776">
        <f ca="1">_xlfn.XLOOKUP(Table8[[#This Row],[Supporter_ID]],tb1_supporters[Supporter_ID ],tb1_supporters[Age],"")</f>
        <v>46</v>
      </c>
      <c r="O776" t="str">
        <f ca="1">_xlfn.XLOOKUP(Table8[[#This Row],[Supporter_ID]],tb1_supporters[Supporter_ID ],tb1_supporters[Age_Band],"")</f>
        <v>35-49</v>
      </c>
      <c r="P776" t="str">
        <f ca="1">IF(Table8[[#This Row],[Age_Band]]="","Unknown",Table8[[#This Row],[Age_Band]])</f>
        <v>35-49</v>
      </c>
      <c r="Q776" t="str">
        <f>_xlfn.XLOOKUP(Table8[[#This Row],[Supporter_ID]],tb1_supporters[Supporter_ID ],tb1_supporters[Communication_Preference],"")</f>
        <v>Post</v>
      </c>
      <c r="R776" t="str">
        <f>_xlfn.XLOOKUP(Table8[[#This Row],[Supporter_ID]],tb1_supporters[Supporter_ID ],tb1_supporters[Duplicate_Profile_Flag],"")</f>
        <v/>
      </c>
      <c r="S776" t="str">
        <f>_xlfn.XLOOKUP(Table8[[#This Row],[Supporter_ID]],tb1_supporters[Supporter_ID ],tb1_supporters[Preference_Compliance_Flag],"")</f>
        <v/>
      </c>
      <c r="T776" t="str">
        <f ca="1">IF(Table8[[#This Row],[Age]]="","Review - missing DOB",IF(Table8[[#This Row],[Age]]&gt;TODAY(),"Review - future DOB",IF(Table8[[#This Row],[Age]]=0,"Review -  potential entry error (age 0)","")))</f>
        <v/>
      </c>
      <c r="U776" t="str">
        <f>_xlfn.XLOOKUP(Table8[[#This Row],[Campaign_Code]],tb3_CampaignMaster[Campaign_Code],tb3_CampaignMaster[Campaign_Type],"")</f>
        <v>Event</v>
      </c>
      <c r="V776" t="str">
        <f>_xlfn.XLOOKUP(Table8[[#This Row],[Campaign_Code]],tb3_CampaignMaster[Campaign_Code],tb3_CampaignMaster[Target_Audience],"")</f>
        <v>Major Donors</v>
      </c>
      <c r="W776" s="17">
        <f>_xlfn.XLOOKUP(Table8[[#This Row],[Campaign_Code]],tb3_CampaignMaster[Campaign_Code],tb3_CampaignMaster[Start_Date],"")</f>
        <v>45488</v>
      </c>
      <c r="X776" s="17">
        <f>_xlfn.XLOOKUP(Table8[[#This Row],[Campaign_Code]],tb3_CampaignMaster[Campaign_Code],tb3_CampaignMaster[End_Date],"")</f>
        <v>45488</v>
      </c>
      <c r="Y776">
        <f>_xlfn.XLOOKUP(Table8[[#This Row],[Campaign_Code]],tb3_CampaignMaster[Campaign_Code],tb3_CampaignMaster[Budget_GBP],"")</f>
        <v>45000</v>
      </c>
      <c r="Z776" t="str">
        <f>_xlfn.XLOOKUP(Table8[[#This Row],[Campaign_Code]],tb3_CampaignMaster[Campaign_Code],tb3_CampaignMaster[Primary_Channel],"")</f>
        <v>Direct Mail</v>
      </c>
      <c r="AA776" s="13">
        <f>IF(Table8[[#This Row],[Gift_Aid_Eligible]]="Yes",Table8[[#This Row],[Gift_Amount]]*1.25,Table8[[#This Row],[Gift_Amount]])</f>
        <v>86.28</v>
      </c>
      <c r="AB776" t="str">
        <f>IF(Table8[[#This Row],[Supporter_ID]]="","Review - missing supporter ID","")</f>
        <v/>
      </c>
      <c r="AC776" t="str">
        <f>IF(OR(Table8[[#This Row],[Response_Date]]&lt;Table8[[#This Row],[Start_Date]],Table8[[#This Row],[Response_Date]]&gt;Table8[[#This Row],[End_Date]]),"Review - response outside campaign dates","")</f>
        <v/>
      </c>
      <c r="AD776" t="str">
        <f>IF(Table8[[#This Row],[Campaign_Type]]="","Review - campaign code not found","")</f>
        <v/>
      </c>
    </row>
    <row r="777" spans="1:30" x14ac:dyDescent="0.25">
      <c r="A777" t="s">
        <v>4632</v>
      </c>
      <c r="B777" t="s">
        <v>2870</v>
      </c>
      <c r="C777" t="s">
        <v>3336</v>
      </c>
      <c r="D777" t="s">
        <v>3337</v>
      </c>
      <c r="E777" t="s">
        <v>65</v>
      </c>
      <c r="F777" s="17">
        <v>45555</v>
      </c>
      <c r="G777">
        <v>62.6</v>
      </c>
      <c r="H777" t="s">
        <v>36</v>
      </c>
      <c r="I777" t="s">
        <v>3334</v>
      </c>
      <c r="J777" t="str">
        <f>_xlfn.XLOOKUP(Table8[[#This Row],[Supporter_ID]],tb1_supporters[Supporter_ID ],tb1_supporters[Segment],"")</f>
        <v>One-Time Donor</v>
      </c>
      <c r="K777" t="str">
        <f>_xlfn.XLOOKUP(Table8[[#This Row],[Supporter_ID]],tb1_supporters[Supporter_ID ],tb1_supporters[Acquisition_Source],"")</f>
        <v>Website</v>
      </c>
      <c r="L777" t="str">
        <f>_xlfn.XLOOKUP(Table8[[#This Row],[Supporter_ID]],tb1_supporters[Supporter_ID ],tb1_supporters[County],"")</f>
        <v>Suffolk</v>
      </c>
      <c r="M777" t="str">
        <f>_xlfn.XLOOKUP(Table8[[#This Row],[Supporter_ID]],tb1_supporters[Supporter_ID ],tb1_supporters[Gender],"")</f>
        <v>Female</v>
      </c>
      <c r="N777">
        <f ca="1">_xlfn.XLOOKUP(Table8[[#This Row],[Supporter_ID]],tb1_supporters[Supporter_ID ],tb1_supporters[Age],"")</f>
        <v>0</v>
      </c>
      <c r="O777" t="str">
        <f ca="1">_xlfn.XLOOKUP(Table8[[#This Row],[Supporter_ID]],tb1_supporters[Supporter_ID ],tb1_supporters[Age_Band],"")</f>
        <v>Under 18</v>
      </c>
      <c r="P777" t="str">
        <f ca="1">IF(Table8[[#This Row],[Age_Band]]="","Unknown",Table8[[#This Row],[Age_Band]])</f>
        <v>Under 18</v>
      </c>
      <c r="Q777" t="str">
        <f>_xlfn.XLOOKUP(Table8[[#This Row],[Supporter_ID]],tb1_supporters[Supporter_ID ],tb1_supporters[Communication_Preference],"")</f>
        <v>No Preference</v>
      </c>
      <c r="R777" t="str">
        <f>_xlfn.XLOOKUP(Table8[[#This Row],[Supporter_ID]],tb1_supporters[Supporter_ID ],tb1_supporters[Duplicate_Profile_Flag],"")</f>
        <v/>
      </c>
      <c r="S777" t="str">
        <f>_xlfn.XLOOKUP(Table8[[#This Row],[Supporter_ID]],tb1_supporters[Supporter_ID ],tb1_supporters[Preference_Compliance_Flag],"")</f>
        <v/>
      </c>
      <c r="T777" t="str">
        <f ca="1">IF(Table8[[#This Row],[Age]]="","Review - missing DOB",IF(Table8[[#This Row],[Age]]&gt;TODAY(),"Review - future DOB",IF(Table8[[#This Row],[Age]]=0,"Review -  potential entry error (age 0)","")))</f>
        <v>Review -  potential entry error (age 0)</v>
      </c>
      <c r="U777" t="str">
        <f>_xlfn.XLOOKUP(Table8[[#This Row],[Campaign_Code]],tb3_CampaignMaster[Campaign_Code],tb3_CampaignMaster[Campaign_Type],"")</f>
        <v>Appeal</v>
      </c>
      <c r="V777" t="str">
        <f>_xlfn.XLOOKUP(Table8[[#This Row],[Campaign_Code]],tb3_CampaignMaster[Campaign_Code],tb3_CampaignMaster[Target_Audience],"")</f>
        <v>All Supporters</v>
      </c>
      <c r="W777" s="17">
        <f>_xlfn.XLOOKUP(Table8[[#This Row],[Campaign_Code]],tb3_CampaignMaster[Campaign_Code],tb3_CampaignMaster[Start_Date],"")</f>
        <v>45545</v>
      </c>
      <c r="X777" s="17">
        <f>_xlfn.XLOOKUP(Table8[[#This Row],[Campaign_Code]],tb3_CampaignMaster[Campaign_Code],tb3_CampaignMaster[End_Date],"")</f>
        <v>45580</v>
      </c>
      <c r="Y777">
        <f>_xlfn.XLOOKUP(Table8[[#This Row],[Campaign_Code]],tb3_CampaignMaster[Campaign_Code],tb3_CampaignMaster[Budget_GBP],"")</f>
        <v>15000</v>
      </c>
      <c r="Z777" t="str">
        <f>_xlfn.XLOOKUP(Table8[[#This Row],[Campaign_Code]],tb3_CampaignMaster[Campaign_Code],tb3_CampaignMaster[Primary_Channel],"")</f>
        <v>Email</v>
      </c>
      <c r="AA777" s="13">
        <f>IF(Table8[[#This Row],[Gift_Aid_Eligible]]="Yes",Table8[[#This Row],[Gift_Amount]]*1.25,Table8[[#This Row],[Gift_Amount]])</f>
        <v>78.25</v>
      </c>
      <c r="AB777" t="str">
        <f>IF(Table8[[#This Row],[Supporter_ID]]="","Review - missing supporter ID","")</f>
        <v/>
      </c>
      <c r="AC777" t="str">
        <f>IF(OR(Table8[[#This Row],[Response_Date]]&lt;Table8[[#This Row],[Start_Date]],Table8[[#This Row],[Response_Date]]&gt;Table8[[#This Row],[End_Date]]),"Review - response outside campaign dates","")</f>
        <v/>
      </c>
      <c r="AD777" t="str">
        <f>IF(Table8[[#This Row],[Campaign_Type]]="","Review - campaign code not found","")</f>
        <v/>
      </c>
    </row>
    <row r="778" spans="1:30" x14ac:dyDescent="0.25">
      <c r="A778" t="s">
        <v>4634</v>
      </c>
      <c r="B778" t="s">
        <v>2094</v>
      </c>
      <c r="C778" t="s">
        <v>3336</v>
      </c>
      <c r="D778" t="s">
        <v>3337</v>
      </c>
      <c r="E778" t="s">
        <v>3316</v>
      </c>
      <c r="F778" s="17">
        <v>45422</v>
      </c>
      <c r="G778">
        <v>5.77</v>
      </c>
      <c r="H778" t="s">
        <v>37</v>
      </c>
      <c r="I778" t="s">
        <v>3370</v>
      </c>
      <c r="J778" t="str">
        <f>_xlfn.XLOOKUP(Table8[[#This Row],[Supporter_ID]],tb1_supporters[Supporter_ID ],tb1_supporters[Segment],"")</f>
        <v>Regular Giver</v>
      </c>
      <c r="K778" t="str">
        <f>_xlfn.XLOOKUP(Table8[[#This Row],[Supporter_ID]],tb1_supporters[Supporter_ID ],tb1_supporters[Acquisition_Source],"")</f>
        <v>Direct Mail</v>
      </c>
      <c r="L778" t="str">
        <f>_xlfn.XLOOKUP(Table8[[#This Row],[Supporter_ID]],tb1_supporters[Supporter_ID ],tb1_supporters[County],"")</f>
        <v>Dorset</v>
      </c>
      <c r="M778" t="str">
        <f>_xlfn.XLOOKUP(Table8[[#This Row],[Supporter_ID]],tb1_supporters[Supporter_ID ],tb1_supporters[Gender],"")</f>
        <v>Female</v>
      </c>
      <c r="N778">
        <f ca="1">_xlfn.XLOOKUP(Table8[[#This Row],[Supporter_ID]],tb1_supporters[Supporter_ID ],tb1_supporters[Age],"")</f>
        <v>61</v>
      </c>
      <c r="O778" t="str">
        <f ca="1">_xlfn.XLOOKUP(Table8[[#This Row],[Supporter_ID]],tb1_supporters[Supporter_ID ],tb1_supporters[Age_Band],"")</f>
        <v>50-64</v>
      </c>
      <c r="P778" t="str">
        <f ca="1">IF(Table8[[#This Row],[Age_Band]]="","Unknown",Table8[[#This Row],[Age_Band]])</f>
        <v>50-64</v>
      </c>
      <c r="Q778" t="str">
        <f>_xlfn.XLOOKUP(Table8[[#This Row],[Supporter_ID]],tb1_supporters[Supporter_ID ],tb1_supporters[Communication_Preference],"")</f>
        <v>Email</v>
      </c>
      <c r="R778" t="str">
        <f>_xlfn.XLOOKUP(Table8[[#This Row],[Supporter_ID]],tb1_supporters[Supporter_ID ],tb1_supporters[Duplicate_Profile_Flag],"")</f>
        <v/>
      </c>
      <c r="S778" t="str">
        <f>_xlfn.XLOOKUP(Table8[[#This Row],[Supporter_ID]],tb1_supporters[Supporter_ID ],tb1_supporters[Preference_Compliance_Flag],"")</f>
        <v/>
      </c>
      <c r="T778" t="str">
        <f ca="1">IF(Table8[[#This Row],[Age]]="","Review - missing DOB",IF(Table8[[#This Row],[Age]]&gt;TODAY(),"Review - future DOB",IF(Table8[[#This Row],[Age]]=0,"Review -  potential entry error (age 0)","")))</f>
        <v/>
      </c>
      <c r="U778" t="str">
        <f>_xlfn.XLOOKUP(Table8[[#This Row],[Campaign_Code]],tb3_CampaignMaster[Campaign_Code],tb3_CampaignMaster[Campaign_Type],"")</f>
        <v>Appeal</v>
      </c>
      <c r="V778" t="str">
        <f>_xlfn.XLOOKUP(Table8[[#This Row],[Campaign_Code]],tb3_CampaignMaster[Campaign_Code],tb3_CampaignMaster[Target_Audience],"")</f>
        <v>All Supporters</v>
      </c>
      <c r="W778" s="17">
        <f>_xlfn.XLOOKUP(Table8[[#This Row],[Campaign_Code]],tb3_CampaignMaster[Campaign_Code],tb3_CampaignMaster[Start_Date],"")</f>
        <v>45545</v>
      </c>
      <c r="X778" s="17">
        <f>_xlfn.XLOOKUP(Table8[[#This Row],[Campaign_Code]],tb3_CampaignMaster[Campaign_Code],tb3_CampaignMaster[End_Date],"")</f>
        <v>45580</v>
      </c>
      <c r="Y778">
        <f>_xlfn.XLOOKUP(Table8[[#This Row],[Campaign_Code]],tb3_CampaignMaster[Campaign_Code],tb3_CampaignMaster[Budget_GBP],"")</f>
        <v>15000</v>
      </c>
      <c r="Z778" t="str">
        <f>_xlfn.XLOOKUP(Table8[[#This Row],[Campaign_Code]],tb3_CampaignMaster[Campaign_Code],tb3_CampaignMaster[Primary_Channel],"")</f>
        <v>Email</v>
      </c>
      <c r="AA778" s="13">
        <f>IF(Table8[[#This Row],[Gift_Aid_Eligible]]="Yes",Table8[[#This Row],[Gift_Amount]]*1.25,Table8[[#This Row],[Gift_Amount]])</f>
        <v>5.77</v>
      </c>
      <c r="AB778" t="str">
        <f>IF(Table8[[#This Row],[Supporter_ID]]="","Review - missing supporter ID","")</f>
        <v/>
      </c>
      <c r="AC778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778" t="str">
        <f>IF(Table8[[#This Row],[Campaign_Type]]="","Review - campaign code not found","")</f>
        <v/>
      </c>
    </row>
    <row r="779" spans="1:30" x14ac:dyDescent="0.25">
      <c r="A779" t="s">
        <v>4636</v>
      </c>
      <c r="B779" t="s">
        <v>2163</v>
      </c>
      <c r="C779" t="s">
        <v>3427</v>
      </c>
      <c r="D779" t="s">
        <v>3428</v>
      </c>
      <c r="E779" t="s">
        <v>65</v>
      </c>
      <c r="F779" s="17">
        <v>45488</v>
      </c>
      <c r="G779">
        <v>58.96</v>
      </c>
      <c r="H779" t="s">
        <v>36</v>
      </c>
      <c r="I779" t="s">
        <v>3318</v>
      </c>
      <c r="J779" t="str">
        <f>_xlfn.XLOOKUP(Table8[[#This Row],[Supporter_ID]],tb1_supporters[Supporter_ID ],tb1_supporters[Segment],"")</f>
        <v>One-Time Donor</v>
      </c>
      <c r="K779" t="str">
        <f>_xlfn.XLOOKUP(Table8[[#This Row],[Supporter_ID]],tb1_supporters[Supporter_ID ],tb1_supporters[Acquisition_Source],"")</f>
        <v>Door-To-Door</v>
      </c>
      <c r="L779" t="str">
        <f>_xlfn.XLOOKUP(Table8[[#This Row],[Supporter_ID]],tb1_supporters[Supporter_ID ],tb1_supporters[County],"")</f>
        <v>Avon</v>
      </c>
      <c r="M779" t="str">
        <f>_xlfn.XLOOKUP(Table8[[#This Row],[Supporter_ID]],tb1_supporters[Supporter_ID ],tb1_supporters[Gender],"")</f>
        <v>Female</v>
      </c>
      <c r="N779">
        <f ca="1">_xlfn.XLOOKUP(Table8[[#This Row],[Supporter_ID]],tb1_supporters[Supporter_ID ],tb1_supporters[Age],"")</f>
        <v>68</v>
      </c>
      <c r="O779" t="str">
        <f ca="1">_xlfn.XLOOKUP(Table8[[#This Row],[Supporter_ID]],tb1_supporters[Supporter_ID ],tb1_supporters[Age_Band],"")</f>
        <v>65+</v>
      </c>
      <c r="P779" t="str">
        <f ca="1">IF(Table8[[#This Row],[Age_Band]]="","Unknown",Table8[[#This Row],[Age_Band]])</f>
        <v>65+</v>
      </c>
      <c r="Q779" t="str">
        <f>_xlfn.XLOOKUP(Table8[[#This Row],[Supporter_ID]],tb1_supporters[Supporter_ID ],tb1_supporters[Communication_Preference],"")</f>
        <v>No Preference</v>
      </c>
      <c r="R779" t="str">
        <f>_xlfn.XLOOKUP(Table8[[#This Row],[Supporter_ID]],tb1_supporters[Supporter_ID ],tb1_supporters[Duplicate_Profile_Flag],"")</f>
        <v/>
      </c>
      <c r="S779" t="str">
        <f>_xlfn.XLOOKUP(Table8[[#This Row],[Supporter_ID]],tb1_supporters[Supporter_ID ],tb1_supporters[Preference_Compliance_Flag],"")</f>
        <v/>
      </c>
      <c r="T779" t="str">
        <f ca="1">IF(Table8[[#This Row],[Age]]="","Review - missing DOB",IF(Table8[[#This Row],[Age]]&gt;TODAY(),"Review - future DOB",IF(Table8[[#This Row],[Age]]=0,"Review -  potential entry error (age 0)","")))</f>
        <v/>
      </c>
      <c r="U779" t="str">
        <f>_xlfn.XLOOKUP(Table8[[#This Row],[Campaign_Code]],tb3_CampaignMaster[Campaign_Code],tb3_CampaignMaster[Campaign_Type],"")</f>
        <v>Event</v>
      </c>
      <c r="V779" t="str">
        <f>_xlfn.XLOOKUP(Table8[[#This Row],[Campaign_Code]],tb3_CampaignMaster[Campaign_Code],tb3_CampaignMaster[Target_Audience],"")</f>
        <v>Major Donors</v>
      </c>
      <c r="W779" s="17">
        <f>_xlfn.XLOOKUP(Table8[[#This Row],[Campaign_Code]],tb3_CampaignMaster[Campaign_Code],tb3_CampaignMaster[Start_Date],"")</f>
        <v>45488</v>
      </c>
      <c r="X779" s="17">
        <f>_xlfn.XLOOKUP(Table8[[#This Row],[Campaign_Code]],tb3_CampaignMaster[Campaign_Code],tb3_CampaignMaster[End_Date],"")</f>
        <v>45488</v>
      </c>
      <c r="Y779">
        <f>_xlfn.XLOOKUP(Table8[[#This Row],[Campaign_Code]],tb3_CampaignMaster[Campaign_Code],tb3_CampaignMaster[Budget_GBP],"")</f>
        <v>45000</v>
      </c>
      <c r="Z779" t="str">
        <f>_xlfn.XLOOKUP(Table8[[#This Row],[Campaign_Code]],tb3_CampaignMaster[Campaign_Code],tb3_CampaignMaster[Primary_Channel],"")</f>
        <v>Direct Mail</v>
      </c>
      <c r="AA779" s="13">
        <f>IF(Table8[[#This Row],[Gift_Aid_Eligible]]="Yes",Table8[[#This Row],[Gift_Amount]]*1.25,Table8[[#This Row],[Gift_Amount]])</f>
        <v>73.7</v>
      </c>
      <c r="AB779" t="str">
        <f>IF(Table8[[#This Row],[Supporter_ID]]="","Review - missing supporter ID","")</f>
        <v/>
      </c>
      <c r="AC779" t="str">
        <f>IF(OR(Table8[[#This Row],[Response_Date]]&lt;Table8[[#This Row],[Start_Date]],Table8[[#This Row],[Response_Date]]&gt;Table8[[#This Row],[End_Date]]),"Review - response outside campaign dates","")</f>
        <v/>
      </c>
      <c r="AD779" t="str">
        <f>IF(Table8[[#This Row],[Campaign_Type]]="","Review - campaign code not found","")</f>
        <v/>
      </c>
    </row>
    <row r="780" spans="1:30" x14ac:dyDescent="0.25">
      <c r="A780" t="s">
        <v>4637</v>
      </c>
      <c r="B780" t="s">
        <v>1261</v>
      </c>
      <c r="C780" t="s">
        <v>3320</v>
      </c>
      <c r="D780" t="s">
        <v>3321</v>
      </c>
      <c r="E780" t="s">
        <v>65</v>
      </c>
      <c r="F780" s="17">
        <v>45463</v>
      </c>
      <c r="G780">
        <v>48.04</v>
      </c>
      <c r="H780" t="s">
        <v>37</v>
      </c>
      <c r="I780" t="s">
        <v>3370</v>
      </c>
      <c r="J780" t="str">
        <f>_xlfn.XLOOKUP(Table8[[#This Row],[Supporter_ID]],tb1_supporters[Supporter_ID ],tb1_supporters[Segment],"")</f>
        <v>Lapsed</v>
      </c>
      <c r="K780" t="str">
        <f>_xlfn.XLOOKUP(Table8[[#This Row],[Supporter_ID]],tb1_supporters[Supporter_ID ],tb1_supporters[Acquisition_Source],"")</f>
        <v>Social Media</v>
      </c>
      <c r="L780" t="str">
        <f>_xlfn.XLOOKUP(Table8[[#This Row],[Supporter_ID]],tb1_supporters[Supporter_ID ],tb1_supporters[County],"")</f>
        <v>East Sussex</v>
      </c>
      <c r="M780" t="str">
        <f>_xlfn.XLOOKUP(Table8[[#This Row],[Supporter_ID]],tb1_supporters[Supporter_ID ],tb1_supporters[Gender],"")</f>
        <v>Female</v>
      </c>
      <c r="N780" t="str">
        <f ca="1">_xlfn.XLOOKUP(Table8[[#This Row],[Supporter_ID]],tb1_supporters[Supporter_ID ],tb1_supporters[Age],"")</f>
        <v/>
      </c>
      <c r="O780" t="str">
        <f ca="1">_xlfn.XLOOKUP(Table8[[#This Row],[Supporter_ID]],tb1_supporters[Supporter_ID ],tb1_supporters[Age_Band],"")</f>
        <v/>
      </c>
      <c r="P780" t="str">
        <f ca="1">IF(Table8[[#This Row],[Age_Band]]="","Unknown",Table8[[#This Row],[Age_Band]])</f>
        <v>Unknown</v>
      </c>
      <c r="Q780" t="str">
        <f>_xlfn.XLOOKUP(Table8[[#This Row],[Supporter_ID]],tb1_supporters[Supporter_ID ],tb1_supporters[Communication_Preference],"")</f>
        <v>Phone</v>
      </c>
      <c r="R780" t="str">
        <f>_xlfn.XLOOKUP(Table8[[#This Row],[Supporter_ID]],tb1_supporters[Supporter_ID ],tb1_supporters[Duplicate_Profile_Flag],"")</f>
        <v/>
      </c>
      <c r="S780" t="str">
        <f>_xlfn.XLOOKUP(Table8[[#This Row],[Supporter_ID]],tb1_supporters[Supporter_ID ],tb1_supporters[Preference_Compliance_Flag],"")</f>
        <v/>
      </c>
      <c r="T780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780" t="str">
        <f>_xlfn.XLOOKUP(Table8[[#This Row],[Campaign_Code]],tb3_CampaignMaster[Campaign_Code],tb3_CampaignMaster[Campaign_Type],"")</f>
        <v>Stewardship</v>
      </c>
      <c r="V780" t="str">
        <f>_xlfn.XLOOKUP(Table8[[#This Row],[Campaign_Code]],tb3_CampaignMaster[Campaign_Code],tb3_CampaignMaster[Target_Audience],"")</f>
        <v>Major Donors</v>
      </c>
      <c r="W780" s="17">
        <f>_xlfn.XLOOKUP(Table8[[#This Row],[Campaign_Code]],tb3_CampaignMaster[Campaign_Code],tb3_CampaignMaster[Start_Date],"")</f>
        <v>45444</v>
      </c>
      <c r="X780" s="17">
        <f>_xlfn.XLOOKUP(Table8[[#This Row],[Campaign_Code]],tb3_CampaignMaster[Campaign_Code],tb3_CampaignMaster[End_Date],"")</f>
        <v>45473</v>
      </c>
      <c r="Y780">
        <f>_xlfn.XLOOKUP(Table8[[#This Row],[Campaign_Code]],tb3_CampaignMaster[Campaign_Code],tb3_CampaignMaster[Budget_GBP],"")</f>
        <v>7000</v>
      </c>
      <c r="Z780" t="str">
        <f>_xlfn.XLOOKUP(Table8[[#This Row],[Campaign_Code]],tb3_CampaignMaster[Campaign_Code],tb3_CampaignMaster[Primary_Channel],"")</f>
        <v>Direct Mail</v>
      </c>
      <c r="AA780" s="13">
        <f>IF(Table8[[#This Row],[Gift_Aid_Eligible]]="Yes",Table8[[#This Row],[Gift_Amount]]*1.25,Table8[[#This Row],[Gift_Amount]])</f>
        <v>48.04</v>
      </c>
      <c r="AB780" t="str">
        <f>IF(Table8[[#This Row],[Supporter_ID]]="","Review - missing supporter ID","")</f>
        <v/>
      </c>
      <c r="AC780" t="str">
        <f>IF(OR(Table8[[#This Row],[Response_Date]]&lt;Table8[[#This Row],[Start_Date]],Table8[[#This Row],[Response_Date]]&gt;Table8[[#This Row],[End_Date]]),"Review - response outside campaign dates","")</f>
        <v/>
      </c>
      <c r="AD780" t="str">
        <f>IF(Table8[[#This Row],[Campaign_Type]]="","Review - campaign code not found","")</f>
        <v/>
      </c>
    </row>
    <row r="781" spans="1:30" x14ac:dyDescent="0.25">
      <c r="A781" t="s">
        <v>4639</v>
      </c>
      <c r="B781" t="s">
        <v>876</v>
      </c>
      <c r="C781" t="s">
        <v>3341</v>
      </c>
      <c r="D781" t="s">
        <v>3342</v>
      </c>
      <c r="E781" t="s">
        <v>4</v>
      </c>
      <c r="F781" s="17">
        <v>45774</v>
      </c>
      <c r="G781">
        <v>3747.49</v>
      </c>
      <c r="H781" t="s">
        <v>37</v>
      </c>
      <c r="I781" t="s">
        <v>3365</v>
      </c>
      <c r="J781" t="str">
        <f>_xlfn.XLOOKUP(Table8[[#This Row],[Supporter_ID]],tb1_supporters[Supporter_ID ],tb1_supporters[Segment],"")</f>
        <v>Major Donor</v>
      </c>
      <c r="K781" t="str">
        <f>_xlfn.XLOOKUP(Table8[[#This Row],[Supporter_ID]],tb1_supporters[Supporter_ID ],tb1_supporters[Acquisition_Source],"")</f>
        <v>Website</v>
      </c>
      <c r="L781" t="str">
        <f>_xlfn.XLOOKUP(Table8[[#This Row],[Supporter_ID]],tb1_supporters[Supporter_ID ],tb1_supporters[County],"")</f>
        <v>Norfolk</v>
      </c>
      <c r="M781" t="str">
        <f>_xlfn.XLOOKUP(Table8[[#This Row],[Supporter_ID]],tb1_supporters[Supporter_ID ],tb1_supporters[Gender],"")</f>
        <v>Female</v>
      </c>
      <c r="N781">
        <f ca="1">_xlfn.XLOOKUP(Table8[[#This Row],[Supporter_ID]],tb1_supporters[Supporter_ID ],tb1_supporters[Age],"")</f>
        <v>64</v>
      </c>
      <c r="O781" t="str">
        <f ca="1">_xlfn.XLOOKUP(Table8[[#This Row],[Supporter_ID]],tb1_supporters[Supporter_ID ],tb1_supporters[Age_Band],"")</f>
        <v>50-64</v>
      </c>
      <c r="P781" t="str">
        <f ca="1">IF(Table8[[#This Row],[Age_Band]]="","Unknown",Table8[[#This Row],[Age_Band]])</f>
        <v>50-64</v>
      </c>
      <c r="Q781" t="str">
        <f>_xlfn.XLOOKUP(Table8[[#This Row],[Supporter_ID]],tb1_supporters[Supporter_ID ],tb1_supporters[Communication_Preference],"")</f>
        <v>Email</v>
      </c>
      <c r="R781" t="str">
        <f>_xlfn.XLOOKUP(Table8[[#This Row],[Supporter_ID]],tb1_supporters[Supporter_ID ],tb1_supporters[Duplicate_Profile_Flag],"")</f>
        <v/>
      </c>
      <c r="S781" t="str">
        <f>_xlfn.XLOOKUP(Table8[[#This Row],[Supporter_ID]],tb1_supporters[Supporter_ID ],tb1_supporters[Preference_Compliance_Flag],"")</f>
        <v/>
      </c>
      <c r="T781" t="str">
        <f ca="1">IF(Table8[[#This Row],[Age]]="","Review - missing DOB",IF(Table8[[#This Row],[Age]]&gt;TODAY(),"Review - future DOB",IF(Table8[[#This Row],[Age]]=0,"Review -  potential entry error (age 0)","")))</f>
        <v/>
      </c>
      <c r="U781" t="str">
        <f>_xlfn.XLOOKUP(Table8[[#This Row],[Campaign_Code]],tb3_CampaignMaster[Campaign_Code],tb3_CampaignMaster[Campaign_Type],"")</f>
        <v>Acquisition</v>
      </c>
      <c r="V781" t="str">
        <f>_xlfn.XLOOKUP(Table8[[#This Row],[Campaign_Code]],tb3_CampaignMaster[Campaign_Code],tb3_CampaignMaster[Target_Audience],"")</f>
        <v>Prospects</v>
      </c>
      <c r="W781" s="17">
        <f>_xlfn.XLOOKUP(Table8[[#This Row],[Campaign_Code]],tb3_CampaignMaster[Campaign_Code],tb3_CampaignMaster[Start_Date],"")</f>
        <v>45689</v>
      </c>
      <c r="X781" s="17">
        <f>_xlfn.XLOOKUP(Table8[[#This Row],[Campaign_Code]],tb3_CampaignMaster[Campaign_Code],tb3_CampaignMaster[End_Date],"")</f>
        <v>45777</v>
      </c>
      <c r="Y781">
        <f>_xlfn.XLOOKUP(Table8[[#This Row],[Campaign_Code]],tb3_CampaignMaster[Campaign_Code],tb3_CampaignMaster[Budget_GBP],"")</f>
        <v>20000</v>
      </c>
      <c r="Z781" t="str">
        <f>_xlfn.XLOOKUP(Table8[[#This Row],[Campaign_Code]],tb3_CampaignMaster[Campaign_Code],tb3_CampaignMaster[Primary_Channel],"")</f>
        <v>Digital</v>
      </c>
      <c r="AA781" s="13">
        <f>IF(Table8[[#This Row],[Gift_Aid_Eligible]]="Yes",Table8[[#This Row],[Gift_Amount]]*1.25,Table8[[#This Row],[Gift_Amount]])</f>
        <v>3747.49</v>
      </c>
      <c r="AB781" t="str">
        <f>IF(Table8[[#This Row],[Supporter_ID]]="","Review - missing supporter ID","")</f>
        <v/>
      </c>
      <c r="AC781" t="str">
        <f>IF(OR(Table8[[#This Row],[Response_Date]]&lt;Table8[[#This Row],[Start_Date]],Table8[[#This Row],[Response_Date]]&gt;Table8[[#This Row],[End_Date]]),"Review - response outside campaign dates","")</f>
        <v/>
      </c>
      <c r="AD781" t="str">
        <f>IF(Table8[[#This Row],[Campaign_Type]]="","Review - campaign code not found","")</f>
        <v/>
      </c>
    </row>
    <row r="782" spans="1:30" x14ac:dyDescent="0.25">
      <c r="A782" t="s">
        <v>4640</v>
      </c>
      <c r="B782" t="s">
        <v>2252</v>
      </c>
      <c r="C782" t="s">
        <v>3336</v>
      </c>
      <c r="D782" t="s">
        <v>3337</v>
      </c>
      <c r="E782" t="s">
        <v>65</v>
      </c>
      <c r="F782" s="17">
        <v>45552</v>
      </c>
      <c r="G782">
        <v>129.29</v>
      </c>
      <c r="H782" t="s">
        <v>36</v>
      </c>
      <c r="I782" t="s">
        <v>3370</v>
      </c>
      <c r="J782" t="str">
        <f>_xlfn.XLOOKUP(Table8[[#This Row],[Supporter_ID]],tb1_supporters[Supporter_ID ],tb1_supporters[Segment],"")</f>
        <v>Legacy Pledger</v>
      </c>
      <c r="K782" t="str">
        <f>_xlfn.XLOOKUP(Table8[[#This Row],[Supporter_ID]],tb1_supporters[Supporter_ID ],tb1_supporters[Acquisition_Source],"")</f>
        <v>Telephone</v>
      </c>
      <c r="L782" t="str">
        <f>_xlfn.XLOOKUP(Table8[[#This Row],[Supporter_ID]],tb1_supporters[Supporter_ID ],tb1_supporters[County],"")</f>
        <v>Buckinghamshire</v>
      </c>
      <c r="M782" t="str">
        <f>_xlfn.XLOOKUP(Table8[[#This Row],[Supporter_ID]],tb1_supporters[Supporter_ID ],tb1_supporters[Gender],"")</f>
        <v>Male</v>
      </c>
      <c r="N782">
        <f ca="1">_xlfn.XLOOKUP(Table8[[#This Row],[Supporter_ID]],tb1_supporters[Supporter_ID ],tb1_supporters[Age],"")</f>
        <v>63</v>
      </c>
      <c r="O782" t="str">
        <f ca="1">_xlfn.XLOOKUP(Table8[[#This Row],[Supporter_ID]],tb1_supporters[Supporter_ID ],tb1_supporters[Age_Band],"")</f>
        <v>50-64</v>
      </c>
      <c r="P782" t="str">
        <f ca="1">IF(Table8[[#This Row],[Age_Band]]="","Unknown",Table8[[#This Row],[Age_Band]])</f>
        <v>50-64</v>
      </c>
      <c r="Q782" t="str">
        <f>_xlfn.XLOOKUP(Table8[[#This Row],[Supporter_ID]],tb1_supporters[Supporter_ID ],tb1_supporters[Communication_Preference],"")</f>
        <v>Email</v>
      </c>
      <c r="R782" t="str">
        <f>_xlfn.XLOOKUP(Table8[[#This Row],[Supporter_ID]],tb1_supporters[Supporter_ID ],tb1_supporters[Duplicate_Profile_Flag],"")</f>
        <v/>
      </c>
      <c r="S782" t="str">
        <f>_xlfn.XLOOKUP(Table8[[#This Row],[Supporter_ID]],tb1_supporters[Supporter_ID ],tb1_supporters[Preference_Compliance_Flag],"")</f>
        <v/>
      </c>
      <c r="T782" t="str">
        <f ca="1">IF(Table8[[#This Row],[Age]]="","Review - missing DOB",IF(Table8[[#This Row],[Age]]&gt;TODAY(),"Review - future DOB",IF(Table8[[#This Row],[Age]]=0,"Review -  potential entry error (age 0)","")))</f>
        <v/>
      </c>
      <c r="U782" t="str">
        <f>_xlfn.XLOOKUP(Table8[[#This Row],[Campaign_Code]],tb3_CampaignMaster[Campaign_Code],tb3_CampaignMaster[Campaign_Type],"")</f>
        <v>Appeal</v>
      </c>
      <c r="V782" t="str">
        <f>_xlfn.XLOOKUP(Table8[[#This Row],[Campaign_Code]],tb3_CampaignMaster[Campaign_Code],tb3_CampaignMaster[Target_Audience],"")</f>
        <v>All Supporters</v>
      </c>
      <c r="W782" s="17">
        <f>_xlfn.XLOOKUP(Table8[[#This Row],[Campaign_Code]],tb3_CampaignMaster[Campaign_Code],tb3_CampaignMaster[Start_Date],"")</f>
        <v>45545</v>
      </c>
      <c r="X782" s="17">
        <f>_xlfn.XLOOKUP(Table8[[#This Row],[Campaign_Code]],tb3_CampaignMaster[Campaign_Code],tb3_CampaignMaster[End_Date],"")</f>
        <v>45580</v>
      </c>
      <c r="Y782">
        <f>_xlfn.XLOOKUP(Table8[[#This Row],[Campaign_Code]],tb3_CampaignMaster[Campaign_Code],tb3_CampaignMaster[Budget_GBP],"")</f>
        <v>15000</v>
      </c>
      <c r="Z782" t="str">
        <f>_xlfn.XLOOKUP(Table8[[#This Row],[Campaign_Code]],tb3_CampaignMaster[Campaign_Code],tb3_CampaignMaster[Primary_Channel],"")</f>
        <v>Email</v>
      </c>
      <c r="AA782" s="13">
        <f>IF(Table8[[#This Row],[Gift_Aid_Eligible]]="Yes",Table8[[#This Row],[Gift_Amount]]*1.25,Table8[[#This Row],[Gift_Amount]])</f>
        <v>161.61249999999998</v>
      </c>
      <c r="AB782" t="str">
        <f>IF(Table8[[#This Row],[Supporter_ID]]="","Review - missing supporter ID","")</f>
        <v/>
      </c>
      <c r="AC782" t="str">
        <f>IF(OR(Table8[[#This Row],[Response_Date]]&lt;Table8[[#This Row],[Start_Date]],Table8[[#This Row],[Response_Date]]&gt;Table8[[#This Row],[End_Date]]),"Review - response outside campaign dates","")</f>
        <v/>
      </c>
      <c r="AD782" t="str">
        <f>IF(Table8[[#This Row],[Campaign_Type]]="","Review - campaign code not found","")</f>
        <v/>
      </c>
    </row>
    <row r="783" spans="1:30" x14ac:dyDescent="0.25">
      <c r="A783" t="s">
        <v>4641</v>
      </c>
      <c r="B783" t="s">
        <v>895</v>
      </c>
      <c r="C783" t="s">
        <v>3427</v>
      </c>
      <c r="D783" t="s">
        <v>3428</v>
      </c>
      <c r="E783" t="s">
        <v>65</v>
      </c>
      <c r="F783" s="17">
        <v>45488</v>
      </c>
      <c r="G783">
        <v>3365.52</v>
      </c>
      <c r="H783" t="s">
        <v>36</v>
      </c>
      <c r="I783" t="s">
        <v>3334</v>
      </c>
      <c r="J783" t="str">
        <f>_xlfn.XLOOKUP(Table8[[#This Row],[Supporter_ID]],tb1_supporters[Supporter_ID ],tb1_supporters[Segment],"")</f>
        <v>Major Donor</v>
      </c>
      <c r="K783" t="str">
        <f>_xlfn.XLOOKUP(Table8[[#This Row],[Supporter_ID]],tb1_supporters[Supporter_ID ],tb1_supporters[Acquisition_Source],"")</f>
        <v>Referral</v>
      </c>
      <c r="L783" t="str">
        <f>_xlfn.XLOOKUP(Table8[[#This Row],[Supporter_ID]],tb1_supporters[Supporter_ID ],tb1_supporters[County],"")</f>
        <v>Wiltshire</v>
      </c>
      <c r="M783" t="str">
        <f>_xlfn.XLOOKUP(Table8[[#This Row],[Supporter_ID]],tb1_supporters[Supporter_ID ],tb1_supporters[Gender],"")</f>
        <v>Male</v>
      </c>
      <c r="N783">
        <f ca="1">_xlfn.XLOOKUP(Table8[[#This Row],[Supporter_ID]],tb1_supporters[Supporter_ID ],tb1_supporters[Age],"")</f>
        <v>71</v>
      </c>
      <c r="O783" t="str">
        <f ca="1">_xlfn.XLOOKUP(Table8[[#This Row],[Supporter_ID]],tb1_supporters[Supporter_ID ],tb1_supporters[Age_Band],"")</f>
        <v>65+</v>
      </c>
      <c r="P783" t="str">
        <f ca="1">IF(Table8[[#This Row],[Age_Band]]="","Unknown",Table8[[#This Row],[Age_Band]])</f>
        <v>65+</v>
      </c>
      <c r="Q783" t="str">
        <f>_xlfn.XLOOKUP(Table8[[#This Row],[Supporter_ID]],tb1_supporters[Supporter_ID ],tb1_supporters[Communication_Preference],"")</f>
        <v>Phone</v>
      </c>
      <c r="R783" t="str">
        <f>_xlfn.XLOOKUP(Table8[[#This Row],[Supporter_ID]],tb1_supporters[Supporter_ID ],tb1_supporters[Duplicate_Profile_Flag],"")</f>
        <v/>
      </c>
      <c r="S783" t="str">
        <f>_xlfn.XLOOKUP(Table8[[#This Row],[Supporter_ID]],tb1_supporters[Supporter_ID ],tb1_supporters[Preference_Compliance_Flag],"")</f>
        <v/>
      </c>
      <c r="T783" t="str">
        <f ca="1">IF(Table8[[#This Row],[Age]]="","Review - missing DOB",IF(Table8[[#This Row],[Age]]&gt;TODAY(),"Review - future DOB",IF(Table8[[#This Row],[Age]]=0,"Review -  potential entry error (age 0)","")))</f>
        <v/>
      </c>
      <c r="U783" t="str">
        <f>_xlfn.XLOOKUP(Table8[[#This Row],[Campaign_Code]],tb3_CampaignMaster[Campaign_Code],tb3_CampaignMaster[Campaign_Type],"")</f>
        <v>Event</v>
      </c>
      <c r="V783" t="str">
        <f>_xlfn.XLOOKUP(Table8[[#This Row],[Campaign_Code]],tb3_CampaignMaster[Campaign_Code],tb3_CampaignMaster[Target_Audience],"")</f>
        <v>Major Donors</v>
      </c>
      <c r="W783" s="17">
        <f>_xlfn.XLOOKUP(Table8[[#This Row],[Campaign_Code]],tb3_CampaignMaster[Campaign_Code],tb3_CampaignMaster[Start_Date],"")</f>
        <v>45488</v>
      </c>
      <c r="X783" s="17">
        <f>_xlfn.XLOOKUP(Table8[[#This Row],[Campaign_Code]],tb3_CampaignMaster[Campaign_Code],tb3_CampaignMaster[End_Date],"")</f>
        <v>45488</v>
      </c>
      <c r="Y783">
        <f>_xlfn.XLOOKUP(Table8[[#This Row],[Campaign_Code]],tb3_CampaignMaster[Campaign_Code],tb3_CampaignMaster[Budget_GBP],"")</f>
        <v>45000</v>
      </c>
      <c r="Z783" t="str">
        <f>_xlfn.XLOOKUP(Table8[[#This Row],[Campaign_Code]],tb3_CampaignMaster[Campaign_Code],tb3_CampaignMaster[Primary_Channel],"")</f>
        <v>Direct Mail</v>
      </c>
      <c r="AA783" s="13">
        <f>IF(Table8[[#This Row],[Gift_Aid_Eligible]]="Yes",Table8[[#This Row],[Gift_Amount]]*1.25,Table8[[#This Row],[Gift_Amount]])</f>
        <v>4206.8999999999996</v>
      </c>
      <c r="AB783" t="str">
        <f>IF(Table8[[#This Row],[Supporter_ID]]="","Review - missing supporter ID","")</f>
        <v/>
      </c>
      <c r="AC783" t="str">
        <f>IF(OR(Table8[[#This Row],[Response_Date]]&lt;Table8[[#This Row],[Start_Date]],Table8[[#This Row],[Response_Date]]&gt;Table8[[#This Row],[End_Date]]),"Review - response outside campaign dates","")</f>
        <v/>
      </c>
      <c r="AD783" t="str">
        <f>IF(Table8[[#This Row],[Campaign_Type]]="","Review - campaign code not found","")</f>
        <v/>
      </c>
    </row>
    <row r="784" spans="1:30" x14ac:dyDescent="0.25">
      <c r="A784" t="s">
        <v>4642</v>
      </c>
      <c r="B784" t="s">
        <v>1796</v>
      </c>
      <c r="C784" t="s">
        <v>3427</v>
      </c>
      <c r="D784" t="s">
        <v>3428</v>
      </c>
      <c r="E784" t="s">
        <v>65</v>
      </c>
      <c r="F784" s="17">
        <v>45488</v>
      </c>
      <c r="G784">
        <v>58.63</v>
      </c>
      <c r="H784" t="s">
        <v>36</v>
      </c>
      <c r="I784" t="s">
        <v>3334</v>
      </c>
      <c r="J784" t="str">
        <f>_xlfn.XLOOKUP(Table8[[#This Row],[Supporter_ID]],tb1_supporters[Supporter_ID ],tb1_supporters[Segment],"")</f>
        <v>One-Time Donor</v>
      </c>
      <c r="K784" t="str">
        <f>_xlfn.XLOOKUP(Table8[[#This Row],[Supporter_ID]],tb1_supporters[Supporter_ID ],tb1_supporters[Acquisition_Source],"")</f>
        <v>Website</v>
      </c>
      <c r="L784" t="str">
        <f>_xlfn.XLOOKUP(Table8[[#This Row],[Supporter_ID]],tb1_supporters[Supporter_ID ],tb1_supporters[County],"")</f>
        <v>Oxfordshire</v>
      </c>
      <c r="M784" t="str">
        <f>_xlfn.XLOOKUP(Table8[[#This Row],[Supporter_ID]],tb1_supporters[Supporter_ID ],tb1_supporters[Gender],"")</f>
        <v>Female</v>
      </c>
      <c r="N784">
        <f ca="1">_xlfn.XLOOKUP(Table8[[#This Row],[Supporter_ID]],tb1_supporters[Supporter_ID ],tb1_supporters[Age],"")</f>
        <v>71</v>
      </c>
      <c r="O784" t="str">
        <f ca="1">_xlfn.XLOOKUP(Table8[[#This Row],[Supporter_ID]],tb1_supporters[Supporter_ID ],tb1_supporters[Age_Band],"")</f>
        <v>65+</v>
      </c>
      <c r="P784" t="str">
        <f ca="1">IF(Table8[[#This Row],[Age_Band]]="","Unknown",Table8[[#This Row],[Age_Band]])</f>
        <v>65+</v>
      </c>
      <c r="Q784" t="str">
        <f>_xlfn.XLOOKUP(Table8[[#This Row],[Supporter_ID]],tb1_supporters[Supporter_ID ],tb1_supporters[Communication_Preference],"")</f>
        <v>Email</v>
      </c>
      <c r="R784" t="str">
        <f>_xlfn.XLOOKUP(Table8[[#This Row],[Supporter_ID]],tb1_supporters[Supporter_ID ],tb1_supporters[Duplicate_Profile_Flag],"")</f>
        <v/>
      </c>
      <c r="S784" t="str">
        <f>_xlfn.XLOOKUP(Table8[[#This Row],[Supporter_ID]],tb1_supporters[Supporter_ID ],tb1_supporters[Preference_Compliance_Flag],"")</f>
        <v>Review - prefers email but not opted in</v>
      </c>
      <c r="T784" t="str">
        <f ca="1">IF(Table8[[#This Row],[Age]]="","Review - missing DOB",IF(Table8[[#This Row],[Age]]&gt;TODAY(),"Review - future DOB",IF(Table8[[#This Row],[Age]]=0,"Review -  potential entry error (age 0)","")))</f>
        <v/>
      </c>
      <c r="U784" t="str">
        <f>_xlfn.XLOOKUP(Table8[[#This Row],[Campaign_Code]],tb3_CampaignMaster[Campaign_Code],tb3_CampaignMaster[Campaign_Type],"")</f>
        <v>Event</v>
      </c>
      <c r="V784" t="str">
        <f>_xlfn.XLOOKUP(Table8[[#This Row],[Campaign_Code]],tb3_CampaignMaster[Campaign_Code],tb3_CampaignMaster[Target_Audience],"")</f>
        <v>Major Donors</v>
      </c>
      <c r="W784" s="17">
        <f>_xlfn.XLOOKUP(Table8[[#This Row],[Campaign_Code]],tb3_CampaignMaster[Campaign_Code],tb3_CampaignMaster[Start_Date],"")</f>
        <v>45488</v>
      </c>
      <c r="X784" s="17">
        <f>_xlfn.XLOOKUP(Table8[[#This Row],[Campaign_Code]],tb3_CampaignMaster[Campaign_Code],tb3_CampaignMaster[End_Date],"")</f>
        <v>45488</v>
      </c>
      <c r="Y784">
        <f>_xlfn.XLOOKUP(Table8[[#This Row],[Campaign_Code]],tb3_CampaignMaster[Campaign_Code],tb3_CampaignMaster[Budget_GBP],"")</f>
        <v>45000</v>
      </c>
      <c r="Z784" t="str">
        <f>_xlfn.XLOOKUP(Table8[[#This Row],[Campaign_Code]],tb3_CampaignMaster[Campaign_Code],tb3_CampaignMaster[Primary_Channel],"")</f>
        <v>Direct Mail</v>
      </c>
      <c r="AA784" s="13">
        <f>IF(Table8[[#This Row],[Gift_Aid_Eligible]]="Yes",Table8[[#This Row],[Gift_Amount]]*1.25,Table8[[#This Row],[Gift_Amount]])</f>
        <v>73.287500000000009</v>
      </c>
      <c r="AB784" t="str">
        <f>IF(Table8[[#This Row],[Supporter_ID]]="","Review - missing supporter ID","")</f>
        <v/>
      </c>
      <c r="AC784" t="str">
        <f>IF(OR(Table8[[#This Row],[Response_Date]]&lt;Table8[[#This Row],[Start_Date]],Table8[[#This Row],[Response_Date]]&gt;Table8[[#This Row],[End_Date]]),"Review - response outside campaign dates","")</f>
        <v/>
      </c>
      <c r="AD784" t="str">
        <f>IF(Table8[[#This Row],[Campaign_Type]]="","Review - campaign code not found","")</f>
        <v/>
      </c>
    </row>
    <row r="785" spans="1:30" x14ac:dyDescent="0.25">
      <c r="A785" t="s">
        <v>4643</v>
      </c>
      <c r="B785" t="s">
        <v>2176</v>
      </c>
      <c r="C785" t="s">
        <v>3341</v>
      </c>
      <c r="D785" t="s">
        <v>3342</v>
      </c>
      <c r="E785" t="s">
        <v>4</v>
      </c>
      <c r="F785" s="17">
        <v>45765</v>
      </c>
      <c r="G785">
        <v>11.3</v>
      </c>
      <c r="H785" t="s">
        <v>36</v>
      </c>
      <c r="I785" t="s">
        <v>3318</v>
      </c>
      <c r="J785" t="str">
        <f>_xlfn.XLOOKUP(Table8[[#This Row],[Supporter_ID]],tb1_supporters[Supporter_ID ],tb1_supporters[Segment],"")</f>
        <v>Prospect</v>
      </c>
      <c r="K785" t="str">
        <f>_xlfn.XLOOKUP(Table8[[#This Row],[Supporter_ID]],tb1_supporters[Supporter_ID ],tb1_supporters[Acquisition_Source],"")</f>
        <v>Corporate Partner</v>
      </c>
      <c r="L785" t="str">
        <f>_xlfn.XLOOKUP(Table8[[#This Row],[Supporter_ID]],tb1_supporters[Supporter_ID ],tb1_supporters[County],"")</f>
        <v>Gloucestershire</v>
      </c>
      <c r="M785" t="str">
        <f>_xlfn.XLOOKUP(Table8[[#This Row],[Supporter_ID]],tb1_supporters[Supporter_ID ],tb1_supporters[Gender],"")</f>
        <v>Female</v>
      </c>
      <c r="N785">
        <f ca="1">_xlfn.XLOOKUP(Table8[[#This Row],[Supporter_ID]],tb1_supporters[Supporter_ID ],tb1_supporters[Age],"")</f>
        <v>36</v>
      </c>
      <c r="O785" t="str">
        <f ca="1">_xlfn.XLOOKUP(Table8[[#This Row],[Supporter_ID]],tb1_supporters[Supporter_ID ],tb1_supporters[Age_Band],"")</f>
        <v>35-49</v>
      </c>
      <c r="P785" t="str">
        <f ca="1">IF(Table8[[#This Row],[Age_Band]]="","Unknown",Table8[[#This Row],[Age_Band]])</f>
        <v>35-49</v>
      </c>
      <c r="Q785" t="str">
        <f>_xlfn.XLOOKUP(Table8[[#This Row],[Supporter_ID]],tb1_supporters[Supporter_ID ],tb1_supporters[Communication_Preference],"")</f>
        <v>Do Not Contact</v>
      </c>
      <c r="R785" t="str">
        <f>_xlfn.XLOOKUP(Table8[[#This Row],[Supporter_ID]],tb1_supporters[Supporter_ID ],tb1_supporters[Duplicate_Profile_Flag],"")</f>
        <v/>
      </c>
      <c r="S785" t="str">
        <f>_xlfn.XLOOKUP(Table8[[#This Row],[Supporter_ID]],tb1_supporters[Supporter_ID ],tb1_supporters[Preference_Compliance_Flag],"")</f>
        <v/>
      </c>
      <c r="T785" t="str">
        <f ca="1">IF(Table8[[#This Row],[Age]]="","Review - missing DOB",IF(Table8[[#This Row],[Age]]&gt;TODAY(),"Review - future DOB",IF(Table8[[#This Row],[Age]]=0,"Review -  potential entry error (age 0)","")))</f>
        <v/>
      </c>
      <c r="U785" t="str">
        <f>_xlfn.XLOOKUP(Table8[[#This Row],[Campaign_Code]],tb3_CampaignMaster[Campaign_Code],tb3_CampaignMaster[Campaign_Type],"")</f>
        <v>Acquisition</v>
      </c>
      <c r="V785" t="str">
        <f>_xlfn.XLOOKUP(Table8[[#This Row],[Campaign_Code]],tb3_CampaignMaster[Campaign_Code],tb3_CampaignMaster[Target_Audience],"")</f>
        <v>Prospects</v>
      </c>
      <c r="W785" s="17">
        <f>_xlfn.XLOOKUP(Table8[[#This Row],[Campaign_Code]],tb3_CampaignMaster[Campaign_Code],tb3_CampaignMaster[Start_Date],"")</f>
        <v>45689</v>
      </c>
      <c r="X785" s="17">
        <f>_xlfn.XLOOKUP(Table8[[#This Row],[Campaign_Code]],tb3_CampaignMaster[Campaign_Code],tb3_CampaignMaster[End_Date],"")</f>
        <v>45777</v>
      </c>
      <c r="Y785">
        <f>_xlfn.XLOOKUP(Table8[[#This Row],[Campaign_Code]],tb3_CampaignMaster[Campaign_Code],tb3_CampaignMaster[Budget_GBP],"")</f>
        <v>20000</v>
      </c>
      <c r="Z785" t="str">
        <f>_xlfn.XLOOKUP(Table8[[#This Row],[Campaign_Code]],tb3_CampaignMaster[Campaign_Code],tb3_CampaignMaster[Primary_Channel],"")</f>
        <v>Digital</v>
      </c>
      <c r="AA785" s="13">
        <f>IF(Table8[[#This Row],[Gift_Aid_Eligible]]="Yes",Table8[[#This Row],[Gift_Amount]]*1.25,Table8[[#This Row],[Gift_Amount]])</f>
        <v>14.125</v>
      </c>
      <c r="AB785" t="str">
        <f>IF(Table8[[#This Row],[Supporter_ID]]="","Review - missing supporter ID","")</f>
        <v/>
      </c>
      <c r="AC785" t="str">
        <f>IF(OR(Table8[[#This Row],[Response_Date]]&lt;Table8[[#This Row],[Start_Date]],Table8[[#This Row],[Response_Date]]&gt;Table8[[#This Row],[End_Date]]),"Review - response outside campaign dates","")</f>
        <v/>
      </c>
      <c r="AD785" t="str">
        <f>IF(Table8[[#This Row],[Campaign_Type]]="","Review - campaign code not found","")</f>
        <v/>
      </c>
    </row>
    <row r="786" spans="1:30" x14ac:dyDescent="0.25">
      <c r="A786" t="s">
        <v>4645</v>
      </c>
      <c r="B786" t="s">
        <v>2000</v>
      </c>
      <c r="C786" t="s">
        <v>3427</v>
      </c>
      <c r="D786" t="s">
        <v>3428</v>
      </c>
      <c r="E786" t="s">
        <v>4</v>
      </c>
      <c r="F786" s="17">
        <v>45488</v>
      </c>
      <c r="G786">
        <v>3199.89</v>
      </c>
      <c r="H786" t="s">
        <v>36</v>
      </c>
      <c r="I786" t="s">
        <v>3385</v>
      </c>
      <c r="J786" t="str">
        <f>_xlfn.XLOOKUP(Table8[[#This Row],[Supporter_ID]],tb1_supporters[Supporter_ID ],tb1_supporters[Segment],"")</f>
        <v>Major Donor</v>
      </c>
      <c r="K786" t="str">
        <f>_xlfn.XLOOKUP(Table8[[#This Row],[Supporter_ID]],tb1_supporters[Supporter_ID ],tb1_supporters[Acquisition_Source],"")</f>
        <v>Website</v>
      </c>
      <c r="L786" t="str">
        <f>_xlfn.XLOOKUP(Table8[[#This Row],[Supporter_ID]],tb1_supporters[Supporter_ID ],tb1_supporters[County],"")</f>
        <v>Oxfordshire</v>
      </c>
      <c r="M786" t="str">
        <f>_xlfn.XLOOKUP(Table8[[#This Row],[Supporter_ID]],tb1_supporters[Supporter_ID ],tb1_supporters[Gender],"")</f>
        <v>Male</v>
      </c>
      <c r="N786">
        <f ca="1">_xlfn.XLOOKUP(Table8[[#This Row],[Supporter_ID]],tb1_supporters[Supporter_ID ],tb1_supporters[Age],"")</f>
        <v>67</v>
      </c>
      <c r="O786" t="str">
        <f ca="1">_xlfn.XLOOKUP(Table8[[#This Row],[Supporter_ID]],tb1_supporters[Supporter_ID ],tb1_supporters[Age_Band],"")</f>
        <v>65+</v>
      </c>
      <c r="P786" t="str">
        <f ca="1">IF(Table8[[#This Row],[Age_Band]]="","Unknown",Table8[[#This Row],[Age_Band]])</f>
        <v>65+</v>
      </c>
      <c r="Q786" t="str">
        <f>_xlfn.XLOOKUP(Table8[[#This Row],[Supporter_ID]],tb1_supporters[Supporter_ID ],tb1_supporters[Communication_Preference],"")</f>
        <v>Email</v>
      </c>
      <c r="R786" t="str">
        <f>_xlfn.XLOOKUP(Table8[[#This Row],[Supporter_ID]],tb1_supporters[Supporter_ID ],tb1_supporters[Duplicate_Profile_Flag],"")</f>
        <v/>
      </c>
      <c r="S786" t="str">
        <f>_xlfn.XLOOKUP(Table8[[#This Row],[Supporter_ID]],tb1_supporters[Supporter_ID ],tb1_supporters[Preference_Compliance_Flag],"")</f>
        <v/>
      </c>
      <c r="T786" t="str">
        <f ca="1">IF(Table8[[#This Row],[Age]]="","Review - missing DOB",IF(Table8[[#This Row],[Age]]&gt;TODAY(),"Review - future DOB",IF(Table8[[#This Row],[Age]]=0,"Review -  potential entry error (age 0)","")))</f>
        <v/>
      </c>
      <c r="U786" t="str">
        <f>_xlfn.XLOOKUP(Table8[[#This Row],[Campaign_Code]],tb3_CampaignMaster[Campaign_Code],tb3_CampaignMaster[Campaign_Type],"")</f>
        <v>Event</v>
      </c>
      <c r="V786" t="str">
        <f>_xlfn.XLOOKUP(Table8[[#This Row],[Campaign_Code]],tb3_CampaignMaster[Campaign_Code],tb3_CampaignMaster[Target_Audience],"")</f>
        <v>Major Donors</v>
      </c>
      <c r="W786" s="17">
        <f>_xlfn.XLOOKUP(Table8[[#This Row],[Campaign_Code]],tb3_CampaignMaster[Campaign_Code],tb3_CampaignMaster[Start_Date],"")</f>
        <v>45488</v>
      </c>
      <c r="X786" s="17">
        <f>_xlfn.XLOOKUP(Table8[[#This Row],[Campaign_Code]],tb3_CampaignMaster[Campaign_Code],tb3_CampaignMaster[End_Date],"")</f>
        <v>45488</v>
      </c>
      <c r="Y786">
        <f>_xlfn.XLOOKUP(Table8[[#This Row],[Campaign_Code]],tb3_CampaignMaster[Campaign_Code],tb3_CampaignMaster[Budget_GBP],"")</f>
        <v>45000</v>
      </c>
      <c r="Z786" t="str">
        <f>_xlfn.XLOOKUP(Table8[[#This Row],[Campaign_Code]],tb3_CampaignMaster[Campaign_Code],tb3_CampaignMaster[Primary_Channel],"")</f>
        <v>Direct Mail</v>
      </c>
      <c r="AA786" s="13">
        <f>IF(Table8[[#This Row],[Gift_Aid_Eligible]]="Yes",Table8[[#This Row],[Gift_Amount]]*1.25,Table8[[#This Row],[Gift_Amount]])</f>
        <v>3999.8624999999997</v>
      </c>
      <c r="AB786" t="str">
        <f>IF(Table8[[#This Row],[Supporter_ID]]="","Review - missing supporter ID","")</f>
        <v/>
      </c>
      <c r="AC786" t="str">
        <f>IF(OR(Table8[[#This Row],[Response_Date]]&lt;Table8[[#This Row],[Start_Date]],Table8[[#This Row],[Response_Date]]&gt;Table8[[#This Row],[End_Date]]),"Review - response outside campaign dates","")</f>
        <v/>
      </c>
      <c r="AD786" t="str">
        <f>IF(Table8[[#This Row],[Campaign_Type]]="","Review - campaign code not found","")</f>
        <v/>
      </c>
    </row>
    <row r="787" spans="1:30" x14ac:dyDescent="0.25">
      <c r="A787" t="s">
        <v>4646</v>
      </c>
      <c r="B787" t="s">
        <v>1280</v>
      </c>
      <c r="C787" t="s">
        <v>3325</v>
      </c>
      <c r="D787" t="s">
        <v>3326</v>
      </c>
      <c r="E787" t="s">
        <v>3338</v>
      </c>
      <c r="F787" s="17">
        <v>45610</v>
      </c>
      <c r="G787">
        <v>32.08</v>
      </c>
      <c r="H787" t="s">
        <v>37</v>
      </c>
      <c r="I787" t="s">
        <v>3334</v>
      </c>
      <c r="J787" t="str">
        <f>_xlfn.XLOOKUP(Table8[[#This Row],[Supporter_ID]],tb1_supporters[Supporter_ID ],tb1_supporters[Segment],"")</f>
        <v>Regular Giver</v>
      </c>
      <c r="K787" t="str">
        <f>_xlfn.XLOOKUP(Table8[[#This Row],[Supporter_ID]],tb1_supporters[Supporter_ID ],tb1_supporters[Acquisition_Source],"")</f>
        <v>Social Media</v>
      </c>
      <c r="L787" t="str">
        <f>_xlfn.XLOOKUP(Table8[[#This Row],[Supporter_ID]],tb1_supporters[Supporter_ID ],tb1_supporters[County],"")</f>
        <v>Bedfordshire</v>
      </c>
      <c r="M787" t="str">
        <f>_xlfn.XLOOKUP(Table8[[#This Row],[Supporter_ID]],tb1_supporters[Supporter_ID ],tb1_supporters[Gender],"")</f>
        <v>Male</v>
      </c>
      <c r="N787">
        <f ca="1">_xlfn.XLOOKUP(Table8[[#This Row],[Supporter_ID]],tb1_supporters[Supporter_ID ],tb1_supporters[Age],"")</f>
        <v>71</v>
      </c>
      <c r="O787" t="str">
        <f ca="1">_xlfn.XLOOKUP(Table8[[#This Row],[Supporter_ID]],tb1_supporters[Supporter_ID ],tb1_supporters[Age_Band],"")</f>
        <v>65+</v>
      </c>
      <c r="P787" t="str">
        <f ca="1">IF(Table8[[#This Row],[Age_Band]]="","Unknown",Table8[[#This Row],[Age_Band]])</f>
        <v>65+</v>
      </c>
      <c r="Q787" t="str">
        <f>_xlfn.XLOOKUP(Table8[[#This Row],[Supporter_ID]],tb1_supporters[Supporter_ID ],tb1_supporters[Communication_Preference],"")</f>
        <v>Email</v>
      </c>
      <c r="R787" t="str">
        <f>_xlfn.XLOOKUP(Table8[[#This Row],[Supporter_ID]],tb1_supporters[Supporter_ID ],tb1_supporters[Duplicate_Profile_Flag],"")</f>
        <v/>
      </c>
      <c r="S787" t="str">
        <f>_xlfn.XLOOKUP(Table8[[#This Row],[Supporter_ID]],tb1_supporters[Supporter_ID ],tb1_supporters[Preference_Compliance_Flag],"")</f>
        <v/>
      </c>
      <c r="T787" t="str">
        <f ca="1">IF(Table8[[#This Row],[Age]]="","Review - missing DOB",IF(Table8[[#This Row],[Age]]&gt;TODAY(),"Review - future DOB",IF(Table8[[#This Row],[Age]]=0,"Review -  potential entry error (age 0)","")))</f>
        <v/>
      </c>
      <c r="U787" t="str">
        <f>_xlfn.XLOOKUP(Table8[[#This Row],[Campaign_Code]],tb3_CampaignMaster[Campaign_Code],tb3_CampaignMaster[Campaign_Type],"")</f>
        <v>Appeal</v>
      </c>
      <c r="V787" t="str">
        <f>_xlfn.XLOOKUP(Table8[[#This Row],[Campaign_Code]],tb3_CampaignMaster[Campaign_Code],tb3_CampaignMaster[Target_Audience],"")</f>
        <v>All Active</v>
      </c>
      <c r="W787" s="17">
        <f>_xlfn.XLOOKUP(Table8[[#This Row],[Campaign_Code]],tb3_CampaignMaster[Campaign_Code],tb3_CampaignMaster[Start_Date],"")</f>
        <v>45597</v>
      </c>
      <c r="X787" s="17">
        <f>_xlfn.XLOOKUP(Table8[[#This Row],[Campaign_Code]],tb3_CampaignMaster[Campaign_Code],tb3_CampaignMaster[End_Date],"")</f>
        <v>45657</v>
      </c>
      <c r="Y787">
        <f>_xlfn.XLOOKUP(Table8[[#This Row],[Campaign_Code]],tb3_CampaignMaster[Campaign_Code],tb3_CampaignMaster[Budget_GBP],"")</f>
        <v>25000</v>
      </c>
      <c r="Z787" t="str">
        <f>_xlfn.XLOOKUP(Table8[[#This Row],[Campaign_Code]],tb3_CampaignMaster[Campaign_Code],tb3_CampaignMaster[Primary_Channel],"")</f>
        <v>Multi-channel</v>
      </c>
      <c r="AA787" s="13">
        <f>IF(Table8[[#This Row],[Gift_Aid_Eligible]]="Yes",Table8[[#This Row],[Gift_Amount]]*1.25,Table8[[#This Row],[Gift_Amount]])</f>
        <v>32.08</v>
      </c>
      <c r="AB787" t="str">
        <f>IF(Table8[[#This Row],[Supporter_ID]]="","Review - missing supporter ID","")</f>
        <v/>
      </c>
      <c r="AC787" t="str">
        <f>IF(OR(Table8[[#This Row],[Response_Date]]&lt;Table8[[#This Row],[Start_Date]],Table8[[#This Row],[Response_Date]]&gt;Table8[[#This Row],[End_Date]]),"Review - response outside campaign dates","")</f>
        <v/>
      </c>
      <c r="AD787" t="str">
        <f>IF(Table8[[#This Row],[Campaign_Type]]="","Review - campaign code not found","")</f>
        <v/>
      </c>
    </row>
    <row r="788" spans="1:30" x14ac:dyDescent="0.25">
      <c r="A788" t="s">
        <v>4648</v>
      </c>
      <c r="B788" t="s">
        <v>3037</v>
      </c>
      <c r="C788" t="s">
        <v>3341</v>
      </c>
      <c r="D788" t="s">
        <v>3342</v>
      </c>
      <c r="E788" t="s">
        <v>4</v>
      </c>
      <c r="F788" s="17">
        <v>45775</v>
      </c>
      <c r="G788">
        <v>73.3</v>
      </c>
      <c r="H788" t="s">
        <v>37</v>
      </c>
      <c r="I788" t="s">
        <v>3331</v>
      </c>
      <c r="J788" t="str">
        <f>_xlfn.XLOOKUP(Table8[[#This Row],[Supporter_ID]],tb1_supporters[Supporter_ID ],tb1_supporters[Segment],"")</f>
        <v>One-Time Donor</v>
      </c>
      <c r="K788" t="str">
        <f>_xlfn.XLOOKUP(Table8[[#This Row],[Supporter_ID]],tb1_supporters[Supporter_ID ],tb1_supporters[Acquisition_Source],"")</f>
        <v>Social Media</v>
      </c>
      <c r="L788" t="str">
        <f>_xlfn.XLOOKUP(Table8[[#This Row],[Supporter_ID]],tb1_supporters[Supporter_ID ],tb1_supporters[County],"")</f>
        <v>Buckinghamshire</v>
      </c>
      <c r="M788" t="str">
        <f>_xlfn.XLOOKUP(Table8[[#This Row],[Supporter_ID]],tb1_supporters[Supporter_ID ],tb1_supporters[Gender],"")</f>
        <v>Female</v>
      </c>
      <c r="N788">
        <f ca="1">_xlfn.XLOOKUP(Table8[[#This Row],[Supporter_ID]],tb1_supporters[Supporter_ID ],tb1_supporters[Age],"")</f>
        <v>77</v>
      </c>
      <c r="O788" t="str">
        <f ca="1">_xlfn.XLOOKUP(Table8[[#This Row],[Supporter_ID]],tb1_supporters[Supporter_ID ],tb1_supporters[Age_Band],"")</f>
        <v>65+</v>
      </c>
      <c r="P788" t="str">
        <f ca="1">IF(Table8[[#This Row],[Age_Band]]="","Unknown",Table8[[#This Row],[Age_Band]])</f>
        <v>65+</v>
      </c>
      <c r="Q788" t="str">
        <f>_xlfn.XLOOKUP(Table8[[#This Row],[Supporter_ID]],tb1_supporters[Supporter_ID ],tb1_supporters[Communication_Preference],"")</f>
        <v>Phone</v>
      </c>
      <c r="R788" t="str">
        <f>_xlfn.XLOOKUP(Table8[[#This Row],[Supporter_ID]],tb1_supporters[Supporter_ID ],tb1_supporters[Duplicate_Profile_Flag],"")</f>
        <v/>
      </c>
      <c r="S788" t="str">
        <f>_xlfn.XLOOKUP(Table8[[#This Row],[Supporter_ID]],tb1_supporters[Supporter_ID ],tb1_supporters[Preference_Compliance_Flag],"")</f>
        <v/>
      </c>
      <c r="T788" t="str">
        <f ca="1">IF(Table8[[#This Row],[Age]]="","Review - missing DOB",IF(Table8[[#This Row],[Age]]&gt;TODAY(),"Review - future DOB",IF(Table8[[#This Row],[Age]]=0,"Review -  potential entry error (age 0)","")))</f>
        <v/>
      </c>
      <c r="U788" t="str">
        <f>_xlfn.XLOOKUP(Table8[[#This Row],[Campaign_Code]],tb3_CampaignMaster[Campaign_Code],tb3_CampaignMaster[Campaign_Type],"")</f>
        <v>Acquisition</v>
      </c>
      <c r="V788" t="str">
        <f>_xlfn.XLOOKUP(Table8[[#This Row],[Campaign_Code]],tb3_CampaignMaster[Campaign_Code],tb3_CampaignMaster[Target_Audience],"")</f>
        <v>Prospects</v>
      </c>
      <c r="W788" s="17">
        <f>_xlfn.XLOOKUP(Table8[[#This Row],[Campaign_Code]],tb3_CampaignMaster[Campaign_Code],tb3_CampaignMaster[Start_Date],"")</f>
        <v>45689</v>
      </c>
      <c r="X788" s="17">
        <f>_xlfn.XLOOKUP(Table8[[#This Row],[Campaign_Code]],tb3_CampaignMaster[Campaign_Code],tb3_CampaignMaster[End_Date],"")</f>
        <v>45777</v>
      </c>
      <c r="Y788">
        <f>_xlfn.XLOOKUP(Table8[[#This Row],[Campaign_Code]],tb3_CampaignMaster[Campaign_Code],tb3_CampaignMaster[Budget_GBP],"")</f>
        <v>20000</v>
      </c>
      <c r="Z788" t="str">
        <f>_xlfn.XLOOKUP(Table8[[#This Row],[Campaign_Code]],tb3_CampaignMaster[Campaign_Code],tb3_CampaignMaster[Primary_Channel],"")</f>
        <v>Digital</v>
      </c>
      <c r="AA788" s="13">
        <f>IF(Table8[[#This Row],[Gift_Aid_Eligible]]="Yes",Table8[[#This Row],[Gift_Amount]]*1.25,Table8[[#This Row],[Gift_Amount]])</f>
        <v>73.3</v>
      </c>
      <c r="AB788" t="str">
        <f>IF(Table8[[#This Row],[Supporter_ID]]="","Review - missing supporter ID","")</f>
        <v/>
      </c>
      <c r="AC788" t="str">
        <f>IF(OR(Table8[[#This Row],[Response_Date]]&lt;Table8[[#This Row],[Start_Date]],Table8[[#This Row],[Response_Date]]&gt;Table8[[#This Row],[End_Date]]),"Review - response outside campaign dates","")</f>
        <v/>
      </c>
      <c r="AD788" t="str">
        <f>IF(Table8[[#This Row],[Campaign_Type]]="","Review - campaign code not found","")</f>
        <v/>
      </c>
    </row>
    <row r="789" spans="1:30" x14ac:dyDescent="0.25">
      <c r="A789" t="s">
        <v>4650</v>
      </c>
      <c r="B789" t="s">
        <v>520</v>
      </c>
      <c r="C789" t="s">
        <v>3341</v>
      </c>
      <c r="D789" t="s">
        <v>3342</v>
      </c>
      <c r="E789" t="s">
        <v>3316</v>
      </c>
      <c r="F789" s="17">
        <v>45750</v>
      </c>
      <c r="G789">
        <v>145.04</v>
      </c>
      <c r="H789" t="s">
        <v>37</v>
      </c>
      <c r="I789" t="s">
        <v>3318</v>
      </c>
      <c r="J789" t="str">
        <f>_xlfn.XLOOKUP(Table8[[#This Row],[Supporter_ID]],tb1_supporters[Supporter_ID ],tb1_supporters[Segment],"")</f>
        <v>One-Time Donor</v>
      </c>
      <c r="K789" t="str">
        <f>_xlfn.XLOOKUP(Table8[[#This Row],[Supporter_ID]],tb1_supporters[Supporter_ID ],tb1_supporters[Acquisition_Source],"")</f>
        <v>Social Media</v>
      </c>
      <c r="L789" t="str">
        <f>_xlfn.XLOOKUP(Table8[[#This Row],[Supporter_ID]],tb1_supporters[Supporter_ID ],tb1_supporters[County],"")</f>
        <v>Hertfordshire</v>
      </c>
      <c r="M789" t="str">
        <f>_xlfn.XLOOKUP(Table8[[#This Row],[Supporter_ID]],tb1_supporters[Supporter_ID ],tb1_supporters[Gender],"")</f>
        <v>Male</v>
      </c>
      <c r="N789">
        <f ca="1">_xlfn.XLOOKUP(Table8[[#This Row],[Supporter_ID]],tb1_supporters[Supporter_ID ],tb1_supporters[Age],"")</f>
        <v>72</v>
      </c>
      <c r="O789" t="str">
        <f ca="1">_xlfn.XLOOKUP(Table8[[#This Row],[Supporter_ID]],tb1_supporters[Supporter_ID ],tb1_supporters[Age_Band],"")</f>
        <v>65+</v>
      </c>
      <c r="P789" t="str">
        <f ca="1">IF(Table8[[#This Row],[Age_Band]]="","Unknown",Table8[[#This Row],[Age_Band]])</f>
        <v>65+</v>
      </c>
      <c r="Q789" t="str">
        <f>_xlfn.XLOOKUP(Table8[[#This Row],[Supporter_ID]],tb1_supporters[Supporter_ID ],tb1_supporters[Communication_Preference],"")</f>
        <v>Email</v>
      </c>
      <c r="R789" t="str">
        <f>_xlfn.XLOOKUP(Table8[[#This Row],[Supporter_ID]],tb1_supporters[Supporter_ID ],tb1_supporters[Duplicate_Profile_Flag],"")</f>
        <v/>
      </c>
      <c r="S789" t="str">
        <f>_xlfn.XLOOKUP(Table8[[#This Row],[Supporter_ID]],tb1_supporters[Supporter_ID ],tb1_supporters[Preference_Compliance_Flag],"")</f>
        <v/>
      </c>
      <c r="T789" t="str">
        <f ca="1">IF(Table8[[#This Row],[Age]]="","Review - missing DOB",IF(Table8[[#This Row],[Age]]&gt;TODAY(),"Review - future DOB",IF(Table8[[#This Row],[Age]]=0,"Review -  potential entry error (age 0)","")))</f>
        <v/>
      </c>
      <c r="U789" t="str">
        <f>_xlfn.XLOOKUP(Table8[[#This Row],[Campaign_Code]],tb3_CampaignMaster[Campaign_Code],tb3_CampaignMaster[Campaign_Type],"")</f>
        <v>Acquisition</v>
      </c>
      <c r="V789" t="str">
        <f>_xlfn.XLOOKUP(Table8[[#This Row],[Campaign_Code]],tb3_CampaignMaster[Campaign_Code],tb3_CampaignMaster[Target_Audience],"")</f>
        <v>Prospects</v>
      </c>
      <c r="W789" s="17">
        <f>_xlfn.XLOOKUP(Table8[[#This Row],[Campaign_Code]],tb3_CampaignMaster[Campaign_Code],tb3_CampaignMaster[Start_Date],"")</f>
        <v>45689</v>
      </c>
      <c r="X789" s="17">
        <f>_xlfn.XLOOKUP(Table8[[#This Row],[Campaign_Code]],tb3_CampaignMaster[Campaign_Code],tb3_CampaignMaster[End_Date],"")</f>
        <v>45777</v>
      </c>
      <c r="Y789">
        <f>_xlfn.XLOOKUP(Table8[[#This Row],[Campaign_Code]],tb3_CampaignMaster[Campaign_Code],tb3_CampaignMaster[Budget_GBP],"")</f>
        <v>20000</v>
      </c>
      <c r="Z789" t="str">
        <f>_xlfn.XLOOKUP(Table8[[#This Row],[Campaign_Code]],tb3_CampaignMaster[Campaign_Code],tb3_CampaignMaster[Primary_Channel],"")</f>
        <v>Digital</v>
      </c>
      <c r="AA789" s="13">
        <f>IF(Table8[[#This Row],[Gift_Aid_Eligible]]="Yes",Table8[[#This Row],[Gift_Amount]]*1.25,Table8[[#This Row],[Gift_Amount]])</f>
        <v>145.04</v>
      </c>
      <c r="AB789" t="str">
        <f>IF(Table8[[#This Row],[Supporter_ID]]="","Review - missing supporter ID","")</f>
        <v/>
      </c>
      <c r="AC789" t="str">
        <f>IF(OR(Table8[[#This Row],[Response_Date]]&lt;Table8[[#This Row],[Start_Date]],Table8[[#This Row],[Response_Date]]&gt;Table8[[#This Row],[End_Date]]),"Review - response outside campaign dates","")</f>
        <v/>
      </c>
      <c r="AD789" t="str">
        <f>IF(Table8[[#This Row],[Campaign_Type]]="","Review - campaign code not found","")</f>
        <v/>
      </c>
    </row>
    <row r="790" spans="1:30" x14ac:dyDescent="0.25">
      <c r="A790" t="s">
        <v>4652</v>
      </c>
      <c r="B790" t="s">
        <v>3101</v>
      </c>
      <c r="C790" t="s">
        <v>3314</v>
      </c>
      <c r="D790" t="s">
        <v>3315</v>
      </c>
      <c r="E790" t="s">
        <v>33</v>
      </c>
      <c r="F790" s="17">
        <v>45688</v>
      </c>
      <c r="G790">
        <v>51.47</v>
      </c>
      <c r="H790" t="s">
        <v>36</v>
      </c>
      <c r="I790" t="s">
        <v>3331</v>
      </c>
      <c r="J790" t="str">
        <f>_xlfn.XLOOKUP(Table8[[#This Row],[Supporter_ID]],tb1_supporters[Supporter_ID ],tb1_supporters[Segment],"")</f>
        <v>Lapsed</v>
      </c>
      <c r="K790" t="str">
        <f>_xlfn.XLOOKUP(Table8[[#This Row],[Supporter_ID]],tb1_supporters[Supporter_ID ],tb1_supporters[Acquisition_Source],"")</f>
        <v>Door-To-Door</v>
      </c>
      <c r="L790" t="str">
        <f>_xlfn.XLOOKUP(Table8[[#This Row],[Supporter_ID]],tb1_supporters[Supporter_ID ],tb1_supporters[County],"")</f>
        <v>Hampshire</v>
      </c>
      <c r="M790" t="str">
        <f>_xlfn.XLOOKUP(Table8[[#This Row],[Supporter_ID]],tb1_supporters[Supporter_ID ],tb1_supporters[Gender],"")</f>
        <v>Male</v>
      </c>
      <c r="N790">
        <f ca="1">_xlfn.XLOOKUP(Table8[[#This Row],[Supporter_ID]],tb1_supporters[Supporter_ID ],tb1_supporters[Age],"")</f>
        <v>33</v>
      </c>
      <c r="O790" t="str">
        <f ca="1">_xlfn.XLOOKUP(Table8[[#This Row],[Supporter_ID]],tb1_supporters[Supporter_ID ],tb1_supporters[Age_Band],"")</f>
        <v>18-34</v>
      </c>
      <c r="P790" t="str">
        <f ca="1">IF(Table8[[#This Row],[Age_Band]]="","Unknown",Table8[[#This Row],[Age_Band]])</f>
        <v>18-34</v>
      </c>
      <c r="Q790" t="str">
        <f>_xlfn.XLOOKUP(Table8[[#This Row],[Supporter_ID]],tb1_supporters[Supporter_ID ],tb1_supporters[Communication_Preference],"")</f>
        <v>Email</v>
      </c>
      <c r="R790" t="str">
        <f>_xlfn.XLOOKUP(Table8[[#This Row],[Supporter_ID]],tb1_supporters[Supporter_ID ],tb1_supporters[Duplicate_Profile_Flag],"")</f>
        <v/>
      </c>
      <c r="S790" t="str">
        <f>_xlfn.XLOOKUP(Table8[[#This Row],[Supporter_ID]],tb1_supporters[Supporter_ID ],tb1_supporters[Preference_Compliance_Flag],"")</f>
        <v/>
      </c>
      <c r="T790" t="str">
        <f ca="1">IF(Table8[[#This Row],[Age]]="","Review - missing DOB",IF(Table8[[#This Row],[Age]]&gt;TODAY(),"Review - future DOB",IF(Table8[[#This Row],[Age]]=0,"Review -  potential entry error (age 0)","")))</f>
        <v/>
      </c>
      <c r="U790" t="str">
        <f>_xlfn.XLOOKUP(Table8[[#This Row],[Campaign_Code]],tb3_CampaignMaster[Campaign_Code],tb3_CampaignMaster[Campaign_Type],"")</f>
        <v>Regular Giving</v>
      </c>
      <c r="V790" t="str">
        <f>_xlfn.XLOOKUP(Table8[[#This Row],[Campaign_Code]],tb3_CampaignMaster[Campaign_Code],tb3_CampaignMaster[Target_Audience],"")</f>
        <v>One-time Donors</v>
      </c>
      <c r="W790" s="17">
        <f>_xlfn.XLOOKUP(Table8[[#This Row],[Campaign_Code]],tb3_CampaignMaster[Campaign_Code],tb3_CampaignMaster[Start_Date],"")</f>
        <v>45663</v>
      </c>
      <c r="X790" s="17">
        <f>_xlfn.XLOOKUP(Table8[[#This Row],[Campaign_Code]],tb3_CampaignMaster[Campaign_Code],tb3_CampaignMaster[End_Date],"")</f>
        <v>45747</v>
      </c>
      <c r="Y790">
        <f>_xlfn.XLOOKUP(Table8[[#This Row],[Campaign_Code]],tb3_CampaignMaster[Campaign_Code],tb3_CampaignMaster[Budget_GBP],"")</f>
        <v>10000</v>
      </c>
      <c r="Z790" t="str">
        <f>_xlfn.XLOOKUP(Table8[[#This Row],[Campaign_Code]],tb3_CampaignMaster[Campaign_Code],tb3_CampaignMaster[Primary_Channel],"")</f>
        <v>Telephone</v>
      </c>
      <c r="AA790" s="13">
        <f>IF(Table8[[#This Row],[Gift_Aid_Eligible]]="Yes",Table8[[#This Row],[Gift_Amount]]*1.25,Table8[[#This Row],[Gift_Amount]])</f>
        <v>64.337500000000006</v>
      </c>
      <c r="AB790" t="str">
        <f>IF(Table8[[#This Row],[Supporter_ID]]="","Review - missing supporter ID","")</f>
        <v/>
      </c>
      <c r="AC790" t="str">
        <f>IF(OR(Table8[[#This Row],[Response_Date]]&lt;Table8[[#This Row],[Start_Date]],Table8[[#This Row],[Response_Date]]&gt;Table8[[#This Row],[End_Date]]),"Review - response outside campaign dates","")</f>
        <v/>
      </c>
      <c r="AD790" t="str">
        <f>IF(Table8[[#This Row],[Campaign_Type]]="","Review - campaign code not found","")</f>
        <v/>
      </c>
    </row>
    <row r="791" spans="1:30" x14ac:dyDescent="0.25">
      <c r="A791" t="s">
        <v>4654</v>
      </c>
      <c r="B791" t="s">
        <v>2686</v>
      </c>
      <c r="C791" t="s">
        <v>3362</v>
      </c>
      <c r="D791" t="s">
        <v>3363</v>
      </c>
      <c r="E791" t="s">
        <v>65</v>
      </c>
      <c r="F791" s="17">
        <v>45575</v>
      </c>
      <c r="G791">
        <v>22.12</v>
      </c>
      <c r="H791" t="s">
        <v>37</v>
      </c>
      <c r="I791" t="s">
        <v>3328</v>
      </c>
      <c r="J791" t="str">
        <f>_xlfn.XLOOKUP(Table8[[#This Row],[Supporter_ID]],tb1_supporters[Supporter_ID ],tb1_supporters[Segment],"")</f>
        <v>Regular Giver</v>
      </c>
      <c r="K791" t="str">
        <f>_xlfn.XLOOKUP(Table8[[#This Row],[Supporter_ID]],tb1_supporters[Supporter_ID ],tb1_supporters[Acquisition_Source],"")</f>
        <v>Door-To-Door</v>
      </c>
      <c r="L791" t="str">
        <f>_xlfn.XLOOKUP(Table8[[#This Row],[Supporter_ID]],tb1_supporters[Supporter_ID ],tb1_supporters[County],"")</f>
        <v>Bedfordshire</v>
      </c>
      <c r="M791" t="str">
        <f>_xlfn.XLOOKUP(Table8[[#This Row],[Supporter_ID]],tb1_supporters[Supporter_ID ],tb1_supporters[Gender],"")</f>
        <v>Female</v>
      </c>
      <c r="N791">
        <f ca="1">_xlfn.XLOOKUP(Table8[[#This Row],[Supporter_ID]],tb1_supporters[Supporter_ID ],tb1_supporters[Age],"")</f>
        <v>44</v>
      </c>
      <c r="O791" t="str">
        <f ca="1">_xlfn.XLOOKUP(Table8[[#This Row],[Supporter_ID]],tb1_supporters[Supporter_ID ],tb1_supporters[Age_Band],"")</f>
        <v>35-49</v>
      </c>
      <c r="P791" t="str">
        <f ca="1">IF(Table8[[#This Row],[Age_Band]]="","Unknown",Table8[[#This Row],[Age_Band]])</f>
        <v>35-49</v>
      </c>
      <c r="Q791" t="str">
        <f>_xlfn.XLOOKUP(Table8[[#This Row],[Supporter_ID]],tb1_supporters[Supporter_ID ],tb1_supporters[Communication_Preference],"")</f>
        <v>Phone</v>
      </c>
      <c r="R791" t="str">
        <f>_xlfn.XLOOKUP(Table8[[#This Row],[Supporter_ID]],tb1_supporters[Supporter_ID ],tb1_supporters[Duplicate_Profile_Flag],"")</f>
        <v/>
      </c>
      <c r="S791" t="str">
        <f>_xlfn.XLOOKUP(Table8[[#This Row],[Supporter_ID]],tb1_supporters[Supporter_ID ],tb1_supporters[Preference_Compliance_Flag],"")</f>
        <v/>
      </c>
      <c r="T791" t="str">
        <f ca="1">IF(Table8[[#This Row],[Age]]="","Review - missing DOB",IF(Table8[[#This Row],[Age]]&gt;TODAY(),"Review - future DOB",IF(Table8[[#This Row],[Age]]=0,"Review -  potential entry error (age 0)","")))</f>
        <v/>
      </c>
      <c r="U791" t="str">
        <f>_xlfn.XLOOKUP(Table8[[#This Row],[Campaign_Code]],tb3_CampaignMaster[Campaign_Code],tb3_CampaignMaster[Campaign_Type],"")</f>
        <v>Legacy</v>
      </c>
      <c r="V791" t="str">
        <f>_xlfn.XLOOKUP(Table8[[#This Row],[Campaign_Code]],tb3_CampaignMaster[Campaign_Code],tb3_CampaignMaster[Target_Audience],"")</f>
        <v>Over 55s</v>
      </c>
      <c r="W791" s="17">
        <f>_xlfn.XLOOKUP(Table8[[#This Row],[Campaign_Code]],tb3_CampaignMaster[Campaign_Code],tb3_CampaignMaster[Start_Date],"")</f>
        <v>45572</v>
      </c>
      <c r="X791" s="17">
        <f>_xlfn.XLOOKUP(Table8[[#This Row],[Campaign_Code]],tb3_CampaignMaster[Campaign_Code],tb3_CampaignMaster[End_Date],"")</f>
        <v>45578</v>
      </c>
      <c r="Y791">
        <f>_xlfn.XLOOKUP(Table8[[#This Row],[Campaign_Code]],tb3_CampaignMaster[Campaign_Code],tb3_CampaignMaster[Budget_GBP],"")</f>
        <v>5000</v>
      </c>
      <c r="Z791" t="str">
        <f>_xlfn.XLOOKUP(Table8[[#This Row],[Campaign_Code]],tb3_CampaignMaster[Campaign_Code],tb3_CampaignMaster[Primary_Channel],"")</f>
        <v>Direct Mail</v>
      </c>
      <c r="AA791" s="13">
        <f>IF(Table8[[#This Row],[Gift_Aid_Eligible]]="Yes",Table8[[#This Row],[Gift_Amount]]*1.25,Table8[[#This Row],[Gift_Amount]])</f>
        <v>22.12</v>
      </c>
      <c r="AB791" t="str">
        <f>IF(Table8[[#This Row],[Supporter_ID]]="","Review - missing supporter ID","")</f>
        <v/>
      </c>
      <c r="AC791" t="str">
        <f>IF(OR(Table8[[#This Row],[Response_Date]]&lt;Table8[[#This Row],[Start_Date]],Table8[[#This Row],[Response_Date]]&gt;Table8[[#This Row],[End_Date]]),"Review - response outside campaign dates","")</f>
        <v/>
      </c>
      <c r="AD791" t="str">
        <f>IF(Table8[[#This Row],[Campaign_Type]]="","Review - campaign code not found","")</f>
        <v/>
      </c>
    </row>
    <row r="792" spans="1:30" x14ac:dyDescent="0.25">
      <c r="A792" t="s">
        <v>4655</v>
      </c>
      <c r="B792" t="s">
        <v>3037</v>
      </c>
      <c r="C792" t="s">
        <v>3336</v>
      </c>
      <c r="D792" t="s">
        <v>3337</v>
      </c>
      <c r="E792" t="s">
        <v>4</v>
      </c>
      <c r="F792" s="17">
        <v>45545</v>
      </c>
      <c r="G792">
        <v>30.07</v>
      </c>
      <c r="H792" t="s">
        <v>37</v>
      </c>
      <c r="I792" t="s">
        <v>3370</v>
      </c>
      <c r="J792" t="str">
        <f>_xlfn.XLOOKUP(Table8[[#This Row],[Supporter_ID]],tb1_supporters[Supporter_ID ],tb1_supporters[Segment],"")</f>
        <v>One-Time Donor</v>
      </c>
      <c r="K792" t="str">
        <f>_xlfn.XLOOKUP(Table8[[#This Row],[Supporter_ID]],tb1_supporters[Supporter_ID ],tb1_supporters[Acquisition_Source],"")</f>
        <v>Social Media</v>
      </c>
      <c r="L792" t="str">
        <f>_xlfn.XLOOKUP(Table8[[#This Row],[Supporter_ID]],tb1_supporters[Supporter_ID ],tb1_supporters[County],"")</f>
        <v>Buckinghamshire</v>
      </c>
      <c r="M792" t="str">
        <f>_xlfn.XLOOKUP(Table8[[#This Row],[Supporter_ID]],tb1_supporters[Supporter_ID ],tb1_supporters[Gender],"")</f>
        <v>Female</v>
      </c>
      <c r="N792">
        <f ca="1">_xlfn.XLOOKUP(Table8[[#This Row],[Supporter_ID]],tb1_supporters[Supporter_ID ],tb1_supporters[Age],"")</f>
        <v>77</v>
      </c>
      <c r="O792" t="str">
        <f ca="1">_xlfn.XLOOKUP(Table8[[#This Row],[Supporter_ID]],tb1_supporters[Supporter_ID ],tb1_supporters[Age_Band],"")</f>
        <v>65+</v>
      </c>
      <c r="P792" t="str">
        <f ca="1">IF(Table8[[#This Row],[Age_Band]]="","Unknown",Table8[[#This Row],[Age_Band]])</f>
        <v>65+</v>
      </c>
      <c r="Q792" t="str">
        <f>_xlfn.XLOOKUP(Table8[[#This Row],[Supporter_ID]],tb1_supporters[Supporter_ID ],tb1_supporters[Communication_Preference],"")</f>
        <v>Phone</v>
      </c>
      <c r="R792" t="str">
        <f>_xlfn.XLOOKUP(Table8[[#This Row],[Supporter_ID]],tb1_supporters[Supporter_ID ],tb1_supporters[Duplicate_Profile_Flag],"")</f>
        <v/>
      </c>
      <c r="S792" t="str">
        <f>_xlfn.XLOOKUP(Table8[[#This Row],[Supporter_ID]],tb1_supporters[Supporter_ID ],tb1_supporters[Preference_Compliance_Flag],"")</f>
        <v/>
      </c>
      <c r="T792" t="str">
        <f ca="1">IF(Table8[[#This Row],[Age]]="","Review - missing DOB",IF(Table8[[#This Row],[Age]]&gt;TODAY(),"Review - future DOB",IF(Table8[[#This Row],[Age]]=0,"Review -  potential entry error (age 0)","")))</f>
        <v/>
      </c>
      <c r="U792" t="str">
        <f>_xlfn.XLOOKUP(Table8[[#This Row],[Campaign_Code]],tb3_CampaignMaster[Campaign_Code],tb3_CampaignMaster[Campaign_Type],"")</f>
        <v>Appeal</v>
      </c>
      <c r="V792" t="str">
        <f>_xlfn.XLOOKUP(Table8[[#This Row],[Campaign_Code]],tb3_CampaignMaster[Campaign_Code],tb3_CampaignMaster[Target_Audience],"")</f>
        <v>All Supporters</v>
      </c>
      <c r="W792" s="17">
        <f>_xlfn.XLOOKUP(Table8[[#This Row],[Campaign_Code]],tb3_CampaignMaster[Campaign_Code],tb3_CampaignMaster[Start_Date],"")</f>
        <v>45545</v>
      </c>
      <c r="X792" s="17">
        <f>_xlfn.XLOOKUP(Table8[[#This Row],[Campaign_Code]],tb3_CampaignMaster[Campaign_Code],tb3_CampaignMaster[End_Date],"")</f>
        <v>45580</v>
      </c>
      <c r="Y792">
        <f>_xlfn.XLOOKUP(Table8[[#This Row],[Campaign_Code]],tb3_CampaignMaster[Campaign_Code],tb3_CampaignMaster[Budget_GBP],"")</f>
        <v>15000</v>
      </c>
      <c r="Z792" t="str">
        <f>_xlfn.XLOOKUP(Table8[[#This Row],[Campaign_Code]],tb3_CampaignMaster[Campaign_Code],tb3_CampaignMaster[Primary_Channel],"")</f>
        <v>Email</v>
      </c>
      <c r="AA792" s="13">
        <f>IF(Table8[[#This Row],[Gift_Aid_Eligible]]="Yes",Table8[[#This Row],[Gift_Amount]]*1.25,Table8[[#This Row],[Gift_Amount]])</f>
        <v>30.07</v>
      </c>
      <c r="AB792" t="str">
        <f>IF(Table8[[#This Row],[Supporter_ID]]="","Review - missing supporter ID","")</f>
        <v/>
      </c>
      <c r="AC792" t="str">
        <f>IF(OR(Table8[[#This Row],[Response_Date]]&lt;Table8[[#This Row],[Start_Date]],Table8[[#This Row],[Response_Date]]&gt;Table8[[#This Row],[End_Date]]),"Review - response outside campaign dates","")</f>
        <v/>
      </c>
      <c r="AD792" t="str">
        <f>IF(Table8[[#This Row],[Campaign_Type]]="","Review - campaign code not found","")</f>
        <v/>
      </c>
    </row>
    <row r="793" spans="1:30" x14ac:dyDescent="0.25">
      <c r="A793" t="s">
        <v>4657</v>
      </c>
      <c r="B793" t="s">
        <v>1939</v>
      </c>
      <c r="C793" t="s">
        <v>3314</v>
      </c>
      <c r="D793" t="s">
        <v>3315</v>
      </c>
      <c r="E793" t="s">
        <v>65</v>
      </c>
      <c r="F793" s="17">
        <v>45723</v>
      </c>
      <c r="G793">
        <v>135.07</v>
      </c>
      <c r="H793" t="s">
        <v>37</v>
      </c>
      <c r="I793" t="s">
        <v>3318</v>
      </c>
      <c r="J793" t="str">
        <f>_xlfn.XLOOKUP(Table8[[#This Row],[Supporter_ID]],tb1_supporters[Supporter_ID ],tb1_supporters[Segment],"")</f>
        <v>One-Time Donor</v>
      </c>
      <c r="K793" t="str">
        <f>_xlfn.XLOOKUP(Table8[[#This Row],[Supporter_ID]],tb1_supporters[Supporter_ID ],tb1_supporters[Acquisition_Source],"")</f>
        <v>Door-To-Door</v>
      </c>
      <c r="L793" t="str">
        <f>_xlfn.XLOOKUP(Table8[[#This Row],[Supporter_ID]],tb1_supporters[Supporter_ID ],tb1_supporters[County],"")</f>
        <v>Surrey</v>
      </c>
      <c r="M793" t="str">
        <f>_xlfn.XLOOKUP(Table8[[#This Row],[Supporter_ID]],tb1_supporters[Supporter_ID ],tb1_supporters[Gender],"")</f>
        <v>Male</v>
      </c>
      <c r="N793">
        <f ca="1">_xlfn.XLOOKUP(Table8[[#This Row],[Supporter_ID]],tb1_supporters[Supporter_ID ],tb1_supporters[Age],"")</f>
        <v>87</v>
      </c>
      <c r="O793" t="str">
        <f ca="1">_xlfn.XLOOKUP(Table8[[#This Row],[Supporter_ID]],tb1_supporters[Supporter_ID ],tb1_supporters[Age_Band],"")</f>
        <v>65+</v>
      </c>
      <c r="P793" t="str">
        <f ca="1">IF(Table8[[#This Row],[Age_Band]]="","Unknown",Table8[[#This Row],[Age_Band]])</f>
        <v>65+</v>
      </c>
      <c r="Q793" t="str">
        <f>_xlfn.XLOOKUP(Table8[[#This Row],[Supporter_ID]],tb1_supporters[Supporter_ID ],tb1_supporters[Communication_Preference],"")</f>
        <v>Email</v>
      </c>
      <c r="R793" t="str">
        <f>_xlfn.XLOOKUP(Table8[[#This Row],[Supporter_ID]],tb1_supporters[Supporter_ID ],tb1_supporters[Duplicate_Profile_Flag],"")</f>
        <v/>
      </c>
      <c r="S793" t="str">
        <f>_xlfn.XLOOKUP(Table8[[#This Row],[Supporter_ID]],tb1_supporters[Supporter_ID ],tb1_supporters[Preference_Compliance_Flag],"")</f>
        <v/>
      </c>
      <c r="T793" t="str">
        <f ca="1">IF(Table8[[#This Row],[Age]]="","Review - missing DOB",IF(Table8[[#This Row],[Age]]&gt;TODAY(),"Review - future DOB",IF(Table8[[#This Row],[Age]]=0,"Review -  potential entry error (age 0)","")))</f>
        <v/>
      </c>
      <c r="U793" t="str">
        <f>_xlfn.XLOOKUP(Table8[[#This Row],[Campaign_Code]],tb3_CampaignMaster[Campaign_Code],tb3_CampaignMaster[Campaign_Type],"")</f>
        <v>Regular Giving</v>
      </c>
      <c r="V793" t="str">
        <f>_xlfn.XLOOKUP(Table8[[#This Row],[Campaign_Code]],tb3_CampaignMaster[Campaign_Code],tb3_CampaignMaster[Target_Audience],"")</f>
        <v>One-time Donors</v>
      </c>
      <c r="W793" s="17">
        <f>_xlfn.XLOOKUP(Table8[[#This Row],[Campaign_Code]],tb3_CampaignMaster[Campaign_Code],tb3_CampaignMaster[Start_Date],"")</f>
        <v>45663</v>
      </c>
      <c r="X793" s="17">
        <f>_xlfn.XLOOKUP(Table8[[#This Row],[Campaign_Code]],tb3_CampaignMaster[Campaign_Code],tb3_CampaignMaster[End_Date],"")</f>
        <v>45747</v>
      </c>
      <c r="Y793">
        <f>_xlfn.XLOOKUP(Table8[[#This Row],[Campaign_Code]],tb3_CampaignMaster[Campaign_Code],tb3_CampaignMaster[Budget_GBP],"")</f>
        <v>10000</v>
      </c>
      <c r="Z793" t="str">
        <f>_xlfn.XLOOKUP(Table8[[#This Row],[Campaign_Code]],tb3_CampaignMaster[Campaign_Code],tb3_CampaignMaster[Primary_Channel],"")</f>
        <v>Telephone</v>
      </c>
      <c r="AA793" s="13">
        <f>IF(Table8[[#This Row],[Gift_Aid_Eligible]]="Yes",Table8[[#This Row],[Gift_Amount]]*1.25,Table8[[#This Row],[Gift_Amount]])</f>
        <v>135.07</v>
      </c>
      <c r="AB793" t="str">
        <f>IF(Table8[[#This Row],[Supporter_ID]]="","Review - missing supporter ID","")</f>
        <v/>
      </c>
      <c r="AC793" t="str">
        <f>IF(OR(Table8[[#This Row],[Response_Date]]&lt;Table8[[#This Row],[Start_Date]],Table8[[#This Row],[Response_Date]]&gt;Table8[[#This Row],[End_Date]]),"Review - response outside campaign dates","")</f>
        <v/>
      </c>
      <c r="AD793" t="str">
        <f>IF(Table8[[#This Row],[Campaign_Type]]="","Review - campaign code not found","")</f>
        <v/>
      </c>
    </row>
    <row r="794" spans="1:30" x14ac:dyDescent="0.25">
      <c r="A794" t="s">
        <v>4659</v>
      </c>
      <c r="B794" t="s">
        <v>2819</v>
      </c>
      <c r="C794" t="s">
        <v>3354</v>
      </c>
      <c r="D794" t="s">
        <v>3355</v>
      </c>
      <c r="E794" t="s">
        <v>4</v>
      </c>
      <c r="F794" s="17">
        <v>45618</v>
      </c>
      <c r="G794">
        <v>47.17</v>
      </c>
      <c r="H794" t="s">
        <v>37</v>
      </c>
      <c r="I794" t="s">
        <v>3331</v>
      </c>
      <c r="J794" t="str">
        <f>_xlfn.XLOOKUP(Table8[[#This Row],[Supporter_ID]],tb1_supporters[Supporter_ID ],tb1_supporters[Segment],"")</f>
        <v>Regular Giver</v>
      </c>
      <c r="K794" t="str">
        <f>_xlfn.XLOOKUP(Table8[[#This Row],[Supporter_ID]],tb1_supporters[Supporter_ID ],tb1_supporters[Acquisition_Source],"")</f>
        <v>Website</v>
      </c>
      <c r="L794" t="str">
        <f>_xlfn.XLOOKUP(Table8[[#This Row],[Supporter_ID]],tb1_supporters[Supporter_ID ],tb1_supporters[County],"")</f>
        <v>East Sussex</v>
      </c>
      <c r="M794" t="str">
        <f>_xlfn.XLOOKUP(Table8[[#This Row],[Supporter_ID]],tb1_supporters[Supporter_ID ],tb1_supporters[Gender],"")</f>
        <v>Female</v>
      </c>
      <c r="N794">
        <f ca="1">_xlfn.XLOOKUP(Table8[[#This Row],[Supporter_ID]],tb1_supporters[Supporter_ID ],tb1_supporters[Age],"")</f>
        <v>62</v>
      </c>
      <c r="O794" t="str">
        <f ca="1">_xlfn.XLOOKUP(Table8[[#This Row],[Supporter_ID]],tb1_supporters[Supporter_ID ],tb1_supporters[Age_Band],"")</f>
        <v>50-64</v>
      </c>
      <c r="P794" t="str">
        <f ca="1">IF(Table8[[#This Row],[Age_Band]]="","Unknown",Table8[[#This Row],[Age_Band]])</f>
        <v>50-64</v>
      </c>
      <c r="Q794" t="str">
        <f>_xlfn.XLOOKUP(Table8[[#This Row],[Supporter_ID]],tb1_supporters[Supporter_ID ],tb1_supporters[Communication_Preference],"")</f>
        <v>Post</v>
      </c>
      <c r="R794" t="str">
        <f>_xlfn.XLOOKUP(Table8[[#This Row],[Supporter_ID]],tb1_supporters[Supporter_ID ],tb1_supporters[Duplicate_Profile_Flag],"")</f>
        <v/>
      </c>
      <c r="S794" t="str">
        <f>_xlfn.XLOOKUP(Table8[[#This Row],[Supporter_ID]],tb1_supporters[Supporter_ID ],tb1_supporters[Preference_Compliance_Flag],"")</f>
        <v/>
      </c>
      <c r="T794" t="str">
        <f ca="1">IF(Table8[[#This Row],[Age]]="","Review - missing DOB",IF(Table8[[#This Row],[Age]]&gt;TODAY(),"Review - future DOB",IF(Table8[[#This Row],[Age]]=0,"Review -  potential entry error (age 0)","")))</f>
        <v/>
      </c>
      <c r="U794" t="str">
        <f>_xlfn.XLOOKUP(Table8[[#This Row],[Campaign_Code]],tb3_CampaignMaster[Campaign_Code],tb3_CampaignMaster[Campaign_Type],"")</f>
        <v>Event</v>
      </c>
      <c r="V794" t="str">
        <f>_xlfn.XLOOKUP(Table8[[#This Row],[Campaign_Code]],tb3_CampaignMaster[Campaign_Code],tb3_CampaignMaster[Target_Audience],"")</f>
        <v>Volunteers</v>
      </c>
      <c r="W794" s="17">
        <f>_xlfn.XLOOKUP(Table8[[#This Row],[Campaign_Code]],tb3_CampaignMaster[Campaign_Code],tb3_CampaignMaster[Start_Date],"")</f>
        <v>45618</v>
      </c>
      <c r="X794" s="17">
        <f>_xlfn.XLOOKUP(Table8[[#This Row],[Campaign_Code]],tb3_CampaignMaster[Campaign_Code],tb3_CampaignMaster[End_Date],"")</f>
        <v>45618</v>
      </c>
      <c r="Y794">
        <f>_xlfn.XLOOKUP(Table8[[#This Row],[Campaign_Code]],tb3_CampaignMaster[Campaign_Code],tb3_CampaignMaster[Budget_GBP],"")</f>
        <v>3500</v>
      </c>
      <c r="Z794" t="str">
        <f>_xlfn.XLOOKUP(Table8[[#This Row],[Campaign_Code]],tb3_CampaignMaster[Campaign_Code],tb3_CampaignMaster[Primary_Channel],"")</f>
        <v>Email</v>
      </c>
      <c r="AA794" s="13">
        <f>IF(Table8[[#This Row],[Gift_Aid_Eligible]]="Yes",Table8[[#This Row],[Gift_Amount]]*1.25,Table8[[#This Row],[Gift_Amount]])</f>
        <v>47.17</v>
      </c>
      <c r="AB794" t="str">
        <f>IF(Table8[[#This Row],[Supporter_ID]]="","Review - missing supporter ID","")</f>
        <v/>
      </c>
      <c r="AC794" t="str">
        <f>IF(OR(Table8[[#This Row],[Response_Date]]&lt;Table8[[#This Row],[Start_Date]],Table8[[#This Row],[Response_Date]]&gt;Table8[[#This Row],[End_Date]]),"Review - response outside campaign dates","")</f>
        <v/>
      </c>
      <c r="AD794" t="str">
        <f>IF(Table8[[#This Row],[Campaign_Type]]="","Review - campaign code not found","")</f>
        <v/>
      </c>
    </row>
    <row r="795" spans="1:30" x14ac:dyDescent="0.25">
      <c r="A795" t="s">
        <v>4660</v>
      </c>
      <c r="B795" t="s">
        <v>1213</v>
      </c>
      <c r="C795" t="s">
        <v>3325</v>
      </c>
      <c r="D795" t="s">
        <v>3326</v>
      </c>
      <c r="E795" t="s">
        <v>4</v>
      </c>
      <c r="F795" s="17">
        <v>45601</v>
      </c>
      <c r="G795">
        <v>24.5</v>
      </c>
      <c r="H795" t="s">
        <v>36</v>
      </c>
      <c r="I795" t="s">
        <v>3331</v>
      </c>
      <c r="J795" t="str">
        <f>_xlfn.XLOOKUP(Table8[[#This Row],[Supporter_ID]],tb1_supporters[Supporter_ID ],tb1_supporters[Segment],"")</f>
        <v>Prospect</v>
      </c>
      <c r="K795" t="str">
        <f>_xlfn.XLOOKUP(Table8[[#This Row],[Supporter_ID]],tb1_supporters[Supporter_ID ],tb1_supporters[Acquisition_Source],"")</f>
        <v>Direct Mail</v>
      </c>
      <c r="L795" t="str">
        <f>_xlfn.XLOOKUP(Table8[[#This Row],[Supporter_ID]],tb1_supporters[Supporter_ID ],tb1_supporters[County],"")</f>
        <v>Angus</v>
      </c>
      <c r="M795" t="str">
        <f>_xlfn.XLOOKUP(Table8[[#This Row],[Supporter_ID]],tb1_supporters[Supporter_ID ],tb1_supporters[Gender],"")</f>
        <v>Female</v>
      </c>
      <c r="N795">
        <f ca="1">_xlfn.XLOOKUP(Table8[[#This Row],[Supporter_ID]],tb1_supporters[Supporter_ID ],tb1_supporters[Age],"")</f>
        <v>75</v>
      </c>
      <c r="O795" t="str">
        <f ca="1">_xlfn.XLOOKUP(Table8[[#This Row],[Supporter_ID]],tb1_supporters[Supporter_ID ],tb1_supporters[Age_Band],"")</f>
        <v>65+</v>
      </c>
      <c r="P795" t="str">
        <f ca="1">IF(Table8[[#This Row],[Age_Band]]="","Unknown",Table8[[#This Row],[Age_Band]])</f>
        <v>65+</v>
      </c>
      <c r="Q795" t="str">
        <f>_xlfn.XLOOKUP(Table8[[#This Row],[Supporter_ID]],tb1_supporters[Supporter_ID ],tb1_supporters[Communication_Preference],"")</f>
        <v>No Preference</v>
      </c>
      <c r="R795" t="str">
        <f>_xlfn.XLOOKUP(Table8[[#This Row],[Supporter_ID]],tb1_supporters[Supporter_ID ],tb1_supporters[Duplicate_Profile_Flag],"")</f>
        <v/>
      </c>
      <c r="S795" t="str">
        <f>_xlfn.XLOOKUP(Table8[[#This Row],[Supporter_ID]],tb1_supporters[Supporter_ID ],tb1_supporters[Preference_Compliance_Flag],"")</f>
        <v/>
      </c>
      <c r="T795" t="str">
        <f ca="1">IF(Table8[[#This Row],[Age]]="","Review - missing DOB",IF(Table8[[#This Row],[Age]]&gt;TODAY(),"Review - future DOB",IF(Table8[[#This Row],[Age]]=0,"Review -  potential entry error (age 0)","")))</f>
        <v/>
      </c>
      <c r="U795" t="str">
        <f>_xlfn.XLOOKUP(Table8[[#This Row],[Campaign_Code]],tb3_CampaignMaster[Campaign_Code],tb3_CampaignMaster[Campaign_Type],"")</f>
        <v>Appeal</v>
      </c>
      <c r="V795" t="str">
        <f>_xlfn.XLOOKUP(Table8[[#This Row],[Campaign_Code]],tb3_CampaignMaster[Campaign_Code],tb3_CampaignMaster[Target_Audience],"")</f>
        <v>All Active</v>
      </c>
      <c r="W795" s="17">
        <f>_xlfn.XLOOKUP(Table8[[#This Row],[Campaign_Code]],tb3_CampaignMaster[Campaign_Code],tb3_CampaignMaster[Start_Date],"")</f>
        <v>45597</v>
      </c>
      <c r="X795" s="17">
        <f>_xlfn.XLOOKUP(Table8[[#This Row],[Campaign_Code]],tb3_CampaignMaster[Campaign_Code],tb3_CampaignMaster[End_Date],"")</f>
        <v>45657</v>
      </c>
      <c r="Y795">
        <f>_xlfn.XLOOKUP(Table8[[#This Row],[Campaign_Code]],tb3_CampaignMaster[Campaign_Code],tb3_CampaignMaster[Budget_GBP],"")</f>
        <v>25000</v>
      </c>
      <c r="Z795" t="str">
        <f>_xlfn.XLOOKUP(Table8[[#This Row],[Campaign_Code]],tb3_CampaignMaster[Campaign_Code],tb3_CampaignMaster[Primary_Channel],"")</f>
        <v>Multi-channel</v>
      </c>
      <c r="AA795" s="13">
        <f>IF(Table8[[#This Row],[Gift_Aid_Eligible]]="Yes",Table8[[#This Row],[Gift_Amount]]*1.25,Table8[[#This Row],[Gift_Amount]])</f>
        <v>30.625</v>
      </c>
      <c r="AB795" t="str">
        <f>IF(Table8[[#This Row],[Supporter_ID]]="","Review - missing supporter ID","")</f>
        <v/>
      </c>
      <c r="AC795" t="str">
        <f>IF(OR(Table8[[#This Row],[Response_Date]]&lt;Table8[[#This Row],[Start_Date]],Table8[[#This Row],[Response_Date]]&gt;Table8[[#This Row],[End_Date]]),"Review - response outside campaign dates","")</f>
        <v/>
      </c>
      <c r="AD795" t="str">
        <f>IF(Table8[[#This Row],[Campaign_Type]]="","Review - campaign code not found","")</f>
        <v/>
      </c>
    </row>
    <row r="796" spans="1:30" x14ac:dyDescent="0.25">
      <c r="A796" t="s">
        <v>4661</v>
      </c>
      <c r="B796" t="s">
        <v>502</v>
      </c>
      <c r="C796" t="s">
        <v>3336</v>
      </c>
      <c r="D796" t="s">
        <v>3337</v>
      </c>
      <c r="E796" t="s">
        <v>3316</v>
      </c>
      <c r="F796" s="17">
        <v>45579</v>
      </c>
      <c r="G796">
        <v>94.09</v>
      </c>
      <c r="H796" t="s">
        <v>37</v>
      </c>
      <c r="I796" t="s">
        <v>3323</v>
      </c>
      <c r="J796" t="str">
        <f>_xlfn.XLOOKUP(Table8[[#This Row],[Supporter_ID]],tb1_supporters[Supporter_ID ],tb1_supporters[Segment],"")</f>
        <v>Lapsed</v>
      </c>
      <c r="K796" t="str">
        <f>_xlfn.XLOOKUP(Table8[[#This Row],[Supporter_ID]],tb1_supporters[Supporter_ID ],tb1_supporters[Acquisition_Source],"")</f>
        <v>Social Media</v>
      </c>
      <c r="L796" t="str">
        <f>_xlfn.XLOOKUP(Table8[[#This Row],[Supporter_ID]],tb1_supporters[Supporter_ID ],tb1_supporters[County],"")</f>
        <v>Avon</v>
      </c>
      <c r="M796" t="str">
        <f>_xlfn.XLOOKUP(Table8[[#This Row],[Supporter_ID]],tb1_supporters[Supporter_ID ],tb1_supporters[Gender],"")</f>
        <v>Male</v>
      </c>
      <c r="N796">
        <f ca="1">_xlfn.XLOOKUP(Table8[[#This Row],[Supporter_ID]],tb1_supporters[Supporter_ID ],tb1_supporters[Age],"")</f>
        <v>40</v>
      </c>
      <c r="O796" t="str">
        <f ca="1">_xlfn.XLOOKUP(Table8[[#This Row],[Supporter_ID]],tb1_supporters[Supporter_ID ],tb1_supporters[Age_Band],"")</f>
        <v>35-49</v>
      </c>
      <c r="P796" t="str">
        <f ca="1">IF(Table8[[#This Row],[Age_Band]]="","Unknown",Table8[[#This Row],[Age_Band]])</f>
        <v>35-49</v>
      </c>
      <c r="Q796" t="str">
        <f>_xlfn.XLOOKUP(Table8[[#This Row],[Supporter_ID]],tb1_supporters[Supporter_ID ],tb1_supporters[Communication_Preference],"")</f>
        <v>Post</v>
      </c>
      <c r="R796" t="str">
        <f>_xlfn.XLOOKUP(Table8[[#This Row],[Supporter_ID]],tb1_supporters[Supporter_ID ],tb1_supporters[Duplicate_Profile_Flag],"")</f>
        <v/>
      </c>
      <c r="S796" t="str">
        <f>_xlfn.XLOOKUP(Table8[[#This Row],[Supporter_ID]],tb1_supporters[Supporter_ID ],tb1_supporters[Preference_Compliance_Flag],"")</f>
        <v/>
      </c>
      <c r="T796" t="str">
        <f ca="1">IF(Table8[[#This Row],[Age]]="","Review - missing DOB",IF(Table8[[#This Row],[Age]]&gt;TODAY(),"Review - future DOB",IF(Table8[[#This Row],[Age]]=0,"Review -  potential entry error (age 0)","")))</f>
        <v/>
      </c>
      <c r="U796" t="str">
        <f>_xlfn.XLOOKUP(Table8[[#This Row],[Campaign_Code]],tb3_CampaignMaster[Campaign_Code],tb3_CampaignMaster[Campaign_Type],"")</f>
        <v>Appeal</v>
      </c>
      <c r="V796" t="str">
        <f>_xlfn.XLOOKUP(Table8[[#This Row],[Campaign_Code]],tb3_CampaignMaster[Campaign_Code],tb3_CampaignMaster[Target_Audience],"")</f>
        <v>All Supporters</v>
      </c>
      <c r="W796" s="17">
        <f>_xlfn.XLOOKUP(Table8[[#This Row],[Campaign_Code]],tb3_CampaignMaster[Campaign_Code],tb3_CampaignMaster[Start_Date],"")</f>
        <v>45545</v>
      </c>
      <c r="X796" s="17">
        <f>_xlfn.XLOOKUP(Table8[[#This Row],[Campaign_Code]],tb3_CampaignMaster[Campaign_Code],tb3_CampaignMaster[End_Date],"")</f>
        <v>45580</v>
      </c>
      <c r="Y796">
        <f>_xlfn.XLOOKUP(Table8[[#This Row],[Campaign_Code]],tb3_CampaignMaster[Campaign_Code],tb3_CampaignMaster[Budget_GBP],"")</f>
        <v>15000</v>
      </c>
      <c r="Z796" t="str">
        <f>_xlfn.XLOOKUP(Table8[[#This Row],[Campaign_Code]],tb3_CampaignMaster[Campaign_Code],tb3_CampaignMaster[Primary_Channel],"")</f>
        <v>Email</v>
      </c>
      <c r="AA796" s="13">
        <f>IF(Table8[[#This Row],[Gift_Aid_Eligible]]="Yes",Table8[[#This Row],[Gift_Amount]]*1.25,Table8[[#This Row],[Gift_Amount]])</f>
        <v>94.09</v>
      </c>
      <c r="AB796" t="str">
        <f>IF(Table8[[#This Row],[Supporter_ID]]="","Review - missing supporter ID","")</f>
        <v/>
      </c>
      <c r="AC796" t="str">
        <f>IF(OR(Table8[[#This Row],[Response_Date]]&lt;Table8[[#This Row],[Start_Date]],Table8[[#This Row],[Response_Date]]&gt;Table8[[#This Row],[End_Date]]),"Review - response outside campaign dates","")</f>
        <v/>
      </c>
      <c r="AD796" t="str">
        <f>IF(Table8[[#This Row],[Campaign_Type]]="","Review - campaign code not found","")</f>
        <v/>
      </c>
    </row>
    <row r="797" spans="1:30" x14ac:dyDescent="0.25">
      <c r="A797" t="s">
        <v>4663</v>
      </c>
      <c r="B797" t="s">
        <v>1392</v>
      </c>
      <c r="C797" t="s">
        <v>3314</v>
      </c>
      <c r="D797" t="s">
        <v>3315</v>
      </c>
      <c r="E797" t="s">
        <v>33</v>
      </c>
      <c r="F797" s="17">
        <v>45740</v>
      </c>
      <c r="G797">
        <v>75.47</v>
      </c>
      <c r="H797" t="s">
        <v>36</v>
      </c>
      <c r="I797" t="s">
        <v>3334</v>
      </c>
      <c r="J797" t="str">
        <f>_xlfn.XLOOKUP(Table8[[#This Row],[Supporter_ID]],tb1_supporters[Supporter_ID ],tb1_supporters[Segment],"")</f>
        <v>Mid-Value</v>
      </c>
      <c r="K797" t="str">
        <f>_xlfn.XLOOKUP(Table8[[#This Row],[Supporter_ID]],tb1_supporters[Supporter_ID ],tb1_supporters[Acquisition_Source],"")</f>
        <v>Social Media</v>
      </c>
      <c r="L797" t="str">
        <f>_xlfn.XLOOKUP(Table8[[#This Row],[Supporter_ID]],tb1_supporters[Supporter_ID ],tb1_supporters[County],"")</f>
        <v>Gloucestershire</v>
      </c>
      <c r="M797" t="str">
        <f>_xlfn.XLOOKUP(Table8[[#This Row],[Supporter_ID]],tb1_supporters[Supporter_ID ],tb1_supporters[Gender],"")</f>
        <v>Male</v>
      </c>
      <c r="N797">
        <f ca="1">_xlfn.XLOOKUP(Table8[[#This Row],[Supporter_ID]],tb1_supporters[Supporter_ID ],tb1_supporters[Age],"")</f>
        <v>60</v>
      </c>
      <c r="O797" t="str">
        <f ca="1">_xlfn.XLOOKUP(Table8[[#This Row],[Supporter_ID]],tb1_supporters[Supporter_ID ],tb1_supporters[Age_Band],"")</f>
        <v>50-64</v>
      </c>
      <c r="P797" t="str">
        <f ca="1">IF(Table8[[#This Row],[Age_Band]]="","Unknown",Table8[[#This Row],[Age_Band]])</f>
        <v>50-64</v>
      </c>
      <c r="Q797" t="str">
        <f>_xlfn.XLOOKUP(Table8[[#This Row],[Supporter_ID]],tb1_supporters[Supporter_ID ],tb1_supporters[Communication_Preference],"")</f>
        <v>Email</v>
      </c>
      <c r="R797" t="str">
        <f>_xlfn.XLOOKUP(Table8[[#This Row],[Supporter_ID]],tb1_supporters[Supporter_ID ],tb1_supporters[Duplicate_Profile_Flag],"")</f>
        <v/>
      </c>
      <c r="S797" t="str">
        <f>_xlfn.XLOOKUP(Table8[[#This Row],[Supporter_ID]],tb1_supporters[Supporter_ID ],tb1_supporters[Preference_Compliance_Flag],"")</f>
        <v/>
      </c>
      <c r="T797" t="str">
        <f ca="1">IF(Table8[[#This Row],[Age]]="","Review - missing DOB",IF(Table8[[#This Row],[Age]]&gt;TODAY(),"Review - future DOB",IF(Table8[[#This Row],[Age]]=0,"Review -  potential entry error (age 0)","")))</f>
        <v/>
      </c>
      <c r="U797" t="str">
        <f>_xlfn.XLOOKUP(Table8[[#This Row],[Campaign_Code]],tb3_CampaignMaster[Campaign_Code],tb3_CampaignMaster[Campaign_Type],"")</f>
        <v>Regular Giving</v>
      </c>
      <c r="V797" t="str">
        <f>_xlfn.XLOOKUP(Table8[[#This Row],[Campaign_Code]],tb3_CampaignMaster[Campaign_Code],tb3_CampaignMaster[Target_Audience],"")</f>
        <v>One-time Donors</v>
      </c>
      <c r="W797" s="17">
        <f>_xlfn.XLOOKUP(Table8[[#This Row],[Campaign_Code]],tb3_CampaignMaster[Campaign_Code],tb3_CampaignMaster[Start_Date],"")</f>
        <v>45663</v>
      </c>
      <c r="X797" s="17">
        <f>_xlfn.XLOOKUP(Table8[[#This Row],[Campaign_Code]],tb3_CampaignMaster[Campaign_Code],tb3_CampaignMaster[End_Date],"")</f>
        <v>45747</v>
      </c>
      <c r="Y797">
        <f>_xlfn.XLOOKUP(Table8[[#This Row],[Campaign_Code]],tb3_CampaignMaster[Campaign_Code],tb3_CampaignMaster[Budget_GBP],"")</f>
        <v>10000</v>
      </c>
      <c r="Z797" t="str">
        <f>_xlfn.XLOOKUP(Table8[[#This Row],[Campaign_Code]],tb3_CampaignMaster[Campaign_Code],tb3_CampaignMaster[Primary_Channel],"")</f>
        <v>Telephone</v>
      </c>
      <c r="AA797" s="13">
        <f>IF(Table8[[#This Row],[Gift_Aid_Eligible]]="Yes",Table8[[#This Row],[Gift_Amount]]*1.25,Table8[[#This Row],[Gift_Amount]])</f>
        <v>94.337500000000006</v>
      </c>
      <c r="AB797" t="str">
        <f>IF(Table8[[#This Row],[Supporter_ID]]="","Review - missing supporter ID","")</f>
        <v/>
      </c>
      <c r="AC797" t="str">
        <f>IF(OR(Table8[[#This Row],[Response_Date]]&lt;Table8[[#This Row],[Start_Date]],Table8[[#This Row],[Response_Date]]&gt;Table8[[#This Row],[End_Date]]),"Review - response outside campaign dates","")</f>
        <v/>
      </c>
      <c r="AD797" t="str">
        <f>IF(Table8[[#This Row],[Campaign_Type]]="","Review - campaign code not found","")</f>
        <v/>
      </c>
    </row>
    <row r="798" spans="1:30" x14ac:dyDescent="0.25">
      <c r="A798" t="s">
        <v>4665</v>
      </c>
      <c r="B798" t="s">
        <v>2136</v>
      </c>
      <c r="C798" t="s">
        <v>3367</v>
      </c>
      <c r="D798" t="s">
        <v>3368</v>
      </c>
      <c r="E798" t="s">
        <v>65</v>
      </c>
      <c r="F798" s="17">
        <v>45725</v>
      </c>
      <c r="G798">
        <v>194.95</v>
      </c>
      <c r="H798" t="s">
        <v>37</v>
      </c>
      <c r="I798" t="s">
        <v>3328</v>
      </c>
      <c r="J798" t="str">
        <f>_xlfn.XLOOKUP(Table8[[#This Row],[Supporter_ID]],tb1_supporters[Supporter_ID ],tb1_supporters[Segment],"")</f>
        <v>Mid-Value</v>
      </c>
      <c r="K798" t="str">
        <f>_xlfn.XLOOKUP(Table8[[#This Row],[Supporter_ID]],tb1_supporters[Supporter_ID ],tb1_supporters[Acquisition_Source],"")</f>
        <v>Social Media</v>
      </c>
      <c r="L798" t="str">
        <f>_xlfn.XLOOKUP(Table8[[#This Row],[Supporter_ID]],tb1_supporters[Supporter_ID ],tb1_supporters[County],"")</f>
        <v>Greater London</v>
      </c>
      <c r="M798" t="str">
        <f>_xlfn.XLOOKUP(Table8[[#This Row],[Supporter_ID]],tb1_supporters[Supporter_ID ],tb1_supporters[Gender],"")</f>
        <v>Female</v>
      </c>
      <c r="N798">
        <f ca="1">_xlfn.XLOOKUP(Table8[[#This Row],[Supporter_ID]],tb1_supporters[Supporter_ID ],tb1_supporters[Age],"")</f>
        <v>63</v>
      </c>
      <c r="O798" t="str">
        <f ca="1">_xlfn.XLOOKUP(Table8[[#This Row],[Supporter_ID]],tb1_supporters[Supporter_ID ],tb1_supporters[Age_Band],"")</f>
        <v>50-64</v>
      </c>
      <c r="P798" t="str">
        <f ca="1">IF(Table8[[#This Row],[Age_Band]]="","Unknown",Table8[[#This Row],[Age_Band]])</f>
        <v>50-64</v>
      </c>
      <c r="Q798" t="str">
        <f>_xlfn.XLOOKUP(Table8[[#This Row],[Supporter_ID]],tb1_supporters[Supporter_ID ],tb1_supporters[Communication_Preference],"")</f>
        <v>Email</v>
      </c>
      <c r="R798" t="str">
        <f>_xlfn.XLOOKUP(Table8[[#This Row],[Supporter_ID]],tb1_supporters[Supporter_ID ],tb1_supporters[Duplicate_Profile_Flag],"")</f>
        <v/>
      </c>
      <c r="S798" t="str">
        <f>_xlfn.XLOOKUP(Table8[[#This Row],[Supporter_ID]],tb1_supporters[Supporter_ID ],tb1_supporters[Preference_Compliance_Flag],"")</f>
        <v/>
      </c>
      <c r="T798" t="str">
        <f ca="1">IF(Table8[[#This Row],[Age]]="","Review - missing DOB",IF(Table8[[#This Row],[Age]]&gt;TODAY(),"Review - future DOB",IF(Table8[[#This Row],[Age]]=0,"Review -  potential entry error (age 0)","")))</f>
        <v/>
      </c>
      <c r="U798" t="str">
        <f>_xlfn.XLOOKUP(Table8[[#This Row],[Campaign_Code]],tb3_CampaignMaster[Campaign_Code],tb3_CampaignMaster[Campaign_Type],"")</f>
        <v>Raffle</v>
      </c>
      <c r="V798" t="str">
        <f>_xlfn.XLOOKUP(Table8[[#This Row],[Campaign_Code]],tb3_CampaignMaster[Campaign_Code],tb3_CampaignMaster[Target_Audience],"")</f>
        <v>Regular Givers</v>
      </c>
      <c r="W798" s="17">
        <f>_xlfn.XLOOKUP(Table8[[#This Row],[Campaign_Code]],tb3_CampaignMaster[Campaign_Code],tb3_CampaignMaster[Start_Date],"")</f>
        <v>45717</v>
      </c>
      <c r="X798" s="17">
        <f>_xlfn.XLOOKUP(Table8[[#This Row],[Campaign_Code]],tb3_CampaignMaster[Campaign_Code],tb3_CampaignMaster[End_Date],"")</f>
        <v>45777</v>
      </c>
      <c r="Y798">
        <f>_xlfn.XLOOKUP(Table8[[#This Row],[Campaign_Code]],tb3_CampaignMaster[Campaign_Code],tb3_CampaignMaster[Budget_GBP],"")</f>
        <v>8000</v>
      </c>
      <c r="Z798" t="str">
        <f>_xlfn.XLOOKUP(Table8[[#This Row],[Campaign_Code]],tb3_CampaignMaster[Campaign_Code],tb3_CampaignMaster[Primary_Channel],"")</f>
        <v>Direct Mail</v>
      </c>
      <c r="AA798" s="13">
        <f>IF(Table8[[#This Row],[Gift_Aid_Eligible]]="Yes",Table8[[#This Row],[Gift_Amount]]*1.25,Table8[[#This Row],[Gift_Amount]])</f>
        <v>194.95</v>
      </c>
      <c r="AB798" t="str">
        <f>IF(Table8[[#This Row],[Supporter_ID]]="","Review - missing supporter ID","")</f>
        <v/>
      </c>
      <c r="AC798" t="str">
        <f>IF(OR(Table8[[#This Row],[Response_Date]]&lt;Table8[[#This Row],[Start_Date]],Table8[[#This Row],[Response_Date]]&gt;Table8[[#This Row],[End_Date]]),"Review - response outside campaign dates","")</f>
        <v/>
      </c>
      <c r="AD798" t="str">
        <f>IF(Table8[[#This Row],[Campaign_Type]]="","Review - campaign code not found","")</f>
        <v/>
      </c>
    </row>
    <row r="799" spans="1:30" x14ac:dyDescent="0.25">
      <c r="A799" t="s">
        <v>4666</v>
      </c>
      <c r="B799" t="s">
        <v>844</v>
      </c>
      <c r="C799" t="s">
        <v>3362</v>
      </c>
      <c r="D799" t="s">
        <v>3363</v>
      </c>
      <c r="E799" t="s">
        <v>65</v>
      </c>
      <c r="F799" s="17">
        <v>45575</v>
      </c>
      <c r="G799">
        <v>26.83</v>
      </c>
      <c r="H799" t="s">
        <v>36</v>
      </c>
      <c r="I799" t="s">
        <v>3328</v>
      </c>
      <c r="J799" t="str">
        <f>_xlfn.XLOOKUP(Table8[[#This Row],[Supporter_ID]],tb1_supporters[Supporter_ID ],tb1_supporters[Segment],"")</f>
        <v>Prospect</v>
      </c>
      <c r="K799" t="str">
        <f>_xlfn.XLOOKUP(Table8[[#This Row],[Supporter_ID]],tb1_supporters[Supporter_ID ],tb1_supporters[Acquisition_Source],"")</f>
        <v>Social Media</v>
      </c>
      <c r="L799" t="str">
        <f>_xlfn.XLOOKUP(Table8[[#This Row],[Supporter_ID]],tb1_supporters[Supporter_ID ],tb1_supporters[County],"")</f>
        <v>Leicestershire</v>
      </c>
      <c r="M799" t="str">
        <f>_xlfn.XLOOKUP(Table8[[#This Row],[Supporter_ID]],tb1_supporters[Supporter_ID ],tb1_supporters[Gender],"")</f>
        <v>Male</v>
      </c>
      <c r="N799">
        <f ca="1">_xlfn.XLOOKUP(Table8[[#This Row],[Supporter_ID]],tb1_supporters[Supporter_ID ],tb1_supporters[Age],"")</f>
        <v>60</v>
      </c>
      <c r="O799" t="str">
        <f ca="1">_xlfn.XLOOKUP(Table8[[#This Row],[Supporter_ID]],tb1_supporters[Supporter_ID ],tb1_supporters[Age_Band],"")</f>
        <v>50-64</v>
      </c>
      <c r="P799" t="str">
        <f ca="1">IF(Table8[[#This Row],[Age_Band]]="","Unknown",Table8[[#This Row],[Age_Band]])</f>
        <v>50-64</v>
      </c>
      <c r="Q799" t="str">
        <f>_xlfn.XLOOKUP(Table8[[#This Row],[Supporter_ID]],tb1_supporters[Supporter_ID ],tb1_supporters[Communication_Preference],"")</f>
        <v>Email</v>
      </c>
      <c r="R799" t="str">
        <f>_xlfn.XLOOKUP(Table8[[#This Row],[Supporter_ID]],tb1_supporters[Supporter_ID ],tb1_supporters[Duplicate_Profile_Flag],"")</f>
        <v/>
      </c>
      <c r="S799" t="str">
        <f>_xlfn.XLOOKUP(Table8[[#This Row],[Supporter_ID]],tb1_supporters[Supporter_ID ],tb1_supporters[Preference_Compliance_Flag],"")</f>
        <v>Review - prefers email but not opted in</v>
      </c>
      <c r="T799" t="str">
        <f ca="1">IF(Table8[[#This Row],[Age]]="","Review - missing DOB",IF(Table8[[#This Row],[Age]]&gt;TODAY(),"Review - future DOB",IF(Table8[[#This Row],[Age]]=0,"Review -  potential entry error (age 0)","")))</f>
        <v/>
      </c>
      <c r="U799" t="str">
        <f>_xlfn.XLOOKUP(Table8[[#This Row],[Campaign_Code]],tb3_CampaignMaster[Campaign_Code],tb3_CampaignMaster[Campaign_Type],"")</f>
        <v>Legacy</v>
      </c>
      <c r="V799" t="str">
        <f>_xlfn.XLOOKUP(Table8[[#This Row],[Campaign_Code]],tb3_CampaignMaster[Campaign_Code],tb3_CampaignMaster[Target_Audience],"")</f>
        <v>Over 55s</v>
      </c>
      <c r="W799" s="17">
        <f>_xlfn.XLOOKUP(Table8[[#This Row],[Campaign_Code]],tb3_CampaignMaster[Campaign_Code],tb3_CampaignMaster[Start_Date],"")</f>
        <v>45572</v>
      </c>
      <c r="X799" s="17">
        <f>_xlfn.XLOOKUP(Table8[[#This Row],[Campaign_Code]],tb3_CampaignMaster[Campaign_Code],tb3_CampaignMaster[End_Date],"")</f>
        <v>45578</v>
      </c>
      <c r="Y799">
        <f>_xlfn.XLOOKUP(Table8[[#This Row],[Campaign_Code]],tb3_CampaignMaster[Campaign_Code],tb3_CampaignMaster[Budget_GBP],"")</f>
        <v>5000</v>
      </c>
      <c r="Z799" t="str">
        <f>_xlfn.XLOOKUP(Table8[[#This Row],[Campaign_Code]],tb3_CampaignMaster[Campaign_Code],tb3_CampaignMaster[Primary_Channel],"")</f>
        <v>Direct Mail</v>
      </c>
      <c r="AA799" s="13">
        <f>IF(Table8[[#This Row],[Gift_Aid_Eligible]]="Yes",Table8[[#This Row],[Gift_Amount]]*1.25,Table8[[#This Row],[Gift_Amount]])</f>
        <v>33.537499999999994</v>
      </c>
      <c r="AB799" t="str">
        <f>IF(Table8[[#This Row],[Supporter_ID]]="","Review - missing supporter ID","")</f>
        <v/>
      </c>
      <c r="AC799" t="str">
        <f>IF(OR(Table8[[#This Row],[Response_Date]]&lt;Table8[[#This Row],[Start_Date]],Table8[[#This Row],[Response_Date]]&gt;Table8[[#This Row],[End_Date]]),"Review - response outside campaign dates","")</f>
        <v/>
      </c>
      <c r="AD799" t="str">
        <f>IF(Table8[[#This Row],[Campaign_Type]]="","Review - campaign code not found","")</f>
        <v/>
      </c>
    </row>
    <row r="800" spans="1:30" x14ac:dyDescent="0.25">
      <c r="A800" t="s">
        <v>4667</v>
      </c>
      <c r="B800" t="s">
        <v>672</v>
      </c>
      <c r="C800" t="s">
        <v>3341</v>
      </c>
      <c r="D800" t="s">
        <v>3342</v>
      </c>
      <c r="E800" t="s">
        <v>91</v>
      </c>
      <c r="F800" s="17">
        <v>45751</v>
      </c>
      <c r="G800">
        <v>49.16</v>
      </c>
      <c r="H800" t="s">
        <v>36</v>
      </c>
      <c r="I800" t="s">
        <v>3365</v>
      </c>
      <c r="J800" t="str">
        <f>_xlfn.XLOOKUP(Table8[[#This Row],[Supporter_ID]],tb1_supporters[Supporter_ID ],tb1_supporters[Segment],"")</f>
        <v>Lapsed</v>
      </c>
      <c r="K800" t="str">
        <f>_xlfn.XLOOKUP(Table8[[#This Row],[Supporter_ID]],tb1_supporters[Supporter_ID ],tb1_supporters[Acquisition_Source],"")</f>
        <v>Social Media</v>
      </c>
      <c r="L800" t="str">
        <f>_xlfn.XLOOKUP(Table8[[#This Row],[Supporter_ID]],tb1_supporters[Supporter_ID ],tb1_supporters[County],"")</f>
        <v>East Sussex</v>
      </c>
      <c r="M800" t="str">
        <f>_xlfn.XLOOKUP(Table8[[#This Row],[Supporter_ID]],tb1_supporters[Supporter_ID ],tb1_supporters[Gender],"")</f>
        <v>Male</v>
      </c>
      <c r="N800">
        <f ca="1">_xlfn.XLOOKUP(Table8[[#This Row],[Supporter_ID]],tb1_supporters[Supporter_ID ],tb1_supporters[Age],"")</f>
        <v>33</v>
      </c>
      <c r="O800" t="str">
        <f ca="1">_xlfn.XLOOKUP(Table8[[#This Row],[Supporter_ID]],tb1_supporters[Supporter_ID ],tb1_supporters[Age_Band],"")</f>
        <v>18-34</v>
      </c>
      <c r="P800" t="str">
        <f ca="1">IF(Table8[[#This Row],[Age_Band]]="","Unknown",Table8[[#This Row],[Age_Band]])</f>
        <v>18-34</v>
      </c>
      <c r="Q800" t="str">
        <f>_xlfn.XLOOKUP(Table8[[#This Row],[Supporter_ID]],tb1_supporters[Supporter_ID ],tb1_supporters[Communication_Preference],"")</f>
        <v>Email</v>
      </c>
      <c r="R800" t="str">
        <f>_xlfn.XLOOKUP(Table8[[#This Row],[Supporter_ID]],tb1_supporters[Supporter_ID ],tb1_supporters[Duplicate_Profile_Flag],"")</f>
        <v/>
      </c>
      <c r="S800" t="str">
        <f>_xlfn.XLOOKUP(Table8[[#This Row],[Supporter_ID]],tb1_supporters[Supporter_ID ],tb1_supporters[Preference_Compliance_Flag],"")</f>
        <v/>
      </c>
      <c r="T800" t="str">
        <f ca="1">IF(Table8[[#This Row],[Age]]="","Review - missing DOB",IF(Table8[[#This Row],[Age]]&gt;TODAY(),"Review - future DOB",IF(Table8[[#This Row],[Age]]=0,"Review -  potential entry error (age 0)","")))</f>
        <v/>
      </c>
      <c r="U800" t="str">
        <f>_xlfn.XLOOKUP(Table8[[#This Row],[Campaign_Code]],tb3_CampaignMaster[Campaign_Code],tb3_CampaignMaster[Campaign_Type],"")</f>
        <v>Acquisition</v>
      </c>
      <c r="V800" t="str">
        <f>_xlfn.XLOOKUP(Table8[[#This Row],[Campaign_Code]],tb3_CampaignMaster[Campaign_Code],tb3_CampaignMaster[Target_Audience],"")</f>
        <v>Prospects</v>
      </c>
      <c r="W800" s="17">
        <f>_xlfn.XLOOKUP(Table8[[#This Row],[Campaign_Code]],tb3_CampaignMaster[Campaign_Code],tb3_CampaignMaster[Start_Date],"")</f>
        <v>45689</v>
      </c>
      <c r="X800" s="17">
        <f>_xlfn.XLOOKUP(Table8[[#This Row],[Campaign_Code]],tb3_CampaignMaster[Campaign_Code],tb3_CampaignMaster[End_Date],"")</f>
        <v>45777</v>
      </c>
      <c r="Y800">
        <f>_xlfn.XLOOKUP(Table8[[#This Row],[Campaign_Code]],tb3_CampaignMaster[Campaign_Code],tb3_CampaignMaster[Budget_GBP],"")</f>
        <v>20000</v>
      </c>
      <c r="Z800" t="str">
        <f>_xlfn.XLOOKUP(Table8[[#This Row],[Campaign_Code]],tb3_CampaignMaster[Campaign_Code],tb3_CampaignMaster[Primary_Channel],"")</f>
        <v>Digital</v>
      </c>
      <c r="AA800" s="13">
        <f>IF(Table8[[#This Row],[Gift_Aid_Eligible]]="Yes",Table8[[#This Row],[Gift_Amount]]*1.25,Table8[[#This Row],[Gift_Amount]])</f>
        <v>61.449999999999996</v>
      </c>
      <c r="AB800" t="str">
        <f>IF(Table8[[#This Row],[Supporter_ID]]="","Review - missing supporter ID","")</f>
        <v/>
      </c>
      <c r="AC800" t="str">
        <f>IF(OR(Table8[[#This Row],[Response_Date]]&lt;Table8[[#This Row],[Start_Date]],Table8[[#This Row],[Response_Date]]&gt;Table8[[#This Row],[End_Date]]),"Review - response outside campaign dates","")</f>
        <v/>
      </c>
      <c r="AD800" t="str">
        <f>IF(Table8[[#This Row],[Campaign_Type]]="","Review - campaign code not found","")</f>
        <v/>
      </c>
    </row>
    <row r="801" spans="1:30" x14ac:dyDescent="0.25">
      <c r="A801" t="s">
        <v>4668</v>
      </c>
      <c r="B801" t="s">
        <v>746</v>
      </c>
      <c r="C801" t="s">
        <v>3320</v>
      </c>
      <c r="D801" t="s">
        <v>3321</v>
      </c>
      <c r="E801" t="s">
        <v>65</v>
      </c>
      <c r="F801" s="17">
        <v>45473</v>
      </c>
      <c r="G801">
        <v>217.86</v>
      </c>
      <c r="H801" t="s">
        <v>36</v>
      </c>
      <c r="I801" t="s">
        <v>3365</v>
      </c>
      <c r="J801" t="str">
        <f>_xlfn.XLOOKUP(Table8[[#This Row],[Supporter_ID]],tb1_supporters[Supporter_ID ],tb1_supporters[Segment],"")</f>
        <v>Mid-Value</v>
      </c>
      <c r="K801" t="str">
        <f>_xlfn.XLOOKUP(Table8[[#This Row],[Supporter_ID]],tb1_supporters[Supporter_ID ],tb1_supporters[Acquisition_Source],"")</f>
        <v>Corporate Partner</v>
      </c>
      <c r="L801" t="str">
        <f>_xlfn.XLOOKUP(Table8[[#This Row],[Supporter_ID]],tb1_supporters[Supporter_ID ],tb1_supporters[County],"")</f>
        <v>South Glamorgan</v>
      </c>
      <c r="M801" t="str">
        <f>_xlfn.XLOOKUP(Table8[[#This Row],[Supporter_ID]],tb1_supporters[Supporter_ID ],tb1_supporters[Gender],"")</f>
        <v>Female</v>
      </c>
      <c r="N801">
        <f ca="1">_xlfn.XLOOKUP(Table8[[#This Row],[Supporter_ID]],tb1_supporters[Supporter_ID ],tb1_supporters[Age],"")</f>
        <v>53</v>
      </c>
      <c r="O801" t="str">
        <f ca="1">_xlfn.XLOOKUP(Table8[[#This Row],[Supporter_ID]],tb1_supporters[Supporter_ID ],tb1_supporters[Age_Band],"")</f>
        <v>50-64</v>
      </c>
      <c r="P801" t="str">
        <f ca="1">IF(Table8[[#This Row],[Age_Band]]="","Unknown",Table8[[#This Row],[Age_Band]])</f>
        <v>50-64</v>
      </c>
      <c r="Q801" t="str">
        <f>_xlfn.XLOOKUP(Table8[[#This Row],[Supporter_ID]],tb1_supporters[Supporter_ID ],tb1_supporters[Communication_Preference],"")</f>
        <v>Email</v>
      </c>
      <c r="R801" t="str">
        <f>_xlfn.XLOOKUP(Table8[[#This Row],[Supporter_ID]],tb1_supporters[Supporter_ID ],tb1_supporters[Duplicate_Profile_Flag],"")</f>
        <v/>
      </c>
      <c r="S801" t="str">
        <f>_xlfn.XLOOKUP(Table8[[#This Row],[Supporter_ID]],tb1_supporters[Supporter_ID ],tb1_supporters[Preference_Compliance_Flag],"")</f>
        <v/>
      </c>
      <c r="T801" t="str">
        <f ca="1">IF(Table8[[#This Row],[Age]]="","Review - missing DOB",IF(Table8[[#This Row],[Age]]&gt;TODAY(),"Review - future DOB",IF(Table8[[#This Row],[Age]]=0,"Review -  potential entry error (age 0)","")))</f>
        <v/>
      </c>
      <c r="U801" t="str">
        <f>_xlfn.XLOOKUP(Table8[[#This Row],[Campaign_Code]],tb3_CampaignMaster[Campaign_Code],tb3_CampaignMaster[Campaign_Type],"")</f>
        <v>Stewardship</v>
      </c>
      <c r="V801" t="str">
        <f>_xlfn.XLOOKUP(Table8[[#This Row],[Campaign_Code]],tb3_CampaignMaster[Campaign_Code],tb3_CampaignMaster[Target_Audience],"")</f>
        <v>Major Donors</v>
      </c>
      <c r="W801" s="17">
        <f>_xlfn.XLOOKUP(Table8[[#This Row],[Campaign_Code]],tb3_CampaignMaster[Campaign_Code],tb3_CampaignMaster[Start_Date],"")</f>
        <v>45444</v>
      </c>
      <c r="X801" s="17">
        <f>_xlfn.XLOOKUP(Table8[[#This Row],[Campaign_Code]],tb3_CampaignMaster[Campaign_Code],tb3_CampaignMaster[End_Date],"")</f>
        <v>45473</v>
      </c>
      <c r="Y801">
        <f>_xlfn.XLOOKUP(Table8[[#This Row],[Campaign_Code]],tb3_CampaignMaster[Campaign_Code],tb3_CampaignMaster[Budget_GBP],"")</f>
        <v>7000</v>
      </c>
      <c r="Z801" t="str">
        <f>_xlfn.XLOOKUP(Table8[[#This Row],[Campaign_Code]],tb3_CampaignMaster[Campaign_Code],tb3_CampaignMaster[Primary_Channel],"")</f>
        <v>Direct Mail</v>
      </c>
      <c r="AA801" s="13">
        <f>IF(Table8[[#This Row],[Gift_Aid_Eligible]]="Yes",Table8[[#This Row],[Gift_Amount]]*1.25,Table8[[#This Row],[Gift_Amount]])</f>
        <v>272.32500000000005</v>
      </c>
      <c r="AB801" t="str">
        <f>IF(Table8[[#This Row],[Supporter_ID]]="","Review - missing supporter ID","")</f>
        <v/>
      </c>
      <c r="AC801" t="str">
        <f>IF(OR(Table8[[#This Row],[Response_Date]]&lt;Table8[[#This Row],[Start_Date]],Table8[[#This Row],[Response_Date]]&gt;Table8[[#This Row],[End_Date]]),"Review - response outside campaign dates","")</f>
        <v/>
      </c>
      <c r="AD801" t="str">
        <f>IF(Table8[[#This Row],[Campaign_Type]]="","Review - campaign code not found","")</f>
        <v/>
      </c>
    </row>
    <row r="802" spans="1:30" x14ac:dyDescent="0.25">
      <c r="A802" t="s">
        <v>4670</v>
      </c>
      <c r="C802" t="s">
        <v>3320</v>
      </c>
      <c r="D802" t="s">
        <v>3321</v>
      </c>
      <c r="E802" t="s">
        <v>65</v>
      </c>
      <c r="F802" s="17">
        <v>45462</v>
      </c>
      <c r="G802">
        <v>339.63</v>
      </c>
      <c r="H802" t="s">
        <v>36</v>
      </c>
      <c r="I802" t="s">
        <v>3365</v>
      </c>
      <c r="J802" t="str">
        <f>_xlfn.XLOOKUP(Table8[[#This Row],[Supporter_ID]],tb1_supporters[Supporter_ID ],tb1_supporters[Segment],"")</f>
        <v/>
      </c>
      <c r="K802" t="str">
        <f>_xlfn.XLOOKUP(Table8[[#This Row],[Supporter_ID]],tb1_supporters[Supporter_ID ],tb1_supporters[Acquisition_Source],"")</f>
        <v/>
      </c>
      <c r="L802" t="str">
        <f>_xlfn.XLOOKUP(Table8[[#This Row],[Supporter_ID]],tb1_supporters[Supporter_ID ],tb1_supporters[County],"")</f>
        <v/>
      </c>
      <c r="M802" t="str">
        <f>_xlfn.XLOOKUP(Table8[[#This Row],[Supporter_ID]],tb1_supporters[Supporter_ID ],tb1_supporters[Gender],"")</f>
        <v/>
      </c>
      <c r="N802" t="str">
        <f>_xlfn.XLOOKUP(Table8[[#This Row],[Supporter_ID]],tb1_supporters[Supporter_ID ],tb1_supporters[Age],"")</f>
        <v/>
      </c>
      <c r="O802" t="str">
        <f>_xlfn.XLOOKUP(Table8[[#This Row],[Supporter_ID]],tb1_supporters[Supporter_ID ],tb1_supporters[Age_Band],"")</f>
        <v/>
      </c>
      <c r="P802" t="str">
        <f>IF(Table8[[#This Row],[Age_Band]]="","Unknown",Table8[[#This Row],[Age_Band]])</f>
        <v>Unknown</v>
      </c>
      <c r="Q802" t="str">
        <f>_xlfn.XLOOKUP(Table8[[#This Row],[Supporter_ID]],tb1_supporters[Supporter_ID ],tb1_supporters[Communication_Preference],"")</f>
        <v/>
      </c>
      <c r="R802" t="str">
        <f>_xlfn.XLOOKUP(Table8[[#This Row],[Supporter_ID]],tb1_supporters[Supporter_ID ],tb1_supporters[Duplicate_Profile_Flag],"")</f>
        <v/>
      </c>
      <c r="S802" t="str">
        <f>_xlfn.XLOOKUP(Table8[[#This Row],[Supporter_ID]],tb1_supporters[Supporter_ID ],tb1_supporters[Preference_Compliance_Flag],"")</f>
        <v/>
      </c>
      <c r="T802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802" t="str">
        <f>_xlfn.XLOOKUP(Table8[[#This Row],[Campaign_Code]],tb3_CampaignMaster[Campaign_Code],tb3_CampaignMaster[Campaign_Type],"")</f>
        <v>Stewardship</v>
      </c>
      <c r="V802" t="str">
        <f>_xlfn.XLOOKUP(Table8[[#This Row],[Campaign_Code]],tb3_CampaignMaster[Campaign_Code],tb3_CampaignMaster[Target_Audience],"")</f>
        <v>Major Donors</v>
      </c>
      <c r="W802" s="17">
        <f>_xlfn.XLOOKUP(Table8[[#This Row],[Campaign_Code]],tb3_CampaignMaster[Campaign_Code],tb3_CampaignMaster[Start_Date],"")</f>
        <v>45444</v>
      </c>
      <c r="X802" s="17">
        <f>_xlfn.XLOOKUP(Table8[[#This Row],[Campaign_Code]],tb3_CampaignMaster[Campaign_Code],tb3_CampaignMaster[End_Date],"")</f>
        <v>45473</v>
      </c>
      <c r="Y802">
        <f>_xlfn.XLOOKUP(Table8[[#This Row],[Campaign_Code]],tb3_CampaignMaster[Campaign_Code],tb3_CampaignMaster[Budget_GBP],"")</f>
        <v>7000</v>
      </c>
      <c r="Z802" t="str">
        <f>_xlfn.XLOOKUP(Table8[[#This Row],[Campaign_Code]],tb3_CampaignMaster[Campaign_Code],tb3_CampaignMaster[Primary_Channel],"")</f>
        <v>Direct Mail</v>
      </c>
      <c r="AA802" s="13">
        <f>IF(Table8[[#This Row],[Gift_Aid_Eligible]]="Yes",Table8[[#This Row],[Gift_Amount]]*1.25,Table8[[#This Row],[Gift_Amount]])</f>
        <v>424.53750000000002</v>
      </c>
      <c r="AB802" t="str">
        <f>IF(Table8[[#This Row],[Supporter_ID]]="","Review - missing supporter ID","")</f>
        <v>Review - missing supporter ID</v>
      </c>
      <c r="AC802" t="str">
        <f>IF(OR(Table8[[#This Row],[Response_Date]]&lt;Table8[[#This Row],[Start_Date]],Table8[[#This Row],[Response_Date]]&gt;Table8[[#This Row],[End_Date]]),"Review - response outside campaign dates","")</f>
        <v/>
      </c>
      <c r="AD802" t="str">
        <f>IF(Table8[[#This Row],[Campaign_Type]]="","Review - campaign code not found","")</f>
        <v/>
      </c>
    </row>
    <row r="803" spans="1:30" x14ac:dyDescent="0.25">
      <c r="A803" t="s">
        <v>4671</v>
      </c>
      <c r="B803" t="s">
        <v>1951</v>
      </c>
      <c r="C803" t="s">
        <v>3354</v>
      </c>
      <c r="D803" t="s">
        <v>3355</v>
      </c>
      <c r="E803" t="s">
        <v>65</v>
      </c>
      <c r="F803" s="17">
        <v>45618</v>
      </c>
      <c r="G803">
        <v>26.56</v>
      </c>
      <c r="H803" t="s">
        <v>36</v>
      </c>
      <c r="I803" t="s">
        <v>3370</v>
      </c>
      <c r="J803" t="str">
        <f>_xlfn.XLOOKUP(Table8[[#This Row],[Supporter_ID]],tb1_supporters[Supporter_ID ],tb1_supporters[Segment],"")</f>
        <v>Lapsed</v>
      </c>
      <c r="K803" t="str">
        <f>_xlfn.XLOOKUP(Table8[[#This Row],[Supporter_ID]],tb1_supporters[Supporter_ID ],tb1_supporters[Acquisition_Source],"")</f>
        <v>Event</v>
      </c>
      <c r="L803" t="str">
        <f>_xlfn.XLOOKUP(Table8[[#This Row],[Supporter_ID]],tb1_supporters[Supporter_ID ],tb1_supporters[County],"")</f>
        <v>Surrey</v>
      </c>
      <c r="M803" t="str">
        <f>_xlfn.XLOOKUP(Table8[[#This Row],[Supporter_ID]],tb1_supporters[Supporter_ID ],tb1_supporters[Gender],"")</f>
        <v>Female</v>
      </c>
      <c r="N803">
        <f ca="1">_xlfn.XLOOKUP(Table8[[#This Row],[Supporter_ID]],tb1_supporters[Supporter_ID ],tb1_supporters[Age],"")</f>
        <v>39</v>
      </c>
      <c r="O803" t="str">
        <f ca="1">_xlfn.XLOOKUP(Table8[[#This Row],[Supporter_ID]],tb1_supporters[Supporter_ID ],tb1_supporters[Age_Band],"")</f>
        <v>35-49</v>
      </c>
      <c r="P803" t="str">
        <f ca="1">IF(Table8[[#This Row],[Age_Band]]="","Unknown",Table8[[#This Row],[Age_Band]])</f>
        <v>35-49</v>
      </c>
      <c r="Q803" t="str">
        <f>_xlfn.XLOOKUP(Table8[[#This Row],[Supporter_ID]],tb1_supporters[Supporter_ID ],tb1_supporters[Communication_Preference],"")</f>
        <v>No Preference</v>
      </c>
      <c r="R803" t="str">
        <f>_xlfn.XLOOKUP(Table8[[#This Row],[Supporter_ID]],tb1_supporters[Supporter_ID ],tb1_supporters[Duplicate_Profile_Flag],"")</f>
        <v/>
      </c>
      <c r="S803" t="str">
        <f>_xlfn.XLOOKUP(Table8[[#This Row],[Supporter_ID]],tb1_supporters[Supporter_ID ],tb1_supporters[Preference_Compliance_Flag],"")</f>
        <v/>
      </c>
      <c r="T803" t="str">
        <f ca="1">IF(Table8[[#This Row],[Age]]="","Review - missing DOB",IF(Table8[[#This Row],[Age]]&gt;TODAY(),"Review - future DOB",IF(Table8[[#This Row],[Age]]=0,"Review -  potential entry error (age 0)","")))</f>
        <v/>
      </c>
      <c r="U803" t="str">
        <f>_xlfn.XLOOKUP(Table8[[#This Row],[Campaign_Code]],tb3_CampaignMaster[Campaign_Code],tb3_CampaignMaster[Campaign_Type],"")</f>
        <v>Event</v>
      </c>
      <c r="V803" t="str">
        <f>_xlfn.XLOOKUP(Table8[[#This Row],[Campaign_Code]],tb3_CampaignMaster[Campaign_Code],tb3_CampaignMaster[Target_Audience],"")</f>
        <v>Volunteers</v>
      </c>
      <c r="W803" s="17">
        <f>_xlfn.XLOOKUP(Table8[[#This Row],[Campaign_Code]],tb3_CampaignMaster[Campaign_Code],tb3_CampaignMaster[Start_Date],"")</f>
        <v>45618</v>
      </c>
      <c r="X803" s="17">
        <f>_xlfn.XLOOKUP(Table8[[#This Row],[Campaign_Code]],tb3_CampaignMaster[Campaign_Code],tb3_CampaignMaster[End_Date],"")</f>
        <v>45618</v>
      </c>
      <c r="Y803">
        <f>_xlfn.XLOOKUP(Table8[[#This Row],[Campaign_Code]],tb3_CampaignMaster[Campaign_Code],tb3_CampaignMaster[Budget_GBP],"")</f>
        <v>3500</v>
      </c>
      <c r="Z803" t="str">
        <f>_xlfn.XLOOKUP(Table8[[#This Row],[Campaign_Code]],tb3_CampaignMaster[Campaign_Code],tb3_CampaignMaster[Primary_Channel],"")</f>
        <v>Email</v>
      </c>
      <c r="AA803" s="13">
        <f>IF(Table8[[#This Row],[Gift_Aid_Eligible]]="Yes",Table8[[#This Row],[Gift_Amount]]*1.25,Table8[[#This Row],[Gift_Amount]])</f>
        <v>33.199999999999996</v>
      </c>
      <c r="AB803" t="str">
        <f>IF(Table8[[#This Row],[Supporter_ID]]="","Review - missing supporter ID","")</f>
        <v/>
      </c>
      <c r="AC803" t="str">
        <f>IF(OR(Table8[[#This Row],[Response_Date]]&lt;Table8[[#This Row],[Start_Date]],Table8[[#This Row],[Response_Date]]&gt;Table8[[#This Row],[End_Date]]),"Review - response outside campaign dates","")</f>
        <v/>
      </c>
      <c r="AD803" t="str">
        <f>IF(Table8[[#This Row],[Campaign_Type]]="","Review - campaign code not found","")</f>
        <v/>
      </c>
    </row>
    <row r="804" spans="1:30" x14ac:dyDescent="0.25">
      <c r="A804" t="s">
        <v>4672</v>
      </c>
      <c r="B804" t="s">
        <v>1714</v>
      </c>
      <c r="C804" t="s">
        <v>3362</v>
      </c>
      <c r="D804" t="s">
        <v>3363</v>
      </c>
      <c r="E804" t="s">
        <v>65</v>
      </c>
      <c r="F804" s="17">
        <v>46150</v>
      </c>
      <c r="G804">
        <v>30.36</v>
      </c>
      <c r="H804" t="s">
        <v>36</v>
      </c>
      <c r="I804" t="s">
        <v>3331</v>
      </c>
      <c r="J804" t="str">
        <f>_xlfn.XLOOKUP(Table8[[#This Row],[Supporter_ID]],tb1_supporters[Supporter_ID ],tb1_supporters[Segment],"")</f>
        <v>Lapsed</v>
      </c>
      <c r="K804" t="str">
        <f>_xlfn.XLOOKUP(Table8[[#This Row],[Supporter_ID]],tb1_supporters[Supporter_ID ],tb1_supporters[Acquisition_Source],"")</f>
        <v>Event</v>
      </c>
      <c r="L804" t="str">
        <f>_xlfn.XLOOKUP(Table8[[#This Row],[Supporter_ID]],tb1_supporters[Supporter_ID ],tb1_supporters[County],"")</f>
        <v>Nottinghamshire</v>
      </c>
      <c r="M804" t="str">
        <f>_xlfn.XLOOKUP(Table8[[#This Row],[Supporter_ID]],tb1_supporters[Supporter_ID ],tb1_supporters[Gender],"")</f>
        <v>Male</v>
      </c>
      <c r="N804">
        <f ca="1">_xlfn.XLOOKUP(Table8[[#This Row],[Supporter_ID]],tb1_supporters[Supporter_ID ],tb1_supporters[Age],"")</f>
        <v>56</v>
      </c>
      <c r="O804" t="str">
        <f ca="1">_xlfn.XLOOKUP(Table8[[#This Row],[Supporter_ID]],tb1_supporters[Supporter_ID ],tb1_supporters[Age_Band],"")</f>
        <v>50-64</v>
      </c>
      <c r="P804" t="str">
        <f ca="1">IF(Table8[[#This Row],[Age_Band]]="","Unknown",Table8[[#This Row],[Age_Band]])</f>
        <v>50-64</v>
      </c>
      <c r="Q804" t="str">
        <f>_xlfn.XLOOKUP(Table8[[#This Row],[Supporter_ID]],tb1_supporters[Supporter_ID ],tb1_supporters[Communication_Preference],"")</f>
        <v>Email</v>
      </c>
      <c r="R804" t="str">
        <f>_xlfn.XLOOKUP(Table8[[#This Row],[Supporter_ID]],tb1_supporters[Supporter_ID ],tb1_supporters[Duplicate_Profile_Flag],"")</f>
        <v/>
      </c>
      <c r="S804" t="str">
        <f>_xlfn.XLOOKUP(Table8[[#This Row],[Supporter_ID]],tb1_supporters[Supporter_ID ],tb1_supporters[Preference_Compliance_Flag],"")</f>
        <v>Review - prefers email but not opted in</v>
      </c>
      <c r="T804" t="str">
        <f ca="1">IF(Table8[[#This Row],[Age]]="","Review - missing DOB",IF(Table8[[#This Row],[Age]]&gt;TODAY(),"Review - future DOB",IF(Table8[[#This Row],[Age]]=0,"Review -  potential entry error (age 0)","")))</f>
        <v/>
      </c>
      <c r="U804" t="str">
        <f>_xlfn.XLOOKUP(Table8[[#This Row],[Campaign_Code]],tb3_CampaignMaster[Campaign_Code],tb3_CampaignMaster[Campaign_Type],"")</f>
        <v>Legacy</v>
      </c>
      <c r="V804" t="str">
        <f>_xlfn.XLOOKUP(Table8[[#This Row],[Campaign_Code]],tb3_CampaignMaster[Campaign_Code],tb3_CampaignMaster[Target_Audience],"")</f>
        <v>Over 55s</v>
      </c>
      <c r="W804" s="17">
        <f>_xlfn.XLOOKUP(Table8[[#This Row],[Campaign_Code]],tb3_CampaignMaster[Campaign_Code],tb3_CampaignMaster[Start_Date],"")</f>
        <v>45572</v>
      </c>
      <c r="X804" s="17">
        <f>_xlfn.XLOOKUP(Table8[[#This Row],[Campaign_Code]],tb3_CampaignMaster[Campaign_Code],tb3_CampaignMaster[End_Date],"")</f>
        <v>45578</v>
      </c>
      <c r="Y804">
        <f>_xlfn.XLOOKUP(Table8[[#This Row],[Campaign_Code]],tb3_CampaignMaster[Campaign_Code],tb3_CampaignMaster[Budget_GBP],"")</f>
        <v>5000</v>
      </c>
      <c r="Z804" t="str">
        <f>_xlfn.XLOOKUP(Table8[[#This Row],[Campaign_Code]],tb3_CampaignMaster[Campaign_Code],tb3_CampaignMaster[Primary_Channel],"")</f>
        <v>Direct Mail</v>
      </c>
      <c r="AA804" s="13">
        <f>IF(Table8[[#This Row],[Gift_Aid_Eligible]]="Yes",Table8[[#This Row],[Gift_Amount]]*1.25,Table8[[#This Row],[Gift_Amount]])</f>
        <v>37.950000000000003</v>
      </c>
      <c r="AB804" t="str">
        <f>IF(Table8[[#This Row],[Supporter_ID]]="","Review - missing supporter ID","")</f>
        <v/>
      </c>
      <c r="AC804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804" t="str">
        <f>IF(Table8[[#This Row],[Campaign_Type]]="","Review - campaign code not found","")</f>
        <v/>
      </c>
    </row>
    <row r="805" spans="1:30" x14ac:dyDescent="0.25">
      <c r="A805" t="s">
        <v>4674</v>
      </c>
      <c r="B805" t="s">
        <v>889</v>
      </c>
      <c r="C805" t="s">
        <v>3354</v>
      </c>
      <c r="D805" t="s">
        <v>3355</v>
      </c>
      <c r="E805" t="s">
        <v>65</v>
      </c>
      <c r="F805" s="17">
        <v>45618</v>
      </c>
      <c r="G805">
        <v>127.2</v>
      </c>
      <c r="H805" t="s">
        <v>36</v>
      </c>
      <c r="I805" t="s">
        <v>3323</v>
      </c>
      <c r="J805" t="str">
        <f>_xlfn.XLOOKUP(Table8[[#This Row],[Supporter_ID]],tb1_supporters[Supporter_ID ],tb1_supporters[Segment],"")</f>
        <v>Mid-Value</v>
      </c>
      <c r="K805" t="str">
        <f>_xlfn.XLOOKUP(Table8[[#This Row],[Supporter_ID]],tb1_supporters[Supporter_ID ],tb1_supporters[Acquisition_Source],"")</f>
        <v>Corporate Partner</v>
      </c>
      <c r="L805" t="str">
        <f>_xlfn.XLOOKUP(Table8[[#This Row],[Supporter_ID]],tb1_supporters[Supporter_ID ],tb1_supporters[County],"")</f>
        <v>Wiltshire</v>
      </c>
      <c r="M805" t="str">
        <f>_xlfn.XLOOKUP(Table8[[#This Row],[Supporter_ID]],tb1_supporters[Supporter_ID ],tb1_supporters[Gender],"")</f>
        <v>Female</v>
      </c>
      <c r="N805">
        <f ca="1">_xlfn.XLOOKUP(Table8[[#This Row],[Supporter_ID]],tb1_supporters[Supporter_ID ],tb1_supporters[Age],"")</f>
        <v>25</v>
      </c>
      <c r="O805" t="str">
        <f ca="1">_xlfn.XLOOKUP(Table8[[#This Row],[Supporter_ID]],tb1_supporters[Supporter_ID ],tb1_supporters[Age_Band],"")</f>
        <v>18-34</v>
      </c>
      <c r="P805" t="str">
        <f ca="1">IF(Table8[[#This Row],[Age_Band]]="","Unknown",Table8[[#This Row],[Age_Band]])</f>
        <v>18-34</v>
      </c>
      <c r="Q805" t="str">
        <f>_xlfn.XLOOKUP(Table8[[#This Row],[Supporter_ID]],tb1_supporters[Supporter_ID ],tb1_supporters[Communication_Preference],"")</f>
        <v>Email</v>
      </c>
      <c r="R805" t="str">
        <f>_xlfn.XLOOKUP(Table8[[#This Row],[Supporter_ID]],tb1_supporters[Supporter_ID ],tb1_supporters[Duplicate_Profile_Flag],"")</f>
        <v/>
      </c>
      <c r="S805" t="str">
        <f>_xlfn.XLOOKUP(Table8[[#This Row],[Supporter_ID]],tb1_supporters[Supporter_ID ],tb1_supporters[Preference_Compliance_Flag],"")</f>
        <v/>
      </c>
      <c r="T805" t="str">
        <f ca="1">IF(Table8[[#This Row],[Age]]="","Review - missing DOB",IF(Table8[[#This Row],[Age]]&gt;TODAY(),"Review - future DOB",IF(Table8[[#This Row],[Age]]=0,"Review -  potential entry error (age 0)","")))</f>
        <v/>
      </c>
      <c r="U805" t="str">
        <f>_xlfn.XLOOKUP(Table8[[#This Row],[Campaign_Code]],tb3_CampaignMaster[Campaign_Code],tb3_CampaignMaster[Campaign_Type],"")</f>
        <v>Event</v>
      </c>
      <c r="V805" t="str">
        <f>_xlfn.XLOOKUP(Table8[[#This Row],[Campaign_Code]],tb3_CampaignMaster[Campaign_Code],tb3_CampaignMaster[Target_Audience],"")</f>
        <v>Volunteers</v>
      </c>
      <c r="W805" s="17">
        <f>_xlfn.XLOOKUP(Table8[[#This Row],[Campaign_Code]],tb3_CampaignMaster[Campaign_Code],tb3_CampaignMaster[Start_Date],"")</f>
        <v>45618</v>
      </c>
      <c r="X805" s="17">
        <f>_xlfn.XLOOKUP(Table8[[#This Row],[Campaign_Code]],tb3_CampaignMaster[Campaign_Code],tb3_CampaignMaster[End_Date],"")</f>
        <v>45618</v>
      </c>
      <c r="Y805">
        <f>_xlfn.XLOOKUP(Table8[[#This Row],[Campaign_Code]],tb3_CampaignMaster[Campaign_Code],tb3_CampaignMaster[Budget_GBP],"")</f>
        <v>3500</v>
      </c>
      <c r="Z805" t="str">
        <f>_xlfn.XLOOKUP(Table8[[#This Row],[Campaign_Code]],tb3_CampaignMaster[Campaign_Code],tb3_CampaignMaster[Primary_Channel],"")</f>
        <v>Email</v>
      </c>
      <c r="AA805" s="13">
        <f>IF(Table8[[#This Row],[Gift_Aid_Eligible]]="Yes",Table8[[#This Row],[Gift_Amount]]*1.25,Table8[[#This Row],[Gift_Amount]])</f>
        <v>159</v>
      </c>
      <c r="AB805" t="str">
        <f>IF(Table8[[#This Row],[Supporter_ID]]="","Review - missing supporter ID","")</f>
        <v/>
      </c>
      <c r="AC805" t="str">
        <f>IF(OR(Table8[[#This Row],[Response_Date]]&lt;Table8[[#This Row],[Start_Date]],Table8[[#This Row],[Response_Date]]&gt;Table8[[#This Row],[End_Date]]),"Review - response outside campaign dates","")</f>
        <v/>
      </c>
      <c r="AD805" t="str">
        <f>IF(Table8[[#This Row],[Campaign_Type]]="","Review - campaign code not found","")</f>
        <v/>
      </c>
    </row>
    <row r="806" spans="1:30" x14ac:dyDescent="0.25">
      <c r="A806" t="s">
        <v>4675</v>
      </c>
      <c r="B806" t="s">
        <v>2870</v>
      </c>
      <c r="C806" t="s">
        <v>3341</v>
      </c>
      <c r="D806" t="s">
        <v>3342</v>
      </c>
      <c r="E806" t="s">
        <v>4</v>
      </c>
      <c r="F806" s="17">
        <v>45694</v>
      </c>
      <c r="G806">
        <v>82.66</v>
      </c>
      <c r="H806" t="s">
        <v>37</v>
      </c>
      <c r="I806" t="s">
        <v>3334</v>
      </c>
      <c r="J806" t="str">
        <f>_xlfn.XLOOKUP(Table8[[#This Row],[Supporter_ID]],tb1_supporters[Supporter_ID ],tb1_supporters[Segment],"")</f>
        <v>One-Time Donor</v>
      </c>
      <c r="K806" t="str">
        <f>_xlfn.XLOOKUP(Table8[[#This Row],[Supporter_ID]],tb1_supporters[Supporter_ID ],tb1_supporters[Acquisition_Source],"")</f>
        <v>Website</v>
      </c>
      <c r="L806" t="str">
        <f>_xlfn.XLOOKUP(Table8[[#This Row],[Supporter_ID]],tb1_supporters[Supporter_ID ],tb1_supporters[County],"")</f>
        <v>Suffolk</v>
      </c>
      <c r="M806" t="str">
        <f>_xlfn.XLOOKUP(Table8[[#This Row],[Supporter_ID]],tb1_supporters[Supporter_ID ],tb1_supporters[Gender],"")</f>
        <v>Female</v>
      </c>
      <c r="N806">
        <f ca="1">_xlfn.XLOOKUP(Table8[[#This Row],[Supporter_ID]],tb1_supporters[Supporter_ID ],tb1_supporters[Age],"")</f>
        <v>0</v>
      </c>
      <c r="O806" t="str">
        <f ca="1">_xlfn.XLOOKUP(Table8[[#This Row],[Supporter_ID]],tb1_supporters[Supporter_ID ],tb1_supporters[Age_Band],"")</f>
        <v>Under 18</v>
      </c>
      <c r="P806" t="str">
        <f ca="1">IF(Table8[[#This Row],[Age_Band]]="","Unknown",Table8[[#This Row],[Age_Band]])</f>
        <v>Under 18</v>
      </c>
      <c r="Q806" t="str">
        <f>_xlfn.XLOOKUP(Table8[[#This Row],[Supporter_ID]],tb1_supporters[Supporter_ID ],tb1_supporters[Communication_Preference],"")</f>
        <v>No Preference</v>
      </c>
      <c r="R806" t="str">
        <f>_xlfn.XLOOKUP(Table8[[#This Row],[Supporter_ID]],tb1_supporters[Supporter_ID ],tb1_supporters[Duplicate_Profile_Flag],"")</f>
        <v/>
      </c>
      <c r="S806" t="str">
        <f>_xlfn.XLOOKUP(Table8[[#This Row],[Supporter_ID]],tb1_supporters[Supporter_ID ],tb1_supporters[Preference_Compliance_Flag],"")</f>
        <v/>
      </c>
      <c r="T806" t="str">
        <f ca="1">IF(Table8[[#This Row],[Age]]="","Review - missing DOB",IF(Table8[[#This Row],[Age]]&gt;TODAY(),"Review - future DOB",IF(Table8[[#This Row],[Age]]=0,"Review -  potential entry error (age 0)","")))</f>
        <v>Review -  potential entry error (age 0)</v>
      </c>
      <c r="U806" t="str">
        <f>_xlfn.XLOOKUP(Table8[[#This Row],[Campaign_Code]],tb3_CampaignMaster[Campaign_Code],tb3_CampaignMaster[Campaign_Type],"")</f>
        <v>Acquisition</v>
      </c>
      <c r="V806" t="str">
        <f>_xlfn.XLOOKUP(Table8[[#This Row],[Campaign_Code]],tb3_CampaignMaster[Campaign_Code],tb3_CampaignMaster[Target_Audience],"")</f>
        <v>Prospects</v>
      </c>
      <c r="W806" s="17">
        <f>_xlfn.XLOOKUP(Table8[[#This Row],[Campaign_Code]],tb3_CampaignMaster[Campaign_Code],tb3_CampaignMaster[Start_Date],"")</f>
        <v>45689</v>
      </c>
      <c r="X806" s="17">
        <f>_xlfn.XLOOKUP(Table8[[#This Row],[Campaign_Code]],tb3_CampaignMaster[Campaign_Code],tb3_CampaignMaster[End_Date],"")</f>
        <v>45777</v>
      </c>
      <c r="Y806">
        <f>_xlfn.XLOOKUP(Table8[[#This Row],[Campaign_Code]],tb3_CampaignMaster[Campaign_Code],tb3_CampaignMaster[Budget_GBP],"")</f>
        <v>20000</v>
      </c>
      <c r="Z806" t="str">
        <f>_xlfn.XLOOKUP(Table8[[#This Row],[Campaign_Code]],tb3_CampaignMaster[Campaign_Code],tb3_CampaignMaster[Primary_Channel],"")</f>
        <v>Digital</v>
      </c>
      <c r="AA806" s="13">
        <f>IF(Table8[[#This Row],[Gift_Aid_Eligible]]="Yes",Table8[[#This Row],[Gift_Amount]]*1.25,Table8[[#This Row],[Gift_Amount]])</f>
        <v>82.66</v>
      </c>
      <c r="AB806" t="str">
        <f>IF(Table8[[#This Row],[Supporter_ID]]="","Review - missing supporter ID","")</f>
        <v/>
      </c>
      <c r="AC806" t="str">
        <f>IF(OR(Table8[[#This Row],[Response_Date]]&lt;Table8[[#This Row],[Start_Date]],Table8[[#This Row],[Response_Date]]&gt;Table8[[#This Row],[End_Date]]),"Review - response outside campaign dates","")</f>
        <v/>
      </c>
      <c r="AD806" t="str">
        <f>IF(Table8[[#This Row],[Campaign_Type]]="","Review - campaign code not found","")</f>
        <v/>
      </c>
    </row>
    <row r="807" spans="1:30" x14ac:dyDescent="0.25">
      <c r="A807" t="s">
        <v>4676</v>
      </c>
      <c r="B807" t="s">
        <v>547</v>
      </c>
      <c r="C807" t="s">
        <v>3354</v>
      </c>
      <c r="D807" t="s">
        <v>3355</v>
      </c>
      <c r="E807" t="s">
        <v>65</v>
      </c>
      <c r="F807" s="17">
        <v>45618</v>
      </c>
      <c r="G807">
        <v>11.46</v>
      </c>
      <c r="H807" t="s">
        <v>36</v>
      </c>
      <c r="I807" t="s">
        <v>3323</v>
      </c>
      <c r="J807" t="str">
        <f>_xlfn.XLOOKUP(Table8[[#This Row],[Supporter_ID]],tb1_supporters[Supporter_ID ],tb1_supporters[Segment],"")</f>
        <v>Regular Giver</v>
      </c>
      <c r="K807" t="str">
        <f>_xlfn.XLOOKUP(Table8[[#This Row],[Supporter_ID]],tb1_supporters[Supporter_ID ],tb1_supporters[Acquisition_Source],"")</f>
        <v>Referral</v>
      </c>
      <c r="L807" t="str">
        <f>_xlfn.XLOOKUP(Table8[[#This Row],[Supporter_ID]],tb1_supporters[Supporter_ID ],tb1_supporters[County],"")</f>
        <v>Angus</v>
      </c>
      <c r="M807" t="str">
        <f>_xlfn.XLOOKUP(Table8[[#This Row],[Supporter_ID]],tb1_supporters[Supporter_ID ],tb1_supporters[Gender],"")</f>
        <v>Female</v>
      </c>
      <c r="N807" t="str">
        <f ca="1">_xlfn.XLOOKUP(Table8[[#This Row],[Supporter_ID]],tb1_supporters[Supporter_ID ],tb1_supporters[Age],"")</f>
        <v/>
      </c>
      <c r="O807" t="str">
        <f ca="1">_xlfn.XLOOKUP(Table8[[#This Row],[Supporter_ID]],tb1_supporters[Supporter_ID ],tb1_supporters[Age_Band],"")</f>
        <v/>
      </c>
      <c r="P807" t="str">
        <f ca="1">IF(Table8[[#This Row],[Age_Band]]="","Unknown",Table8[[#This Row],[Age_Band]])</f>
        <v>Unknown</v>
      </c>
      <c r="Q807" t="str">
        <f>_xlfn.XLOOKUP(Table8[[#This Row],[Supporter_ID]],tb1_supporters[Supporter_ID ],tb1_supporters[Communication_Preference],"")</f>
        <v>Email</v>
      </c>
      <c r="R807" t="str">
        <f>_xlfn.XLOOKUP(Table8[[#This Row],[Supporter_ID]],tb1_supporters[Supporter_ID ],tb1_supporters[Duplicate_Profile_Flag],"")</f>
        <v/>
      </c>
      <c r="S807" t="str">
        <f>_xlfn.XLOOKUP(Table8[[#This Row],[Supporter_ID]],tb1_supporters[Supporter_ID ],tb1_supporters[Preference_Compliance_Flag],"")</f>
        <v/>
      </c>
      <c r="T807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807" t="str">
        <f>_xlfn.XLOOKUP(Table8[[#This Row],[Campaign_Code]],tb3_CampaignMaster[Campaign_Code],tb3_CampaignMaster[Campaign_Type],"")</f>
        <v>Event</v>
      </c>
      <c r="V807" t="str">
        <f>_xlfn.XLOOKUP(Table8[[#This Row],[Campaign_Code]],tb3_CampaignMaster[Campaign_Code],tb3_CampaignMaster[Target_Audience],"")</f>
        <v>Volunteers</v>
      </c>
      <c r="W807" s="17">
        <f>_xlfn.XLOOKUP(Table8[[#This Row],[Campaign_Code]],tb3_CampaignMaster[Campaign_Code],tb3_CampaignMaster[Start_Date],"")</f>
        <v>45618</v>
      </c>
      <c r="X807" s="17">
        <f>_xlfn.XLOOKUP(Table8[[#This Row],[Campaign_Code]],tb3_CampaignMaster[Campaign_Code],tb3_CampaignMaster[End_Date],"")</f>
        <v>45618</v>
      </c>
      <c r="Y807">
        <f>_xlfn.XLOOKUP(Table8[[#This Row],[Campaign_Code]],tb3_CampaignMaster[Campaign_Code],tb3_CampaignMaster[Budget_GBP],"")</f>
        <v>3500</v>
      </c>
      <c r="Z807" t="str">
        <f>_xlfn.XLOOKUP(Table8[[#This Row],[Campaign_Code]],tb3_CampaignMaster[Campaign_Code],tb3_CampaignMaster[Primary_Channel],"")</f>
        <v>Email</v>
      </c>
      <c r="AA807" s="13">
        <f>IF(Table8[[#This Row],[Gift_Aid_Eligible]]="Yes",Table8[[#This Row],[Gift_Amount]]*1.25,Table8[[#This Row],[Gift_Amount]])</f>
        <v>14.325000000000001</v>
      </c>
      <c r="AB807" t="str">
        <f>IF(Table8[[#This Row],[Supporter_ID]]="","Review - missing supporter ID","")</f>
        <v/>
      </c>
      <c r="AC807" t="str">
        <f>IF(OR(Table8[[#This Row],[Response_Date]]&lt;Table8[[#This Row],[Start_Date]],Table8[[#This Row],[Response_Date]]&gt;Table8[[#This Row],[End_Date]]),"Review - response outside campaign dates","")</f>
        <v/>
      </c>
      <c r="AD807" t="str">
        <f>IF(Table8[[#This Row],[Campaign_Type]]="","Review - campaign code not found","")</f>
        <v/>
      </c>
    </row>
    <row r="808" spans="1:30" x14ac:dyDescent="0.25">
      <c r="A808" t="s">
        <v>4677</v>
      </c>
      <c r="B808" t="s">
        <v>857</v>
      </c>
      <c r="C808" t="s">
        <v>3320</v>
      </c>
      <c r="D808" t="s">
        <v>3321</v>
      </c>
      <c r="E808" t="s">
        <v>4</v>
      </c>
      <c r="F808" s="17">
        <v>45458</v>
      </c>
      <c r="G808">
        <v>26.72</v>
      </c>
      <c r="H808" t="s">
        <v>37</v>
      </c>
      <c r="I808" t="s">
        <v>3385</v>
      </c>
      <c r="J808" t="str">
        <f>_xlfn.XLOOKUP(Table8[[#This Row],[Supporter_ID]],tb1_supporters[Supporter_ID ],tb1_supporters[Segment],"")</f>
        <v>Prospect</v>
      </c>
      <c r="K808" t="str">
        <f>_xlfn.XLOOKUP(Table8[[#This Row],[Supporter_ID]],tb1_supporters[Supporter_ID ],tb1_supporters[Acquisition_Source],"")</f>
        <v>Door-To-Door</v>
      </c>
      <c r="L808" t="str">
        <f>_xlfn.XLOOKUP(Table8[[#This Row],[Supporter_ID]],tb1_supporters[Supporter_ID ],tb1_supporters[County],"")</f>
        <v>Wiltshire</v>
      </c>
      <c r="M808" t="str">
        <f>_xlfn.XLOOKUP(Table8[[#This Row],[Supporter_ID]],tb1_supporters[Supporter_ID ],tb1_supporters[Gender],"")</f>
        <v>Female</v>
      </c>
      <c r="N808">
        <f ca="1">_xlfn.XLOOKUP(Table8[[#This Row],[Supporter_ID]],tb1_supporters[Supporter_ID ],tb1_supporters[Age],"")</f>
        <v>69</v>
      </c>
      <c r="O808" t="str">
        <f ca="1">_xlfn.XLOOKUP(Table8[[#This Row],[Supporter_ID]],tb1_supporters[Supporter_ID ],tb1_supporters[Age_Band],"")</f>
        <v>65+</v>
      </c>
      <c r="P808" t="str">
        <f ca="1">IF(Table8[[#This Row],[Age_Band]]="","Unknown",Table8[[#This Row],[Age_Band]])</f>
        <v>65+</v>
      </c>
      <c r="Q808" t="str">
        <f>_xlfn.XLOOKUP(Table8[[#This Row],[Supporter_ID]],tb1_supporters[Supporter_ID ],tb1_supporters[Communication_Preference],"")</f>
        <v>Email</v>
      </c>
      <c r="R808" t="str">
        <f>_xlfn.XLOOKUP(Table8[[#This Row],[Supporter_ID]],tb1_supporters[Supporter_ID ],tb1_supporters[Duplicate_Profile_Flag],"")</f>
        <v/>
      </c>
      <c r="S808" t="str">
        <f>_xlfn.XLOOKUP(Table8[[#This Row],[Supporter_ID]],tb1_supporters[Supporter_ID ],tb1_supporters[Preference_Compliance_Flag],"")</f>
        <v/>
      </c>
      <c r="T808" t="str">
        <f ca="1">IF(Table8[[#This Row],[Age]]="","Review - missing DOB",IF(Table8[[#This Row],[Age]]&gt;TODAY(),"Review - future DOB",IF(Table8[[#This Row],[Age]]=0,"Review -  potential entry error (age 0)","")))</f>
        <v/>
      </c>
      <c r="U808" t="str">
        <f>_xlfn.XLOOKUP(Table8[[#This Row],[Campaign_Code]],tb3_CampaignMaster[Campaign_Code],tb3_CampaignMaster[Campaign_Type],"")</f>
        <v>Stewardship</v>
      </c>
      <c r="V808" t="str">
        <f>_xlfn.XLOOKUP(Table8[[#This Row],[Campaign_Code]],tb3_CampaignMaster[Campaign_Code],tb3_CampaignMaster[Target_Audience],"")</f>
        <v>Major Donors</v>
      </c>
      <c r="W808" s="17">
        <f>_xlfn.XLOOKUP(Table8[[#This Row],[Campaign_Code]],tb3_CampaignMaster[Campaign_Code],tb3_CampaignMaster[Start_Date],"")</f>
        <v>45444</v>
      </c>
      <c r="X808" s="17">
        <f>_xlfn.XLOOKUP(Table8[[#This Row],[Campaign_Code]],tb3_CampaignMaster[Campaign_Code],tb3_CampaignMaster[End_Date],"")</f>
        <v>45473</v>
      </c>
      <c r="Y808">
        <f>_xlfn.XLOOKUP(Table8[[#This Row],[Campaign_Code]],tb3_CampaignMaster[Campaign_Code],tb3_CampaignMaster[Budget_GBP],"")</f>
        <v>7000</v>
      </c>
      <c r="Z808" t="str">
        <f>_xlfn.XLOOKUP(Table8[[#This Row],[Campaign_Code]],tb3_CampaignMaster[Campaign_Code],tb3_CampaignMaster[Primary_Channel],"")</f>
        <v>Direct Mail</v>
      </c>
      <c r="AA808" s="13">
        <f>IF(Table8[[#This Row],[Gift_Aid_Eligible]]="Yes",Table8[[#This Row],[Gift_Amount]]*1.25,Table8[[#This Row],[Gift_Amount]])</f>
        <v>26.72</v>
      </c>
      <c r="AB808" t="str">
        <f>IF(Table8[[#This Row],[Supporter_ID]]="","Review - missing supporter ID","")</f>
        <v/>
      </c>
      <c r="AC808" t="str">
        <f>IF(OR(Table8[[#This Row],[Response_Date]]&lt;Table8[[#This Row],[Start_Date]],Table8[[#This Row],[Response_Date]]&gt;Table8[[#This Row],[End_Date]]),"Review - response outside campaign dates","")</f>
        <v/>
      </c>
      <c r="AD808" t="str">
        <f>IF(Table8[[#This Row],[Campaign_Type]]="","Review - campaign code not found","")</f>
        <v/>
      </c>
    </row>
    <row r="809" spans="1:30" x14ac:dyDescent="0.25">
      <c r="A809" t="s">
        <v>4678</v>
      </c>
      <c r="B809" t="s">
        <v>2169</v>
      </c>
      <c r="C809" t="s">
        <v>3403</v>
      </c>
      <c r="D809" t="s">
        <v>3404</v>
      </c>
      <c r="E809" t="s">
        <v>4</v>
      </c>
      <c r="F809" s="17">
        <v>45599</v>
      </c>
      <c r="G809">
        <v>7.25</v>
      </c>
      <c r="H809" t="s">
        <v>36</v>
      </c>
      <c r="I809" t="s">
        <v>3370</v>
      </c>
      <c r="J809" t="str">
        <f>_xlfn.XLOOKUP(Table8[[#This Row],[Supporter_ID]],tb1_supporters[Supporter_ID ],tb1_supporters[Segment],"")</f>
        <v>Prospect</v>
      </c>
      <c r="K809" t="str">
        <f>_xlfn.XLOOKUP(Table8[[#This Row],[Supporter_ID]],tb1_supporters[Supporter_ID ],tb1_supporters[Acquisition_Source],"")</f>
        <v>Corporate Partner</v>
      </c>
      <c r="L809" t="str">
        <f>_xlfn.XLOOKUP(Table8[[#This Row],[Supporter_ID]],tb1_supporters[Supporter_ID ],tb1_supporters[County],"")</f>
        <v>West Midlands</v>
      </c>
      <c r="M809" t="str">
        <f>_xlfn.XLOOKUP(Table8[[#This Row],[Supporter_ID]],tb1_supporters[Supporter_ID ],tb1_supporters[Gender],"")</f>
        <v>Male</v>
      </c>
      <c r="N809">
        <f ca="1">_xlfn.XLOOKUP(Table8[[#This Row],[Supporter_ID]],tb1_supporters[Supporter_ID ],tb1_supporters[Age],"")</f>
        <v>71</v>
      </c>
      <c r="O809" t="str">
        <f ca="1">_xlfn.XLOOKUP(Table8[[#This Row],[Supporter_ID]],tb1_supporters[Supporter_ID ],tb1_supporters[Age_Band],"")</f>
        <v>65+</v>
      </c>
      <c r="P809" t="str">
        <f ca="1">IF(Table8[[#This Row],[Age_Band]]="","Unknown",Table8[[#This Row],[Age_Band]])</f>
        <v>65+</v>
      </c>
      <c r="Q809" t="str">
        <f>_xlfn.XLOOKUP(Table8[[#This Row],[Supporter_ID]],tb1_supporters[Supporter_ID ],tb1_supporters[Communication_Preference],"")</f>
        <v>Phone</v>
      </c>
      <c r="R809" t="str">
        <f>_xlfn.XLOOKUP(Table8[[#This Row],[Supporter_ID]],tb1_supporters[Supporter_ID ],tb1_supporters[Duplicate_Profile_Flag],"")</f>
        <v/>
      </c>
      <c r="S809" t="str">
        <f>_xlfn.XLOOKUP(Table8[[#This Row],[Supporter_ID]],tb1_supporters[Supporter_ID ],tb1_supporters[Preference_Compliance_Flag],"")</f>
        <v/>
      </c>
      <c r="T809" t="str">
        <f ca="1">IF(Table8[[#This Row],[Age]]="","Review - missing DOB",IF(Table8[[#This Row],[Age]]&gt;TODAY(),"Review - future DOB",IF(Table8[[#This Row],[Age]]=0,"Review -  potential entry error (age 0)","")))</f>
        <v/>
      </c>
      <c r="U809" t="str">
        <f>_xlfn.XLOOKUP(Table8[[#This Row],[Campaign_Code]],tb3_CampaignMaster[Campaign_Code],tb3_CampaignMaster[Campaign_Type],"")</f>
        <v>Trading</v>
      </c>
      <c r="V809" t="str">
        <f>_xlfn.XLOOKUP(Table8[[#This Row],[Campaign_Code]],tb3_CampaignMaster[Campaign_Code],tb3_CampaignMaster[Target_Audience],"")</f>
        <v>All Active</v>
      </c>
      <c r="W809" s="17">
        <f>_xlfn.XLOOKUP(Table8[[#This Row],[Campaign_Code]],tb3_CampaignMaster[Campaign_Code],tb3_CampaignMaster[Start_Date],"")</f>
        <v>45580</v>
      </c>
      <c r="X809" s="17">
        <f>_xlfn.XLOOKUP(Table8[[#This Row],[Campaign_Code]],tb3_CampaignMaster[Campaign_Code],tb3_CampaignMaster[End_Date],"")</f>
        <v>45646</v>
      </c>
      <c r="Y809">
        <f>_xlfn.XLOOKUP(Table8[[#This Row],[Campaign_Code]],tb3_CampaignMaster[Campaign_Code],tb3_CampaignMaster[Budget_GBP],"")</f>
        <v>12000</v>
      </c>
      <c r="Z809" t="str">
        <f>_xlfn.XLOOKUP(Table8[[#This Row],[Campaign_Code]],tb3_CampaignMaster[Campaign_Code],tb3_CampaignMaster[Primary_Channel],"")</f>
        <v>Multi-channel</v>
      </c>
      <c r="AA809" s="13">
        <f>IF(Table8[[#This Row],[Gift_Aid_Eligible]]="Yes",Table8[[#This Row],[Gift_Amount]]*1.25,Table8[[#This Row],[Gift_Amount]])</f>
        <v>9.0625</v>
      </c>
      <c r="AB809" t="str">
        <f>IF(Table8[[#This Row],[Supporter_ID]]="","Review - missing supporter ID","")</f>
        <v/>
      </c>
      <c r="AC809" t="str">
        <f>IF(OR(Table8[[#This Row],[Response_Date]]&lt;Table8[[#This Row],[Start_Date]],Table8[[#This Row],[Response_Date]]&gt;Table8[[#This Row],[End_Date]]),"Review - response outside campaign dates","")</f>
        <v/>
      </c>
      <c r="AD809" t="str">
        <f>IF(Table8[[#This Row],[Campaign_Type]]="","Review - campaign code not found","")</f>
        <v/>
      </c>
    </row>
    <row r="810" spans="1:30" x14ac:dyDescent="0.25">
      <c r="A810" t="s">
        <v>4680</v>
      </c>
      <c r="B810" t="s">
        <v>1850</v>
      </c>
      <c r="C810" t="s">
        <v>3314</v>
      </c>
      <c r="D810" t="s">
        <v>3315</v>
      </c>
      <c r="E810" t="s">
        <v>65</v>
      </c>
      <c r="F810" s="17">
        <v>45727</v>
      </c>
      <c r="G810">
        <v>34.78</v>
      </c>
      <c r="H810" t="s">
        <v>37</v>
      </c>
      <c r="I810" t="s">
        <v>3331</v>
      </c>
      <c r="J810" t="str">
        <f>_xlfn.XLOOKUP(Table8[[#This Row],[Supporter_ID]],tb1_supporters[Supporter_ID ],tb1_supporters[Segment],"")</f>
        <v>Lapsed</v>
      </c>
      <c r="K810" t="str">
        <f>_xlfn.XLOOKUP(Table8[[#This Row],[Supporter_ID]],tb1_supporters[Supporter_ID ],tb1_supporters[Acquisition_Source],"")</f>
        <v>Corporate Partner</v>
      </c>
      <c r="L810" t="str">
        <f>_xlfn.XLOOKUP(Table8[[#This Row],[Supporter_ID]],tb1_supporters[Supporter_ID ],tb1_supporters[County],"")</f>
        <v>Grampian</v>
      </c>
      <c r="M810" t="str">
        <f>_xlfn.XLOOKUP(Table8[[#This Row],[Supporter_ID]],tb1_supporters[Supporter_ID ],tb1_supporters[Gender],"")</f>
        <v>Female</v>
      </c>
      <c r="N810">
        <f ca="1">_xlfn.XLOOKUP(Table8[[#This Row],[Supporter_ID]],tb1_supporters[Supporter_ID ],tb1_supporters[Age],"")</f>
        <v>77</v>
      </c>
      <c r="O810" t="str">
        <f ca="1">_xlfn.XLOOKUP(Table8[[#This Row],[Supporter_ID]],tb1_supporters[Supporter_ID ],tb1_supporters[Age_Band],"")</f>
        <v>65+</v>
      </c>
      <c r="P810" t="str">
        <f ca="1">IF(Table8[[#This Row],[Age_Band]]="","Unknown",Table8[[#This Row],[Age_Band]])</f>
        <v>65+</v>
      </c>
      <c r="Q810" t="str">
        <f>_xlfn.XLOOKUP(Table8[[#This Row],[Supporter_ID]],tb1_supporters[Supporter_ID ],tb1_supporters[Communication_Preference],"")</f>
        <v>Email</v>
      </c>
      <c r="R810" t="str">
        <f>_xlfn.XLOOKUP(Table8[[#This Row],[Supporter_ID]],tb1_supporters[Supporter_ID ],tb1_supporters[Duplicate_Profile_Flag],"")</f>
        <v/>
      </c>
      <c r="S810" t="str">
        <f>_xlfn.XLOOKUP(Table8[[#This Row],[Supporter_ID]],tb1_supporters[Supporter_ID ],tb1_supporters[Preference_Compliance_Flag],"")</f>
        <v/>
      </c>
      <c r="T810" t="str">
        <f ca="1">IF(Table8[[#This Row],[Age]]="","Review - missing DOB",IF(Table8[[#This Row],[Age]]&gt;TODAY(),"Review - future DOB",IF(Table8[[#This Row],[Age]]=0,"Review -  potential entry error (age 0)","")))</f>
        <v/>
      </c>
      <c r="U810" t="str">
        <f>_xlfn.XLOOKUP(Table8[[#This Row],[Campaign_Code]],tb3_CampaignMaster[Campaign_Code],tb3_CampaignMaster[Campaign_Type],"")</f>
        <v>Regular Giving</v>
      </c>
      <c r="V810" t="str">
        <f>_xlfn.XLOOKUP(Table8[[#This Row],[Campaign_Code]],tb3_CampaignMaster[Campaign_Code],tb3_CampaignMaster[Target_Audience],"")</f>
        <v>One-time Donors</v>
      </c>
      <c r="W810" s="17">
        <f>_xlfn.XLOOKUP(Table8[[#This Row],[Campaign_Code]],tb3_CampaignMaster[Campaign_Code],tb3_CampaignMaster[Start_Date],"")</f>
        <v>45663</v>
      </c>
      <c r="X810" s="17">
        <f>_xlfn.XLOOKUP(Table8[[#This Row],[Campaign_Code]],tb3_CampaignMaster[Campaign_Code],tb3_CampaignMaster[End_Date],"")</f>
        <v>45747</v>
      </c>
      <c r="Y810">
        <f>_xlfn.XLOOKUP(Table8[[#This Row],[Campaign_Code]],tb3_CampaignMaster[Campaign_Code],tb3_CampaignMaster[Budget_GBP],"")</f>
        <v>10000</v>
      </c>
      <c r="Z810" t="str">
        <f>_xlfn.XLOOKUP(Table8[[#This Row],[Campaign_Code]],tb3_CampaignMaster[Campaign_Code],tb3_CampaignMaster[Primary_Channel],"")</f>
        <v>Telephone</v>
      </c>
      <c r="AA810" s="13">
        <f>IF(Table8[[#This Row],[Gift_Aid_Eligible]]="Yes",Table8[[#This Row],[Gift_Amount]]*1.25,Table8[[#This Row],[Gift_Amount]])</f>
        <v>34.78</v>
      </c>
      <c r="AB810" t="str">
        <f>IF(Table8[[#This Row],[Supporter_ID]]="","Review - missing supporter ID","")</f>
        <v/>
      </c>
      <c r="AC810" t="str">
        <f>IF(OR(Table8[[#This Row],[Response_Date]]&lt;Table8[[#This Row],[Start_Date]],Table8[[#This Row],[Response_Date]]&gt;Table8[[#This Row],[End_Date]]),"Review - response outside campaign dates","")</f>
        <v/>
      </c>
      <c r="AD810" t="str">
        <f>IF(Table8[[#This Row],[Campaign_Type]]="","Review - campaign code not found","")</f>
        <v/>
      </c>
    </row>
    <row r="811" spans="1:30" x14ac:dyDescent="0.25">
      <c r="A811" t="s">
        <v>4681</v>
      </c>
      <c r="B811" t="s">
        <v>790</v>
      </c>
      <c r="C811" t="s">
        <v>3314</v>
      </c>
      <c r="D811" t="s">
        <v>3315</v>
      </c>
      <c r="E811" t="s">
        <v>3316</v>
      </c>
      <c r="F811" s="17">
        <v>45682</v>
      </c>
      <c r="G811">
        <v>8.33</v>
      </c>
      <c r="H811" t="s">
        <v>37</v>
      </c>
      <c r="I811" t="s">
        <v>3385</v>
      </c>
      <c r="J811" t="str">
        <f>_xlfn.XLOOKUP(Table8[[#This Row],[Supporter_ID]],tb1_supporters[Supporter_ID ],tb1_supporters[Segment],"")</f>
        <v>Regular Giver</v>
      </c>
      <c r="K811" t="str">
        <f>_xlfn.XLOOKUP(Table8[[#This Row],[Supporter_ID]],tb1_supporters[Supporter_ID ],tb1_supporters[Acquisition_Source],"")</f>
        <v>Referral</v>
      </c>
      <c r="L811" t="str">
        <f>_xlfn.XLOOKUP(Table8[[#This Row],[Supporter_ID]],tb1_supporters[Supporter_ID ],tb1_supporters[County],"")</f>
        <v>Gloucestershire</v>
      </c>
      <c r="M811" t="str">
        <f>_xlfn.XLOOKUP(Table8[[#This Row],[Supporter_ID]],tb1_supporters[Supporter_ID ],tb1_supporters[Gender],"")</f>
        <v>Female</v>
      </c>
      <c r="N811">
        <f ca="1">_xlfn.XLOOKUP(Table8[[#This Row],[Supporter_ID]],tb1_supporters[Supporter_ID ],tb1_supporters[Age],"")</f>
        <v>51</v>
      </c>
      <c r="O811" t="str">
        <f ca="1">_xlfn.XLOOKUP(Table8[[#This Row],[Supporter_ID]],tb1_supporters[Supporter_ID ],tb1_supporters[Age_Band],"")</f>
        <v>50-64</v>
      </c>
      <c r="P811" t="str">
        <f ca="1">IF(Table8[[#This Row],[Age_Band]]="","Unknown",Table8[[#This Row],[Age_Band]])</f>
        <v>50-64</v>
      </c>
      <c r="Q811" t="str">
        <f>_xlfn.XLOOKUP(Table8[[#This Row],[Supporter_ID]],tb1_supporters[Supporter_ID ],tb1_supporters[Communication_Preference],"")</f>
        <v>Email</v>
      </c>
      <c r="R811" t="str">
        <f>_xlfn.XLOOKUP(Table8[[#This Row],[Supporter_ID]],tb1_supporters[Supporter_ID ],tb1_supporters[Duplicate_Profile_Flag],"")</f>
        <v/>
      </c>
      <c r="S811" t="str">
        <f>_xlfn.XLOOKUP(Table8[[#This Row],[Supporter_ID]],tb1_supporters[Supporter_ID ],tb1_supporters[Preference_Compliance_Flag],"")</f>
        <v>Review - prefers email but not opted in</v>
      </c>
      <c r="T811" t="str">
        <f ca="1">IF(Table8[[#This Row],[Age]]="","Review - missing DOB",IF(Table8[[#This Row],[Age]]&gt;TODAY(),"Review - future DOB",IF(Table8[[#This Row],[Age]]=0,"Review -  potential entry error (age 0)","")))</f>
        <v/>
      </c>
      <c r="U811" t="str">
        <f>_xlfn.XLOOKUP(Table8[[#This Row],[Campaign_Code]],tb3_CampaignMaster[Campaign_Code],tb3_CampaignMaster[Campaign_Type],"")</f>
        <v>Regular Giving</v>
      </c>
      <c r="V811" t="str">
        <f>_xlfn.XLOOKUP(Table8[[#This Row],[Campaign_Code]],tb3_CampaignMaster[Campaign_Code],tb3_CampaignMaster[Target_Audience],"")</f>
        <v>One-time Donors</v>
      </c>
      <c r="W811" s="17">
        <f>_xlfn.XLOOKUP(Table8[[#This Row],[Campaign_Code]],tb3_CampaignMaster[Campaign_Code],tb3_CampaignMaster[Start_Date],"")</f>
        <v>45663</v>
      </c>
      <c r="X811" s="17">
        <f>_xlfn.XLOOKUP(Table8[[#This Row],[Campaign_Code]],tb3_CampaignMaster[Campaign_Code],tb3_CampaignMaster[End_Date],"")</f>
        <v>45747</v>
      </c>
      <c r="Y811">
        <f>_xlfn.XLOOKUP(Table8[[#This Row],[Campaign_Code]],tb3_CampaignMaster[Campaign_Code],tb3_CampaignMaster[Budget_GBP],"")</f>
        <v>10000</v>
      </c>
      <c r="Z811" t="str">
        <f>_xlfn.XLOOKUP(Table8[[#This Row],[Campaign_Code]],tb3_CampaignMaster[Campaign_Code],tb3_CampaignMaster[Primary_Channel],"")</f>
        <v>Telephone</v>
      </c>
      <c r="AA811" s="13">
        <f>IF(Table8[[#This Row],[Gift_Aid_Eligible]]="Yes",Table8[[#This Row],[Gift_Amount]]*1.25,Table8[[#This Row],[Gift_Amount]])</f>
        <v>8.33</v>
      </c>
      <c r="AB811" t="str">
        <f>IF(Table8[[#This Row],[Supporter_ID]]="","Review - missing supporter ID","")</f>
        <v/>
      </c>
      <c r="AC811" t="str">
        <f>IF(OR(Table8[[#This Row],[Response_Date]]&lt;Table8[[#This Row],[Start_Date]],Table8[[#This Row],[Response_Date]]&gt;Table8[[#This Row],[End_Date]]),"Review - response outside campaign dates","")</f>
        <v/>
      </c>
      <c r="AD811" t="str">
        <f>IF(Table8[[#This Row],[Campaign_Type]]="","Review - campaign code not found","")</f>
        <v/>
      </c>
    </row>
    <row r="812" spans="1:30" x14ac:dyDescent="0.25">
      <c r="A812" t="s">
        <v>4683</v>
      </c>
      <c r="B812" t="s">
        <v>3293</v>
      </c>
      <c r="C812" t="s">
        <v>3314</v>
      </c>
      <c r="D812" t="s">
        <v>3315</v>
      </c>
      <c r="E812" t="s">
        <v>3316</v>
      </c>
      <c r="F812" s="17">
        <v>45721</v>
      </c>
      <c r="G812">
        <v>27.72</v>
      </c>
      <c r="H812" t="s">
        <v>37</v>
      </c>
      <c r="I812" t="s">
        <v>3365</v>
      </c>
      <c r="J812" t="str">
        <f>_xlfn.XLOOKUP(Table8[[#This Row],[Supporter_ID]],tb1_supporters[Supporter_ID ],tb1_supporters[Segment],"")</f>
        <v>Lapsed</v>
      </c>
      <c r="K812" t="str">
        <f>_xlfn.XLOOKUP(Table8[[#This Row],[Supporter_ID]],tb1_supporters[Supporter_ID ],tb1_supporters[Acquisition_Source],"")</f>
        <v>Event</v>
      </c>
      <c r="L812" t="str">
        <f>_xlfn.XLOOKUP(Table8[[#This Row],[Supporter_ID]],tb1_supporters[Supporter_ID ],tb1_supporters[County],"")</f>
        <v>Wiltshire</v>
      </c>
      <c r="M812" t="str">
        <f>_xlfn.XLOOKUP(Table8[[#This Row],[Supporter_ID]],tb1_supporters[Supporter_ID ],tb1_supporters[Gender],"")</f>
        <v>Female</v>
      </c>
      <c r="N812">
        <f ca="1">_xlfn.XLOOKUP(Table8[[#This Row],[Supporter_ID]],tb1_supporters[Supporter_ID ],tb1_supporters[Age],"")</f>
        <v>32</v>
      </c>
      <c r="O812" t="str">
        <f ca="1">_xlfn.XLOOKUP(Table8[[#This Row],[Supporter_ID]],tb1_supporters[Supporter_ID ],tb1_supporters[Age_Band],"")</f>
        <v>18-34</v>
      </c>
      <c r="P812" t="str">
        <f ca="1">IF(Table8[[#This Row],[Age_Band]]="","Unknown",Table8[[#This Row],[Age_Band]])</f>
        <v>18-34</v>
      </c>
      <c r="Q812" t="str">
        <f>_xlfn.XLOOKUP(Table8[[#This Row],[Supporter_ID]],tb1_supporters[Supporter_ID ],tb1_supporters[Communication_Preference],"")</f>
        <v>Post</v>
      </c>
      <c r="R812" t="str">
        <f>_xlfn.XLOOKUP(Table8[[#This Row],[Supporter_ID]],tb1_supporters[Supporter_ID ],tb1_supporters[Duplicate_Profile_Flag],"")</f>
        <v/>
      </c>
      <c r="S812" t="str">
        <f>_xlfn.XLOOKUP(Table8[[#This Row],[Supporter_ID]],tb1_supporters[Supporter_ID ],tb1_supporters[Preference_Compliance_Flag],"")</f>
        <v>Review - prefers post but not opted in</v>
      </c>
      <c r="T812" t="str">
        <f ca="1">IF(Table8[[#This Row],[Age]]="","Review - missing DOB",IF(Table8[[#This Row],[Age]]&gt;TODAY(),"Review - future DOB",IF(Table8[[#This Row],[Age]]=0,"Review -  potential entry error (age 0)","")))</f>
        <v/>
      </c>
      <c r="U812" t="str">
        <f>_xlfn.XLOOKUP(Table8[[#This Row],[Campaign_Code]],tb3_CampaignMaster[Campaign_Code],tb3_CampaignMaster[Campaign_Type],"")</f>
        <v>Regular Giving</v>
      </c>
      <c r="V812" t="str">
        <f>_xlfn.XLOOKUP(Table8[[#This Row],[Campaign_Code]],tb3_CampaignMaster[Campaign_Code],tb3_CampaignMaster[Target_Audience],"")</f>
        <v>One-time Donors</v>
      </c>
      <c r="W812" s="17">
        <f>_xlfn.XLOOKUP(Table8[[#This Row],[Campaign_Code]],tb3_CampaignMaster[Campaign_Code],tb3_CampaignMaster[Start_Date],"")</f>
        <v>45663</v>
      </c>
      <c r="X812" s="17">
        <f>_xlfn.XLOOKUP(Table8[[#This Row],[Campaign_Code]],tb3_CampaignMaster[Campaign_Code],tb3_CampaignMaster[End_Date],"")</f>
        <v>45747</v>
      </c>
      <c r="Y812">
        <f>_xlfn.XLOOKUP(Table8[[#This Row],[Campaign_Code]],tb3_CampaignMaster[Campaign_Code],tb3_CampaignMaster[Budget_GBP],"")</f>
        <v>10000</v>
      </c>
      <c r="Z812" t="str">
        <f>_xlfn.XLOOKUP(Table8[[#This Row],[Campaign_Code]],tb3_CampaignMaster[Campaign_Code],tb3_CampaignMaster[Primary_Channel],"")</f>
        <v>Telephone</v>
      </c>
      <c r="AA812" s="13">
        <f>IF(Table8[[#This Row],[Gift_Aid_Eligible]]="Yes",Table8[[#This Row],[Gift_Amount]]*1.25,Table8[[#This Row],[Gift_Amount]])</f>
        <v>27.72</v>
      </c>
      <c r="AB812" t="str">
        <f>IF(Table8[[#This Row],[Supporter_ID]]="","Review - missing supporter ID","")</f>
        <v/>
      </c>
      <c r="AC812" t="str">
        <f>IF(OR(Table8[[#This Row],[Response_Date]]&lt;Table8[[#This Row],[Start_Date]],Table8[[#This Row],[Response_Date]]&gt;Table8[[#This Row],[End_Date]]),"Review - response outside campaign dates","")</f>
        <v/>
      </c>
      <c r="AD812" t="str">
        <f>IF(Table8[[#This Row],[Campaign_Type]]="","Review - campaign code not found","")</f>
        <v/>
      </c>
    </row>
    <row r="813" spans="1:30" x14ac:dyDescent="0.25">
      <c r="A813" t="s">
        <v>4685</v>
      </c>
      <c r="B813" t="s">
        <v>2411</v>
      </c>
      <c r="C813" t="s">
        <v>3336</v>
      </c>
      <c r="D813" t="s">
        <v>3337</v>
      </c>
      <c r="E813" t="s">
        <v>3316</v>
      </c>
      <c r="F813" s="17">
        <v>45564</v>
      </c>
      <c r="G813">
        <v>68.709999999999994</v>
      </c>
      <c r="H813" t="s">
        <v>37</v>
      </c>
      <c r="I813" t="s">
        <v>3370</v>
      </c>
      <c r="J813" t="str">
        <f>_xlfn.XLOOKUP(Table8[[#This Row],[Supporter_ID]],tb1_supporters[Supporter_ID ],tb1_supporters[Segment],"")</f>
        <v>Mid-Value</v>
      </c>
      <c r="K813" t="str">
        <f>_xlfn.XLOOKUP(Table8[[#This Row],[Supporter_ID]],tb1_supporters[Supporter_ID ],tb1_supporters[Acquisition_Source],"")</f>
        <v>Door-To-Door</v>
      </c>
      <c r="L813" t="str">
        <f>_xlfn.XLOOKUP(Table8[[#This Row],[Supporter_ID]],tb1_supporters[Supporter_ID ],tb1_supporters[County],"")</f>
        <v>South Glamorgan</v>
      </c>
      <c r="M813" t="str">
        <f>_xlfn.XLOOKUP(Table8[[#This Row],[Supporter_ID]],tb1_supporters[Supporter_ID ],tb1_supporters[Gender],"")</f>
        <v>Male</v>
      </c>
      <c r="N813">
        <f ca="1">_xlfn.XLOOKUP(Table8[[#This Row],[Supporter_ID]],tb1_supporters[Supporter_ID ],tb1_supporters[Age],"")</f>
        <v>79</v>
      </c>
      <c r="O813" t="str">
        <f ca="1">_xlfn.XLOOKUP(Table8[[#This Row],[Supporter_ID]],tb1_supporters[Supporter_ID ],tb1_supporters[Age_Band],"")</f>
        <v>65+</v>
      </c>
      <c r="P813" t="str">
        <f ca="1">IF(Table8[[#This Row],[Age_Band]]="","Unknown",Table8[[#This Row],[Age_Band]])</f>
        <v>65+</v>
      </c>
      <c r="Q813" t="str">
        <f>_xlfn.XLOOKUP(Table8[[#This Row],[Supporter_ID]],tb1_supporters[Supporter_ID ],tb1_supporters[Communication_Preference],"")</f>
        <v>No Preference</v>
      </c>
      <c r="R813" t="str">
        <f>_xlfn.XLOOKUP(Table8[[#This Row],[Supporter_ID]],tb1_supporters[Supporter_ID ],tb1_supporters[Duplicate_Profile_Flag],"")</f>
        <v/>
      </c>
      <c r="S813" t="str">
        <f>_xlfn.XLOOKUP(Table8[[#This Row],[Supporter_ID]],tb1_supporters[Supporter_ID ],tb1_supporters[Preference_Compliance_Flag],"")</f>
        <v/>
      </c>
      <c r="T813" t="str">
        <f ca="1">IF(Table8[[#This Row],[Age]]="","Review - missing DOB",IF(Table8[[#This Row],[Age]]&gt;TODAY(),"Review - future DOB",IF(Table8[[#This Row],[Age]]=0,"Review -  potential entry error (age 0)","")))</f>
        <v/>
      </c>
      <c r="U813" t="str">
        <f>_xlfn.XLOOKUP(Table8[[#This Row],[Campaign_Code]],tb3_CampaignMaster[Campaign_Code],tb3_CampaignMaster[Campaign_Type],"")</f>
        <v>Appeal</v>
      </c>
      <c r="V813" t="str">
        <f>_xlfn.XLOOKUP(Table8[[#This Row],[Campaign_Code]],tb3_CampaignMaster[Campaign_Code],tb3_CampaignMaster[Target_Audience],"")</f>
        <v>All Supporters</v>
      </c>
      <c r="W813" s="17">
        <f>_xlfn.XLOOKUP(Table8[[#This Row],[Campaign_Code]],tb3_CampaignMaster[Campaign_Code],tb3_CampaignMaster[Start_Date],"")</f>
        <v>45545</v>
      </c>
      <c r="X813" s="17">
        <f>_xlfn.XLOOKUP(Table8[[#This Row],[Campaign_Code]],tb3_CampaignMaster[Campaign_Code],tb3_CampaignMaster[End_Date],"")</f>
        <v>45580</v>
      </c>
      <c r="Y813">
        <f>_xlfn.XLOOKUP(Table8[[#This Row],[Campaign_Code]],tb3_CampaignMaster[Campaign_Code],tb3_CampaignMaster[Budget_GBP],"")</f>
        <v>15000</v>
      </c>
      <c r="Z813" t="str">
        <f>_xlfn.XLOOKUP(Table8[[#This Row],[Campaign_Code]],tb3_CampaignMaster[Campaign_Code],tb3_CampaignMaster[Primary_Channel],"")</f>
        <v>Email</v>
      </c>
      <c r="AA813" s="13">
        <f>IF(Table8[[#This Row],[Gift_Aid_Eligible]]="Yes",Table8[[#This Row],[Gift_Amount]]*1.25,Table8[[#This Row],[Gift_Amount]])</f>
        <v>68.709999999999994</v>
      </c>
      <c r="AB813" t="str">
        <f>IF(Table8[[#This Row],[Supporter_ID]]="","Review - missing supporter ID","")</f>
        <v/>
      </c>
      <c r="AC813" t="str">
        <f>IF(OR(Table8[[#This Row],[Response_Date]]&lt;Table8[[#This Row],[Start_Date]],Table8[[#This Row],[Response_Date]]&gt;Table8[[#This Row],[End_Date]]),"Review - response outside campaign dates","")</f>
        <v/>
      </c>
      <c r="AD813" t="str">
        <f>IF(Table8[[#This Row],[Campaign_Type]]="","Review - campaign code not found","")</f>
        <v/>
      </c>
    </row>
    <row r="814" spans="1:30" x14ac:dyDescent="0.25">
      <c r="A814" t="s">
        <v>4687</v>
      </c>
      <c r="B814" t="s">
        <v>2350</v>
      </c>
      <c r="C814" t="s">
        <v>3336</v>
      </c>
      <c r="D814" t="s">
        <v>3337</v>
      </c>
      <c r="E814" t="s">
        <v>3316</v>
      </c>
      <c r="F814" s="17">
        <v>45552</v>
      </c>
      <c r="G814">
        <v>14.99</v>
      </c>
      <c r="H814" t="s">
        <v>36</v>
      </c>
      <c r="I814" t="s">
        <v>3328</v>
      </c>
      <c r="J814" t="str">
        <f>_xlfn.XLOOKUP(Table8[[#This Row],[Supporter_ID]],tb1_supporters[Supporter_ID ],tb1_supporters[Segment],"")</f>
        <v>Prospect</v>
      </c>
      <c r="K814" t="str">
        <f>_xlfn.XLOOKUP(Table8[[#This Row],[Supporter_ID]],tb1_supporters[Supporter_ID ],tb1_supporters[Acquisition_Source],"")</f>
        <v>Social Media</v>
      </c>
      <c r="L814" t="str">
        <f>_xlfn.XLOOKUP(Table8[[#This Row],[Supporter_ID]],tb1_supporters[Supporter_ID ],tb1_supporters[County],"")</f>
        <v>South Yorkshire</v>
      </c>
      <c r="M814" t="str">
        <f>_xlfn.XLOOKUP(Table8[[#This Row],[Supporter_ID]],tb1_supporters[Supporter_ID ],tb1_supporters[Gender],"")</f>
        <v>Female</v>
      </c>
      <c r="N814">
        <f ca="1">_xlfn.XLOOKUP(Table8[[#This Row],[Supporter_ID]],tb1_supporters[Supporter_ID ],tb1_supporters[Age],"")</f>
        <v>48</v>
      </c>
      <c r="O814" t="str">
        <f ca="1">_xlfn.XLOOKUP(Table8[[#This Row],[Supporter_ID]],tb1_supporters[Supporter_ID ],tb1_supporters[Age_Band],"")</f>
        <v>35-49</v>
      </c>
      <c r="P814" t="str">
        <f ca="1">IF(Table8[[#This Row],[Age_Band]]="","Unknown",Table8[[#This Row],[Age_Band]])</f>
        <v>35-49</v>
      </c>
      <c r="Q814" t="str">
        <f>_xlfn.XLOOKUP(Table8[[#This Row],[Supporter_ID]],tb1_supporters[Supporter_ID ],tb1_supporters[Communication_Preference],"")</f>
        <v>Post</v>
      </c>
      <c r="R814" t="str">
        <f>_xlfn.XLOOKUP(Table8[[#This Row],[Supporter_ID]],tb1_supporters[Supporter_ID ],tb1_supporters[Duplicate_Profile_Flag],"")</f>
        <v/>
      </c>
      <c r="S814" t="str">
        <f>_xlfn.XLOOKUP(Table8[[#This Row],[Supporter_ID]],tb1_supporters[Supporter_ID ],tb1_supporters[Preference_Compliance_Flag],"")</f>
        <v/>
      </c>
      <c r="T814" t="str">
        <f ca="1">IF(Table8[[#This Row],[Age]]="","Review - missing DOB",IF(Table8[[#This Row],[Age]]&gt;TODAY(),"Review - future DOB",IF(Table8[[#This Row],[Age]]=0,"Review -  potential entry error (age 0)","")))</f>
        <v/>
      </c>
      <c r="U814" t="str">
        <f>_xlfn.XLOOKUP(Table8[[#This Row],[Campaign_Code]],tb3_CampaignMaster[Campaign_Code],tb3_CampaignMaster[Campaign_Type],"")</f>
        <v>Appeal</v>
      </c>
      <c r="V814" t="str">
        <f>_xlfn.XLOOKUP(Table8[[#This Row],[Campaign_Code]],tb3_CampaignMaster[Campaign_Code],tb3_CampaignMaster[Target_Audience],"")</f>
        <v>All Supporters</v>
      </c>
      <c r="W814" s="17">
        <f>_xlfn.XLOOKUP(Table8[[#This Row],[Campaign_Code]],tb3_CampaignMaster[Campaign_Code],tb3_CampaignMaster[Start_Date],"")</f>
        <v>45545</v>
      </c>
      <c r="X814" s="17">
        <f>_xlfn.XLOOKUP(Table8[[#This Row],[Campaign_Code]],tb3_CampaignMaster[Campaign_Code],tb3_CampaignMaster[End_Date],"")</f>
        <v>45580</v>
      </c>
      <c r="Y814">
        <f>_xlfn.XLOOKUP(Table8[[#This Row],[Campaign_Code]],tb3_CampaignMaster[Campaign_Code],tb3_CampaignMaster[Budget_GBP],"")</f>
        <v>15000</v>
      </c>
      <c r="Z814" t="str">
        <f>_xlfn.XLOOKUP(Table8[[#This Row],[Campaign_Code]],tb3_CampaignMaster[Campaign_Code],tb3_CampaignMaster[Primary_Channel],"")</f>
        <v>Email</v>
      </c>
      <c r="AA814" s="13">
        <f>IF(Table8[[#This Row],[Gift_Aid_Eligible]]="Yes",Table8[[#This Row],[Gift_Amount]]*1.25,Table8[[#This Row],[Gift_Amount]])</f>
        <v>18.737500000000001</v>
      </c>
      <c r="AB814" t="str">
        <f>IF(Table8[[#This Row],[Supporter_ID]]="","Review - missing supporter ID","")</f>
        <v/>
      </c>
      <c r="AC814" t="str">
        <f>IF(OR(Table8[[#This Row],[Response_Date]]&lt;Table8[[#This Row],[Start_Date]],Table8[[#This Row],[Response_Date]]&gt;Table8[[#This Row],[End_Date]]),"Review - response outside campaign dates","")</f>
        <v/>
      </c>
      <c r="AD814" t="str">
        <f>IF(Table8[[#This Row],[Campaign_Type]]="","Review - campaign code not found","")</f>
        <v/>
      </c>
    </row>
    <row r="815" spans="1:30" x14ac:dyDescent="0.25">
      <c r="A815" t="s">
        <v>4689</v>
      </c>
      <c r="B815" t="s">
        <v>1916</v>
      </c>
      <c r="C815" t="s">
        <v>3341</v>
      </c>
      <c r="D815" t="s">
        <v>3342</v>
      </c>
      <c r="E815" t="s">
        <v>91</v>
      </c>
      <c r="F815" s="17">
        <v>45733</v>
      </c>
      <c r="G815">
        <v>-129.84</v>
      </c>
      <c r="H815" t="s">
        <v>37</v>
      </c>
      <c r="I815" t="s">
        <v>3370</v>
      </c>
      <c r="J815" t="str">
        <f>_xlfn.XLOOKUP(Table8[[#This Row],[Supporter_ID]],tb1_supporters[Supporter_ID ],tb1_supporters[Segment],"")</f>
        <v>One-Time Donor</v>
      </c>
      <c r="K815" t="str">
        <f>_xlfn.XLOOKUP(Table8[[#This Row],[Supporter_ID]],tb1_supporters[Supporter_ID ],tb1_supporters[Acquisition_Source],"")</f>
        <v>Telephone</v>
      </c>
      <c r="L815" t="str">
        <f>_xlfn.XLOOKUP(Table8[[#This Row],[Supporter_ID]],tb1_supporters[Supporter_ID ],tb1_supporters[County],"")</f>
        <v>Angus</v>
      </c>
      <c r="M815" t="str">
        <f>_xlfn.XLOOKUP(Table8[[#This Row],[Supporter_ID]],tb1_supporters[Supporter_ID ],tb1_supporters[Gender],"")</f>
        <v>Female</v>
      </c>
      <c r="N815">
        <f ca="1">_xlfn.XLOOKUP(Table8[[#This Row],[Supporter_ID]],tb1_supporters[Supporter_ID ],tb1_supporters[Age],"")</f>
        <v>66</v>
      </c>
      <c r="O815" t="str">
        <f ca="1">_xlfn.XLOOKUP(Table8[[#This Row],[Supporter_ID]],tb1_supporters[Supporter_ID ],tb1_supporters[Age_Band],"")</f>
        <v>65+</v>
      </c>
      <c r="P815" t="str">
        <f ca="1">IF(Table8[[#This Row],[Age_Band]]="","Unknown",Table8[[#This Row],[Age_Band]])</f>
        <v>65+</v>
      </c>
      <c r="Q815" t="str">
        <f>_xlfn.XLOOKUP(Table8[[#This Row],[Supporter_ID]],tb1_supporters[Supporter_ID ],tb1_supporters[Communication_Preference],"")</f>
        <v>Post</v>
      </c>
      <c r="R815" t="str">
        <f>_xlfn.XLOOKUP(Table8[[#This Row],[Supporter_ID]],tb1_supporters[Supporter_ID ],tb1_supporters[Duplicate_Profile_Flag],"")</f>
        <v/>
      </c>
      <c r="S815" t="str">
        <f>_xlfn.XLOOKUP(Table8[[#This Row],[Supporter_ID]],tb1_supporters[Supporter_ID ],tb1_supporters[Preference_Compliance_Flag],"")</f>
        <v>Review - prefers post but not opted in</v>
      </c>
      <c r="T815" t="str">
        <f ca="1">IF(Table8[[#This Row],[Age]]="","Review - missing DOB",IF(Table8[[#This Row],[Age]]&gt;TODAY(),"Review - future DOB",IF(Table8[[#This Row],[Age]]=0,"Review -  potential entry error (age 0)","")))</f>
        <v/>
      </c>
      <c r="U815" t="str">
        <f>_xlfn.XLOOKUP(Table8[[#This Row],[Campaign_Code]],tb3_CampaignMaster[Campaign_Code],tb3_CampaignMaster[Campaign_Type],"")</f>
        <v>Acquisition</v>
      </c>
      <c r="V815" t="str">
        <f>_xlfn.XLOOKUP(Table8[[#This Row],[Campaign_Code]],tb3_CampaignMaster[Campaign_Code],tb3_CampaignMaster[Target_Audience],"")</f>
        <v>Prospects</v>
      </c>
      <c r="W815" s="17">
        <f>_xlfn.XLOOKUP(Table8[[#This Row],[Campaign_Code]],tb3_CampaignMaster[Campaign_Code],tb3_CampaignMaster[Start_Date],"")</f>
        <v>45689</v>
      </c>
      <c r="X815" s="17">
        <f>_xlfn.XLOOKUP(Table8[[#This Row],[Campaign_Code]],tb3_CampaignMaster[Campaign_Code],tb3_CampaignMaster[End_Date],"")</f>
        <v>45777</v>
      </c>
      <c r="Y815">
        <f>_xlfn.XLOOKUP(Table8[[#This Row],[Campaign_Code]],tb3_CampaignMaster[Campaign_Code],tb3_CampaignMaster[Budget_GBP],"")</f>
        <v>20000</v>
      </c>
      <c r="Z815" t="str">
        <f>_xlfn.XLOOKUP(Table8[[#This Row],[Campaign_Code]],tb3_CampaignMaster[Campaign_Code],tb3_CampaignMaster[Primary_Channel],"")</f>
        <v>Digital</v>
      </c>
      <c r="AA815" s="13">
        <f>IF(Table8[[#This Row],[Gift_Aid_Eligible]]="Yes",Table8[[#This Row],[Gift_Amount]]*1.25,Table8[[#This Row],[Gift_Amount]])</f>
        <v>-129.84</v>
      </c>
      <c r="AB815" t="str">
        <f>IF(Table8[[#This Row],[Supporter_ID]]="","Review - missing supporter ID","")</f>
        <v/>
      </c>
      <c r="AC815" t="str">
        <f>IF(OR(Table8[[#This Row],[Response_Date]]&lt;Table8[[#This Row],[Start_Date]],Table8[[#This Row],[Response_Date]]&gt;Table8[[#This Row],[End_Date]]),"Review - response outside campaign dates","")</f>
        <v/>
      </c>
      <c r="AD815" t="str">
        <f>IF(Table8[[#This Row],[Campaign_Type]]="","Review - campaign code not found","")</f>
        <v/>
      </c>
    </row>
    <row r="816" spans="1:30" x14ac:dyDescent="0.25">
      <c r="A816" t="s">
        <v>4690</v>
      </c>
      <c r="B816" t="s">
        <v>2807</v>
      </c>
      <c r="C816" t="s">
        <v>3362</v>
      </c>
      <c r="D816" t="s">
        <v>3363</v>
      </c>
      <c r="E816" t="s">
        <v>65</v>
      </c>
      <c r="F816" s="17">
        <v>45575</v>
      </c>
      <c r="G816">
        <v>195.24</v>
      </c>
      <c r="H816" t="s">
        <v>36</v>
      </c>
      <c r="I816" t="s">
        <v>3370</v>
      </c>
      <c r="J816" t="str">
        <f>_xlfn.XLOOKUP(Table8[[#This Row],[Supporter_ID]],tb1_supporters[Supporter_ID ],tb1_supporters[Segment],"")</f>
        <v>Mid-Value</v>
      </c>
      <c r="K816" t="str">
        <f>_xlfn.XLOOKUP(Table8[[#This Row],[Supporter_ID]],tb1_supporters[Supporter_ID ],tb1_supporters[Acquisition_Source],"")</f>
        <v>Referral</v>
      </c>
      <c r="L816" t="str">
        <f>_xlfn.XLOOKUP(Table8[[#This Row],[Supporter_ID]],tb1_supporters[Supporter_ID ],tb1_supporters[County],"")</f>
        <v>Grampian</v>
      </c>
      <c r="M816" t="str">
        <f>_xlfn.XLOOKUP(Table8[[#This Row],[Supporter_ID]],tb1_supporters[Supporter_ID ],tb1_supporters[Gender],"")</f>
        <v>Male</v>
      </c>
      <c r="N816">
        <f ca="1">_xlfn.XLOOKUP(Table8[[#This Row],[Supporter_ID]],tb1_supporters[Supporter_ID ],tb1_supporters[Age],"")</f>
        <v>92</v>
      </c>
      <c r="O816" t="str">
        <f ca="1">_xlfn.XLOOKUP(Table8[[#This Row],[Supporter_ID]],tb1_supporters[Supporter_ID ],tb1_supporters[Age_Band],"")</f>
        <v>65+</v>
      </c>
      <c r="P816" t="str">
        <f ca="1">IF(Table8[[#This Row],[Age_Band]]="","Unknown",Table8[[#This Row],[Age_Band]])</f>
        <v>65+</v>
      </c>
      <c r="Q816" t="str">
        <f>_xlfn.XLOOKUP(Table8[[#This Row],[Supporter_ID]],tb1_supporters[Supporter_ID ],tb1_supporters[Communication_Preference],"")</f>
        <v>Email</v>
      </c>
      <c r="R816" t="str">
        <f>_xlfn.XLOOKUP(Table8[[#This Row],[Supporter_ID]],tb1_supporters[Supporter_ID ],tb1_supporters[Duplicate_Profile_Flag],"")</f>
        <v/>
      </c>
      <c r="S816" t="str">
        <f>_xlfn.XLOOKUP(Table8[[#This Row],[Supporter_ID]],tb1_supporters[Supporter_ID ],tb1_supporters[Preference_Compliance_Flag],"")</f>
        <v/>
      </c>
      <c r="T816" t="str">
        <f ca="1">IF(Table8[[#This Row],[Age]]="","Review - missing DOB",IF(Table8[[#This Row],[Age]]&gt;TODAY(),"Review - future DOB",IF(Table8[[#This Row],[Age]]=0,"Review -  potential entry error (age 0)","")))</f>
        <v/>
      </c>
      <c r="U816" t="str">
        <f>_xlfn.XLOOKUP(Table8[[#This Row],[Campaign_Code]],tb3_CampaignMaster[Campaign_Code],tb3_CampaignMaster[Campaign_Type],"")</f>
        <v>Legacy</v>
      </c>
      <c r="V816" t="str">
        <f>_xlfn.XLOOKUP(Table8[[#This Row],[Campaign_Code]],tb3_CampaignMaster[Campaign_Code],tb3_CampaignMaster[Target_Audience],"")</f>
        <v>Over 55s</v>
      </c>
      <c r="W816" s="17">
        <f>_xlfn.XLOOKUP(Table8[[#This Row],[Campaign_Code]],tb3_CampaignMaster[Campaign_Code],tb3_CampaignMaster[Start_Date],"")</f>
        <v>45572</v>
      </c>
      <c r="X816" s="17">
        <f>_xlfn.XLOOKUP(Table8[[#This Row],[Campaign_Code]],tb3_CampaignMaster[Campaign_Code],tb3_CampaignMaster[End_Date],"")</f>
        <v>45578</v>
      </c>
      <c r="Y816">
        <f>_xlfn.XLOOKUP(Table8[[#This Row],[Campaign_Code]],tb3_CampaignMaster[Campaign_Code],tb3_CampaignMaster[Budget_GBP],"")</f>
        <v>5000</v>
      </c>
      <c r="Z816" t="str">
        <f>_xlfn.XLOOKUP(Table8[[#This Row],[Campaign_Code]],tb3_CampaignMaster[Campaign_Code],tb3_CampaignMaster[Primary_Channel],"")</f>
        <v>Direct Mail</v>
      </c>
      <c r="AA816" s="13">
        <f>IF(Table8[[#This Row],[Gift_Aid_Eligible]]="Yes",Table8[[#This Row],[Gift_Amount]]*1.25,Table8[[#This Row],[Gift_Amount]])</f>
        <v>244.05</v>
      </c>
      <c r="AB816" t="str">
        <f>IF(Table8[[#This Row],[Supporter_ID]]="","Review - missing supporter ID","")</f>
        <v/>
      </c>
      <c r="AC816" t="str">
        <f>IF(OR(Table8[[#This Row],[Response_Date]]&lt;Table8[[#This Row],[Start_Date]],Table8[[#This Row],[Response_Date]]&gt;Table8[[#This Row],[End_Date]]),"Review - response outside campaign dates","")</f>
        <v/>
      </c>
      <c r="AD816" t="str">
        <f>IF(Table8[[#This Row],[Campaign_Type]]="","Review - campaign code not found","")</f>
        <v/>
      </c>
    </row>
    <row r="817" spans="1:30" x14ac:dyDescent="0.25">
      <c r="A817" t="s">
        <v>4691</v>
      </c>
      <c r="B817" t="s">
        <v>908</v>
      </c>
      <c r="C817" t="s">
        <v>3336</v>
      </c>
      <c r="D817" t="s">
        <v>3337</v>
      </c>
      <c r="E817" t="s">
        <v>3316</v>
      </c>
      <c r="F817" s="17">
        <v>45564</v>
      </c>
      <c r="G817">
        <v>69.03</v>
      </c>
      <c r="H817" t="s">
        <v>36</v>
      </c>
      <c r="I817" t="s">
        <v>3365</v>
      </c>
      <c r="J817" t="str">
        <f>_xlfn.XLOOKUP(Table8[[#This Row],[Supporter_ID]],tb1_supporters[Supporter_ID ],tb1_supporters[Segment],"")</f>
        <v>Legacy Pledger</v>
      </c>
      <c r="K817" t="str">
        <f>_xlfn.XLOOKUP(Table8[[#This Row],[Supporter_ID]],tb1_supporters[Supporter_ID ],tb1_supporters[Acquisition_Source],"")</f>
        <v>Telephone</v>
      </c>
      <c r="L817" t="str">
        <f>_xlfn.XLOOKUP(Table8[[#This Row],[Supporter_ID]],tb1_supporters[Supporter_ID ],tb1_supporters[County],"")</f>
        <v>Nottinghamshire</v>
      </c>
      <c r="M817" t="str">
        <f>_xlfn.XLOOKUP(Table8[[#This Row],[Supporter_ID]],tb1_supporters[Supporter_ID ],tb1_supporters[Gender],"")</f>
        <v>Male</v>
      </c>
      <c r="N817">
        <f ca="1">_xlfn.XLOOKUP(Table8[[#This Row],[Supporter_ID]],tb1_supporters[Supporter_ID ],tb1_supporters[Age],"")</f>
        <v>66</v>
      </c>
      <c r="O817" t="str">
        <f ca="1">_xlfn.XLOOKUP(Table8[[#This Row],[Supporter_ID]],tb1_supporters[Supporter_ID ],tb1_supporters[Age_Band],"")</f>
        <v>65+</v>
      </c>
      <c r="P817" t="str">
        <f ca="1">IF(Table8[[#This Row],[Age_Band]]="","Unknown",Table8[[#This Row],[Age_Band]])</f>
        <v>65+</v>
      </c>
      <c r="Q817" t="str">
        <f>_xlfn.XLOOKUP(Table8[[#This Row],[Supporter_ID]],tb1_supporters[Supporter_ID ],tb1_supporters[Communication_Preference],"")</f>
        <v>Email</v>
      </c>
      <c r="R817" t="str">
        <f>_xlfn.XLOOKUP(Table8[[#This Row],[Supporter_ID]],tb1_supporters[Supporter_ID ],tb1_supporters[Duplicate_Profile_Flag],"")</f>
        <v/>
      </c>
      <c r="S817" t="str">
        <f>_xlfn.XLOOKUP(Table8[[#This Row],[Supporter_ID]],tb1_supporters[Supporter_ID ],tb1_supporters[Preference_Compliance_Flag],"")</f>
        <v>Review - prefers email but not opted in</v>
      </c>
      <c r="T817" t="str">
        <f ca="1">IF(Table8[[#This Row],[Age]]="","Review - missing DOB",IF(Table8[[#This Row],[Age]]&gt;TODAY(),"Review - future DOB",IF(Table8[[#This Row],[Age]]=0,"Review -  potential entry error (age 0)","")))</f>
        <v/>
      </c>
      <c r="U817" t="str">
        <f>_xlfn.XLOOKUP(Table8[[#This Row],[Campaign_Code]],tb3_CampaignMaster[Campaign_Code],tb3_CampaignMaster[Campaign_Type],"")</f>
        <v>Appeal</v>
      </c>
      <c r="V817" t="str">
        <f>_xlfn.XLOOKUP(Table8[[#This Row],[Campaign_Code]],tb3_CampaignMaster[Campaign_Code],tb3_CampaignMaster[Target_Audience],"")</f>
        <v>All Supporters</v>
      </c>
      <c r="W817" s="17">
        <f>_xlfn.XLOOKUP(Table8[[#This Row],[Campaign_Code]],tb3_CampaignMaster[Campaign_Code],tb3_CampaignMaster[Start_Date],"")</f>
        <v>45545</v>
      </c>
      <c r="X817" s="17">
        <f>_xlfn.XLOOKUP(Table8[[#This Row],[Campaign_Code]],tb3_CampaignMaster[Campaign_Code],tb3_CampaignMaster[End_Date],"")</f>
        <v>45580</v>
      </c>
      <c r="Y817">
        <f>_xlfn.XLOOKUP(Table8[[#This Row],[Campaign_Code]],tb3_CampaignMaster[Campaign_Code],tb3_CampaignMaster[Budget_GBP],"")</f>
        <v>15000</v>
      </c>
      <c r="Z817" t="str">
        <f>_xlfn.XLOOKUP(Table8[[#This Row],[Campaign_Code]],tb3_CampaignMaster[Campaign_Code],tb3_CampaignMaster[Primary_Channel],"")</f>
        <v>Email</v>
      </c>
      <c r="AA817" s="13">
        <f>IF(Table8[[#This Row],[Gift_Aid_Eligible]]="Yes",Table8[[#This Row],[Gift_Amount]]*1.25,Table8[[#This Row],[Gift_Amount]])</f>
        <v>86.287499999999994</v>
      </c>
      <c r="AB817" t="str">
        <f>IF(Table8[[#This Row],[Supporter_ID]]="","Review - missing supporter ID","")</f>
        <v/>
      </c>
      <c r="AC817" t="str">
        <f>IF(OR(Table8[[#This Row],[Response_Date]]&lt;Table8[[#This Row],[Start_Date]],Table8[[#This Row],[Response_Date]]&gt;Table8[[#This Row],[End_Date]]),"Review - response outside campaign dates","")</f>
        <v/>
      </c>
      <c r="AD817" t="str">
        <f>IF(Table8[[#This Row],[Campaign_Type]]="","Review - campaign code not found","")</f>
        <v/>
      </c>
    </row>
    <row r="818" spans="1:30" x14ac:dyDescent="0.25">
      <c r="A818" t="s">
        <v>4692</v>
      </c>
      <c r="B818" t="s">
        <v>2992</v>
      </c>
      <c r="C818" t="s">
        <v>3336</v>
      </c>
      <c r="D818" t="s">
        <v>3337</v>
      </c>
      <c r="E818" t="s">
        <v>4</v>
      </c>
      <c r="F818" s="17">
        <v>45558</v>
      </c>
      <c r="G818">
        <v>9.1999999999999993</v>
      </c>
      <c r="H818" t="s">
        <v>36</v>
      </c>
      <c r="I818" t="s">
        <v>3334</v>
      </c>
      <c r="J818" t="str">
        <f>_xlfn.XLOOKUP(Table8[[#This Row],[Supporter_ID]],tb1_supporters[Supporter_ID ],tb1_supporters[Segment],"")</f>
        <v>Prospect</v>
      </c>
      <c r="K818" t="str">
        <f>_xlfn.XLOOKUP(Table8[[#This Row],[Supporter_ID]],tb1_supporters[Supporter_ID ],tb1_supporters[Acquisition_Source],"")</f>
        <v>Website</v>
      </c>
      <c r="L818" t="str">
        <f>_xlfn.XLOOKUP(Table8[[#This Row],[Supporter_ID]],tb1_supporters[Supporter_ID ],tb1_supporters[County],"")</f>
        <v>West Yorkshire</v>
      </c>
      <c r="M818" t="str">
        <f>_xlfn.XLOOKUP(Table8[[#This Row],[Supporter_ID]],tb1_supporters[Supporter_ID ],tb1_supporters[Gender],"")</f>
        <v>Female</v>
      </c>
      <c r="N818">
        <f ca="1">_xlfn.XLOOKUP(Table8[[#This Row],[Supporter_ID]],tb1_supporters[Supporter_ID ],tb1_supporters[Age],"")</f>
        <v>56</v>
      </c>
      <c r="O818" t="str">
        <f ca="1">_xlfn.XLOOKUP(Table8[[#This Row],[Supporter_ID]],tb1_supporters[Supporter_ID ],tb1_supporters[Age_Band],"")</f>
        <v>50-64</v>
      </c>
      <c r="P818" t="str">
        <f ca="1">IF(Table8[[#This Row],[Age_Band]]="","Unknown",Table8[[#This Row],[Age_Band]])</f>
        <v>50-64</v>
      </c>
      <c r="Q818" t="str">
        <f>_xlfn.XLOOKUP(Table8[[#This Row],[Supporter_ID]],tb1_supporters[Supporter_ID ],tb1_supporters[Communication_Preference],"")</f>
        <v>Phone</v>
      </c>
      <c r="R818" t="str">
        <f>_xlfn.XLOOKUP(Table8[[#This Row],[Supporter_ID]],tb1_supporters[Supporter_ID ],tb1_supporters[Duplicate_Profile_Flag],"")</f>
        <v/>
      </c>
      <c r="S818" t="str">
        <f>_xlfn.XLOOKUP(Table8[[#This Row],[Supporter_ID]],tb1_supporters[Supporter_ID ],tb1_supporters[Preference_Compliance_Flag],"")</f>
        <v>Review - prefers phone but not opted in</v>
      </c>
      <c r="T818" t="str">
        <f ca="1">IF(Table8[[#This Row],[Age]]="","Review - missing DOB",IF(Table8[[#This Row],[Age]]&gt;TODAY(),"Review - future DOB",IF(Table8[[#This Row],[Age]]=0,"Review -  potential entry error (age 0)","")))</f>
        <v/>
      </c>
      <c r="U818" t="str">
        <f>_xlfn.XLOOKUP(Table8[[#This Row],[Campaign_Code]],tb3_CampaignMaster[Campaign_Code],tb3_CampaignMaster[Campaign_Type],"")</f>
        <v>Appeal</v>
      </c>
      <c r="V818" t="str">
        <f>_xlfn.XLOOKUP(Table8[[#This Row],[Campaign_Code]],tb3_CampaignMaster[Campaign_Code],tb3_CampaignMaster[Target_Audience],"")</f>
        <v>All Supporters</v>
      </c>
      <c r="W818" s="17">
        <f>_xlfn.XLOOKUP(Table8[[#This Row],[Campaign_Code]],tb3_CampaignMaster[Campaign_Code],tb3_CampaignMaster[Start_Date],"")</f>
        <v>45545</v>
      </c>
      <c r="X818" s="17">
        <f>_xlfn.XLOOKUP(Table8[[#This Row],[Campaign_Code]],tb3_CampaignMaster[Campaign_Code],tb3_CampaignMaster[End_Date],"")</f>
        <v>45580</v>
      </c>
      <c r="Y818">
        <f>_xlfn.XLOOKUP(Table8[[#This Row],[Campaign_Code]],tb3_CampaignMaster[Campaign_Code],tb3_CampaignMaster[Budget_GBP],"")</f>
        <v>15000</v>
      </c>
      <c r="Z818" t="str">
        <f>_xlfn.XLOOKUP(Table8[[#This Row],[Campaign_Code]],tb3_CampaignMaster[Campaign_Code],tb3_CampaignMaster[Primary_Channel],"")</f>
        <v>Email</v>
      </c>
      <c r="AA818" s="13">
        <f>IF(Table8[[#This Row],[Gift_Aid_Eligible]]="Yes",Table8[[#This Row],[Gift_Amount]]*1.25,Table8[[#This Row],[Gift_Amount]])</f>
        <v>11.5</v>
      </c>
      <c r="AB818" t="str">
        <f>IF(Table8[[#This Row],[Supporter_ID]]="","Review - missing supporter ID","")</f>
        <v/>
      </c>
      <c r="AC818" t="str">
        <f>IF(OR(Table8[[#This Row],[Response_Date]]&lt;Table8[[#This Row],[Start_Date]],Table8[[#This Row],[Response_Date]]&gt;Table8[[#This Row],[End_Date]]),"Review - response outside campaign dates","")</f>
        <v/>
      </c>
      <c r="AD818" t="str">
        <f>IF(Table8[[#This Row],[Campaign_Type]]="","Review - campaign code not found","")</f>
        <v/>
      </c>
    </row>
    <row r="819" spans="1:30" x14ac:dyDescent="0.25">
      <c r="A819" t="s">
        <v>4694</v>
      </c>
      <c r="B819" t="s">
        <v>2011</v>
      </c>
      <c r="C819" t="s">
        <v>3341</v>
      </c>
      <c r="D819" t="s">
        <v>3342</v>
      </c>
      <c r="E819" t="s">
        <v>4</v>
      </c>
      <c r="F819" s="17">
        <v>45692</v>
      </c>
      <c r="G819">
        <v>11.7</v>
      </c>
      <c r="H819" t="s">
        <v>37</v>
      </c>
      <c r="I819" t="s">
        <v>3365</v>
      </c>
      <c r="J819" t="str">
        <f>_xlfn.XLOOKUP(Table8[[#This Row],[Supporter_ID]],tb1_supporters[Supporter_ID ],tb1_supporters[Segment],"")</f>
        <v>Regular Giver</v>
      </c>
      <c r="K819" t="str">
        <f>_xlfn.XLOOKUP(Table8[[#This Row],[Supporter_ID]],tb1_supporters[Supporter_ID ],tb1_supporters[Acquisition_Source],"")</f>
        <v>Door-To-Door</v>
      </c>
      <c r="L819" t="str">
        <f>_xlfn.XLOOKUP(Table8[[#This Row],[Supporter_ID]],tb1_supporters[Supporter_ID ],tb1_supporters[County],"")</f>
        <v>South Glamorgan</v>
      </c>
      <c r="M819" t="str">
        <f>_xlfn.XLOOKUP(Table8[[#This Row],[Supporter_ID]],tb1_supporters[Supporter_ID ],tb1_supporters[Gender],"")</f>
        <v>Female</v>
      </c>
      <c r="N819">
        <f ca="1">_xlfn.XLOOKUP(Table8[[#This Row],[Supporter_ID]],tb1_supporters[Supporter_ID ],tb1_supporters[Age],"")</f>
        <v>23</v>
      </c>
      <c r="O819" t="str">
        <f ca="1">_xlfn.XLOOKUP(Table8[[#This Row],[Supporter_ID]],tb1_supporters[Supporter_ID ],tb1_supporters[Age_Band],"")</f>
        <v>18-34</v>
      </c>
      <c r="P819" t="str">
        <f ca="1">IF(Table8[[#This Row],[Age_Band]]="","Unknown",Table8[[#This Row],[Age_Band]])</f>
        <v>18-34</v>
      </c>
      <c r="Q819" t="str">
        <f>_xlfn.XLOOKUP(Table8[[#This Row],[Supporter_ID]],tb1_supporters[Supporter_ID ],tb1_supporters[Communication_Preference],"")</f>
        <v>Email</v>
      </c>
      <c r="R819" t="str">
        <f>_xlfn.XLOOKUP(Table8[[#This Row],[Supporter_ID]],tb1_supporters[Supporter_ID ],tb1_supporters[Duplicate_Profile_Flag],"")</f>
        <v/>
      </c>
      <c r="S819" t="str">
        <f>_xlfn.XLOOKUP(Table8[[#This Row],[Supporter_ID]],tb1_supporters[Supporter_ID ],tb1_supporters[Preference_Compliance_Flag],"")</f>
        <v/>
      </c>
      <c r="T819" t="str">
        <f ca="1">IF(Table8[[#This Row],[Age]]="","Review - missing DOB",IF(Table8[[#This Row],[Age]]&gt;TODAY(),"Review - future DOB",IF(Table8[[#This Row],[Age]]=0,"Review -  potential entry error (age 0)","")))</f>
        <v/>
      </c>
      <c r="U819" t="str">
        <f>_xlfn.XLOOKUP(Table8[[#This Row],[Campaign_Code]],tb3_CampaignMaster[Campaign_Code],tb3_CampaignMaster[Campaign_Type],"")</f>
        <v>Acquisition</v>
      </c>
      <c r="V819" t="str">
        <f>_xlfn.XLOOKUP(Table8[[#This Row],[Campaign_Code]],tb3_CampaignMaster[Campaign_Code],tb3_CampaignMaster[Target_Audience],"")</f>
        <v>Prospects</v>
      </c>
      <c r="W819" s="17">
        <f>_xlfn.XLOOKUP(Table8[[#This Row],[Campaign_Code]],tb3_CampaignMaster[Campaign_Code],tb3_CampaignMaster[Start_Date],"")</f>
        <v>45689</v>
      </c>
      <c r="X819" s="17">
        <f>_xlfn.XLOOKUP(Table8[[#This Row],[Campaign_Code]],tb3_CampaignMaster[Campaign_Code],tb3_CampaignMaster[End_Date],"")</f>
        <v>45777</v>
      </c>
      <c r="Y819">
        <f>_xlfn.XLOOKUP(Table8[[#This Row],[Campaign_Code]],tb3_CampaignMaster[Campaign_Code],tb3_CampaignMaster[Budget_GBP],"")</f>
        <v>20000</v>
      </c>
      <c r="Z819" t="str">
        <f>_xlfn.XLOOKUP(Table8[[#This Row],[Campaign_Code]],tb3_CampaignMaster[Campaign_Code],tb3_CampaignMaster[Primary_Channel],"")</f>
        <v>Digital</v>
      </c>
      <c r="AA819" s="13">
        <f>IF(Table8[[#This Row],[Gift_Aid_Eligible]]="Yes",Table8[[#This Row],[Gift_Amount]]*1.25,Table8[[#This Row],[Gift_Amount]])</f>
        <v>11.7</v>
      </c>
      <c r="AB819" t="str">
        <f>IF(Table8[[#This Row],[Supporter_ID]]="","Review - missing supporter ID","")</f>
        <v/>
      </c>
      <c r="AC819" t="str">
        <f>IF(OR(Table8[[#This Row],[Response_Date]]&lt;Table8[[#This Row],[Start_Date]],Table8[[#This Row],[Response_Date]]&gt;Table8[[#This Row],[End_Date]]),"Review - response outside campaign dates","")</f>
        <v/>
      </c>
      <c r="AD819" t="str">
        <f>IF(Table8[[#This Row],[Campaign_Type]]="","Review - campaign code not found","")</f>
        <v/>
      </c>
    </row>
    <row r="820" spans="1:30" x14ac:dyDescent="0.25">
      <c r="A820" t="s">
        <v>4695</v>
      </c>
      <c r="B820" t="s">
        <v>2680</v>
      </c>
      <c r="C820" t="s">
        <v>3314</v>
      </c>
      <c r="D820" t="s">
        <v>3315</v>
      </c>
      <c r="E820" t="s">
        <v>3316</v>
      </c>
      <c r="F820" s="17">
        <v>45745</v>
      </c>
      <c r="G820">
        <v>455</v>
      </c>
      <c r="H820" t="s">
        <v>36</v>
      </c>
      <c r="I820" t="s">
        <v>3385</v>
      </c>
      <c r="J820" t="str">
        <f>_xlfn.XLOOKUP(Table8[[#This Row],[Supporter_ID]],tb1_supporters[Supporter_ID ],tb1_supporters[Segment],"")</f>
        <v>Legacy Pledger</v>
      </c>
      <c r="K820" t="str">
        <f>_xlfn.XLOOKUP(Table8[[#This Row],[Supporter_ID]],tb1_supporters[Supporter_ID ],tb1_supporters[Acquisition_Source],"")</f>
        <v>Telephone</v>
      </c>
      <c r="L820" t="str">
        <f>_xlfn.XLOOKUP(Table8[[#This Row],[Supporter_ID]],tb1_supporters[Supporter_ID ],tb1_supporters[County],"")</f>
        <v>Devon</v>
      </c>
      <c r="M820" t="str">
        <f>_xlfn.XLOOKUP(Table8[[#This Row],[Supporter_ID]],tb1_supporters[Supporter_ID ],tb1_supporters[Gender],"")</f>
        <v>Male</v>
      </c>
      <c r="N820">
        <f ca="1">_xlfn.XLOOKUP(Table8[[#This Row],[Supporter_ID]],tb1_supporters[Supporter_ID ],tb1_supporters[Age],"")</f>
        <v>24</v>
      </c>
      <c r="O820" t="str">
        <f ca="1">_xlfn.XLOOKUP(Table8[[#This Row],[Supporter_ID]],tb1_supporters[Supporter_ID ],tb1_supporters[Age_Band],"")</f>
        <v>18-34</v>
      </c>
      <c r="P820" t="str">
        <f ca="1">IF(Table8[[#This Row],[Age_Band]]="","Unknown",Table8[[#This Row],[Age_Band]])</f>
        <v>18-34</v>
      </c>
      <c r="Q820" t="str">
        <f>_xlfn.XLOOKUP(Table8[[#This Row],[Supporter_ID]],tb1_supporters[Supporter_ID ],tb1_supporters[Communication_Preference],"")</f>
        <v>Post</v>
      </c>
      <c r="R820" t="str">
        <f>_xlfn.XLOOKUP(Table8[[#This Row],[Supporter_ID]],tb1_supporters[Supporter_ID ],tb1_supporters[Duplicate_Profile_Flag],"")</f>
        <v/>
      </c>
      <c r="S820" t="str">
        <f>_xlfn.XLOOKUP(Table8[[#This Row],[Supporter_ID]],tb1_supporters[Supporter_ID ],tb1_supporters[Preference_Compliance_Flag],"")</f>
        <v/>
      </c>
      <c r="T820" t="str">
        <f ca="1">IF(Table8[[#This Row],[Age]]="","Review - missing DOB",IF(Table8[[#This Row],[Age]]&gt;TODAY(),"Review - future DOB",IF(Table8[[#This Row],[Age]]=0,"Review -  potential entry error (age 0)","")))</f>
        <v/>
      </c>
      <c r="U820" t="str">
        <f>_xlfn.XLOOKUP(Table8[[#This Row],[Campaign_Code]],tb3_CampaignMaster[Campaign_Code],tb3_CampaignMaster[Campaign_Type],"")</f>
        <v>Regular Giving</v>
      </c>
      <c r="V820" t="str">
        <f>_xlfn.XLOOKUP(Table8[[#This Row],[Campaign_Code]],tb3_CampaignMaster[Campaign_Code],tb3_CampaignMaster[Target_Audience],"")</f>
        <v>One-time Donors</v>
      </c>
      <c r="W820" s="17">
        <f>_xlfn.XLOOKUP(Table8[[#This Row],[Campaign_Code]],tb3_CampaignMaster[Campaign_Code],tb3_CampaignMaster[Start_Date],"")</f>
        <v>45663</v>
      </c>
      <c r="X820" s="17">
        <f>_xlfn.XLOOKUP(Table8[[#This Row],[Campaign_Code]],tb3_CampaignMaster[Campaign_Code],tb3_CampaignMaster[End_Date],"")</f>
        <v>45747</v>
      </c>
      <c r="Y820">
        <f>_xlfn.XLOOKUP(Table8[[#This Row],[Campaign_Code]],tb3_CampaignMaster[Campaign_Code],tb3_CampaignMaster[Budget_GBP],"")</f>
        <v>10000</v>
      </c>
      <c r="Z820" t="str">
        <f>_xlfn.XLOOKUP(Table8[[#This Row],[Campaign_Code]],tb3_CampaignMaster[Campaign_Code],tb3_CampaignMaster[Primary_Channel],"")</f>
        <v>Telephone</v>
      </c>
      <c r="AA820" s="13">
        <f>IF(Table8[[#This Row],[Gift_Aid_Eligible]]="Yes",Table8[[#This Row],[Gift_Amount]]*1.25,Table8[[#This Row],[Gift_Amount]])</f>
        <v>568.75</v>
      </c>
      <c r="AB820" t="str">
        <f>IF(Table8[[#This Row],[Supporter_ID]]="","Review - missing supporter ID","")</f>
        <v/>
      </c>
      <c r="AC820" t="str">
        <f>IF(OR(Table8[[#This Row],[Response_Date]]&lt;Table8[[#This Row],[Start_Date]],Table8[[#This Row],[Response_Date]]&gt;Table8[[#This Row],[End_Date]]),"Review - response outside campaign dates","")</f>
        <v/>
      </c>
      <c r="AD820" t="str">
        <f>IF(Table8[[#This Row],[Campaign_Type]]="","Review - campaign code not found","")</f>
        <v/>
      </c>
    </row>
    <row r="821" spans="1:30" x14ac:dyDescent="0.25">
      <c r="A821" t="s">
        <v>4696</v>
      </c>
      <c r="B821" t="s">
        <v>1452</v>
      </c>
      <c r="C821" t="s">
        <v>3427</v>
      </c>
      <c r="D821" t="s">
        <v>3428</v>
      </c>
      <c r="E821" t="s">
        <v>4</v>
      </c>
      <c r="F821" s="17">
        <v>45488</v>
      </c>
      <c r="G821">
        <v>60.26</v>
      </c>
      <c r="H821" t="s">
        <v>36</v>
      </c>
      <c r="I821" t="s">
        <v>3331</v>
      </c>
      <c r="J821" t="str">
        <f>_xlfn.XLOOKUP(Table8[[#This Row],[Supporter_ID]],tb1_supporters[Supporter_ID ],tb1_supporters[Segment],"")</f>
        <v>Mid-Value</v>
      </c>
      <c r="K821" t="str">
        <f>_xlfn.XLOOKUP(Table8[[#This Row],[Supporter_ID]],tb1_supporters[Supporter_ID ],tb1_supporters[Acquisition_Source],"")</f>
        <v>Corporate Partner</v>
      </c>
      <c r="L821" t="str">
        <f>_xlfn.XLOOKUP(Table8[[#This Row],[Supporter_ID]],tb1_supporters[Supporter_ID ],tb1_supporters[County],"")</f>
        <v>Oxfordshire</v>
      </c>
      <c r="M821" t="str">
        <f>_xlfn.XLOOKUP(Table8[[#This Row],[Supporter_ID]],tb1_supporters[Supporter_ID ],tb1_supporters[Gender],"")</f>
        <v>Male</v>
      </c>
      <c r="N821" t="str">
        <f ca="1">_xlfn.XLOOKUP(Table8[[#This Row],[Supporter_ID]],tb1_supporters[Supporter_ID ],tb1_supporters[Age],"")</f>
        <v/>
      </c>
      <c r="O821" t="str">
        <f ca="1">_xlfn.XLOOKUP(Table8[[#This Row],[Supporter_ID]],tb1_supporters[Supporter_ID ],tb1_supporters[Age_Band],"")</f>
        <v/>
      </c>
      <c r="P821" t="str">
        <f ca="1">IF(Table8[[#This Row],[Age_Band]]="","Unknown",Table8[[#This Row],[Age_Band]])</f>
        <v>Unknown</v>
      </c>
      <c r="Q821" t="str">
        <f>_xlfn.XLOOKUP(Table8[[#This Row],[Supporter_ID]],tb1_supporters[Supporter_ID ],tb1_supporters[Communication_Preference],"")</f>
        <v>Email</v>
      </c>
      <c r="R821" t="str">
        <f>_xlfn.XLOOKUP(Table8[[#This Row],[Supporter_ID]],tb1_supporters[Supporter_ID ],tb1_supporters[Duplicate_Profile_Flag],"")</f>
        <v/>
      </c>
      <c r="S821" t="str">
        <f>_xlfn.XLOOKUP(Table8[[#This Row],[Supporter_ID]],tb1_supporters[Supporter_ID ],tb1_supporters[Preference_Compliance_Flag],"")</f>
        <v/>
      </c>
      <c r="T821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821" t="str">
        <f>_xlfn.XLOOKUP(Table8[[#This Row],[Campaign_Code]],tb3_CampaignMaster[Campaign_Code],tb3_CampaignMaster[Campaign_Type],"")</f>
        <v>Event</v>
      </c>
      <c r="V821" t="str">
        <f>_xlfn.XLOOKUP(Table8[[#This Row],[Campaign_Code]],tb3_CampaignMaster[Campaign_Code],tb3_CampaignMaster[Target_Audience],"")</f>
        <v>Major Donors</v>
      </c>
      <c r="W821" s="17">
        <f>_xlfn.XLOOKUP(Table8[[#This Row],[Campaign_Code]],tb3_CampaignMaster[Campaign_Code],tb3_CampaignMaster[Start_Date],"")</f>
        <v>45488</v>
      </c>
      <c r="X821" s="17">
        <f>_xlfn.XLOOKUP(Table8[[#This Row],[Campaign_Code]],tb3_CampaignMaster[Campaign_Code],tb3_CampaignMaster[End_Date],"")</f>
        <v>45488</v>
      </c>
      <c r="Y821">
        <f>_xlfn.XLOOKUP(Table8[[#This Row],[Campaign_Code]],tb3_CampaignMaster[Campaign_Code],tb3_CampaignMaster[Budget_GBP],"")</f>
        <v>45000</v>
      </c>
      <c r="Z821" t="str">
        <f>_xlfn.XLOOKUP(Table8[[#This Row],[Campaign_Code]],tb3_CampaignMaster[Campaign_Code],tb3_CampaignMaster[Primary_Channel],"")</f>
        <v>Direct Mail</v>
      </c>
      <c r="AA821" s="13">
        <f>IF(Table8[[#This Row],[Gift_Aid_Eligible]]="Yes",Table8[[#This Row],[Gift_Amount]]*1.25,Table8[[#This Row],[Gift_Amount]])</f>
        <v>75.325000000000003</v>
      </c>
      <c r="AB821" t="str">
        <f>IF(Table8[[#This Row],[Supporter_ID]]="","Review - missing supporter ID","")</f>
        <v/>
      </c>
      <c r="AC821" t="str">
        <f>IF(OR(Table8[[#This Row],[Response_Date]]&lt;Table8[[#This Row],[Start_Date]],Table8[[#This Row],[Response_Date]]&gt;Table8[[#This Row],[End_Date]]),"Review - response outside campaign dates","")</f>
        <v/>
      </c>
      <c r="AD821" t="str">
        <f>IF(Table8[[#This Row],[Campaign_Type]]="","Review - campaign code not found","")</f>
        <v/>
      </c>
    </row>
    <row r="822" spans="1:30" x14ac:dyDescent="0.25">
      <c r="A822" t="s">
        <v>4697</v>
      </c>
      <c r="B822" t="s">
        <v>2970</v>
      </c>
      <c r="C822" t="s">
        <v>3403</v>
      </c>
      <c r="D822" t="s">
        <v>3404</v>
      </c>
      <c r="E822" t="s">
        <v>3316</v>
      </c>
      <c r="F822" s="17">
        <v>45627</v>
      </c>
      <c r="G822">
        <v>13.02</v>
      </c>
      <c r="H822" t="s">
        <v>36</v>
      </c>
      <c r="I822" t="s">
        <v>3370</v>
      </c>
      <c r="J822" t="str">
        <f>_xlfn.XLOOKUP(Table8[[#This Row],[Supporter_ID]],tb1_supporters[Supporter_ID ],tb1_supporters[Segment],"")</f>
        <v>Regular Giver</v>
      </c>
      <c r="K822" t="str">
        <f>_xlfn.XLOOKUP(Table8[[#This Row],[Supporter_ID]],tb1_supporters[Supporter_ID ],tb1_supporters[Acquisition_Source],"")</f>
        <v>Website</v>
      </c>
      <c r="L822" t="str">
        <f>_xlfn.XLOOKUP(Table8[[#This Row],[Supporter_ID]],tb1_supporters[Supporter_ID ],tb1_supporters[County],"")</f>
        <v>South Yorkshire</v>
      </c>
      <c r="M822" t="str">
        <f>_xlfn.XLOOKUP(Table8[[#This Row],[Supporter_ID]],tb1_supporters[Supporter_ID ],tb1_supporters[Gender],"")</f>
        <v>Female</v>
      </c>
      <c r="N822">
        <f ca="1">_xlfn.XLOOKUP(Table8[[#This Row],[Supporter_ID]],tb1_supporters[Supporter_ID ],tb1_supporters[Age],"")</f>
        <v>71</v>
      </c>
      <c r="O822" t="str">
        <f ca="1">_xlfn.XLOOKUP(Table8[[#This Row],[Supporter_ID]],tb1_supporters[Supporter_ID ],tb1_supporters[Age_Band],"")</f>
        <v>65+</v>
      </c>
      <c r="P822" t="str">
        <f ca="1">IF(Table8[[#This Row],[Age_Band]]="","Unknown",Table8[[#This Row],[Age_Band]])</f>
        <v>65+</v>
      </c>
      <c r="Q822" t="str">
        <f>_xlfn.XLOOKUP(Table8[[#This Row],[Supporter_ID]],tb1_supporters[Supporter_ID ],tb1_supporters[Communication_Preference],"")</f>
        <v>Email</v>
      </c>
      <c r="R822" t="str">
        <f>_xlfn.XLOOKUP(Table8[[#This Row],[Supporter_ID]],tb1_supporters[Supporter_ID ],tb1_supporters[Duplicate_Profile_Flag],"")</f>
        <v/>
      </c>
      <c r="S822" t="str">
        <f>_xlfn.XLOOKUP(Table8[[#This Row],[Supporter_ID]],tb1_supporters[Supporter_ID ],tb1_supporters[Preference_Compliance_Flag],"")</f>
        <v/>
      </c>
      <c r="T822" t="str">
        <f ca="1">IF(Table8[[#This Row],[Age]]="","Review - missing DOB",IF(Table8[[#This Row],[Age]]&gt;TODAY(),"Review - future DOB",IF(Table8[[#This Row],[Age]]=0,"Review -  potential entry error (age 0)","")))</f>
        <v/>
      </c>
      <c r="U822" t="str">
        <f>_xlfn.XLOOKUP(Table8[[#This Row],[Campaign_Code]],tb3_CampaignMaster[Campaign_Code],tb3_CampaignMaster[Campaign_Type],"")</f>
        <v>Trading</v>
      </c>
      <c r="V822" t="str">
        <f>_xlfn.XLOOKUP(Table8[[#This Row],[Campaign_Code]],tb3_CampaignMaster[Campaign_Code],tb3_CampaignMaster[Target_Audience],"")</f>
        <v>All Active</v>
      </c>
      <c r="W822" s="17">
        <f>_xlfn.XLOOKUP(Table8[[#This Row],[Campaign_Code]],tb3_CampaignMaster[Campaign_Code],tb3_CampaignMaster[Start_Date],"")</f>
        <v>45580</v>
      </c>
      <c r="X822" s="17">
        <f>_xlfn.XLOOKUP(Table8[[#This Row],[Campaign_Code]],tb3_CampaignMaster[Campaign_Code],tb3_CampaignMaster[End_Date],"")</f>
        <v>45646</v>
      </c>
      <c r="Y822">
        <f>_xlfn.XLOOKUP(Table8[[#This Row],[Campaign_Code]],tb3_CampaignMaster[Campaign_Code],tb3_CampaignMaster[Budget_GBP],"")</f>
        <v>12000</v>
      </c>
      <c r="Z822" t="str">
        <f>_xlfn.XLOOKUP(Table8[[#This Row],[Campaign_Code]],tb3_CampaignMaster[Campaign_Code],tb3_CampaignMaster[Primary_Channel],"")</f>
        <v>Multi-channel</v>
      </c>
      <c r="AA822" s="13">
        <f>IF(Table8[[#This Row],[Gift_Aid_Eligible]]="Yes",Table8[[#This Row],[Gift_Amount]]*1.25,Table8[[#This Row],[Gift_Amount]])</f>
        <v>16.274999999999999</v>
      </c>
      <c r="AB822" t="str">
        <f>IF(Table8[[#This Row],[Supporter_ID]]="","Review - missing supporter ID","")</f>
        <v/>
      </c>
      <c r="AC822" t="str">
        <f>IF(OR(Table8[[#This Row],[Response_Date]]&lt;Table8[[#This Row],[Start_Date]],Table8[[#This Row],[Response_Date]]&gt;Table8[[#This Row],[End_Date]]),"Review - response outside campaign dates","")</f>
        <v/>
      </c>
      <c r="AD822" t="str">
        <f>IF(Table8[[#This Row],[Campaign_Type]]="","Review - campaign code not found","")</f>
        <v/>
      </c>
    </row>
    <row r="823" spans="1:30" x14ac:dyDescent="0.25">
      <c r="A823" t="s">
        <v>4699</v>
      </c>
      <c r="B823" t="s">
        <v>2006</v>
      </c>
      <c r="C823" t="s">
        <v>3427</v>
      </c>
      <c r="D823" t="s">
        <v>3428</v>
      </c>
      <c r="E823" t="s">
        <v>4</v>
      </c>
      <c r="F823" s="17">
        <v>45488</v>
      </c>
      <c r="G823">
        <v>271.95999999999998</v>
      </c>
      <c r="H823" t="s">
        <v>36</v>
      </c>
      <c r="I823" t="s">
        <v>3385</v>
      </c>
      <c r="J823" t="str">
        <f>_xlfn.XLOOKUP(Table8[[#This Row],[Supporter_ID]],tb1_supporters[Supporter_ID ],tb1_supporters[Segment],"")</f>
        <v>Legacy Pledger</v>
      </c>
      <c r="K823" t="str">
        <f>_xlfn.XLOOKUP(Table8[[#This Row],[Supporter_ID]],tb1_supporters[Supporter_ID ],tb1_supporters[Acquisition_Source],"")</f>
        <v>Corporate Partner</v>
      </c>
      <c r="L823" t="str">
        <f>_xlfn.XLOOKUP(Table8[[#This Row],[Supporter_ID]],tb1_supporters[Supporter_ID ],tb1_supporters[County],"")</f>
        <v>Kent</v>
      </c>
      <c r="M823" t="str">
        <f>_xlfn.XLOOKUP(Table8[[#This Row],[Supporter_ID]],tb1_supporters[Supporter_ID ],tb1_supporters[Gender],"")</f>
        <v>Female</v>
      </c>
      <c r="N823">
        <f ca="1">_xlfn.XLOOKUP(Table8[[#This Row],[Supporter_ID]],tb1_supporters[Supporter_ID ],tb1_supporters[Age],"")</f>
        <v>51</v>
      </c>
      <c r="O823" t="str">
        <f ca="1">_xlfn.XLOOKUP(Table8[[#This Row],[Supporter_ID]],tb1_supporters[Supporter_ID ],tb1_supporters[Age_Band],"")</f>
        <v>50-64</v>
      </c>
      <c r="P823" t="str">
        <f ca="1">IF(Table8[[#This Row],[Age_Band]]="","Unknown",Table8[[#This Row],[Age_Band]])</f>
        <v>50-64</v>
      </c>
      <c r="Q823" t="str">
        <f>_xlfn.XLOOKUP(Table8[[#This Row],[Supporter_ID]],tb1_supporters[Supporter_ID ],tb1_supporters[Communication_Preference],"")</f>
        <v>Email</v>
      </c>
      <c r="R823" t="str">
        <f>_xlfn.XLOOKUP(Table8[[#This Row],[Supporter_ID]],tb1_supporters[Supporter_ID ],tb1_supporters[Duplicate_Profile_Flag],"")</f>
        <v/>
      </c>
      <c r="S823" t="str">
        <f>_xlfn.XLOOKUP(Table8[[#This Row],[Supporter_ID]],tb1_supporters[Supporter_ID ],tb1_supporters[Preference_Compliance_Flag],"")</f>
        <v/>
      </c>
      <c r="T823" t="str">
        <f ca="1">IF(Table8[[#This Row],[Age]]="","Review - missing DOB",IF(Table8[[#This Row],[Age]]&gt;TODAY(),"Review - future DOB",IF(Table8[[#This Row],[Age]]=0,"Review -  potential entry error (age 0)","")))</f>
        <v/>
      </c>
      <c r="U823" t="str">
        <f>_xlfn.XLOOKUP(Table8[[#This Row],[Campaign_Code]],tb3_CampaignMaster[Campaign_Code],tb3_CampaignMaster[Campaign_Type],"")</f>
        <v>Event</v>
      </c>
      <c r="V823" t="str">
        <f>_xlfn.XLOOKUP(Table8[[#This Row],[Campaign_Code]],tb3_CampaignMaster[Campaign_Code],tb3_CampaignMaster[Target_Audience],"")</f>
        <v>Major Donors</v>
      </c>
      <c r="W823" s="17">
        <f>_xlfn.XLOOKUP(Table8[[#This Row],[Campaign_Code]],tb3_CampaignMaster[Campaign_Code],tb3_CampaignMaster[Start_Date],"")</f>
        <v>45488</v>
      </c>
      <c r="X823" s="17">
        <f>_xlfn.XLOOKUP(Table8[[#This Row],[Campaign_Code]],tb3_CampaignMaster[Campaign_Code],tb3_CampaignMaster[End_Date],"")</f>
        <v>45488</v>
      </c>
      <c r="Y823">
        <f>_xlfn.XLOOKUP(Table8[[#This Row],[Campaign_Code]],tb3_CampaignMaster[Campaign_Code],tb3_CampaignMaster[Budget_GBP],"")</f>
        <v>45000</v>
      </c>
      <c r="Z823" t="str">
        <f>_xlfn.XLOOKUP(Table8[[#This Row],[Campaign_Code]],tb3_CampaignMaster[Campaign_Code],tb3_CampaignMaster[Primary_Channel],"")</f>
        <v>Direct Mail</v>
      </c>
      <c r="AA823" s="13">
        <f>IF(Table8[[#This Row],[Gift_Aid_Eligible]]="Yes",Table8[[#This Row],[Gift_Amount]]*1.25,Table8[[#This Row],[Gift_Amount]])</f>
        <v>339.95</v>
      </c>
      <c r="AB823" t="str">
        <f>IF(Table8[[#This Row],[Supporter_ID]]="","Review - missing supporter ID","")</f>
        <v/>
      </c>
      <c r="AC823" t="str">
        <f>IF(OR(Table8[[#This Row],[Response_Date]]&lt;Table8[[#This Row],[Start_Date]],Table8[[#This Row],[Response_Date]]&gt;Table8[[#This Row],[End_Date]]),"Review - response outside campaign dates","")</f>
        <v/>
      </c>
      <c r="AD823" t="str">
        <f>IF(Table8[[#This Row],[Campaign_Type]]="","Review - campaign code not found","")</f>
        <v/>
      </c>
    </row>
    <row r="824" spans="1:30" x14ac:dyDescent="0.25">
      <c r="A824" t="s">
        <v>4700</v>
      </c>
      <c r="B824" t="s">
        <v>1135</v>
      </c>
      <c r="C824" t="s">
        <v>3403</v>
      </c>
      <c r="D824" t="s">
        <v>3404</v>
      </c>
      <c r="E824" t="s">
        <v>3316</v>
      </c>
      <c r="F824" s="17">
        <v>45607</v>
      </c>
      <c r="G824">
        <v>118.28</v>
      </c>
      <c r="H824" t="s">
        <v>36</v>
      </c>
      <c r="I824" t="s">
        <v>3318</v>
      </c>
      <c r="J824" t="str">
        <f>_xlfn.XLOOKUP(Table8[[#This Row],[Supporter_ID]],tb1_supporters[Supporter_ID ],tb1_supporters[Segment],"")</f>
        <v>One-Time Donor</v>
      </c>
      <c r="K824" t="str">
        <f>_xlfn.XLOOKUP(Table8[[#This Row],[Supporter_ID]],tb1_supporters[Supporter_ID ],tb1_supporters[Acquisition_Source],"")</f>
        <v>Social Media</v>
      </c>
      <c r="L824" t="str">
        <f>_xlfn.XLOOKUP(Table8[[#This Row],[Supporter_ID]],tb1_supporters[Supporter_ID ],tb1_supporters[County],"")</f>
        <v>Norfolk</v>
      </c>
      <c r="M824" t="str">
        <f>_xlfn.XLOOKUP(Table8[[#This Row],[Supporter_ID]],tb1_supporters[Supporter_ID ],tb1_supporters[Gender],"")</f>
        <v>Male</v>
      </c>
      <c r="N824">
        <f ca="1">_xlfn.XLOOKUP(Table8[[#This Row],[Supporter_ID]],tb1_supporters[Supporter_ID ],tb1_supporters[Age],"")</f>
        <v>61</v>
      </c>
      <c r="O824" t="str">
        <f ca="1">_xlfn.XLOOKUP(Table8[[#This Row],[Supporter_ID]],tb1_supporters[Supporter_ID ],tb1_supporters[Age_Band],"")</f>
        <v>50-64</v>
      </c>
      <c r="P824" t="str">
        <f ca="1">IF(Table8[[#This Row],[Age_Band]]="","Unknown",Table8[[#This Row],[Age_Band]])</f>
        <v>50-64</v>
      </c>
      <c r="Q824" t="str">
        <f>_xlfn.XLOOKUP(Table8[[#This Row],[Supporter_ID]],tb1_supporters[Supporter_ID ],tb1_supporters[Communication_Preference],"")</f>
        <v>Email</v>
      </c>
      <c r="R824" t="str">
        <f>_xlfn.XLOOKUP(Table8[[#This Row],[Supporter_ID]],tb1_supporters[Supporter_ID ],tb1_supporters[Duplicate_Profile_Flag],"")</f>
        <v/>
      </c>
      <c r="S824" t="str">
        <f>_xlfn.XLOOKUP(Table8[[#This Row],[Supporter_ID]],tb1_supporters[Supporter_ID ],tb1_supporters[Preference_Compliance_Flag],"")</f>
        <v/>
      </c>
      <c r="T824" t="str">
        <f ca="1">IF(Table8[[#This Row],[Age]]="","Review - missing DOB",IF(Table8[[#This Row],[Age]]&gt;TODAY(),"Review - future DOB",IF(Table8[[#This Row],[Age]]=0,"Review -  potential entry error (age 0)","")))</f>
        <v/>
      </c>
      <c r="U824" t="str">
        <f>_xlfn.XLOOKUP(Table8[[#This Row],[Campaign_Code]],tb3_CampaignMaster[Campaign_Code],tb3_CampaignMaster[Campaign_Type],"")</f>
        <v>Trading</v>
      </c>
      <c r="V824" t="str">
        <f>_xlfn.XLOOKUP(Table8[[#This Row],[Campaign_Code]],tb3_CampaignMaster[Campaign_Code],tb3_CampaignMaster[Target_Audience],"")</f>
        <v>All Active</v>
      </c>
      <c r="W824" s="17">
        <f>_xlfn.XLOOKUP(Table8[[#This Row],[Campaign_Code]],tb3_CampaignMaster[Campaign_Code],tb3_CampaignMaster[Start_Date],"")</f>
        <v>45580</v>
      </c>
      <c r="X824" s="17">
        <f>_xlfn.XLOOKUP(Table8[[#This Row],[Campaign_Code]],tb3_CampaignMaster[Campaign_Code],tb3_CampaignMaster[End_Date],"")</f>
        <v>45646</v>
      </c>
      <c r="Y824">
        <f>_xlfn.XLOOKUP(Table8[[#This Row],[Campaign_Code]],tb3_CampaignMaster[Campaign_Code],tb3_CampaignMaster[Budget_GBP],"")</f>
        <v>12000</v>
      </c>
      <c r="Z824" t="str">
        <f>_xlfn.XLOOKUP(Table8[[#This Row],[Campaign_Code]],tb3_CampaignMaster[Campaign_Code],tb3_CampaignMaster[Primary_Channel],"")</f>
        <v>Multi-channel</v>
      </c>
      <c r="AA824" s="13">
        <f>IF(Table8[[#This Row],[Gift_Aid_Eligible]]="Yes",Table8[[#This Row],[Gift_Amount]]*1.25,Table8[[#This Row],[Gift_Amount]])</f>
        <v>147.85</v>
      </c>
      <c r="AB824" t="str">
        <f>IF(Table8[[#This Row],[Supporter_ID]]="","Review - missing supporter ID","")</f>
        <v/>
      </c>
      <c r="AC824" t="str">
        <f>IF(OR(Table8[[#This Row],[Response_Date]]&lt;Table8[[#This Row],[Start_Date]],Table8[[#This Row],[Response_Date]]&gt;Table8[[#This Row],[End_Date]]),"Review - response outside campaign dates","")</f>
        <v/>
      </c>
      <c r="AD824" t="str">
        <f>IF(Table8[[#This Row],[Campaign_Type]]="","Review - campaign code not found","")</f>
        <v/>
      </c>
    </row>
    <row r="825" spans="1:30" x14ac:dyDescent="0.25">
      <c r="A825" t="s">
        <v>4702</v>
      </c>
      <c r="B825" t="s">
        <v>2650</v>
      </c>
      <c r="C825" t="s">
        <v>3325</v>
      </c>
      <c r="D825" t="s">
        <v>3326</v>
      </c>
      <c r="E825" t="s">
        <v>3316</v>
      </c>
      <c r="F825" s="17">
        <v>46349</v>
      </c>
      <c r="G825">
        <v>121.36</v>
      </c>
      <c r="H825" t="s">
        <v>37</v>
      </c>
      <c r="I825" t="s">
        <v>3318</v>
      </c>
      <c r="J825" t="str">
        <f>_xlfn.XLOOKUP(Table8[[#This Row],[Supporter_ID]],tb1_supporters[Supporter_ID ],tb1_supporters[Segment],"")</f>
        <v>One-Time Donor</v>
      </c>
      <c r="K825" t="str">
        <f>_xlfn.XLOOKUP(Table8[[#This Row],[Supporter_ID]],tb1_supporters[Supporter_ID ],tb1_supporters[Acquisition_Source],"")</f>
        <v>Referral</v>
      </c>
      <c r="L825" t="str">
        <f>_xlfn.XLOOKUP(Table8[[#This Row],[Supporter_ID]],tb1_supporters[Supporter_ID ],tb1_supporters[County],"")</f>
        <v>Grampian</v>
      </c>
      <c r="M825" t="str">
        <f>_xlfn.XLOOKUP(Table8[[#This Row],[Supporter_ID]],tb1_supporters[Supporter_ID ],tb1_supporters[Gender],"")</f>
        <v>Female</v>
      </c>
      <c r="N825">
        <f ca="1">_xlfn.XLOOKUP(Table8[[#This Row],[Supporter_ID]],tb1_supporters[Supporter_ID ],tb1_supporters[Age],"")</f>
        <v>34</v>
      </c>
      <c r="O825" t="str">
        <f ca="1">_xlfn.XLOOKUP(Table8[[#This Row],[Supporter_ID]],tb1_supporters[Supporter_ID ],tb1_supporters[Age_Band],"")</f>
        <v>18-34</v>
      </c>
      <c r="P825" t="str">
        <f ca="1">IF(Table8[[#This Row],[Age_Band]]="","Unknown",Table8[[#This Row],[Age_Band]])</f>
        <v>18-34</v>
      </c>
      <c r="Q825" t="str">
        <f>_xlfn.XLOOKUP(Table8[[#This Row],[Supporter_ID]],tb1_supporters[Supporter_ID ],tb1_supporters[Communication_Preference],"")</f>
        <v>Post</v>
      </c>
      <c r="R825" t="str">
        <f>_xlfn.XLOOKUP(Table8[[#This Row],[Supporter_ID]],tb1_supporters[Supporter_ID ],tb1_supporters[Duplicate_Profile_Flag],"")</f>
        <v/>
      </c>
      <c r="S825" t="str">
        <f>_xlfn.XLOOKUP(Table8[[#This Row],[Supporter_ID]],tb1_supporters[Supporter_ID ],tb1_supporters[Preference_Compliance_Flag],"")</f>
        <v>Review - prefers post but not opted in</v>
      </c>
      <c r="T825" t="str">
        <f ca="1">IF(Table8[[#This Row],[Age]]="","Review - missing DOB",IF(Table8[[#This Row],[Age]]&gt;TODAY(),"Review - future DOB",IF(Table8[[#This Row],[Age]]=0,"Review -  potential entry error (age 0)","")))</f>
        <v/>
      </c>
      <c r="U825" t="str">
        <f>_xlfn.XLOOKUP(Table8[[#This Row],[Campaign_Code]],tb3_CampaignMaster[Campaign_Code],tb3_CampaignMaster[Campaign_Type],"")</f>
        <v>Appeal</v>
      </c>
      <c r="V825" t="str">
        <f>_xlfn.XLOOKUP(Table8[[#This Row],[Campaign_Code]],tb3_CampaignMaster[Campaign_Code],tb3_CampaignMaster[Target_Audience],"")</f>
        <v>All Active</v>
      </c>
      <c r="W825" s="17">
        <f>_xlfn.XLOOKUP(Table8[[#This Row],[Campaign_Code]],tb3_CampaignMaster[Campaign_Code],tb3_CampaignMaster[Start_Date],"")</f>
        <v>45597</v>
      </c>
      <c r="X825" s="17">
        <f>_xlfn.XLOOKUP(Table8[[#This Row],[Campaign_Code]],tb3_CampaignMaster[Campaign_Code],tb3_CampaignMaster[End_Date],"")</f>
        <v>45657</v>
      </c>
      <c r="Y825">
        <f>_xlfn.XLOOKUP(Table8[[#This Row],[Campaign_Code]],tb3_CampaignMaster[Campaign_Code],tb3_CampaignMaster[Budget_GBP],"")</f>
        <v>25000</v>
      </c>
      <c r="Z825" t="str">
        <f>_xlfn.XLOOKUP(Table8[[#This Row],[Campaign_Code]],tb3_CampaignMaster[Campaign_Code],tb3_CampaignMaster[Primary_Channel],"")</f>
        <v>Multi-channel</v>
      </c>
      <c r="AA825" s="13">
        <f>IF(Table8[[#This Row],[Gift_Aid_Eligible]]="Yes",Table8[[#This Row],[Gift_Amount]]*1.25,Table8[[#This Row],[Gift_Amount]])</f>
        <v>121.36</v>
      </c>
      <c r="AB825" t="str">
        <f>IF(Table8[[#This Row],[Supporter_ID]]="","Review - missing supporter ID","")</f>
        <v/>
      </c>
      <c r="AC825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825" t="str">
        <f>IF(Table8[[#This Row],[Campaign_Type]]="","Review - campaign code not found","")</f>
        <v/>
      </c>
    </row>
    <row r="826" spans="1:30" x14ac:dyDescent="0.25">
      <c r="A826" t="s">
        <v>4704</v>
      </c>
      <c r="B826" t="s">
        <v>1744</v>
      </c>
      <c r="C826" t="s">
        <v>3341</v>
      </c>
      <c r="D826" t="s">
        <v>3342</v>
      </c>
      <c r="E826" t="s">
        <v>91</v>
      </c>
      <c r="F826" s="17">
        <v>45722</v>
      </c>
      <c r="G826">
        <v>27.49</v>
      </c>
      <c r="H826" t="s">
        <v>36</v>
      </c>
      <c r="I826" t="s">
        <v>3328</v>
      </c>
      <c r="J826" t="str">
        <f>_xlfn.XLOOKUP(Table8[[#This Row],[Supporter_ID]],tb1_supporters[Supporter_ID ],tb1_supporters[Segment],"")</f>
        <v>Regular Giver</v>
      </c>
      <c r="K826" t="str">
        <f>_xlfn.XLOOKUP(Table8[[#This Row],[Supporter_ID]],tb1_supporters[Supporter_ID ],tb1_supporters[Acquisition_Source],"")</f>
        <v>Referral</v>
      </c>
      <c r="L826" t="str">
        <f>_xlfn.XLOOKUP(Table8[[#This Row],[Supporter_ID]],tb1_supporters[Supporter_ID ],tb1_supporters[County],"")</f>
        <v>Hampshire</v>
      </c>
      <c r="M826" t="str">
        <f>_xlfn.XLOOKUP(Table8[[#This Row],[Supporter_ID]],tb1_supporters[Supporter_ID ],tb1_supporters[Gender],"")</f>
        <v>Male</v>
      </c>
      <c r="N826" t="str">
        <f ca="1">_xlfn.XLOOKUP(Table8[[#This Row],[Supporter_ID]],tb1_supporters[Supporter_ID ],tb1_supporters[Age],"")</f>
        <v/>
      </c>
      <c r="O826" t="str">
        <f ca="1">_xlfn.XLOOKUP(Table8[[#This Row],[Supporter_ID]],tb1_supporters[Supporter_ID ],tb1_supporters[Age_Band],"")</f>
        <v/>
      </c>
      <c r="P826" t="str">
        <f ca="1">IF(Table8[[#This Row],[Age_Band]]="","Unknown",Table8[[#This Row],[Age_Band]])</f>
        <v>Unknown</v>
      </c>
      <c r="Q826" t="str">
        <f>_xlfn.XLOOKUP(Table8[[#This Row],[Supporter_ID]],tb1_supporters[Supporter_ID ],tb1_supporters[Communication_Preference],"")</f>
        <v>Email</v>
      </c>
      <c r="R826" t="str">
        <f>_xlfn.XLOOKUP(Table8[[#This Row],[Supporter_ID]],tb1_supporters[Supporter_ID ],tb1_supporters[Duplicate_Profile_Flag],"")</f>
        <v/>
      </c>
      <c r="S826" t="str">
        <f>_xlfn.XLOOKUP(Table8[[#This Row],[Supporter_ID]],tb1_supporters[Supporter_ID ],tb1_supporters[Preference_Compliance_Flag],"")</f>
        <v/>
      </c>
      <c r="T826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826" t="str">
        <f>_xlfn.XLOOKUP(Table8[[#This Row],[Campaign_Code]],tb3_CampaignMaster[Campaign_Code],tb3_CampaignMaster[Campaign_Type],"")</f>
        <v>Acquisition</v>
      </c>
      <c r="V826" t="str">
        <f>_xlfn.XLOOKUP(Table8[[#This Row],[Campaign_Code]],tb3_CampaignMaster[Campaign_Code],tb3_CampaignMaster[Target_Audience],"")</f>
        <v>Prospects</v>
      </c>
      <c r="W826" s="17">
        <f>_xlfn.XLOOKUP(Table8[[#This Row],[Campaign_Code]],tb3_CampaignMaster[Campaign_Code],tb3_CampaignMaster[Start_Date],"")</f>
        <v>45689</v>
      </c>
      <c r="X826" s="17">
        <f>_xlfn.XLOOKUP(Table8[[#This Row],[Campaign_Code]],tb3_CampaignMaster[Campaign_Code],tb3_CampaignMaster[End_Date],"")</f>
        <v>45777</v>
      </c>
      <c r="Y826">
        <f>_xlfn.XLOOKUP(Table8[[#This Row],[Campaign_Code]],tb3_CampaignMaster[Campaign_Code],tb3_CampaignMaster[Budget_GBP],"")</f>
        <v>20000</v>
      </c>
      <c r="Z826" t="str">
        <f>_xlfn.XLOOKUP(Table8[[#This Row],[Campaign_Code]],tb3_CampaignMaster[Campaign_Code],tb3_CampaignMaster[Primary_Channel],"")</f>
        <v>Digital</v>
      </c>
      <c r="AA826" s="13">
        <f>IF(Table8[[#This Row],[Gift_Aid_Eligible]]="Yes",Table8[[#This Row],[Gift_Amount]]*1.25,Table8[[#This Row],[Gift_Amount]])</f>
        <v>34.362499999999997</v>
      </c>
      <c r="AB826" t="str">
        <f>IF(Table8[[#This Row],[Supporter_ID]]="","Review - missing supporter ID","")</f>
        <v/>
      </c>
      <c r="AC826" t="str">
        <f>IF(OR(Table8[[#This Row],[Response_Date]]&lt;Table8[[#This Row],[Start_Date]],Table8[[#This Row],[Response_Date]]&gt;Table8[[#This Row],[End_Date]]),"Review - response outside campaign dates","")</f>
        <v/>
      </c>
      <c r="AD826" t="str">
        <f>IF(Table8[[#This Row],[Campaign_Type]]="","Review - campaign code not found","")</f>
        <v/>
      </c>
    </row>
    <row r="827" spans="1:30" x14ac:dyDescent="0.25">
      <c r="A827" t="s">
        <v>4706</v>
      </c>
      <c r="B827" t="s">
        <v>2393</v>
      </c>
      <c r="C827" t="s">
        <v>3320</v>
      </c>
      <c r="D827" t="s">
        <v>3321</v>
      </c>
      <c r="E827" t="s">
        <v>65</v>
      </c>
      <c r="F827" s="17">
        <v>45459</v>
      </c>
      <c r="G827">
        <v>87.43</v>
      </c>
      <c r="H827" t="s">
        <v>36</v>
      </c>
      <c r="I827" t="s">
        <v>3328</v>
      </c>
      <c r="J827" t="str">
        <f>_xlfn.XLOOKUP(Table8[[#This Row],[Supporter_ID]],tb1_supporters[Supporter_ID ],tb1_supporters[Segment],"")</f>
        <v>Lapsed</v>
      </c>
      <c r="K827" t="str">
        <f>_xlfn.XLOOKUP(Table8[[#This Row],[Supporter_ID]],tb1_supporters[Supporter_ID ],tb1_supporters[Acquisition_Source],"")</f>
        <v>Corporate Partner</v>
      </c>
      <c r="L827" t="str">
        <f>_xlfn.XLOOKUP(Table8[[#This Row],[Supporter_ID]],tb1_supporters[Supporter_ID ],tb1_supporters[County],"")</f>
        <v>Dorset</v>
      </c>
      <c r="M827" t="str">
        <f>_xlfn.XLOOKUP(Table8[[#This Row],[Supporter_ID]],tb1_supporters[Supporter_ID ],tb1_supporters[Gender],"")</f>
        <v>Female</v>
      </c>
      <c r="N827">
        <f ca="1">_xlfn.XLOOKUP(Table8[[#This Row],[Supporter_ID]],tb1_supporters[Supporter_ID ],tb1_supporters[Age],"")</f>
        <v>76</v>
      </c>
      <c r="O827" t="str">
        <f ca="1">_xlfn.XLOOKUP(Table8[[#This Row],[Supporter_ID]],tb1_supporters[Supporter_ID ],tb1_supporters[Age_Band],"")</f>
        <v>65+</v>
      </c>
      <c r="P827" t="str">
        <f ca="1">IF(Table8[[#This Row],[Age_Band]]="","Unknown",Table8[[#This Row],[Age_Band]])</f>
        <v>65+</v>
      </c>
      <c r="Q827" t="str">
        <f>_xlfn.XLOOKUP(Table8[[#This Row],[Supporter_ID]],tb1_supporters[Supporter_ID ],tb1_supporters[Communication_Preference],"")</f>
        <v>Email</v>
      </c>
      <c r="R827" t="str">
        <f>_xlfn.XLOOKUP(Table8[[#This Row],[Supporter_ID]],tb1_supporters[Supporter_ID ],tb1_supporters[Duplicate_Profile_Flag],"")</f>
        <v/>
      </c>
      <c r="S827" t="str">
        <f>_xlfn.XLOOKUP(Table8[[#This Row],[Supporter_ID]],tb1_supporters[Supporter_ID ],tb1_supporters[Preference_Compliance_Flag],"")</f>
        <v/>
      </c>
      <c r="T827" t="str">
        <f ca="1">IF(Table8[[#This Row],[Age]]="","Review - missing DOB",IF(Table8[[#This Row],[Age]]&gt;TODAY(),"Review - future DOB",IF(Table8[[#This Row],[Age]]=0,"Review -  potential entry error (age 0)","")))</f>
        <v/>
      </c>
      <c r="U827" t="str">
        <f>_xlfn.XLOOKUP(Table8[[#This Row],[Campaign_Code]],tb3_CampaignMaster[Campaign_Code],tb3_CampaignMaster[Campaign_Type],"")</f>
        <v>Stewardship</v>
      </c>
      <c r="V827" t="str">
        <f>_xlfn.XLOOKUP(Table8[[#This Row],[Campaign_Code]],tb3_CampaignMaster[Campaign_Code],tb3_CampaignMaster[Target_Audience],"")</f>
        <v>Major Donors</v>
      </c>
      <c r="W827" s="17">
        <f>_xlfn.XLOOKUP(Table8[[#This Row],[Campaign_Code]],tb3_CampaignMaster[Campaign_Code],tb3_CampaignMaster[Start_Date],"")</f>
        <v>45444</v>
      </c>
      <c r="X827" s="17">
        <f>_xlfn.XLOOKUP(Table8[[#This Row],[Campaign_Code]],tb3_CampaignMaster[Campaign_Code],tb3_CampaignMaster[End_Date],"")</f>
        <v>45473</v>
      </c>
      <c r="Y827">
        <f>_xlfn.XLOOKUP(Table8[[#This Row],[Campaign_Code]],tb3_CampaignMaster[Campaign_Code],tb3_CampaignMaster[Budget_GBP],"")</f>
        <v>7000</v>
      </c>
      <c r="Z827" t="str">
        <f>_xlfn.XLOOKUP(Table8[[#This Row],[Campaign_Code]],tb3_CampaignMaster[Campaign_Code],tb3_CampaignMaster[Primary_Channel],"")</f>
        <v>Direct Mail</v>
      </c>
      <c r="AA827" s="13">
        <f>IF(Table8[[#This Row],[Gift_Aid_Eligible]]="Yes",Table8[[#This Row],[Gift_Amount]]*1.25,Table8[[#This Row],[Gift_Amount]])</f>
        <v>109.28750000000001</v>
      </c>
      <c r="AB827" t="str">
        <f>IF(Table8[[#This Row],[Supporter_ID]]="","Review - missing supporter ID","")</f>
        <v/>
      </c>
      <c r="AC827" t="str">
        <f>IF(OR(Table8[[#This Row],[Response_Date]]&lt;Table8[[#This Row],[Start_Date]],Table8[[#This Row],[Response_Date]]&gt;Table8[[#This Row],[End_Date]]),"Review - response outside campaign dates","")</f>
        <v/>
      </c>
      <c r="AD827" t="str">
        <f>IF(Table8[[#This Row],[Campaign_Type]]="","Review - campaign code not found","")</f>
        <v/>
      </c>
    </row>
    <row r="828" spans="1:30" x14ac:dyDescent="0.25">
      <c r="A828" t="s">
        <v>4707</v>
      </c>
      <c r="B828" t="s">
        <v>94</v>
      </c>
      <c r="C828" t="s">
        <v>3341</v>
      </c>
      <c r="D828" t="s">
        <v>3342</v>
      </c>
      <c r="E828" t="s">
        <v>4</v>
      </c>
      <c r="F828" s="17">
        <v>45709</v>
      </c>
      <c r="G828">
        <v>13.58</v>
      </c>
      <c r="H828" t="s">
        <v>36</v>
      </c>
      <c r="I828" t="s">
        <v>3328</v>
      </c>
      <c r="J828" t="str">
        <f>_xlfn.XLOOKUP(Table8[[#This Row],[Supporter_ID]],tb1_supporters[Supporter_ID ],tb1_supporters[Segment],"")</f>
        <v>Prospect</v>
      </c>
      <c r="K828" t="str">
        <f>_xlfn.XLOOKUP(Table8[[#This Row],[Supporter_ID]],tb1_supporters[Supporter_ID ],tb1_supporters[Acquisition_Source],"")</f>
        <v>Social Media</v>
      </c>
      <c r="L828" t="str">
        <f>_xlfn.XLOOKUP(Table8[[#This Row],[Supporter_ID]],tb1_supporters[Supporter_ID ],tb1_supporters[County],"")</f>
        <v>Tyne and Wear</v>
      </c>
      <c r="M828" t="str">
        <f>_xlfn.XLOOKUP(Table8[[#This Row],[Supporter_ID]],tb1_supporters[Supporter_ID ],tb1_supporters[Gender],"")</f>
        <v>Female</v>
      </c>
      <c r="N828">
        <f ca="1">_xlfn.XLOOKUP(Table8[[#This Row],[Supporter_ID]],tb1_supporters[Supporter_ID ],tb1_supporters[Age],"")</f>
        <v>61</v>
      </c>
      <c r="O828" t="str">
        <f ca="1">_xlfn.XLOOKUP(Table8[[#This Row],[Supporter_ID]],tb1_supporters[Supporter_ID ],tb1_supporters[Age_Band],"")</f>
        <v>50-64</v>
      </c>
      <c r="P828" t="str">
        <f ca="1">IF(Table8[[#This Row],[Age_Band]]="","Unknown",Table8[[#This Row],[Age_Band]])</f>
        <v>50-64</v>
      </c>
      <c r="Q828" t="str">
        <f>_xlfn.XLOOKUP(Table8[[#This Row],[Supporter_ID]],tb1_supporters[Supporter_ID ],tb1_supporters[Communication_Preference],"")</f>
        <v>Do Not Contact</v>
      </c>
      <c r="R828" t="str">
        <f>_xlfn.XLOOKUP(Table8[[#This Row],[Supporter_ID]],tb1_supporters[Supporter_ID ],tb1_supporters[Duplicate_Profile_Flag],"")</f>
        <v/>
      </c>
      <c r="S828" t="str">
        <f>_xlfn.XLOOKUP(Table8[[#This Row],[Supporter_ID]],tb1_supporters[Supporter_ID ],tb1_supporters[Preference_Compliance_Flag],"")</f>
        <v/>
      </c>
      <c r="T828" t="str">
        <f ca="1">IF(Table8[[#This Row],[Age]]="","Review - missing DOB",IF(Table8[[#This Row],[Age]]&gt;TODAY(),"Review - future DOB",IF(Table8[[#This Row],[Age]]=0,"Review -  potential entry error (age 0)","")))</f>
        <v/>
      </c>
      <c r="U828" t="str">
        <f>_xlfn.XLOOKUP(Table8[[#This Row],[Campaign_Code]],tb3_CampaignMaster[Campaign_Code],tb3_CampaignMaster[Campaign_Type],"")</f>
        <v>Acquisition</v>
      </c>
      <c r="V828" t="str">
        <f>_xlfn.XLOOKUP(Table8[[#This Row],[Campaign_Code]],tb3_CampaignMaster[Campaign_Code],tb3_CampaignMaster[Target_Audience],"")</f>
        <v>Prospects</v>
      </c>
      <c r="W828" s="17">
        <f>_xlfn.XLOOKUP(Table8[[#This Row],[Campaign_Code]],tb3_CampaignMaster[Campaign_Code],tb3_CampaignMaster[Start_Date],"")</f>
        <v>45689</v>
      </c>
      <c r="X828" s="17">
        <f>_xlfn.XLOOKUP(Table8[[#This Row],[Campaign_Code]],tb3_CampaignMaster[Campaign_Code],tb3_CampaignMaster[End_Date],"")</f>
        <v>45777</v>
      </c>
      <c r="Y828">
        <f>_xlfn.XLOOKUP(Table8[[#This Row],[Campaign_Code]],tb3_CampaignMaster[Campaign_Code],tb3_CampaignMaster[Budget_GBP],"")</f>
        <v>20000</v>
      </c>
      <c r="Z828" t="str">
        <f>_xlfn.XLOOKUP(Table8[[#This Row],[Campaign_Code]],tb3_CampaignMaster[Campaign_Code],tb3_CampaignMaster[Primary_Channel],"")</f>
        <v>Digital</v>
      </c>
      <c r="AA828" s="13">
        <f>IF(Table8[[#This Row],[Gift_Aid_Eligible]]="Yes",Table8[[#This Row],[Gift_Amount]]*1.25,Table8[[#This Row],[Gift_Amount]])</f>
        <v>16.975000000000001</v>
      </c>
      <c r="AB828" t="str">
        <f>IF(Table8[[#This Row],[Supporter_ID]]="","Review - missing supporter ID","")</f>
        <v/>
      </c>
      <c r="AC828" t="str">
        <f>IF(OR(Table8[[#This Row],[Response_Date]]&lt;Table8[[#This Row],[Start_Date]],Table8[[#This Row],[Response_Date]]&gt;Table8[[#This Row],[End_Date]]),"Review - response outside campaign dates","")</f>
        <v/>
      </c>
      <c r="AD828" t="str">
        <f>IF(Table8[[#This Row],[Campaign_Type]]="","Review - campaign code not found","")</f>
        <v/>
      </c>
    </row>
    <row r="829" spans="1:30" x14ac:dyDescent="0.25">
      <c r="A829" t="s">
        <v>4709</v>
      </c>
      <c r="B829" t="s">
        <v>68</v>
      </c>
      <c r="C829" t="s">
        <v>3320</v>
      </c>
      <c r="D829" t="s">
        <v>3321</v>
      </c>
      <c r="E829" t="s">
        <v>65</v>
      </c>
      <c r="F829" s="17">
        <v>45456</v>
      </c>
      <c r="G829">
        <v>53.88</v>
      </c>
      <c r="H829" t="s">
        <v>36</v>
      </c>
      <c r="I829" t="s">
        <v>3385</v>
      </c>
      <c r="J829" t="str">
        <f>_xlfn.XLOOKUP(Table8[[#This Row],[Supporter_ID]],tb1_supporters[Supporter_ID ],tb1_supporters[Segment],"")</f>
        <v>One-Time Donor</v>
      </c>
      <c r="K829" t="str">
        <f>_xlfn.XLOOKUP(Table8[[#This Row],[Supporter_ID]],tb1_supporters[Supporter_ID ],tb1_supporters[Acquisition_Source],"")</f>
        <v>Telephone</v>
      </c>
      <c r="L829" t="str">
        <f>_xlfn.XLOOKUP(Table8[[#This Row],[Supporter_ID]],tb1_supporters[Supporter_ID ],tb1_supporters[County],"")</f>
        <v>Merseyside</v>
      </c>
      <c r="M829" t="str">
        <f>_xlfn.XLOOKUP(Table8[[#This Row],[Supporter_ID]],tb1_supporters[Supporter_ID ],tb1_supporters[Gender],"")</f>
        <v>Male</v>
      </c>
      <c r="N829">
        <f ca="1">_xlfn.XLOOKUP(Table8[[#This Row],[Supporter_ID]],tb1_supporters[Supporter_ID ],tb1_supporters[Age],"")</f>
        <v>86</v>
      </c>
      <c r="O829" t="str">
        <f ca="1">_xlfn.XLOOKUP(Table8[[#This Row],[Supporter_ID]],tb1_supporters[Supporter_ID ],tb1_supporters[Age_Band],"")</f>
        <v>65+</v>
      </c>
      <c r="P829" t="str">
        <f ca="1">IF(Table8[[#This Row],[Age_Band]]="","Unknown",Table8[[#This Row],[Age_Band]])</f>
        <v>65+</v>
      </c>
      <c r="Q829" t="str">
        <f>_xlfn.XLOOKUP(Table8[[#This Row],[Supporter_ID]],tb1_supporters[Supporter_ID ],tb1_supporters[Communication_Preference],"")</f>
        <v>No Preference</v>
      </c>
      <c r="R829" t="str">
        <f>_xlfn.XLOOKUP(Table8[[#This Row],[Supporter_ID]],tb1_supporters[Supporter_ID ],tb1_supporters[Duplicate_Profile_Flag],"")</f>
        <v/>
      </c>
      <c r="S829" t="str">
        <f>_xlfn.XLOOKUP(Table8[[#This Row],[Supporter_ID]],tb1_supporters[Supporter_ID ],tb1_supporters[Preference_Compliance_Flag],"")</f>
        <v/>
      </c>
      <c r="T829" t="str">
        <f ca="1">IF(Table8[[#This Row],[Age]]="","Review - missing DOB",IF(Table8[[#This Row],[Age]]&gt;TODAY(),"Review - future DOB",IF(Table8[[#This Row],[Age]]=0,"Review -  potential entry error (age 0)","")))</f>
        <v/>
      </c>
      <c r="U829" t="str">
        <f>_xlfn.XLOOKUP(Table8[[#This Row],[Campaign_Code]],tb3_CampaignMaster[Campaign_Code],tb3_CampaignMaster[Campaign_Type],"")</f>
        <v>Stewardship</v>
      </c>
      <c r="V829" t="str">
        <f>_xlfn.XLOOKUP(Table8[[#This Row],[Campaign_Code]],tb3_CampaignMaster[Campaign_Code],tb3_CampaignMaster[Target_Audience],"")</f>
        <v>Major Donors</v>
      </c>
      <c r="W829" s="17">
        <f>_xlfn.XLOOKUP(Table8[[#This Row],[Campaign_Code]],tb3_CampaignMaster[Campaign_Code],tb3_CampaignMaster[Start_Date],"")</f>
        <v>45444</v>
      </c>
      <c r="X829" s="17">
        <f>_xlfn.XLOOKUP(Table8[[#This Row],[Campaign_Code]],tb3_CampaignMaster[Campaign_Code],tb3_CampaignMaster[End_Date],"")</f>
        <v>45473</v>
      </c>
      <c r="Y829">
        <f>_xlfn.XLOOKUP(Table8[[#This Row],[Campaign_Code]],tb3_CampaignMaster[Campaign_Code],tb3_CampaignMaster[Budget_GBP],"")</f>
        <v>7000</v>
      </c>
      <c r="Z829" t="str">
        <f>_xlfn.XLOOKUP(Table8[[#This Row],[Campaign_Code]],tb3_CampaignMaster[Campaign_Code],tb3_CampaignMaster[Primary_Channel],"")</f>
        <v>Direct Mail</v>
      </c>
      <c r="AA829" s="13">
        <f>IF(Table8[[#This Row],[Gift_Aid_Eligible]]="Yes",Table8[[#This Row],[Gift_Amount]]*1.25,Table8[[#This Row],[Gift_Amount]])</f>
        <v>67.350000000000009</v>
      </c>
      <c r="AB829" t="str">
        <f>IF(Table8[[#This Row],[Supporter_ID]]="","Review - missing supporter ID","")</f>
        <v/>
      </c>
      <c r="AC829" t="str">
        <f>IF(OR(Table8[[#This Row],[Response_Date]]&lt;Table8[[#This Row],[Start_Date]],Table8[[#This Row],[Response_Date]]&gt;Table8[[#This Row],[End_Date]]),"Review - response outside campaign dates","")</f>
        <v/>
      </c>
      <c r="AD829" t="str">
        <f>IF(Table8[[#This Row],[Campaign_Type]]="","Review - campaign code not found","")</f>
        <v/>
      </c>
    </row>
    <row r="830" spans="1:30" x14ac:dyDescent="0.25">
      <c r="A830" t="s">
        <v>4711</v>
      </c>
      <c r="B830" t="s">
        <v>1749</v>
      </c>
      <c r="C830" t="s">
        <v>3354</v>
      </c>
      <c r="D830" t="s">
        <v>3355</v>
      </c>
      <c r="E830" t="s">
        <v>4</v>
      </c>
      <c r="F830" s="17">
        <v>45618</v>
      </c>
      <c r="G830">
        <v>136.05000000000001</v>
      </c>
      <c r="H830" t="s">
        <v>37</v>
      </c>
      <c r="I830" t="s">
        <v>3328</v>
      </c>
      <c r="J830" t="str">
        <f>_xlfn.XLOOKUP(Table8[[#This Row],[Supporter_ID]],tb1_supporters[Supporter_ID ],tb1_supporters[Segment],"")</f>
        <v>One-Time Donor</v>
      </c>
      <c r="K830" t="str">
        <f>_xlfn.XLOOKUP(Table8[[#This Row],[Supporter_ID]],tb1_supporters[Supporter_ID ],tb1_supporters[Acquisition_Source],"")</f>
        <v>Social Media</v>
      </c>
      <c r="L830" t="str">
        <f>_xlfn.XLOOKUP(Table8[[#This Row],[Supporter_ID]],tb1_supporters[Supporter_ID ],tb1_supporters[County],"")</f>
        <v>Bedfordshire</v>
      </c>
      <c r="M830" t="str">
        <f>_xlfn.XLOOKUP(Table8[[#This Row],[Supporter_ID]],tb1_supporters[Supporter_ID ],tb1_supporters[Gender],"")</f>
        <v>Female</v>
      </c>
      <c r="N830">
        <f ca="1">_xlfn.XLOOKUP(Table8[[#This Row],[Supporter_ID]],tb1_supporters[Supporter_ID ],tb1_supporters[Age],"")</f>
        <v>58</v>
      </c>
      <c r="O830" t="str">
        <f ca="1">_xlfn.XLOOKUP(Table8[[#This Row],[Supporter_ID]],tb1_supporters[Supporter_ID ],tb1_supporters[Age_Band],"")</f>
        <v>50-64</v>
      </c>
      <c r="P830" t="str">
        <f ca="1">IF(Table8[[#This Row],[Age_Band]]="","Unknown",Table8[[#This Row],[Age_Band]])</f>
        <v>50-64</v>
      </c>
      <c r="Q830" t="str">
        <f>_xlfn.XLOOKUP(Table8[[#This Row],[Supporter_ID]],tb1_supporters[Supporter_ID ],tb1_supporters[Communication_Preference],"")</f>
        <v>Email</v>
      </c>
      <c r="R830" t="str">
        <f>_xlfn.XLOOKUP(Table8[[#This Row],[Supporter_ID]],tb1_supporters[Supporter_ID ],tb1_supporters[Duplicate_Profile_Flag],"")</f>
        <v/>
      </c>
      <c r="S830" t="str">
        <f>_xlfn.XLOOKUP(Table8[[#This Row],[Supporter_ID]],tb1_supporters[Supporter_ID ],tb1_supporters[Preference_Compliance_Flag],"")</f>
        <v/>
      </c>
      <c r="T830" t="str">
        <f ca="1">IF(Table8[[#This Row],[Age]]="","Review - missing DOB",IF(Table8[[#This Row],[Age]]&gt;TODAY(),"Review - future DOB",IF(Table8[[#This Row],[Age]]=0,"Review -  potential entry error (age 0)","")))</f>
        <v/>
      </c>
      <c r="U830" t="str">
        <f>_xlfn.XLOOKUP(Table8[[#This Row],[Campaign_Code]],tb3_CampaignMaster[Campaign_Code],tb3_CampaignMaster[Campaign_Type],"")</f>
        <v>Event</v>
      </c>
      <c r="V830" t="str">
        <f>_xlfn.XLOOKUP(Table8[[#This Row],[Campaign_Code]],tb3_CampaignMaster[Campaign_Code],tb3_CampaignMaster[Target_Audience],"")</f>
        <v>Volunteers</v>
      </c>
      <c r="W830" s="17">
        <f>_xlfn.XLOOKUP(Table8[[#This Row],[Campaign_Code]],tb3_CampaignMaster[Campaign_Code],tb3_CampaignMaster[Start_Date],"")</f>
        <v>45618</v>
      </c>
      <c r="X830" s="17">
        <f>_xlfn.XLOOKUP(Table8[[#This Row],[Campaign_Code]],tb3_CampaignMaster[Campaign_Code],tb3_CampaignMaster[End_Date],"")</f>
        <v>45618</v>
      </c>
      <c r="Y830">
        <f>_xlfn.XLOOKUP(Table8[[#This Row],[Campaign_Code]],tb3_CampaignMaster[Campaign_Code],tb3_CampaignMaster[Budget_GBP],"")</f>
        <v>3500</v>
      </c>
      <c r="Z830" t="str">
        <f>_xlfn.XLOOKUP(Table8[[#This Row],[Campaign_Code]],tb3_CampaignMaster[Campaign_Code],tb3_CampaignMaster[Primary_Channel],"")</f>
        <v>Email</v>
      </c>
      <c r="AA830" s="13">
        <f>IF(Table8[[#This Row],[Gift_Aid_Eligible]]="Yes",Table8[[#This Row],[Gift_Amount]]*1.25,Table8[[#This Row],[Gift_Amount]])</f>
        <v>136.05000000000001</v>
      </c>
      <c r="AB830" t="str">
        <f>IF(Table8[[#This Row],[Supporter_ID]]="","Review - missing supporter ID","")</f>
        <v/>
      </c>
      <c r="AC830" t="str">
        <f>IF(OR(Table8[[#This Row],[Response_Date]]&lt;Table8[[#This Row],[Start_Date]],Table8[[#This Row],[Response_Date]]&gt;Table8[[#This Row],[End_Date]]),"Review - response outside campaign dates","")</f>
        <v/>
      </c>
      <c r="AD830" t="str">
        <f>IF(Table8[[#This Row],[Campaign_Type]]="","Review - campaign code not found","")</f>
        <v/>
      </c>
    </row>
    <row r="831" spans="1:30" x14ac:dyDescent="0.25">
      <c r="A831" t="s">
        <v>4712</v>
      </c>
      <c r="B831" t="s">
        <v>802</v>
      </c>
      <c r="C831" t="s">
        <v>3325</v>
      </c>
      <c r="D831" t="s">
        <v>3326</v>
      </c>
      <c r="E831" t="s">
        <v>4</v>
      </c>
      <c r="F831" s="17">
        <v>45642</v>
      </c>
      <c r="G831">
        <v>91.31</v>
      </c>
      <c r="H831" t="s">
        <v>36</v>
      </c>
      <c r="I831" t="s">
        <v>3334</v>
      </c>
      <c r="J831" t="str">
        <f>_xlfn.XLOOKUP(Table8[[#This Row],[Supporter_ID]],tb1_supporters[Supporter_ID ],tb1_supporters[Segment],"")</f>
        <v>Legacy Pledger</v>
      </c>
      <c r="K831" t="str">
        <f>_xlfn.XLOOKUP(Table8[[#This Row],[Supporter_ID]],tb1_supporters[Supporter_ID ],tb1_supporters[Acquisition_Source],"")</f>
        <v>Telephone</v>
      </c>
      <c r="L831" t="str">
        <f>_xlfn.XLOOKUP(Table8[[#This Row],[Supporter_ID]],tb1_supporters[Supporter_ID ],tb1_supporters[County],"")</f>
        <v>Leicestershire</v>
      </c>
      <c r="M831" t="str">
        <f>_xlfn.XLOOKUP(Table8[[#This Row],[Supporter_ID]],tb1_supporters[Supporter_ID ],tb1_supporters[Gender],"")</f>
        <v>Female</v>
      </c>
      <c r="N831">
        <f ca="1">_xlfn.XLOOKUP(Table8[[#This Row],[Supporter_ID]],tb1_supporters[Supporter_ID ],tb1_supporters[Age],"")</f>
        <v>40</v>
      </c>
      <c r="O831" t="str">
        <f ca="1">_xlfn.XLOOKUP(Table8[[#This Row],[Supporter_ID]],tb1_supporters[Supporter_ID ],tb1_supporters[Age_Band],"")</f>
        <v>35-49</v>
      </c>
      <c r="P831" t="str">
        <f ca="1">IF(Table8[[#This Row],[Age_Band]]="","Unknown",Table8[[#This Row],[Age_Band]])</f>
        <v>35-49</v>
      </c>
      <c r="Q831" t="str">
        <f>_xlfn.XLOOKUP(Table8[[#This Row],[Supporter_ID]],tb1_supporters[Supporter_ID ],tb1_supporters[Communication_Preference],"")</f>
        <v>No Preference</v>
      </c>
      <c r="R831" t="str">
        <f>_xlfn.XLOOKUP(Table8[[#This Row],[Supporter_ID]],tb1_supporters[Supporter_ID ],tb1_supporters[Duplicate_Profile_Flag],"")</f>
        <v/>
      </c>
      <c r="S831" t="str">
        <f>_xlfn.XLOOKUP(Table8[[#This Row],[Supporter_ID]],tb1_supporters[Supporter_ID ],tb1_supporters[Preference_Compliance_Flag],"")</f>
        <v/>
      </c>
      <c r="T831" t="str">
        <f ca="1">IF(Table8[[#This Row],[Age]]="","Review - missing DOB",IF(Table8[[#This Row],[Age]]&gt;TODAY(),"Review - future DOB",IF(Table8[[#This Row],[Age]]=0,"Review -  potential entry error (age 0)","")))</f>
        <v/>
      </c>
      <c r="U831" t="str">
        <f>_xlfn.XLOOKUP(Table8[[#This Row],[Campaign_Code]],tb3_CampaignMaster[Campaign_Code],tb3_CampaignMaster[Campaign_Type],"")</f>
        <v>Appeal</v>
      </c>
      <c r="V831" t="str">
        <f>_xlfn.XLOOKUP(Table8[[#This Row],[Campaign_Code]],tb3_CampaignMaster[Campaign_Code],tb3_CampaignMaster[Target_Audience],"")</f>
        <v>All Active</v>
      </c>
      <c r="W831" s="17">
        <f>_xlfn.XLOOKUP(Table8[[#This Row],[Campaign_Code]],tb3_CampaignMaster[Campaign_Code],tb3_CampaignMaster[Start_Date],"")</f>
        <v>45597</v>
      </c>
      <c r="X831" s="17">
        <f>_xlfn.XLOOKUP(Table8[[#This Row],[Campaign_Code]],tb3_CampaignMaster[Campaign_Code],tb3_CampaignMaster[End_Date],"")</f>
        <v>45657</v>
      </c>
      <c r="Y831">
        <f>_xlfn.XLOOKUP(Table8[[#This Row],[Campaign_Code]],tb3_CampaignMaster[Campaign_Code],tb3_CampaignMaster[Budget_GBP],"")</f>
        <v>25000</v>
      </c>
      <c r="Z831" t="str">
        <f>_xlfn.XLOOKUP(Table8[[#This Row],[Campaign_Code]],tb3_CampaignMaster[Campaign_Code],tb3_CampaignMaster[Primary_Channel],"")</f>
        <v>Multi-channel</v>
      </c>
      <c r="AA831" s="13">
        <f>IF(Table8[[#This Row],[Gift_Aid_Eligible]]="Yes",Table8[[#This Row],[Gift_Amount]]*1.25,Table8[[#This Row],[Gift_Amount]])</f>
        <v>114.1375</v>
      </c>
      <c r="AB831" t="str">
        <f>IF(Table8[[#This Row],[Supporter_ID]]="","Review - missing supporter ID","")</f>
        <v/>
      </c>
      <c r="AC831" t="str">
        <f>IF(OR(Table8[[#This Row],[Response_Date]]&lt;Table8[[#This Row],[Start_Date]],Table8[[#This Row],[Response_Date]]&gt;Table8[[#This Row],[End_Date]]),"Review - response outside campaign dates","")</f>
        <v/>
      </c>
      <c r="AD831" t="str">
        <f>IF(Table8[[#This Row],[Campaign_Type]]="","Review - campaign code not found","")</f>
        <v/>
      </c>
    </row>
    <row r="832" spans="1:30" x14ac:dyDescent="0.25">
      <c r="A832" t="s">
        <v>4714</v>
      </c>
      <c r="B832" t="s">
        <v>2338</v>
      </c>
      <c r="C832" t="s">
        <v>3362</v>
      </c>
      <c r="D832" t="s">
        <v>3363</v>
      </c>
      <c r="E832" t="s">
        <v>65</v>
      </c>
      <c r="F832" s="17">
        <v>45577</v>
      </c>
      <c r="G832">
        <v>19.760000000000002</v>
      </c>
      <c r="H832" t="s">
        <v>36</v>
      </c>
      <c r="I832" t="s">
        <v>3385</v>
      </c>
      <c r="J832" t="str">
        <f>_xlfn.XLOOKUP(Table8[[#This Row],[Supporter_ID]],tb1_supporters[Supporter_ID ],tb1_supporters[Segment],"")</f>
        <v>Regular Giver</v>
      </c>
      <c r="K832" t="str">
        <f>_xlfn.XLOOKUP(Table8[[#This Row],[Supporter_ID]],tb1_supporters[Supporter_ID ],tb1_supporters[Acquisition_Source],"")</f>
        <v>Referral</v>
      </c>
      <c r="L832" t="str">
        <f>_xlfn.XLOOKUP(Table8[[#This Row],[Supporter_ID]],tb1_supporters[Supporter_ID ],tb1_supporters[County],"")</f>
        <v>Tyne and Wear</v>
      </c>
      <c r="M832" t="str">
        <f>_xlfn.XLOOKUP(Table8[[#This Row],[Supporter_ID]],tb1_supporters[Supporter_ID ],tb1_supporters[Gender],"")</f>
        <v>Female</v>
      </c>
      <c r="N832">
        <f ca="1">_xlfn.XLOOKUP(Table8[[#This Row],[Supporter_ID]],tb1_supporters[Supporter_ID ],tb1_supporters[Age],"")</f>
        <v>59</v>
      </c>
      <c r="O832" t="str">
        <f ca="1">_xlfn.XLOOKUP(Table8[[#This Row],[Supporter_ID]],tb1_supporters[Supporter_ID ],tb1_supporters[Age_Band],"")</f>
        <v>50-64</v>
      </c>
      <c r="P832" t="str">
        <f ca="1">IF(Table8[[#This Row],[Age_Band]]="","Unknown",Table8[[#This Row],[Age_Band]])</f>
        <v>50-64</v>
      </c>
      <c r="Q832" t="str">
        <f>_xlfn.XLOOKUP(Table8[[#This Row],[Supporter_ID]],tb1_supporters[Supporter_ID ],tb1_supporters[Communication_Preference],"")</f>
        <v>Post</v>
      </c>
      <c r="R832" t="str">
        <f>_xlfn.XLOOKUP(Table8[[#This Row],[Supporter_ID]],tb1_supporters[Supporter_ID ],tb1_supporters[Duplicate_Profile_Flag],"")</f>
        <v/>
      </c>
      <c r="S832" t="str">
        <f>_xlfn.XLOOKUP(Table8[[#This Row],[Supporter_ID]],tb1_supporters[Supporter_ID ],tb1_supporters[Preference_Compliance_Flag],"")</f>
        <v/>
      </c>
      <c r="T832" t="str">
        <f ca="1">IF(Table8[[#This Row],[Age]]="","Review - missing DOB",IF(Table8[[#This Row],[Age]]&gt;TODAY(),"Review - future DOB",IF(Table8[[#This Row],[Age]]=0,"Review -  potential entry error (age 0)","")))</f>
        <v/>
      </c>
      <c r="U832" t="str">
        <f>_xlfn.XLOOKUP(Table8[[#This Row],[Campaign_Code]],tb3_CampaignMaster[Campaign_Code],tb3_CampaignMaster[Campaign_Type],"")</f>
        <v>Legacy</v>
      </c>
      <c r="V832" t="str">
        <f>_xlfn.XLOOKUP(Table8[[#This Row],[Campaign_Code]],tb3_CampaignMaster[Campaign_Code],tb3_CampaignMaster[Target_Audience],"")</f>
        <v>Over 55s</v>
      </c>
      <c r="W832" s="17">
        <f>_xlfn.XLOOKUP(Table8[[#This Row],[Campaign_Code]],tb3_CampaignMaster[Campaign_Code],tb3_CampaignMaster[Start_Date],"")</f>
        <v>45572</v>
      </c>
      <c r="X832" s="17">
        <f>_xlfn.XLOOKUP(Table8[[#This Row],[Campaign_Code]],tb3_CampaignMaster[Campaign_Code],tb3_CampaignMaster[End_Date],"")</f>
        <v>45578</v>
      </c>
      <c r="Y832">
        <f>_xlfn.XLOOKUP(Table8[[#This Row],[Campaign_Code]],tb3_CampaignMaster[Campaign_Code],tb3_CampaignMaster[Budget_GBP],"")</f>
        <v>5000</v>
      </c>
      <c r="Z832" t="str">
        <f>_xlfn.XLOOKUP(Table8[[#This Row],[Campaign_Code]],tb3_CampaignMaster[Campaign_Code],tb3_CampaignMaster[Primary_Channel],"")</f>
        <v>Direct Mail</v>
      </c>
      <c r="AA832" s="13">
        <f>IF(Table8[[#This Row],[Gift_Aid_Eligible]]="Yes",Table8[[#This Row],[Gift_Amount]]*1.25,Table8[[#This Row],[Gift_Amount]])</f>
        <v>24.700000000000003</v>
      </c>
      <c r="AB832" t="str">
        <f>IF(Table8[[#This Row],[Supporter_ID]]="","Review - missing supporter ID","")</f>
        <v/>
      </c>
      <c r="AC832" t="str">
        <f>IF(OR(Table8[[#This Row],[Response_Date]]&lt;Table8[[#This Row],[Start_Date]],Table8[[#This Row],[Response_Date]]&gt;Table8[[#This Row],[End_Date]]),"Review - response outside campaign dates","")</f>
        <v/>
      </c>
      <c r="AD832" t="str">
        <f>IF(Table8[[#This Row],[Campaign_Type]]="","Review - campaign code not found","")</f>
        <v/>
      </c>
    </row>
    <row r="833" spans="1:30" x14ac:dyDescent="0.25">
      <c r="A833" t="s">
        <v>4715</v>
      </c>
      <c r="B833" t="s">
        <v>2148</v>
      </c>
      <c r="C833" t="s">
        <v>3325</v>
      </c>
      <c r="D833" t="s">
        <v>3326</v>
      </c>
      <c r="E833" t="s">
        <v>65</v>
      </c>
      <c r="F833" s="17">
        <v>45599</v>
      </c>
      <c r="G833">
        <v>4033.35</v>
      </c>
      <c r="H833" t="s">
        <v>37</v>
      </c>
      <c r="I833" t="s">
        <v>3331</v>
      </c>
      <c r="J833" t="str">
        <f>_xlfn.XLOOKUP(Table8[[#This Row],[Supporter_ID]],tb1_supporters[Supporter_ID ],tb1_supporters[Segment],"")</f>
        <v>Major Donor</v>
      </c>
      <c r="K833" t="str">
        <f>_xlfn.XLOOKUP(Table8[[#This Row],[Supporter_ID]],tb1_supporters[Supporter_ID ],tb1_supporters[Acquisition_Source],"")</f>
        <v>Corporate Partner</v>
      </c>
      <c r="L833" t="str">
        <f>_xlfn.XLOOKUP(Table8[[#This Row],[Supporter_ID]],tb1_supporters[Supporter_ID ],tb1_supporters[County],"")</f>
        <v>Norfolk</v>
      </c>
      <c r="M833" t="str">
        <f>_xlfn.XLOOKUP(Table8[[#This Row],[Supporter_ID]],tb1_supporters[Supporter_ID ],tb1_supporters[Gender],"")</f>
        <v>Female</v>
      </c>
      <c r="N833">
        <f ca="1">_xlfn.XLOOKUP(Table8[[#This Row],[Supporter_ID]],tb1_supporters[Supporter_ID ],tb1_supporters[Age],"")</f>
        <v>39</v>
      </c>
      <c r="O833" t="str">
        <f ca="1">_xlfn.XLOOKUP(Table8[[#This Row],[Supporter_ID]],tb1_supporters[Supporter_ID ],tb1_supporters[Age_Band],"")</f>
        <v>35-49</v>
      </c>
      <c r="P833" t="str">
        <f ca="1">IF(Table8[[#This Row],[Age_Band]]="","Unknown",Table8[[#This Row],[Age_Band]])</f>
        <v>35-49</v>
      </c>
      <c r="Q833" t="str">
        <f>_xlfn.XLOOKUP(Table8[[#This Row],[Supporter_ID]],tb1_supporters[Supporter_ID ],tb1_supporters[Communication_Preference],"")</f>
        <v>Email</v>
      </c>
      <c r="R833" t="str">
        <f>_xlfn.XLOOKUP(Table8[[#This Row],[Supporter_ID]],tb1_supporters[Supporter_ID ],tb1_supporters[Duplicate_Profile_Flag],"")</f>
        <v/>
      </c>
      <c r="S833" t="str">
        <f>_xlfn.XLOOKUP(Table8[[#This Row],[Supporter_ID]],tb1_supporters[Supporter_ID ],tb1_supporters[Preference_Compliance_Flag],"")</f>
        <v/>
      </c>
      <c r="T833" t="str">
        <f ca="1">IF(Table8[[#This Row],[Age]]="","Review - missing DOB",IF(Table8[[#This Row],[Age]]&gt;TODAY(),"Review - future DOB",IF(Table8[[#This Row],[Age]]=0,"Review -  potential entry error (age 0)","")))</f>
        <v/>
      </c>
      <c r="U833" t="str">
        <f>_xlfn.XLOOKUP(Table8[[#This Row],[Campaign_Code]],tb3_CampaignMaster[Campaign_Code],tb3_CampaignMaster[Campaign_Type],"")</f>
        <v>Appeal</v>
      </c>
      <c r="V833" t="str">
        <f>_xlfn.XLOOKUP(Table8[[#This Row],[Campaign_Code]],tb3_CampaignMaster[Campaign_Code],tb3_CampaignMaster[Target_Audience],"")</f>
        <v>All Active</v>
      </c>
      <c r="W833" s="17">
        <f>_xlfn.XLOOKUP(Table8[[#This Row],[Campaign_Code]],tb3_CampaignMaster[Campaign_Code],tb3_CampaignMaster[Start_Date],"")</f>
        <v>45597</v>
      </c>
      <c r="X833" s="17">
        <f>_xlfn.XLOOKUP(Table8[[#This Row],[Campaign_Code]],tb3_CampaignMaster[Campaign_Code],tb3_CampaignMaster[End_Date],"")</f>
        <v>45657</v>
      </c>
      <c r="Y833">
        <f>_xlfn.XLOOKUP(Table8[[#This Row],[Campaign_Code]],tb3_CampaignMaster[Campaign_Code],tb3_CampaignMaster[Budget_GBP],"")</f>
        <v>25000</v>
      </c>
      <c r="Z833" t="str">
        <f>_xlfn.XLOOKUP(Table8[[#This Row],[Campaign_Code]],tb3_CampaignMaster[Campaign_Code],tb3_CampaignMaster[Primary_Channel],"")</f>
        <v>Multi-channel</v>
      </c>
      <c r="AA833" s="13">
        <f>IF(Table8[[#This Row],[Gift_Aid_Eligible]]="Yes",Table8[[#This Row],[Gift_Amount]]*1.25,Table8[[#This Row],[Gift_Amount]])</f>
        <v>4033.35</v>
      </c>
      <c r="AB833" t="str">
        <f>IF(Table8[[#This Row],[Supporter_ID]]="","Review - missing supporter ID","")</f>
        <v/>
      </c>
      <c r="AC833" t="str">
        <f>IF(OR(Table8[[#This Row],[Response_Date]]&lt;Table8[[#This Row],[Start_Date]],Table8[[#This Row],[Response_Date]]&gt;Table8[[#This Row],[End_Date]]),"Review - response outside campaign dates","")</f>
        <v/>
      </c>
      <c r="AD833" t="str">
        <f>IF(Table8[[#This Row],[Campaign_Type]]="","Review - campaign code not found","")</f>
        <v/>
      </c>
    </row>
    <row r="834" spans="1:30" x14ac:dyDescent="0.25">
      <c r="A834" t="s">
        <v>4717</v>
      </c>
      <c r="B834" t="s">
        <v>2257</v>
      </c>
      <c r="C834" t="s">
        <v>3403</v>
      </c>
      <c r="D834" t="s">
        <v>3404</v>
      </c>
      <c r="E834" t="s">
        <v>4</v>
      </c>
      <c r="F834" s="17">
        <v>45623</v>
      </c>
      <c r="G834">
        <v>280.68</v>
      </c>
      <c r="H834" t="s">
        <v>36</v>
      </c>
      <c r="I834" t="s">
        <v>3331</v>
      </c>
      <c r="J834" t="str">
        <f>_xlfn.XLOOKUP(Table8[[#This Row],[Supporter_ID]],tb1_supporters[Supporter_ID ],tb1_supporters[Segment],"")</f>
        <v>Legacy Pledger</v>
      </c>
      <c r="K834" t="str">
        <f>_xlfn.XLOOKUP(Table8[[#This Row],[Supporter_ID]],tb1_supporters[Supporter_ID ],tb1_supporters[Acquisition_Source],"")</f>
        <v>Referral</v>
      </c>
      <c r="L834" t="str">
        <f>_xlfn.XLOOKUP(Table8[[#This Row],[Supporter_ID]],tb1_supporters[Supporter_ID ],tb1_supporters[County],"")</f>
        <v>Wiltshire</v>
      </c>
      <c r="M834" t="str">
        <f>_xlfn.XLOOKUP(Table8[[#This Row],[Supporter_ID]],tb1_supporters[Supporter_ID ],tb1_supporters[Gender],"")</f>
        <v>Male</v>
      </c>
      <c r="N834">
        <f ca="1">_xlfn.XLOOKUP(Table8[[#This Row],[Supporter_ID]],tb1_supporters[Supporter_ID ],tb1_supporters[Age],"")</f>
        <v>54</v>
      </c>
      <c r="O834" t="str">
        <f ca="1">_xlfn.XLOOKUP(Table8[[#This Row],[Supporter_ID]],tb1_supporters[Supporter_ID ],tb1_supporters[Age_Band],"")</f>
        <v>50-64</v>
      </c>
      <c r="P834" t="str">
        <f ca="1">IF(Table8[[#This Row],[Age_Band]]="","Unknown",Table8[[#This Row],[Age_Band]])</f>
        <v>50-64</v>
      </c>
      <c r="Q834" t="str">
        <f>_xlfn.XLOOKUP(Table8[[#This Row],[Supporter_ID]],tb1_supporters[Supporter_ID ],tb1_supporters[Communication_Preference],"")</f>
        <v>No Preference</v>
      </c>
      <c r="R834" t="str">
        <f>_xlfn.XLOOKUP(Table8[[#This Row],[Supporter_ID]],tb1_supporters[Supporter_ID ],tb1_supporters[Duplicate_Profile_Flag],"")</f>
        <v/>
      </c>
      <c r="S834" t="str">
        <f>_xlfn.XLOOKUP(Table8[[#This Row],[Supporter_ID]],tb1_supporters[Supporter_ID ],tb1_supporters[Preference_Compliance_Flag],"")</f>
        <v/>
      </c>
      <c r="T834" t="str">
        <f ca="1">IF(Table8[[#This Row],[Age]]="","Review - missing DOB",IF(Table8[[#This Row],[Age]]&gt;TODAY(),"Review - future DOB",IF(Table8[[#This Row],[Age]]=0,"Review -  potential entry error (age 0)","")))</f>
        <v/>
      </c>
      <c r="U834" t="str">
        <f>_xlfn.XLOOKUP(Table8[[#This Row],[Campaign_Code]],tb3_CampaignMaster[Campaign_Code],tb3_CampaignMaster[Campaign_Type],"")</f>
        <v>Trading</v>
      </c>
      <c r="V834" t="str">
        <f>_xlfn.XLOOKUP(Table8[[#This Row],[Campaign_Code]],tb3_CampaignMaster[Campaign_Code],tb3_CampaignMaster[Target_Audience],"")</f>
        <v>All Active</v>
      </c>
      <c r="W834" s="17">
        <f>_xlfn.XLOOKUP(Table8[[#This Row],[Campaign_Code]],tb3_CampaignMaster[Campaign_Code],tb3_CampaignMaster[Start_Date],"")</f>
        <v>45580</v>
      </c>
      <c r="X834" s="17">
        <f>_xlfn.XLOOKUP(Table8[[#This Row],[Campaign_Code]],tb3_CampaignMaster[Campaign_Code],tb3_CampaignMaster[End_Date],"")</f>
        <v>45646</v>
      </c>
      <c r="Y834">
        <f>_xlfn.XLOOKUP(Table8[[#This Row],[Campaign_Code]],tb3_CampaignMaster[Campaign_Code],tb3_CampaignMaster[Budget_GBP],"")</f>
        <v>12000</v>
      </c>
      <c r="Z834" t="str">
        <f>_xlfn.XLOOKUP(Table8[[#This Row],[Campaign_Code]],tb3_CampaignMaster[Campaign_Code],tb3_CampaignMaster[Primary_Channel],"")</f>
        <v>Multi-channel</v>
      </c>
      <c r="AA834" s="13">
        <f>IF(Table8[[#This Row],[Gift_Aid_Eligible]]="Yes",Table8[[#This Row],[Gift_Amount]]*1.25,Table8[[#This Row],[Gift_Amount]])</f>
        <v>350.85</v>
      </c>
      <c r="AB834" t="str">
        <f>IF(Table8[[#This Row],[Supporter_ID]]="","Review - missing supporter ID","")</f>
        <v/>
      </c>
      <c r="AC834" t="str">
        <f>IF(OR(Table8[[#This Row],[Response_Date]]&lt;Table8[[#This Row],[Start_Date]],Table8[[#This Row],[Response_Date]]&gt;Table8[[#This Row],[End_Date]]),"Review - response outside campaign dates","")</f>
        <v/>
      </c>
      <c r="AD834" t="str">
        <f>IF(Table8[[#This Row],[Campaign_Type]]="","Review - campaign code not found","")</f>
        <v/>
      </c>
    </row>
    <row r="835" spans="1:30" x14ac:dyDescent="0.25">
      <c r="A835" t="s">
        <v>4718</v>
      </c>
      <c r="B835" t="s">
        <v>3043</v>
      </c>
      <c r="C835" t="s">
        <v>3325</v>
      </c>
      <c r="D835" t="s">
        <v>3326</v>
      </c>
      <c r="E835" t="s">
        <v>65</v>
      </c>
      <c r="F835" s="17">
        <v>45606</v>
      </c>
      <c r="G835">
        <v>98.05</v>
      </c>
      <c r="H835" t="s">
        <v>37</v>
      </c>
      <c r="I835" t="s">
        <v>3365</v>
      </c>
      <c r="J835" t="str">
        <f>_xlfn.XLOOKUP(Table8[[#This Row],[Supporter_ID]],tb1_supporters[Supporter_ID ],tb1_supporters[Segment],"")</f>
        <v>One-Time Donor</v>
      </c>
      <c r="K835" t="str">
        <f>_xlfn.XLOOKUP(Table8[[#This Row],[Supporter_ID]],tb1_supporters[Supporter_ID ],tb1_supporters[Acquisition_Source],"")</f>
        <v>Telephone</v>
      </c>
      <c r="L835" t="str">
        <f>_xlfn.XLOOKUP(Table8[[#This Row],[Supporter_ID]],tb1_supporters[Supporter_ID ],tb1_supporters[County],"")</f>
        <v>Devon</v>
      </c>
      <c r="M835" t="str">
        <f>_xlfn.XLOOKUP(Table8[[#This Row],[Supporter_ID]],tb1_supporters[Supporter_ID ],tb1_supporters[Gender],"")</f>
        <v>Female</v>
      </c>
      <c r="N835">
        <f ca="1">_xlfn.XLOOKUP(Table8[[#This Row],[Supporter_ID]],tb1_supporters[Supporter_ID ],tb1_supporters[Age],"")</f>
        <v>75</v>
      </c>
      <c r="O835" t="str">
        <f ca="1">_xlfn.XLOOKUP(Table8[[#This Row],[Supporter_ID]],tb1_supporters[Supporter_ID ],tb1_supporters[Age_Band],"")</f>
        <v>65+</v>
      </c>
      <c r="P835" t="str">
        <f ca="1">IF(Table8[[#This Row],[Age_Band]]="","Unknown",Table8[[#This Row],[Age_Band]])</f>
        <v>65+</v>
      </c>
      <c r="Q835" t="str">
        <f>_xlfn.XLOOKUP(Table8[[#This Row],[Supporter_ID]],tb1_supporters[Supporter_ID ],tb1_supporters[Communication_Preference],"")</f>
        <v>No Preference</v>
      </c>
      <c r="R835" t="str">
        <f>_xlfn.XLOOKUP(Table8[[#This Row],[Supporter_ID]],tb1_supporters[Supporter_ID ],tb1_supporters[Duplicate_Profile_Flag],"")</f>
        <v/>
      </c>
      <c r="S835" t="str">
        <f>_xlfn.XLOOKUP(Table8[[#This Row],[Supporter_ID]],tb1_supporters[Supporter_ID ],tb1_supporters[Preference_Compliance_Flag],"")</f>
        <v/>
      </c>
      <c r="T835" t="str">
        <f ca="1">IF(Table8[[#This Row],[Age]]="","Review - missing DOB",IF(Table8[[#This Row],[Age]]&gt;TODAY(),"Review - future DOB",IF(Table8[[#This Row],[Age]]=0,"Review -  potential entry error (age 0)","")))</f>
        <v/>
      </c>
      <c r="U835" t="str">
        <f>_xlfn.XLOOKUP(Table8[[#This Row],[Campaign_Code]],tb3_CampaignMaster[Campaign_Code],tb3_CampaignMaster[Campaign_Type],"")</f>
        <v>Appeal</v>
      </c>
      <c r="V835" t="str">
        <f>_xlfn.XLOOKUP(Table8[[#This Row],[Campaign_Code]],tb3_CampaignMaster[Campaign_Code],tb3_CampaignMaster[Target_Audience],"")</f>
        <v>All Active</v>
      </c>
      <c r="W835" s="17">
        <f>_xlfn.XLOOKUP(Table8[[#This Row],[Campaign_Code]],tb3_CampaignMaster[Campaign_Code],tb3_CampaignMaster[Start_Date],"")</f>
        <v>45597</v>
      </c>
      <c r="X835" s="17">
        <f>_xlfn.XLOOKUP(Table8[[#This Row],[Campaign_Code]],tb3_CampaignMaster[Campaign_Code],tb3_CampaignMaster[End_Date],"")</f>
        <v>45657</v>
      </c>
      <c r="Y835">
        <f>_xlfn.XLOOKUP(Table8[[#This Row],[Campaign_Code]],tb3_CampaignMaster[Campaign_Code],tb3_CampaignMaster[Budget_GBP],"")</f>
        <v>25000</v>
      </c>
      <c r="Z835" t="str">
        <f>_xlfn.XLOOKUP(Table8[[#This Row],[Campaign_Code]],tb3_CampaignMaster[Campaign_Code],tb3_CampaignMaster[Primary_Channel],"")</f>
        <v>Multi-channel</v>
      </c>
      <c r="AA835" s="13">
        <f>IF(Table8[[#This Row],[Gift_Aid_Eligible]]="Yes",Table8[[#This Row],[Gift_Amount]]*1.25,Table8[[#This Row],[Gift_Amount]])</f>
        <v>98.05</v>
      </c>
      <c r="AB835" t="str">
        <f>IF(Table8[[#This Row],[Supporter_ID]]="","Review - missing supporter ID","")</f>
        <v/>
      </c>
      <c r="AC835" t="str">
        <f>IF(OR(Table8[[#This Row],[Response_Date]]&lt;Table8[[#This Row],[Start_Date]],Table8[[#This Row],[Response_Date]]&gt;Table8[[#This Row],[End_Date]]),"Review - response outside campaign dates","")</f>
        <v/>
      </c>
      <c r="AD835" t="str">
        <f>IF(Table8[[#This Row],[Campaign_Type]]="","Review - campaign code not found","")</f>
        <v/>
      </c>
    </row>
    <row r="836" spans="1:30" x14ac:dyDescent="0.25">
      <c r="A836" t="s">
        <v>4720</v>
      </c>
      <c r="B836" t="s">
        <v>2686</v>
      </c>
      <c r="C836" t="s">
        <v>3341</v>
      </c>
      <c r="D836" t="s">
        <v>3342</v>
      </c>
      <c r="E836" t="s">
        <v>4</v>
      </c>
      <c r="F836" s="17">
        <v>45771</v>
      </c>
      <c r="G836">
        <v>39.69</v>
      </c>
      <c r="H836" t="s">
        <v>37</v>
      </c>
      <c r="I836" t="s">
        <v>3370</v>
      </c>
      <c r="J836" t="str">
        <f>_xlfn.XLOOKUP(Table8[[#This Row],[Supporter_ID]],tb1_supporters[Supporter_ID ],tb1_supporters[Segment],"")</f>
        <v>Regular Giver</v>
      </c>
      <c r="K836" t="str">
        <f>_xlfn.XLOOKUP(Table8[[#This Row],[Supporter_ID]],tb1_supporters[Supporter_ID ],tb1_supporters[Acquisition_Source],"")</f>
        <v>Door-To-Door</v>
      </c>
      <c r="L836" t="str">
        <f>_xlfn.XLOOKUP(Table8[[#This Row],[Supporter_ID]],tb1_supporters[Supporter_ID ],tb1_supporters[County],"")</f>
        <v>Bedfordshire</v>
      </c>
      <c r="M836" t="str">
        <f>_xlfn.XLOOKUP(Table8[[#This Row],[Supporter_ID]],tb1_supporters[Supporter_ID ],tb1_supporters[Gender],"")</f>
        <v>Female</v>
      </c>
      <c r="N836">
        <f ca="1">_xlfn.XLOOKUP(Table8[[#This Row],[Supporter_ID]],tb1_supporters[Supporter_ID ],tb1_supporters[Age],"")</f>
        <v>44</v>
      </c>
      <c r="O836" t="str">
        <f ca="1">_xlfn.XLOOKUP(Table8[[#This Row],[Supporter_ID]],tb1_supporters[Supporter_ID ],tb1_supporters[Age_Band],"")</f>
        <v>35-49</v>
      </c>
      <c r="P836" t="str">
        <f ca="1">IF(Table8[[#This Row],[Age_Band]]="","Unknown",Table8[[#This Row],[Age_Band]])</f>
        <v>35-49</v>
      </c>
      <c r="Q836" t="str">
        <f>_xlfn.XLOOKUP(Table8[[#This Row],[Supporter_ID]],tb1_supporters[Supporter_ID ],tb1_supporters[Communication_Preference],"")</f>
        <v>Phone</v>
      </c>
      <c r="R836" t="str">
        <f>_xlfn.XLOOKUP(Table8[[#This Row],[Supporter_ID]],tb1_supporters[Supporter_ID ],tb1_supporters[Duplicate_Profile_Flag],"")</f>
        <v/>
      </c>
      <c r="S836" t="str">
        <f>_xlfn.XLOOKUP(Table8[[#This Row],[Supporter_ID]],tb1_supporters[Supporter_ID ],tb1_supporters[Preference_Compliance_Flag],"")</f>
        <v/>
      </c>
      <c r="T836" t="str">
        <f ca="1">IF(Table8[[#This Row],[Age]]="","Review - missing DOB",IF(Table8[[#This Row],[Age]]&gt;TODAY(),"Review - future DOB",IF(Table8[[#This Row],[Age]]=0,"Review -  potential entry error (age 0)","")))</f>
        <v/>
      </c>
      <c r="U836" t="str">
        <f>_xlfn.XLOOKUP(Table8[[#This Row],[Campaign_Code]],tb3_CampaignMaster[Campaign_Code],tb3_CampaignMaster[Campaign_Type],"")</f>
        <v>Acquisition</v>
      </c>
      <c r="V836" t="str">
        <f>_xlfn.XLOOKUP(Table8[[#This Row],[Campaign_Code]],tb3_CampaignMaster[Campaign_Code],tb3_CampaignMaster[Target_Audience],"")</f>
        <v>Prospects</v>
      </c>
      <c r="W836" s="17">
        <f>_xlfn.XLOOKUP(Table8[[#This Row],[Campaign_Code]],tb3_CampaignMaster[Campaign_Code],tb3_CampaignMaster[Start_Date],"")</f>
        <v>45689</v>
      </c>
      <c r="X836" s="17">
        <f>_xlfn.XLOOKUP(Table8[[#This Row],[Campaign_Code]],tb3_CampaignMaster[Campaign_Code],tb3_CampaignMaster[End_Date],"")</f>
        <v>45777</v>
      </c>
      <c r="Y836">
        <f>_xlfn.XLOOKUP(Table8[[#This Row],[Campaign_Code]],tb3_CampaignMaster[Campaign_Code],tb3_CampaignMaster[Budget_GBP],"")</f>
        <v>20000</v>
      </c>
      <c r="Z836" t="str">
        <f>_xlfn.XLOOKUP(Table8[[#This Row],[Campaign_Code]],tb3_CampaignMaster[Campaign_Code],tb3_CampaignMaster[Primary_Channel],"")</f>
        <v>Digital</v>
      </c>
      <c r="AA836" s="13">
        <f>IF(Table8[[#This Row],[Gift_Aid_Eligible]]="Yes",Table8[[#This Row],[Gift_Amount]]*1.25,Table8[[#This Row],[Gift_Amount]])</f>
        <v>39.69</v>
      </c>
      <c r="AB836" t="str">
        <f>IF(Table8[[#This Row],[Supporter_ID]]="","Review - missing supporter ID","")</f>
        <v/>
      </c>
      <c r="AC836" t="str">
        <f>IF(OR(Table8[[#This Row],[Response_Date]]&lt;Table8[[#This Row],[Start_Date]],Table8[[#This Row],[Response_Date]]&gt;Table8[[#This Row],[End_Date]]),"Review - response outside campaign dates","")</f>
        <v/>
      </c>
      <c r="AD836" t="str">
        <f>IF(Table8[[#This Row],[Campaign_Type]]="","Review - campaign code not found","")</f>
        <v/>
      </c>
    </row>
    <row r="837" spans="1:30" x14ac:dyDescent="0.25">
      <c r="A837" t="s">
        <v>4722</v>
      </c>
      <c r="B837" t="s">
        <v>777</v>
      </c>
      <c r="C837" t="s">
        <v>3403</v>
      </c>
      <c r="D837" t="s">
        <v>3404</v>
      </c>
      <c r="E837" t="s">
        <v>3316</v>
      </c>
      <c r="F837" s="17">
        <v>45618</v>
      </c>
      <c r="G837">
        <v>4925.8599999999997</v>
      </c>
      <c r="H837" t="s">
        <v>36</v>
      </c>
      <c r="I837" t="s">
        <v>3331</v>
      </c>
      <c r="J837" t="str">
        <f>_xlfn.XLOOKUP(Table8[[#This Row],[Supporter_ID]],tb1_supporters[Supporter_ID ],tb1_supporters[Segment],"")</f>
        <v>Major Donor</v>
      </c>
      <c r="K837" t="str">
        <f>_xlfn.XLOOKUP(Table8[[#This Row],[Supporter_ID]],tb1_supporters[Supporter_ID ],tb1_supporters[Acquisition_Source],"")</f>
        <v>Corporate Partner</v>
      </c>
      <c r="L837" t="str">
        <f>_xlfn.XLOOKUP(Table8[[#This Row],[Supporter_ID]],tb1_supporters[Supporter_ID ],tb1_supporters[County],"")</f>
        <v>Berkshire</v>
      </c>
      <c r="M837" t="str">
        <f>_xlfn.XLOOKUP(Table8[[#This Row],[Supporter_ID]],tb1_supporters[Supporter_ID ],tb1_supporters[Gender],"")</f>
        <v>Male</v>
      </c>
      <c r="N837">
        <f ca="1">_xlfn.XLOOKUP(Table8[[#This Row],[Supporter_ID]],tb1_supporters[Supporter_ID ],tb1_supporters[Age],"")</f>
        <v>59</v>
      </c>
      <c r="O837" t="str">
        <f ca="1">_xlfn.XLOOKUP(Table8[[#This Row],[Supporter_ID]],tb1_supporters[Supporter_ID ],tb1_supporters[Age_Band],"")</f>
        <v>50-64</v>
      </c>
      <c r="P837" t="str">
        <f ca="1">IF(Table8[[#This Row],[Age_Band]]="","Unknown",Table8[[#This Row],[Age_Band]])</f>
        <v>50-64</v>
      </c>
      <c r="Q837" t="str">
        <f>_xlfn.XLOOKUP(Table8[[#This Row],[Supporter_ID]],tb1_supporters[Supporter_ID ],tb1_supporters[Communication_Preference],"")</f>
        <v>Phone</v>
      </c>
      <c r="R837" t="str">
        <f>_xlfn.XLOOKUP(Table8[[#This Row],[Supporter_ID]],tb1_supporters[Supporter_ID ],tb1_supporters[Duplicate_Profile_Flag],"")</f>
        <v/>
      </c>
      <c r="S837" t="str">
        <f>_xlfn.XLOOKUP(Table8[[#This Row],[Supporter_ID]],tb1_supporters[Supporter_ID ],tb1_supporters[Preference_Compliance_Flag],"")</f>
        <v>Review - prefers phone but not opted in</v>
      </c>
      <c r="T837" t="str">
        <f ca="1">IF(Table8[[#This Row],[Age]]="","Review - missing DOB",IF(Table8[[#This Row],[Age]]&gt;TODAY(),"Review - future DOB",IF(Table8[[#This Row],[Age]]=0,"Review -  potential entry error (age 0)","")))</f>
        <v/>
      </c>
      <c r="U837" t="str">
        <f>_xlfn.XLOOKUP(Table8[[#This Row],[Campaign_Code]],tb3_CampaignMaster[Campaign_Code],tb3_CampaignMaster[Campaign_Type],"")</f>
        <v>Trading</v>
      </c>
      <c r="V837" t="str">
        <f>_xlfn.XLOOKUP(Table8[[#This Row],[Campaign_Code]],tb3_CampaignMaster[Campaign_Code],tb3_CampaignMaster[Target_Audience],"")</f>
        <v>All Active</v>
      </c>
      <c r="W837" s="17">
        <f>_xlfn.XLOOKUP(Table8[[#This Row],[Campaign_Code]],tb3_CampaignMaster[Campaign_Code],tb3_CampaignMaster[Start_Date],"")</f>
        <v>45580</v>
      </c>
      <c r="X837" s="17">
        <f>_xlfn.XLOOKUP(Table8[[#This Row],[Campaign_Code]],tb3_CampaignMaster[Campaign_Code],tb3_CampaignMaster[End_Date],"")</f>
        <v>45646</v>
      </c>
      <c r="Y837">
        <f>_xlfn.XLOOKUP(Table8[[#This Row],[Campaign_Code]],tb3_CampaignMaster[Campaign_Code],tb3_CampaignMaster[Budget_GBP],"")</f>
        <v>12000</v>
      </c>
      <c r="Z837" t="str">
        <f>_xlfn.XLOOKUP(Table8[[#This Row],[Campaign_Code]],tb3_CampaignMaster[Campaign_Code],tb3_CampaignMaster[Primary_Channel],"")</f>
        <v>Multi-channel</v>
      </c>
      <c r="AA837" s="13">
        <f>IF(Table8[[#This Row],[Gift_Aid_Eligible]]="Yes",Table8[[#This Row],[Gift_Amount]]*1.25,Table8[[#This Row],[Gift_Amount]])</f>
        <v>6157.3249999999998</v>
      </c>
      <c r="AB837" t="str">
        <f>IF(Table8[[#This Row],[Supporter_ID]]="","Review - missing supporter ID","")</f>
        <v/>
      </c>
      <c r="AC837" t="str">
        <f>IF(OR(Table8[[#This Row],[Response_Date]]&lt;Table8[[#This Row],[Start_Date]],Table8[[#This Row],[Response_Date]]&gt;Table8[[#This Row],[End_Date]]),"Review - response outside campaign dates","")</f>
        <v/>
      </c>
      <c r="AD837" t="str">
        <f>IF(Table8[[#This Row],[Campaign_Type]]="","Review - campaign code not found","")</f>
        <v/>
      </c>
    </row>
    <row r="838" spans="1:30" x14ac:dyDescent="0.25">
      <c r="A838" t="s">
        <v>4723</v>
      </c>
      <c r="B838" t="s">
        <v>2952</v>
      </c>
      <c r="C838" t="s">
        <v>3325</v>
      </c>
      <c r="D838" t="s">
        <v>3326</v>
      </c>
      <c r="E838" t="s">
        <v>65</v>
      </c>
      <c r="F838" s="17">
        <v>45649</v>
      </c>
      <c r="G838">
        <v>12.64</v>
      </c>
      <c r="H838" t="s">
        <v>36</v>
      </c>
      <c r="I838" t="s">
        <v>3365</v>
      </c>
      <c r="J838" t="str">
        <f>_xlfn.XLOOKUP(Table8[[#This Row],[Supporter_ID]],tb1_supporters[Supporter_ID ],tb1_supporters[Segment],"")</f>
        <v>Lapsed</v>
      </c>
      <c r="K838" t="str">
        <f>_xlfn.XLOOKUP(Table8[[#This Row],[Supporter_ID]],tb1_supporters[Supporter_ID ],tb1_supporters[Acquisition_Source],"")</f>
        <v>Direct Mail</v>
      </c>
      <c r="L838" t="str">
        <f>_xlfn.XLOOKUP(Table8[[#This Row],[Supporter_ID]],tb1_supporters[Supporter_ID ],tb1_supporters[County],"")</f>
        <v>West Glamorgan</v>
      </c>
      <c r="M838" t="str">
        <f>_xlfn.XLOOKUP(Table8[[#This Row],[Supporter_ID]],tb1_supporters[Supporter_ID ],tb1_supporters[Gender],"")</f>
        <v>Female</v>
      </c>
      <c r="N838">
        <f ca="1">_xlfn.XLOOKUP(Table8[[#This Row],[Supporter_ID]],tb1_supporters[Supporter_ID ],tb1_supporters[Age],"")</f>
        <v>55</v>
      </c>
      <c r="O838" t="str">
        <f ca="1">_xlfn.XLOOKUP(Table8[[#This Row],[Supporter_ID]],tb1_supporters[Supporter_ID ],tb1_supporters[Age_Band],"")</f>
        <v>50-64</v>
      </c>
      <c r="P838" t="str">
        <f ca="1">IF(Table8[[#This Row],[Age_Band]]="","Unknown",Table8[[#This Row],[Age_Band]])</f>
        <v>50-64</v>
      </c>
      <c r="Q838" t="str">
        <f>_xlfn.XLOOKUP(Table8[[#This Row],[Supporter_ID]],tb1_supporters[Supporter_ID ],tb1_supporters[Communication_Preference],"")</f>
        <v>Post</v>
      </c>
      <c r="R838" t="str">
        <f>_xlfn.XLOOKUP(Table8[[#This Row],[Supporter_ID]],tb1_supporters[Supporter_ID ],tb1_supporters[Duplicate_Profile_Flag],"")</f>
        <v/>
      </c>
      <c r="S838" t="str">
        <f>_xlfn.XLOOKUP(Table8[[#This Row],[Supporter_ID]],tb1_supporters[Supporter_ID ],tb1_supporters[Preference_Compliance_Flag],"")</f>
        <v/>
      </c>
      <c r="T838" t="str">
        <f ca="1">IF(Table8[[#This Row],[Age]]="","Review - missing DOB",IF(Table8[[#This Row],[Age]]&gt;TODAY(),"Review - future DOB",IF(Table8[[#This Row],[Age]]=0,"Review -  potential entry error (age 0)","")))</f>
        <v/>
      </c>
      <c r="U838" t="str">
        <f>_xlfn.XLOOKUP(Table8[[#This Row],[Campaign_Code]],tb3_CampaignMaster[Campaign_Code],tb3_CampaignMaster[Campaign_Type],"")</f>
        <v>Appeal</v>
      </c>
      <c r="V838" t="str">
        <f>_xlfn.XLOOKUP(Table8[[#This Row],[Campaign_Code]],tb3_CampaignMaster[Campaign_Code],tb3_CampaignMaster[Target_Audience],"")</f>
        <v>All Active</v>
      </c>
      <c r="W838" s="17">
        <f>_xlfn.XLOOKUP(Table8[[#This Row],[Campaign_Code]],tb3_CampaignMaster[Campaign_Code],tb3_CampaignMaster[Start_Date],"")</f>
        <v>45597</v>
      </c>
      <c r="X838" s="17">
        <f>_xlfn.XLOOKUP(Table8[[#This Row],[Campaign_Code]],tb3_CampaignMaster[Campaign_Code],tb3_CampaignMaster[End_Date],"")</f>
        <v>45657</v>
      </c>
      <c r="Y838">
        <f>_xlfn.XLOOKUP(Table8[[#This Row],[Campaign_Code]],tb3_CampaignMaster[Campaign_Code],tb3_CampaignMaster[Budget_GBP],"")</f>
        <v>25000</v>
      </c>
      <c r="Z838" t="str">
        <f>_xlfn.XLOOKUP(Table8[[#This Row],[Campaign_Code]],tb3_CampaignMaster[Campaign_Code],tb3_CampaignMaster[Primary_Channel],"")</f>
        <v>Multi-channel</v>
      </c>
      <c r="AA838" s="13">
        <f>IF(Table8[[#This Row],[Gift_Aid_Eligible]]="Yes",Table8[[#This Row],[Gift_Amount]]*1.25,Table8[[#This Row],[Gift_Amount]])</f>
        <v>15.8</v>
      </c>
      <c r="AB838" t="str">
        <f>IF(Table8[[#This Row],[Supporter_ID]]="","Review - missing supporter ID","")</f>
        <v/>
      </c>
      <c r="AC838" t="str">
        <f>IF(OR(Table8[[#This Row],[Response_Date]]&lt;Table8[[#This Row],[Start_Date]],Table8[[#This Row],[Response_Date]]&gt;Table8[[#This Row],[End_Date]]),"Review - response outside campaign dates","")</f>
        <v/>
      </c>
      <c r="AD838" t="str">
        <f>IF(Table8[[#This Row],[Campaign_Type]]="","Review - campaign code not found","")</f>
        <v/>
      </c>
    </row>
    <row r="839" spans="1:30" x14ac:dyDescent="0.25">
      <c r="A839" t="s">
        <v>4725</v>
      </c>
      <c r="B839" t="s">
        <v>351</v>
      </c>
      <c r="C839" t="s">
        <v>3320</v>
      </c>
      <c r="D839" t="s">
        <v>3321</v>
      </c>
      <c r="E839" t="s">
        <v>65</v>
      </c>
      <c r="F839" s="17">
        <v>45464</v>
      </c>
      <c r="G839">
        <v>91.91</v>
      </c>
      <c r="H839" t="s">
        <v>36</v>
      </c>
      <c r="I839" t="s">
        <v>3318</v>
      </c>
      <c r="J839" t="str">
        <f>_xlfn.XLOOKUP(Table8[[#This Row],[Supporter_ID]],tb1_supporters[Supporter_ID ],tb1_supporters[Segment],"")</f>
        <v>Lapsed</v>
      </c>
      <c r="K839" t="str">
        <f>_xlfn.XLOOKUP(Table8[[#This Row],[Supporter_ID]],tb1_supporters[Supporter_ID ],tb1_supporters[Acquisition_Source],"")</f>
        <v>Corporate Partner</v>
      </c>
      <c r="L839" t="str">
        <f>_xlfn.XLOOKUP(Table8[[#This Row],[Supporter_ID]],tb1_supporters[Supporter_ID ],tb1_supporters[County],"")</f>
        <v>Cheshire</v>
      </c>
      <c r="M839" t="str">
        <f>_xlfn.XLOOKUP(Table8[[#This Row],[Supporter_ID]],tb1_supporters[Supporter_ID ],tb1_supporters[Gender],"")</f>
        <v>Female</v>
      </c>
      <c r="N839">
        <f ca="1">_xlfn.XLOOKUP(Table8[[#This Row],[Supporter_ID]],tb1_supporters[Supporter_ID ],tb1_supporters[Age],"")</f>
        <v>57</v>
      </c>
      <c r="O839" t="str">
        <f ca="1">_xlfn.XLOOKUP(Table8[[#This Row],[Supporter_ID]],tb1_supporters[Supporter_ID ],tb1_supporters[Age_Band],"")</f>
        <v>50-64</v>
      </c>
      <c r="P839" t="str">
        <f ca="1">IF(Table8[[#This Row],[Age_Band]]="","Unknown",Table8[[#This Row],[Age_Band]])</f>
        <v>50-64</v>
      </c>
      <c r="Q839" t="str">
        <f>_xlfn.XLOOKUP(Table8[[#This Row],[Supporter_ID]],tb1_supporters[Supporter_ID ],tb1_supporters[Communication_Preference],"")</f>
        <v>Phone</v>
      </c>
      <c r="R839" t="str">
        <f>_xlfn.XLOOKUP(Table8[[#This Row],[Supporter_ID]],tb1_supporters[Supporter_ID ],tb1_supporters[Duplicate_Profile_Flag],"")</f>
        <v/>
      </c>
      <c r="S839" t="str">
        <f>_xlfn.XLOOKUP(Table8[[#This Row],[Supporter_ID]],tb1_supporters[Supporter_ID ],tb1_supporters[Preference_Compliance_Flag],"")</f>
        <v/>
      </c>
      <c r="T839" t="str">
        <f ca="1">IF(Table8[[#This Row],[Age]]="","Review - missing DOB",IF(Table8[[#This Row],[Age]]&gt;TODAY(),"Review - future DOB",IF(Table8[[#This Row],[Age]]=0,"Review -  potential entry error (age 0)","")))</f>
        <v/>
      </c>
      <c r="U839" t="str">
        <f>_xlfn.XLOOKUP(Table8[[#This Row],[Campaign_Code]],tb3_CampaignMaster[Campaign_Code],tb3_CampaignMaster[Campaign_Type],"")</f>
        <v>Stewardship</v>
      </c>
      <c r="V839" t="str">
        <f>_xlfn.XLOOKUP(Table8[[#This Row],[Campaign_Code]],tb3_CampaignMaster[Campaign_Code],tb3_CampaignMaster[Target_Audience],"")</f>
        <v>Major Donors</v>
      </c>
      <c r="W839" s="17">
        <f>_xlfn.XLOOKUP(Table8[[#This Row],[Campaign_Code]],tb3_CampaignMaster[Campaign_Code],tb3_CampaignMaster[Start_Date],"")</f>
        <v>45444</v>
      </c>
      <c r="X839" s="17">
        <f>_xlfn.XLOOKUP(Table8[[#This Row],[Campaign_Code]],tb3_CampaignMaster[Campaign_Code],tb3_CampaignMaster[End_Date],"")</f>
        <v>45473</v>
      </c>
      <c r="Y839">
        <f>_xlfn.XLOOKUP(Table8[[#This Row],[Campaign_Code]],tb3_CampaignMaster[Campaign_Code],tb3_CampaignMaster[Budget_GBP],"")</f>
        <v>7000</v>
      </c>
      <c r="Z839" t="str">
        <f>_xlfn.XLOOKUP(Table8[[#This Row],[Campaign_Code]],tb3_CampaignMaster[Campaign_Code],tb3_CampaignMaster[Primary_Channel],"")</f>
        <v>Direct Mail</v>
      </c>
      <c r="AA839" s="13">
        <f>IF(Table8[[#This Row],[Gift_Aid_Eligible]]="Yes",Table8[[#This Row],[Gift_Amount]]*1.25,Table8[[#This Row],[Gift_Amount]])</f>
        <v>114.88749999999999</v>
      </c>
      <c r="AB839" t="str">
        <f>IF(Table8[[#This Row],[Supporter_ID]]="","Review - missing supporter ID","")</f>
        <v/>
      </c>
      <c r="AC839" t="str">
        <f>IF(OR(Table8[[#This Row],[Response_Date]]&lt;Table8[[#This Row],[Start_Date]],Table8[[#This Row],[Response_Date]]&gt;Table8[[#This Row],[End_Date]]),"Review - response outside campaign dates","")</f>
        <v/>
      </c>
      <c r="AD839" t="str">
        <f>IF(Table8[[#This Row],[Campaign_Type]]="","Review - campaign code not found","")</f>
        <v/>
      </c>
    </row>
    <row r="840" spans="1:30" x14ac:dyDescent="0.25">
      <c r="A840" t="s">
        <v>4726</v>
      </c>
      <c r="B840" t="s">
        <v>1173</v>
      </c>
      <c r="C840" t="s">
        <v>3314</v>
      </c>
      <c r="D840" t="s">
        <v>3315</v>
      </c>
      <c r="E840" t="s">
        <v>3316</v>
      </c>
      <c r="F840" s="17">
        <v>45723</v>
      </c>
      <c r="G840">
        <v>85.61</v>
      </c>
      <c r="H840" t="s">
        <v>36</v>
      </c>
      <c r="I840" t="s">
        <v>3331</v>
      </c>
      <c r="J840" t="str">
        <f>_xlfn.XLOOKUP(Table8[[#This Row],[Supporter_ID]],tb1_supporters[Supporter_ID ],tb1_supporters[Segment],"")</f>
        <v>Mid-Value</v>
      </c>
      <c r="K840" t="str">
        <f>_xlfn.XLOOKUP(Table8[[#This Row],[Supporter_ID]],tb1_supporters[Supporter_ID ],tb1_supporters[Acquisition_Source],"")</f>
        <v>Door-To-Door</v>
      </c>
      <c r="L840" t="str">
        <f>_xlfn.XLOOKUP(Table8[[#This Row],[Supporter_ID]],tb1_supporters[Supporter_ID ],tb1_supporters[County],"")</f>
        <v>Buckinghamshire</v>
      </c>
      <c r="M840" t="str">
        <f>_xlfn.XLOOKUP(Table8[[#This Row],[Supporter_ID]],tb1_supporters[Supporter_ID ],tb1_supporters[Gender],"")</f>
        <v>Female</v>
      </c>
      <c r="N840">
        <f ca="1">_xlfn.XLOOKUP(Table8[[#This Row],[Supporter_ID]],tb1_supporters[Supporter_ID ],tb1_supporters[Age],"")</f>
        <v>67</v>
      </c>
      <c r="O840" t="str">
        <f ca="1">_xlfn.XLOOKUP(Table8[[#This Row],[Supporter_ID]],tb1_supporters[Supporter_ID ],tb1_supporters[Age_Band],"")</f>
        <v>65+</v>
      </c>
      <c r="P840" t="str">
        <f ca="1">IF(Table8[[#This Row],[Age_Band]]="","Unknown",Table8[[#This Row],[Age_Band]])</f>
        <v>65+</v>
      </c>
      <c r="Q840" t="str">
        <f>_xlfn.XLOOKUP(Table8[[#This Row],[Supporter_ID]],tb1_supporters[Supporter_ID ],tb1_supporters[Communication_Preference],"")</f>
        <v>Post</v>
      </c>
      <c r="R840" t="str">
        <f>_xlfn.XLOOKUP(Table8[[#This Row],[Supporter_ID]],tb1_supporters[Supporter_ID ],tb1_supporters[Duplicate_Profile_Flag],"")</f>
        <v/>
      </c>
      <c r="S840" t="str">
        <f>_xlfn.XLOOKUP(Table8[[#This Row],[Supporter_ID]],tb1_supporters[Supporter_ID ],tb1_supporters[Preference_Compliance_Flag],"")</f>
        <v/>
      </c>
      <c r="T840" t="str">
        <f ca="1">IF(Table8[[#This Row],[Age]]="","Review - missing DOB",IF(Table8[[#This Row],[Age]]&gt;TODAY(),"Review - future DOB",IF(Table8[[#This Row],[Age]]=0,"Review -  potential entry error (age 0)","")))</f>
        <v/>
      </c>
      <c r="U840" t="str">
        <f>_xlfn.XLOOKUP(Table8[[#This Row],[Campaign_Code]],tb3_CampaignMaster[Campaign_Code],tb3_CampaignMaster[Campaign_Type],"")</f>
        <v>Regular Giving</v>
      </c>
      <c r="V840" t="str">
        <f>_xlfn.XLOOKUP(Table8[[#This Row],[Campaign_Code]],tb3_CampaignMaster[Campaign_Code],tb3_CampaignMaster[Target_Audience],"")</f>
        <v>One-time Donors</v>
      </c>
      <c r="W840" s="17">
        <f>_xlfn.XLOOKUP(Table8[[#This Row],[Campaign_Code]],tb3_CampaignMaster[Campaign_Code],tb3_CampaignMaster[Start_Date],"")</f>
        <v>45663</v>
      </c>
      <c r="X840" s="17">
        <f>_xlfn.XLOOKUP(Table8[[#This Row],[Campaign_Code]],tb3_CampaignMaster[Campaign_Code],tb3_CampaignMaster[End_Date],"")</f>
        <v>45747</v>
      </c>
      <c r="Y840">
        <f>_xlfn.XLOOKUP(Table8[[#This Row],[Campaign_Code]],tb3_CampaignMaster[Campaign_Code],tb3_CampaignMaster[Budget_GBP],"")</f>
        <v>10000</v>
      </c>
      <c r="Z840" t="str">
        <f>_xlfn.XLOOKUP(Table8[[#This Row],[Campaign_Code]],tb3_CampaignMaster[Campaign_Code],tb3_CampaignMaster[Primary_Channel],"")</f>
        <v>Telephone</v>
      </c>
      <c r="AA840" s="13">
        <f>IF(Table8[[#This Row],[Gift_Aid_Eligible]]="Yes",Table8[[#This Row],[Gift_Amount]]*1.25,Table8[[#This Row],[Gift_Amount]])</f>
        <v>107.0125</v>
      </c>
      <c r="AB840" t="str">
        <f>IF(Table8[[#This Row],[Supporter_ID]]="","Review - missing supporter ID","")</f>
        <v/>
      </c>
      <c r="AC840" t="str">
        <f>IF(OR(Table8[[#This Row],[Response_Date]]&lt;Table8[[#This Row],[Start_Date]],Table8[[#This Row],[Response_Date]]&gt;Table8[[#This Row],[End_Date]]),"Review - response outside campaign dates","")</f>
        <v/>
      </c>
      <c r="AD840" t="str">
        <f>IF(Table8[[#This Row],[Campaign_Type]]="","Review - campaign code not found","")</f>
        <v/>
      </c>
    </row>
    <row r="841" spans="1:30" x14ac:dyDescent="0.25">
      <c r="A841" t="s">
        <v>4727</v>
      </c>
      <c r="B841" t="s">
        <v>2958</v>
      </c>
      <c r="C841" t="s">
        <v>3427</v>
      </c>
      <c r="D841" t="s">
        <v>3428</v>
      </c>
      <c r="E841" t="s">
        <v>65</v>
      </c>
      <c r="F841" s="17">
        <v>45488</v>
      </c>
      <c r="G841">
        <v>112.7</v>
      </c>
      <c r="H841" t="s">
        <v>36</v>
      </c>
      <c r="I841" t="s">
        <v>3385</v>
      </c>
      <c r="J841" t="str">
        <f>_xlfn.XLOOKUP(Table8[[#This Row],[Supporter_ID]],tb1_supporters[Supporter_ID ],tb1_supporters[Segment],"")</f>
        <v>One-Time Donor</v>
      </c>
      <c r="K841" t="str">
        <f>_xlfn.XLOOKUP(Table8[[#This Row],[Supporter_ID]],tb1_supporters[Supporter_ID ],tb1_supporters[Acquisition_Source],"")</f>
        <v>Website</v>
      </c>
      <c r="L841" t="str">
        <f>_xlfn.XLOOKUP(Table8[[#This Row],[Supporter_ID]],tb1_supporters[Supporter_ID ],tb1_supporters[County],"")</f>
        <v>Strathclyde</v>
      </c>
      <c r="M841" t="str">
        <f>_xlfn.XLOOKUP(Table8[[#This Row],[Supporter_ID]],tb1_supporters[Supporter_ID ],tb1_supporters[Gender],"")</f>
        <v>Female</v>
      </c>
      <c r="N841">
        <f ca="1">_xlfn.XLOOKUP(Table8[[#This Row],[Supporter_ID]],tb1_supporters[Supporter_ID ],tb1_supporters[Age],"")</f>
        <v>71</v>
      </c>
      <c r="O841" t="str">
        <f ca="1">_xlfn.XLOOKUP(Table8[[#This Row],[Supporter_ID]],tb1_supporters[Supporter_ID ],tb1_supporters[Age_Band],"")</f>
        <v>65+</v>
      </c>
      <c r="P841" t="str">
        <f ca="1">IF(Table8[[#This Row],[Age_Band]]="","Unknown",Table8[[#This Row],[Age_Band]])</f>
        <v>65+</v>
      </c>
      <c r="Q841" t="str">
        <f>_xlfn.XLOOKUP(Table8[[#This Row],[Supporter_ID]],tb1_supporters[Supporter_ID ],tb1_supporters[Communication_Preference],"")</f>
        <v>Do Not Contact</v>
      </c>
      <c r="R841" t="str">
        <f>_xlfn.XLOOKUP(Table8[[#This Row],[Supporter_ID]],tb1_supporters[Supporter_ID ],tb1_supporters[Duplicate_Profile_Flag],"")</f>
        <v/>
      </c>
      <c r="S841" t="str">
        <f>_xlfn.XLOOKUP(Table8[[#This Row],[Supporter_ID]],tb1_supporters[Supporter_ID ],tb1_supporters[Preference_Compliance_Flag],"")</f>
        <v/>
      </c>
      <c r="T841" t="str">
        <f ca="1">IF(Table8[[#This Row],[Age]]="","Review - missing DOB",IF(Table8[[#This Row],[Age]]&gt;TODAY(),"Review - future DOB",IF(Table8[[#This Row],[Age]]=0,"Review -  potential entry error (age 0)","")))</f>
        <v/>
      </c>
      <c r="U841" t="str">
        <f>_xlfn.XLOOKUP(Table8[[#This Row],[Campaign_Code]],tb3_CampaignMaster[Campaign_Code],tb3_CampaignMaster[Campaign_Type],"")</f>
        <v>Event</v>
      </c>
      <c r="V841" t="str">
        <f>_xlfn.XLOOKUP(Table8[[#This Row],[Campaign_Code]],tb3_CampaignMaster[Campaign_Code],tb3_CampaignMaster[Target_Audience],"")</f>
        <v>Major Donors</v>
      </c>
      <c r="W841" s="17">
        <f>_xlfn.XLOOKUP(Table8[[#This Row],[Campaign_Code]],tb3_CampaignMaster[Campaign_Code],tb3_CampaignMaster[Start_Date],"")</f>
        <v>45488</v>
      </c>
      <c r="X841" s="17">
        <f>_xlfn.XLOOKUP(Table8[[#This Row],[Campaign_Code]],tb3_CampaignMaster[Campaign_Code],tb3_CampaignMaster[End_Date],"")</f>
        <v>45488</v>
      </c>
      <c r="Y841">
        <f>_xlfn.XLOOKUP(Table8[[#This Row],[Campaign_Code]],tb3_CampaignMaster[Campaign_Code],tb3_CampaignMaster[Budget_GBP],"")</f>
        <v>45000</v>
      </c>
      <c r="Z841" t="str">
        <f>_xlfn.XLOOKUP(Table8[[#This Row],[Campaign_Code]],tb3_CampaignMaster[Campaign_Code],tb3_CampaignMaster[Primary_Channel],"")</f>
        <v>Direct Mail</v>
      </c>
      <c r="AA841" s="13">
        <f>IF(Table8[[#This Row],[Gift_Aid_Eligible]]="Yes",Table8[[#This Row],[Gift_Amount]]*1.25,Table8[[#This Row],[Gift_Amount]])</f>
        <v>140.875</v>
      </c>
      <c r="AB841" t="str">
        <f>IF(Table8[[#This Row],[Supporter_ID]]="","Review - missing supporter ID","")</f>
        <v/>
      </c>
      <c r="AC841" t="str">
        <f>IF(OR(Table8[[#This Row],[Response_Date]]&lt;Table8[[#This Row],[Start_Date]],Table8[[#This Row],[Response_Date]]&gt;Table8[[#This Row],[End_Date]]),"Review - response outside campaign dates","")</f>
        <v/>
      </c>
      <c r="AD841" t="str">
        <f>IF(Table8[[#This Row],[Campaign_Type]]="","Review - campaign code not found","")</f>
        <v/>
      </c>
    </row>
    <row r="842" spans="1:30" x14ac:dyDescent="0.25">
      <c r="A842" t="s">
        <v>4728</v>
      </c>
      <c r="B842" t="s">
        <v>3021</v>
      </c>
      <c r="C842" t="s">
        <v>3314</v>
      </c>
      <c r="D842" t="s">
        <v>3315</v>
      </c>
      <c r="E842" t="s">
        <v>3316</v>
      </c>
      <c r="F842" s="17">
        <v>45964</v>
      </c>
      <c r="G842">
        <v>49.35</v>
      </c>
      <c r="H842" t="s">
        <v>36</v>
      </c>
      <c r="I842" t="s">
        <v>3370</v>
      </c>
      <c r="J842" t="str">
        <f>_xlfn.XLOOKUP(Table8[[#This Row],[Supporter_ID]],tb1_supporters[Supporter_ID ],tb1_supporters[Segment],"")</f>
        <v>Lapsed</v>
      </c>
      <c r="K842" t="str">
        <f>_xlfn.XLOOKUP(Table8[[#This Row],[Supporter_ID]],tb1_supporters[Supporter_ID ],tb1_supporters[Acquisition_Source],"")</f>
        <v>Door-To-Door</v>
      </c>
      <c r="L842" t="str">
        <f>_xlfn.XLOOKUP(Table8[[#This Row],[Supporter_ID]],tb1_supporters[Supporter_ID ],tb1_supporters[County],"")</f>
        <v>Strathclyde</v>
      </c>
      <c r="M842" t="str">
        <f>_xlfn.XLOOKUP(Table8[[#This Row],[Supporter_ID]],tb1_supporters[Supporter_ID ],tb1_supporters[Gender],"")</f>
        <v>Female</v>
      </c>
      <c r="N842">
        <f ca="1">_xlfn.XLOOKUP(Table8[[#This Row],[Supporter_ID]],tb1_supporters[Supporter_ID ],tb1_supporters[Age],"")</f>
        <v>86</v>
      </c>
      <c r="O842" t="str">
        <f ca="1">_xlfn.XLOOKUP(Table8[[#This Row],[Supporter_ID]],tb1_supporters[Supporter_ID ],tb1_supporters[Age_Band],"")</f>
        <v>65+</v>
      </c>
      <c r="P842" t="str">
        <f ca="1">IF(Table8[[#This Row],[Age_Band]]="","Unknown",Table8[[#This Row],[Age_Band]])</f>
        <v>65+</v>
      </c>
      <c r="Q842" t="str">
        <f>_xlfn.XLOOKUP(Table8[[#This Row],[Supporter_ID]],tb1_supporters[Supporter_ID ],tb1_supporters[Communication_Preference],"")</f>
        <v>Email</v>
      </c>
      <c r="R842" t="str">
        <f>_xlfn.XLOOKUP(Table8[[#This Row],[Supporter_ID]],tb1_supporters[Supporter_ID ],tb1_supporters[Duplicate_Profile_Flag],"")</f>
        <v/>
      </c>
      <c r="S842" t="str">
        <f>_xlfn.XLOOKUP(Table8[[#This Row],[Supporter_ID]],tb1_supporters[Supporter_ID ],tb1_supporters[Preference_Compliance_Flag],"")</f>
        <v/>
      </c>
      <c r="T842" t="str">
        <f ca="1">IF(Table8[[#This Row],[Age]]="","Review - missing DOB",IF(Table8[[#This Row],[Age]]&gt;TODAY(),"Review - future DOB",IF(Table8[[#This Row],[Age]]=0,"Review -  potential entry error (age 0)","")))</f>
        <v/>
      </c>
      <c r="U842" t="str">
        <f>_xlfn.XLOOKUP(Table8[[#This Row],[Campaign_Code]],tb3_CampaignMaster[Campaign_Code],tb3_CampaignMaster[Campaign_Type],"")</f>
        <v>Regular Giving</v>
      </c>
      <c r="V842" t="str">
        <f>_xlfn.XLOOKUP(Table8[[#This Row],[Campaign_Code]],tb3_CampaignMaster[Campaign_Code],tb3_CampaignMaster[Target_Audience],"")</f>
        <v>One-time Donors</v>
      </c>
      <c r="W842" s="17">
        <f>_xlfn.XLOOKUP(Table8[[#This Row],[Campaign_Code]],tb3_CampaignMaster[Campaign_Code],tb3_CampaignMaster[Start_Date],"")</f>
        <v>45663</v>
      </c>
      <c r="X842" s="17">
        <f>_xlfn.XLOOKUP(Table8[[#This Row],[Campaign_Code]],tb3_CampaignMaster[Campaign_Code],tb3_CampaignMaster[End_Date],"")</f>
        <v>45747</v>
      </c>
      <c r="Y842">
        <f>_xlfn.XLOOKUP(Table8[[#This Row],[Campaign_Code]],tb3_CampaignMaster[Campaign_Code],tb3_CampaignMaster[Budget_GBP],"")</f>
        <v>10000</v>
      </c>
      <c r="Z842" t="str">
        <f>_xlfn.XLOOKUP(Table8[[#This Row],[Campaign_Code]],tb3_CampaignMaster[Campaign_Code],tb3_CampaignMaster[Primary_Channel],"")</f>
        <v>Telephone</v>
      </c>
      <c r="AA842" s="13">
        <f>IF(Table8[[#This Row],[Gift_Aid_Eligible]]="Yes",Table8[[#This Row],[Gift_Amount]]*1.25,Table8[[#This Row],[Gift_Amount]])</f>
        <v>61.6875</v>
      </c>
      <c r="AB842" t="str">
        <f>IF(Table8[[#This Row],[Supporter_ID]]="","Review - missing supporter ID","")</f>
        <v/>
      </c>
      <c r="AC842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842" t="str">
        <f>IF(Table8[[#This Row],[Campaign_Type]]="","Review - campaign code not found","")</f>
        <v/>
      </c>
    </row>
    <row r="843" spans="1:30" x14ac:dyDescent="0.25">
      <c r="A843" t="s">
        <v>4730</v>
      </c>
      <c r="B843" t="s">
        <v>2148</v>
      </c>
      <c r="C843" t="s">
        <v>3341</v>
      </c>
      <c r="D843" t="s">
        <v>3342</v>
      </c>
      <c r="E843" t="s">
        <v>4</v>
      </c>
      <c r="F843" s="17">
        <v>45709</v>
      </c>
      <c r="G843">
        <v>4955.78</v>
      </c>
      <c r="H843" t="s">
        <v>36</v>
      </c>
      <c r="I843" t="s">
        <v>3323</v>
      </c>
      <c r="J843" t="str">
        <f>_xlfn.XLOOKUP(Table8[[#This Row],[Supporter_ID]],tb1_supporters[Supporter_ID ],tb1_supporters[Segment],"")</f>
        <v>Major Donor</v>
      </c>
      <c r="K843" t="str">
        <f>_xlfn.XLOOKUP(Table8[[#This Row],[Supporter_ID]],tb1_supporters[Supporter_ID ],tb1_supporters[Acquisition_Source],"")</f>
        <v>Corporate Partner</v>
      </c>
      <c r="L843" t="str">
        <f>_xlfn.XLOOKUP(Table8[[#This Row],[Supporter_ID]],tb1_supporters[Supporter_ID ],tb1_supporters[County],"")</f>
        <v>Norfolk</v>
      </c>
      <c r="M843" t="str">
        <f>_xlfn.XLOOKUP(Table8[[#This Row],[Supporter_ID]],tb1_supporters[Supporter_ID ],tb1_supporters[Gender],"")</f>
        <v>Female</v>
      </c>
      <c r="N843">
        <f ca="1">_xlfn.XLOOKUP(Table8[[#This Row],[Supporter_ID]],tb1_supporters[Supporter_ID ],tb1_supporters[Age],"")</f>
        <v>39</v>
      </c>
      <c r="O843" t="str">
        <f ca="1">_xlfn.XLOOKUP(Table8[[#This Row],[Supporter_ID]],tb1_supporters[Supporter_ID ],tb1_supporters[Age_Band],"")</f>
        <v>35-49</v>
      </c>
      <c r="P843" t="str">
        <f ca="1">IF(Table8[[#This Row],[Age_Band]]="","Unknown",Table8[[#This Row],[Age_Band]])</f>
        <v>35-49</v>
      </c>
      <c r="Q843" t="str">
        <f>_xlfn.XLOOKUP(Table8[[#This Row],[Supporter_ID]],tb1_supporters[Supporter_ID ],tb1_supporters[Communication_Preference],"")</f>
        <v>Email</v>
      </c>
      <c r="R843" t="str">
        <f>_xlfn.XLOOKUP(Table8[[#This Row],[Supporter_ID]],tb1_supporters[Supporter_ID ],tb1_supporters[Duplicate_Profile_Flag],"")</f>
        <v/>
      </c>
      <c r="S843" t="str">
        <f>_xlfn.XLOOKUP(Table8[[#This Row],[Supporter_ID]],tb1_supporters[Supporter_ID ],tb1_supporters[Preference_Compliance_Flag],"")</f>
        <v/>
      </c>
      <c r="T843" t="str">
        <f ca="1">IF(Table8[[#This Row],[Age]]="","Review - missing DOB",IF(Table8[[#This Row],[Age]]&gt;TODAY(),"Review - future DOB",IF(Table8[[#This Row],[Age]]=0,"Review -  potential entry error (age 0)","")))</f>
        <v/>
      </c>
      <c r="U843" t="str">
        <f>_xlfn.XLOOKUP(Table8[[#This Row],[Campaign_Code]],tb3_CampaignMaster[Campaign_Code],tb3_CampaignMaster[Campaign_Type],"")</f>
        <v>Acquisition</v>
      </c>
      <c r="V843" t="str">
        <f>_xlfn.XLOOKUP(Table8[[#This Row],[Campaign_Code]],tb3_CampaignMaster[Campaign_Code],tb3_CampaignMaster[Target_Audience],"")</f>
        <v>Prospects</v>
      </c>
      <c r="W843" s="17">
        <f>_xlfn.XLOOKUP(Table8[[#This Row],[Campaign_Code]],tb3_CampaignMaster[Campaign_Code],tb3_CampaignMaster[Start_Date],"")</f>
        <v>45689</v>
      </c>
      <c r="X843" s="17">
        <f>_xlfn.XLOOKUP(Table8[[#This Row],[Campaign_Code]],tb3_CampaignMaster[Campaign_Code],tb3_CampaignMaster[End_Date],"")</f>
        <v>45777</v>
      </c>
      <c r="Y843">
        <f>_xlfn.XLOOKUP(Table8[[#This Row],[Campaign_Code]],tb3_CampaignMaster[Campaign_Code],tb3_CampaignMaster[Budget_GBP],"")</f>
        <v>20000</v>
      </c>
      <c r="Z843" t="str">
        <f>_xlfn.XLOOKUP(Table8[[#This Row],[Campaign_Code]],tb3_CampaignMaster[Campaign_Code],tb3_CampaignMaster[Primary_Channel],"")</f>
        <v>Digital</v>
      </c>
      <c r="AA843" s="13">
        <f>IF(Table8[[#This Row],[Gift_Aid_Eligible]]="Yes",Table8[[#This Row],[Gift_Amount]]*1.25,Table8[[#This Row],[Gift_Amount]])</f>
        <v>6194.7249999999995</v>
      </c>
      <c r="AB843" t="str">
        <f>IF(Table8[[#This Row],[Supporter_ID]]="","Review - missing supporter ID","")</f>
        <v/>
      </c>
      <c r="AC843" t="str">
        <f>IF(OR(Table8[[#This Row],[Response_Date]]&lt;Table8[[#This Row],[Start_Date]],Table8[[#This Row],[Response_Date]]&gt;Table8[[#This Row],[End_Date]]),"Review - response outside campaign dates","")</f>
        <v/>
      </c>
      <c r="AD843" t="str">
        <f>IF(Table8[[#This Row],[Campaign_Type]]="","Review - campaign code not found","")</f>
        <v/>
      </c>
    </row>
    <row r="844" spans="1:30" x14ac:dyDescent="0.25">
      <c r="A844" t="s">
        <v>4732</v>
      </c>
      <c r="B844" t="s">
        <v>3242</v>
      </c>
      <c r="C844" t="s">
        <v>3427</v>
      </c>
      <c r="D844" t="s">
        <v>3428</v>
      </c>
      <c r="E844" t="s">
        <v>4</v>
      </c>
      <c r="F844" s="17">
        <v>45488</v>
      </c>
      <c r="G844">
        <v>47.69</v>
      </c>
      <c r="H844" t="s">
        <v>37</v>
      </c>
      <c r="I844" t="s">
        <v>3331</v>
      </c>
      <c r="J844" t="str">
        <f>_xlfn.XLOOKUP(Table8[[#This Row],[Supporter_ID]],tb1_supporters[Supporter_ID ],tb1_supporters[Segment],"")</f>
        <v>One-Time Donor</v>
      </c>
      <c r="K844" t="str">
        <f>_xlfn.XLOOKUP(Table8[[#This Row],[Supporter_ID]],tb1_supporters[Supporter_ID ],tb1_supporters[Acquisition_Source],"")</f>
        <v>Event</v>
      </c>
      <c r="L844" t="str">
        <f>_xlfn.XLOOKUP(Table8[[#This Row],[Supporter_ID]],tb1_supporters[Supporter_ID ],tb1_supporters[County],"")</f>
        <v>Tyne and Wear</v>
      </c>
      <c r="M844" t="str">
        <f>_xlfn.XLOOKUP(Table8[[#This Row],[Supporter_ID]],tb1_supporters[Supporter_ID ],tb1_supporters[Gender],"")</f>
        <v>Male</v>
      </c>
      <c r="N844">
        <f ca="1">_xlfn.XLOOKUP(Table8[[#This Row],[Supporter_ID]],tb1_supporters[Supporter_ID ],tb1_supporters[Age],"")</f>
        <v>31</v>
      </c>
      <c r="O844" t="str">
        <f ca="1">_xlfn.XLOOKUP(Table8[[#This Row],[Supporter_ID]],tb1_supporters[Supporter_ID ],tb1_supporters[Age_Band],"")</f>
        <v>18-34</v>
      </c>
      <c r="P844" t="str">
        <f ca="1">IF(Table8[[#This Row],[Age_Band]]="","Unknown",Table8[[#This Row],[Age_Band]])</f>
        <v>18-34</v>
      </c>
      <c r="Q844" t="str">
        <f>_xlfn.XLOOKUP(Table8[[#This Row],[Supporter_ID]],tb1_supporters[Supporter_ID ],tb1_supporters[Communication_Preference],"")</f>
        <v>Phone</v>
      </c>
      <c r="R844" t="str">
        <f>_xlfn.XLOOKUP(Table8[[#This Row],[Supporter_ID]],tb1_supporters[Supporter_ID ],tb1_supporters[Duplicate_Profile_Flag],"")</f>
        <v/>
      </c>
      <c r="S844" t="str">
        <f>_xlfn.XLOOKUP(Table8[[#This Row],[Supporter_ID]],tb1_supporters[Supporter_ID ],tb1_supporters[Preference_Compliance_Flag],"")</f>
        <v>Review - prefers phone but not opted in</v>
      </c>
      <c r="T844" t="str">
        <f ca="1">IF(Table8[[#This Row],[Age]]="","Review - missing DOB",IF(Table8[[#This Row],[Age]]&gt;TODAY(),"Review - future DOB",IF(Table8[[#This Row],[Age]]=0,"Review -  potential entry error (age 0)","")))</f>
        <v/>
      </c>
      <c r="U844" t="str">
        <f>_xlfn.XLOOKUP(Table8[[#This Row],[Campaign_Code]],tb3_CampaignMaster[Campaign_Code],tb3_CampaignMaster[Campaign_Type],"")</f>
        <v>Event</v>
      </c>
      <c r="V844" t="str">
        <f>_xlfn.XLOOKUP(Table8[[#This Row],[Campaign_Code]],tb3_CampaignMaster[Campaign_Code],tb3_CampaignMaster[Target_Audience],"")</f>
        <v>Major Donors</v>
      </c>
      <c r="W844" s="17">
        <f>_xlfn.XLOOKUP(Table8[[#This Row],[Campaign_Code]],tb3_CampaignMaster[Campaign_Code],tb3_CampaignMaster[Start_Date],"")</f>
        <v>45488</v>
      </c>
      <c r="X844" s="17">
        <f>_xlfn.XLOOKUP(Table8[[#This Row],[Campaign_Code]],tb3_CampaignMaster[Campaign_Code],tb3_CampaignMaster[End_Date],"")</f>
        <v>45488</v>
      </c>
      <c r="Y844">
        <f>_xlfn.XLOOKUP(Table8[[#This Row],[Campaign_Code]],tb3_CampaignMaster[Campaign_Code],tb3_CampaignMaster[Budget_GBP],"")</f>
        <v>45000</v>
      </c>
      <c r="Z844" t="str">
        <f>_xlfn.XLOOKUP(Table8[[#This Row],[Campaign_Code]],tb3_CampaignMaster[Campaign_Code],tb3_CampaignMaster[Primary_Channel],"")</f>
        <v>Direct Mail</v>
      </c>
      <c r="AA844" s="13">
        <f>IF(Table8[[#This Row],[Gift_Aid_Eligible]]="Yes",Table8[[#This Row],[Gift_Amount]]*1.25,Table8[[#This Row],[Gift_Amount]])</f>
        <v>47.69</v>
      </c>
      <c r="AB844" t="str">
        <f>IF(Table8[[#This Row],[Supporter_ID]]="","Review - missing supporter ID","")</f>
        <v/>
      </c>
      <c r="AC844" t="str">
        <f>IF(OR(Table8[[#This Row],[Response_Date]]&lt;Table8[[#This Row],[Start_Date]],Table8[[#This Row],[Response_Date]]&gt;Table8[[#This Row],[End_Date]]),"Review - response outside campaign dates","")</f>
        <v/>
      </c>
      <c r="AD844" t="str">
        <f>IF(Table8[[#This Row],[Campaign_Type]]="","Review - campaign code not found","")</f>
        <v/>
      </c>
    </row>
    <row r="845" spans="1:30" x14ac:dyDescent="0.25">
      <c r="A845" t="s">
        <v>4733</v>
      </c>
      <c r="B845" t="s">
        <v>3266</v>
      </c>
      <c r="C845" t="s">
        <v>3367</v>
      </c>
      <c r="D845" t="s">
        <v>3368</v>
      </c>
      <c r="E845" t="s">
        <v>4</v>
      </c>
      <c r="F845" s="17">
        <v>45739</v>
      </c>
      <c r="G845">
        <v>27.05</v>
      </c>
      <c r="H845" t="s">
        <v>36</v>
      </c>
      <c r="I845" t="s">
        <v>3323</v>
      </c>
      <c r="J845" t="str">
        <f>_xlfn.XLOOKUP(Table8[[#This Row],[Supporter_ID]],tb1_supporters[Supporter_ID ],tb1_supporters[Segment],"")</f>
        <v>Mid-Value</v>
      </c>
      <c r="K845" t="str">
        <f>_xlfn.XLOOKUP(Table8[[#This Row],[Supporter_ID]],tb1_supporters[Supporter_ID ],tb1_supporters[Acquisition_Source],"")</f>
        <v>Door-To-Door</v>
      </c>
      <c r="L845" t="str">
        <f>_xlfn.XLOOKUP(Table8[[#This Row],[Supporter_ID]],tb1_supporters[Supporter_ID ],tb1_supporters[County],"")</f>
        <v>Angus</v>
      </c>
      <c r="M845" t="str">
        <f>_xlfn.XLOOKUP(Table8[[#This Row],[Supporter_ID]],tb1_supporters[Supporter_ID ],tb1_supporters[Gender],"")</f>
        <v>Female</v>
      </c>
      <c r="N845">
        <f ca="1">_xlfn.XLOOKUP(Table8[[#This Row],[Supporter_ID]],tb1_supporters[Supporter_ID ],tb1_supporters[Age],"")</f>
        <v>59</v>
      </c>
      <c r="O845" t="str">
        <f ca="1">_xlfn.XLOOKUP(Table8[[#This Row],[Supporter_ID]],tb1_supporters[Supporter_ID ],tb1_supporters[Age_Band],"")</f>
        <v>50-64</v>
      </c>
      <c r="P845" t="str">
        <f ca="1">IF(Table8[[#This Row],[Age_Band]]="","Unknown",Table8[[#This Row],[Age_Band]])</f>
        <v>50-64</v>
      </c>
      <c r="Q845" t="str">
        <f>_xlfn.XLOOKUP(Table8[[#This Row],[Supporter_ID]],tb1_supporters[Supporter_ID ],tb1_supporters[Communication_Preference],"")</f>
        <v>Post</v>
      </c>
      <c r="R845" t="str">
        <f>_xlfn.XLOOKUP(Table8[[#This Row],[Supporter_ID]],tb1_supporters[Supporter_ID ],tb1_supporters[Duplicate_Profile_Flag],"")</f>
        <v/>
      </c>
      <c r="S845" t="str">
        <f>_xlfn.XLOOKUP(Table8[[#This Row],[Supporter_ID]],tb1_supporters[Supporter_ID ],tb1_supporters[Preference_Compliance_Flag],"")</f>
        <v>Review - prefers post but not opted in</v>
      </c>
      <c r="T845" t="str">
        <f ca="1">IF(Table8[[#This Row],[Age]]="","Review - missing DOB",IF(Table8[[#This Row],[Age]]&gt;TODAY(),"Review - future DOB",IF(Table8[[#This Row],[Age]]=0,"Review -  potential entry error (age 0)","")))</f>
        <v/>
      </c>
      <c r="U845" t="str">
        <f>_xlfn.XLOOKUP(Table8[[#This Row],[Campaign_Code]],tb3_CampaignMaster[Campaign_Code],tb3_CampaignMaster[Campaign_Type],"")</f>
        <v>Raffle</v>
      </c>
      <c r="V845" t="str">
        <f>_xlfn.XLOOKUP(Table8[[#This Row],[Campaign_Code]],tb3_CampaignMaster[Campaign_Code],tb3_CampaignMaster[Target_Audience],"")</f>
        <v>Regular Givers</v>
      </c>
      <c r="W845" s="17">
        <f>_xlfn.XLOOKUP(Table8[[#This Row],[Campaign_Code]],tb3_CampaignMaster[Campaign_Code],tb3_CampaignMaster[Start_Date],"")</f>
        <v>45717</v>
      </c>
      <c r="X845" s="17">
        <f>_xlfn.XLOOKUP(Table8[[#This Row],[Campaign_Code]],tb3_CampaignMaster[Campaign_Code],tb3_CampaignMaster[End_Date],"")</f>
        <v>45777</v>
      </c>
      <c r="Y845">
        <f>_xlfn.XLOOKUP(Table8[[#This Row],[Campaign_Code]],tb3_CampaignMaster[Campaign_Code],tb3_CampaignMaster[Budget_GBP],"")</f>
        <v>8000</v>
      </c>
      <c r="Z845" t="str">
        <f>_xlfn.XLOOKUP(Table8[[#This Row],[Campaign_Code]],tb3_CampaignMaster[Campaign_Code],tb3_CampaignMaster[Primary_Channel],"")</f>
        <v>Direct Mail</v>
      </c>
      <c r="AA845" s="13">
        <f>IF(Table8[[#This Row],[Gift_Aid_Eligible]]="Yes",Table8[[#This Row],[Gift_Amount]]*1.25,Table8[[#This Row],[Gift_Amount]])</f>
        <v>33.8125</v>
      </c>
      <c r="AB845" t="str">
        <f>IF(Table8[[#This Row],[Supporter_ID]]="","Review - missing supporter ID","")</f>
        <v/>
      </c>
      <c r="AC845" t="str">
        <f>IF(OR(Table8[[#This Row],[Response_Date]]&lt;Table8[[#This Row],[Start_Date]],Table8[[#This Row],[Response_Date]]&gt;Table8[[#This Row],[End_Date]]),"Review - response outside campaign dates","")</f>
        <v/>
      </c>
      <c r="AD845" t="str">
        <f>IF(Table8[[#This Row],[Campaign_Type]]="","Review - campaign code not found","")</f>
        <v/>
      </c>
    </row>
    <row r="846" spans="1:30" x14ac:dyDescent="0.25">
      <c r="A846" t="s">
        <v>4735</v>
      </c>
      <c r="B846" t="s">
        <v>1538</v>
      </c>
      <c r="C846" t="s">
        <v>3341</v>
      </c>
      <c r="D846" t="s">
        <v>3342</v>
      </c>
      <c r="E846" t="s">
        <v>3316</v>
      </c>
      <c r="F846" s="17">
        <v>45741</v>
      </c>
      <c r="G846">
        <v>20.350000000000001</v>
      </c>
      <c r="H846" t="s">
        <v>37</v>
      </c>
      <c r="I846" t="s">
        <v>3385</v>
      </c>
      <c r="J846" t="str">
        <f>_xlfn.XLOOKUP(Table8[[#This Row],[Supporter_ID]],tb1_supporters[Supporter_ID ],tb1_supporters[Segment],"")</f>
        <v>Prospect</v>
      </c>
      <c r="K846" t="str">
        <f>_xlfn.XLOOKUP(Table8[[#This Row],[Supporter_ID]],tb1_supporters[Supporter_ID ],tb1_supporters[Acquisition_Source],"")</f>
        <v>Event</v>
      </c>
      <c r="L846" t="str">
        <f>_xlfn.XLOOKUP(Table8[[#This Row],[Supporter_ID]],tb1_supporters[Supporter_ID ],tb1_supporters[County],"")</f>
        <v>Merseyside</v>
      </c>
      <c r="M846" t="str">
        <f>_xlfn.XLOOKUP(Table8[[#This Row],[Supporter_ID]],tb1_supporters[Supporter_ID ],tb1_supporters[Gender],"")</f>
        <v>Female</v>
      </c>
      <c r="N846">
        <f ca="1">_xlfn.XLOOKUP(Table8[[#This Row],[Supporter_ID]],tb1_supporters[Supporter_ID ],tb1_supporters[Age],"")</f>
        <v>59</v>
      </c>
      <c r="O846" t="str">
        <f ca="1">_xlfn.XLOOKUP(Table8[[#This Row],[Supporter_ID]],tb1_supporters[Supporter_ID ],tb1_supporters[Age_Band],"")</f>
        <v>50-64</v>
      </c>
      <c r="P846" t="str">
        <f ca="1">IF(Table8[[#This Row],[Age_Band]]="","Unknown",Table8[[#This Row],[Age_Band]])</f>
        <v>50-64</v>
      </c>
      <c r="Q846" t="str">
        <f>_xlfn.XLOOKUP(Table8[[#This Row],[Supporter_ID]],tb1_supporters[Supporter_ID ],tb1_supporters[Communication_Preference],"")</f>
        <v>Email</v>
      </c>
      <c r="R846" t="str">
        <f>_xlfn.XLOOKUP(Table8[[#This Row],[Supporter_ID]],tb1_supporters[Supporter_ID ],tb1_supporters[Duplicate_Profile_Flag],"")</f>
        <v/>
      </c>
      <c r="S846" t="str">
        <f>_xlfn.XLOOKUP(Table8[[#This Row],[Supporter_ID]],tb1_supporters[Supporter_ID ],tb1_supporters[Preference_Compliance_Flag],"")</f>
        <v/>
      </c>
      <c r="T846" t="str">
        <f ca="1">IF(Table8[[#This Row],[Age]]="","Review - missing DOB",IF(Table8[[#This Row],[Age]]&gt;TODAY(),"Review - future DOB",IF(Table8[[#This Row],[Age]]=0,"Review -  potential entry error (age 0)","")))</f>
        <v/>
      </c>
      <c r="U846" t="str">
        <f>_xlfn.XLOOKUP(Table8[[#This Row],[Campaign_Code]],tb3_CampaignMaster[Campaign_Code],tb3_CampaignMaster[Campaign_Type],"")</f>
        <v>Acquisition</v>
      </c>
      <c r="V846" t="str">
        <f>_xlfn.XLOOKUP(Table8[[#This Row],[Campaign_Code]],tb3_CampaignMaster[Campaign_Code],tb3_CampaignMaster[Target_Audience],"")</f>
        <v>Prospects</v>
      </c>
      <c r="W846" s="17">
        <f>_xlfn.XLOOKUP(Table8[[#This Row],[Campaign_Code]],tb3_CampaignMaster[Campaign_Code],tb3_CampaignMaster[Start_Date],"")</f>
        <v>45689</v>
      </c>
      <c r="X846" s="17">
        <f>_xlfn.XLOOKUP(Table8[[#This Row],[Campaign_Code]],tb3_CampaignMaster[Campaign_Code],tb3_CampaignMaster[End_Date],"")</f>
        <v>45777</v>
      </c>
      <c r="Y846">
        <f>_xlfn.XLOOKUP(Table8[[#This Row],[Campaign_Code]],tb3_CampaignMaster[Campaign_Code],tb3_CampaignMaster[Budget_GBP],"")</f>
        <v>20000</v>
      </c>
      <c r="Z846" t="str">
        <f>_xlfn.XLOOKUP(Table8[[#This Row],[Campaign_Code]],tb3_CampaignMaster[Campaign_Code],tb3_CampaignMaster[Primary_Channel],"")</f>
        <v>Digital</v>
      </c>
      <c r="AA846" s="13">
        <f>IF(Table8[[#This Row],[Gift_Aid_Eligible]]="Yes",Table8[[#This Row],[Gift_Amount]]*1.25,Table8[[#This Row],[Gift_Amount]])</f>
        <v>20.350000000000001</v>
      </c>
      <c r="AB846" t="str">
        <f>IF(Table8[[#This Row],[Supporter_ID]]="","Review - missing supporter ID","")</f>
        <v/>
      </c>
      <c r="AC846" t="str">
        <f>IF(OR(Table8[[#This Row],[Response_Date]]&lt;Table8[[#This Row],[Start_Date]],Table8[[#This Row],[Response_Date]]&gt;Table8[[#This Row],[End_Date]]),"Review - response outside campaign dates","")</f>
        <v/>
      </c>
      <c r="AD846" t="str">
        <f>IF(Table8[[#This Row],[Campaign_Type]]="","Review - campaign code not found","")</f>
        <v/>
      </c>
    </row>
    <row r="847" spans="1:30" x14ac:dyDescent="0.25">
      <c r="A847" t="s">
        <v>4736</v>
      </c>
      <c r="B847" t="s">
        <v>357</v>
      </c>
      <c r="C847" t="s">
        <v>3354</v>
      </c>
      <c r="D847" t="s">
        <v>3355</v>
      </c>
      <c r="E847" t="s">
        <v>65</v>
      </c>
      <c r="F847" s="17">
        <v>45618</v>
      </c>
      <c r="G847">
        <v>186.32</v>
      </c>
      <c r="H847" t="s">
        <v>37</v>
      </c>
      <c r="I847" t="s">
        <v>3370</v>
      </c>
      <c r="J847" t="str">
        <f>_xlfn.XLOOKUP(Table8[[#This Row],[Supporter_ID]],tb1_supporters[Supporter_ID ],tb1_supporters[Segment],"")</f>
        <v>Mid-Value</v>
      </c>
      <c r="K847" t="str">
        <f>_xlfn.XLOOKUP(Table8[[#This Row],[Supporter_ID]],tb1_supporters[Supporter_ID ],tb1_supporters[Acquisition_Source],"")</f>
        <v>Referral</v>
      </c>
      <c r="L847" t="str">
        <f>_xlfn.XLOOKUP(Table8[[#This Row],[Supporter_ID]],tb1_supporters[Supporter_ID ],tb1_supporters[County],"")</f>
        <v>Antrim</v>
      </c>
      <c r="M847" t="str">
        <f>_xlfn.XLOOKUP(Table8[[#This Row],[Supporter_ID]],tb1_supporters[Supporter_ID ],tb1_supporters[Gender],"")</f>
        <v>Female</v>
      </c>
      <c r="N847">
        <f ca="1">_xlfn.XLOOKUP(Table8[[#This Row],[Supporter_ID]],tb1_supporters[Supporter_ID ],tb1_supporters[Age],"")</f>
        <v>60</v>
      </c>
      <c r="O847" t="str">
        <f ca="1">_xlfn.XLOOKUP(Table8[[#This Row],[Supporter_ID]],tb1_supporters[Supporter_ID ],tb1_supporters[Age_Band],"")</f>
        <v>50-64</v>
      </c>
      <c r="P847" t="str">
        <f ca="1">IF(Table8[[#This Row],[Age_Band]]="","Unknown",Table8[[#This Row],[Age_Band]])</f>
        <v>50-64</v>
      </c>
      <c r="Q847" t="str">
        <f>_xlfn.XLOOKUP(Table8[[#This Row],[Supporter_ID]],tb1_supporters[Supporter_ID ],tb1_supporters[Communication_Preference],"")</f>
        <v>Post</v>
      </c>
      <c r="R847" t="str">
        <f>_xlfn.XLOOKUP(Table8[[#This Row],[Supporter_ID]],tb1_supporters[Supporter_ID ],tb1_supporters[Duplicate_Profile_Flag],"")</f>
        <v/>
      </c>
      <c r="S847" t="str">
        <f>_xlfn.XLOOKUP(Table8[[#This Row],[Supporter_ID]],tb1_supporters[Supporter_ID ],tb1_supporters[Preference_Compliance_Flag],"")</f>
        <v>Review - prefers post but not opted in</v>
      </c>
      <c r="T847" t="str">
        <f ca="1">IF(Table8[[#This Row],[Age]]="","Review - missing DOB",IF(Table8[[#This Row],[Age]]&gt;TODAY(),"Review - future DOB",IF(Table8[[#This Row],[Age]]=0,"Review -  potential entry error (age 0)","")))</f>
        <v/>
      </c>
      <c r="U847" t="str">
        <f>_xlfn.XLOOKUP(Table8[[#This Row],[Campaign_Code]],tb3_CampaignMaster[Campaign_Code],tb3_CampaignMaster[Campaign_Type],"")</f>
        <v>Event</v>
      </c>
      <c r="V847" t="str">
        <f>_xlfn.XLOOKUP(Table8[[#This Row],[Campaign_Code]],tb3_CampaignMaster[Campaign_Code],tb3_CampaignMaster[Target_Audience],"")</f>
        <v>Volunteers</v>
      </c>
      <c r="W847" s="17">
        <f>_xlfn.XLOOKUP(Table8[[#This Row],[Campaign_Code]],tb3_CampaignMaster[Campaign_Code],tb3_CampaignMaster[Start_Date],"")</f>
        <v>45618</v>
      </c>
      <c r="X847" s="17">
        <f>_xlfn.XLOOKUP(Table8[[#This Row],[Campaign_Code]],tb3_CampaignMaster[Campaign_Code],tb3_CampaignMaster[End_Date],"")</f>
        <v>45618</v>
      </c>
      <c r="Y847">
        <f>_xlfn.XLOOKUP(Table8[[#This Row],[Campaign_Code]],tb3_CampaignMaster[Campaign_Code],tb3_CampaignMaster[Budget_GBP],"")</f>
        <v>3500</v>
      </c>
      <c r="Z847" t="str">
        <f>_xlfn.XLOOKUP(Table8[[#This Row],[Campaign_Code]],tb3_CampaignMaster[Campaign_Code],tb3_CampaignMaster[Primary_Channel],"")</f>
        <v>Email</v>
      </c>
      <c r="AA847" s="13">
        <f>IF(Table8[[#This Row],[Gift_Aid_Eligible]]="Yes",Table8[[#This Row],[Gift_Amount]]*1.25,Table8[[#This Row],[Gift_Amount]])</f>
        <v>186.32</v>
      </c>
      <c r="AB847" t="str">
        <f>IF(Table8[[#This Row],[Supporter_ID]]="","Review - missing supporter ID","")</f>
        <v/>
      </c>
      <c r="AC847" t="str">
        <f>IF(OR(Table8[[#This Row],[Response_Date]]&lt;Table8[[#This Row],[Start_Date]],Table8[[#This Row],[Response_Date]]&gt;Table8[[#This Row],[End_Date]]),"Review - response outside campaign dates","")</f>
        <v/>
      </c>
      <c r="AD847" t="str">
        <f>IF(Table8[[#This Row],[Campaign_Type]]="","Review - campaign code not found","")</f>
        <v/>
      </c>
    </row>
    <row r="848" spans="1:30" x14ac:dyDescent="0.25">
      <c r="A848" t="s">
        <v>4737</v>
      </c>
      <c r="B848" t="s">
        <v>21</v>
      </c>
      <c r="C848" t="s">
        <v>3341</v>
      </c>
      <c r="D848" t="s">
        <v>3342</v>
      </c>
      <c r="E848" t="s">
        <v>91</v>
      </c>
      <c r="F848" s="17">
        <v>45761</v>
      </c>
      <c r="G848">
        <v>63.87</v>
      </c>
      <c r="H848" t="s">
        <v>36</v>
      </c>
      <c r="I848" t="s">
        <v>3370</v>
      </c>
      <c r="J848" t="str">
        <f>_xlfn.XLOOKUP(Table8[[#This Row],[Supporter_ID]],tb1_supporters[Supporter_ID ],tb1_supporters[Segment],"")</f>
        <v>One-Time Donor</v>
      </c>
      <c r="K848" t="str">
        <f>_xlfn.XLOOKUP(Table8[[#This Row],[Supporter_ID]],tb1_supporters[Supporter_ID ],tb1_supporters[Acquisition_Source],"")</f>
        <v>Telephone</v>
      </c>
      <c r="L848" t="str">
        <f>_xlfn.XLOOKUP(Table8[[#This Row],[Supporter_ID]],tb1_supporters[Supporter_ID ],tb1_supporters[County],"")</f>
        <v>Nottinghamshire</v>
      </c>
      <c r="M848" t="str">
        <f>_xlfn.XLOOKUP(Table8[[#This Row],[Supporter_ID]],tb1_supporters[Supporter_ID ],tb1_supporters[Gender],"")</f>
        <v>Female</v>
      </c>
      <c r="N848">
        <f ca="1">_xlfn.XLOOKUP(Table8[[#This Row],[Supporter_ID]],tb1_supporters[Supporter_ID ],tb1_supporters[Age],"")</f>
        <v>48</v>
      </c>
      <c r="O848" t="str">
        <f ca="1">_xlfn.XLOOKUP(Table8[[#This Row],[Supporter_ID]],tb1_supporters[Supporter_ID ],tb1_supporters[Age_Band],"")</f>
        <v>35-49</v>
      </c>
      <c r="P848" t="str">
        <f ca="1">IF(Table8[[#This Row],[Age_Band]]="","Unknown",Table8[[#This Row],[Age_Band]])</f>
        <v>35-49</v>
      </c>
      <c r="Q848" t="str">
        <f>_xlfn.XLOOKUP(Table8[[#This Row],[Supporter_ID]],tb1_supporters[Supporter_ID ],tb1_supporters[Communication_Preference],"")</f>
        <v>Phone</v>
      </c>
      <c r="R848" t="str">
        <f>_xlfn.XLOOKUP(Table8[[#This Row],[Supporter_ID]],tb1_supporters[Supporter_ID ],tb1_supporters[Duplicate_Profile_Flag],"")</f>
        <v/>
      </c>
      <c r="S848" t="str">
        <f>_xlfn.XLOOKUP(Table8[[#This Row],[Supporter_ID]],tb1_supporters[Supporter_ID ],tb1_supporters[Preference_Compliance_Flag],"")</f>
        <v>Review - prefers phone but not opted in</v>
      </c>
      <c r="T848" t="str">
        <f ca="1">IF(Table8[[#This Row],[Age]]="","Review - missing DOB",IF(Table8[[#This Row],[Age]]&gt;TODAY(),"Review - future DOB",IF(Table8[[#This Row],[Age]]=0,"Review -  potential entry error (age 0)","")))</f>
        <v/>
      </c>
      <c r="U848" t="str">
        <f>_xlfn.XLOOKUP(Table8[[#This Row],[Campaign_Code]],tb3_CampaignMaster[Campaign_Code],tb3_CampaignMaster[Campaign_Type],"")</f>
        <v>Acquisition</v>
      </c>
      <c r="V848" t="str">
        <f>_xlfn.XLOOKUP(Table8[[#This Row],[Campaign_Code]],tb3_CampaignMaster[Campaign_Code],tb3_CampaignMaster[Target_Audience],"")</f>
        <v>Prospects</v>
      </c>
      <c r="W848" s="17">
        <f>_xlfn.XLOOKUP(Table8[[#This Row],[Campaign_Code]],tb3_CampaignMaster[Campaign_Code],tb3_CampaignMaster[Start_Date],"")</f>
        <v>45689</v>
      </c>
      <c r="X848" s="17">
        <f>_xlfn.XLOOKUP(Table8[[#This Row],[Campaign_Code]],tb3_CampaignMaster[Campaign_Code],tb3_CampaignMaster[End_Date],"")</f>
        <v>45777</v>
      </c>
      <c r="Y848">
        <f>_xlfn.XLOOKUP(Table8[[#This Row],[Campaign_Code]],tb3_CampaignMaster[Campaign_Code],tb3_CampaignMaster[Budget_GBP],"")</f>
        <v>20000</v>
      </c>
      <c r="Z848" t="str">
        <f>_xlfn.XLOOKUP(Table8[[#This Row],[Campaign_Code]],tb3_CampaignMaster[Campaign_Code],tb3_CampaignMaster[Primary_Channel],"")</f>
        <v>Digital</v>
      </c>
      <c r="AA848" s="13">
        <f>IF(Table8[[#This Row],[Gift_Aid_Eligible]]="Yes",Table8[[#This Row],[Gift_Amount]]*1.25,Table8[[#This Row],[Gift_Amount]])</f>
        <v>79.837499999999991</v>
      </c>
      <c r="AB848" t="str">
        <f>IF(Table8[[#This Row],[Supporter_ID]]="","Review - missing supporter ID","")</f>
        <v/>
      </c>
      <c r="AC848" t="str">
        <f>IF(OR(Table8[[#This Row],[Response_Date]]&lt;Table8[[#This Row],[Start_Date]],Table8[[#This Row],[Response_Date]]&gt;Table8[[#This Row],[End_Date]]),"Review - response outside campaign dates","")</f>
        <v/>
      </c>
      <c r="AD848" t="str">
        <f>IF(Table8[[#This Row],[Campaign_Type]]="","Review - campaign code not found","")</f>
        <v/>
      </c>
    </row>
    <row r="849" spans="1:30" x14ac:dyDescent="0.25">
      <c r="A849" t="s">
        <v>4739</v>
      </c>
      <c r="B849" t="s">
        <v>2922</v>
      </c>
      <c r="C849" t="s">
        <v>3320</v>
      </c>
      <c r="D849" t="s">
        <v>3321</v>
      </c>
      <c r="E849" t="s">
        <v>65</v>
      </c>
      <c r="F849" s="17">
        <v>45459</v>
      </c>
      <c r="G849">
        <v>113.56</v>
      </c>
      <c r="H849" t="s">
        <v>36</v>
      </c>
      <c r="I849" t="s">
        <v>3334</v>
      </c>
      <c r="J849" t="str">
        <f>_xlfn.XLOOKUP(Table8[[#This Row],[Supporter_ID]],tb1_supporters[Supporter_ID ],tb1_supporters[Segment],"")</f>
        <v>One-Time Donor</v>
      </c>
      <c r="K849" t="str">
        <f>_xlfn.XLOOKUP(Table8[[#This Row],[Supporter_ID]],tb1_supporters[Supporter_ID ],tb1_supporters[Acquisition_Source],"")</f>
        <v>Corporate Partner</v>
      </c>
      <c r="L849" t="str">
        <f>_xlfn.XLOOKUP(Table8[[#This Row],[Supporter_ID]],tb1_supporters[Supporter_ID ],tb1_supporters[County],"")</f>
        <v>Strathclyde</v>
      </c>
      <c r="M849" t="str">
        <f>_xlfn.XLOOKUP(Table8[[#This Row],[Supporter_ID]],tb1_supporters[Supporter_ID ],tb1_supporters[Gender],"")</f>
        <v>Male</v>
      </c>
      <c r="N849">
        <f ca="1">_xlfn.XLOOKUP(Table8[[#This Row],[Supporter_ID]],tb1_supporters[Supporter_ID ],tb1_supporters[Age],"")</f>
        <v>32</v>
      </c>
      <c r="O849" t="str">
        <f ca="1">_xlfn.XLOOKUP(Table8[[#This Row],[Supporter_ID]],tb1_supporters[Supporter_ID ],tb1_supporters[Age_Band],"")</f>
        <v>18-34</v>
      </c>
      <c r="P849" t="str">
        <f ca="1">IF(Table8[[#This Row],[Age_Band]]="","Unknown",Table8[[#This Row],[Age_Band]])</f>
        <v>18-34</v>
      </c>
      <c r="Q849" t="str">
        <f>_xlfn.XLOOKUP(Table8[[#This Row],[Supporter_ID]],tb1_supporters[Supporter_ID ],tb1_supporters[Communication_Preference],"")</f>
        <v>Email</v>
      </c>
      <c r="R849" t="str">
        <f>_xlfn.XLOOKUP(Table8[[#This Row],[Supporter_ID]],tb1_supporters[Supporter_ID ],tb1_supporters[Duplicate_Profile_Flag],"")</f>
        <v/>
      </c>
      <c r="S849" t="str">
        <f>_xlfn.XLOOKUP(Table8[[#This Row],[Supporter_ID]],tb1_supporters[Supporter_ID ],tb1_supporters[Preference_Compliance_Flag],"")</f>
        <v/>
      </c>
      <c r="T849" t="str">
        <f ca="1">IF(Table8[[#This Row],[Age]]="","Review - missing DOB",IF(Table8[[#This Row],[Age]]&gt;TODAY(),"Review - future DOB",IF(Table8[[#This Row],[Age]]=0,"Review -  potential entry error (age 0)","")))</f>
        <v/>
      </c>
      <c r="U849" t="str">
        <f>_xlfn.XLOOKUP(Table8[[#This Row],[Campaign_Code]],tb3_CampaignMaster[Campaign_Code],tb3_CampaignMaster[Campaign_Type],"")</f>
        <v>Stewardship</v>
      </c>
      <c r="V849" t="str">
        <f>_xlfn.XLOOKUP(Table8[[#This Row],[Campaign_Code]],tb3_CampaignMaster[Campaign_Code],tb3_CampaignMaster[Target_Audience],"")</f>
        <v>Major Donors</v>
      </c>
      <c r="W849" s="17">
        <f>_xlfn.XLOOKUP(Table8[[#This Row],[Campaign_Code]],tb3_CampaignMaster[Campaign_Code],tb3_CampaignMaster[Start_Date],"")</f>
        <v>45444</v>
      </c>
      <c r="X849" s="17">
        <f>_xlfn.XLOOKUP(Table8[[#This Row],[Campaign_Code]],tb3_CampaignMaster[Campaign_Code],tb3_CampaignMaster[End_Date],"")</f>
        <v>45473</v>
      </c>
      <c r="Y849">
        <f>_xlfn.XLOOKUP(Table8[[#This Row],[Campaign_Code]],tb3_CampaignMaster[Campaign_Code],tb3_CampaignMaster[Budget_GBP],"")</f>
        <v>7000</v>
      </c>
      <c r="Z849" t="str">
        <f>_xlfn.XLOOKUP(Table8[[#This Row],[Campaign_Code]],tb3_CampaignMaster[Campaign_Code],tb3_CampaignMaster[Primary_Channel],"")</f>
        <v>Direct Mail</v>
      </c>
      <c r="AA849" s="13">
        <f>IF(Table8[[#This Row],[Gift_Aid_Eligible]]="Yes",Table8[[#This Row],[Gift_Amount]]*1.25,Table8[[#This Row],[Gift_Amount]])</f>
        <v>141.94999999999999</v>
      </c>
      <c r="AB849" t="str">
        <f>IF(Table8[[#This Row],[Supporter_ID]]="","Review - missing supporter ID","")</f>
        <v/>
      </c>
      <c r="AC849" t="str">
        <f>IF(OR(Table8[[#This Row],[Response_Date]]&lt;Table8[[#This Row],[Start_Date]],Table8[[#This Row],[Response_Date]]&gt;Table8[[#This Row],[End_Date]]),"Review - response outside campaign dates","")</f>
        <v/>
      </c>
      <c r="AD849" t="str">
        <f>IF(Table8[[#This Row],[Campaign_Type]]="","Review - campaign code not found","")</f>
        <v/>
      </c>
    </row>
    <row r="850" spans="1:30" x14ac:dyDescent="0.25">
      <c r="A850" t="s">
        <v>4740</v>
      </c>
      <c r="B850" t="s">
        <v>2958</v>
      </c>
      <c r="C850" t="s">
        <v>3314</v>
      </c>
      <c r="D850" t="s">
        <v>3315</v>
      </c>
      <c r="E850" t="s">
        <v>33</v>
      </c>
      <c r="F850" s="17">
        <v>45932</v>
      </c>
      <c r="G850">
        <v>17.86</v>
      </c>
      <c r="H850" t="s">
        <v>36</v>
      </c>
      <c r="I850" t="s">
        <v>3370</v>
      </c>
      <c r="J850" t="str">
        <f>_xlfn.XLOOKUP(Table8[[#This Row],[Supporter_ID]],tb1_supporters[Supporter_ID ],tb1_supporters[Segment],"")</f>
        <v>One-Time Donor</v>
      </c>
      <c r="K850" t="str">
        <f>_xlfn.XLOOKUP(Table8[[#This Row],[Supporter_ID]],tb1_supporters[Supporter_ID ],tb1_supporters[Acquisition_Source],"")</f>
        <v>Website</v>
      </c>
      <c r="L850" t="str">
        <f>_xlfn.XLOOKUP(Table8[[#This Row],[Supporter_ID]],tb1_supporters[Supporter_ID ],tb1_supporters[County],"")</f>
        <v>Strathclyde</v>
      </c>
      <c r="M850" t="str">
        <f>_xlfn.XLOOKUP(Table8[[#This Row],[Supporter_ID]],tb1_supporters[Supporter_ID ],tb1_supporters[Gender],"")</f>
        <v>Female</v>
      </c>
      <c r="N850">
        <f ca="1">_xlfn.XLOOKUP(Table8[[#This Row],[Supporter_ID]],tb1_supporters[Supporter_ID ],tb1_supporters[Age],"")</f>
        <v>71</v>
      </c>
      <c r="O850" t="str">
        <f ca="1">_xlfn.XLOOKUP(Table8[[#This Row],[Supporter_ID]],tb1_supporters[Supporter_ID ],tb1_supporters[Age_Band],"")</f>
        <v>65+</v>
      </c>
      <c r="P850" t="str">
        <f ca="1">IF(Table8[[#This Row],[Age_Band]]="","Unknown",Table8[[#This Row],[Age_Band]])</f>
        <v>65+</v>
      </c>
      <c r="Q850" t="str">
        <f>_xlfn.XLOOKUP(Table8[[#This Row],[Supporter_ID]],tb1_supporters[Supporter_ID ],tb1_supporters[Communication_Preference],"")</f>
        <v>Do Not Contact</v>
      </c>
      <c r="R850" t="str">
        <f>_xlfn.XLOOKUP(Table8[[#This Row],[Supporter_ID]],tb1_supporters[Supporter_ID ],tb1_supporters[Duplicate_Profile_Flag],"")</f>
        <v/>
      </c>
      <c r="S850" t="str">
        <f>_xlfn.XLOOKUP(Table8[[#This Row],[Supporter_ID]],tb1_supporters[Supporter_ID ],tb1_supporters[Preference_Compliance_Flag],"")</f>
        <v/>
      </c>
      <c r="T850" t="str">
        <f ca="1">IF(Table8[[#This Row],[Age]]="","Review - missing DOB",IF(Table8[[#This Row],[Age]]&gt;TODAY(),"Review - future DOB",IF(Table8[[#This Row],[Age]]=0,"Review -  potential entry error (age 0)","")))</f>
        <v/>
      </c>
      <c r="U850" t="str">
        <f>_xlfn.XLOOKUP(Table8[[#This Row],[Campaign_Code]],tb3_CampaignMaster[Campaign_Code],tb3_CampaignMaster[Campaign_Type],"")</f>
        <v>Regular Giving</v>
      </c>
      <c r="V850" t="str">
        <f>_xlfn.XLOOKUP(Table8[[#This Row],[Campaign_Code]],tb3_CampaignMaster[Campaign_Code],tb3_CampaignMaster[Target_Audience],"")</f>
        <v>One-time Donors</v>
      </c>
      <c r="W850" s="17">
        <f>_xlfn.XLOOKUP(Table8[[#This Row],[Campaign_Code]],tb3_CampaignMaster[Campaign_Code],tb3_CampaignMaster[Start_Date],"")</f>
        <v>45663</v>
      </c>
      <c r="X850" s="17">
        <f>_xlfn.XLOOKUP(Table8[[#This Row],[Campaign_Code]],tb3_CampaignMaster[Campaign_Code],tb3_CampaignMaster[End_Date],"")</f>
        <v>45747</v>
      </c>
      <c r="Y850">
        <f>_xlfn.XLOOKUP(Table8[[#This Row],[Campaign_Code]],tb3_CampaignMaster[Campaign_Code],tb3_CampaignMaster[Budget_GBP],"")</f>
        <v>10000</v>
      </c>
      <c r="Z850" t="str">
        <f>_xlfn.XLOOKUP(Table8[[#This Row],[Campaign_Code]],tb3_CampaignMaster[Campaign_Code],tb3_CampaignMaster[Primary_Channel],"")</f>
        <v>Telephone</v>
      </c>
      <c r="AA850" s="13">
        <f>IF(Table8[[#This Row],[Gift_Aid_Eligible]]="Yes",Table8[[#This Row],[Gift_Amount]]*1.25,Table8[[#This Row],[Gift_Amount]])</f>
        <v>22.324999999999999</v>
      </c>
      <c r="AB850" t="str">
        <f>IF(Table8[[#This Row],[Supporter_ID]]="","Review - missing supporter ID","")</f>
        <v/>
      </c>
      <c r="AC850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850" t="str">
        <f>IF(Table8[[#This Row],[Campaign_Type]]="","Review - campaign code not found","")</f>
        <v/>
      </c>
    </row>
    <row r="851" spans="1:30" x14ac:dyDescent="0.25">
      <c r="A851" t="s">
        <v>4742</v>
      </c>
      <c r="B851" t="s">
        <v>412</v>
      </c>
      <c r="C851" t="s">
        <v>3320</v>
      </c>
      <c r="D851" t="s">
        <v>3321</v>
      </c>
      <c r="E851" t="s">
        <v>65</v>
      </c>
      <c r="F851" s="17">
        <v>45444</v>
      </c>
      <c r="G851">
        <v>92.11</v>
      </c>
      <c r="H851" t="s">
        <v>36</v>
      </c>
      <c r="I851" t="s">
        <v>3334</v>
      </c>
      <c r="J851" t="str">
        <f>_xlfn.XLOOKUP(Table8[[#This Row],[Supporter_ID]],tb1_supporters[Supporter_ID ],tb1_supporters[Segment],"")</f>
        <v>One-Time Donor</v>
      </c>
      <c r="K851" t="str">
        <f>_xlfn.XLOOKUP(Table8[[#This Row],[Supporter_ID]],tb1_supporters[Supporter_ID ],tb1_supporters[Acquisition_Source],"")</f>
        <v>Direct Mail</v>
      </c>
      <c r="L851" t="str">
        <f>_xlfn.XLOOKUP(Table8[[#This Row],[Supporter_ID]],tb1_supporters[Supporter_ID ],tb1_supporters[County],"")</f>
        <v>Hertfordshire</v>
      </c>
      <c r="M851" t="str">
        <f>_xlfn.XLOOKUP(Table8[[#This Row],[Supporter_ID]],tb1_supporters[Supporter_ID ],tb1_supporters[Gender],"")</f>
        <v>Female</v>
      </c>
      <c r="N851">
        <f ca="1">_xlfn.XLOOKUP(Table8[[#This Row],[Supporter_ID]],tb1_supporters[Supporter_ID ],tb1_supporters[Age],"")</f>
        <v>57</v>
      </c>
      <c r="O851" t="str">
        <f ca="1">_xlfn.XLOOKUP(Table8[[#This Row],[Supporter_ID]],tb1_supporters[Supporter_ID ],tb1_supporters[Age_Band],"")</f>
        <v>50-64</v>
      </c>
      <c r="P851" t="str">
        <f ca="1">IF(Table8[[#This Row],[Age_Band]]="","Unknown",Table8[[#This Row],[Age_Band]])</f>
        <v>50-64</v>
      </c>
      <c r="Q851" t="str">
        <f>_xlfn.XLOOKUP(Table8[[#This Row],[Supporter_ID]],tb1_supporters[Supporter_ID ],tb1_supporters[Communication_Preference],"")</f>
        <v>No Preference</v>
      </c>
      <c r="R851" t="str">
        <f>_xlfn.XLOOKUP(Table8[[#This Row],[Supporter_ID]],tb1_supporters[Supporter_ID ],tb1_supporters[Duplicate_Profile_Flag],"")</f>
        <v/>
      </c>
      <c r="S851" t="str">
        <f>_xlfn.XLOOKUP(Table8[[#This Row],[Supporter_ID]],tb1_supporters[Supporter_ID ],tb1_supporters[Preference_Compliance_Flag],"")</f>
        <v/>
      </c>
      <c r="T851" t="str">
        <f ca="1">IF(Table8[[#This Row],[Age]]="","Review - missing DOB",IF(Table8[[#This Row],[Age]]&gt;TODAY(),"Review - future DOB",IF(Table8[[#This Row],[Age]]=0,"Review -  potential entry error (age 0)","")))</f>
        <v/>
      </c>
      <c r="U851" t="str">
        <f>_xlfn.XLOOKUP(Table8[[#This Row],[Campaign_Code]],tb3_CampaignMaster[Campaign_Code],tb3_CampaignMaster[Campaign_Type],"")</f>
        <v>Stewardship</v>
      </c>
      <c r="V851" t="str">
        <f>_xlfn.XLOOKUP(Table8[[#This Row],[Campaign_Code]],tb3_CampaignMaster[Campaign_Code],tb3_CampaignMaster[Target_Audience],"")</f>
        <v>Major Donors</v>
      </c>
      <c r="W851" s="17">
        <f>_xlfn.XLOOKUP(Table8[[#This Row],[Campaign_Code]],tb3_CampaignMaster[Campaign_Code],tb3_CampaignMaster[Start_Date],"")</f>
        <v>45444</v>
      </c>
      <c r="X851" s="17">
        <f>_xlfn.XLOOKUP(Table8[[#This Row],[Campaign_Code]],tb3_CampaignMaster[Campaign_Code],tb3_CampaignMaster[End_Date],"")</f>
        <v>45473</v>
      </c>
      <c r="Y851">
        <f>_xlfn.XLOOKUP(Table8[[#This Row],[Campaign_Code]],tb3_CampaignMaster[Campaign_Code],tb3_CampaignMaster[Budget_GBP],"")</f>
        <v>7000</v>
      </c>
      <c r="Z851" t="str">
        <f>_xlfn.XLOOKUP(Table8[[#This Row],[Campaign_Code]],tb3_CampaignMaster[Campaign_Code],tb3_CampaignMaster[Primary_Channel],"")</f>
        <v>Direct Mail</v>
      </c>
      <c r="AA851" s="13">
        <f>IF(Table8[[#This Row],[Gift_Aid_Eligible]]="Yes",Table8[[#This Row],[Gift_Amount]]*1.25,Table8[[#This Row],[Gift_Amount]])</f>
        <v>115.1375</v>
      </c>
      <c r="AB851" t="str">
        <f>IF(Table8[[#This Row],[Supporter_ID]]="","Review - missing supporter ID","")</f>
        <v/>
      </c>
      <c r="AC851" t="str">
        <f>IF(OR(Table8[[#This Row],[Response_Date]]&lt;Table8[[#This Row],[Start_Date]],Table8[[#This Row],[Response_Date]]&gt;Table8[[#This Row],[End_Date]]),"Review - response outside campaign dates","")</f>
        <v/>
      </c>
      <c r="AD851" t="str">
        <f>IF(Table8[[#This Row],[Campaign_Type]]="","Review - campaign code not found","")</f>
        <v/>
      </c>
    </row>
    <row r="852" spans="1:30" x14ac:dyDescent="0.25">
      <c r="A852" t="s">
        <v>4743</v>
      </c>
      <c r="B852" t="s">
        <v>1458</v>
      </c>
      <c r="C852" t="s">
        <v>3341</v>
      </c>
      <c r="D852" t="s">
        <v>3342</v>
      </c>
      <c r="E852" t="s">
        <v>4</v>
      </c>
      <c r="F852" s="17">
        <v>45660</v>
      </c>
      <c r="G852">
        <v>4917.99</v>
      </c>
      <c r="H852" t="s">
        <v>36</v>
      </c>
      <c r="I852" t="s">
        <v>3318</v>
      </c>
      <c r="J852" t="str">
        <f>_xlfn.XLOOKUP(Table8[[#This Row],[Supporter_ID]],tb1_supporters[Supporter_ID ],tb1_supporters[Segment],"")</f>
        <v>Major Donor</v>
      </c>
      <c r="K852" t="str">
        <f>_xlfn.XLOOKUP(Table8[[#This Row],[Supporter_ID]],tb1_supporters[Supporter_ID ],tb1_supporters[Acquisition_Source],"")</f>
        <v>Website</v>
      </c>
      <c r="L852" t="str">
        <f>_xlfn.XLOOKUP(Table8[[#This Row],[Supporter_ID]],tb1_supporters[Supporter_ID ],tb1_supporters[County],"")</f>
        <v>Hampshire</v>
      </c>
      <c r="M852" t="str">
        <f>_xlfn.XLOOKUP(Table8[[#This Row],[Supporter_ID]],tb1_supporters[Supporter_ID ],tb1_supporters[Gender],"")</f>
        <v>Female</v>
      </c>
      <c r="N852">
        <f ca="1">_xlfn.XLOOKUP(Table8[[#This Row],[Supporter_ID]],tb1_supporters[Supporter_ID ],tb1_supporters[Age],"")</f>
        <v>38</v>
      </c>
      <c r="O852" t="str">
        <f ca="1">_xlfn.XLOOKUP(Table8[[#This Row],[Supporter_ID]],tb1_supporters[Supporter_ID ],tb1_supporters[Age_Band],"")</f>
        <v>35-49</v>
      </c>
      <c r="P852" t="str">
        <f ca="1">IF(Table8[[#This Row],[Age_Band]]="","Unknown",Table8[[#This Row],[Age_Band]])</f>
        <v>35-49</v>
      </c>
      <c r="Q852" t="str">
        <f>_xlfn.XLOOKUP(Table8[[#This Row],[Supporter_ID]],tb1_supporters[Supporter_ID ],tb1_supporters[Communication_Preference],"")</f>
        <v>No Preference</v>
      </c>
      <c r="R852" t="str">
        <f>_xlfn.XLOOKUP(Table8[[#This Row],[Supporter_ID]],tb1_supporters[Supporter_ID ],tb1_supporters[Duplicate_Profile_Flag],"")</f>
        <v/>
      </c>
      <c r="S852" t="str">
        <f>_xlfn.XLOOKUP(Table8[[#This Row],[Supporter_ID]],tb1_supporters[Supporter_ID ],tb1_supporters[Preference_Compliance_Flag],"")</f>
        <v/>
      </c>
      <c r="T852" t="str">
        <f ca="1">IF(Table8[[#This Row],[Age]]="","Review - missing DOB",IF(Table8[[#This Row],[Age]]&gt;TODAY(),"Review - future DOB",IF(Table8[[#This Row],[Age]]=0,"Review -  potential entry error (age 0)","")))</f>
        <v/>
      </c>
      <c r="U852" t="str">
        <f>_xlfn.XLOOKUP(Table8[[#This Row],[Campaign_Code]],tb3_CampaignMaster[Campaign_Code],tb3_CampaignMaster[Campaign_Type],"")</f>
        <v>Acquisition</v>
      </c>
      <c r="V852" t="str">
        <f>_xlfn.XLOOKUP(Table8[[#This Row],[Campaign_Code]],tb3_CampaignMaster[Campaign_Code],tb3_CampaignMaster[Target_Audience],"")</f>
        <v>Prospects</v>
      </c>
      <c r="W852" s="17">
        <f>_xlfn.XLOOKUP(Table8[[#This Row],[Campaign_Code]],tb3_CampaignMaster[Campaign_Code],tb3_CampaignMaster[Start_Date],"")</f>
        <v>45689</v>
      </c>
      <c r="X852" s="17">
        <f>_xlfn.XLOOKUP(Table8[[#This Row],[Campaign_Code]],tb3_CampaignMaster[Campaign_Code],tb3_CampaignMaster[End_Date],"")</f>
        <v>45777</v>
      </c>
      <c r="Y852">
        <f>_xlfn.XLOOKUP(Table8[[#This Row],[Campaign_Code]],tb3_CampaignMaster[Campaign_Code],tb3_CampaignMaster[Budget_GBP],"")</f>
        <v>20000</v>
      </c>
      <c r="Z852" t="str">
        <f>_xlfn.XLOOKUP(Table8[[#This Row],[Campaign_Code]],tb3_CampaignMaster[Campaign_Code],tb3_CampaignMaster[Primary_Channel],"")</f>
        <v>Digital</v>
      </c>
      <c r="AA852" s="13">
        <f>IF(Table8[[#This Row],[Gift_Aid_Eligible]]="Yes",Table8[[#This Row],[Gift_Amount]]*1.25,Table8[[#This Row],[Gift_Amount]])</f>
        <v>6147.4874999999993</v>
      </c>
      <c r="AB852" t="str">
        <f>IF(Table8[[#This Row],[Supporter_ID]]="","Review - missing supporter ID","")</f>
        <v/>
      </c>
      <c r="AC852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852" t="str">
        <f>IF(Table8[[#This Row],[Campaign_Type]]="","Review - campaign code not found","")</f>
        <v/>
      </c>
    </row>
    <row r="853" spans="1:30" x14ac:dyDescent="0.25">
      <c r="A853" t="s">
        <v>4745</v>
      </c>
      <c r="B853" t="s">
        <v>2076</v>
      </c>
      <c r="C853" t="s">
        <v>3362</v>
      </c>
      <c r="D853" t="s">
        <v>3363</v>
      </c>
      <c r="E853" t="s">
        <v>65</v>
      </c>
      <c r="F853" s="17">
        <v>45573</v>
      </c>
      <c r="G853">
        <v>99.92</v>
      </c>
      <c r="H853" t="s">
        <v>37</v>
      </c>
      <c r="I853" t="s">
        <v>3334</v>
      </c>
      <c r="J853" t="str">
        <f>_xlfn.XLOOKUP(Table8[[#This Row],[Supporter_ID]],tb1_supporters[Supporter_ID ],tb1_supporters[Segment],"")</f>
        <v>One-Time Donor</v>
      </c>
      <c r="K853" t="str">
        <f>_xlfn.XLOOKUP(Table8[[#This Row],[Supporter_ID]],tb1_supporters[Supporter_ID ],tb1_supporters[Acquisition_Source],"")</f>
        <v>Door-To-Door</v>
      </c>
      <c r="L853" t="str">
        <f>_xlfn.XLOOKUP(Table8[[#This Row],[Supporter_ID]],tb1_supporters[Supporter_ID ],tb1_supporters[County],"")</f>
        <v>Greater London</v>
      </c>
      <c r="M853" t="str">
        <f>_xlfn.XLOOKUP(Table8[[#This Row],[Supporter_ID]],tb1_supporters[Supporter_ID ],tb1_supporters[Gender],"")</f>
        <v>Male</v>
      </c>
      <c r="N853">
        <f ca="1">_xlfn.XLOOKUP(Table8[[#This Row],[Supporter_ID]],tb1_supporters[Supporter_ID ],tb1_supporters[Age],"")</f>
        <v>63</v>
      </c>
      <c r="O853" t="str">
        <f ca="1">_xlfn.XLOOKUP(Table8[[#This Row],[Supporter_ID]],tb1_supporters[Supporter_ID ],tb1_supporters[Age_Band],"")</f>
        <v>50-64</v>
      </c>
      <c r="P853" t="str">
        <f ca="1">IF(Table8[[#This Row],[Age_Band]]="","Unknown",Table8[[#This Row],[Age_Band]])</f>
        <v>50-64</v>
      </c>
      <c r="Q853" t="str">
        <f>_xlfn.XLOOKUP(Table8[[#This Row],[Supporter_ID]],tb1_supporters[Supporter_ID ],tb1_supporters[Communication_Preference],"")</f>
        <v>Email</v>
      </c>
      <c r="R853" t="str">
        <f>_xlfn.XLOOKUP(Table8[[#This Row],[Supporter_ID]],tb1_supporters[Supporter_ID ],tb1_supporters[Duplicate_Profile_Flag],"")</f>
        <v/>
      </c>
      <c r="S853" t="str">
        <f>_xlfn.XLOOKUP(Table8[[#This Row],[Supporter_ID]],tb1_supporters[Supporter_ID ],tb1_supporters[Preference_Compliance_Flag],"")</f>
        <v/>
      </c>
      <c r="T853" t="str">
        <f ca="1">IF(Table8[[#This Row],[Age]]="","Review - missing DOB",IF(Table8[[#This Row],[Age]]&gt;TODAY(),"Review - future DOB",IF(Table8[[#This Row],[Age]]=0,"Review -  potential entry error (age 0)","")))</f>
        <v/>
      </c>
      <c r="U853" t="str">
        <f>_xlfn.XLOOKUP(Table8[[#This Row],[Campaign_Code]],tb3_CampaignMaster[Campaign_Code],tb3_CampaignMaster[Campaign_Type],"")</f>
        <v>Legacy</v>
      </c>
      <c r="V853" t="str">
        <f>_xlfn.XLOOKUP(Table8[[#This Row],[Campaign_Code]],tb3_CampaignMaster[Campaign_Code],tb3_CampaignMaster[Target_Audience],"")</f>
        <v>Over 55s</v>
      </c>
      <c r="W853" s="17">
        <f>_xlfn.XLOOKUP(Table8[[#This Row],[Campaign_Code]],tb3_CampaignMaster[Campaign_Code],tb3_CampaignMaster[Start_Date],"")</f>
        <v>45572</v>
      </c>
      <c r="X853" s="17">
        <f>_xlfn.XLOOKUP(Table8[[#This Row],[Campaign_Code]],tb3_CampaignMaster[Campaign_Code],tb3_CampaignMaster[End_Date],"")</f>
        <v>45578</v>
      </c>
      <c r="Y853">
        <f>_xlfn.XLOOKUP(Table8[[#This Row],[Campaign_Code]],tb3_CampaignMaster[Campaign_Code],tb3_CampaignMaster[Budget_GBP],"")</f>
        <v>5000</v>
      </c>
      <c r="Z853" t="str">
        <f>_xlfn.XLOOKUP(Table8[[#This Row],[Campaign_Code]],tb3_CampaignMaster[Campaign_Code],tb3_CampaignMaster[Primary_Channel],"")</f>
        <v>Direct Mail</v>
      </c>
      <c r="AA853" s="13">
        <f>IF(Table8[[#This Row],[Gift_Aid_Eligible]]="Yes",Table8[[#This Row],[Gift_Amount]]*1.25,Table8[[#This Row],[Gift_Amount]])</f>
        <v>99.92</v>
      </c>
      <c r="AB853" t="str">
        <f>IF(Table8[[#This Row],[Supporter_ID]]="","Review - missing supporter ID","")</f>
        <v/>
      </c>
      <c r="AC853" t="str">
        <f>IF(OR(Table8[[#This Row],[Response_Date]]&lt;Table8[[#This Row],[Start_Date]],Table8[[#This Row],[Response_Date]]&gt;Table8[[#This Row],[End_Date]]),"Review - response outside campaign dates","")</f>
        <v/>
      </c>
      <c r="AD853" t="str">
        <f>IF(Table8[[#This Row],[Campaign_Type]]="","Review - campaign code not found","")</f>
        <v/>
      </c>
    </row>
    <row r="854" spans="1:30" x14ac:dyDescent="0.25">
      <c r="A854" t="s">
        <v>4746</v>
      </c>
      <c r="B854" t="s">
        <v>2417</v>
      </c>
      <c r="C854" t="s">
        <v>3320</v>
      </c>
      <c r="D854" t="s">
        <v>3321</v>
      </c>
      <c r="E854" t="s">
        <v>4</v>
      </c>
      <c r="F854" s="17">
        <v>45464</v>
      </c>
      <c r="G854">
        <v>82.12</v>
      </c>
      <c r="H854" t="s">
        <v>37</v>
      </c>
      <c r="I854" t="s">
        <v>3365</v>
      </c>
      <c r="J854" t="str">
        <f>_xlfn.XLOOKUP(Table8[[#This Row],[Supporter_ID]],tb1_supporters[Supporter_ID ],tb1_supporters[Segment],"")</f>
        <v>Lapsed</v>
      </c>
      <c r="K854" t="str">
        <f>_xlfn.XLOOKUP(Table8[[#This Row],[Supporter_ID]],tb1_supporters[Supporter_ID ],tb1_supporters[Acquisition_Source],"")</f>
        <v>Referral</v>
      </c>
      <c r="L854" t="str">
        <f>_xlfn.XLOOKUP(Table8[[#This Row],[Supporter_ID]],tb1_supporters[Supporter_ID ],tb1_supporters[County],"")</f>
        <v>South Yorkshire</v>
      </c>
      <c r="M854" t="str">
        <f>_xlfn.XLOOKUP(Table8[[#This Row],[Supporter_ID]],tb1_supporters[Supporter_ID ],tb1_supporters[Gender],"")</f>
        <v>Female</v>
      </c>
      <c r="N854">
        <f ca="1">_xlfn.XLOOKUP(Table8[[#This Row],[Supporter_ID]],tb1_supporters[Supporter_ID ],tb1_supporters[Age],"")</f>
        <v>34</v>
      </c>
      <c r="O854" t="str">
        <f ca="1">_xlfn.XLOOKUP(Table8[[#This Row],[Supporter_ID]],tb1_supporters[Supporter_ID ],tb1_supporters[Age_Band],"")</f>
        <v>18-34</v>
      </c>
      <c r="P854" t="str">
        <f ca="1">IF(Table8[[#This Row],[Age_Band]]="","Unknown",Table8[[#This Row],[Age_Band]])</f>
        <v>18-34</v>
      </c>
      <c r="Q854" t="str">
        <f>_xlfn.XLOOKUP(Table8[[#This Row],[Supporter_ID]],tb1_supporters[Supporter_ID ],tb1_supporters[Communication_Preference],"")</f>
        <v>Phone</v>
      </c>
      <c r="R854" t="str">
        <f>_xlfn.XLOOKUP(Table8[[#This Row],[Supporter_ID]],tb1_supporters[Supporter_ID ],tb1_supporters[Duplicate_Profile_Flag],"")</f>
        <v/>
      </c>
      <c r="S854" t="str">
        <f>_xlfn.XLOOKUP(Table8[[#This Row],[Supporter_ID]],tb1_supporters[Supporter_ID ],tb1_supporters[Preference_Compliance_Flag],"")</f>
        <v>Review - prefers phone but not opted in</v>
      </c>
      <c r="T854" t="str">
        <f ca="1">IF(Table8[[#This Row],[Age]]="","Review - missing DOB",IF(Table8[[#This Row],[Age]]&gt;TODAY(),"Review - future DOB",IF(Table8[[#This Row],[Age]]=0,"Review -  potential entry error (age 0)","")))</f>
        <v/>
      </c>
      <c r="U854" t="str">
        <f>_xlfn.XLOOKUP(Table8[[#This Row],[Campaign_Code]],tb3_CampaignMaster[Campaign_Code],tb3_CampaignMaster[Campaign_Type],"")</f>
        <v>Stewardship</v>
      </c>
      <c r="V854" t="str">
        <f>_xlfn.XLOOKUP(Table8[[#This Row],[Campaign_Code]],tb3_CampaignMaster[Campaign_Code],tb3_CampaignMaster[Target_Audience],"")</f>
        <v>Major Donors</v>
      </c>
      <c r="W854" s="17">
        <f>_xlfn.XLOOKUP(Table8[[#This Row],[Campaign_Code]],tb3_CampaignMaster[Campaign_Code],tb3_CampaignMaster[Start_Date],"")</f>
        <v>45444</v>
      </c>
      <c r="X854" s="17">
        <f>_xlfn.XLOOKUP(Table8[[#This Row],[Campaign_Code]],tb3_CampaignMaster[Campaign_Code],tb3_CampaignMaster[End_Date],"")</f>
        <v>45473</v>
      </c>
      <c r="Y854">
        <f>_xlfn.XLOOKUP(Table8[[#This Row],[Campaign_Code]],tb3_CampaignMaster[Campaign_Code],tb3_CampaignMaster[Budget_GBP],"")</f>
        <v>7000</v>
      </c>
      <c r="Z854" t="str">
        <f>_xlfn.XLOOKUP(Table8[[#This Row],[Campaign_Code]],tb3_CampaignMaster[Campaign_Code],tb3_CampaignMaster[Primary_Channel],"")</f>
        <v>Direct Mail</v>
      </c>
      <c r="AA854" s="13">
        <f>IF(Table8[[#This Row],[Gift_Aid_Eligible]]="Yes",Table8[[#This Row],[Gift_Amount]]*1.25,Table8[[#This Row],[Gift_Amount]])</f>
        <v>82.12</v>
      </c>
      <c r="AB854" t="str">
        <f>IF(Table8[[#This Row],[Supporter_ID]]="","Review - missing supporter ID","")</f>
        <v/>
      </c>
      <c r="AC854" t="str">
        <f>IF(OR(Table8[[#This Row],[Response_Date]]&lt;Table8[[#This Row],[Start_Date]],Table8[[#This Row],[Response_Date]]&gt;Table8[[#This Row],[End_Date]]),"Review - response outside campaign dates","")</f>
        <v/>
      </c>
      <c r="AD854" t="str">
        <f>IF(Table8[[#This Row],[Campaign_Type]]="","Review - campaign code not found","")</f>
        <v/>
      </c>
    </row>
    <row r="855" spans="1:30" x14ac:dyDescent="0.25">
      <c r="A855" t="s">
        <v>4747</v>
      </c>
      <c r="B855" t="s">
        <v>2272</v>
      </c>
      <c r="C855" t="s">
        <v>3354</v>
      </c>
      <c r="D855" t="s">
        <v>3355</v>
      </c>
      <c r="E855" t="s">
        <v>65</v>
      </c>
      <c r="F855" s="17">
        <v>45618</v>
      </c>
      <c r="G855">
        <v>400.49</v>
      </c>
      <c r="H855" t="s">
        <v>36</v>
      </c>
      <c r="I855" t="s">
        <v>3365</v>
      </c>
      <c r="J855" t="str">
        <f>_xlfn.XLOOKUP(Table8[[#This Row],[Supporter_ID]],tb1_supporters[Supporter_ID ],tb1_supporters[Segment],"")</f>
        <v>Legacy Pledger</v>
      </c>
      <c r="K855" t="str">
        <f>_xlfn.XLOOKUP(Table8[[#This Row],[Supporter_ID]],tb1_supporters[Supporter_ID ],tb1_supporters[Acquisition_Source],"")</f>
        <v>Event</v>
      </c>
      <c r="L855" t="str">
        <f>_xlfn.XLOOKUP(Table8[[#This Row],[Supporter_ID]],tb1_supporters[Supporter_ID ],tb1_supporters[County],"")</f>
        <v>Leicestershire</v>
      </c>
      <c r="M855" t="str">
        <f>_xlfn.XLOOKUP(Table8[[#This Row],[Supporter_ID]],tb1_supporters[Supporter_ID ],tb1_supporters[Gender],"")</f>
        <v>Male</v>
      </c>
      <c r="N855">
        <f ca="1">_xlfn.XLOOKUP(Table8[[#This Row],[Supporter_ID]],tb1_supporters[Supporter_ID ],tb1_supporters[Age],"")</f>
        <v>90</v>
      </c>
      <c r="O855" t="str">
        <f ca="1">_xlfn.XLOOKUP(Table8[[#This Row],[Supporter_ID]],tb1_supporters[Supporter_ID ],tb1_supporters[Age_Band],"")</f>
        <v>65+</v>
      </c>
      <c r="P855" t="str">
        <f ca="1">IF(Table8[[#This Row],[Age_Band]]="","Unknown",Table8[[#This Row],[Age_Band]])</f>
        <v>65+</v>
      </c>
      <c r="Q855" t="str">
        <f>_xlfn.XLOOKUP(Table8[[#This Row],[Supporter_ID]],tb1_supporters[Supporter_ID ],tb1_supporters[Communication_Preference],"")</f>
        <v>Phone</v>
      </c>
      <c r="R855" t="str">
        <f>_xlfn.XLOOKUP(Table8[[#This Row],[Supporter_ID]],tb1_supporters[Supporter_ID ],tb1_supporters[Duplicate_Profile_Flag],"")</f>
        <v/>
      </c>
      <c r="S855" t="str">
        <f>_xlfn.XLOOKUP(Table8[[#This Row],[Supporter_ID]],tb1_supporters[Supporter_ID ],tb1_supporters[Preference_Compliance_Flag],"")</f>
        <v/>
      </c>
      <c r="T855" t="str">
        <f ca="1">IF(Table8[[#This Row],[Age]]="","Review - missing DOB",IF(Table8[[#This Row],[Age]]&gt;TODAY(),"Review - future DOB",IF(Table8[[#This Row],[Age]]=0,"Review -  potential entry error (age 0)","")))</f>
        <v/>
      </c>
      <c r="U855" t="str">
        <f>_xlfn.XLOOKUP(Table8[[#This Row],[Campaign_Code]],tb3_CampaignMaster[Campaign_Code],tb3_CampaignMaster[Campaign_Type],"")</f>
        <v>Event</v>
      </c>
      <c r="V855" t="str">
        <f>_xlfn.XLOOKUP(Table8[[#This Row],[Campaign_Code]],tb3_CampaignMaster[Campaign_Code],tb3_CampaignMaster[Target_Audience],"")</f>
        <v>Volunteers</v>
      </c>
      <c r="W855" s="17">
        <f>_xlfn.XLOOKUP(Table8[[#This Row],[Campaign_Code]],tb3_CampaignMaster[Campaign_Code],tb3_CampaignMaster[Start_Date],"")</f>
        <v>45618</v>
      </c>
      <c r="X855" s="17">
        <f>_xlfn.XLOOKUP(Table8[[#This Row],[Campaign_Code]],tb3_CampaignMaster[Campaign_Code],tb3_CampaignMaster[End_Date],"")</f>
        <v>45618</v>
      </c>
      <c r="Y855">
        <f>_xlfn.XLOOKUP(Table8[[#This Row],[Campaign_Code]],tb3_CampaignMaster[Campaign_Code],tb3_CampaignMaster[Budget_GBP],"")</f>
        <v>3500</v>
      </c>
      <c r="Z855" t="str">
        <f>_xlfn.XLOOKUP(Table8[[#This Row],[Campaign_Code]],tb3_CampaignMaster[Campaign_Code],tb3_CampaignMaster[Primary_Channel],"")</f>
        <v>Email</v>
      </c>
      <c r="AA855" s="13">
        <f>IF(Table8[[#This Row],[Gift_Aid_Eligible]]="Yes",Table8[[#This Row],[Gift_Amount]]*1.25,Table8[[#This Row],[Gift_Amount]])</f>
        <v>500.61250000000001</v>
      </c>
      <c r="AB855" t="str">
        <f>IF(Table8[[#This Row],[Supporter_ID]]="","Review - missing supporter ID","")</f>
        <v/>
      </c>
      <c r="AC855" t="str">
        <f>IF(OR(Table8[[#This Row],[Response_Date]]&lt;Table8[[#This Row],[Start_Date]],Table8[[#This Row],[Response_Date]]&gt;Table8[[#This Row],[End_Date]]),"Review - response outside campaign dates","")</f>
        <v/>
      </c>
      <c r="AD855" t="str">
        <f>IF(Table8[[#This Row],[Campaign_Type]]="","Review - campaign code not found","")</f>
        <v/>
      </c>
    </row>
    <row r="856" spans="1:30" x14ac:dyDescent="0.25">
      <c r="A856" t="s">
        <v>4748</v>
      </c>
      <c r="B856" t="s">
        <v>2525</v>
      </c>
      <c r="C856" t="s">
        <v>3320</v>
      </c>
      <c r="D856" t="s">
        <v>3321</v>
      </c>
      <c r="E856" t="s">
        <v>65</v>
      </c>
      <c r="F856" s="17">
        <v>45448</v>
      </c>
      <c r="G856">
        <v>1206.49</v>
      </c>
      <c r="H856" t="s">
        <v>37</v>
      </c>
      <c r="I856" t="s">
        <v>3323</v>
      </c>
      <c r="J856" t="str">
        <f>_xlfn.XLOOKUP(Table8[[#This Row],[Supporter_ID]],tb1_supporters[Supporter_ID ],tb1_supporters[Segment],"")</f>
        <v>Major Donor</v>
      </c>
      <c r="K856" t="str">
        <f>_xlfn.XLOOKUP(Table8[[#This Row],[Supporter_ID]],tb1_supporters[Supporter_ID ],tb1_supporters[Acquisition_Source],"")</f>
        <v>Referral</v>
      </c>
      <c r="L856" t="str">
        <f>_xlfn.XLOOKUP(Table8[[#This Row],[Supporter_ID]],tb1_supporters[Supporter_ID ],tb1_supporters[County],"")</f>
        <v>Gloucestershire</v>
      </c>
      <c r="M856" t="str">
        <f>_xlfn.XLOOKUP(Table8[[#This Row],[Supporter_ID]],tb1_supporters[Supporter_ID ],tb1_supporters[Gender],"")</f>
        <v>Male</v>
      </c>
      <c r="N856">
        <f ca="1">_xlfn.XLOOKUP(Table8[[#This Row],[Supporter_ID]],tb1_supporters[Supporter_ID ],tb1_supporters[Age],"")</f>
        <v>43</v>
      </c>
      <c r="O856" t="str">
        <f ca="1">_xlfn.XLOOKUP(Table8[[#This Row],[Supporter_ID]],tb1_supporters[Supporter_ID ],tb1_supporters[Age_Band],"")</f>
        <v>35-49</v>
      </c>
      <c r="P856" t="str">
        <f ca="1">IF(Table8[[#This Row],[Age_Band]]="","Unknown",Table8[[#This Row],[Age_Band]])</f>
        <v>35-49</v>
      </c>
      <c r="Q856" t="str">
        <f>_xlfn.XLOOKUP(Table8[[#This Row],[Supporter_ID]],tb1_supporters[Supporter_ID ],tb1_supporters[Communication_Preference],"")</f>
        <v>Email</v>
      </c>
      <c r="R856" t="str">
        <f>_xlfn.XLOOKUP(Table8[[#This Row],[Supporter_ID]],tb1_supporters[Supporter_ID ],tb1_supporters[Duplicate_Profile_Flag],"")</f>
        <v/>
      </c>
      <c r="S856" t="str">
        <f>_xlfn.XLOOKUP(Table8[[#This Row],[Supporter_ID]],tb1_supporters[Supporter_ID ],tb1_supporters[Preference_Compliance_Flag],"")</f>
        <v/>
      </c>
      <c r="T856" t="str">
        <f ca="1">IF(Table8[[#This Row],[Age]]="","Review - missing DOB",IF(Table8[[#This Row],[Age]]&gt;TODAY(),"Review - future DOB",IF(Table8[[#This Row],[Age]]=0,"Review -  potential entry error (age 0)","")))</f>
        <v/>
      </c>
      <c r="U856" t="str">
        <f>_xlfn.XLOOKUP(Table8[[#This Row],[Campaign_Code]],tb3_CampaignMaster[Campaign_Code],tb3_CampaignMaster[Campaign_Type],"")</f>
        <v>Stewardship</v>
      </c>
      <c r="V856" t="str">
        <f>_xlfn.XLOOKUP(Table8[[#This Row],[Campaign_Code]],tb3_CampaignMaster[Campaign_Code],tb3_CampaignMaster[Target_Audience],"")</f>
        <v>Major Donors</v>
      </c>
      <c r="W856" s="17">
        <f>_xlfn.XLOOKUP(Table8[[#This Row],[Campaign_Code]],tb3_CampaignMaster[Campaign_Code],tb3_CampaignMaster[Start_Date],"")</f>
        <v>45444</v>
      </c>
      <c r="X856" s="17">
        <f>_xlfn.XLOOKUP(Table8[[#This Row],[Campaign_Code]],tb3_CampaignMaster[Campaign_Code],tb3_CampaignMaster[End_Date],"")</f>
        <v>45473</v>
      </c>
      <c r="Y856">
        <f>_xlfn.XLOOKUP(Table8[[#This Row],[Campaign_Code]],tb3_CampaignMaster[Campaign_Code],tb3_CampaignMaster[Budget_GBP],"")</f>
        <v>7000</v>
      </c>
      <c r="Z856" t="str">
        <f>_xlfn.XLOOKUP(Table8[[#This Row],[Campaign_Code]],tb3_CampaignMaster[Campaign_Code],tb3_CampaignMaster[Primary_Channel],"")</f>
        <v>Direct Mail</v>
      </c>
      <c r="AA856" s="13">
        <f>IF(Table8[[#This Row],[Gift_Aid_Eligible]]="Yes",Table8[[#This Row],[Gift_Amount]]*1.25,Table8[[#This Row],[Gift_Amount]])</f>
        <v>1206.49</v>
      </c>
      <c r="AB856" t="str">
        <f>IF(Table8[[#This Row],[Supporter_ID]]="","Review - missing supporter ID","")</f>
        <v/>
      </c>
      <c r="AC856" t="str">
        <f>IF(OR(Table8[[#This Row],[Response_Date]]&lt;Table8[[#This Row],[Start_Date]],Table8[[#This Row],[Response_Date]]&gt;Table8[[#This Row],[End_Date]]),"Review - response outside campaign dates","")</f>
        <v/>
      </c>
      <c r="AD856" t="str">
        <f>IF(Table8[[#This Row],[Campaign_Type]]="","Review - campaign code not found","")</f>
        <v/>
      </c>
    </row>
    <row r="857" spans="1:30" x14ac:dyDescent="0.25">
      <c r="A857" t="s">
        <v>4749</v>
      </c>
      <c r="B857" t="s">
        <v>300</v>
      </c>
      <c r="C857" t="s">
        <v>3341</v>
      </c>
      <c r="D857" t="s">
        <v>3342</v>
      </c>
      <c r="E857" t="s">
        <v>91</v>
      </c>
      <c r="F857" s="17">
        <v>45710</v>
      </c>
      <c r="G857">
        <v>45.31</v>
      </c>
      <c r="H857" t="s">
        <v>36</v>
      </c>
      <c r="I857" t="s">
        <v>3370</v>
      </c>
      <c r="J857" t="str">
        <f>_xlfn.XLOOKUP(Table8[[#This Row],[Supporter_ID]],tb1_supporters[Supporter_ID ],tb1_supporters[Segment],"")</f>
        <v>Regular Giver</v>
      </c>
      <c r="K857" t="str">
        <f>_xlfn.XLOOKUP(Table8[[#This Row],[Supporter_ID]],tb1_supporters[Supporter_ID ],tb1_supporters[Acquisition_Source],"")</f>
        <v>Corporate Partner</v>
      </c>
      <c r="L857" t="str">
        <f>_xlfn.XLOOKUP(Table8[[#This Row],[Supporter_ID]],tb1_supporters[Supporter_ID ],tb1_supporters[County],"")</f>
        <v>Nottinghamshire</v>
      </c>
      <c r="M857" t="str">
        <f>_xlfn.XLOOKUP(Table8[[#This Row],[Supporter_ID]],tb1_supporters[Supporter_ID ],tb1_supporters[Gender],"")</f>
        <v>Male</v>
      </c>
      <c r="N857">
        <f ca="1">_xlfn.XLOOKUP(Table8[[#This Row],[Supporter_ID]],tb1_supporters[Supporter_ID ],tb1_supporters[Age],"")</f>
        <v>77</v>
      </c>
      <c r="O857" t="str">
        <f ca="1">_xlfn.XLOOKUP(Table8[[#This Row],[Supporter_ID]],tb1_supporters[Supporter_ID ],tb1_supporters[Age_Band],"")</f>
        <v>65+</v>
      </c>
      <c r="P857" t="str">
        <f ca="1">IF(Table8[[#This Row],[Age_Band]]="","Unknown",Table8[[#This Row],[Age_Band]])</f>
        <v>65+</v>
      </c>
      <c r="Q857" t="str">
        <f>_xlfn.XLOOKUP(Table8[[#This Row],[Supporter_ID]],tb1_supporters[Supporter_ID ],tb1_supporters[Communication_Preference],"")</f>
        <v>Post</v>
      </c>
      <c r="R857" t="str">
        <f>_xlfn.XLOOKUP(Table8[[#This Row],[Supporter_ID]],tb1_supporters[Supporter_ID ],tb1_supporters[Duplicate_Profile_Flag],"")</f>
        <v/>
      </c>
      <c r="S857" t="str">
        <f>_xlfn.XLOOKUP(Table8[[#This Row],[Supporter_ID]],tb1_supporters[Supporter_ID ],tb1_supporters[Preference_Compliance_Flag],"")</f>
        <v/>
      </c>
      <c r="T857" t="str">
        <f ca="1">IF(Table8[[#This Row],[Age]]="","Review - missing DOB",IF(Table8[[#This Row],[Age]]&gt;TODAY(),"Review - future DOB",IF(Table8[[#This Row],[Age]]=0,"Review -  potential entry error (age 0)","")))</f>
        <v/>
      </c>
      <c r="U857" t="str">
        <f>_xlfn.XLOOKUP(Table8[[#This Row],[Campaign_Code]],tb3_CampaignMaster[Campaign_Code],tb3_CampaignMaster[Campaign_Type],"")</f>
        <v>Acquisition</v>
      </c>
      <c r="V857" t="str">
        <f>_xlfn.XLOOKUP(Table8[[#This Row],[Campaign_Code]],tb3_CampaignMaster[Campaign_Code],tb3_CampaignMaster[Target_Audience],"")</f>
        <v>Prospects</v>
      </c>
      <c r="W857" s="17">
        <f>_xlfn.XLOOKUP(Table8[[#This Row],[Campaign_Code]],tb3_CampaignMaster[Campaign_Code],tb3_CampaignMaster[Start_Date],"")</f>
        <v>45689</v>
      </c>
      <c r="X857" s="17">
        <f>_xlfn.XLOOKUP(Table8[[#This Row],[Campaign_Code]],tb3_CampaignMaster[Campaign_Code],tb3_CampaignMaster[End_Date],"")</f>
        <v>45777</v>
      </c>
      <c r="Y857">
        <f>_xlfn.XLOOKUP(Table8[[#This Row],[Campaign_Code]],tb3_CampaignMaster[Campaign_Code],tb3_CampaignMaster[Budget_GBP],"")</f>
        <v>20000</v>
      </c>
      <c r="Z857" t="str">
        <f>_xlfn.XLOOKUP(Table8[[#This Row],[Campaign_Code]],tb3_CampaignMaster[Campaign_Code],tb3_CampaignMaster[Primary_Channel],"")</f>
        <v>Digital</v>
      </c>
      <c r="AA857" s="13">
        <f>IF(Table8[[#This Row],[Gift_Aid_Eligible]]="Yes",Table8[[#This Row],[Gift_Amount]]*1.25,Table8[[#This Row],[Gift_Amount]])</f>
        <v>56.637500000000003</v>
      </c>
      <c r="AB857" t="str">
        <f>IF(Table8[[#This Row],[Supporter_ID]]="","Review - missing supporter ID","")</f>
        <v/>
      </c>
      <c r="AC857" t="str">
        <f>IF(OR(Table8[[#This Row],[Response_Date]]&lt;Table8[[#This Row],[Start_Date]],Table8[[#This Row],[Response_Date]]&gt;Table8[[#This Row],[End_Date]]),"Review - response outside campaign dates","")</f>
        <v/>
      </c>
      <c r="AD857" t="str">
        <f>IF(Table8[[#This Row],[Campaign_Type]]="","Review - campaign code not found","")</f>
        <v/>
      </c>
    </row>
    <row r="858" spans="1:30" x14ac:dyDescent="0.25">
      <c r="A858" t="s">
        <v>4751</v>
      </c>
      <c r="B858" t="s">
        <v>2163</v>
      </c>
      <c r="C858" t="s">
        <v>3314</v>
      </c>
      <c r="D858" t="s">
        <v>3315</v>
      </c>
      <c r="E858" t="s">
        <v>3316</v>
      </c>
      <c r="F858" s="17">
        <v>45714</v>
      </c>
      <c r="G858">
        <v>117.63</v>
      </c>
      <c r="H858" t="s">
        <v>36</v>
      </c>
      <c r="I858" t="s">
        <v>3318</v>
      </c>
      <c r="J858" t="str">
        <f>_xlfn.XLOOKUP(Table8[[#This Row],[Supporter_ID]],tb1_supporters[Supporter_ID ],tb1_supporters[Segment],"")</f>
        <v>One-Time Donor</v>
      </c>
      <c r="K858" t="str">
        <f>_xlfn.XLOOKUP(Table8[[#This Row],[Supporter_ID]],tb1_supporters[Supporter_ID ],tb1_supporters[Acquisition_Source],"")</f>
        <v>Door-To-Door</v>
      </c>
      <c r="L858" t="str">
        <f>_xlfn.XLOOKUP(Table8[[#This Row],[Supporter_ID]],tb1_supporters[Supporter_ID ],tb1_supporters[County],"")</f>
        <v>Avon</v>
      </c>
      <c r="M858" t="str">
        <f>_xlfn.XLOOKUP(Table8[[#This Row],[Supporter_ID]],tb1_supporters[Supporter_ID ],tb1_supporters[Gender],"")</f>
        <v>Female</v>
      </c>
      <c r="N858">
        <f ca="1">_xlfn.XLOOKUP(Table8[[#This Row],[Supporter_ID]],tb1_supporters[Supporter_ID ],tb1_supporters[Age],"")</f>
        <v>68</v>
      </c>
      <c r="O858" t="str">
        <f ca="1">_xlfn.XLOOKUP(Table8[[#This Row],[Supporter_ID]],tb1_supporters[Supporter_ID ],tb1_supporters[Age_Band],"")</f>
        <v>65+</v>
      </c>
      <c r="P858" t="str">
        <f ca="1">IF(Table8[[#This Row],[Age_Band]]="","Unknown",Table8[[#This Row],[Age_Band]])</f>
        <v>65+</v>
      </c>
      <c r="Q858" t="str">
        <f>_xlfn.XLOOKUP(Table8[[#This Row],[Supporter_ID]],tb1_supporters[Supporter_ID ],tb1_supporters[Communication_Preference],"")</f>
        <v>No Preference</v>
      </c>
      <c r="R858" t="str">
        <f>_xlfn.XLOOKUP(Table8[[#This Row],[Supporter_ID]],tb1_supporters[Supporter_ID ],tb1_supporters[Duplicate_Profile_Flag],"")</f>
        <v/>
      </c>
      <c r="S858" t="str">
        <f>_xlfn.XLOOKUP(Table8[[#This Row],[Supporter_ID]],tb1_supporters[Supporter_ID ],tb1_supporters[Preference_Compliance_Flag],"")</f>
        <v/>
      </c>
      <c r="T858" t="str">
        <f ca="1">IF(Table8[[#This Row],[Age]]="","Review - missing DOB",IF(Table8[[#This Row],[Age]]&gt;TODAY(),"Review - future DOB",IF(Table8[[#This Row],[Age]]=0,"Review -  potential entry error (age 0)","")))</f>
        <v/>
      </c>
      <c r="U858" t="str">
        <f>_xlfn.XLOOKUP(Table8[[#This Row],[Campaign_Code]],tb3_CampaignMaster[Campaign_Code],tb3_CampaignMaster[Campaign_Type],"")</f>
        <v>Regular Giving</v>
      </c>
      <c r="V858" t="str">
        <f>_xlfn.XLOOKUP(Table8[[#This Row],[Campaign_Code]],tb3_CampaignMaster[Campaign_Code],tb3_CampaignMaster[Target_Audience],"")</f>
        <v>One-time Donors</v>
      </c>
      <c r="W858" s="17">
        <f>_xlfn.XLOOKUP(Table8[[#This Row],[Campaign_Code]],tb3_CampaignMaster[Campaign_Code],tb3_CampaignMaster[Start_Date],"")</f>
        <v>45663</v>
      </c>
      <c r="X858" s="17">
        <f>_xlfn.XLOOKUP(Table8[[#This Row],[Campaign_Code]],tb3_CampaignMaster[Campaign_Code],tb3_CampaignMaster[End_Date],"")</f>
        <v>45747</v>
      </c>
      <c r="Y858">
        <f>_xlfn.XLOOKUP(Table8[[#This Row],[Campaign_Code]],tb3_CampaignMaster[Campaign_Code],tb3_CampaignMaster[Budget_GBP],"")</f>
        <v>10000</v>
      </c>
      <c r="Z858" t="str">
        <f>_xlfn.XLOOKUP(Table8[[#This Row],[Campaign_Code]],tb3_CampaignMaster[Campaign_Code],tb3_CampaignMaster[Primary_Channel],"")</f>
        <v>Telephone</v>
      </c>
      <c r="AA858" s="13">
        <f>IF(Table8[[#This Row],[Gift_Aid_Eligible]]="Yes",Table8[[#This Row],[Gift_Amount]]*1.25,Table8[[#This Row],[Gift_Amount]])</f>
        <v>147.03749999999999</v>
      </c>
      <c r="AB858" t="str">
        <f>IF(Table8[[#This Row],[Supporter_ID]]="","Review - missing supporter ID","")</f>
        <v/>
      </c>
      <c r="AC858" t="str">
        <f>IF(OR(Table8[[#This Row],[Response_Date]]&lt;Table8[[#This Row],[Start_Date]],Table8[[#This Row],[Response_Date]]&gt;Table8[[#This Row],[End_Date]]),"Review - response outside campaign dates","")</f>
        <v/>
      </c>
      <c r="AD858" t="str">
        <f>IF(Table8[[#This Row],[Campaign_Type]]="","Review - campaign code not found","")</f>
        <v/>
      </c>
    </row>
    <row r="859" spans="1:30" x14ac:dyDescent="0.25">
      <c r="A859" t="s">
        <v>4752</v>
      </c>
      <c r="B859" t="s">
        <v>1761</v>
      </c>
      <c r="C859" t="s">
        <v>3403</v>
      </c>
      <c r="D859" t="s">
        <v>3404</v>
      </c>
      <c r="E859" t="s">
        <v>4</v>
      </c>
      <c r="F859" s="17">
        <v>45630</v>
      </c>
      <c r="G859">
        <v>124.77</v>
      </c>
      <c r="H859" t="s">
        <v>37</v>
      </c>
      <c r="I859" t="s">
        <v>3334</v>
      </c>
      <c r="J859" t="str">
        <f>_xlfn.XLOOKUP(Table8[[#This Row],[Supporter_ID]],tb1_supporters[Supporter_ID ],tb1_supporters[Segment],"")</f>
        <v>One-Time Donor</v>
      </c>
      <c r="K859" t="str">
        <f>_xlfn.XLOOKUP(Table8[[#This Row],[Supporter_ID]],tb1_supporters[Supporter_ID ],tb1_supporters[Acquisition_Source],"")</f>
        <v>Corporate Partner</v>
      </c>
      <c r="L859" t="str">
        <f>_xlfn.XLOOKUP(Table8[[#This Row],[Supporter_ID]],tb1_supporters[Supporter_ID ],tb1_supporters[County],"")</f>
        <v>Kent</v>
      </c>
      <c r="M859" t="str">
        <f>_xlfn.XLOOKUP(Table8[[#This Row],[Supporter_ID]],tb1_supporters[Supporter_ID ],tb1_supporters[Gender],"")</f>
        <v>Male</v>
      </c>
      <c r="N859">
        <f ca="1">_xlfn.XLOOKUP(Table8[[#This Row],[Supporter_ID]],tb1_supporters[Supporter_ID ],tb1_supporters[Age],"")</f>
        <v>54</v>
      </c>
      <c r="O859" t="str">
        <f ca="1">_xlfn.XLOOKUP(Table8[[#This Row],[Supporter_ID]],tb1_supporters[Supporter_ID ],tb1_supporters[Age_Band],"")</f>
        <v>50-64</v>
      </c>
      <c r="P859" t="str">
        <f ca="1">IF(Table8[[#This Row],[Age_Band]]="","Unknown",Table8[[#This Row],[Age_Band]])</f>
        <v>50-64</v>
      </c>
      <c r="Q859" t="str">
        <f>_xlfn.XLOOKUP(Table8[[#This Row],[Supporter_ID]],tb1_supporters[Supporter_ID ],tb1_supporters[Communication_Preference],"")</f>
        <v>Phone</v>
      </c>
      <c r="R859" t="str">
        <f>_xlfn.XLOOKUP(Table8[[#This Row],[Supporter_ID]],tb1_supporters[Supporter_ID ],tb1_supporters[Duplicate_Profile_Flag],"")</f>
        <v/>
      </c>
      <c r="S859" t="str">
        <f>_xlfn.XLOOKUP(Table8[[#This Row],[Supporter_ID]],tb1_supporters[Supporter_ID ],tb1_supporters[Preference_Compliance_Flag],"")</f>
        <v>Review - prefers phone but not opted in</v>
      </c>
      <c r="T859" t="str">
        <f ca="1">IF(Table8[[#This Row],[Age]]="","Review - missing DOB",IF(Table8[[#This Row],[Age]]&gt;TODAY(),"Review - future DOB",IF(Table8[[#This Row],[Age]]=0,"Review -  potential entry error (age 0)","")))</f>
        <v/>
      </c>
      <c r="U859" t="str">
        <f>_xlfn.XLOOKUP(Table8[[#This Row],[Campaign_Code]],tb3_CampaignMaster[Campaign_Code],tb3_CampaignMaster[Campaign_Type],"")</f>
        <v>Trading</v>
      </c>
      <c r="V859" t="str">
        <f>_xlfn.XLOOKUP(Table8[[#This Row],[Campaign_Code]],tb3_CampaignMaster[Campaign_Code],tb3_CampaignMaster[Target_Audience],"")</f>
        <v>All Active</v>
      </c>
      <c r="W859" s="17">
        <f>_xlfn.XLOOKUP(Table8[[#This Row],[Campaign_Code]],tb3_CampaignMaster[Campaign_Code],tb3_CampaignMaster[Start_Date],"")</f>
        <v>45580</v>
      </c>
      <c r="X859" s="17">
        <f>_xlfn.XLOOKUP(Table8[[#This Row],[Campaign_Code]],tb3_CampaignMaster[Campaign_Code],tb3_CampaignMaster[End_Date],"")</f>
        <v>45646</v>
      </c>
      <c r="Y859">
        <f>_xlfn.XLOOKUP(Table8[[#This Row],[Campaign_Code]],tb3_CampaignMaster[Campaign_Code],tb3_CampaignMaster[Budget_GBP],"")</f>
        <v>12000</v>
      </c>
      <c r="Z859" t="str">
        <f>_xlfn.XLOOKUP(Table8[[#This Row],[Campaign_Code]],tb3_CampaignMaster[Campaign_Code],tb3_CampaignMaster[Primary_Channel],"")</f>
        <v>Multi-channel</v>
      </c>
      <c r="AA859" s="13">
        <f>IF(Table8[[#This Row],[Gift_Aid_Eligible]]="Yes",Table8[[#This Row],[Gift_Amount]]*1.25,Table8[[#This Row],[Gift_Amount]])</f>
        <v>124.77</v>
      </c>
      <c r="AB859" t="str">
        <f>IF(Table8[[#This Row],[Supporter_ID]]="","Review - missing supporter ID","")</f>
        <v/>
      </c>
      <c r="AC859" t="str">
        <f>IF(OR(Table8[[#This Row],[Response_Date]]&lt;Table8[[#This Row],[Start_Date]],Table8[[#This Row],[Response_Date]]&gt;Table8[[#This Row],[End_Date]]),"Review - response outside campaign dates","")</f>
        <v/>
      </c>
      <c r="AD859" t="str">
        <f>IF(Table8[[#This Row],[Campaign_Type]]="","Review - campaign code not found","")</f>
        <v/>
      </c>
    </row>
    <row r="860" spans="1:30" x14ac:dyDescent="0.25">
      <c r="A860" t="s">
        <v>4754</v>
      </c>
      <c r="B860" t="s">
        <v>282</v>
      </c>
      <c r="C860" t="s">
        <v>3403</v>
      </c>
      <c r="D860" t="s">
        <v>3404</v>
      </c>
      <c r="E860" t="s">
        <v>3316</v>
      </c>
      <c r="F860" s="17">
        <v>45581</v>
      </c>
      <c r="G860">
        <v>97.08</v>
      </c>
      <c r="H860" t="s">
        <v>36</v>
      </c>
      <c r="I860" t="s">
        <v>3385</v>
      </c>
      <c r="J860" t="str">
        <f>_xlfn.XLOOKUP(Table8[[#This Row],[Supporter_ID]],tb1_supporters[Supporter_ID ],tb1_supporters[Segment],"")</f>
        <v>Legacy Pledger</v>
      </c>
      <c r="K860" t="str">
        <f>_xlfn.XLOOKUP(Table8[[#This Row],[Supporter_ID]],tb1_supporters[Supporter_ID ],tb1_supporters[Acquisition_Source],"")</f>
        <v>Direct Mail</v>
      </c>
      <c r="L860" t="str">
        <f>_xlfn.XLOOKUP(Table8[[#This Row],[Supporter_ID]],tb1_supporters[Supporter_ID ],tb1_supporters[County],"")</f>
        <v>Cambridgeshire</v>
      </c>
      <c r="M860" t="str">
        <f>_xlfn.XLOOKUP(Table8[[#This Row],[Supporter_ID]],tb1_supporters[Supporter_ID ],tb1_supporters[Gender],"")</f>
        <v>Female</v>
      </c>
      <c r="N860">
        <f ca="1">_xlfn.XLOOKUP(Table8[[#This Row],[Supporter_ID]],tb1_supporters[Supporter_ID ],tb1_supporters[Age],"")</f>
        <v>59</v>
      </c>
      <c r="O860" t="str">
        <f ca="1">_xlfn.XLOOKUP(Table8[[#This Row],[Supporter_ID]],tb1_supporters[Supporter_ID ],tb1_supporters[Age_Band],"")</f>
        <v>50-64</v>
      </c>
      <c r="P860" t="str">
        <f ca="1">IF(Table8[[#This Row],[Age_Band]]="","Unknown",Table8[[#This Row],[Age_Band]])</f>
        <v>50-64</v>
      </c>
      <c r="Q860" t="str">
        <f>_xlfn.XLOOKUP(Table8[[#This Row],[Supporter_ID]],tb1_supporters[Supporter_ID ],tb1_supporters[Communication_Preference],"")</f>
        <v>Do Not Contact</v>
      </c>
      <c r="R860" t="str">
        <f>_xlfn.XLOOKUP(Table8[[#This Row],[Supporter_ID]],tb1_supporters[Supporter_ID ],tb1_supporters[Duplicate_Profile_Flag],"")</f>
        <v/>
      </c>
      <c r="S860" t="str">
        <f>_xlfn.XLOOKUP(Table8[[#This Row],[Supporter_ID]],tb1_supporters[Supporter_ID ],tb1_supporters[Preference_Compliance_Flag],"")</f>
        <v/>
      </c>
      <c r="T860" t="str">
        <f ca="1">IF(Table8[[#This Row],[Age]]="","Review - missing DOB",IF(Table8[[#This Row],[Age]]&gt;TODAY(),"Review - future DOB",IF(Table8[[#This Row],[Age]]=0,"Review -  potential entry error (age 0)","")))</f>
        <v/>
      </c>
      <c r="U860" t="str">
        <f>_xlfn.XLOOKUP(Table8[[#This Row],[Campaign_Code]],tb3_CampaignMaster[Campaign_Code],tb3_CampaignMaster[Campaign_Type],"")</f>
        <v>Trading</v>
      </c>
      <c r="V860" t="str">
        <f>_xlfn.XLOOKUP(Table8[[#This Row],[Campaign_Code]],tb3_CampaignMaster[Campaign_Code],tb3_CampaignMaster[Target_Audience],"")</f>
        <v>All Active</v>
      </c>
      <c r="W860" s="17">
        <f>_xlfn.XLOOKUP(Table8[[#This Row],[Campaign_Code]],tb3_CampaignMaster[Campaign_Code],tb3_CampaignMaster[Start_Date],"")</f>
        <v>45580</v>
      </c>
      <c r="X860" s="17">
        <f>_xlfn.XLOOKUP(Table8[[#This Row],[Campaign_Code]],tb3_CampaignMaster[Campaign_Code],tb3_CampaignMaster[End_Date],"")</f>
        <v>45646</v>
      </c>
      <c r="Y860">
        <f>_xlfn.XLOOKUP(Table8[[#This Row],[Campaign_Code]],tb3_CampaignMaster[Campaign_Code],tb3_CampaignMaster[Budget_GBP],"")</f>
        <v>12000</v>
      </c>
      <c r="Z860" t="str">
        <f>_xlfn.XLOOKUP(Table8[[#This Row],[Campaign_Code]],tb3_CampaignMaster[Campaign_Code],tb3_CampaignMaster[Primary_Channel],"")</f>
        <v>Multi-channel</v>
      </c>
      <c r="AA860" s="13">
        <f>IF(Table8[[#This Row],[Gift_Aid_Eligible]]="Yes",Table8[[#This Row],[Gift_Amount]]*1.25,Table8[[#This Row],[Gift_Amount]])</f>
        <v>121.35</v>
      </c>
      <c r="AB860" t="str">
        <f>IF(Table8[[#This Row],[Supporter_ID]]="","Review - missing supporter ID","")</f>
        <v/>
      </c>
      <c r="AC860" t="str">
        <f>IF(OR(Table8[[#This Row],[Response_Date]]&lt;Table8[[#This Row],[Start_Date]],Table8[[#This Row],[Response_Date]]&gt;Table8[[#This Row],[End_Date]]),"Review - response outside campaign dates","")</f>
        <v/>
      </c>
      <c r="AD860" t="str">
        <f>IF(Table8[[#This Row],[Campaign_Type]]="","Review - campaign code not found","")</f>
        <v/>
      </c>
    </row>
    <row r="861" spans="1:30" x14ac:dyDescent="0.25">
      <c r="A861" t="s">
        <v>4756</v>
      </c>
      <c r="B861" t="s">
        <v>2650</v>
      </c>
      <c r="C861" t="s">
        <v>3354</v>
      </c>
      <c r="D861" t="s">
        <v>3355</v>
      </c>
      <c r="E861" t="s">
        <v>4</v>
      </c>
      <c r="F861" s="17">
        <v>45618</v>
      </c>
      <c r="G861">
        <v>63.11</v>
      </c>
      <c r="H861" t="s">
        <v>36</v>
      </c>
      <c r="I861" t="s">
        <v>3365</v>
      </c>
      <c r="J861" t="str">
        <f>_xlfn.XLOOKUP(Table8[[#This Row],[Supporter_ID]],tb1_supporters[Supporter_ID ],tb1_supporters[Segment],"")</f>
        <v>One-Time Donor</v>
      </c>
      <c r="K861" t="str">
        <f>_xlfn.XLOOKUP(Table8[[#This Row],[Supporter_ID]],tb1_supporters[Supporter_ID ],tb1_supporters[Acquisition_Source],"")</f>
        <v>Referral</v>
      </c>
      <c r="L861" t="str">
        <f>_xlfn.XLOOKUP(Table8[[#This Row],[Supporter_ID]],tb1_supporters[Supporter_ID ],tb1_supporters[County],"")</f>
        <v>Grampian</v>
      </c>
      <c r="M861" t="str">
        <f>_xlfn.XLOOKUP(Table8[[#This Row],[Supporter_ID]],tb1_supporters[Supporter_ID ],tb1_supporters[Gender],"")</f>
        <v>Female</v>
      </c>
      <c r="N861">
        <f ca="1">_xlfn.XLOOKUP(Table8[[#This Row],[Supporter_ID]],tb1_supporters[Supporter_ID ],tb1_supporters[Age],"")</f>
        <v>34</v>
      </c>
      <c r="O861" t="str">
        <f ca="1">_xlfn.XLOOKUP(Table8[[#This Row],[Supporter_ID]],tb1_supporters[Supporter_ID ],tb1_supporters[Age_Band],"")</f>
        <v>18-34</v>
      </c>
      <c r="P861" t="str">
        <f ca="1">IF(Table8[[#This Row],[Age_Band]]="","Unknown",Table8[[#This Row],[Age_Band]])</f>
        <v>18-34</v>
      </c>
      <c r="Q861" t="str">
        <f>_xlfn.XLOOKUP(Table8[[#This Row],[Supporter_ID]],tb1_supporters[Supporter_ID ],tb1_supporters[Communication_Preference],"")</f>
        <v>Post</v>
      </c>
      <c r="R861" t="str">
        <f>_xlfn.XLOOKUP(Table8[[#This Row],[Supporter_ID]],tb1_supporters[Supporter_ID ],tb1_supporters[Duplicate_Profile_Flag],"")</f>
        <v/>
      </c>
      <c r="S861" t="str">
        <f>_xlfn.XLOOKUP(Table8[[#This Row],[Supporter_ID]],tb1_supporters[Supporter_ID ],tb1_supporters[Preference_Compliance_Flag],"")</f>
        <v>Review - prefers post but not opted in</v>
      </c>
      <c r="T861" t="str">
        <f ca="1">IF(Table8[[#This Row],[Age]]="","Review - missing DOB",IF(Table8[[#This Row],[Age]]&gt;TODAY(),"Review - future DOB",IF(Table8[[#This Row],[Age]]=0,"Review -  potential entry error (age 0)","")))</f>
        <v/>
      </c>
      <c r="U861" t="str">
        <f>_xlfn.XLOOKUP(Table8[[#This Row],[Campaign_Code]],tb3_CampaignMaster[Campaign_Code],tb3_CampaignMaster[Campaign_Type],"")</f>
        <v>Event</v>
      </c>
      <c r="V861" t="str">
        <f>_xlfn.XLOOKUP(Table8[[#This Row],[Campaign_Code]],tb3_CampaignMaster[Campaign_Code],tb3_CampaignMaster[Target_Audience],"")</f>
        <v>Volunteers</v>
      </c>
      <c r="W861" s="17">
        <f>_xlfn.XLOOKUP(Table8[[#This Row],[Campaign_Code]],tb3_CampaignMaster[Campaign_Code],tb3_CampaignMaster[Start_Date],"")</f>
        <v>45618</v>
      </c>
      <c r="X861" s="17">
        <f>_xlfn.XLOOKUP(Table8[[#This Row],[Campaign_Code]],tb3_CampaignMaster[Campaign_Code],tb3_CampaignMaster[End_Date],"")</f>
        <v>45618</v>
      </c>
      <c r="Y861">
        <f>_xlfn.XLOOKUP(Table8[[#This Row],[Campaign_Code]],tb3_CampaignMaster[Campaign_Code],tb3_CampaignMaster[Budget_GBP],"")</f>
        <v>3500</v>
      </c>
      <c r="Z861" t="str">
        <f>_xlfn.XLOOKUP(Table8[[#This Row],[Campaign_Code]],tb3_CampaignMaster[Campaign_Code],tb3_CampaignMaster[Primary_Channel],"")</f>
        <v>Email</v>
      </c>
      <c r="AA861" s="13">
        <f>IF(Table8[[#This Row],[Gift_Aid_Eligible]]="Yes",Table8[[#This Row],[Gift_Amount]]*1.25,Table8[[#This Row],[Gift_Amount]])</f>
        <v>78.887500000000003</v>
      </c>
      <c r="AB861" t="str">
        <f>IF(Table8[[#This Row],[Supporter_ID]]="","Review - missing supporter ID","")</f>
        <v/>
      </c>
      <c r="AC861" t="str">
        <f>IF(OR(Table8[[#This Row],[Response_Date]]&lt;Table8[[#This Row],[Start_Date]],Table8[[#This Row],[Response_Date]]&gt;Table8[[#This Row],[End_Date]]),"Review - response outside campaign dates","")</f>
        <v/>
      </c>
      <c r="AD861" t="str">
        <f>IF(Table8[[#This Row],[Campaign_Type]]="","Review - campaign code not found","")</f>
        <v/>
      </c>
    </row>
    <row r="862" spans="1:30" x14ac:dyDescent="0.25">
      <c r="A862" t="s">
        <v>4757</v>
      </c>
      <c r="B862" t="s">
        <v>1591</v>
      </c>
      <c r="C862" t="s">
        <v>3341</v>
      </c>
      <c r="D862" t="s">
        <v>3342</v>
      </c>
      <c r="E862" t="s">
        <v>3316</v>
      </c>
      <c r="F862" s="17">
        <v>45777</v>
      </c>
      <c r="G862">
        <v>232.47</v>
      </c>
      <c r="H862" t="s">
        <v>36</v>
      </c>
      <c r="I862" t="s">
        <v>3334</v>
      </c>
      <c r="J862" t="str">
        <f>_xlfn.XLOOKUP(Table8[[#This Row],[Supporter_ID]],tb1_supporters[Supporter_ID ],tb1_supporters[Segment],"")</f>
        <v>Mid-Value</v>
      </c>
      <c r="K862" t="str">
        <f>_xlfn.XLOOKUP(Table8[[#This Row],[Supporter_ID]],tb1_supporters[Supporter_ID ],tb1_supporters[Acquisition_Source],"")</f>
        <v>Corporate Partner</v>
      </c>
      <c r="L862" t="str">
        <f>_xlfn.XLOOKUP(Table8[[#This Row],[Supporter_ID]],tb1_supporters[Supporter_ID ],tb1_supporters[County],"")</f>
        <v>South Glamorgan</v>
      </c>
      <c r="M862" t="str">
        <f>_xlfn.XLOOKUP(Table8[[#This Row],[Supporter_ID]],tb1_supporters[Supporter_ID ],tb1_supporters[Gender],"")</f>
        <v>Male</v>
      </c>
      <c r="N862">
        <f ca="1">_xlfn.XLOOKUP(Table8[[#This Row],[Supporter_ID]],tb1_supporters[Supporter_ID ],tb1_supporters[Age],"")</f>
        <v>72</v>
      </c>
      <c r="O862" t="str">
        <f ca="1">_xlfn.XLOOKUP(Table8[[#This Row],[Supporter_ID]],tb1_supporters[Supporter_ID ],tb1_supporters[Age_Band],"")</f>
        <v>65+</v>
      </c>
      <c r="P862" t="str">
        <f ca="1">IF(Table8[[#This Row],[Age_Band]]="","Unknown",Table8[[#This Row],[Age_Band]])</f>
        <v>65+</v>
      </c>
      <c r="Q862" t="str">
        <f>_xlfn.XLOOKUP(Table8[[#This Row],[Supporter_ID]],tb1_supporters[Supporter_ID ],tb1_supporters[Communication_Preference],"")</f>
        <v>Email</v>
      </c>
      <c r="R862" t="str">
        <f>_xlfn.XLOOKUP(Table8[[#This Row],[Supporter_ID]],tb1_supporters[Supporter_ID ],tb1_supporters[Duplicate_Profile_Flag],"")</f>
        <v/>
      </c>
      <c r="S862" t="str">
        <f>_xlfn.XLOOKUP(Table8[[#This Row],[Supporter_ID]],tb1_supporters[Supporter_ID ],tb1_supporters[Preference_Compliance_Flag],"")</f>
        <v/>
      </c>
      <c r="T862" t="str">
        <f ca="1">IF(Table8[[#This Row],[Age]]="","Review - missing DOB",IF(Table8[[#This Row],[Age]]&gt;TODAY(),"Review - future DOB",IF(Table8[[#This Row],[Age]]=0,"Review -  potential entry error (age 0)","")))</f>
        <v/>
      </c>
      <c r="U862" t="str">
        <f>_xlfn.XLOOKUP(Table8[[#This Row],[Campaign_Code]],tb3_CampaignMaster[Campaign_Code],tb3_CampaignMaster[Campaign_Type],"")</f>
        <v>Acquisition</v>
      </c>
      <c r="V862" t="str">
        <f>_xlfn.XLOOKUP(Table8[[#This Row],[Campaign_Code]],tb3_CampaignMaster[Campaign_Code],tb3_CampaignMaster[Target_Audience],"")</f>
        <v>Prospects</v>
      </c>
      <c r="W862" s="17">
        <f>_xlfn.XLOOKUP(Table8[[#This Row],[Campaign_Code]],tb3_CampaignMaster[Campaign_Code],tb3_CampaignMaster[Start_Date],"")</f>
        <v>45689</v>
      </c>
      <c r="X862" s="17">
        <f>_xlfn.XLOOKUP(Table8[[#This Row],[Campaign_Code]],tb3_CampaignMaster[Campaign_Code],tb3_CampaignMaster[End_Date],"")</f>
        <v>45777</v>
      </c>
      <c r="Y862">
        <f>_xlfn.XLOOKUP(Table8[[#This Row],[Campaign_Code]],tb3_CampaignMaster[Campaign_Code],tb3_CampaignMaster[Budget_GBP],"")</f>
        <v>20000</v>
      </c>
      <c r="Z862" t="str">
        <f>_xlfn.XLOOKUP(Table8[[#This Row],[Campaign_Code]],tb3_CampaignMaster[Campaign_Code],tb3_CampaignMaster[Primary_Channel],"")</f>
        <v>Digital</v>
      </c>
      <c r="AA862" s="13">
        <f>IF(Table8[[#This Row],[Gift_Aid_Eligible]]="Yes",Table8[[#This Row],[Gift_Amount]]*1.25,Table8[[#This Row],[Gift_Amount]])</f>
        <v>290.58749999999998</v>
      </c>
      <c r="AB862" t="str">
        <f>IF(Table8[[#This Row],[Supporter_ID]]="","Review - missing supporter ID","")</f>
        <v/>
      </c>
      <c r="AC862" t="str">
        <f>IF(OR(Table8[[#This Row],[Response_Date]]&lt;Table8[[#This Row],[Start_Date]],Table8[[#This Row],[Response_Date]]&gt;Table8[[#This Row],[End_Date]]),"Review - response outside campaign dates","")</f>
        <v/>
      </c>
      <c r="AD862" t="str">
        <f>IF(Table8[[#This Row],[Campaign_Type]]="","Review - campaign code not found","")</f>
        <v/>
      </c>
    </row>
    <row r="863" spans="1:30" x14ac:dyDescent="0.25">
      <c r="A863" t="s">
        <v>4759</v>
      </c>
      <c r="B863" t="s">
        <v>850</v>
      </c>
      <c r="C863" t="s">
        <v>3367</v>
      </c>
      <c r="D863" t="s">
        <v>3368</v>
      </c>
      <c r="E863" t="s">
        <v>65</v>
      </c>
      <c r="F863" s="17">
        <v>45751</v>
      </c>
      <c r="G863">
        <v>24.34</v>
      </c>
      <c r="H863" t="s">
        <v>36</v>
      </c>
      <c r="I863" t="s">
        <v>3328</v>
      </c>
      <c r="J863" t="str">
        <f>_xlfn.XLOOKUP(Table8[[#This Row],[Supporter_ID]],tb1_supporters[Supporter_ID ],tb1_supporters[Segment],"")</f>
        <v>Prospect</v>
      </c>
      <c r="K863" t="str">
        <f>_xlfn.XLOOKUP(Table8[[#This Row],[Supporter_ID]],tb1_supporters[Supporter_ID ],tb1_supporters[Acquisition_Source],"")</f>
        <v>Website</v>
      </c>
      <c r="L863" t="str">
        <f>_xlfn.XLOOKUP(Table8[[#This Row],[Supporter_ID]],tb1_supporters[Supporter_ID ],tb1_supporters[County],"")</f>
        <v>Tyne and Wear</v>
      </c>
      <c r="M863" t="str">
        <f>_xlfn.XLOOKUP(Table8[[#This Row],[Supporter_ID]],tb1_supporters[Supporter_ID ],tb1_supporters[Gender],"")</f>
        <v>Female</v>
      </c>
      <c r="N863">
        <f ca="1">_xlfn.XLOOKUP(Table8[[#This Row],[Supporter_ID]],tb1_supporters[Supporter_ID ],tb1_supporters[Age],"")</f>
        <v>21</v>
      </c>
      <c r="O863" t="str">
        <f ca="1">_xlfn.XLOOKUP(Table8[[#This Row],[Supporter_ID]],tb1_supporters[Supporter_ID ],tb1_supporters[Age_Band],"")</f>
        <v>18-34</v>
      </c>
      <c r="P863" t="str">
        <f ca="1">IF(Table8[[#This Row],[Age_Band]]="","Unknown",Table8[[#This Row],[Age_Band]])</f>
        <v>18-34</v>
      </c>
      <c r="Q863" t="str">
        <f>_xlfn.XLOOKUP(Table8[[#This Row],[Supporter_ID]],tb1_supporters[Supporter_ID ],tb1_supporters[Communication_Preference],"")</f>
        <v>Post</v>
      </c>
      <c r="R863" t="str">
        <f>_xlfn.XLOOKUP(Table8[[#This Row],[Supporter_ID]],tb1_supporters[Supporter_ID ],tb1_supporters[Duplicate_Profile_Flag],"")</f>
        <v/>
      </c>
      <c r="S863" t="str">
        <f>_xlfn.XLOOKUP(Table8[[#This Row],[Supporter_ID]],tb1_supporters[Supporter_ID ],tb1_supporters[Preference_Compliance_Flag],"")</f>
        <v>Review - prefers post but not opted in</v>
      </c>
      <c r="T863" t="str">
        <f ca="1">IF(Table8[[#This Row],[Age]]="","Review - missing DOB",IF(Table8[[#This Row],[Age]]&gt;TODAY(),"Review - future DOB",IF(Table8[[#This Row],[Age]]=0,"Review -  potential entry error (age 0)","")))</f>
        <v/>
      </c>
      <c r="U863" t="str">
        <f>_xlfn.XLOOKUP(Table8[[#This Row],[Campaign_Code]],tb3_CampaignMaster[Campaign_Code],tb3_CampaignMaster[Campaign_Type],"")</f>
        <v>Raffle</v>
      </c>
      <c r="V863" t="str">
        <f>_xlfn.XLOOKUP(Table8[[#This Row],[Campaign_Code]],tb3_CampaignMaster[Campaign_Code],tb3_CampaignMaster[Target_Audience],"")</f>
        <v>Regular Givers</v>
      </c>
      <c r="W863" s="17">
        <f>_xlfn.XLOOKUP(Table8[[#This Row],[Campaign_Code]],tb3_CampaignMaster[Campaign_Code],tb3_CampaignMaster[Start_Date],"")</f>
        <v>45717</v>
      </c>
      <c r="X863" s="17">
        <f>_xlfn.XLOOKUP(Table8[[#This Row],[Campaign_Code]],tb3_CampaignMaster[Campaign_Code],tb3_CampaignMaster[End_Date],"")</f>
        <v>45777</v>
      </c>
      <c r="Y863">
        <f>_xlfn.XLOOKUP(Table8[[#This Row],[Campaign_Code]],tb3_CampaignMaster[Campaign_Code],tb3_CampaignMaster[Budget_GBP],"")</f>
        <v>8000</v>
      </c>
      <c r="Z863" t="str">
        <f>_xlfn.XLOOKUP(Table8[[#This Row],[Campaign_Code]],tb3_CampaignMaster[Campaign_Code],tb3_CampaignMaster[Primary_Channel],"")</f>
        <v>Direct Mail</v>
      </c>
      <c r="AA863" s="13">
        <f>IF(Table8[[#This Row],[Gift_Aid_Eligible]]="Yes",Table8[[#This Row],[Gift_Amount]]*1.25,Table8[[#This Row],[Gift_Amount]])</f>
        <v>30.425000000000001</v>
      </c>
      <c r="AB863" t="str">
        <f>IF(Table8[[#This Row],[Supporter_ID]]="","Review - missing supporter ID","")</f>
        <v/>
      </c>
      <c r="AC863" t="str">
        <f>IF(OR(Table8[[#This Row],[Response_Date]]&lt;Table8[[#This Row],[Start_Date]],Table8[[#This Row],[Response_Date]]&gt;Table8[[#This Row],[End_Date]]),"Review - response outside campaign dates","")</f>
        <v/>
      </c>
      <c r="AD863" t="str">
        <f>IF(Table8[[#This Row],[Campaign_Type]]="","Review - campaign code not found","")</f>
        <v/>
      </c>
    </row>
    <row r="864" spans="1:30" x14ac:dyDescent="0.25">
      <c r="A864" t="s">
        <v>4761</v>
      </c>
      <c r="B864" t="s">
        <v>1744</v>
      </c>
      <c r="C864" t="s">
        <v>3325</v>
      </c>
      <c r="D864" t="s">
        <v>3326</v>
      </c>
      <c r="E864" t="s">
        <v>4</v>
      </c>
      <c r="F864" s="17">
        <v>45629</v>
      </c>
      <c r="G864">
        <v>9.48</v>
      </c>
      <c r="H864" t="s">
        <v>36</v>
      </c>
      <c r="I864" t="s">
        <v>3334</v>
      </c>
      <c r="J864" t="str">
        <f>_xlfn.XLOOKUP(Table8[[#This Row],[Supporter_ID]],tb1_supporters[Supporter_ID ],tb1_supporters[Segment],"")</f>
        <v>Regular Giver</v>
      </c>
      <c r="K864" t="str">
        <f>_xlfn.XLOOKUP(Table8[[#This Row],[Supporter_ID]],tb1_supporters[Supporter_ID ],tb1_supporters[Acquisition_Source],"")</f>
        <v>Referral</v>
      </c>
      <c r="L864" t="str">
        <f>_xlfn.XLOOKUP(Table8[[#This Row],[Supporter_ID]],tb1_supporters[Supporter_ID ],tb1_supporters[County],"")</f>
        <v>Hampshire</v>
      </c>
      <c r="M864" t="str">
        <f>_xlfn.XLOOKUP(Table8[[#This Row],[Supporter_ID]],tb1_supporters[Supporter_ID ],tb1_supporters[Gender],"")</f>
        <v>Male</v>
      </c>
      <c r="N864" t="str">
        <f ca="1">_xlfn.XLOOKUP(Table8[[#This Row],[Supporter_ID]],tb1_supporters[Supporter_ID ],tb1_supporters[Age],"")</f>
        <v/>
      </c>
      <c r="O864" t="str">
        <f ca="1">_xlfn.XLOOKUP(Table8[[#This Row],[Supporter_ID]],tb1_supporters[Supporter_ID ],tb1_supporters[Age_Band],"")</f>
        <v/>
      </c>
      <c r="P864" t="str">
        <f ca="1">IF(Table8[[#This Row],[Age_Band]]="","Unknown",Table8[[#This Row],[Age_Band]])</f>
        <v>Unknown</v>
      </c>
      <c r="Q864" t="str">
        <f>_xlfn.XLOOKUP(Table8[[#This Row],[Supporter_ID]],tb1_supporters[Supporter_ID ],tb1_supporters[Communication_Preference],"")</f>
        <v>Email</v>
      </c>
      <c r="R864" t="str">
        <f>_xlfn.XLOOKUP(Table8[[#This Row],[Supporter_ID]],tb1_supporters[Supporter_ID ],tb1_supporters[Duplicate_Profile_Flag],"")</f>
        <v/>
      </c>
      <c r="S864" t="str">
        <f>_xlfn.XLOOKUP(Table8[[#This Row],[Supporter_ID]],tb1_supporters[Supporter_ID ],tb1_supporters[Preference_Compliance_Flag],"")</f>
        <v/>
      </c>
      <c r="T864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864" t="str">
        <f>_xlfn.XLOOKUP(Table8[[#This Row],[Campaign_Code]],tb3_CampaignMaster[Campaign_Code],tb3_CampaignMaster[Campaign_Type],"")</f>
        <v>Appeal</v>
      </c>
      <c r="V864" t="str">
        <f>_xlfn.XLOOKUP(Table8[[#This Row],[Campaign_Code]],tb3_CampaignMaster[Campaign_Code],tb3_CampaignMaster[Target_Audience],"")</f>
        <v>All Active</v>
      </c>
      <c r="W864" s="17">
        <f>_xlfn.XLOOKUP(Table8[[#This Row],[Campaign_Code]],tb3_CampaignMaster[Campaign_Code],tb3_CampaignMaster[Start_Date],"")</f>
        <v>45597</v>
      </c>
      <c r="X864" s="17">
        <f>_xlfn.XLOOKUP(Table8[[#This Row],[Campaign_Code]],tb3_CampaignMaster[Campaign_Code],tb3_CampaignMaster[End_Date],"")</f>
        <v>45657</v>
      </c>
      <c r="Y864">
        <f>_xlfn.XLOOKUP(Table8[[#This Row],[Campaign_Code]],tb3_CampaignMaster[Campaign_Code],tb3_CampaignMaster[Budget_GBP],"")</f>
        <v>25000</v>
      </c>
      <c r="Z864" t="str">
        <f>_xlfn.XLOOKUP(Table8[[#This Row],[Campaign_Code]],tb3_CampaignMaster[Campaign_Code],tb3_CampaignMaster[Primary_Channel],"")</f>
        <v>Multi-channel</v>
      </c>
      <c r="AA864" s="13">
        <f>IF(Table8[[#This Row],[Gift_Aid_Eligible]]="Yes",Table8[[#This Row],[Gift_Amount]]*1.25,Table8[[#This Row],[Gift_Amount]])</f>
        <v>11.850000000000001</v>
      </c>
      <c r="AB864" t="str">
        <f>IF(Table8[[#This Row],[Supporter_ID]]="","Review - missing supporter ID","")</f>
        <v/>
      </c>
      <c r="AC864" t="str">
        <f>IF(OR(Table8[[#This Row],[Response_Date]]&lt;Table8[[#This Row],[Start_Date]],Table8[[#This Row],[Response_Date]]&gt;Table8[[#This Row],[End_Date]]),"Review - response outside campaign dates","")</f>
        <v/>
      </c>
      <c r="AD864" t="str">
        <f>IF(Table8[[#This Row],[Campaign_Type]]="","Review - campaign code not found","")</f>
        <v/>
      </c>
    </row>
    <row r="865" spans="1:30" x14ac:dyDescent="0.25">
      <c r="A865" t="s">
        <v>4763</v>
      </c>
      <c r="B865" t="s">
        <v>2598</v>
      </c>
      <c r="C865" t="s">
        <v>3403</v>
      </c>
      <c r="D865" t="s">
        <v>3404</v>
      </c>
      <c r="E865" t="s">
        <v>3316</v>
      </c>
      <c r="F865" s="17">
        <v>45604</v>
      </c>
      <c r="G865">
        <v>76.77</v>
      </c>
      <c r="H865" t="s">
        <v>37</v>
      </c>
      <c r="I865" t="s">
        <v>3365</v>
      </c>
      <c r="J865" t="str">
        <f>_xlfn.XLOOKUP(Table8[[#This Row],[Supporter_ID]],tb1_supporters[Supporter_ID ],tb1_supporters[Segment],"")</f>
        <v>Mid-Value</v>
      </c>
      <c r="K865" t="str">
        <f>_xlfn.XLOOKUP(Table8[[#This Row],[Supporter_ID]],tb1_supporters[Supporter_ID ],tb1_supporters[Acquisition_Source],"")</f>
        <v>Corporate Partner</v>
      </c>
      <c r="L865" t="str">
        <f>_xlfn.XLOOKUP(Table8[[#This Row],[Supporter_ID]],tb1_supporters[Supporter_ID ],tb1_supporters[County],"")</f>
        <v>Avon</v>
      </c>
      <c r="M865" t="str">
        <f>_xlfn.XLOOKUP(Table8[[#This Row],[Supporter_ID]],tb1_supporters[Supporter_ID ],tb1_supporters[Gender],"")</f>
        <v>Female</v>
      </c>
      <c r="N865">
        <f ca="1">_xlfn.XLOOKUP(Table8[[#This Row],[Supporter_ID]],tb1_supporters[Supporter_ID ],tb1_supporters[Age],"")</f>
        <v>44</v>
      </c>
      <c r="O865" t="str">
        <f ca="1">_xlfn.XLOOKUP(Table8[[#This Row],[Supporter_ID]],tb1_supporters[Supporter_ID ],tb1_supporters[Age_Band],"")</f>
        <v>35-49</v>
      </c>
      <c r="P865" t="str">
        <f ca="1">IF(Table8[[#This Row],[Age_Band]]="","Unknown",Table8[[#This Row],[Age_Band]])</f>
        <v>35-49</v>
      </c>
      <c r="Q865" t="str">
        <f>_xlfn.XLOOKUP(Table8[[#This Row],[Supporter_ID]],tb1_supporters[Supporter_ID ],tb1_supporters[Communication_Preference],"")</f>
        <v>Phone</v>
      </c>
      <c r="R865" t="str">
        <f>_xlfn.XLOOKUP(Table8[[#This Row],[Supporter_ID]],tb1_supporters[Supporter_ID ],tb1_supporters[Duplicate_Profile_Flag],"")</f>
        <v/>
      </c>
      <c r="S865" t="str">
        <f>_xlfn.XLOOKUP(Table8[[#This Row],[Supporter_ID]],tb1_supporters[Supporter_ID ],tb1_supporters[Preference_Compliance_Flag],"")</f>
        <v/>
      </c>
      <c r="T865" t="str">
        <f ca="1">IF(Table8[[#This Row],[Age]]="","Review - missing DOB",IF(Table8[[#This Row],[Age]]&gt;TODAY(),"Review - future DOB",IF(Table8[[#This Row],[Age]]=0,"Review -  potential entry error (age 0)","")))</f>
        <v/>
      </c>
      <c r="U865" t="str">
        <f>_xlfn.XLOOKUP(Table8[[#This Row],[Campaign_Code]],tb3_CampaignMaster[Campaign_Code],tb3_CampaignMaster[Campaign_Type],"")</f>
        <v>Trading</v>
      </c>
      <c r="V865" t="str">
        <f>_xlfn.XLOOKUP(Table8[[#This Row],[Campaign_Code]],tb3_CampaignMaster[Campaign_Code],tb3_CampaignMaster[Target_Audience],"")</f>
        <v>All Active</v>
      </c>
      <c r="W865" s="17">
        <f>_xlfn.XLOOKUP(Table8[[#This Row],[Campaign_Code]],tb3_CampaignMaster[Campaign_Code],tb3_CampaignMaster[Start_Date],"")</f>
        <v>45580</v>
      </c>
      <c r="X865" s="17">
        <f>_xlfn.XLOOKUP(Table8[[#This Row],[Campaign_Code]],tb3_CampaignMaster[Campaign_Code],tb3_CampaignMaster[End_Date],"")</f>
        <v>45646</v>
      </c>
      <c r="Y865">
        <f>_xlfn.XLOOKUP(Table8[[#This Row],[Campaign_Code]],tb3_CampaignMaster[Campaign_Code],tb3_CampaignMaster[Budget_GBP],"")</f>
        <v>12000</v>
      </c>
      <c r="Z865" t="str">
        <f>_xlfn.XLOOKUP(Table8[[#This Row],[Campaign_Code]],tb3_CampaignMaster[Campaign_Code],tb3_CampaignMaster[Primary_Channel],"")</f>
        <v>Multi-channel</v>
      </c>
      <c r="AA865" s="13">
        <f>IF(Table8[[#This Row],[Gift_Aid_Eligible]]="Yes",Table8[[#This Row],[Gift_Amount]]*1.25,Table8[[#This Row],[Gift_Amount]])</f>
        <v>76.77</v>
      </c>
      <c r="AB865" t="str">
        <f>IF(Table8[[#This Row],[Supporter_ID]]="","Review - missing supporter ID","")</f>
        <v/>
      </c>
      <c r="AC865" t="str">
        <f>IF(OR(Table8[[#This Row],[Response_Date]]&lt;Table8[[#This Row],[Start_Date]],Table8[[#This Row],[Response_Date]]&gt;Table8[[#This Row],[End_Date]]),"Review - response outside campaign dates","")</f>
        <v/>
      </c>
      <c r="AD865" t="str">
        <f>IF(Table8[[#This Row],[Campaign_Type]]="","Review - campaign code not found","")</f>
        <v/>
      </c>
    </row>
    <row r="866" spans="1:30" x14ac:dyDescent="0.25">
      <c r="A866" t="s">
        <v>4764</v>
      </c>
      <c r="B866" t="s">
        <v>1097</v>
      </c>
      <c r="C866" t="s">
        <v>3320</v>
      </c>
      <c r="D866" t="s">
        <v>3321</v>
      </c>
      <c r="E866" t="s">
        <v>65</v>
      </c>
      <c r="F866" s="17">
        <v>45455</v>
      </c>
      <c r="G866">
        <v>20.83</v>
      </c>
      <c r="H866" t="s">
        <v>36</v>
      </c>
      <c r="I866" t="s">
        <v>3318</v>
      </c>
      <c r="J866" t="str">
        <f>_xlfn.XLOOKUP(Table8[[#This Row],[Supporter_ID]],tb1_supporters[Supporter_ID ],tb1_supporters[Segment],"")</f>
        <v>Prospect</v>
      </c>
      <c r="K866" t="str">
        <f>_xlfn.XLOOKUP(Table8[[#This Row],[Supporter_ID]],tb1_supporters[Supporter_ID ],tb1_supporters[Acquisition_Source],"")</f>
        <v>Social Media</v>
      </c>
      <c r="L866" t="str">
        <f>_xlfn.XLOOKUP(Table8[[#This Row],[Supporter_ID]],tb1_supporters[Supporter_ID ],tb1_supporters[County],"")</f>
        <v>West Midlands</v>
      </c>
      <c r="M866" t="str">
        <f>_xlfn.XLOOKUP(Table8[[#This Row],[Supporter_ID]],tb1_supporters[Supporter_ID ],tb1_supporters[Gender],"")</f>
        <v>Male</v>
      </c>
      <c r="N866">
        <f ca="1">_xlfn.XLOOKUP(Table8[[#This Row],[Supporter_ID]],tb1_supporters[Supporter_ID ],tb1_supporters[Age],"")</f>
        <v>61</v>
      </c>
      <c r="O866" t="str">
        <f ca="1">_xlfn.XLOOKUP(Table8[[#This Row],[Supporter_ID]],tb1_supporters[Supporter_ID ],tb1_supporters[Age_Band],"")</f>
        <v>50-64</v>
      </c>
      <c r="P866" t="str">
        <f ca="1">IF(Table8[[#This Row],[Age_Band]]="","Unknown",Table8[[#This Row],[Age_Band]])</f>
        <v>50-64</v>
      </c>
      <c r="Q866" t="str">
        <f>_xlfn.XLOOKUP(Table8[[#This Row],[Supporter_ID]],tb1_supporters[Supporter_ID ],tb1_supporters[Communication_Preference],"")</f>
        <v>Do Not Contact</v>
      </c>
      <c r="R866" t="str">
        <f>_xlfn.XLOOKUP(Table8[[#This Row],[Supporter_ID]],tb1_supporters[Supporter_ID ],tb1_supporters[Duplicate_Profile_Flag],"")</f>
        <v/>
      </c>
      <c r="S866" t="str">
        <f>_xlfn.XLOOKUP(Table8[[#This Row],[Supporter_ID]],tb1_supporters[Supporter_ID ],tb1_supporters[Preference_Compliance_Flag],"")</f>
        <v/>
      </c>
      <c r="T866" t="str">
        <f ca="1">IF(Table8[[#This Row],[Age]]="","Review - missing DOB",IF(Table8[[#This Row],[Age]]&gt;TODAY(),"Review - future DOB",IF(Table8[[#This Row],[Age]]=0,"Review -  potential entry error (age 0)","")))</f>
        <v/>
      </c>
      <c r="U866" t="str">
        <f>_xlfn.XLOOKUP(Table8[[#This Row],[Campaign_Code]],tb3_CampaignMaster[Campaign_Code],tb3_CampaignMaster[Campaign_Type],"")</f>
        <v>Stewardship</v>
      </c>
      <c r="V866" t="str">
        <f>_xlfn.XLOOKUP(Table8[[#This Row],[Campaign_Code]],tb3_CampaignMaster[Campaign_Code],tb3_CampaignMaster[Target_Audience],"")</f>
        <v>Major Donors</v>
      </c>
      <c r="W866" s="17">
        <f>_xlfn.XLOOKUP(Table8[[#This Row],[Campaign_Code]],tb3_CampaignMaster[Campaign_Code],tb3_CampaignMaster[Start_Date],"")</f>
        <v>45444</v>
      </c>
      <c r="X866" s="17">
        <f>_xlfn.XLOOKUP(Table8[[#This Row],[Campaign_Code]],tb3_CampaignMaster[Campaign_Code],tb3_CampaignMaster[End_Date],"")</f>
        <v>45473</v>
      </c>
      <c r="Y866">
        <f>_xlfn.XLOOKUP(Table8[[#This Row],[Campaign_Code]],tb3_CampaignMaster[Campaign_Code],tb3_CampaignMaster[Budget_GBP],"")</f>
        <v>7000</v>
      </c>
      <c r="Z866" t="str">
        <f>_xlfn.XLOOKUP(Table8[[#This Row],[Campaign_Code]],tb3_CampaignMaster[Campaign_Code],tb3_CampaignMaster[Primary_Channel],"")</f>
        <v>Direct Mail</v>
      </c>
      <c r="AA866" s="13">
        <f>IF(Table8[[#This Row],[Gift_Aid_Eligible]]="Yes",Table8[[#This Row],[Gift_Amount]]*1.25,Table8[[#This Row],[Gift_Amount]])</f>
        <v>26.037499999999998</v>
      </c>
      <c r="AB866" t="str">
        <f>IF(Table8[[#This Row],[Supporter_ID]]="","Review - missing supporter ID","")</f>
        <v/>
      </c>
      <c r="AC866" t="str">
        <f>IF(OR(Table8[[#This Row],[Response_Date]]&lt;Table8[[#This Row],[Start_Date]],Table8[[#This Row],[Response_Date]]&gt;Table8[[#This Row],[End_Date]]),"Review - response outside campaign dates","")</f>
        <v/>
      </c>
      <c r="AD866" t="str">
        <f>IF(Table8[[#This Row],[Campaign_Type]]="","Review - campaign code not found","")</f>
        <v/>
      </c>
    </row>
    <row r="867" spans="1:30" x14ac:dyDescent="0.25">
      <c r="A867" t="s">
        <v>4766</v>
      </c>
      <c r="B867" t="s">
        <v>817</v>
      </c>
      <c r="C867" t="s">
        <v>3336</v>
      </c>
      <c r="D867" t="s">
        <v>3337</v>
      </c>
      <c r="E867" t="s">
        <v>65</v>
      </c>
      <c r="F867" s="17">
        <v>45580</v>
      </c>
      <c r="G867">
        <v>17.07</v>
      </c>
      <c r="H867" t="s">
        <v>36</v>
      </c>
      <c r="I867" t="s">
        <v>3318</v>
      </c>
      <c r="J867" t="str">
        <f>_xlfn.XLOOKUP(Table8[[#This Row],[Supporter_ID]],tb1_supporters[Supporter_ID ],tb1_supporters[Segment],"")</f>
        <v>Regular Giver</v>
      </c>
      <c r="K867" t="str">
        <f>_xlfn.XLOOKUP(Table8[[#This Row],[Supporter_ID]],tb1_supporters[Supporter_ID ],tb1_supporters[Acquisition_Source],"")</f>
        <v>Telephone</v>
      </c>
      <c r="L867" t="str">
        <f>_xlfn.XLOOKUP(Table8[[#This Row],[Supporter_ID]],tb1_supporters[Supporter_ID ],tb1_supporters[County],"")</f>
        <v>West Glamorgan</v>
      </c>
      <c r="M867" t="str">
        <f>_xlfn.XLOOKUP(Table8[[#This Row],[Supporter_ID]],tb1_supporters[Supporter_ID ],tb1_supporters[Gender],"")</f>
        <v>Female</v>
      </c>
      <c r="N867">
        <f ca="1">_xlfn.XLOOKUP(Table8[[#This Row],[Supporter_ID]],tb1_supporters[Supporter_ID ],tb1_supporters[Age],"")</f>
        <v>93</v>
      </c>
      <c r="O867" t="str">
        <f ca="1">_xlfn.XLOOKUP(Table8[[#This Row],[Supporter_ID]],tb1_supporters[Supporter_ID ],tb1_supporters[Age_Band],"")</f>
        <v>65+</v>
      </c>
      <c r="P867" t="str">
        <f ca="1">IF(Table8[[#This Row],[Age_Band]]="","Unknown",Table8[[#This Row],[Age_Band]])</f>
        <v>65+</v>
      </c>
      <c r="Q867" t="str">
        <f>_xlfn.XLOOKUP(Table8[[#This Row],[Supporter_ID]],tb1_supporters[Supporter_ID ],tb1_supporters[Communication_Preference],"")</f>
        <v>No Preference</v>
      </c>
      <c r="R867" t="str">
        <f>_xlfn.XLOOKUP(Table8[[#This Row],[Supporter_ID]],tb1_supporters[Supporter_ID ],tb1_supporters[Duplicate_Profile_Flag],"")</f>
        <v/>
      </c>
      <c r="S867" t="str">
        <f>_xlfn.XLOOKUP(Table8[[#This Row],[Supporter_ID]],tb1_supporters[Supporter_ID ],tb1_supporters[Preference_Compliance_Flag],"")</f>
        <v/>
      </c>
      <c r="T867" t="str">
        <f ca="1">IF(Table8[[#This Row],[Age]]="","Review - missing DOB",IF(Table8[[#This Row],[Age]]&gt;TODAY(),"Review - future DOB",IF(Table8[[#This Row],[Age]]=0,"Review -  potential entry error (age 0)","")))</f>
        <v/>
      </c>
      <c r="U867" t="str">
        <f>_xlfn.XLOOKUP(Table8[[#This Row],[Campaign_Code]],tb3_CampaignMaster[Campaign_Code],tb3_CampaignMaster[Campaign_Type],"")</f>
        <v>Appeal</v>
      </c>
      <c r="V867" t="str">
        <f>_xlfn.XLOOKUP(Table8[[#This Row],[Campaign_Code]],tb3_CampaignMaster[Campaign_Code],tb3_CampaignMaster[Target_Audience],"")</f>
        <v>All Supporters</v>
      </c>
      <c r="W867" s="17">
        <f>_xlfn.XLOOKUP(Table8[[#This Row],[Campaign_Code]],tb3_CampaignMaster[Campaign_Code],tb3_CampaignMaster[Start_Date],"")</f>
        <v>45545</v>
      </c>
      <c r="X867" s="17">
        <f>_xlfn.XLOOKUP(Table8[[#This Row],[Campaign_Code]],tb3_CampaignMaster[Campaign_Code],tb3_CampaignMaster[End_Date],"")</f>
        <v>45580</v>
      </c>
      <c r="Y867">
        <f>_xlfn.XLOOKUP(Table8[[#This Row],[Campaign_Code]],tb3_CampaignMaster[Campaign_Code],tb3_CampaignMaster[Budget_GBP],"")</f>
        <v>15000</v>
      </c>
      <c r="Z867" t="str">
        <f>_xlfn.XLOOKUP(Table8[[#This Row],[Campaign_Code]],tb3_CampaignMaster[Campaign_Code],tb3_CampaignMaster[Primary_Channel],"")</f>
        <v>Email</v>
      </c>
      <c r="AA867" s="13">
        <f>IF(Table8[[#This Row],[Gift_Aid_Eligible]]="Yes",Table8[[#This Row],[Gift_Amount]]*1.25,Table8[[#This Row],[Gift_Amount]])</f>
        <v>21.337499999999999</v>
      </c>
      <c r="AB867" t="str">
        <f>IF(Table8[[#This Row],[Supporter_ID]]="","Review - missing supporter ID","")</f>
        <v/>
      </c>
      <c r="AC867" t="str">
        <f>IF(OR(Table8[[#This Row],[Response_Date]]&lt;Table8[[#This Row],[Start_Date]],Table8[[#This Row],[Response_Date]]&gt;Table8[[#This Row],[End_Date]]),"Review - response outside campaign dates","")</f>
        <v/>
      </c>
      <c r="AD867" t="str">
        <f>IF(Table8[[#This Row],[Campaign_Type]]="","Review - campaign code not found","")</f>
        <v/>
      </c>
    </row>
    <row r="868" spans="1:30" x14ac:dyDescent="0.25">
      <c r="A868" t="s">
        <v>4767</v>
      </c>
      <c r="B868" t="s">
        <v>1538</v>
      </c>
      <c r="C868" t="s">
        <v>3325</v>
      </c>
      <c r="D868" t="s">
        <v>3326</v>
      </c>
      <c r="E868" t="s">
        <v>4</v>
      </c>
      <c r="F868" s="17">
        <v>45651</v>
      </c>
      <c r="G868">
        <v>21.49</v>
      </c>
      <c r="H868" t="s">
        <v>37</v>
      </c>
      <c r="I868" t="s">
        <v>3365</v>
      </c>
      <c r="J868" t="str">
        <f>_xlfn.XLOOKUP(Table8[[#This Row],[Supporter_ID]],tb1_supporters[Supporter_ID ],tb1_supporters[Segment],"")</f>
        <v>Prospect</v>
      </c>
      <c r="K868" t="str">
        <f>_xlfn.XLOOKUP(Table8[[#This Row],[Supporter_ID]],tb1_supporters[Supporter_ID ],tb1_supporters[Acquisition_Source],"")</f>
        <v>Event</v>
      </c>
      <c r="L868" t="str">
        <f>_xlfn.XLOOKUP(Table8[[#This Row],[Supporter_ID]],tb1_supporters[Supporter_ID ],tb1_supporters[County],"")</f>
        <v>Merseyside</v>
      </c>
      <c r="M868" t="str">
        <f>_xlfn.XLOOKUP(Table8[[#This Row],[Supporter_ID]],tb1_supporters[Supporter_ID ],tb1_supporters[Gender],"")</f>
        <v>Female</v>
      </c>
      <c r="N868">
        <f ca="1">_xlfn.XLOOKUP(Table8[[#This Row],[Supporter_ID]],tb1_supporters[Supporter_ID ],tb1_supporters[Age],"")</f>
        <v>59</v>
      </c>
      <c r="O868" t="str">
        <f ca="1">_xlfn.XLOOKUP(Table8[[#This Row],[Supporter_ID]],tb1_supporters[Supporter_ID ],tb1_supporters[Age_Band],"")</f>
        <v>50-64</v>
      </c>
      <c r="P868" t="str">
        <f ca="1">IF(Table8[[#This Row],[Age_Band]]="","Unknown",Table8[[#This Row],[Age_Band]])</f>
        <v>50-64</v>
      </c>
      <c r="Q868" t="str">
        <f>_xlfn.XLOOKUP(Table8[[#This Row],[Supporter_ID]],tb1_supporters[Supporter_ID ],tb1_supporters[Communication_Preference],"")</f>
        <v>Email</v>
      </c>
      <c r="R868" t="str">
        <f>_xlfn.XLOOKUP(Table8[[#This Row],[Supporter_ID]],tb1_supporters[Supporter_ID ],tb1_supporters[Duplicate_Profile_Flag],"")</f>
        <v/>
      </c>
      <c r="S868" t="str">
        <f>_xlfn.XLOOKUP(Table8[[#This Row],[Supporter_ID]],tb1_supporters[Supporter_ID ],tb1_supporters[Preference_Compliance_Flag],"")</f>
        <v/>
      </c>
      <c r="T868" t="str">
        <f ca="1">IF(Table8[[#This Row],[Age]]="","Review - missing DOB",IF(Table8[[#This Row],[Age]]&gt;TODAY(),"Review - future DOB",IF(Table8[[#This Row],[Age]]=0,"Review -  potential entry error (age 0)","")))</f>
        <v/>
      </c>
      <c r="U868" t="str">
        <f>_xlfn.XLOOKUP(Table8[[#This Row],[Campaign_Code]],tb3_CampaignMaster[Campaign_Code],tb3_CampaignMaster[Campaign_Type],"")</f>
        <v>Appeal</v>
      </c>
      <c r="V868" t="str">
        <f>_xlfn.XLOOKUP(Table8[[#This Row],[Campaign_Code]],tb3_CampaignMaster[Campaign_Code],tb3_CampaignMaster[Target_Audience],"")</f>
        <v>All Active</v>
      </c>
      <c r="W868" s="17">
        <f>_xlfn.XLOOKUP(Table8[[#This Row],[Campaign_Code]],tb3_CampaignMaster[Campaign_Code],tb3_CampaignMaster[Start_Date],"")</f>
        <v>45597</v>
      </c>
      <c r="X868" s="17">
        <f>_xlfn.XLOOKUP(Table8[[#This Row],[Campaign_Code]],tb3_CampaignMaster[Campaign_Code],tb3_CampaignMaster[End_Date],"")</f>
        <v>45657</v>
      </c>
      <c r="Y868">
        <f>_xlfn.XLOOKUP(Table8[[#This Row],[Campaign_Code]],tb3_CampaignMaster[Campaign_Code],tb3_CampaignMaster[Budget_GBP],"")</f>
        <v>25000</v>
      </c>
      <c r="Z868" t="str">
        <f>_xlfn.XLOOKUP(Table8[[#This Row],[Campaign_Code]],tb3_CampaignMaster[Campaign_Code],tb3_CampaignMaster[Primary_Channel],"")</f>
        <v>Multi-channel</v>
      </c>
      <c r="AA868" s="13">
        <f>IF(Table8[[#This Row],[Gift_Aid_Eligible]]="Yes",Table8[[#This Row],[Gift_Amount]]*1.25,Table8[[#This Row],[Gift_Amount]])</f>
        <v>21.49</v>
      </c>
      <c r="AB868" t="str">
        <f>IF(Table8[[#This Row],[Supporter_ID]]="","Review - missing supporter ID","")</f>
        <v/>
      </c>
      <c r="AC868" t="str">
        <f>IF(OR(Table8[[#This Row],[Response_Date]]&lt;Table8[[#This Row],[Start_Date]],Table8[[#This Row],[Response_Date]]&gt;Table8[[#This Row],[End_Date]]),"Review - response outside campaign dates","")</f>
        <v/>
      </c>
      <c r="AD868" t="str">
        <f>IF(Table8[[#This Row],[Campaign_Type]]="","Review - campaign code not found","")</f>
        <v/>
      </c>
    </row>
    <row r="869" spans="1:30" x14ac:dyDescent="0.25">
      <c r="A869" t="s">
        <v>4769</v>
      </c>
      <c r="B869" t="s">
        <v>2922</v>
      </c>
      <c r="C869" t="s">
        <v>3403</v>
      </c>
      <c r="D869" t="s">
        <v>3404</v>
      </c>
      <c r="E869" t="s">
        <v>3316</v>
      </c>
      <c r="F869" s="17">
        <v>45590</v>
      </c>
      <c r="G869">
        <v>78.12</v>
      </c>
      <c r="H869" t="s">
        <v>36</v>
      </c>
      <c r="I869" t="s">
        <v>3323</v>
      </c>
      <c r="J869" t="str">
        <f>_xlfn.XLOOKUP(Table8[[#This Row],[Supporter_ID]],tb1_supporters[Supporter_ID ],tb1_supporters[Segment],"")</f>
        <v>One-Time Donor</v>
      </c>
      <c r="K869" t="str">
        <f>_xlfn.XLOOKUP(Table8[[#This Row],[Supporter_ID]],tb1_supporters[Supporter_ID ],tb1_supporters[Acquisition_Source],"")</f>
        <v>Corporate Partner</v>
      </c>
      <c r="L869" t="str">
        <f>_xlfn.XLOOKUP(Table8[[#This Row],[Supporter_ID]],tb1_supporters[Supporter_ID ],tb1_supporters[County],"")</f>
        <v>Strathclyde</v>
      </c>
      <c r="M869" t="str">
        <f>_xlfn.XLOOKUP(Table8[[#This Row],[Supporter_ID]],tb1_supporters[Supporter_ID ],tb1_supporters[Gender],"")</f>
        <v>Male</v>
      </c>
      <c r="N869">
        <f ca="1">_xlfn.XLOOKUP(Table8[[#This Row],[Supporter_ID]],tb1_supporters[Supporter_ID ],tb1_supporters[Age],"")</f>
        <v>32</v>
      </c>
      <c r="O869" t="str">
        <f ca="1">_xlfn.XLOOKUP(Table8[[#This Row],[Supporter_ID]],tb1_supporters[Supporter_ID ],tb1_supporters[Age_Band],"")</f>
        <v>18-34</v>
      </c>
      <c r="P869" t="str">
        <f ca="1">IF(Table8[[#This Row],[Age_Band]]="","Unknown",Table8[[#This Row],[Age_Band]])</f>
        <v>18-34</v>
      </c>
      <c r="Q869" t="str">
        <f>_xlfn.XLOOKUP(Table8[[#This Row],[Supporter_ID]],tb1_supporters[Supporter_ID ],tb1_supporters[Communication_Preference],"")</f>
        <v>Email</v>
      </c>
      <c r="R869" t="str">
        <f>_xlfn.XLOOKUP(Table8[[#This Row],[Supporter_ID]],tb1_supporters[Supporter_ID ],tb1_supporters[Duplicate_Profile_Flag],"")</f>
        <v/>
      </c>
      <c r="S869" t="str">
        <f>_xlfn.XLOOKUP(Table8[[#This Row],[Supporter_ID]],tb1_supporters[Supporter_ID ],tb1_supporters[Preference_Compliance_Flag],"")</f>
        <v/>
      </c>
      <c r="T869" t="str">
        <f ca="1">IF(Table8[[#This Row],[Age]]="","Review - missing DOB",IF(Table8[[#This Row],[Age]]&gt;TODAY(),"Review - future DOB",IF(Table8[[#This Row],[Age]]=0,"Review -  potential entry error (age 0)","")))</f>
        <v/>
      </c>
      <c r="U869" t="str">
        <f>_xlfn.XLOOKUP(Table8[[#This Row],[Campaign_Code]],tb3_CampaignMaster[Campaign_Code],tb3_CampaignMaster[Campaign_Type],"")</f>
        <v>Trading</v>
      </c>
      <c r="V869" t="str">
        <f>_xlfn.XLOOKUP(Table8[[#This Row],[Campaign_Code]],tb3_CampaignMaster[Campaign_Code],tb3_CampaignMaster[Target_Audience],"")</f>
        <v>All Active</v>
      </c>
      <c r="W869" s="17">
        <f>_xlfn.XLOOKUP(Table8[[#This Row],[Campaign_Code]],tb3_CampaignMaster[Campaign_Code],tb3_CampaignMaster[Start_Date],"")</f>
        <v>45580</v>
      </c>
      <c r="X869" s="17">
        <f>_xlfn.XLOOKUP(Table8[[#This Row],[Campaign_Code]],tb3_CampaignMaster[Campaign_Code],tb3_CampaignMaster[End_Date],"")</f>
        <v>45646</v>
      </c>
      <c r="Y869">
        <f>_xlfn.XLOOKUP(Table8[[#This Row],[Campaign_Code]],tb3_CampaignMaster[Campaign_Code],tb3_CampaignMaster[Budget_GBP],"")</f>
        <v>12000</v>
      </c>
      <c r="Z869" t="str">
        <f>_xlfn.XLOOKUP(Table8[[#This Row],[Campaign_Code]],tb3_CampaignMaster[Campaign_Code],tb3_CampaignMaster[Primary_Channel],"")</f>
        <v>Multi-channel</v>
      </c>
      <c r="AA869" s="13">
        <f>IF(Table8[[#This Row],[Gift_Aid_Eligible]]="Yes",Table8[[#This Row],[Gift_Amount]]*1.25,Table8[[#This Row],[Gift_Amount]])</f>
        <v>97.65</v>
      </c>
      <c r="AB869" t="str">
        <f>IF(Table8[[#This Row],[Supporter_ID]]="","Review - missing supporter ID","")</f>
        <v/>
      </c>
      <c r="AC869" t="str">
        <f>IF(OR(Table8[[#This Row],[Response_Date]]&lt;Table8[[#This Row],[Start_Date]],Table8[[#This Row],[Response_Date]]&gt;Table8[[#This Row],[End_Date]]),"Review - response outside campaign dates","")</f>
        <v/>
      </c>
      <c r="AD869" t="str">
        <f>IF(Table8[[#This Row],[Campaign_Type]]="","Review - campaign code not found","")</f>
        <v/>
      </c>
    </row>
    <row r="870" spans="1:30" x14ac:dyDescent="0.25">
      <c r="A870" t="s">
        <v>4770</v>
      </c>
      <c r="B870" t="s">
        <v>3182</v>
      </c>
      <c r="C870" t="s">
        <v>3354</v>
      </c>
      <c r="D870" t="s">
        <v>3355</v>
      </c>
      <c r="E870" t="s">
        <v>65</v>
      </c>
      <c r="F870" s="17">
        <v>45618</v>
      </c>
      <c r="G870">
        <v>46.31</v>
      </c>
      <c r="H870" t="s">
        <v>36</v>
      </c>
      <c r="I870" t="s">
        <v>3385</v>
      </c>
      <c r="J870" t="str">
        <f>_xlfn.XLOOKUP(Table8[[#This Row],[Supporter_ID]],tb1_supporters[Supporter_ID ],tb1_supporters[Segment],"")</f>
        <v>Regular Giver</v>
      </c>
      <c r="K870" t="str">
        <f>_xlfn.XLOOKUP(Table8[[#This Row],[Supporter_ID]],tb1_supporters[Supporter_ID ],tb1_supporters[Acquisition_Source],"")</f>
        <v>Website</v>
      </c>
      <c r="L870" t="str">
        <f>_xlfn.XLOOKUP(Table8[[#This Row],[Supporter_ID]],tb1_supporters[Supporter_ID ],tb1_supporters[County],"")</f>
        <v>Merseyside</v>
      </c>
      <c r="M870" t="str">
        <f>_xlfn.XLOOKUP(Table8[[#This Row],[Supporter_ID]],tb1_supporters[Supporter_ID ],tb1_supporters[Gender],"")</f>
        <v>Female</v>
      </c>
      <c r="N870">
        <f ca="1">_xlfn.XLOOKUP(Table8[[#This Row],[Supporter_ID]],tb1_supporters[Supporter_ID ],tb1_supporters[Age],"")</f>
        <v>58</v>
      </c>
      <c r="O870" t="str">
        <f ca="1">_xlfn.XLOOKUP(Table8[[#This Row],[Supporter_ID]],tb1_supporters[Supporter_ID ],tb1_supporters[Age_Band],"")</f>
        <v>50-64</v>
      </c>
      <c r="P870" t="str">
        <f ca="1">IF(Table8[[#This Row],[Age_Band]]="","Unknown",Table8[[#This Row],[Age_Band]])</f>
        <v>50-64</v>
      </c>
      <c r="Q870" t="str">
        <f>_xlfn.XLOOKUP(Table8[[#This Row],[Supporter_ID]],tb1_supporters[Supporter_ID ],tb1_supporters[Communication_Preference],"")</f>
        <v>Post</v>
      </c>
      <c r="R870" t="str">
        <f>_xlfn.XLOOKUP(Table8[[#This Row],[Supporter_ID]],tb1_supporters[Supporter_ID ],tb1_supporters[Duplicate_Profile_Flag],"")</f>
        <v/>
      </c>
      <c r="S870" t="str">
        <f>_xlfn.XLOOKUP(Table8[[#This Row],[Supporter_ID]],tb1_supporters[Supporter_ID ],tb1_supporters[Preference_Compliance_Flag],"")</f>
        <v>Review - prefers post but not opted in</v>
      </c>
      <c r="T870" t="str">
        <f ca="1">IF(Table8[[#This Row],[Age]]="","Review - missing DOB",IF(Table8[[#This Row],[Age]]&gt;TODAY(),"Review - future DOB",IF(Table8[[#This Row],[Age]]=0,"Review -  potential entry error (age 0)","")))</f>
        <v/>
      </c>
      <c r="U870" t="str">
        <f>_xlfn.XLOOKUP(Table8[[#This Row],[Campaign_Code]],tb3_CampaignMaster[Campaign_Code],tb3_CampaignMaster[Campaign_Type],"")</f>
        <v>Event</v>
      </c>
      <c r="V870" t="str">
        <f>_xlfn.XLOOKUP(Table8[[#This Row],[Campaign_Code]],tb3_CampaignMaster[Campaign_Code],tb3_CampaignMaster[Target_Audience],"")</f>
        <v>Volunteers</v>
      </c>
      <c r="W870" s="17">
        <f>_xlfn.XLOOKUP(Table8[[#This Row],[Campaign_Code]],tb3_CampaignMaster[Campaign_Code],tb3_CampaignMaster[Start_Date],"")</f>
        <v>45618</v>
      </c>
      <c r="X870" s="17">
        <f>_xlfn.XLOOKUP(Table8[[#This Row],[Campaign_Code]],tb3_CampaignMaster[Campaign_Code],tb3_CampaignMaster[End_Date],"")</f>
        <v>45618</v>
      </c>
      <c r="Y870">
        <f>_xlfn.XLOOKUP(Table8[[#This Row],[Campaign_Code]],tb3_CampaignMaster[Campaign_Code],tb3_CampaignMaster[Budget_GBP],"")</f>
        <v>3500</v>
      </c>
      <c r="Z870" t="str">
        <f>_xlfn.XLOOKUP(Table8[[#This Row],[Campaign_Code]],tb3_CampaignMaster[Campaign_Code],tb3_CampaignMaster[Primary_Channel],"")</f>
        <v>Email</v>
      </c>
      <c r="AA870" s="13">
        <f>IF(Table8[[#This Row],[Gift_Aid_Eligible]]="Yes",Table8[[#This Row],[Gift_Amount]]*1.25,Table8[[#This Row],[Gift_Amount]])</f>
        <v>57.887500000000003</v>
      </c>
      <c r="AB870" t="str">
        <f>IF(Table8[[#This Row],[Supporter_ID]]="","Review - missing supporter ID","")</f>
        <v/>
      </c>
      <c r="AC870" t="str">
        <f>IF(OR(Table8[[#This Row],[Response_Date]]&lt;Table8[[#This Row],[Start_Date]],Table8[[#This Row],[Response_Date]]&gt;Table8[[#This Row],[End_Date]]),"Review - response outside campaign dates","")</f>
        <v/>
      </c>
      <c r="AD870" t="str">
        <f>IF(Table8[[#This Row],[Campaign_Type]]="","Review - campaign code not found","")</f>
        <v/>
      </c>
    </row>
    <row r="871" spans="1:30" x14ac:dyDescent="0.25">
      <c r="A871" t="s">
        <v>4771</v>
      </c>
      <c r="B871" t="s">
        <v>697</v>
      </c>
      <c r="C871" t="s">
        <v>3325</v>
      </c>
      <c r="D871" t="s">
        <v>3326</v>
      </c>
      <c r="E871" t="s">
        <v>3338</v>
      </c>
      <c r="F871" s="17">
        <v>45604</v>
      </c>
      <c r="G871">
        <v>810.69</v>
      </c>
      <c r="H871" t="s">
        <v>36</v>
      </c>
      <c r="I871" t="s">
        <v>3365</v>
      </c>
      <c r="J871" t="str">
        <f>_xlfn.XLOOKUP(Table8[[#This Row],[Supporter_ID]],tb1_supporters[Supporter_ID ],tb1_supporters[Segment],"")</f>
        <v>Major Donor</v>
      </c>
      <c r="K871" t="str">
        <f>_xlfn.XLOOKUP(Table8[[#This Row],[Supporter_ID]],tb1_supporters[Supporter_ID ],tb1_supporters[Acquisition_Source],"")</f>
        <v>Corporate Partner</v>
      </c>
      <c r="L871" t="str">
        <f>_xlfn.XLOOKUP(Table8[[#This Row],[Supporter_ID]],tb1_supporters[Supporter_ID ],tb1_supporters[County],"")</f>
        <v>West Midlands</v>
      </c>
      <c r="M871" t="str">
        <f>_xlfn.XLOOKUP(Table8[[#This Row],[Supporter_ID]],tb1_supporters[Supporter_ID ],tb1_supporters[Gender],"")</f>
        <v>Female</v>
      </c>
      <c r="N871">
        <f ca="1">_xlfn.XLOOKUP(Table8[[#This Row],[Supporter_ID]],tb1_supporters[Supporter_ID ],tb1_supporters[Age],"")</f>
        <v>64</v>
      </c>
      <c r="O871" t="str">
        <f ca="1">_xlfn.XLOOKUP(Table8[[#This Row],[Supporter_ID]],tb1_supporters[Supporter_ID ],tb1_supporters[Age_Band],"")</f>
        <v>50-64</v>
      </c>
      <c r="P871" t="str">
        <f ca="1">IF(Table8[[#This Row],[Age_Band]]="","Unknown",Table8[[#This Row],[Age_Band]])</f>
        <v>50-64</v>
      </c>
      <c r="Q871" t="str">
        <f>_xlfn.XLOOKUP(Table8[[#This Row],[Supporter_ID]],tb1_supporters[Supporter_ID ],tb1_supporters[Communication_Preference],"")</f>
        <v>Phone</v>
      </c>
      <c r="R871" t="str">
        <f>_xlfn.XLOOKUP(Table8[[#This Row],[Supporter_ID]],tb1_supporters[Supporter_ID ],tb1_supporters[Duplicate_Profile_Flag],"")</f>
        <v/>
      </c>
      <c r="S871" t="str">
        <f>_xlfn.XLOOKUP(Table8[[#This Row],[Supporter_ID]],tb1_supporters[Supporter_ID ],tb1_supporters[Preference_Compliance_Flag],"")</f>
        <v>Review - prefers phone but not opted in</v>
      </c>
      <c r="T871" t="str">
        <f ca="1">IF(Table8[[#This Row],[Age]]="","Review - missing DOB",IF(Table8[[#This Row],[Age]]&gt;TODAY(),"Review - future DOB",IF(Table8[[#This Row],[Age]]=0,"Review -  potential entry error (age 0)","")))</f>
        <v/>
      </c>
      <c r="U871" t="str">
        <f>_xlfn.XLOOKUP(Table8[[#This Row],[Campaign_Code]],tb3_CampaignMaster[Campaign_Code],tb3_CampaignMaster[Campaign_Type],"")</f>
        <v>Appeal</v>
      </c>
      <c r="V871" t="str">
        <f>_xlfn.XLOOKUP(Table8[[#This Row],[Campaign_Code]],tb3_CampaignMaster[Campaign_Code],tb3_CampaignMaster[Target_Audience],"")</f>
        <v>All Active</v>
      </c>
      <c r="W871" s="17">
        <f>_xlfn.XLOOKUP(Table8[[#This Row],[Campaign_Code]],tb3_CampaignMaster[Campaign_Code],tb3_CampaignMaster[Start_Date],"")</f>
        <v>45597</v>
      </c>
      <c r="X871" s="17">
        <f>_xlfn.XLOOKUP(Table8[[#This Row],[Campaign_Code]],tb3_CampaignMaster[Campaign_Code],tb3_CampaignMaster[End_Date],"")</f>
        <v>45657</v>
      </c>
      <c r="Y871">
        <f>_xlfn.XLOOKUP(Table8[[#This Row],[Campaign_Code]],tb3_CampaignMaster[Campaign_Code],tb3_CampaignMaster[Budget_GBP],"")</f>
        <v>25000</v>
      </c>
      <c r="Z871" t="str">
        <f>_xlfn.XLOOKUP(Table8[[#This Row],[Campaign_Code]],tb3_CampaignMaster[Campaign_Code],tb3_CampaignMaster[Primary_Channel],"")</f>
        <v>Multi-channel</v>
      </c>
      <c r="AA871" s="13">
        <f>IF(Table8[[#This Row],[Gift_Aid_Eligible]]="Yes",Table8[[#This Row],[Gift_Amount]]*1.25,Table8[[#This Row],[Gift_Amount]])</f>
        <v>1013.3625000000001</v>
      </c>
      <c r="AB871" t="str">
        <f>IF(Table8[[#This Row],[Supporter_ID]]="","Review - missing supporter ID","")</f>
        <v/>
      </c>
      <c r="AC871" t="str">
        <f>IF(OR(Table8[[#This Row],[Response_Date]]&lt;Table8[[#This Row],[Start_Date]],Table8[[#This Row],[Response_Date]]&gt;Table8[[#This Row],[End_Date]]),"Review - response outside campaign dates","")</f>
        <v/>
      </c>
      <c r="AD871" t="str">
        <f>IF(Table8[[#This Row],[Campaign_Type]]="","Review - campaign code not found","")</f>
        <v/>
      </c>
    </row>
    <row r="872" spans="1:30" x14ac:dyDescent="0.25">
      <c r="A872" t="s">
        <v>4773</v>
      </c>
      <c r="B872" t="s">
        <v>802</v>
      </c>
      <c r="C872" t="s">
        <v>3403</v>
      </c>
      <c r="D872" t="s">
        <v>3404</v>
      </c>
      <c r="E872" t="s">
        <v>3316</v>
      </c>
      <c r="F872" s="17">
        <v>45635</v>
      </c>
      <c r="G872">
        <v>415.78</v>
      </c>
      <c r="H872" t="s">
        <v>37</v>
      </c>
      <c r="I872" t="s">
        <v>3365</v>
      </c>
      <c r="J872" t="str">
        <f>_xlfn.XLOOKUP(Table8[[#This Row],[Supporter_ID]],tb1_supporters[Supporter_ID ],tb1_supporters[Segment],"")</f>
        <v>Legacy Pledger</v>
      </c>
      <c r="K872" t="str">
        <f>_xlfn.XLOOKUP(Table8[[#This Row],[Supporter_ID]],tb1_supporters[Supporter_ID ],tb1_supporters[Acquisition_Source],"")</f>
        <v>Telephone</v>
      </c>
      <c r="L872" t="str">
        <f>_xlfn.XLOOKUP(Table8[[#This Row],[Supporter_ID]],tb1_supporters[Supporter_ID ],tb1_supporters[County],"")</f>
        <v>Leicestershire</v>
      </c>
      <c r="M872" t="str">
        <f>_xlfn.XLOOKUP(Table8[[#This Row],[Supporter_ID]],tb1_supporters[Supporter_ID ],tb1_supporters[Gender],"")</f>
        <v>Female</v>
      </c>
      <c r="N872">
        <f ca="1">_xlfn.XLOOKUP(Table8[[#This Row],[Supporter_ID]],tb1_supporters[Supporter_ID ],tb1_supporters[Age],"")</f>
        <v>40</v>
      </c>
      <c r="O872" t="str">
        <f ca="1">_xlfn.XLOOKUP(Table8[[#This Row],[Supporter_ID]],tb1_supporters[Supporter_ID ],tb1_supporters[Age_Band],"")</f>
        <v>35-49</v>
      </c>
      <c r="P872" t="str">
        <f ca="1">IF(Table8[[#This Row],[Age_Band]]="","Unknown",Table8[[#This Row],[Age_Band]])</f>
        <v>35-49</v>
      </c>
      <c r="Q872" t="str">
        <f>_xlfn.XLOOKUP(Table8[[#This Row],[Supporter_ID]],tb1_supporters[Supporter_ID ],tb1_supporters[Communication_Preference],"")</f>
        <v>No Preference</v>
      </c>
      <c r="R872" t="str">
        <f>_xlfn.XLOOKUP(Table8[[#This Row],[Supporter_ID]],tb1_supporters[Supporter_ID ],tb1_supporters[Duplicate_Profile_Flag],"")</f>
        <v/>
      </c>
      <c r="S872" t="str">
        <f>_xlfn.XLOOKUP(Table8[[#This Row],[Supporter_ID]],tb1_supporters[Supporter_ID ],tb1_supporters[Preference_Compliance_Flag],"")</f>
        <v/>
      </c>
      <c r="T872" t="str">
        <f ca="1">IF(Table8[[#This Row],[Age]]="","Review - missing DOB",IF(Table8[[#This Row],[Age]]&gt;TODAY(),"Review - future DOB",IF(Table8[[#This Row],[Age]]=0,"Review -  potential entry error (age 0)","")))</f>
        <v/>
      </c>
      <c r="U872" t="str">
        <f>_xlfn.XLOOKUP(Table8[[#This Row],[Campaign_Code]],tb3_CampaignMaster[Campaign_Code],tb3_CampaignMaster[Campaign_Type],"")</f>
        <v>Trading</v>
      </c>
      <c r="V872" t="str">
        <f>_xlfn.XLOOKUP(Table8[[#This Row],[Campaign_Code]],tb3_CampaignMaster[Campaign_Code],tb3_CampaignMaster[Target_Audience],"")</f>
        <v>All Active</v>
      </c>
      <c r="W872" s="17">
        <f>_xlfn.XLOOKUP(Table8[[#This Row],[Campaign_Code]],tb3_CampaignMaster[Campaign_Code],tb3_CampaignMaster[Start_Date],"")</f>
        <v>45580</v>
      </c>
      <c r="X872" s="17">
        <f>_xlfn.XLOOKUP(Table8[[#This Row],[Campaign_Code]],tb3_CampaignMaster[Campaign_Code],tb3_CampaignMaster[End_Date],"")</f>
        <v>45646</v>
      </c>
      <c r="Y872">
        <f>_xlfn.XLOOKUP(Table8[[#This Row],[Campaign_Code]],tb3_CampaignMaster[Campaign_Code],tb3_CampaignMaster[Budget_GBP],"")</f>
        <v>12000</v>
      </c>
      <c r="Z872" t="str">
        <f>_xlfn.XLOOKUP(Table8[[#This Row],[Campaign_Code]],tb3_CampaignMaster[Campaign_Code],tb3_CampaignMaster[Primary_Channel],"")</f>
        <v>Multi-channel</v>
      </c>
      <c r="AA872" s="13">
        <f>IF(Table8[[#This Row],[Gift_Aid_Eligible]]="Yes",Table8[[#This Row],[Gift_Amount]]*1.25,Table8[[#This Row],[Gift_Amount]])</f>
        <v>415.78</v>
      </c>
      <c r="AB872" t="str">
        <f>IF(Table8[[#This Row],[Supporter_ID]]="","Review - missing supporter ID","")</f>
        <v/>
      </c>
      <c r="AC872" t="str">
        <f>IF(OR(Table8[[#This Row],[Response_Date]]&lt;Table8[[#This Row],[Start_Date]],Table8[[#This Row],[Response_Date]]&gt;Table8[[#This Row],[End_Date]]),"Review - response outside campaign dates","")</f>
        <v/>
      </c>
      <c r="AD872" t="str">
        <f>IF(Table8[[#This Row],[Campaign_Type]]="","Review - campaign code not found","")</f>
        <v/>
      </c>
    </row>
    <row r="873" spans="1:30" x14ac:dyDescent="0.25">
      <c r="A873" t="s">
        <v>4774</v>
      </c>
      <c r="B873" t="s">
        <v>535</v>
      </c>
      <c r="C873" t="s">
        <v>3427</v>
      </c>
      <c r="D873" t="s">
        <v>3428</v>
      </c>
      <c r="E873" t="s">
        <v>4</v>
      </c>
      <c r="F873" s="17">
        <v>45488</v>
      </c>
      <c r="G873">
        <v>14.48</v>
      </c>
      <c r="H873" t="s">
        <v>37</v>
      </c>
      <c r="I873" t="s">
        <v>3385</v>
      </c>
      <c r="J873" t="str">
        <f>_xlfn.XLOOKUP(Table8[[#This Row],[Supporter_ID]],tb1_supporters[Supporter_ID ],tb1_supporters[Segment],"")</f>
        <v>Prospect</v>
      </c>
      <c r="K873" t="str">
        <f>_xlfn.XLOOKUP(Table8[[#This Row],[Supporter_ID]],tb1_supporters[Supporter_ID ],tb1_supporters[Acquisition_Source],"")</f>
        <v>Social Media</v>
      </c>
      <c r="L873" t="str">
        <f>_xlfn.XLOOKUP(Table8[[#This Row],[Supporter_ID]],tb1_supporters[Supporter_ID ],tb1_supporters[County],"")</f>
        <v>West Glamorgan</v>
      </c>
      <c r="M873" t="str">
        <f>_xlfn.XLOOKUP(Table8[[#This Row],[Supporter_ID]],tb1_supporters[Supporter_ID ],tb1_supporters[Gender],"")</f>
        <v>Female</v>
      </c>
      <c r="N873" t="str">
        <f ca="1">_xlfn.XLOOKUP(Table8[[#This Row],[Supporter_ID]],tb1_supporters[Supporter_ID ],tb1_supporters[Age],"")</f>
        <v/>
      </c>
      <c r="O873" t="str">
        <f ca="1">_xlfn.XLOOKUP(Table8[[#This Row],[Supporter_ID]],tb1_supporters[Supporter_ID ],tb1_supporters[Age_Band],"")</f>
        <v/>
      </c>
      <c r="P873" t="str">
        <f ca="1">IF(Table8[[#This Row],[Age_Band]]="","Unknown",Table8[[#This Row],[Age_Band]])</f>
        <v>Unknown</v>
      </c>
      <c r="Q873" t="str">
        <f>_xlfn.XLOOKUP(Table8[[#This Row],[Supporter_ID]],tb1_supporters[Supporter_ID ],tb1_supporters[Communication_Preference],"")</f>
        <v>No Preference</v>
      </c>
      <c r="R873" t="str">
        <f>_xlfn.XLOOKUP(Table8[[#This Row],[Supporter_ID]],tb1_supporters[Supporter_ID ],tb1_supporters[Duplicate_Profile_Flag],"")</f>
        <v/>
      </c>
      <c r="S873" t="str">
        <f>_xlfn.XLOOKUP(Table8[[#This Row],[Supporter_ID]],tb1_supporters[Supporter_ID ],tb1_supporters[Preference_Compliance_Flag],"")</f>
        <v/>
      </c>
      <c r="T873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873" t="str">
        <f>_xlfn.XLOOKUP(Table8[[#This Row],[Campaign_Code]],tb3_CampaignMaster[Campaign_Code],tb3_CampaignMaster[Campaign_Type],"")</f>
        <v>Event</v>
      </c>
      <c r="V873" t="str">
        <f>_xlfn.XLOOKUP(Table8[[#This Row],[Campaign_Code]],tb3_CampaignMaster[Campaign_Code],tb3_CampaignMaster[Target_Audience],"")</f>
        <v>Major Donors</v>
      </c>
      <c r="W873" s="17">
        <f>_xlfn.XLOOKUP(Table8[[#This Row],[Campaign_Code]],tb3_CampaignMaster[Campaign_Code],tb3_CampaignMaster[Start_Date],"")</f>
        <v>45488</v>
      </c>
      <c r="X873" s="17">
        <f>_xlfn.XLOOKUP(Table8[[#This Row],[Campaign_Code]],tb3_CampaignMaster[Campaign_Code],tb3_CampaignMaster[End_Date],"")</f>
        <v>45488</v>
      </c>
      <c r="Y873">
        <f>_xlfn.XLOOKUP(Table8[[#This Row],[Campaign_Code]],tb3_CampaignMaster[Campaign_Code],tb3_CampaignMaster[Budget_GBP],"")</f>
        <v>45000</v>
      </c>
      <c r="Z873" t="str">
        <f>_xlfn.XLOOKUP(Table8[[#This Row],[Campaign_Code]],tb3_CampaignMaster[Campaign_Code],tb3_CampaignMaster[Primary_Channel],"")</f>
        <v>Direct Mail</v>
      </c>
      <c r="AA873" s="13">
        <f>IF(Table8[[#This Row],[Gift_Aid_Eligible]]="Yes",Table8[[#This Row],[Gift_Amount]]*1.25,Table8[[#This Row],[Gift_Amount]])</f>
        <v>14.48</v>
      </c>
      <c r="AB873" t="str">
        <f>IF(Table8[[#This Row],[Supporter_ID]]="","Review - missing supporter ID","")</f>
        <v/>
      </c>
      <c r="AC873" t="str">
        <f>IF(OR(Table8[[#This Row],[Response_Date]]&lt;Table8[[#This Row],[Start_Date]],Table8[[#This Row],[Response_Date]]&gt;Table8[[#This Row],[End_Date]]),"Review - response outside campaign dates","")</f>
        <v/>
      </c>
      <c r="AD873" t="str">
        <f>IF(Table8[[#This Row],[Campaign_Type]]="","Review - campaign code not found","")</f>
        <v/>
      </c>
    </row>
    <row r="874" spans="1:30" x14ac:dyDescent="0.25">
      <c r="A874" t="s">
        <v>4775</v>
      </c>
      <c r="B874" t="s">
        <v>2544</v>
      </c>
      <c r="C874" t="s">
        <v>3320</v>
      </c>
      <c r="D874" t="s">
        <v>3321</v>
      </c>
      <c r="E874" t="s">
        <v>65</v>
      </c>
      <c r="F874" s="17">
        <v>45467</v>
      </c>
      <c r="G874">
        <v>56.45</v>
      </c>
      <c r="H874" t="s">
        <v>36</v>
      </c>
      <c r="I874" t="s">
        <v>3323</v>
      </c>
      <c r="J874" t="str">
        <f>_xlfn.XLOOKUP(Table8[[#This Row],[Supporter_ID]],tb1_supporters[Supporter_ID ],tb1_supporters[Segment],"")</f>
        <v>Legacy Pledger</v>
      </c>
      <c r="K874" t="str">
        <f>_xlfn.XLOOKUP(Table8[[#This Row],[Supporter_ID]],tb1_supporters[Supporter_ID ],tb1_supporters[Acquisition_Source],"")</f>
        <v>Direct Mail</v>
      </c>
      <c r="L874" t="str">
        <f>_xlfn.XLOOKUP(Table8[[#This Row],[Supporter_ID]],tb1_supporters[Supporter_ID ],tb1_supporters[County],"")</f>
        <v>Lothian</v>
      </c>
      <c r="M874" t="str">
        <f>_xlfn.XLOOKUP(Table8[[#This Row],[Supporter_ID]],tb1_supporters[Supporter_ID ],tb1_supporters[Gender],"")</f>
        <v>Female</v>
      </c>
      <c r="N874">
        <f ca="1">_xlfn.XLOOKUP(Table8[[#This Row],[Supporter_ID]],tb1_supporters[Supporter_ID ],tb1_supporters[Age],"")</f>
        <v>69</v>
      </c>
      <c r="O874" t="str">
        <f ca="1">_xlfn.XLOOKUP(Table8[[#This Row],[Supporter_ID]],tb1_supporters[Supporter_ID ],tb1_supporters[Age_Band],"")</f>
        <v>65+</v>
      </c>
      <c r="P874" t="str">
        <f ca="1">IF(Table8[[#This Row],[Age_Band]]="","Unknown",Table8[[#This Row],[Age_Band]])</f>
        <v>65+</v>
      </c>
      <c r="Q874" t="str">
        <f>_xlfn.XLOOKUP(Table8[[#This Row],[Supporter_ID]],tb1_supporters[Supporter_ID ],tb1_supporters[Communication_Preference],"")</f>
        <v>Email</v>
      </c>
      <c r="R874" t="str">
        <f>_xlfn.XLOOKUP(Table8[[#This Row],[Supporter_ID]],tb1_supporters[Supporter_ID ],tb1_supporters[Duplicate_Profile_Flag],"")</f>
        <v/>
      </c>
      <c r="S874" t="str">
        <f>_xlfn.XLOOKUP(Table8[[#This Row],[Supporter_ID]],tb1_supporters[Supporter_ID ],tb1_supporters[Preference_Compliance_Flag],"")</f>
        <v/>
      </c>
      <c r="T874" t="str">
        <f ca="1">IF(Table8[[#This Row],[Age]]="","Review - missing DOB",IF(Table8[[#This Row],[Age]]&gt;TODAY(),"Review - future DOB",IF(Table8[[#This Row],[Age]]=0,"Review -  potential entry error (age 0)","")))</f>
        <v/>
      </c>
      <c r="U874" t="str">
        <f>_xlfn.XLOOKUP(Table8[[#This Row],[Campaign_Code]],tb3_CampaignMaster[Campaign_Code],tb3_CampaignMaster[Campaign_Type],"")</f>
        <v>Stewardship</v>
      </c>
      <c r="V874" t="str">
        <f>_xlfn.XLOOKUP(Table8[[#This Row],[Campaign_Code]],tb3_CampaignMaster[Campaign_Code],tb3_CampaignMaster[Target_Audience],"")</f>
        <v>Major Donors</v>
      </c>
      <c r="W874" s="17">
        <f>_xlfn.XLOOKUP(Table8[[#This Row],[Campaign_Code]],tb3_CampaignMaster[Campaign_Code],tb3_CampaignMaster[Start_Date],"")</f>
        <v>45444</v>
      </c>
      <c r="X874" s="17">
        <f>_xlfn.XLOOKUP(Table8[[#This Row],[Campaign_Code]],tb3_CampaignMaster[Campaign_Code],tb3_CampaignMaster[End_Date],"")</f>
        <v>45473</v>
      </c>
      <c r="Y874">
        <f>_xlfn.XLOOKUP(Table8[[#This Row],[Campaign_Code]],tb3_CampaignMaster[Campaign_Code],tb3_CampaignMaster[Budget_GBP],"")</f>
        <v>7000</v>
      </c>
      <c r="Z874" t="str">
        <f>_xlfn.XLOOKUP(Table8[[#This Row],[Campaign_Code]],tb3_CampaignMaster[Campaign_Code],tb3_CampaignMaster[Primary_Channel],"")</f>
        <v>Direct Mail</v>
      </c>
      <c r="AA874" s="13">
        <f>IF(Table8[[#This Row],[Gift_Aid_Eligible]]="Yes",Table8[[#This Row],[Gift_Amount]]*1.25,Table8[[#This Row],[Gift_Amount]])</f>
        <v>70.5625</v>
      </c>
      <c r="AB874" t="str">
        <f>IF(Table8[[#This Row],[Supporter_ID]]="","Review - missing supporter ID","")</f>
        <v/>
      </c>
      <c r="AC874" t="str">
        <f>IF(OR(Table8[[#This Row],[Response_Date]]&lt;Table8[[#This Row],[Start_Date]],Table8[[#This Row],[Response_Date]]&gt;Table8[[#This Row],[End_Date]]),"Review - response outside campaign dates","")</f>
        <v/>
      </c>
      <c r="AD874" t="str">
        <f>IF(Table8[[#This Row],[Campaign_Type]]="","Review - campaign code not found","")</f>
        <v/>
      </c>
    </row>
    <row r="875" spans="1:30" x14ac:dyDescent="0.25">
      <c r="A875" t="s">
        <v>4777</v>
      </c>
      <c r="B875" t="s">
        <v>1037</v>
      </c>
      <c r="C875" t="s">
        <v>3427</v>
      </c>
      <c r="D875" t="s">
        <v>3428</v>
      </c>
      <c r="E875" t="s">
        <v>4</v>
      </c>
      <c r="F875" s="17">
        <v>45488</v>
      </c>
      <c r="G875">
        <v>19.5</v>
      </c>
      <c r="H875" t="s">
        <v>36</v>
      </c>
      <c r="I875" t="s">
        <v>3323</v>
      </c>
      <c r="J875" t="str">
        <f>_xlfn.XLOOKUP(Table8[[#This Row],[Supporter_ID]],tb1_supporters[Supporter_ID ],tb1_supporters[Segment],"")</f>
        <v>Prospect</v>
      </c>
      <c r="K875" t="str">
        <f>_xlfn.XLOOKUP(Table8[[#This Row],[Supporter_ID]],tb1_supporters[Supporter_ID ],tb1_supporters[Acquisition_Source],"")</f>
        <v>Telephone</v>
      </c>
      <c r="L875" t="str">
        <f>_xlfn.XLOOKUP(Table8[[#This Row],[Supporter_ID]],tb1_supporters[Supporter_ID ],tb1_supporters[County],"")</f>
        <v>Avon</v>
      </c>
      <c r="M875" t="str">
        <f>_xlfn.XLOOKUP(Table8[[#This Row],[Supporter_ID]],tb1_supporters[Supporter_ID ],tb1_supporters[Gender],"")</f>
        <v>Female</v>
      </c>
      <c r="N875">
        <f ca="1">_xlfn.XLOOKUP(Table8[[#This Row],[Supporter_ID]],tb1_supporters[Supporter_ID ],tb1_supporters[Age],"")</f>
        <v>33</v>
      </c>
      <c r="O875" t="str">
        <f ca="1">_xlfn.XLOOKUP(Table8[[#This Row],[Supporter_ID]],tb1_supporters[Supporter_ID ],tb1_supporters[Age_Band],"")</f>
        <v>18-34</v>
      </c>
      <c r="P875" t="str">
        <f ca="1">IF(Table8[[#This Row],[Age_Band]]="","Unknown",Table8[[#This Row],[Age_Band]])</f>
        <v>18-34</v>
      </c>
      <c r="Q875" t="str">
        <f>_xlfn.XLOOKUP(Table8[[#This Row],[Supporter_ID]],tb1_supporters[Supporter_ID ],tb1_supporters[Communication_Preference],"")</f>
        <v>Phone</v>
      </c>
      <c r="R875" t="str">
        <f>_xlfn.XLOOKUP(Table8[[#This Row],[Supporter_ID]],tb1_supporters[Supporter_ID ],tb1_supporters[Duplicate_Profile_Flag],"")</f>
        <v/>
      </c>
      <c r="S875" t="str">
        <f>_xlfn.XLOOKUP(Table8[[#This Row],[Supporter_ID]],tb1_supporters[Supporter_ID ],tb1_supporters[Preference_Compliance_Flag],"")</f>
        <v/>
      </c>
      <c r="T875" t="str">
        <f ca="1">IF(Table8[[#This Row],[Age]]="","Review - missing DOB",IF(Table8[[#This Row],[Age]]&gt;TODAY(),"Review - future DOB",IF(Table8[[#This Row],[Age]]=0,"Review -  potential entry error (age 0)","")))</f>
        <v/>
      </c>
      <c r="U875" t="str">
        <f>_xlfn.XLOOKUP(Table8[[#This Row],[Campaign_Code]],tb3_CampaignMaster[Campaign_Code],tb3_CampaignMaster[Campaign_Type],"")</f>
        <v>Event</v>
      </c>
      <c r="V875" t="str">
        <f>_xlfn.XLOOKUP(Table8[[#This Row],[Campaign_Code]],tb3_CampaignMaster[Campaign_Code],tb3_CampaignMaster[Target_Audience],"")</f>
        <v>Major Donors</v>
      </c>
      <c r="W875" s="17">
        <f>_xlfn.XLOOKUP(Table8[[#This Row],[Campaign_Code]],tb3_CampaignMaster[Campaign_Code],tb3_CampaignMaster[Start_Date],"")</f>
        <v>45488</v>
      </c>
      <c r="X875" s="17">
        <f>_xlfn.XLOOKUP(Table8[[#This Row],[Campaign_Code]],tb3_CampaignMaster[Campaign_Code],tb3_CampaignMaster[End_Date],"")</f>
        <v>45488</v>
      </c>
      <c r="Y875">
        <f>_xlfn.XLOOKUP(Table8[[#This Row],[Campaign_Code]],tb3_CampaignMaster[Campaign_Code],tb3_CampaignMaster[Budget_GBP],"")</f>
        <v>45000</v>
      </c>
      <c r="Z875" t="str">
        <f>_xlfn.XLOOKUP(Table8[[#This Row],[Campaign_Code]],tb3_CampaignMaster[Campaign_Code],tb3_CampaignMaster[Primary_Channel],"")</f>
        <v>Direct Mail</v>
      </c>
      <c r="AA875" s="13">
        <f>IF(Table8[[#This Row],[Gift_Aid_Eligible]]="Yes",Table8[[#This Row],[Gift_Amount]]*1.25,Table8[[#This Row],[Gift_Amount]])</f>
        <v>24.375</v>
      </c>
      <c r="AB875" t="str">
        <f>IF(Table8[[#This Row],[Supporter_ID]]="","Review - missing supporter ID","")</f>
        <v/>
      </c>
      <c r="AC875" t="str">
        <f>IF(OR(Table8[[#This Row],[Response_Date]]&lt;Table8[[#This Row],[Start_Date]],Table8[[#This Row],[Response_Date]]&gt;Table8[[#This Row],[End_Date]]),"Review - response outside campaign dates","")</f>
        <v/>
      </c>
      <c r="AD875" t="str">
        <f>IF(Table8[[#This Row],[Campaign_Type]]="","Review - campaign code not found","")</f>
        <v/>
      </c>
    </row>
    <row r="876" spans="1:30" x14ac:dyDescent="0.25">
      <c r="A876" t="s">
        <v>4778</v>
      </c>
      <c r="B876" t="s">
        <v>1065</v>
      </c>
      <c r="C876" t="s">
        <v>3403</v>
      </c>
      <c r="D876" t="s">
        <v>3404</v>
      </c>
      <c r="E876" t="s">
        <v>65</v>
      </c>
      <c r="F876" s="17">
        <v>45602</v>
      </c>
      <c r="G876">
        <v>220.69</v>
      </c>
      <c r="H876" t="s">
        <v>36</v>
      </c>
      <c r="I876" t="s">
        <v>3331</v>
      </c>
      <c r="J876" t="str">
        <f>_xlfn.XLOOKUP(Table8[[#This Row],[Supporter_ID]],tb1_supporters[Supporter_ID ],tb1_supporters[Segment],"")</f>
        <v>Legacy Pledger</v>
      </c>
      <c r="K876" t="str">
        <f>_xlfn.XLOOKUP(Table8[[#This Row],[Supporter_ID]],tb1_supporters[Supporter_ID ],tb1_supporters[Acquisition_Source],"")</f>
        <v>Website</v>
      </c>
      <c r="L876" t="str">
        <f>_xlfn.XLOOKUP(Table8[[#This Row],[Supporter_ID]],tb1_supporters[Supporter_ID ],tb1_supporters[County],"")</f>
        <v>Merseyside</v>
      </c>
      <c r="M876" t="str">
        <f>_xlfn.XLOOKUP(Table8[[#This Row],[Supporter_ID]],tb1_supporters[Supporter_ID ],tb1_supporters[Gender],"")</f>
        <v>Male</v>
      </c>
      <c r="N876">
        <f ca="1">_xlfn.XLOOKUP(Table8[[#This Row],[Supporter_ID]],tb1_supporters[Supporter_ID ],tb1_supporters[Age],"")</f>
        <v>56</v>
      </c>
      <c r="O876" t="str">
        <f ca="1">_xlfn.XLOOKUP(Table8[[#This Row],[Supporter_ID]],tb1_supporters[Supporter_ID ],tb1_supporters[Age_Band],"")</f>
        <v>50-64</v>
      </c>
      <c r="P876" t="str">
        <f ca="1">IF(Table8[[#This Row],[Age_Band]]="","Unknown",Table8[[#This Row],[Age_Band]])</f>
        <v>50-64</v>
      </c>
      <c r="Q876" t="str">
        <f>_xlfn.XLOOKUP(Table8[[#This Row],[Supporter_ID]],tb1_supporters[Supporter_ID ],tb1_supporters[Communication_Preference],"")</f>
        <v>Email</v>
      </c>
      <c r="R876" t="str">
        <f>_xlfn.XLOOKUP(Table8[[#This Row],[Supporter_ID]],tb1_supporters[Supporter_ID ],tb1_supporters[Duplicate_Profile_Flag],"")</f>
        <v/>
      </c>
      <c r="S876" t="str">
        <f>_xlfn.XLOOKUP(Table8[[#This Row],[Supporter_ID]],tb1_supporters[Supporter_ID ],tb1_supporters[Preference_Compliance_Flag],"")</f>
        <v>Review - prefers email but not opted in</v>
      </c>
      <c r="T876" t="str">
        <f ca="1">IF(Table8[[#This Row],[Age]]="","Review - missing DOB",IF(Table8[[#This Row],[Age]]&gt;TODAY(),"Review - future DOB",IF(Table8[[#This Row],[Age]]=0,"Review -  potential entry error (age 0)","")))</f>
        <v/>
      </c>
      <c r="U876" t="str">
        <f>_xlfn.XLOOKUP(Table8[[#This Row],[Campaign_Code]],tb3_CampaignMaster[Campaign_Code],tb3_CampaignMaster[Campaign_Type],"")</f>
        <v>Trading</v>
      </c>
      <c r="V876" t="str">
        <f>_xlfn.XLOOKUP(Table8[[#This Row],[Campaign_Code]],tb3_CampaignMaster[Campaign_Code],tb3_CampaignMaster[Target_Audience],"")</f>
        <v>All Active</v>
      </c>
      <c r="W876" s="17">
        <f>_xlfn.XLOOKUP(Table8[[#This Row],[Campaign_Code]],tb3_CampaignMaster[Campaign_Code],tb3_CampaignMaster[Start_Date],"")</f>
        <v>45580</v>
      </c>
      <c r="X876" s="17">
        <f>_xlfn.XLOOKUP(Table8[[#This Row],[Campaign_Code]],tb3_CampaignMaster[Campaign_Code],tb3_CampaignMaster[End_Date],"")</f>
        <v>45646</v>
      </c>
      <c r="Y876">
        <f>_xlfn.XLOOKUP(Table8[[#This Row],[Campaign_Code]],tb3_CampaignMaster[Campaign_Code],tb3_CampaignMaster[Budget_GBP],"")</f>
        <v>12000</v>
      </c>
      <c r="Z876" t="str">
        <f>_xlfn.XLOOKUP(Table8[[#This Row],[Campaign_Code]],tb3_CampaignMaster[Campaign_Code],tb3_CampaignMaster[Primary_Channel],"")</f>
        <v>Multi-channel</v>
      </c>
      <c r="AA876" s="13">
        <f>IF(Table8[[#This Row],[Gift_Aid_Eligible]]="Yes",Table8[[#This Row],[Gift_Amount]]*1.25,Table8[[#This Row],[Gift_Amount]])</f>
        <v>275.86250000000001</v>
      </c>
      <c r="AB876" t="str">
        <f>IF(Table8[[#This Row],[Supporter_ID]]="","Review - missing supporter ID","")</f>
        <v/>
      </c>
      <c r="AC876" t="str">
        <f>IF(OR(Table8[[#This Row],[Response_Date]]&lt;Table8[[#This Row],[Start_Date]],Table8[[#This Row],[Response_Date]]&gt;Table8[[#This Row],[End_Date]]),"Review - response outside campaign dates","")</f>
        <v/>
      </c>
      <c r="AD876" t="str">
        <f>IF(Table8[[#This Row],[Campaign_Type]]="","Review - campaign code not found","")</f>
        <v/>
      </c>
    </row>
    <row r="877" spans="1:30" x14ac:dyDescent="0.25">
      <c r="A877" t="s">
        <v>4779</v>
      </c>
      <c r="B877" t="s">
        <v>2598</v>
      </c>
      <c r="C877" t="s">
        <v>3341</v>
      </c>
      <c r="D877" t="s">
        <v>3342</v>
      </c>
      <c r="E877" t="s">
        <v>91</v>
      </c>
      <c r="F877" s="17">
        <v>45747</v>
      </c>
      <c r="G877">
        <v>154.21</v>
      </c>
      <c r="H877" t="s">
        <v>36</v>
      </c>
      <c r="I877" t="s">
        <v>3318</v>
      </c>
      <c r="J877" t="str">
        <f>_xlfn.XLOOKUP(Table8[[#This Row],[Supporter_ID]],tb1_supporters[Supporter_ID ],tb1_supporters[Segment],"")</f>
        <v>Mid-Value</v>
      </c>
      <c r="K877" t="str">
        <f>_xlfn.XLOOKUP(Table8[[#This Row],[Supporter_ID]],tb1_supporters[Supporter_ID ],tb1_supporters[Acquisition_Source],"")</f>
        <v>Corporate Partner</v>
      </c>
      <c r="L877" t="str">
        <f>_xlfn.XLOOKUP(Table8[[#This Row],[Supporter_ID]],tb1_supporters[Supporter_ID ],tb1_supporters[County],"")</f>
        <v>Avon</v>
      </c>
      <c r="M877" t="str">
        <f>_xlfn.XLOOKUP(Table8[[#This Row],[Supporter_ID]],tb1_supporters[Supporter_ID ],tb1_supporters[Gender],"")</f>
        <v>Female</v>
      </c>
      <c r="N877">
        <f ca="1">_xlfn.XLOOKUP(Table8[[#This Row],[Supporter_ID]],tb1_supporters[Supporter_ID ],tb1_supporters[Age],"")</f>
        <v>44</v>
      </c>
      <c r="O877" t="str">
        <f ca="1">_xlfn.XLOOKUP(Table8[[#This Row],[Supporter_ID]],tb1_supporters[Supporter_ID ],tb1_supporters[Age_Band],"")</f>
        <v>35-49</v>
      </c>
      <c r="P877" t="str">
        <f ca="1">IF(Table8[[#This Row],[Age_Band]]="","Unknown",Table8[[#This Row],[Age_Band]])</f>
        <v>35-49</v>
      </c>
      <c r="Q877" t="str">
        <f>_xlfn.XLOOKUP(Table8[[#This Row],[Supporter_ID]],tb1_supporters[Supporter_ID ],tb1_supporters[Communication_Preference],"")</f>
        <v>Phone</v>
      </c>
      <c r="R877" t="str">
        <f>_xlfn.XLOOKUP(Table8[[#This Row],[Supporter_ID]],tb1_supporters[Supporter_ID ],tb1_supporters[Duplicate_Profile_Flag],"")</f>
        <v/>
      </c>
      <c r="S877" t="str">
        <f>_xlfn.XLOOKUP(Table8[[#This Row],[Supporter_ID]],tb1_supporters[Supporter_ID ],tb1_supporters[Preference_Compliance_Flag],"")</f>
        <v/>
      </c>
      <c r="T877" t="str">
        <f ca="1">IF(Table8[[#This Row],[Age]]="","Review - missing DOB",IF(Table8[[#This Row],[Age]]&gt;TODAY(),"Review - future DOB",IF(Table8[[#This Row],[Age]]=0,"Review -  potential entry error (age 0)","")))</f>
        <v/>
      </c>
      <c r="U877" t="str">
        <f>_xlfn.XLOOKUP(Table8[[#This Row],[Campaign_Code]],tb3_CampaignMaster[Campaign_Code],tb3_CampaignMaster[Campaign_Type],"")</f>
        <v>Acquisition</v>
      </c>
      <c r="V877" t="str">
        <f>_xlfn.XLOOKUP(Table8[[#This Row],[Campaign_Code]],tb3_CampaignMaster[Campaign_Code],tb3_CampaignMaster[Target_Audience],"")</f>
        <v>Prospects</v>
      </c>
      <c r="W877" s="17">
        <f>_xlfn.XLOOKUP(Table8[[#This Row],[Campaign_Code]],tb3_CampaignMaster[Campaign_Code],tb3_CampaignMaster[Start_Date],"")</f>
        <v>45689</v>
      </c>
      <c r="X877" s="17">
        <f>_xlfn.XLOOKUP(Table8[[#This Row],[Campaign_Code]],tb3_CampaignMaster[Campaign_Code],tb3_CampaignMaster[End_Date],"")</f>
        <v>45777</v>
      </c>
      <c r="Y877">
        <f>_xlfn.XLOOKUP(Table8[[#This Row],[Campaign_Code]],tb3_CampaignMaster[Campaign_Code],tb3_CampaignMaster[Budget_GBP],"")</f>
        <v>20000</v>
      </c>
      <c r="Z877" t="str">
        <f>_xlfn.XLOOKUP(Table8[[#This Row],[Campaign_Code]],tb3_CampaignMaster[Campaign_Code],tb3_CampaignMaster[Primary_Channel],"")</f>
        <v>Digital</v>
      </c>
      <c r="AA877" s="13">
        <f>IF(Table8[[#This Row],[Gift_Aid_Eligible]]="Yes",Table8[[#This Row],[Gift_Amount]]*1.25,Table8[[#This Row],[Gift_Amount]])</f>
        <v>192.76250000000002</v>
      </c>
      <c r="AB877" t="str">
        <f>IF(Table8[[#This Row],[Supporter_ID]]="","Review - missing supporter ID","")</f>
        <v/>
      </c>
      <c r="AC877" t="str">
        <f>IF(OR(Table8[[#This Row],[Response_Date]]&lt;Table8[[#This Row],[Start_Date]],Table8[[#This Row],[Response_Date]]&gt;Table8[[#This Row],[End_Date]]),"Review - response outside campaign dates","")</f>
        <v/>
      </c>
      <c r="AD877" t="str">
        <f>IF(Table8[[#This Row],[Campaign_Type]]="","Review - campaign code not found","")</f>
        <v/>
      </c>
    </row>
    <row r="878" spans="1:30" x14ac:dyDescent="0.25">
      <c r="A878" t="s">
        <v>4781</v>
      </c>
      <c r="B878" t="s">
        <v>2580</v>
      </c>
      <c r="C878" t="s">
        <v>3320</v>
      </c>
      <c r="D878" t="s">
        <v>3321</v>
      </c>
      <c r="E878" t="s">
        <v>65</v>
      </c>
      <c r="F878" s="17">
        <v>45467</v>
      </c>
      <c r="G878">
        <v>108.99</v>
      </c>
      <c r="H878" t="s">
        <v>36</v>
      </c>
      <c r="I878" t="s">
        <v>3385</v>
      </c>
      <c r="J878" t="str">
        <f>_xlfn.XLOOKUP(Table8[[#This Row],[Supporter_ID]],tb1_supporters[Supporter_ID ],tb1_supporters[Segment],"")</f>
        <v>Mid-Value</v>
      </c>
      <c r="K878" t="str">
        <f>_xlfn.XLOOKUP(Table8[[#This Row],[Supporter_ID]],tb1_supporters[Supporter_ID ],tb1_supporters[Acquisition_Source],"")</f>
        <v>Website</v>
      </c>
      <c r="L878" t="str">
        <f>_xlfn.XLOOKUP(Table8[[#This Row],[Supporter_ID]],tb1_supporters[Supporter_ID ],tb1_supporters[County],"")</f>
        <v>Kent</v>
      </c>
      <c r="M878" t="str">
        <f>_xlfn.XLOOKUP(Table8[[#This Row],[Supporter_ID]],tb1_supporters[Supporter_ID ],tb1_supporters[Gender],"")</f>
        <v>Male</v>
      </c>
      <c r="N878">
        <f ca="1">_xlfn.XLOOKUP(Table8[[#This Row],[Supporter_ID]],tb1_supporters[Supporter_ID ],tb1_supporters[Age],"")</f>
        <v>71</v>
      </c>
      <c r="O878" t="str">
        <f ca="1">_xlfn.XLOOKUP(Table8[[#This Row],[Supporter_ID]],tb1_supporters[Supporter_ID ],tb1_supporters[Age_Band],"")</f>
        <v>65+</v>
      </c>
      <c r="P878" t="str">
        <f ca="1">IF(Table8[[#This Row],[Age_Band]]="","Unknown",Table8[[#This Row],[Age_Band]])</f>
        <v>65+</v>
      </c>
      <c r="Q878" t="str">
        <f>_xlfn.XLOOKUP(Table8[[#This Row],[Supporter_ID]],tb1_supporters[Supporter_ID ],tb1_supporters[Communication_Preference],"")</f>
        <v>Email</v>
      </c>
      <c r="R878" t="str">
        <f>_xlfn.XLOOKUP(Table8[[#This Row],[Supporter_ID]],tb1_supporters[Supporter_ID ],tb1_supporters[Duplicate_Profile_Flag],"")</f>
        <v/>
      </c>
      <c r="S878" t="str">
        <f>_xlfn.XLOOKUP(Table8[[#This Row],[Supporter_ID]],tb1_supporters[Supporter_ID ],tb1_supporters[Preference_Compliance_Flag],"")</f>
        <v/>
      </c>
      <c r="T878" t="str">
        <f ca="1">IF(Table8[[#This Row],[Age]]="","Review - missing DOB",IF(Table8[[#This Row],[Age]]&gt;TODAY(),"Review - future DOB",IF(Table8[[#This Row],[Age]]=0,"Review -  potential entry error (age 0)","")))</f>
        <v/>
      </c>
      <c r="U878" t="str">
        <f>_xlfn.XLOOKUP(Table8[[#This Row],[Campaign_Code]],tb3_CampaignMaster[Campaign_Code],tb3_CampaignMaster[Campaign_Type],"")</f>
        <v>Stewardship</v>
      </c>
      <c r="V878" t="str">
        <f>_xlfn.XLOOKUP(Table8[[#This Row],[Campaign_Code]],tb3_CampaignMaster[Campaign_Code],tb3_CampaignMaster[Target_Audience],"")</f>
        <v>Major Donors</v>
      </c>
      <c r="W878" s="17">
        <f>_xlfn.XLOOKUP(Table8[[#This Row],[Campaign_Code]],tb3_CampaignMaster[Campaign_Code],tb3_CampaignMaster[Start_Date],"")</f>
        <v>45444</v>
      </c>
      <c r="X878" s="17">
        <f>_xlfn.XLOOKUP(Table8[[#This Row],[Campaign_Code]],tb3_CampaignMaster[Campaign_Code],tb3_CampaignMaster[End_Date],"")</f>
        <v>45473</v>
      </c>
      <c r="Y878">
        <f>_xlfn.XLOOKUP(Table8[[#This Row],[Campaign_Code]],tb3_CampaignMaster[Campaign_Code],tb3_CampaignMaster[Budget_GBP],"")</f>
        <v>7000</v>
      </c>
      <c r="Z878" t="str">
        <f>_xlfn.XLOOKUP(Table8[[#This Row],[Campaign_Code]],tb3_CampaignMaster[Campaign_Code],tb3_CampaignMaster[Primary_Channel],"")</f>
        <v>Direct Mail</v>
      </c>
      <c r="AA878" s="13">
        <f>IF(Table8[[#This Row],[Gift_Aid_Eligible]]="Yes",Table8[[#This Row],[Gift_Amount]]*1.25,Table8[[#This Row],[Gift_Amount]])</f>
        <v>136.23749999999998</v>
      </c>
      <c r="AB878" t="str">
        <f>IF(Table8[[#This Row],[Supporter_ID]]="","Review - missing supporter ID","")</f>
        <v/>
      </c>
      <c r="AC878" t="str">
        <f>IF(OR(Table8[[#This Row],[Response_Date]]&lt;Table8[[#This Row],[Start_Date]],Table8[[#This Row],[Response_Date]]&gt;Table8[[#This Row],[End_Date]]),"Review - response outside campaign dates","")</f>
        <v/>
      </c>
      <c r="AD878" t="str">
        <f>IF(Table8[[#This Row],[Campaign_Type]]="","Review - campaign code not found","")</f>
        <v/>
      </c>
    </row>
    <row r="879" spans="1:30" x14ac:dyDescent="0.25">
      <c r="A879" t="s">
        <v>4782</v>
      </c>
      <c r="B879" t="s">
        <v>2888</v>
      </c>
      <c r="C879" t="s">
        <v>3403</v>
      </c>
      <c r="D879" t="s">
        <v>3404</v>
      </c>
      <c r="E879" t="s">
        <v>65</v>
      </c>
      <c r="F879" s="17">
        <v>45333</v>
      </c>
      <c r="G879">
        <v>29.07</v>
      </c>
      <c r="H879" t="s">
        <v>36</v>
      </c>
      <c r="I879" t="s">
        <v>3318</v>
      </c>
      <c r="J879" t="str">
        <f>_xlfn.XLOOKUP(Table8[[#This Row],[Supporter_ID]],tb1_supporters[Supporter_ID ],tb1_supporters[Segment],"")</f>
        <v>Regular Giver</v>
      </c>
      <c r="K879" t="str">
        <f>_xlfn.XLOOKUP(Table8[[#This Row],[Supporter_ID]],tb1_supporters[Supporter_ID ],tb1_supporters[Acquisition_Source],"")</f>
        <v>Event</v>
      </c>
      <c r="L879" t="str">
        <f>_xlfn.XLOOKUP(Table8[[#This Row],[Supporter_ID]],tb1_supporters[Supporter_ID ],tb1_supporters[County],"")</f>
        <v>Wiltshire</v>
      </c>
      <c r="M879" t="str">
        <f>_xlfn.XLOOKUP(Table8[[#This Row],[Supporter_ID]],tb1_supporters[Supporter_ID ],tb1_supporters[Gender],"")</f>
        <v>Male</v>
      </c>
      <c r="N879">
        <f ca="1">_xlfn.XLOOKUP(Table8[[#This Row],[Supporter_ID]],tb1_supporters[Supporter_ID ],tb1_supporters[Age],"")</f>
        <v>69</v>
      </c>
      <c r="O879" t="str">
        <f ca="1">_xlfn.XLOOKUP(Table8[[#This Row],[Supporter_ID]],tb1_supporters[Supporter_ID ],tb1_supporters[Age_Band],"")</f>
        <v>65+</v>
      </c>
      <c r="P879" t="str">
        <f ca="1">IF(Table8[[#This Row],[Age_Band]]="","Unknown",Table8[[#This Row],[Age_Band]])</f>
        <v>65+</v>
      </c>
      <c r="Q879" t="str">
        <f>_xlfn.XLOOKUP(Table8[[#This Row],[Supporter_ID]],tb1_supporters[Supporter_ID ],tb1_supporters[Communication_Preference],"")</f>
        <v>Email</v>
      </c>
      <c r="R879" t="str">
        <f>_xlfn.XLOOKUP(Table8[[#This Row],[Supporter_ID]],tb1_supporters[Supporter_ID ],tb1_supporters[Duplicate_Profile_Flag],"")</f>
        <v/>
      </c>
      <c r="S879" t="str">
        <f>_xlfn.XLOOKUP(Table8[[#This Row],[Supporter_ID]],tb1_supporters[Supporter_ID ],tb1_supporters[Preference_Compliance_Flag],"")</f>
        <v>Review - prefers email but not opted in</v>
      </c>
      <c r="T879" t="str">
        <f ca="1">IF(Table8[[#This Row],[Age]]="","Review - missing DOB",IF(Table8[[#This Row],[Age]]&gt;TODAY(),"Review - future DOB",IF(Table8[[#This Row],[Age]]=0,"Review -  potential entry error (age 0)","")))</f>
        <v/>
      </c>
      <c r="U879" t="str">
        <f>_xlfn.XLOOKUP(Table8[[#This Row],[Campaign_Code]],tb3_CampaignMaster[Campaign_Code],tb3_CampaignMaster[Campaign_Type],"")</f>
        <v>Trading</v>
      </c>
      <c r="V879" t="str">
        <f>_xlfn.XLOOKUP(Table8[[#This Row],[Campaign_Code]],tb3_CampaignMaster[Campaign_Code],tb3_CampaignMaster[Target_Audience],"")</f>
        <v>All Active</v>
      </c>
      <c r="W879" s="17">
        <f>_xlfn.XLOOKUP(Table8[[#This Row],[Campaign_Code]],tb3_CampaignMaster[Campaign_Code],tb3_CampaignMaster[Start_Date],"")</f>
        <v>45580</v>
      </c>
      <c r="X879" s="17">
        <f>_xlfn.XLOOKUP(Table8[[#This Row],[Campaign_Code]],tb3_CampaignMaster[Campaign_Code],tb3_CampaignMaster[End_Date],"")</f>
        <v>45646</v>
      </c>
      <c r="Y879">
        <f>_xlfn.XLOOKUP(Table8[[#This Row],[Campaign_Code]],tb3_CampaignMaster[Campaign_Code],tb3_CampaignMaster[Budget_GBP],"")</f>
        <v>12000</v>
      </c>
      <c r="Z879" t="str">
        <f>_xlfn.XLOOKUP(Table8[[#This Row],[Campaign_Code]],tb3_CampaignMaster[Campaign_Code],tb3_CampaignMaster[Primary_Channel],"")</f>
        <v>Multi-channel</v>
      </c>
      <c r="AA879" s="13">
        <f>IF(Table8[[#This Row],[Gift_Aid_Eligible]]="Yes",Table8[[#This Row],[Gift_Amount]]*1.25,Table8[[#This Row],[Gift_Amount]])</f>
        <v>36.337499999999999</v>
      </c>
      <c r="AB879" t="str">
        <f>IF(Table8[[#This Row],[Supporter_ID]]="","Review - missing supporter ID","")</f>
        <v/>
      </c>
      <c r="AC879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879" t="str">
        <f>IF(Table8[[#This Row],[Campaign_Type]]="","Review - campaign code not found","")</f>
        <v/>
      </c>
    </row>
    <row r="880" spans="1:30" x14ac:dyDescent="0.25">
      <c r="A880" t="s">
        <v>4784</v>
      </c>
      <c r="B880" t="s">
        <v>1192</v>
      </c>
      <c r="C880" t="s">
        <v>3354</v>
      </c>
      <c r="D880" t="s">
        <v>3355</v>
      </c>
      <c r="E880" t="s">
        <v>65</v>
      </c>
      <c r="F880" s="17">
        <v>45618</v>
      </c>
      <c r="G880">
        <v>186.61</v>
      </c>
      <c r="H880" t="s">
        <v>36</v>
      </c>
      <c r="I880" t="s">
        <v>3365</v>
      </c>
      <c r="J880" t="str">
        <f>_xlfn.XLOOKUP(Table8[[#This Row],[Supporter_ID]],tb1_supporters[Supporter_ID ],tb1_supporters[Segment],"")</f>
        <v>Mid-Value</v>
      </c>
      <c r="K880" t="str">
        <f>_xlfn.XLOOKUP(Table8[[#This Row],[Supporter_ID]],tb1_supporters[Supporter_ID ],tb1_supporters[Acquisition_Source],"")</f>
        <v>Website</v>
      </c>
      <c r="L880" t="str">
        <f>_xlfn.XLOOKUP(Table8[[#This Row],[Supporter_ID]],tb1_supporters[Supporter_ID ],tb1_supporters[County],"")</f>
        <v>Merseyside</v>
      </c>
      <c r="M880" t="str">
        <f>_xlfn.XLOOKUP(Table8[[#This Row],[Supporter_ID]],tb1_supporters[Supporter_ID ],tb1_supporters[Gender],"")</f>
        <v>Male</v>
      </c>
      <c r="N880">
        <f ca="1">_xlfn.XLOOKUP(Table8[[#This Row],[Supporter_ID]],tb1_supporters[Supporter_ID ],tb1_supporters[Age],"")</f>
        <v>74</v>
      </c>
      <c r="O880" t="str">
        <f ca="1">_xlfn.XLOOKUP(Table8[[#This Row],[Supporter_ID]],tb1_supporters[Supporter_ID ],tb1_supporters[Age_Band],"")</f>
        <v>65+</v>
      </c>
      <c r="P880" t="str">
        <f ca="1">IF(Table8[[#This Row],[Age_Band]]="","Unknown",Table8[[#This Row],[Age_Band]])</f>
        <v>65+</v>
      </c>
      <c r="Q880" t="str">
        <f>_xlfn.XLOOKUP(Table8[[#This Row],[Supporter_ID]],tb1_supporters[Supporter_ID ],tb1_supporters[Communication_Preference],"")</f>
        <v>Email</v>
      </c>
      <c r="R880" t="str">
        <f>_xlfn.XLOOKUP(Table8[[#This Row],[Supporter_ID]],tb1_supporters[Supporter_ID ],tb1_supporters[Duplicate_Profile_Flag],"")</f>
        <v/>
      </c>
      <c r="S880" t="str">
        <f>_xlfn.XLOOKUP(Table8[[#This Row],[Supporter_ID]],tb1_supporters[Supporter_ID ],tb1_supporters[Preference_Compliance_Flag],"")</f>
        <v/>
      </c>
      <c r="T880" t="str">
        <f ca="1">IF(Table8[[#This Row],[Age]]="","Review - missing DOB",IF(Table8[[#This Row],[Age]]&gt;TODAY(),"Review - future DOB",IF(Table8[[#This Row],[Age]]=0,"Review -  potential entry error (age 0)","")))</f>
        <v/>
      </c>
      <c r="U880" t="str">
        <f>_xlfn.XLOOKUP(Table8[[#This Row],[Campaign_Code]],tb3_CampaignMaster[Campaign_Code],tb3_CampaignMaster[Campaign_Type],"")</f>
        <v>Event</v>
      </c>
      <c r="V880" t="str">
        <f>_xlfn.XLOOKUP(Table8[[#This Row],[Campaign_Code]],tb3_CampaignMaster[Campaign_Code],tb3_CampaignMaster[Target_Audience],"")</f>
        <v>Volunteers</v>
      </c>
      <c r="W880" s="17">
        <f>_xlfn.XLOOKUP(Table8[[#This Row],[Campaign_Code]],tb3_CampaignMaster[Campaign_Code],tb3_CampaignMaster[Start_Date],"")</f>
        <v>45618</v>
      </c>
      <c r="X880" s="17">
        <f>_xlfn.XLOOKUP(Table8[[#This Row],[Campaign_Code]],tb3_CampaignMaster[Campaign_Code],tb3_CampaignMaster[End_Date],"")</f>
        <v>45618</v>
      </c>
      <c r="Y880">
        <f>_xlfn.XLOOKUP(Table8[[#This Row],[Campaign_Code]],tb3_CampaignMaster[Campaign_Code],tb3_CampaignMaster[Budget_GBP],"")</f>
        <v>3500</v>
      </c>
      <c r="Z880" t="str">
        <f>_xlfn.XLOOKUP(Table8[[#This Row],[Campaign_Code]],tb3_CampaignMaster[Campaign_Code],tb3_CampaignMaster[Primary_Channel],"")</f>
        <v>Email</v>
      </c>
      <c r="AA880" s="13">
        <f>IF(Table8[[#This Row],[Gift_Aid_Eligible]]="Yes",Table8[[#This Row],[Gift_Amount]]*1.25,Table8[[#This Row],[Gift_Amount]])</f>
        <v>233.26250000000002</v>
      </c>
      <c r="AB880" t="str">
        <f>IF(Table8[[#This Row],[Supporter_ID]]="","Review - missing supporter ID","")</f>
        <v/>
      </c>
      <c r="AC880" t="str">
        <f>IF(OR(Table8[[#This Row],[Response_Date]]&lt;Table8[[#This Row],[Start_Date]],Table8[[#This Row],[Response_Date]]&gt;Table8[[#This Row],[End_Date]]),"Review - response outside campaign dates","")</f>
        <v/>
      </c>
      <c r="AD880" t="str">
        <f>IF(Table8[[#This Row],[Campaign_Type]]="","Review - campaign code not found","")</f>
        <v/>
      </c>
    </row>
    <row r="881" spans="1:30" x14ac:dyDescent="0.25">
      <c r="A881" t="s">
        <v>4785</v>
      </c>
      <c r="B881" t="s">
        <v>2489</v>
      </c>
      <c r="C881" t="s">
        <v>3341</v>
      </c>
      <c r="D881" t="s">
        <v>3342</v>
      </c>
      <c r="E881" t="s">
        <v>91</v>
      </c>
      <c r="F881" s="17">
        <v>45710</v>
      </c>
      <c r="G881">
        <v>315.98</v>
      </c>
      <c r="H881" t="s">
        <v>36</v>
      </c>
      <c r="I881" t="s">
        <v>3365</v>
      </c>
      <c r="J881" t="str">
        <f>_xlfn.XLOOKUP(Table8[[#This Row],[Supporter_ID]],tb1_supporters[Supporter_ID ],tb1_supporters[Segment],"")</f>
        <v>Legacy Pledger</v>
      </c>
      <c r="K881" t="str">
        <f>_xlfn.XLOOKUP(Table8[[#This Row],[Supporter_ID]],tb1_supporters[Supporter_ID ],tb1_supporters[Acquisition_Source],"")</f>
        <v>Door-To-Door</v>
      </c>
      <c r="L881" t="str">
        <f>_xlfn.XLOOKUP(Table8[[#This Row],[Supporter_ID]],tb1_supporters[Supporter_ID ],tb1_supporters[County],"")</f>
        <v>Wiltshire</v>
      </c>
      <c r="M881" t="str">
        <f>_xlfn.XLOOKUP(Table8[[#This Row],[Supporter_ID]],tb1_supporters[Supporter_ID ],tb1_supporters[Gender],"")</f>
        <v>Male</v>
      </c>
      <c r="N881">
        <f ca="1">_xlfn.XLOOKUP(Table8[[#This Row],[Supporter_ID]],tb1_supporters[Supporter_ID ],tb1_supporters[Age],"")</f>
        <v>73</v>
      </c>
      <c r="O881" t="str">
        <f ca="1">_xlfn.XLOOKUP(Table8[[#This Row],[Supporter_ID]],tb1_supporters[Supporter_ID ],tb1_supporters[Age_Band],"")</f>
        <v>65+</v>
      </c>
      <c r="P881" t="str">
        <f ca="1">IF(Table8[[#This Row],[Age_Band]]="","Unknown",Table8[[#This Row],[Age_Band]])</f>
        <v>65+</v>
      </c>
      <c r="Q881" t="str">
        <f>_xlfn.XLOOKUP(Table8[[#This Row],[Supporter_ID]],tb1_supporters[Supporter_ID ],tb1_supporters[Communication_Preference],"")</f>
        <v>No Preference</v>
      </c>
      <c r="R881" t="str">
        <f>_xlfn.XLOOKUP(Table8[[#This Row],[Supporter_ID]],tb1_supporters[Supporter_ID ],tb1_supporters[Duplicate_Profile_Flag],"")</f>
        <v/>
      </c>
      <c r="S881" t="str">
        <f>_xlfn.XLOOKUP(Table8[[#This Row],[Supporter_ID]],tb1_supporters[Supporter_ID ],tb1_supporters[Preference_Compliance_Flag],"")</f>
        <v/>
      </c>
      <c r="T881" t="str">
        <f ca="1">IF(Table8[[#This Row],[Age]]="","Review - missing DOB",IF(Table8[[#This Row],[Age]]&gt;TODAY(),"Review - future DOB",IF(Table8[[#This Row],[Age]]=0,"Review -  potential entry error (age 0)","")))</f>
        <v/>
      </c>
      <c r="U881" t="str">
        <f>_xlfn.XLOOKUP(Table8[[#This Row],[Campaign_Code]],tb3_CampaignMaster[Campaign_Code],tb3_CampaignMaster[Campaign_Type],"")</f>
        <v>Acquisition</v>
      </c>
      <c r="V881" t="str">
        <f>_xlfn.XLOOKUP(Table8[[#This Row],[Campaign_Code]],tb3_CampaignMaster[Campaign_Code],tb3_CampaignMaster[Target_Audience],"")</f>
        <v>Prospects</v>
      </c>
      <c r="W881" s="17">
        <f>_xlfn.XLOOKUP(Table8[[#This Row],[Campaign_Code]],tb3_CampaignMaster[Campaign_Code],tb3_CampaignMaster[Start_Date],"")</f>
        <v>45689</v>
      </c>
      <c r="X881" s="17">
        <f>_xlfn.XLOOKUP(Table8[[#This Row],[Campaign_Code]],tb3_CampaignMaster[Campaign_Code],tb3_CampaignMaster[End_Date],"")</f>
        <v>45777</v>
      </c>
      <c r="Y881">
        <f>_xlfn.XLOOKUP(Table8[[#This Row],[Campaign_Code]],tb3_CampaignMaster[Campaign_Code],tb3_CampaignMaster[Budget_GBP],"")</f>
        <v>20000</v>
      </c>
      <c r="Z881" t="str">
        <f>_xlfn.XLOOKUP(Table8[[#This Row],[Campaign_Code]],tb3_CampaignMaster[Campaign_Code],tb3_CampaignMaster[Primary_Channel],"")</f>
        <v>Digital</v>
      </c>
      <c r="AA881" s="13">
        <f>IF(Table8[[#This Row],[Gift_Aid_Eligible]]="Yes",Table8[[#This Row],[Gift_Amount]]*1.25,Table8[[#This Row],[Gift_Amount]])</f>
        <v>394.97500000000002</v>
      </c>
      <c r="AB881" t="str">
        <f>IF(Table8[[#This Row],[Supporter_ID]]="","Review - missing supporter ID","")</f>
        <v/>
      </c>
      <c r="AC881" t="str">
        <f>IF(OR(Table8[[#This Row],[Response_Date]]&lt;Table8[[#This Row],[Start_Date]],Table8[[#This Row],[Response_Date]]&gt;Table8[[#This Row],[End_Date]]),"Review - response outside campaign dates","")</f>
        <v/>
      </c>
      <c r="AD881" t="str">
        <f>IF(Table8[[#This Row],[Campaign_Type]]="","Review - campaign code not found","")</f>
        <v/>
      </c>
    </row>
    <row r="882" spans="1:30" x14ac:dyDescent="0.25">
      <c r="A882" t="s">
        <v>4786</v>
      </c>
      <c r="B882" t="s">
        <v>1669</v>
      </c>
      <c r="C882" t="s">
        <v>3427</v>
      </c>
      <c r="D882" t="s">
        <v>3428</v>
      </c>
      <c r="E882" t="s">
        <v>4</v>
      </c>
      <c r="F882" s="17">
        <v>45488</v>
      </c>
      <c r="G882">
        <v>21.33</v>
      </c>
      <c r="H882" t="s">
        <v>37</v>
      </c>
      <c r="I882" t="s">
        <v>3323</v>
      </c>
      <c r="J882" t="str">
        <f>_xlfn.XLOOKUP(Table8[[#This Row],[Supporter_ID]],tb1_supporters[Supporter_ID ],tb1_supporters[Segment],"")</f>
        <v>Prospect</v>
      </c>
      <c r="K882" t="str">
        <f>_xlfn.XLOOKUP(Table8[[#This Row],[Supporter_ID]],tb1_supporters[Supporter_ID ],tb1_supporters[Acquisition_Source],"")</f>
        <v>Corporate Partner</v>
      </c>
      <c r="L882" t="str">
        <f>_xlfn.XLOOKUP(Table8[[#This Row],[Supporter_ID]],tb1_supporters[Supporter_ID ],tb1_supporters[County],"")</f>
        <v>South Glamorgan</v>
      </c>
      <c r="M882" t="str">
        <f>_xlfn.XLOOKUP(Table8[[#This Row],[Supporter_ID]],tb1_supporters[Supporter_ID ],tb1_supporters[Gender],"")</f>
        <v>Female</v>
      </c>
      <c r="N882">
        <f ca="1">_xlfn.XLOOKUP(Table8[[#This Row],[Supporter_ID]],tb1_supporters[Supporter_ID ],tb1_supporters[Age],"")</f>
        <v>43</v>
      </c>
      <c r="O882" t="str">
        <f ca="1">_xlfn.XLOOKUP(Table8[[#This Row],[Supporter_ID]],tb1_supporters[Supporter_ID ],tb1_supporters[Age_Band],"")</f>
        <v>35-49</v>
      </c>
      <c r="P882" t="str">
        <f ca="1">IF(Table8[[#This Row],[Age_Band]]="","Unknown",Table8[[#This Row],[Age_Band]])</f>
        <v>35-49</v>
      </c>
      <c r="Q882" t="str">
        <f>_xlfn.XLOOKUP(Table8[[#This Row],[Supporter_ID]],tb1_supporters[Supporter_ID ],tb1_supporters[Communication_Preference],"")</f>
        <v>Phone</v>
      </c>
      <c r="R882" t="str">
        <f>_xlfn.XLOOKUP(Table8[[#This Row],[Supporter_ID]],tb1_supporters[Supporter_ID ],tb1_supporters[Duplicate_Profile_Flag],"")</f>
        <v/>
      </c>
      <c r="S882" t="str">
        <f>_xlfn.XLOOKUP(Table8[[#This Row],[Supporter_ID]],tb1_supporters[Supporter_ID ],tb1_supporters[Preference_Compliance_Flag],"")</f>
        <v/>
      </c>
      <c r="T882" t="str">
        <f ca="1">IF(Table8[[#This Row],[Age]]="","Review - missing DOB",IF(Table8[[#This Row],[Age]]&gt;TODAY(),"Review - future DOB",IF(Table8[[#This Row],[Age]]=0,"Review -  potential entry error (age 0)","")))</f>
        <v/>
      </c>
      <c r="U882" t="str">
        <f>_xlfn.XLOOKUP(Table8[[#This Row],[Campaign_Code]],tb3_CampaignMaster[Campaign_Code],tb3_CampaignMaster[Campaign_Type],"")</f>
        <v>Event</v>
      </c>
      <c r="V882" t="str">
        <f>_xlfn.XLOOKUP(Table8[[#This Row],[Campaign_Code]],tb3_CampaignMaster[Campaign_Code],tb3_CampaignMaster[Target_Audience],"")</f>
        <v>Major Donors</v>
      </c>
      <c r="W882" s="17">
        <f>_xlfn.XLOOKUP(Table8[[#This Row],[Campaign_Code]],tb3_CampaignMaster[Campaign_Code],tb3_CampaignMaster[Start_Date],"")</f>
        <v>45488</v>
      </c>
      <c r="X882" s="17">
        <f>_xlfn.XLOOKUP(Table8[[#This Row],[Campaign_Code]],tb3_CampaignMaster[Campaign_Code],tb3_CampaignMaster[End_Date],"")</f>
        <v>45488</v>
      </c>
      <c r="Y882">
        <f>_xlfn.XLOOKUP(Table8[[#This Row],[Campaign_Code]],tb3_CampaignMaster[Campaign_Code],tb3_CampaignMaster[Budget_GBP],"")</f>
        <v>45000</v>
      </c>
      <c r="Z882" t="str">
        <f>_xlfn.XLOOKUP(Table8[[#This Row],[Campaign_Code]],tb3_CampaignMaster[Campaign_Code],tb3_CampaignMaster[Primary_Channel],"")</f>
        <v>Direct Mail</v>
      </c>
      <c r="AA882" s="13">
        <f>IF(Table8[[#This Row],[Gift_Aid_Eligible]]="Yes",Table8[[#This Row],[Gift_Amount]]*1.25,Table8[[#This Row],[Gift_Amount]])</f>
        <v>21.33</v>
      </c>
      <c r="AB882" t="str">
        <f>IF(Table8[[#This Row],[Supporter_ID]]="","Review - missing supporter ID","")</f>
        <v/>
      </c>
      <c r="AC882" t="str">
        <f>IF(OR(Table8[[#This Row],[Response_Date]]&lt;Table8[[#This Row],[Start_Date]],Table8[[#This Row],[Response_Date]]&gt;Table8[[#This Row],[End_Date]]),"Review - response outside campaign dates","")</f>
        <v/>
      </c>
      <c r="AD882" t="str">
        <f>IF(Table8[[#This Row],[Campaign_Type]]="","Review - campaign code not found","")</f>
        <v/>
      </c>
    </row>
    <row r="883" spans="1:30" x14ac:dyDescent="0.25">
      <c r="A883" t="s">
        <v>4787</v>
      </c>
      <c r="B883" t="s">
        <v>3106</v>
      </c>
      <c r="C883" t="s">
        <v>3367</v>
      </c>
      <c r="D883" t="s">
        <v>3368</v>
      </c>
      <c r="E883" t="s">
        <v>4</v>
      </c>
      <c r="F883" s="17">
        <v>45771</v>
      </c>
      <c r="G883">
        <v>80.41</v>
      </c>
      <c r="H883" t="s">
        <v>36</v>
      </c>
      <c r="I883" t="s">
        <v>3385</v>
      </c>
      <c r="J883" t="str">
        <f>_xlfn.XLOOKUP(Table8[[#This Row],[Supporter_ID]],tb1_supporters[Supporter_ID ],tb1_supporters[Segment],"")</f>
        <v>Legacy Pledger</v>
      </c>
      <c r="K883" t="str">
        <f>_xlfn.XLOOKUP(Table8[[#This Row],[Supporter_ID]],tb1_supporters[Supporter_ID ],tb1_supporters[Acquisition_Source],"")</f>
        <v>Referral</v>
      </c>
      <c r="L883" t="str">
        <f>_xlfn.XLOOKUP(Table8[[#This Row],[Supporter_ID]],tb1_supporters[Supporter_ID ],tb1_supporters[County],"")</f>
        <v>West Yorkshire</v>
      </c>
      <c r="M883" t="str">
        <f>_xlfn.XLOOKUP(Table8[[#This Row],[Supporter_ID]],tb1_supporters[Supporter_ID ],tb1_supporters[Gender],"")</f>
        <v>Male</v>
      </c>
      <c r="N883">
        <f ca="1">_xlfn.XLOOKUP(Table8[[#This Row],[Supporter_ID]],tb1_supporters[Supporter_ID ],tb1_supporters[Age],"")</f>
        <v>54</v>
      </c>
      <c r="O883" t="str">
        <f ca="1">_xlfn.XLOOKUP(Table8[[#This Row],[Supporter_ID]],tb1_supporters[Supporter_ID ],tb1_supporters[Age_Band],"")</f>
        <v>50-64</v>
      </c>
      <c r="P883" t="str">
        <f ca="1">IF(Table8[[#This Row],[Age_Band]]="","Unknown",Table8[[#This Row],[Age_Band]])</f>
        <v>50-64</v>
      </c>
      <c r="Q883" t="str">
        <f>_xlfn.XLOOKUP(Table8[[#This Row],[Supporter_ID]],tb1_supporters[Supporter_ID ],tb1_supporters[Communication_Preference],"")</f>
        <v>Email</v>
      </c>
      <c r="R883" t="str">
        <f>_xlfn.XLOOKUP(Table8[[#This Row],[Supporter_ID]],tb1_supporters[Supporter_ID ],tb1_supporters[Duplicate_Profile_Flag],"")</f>
        <v/>
      </c>
      <c r="S883" t="str">
        <f>_xlfn.XLOOKUP(Table8[[#This Row],[Supporter_ID]],tb1_supporters[Supporter_ID ],tb1_supporters[Preference_Compliance_Flag],"")</f>
        <v>Review - prefers email but not opted in</v>
      </c>
      <c r="T883" t="str">
        <f ca="1">IF(Table8[[#This Row],[Age]]="","Review - missing DOB",IF(Table8[[#This Row],[Age]]&gt;TODAY(),"Review - future DOB",IF(Table8[[#This Row],[Age]]=0,"Review -  potential entry error (age 0)","")))</f>
        <v/>
      </c>
      <c r="U883" t="str">
        <f>_xlfn.XLOOKUP(Table8[[#This Row],[Campaign_Code]],tb3_CampaignMaster[Campaign_Code],tb3_CampaignMaster[Campaign_Type],"")</f>
        <v>Raffle</v>
      </c>
      <c r="V883" t="str">
        <f>_xlfn.XLOOKUP(Table8[[#This Row],[Campaign_Code]],tb3_CampaignMaster[Campaign_Code],tb3_CampaignMaster[Target_Audience],"")</f>
        <v>Regular Givers</v>
      </c>
      <c r="W883" s="17">
        <f>_xlfn.XLOOKUP(Table8[[#This Row],[Campaign_Code]],tb3_CampaignMaster[Campaign_Code],tb3_CampaignMaster[Start_Date],"")</f>
        <v>45717</v>
      </c>
      <c r="X883" s="17">
        <f>_xlfn.XLOOKUP(Table8[[#This Row],[Campaign_Code]],tb3_CampaignMaster[Campaign_Code],tb3_CampaignMaster[End_Date],"")</f>
        <v>45777</v>
      </c>
      <c r="Y883">
        <f>_xlfn.XLOOKUP(Table8[[#This Row],[Campaign_Code]],tb3_CampaignMaster[Campaign_Code],tb3_CampaignMaster[Budget_GBP],"")</f>
        <v>8000</v>
      </c>
      <c r="Z883" t="str">
        <f>_xlfn.XLOOKUP(Table8[[#This Row],[Campaign_Code]],tb3_CampaignMaster[Campaign_Code],tb3_CampaignMaster[Primary_Channel],"")</f>
        <v>Direct Mail</v>
      </c>
      <c r="AA883" s="13">
        <f>IF(Table8[[#This Row],[Gift_Aid_Eligible]]="Yes",Table8[[#This Row],[Gift_Amount]]*1.25,Table8[[#This Row],[Gift_Amount]])</f>
        <v>100.51249999999999</v>
      </c>
      <c r="AB883" t="str">
        <f>IF(Table8[[#This Row],[Supporter_ID]]="","Review - missing supporter ID","")</f>
        <v/>
      </c>
      <c r="AC883" t="str">
        <f>IF(OR(Table8[[#This Row],[Response_Date]]&lt;Table8[[#This Row],[Start_Date]],Table8[[#This Row],[Response_Date]]&gt;Table8[[#This Row],[End_Date]]),"Review - response outside campaign dates","")</f>
        <v/>
      </c>
      <c r="AD883" t="str">
        <f>IF(Table8[[#This Row],[Campaign_Type]]="","Review - campaign code not found","")</f>
        <v/>
      </c>
    </row>
    <row r="884" spans="1:30" x14ac:dyDescent="0.25">
      <c r="A884" t="s">
        <v>4789</v>
      </c>
      <c r="B884" t="s">
        <v>3118</v>
      </c>
      <c r="C884" t="s">
        <v>3362</v>
      </c>
      <c r="D884" t="s">
        <v>3363</v>
      </c>
      <c r="E884" t="s">
        <v>65</v>
      </c>
      <c r="F884" s="17">
        <v>45577</v>
      </c>
      <c r="G884">
        <v>43.6</v>
      </c>
      <c r="H884" t="s">
        <v>36</v>
      </c>
      <c r="I884" t="s">
        <v>3328</v>
      </c>
      <c r="J884" t="str">
        <f>_xlfn.XLOOKUP(Table8[[#This Row],[Supporter_ID]],tb1_supporters[Supporter_ID ],tb1_supporters[Segment],"")</f>
        <v>Regular Giver</v>
      </c>
      <c r="K884" t="str">
        <f>_xlfn.XLOOKUP(Table8[[#This Row],[Supporter_ID]],tb1_supporters[Supporter_ID ],tb1_supporters[Acquisition_Source],"")</f>
        <v>Referral</v>
      </c>
      <c r="L884" t="str">
        <f>_xlfn.XLOOKUP(Table8[[#This Row],[Supporter_ID]],tb1_supporters[Supporter_ID ],tb1_supporters[County],"")</f>
        <v>Dorset</v>
      </c>
      <c r="M884" t="str">
        <f>_xlfn.XLOOKUP(Table8[[#This Row],[Supporter_ID]],tb1_supporters[Supporter_ID ],tb1_supporters[Gender],"")</f>
        <v>Female</v>
      </c>
      <c r="N884">
        <f ca="1">_xlfn.XLOOKUP(Table8[[#This Row],[Supporter_ID]],tb1_supporters[Supporter_ID ],tb1_supporters[Age],"")</f>
        <v>62</v>
      </c>
      <c r="O884" t="str">
        <f ca="1">_xlfn.XLOOKUP(Table8[[#This Row],[Supporter_ID]],tb1_supporters[Supporter_ID ],tb1_supporters[Age_Band],"")</f>
        <v>50-64</v>
      </c>
      <c r="P884" t="str">
        <f ca="1">IF(Table8[[#This Row],[Age_Band]]="","Unknown",Table8[[#This Row],[Age_Band]])</f>
        <v>50-64</v>
      </c>
      <c r="Q884" t="str">
        <f>_xlfn.XLOOKUP(Table8[[#This Row],[Supporter_ID]],tb1_supporters[Supporter_ID ],tb1_supporters[Communication_Preference],"")</f>
        <v>Post</v>
      </c>
      <c r="R884" t="str">
        <f>_xlfn.XLOOKUP(Table8[[#This Row],[Supporter_ID]],tb1_supporters[Supporter_ID ],tb1_supporters[Duplicate_Profile_Flag],"")</f>
        <v/>
      </c>
      <c r="S884" t="str">
        <f>_xlfn.XLOOKUP(Table8[[#This Row],[Supporter_ID]],tb1_supporters[Supporter_ID ],tb1_supporters[Preference_Compliance_Flag],"")</f>
        <v/>
      </c>
      <c r="T884" t="str">
        <f ca="1">IF(Table8[[#This Row],[Age]]="","Review - missing DOB",IF(Table8[[#This Row],[Age]]&gt;TODAY(),"Review - future DOB",IF(Table8[[#This Row],[Age]]=0,"Review -  potential entry error (age 0)","")))</f>
        <v/>
      </c>
      <c r="U884" t="str">
        <f>_xlfn.XLOOKUP(Table8[[#This Row],[Campaign_Code]],tb3_CampaignMaster[Campaign_Code],tb3_CampaignMaster[Campaign_Type],"")</f>
        <v>Legacy</v>
      </c>
      <c r="V884" t="str">
        <f>_xlfn.XLOOKUP(Table8[[#This Row],[Campaign_Code]],tb3_CampaignMaster[Campaign_Code],tb3_CampaignMaster[Target_Audience],"")</f>
        <v>Over 55s</v>
      </c>
      <c r="W884" s="17">
        <f>_xlfn.XLOOKUP(Table8[[#This Row],[Campaign_Code]],tb3_CampaignMaster[Campaign_Code],tb3_CampaignMaster[Start_Date],"")</f>
        <v>45572</v>
      </c>
      <c r="X884" s="17">
        <f>_xlfn.XLOOKUP(Table8[[#This Row],[Campaign_Code]],tb3_CampaignMaster[Campaign_Code],tb3_CampaignMaster[End_Date],"")</f>
        <v>45578</v>
      </c>
      <c r="Y884">
        <f>_xlfn.XLOOKUP(Table8[[#This Row],[Campaign_Code]],tb3_CampaignMaster[Campaign_Code],tb3_CampaignMaster[Budget_GBP],"")</f>
        <v>5000</v>
      </c>
      <c r="Z884" t="str">
        <f>_xlfn.XLOOKUP(Table8[[#This Row],[Campaign_Code]],tb3_CampaignMaster[Campaign_Code],tb3_CampaignMaster[Primary_Channel],"")</f>
        <v>Direct Mail</v>
      </c>
      <c r="AA884" s="13">
        <f>IF(Table8[[#This Row],[Gift_Aid_Eligible]]="Yes",Table8[[#This Row],[Gift_Amount]]*1.25,Table8[[#This Row],[Gift_Amount]])</f>
        <v>54.5</v>
      </c>
      <c r="AB884" t="str">
        <f>IF(Table8[[#This Row],[Supporter_ID]]="","Review - missing supporter ID","")</f>
        <v/>
      </c>
      <c r="AC884" t="str">
        <f>IF(OR(Table8[[#This Row],[Response_Date]]&lt;Table8[[#This Row],[Start_Date]],Table8[[#This Row],[Response_Date]]&gt;Table8[[#This Row],[End_Date]]),"Review - response outside campaign dates","")</f>
        <v/>
      </c>
      <c r="AD884" t="str">
        <f>IF(Table8[[#This Row],[Campaign_Type]]="","Review - campaign code not found","")</f>
        <v/>
      </c>
    </row>
    <row r="885" spans="1:30" x14ac:dyDescent="0.25">
      <c r="A885" t="s">
        <v>4790</v>
      </c>
      <c r="B885" t="s">
        <v>1625</v>
      </c>
      <c r="C885" t="s">
        <v>3325</v>
      </c>
      <c r="D885" t="s">
        <v>3326</v>
      </c>
      <c r="E885" t="s">
        <v>3338</v>
      </c>
      <c r="F885" s="17">
        <v>45622</v>
      </c>
      <c r="G885">
        <v>54.44</v>
      </c>
      <c r="H885" t="s">
        <v>36</v>
      </c>
      <c r="I885" t="s">
        <v>3331</v>
      </c>
      <c r="J885" t="str">
        <f>_xlfn.XLOOKUP(Table8[[#This Row],[Supporter_ID]],tb1_supporters[Supporter_ID ],tb1_supporters[Segment],"")</f>
        <v>Lapsed</v>
      </c>
      <c r="K885" t="str">
        <f>_xlfn.XLOOKUP(Table8[[#This Row],[Supporter_ID]],tb1_supporters[Supporter_ID ],tb1_supporters[Acquisition_Source],"")</f>
        <v>Telephone</v>
      </c>
      <c r="L885" t="str">
        <f>_xlfn.XLOOKUP(Table8[[#This Row],[Supporter_ID]],tb1_supporters[Supporter_ID ],tb1_supporters[County],"")</f>
        <v>Suffolk</v>
      </c>
      <c r="M885" t="str">
        <f>_xlfn.XLOOKUP(Table8[[#This Row],[Supporter_ID]],tb1_supporters[Supporter_ID ],tb1_supporters[Gender],"")</f>
        <v>Female</v>
      </c>
      <c r="N885">
        <f ca="1">_xlfn.XLOOKUP(Table8[[#This Row],[Supporter_ID]],tb1_supporters[Supporter_ID ],tb1_supporters[Age],"")</f>
        <v>61</v>
      </c>
      <c r="O885" t="str">
        <f ca="1">_xlfn.XLOOKUP(Table8[[#This Row],[Supporter_ID]],tb1_supporters[Supporter_ID ],tb1_supporters[Age_Band],"")</f>
        <v>50-64</v>
      </c>
      <c r="P885" t="str">
        <f ca="1">IF(Table8[[#This Row],[Age_Band]]="","Unknown",Table8[[#This Row],[Age_Band]])</f>
        <v>50-64</v>
      </c>
      <c r="Q885" t="str">
        <f>_xlfn.XLOOKUP(Table8[[#This Row],[Supporter_ID]],tb1_supporters[Supporter_ID ],tb1_supporters[Communication_Preference],"")</f>
        <v>No Preference</v>
      </c>
      <c r="R885" t="str">
        <f>_xlfn.XLOOKUP(Table8[[#This Row],[Supporter_ID]],tb1_supporters[Supporter_ID ],tb1_supporters[Duplicate_Profile_Flag],"")</f>
        <v/>
      </c>
      <c r="S885" t="str">
        <f>_xlfn.XLOOKUP(Table8[[#This Row],[Supporter_ID]],tb1_supporters[Supporter_ID ],tb1_supporters[Preference_Compliance_Flag],"")</f>
        <v/>
      </c>
      <c r="T885" t="str">
        <f ca="1">IF(Table8[[#This Row],[Age]]="","Review - missing DOB",IF(Table8[[#This Row],[Age]]&gt;TODAY(),"Review - future DOB",IF(Table8[[#This Row],[Age]]=0,"Review -  potential entry error (age 0)","")))</f>
        <v/>
      </c>
      <c r="U885" t="str">
        <f>_xlfn.XLOOKUP(Table8[[#This Row],[Campaign_Code]],tb3_CampaignMaster[Campaign_Code],tb3_CampaignMaster[Campaign_Type],"")</f>
        <v>Appeal</v>
      </c>
      <c r="V885" t="str">
        <f>_xlfn.XLOOKUP(Table8[[#This Row],[Campaign_Code]],tb3_CampaignMaster[Campaign_Code],tb3_CampaignMaster[Target_Audience],"")</f>
        <v>All Active</v>
      </c>
      <c r="W885" s="17">
        <f>_xlfn.XLOOKUP(Table8[[#This Row],[Campaign_Code]],tb3_CampaignMaster[Campaign_Code],tb3_CampaignMaster[Start_Date],"")</f>
        <v>45597</v>
      </c>
      <c r="X885" s="17">
        <f>_xlfn.XLOOKUP(Table8[[#This Row],[Campaign_Code]],tb3_CampaignMaster[Campaign_Code],tb3_CampaignMaster[End_Date],"")</f>
        <v>45657</v>
      </c>
      <c r="Y885">
        <f>_xlfn.XLOOKUP(Table8[[#This Row],[Campaign_Code]],tb3_CampaignMaster[Campaign_Code],tb3_CampaignMaster[Budget_GBP],"")</f>
        <v>25000</v>
      </c>
      <c r="Z885" t="str">
        <f>_xlfn.XLOOKUP(Table8[[#This Row],[Campaign_Code]],tb3_CampaignMaster[Campaign_Code],tb3_CampaignMaster[Primary_Channel],"")</f>
        <v>Multi-channel</v>
      </c>
      <c r="AA885" s="13">
        <f>IF(Table8[[#This Row],[Gift_Aid_Eligible]]="Yes",Table8[[#This Row],[Gift_Amount]]*1.25,Table8[[#This Row],[Gift_Amount]])</f>
        <v>68.05</v>
      </c>
      <c r="AB885" t="str">
        <f>IF(Table8[[#This Row],[Supporter_ID]]="","Review - missing supporter ID","")</f>
        <v/>
      </c>
      <c r="AC885" t="str">
        <f>IF(OR(Table8[[#This Row],[Response_Date]]&lt;Table8[[#This Row],[Start_Date]],Table8[[#This Row],[Response_Date]]&gt;Table8[[#This Row],[End_Date]]),"Review - response outside campaign dates","")</f>
        <v/>
      </c>
      <c r="AD885" t="str">
        <f>IF(Table8[[#This Row],[Campaign_Type]]="","Review - campaign code not found","")</f>
        <v/>
      </c>
    </row>
    <row r="886" spans="1:30" x14ac:dyDescent="0.25">
      <c r="A886" t="s">
        <v>4791</v>
      </c>
      <c r="B886" t="s">
        <v>513</v>
      </c>
      <c r="C886" t="s">
        <v>3314</v>
      </c>
      <c r="D886" t="s">
        <v>3315</v>
      </c>
      <c r="E886" t="s">
        <v>65</v>
      </c>
      <c r="F886" s="17">
        <v>45732</v>
      </c>
      <c r="G886">
        <v>11.13</v>
      </c>
      <c r="H886" t="s">
        <v>37</v>
      </c>
      <c r="I886" t="s">
        <v>3331</v>
      </c>
      <c r="J886" t="str">
        <f>_xlfn.XLOOKUP(Table8[[#This Row],[Supporter_ID]],tb1_supporters[Supporter_ID ],tb1_supporters[Segment],"")</f>
        <v>Prospect</v>
      </c>
      <c r="K886" t="str">
        <f>_xlfn.XLOOKUP(Table8[[#This Row],[Supporter_ID]],tb1_supporters[Supporter_ID ],tb1_supporters[Acquisition_Source],"")</f>
        <v>Referral</v>
      </c>
      <c r="L886" t="str">
        <f>_xlfn.XLOOKUP(Table8[[#This Row],[Supporter_ID]],tb1_supporters[Supporter_ID ],tb1_supporters[County],"")</f>
        <v>Devon</v>
      </c>
      <c r="M886" t="str">
        <f>_xlfn.XLOOKUP(Table8[[#This Row],[Supporter_ID]],tb1_supporters[Supporter_ID ],tb1_supporters[Gender],"")</f>
        <v>Male</v>
      </c>
      <c r="N886">
        <f ca="1">_xlfn.XLOOKUP(Table8[[#This Row],[Supporter_ID]],tb1_supporters[Supporter_ID ],tb1_supporters[Age],"")</f>
        <v>49</v>
      </c>
      <c r="O886" t="str">
        <f ca="1">_xlfn.XLOOKUP(Table8[[#This Row],[Supporter_ID]],tb1_supporters[Supporter_ID ],tb1_supporters[Age_Band],"")</f>
        <v>35-49</v>
      </c>
      <c r="P886" t="str">
        <f ca="1">IF(Table8[[#This Row],[Age_Band]]="","Unknown",Table8[[#This Row],[Age_Band]])</f>
        <v>35-49</v>
      </c>
      <c r="Q886" t="str">
        <f>_xlfn.XLOOKUP(Table8[[#This Row],[Supporter_ID]],tb1_supporters[Supporter_ID ],tb1_supporters[Communication_Preference],"")</f>
        <v>Phone</v>
      </c>
      <c r="R886" t="str">
        <f>_xlfn.XLOOKUP(Table8[[#This Row],[Supporter_ID]],tb1_supporters[Supporter_ID ],tb1_supporters[Duplicate_Profile_Flag],"")</f>
        <v/>
      </c>
      <c r="S886" t="str">
        <f>_xlfn.XLOOKUP(Table8[[#This Row],[Supporter_ID]],tb1_supporters[Supporter_ID ],tb1_supporters[Preference_Compliance_Flag],"")</f>
        <v>Review - prefers phone but not opted in</v>
      </c>
      <c r="T886" t="str">
        <f ca="1">IF(Table8[[#This Row],[Age]]="","Review - missing DOB",IF(Table8[[#This Row],[Age]]&gt;TODAY(),"Review - future DOB",IF(Table8[[#This Row],[Age]]=0,"Review -  potential entry error (age 0)","")))</f>
        <v/>
      </c>
      <c r="U886" t="str">
        <f>_xlfn.XLOOKUP(Table8[[#This Row],[Campaign_Code]],tb3_CampaignMaster[Campaign_Code],tb3_CampaignMaster[Campaign_Type],"")</f>
        <v>Regular Giving</v>
      </c>
      <c r="V886" t="str">
        <f>_xlfn.XLOOKUP(Table8[[#This Row],[Campaign_Code]],tb3_CampaignMaster[Campaign_Code],tb3_CampaignMaster[Target_Audience],"")</f>
        <v>One-time Donors</v>
      </c>
      <c r="W886" s="17">
        <f>_xlfn.XLOOKUP(Table8[[#This Row],[Campaign_Code]],tb3_CampaignMaster[Campaign_Code],tb3_CampaignMaster[Start_Date],"")</f>
        <v>45663</v>
      </c>
      <c r="X886" s="17">
        <f>_xlfn.XLOOKUP(Table8[[#This Row],[Campaign_Code]],tb3_CampaignMaster[Campaign_Code],tb3_CampaignMaster[End_Date],"")</f>
        <v>45747</v>
      </c>
      <c r="Y886">
        <f>_xlfn.XLOOKUP(Table8[[#This Row],[Campaign_Code]],tb3_CampaignMaster[Campaign_Code],tb3_CampaignMaster[Budget_GBP],"")</f>
        <v>10000</v>
      </c>
      <c r="Z886" t="str">
        <f>_xlfn.XLOOKUP(Table8[[#This Row],[Campaign_Code]],tb3_CampaignMaster[Campaign_Code],tb3_CampaignMaster[Primary_Channel],"")</f>
        <v>Telephone</v>
      </c>
      <c r="AA886" s="13">
        <f>IF(Table8[[#This Row],[Gift_Aid_Eligible]]="Yes",Table8[[#This Row],[Gift_Amount]]*1.25,Table8[[#This Row],[Gift_Amount]])</f>
        <v>11.13</v>
      </c>
      <c r="AB886" t="str">
        <f>IF(Table8[[#This Row],[Supporter_ID]]="","Review - missing supporter ID","")</f>
        <v/>
      </c>
      <c r="AC886" t="str">
        <f>IF(OR(Table8[[#This Row],[Response_Date]]&lt;Table8[[#This Row],[Start_Date]],Table8[[#This Row],[Response_Date]]&gt;Table8[[#This Row],[End_Date]]),"Review - response outside campaign dates","")</f>
        <v/>
      </c>
      <c r="AD886" t="str">
        <f>IF(Table8[[#This Row],[Campaign_Type]]="","Review - campaign code not found","")</f>
        <v/>
      </c>
    </row>
    <row r="887" spans="1:30" x14ac:dyDescent="0.25">
      <c r="A887" t="s">
        <v>4793</v>
      </c>
      <c r="B887" t="s">
        <v>1897</v>
      </c>
      <c r="C887" t="s">
        <v>3367</v>
      </c>
      <c r="D887" t="s">
        <v>3368</v>
      </c>
      <c r="E887" t="s">
        <v>65</v>
      </c>
      <c r="F887" s="17">
        <v>45723</v>
      </c>
      <c r="G887">
        <v>219.18</v>
      </c>
      <c r="H887" t="s">
        <v>37</v>
      </c>
      <c r="I887" t="s">
        <v>3385</v>
      </c>
      <c r="J887" t="str">
        <f>_xlfn.XLOOKUP(Table8[[#This Row],[Supporter_ID]],tb1_supporters[Supporter_ID ],tb1_supporters[Segment],"")</f>
        <v>Legacy Pledger</v>
      </c>
      <c r="K887" t="str">
        <f>_xlfn.XLOOKUP(Table8[[#This Row],[Supporter_ID]],tb1_supporters[Supporter_ID ],tb1_supporters[Acquisition_Source],"")</f>
        <v>Referral</v>
      </c>
      <c r="L887" t="str">
        <f>_xlfn.XLOOKUP(Table8[[#This Row],[Supporter_ID]],tb1_supporters[Supporter_ID ],tb1_supporters[County],"")</f>
        <v>Surrey</v>
      </c>
      <c r="M887" t="str">
        <f>_xlfn.XLOOKUP(Table8[[#This Row],[Supporter_ID]],tb1_supporters[Supporter_ID ],tb1_supporters[Gender],"")</f>
        <v>Male</v>
      </c>
      <c r="N887">
        <f ca="1">_xlfn.XLOOKUP(Table8[[#This Row],[Supporter_ID]],tb1_supporters[Supporter_ID ],tb1_supporters[Age],"")</f>
        <v>43</v>
      </c>
      <c r="O887" t="str">
        <f ca="1">_xlfn.XLOOKUP(Table8[[#This Row],[Supporter_ID]],tb1_supporters[Supporter_ID ],tb1_supporters[Age_Band],"")</f>
        <v>35-49</v>
      </c>
      <c r="P887" t="str">
        <f ca="1">IF(Table8[[#This Row],[Age_Band]]="","Unknown",Table8[[#This Row],[Age_Band]])</f>
        <v>35-49</v>
      </c>
      <c r="Q887" t="str">
        <f>_xlfn.XLOOKUP(Table8[[#This Row],[Supporter_ID]],tb1_supporters[Supporter_ID ],tb1_supporters[Communication_Preference],"")</f>
        <v>Post</v>
      </c>
      <c r="R887" t="str">
        <f>_xlfn.XLOOKUP(Table8[[#This Row],[Supporter_ID]],tb1_supporters[Supporter_ID ],tb1_supporters[Duplicate_Profile_Flag],"")</f>
        <v/>
      </c>
      <c r="S887" t="str">
        <f>_xlfn.XLOOKUP(Table8[[#This Row],[Supporter_ID]],tb1_supporters[Supporter_ID ],tb1_supporters[Preference_Compliance_Flag],"")</f>
        <v/>
      </c>
      <c r="T887" t="str">
        <f ca="1">IF(Table8[[#This Row],[Age]]="","Review - missing DOB",IF(Table8[[#This Row],[Age]]&gt;TODAY(),"Review - future DOB",IF(Table8[[#This Row],[Age]]=0,"Review -  potential entry error (age 0)","")))</f>
        <v/>
      </c>
      <c r="U887" t="str">
        <f>_xlfn.XLOOKUP(Table8[[#This Row],[Campaign_Code]],tb3_CampaignMaster[Campaign_Code],tb3_CampaignMaster[Campaign_Type],"")</f>
        <v>Raffle</v>
      </c>
      <c r="V887" t="str">
        <f>_xlfn.XLOOKUP(Table8[[#This Row],[Campaign_Code]],tb3_CampaignMaster[Campaign_Code],tb3_CampaignMaster[Target_Audience],"")</f>
        <v>Regular Givers</v>
      </c>
      <c r="W887" s="17">
        <f>_xlfn.XLOOKUP(Table8[[#This Row],[Campaign_Code]],tb3_CampaignMaster[Campaign_Code],tb3_CampaignMaster[Start_Date],"")</f>
        <v>45717</v>
      </c>
      <c r="X887" s="17">
        <f>_xlfn.XLOOKUP(Table8[[#This Row],[Campaign_Code]],tb3_CampaignMaster[Campaign_Code],tb3_CampaignMaster[End_Date],"")</f>
        <v>45777</v>
      </c>
      <c r="Y887">
        <f>_xlfn.XLOOKUP(Table8[[#This Row],[Campaign_Code]],tb3_CampaignMaster[Campaign_Code],tb3_CampaignMaster[Budget_GBP],"")</f>
        <v>8000</v>
      </c>
      <c r="Z887" t="str">
        <f>_xlfn.XLOOKUP(Table8[[#This Row],[Campaign_Code]],tb3_CampaignMaster[Campaign_Code],tb3_CampaignMaster[Primary_Channel],"")</f>
        <v>Direct Mail</v>
      </c>
      <c r="AA887" s="13">
        <f>IF(Table8[[#This Row],[Gift_Aid_Eligible]]="Yes",Table8[[#This Row],[Gift_Amount]]*1.25,Table8[[#This Row],[Gift_Amount]])</f>
        <v>219.18</v>
      </c>
      <c r="AB887" t="str">
        <f>IF(Table8[[#This Row],[Supporter_ID]]="","Review - missing supporter ID","")</f>
        <v/>
      </c>
      <c r="AC887" t="str">
        <f>IF(OR(Table8[[#This Row],[Response_Date]]&lt;Table8[[#This Row],[Start_Date]],Table8[[#This Row],[Response_Date]]&gt;Table8[[#This Row],[End_Date]]),"Review - response outside campaign dates","")</f>
        <v/>
      </c>
      <c r="AD887" t="str">
        <f>IF(Table8[[#This Row],[Campaign_Type]]="","Review - campaign code not found","")</f>
        <v/>
      </c>
    </row>
    <row r="888" spans="1:30" x14ac:dyDescent="0.25">
      <c r="A888" t="s">
        <v>4795</v>
      </c>
      <c r="B888" t="s">
        <v>1476</v>
      </c>
      <c r="C888" t="s">
        <v>3325</v>
      </c>
      <c r="D888" t="s">
        <v>3326</v>
      </c>
      <c r="E888" t="s">
        <v>3316</v>
      </c>
      <c r="F888" s="17">
        <v>45615</v>
      </c>
      <c r="G888">
        <v>10.91</v>
      </c>
      <c r="H888" t="s">
        <v>36</v>
      </c>
      <c r="I888" t="s">
        <v>3365</v>
      </c>
      <c r="J888" t="str">
        <f>_xlfn.XLOOKUP(Table8[[#This Row],[Supporter_ID]],tb1_supporters[Supporter_ID ],tb1_supporters[Segment],"")</f>
        <v>Prospect</v>
      </c>
      <c r="K888" t="str">
        <f>_xlfn.XLOOKUP(Table8[[#This Row],[Supporter_ID]],tb1_supporters[Supporter_ID ],tb1_supporters[Acquisition_Source],"")</f>
        <v>Referral</v>
      </c>
      <c r="L888" t="str">
        <f>_xlfn.XLOOKUP(Table8[[#This Row],[Supporter_ID]],tb1_supporters[Supporter_ID ],tb1_supporters[County],"")</f>
        <v>Angus</v>
      </c>
      <c r="M888" t="str">
        <f>_xlfn.XLOOKUP(Table8[[#This Row],[Supporter_ID]],tb1_supporters[Supporter_ID ],tb1_supporters[Gender],"")</f>
        <v>Female</v>
      </c>
      <c r="N888" t="str">
        <f ca="1">_xlfn.XLOOKUP(Table8[[#This Row],[Supporter_ID]],tb1_supporters[Supporter_ID ],tb1_supporters[Age],"")</f>
        <v/>
      </c>
      <c r="O888" t="str">
        <f ca="1">_xlfn.XLOOKUP(Table8[[#This Row],[Supporter_ID]],tb1_supporters[Supporter_ID ],tb1_supporters[Age_Band],"")</f>
        <v/>
      </c>
      <c r="P888" t="str">
        <f ca="1">IF(Table8[[#This Row],[Age_Band]]="","Unknown",Table8[[#This Row],[Age_Band]])</f>
        <v>Unknown</v>
      </c>
      <c r="Q888" t="str">
        <f>_xlfn.XLOOKUP(Table8[[#This Row],[Supporter_ID]],tb1_supporters[Supporter_ID ],tb1_supporters[Communication_Preference],"")</f>
        <v>No Preference</v>
      </c>
      <c r="R888" t="str">
        <f>_xlfn.XLOOKUP(Table8[[#This Row],[Supporter_ID]],tb1_supporters[Supporter_ID ],tb1_supporters[Duplicate_Profile_Flag],"")</f>
        <v/>
      </c>
      <c r="S888" t="str">
        <f>_xlfn.XLOOKUP(Table8[[#This Row],[Supporter_ID]],tb1_supporters[Supporter_ID ],tb1_supporters[Preference_Compliance_Flag],"")</f>
        <v/>
      </c>
      <c r="T888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888" t="str">
        <f>_xlfn.XLOOKUP(Table8[[#This Row],[Campaign_Code]],tb3_CampaignMaster[Campaign_Code],tb3_CampaignMaster[Campaign_Type],"")</f>
        <v>Appeal</v>
      </c>
      <c r="V888" t="str">
        <f>_xlfn.XLOOKUP(Table8[[#This Row],[Campaign_Code]],tb3_CampaignMaster[Campaign_Code],tb3_CampaignMaster[Target_Audience],"")</f>
        <v>All Active</v>
      </c>
      <c r="W888" s="17">
        <f>_xlfn.XLOOKUP(Table8[[#This Row],[Campaign_Code]],tb3_CampaignMaster[Campaign_Code],tb3_CampaignMaster[Start_Date],"")</f>
        <v>45597</v>
      </c>
      <c r="X888" s="17">
        <f>_xlfn.XLOOKUP(Table8[[#This Row],[Campaign_Code]],tb3_CampaignMaster[Campaign_Code],tb3_CampaignMaster[End_Date],"")</f>
        <v>45657</v>
      </c>
      <c r="Y888">
        <f>_xlfn.XLOOKUP(Table8[[#This Row],[Campaign_Code]],tb3_CampaignMaster[Campaign_Code],tb3_CampaignMaster[Budget_GBP],"")</f>
        <v>25000</v>
      </c>
      <c r="Z888" t="str">
        <f>_xlfn.XLOOKUP(Table8[[#This Row],[Campaign_Code]],tb3_CampaignMaster[Campaign_Code],tb3_CampaignMaster[Primary_Channel],"")</f>
        <v>Multi-channel</v>
      </c>
      <c r="AA888" s="13">
        <f>IF(Table8[[#This Row],[Gift_Aid_Eligible]]="Yes",Table8[[#This Row],[Gift_Amount]]*1.25,Table8[[#This Row],[Gift_Amount]])</f>
        <v>13.637499999999999</v>
      </c>
      <c r="AB888" t="str">
        <f>IF(Table8[[#This Row],[Supporter_ID]]="","Review - missing supporter ID","")</f>
        <v/>
      </c>
      <c r="AC888" t="str">
        <f>IF(OR(Table8[[#This Row],[Response_Date]]&lt;Table8[[#This Row],[Start_Date]],Table8[[#This Row],[Response_Date]]&gt;Table8[[#This Row],[End_Date]]),"Review - response outside campaign dates","")</f>
        <v/>
      </c>
      <c r="AD888" t="str">
        <f>IF(Table8[[#This Row],[Campaign_Type]]="","Review - campaign code not found","")</f>
        <v/>
      </c>
    </row>
    <row r="889" spans="1:30" x14ac:dyDescent="0.25">
      <c r="A889" t="s">
        <v>4797</v>
      </c>
      <c r="B889" t="s">
        <v>876</v>
      </c>
      <c r="C889" t="s">
        <v>3320</v>
      </c>
      <c r="D889" t="s">
        <v>3321</v>
      </c>
      <c r="E889" t="s">
        <v>4</v>
      </c>
      <c r="F889" s="17">
        <v>45469</v>
      </c>
      <c r="G889">
        <v>1891.98</v>
      </c>
      <c r="H889" t="s">
        <v>37</v>
      </c>
      <c r="I889" t="s">
        <v>3385</v>
      </c>
      <c r="J889" t="str">
        <f>_xlfn.XLOOKUP(Table8[[#This Row],[Supporter_ID]],tb1_supporters[Supporter_ID ],tb1_supporters[Segment],"")</f>
        <v>Major Donor</v>
      </c>
      <c r="K889" t="str">
        <f>_xlfn.XLOOKUP(Table8[[#This Row],[Supporter_ID]],tb1_supporters[Supporter_ID ],tb1_supporters[Acquisition_Source],"")</f>
        <v>Website</v>
      </c>
      <c r="L889" t="str">
        <f>_xlfn.XLOOKUP(Table8[[#This Row],[Supporter_ID]],tb1_supporters[Supporter_ID ],tb1_supporters[County],"")</f>
        <v>Norfolk</v>
      </c>
      <c r="M889" t="str">
        <f>_xlfn.XLOOKUP(Table8[[#This Row],[Supporter_ID]],tb1_supporters[Supporter_ID ],tb1_supporters[Gender],"")</f>
        <v>Female</v>
      </c>
      <c r="N889">
        <f ca="1">_xlfn.XLOOKUP(Table8[[#This Row],[Supporter_ID]],tb1_supporters[Supporter_ID ],tb1_supporters[Age],"")</f>
        <v>64</v>
      </c>
      <c r="O889" t="str">
        <f ca="1">_xlfn.XLOOKUP(Table8[[#This Row],[Supporter_ID]],tb1_supporters[Supporter_ID ],tb1_supporters[Age_Band],"")</f>
        <v>50-64</v>
      </c>
      <c r="P889" t="str">
        <f ca="1">IF(Table8[[#This Row],[Age_Band]]="","Unknown",Table8[[#This Row],[Age_Band]])</f>
        <v>50-64</v>
      </c>
      <c r="Q889" t="str">
        <f>_xlfn.XLOOKUP(Table8[[#This Row],[Supporter_ID]],tb1_supporters[Supporter_ID ],tb1_supporters[Communication_Preference],"")</f>
        <v>Email</v>
      </c>
      <c r="R889" t="str">
        <f>_xlfn.XLOOKUP(Table8[[#This Row],[Supporter_ID]],tb1_supporters[Supporter_ID ],tb1_supporters[Duplicate_Profile_Flag],"")</f>
        <v/>
      </c>
      <c r="S889" t="str">
        <f>_xlfn.XLOOKUP(Table8[[#This Row],[Supporter_ID]],tb1_supporters[Supporter_ID ],tb1_supporters[Preference_Compliance_Flag],"")</f>
        <v/>
      </c>
      <c r="T889" t="str">
        <f ca="1">IF(Table8[[#This Row],[Age]]="","Review - missing DOB",IF(Table8[[#This Row],[Age]]&gt;TODAY(),"Review - future DOB",IF(Table8[[#This Row],[Age]]=0,"Review -  potential entry error (age 0)","")))</f>
        <v/>
      </c>
      <c r="U889" t="str">
        <f>_xlfn.XLOOKUP(Table8[[#This Row],[Campaign_Code]],tb3_CampaignMaster[Campaign_Code],tb3_CampaignMaster[Campaign_Type],"")</f>
        <v>Stewardship</v>
      </c>
      <c r="V889" t="str">
        <f>_xlfn.XLOOKUP(Table8[[#This Row],[Campaign_Code]],tb3_CampaignMaster[Campaign_Code],tb3_CampaignMaster[Target_Audience],"")</f>
        <v>Major Donors</v>
      </c>
      <c r="W889" s="17">
        <f>_xlfn.XLOOKUP(Table8[[#This Row],[Campaign_Code]],tb3_CampaignMaster[Campaign_Code],tb3_CampaignMaster[Start_Date],"")</f>
        <v>45444</v>
      </c>
      <c r="X889" s="17">
        <f>_xlfn.XLOOKUP(Table8[[#This Row],[Campaign_Code]],tb3_CampaignMaster[Campaign_Code],tb3_CampaignMaster[End_Date],"")</f>
        <v>45473</v>
      </c>
      <c r="Y889">
        <f>_xlfn.XLOOKUP(Table8[[#This Row],[Campaign_Code]],tb3_CampaignMaster[Campaign_Code],tb3_CampaignMaster[Budget_GBP],"")</f>
        <v>7000</v>
      </c>
      <c r="Z889" t="str">
        <f>_xlfn.XLOOKUP(Table8[[#This Row],[Campaign_Code]],tb3_CampaignMaster[Campaign_Code],tb3_CampaignMaster[Primary_Channel],"")</f>
        <v>Direct Mail</v>
      </c>
      <c r="AA889" s="13">
        <f>IF(Table8[[#This Row],[Gift_Aid_Eligible]]="Yes",Table8[[#This Row],[Gift_Amount]]*1.25,Table8[[#This Row],[Gift_Amount]])</f>
        <v>1891.98</v>
      </c>
      <c r="AB889" t="str">
        <f>IF(Table8[[#This Row],[Supporter_ID]]="","Review - missing supporter ID","")</f>
        <v/>
      </c>
      <c r="AC889" t="str">
        <f>IF(OR(Table8[[#This Row],[Response_Date]]&lt;Table8[[#This Row],[Start_Date]],Table8[[#This Row],[Response_Date]]&gt;Table8[[#This Row],[End_Date]]),"Review - response outside campaign dates","")</f>
        <v/>
      </c>
      <c r="AD889" t="str">
        <f>IF(Table8[[#This Row],[Campaign_Type]]="","Review - campaign code not found","")</f>
        <v/>
      </c>
    </row>
    <row r="890" spans="1:30" x14ac:dyDescent="0.25">
      <c r="A890" t="s">
        <v>4799</v>
      </c>
      <c r="B890" t="s">
        <v>1219</v>
      </c>
      <c r="C890" t="s">
        <v>3320</v>
      </c>
      <c r="D890" t="s">
        <v>3321</v>
      </c>
      <c r="E890" t="s">
        <v>4</v>
      </c>
      <c r="F890" s="17">
        <v>45457</v>
      </c>
      <c r="G890">
        <v>43.74</v>
      </c>
      <c r="H890" t="s">
        <v>36</v>
      </c>
      <c r="I890" t="s">
        <v>3318</v>
      </c>
      <c r="J890" t="str">
        <f>_xlfn.XLOOKUP(Table8[[#This Row],[Supporter_ID]],tb1_supporters[Supporter_ID ],tb1_supporters[Segment],"")</f>
        <v>Lapsed</v>
      </c>
      <c r="K890" t="str">
        <f>_xlfn.XLOOKUP(Table8[[#This Row],[Supporter_ID]],tb1_supporters[Supporter_ID ],tb1_supporters[Acquisition_Source],"")</f>
        <v>Telephone</v>
      </c>
      <c r="L890" t="str">
        <f>_xlfn.XLOOKUP(Table8[[#This Row],[Supporter_ID]],tb1_supporters[Supporter_ID ],tb1_supporters[County],"")</f>
        <v>West Midlands</v>
      </c>
      <c r="M890" t="str">
        <f>_xlfn.XLOOKUP(Table8[[#This Row],[Supporter_ID]],tb1_supporters[Supporter_ID ],tb1_supporters[Gender],"")</f>
        <v>Male</v>
      </c>
      <c r="N890">
        <f ca="1">_xlfn.XLOOKUP(Table8[[#This Row],[Supporter_ID]],tb1_supporters[Supporter_ID ],tb1_supporters[Age],"")</f>
        <v>48</v>
      </c>
      <c r="O890" t="str">
        <f ca="1">_xlfn.XLOOKUP(Table8[[#This Row],[Supporter_ID]],tb1_supporters[Supporter_ID ],tb1_supporters[Age_Band],"")</f>
        <v>35-49</v>
      </c>
      <c r="P890" t="str">
        <f ca="1">IF(Table8[[#This Row],[Age_Band]]="","Unknown",Table8[[#This Row],[Age_Band]])</f>
        <v>35-49</v>
      </c>
      <c r="Q890" t="str">
        <f>_xlfn.XLOOKUP(Table8[[#This Row],[Supporter_ID]],tb1_supporters[Supporter_ID ],tb1_supporters[Communication_Preference],"")</f>
        <v>Post</v>
      </c>
      <c r="R890" t="str">
        <f>_xlfn.XLOOKUP(Table8[[#This Row],[Supporter_ID]],tb1_supporters[Supporter_ID ],tb1_supporters[Duplicate_Profile_Flag],"")</f>
        <v/>
      </c>
      <c r="S890" t="str">
        <f>_xlfn.XLOOKUP(Table8[[#This Row],[Supporter_ID]],tb1_supporters[Supporter_ID ],tb1_supporters[Preference_Compliance_Flag],"")</f>
        <v/>
      </c>
      <c r="T890" t="str">
        <f ca="1">IF(Table8[[#This Row],[Age]]="","Review - missing DOB",IF(Table8[[#This Row],[Age]]&gt;TODAY(),"Review - future DOB",IF(Table8[[#This Row],[Age]]=0,"Review -  potential entry error (age 0)","")))</f>
        <v/>
      </c>
      <c r="U890" t="str">
        <f>_xlfn.XLOOKUP(Table8[[#This Row],[Campaign_Code]],tb3_CampaignMaster[Campaign_Code],tb3_CampaignMaster[Campaign_Type],"")</f>
        <v>Stewardship</v>
      </c>
      <c r="V890" t="str">
        <f>_xlfn.XLOOKUP(Table8[[#This Row],[Campaign_Code]],tb3_CampaignMaster[Campaign_Code],tb3_CampaignMaster[Target_Audience],"")</f>
        <v>Major Donors</v>
      </c>
      <c r="W890" s="17">
        <f>_xlfn.XLOOKUP(Table8[[#This Row],[Campaign_Code]],tb3_CampaignMaster[Campaign_Code],tb3_CampaignMaster[Start_Date],"")</f>
        <v>45444</v>
      </c>
      <c r="X890" s="17">
        <f>_xlfn.XLOOKUP(Table8[[#This Row],[Campaign_Code]],tb3_CampaignMaster[Campaign_Code],tb3_CampaignMaster[End_Date],"")</f>
        <v>45473</v>
      </c>
      <c r="Y890">
        <f>_xlfn.XLOOKUP(Table8[[#This Row],[Campaign_Code]],tb3_CampaignMaster[Campaign_Code],tb3_CampaignMaster[Budget_GBP],"")</f>
        <v>7000</v>
      </c>
      <c r="Z890" t="str">
        <f>_xlfn.XLOOKUP(Table8[[#This Row],[Campaign_Code]],tb3_CampaignMaster[Campaign_Code],tb3_CampaignMaster[Primary_Channel],"")</f>
        <v>Direct Mail</v>
      </c>
      <c r="AA890" s="13">
        <f>IF(Table8[[#This Row],[Gift_Aid_Eligible]]="Yes",Table8[[#This Row],[Gift_Amount]]*1.25,Table8[[#This Row],[Gift_Amount]])</f>
        <v>54.675000000000004</v>
      </c>
      <c r="AB890" t="str">
        <f>IF(Table8[[#This Row],[Supporter_ID]]="","Review - missing supporter ID","")</f>
        <v/>
      </c>
      <c r="AC890" t="str">
        <f>IF(OR(Table8[[#This Row],[Response_Date]]&lt;Table8[[#This Row],[Start_Date]],Table8[[#This Row],[Response_Date]]&gt;Table8[[#This Row],[End_Date]]),"Review - response outside campaign dates","")</f>
        <v/>
      </c>
      <c r="AD890" t="str">
        <f>IF(Table8[[#This Row],[Campaign_Type]]="","Review - campaign code not found","")</f>
        <v/>
      </c>
    </row>
    <row r="891" spans="1:30" x14ac:dyDescent="0.25">
      <c r="A891" t="s">
        <v>4800</v>
      </c>
      <c r="B891" t="s">
        <v>703</v>
      </c>
      <c r="C891" t="s">
        <v>3367</v>
      </c>
      <c r="D891" t="s">
        <v>3368</v>
      </c>
      <c r="E891" t="s">
        <v>65</v>
      </c>
      <c r="F891" s="17">
        <v>45873</v>
      </c>
      <c r="G891">
        <v>80.209999999999994</v>
      </c>
      <c r="H891" t="s">
        <v>36</v>
      </c>
      <c r="I891" t="s">
        <v>3334</v>
      </c>
      <c r="J891" t="str">
        <f>_xlfn.XLOOKUP(Table8[[#This Row],[Supporter_ID]],tb1_supporters[Supporter_ID ],tb1_supporters[Segment],"")</f>
        <v>Legacy Pledger</v>
      </c>
      <c r="K891" t="str">
        <f>_xlfn.XLOOKUP(Table8[[#This Row],[Supporter_ID]],tb1_supporters[Supporter_ID ],tb1_supporters[Acquisition_Source],"")</f>
        <v>Event</v>
      </c>
      <c r="L891" t="str">
        <f>_xlfn.XLOOKUP(Table8[[#This Row],[Supporter_ID]],tb1_supporters[Supporter_ID ],tb1_supporters[County],"")</f>
        <v>Kent</v>
      </c>
      <c r="M891" t="str">
        <f>_xlfn.XLOOKUP(Table8[[#This Row],[Supporter_ID]],tb1_supporters[Supporter_ID ],tb1_supporters[Gender],"")</f>
        <v>Female</v>
      </c>
      <c r="N891">
        <f ca="1">_xlfn.XLOOKUP(Table8[[#This Row],[Supporter_ID]],tb1_supporters[Supporter_ID ],tb1_supporters[Age],"")</f>
        <v>62</v>
      </c>
      <c r="O891" t="str">
        <f ca="1">_xlfn.XLOOKUP(Table8[[#This Row],[Supporter_ID]],tb1_supporters[Supporter_ID ],tb1_supporters[Age_Band],"")</f>
        <v>50-64</v>
      </c>
      <c r="P891" t="str">
        <f ca="1">IF(Table8[[#This Row],[Age_Band]]="","Unknown",Table8[[#This Row],[Age_Band]])</f>
        <v>50-64</v>
      </c>
      <c r="Q891" t="str">
        <f>_xlfn.XLOOKUP(Table8[[#This Row],[Supporter_ID]],tb1_supporters[Supporter_ID ],tb1_supporters[Communication_Preference],"")</f>
        <v>Email</v>
      </c>
      <c r="R891" t="str">
        <f>_xlfn.XLOOKUP(Table8[[#This Row],[Supporter_ID]],tb1_supporters[Supporter_ID ],tb1_supporters[Duplicate_Profile_Flag],"")</f>
        <v/>
      </c>
      <c r="S891" t="str">
        <f>_xlfn.XLOOKUP(Table8[[#This Row],[Supporter_ID]],tb1_supporters[Supporter_ID ],tb1_supporters[Preference_Compliance_Flag],"")</f>
        <v>Review - prefers email but not opted in</v>
      </c>
      <c r="T891" t="str">
        <f ca="1">IF(Table8[[#This Row],[Age]]="","Review - missing DOB",IF(Table8[[#This Row],[Age]]&gt;TODAY(),"Review - future DOB",IF(Table8[[#This Row],[Age]]=0,"Review -  potential entry error (age 0)","")))</f>
        <v/>
      </c>
      <c r="U891" t="str">
        <f>_xlfn.XLOOKUP(Table8[[#This Row],[Campaign_Code]],tb3_CampaignMaster[Campaign_Code],tb3_CampaignMaster[Campaign_Type],"")</f>
        <v>Raffle</v>
      </c>
      <c r="V891" t="str">
        <f>_xlfn.XLOOKUP(Table8[[#This Row],[Campaign_Code]],tb3_CampaignMaster[Campaign_Code],tb3_CampaignMaster[Target_Audience],"")</f>
        <v>Regular Givers</v>
      </c>
      <c r="W891" s="17">
        <f>_xlfn.XLOOKUP(Table8[[#This Row],[Campaign_Code]],tb3_CampaignMaster[Campaign_Code],tb3_CampaignMaster[Start_Date],"")</f>
        <v>45717</v>
      </c>
      <c r="X891" s="17">
        <f>_xlfn.XLOOKUP(Table8[[#This Row],[Campaign_Code]],tb3_CampaignMaster[Campaign_Code],tb3_CampaignMaster[End_Date],"")</f>
        <v>45777</v>
      </c>
      <c r="Y891">
        <f>_xlfn.XLOOKUP(Table8[[#This Row],[Campaign_Code]],tb3_CampaignMaster[Campaign_Code],tb3_CampaignMaster[Budget_GBP],"")</f>
        <v>8000</v>
      </c>
      <c r="Z891" t="str">
        <f>_xlfn.XLOOKUP(Table8[[#This Row],[Campaign_Code]],tb3_CampaignMaster[Campaign_Code],tb3_CampaignMaster[Primary_Channel],"")</f>
        <v>Direct Mail</v>
      </c>
      <c r="AA891" s="13">
        <f>IF(Table8[[#This Row],[Gift_Aid_Eligible]]="Yes",Table8[[#This Row],[Gift_Amount]]*1.25,Table8[[#This Row],[Gift_Amount]])</f>
        <v>100.26249999999999</v>
      </c>
      <c r="AB891" t="str">
        <f>IF(Table8[[#This Row],[Supporter_ID]]="","Review - missing supporter ID","")</f>
        <v/>
      </c>
      <c r="AC891" t="str">
        <f>IF(OR(Table8[[#This Row],[Response_Date]]&lt;Table8[[#This Row],[Start_Date]],Table8[[#This Row],[Response_Date]]&gt;Table8[[#This Row],[End_Date]]),"Review - response outside campaign dates","")</f>
        <v>Review - response outside campaign dates</v>
      </c>
      <c r="AD891" t="str">
        <f>IF(Table8[[#This Row],[Campaign_Type]]="","Review - campaign code not found","")</f>
        <v/>
      </c>
    </row>
    <row r="892" spans="1:30" x14ac:dyDescent="0.25">
      <c r="A892" t="s">
        <v>4802</v>
      </c>
      <c r="B892" t="s">
        <v>2309</v>
      </c>
      <c r="C892" t="s">
        <v>3314</v>
      </c>
      <c r="D892" t="s">
        <v>3315</v>
      </c>
      <c r="E892" t="s">
        <v>65</v>
      </c>
      <c r="F892" s="17">
        <v>45723</v>
      </c>
      <c r="G892">
        <v>93.12</v>
      </c>
      <c r="H892" t="s">
        <v>36</v>
      </c>
      <c r="I892" t="s">
        <v>3385</v>
      </c>
      <c r="J892" t="str">
        <f>_xlfn.XLOOKUP(Table8[[#This Row],[Supporter_ID]],tb1_supporters[Supporter_ID ],tb1_supporters[Segment],"")</f>
        <v>Lapsed</v>
      </c>
      <c r="K892" t="str">
        <f>_xlfn.XLOOKUP(Table8[[#This Row],[Supporter_ID]],tb1_supporters[Supporter_ID ],tb1_supporters[Acquisition_Source],"")</f>
        <v>Social Media</v>
      </c>
      <c r="L892" t="str">
        <f>_xlfn.XLOOKUP(Table8[[#This Row],[Supporter_ID]],tb1_supporters[Supporter_ID ],tb1_supporters[County],"")</f>
        <v>Oxfordshire</v>
      </c>
      <c r="M892" t="str">
        <f>_xlfn.XLOOKUP(Table8[[#This Row],[Supporter_ID]],tb1_supporters[Supporter_ID ],tb1_supporters[Gender],"")</f>
        <v>Male</v>
      </c>
      <c r="N892">
        <f ca="1">_xlfn.XLOOKUP(Table8[[#This Row],[Supporter_ID]],tb1_supporters[Supporter_ID ],tb1_supporters[Age],"")</f>
        <v>64</v>
      </c>
      <c r="O892" t="str">
        <f ca="1">_xlfn.XLOOKUP(Table8[[#This Row],[Supporter_ID]],tb1_supporters[Supporter_ID ],tb1_supporters[Age_Band],"")</f>
        <v>50-64</v>
      </c>
      <c r="P892" t="str">
        <f ca="1">IF(Table8[[#This Row],[Age_Band]]="","Unknown",Table8[[#This Row],[Age_Band]])</f>
        <v>50-64</v>
      </c>
      <c r="Q892" t="str">
        <f>_xlfn.XLOOKUP(Table8[[#This Row],[Supporter_ID]],tb1_supporters[Supporter_ID ],tb1_supporters[Communication_Preference],"")</f>
        <v>Post</v>
      </c>
      <c r="R892" t="str">
        <f>_xlfn.XLOOKUP(Table8[[#This Row],[Supporter_ID]],tb1_supporters[Supporter_ID ],tb1_supporters[Duplicate_Profile_Flag],"")</f>
        <v/>
      </c>
      <c r="S892" t="str">
        <f>_xlfn.XLOOKUP(Table8[[#This Row],[Supporter_ID]],tb1_supporters[Supporter_ID ],tb1_supporters[Preference_Compliance_Flag],"")</f>
        <v/>
      </c>
      <c r="T892" t="str">
        <f ca="1">IF(Table8[[#This Row],[Age]]="","Review - missing DOB",IF(Table8[[#This Row],[Age]]&gt;TODAY(),"Review - future DOB",IF(Table8[[#This Row],[Age]]=0,"Review -  potential entry error (age 0)","")))</f>
        <v/>
      </c>
      <c r="U892" t="str">
        <f>_xlfn.XLOOKUP(Table8[[#This Row],[Campaign_Code]],tb3_CampaignMaster[Campaign_Code],tb3_CampaignMaster[Campaign_Type],"")</f>
        <v>Regular Giving</v>
      </c>
      <c r="V892" t="str">
        <f>_xlfn.XLOOKUP(Table8[[#This Row],[Campaign_Code]],tb3_CampaignMaster[Campaign_Code],tb3_CampaignMaster[Target_Audience],"")</f>
        <v>One-time Donors</v>
      </c>
      <c r="W892" s="17">
        <f>_xlfn.XLOOKUP(Table8[[#This Row],[Campaign_Code]],tb3_CampaignMaster[Campaign_Code],tb3_CampaignMaster[Start_Date],"")</f>
        <v>45663</v>
      </c>
      <c r="X892" s="17">
        <f>_xlfn.XLOOKUP(Table8[[#This Row],[Campaign_Code]],tb3_CampaignMaster[Campaign_Code],tb3_CampaignMaster[End_Date],"")</f>
        <v>45747</v>
      </c>
      <c r="Y892">
        <f>_xlfn.XLOOKUP(Table8[[#This Row],[Campaign_Code]],tb3_CampaignMaster[Campaign_Code],tb3_CampaignMaster[Budget_GBP],"")</f>
        <v>10000</v>
      </c>
      <c r="Z892" t="str">
        <f>_xlfn.XLOOKUP(Table8[[#This Row],[Campaign_Code]],tb3_CampaignMaster[Campaign_Code],tb3_CampaignMaster[Primary_Channel],"")</f>
        <v>Telephone</v>
      </c>
      <c r="AA892" s="13">
        <f>IF(Table8[[#This Row],[Gift_Aid_Eligible]]="Yes",Table8[[#This Row],[Gift_Amount]]*1.25,Table8[[#This Row],[Gift_Amount]])</f>
        <v>116.4</v>
      </c>
      <c r="AB892" t="str">
        <f>IF(Table8[[#This Row],[Supporter_ID]]="","Review - missing supporter ID","")</f>
        <v/>
      </c>
      <c r="AC892" t="str">
        <f>IF(OR(Table8[[#This Row],[Response_Date]]&lt;Table8[[#This Row],[Start_Date]],Table8[[#This Row],[Response_Date]]&gt;Table8[[#This Row],[End_Date]]),"Review - response outside campaign dates","")</f>
        <v/>
      </c>
      <c r="AD892" t="str">
        <f>IF(Table8[[#This Row],[Campaign_Type]]="","Review - campaign code not found","")</f>
        <v/>
      </c>
    </row>
    <row r="893" spans="1:30" x14ac:dyDescent="0.25">
      <c r="A893" t="s">
        <v>4803</v>
      </c>
      <c r="B893" t="s">
        <v>1778</v>
      </c>
      <c r="C893" t="s">
        <v>3320</v>
      </c>
      <c r="D893" t="s">
        <v>3321</v>
      </c>
      <c r="E893" t="s">
        <v>65</v>
      </c>
      <c r="F893" s="17">
        <v>45449</v>
      </c>
      <c r="G893">
        <v>51.41</v>
      </c>
      <c r="H893" t="s">
        <v>36</v>
      </c>
      <c r="I893" t="s">
        <v>3334</v>
      </c>
      <c r="J893" t="str">
        <f>_xlfn.XLOOKUP(Table8[[#This Row],[Supporter_ID]],tb1_supporters[Supporter_ID ],tb1_supporters[Segment],"")</f>
        <v>One-Time Donor</v>
      </c>
      <c r="K893" t="str">
        <f>_xlfn.XLOOKUP(Table8[[#This Row],[Supporter_ID]],tb1_supporters[Supporter_ID ],tb1_supporters[Acquisition_Source],"")</f>
        <v>Direct Mail</v>
      </c>
      <c r="L893" t="str">
        <f>_xlfn.XLOOKUP(Table8[[#This Row],[Supporter_ID]],tb1_supporters[Supporter_ID ],tb1_supporters[County],"")</f>
        <v>Norfolk</v>
      </c>
      <c r="M893" t="str">
        <f>_xlfn.XLOOKUP(Table8[[#This Row],[Supporter_ID]],tb1_supporters[Supporter_ID ],tb1_supporters[Gender],"")</f>
        <v>Female</v>
      </c>
      <c r="N893">
        <f ca="1">_xlfn.XLOOKUP(Table8[[#This Row],[Supporter_ID]],tb1_supporters[Supporter_ID ],tb1_supporters[Age],"")</f>
        <v>75</v>
      </c>
      <c r="O893" t="str">
        <f ca="1">_xlfn.XLOOKUP(Table8[[#This Row],[Supporter_ID]],tb1_supporters[Supporter_ID ],tb1_supporters[Age_Band],"")</f>
        <v>65+</v>
      </c>
      <c r="P893" t="str">
        <f ca="1">IF(Table8[[#This Row],[Age_Band]]="","Unknown",Table8[[#This Row],[Age_Band]])</f>
        <v>65+</v>
      </c>
      <c r="Q893" t="str">
        <f>_xlfn.XLOOKUP(Table8[[#This Row],[Supporter_ID]],tb1_supporters[Supporter_ID ],tb1_supporters[Communication_Preference],"")</f>
        <v>No Preference</v>
      </c>
      <c r="R893" t="str">
        <f>_xlfn.XLOOKUP(Table8[[#This Row],[Supporter_ID]],tb1_supporters[Supporter_ID ],tb1_supporters[Duplicate_Profile_Flag],"")</f>
        <v/>
      </c>
      <c r="S893" t="str">
        <f>_xlfn.XLOOKUP(Table8[[#This Row],[Supporter_ID]],tb1_supporters[Supporter_ID ],tb1_supporters[Preference_Compliance_Flag],"")</f>
        <v/>
      </c>
      <c r="T893" t="str">
        <f ca="1">IF(Table8[[#This Row],[Age]]="","Review - missing DOB",IF(Table8[[#This Row],[Age]]&gt;TODAY(),"Review - future DOB",IF(Table8[[#This Row],[Age]]=0,"Review -  potential entry error (age 0)","")))</f>
        <v/>
      </c>
      <c r="U893" t="str">
        <f>_xlfn.XLOOKUP(Table8[[#This Row],[Campaign_Code]],tb3_CampaignMaster[Campaign_Code],tb3_CampaignMaster[Campaign_Type],"")</f>
        <v>Stewardship</v>
      </c>
      <c r="V893" t="str">
        <f>_xlfn.XLOOKUP(Table8[[#This Row],[Campaign_Code]],tb3_CampaignMaster[Campaign_Code],tb3_CampaignMaster[Target_Audience],"")</f>
        <v>Major Donors</v>
      </c>
      <c r="W893" s="17">
        <f>_xlfn.XLOOKUP(Table8[[#This Row],[Campaign_Code]],tb3_CampaignMaster[Campaign_Code],tb3_CampaignMaster[Start_Date],"")</f>
        <v>45444</v>
      </c>
      <c r="X893" s="17">
        <f>_xlfn.XLOOKUP(Table8[[#This Row],[Campaign_Code]],tb3_CampaignMaster[Campaign_Code],tb3_CampaignMaster[End_Date],"")</f>
        <v>45473</v>
      </c>
      <c r="Y893">
        <f>_xlfn.XLOOKUP(Table8[[#This Row],[Campaign_Code]],tb3_CampaignMaster[Campaign_Code],tb3_CampaignMaster[Budget_GBP],"")</f>
        <v>7000</v>
      </c>
      <c r="Z893" t="str">
        <f>_xlfn.XLOOKUP(Table8[[#This Row],[Campaign_Code]],tb3_CampaignMaster[Campaign_Code],tb3_CampaignMaster[Primary_Channel],"")</f>
        <v>Direct Mail</v>
      </c>
      <c r="AA893" s="13">
        <f>IF(Table8[[#This Row],[Gift_Aid_Eligible]]="Yes",Table8[[#This Row],[Gift_Amount]]*1.25,Table8[[#This Row],[Gift_Amount]])</f>
        <v>64.262499999999989</v>
      </c>
      <c r="AB893" t="str">
        <f>IF(Table8[[#This Row],[Supporter_ID]]="","Review - missing supporter ID","")</f>
        <v/>
      </c>
      <c r="AC893" t="str">
        <f>IF(OR(Table8[[#This Row],[Response_Date]]&lt;Table8[[#This Row],[Start_Date]],Table8[[#This Row],[Response_Date]]&gt;Table8[[#This Row],[End_Date]]),"Review - response outside campaign dates","")</f>
        <v/>
      </c>
      <c r="AD893" t="str">
        <f>IF(Table8[[#This Row],[Campaign_Type]]="","Review - campaign code not found","")</f>
        <v/>
      </c>
    </row>
    <row r="894" spans="1:30" x14ac:dyDescent="0.25">
      <c r="A894" t="s">
        <v>4804</v>
      </c>
      <c r="B894" t="s">
        <v>1226</v>
      </c>
      <c r="C894" t="s">
        <v>3367</v>
      </c>
      <c r="D894" t="s">
        <v>3368</v>
      </c>
      <c r="E894" t="s">
        <v>4</v>
      </c>
      <c r="F894" s="17">
        <v>45753</v>
      </c>
      <c r="G894">
        <v>31.87</v>
      </c>
      <c r="H894" t="s">
        <v>36</v>
      </c>
      <c r="I894" t="s">
        <v>3328</v>
      </c>
      <c r="J894" t="str">
        <f>_xlfn.XLOOKUP(Table8[[#This Row],[Supporter_ID]],tb1_supporters[Supporter_ID ],tb1_supporters[Segment],"")</f>
        <v>Regular Giver</v>
      </c>
      <c r="K894" t="str">
        <f>_xlfn.XLOOKUP(Table8[[#This Row],[Supporter_ID]],tb1_supporters[Supporter_ID ],tb1_supporters[Acquisition_Source],"")</f>
        <v>Direct Mail</v>
      </c>
      <c r="L894" t="str">
        <f>_xlfn.XLOOKUP(Table8[[#This Row],[Supporter_ID]],tb1_supporters[Supporter_ID ],tb1_supporters[County],"")</f>
        <v>North Yorkshire</v>
      </c>
      <c r="M894" t="str">
        <f>_xlfn.XLOOKUP(Table8[[#This Row],[Supporter_ID]],tb1_supporters[Supporter_ID ],tb1_supporters[Gender],"")</f>
        <v>Female</v>
      </c>
      <c r="N894">
        <f ca="1">_xlfn.XLOOKUP(Table8[[#This Row],[Supporter_ID]],tb1_supporters[Supporter_ID ],tb1_supporters[Age],"")</f>
        <v>85</v>
      </c>
      <c r="O894" t="str">
        <f ca="1">_xlfn.XLOOKUP(Table8[[#This Row],[Supporter_ID]],tb1_supporters[Supporter_ID ],tb1_supporters[Age_Band],"")</f>
        <v>65+</v>
      </c>
      <c r="P894" t="str">
        <f ca="1">IF(Table8[[#This Row],[Age_Band]]="","Unknown",Table8[[#This Row],[Age_Band]])</f>
        <v>65+</v>
      </c>
      <c r="Q894" t="str">
        <f>_xlfn.XLOOKUP(Table8[[#This Row],[Supporter_ID]],tb1_supporters[Supporter_ID ],tb1_supporters[Communication_Preference],"")</f>
        <v>Post</v>
      </c>
      <c r="R894" t="str">
        <f>_xlfn.XLOOKUP(Table8[[#This Row],[Supporter_ID]],tb1_supporters[Supporter_ID ],tb1_supporters[Duplicate_Profile_Flag],"")</f>
        <v/>
      </c>
      <c r="S894" t="str">
        <f>_xlfn.XLOOKUP(Table8[[#This Row],[Supporter_ID]],tb1_supporters[Supporter_ID ],tb1_supporters[Preference_Compliance_Flag],"")</f>
        <v/>
      </c>
      <c r="T894" t="str">
        <f ca="1">IF(Table8[[#This Row],[Age]]="","Review - missing DOB",IF(Table8[[#This Row],[Age]]&gt;TODAY(),"Review - future DOB",IF(Table8[[#This Row],[Age]]=0,"Review -  potential entry error (age 0)","")))</f>
        <v/>
      </c>
      <c r="U894" t="str">
        <f>_xlfn.XLOOKUP(Table8[[#This Row],[Campaign_Code]],tb3_CampaignMaster[Campaign_Code],tb3_CampaignMaster[Campaign_Type],"")</f>
        <v>Raffle</v>
      </c>
      <c r="V894" t="str">
        <f>_xlfn.XLOOKUP(Table8[[#This Row],[Campaign_Code]],tb3_CampaignMaster[Campaign_Code],tb3_CampaignMaster[Target_Audience],"")</f>
        <v>Regular Givers</v>
      </c>
      <c r="W894" s="17">
        <f>_xlfn.XLOOKUP(Table8[[#This Row],[Campaign_Code]],tb3_CampaignMaster[Campaign_Code],tb3_CampaignMaster[Start_Date],"")</f>
        <v>45717</v>
      </c>
      <c r="X894" s="17">
        <f>_xlfn.XLOOKUP(Table8[[#This Row],[Campaign_Code]],tb3_CampaignMaster[Campaign_Code],tb3_CampaignMaster[End_Date],"")</f>
        <v>45777</v>
      </c>
      <c r="Y894">
        <f>_xlfn.XLOOKUP(Table8[[#This Row],[Campaign_Code]],tb3_CampaignMaster[Campaign_Code],tb3_CampaignMaster[Budget_GBP],"")</f>
        <v>8000</v>
      </c>
      <c r="Z894" t="str">
        <f>_xlfn.XLOOKUP(Table8[[#This Row],[Campaign_Code]],tb3_CampaignMaster[Campaign_Code],tb3_CampaignMaster[Primary_Channel],"")</f>
        <v>Direct Mail</v>
      </c>
      <c r="AA894" s="13">
        <f>IF(Table8[[#This Row],[Gift_Aid_Eligible]]="Yes",Table8[[#This Row],[Gift_Amount]]*1.25,Table8[[#This Row],[Gift_Amount]])</f>
        <v>39.837499999999999</v>
      </c>
      <c r="AB894" t="str">
        <f>IF(Table8[[#This Row],[Supporter_ID]]="","Review - missing supporter ID","")</f>
        <v/>
      </c>
      <c r="AC894" t="str">
        <f>IF(OR(Table8[[#This Row],[Response_Date]]&lt;Table8[[#This Row],[Start_Date]],Table8[[#This Row],[Response_Date]]&gt;Table8[[#This Row],[End_Date]]),"Review - response outside campaign dates","")</f>
        <v/>
      </c>
      <c r="AD894" t="str">
        <f>IF(Table8[[#This Row],[Campaign_Type]]="","Review - campaign code not found","")</f>
        <v/>
      </c>
    </row>
    <row r="895" spans="1:30" x14ac:dyDescent="0.25">
      <c r="A895" t="s">
        <v>4806</v>
      </c>
      <c r="B895" t="s">
        <v>1511</v>
      </c>
      <c r="C895" t="s">
        <v>3341</v>
      </c>
      <c r="D895" t="s">
        <v>3342</v>
      </c>
      <c r="E895" t="s">
        <v>4</v>
      </c>
      <c r="F895" s="17">
        <v>45754</v>
      </c>
      <c r="G895">
        <v>36.799999999999997</v>
      </c>
      <c r="H895" t="s">
        <v>37</v>
      </c>
      <c r="I895" t="s">
        <v>3385</v>
      </c>
      <c r="J895" t="str">
        <f>_xlfn.XLOOKUP(Table8[[#This Row],[Supporter_ID]],tb1_supporters[Supporter_ID ],tb1_supporters[Segment],"")</f>
        <v>Mid-Value</v>
      </c>
      <c r="K895" t="str">
        <f>_xlfn.XLOOKUP(Table8[[#This Row],[Supporter_ID]],tb1_supporters[Supporter_ID ],tb1_supporters[Acquisition_Source],"")</f>
        <v>Referral</v>
      </c>
      <c r="L895" t="str">
        <f>_xlfn.XLOOKUP(Table8[[#This Row],[Supporter_ID]],tb1_supporters[Supporter_ID ],tb1_supporters[County],"")</f>
        <v>South Yorkshire</v>
      </c>
      <c r="M895" t="str">
        <f>_xlfn.XLOOKUP(Table8[[#This Row],[Supporter_ID]],tb1_supporters[Supporter_ID ],tb1_supporters[Gender],"")</f>
        <v>Female</v>
      </c>
      <c r="N895">
        <f ca="1">_xlfn.XLOOKUP(Table8[[#This Row],[Supporter_ID]],tb1_supporters[Supporter_ID ],tb1_supporters[Age],"")</f>
        <v>64</v>
      </c>
      <c r="O895" t="str">
        <f ca="1">_xlfn.XLOOKUP(Table8[[#This Row],[Supporter_ID]],tb1_supporters[Supporter_ID ],tb1_supporters[Age_Band],"")</f>
        <v>50-64</v>
      </c>
      <c r="P895" t="str">
        <f ca="1">IF(Table8[[#This Row],[Age_Band]]="","Unknown",Table8[[#This Row],[Age_Band]])</f>
        <v>50-64</v>
      </c>
      <c r="Q895" t="str">
        <f>_xlfn.XLOOKUP(Table8[[#This Row],[Supporter_ID]],tb1_supporters[Supporter_ID ],tb1_supporters[Communication_Preference],"")</f>
        <v>Email</v>
      </c>
      <c r="R895" t="str">
        <f>_xlfn.XLOOKUP(Table8[[#This Row],[Supporter_ID]],tb1_supporters[Supporter_ID ],tb1_supporters[Duplicate_Profile_Flag],"")</f>
        <v>Review - duplicate record, see Supporter_Duplicates tab</v>
      </c>
      <c r="S895" t="str">
        <f>_xlfn.XLOOKUP(Table8[[#This Row],[Supporter_ID]],tb1_supporters[Supporter_ID ],tb1_supporters[Preference_Compliance_Flag],"")</f>
        <v/>
      </c>
      <c r="T895" t="str">
        <f ca="1">IF(Table8[[#This Row],[Age]]="","Review - missing DOB",IF(Table8[[#This Row],[Age]]&gt;TODAY(),"Review - future DOB",IF(Table8[[#This Row],[Age]]=0,"Review -  potential entry error (age 0)","")))</f>
        <v/>
      </c>
      <c r="U895" t="str">
        <f>_xlfn.XLOOKUP(Table8[[#This Row],[Campaign_Code]],tb3_CampaignMaster[Campaign_Code],tb3_CampaignMaster[Campaign_Type],"")</f>
        <v>Acquisition</v>
      </c>
      <c r="V895" t="str">
        <f>_xlfn.XLOOKUP(Table8[[#This Row],[Campaign_Code]],tb3_CampaignMaster[Campaign_Code],tb3_CampaignMaster[Target_Audience],"")</f>
        <v>Prospects</v>
      </c>
      <c r="W895" s="17">
        <f>_xlfn.XLOOKUP(Table8[[#This Row],[Campaign_Code]],tb3_CampaignMaster[Campaign_Code],tb3_CampaignMaster[Start_Date],"")</f>
        <v>45689</v>
      </c>
      <c r="X895" s="17">
        <f>_xlfn.XLOOKUP(Table8[[#This Row],[Campaign_Code]],tb3_CampaignMaster[Campaign_Code],tb3_CampaignMaster[End_Date],"")</f>
        <v>45777</v>
      </c>
      <c r="Y895">
        <f>_xlfn.XLOOKUP(Table8[[#This Row],[Campaign_Code]],tb3_CampaignMaster[Campaign_Code],tb3_CampaignMaster[Budget_GBP],"")</f>
        <v>20000</v>
      </c>
      <c r="Z895" t="str">
        <f>_xlfn.XLOOKUP(Table8[[#This Row],[Campaign_Code]],tb3_CampaignMaster[Campaign_Code],tb3_CampaignMaster[Primary_Channel],"")</f>
        <v>Digital</v>
      </c>
      <c r="AA895" s="13">
        <f>IF(Table8[[#This Row],[Gift_Aid_Eligible]]="Yes",Table8[[#This Row],[Gift_Amount]]*1.25,Table8[[#This Row],[Gift_Amount]])</f>
        <v>36.799999999999997</v>
      </c>
      <c r="AB895" t="str">
        <f>IF(Table8[[#This Row],[Supporter_ID]]="","Review - missing supporter ID","")</f>
        <v/>
      </c>
      <c r="AC895" t="str">
        <f>IF(OR(Table8[[#This Row],[Response_Date]]&lt;Table8[[#This Row],[Start_Date]],Table8[[#This Row],[Response_Date]]&gt;Table8[[#This Row],[End_Date]]),"Review - response outside campaign dates","")</f>
        <v/>
      </c>
      <c r="AD895" t="str">
        <f>IF(Table8[[#This Row],[Campaign_Type]]="","Review - campaign code not found","")</f>
        <v/>
      </c>
    </row>
    <row r="896" spans="1:30" x14ac:dyDescent="0.25">
      <c r="A896" t="s">
        <v>4808</v>
      </c>
      <c r="B896" t="s">
        <v>3281</v>
      </c>
      <c r="C896" t="s">
        <v>3367</v>
      </c>
      <c r="D896" t="s">
        <v>3368</v>
      </c>
      <c r="E896" t="s">
        <v>65</v>
      </c>
      <c r="F896" s="17">
        <v>45747</v>
      </c>
      <c r="G896">
        <v>161.24</v>
      </c>
      <c r="H896" t="s">
        <v>36</v>
      </c>
      <c r="I896" t="s">
        <v>3365</v>
      </c>
      <c r="J896" t="str">
        <f>_xlfn.XLOOKUP(Table8[[#This Row],[Supporter_ID]],tb1_supporters[Supporter_ID ],tb1_supporters[Segment],"")</f>
        <v>Legacy Pledger</v>
      </c>
      <c r="K896" t="str">
        <f>_xlfn.XLOOKUP(Table8[[#This Row],[Supporter_ID]],tb1_supporters[Supporter_ID ],tb1_supporters[Acquisition_Source],"")</f>
        <v>Referral</v>
      </c>
      <c r="L896" t="str">
        <f>_xlfn.XLOOKUP(Table8[[#This Row],[Supporter_ID]],tb1_supporters[Supporter_ID ],tb1_supporters[County],"")</f>
        <v>Leicestershire</v>
      </c>
      <c r="M896" t="str">
        <f>_xlfn.XLOOKUP(Table8[[#This Row],[Supporter_ID]],tb1_supporters[Supporter_ID ],tb1_supporters[Gender],"")</f>
        <v>Female</v>
      </c>
      <c r="N896">
        <f ca="1">_xlfn.XLOOKUP(Table8[[#This Row],[Supporter_ID]],tb1_supporters[Supporter_ID ],tb1_supporters[Age],"")</f>
        <v>96</v>
      </c>
      <c r="O896" t="str">
        <f ca="1">_xlfn.XLOOKUP(Table8[[#This Row],[Supporter_ID]],tb1_supporters[Supporter_ID ],tb1_supporters[Age_Band],"")</f>
        <v>65+</v>
      </c>
      <c r="P896" t="str">
        <f ca="1">IF(Table8[[#This Row],[Age_Band]]="","Unknown",Table8[[#This Row],[Age_Band]])</f>
        <v>65+</v>
      </c>
      <c r="Q896" t="str">
        <f>_xlfn.XLOOKUP(Table8[[#This Row],[Supporter_ID]],tb1_supporters[Supporter_ID ],tb1_supporters[Communication_Preference],"")</f>
        <v>Post</v>
      </c>
      <c r="R896" t="str">
        <f>_xlfn.XLOOKUP(Table8[[#This Row],[Supporter_ID]],tb1_supporters[Supporter_ID ],tb1_supporters[Duplicate_Profile_Flag],"")</f>
        <v>Review - duplicate record, see Supporter_Duplicates tab</v>
      </c>
      <c r="S896" t="str">
        <f>_xlfn.XLOOKUP(Table8[[#This Row],[Supporter_ID]],tb1_supporters[Supporter_ID ],tb1_supporters[Preference_Compliance_Flag],"")</f>
        <v>Review - prefers post but not opted in</v>
      </c>
      <c r="T896" t="str">
        <f ca="1">IF(Table8[[#This Row],[Age]]="","Review - missing DOB",IF(Table8[[#This Row],[Age]]&gt;TODAY(),"Review - future DOB",IF(Table8[[#This Row],[Age]]=0,"Review -  potential entry error (age 0)","")))</f>
        <v/>
      </c>
      <c r="U896" t="str">
        <f>_xlfn.XLOOKUP(Table8[[#This Row],[Campaign_Code]],tb3_CampaignMaster[Campaign_Code],tb3_CampaignMaster[Campaign_Type],"")</f>
        <v>Raffle</v>
      </c>
      <c r="V896" t="str">
        <f>_xlfn.XLOOKUP(Table8[[#This Row],[Campaign_Code]],tb3_CampaignMaster[Campaign_Code],tb3_CampaignMaster[Target_Audience],"")</f>
        <v>Regular Givers</v>
      </c>
      <c r="W896" s="17">
        <f>_xlfn.XLOOKUP(Table8[[#This Row],[Campaign_Code]],tb3_CampaignMaster[Campaign_Code],tb3_CampaignMaster[Start_Date],"")</f>
        <v>45717</v>
      </c>
      <c r="X896" s="17">
        <f>_xlfn.XLOOKUP(Table8[[#This Row],[Campaign_Code]],tb3_CampaignMaster[Campaign_Code],tb3_CampaignMaster[End_Date],"")</f>
        <v>45777</v>
      </c>
      <c r="Y896">
        <f>_xlfn.XLOOKUP(Table8[[#This Row],[Campaign_Code]],tb3_CampaignMaster[Campaign_Code],tb3_CampaignMaster[Budget_GBP],"")</f>
        <v>8000</v>
      </c>
      <c r="Z896" t="str">
        <f>_xlfn.XLOOKUP(Table8[[#This Row],[Campaign_Code]],tb3_CampaignMaster[Campaign_Code],tb3_CampaignMaster[Primary_Channel],"")</f>
        <v>Direct Mail</v>
      </c>
      <c r="AA896" s="13">
        <f>IF(Table8[[#This Row],[Gift_Aid_Eligible]]="Yes",Table8[[#This Row],[Gift_Amount]]*1.25,Table8[[#This Row],[Gift_Amount]])</f>
        <v>201.55</v>
      </c>
      <c r="AB896" t="str">
        <f>IF(Table8[[#This Row],[Supporter_ID]]="","Review - missing supporter ID","")</f>
        <v/>
      </c>
      <c r="AC896" t="str">
        <f>IF(OR(Table8[[#This Row],[Response_Date]]&lt;Table8[[#This Row],[Start_Date]],Table8[[#This Row],[Response_Date]]&gt;Table8[[#This Row],[End_Date]]),"Review - response outside campaign dates","")</f>
        <v/>
      </c>
      <c r="AD896" t="str">
        <f>IF(Table8[[#This Row],[Campaign_Type]]="","Review - campaign code not found","")</f>
        <v/>
      </c>
    </row>
    <row r="897" spans="1:30" x14ac:dyDescent="0.25">
      <c r="A897" t="s">
        <v>4810</v>
      </c>
      <c r="B897" t="s">
        <v>1423</v>
      </c>
      <c r="C897" t="s">
        <v>3325</v>
      </c>
      <c r="D897" t="s">
        <v>3326</v>
      </c>
      <c r="E897" t="s">
        <v>65</v>
      </c>
      <c r="F897" s="17">
        <v>45650</v>
      </c>
      <c r="G897">
        <v>8.1300000000000008</v>
      </c>
      <c r="H897" t="s">
        <v>36</v>
      </c>
      <c r="I897" t="s">
        <v>3328</v>
      </c>
      <c r="J897" t="str">
        <f>_xlfn.XLOOKUP(Table8[[#This Row],[Supporter_ID]],tb1_supporters[Supporter_ID ],tb1_supporters[Segment],"")</f>
        <v>Regular Giver</v>
      </c>
      <c r="K897" t="str">
        <f>_xlfn.XLOOKUP(Table8[[#This Row],[Supporter_ID]],tb1_supporters[Supporter_ID ],tb1_supporters[Acquisition_Source],"")</f>
        <v>Direct Mail</v>
      </c>
      <c r="L897" t="str">
        <f>_xlfn.XLOOKUP(Table8[[#This Row],[Supporter_ID]],tb1_supporters[Supporter_ID ],tb1_supporters[County],"")</f>
        <v>West Yorkshire</v>
      </c>
      <c r="M897" t="str">
        <f>_xlfn.XLOOKUP(Table8[[#This Row],[Supporter_ID]],tb1_supporters[Supporter_ID ],tb1_supporters[Gender],"")</f>
        <v>Male</v>
      </c>
      <c r="N897" t="str">
        <f ca="1">_xlfn.XLOOKUP(Table8[[#This Row],[Supporter_ID]],tb1_supporters[Supporter_ID ],tb1_supporters[Age],"")</f>
        <v/>
      </c>
      <c r="O897" t="str">
        <f ca="1">_xlfn.XLOOKUP(Table8[[#This Row],[Supporter_ID]],tb1_supporters[Supporter_ID ],tb1_supporters[Age_Band],"")</f>
        <v/>
      </c>
      <c r="P897" t="str">
        <f ca="1">IF(Table8[[#This Row],[Age_Band]]="","Unknown",Table8[[#This Row],[Age_Band]])</f>
        <v>Unknown</v>
      </c>
      <c r="Q897" t="str">
        <f>_xlfn.XLOOKUP(Table8[[#This Row],[Supporter_ID]],tb1_supporters[Supporter_ID ],tb1_supporters[Communication_Preference],"")</f>
        <v>No Preference</v>
      </c>
      <c r="R897" t="str">
        <f>_xlfn.XLOOKUP(Table8[[#This Row],[Supporter_ID]],tb1_supporters[Supporter_ID ],tb1_supporters[Duplicate_Profile_Flag],"")</f>
        <v/>
      </c>
      <c r="S897" t="str">
        <f>_xlfn.XLOOKUP(Table8[[#This Row],[Supporter_ID]],tb1_supporters[Supporter_ID ],tb1_supporters[Preference_Compliance_Flag],"")</f>
        <v/>
      </c>
      <c r="T897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897" t="str">
        <f>_xlfn.XLOOKUP(Table8[[#This Row],[Campaign_Code]],tb3_CampaignMaster[Campaign_Code],tb3_CampaignMaster[Campaign_Type],"")</f>
        <v>Appeal</v>
      </c>
      <c r="V897" t="str">
        <f>_xlfn.XLOOKUP(Table8[[#This Row],[Campaign_Code]],tb3_CampaignMaster[Campaign_Code],tb3_CampaignMaster[Target_Audience],"")</f>
        <v>All Active</v>
      </c>
      <c r="W897" s="17">
        <f>_xlfn.XLOOKUP(Table8[[#This Row],[Campaign_Code]],tb3_CampaignMaster[Campaign_Code],tb3_CampaignMaster[Start_Date],"")</f>
        <v>45597</v>
      </c>
      <c r="X897" s="17">
        <f>_xlfn.XLOOKUP(Table8[[#This Row],[Campaign_Code]],tb3_CampaignMaster[Campaign_Code],tb3_CampaignMaster[End_Date],"")</f>
        <v>45657</v>
      </c>
      <c r="Y897">
        <f>_xlfn.XLOOKUP(Table8[[#This Row],[Campaign_Code]],tb3_CampaignMaster[Campaign_Code],tb3_CampaignMaster[Budget_GBP],"")</f>
        <v>25000</v>
      </c>
      <c r="Z897" t="str">
        <f>_xlfn.XLOOKUP(Table8[[#This Row],[Campaign_Code]],tb3_CampaignMaster[Campaign_Code],tb3_CampaignMaster[Primary_Channel],"")</f>
        <v>Multi-channel</v>
      </c>
      <c r="AA897" s="13">
        <f>IF(Table8[[#This Row],[Gift_Aid_Eligible]]="Yes",Table8[[#This Row],[Gift_Amount]]*1.25,Table8[[#This Row],[Gift_Amount]])</f>
        <v>10.162500000000001</v>
      </c>
      <c r="AB897" t="str">
        <f>IF(Table8[[#This Row],[Supporter_ID]]="","Review - missing supporter ID","")</f>
        <v/>
      </c>
      <c r="AC897" t="str">
        <f>IF(OR(Table8[[#This Row],[Response_Date]]&lt;Table8[[#This Row],[Start_Date]],Table8[[#This Row],[Response_Date]]&gt;Table8[[#This Row],[End_Date]]),"Review - response outside campaign dates","")</f>
        <v/>
      </c>
      <c r="AD897" t="str">
        <f>IF(Table8[[#This Row],[Campaign_Type]]="","Review - campaign code not found","")</f>
        <v/>
      </c>
    </row>
    <row r="898" spans="1:30" x14ac:dyDescent="0.25">
      <c r="A898" t="s">
        <v>4811</v>
      </c>
      <c r="B898" t="s">
        <v>1573</v>
      </c>
      <c r="C898" t="s">
        <v>3320</v>
      </c>
      <c r="D898" t="s">
        <v>3321</v>
      </c>
      <c r="E898" t="s">
        <v>4</v>
      </c>
      <c r="F898" s="17">
        <v>45444</v>
      </c>
      <c r="G898">
        <v>195.33</v>
      </c>
      <c r="H898" t="s">
        <v>37</v>
      </c>
      <c r="I898" t="s">
        <v>3331</v>
      </c>
      <c r="J898" t="str">
        <f>_xlfn.XLOOKUP(Table8[[#This Row],[Supporter_ID]],tb1_supporters[Supporter_ID ],tb1_supporters[Segment],"")</f>
        <v>Legacy Pledger</v>
      </c>
      <c r="K898" t="str">
        <f>_xlfn.XLOOKUP(Table8[[#This Row],[Supporter_ID]],tb1_supporters[Supporter_ID ],tb1_supporters[Acquisition_Source],"")</f>
        <v>Door-To-Door</v>
      </c>
      <c r="L898" t="str">
        <f>_xlfn.XLOOKUP(Table8[[#This Row],[Supporter_ID]],tb1_supporters[Supporter_ID ],tb1_supporters[County],"")</f>
        <v>Lothian</v>
      </c>
      <c r="M898" t="str">
        <f>_xlfn.XLOOKUP(Table8[[#This Row],[Supporter_ID]],tb1_supporters[Supporter_ID ],tb1_supporters[Gender],"")</f>
        <v>Female</v>
      </c>
      <c r="N898">
        <f ca="1">_xlfn.XLOOKUP(Table8[[#This Row],[Supporter_ID]],tb1_supporters[Supporter_ID ],tb1_supporters[Age],"")</f>
        <v>70</v>
      </c>
      <c r="O898" t="str">
        <f ca="1">_xlfn.XLOOKUP(Table8[[#This Row],[Supporter_ID]],tb1_supporters[Supporter_ID ],tb1_supporters[Age_Band],"")</f>
        <v>65+</v>
      </c>
      <c r="P898" t="str">
        <f ca="1">IF(Table8[[#This Row],[Age_Band]]="","Unknown",Table8[[#This Row],[Age_Band]])</f>
        <v>65+</v>
      </c>
      <c r="Q898" t="str">
        <f>_xlfn.XLOOKUP(Table8[[#This Row],[Supporter_ID]],tb1_supporters[Supporter_ID ],tb1_supporters[Communication_Preference],"")</f>
        <v>Post</v>
      </c>
      <c r="R898" t="str">
        <f>_xlfn.XLOOKUP(Table8[[#This Row],[Supporter_ID]],tb1_supporters[Supporter_ID ],tb1_supporters[Duplicate_Profile_Flag],"")</f>
        <v/>
      </c>
      <c r="S898" t="str">
        <f>_xlfn.XLOOKUP(Table8[[#This Row],[Supporter_ID]],tb1_supporters[Supporter_ID ],tb1_supporters[Preference_Compliance_Flag],"")</f>
        <v/>
      </c>
      <c r="T898" t="str">
        <f ca="1">IF(Table8[[#This Row],[Age]]="","Review - missing DOB",IF(Table8[[#This Row],[Age]]&gt;TODAY(),"Review - future DOB",IF(Table8[[#This Row],[Age]]=0,"Review -  potential entry error (age 0)","")))</f>
        <v/>
      </c>
      <c r="U898" t="str">
        <f>_xlfn.XLOOKUP(Table8[[#This Row],[Campaign_Code]],tb3_CampaignMaster[Campaign_Code],tb3_CampaignMaster[Campaign_Type],"")</f>
        <v>Stewardship</v>
      </c>
      <c r="V898" t="str">
        <f>_xlfn.XLOOKUP(Table8[[#This Row],[Campaign_Code]],tb3_CampaignMaster[Campaign_Code],tb3_CampaignMaster[Target_Audience],"")</f>
        <v>Major Donors</v>
      </c>
      <c r="W898" s="17">
        <f>_xlfn.XLOOKUP(Table8[[#This Row],[Campaign_Code]],tb3_CampaignMaster[Campaign_Code],tb3_CampaignMaster[Start_Date],"")</f>
        <v>45444</v>
      </c>
      <c r="X898" s="17">
        <f>_xlfn.XLOOKUP(Table8[[#This Row],[Campaign_Code]],tb3_CampaignMaster[Campaign_Code],tb3_CampaignMaster[End_Date],"")</f>
        <v>45473</v>
      </c>
      <c r="Y898">
        <f>_xlfn.XLOOKUP(Table8[[#This Row],[Campaign_Code]],tb3_CampaignMaster[Campaign_Code],tb3_CampaignMaster[Budget_GBP],"")</f>
        <v>7000</v>
      </c>
      <c r="Z898" t="str">
        <f>_xlfn.XLOOKUP(Table8[[#This Row],[Campaign_Code]],tb3_CampaignMaster[Campaign_Code],tb3_CampaignMaster[Primary_Channel],"")</f>
        <v>Direct Mail</v>
      </c>
      <c r="AA898" s="13">
        <f>IF(Table8[[#This Row],[Gift_Aid_Eligible]]="Yes",Table8[[#This Row],[Gift_Amount]]*1.25,Table8[[#This Row],[Gift_Amount]])</f>
        <v>195.33</v>
      </c>
      <c r="AB898" t="str">
        <f>IF(Table8[[#This Row],[Supporter_ID]]="","Review - missing supporter ID","")</f>
        <v/>
      </c>
      <c r="AC898" t="str">
        <f>IF(OR(Table8[[#This Row],[Response_Date]]&lt;Table8[[#This Row],[Start_Date]],Table8[[#This Row],[Response_Date]]&gt;Table8[[#This Row],[End_Date]]),"Review - response outside campaign dates","")</f>
        <v/>
      </c>
      <c r="AD898" t="str">
        <f>IF(Table8[[#This Row],[Campaign_Type]]="","Review - campaign code not found","")</f>
        <v/>
      </c>
    </row>
    <row r="899" spans="1:30" x14ac:dyDescent="0.25">
      <c r="A899" t="s">
        <v>4813</v>
      </c>
      <c r="B899" t="s">
        <v>1446</v>
      </c>
      <c r="C899" t="s">
        <v>3320</v>
      </c>
      <c r="D899" t="s">
        <v>3321</v>
      </c>
      <c r="E899" t="s">
        <v>65</v>
      </c>
      <c r="F899" s="17">
        <v>45457</v>
      </c>
      <c r="G899">
        <v>11.34</v>
      </c>
      <c r="H899" t="s">
        <v>36</v>
      </c>
      <c r="I899" t="s">
        <v>3370</v>
      </c>
      <c r="J899" t="str">
        <f>_xlfn.XLOOKUP(Table8[[#This Row],[Supporter_ID]],tb1_supporters[Supporter_ID ],tb1_supporters[Segment],"")</f>
        <v>Prospect</v>
      </c>
      <c r="K899" t="str">
        <f>_xlfn.XLOOKUP(Table8[[#This Row],[Supporter_ID]],tb1_supporters[Supporter_ID ],tb1_supporters[Acquisition_Source],"")</f>
        <v>Direct Mail</v>
      </c>
      <c r="L899" t="str">
        <f>_xlfn.XLOOKUP(Table8[[#This Row],[Supporter_ID]],tb1_supporters[Supporter_ID ],tb1_supporters[County],"")</f>
        <v>Greater London</v>
      </c>
      <c r="M899" t="str">
        <f>_xlfn.XLOOKUP(Table8[[#This Row],[Supporter_ID]],tb1_supporters[Supporter_ID ],tb1_supporters[Gender],"")</f>
        <v>Male</v>
      </c>
      <c r="N899">
        <f ca="1">_xlfn.XLOOKUP(Table8[[#This Row],[Supporter_ID]],tb1_supporters[Supporter_ID ],tb1_supporters[Age],"")</f>
        <v>44</v>
      </c>
      <c r="O899" t="str">
        <f ca="1">_xlfn.XLOOKUP(Table8[[#This Row],[Supporter_ID]],tb1_supporters[Supporter_ID ],tb1_supporters[Age_Band],"")</f>
        <v>35-49</v>
      </c>
      <c r="P899" t="str">
        <f ca="1">IF(Table8[[#This Row],[Age_Band]]="","Unknown",Table8[[#This Row],[Age_Band]])</f>
        <v>35-49</v>
      </c>
      <c r="Q899" t="str">
        <f>_xlfn.XLOOKUP(Table8[[#This Row],[Supporter_ID]],tb1_supporters[Supporter_ID ],tb1_supporters[Communication_Preference],"")</f>
        <v>No Preference</v>
      </c>
      <c r="R899" t="str">
        <f>_xlfn.XLOOKUP(Table8[[#This Row],[Supporter_ID]],tb1_supporters[Supporter_ID ],tb1_supporters[Duplicate_Profile_Flag],"")</f>
        <v/>
      </c>
      <c r="S899" t="str">
        <f>_xlfn.XLOOKUP(Table8[[#This Row],[Supporter_ID]],tb1_supporters[Supporter_ID ],tb1_supporters[Preference_Compliance_Flag],"")</f>
        <v/>
      </c>
      <c r="T899" t="str">
        <f ca="1">IF(Table8[[#This Row],[Age]]="","Review - missing DOB",IF(Table8[[#This Row],[Age]]&gt;TODAY(),"Review - future DOB",IF(Table8[[#This Row],[Age]]=0,"Review -  potential entry error (age 0)","")))</f>
        <v/>
      </c>
      <c r="U899" t="str">
        <f>_xlfn.XLOOKUP(Table8[[#This Row],[Campaign_Code]],tb3_CampaignMaster[Campaign_Code],tb3_CampaignMaster[Campaign_Type],"")</f>
        <v>Stewardship</v>
      </c>
      <c r="V899" t="str">
        <f>_xlfn.XLOOKUP(Table8[[#This Row],[Campaign_Code]],tb3_CampaignMaster[Campaign_Code],tb3_CampaignMaster[Target_Audience],"")</f>
        <v>Major Donors</v>
      </c>
      <c r="W899" s="17">
        <f>_xlfn.XLOOKUP(Table8[[#This Row],[Campaign_Code]],tb3_CampaignMaster[Campaign_Code],tb3_CampaignMaster[Start_Date],"")</f>
        <v>45444</v>
      </c>
      <c r="X899" s="17">
        <f>_xlfn.XLOOKUP(Table8[[#This Row],[Campaign_Code]],tb3_CampaignMaster[Campaign_Code],tb3_CampaignMaster[End_Date],"")</f>
        <v>45473</v>
      </c>
      <c r="Y899">
        <f>_xlfn.XLOOKUP(Table8[[#This Row],[Campaign_Code]],tb3_CampaignMaster[Campaign_Code],tb3_CampaignMaster[Budget_GBP],"")</f>
        <v>7000</v>
      </c>
      <c r="Z899" t="str">
        <f>_xlfn.XLOOKUP(Table8[[#This Row],[Campaign_Code]],tb3_CampaignMaster[Campaign_Code],tb3_CampaignMaster[Primary_Channel],"")</f>
        <v>Direct Mail</v>
      </c>
      <c r="AA899" s="13">
        <f>IF(Table8[[#This Row],[Gift_Aid_Eligible]]="Yes",Table8[[#This Row],[Gift_Amount]]*1.25,Table8[[#This Row],[Gift_Amount]])</f>
        <v>14.175000000000001</v>
      </c>
      <c r="AB899" t="str">
        <f>IF(Table8[[#This Row],[Supporter_ID]]="","Review - missing supporter ID","")</f>
        <v/>
      </c>
      <c r="AC899" t="str">
        <f>IF(OR(Table8[[#This Row],[Response_Date]]&lt;Table8[[#This Row],[Start_Date]],Table8[[#This Row],[Response_Date]]&gt;Table8[[#This Row],[End_Date]]),"Review - response outside campaign dates","")</f>
        <v/>
      </c>
      <c r="AD899" t="str">
        <f>IF(Table8[[#This Row],[Campaign_Type]]="","Review - campaign code not found","")</f>
        <v/>
      </c>
    </row>
    <row r="900" spans="1:30" x14ac:dyDescent="0.25">
      <c r="A900" t="s">
        <v>4815</v>
      </c>
      <c r="B900" t="s">
        <v>1199</v>
      </c>
      <c r="C900" t="s">
        <v>3362</v>
      </c>
      <c r="D900" t="s">
        <v>3363</v>
      </c>
      <c r="E900" t="s">
        <v>65</v>
      </c>
      <c r="F900" s="17">
        <v>45574</v>
      </c>
      <c r="G900">
        <v>222.09</v>
      </c>
      <c r="H900" t="s">
        <v>36</v>
      </c>
      <c r="I900" t="s">
        <v>3370</v>
      </c>
      <c r="J900" t="str">
        <f>_xlfn.XLOOKUP(Table8[[#This Row],[Supporter_ID]],tb1_supporters[Supporter_ID ],tb1_supporters[Segment],"")</f>
        <v>Mid-Value</v>
      </c>
      <c r="K900" t="str">
        <f>_xlfn.XLOOKUP(Table8[[#This Row],[Supporter_ID]],tb1_supporters[Supporter_ID ],tb1_supporters[Acquisition_Source],"")</f>
        <v>Direct Mail</v>
      </c>
      <c r="L900" t="str">
        <f>_xlfn.XLOOKUP(Table8[[#This Row],[Supporter_ID]],tb1_supporters[Supporter_ID ],tb1_supporters[County],"")</f>
        <v>Hampshire</v>
      </c>
      <c r="M900" t="str">
        <f>_xlfn.XLOOKUP(Table8[[#This Row],[Supporter_ID]],tb1_supporters[Supporter_ID ],tb1_supporters[Gender],"")</f>
        <v>Male</v>
      </c>
      <c r="N900">
        <f ca="1">_xlfn.XLOOKUP(Table8[[#This Row],[Supporter_ID]],tb1_supporters[Supporter_ID ],tb1_supporters[Age],"")</f>
        <v>62</v>
      </c>
      <c r="O900" t="str">
        <f ca="1">_xlfn.XLOOKUP(Table8[[#This Row],[Supporter_ID]],tb1_supporters[Supporter_ID ],tb1_supporters[Age_Band],"")</f>
        <v>50-64</v>
      </c>
      <c r="P900" t="str">
        <f ca="1">IF(Table8[[#This Row],[Age_Band]]="","Unknown",Table8[[#This Row],[Age_Band]])</f>
        <v>50-64</v>
      </c>
      <c r="Q900" t="str">
        <f>_xlfn.XLOOKUP(Table8[[#This Row],[Supporter_ID]],tb1_supporters[Supporter_ID ],tb1_supporters[Communication_Preference],"")</f>
        <v>Phone</v>
      </c>
      <c r="R900" t="str">
        <f>_xlfn.XLOOKUP(Table8[[#This Row],[Supporter_ID]],tb1_supporters[Supporter_ID ],tb1_supporters[Duplicate_Profile_Flag],"")</f>
        <v/>
      </c>
      <c r="S900" t="str">
        <f>_xlfn.XLOOKUP(Table8[[#This Row],[Supporter_ID]],tb1_supporters[Supporter_ID ],tb1_supporters[Preference_Compliance_Flag],"")</f>
        <v>Review - prefers phone but not opted in</v>
      </c>
      <c r="T900" t="str">
        <f ca="1">IF(Table8[[#This Row],[Age]]="","Review - missing DOB",IF(Table8[[#This Row],[Age]]&gt;TODAY(),"Review - future DOB",IF(Table8[[#This Row],[Age]]=0,"Review -  potential entry error (age 0)","")))</f>
        <v/>
      </c>
      <c r="U900" t="str">
        <f>_xlfn.XLOOKUP(Table8[[#This Row],[Campaign_Code]],tb3_CampaignMaster[Campaign_Code],tb3_CampaignMaster[Campaign_Type],"")</f>
        <v>Legacy</v>
      </c>
      <c r="V900" t="str">
        <f>_xlfn.XLOOKUP(Table8[[#This Row],[Campaign_Code]],tb3_CampaignMaster[Campaign_Code],tb3_CampaignMaster[Target_Audience],"")</f>
        <v>Over 55s</v>
      </c>
      <c r="W900" s="17">
        <f>_xlfn.XLOOKUP(Table8[[#This Row],[Campaign_Code]],tb3_CampaignMaster[Campaign_Code],tb3_CampaignMaster[Start_Date],"")</f>
        <v>45572</v>
      </c>
      <c r="X900" s="17">
        <f>_xlfn.XLOOKUP(Table8[[#This Row],[Campaign_Code]],tb3_CampaignMaster[Campaign_Code],tb3_CampaignMaster[End_Date],"")</f>
        <v>45578</v>
      </c>
      <c r="Y900">
        <f>_xlfn.XLOOKUP(Table8[[#This Row],[Campaign_Code]],tb3_CampaignMaster[Campaign_Code],tb3_CampaignMaster[Budget_GBP],"")</f>
        <v>5000</v>
      </c>
      <c r="Z900" t="str">
        <f>_xlfn.XLOOKUP(Table8[[#This Row],[Campaign_Code]],tb3_CampaignMaster[Campaign_Code],tb3_CampaignMaster[Primary_Channel],"")</f>
        <v>Direct Mail</v>
      </c>
      <c r="AA900" s="13">
        <f>IF(Table8[[#This Row],[Gift_Aid_Eligible]]="Yes",Table8[[#This Row],[Gift_Amount]]*1.25,Table8[[#This Row],[Gift_Amount]])</f>
        <v>277.61250000000001</v>
      </c>
      <c r="AB900" t="str">
        <f>IF(Table8[[#This Row],[Supporter_ID]]="","Review - missing supporter ID","")</f>
        <v/>
      </c>
      <c r="AC900" t="str">
        <f>IF(OR(Table8[[#This Row],[Response_Date]]&lt;Table8[[#This Row],[Start_Date]],Table8[[#This Row],[Response_Date]]&gt;Table8[[#This Row],[End_Date]]),"Review - response outside campaign dates","")</f>
        <v/>
      </c>
      <c r="AD900" t="str">
        <f>IF(Table8[[#This Row],[Campaign_Type]]="","Review - campaign code not found","")</f>
        <v/>
      </c>
    </row>
    <row r="901" spans="1:30" x14ac:dyDescent="0.25">
      <c r="A901" t="s">
        <v>4816</v>
      </c>
      <c r="B901" t="s">
        <v>3159</v>
      </c>
      <c r="C901" t="s">
        <v>3341</v>
      </c>
      <c r="D901" t="s">
        <v>3342</v>
      </c>
      <c r="E901" t="s">
        <v>4</v>
      </c>
      <c r="F901" s="17">
        <v>45733</v>
      </c>
      <c r="G901">
        <v>2297.4899999999998</v>
      </c>
      <c r="H901" t="s">
        <v>36</v>
      </c>
      <c r="I901" t="s">
        <v>3318</v>
      </c>
      <c r="J901" t="str">
        <f>_xlfn.XLOOKUP(Table8[[#This Row],[Supporter_ID]],tb1_supporters[Supporter_ID ],tb1_supporters[Segment],"")</f>
        <v>Major Donor</v>
      </c>
      <c r="K901" t="str">
        <f>_xlfn.XLOOKUP(Table8[[#This Row],[Supporter_ID]],tb1_supporters[Supporter_ID ],tb1_supporters[Acquisition_Source],"")</f>
        <v>Telephone</v>
      </c>
      <c r="L901" t="str">
        <f>_xlfn.XLOOKUP(Table8[[#This Row],[Supporter_ID]],tb1_supporters[Supporter_ID ],tb1_supporters[County],"")</f>
        <v>Oxfordshire</v>
      </c>
      <c r="M901" t="str">
        <f>_xlfn.XLOOKUP(Table8[[#This Row],[Supporter_ID]],tb1_supporters[Supporter_ID ],tb1_supporters[Gender],"")</f>
        <v>Male</v>
      </c>
      <c r="N901">
        <f ca="1">_xlfn.XLOOKUP(Table8[[#This Row],[Supporter_ID]],tb1_supporters[Supporter_ID ],tb1_supporters[Age],"")</f>
        <v>46</v>
      </c>
      <c r="O901" t="str">
        <f ca="1">_xlfn.XLOOKUP(Table8[[#This Row],[Supporter_ID]],tb1_supporters[Supporter_ID ],tb1_supporters[Age_Band],"")</f>
        <v>35-49</v>
      </c>
      <c r="P901" t="str">
        <f ca="1">IF(Table8[[#This Row],[Age_Band]]="","Unknown",Table8[[#This Row],[Age_Band]])</f>
        <v>35-49</v>
      </c>
      <c r="Q901" t="str">
        <f>_xlfn.XLOOKUP(Table8[[#This Row],[Supporter_ID]],tb1_supporters[Supporter_ID ],tb1_supporters[Communication_Preference],"")</f>
        <v>Post</v>
      </c>
      <c r="R901" t="str">
        <f>_xlfn.XLOOKUP(Table8[[#This Row],[Supporter_ID]],tb1_supporters[Supporter_ID ],tb1_supporters[Duplicate_Profile_Flag],"")</f>
        <v/>
      </c>
      <c r="S901" t="str">
        <f>_xlfn.XLOOKUP(Table8[[#This Row],[Supporter_ID]],tb1_supporters[Supporter_ID ],tb1_supporters[Preference_Compliance_Flag],"")</f>
        <v/>
      </c>
      <c r="T901" t="str">
        <f ca="1">IF(Table8[[#This Row],[Age]]="","Review - missing DOB",IF(Table8[[#This Row],[Age]]&gt;TODAY(),"Review - future DOB",IF(Table8[[#This Row],[Age]]=0,"Review -  potential entry error (age 0)","")))</f>
        <v/>
      </c>
      <c r="U901" t="str">
        <f>_xlfn.XLOOKUP(Table8[[#This Row],[Campaign_Code]],tb3_CampaignMaster[Campaign_Code],tb3_CampaignMaster[Campaign_Type],"")</f>
        <v>Acquisition</v>
      </c>
      <c r="V901" t="str">
        <f>_xlfn.XLOOKUP(Table8[[#This Row],[Campaign_Code]],tb3_CampaignMaster[Campaign_Code],tb3_CampaignMaster[Target_Audience],"")</f>
        <v>Prospects</v>
      </c>
      <c r="W901" s="17">
        <f>_xlfn.XLOOKUP(Table8[[#This Row],[Campaign_Code]],tb3_CampaignMaster[Campaign_Code],tb3_CampaignMaster[Start_Date],"")</f>
        <v>45689</v>
      </c>
      <c r="X901" s="17">
        <f>_xlfn.XLOOKUP(Table8[[#This Row],[Campaign_Code]],tb3_CampaignMaster[Campaign_Code],tb3_CampaignMaster[End_Date],"")</f>
        <v>45777</v>
      </c>
      <c r="Y901">
        <f>_xlfn.XLOOKUP(Table8[[#This Row],[Campaign_Code]],tb3_CampaignMaster[Campaign_Code],tb3_CampaignMaster[Budget_GBP],"")</f>
        <v>20000</v>
      </c>
      <c r="Z901" t="str">
        <f>_xlfn.XLOOKUP(Table8[[#This Row],[Campaign_Code]],tb3_CampaignMaster[Campaign_Code],tb3_CampaignMaster[Primary_Channel],"")</f>
        <v>Digital</v>
      </c>
      <c r="AA901" s="13">
        <f>IF(Table8[[#This Row],[Gift_Aid_Eligible]]="Yes",Table8[[#This Row],[Gift_Amount]]*1.25,Table8[[#This Row],[Gift_Amount]])</f>
        <v>2871.8624999999997</v>
      </c>
      <c r="AB901" t="str">
        <f>IF(Table8[[#This Row],[Supporter_ID]]="","Review - missing supporter ID","")</f>
        <v/>
      </c>
      <c r="AC901" t="str">
        <f>IF(OR(Table8[[#This Row],[Response_Date]]&lt;Table8[[#This Row],[Start_Date]],Table8[[#This Row],[Response_Date]]&gt;Table8[[#This Row],[End_Date]]),"Review - response outside campaign dates","")</f>
        <v/>
      </c>
      <c r="AD901" t="str">
        <f>IF(Table8[[#This Row],[Campaign_Type]]="","Review - campaign code not found","")</f>
        <v/>
      </c>
    </row>
    <row r="902" spans="1:30" x14ac:dyDescent="0.25">
      <c r="A902" t="s">
        <v>4818</v>
      </c>
      <c r="B902" t="s">
        <v>1147</v>
      </c>
      <c r="C902" t="s">
        <v>3341</v>
      </c>
      <c r="D902" t="s">
        <v>3342</v>
      </c>
      <c r="E902" t="s">
        <v>4</v>
      </c>
      <c r="F902" s="17">
        <v>45729</v>
      </c>
      <c r="G902">
        <v>49.11</v>
      </c>
      <c r="H902" t="s">
        <v>37</v>
      </c>
      <c r="I902" t="s">
        <v>3365</v>
      </c>
      <c r="J902" t="str">
        <f>_xlfn.XLOOKUP(Table8[[#This Row],[Supporter_ID]],tb1_supporters[Supporter_ID ],tb1_supporters[Segment],"")</f>
        <v>Regular Giver</v>
      </c>
      <c r="K902" t="str">
        <f>_xlfn.XLOOKUP(Table8[[#This Row],[Supporter_ID]],tb1_supporters[Supporter_ID ],tb1_supporters[Acquisition_Source],"")</f>
        <v>Social Media</v>
      </c>
      <c r="L902" t="str">
        <f>_xlfn.XLOOKUP(Table8[[#This Row],[Supporter_ID]],tb1_supporters[Supporter_ID ],tb1_supporters[County],"")</f>
        <v>Greater Manchester</v>
      </c>
      <c r="M902" t="str">
        <f>_xlfn.XLOOKUP(Table8[[#This Row],[Supporter_ID]],tb1_supporters[Supporter_ID ],tb1_supporters[Gender],"")</f>
        <v>Female</v>
      </c>
      <c r="N902">
        <f ca="1">_xlfn.XLOOKUP(Table8[[#This Row],[Supporter_ID]],tb1_supporters[Supporter_ID ],tb1_supporters[Age],"")</f>
        <v>67</v>
      </c>
      <c r="O902" t="str">
        <f ca="1">_xlfn.XLOOKUP(Table8[[#This Row],[Supporter_ID]],tb1_supporters[Supporter_ID ],tb1_supporters[Age_Band],"")</f>
        <v>65+</v>
      </c>
      <c r="P902" t="str">
        <f ca="1">IF(Table8[[#This Row],[Age_Band]]="","Unknown",Table8[[#This Row],[Age_Band]])</f>
        <v>65+</v>
      </c>
      <c r="Q902" t="str">
        <f>_xlfn.XLOOKUP(Table8[[#This Row],[Supporter_ID]],tb1_supporters[Supporter_ID ],tb1_supporters[Communication_Preference],"")</f>
        <v>Phone</v>
      </c>
      <c r="R902" t="str">
        <f>_xlfn.XLOOKUP(Table8[[#This Row],[Supporter_ID]],tb1_supporters[Supporter_ID ],tb1_supporters[Duplicate_Profile_Flag],"")</f>
        <v/>
      </c>
      <c r="S902" t="str">
        <f>_xlfn.XLOOKUP(Table8[[#This Row],[Supporter_ID]],tb1_supporters[Supporter_ID ],tb1_supporters[Preference_Compliance_Flag],"")</f>
        <v/>
      </c>
      <c r="T902" t="str">
        <f ca="1">IF(Table8[[#This Row],[Age]]="","Review - missing DOB",IF(Table8[[#This Row],[Age]]&gt;TODAY(),"Review - future DOB",IF(Table8[[#This Row],[Age]]=0,"Review -  potential entry error (age 0)","")))</f>
        <v/>
      </c>
      <c r="U902" t="str">
        <f>_xlfn.XLOOKUP(Table8[[#This Row],[Campaign_Code]],tb3_CampaignMaster[Campaign_Code],tb3_CampaignMaster[Campaign_Type],"")</f>
        <v>Acquisition</v>
      </c>
      <c r="V902" t="str">
        <f>_xlfn.XLOOKUP(Table8[[#This Row],[Campaign_Code]],tb3_CampaignMaster[Campaign_Code],tb3_CampaignMaster[Target_Audience],"")</f>
        <v>Prospects</v>
      </c>
      <c r="W902" s="17">
        <f>_xlfn.XLOOKUP(Table8[[#This Row],[Campaign_Code]],tb3_CampaignMaster[Campaign_Code],tb3_CampaignMaster[Start_Date],"")</f>
        <v>45689</v>
      </c>
      <c r="X902" s="17">
        <f>_xlfn.XLOOKUP(Table8[[#This Row],[Campaign_Code]],tb3_CampaignMaster[Campaign_Code],tb3_CampaignMaster[End_Date],"")</f>
        <v>45777</v>
      </c>
      <c r="Y902">
        <f>_xlfn.XLOOKUP(Table8[[#This Row],[Campaign_Code]],tb3_CampaignMaster[Campaign_Code],tb3_CampaignMaster[Budget_GBP],"")</f>
        <v>20000</v>
      </c>
      <c r="Z902" t="str">
        <f>_xlfn.XLOOKUP(Table8[[#This Row],[Campaign_Code]],tb3_CampaignMaster[Campaign_Code],tb3_CampaignMaster[Primary_Channel],"")</f>
        <v>Digital</v>
      </c>
      <c r="AA902" s="13">
        <f>IF(Table8[[#This Row],[Gift_Aid_Eligible]]="Yes",Table8[[#This Row],[Gift_Amount]]*1.25,Table8[[#This Row],[Gift_Amount]])</f>
        <v>49.11</v>
      </c>
      <c r="AB902" t="str">
        <f>IF(Table8[[#This Row],[Supporter_ID]]="","Review - missing supporter ID","")</f>
        <v/>
      </c>
      <c r="AC902" t="str">
        <f>IF(OR(Table8[[#This Row],[Response_Date]]&lt;Table8[[#This Row],[Start_Date]],Table8[[#This Row],[Response_Date]]&gt;Table8[[#This Row],[End_Date]]),"Review - response outside campaign dates","")</f>
        <v/>
      </c>
      <c r="AD902" t="str">
        <f>IF(Table8[[#This Row],[Campaign_Type]]="","Review - campaign code not found","")</f>
        <v/>
      </c>
    </row>
    <row r="903" spans="1:30" x14ac:dyDescent="0.25">
      <c r="A903" t="s">
        <v>4819</v>
      </c>
      <c r="B903" t="s">
        <v>2917</v>
      </c>
      <c r="C903" t="s">
        <v>3362</v>
      </c>
      <c r="D903" t="s">
        <v>3363</v>
      </c>
      <c r="E903" t="s">
        <v>65</v>
      </c>
      <c r="F903" s="17">
        <v>45575</v>
      </c>
      <c r="G903">
        <v>49.47</v>
      </c>
      <c r="H903" t="s">
        <v>36</v>
      </c>
      <c r="I903" t="s">
        <v>3318</v>
      </c>
      <c r="J903" t="str">
        <f>_xlfn.XLOOKUP(Table8[[#This Row],[Supporter_ID]],tb1_supporters[Supporter_ID ],tb1_supporters[Segment],"")</f>
        <v>Regular Giver</v>
      </c>
      <c r="K903" t="str">
        <f>_xlfn.XLOOKUP(Table8[[#This Row],[Supporter_ID]],tb1_supporters[Supporter_ID ],tb1_supporters[Acquisition_Source],"")</f>
        <v>Website</v>
      </c>
      <c r="L903" t="str">
        <f>_xlfn.XLOOKUP(Table8[[#This Row],[Supporter_ID]],tb1_supporters[Supporter_ID ],tb1_supporters[County],"")</f>
        <v>West Midlands</v>
      </c>
      <c r="M903" t="str">
        <f>_xlfn.XLOOKUP(Table8[[#This Row],[Supporter_ID]],tb1_supporters[Supporter_ID ],tb1_supporters[Gender],"")</f>
        <v>Female</v>
      </c>
      <c r="N903">
        <f ca="1">_xlfn.XLOOKUP(Table8[[#This Row],[Supporter_ID]],tb1_supporters[Supporter_ID ],tb1_supporters[Age],"")</f>
        <v>41</v>
      </c>
      <c r="O903" t="str">
        <f ca="1">_xlfn.XLOOKUP(Table8[[#This Row],[Supporter_ID]],tb1_supporters[Supporter_ID ],tb1_supporters[Age_Band],"")</f>
        <v>35-49</v>
      </c>
      <c r="P903" t="str">
        <f ca="1">IF(Table8[[#This Row],[Age_Band]]="","Unknown",Table8[[#This Row],[Age_Band]])</f>
        <v>35-49</v>
      </c>
      <c r="Q903" t="str">
        <f>_xlfn.XLOOKUP(Table8[[#This Row],[Supporter_ID]],tb1_supporters[Supporter_ID ],tb1_supporters[Communication_Preference],"")</f>
        <v>Email</v>
      </c>
      <c r="R903" t="str">
        <f>_xlfn.XLOOKUP(Table8[[#This Row],[Supporter_ID]],tb1_supporters[Supporter_ID ],tb1_supporters[Duplicate_Profile_Flag],"")</f>
        <v/>
      </c>
      <c r="S903" t="str">
        <f>_xlfn.XLOOKUP(Table8[[#This Row],[Supporter_ID]],tb1_supporters[Supporter_ID ],tb1_supporters[Preference_Compliance_Flag],"")</f>
        <v>Review - prefers email but not opted in</v>
      </c>
      <c r="T903" t="str">
        <f ca="1">IF(Table8[[#This Row],[Age]]="","Review - missing DOB",IF(Table8[[#This Row],[Age]]&gt;TODAY(),"Review - future DOB",IF(Table8[[#This Row],[Age]]=0,"Review -  potential entry error (age 0)","")))</f>
        <v/>
      </c>
      <c r="U903" t="str">
        <f>_xlfn.XLOOKUP(Table8[[#This Row],[Campaign_Code]],tb3_CampaignMaster[Campaign_Code],tb3_CampaignMaster[Campaign_Type],"")</f>
        <v>Legacy</v>
      </c>
      <c r="V903" t="str">
        <f>_xlfn.XLOOKUP(Table8[[#This Row],[Campaign_Code]],tb3_CampaignMaster[Campaign_Code],tb3_CampaignMaster[Target_Audience],"")</f>
        <v>Over 55s</v>
      </c>
      <c r="W903" s="17">
        <f>_xlfn.XLOOKUP(Table8[[#This Row],[Campaign_Code]],tb3_CampaignMaster[Campaign_Code],tb3_CampaignMaster[Start_Date],"")</f>
        <v>45572</v>
      </c>
      <c r="X903" s="17">
        <f>_xlfn.XLOOKUP(Table8[[#This Row],[Campaign_Code]],tb3_CampaignMaster[Campaign_Code],tb3_CampaignMaster[End_Date],"")</f>
        <v>45578</v>
      </c>
      <c r="Y903">
        <f>_xlfn.XLOOKUP(Table8[[#This Row],[Campaign_Code]],tb3_CampaignMaster[Campaign_Code],tb3_CampaignMaster[Budget_GBP],"")</f>
        <v>5000</v>
      </c>
      <c r="Z903" t="str">
        <f>_xlfn.XLOOKUP(Table8[[#This Row],[Campaign_Code]],tb3_CampaignMaster[Campaign_Code],tb3_CampaignMaster[Primary_Channel],"")</f>
        <v>Direct Mail</v>
      </c>
      <c r="AA903" s="13">
        <f>IF(Table8[[#This Row],[Gift_Aid_Eligible]]="Yes",Table8[[#This Row],[Gift_Amount]]*1.25,Table8[[#This Row],[Gift_Amount]])</f>
        <v>61.837499999999999</v>
      </c>
      <c r="AB903" t="str">
        <f>IF(Table8[[#This Row],[Supporter_ID]]="","Review - missing supporter ID","")</f>
        <v/>
      </c>
      <c r="AC903" t="str">
        <f>IF(OR(Table8[[#This Row],[Response_Date]]&lt;Table8[[#This Row],[Start_Date]],Table8[[#This Row],[Response_Date]]&gt;Table8[[#This Row],[End_Date]]),"Review - response outside campaign dates","")</f>
        <v/>
      </c>
      <c r="AD903" t="str">
        <f>IF(Table8[[#This Row],[Campaign_Type]]="","Review - campaign code not found","")</f>
        <v/>
      </c>
    </row>
    <row r="904" spans="1:30" x14ac:dyDescent="0.25">
      <c r="A904" t="s">
        <v>4820</v>
      </c>
      <c r="B904" t="s">
        <v>1702</v>
      </c>
      <c r="C904" t="s">
        <v>3403</v>
      </c>
      <c r="D904" t="s">
        <v>3404</v>
      </c>
      <c r="E904" t="s">
        <v>3316</v>
      </c>
      <c r="F904" s="17">
        <v>45640</v>
      </c>
      <c r="G904">
        <v>71.81</v>
      </c>
      <c r="H904" t="s">
        <v>36</v>
      </c>
      <c r="I904" t="s">
        <v>3328</v>
      </c>
      <c r="J904" t="str">
        <f>_xlfn.XLOOKUP(Table8[[#This Row],[Supporter_ID]],tb1_supporters[Supporter_ID ],tb1_supporters[Segment],"")</f>
        <v>Lapsed</v>
      </c>
      <c r="K904" t="str">
        <f>_xlfn.XLOOKUP(Table8[[#This Row],[Supporter_ID]],tb1_supporters[Supporter_ID ],tb1_supporters[Acquisition_Source],"")</f>
        <v>Telephone</v>
      </c>
      <c r="L904" t="str">
        <f>_xlfn.XLOOKUP(Table8[[#This Row],[Supporter_ID]],tb1_supporters[Supporter_ID ],tb1_supporters[County],"")</f>
        <v>South Glamorgan</v>
      </c>
      <c r="M904" t="str">
        <f>_xlfn.XLOOKUP(Table8[[#This Row],[Supporter_ID]],tb1_supporters[Supporter_ID ],tb1_supporters[Gender],"")</f>
        <v>Female</v>
      </c>
      <c r="N904">
        <f ca="1">_xlfn.XLOOKUP(Table8[[#This Row],[Supporter_ID]],tb1_supporters[Supporter_ID ],tb1_supporters[Age],"")</f>
        <v>48</v>
      </c>
      <c r="O904" t="str">
        <f ca="1">_xlfn.XLOOKUP(Table8[[#This Row],[Supporter_ID]],tb1_supporters[Supporter_ID ],tb1_supporters[Age_Band],"")</f>
        <v>35-49</v>
      </c>
      <c r="P904" t="str">
        <f ca="1">IF(Table8[[#This Row],[Age_Band]]="","Unknown",Table8[[#This Row],[Age_Band]])</f>
        <v>35-49</v>
      </c>
      <c r="Q904" t="str">
        <f>_xlfn.XLOOKUP(Table8[[#This Row],[Supporter_ID]],tb1_supporters[Supporter_ID ],tb1_supporters[Communication_Preference],"")</f>
        <v>Post</v>
      </c>
      <c r="R904" t="str">
        <f>_xlfn.XLOOKUP(Table8[[#This Row],[Supporter_ID]],tb1_supporters[Supporter_ID ],tb1_supporters[Duplicate_Profile_Flag],"")</f>
        <v/>
      </c>
      <c r="S904" t="str">
        <f>_xlfn.XLOOKUP(Table8[[#This Row],[Supporter_ID]],tb1_supporters[Supporter_ID ],tb1_supporters[Preference_Compliance_Flag],"")</f>
        <v/>
      </c>
      <c r="T904" t="str">
        <f ca="1">IF(Table8[[#This Row],[Age]]="","Review - missing DOB",IF(Table8[[#This Row],[Age]]&gt;TODAY(),"Review - future DOB",IF(Table8[[#This Row],[Age]]=0,"Review -  potential entry error (age 0)","")))</f>
        <v/>
      </c>
      <c r="U904" t="str">
        <f>_xlfn.XLOOKUP(Table8[[#This Row],[Campaign_Code]],tb3_CampaignMaster[Campaign_Code],tb3_CampaignMaster[Campaign_Type],"")</f>
        <v>Trading</v>
      </c>
      <c r="V904" t="str">
        <f>_xlfn.XLOOKUP(Table8[[#This Row],[Campaign_Code]],tb3_CampaignMaster[Campaign_Code],tb3_CampaignMaster[Target_Audience],"")</f>
        <v>All Active</v>
      </c>
      <c r="W904" s="17">
        <f>_xlfn.XLOOKUP(Table8[[#This Row],[Campaign_Code]],tb3_CampaignMaster[Campaign_Code],tb3_CampaignMaster[Start_Date],"")</f>
        <v>45580</v>
      </c>
      <c r="X904" s="17">
        <f>_xlfn.XLOOKUP(Table8[[#This Row],[Campaign_Code]],tb3_CampaignMaster[Campaign_Code],tb3_CampaignMaster[End_Date],"")</f>
        <v>45646</v>
      </c>
      <c r="Y904">
        <f>_xlfn.XLOOKUP(Table8[[#This Row],[Campaign_Code]],tb3_CampaignMaster[Campaign_Code],tb3_CampaignMaster[Budget_GBP],"")</f>
        <v>12000</v>
      </c>
      <c r="Z904" t="str">
        <f>_xlfn.XLOOKUP(Table8[[#This Row],[Campaign_Code]],tb3_CampaignMaster[Campaign_Code],tb3_CampaignMaster[Primary_Channel],"")</f>
        <v>Multi-channel</v>
      </c>
      <c r="AA904" s="13">
        <f>IF(Table8[[#This Row],[Gift_Aid_Eligible]]="Yes",Table8[[#This Row],[Gift_Amount]]*1.25,Table8[[#This Row],[Gift_Amount]])</f>
        <v>89.762500000000003</v>
      </c>
      <c r="AB904" t="str">
        <f>IF(Table8[[#This Row],[Supporter_ID]]="","Review - missing supporter ID","")</f>
        <v/>
      </c>
      <c r="AC904" t="str">
        <f>IF(OR(Table8[[#This Row],[Response_Date]]&lt;Table8[[#This Row],[Start_Date]],Table8[[#This Row],[Response_Date]]&gt;Table8[[#This Row],[End_Date]]),"Review - response outside campaign dates","")</f>
        <v/>
      </c>
      <c r="AD904" t="str">
        <f>IF(Table8[[#This Row],[Campaign_Type]]="","Review - campaign code not found","")</f>
        <v/>
      </c>
    </row>
    <row r="905" spans="1:30" x14ac:dyDescent="0.25">
      <c r="A905" t="s">
        <v>4822</v>
      </c>
      <c r="B905" t="s">
        <v>2380</v>
      </c>
      <c r="C905" t="s">
        <v>3367</v>
      </c>
      <c r="D905" t="s">
        <v>3368</v>
      </c>
      <c r="E905" t="s">
        <v>65</v>
      </c>
      <c r="F905" s="17">
        <v>45744</v>
      </c>
      <c r="G905">
        <v>70.27</v>
      </c>
      <c r="H905" t="s">
        <v>36</v>
      </c>
      <c r="I905" t="s">
        <v>3323</v>
      </c>
      <c r="J905" t="str">
        <f>_xlfn.XLOOKUP(Table8[[#This Row],[Supporter_ID]],tb1_supporters[Supporter_ID ],tb1_supporters[Segment],"")</f>
        <v>Mid-Value</v>
      </c>
      <c r="K905" t="str">
        <f>_xlfn.XLOOKUP(Table8[[#This Row],[Supporter_ID]],tb1_supporters[Supporter_ID ],tb1_supporters[Acquisition_Source],"")</f>
        <v>Direct Mail</v>
      </c>
      <c r="L905" t="str">
        <f>_xlfn.XLOOKUP(Table8[[#This Row],[Supporter_ID]],tb1_supporters[Supporter_ID ],tb1_supporters[County],"")</f>
        <v>West Glamorgan</v>
      </c>
      <c r="M905" t="str">
        <f>_xlfn.XLOOKUP(Table8[[#This Row],[Supporter_ID]],tb1_supporters[Supporter_ID ],tb1_supporters[Gender],"")</f>
        <v>Female</v>
      </c>
      <c r="N905">
        <f ca="1">_xlfn.XLOOKUP(Table8[[#This Row],[Supporter_ID]],tb1_supporters[Supporter_ID ],tb1_supporters[Age],"")</f>
        <v>49</v>
      </c>
      <c r="O905" t="str">
        <f ca="1">_xlfn.XLOOKUP(Table8[[#This Row],[Supporter_ID]],tb1_supporters[Supporter_ID ],tb1_supporters[Age_Band],"")</f>
        <v>35-49</v>
      </c>
      <c r="P905" t="str">
        <f ca="1">IF(Table8[[#This Row],[Age_Band]]="","Unknown",Table8[[#This Row],[Age_Band]])</f>
        <v>35-49</v>
      </c>
      <c r="Q905" t="str">
        <f>_xlfn.XLOOKUP(Table8[[#This Row],[Supporter_ID]],tb1_supporters[Supporter_ID ],tb1_supporters[Communication_Preference],"")</f>
        <v>Email</v>
      </c>
      <c r="R905" t="str">
        <f>_xlfn.XLOOKUP(Table8[[#This Row],[Supporter_ID]],tb1_supporters[Supporter_ID ],tb1_supporters[Duplicate_Profile_Flag],"")</f>
        <v/>
      </c>
      <c r="S905" t="str">
        <f>_xlfn.XLOOKUP(Table8[[#This Row],[Supporter_ID]],tb1_supporters[Supporter_ID ],tb1_supporters[Preference_Compliance_Flag],"")</f>
        <v/>
      </c>
      <c r="T905" t="str">
        <f ca="1">IF(Table8[[#This Row],[Age]]="","Review - missing DOB",IF(Table8[[#This Row],[Age]]&gt;TODAY(),"Review - future DOB",IF(Table8[[#This Row],[Age]]=0,"Review -  potential entry error (age 0)","")))</f>
        <v/>
      </c>
      <c r="U905" t="str">
        <f>_xlfn.XLOOKUP(Table8[[#This Row],[Campaign_Code]],tb3_CampaignMaster[Campaign_Code],tb3_CampaignMaster[Campaign_Type],"")</f>
        <v>Raffle</v>
      </c>
      <c r="V905" t="str">
        <f>_xlfn.XLOOKUP(Table8[[#This Row],[Campaign_Code]],tb3_CampaignMaster[Campaign_Code],tb3_CampaignMaster[Target_Audience],"")</f>
        <v>Regular Givers</v>
      </c>
      <c r="W905" s="17">
        <f>_xlfn.XLOOKUP(Table8[[#This Row],[Campaign_Code]],tb3_CampaignMaster[Campaign_Code],tb3_CampaignMaster[Start_Date],"")</f>
        <v>45717</v>
      </c>
      <c r="X905" s="17">
        <f>_xlfn.XLOOKUP(Table8[[#This Row],[Campaign_Code]],tb3_CampaignMaster[Campaign_Code],tb3_CampaignMaster[End_Date],"")</f>
        <v>45777</v>
      </c>
      <c r="Y905">
        <f>_xlfn.XLOOKUP(Table8[[#This Row],[Campaign_Code]],tb3_CampaignMaster[Campaign_Code],tb3_CampaignMaster[Budget_GBP],"")</f>
        <v>8000</v>
      </c>
      <c r="Z905" t="str">
        <f>_xlfn.XLOOKUP(Table8[[#This Row],[Campaign_Code]],tb3_CampaignMaster[Campaign_Code],tb3_CampaignMaster[Primary_Channel],"")</f>
        <v>Direct Mail</v>
      </c>
      <c r="AA905" s="13">
        <f>IF(Table8[[#This Row],[Gift_Aid_Eligible]]="Yes",Table8[[#This Row],[Gift_Amount]]*1.25,Table8[[#This Row],[Gift_Amount]])</f>
        <v>87.837499999999991</v>
      </c>
      <c r="AB905" t="str">
        <f>IF(Table8[[#This Row],[Supporter_ID]]="","Review - missing supporter ID","")</f>
        <v/>
      </c>
      <c r="AC905" t="str">
        <f>IF(OR(Table8[[#This Row],[Response_Date]]&lt;Table8[[#This Row],[Start_Date]],Table8[[#This Row],[Response_Date]]&gt;Table8[[#This Row],[End_Date]]),"Review - response outside campaign dates","")</f>
        <v/>
      </c>
      <c r="AD905" t="str">
        <f>IF(Table8[[#This Row],[Campaign_Type]]="","Review - campaign code not found","")</f>
        <v/>
      </c>
    </row>
    <row r="906" spans="1:30" x14ac:dyDescent="0.25">
      <c r="A906" t="s">
        <v>4824</v>
      </c>
      <c r="B906" t="s">
        <v>831</v>
      </c>
      <c r="C906" t="s">
        <v>3325</v>
      </c>
      <c r="D906" t="s">
        <v>3326</v>
      </c>
      <c r="E906" t="s">
        <v>65</v>
      </c>
      <c r="F906" s="17">
        <v>45609</v>
      </c>
      <c r="G906">
        <v>3278.25</v>
      </c>
      <c r="H906" t="s">
        <v>37</v>
      </c>
      <c r="I906" t="s">
        <v>3331</v>
      </c>
      <c r="J906" t="str">
        <f>_xlfn.XLOOKUP(Table8[[#This Row],[Supporter_ID]],tb1_supporters[Supporter_ID ],tb1_supporters[Segment],"")</f>
        <v>Major Donor</v>
      </c>
      <c r="K906" t="str">
        <f>_xlfn.XLOOKUP(Table8[[#This Row],[Supporter_ID]],tb1_supporters[Supporter_ID ],tb1_supporters[Acquisition_Source],"")</f>
        <v>Referral</v>
      </c>
      <c r="L906" t="str">
        <f>_xlfn.XLOOKUP(Table8[[#This Row],[Supporter_ID]],tb1_supporters[Supporter_ID ],tb1_supporters[County],"")</f>
        <v>Kent</v>
      </c>
      <c r="M906" t="str">
        <f>_xlfn.XLOOKUP(Table8[[#This Row],[Supporter_ID]],tb1_supporters[Supporter_ID ],tb1_supporters[Gender],"")</f>
        <v>Male</v>
      </c>
      <c r="N906">
        <f ca="1">_xlfn.XLOOKUP(Table8[[#This Row],[Supporter_ID]],tb1_supporters[Supporter_ID ],tb1_supporters[Age],"")</f>
        <v>66</v>
      </c>
      <c r="O906" t="str">
        <f ca="1">_xlfn.XLOOKUP(Table8[[#This Row],[Supporter_ID]],tb1_supporters[Supporter_ID ],tb1_supporters[Age_Band],"")</f>
        <v>65+</v>
      </c>
      <c r="P906" t="str">
        <f ca="1">IF(Table8[[#This Row],[Age_Band]]="","Unknown",Table8[[#This Row],[Age_Band]])</f>
        <v>65+</v>
      </c>
      <c r="Q906" t="str">
        <f>_xlfn.XLOOKUP(Table8[[#This Row],[Supporter_ID]],tb1_supporters[Supporter_ID ],tb1_supporters[Communication_Preference],"")</f>
        <v>Phone</v>
      </c>
      <c r="R906" t="str">
        <f>_xlfn.XLOOKUP(Table8[[#This Row],[Supporter_ID]],tb1_supporters[Supporter_ID ],tb1_supporters[Duplicate_Profile_Flag],"")</f>
        <v/>
      </c>
      <c r="S906" t="str">
        <f>_xlfn.XLOOKUP(Table8[[#This Row],[Supporter_ID]],tb1_supporters[Supporter_ID ],tb1_supporters[Preference_Compliance_Flag],"")</f>
        <v>Review - prefers phone but not opted in</v>
      </c>
      <c r="T906" t="str">
        <f ca="1">IF(Table8[[#This Row],[Age]]="","Review - missing DOB",IF(Table8[[#This Row],[Age]]&gt;TODAY(),"Review - future DOB",IF(Table8[[#This Row],[Age]]=0,"Review -  potential entry error (age 0)","")))</f>
        <v/>
      </c>
      <c r="U906" t="str">
        <f>_xlfn.XLOOKUP(Table8[[#This Row],[Campaign_Code]],tb3_CampaignMaster[Campaign_Code],tb3_CampaignMaster[Campaign_Type],"")</f>
        <v>Appeal</v>
      </c>
      <c r="V906" t="str">
        <f>_xlfn.XLOOKUP(Table8[[#This Row],[Campaign_Code]],tb3_CampaignMaster[Campaign_Code],tb3_CampaignMaster[Target_Audience],"")</f>
        <v>All Active</v>
      </c>
      <c r="W906" s="17">
        <f>_xlfn.XLOOKUP(Table8[[#This Row],[Campaign_Code]],tb3_CampaignMaster[Campaign_Code],tb3_CampaignMaster[Start_Date],"")</f>
        <v>45597</v>
      </c>
      <c r="X906" s="17">
        <f>_xlfn.XLOOKUP(Table8[[#This Row],[Campaign_Code]],tb3_CampaignMaster[Campaign_Code],tb3_CampaignMaster[End_Date],"")</f>
        <v>45657</v>
      </c>
      <c r="Y906">
        <f>_xlfn.XLOOKUP(Table8[[#This Row],[Campaign_Code]],tb3_CampaignMaster[Campaign_Code],tb3_CampaignMaster[Budget_GBP],"")</f>
        <v>25000</v>
      </c>
      <c r="Z906" t="str">
        <f>_xlfn.XLOOKUP(Table8[[#This Row],[Campaign_Code]],tb3_CampaignMaster[Campaign_Code],tb3_CampaignMaster[Primary_Channel],"")</f>
        <v>Multi-channel</v>
      </c>
      <c r="AA906" s="13">
        <f>IF(Table8[[#This Row],[Gift_Aid_Eligible]]="Yes",Table8[[#This Row],[Gift_Amount]]*1.25,Table8[[#This Row],[Gift_Amount]])</f>
        <v>3278.25</v>
      </c>
      <c r="AB906" t="str">
        <f>IF(Table8[[#This Row],[Supporter_ID]]="","Review - missing supporter ID","")</f>
        <v/>
      </c>
      <c r="AC906" t="str">
        <f>IF(OR(Table8[[#This Row],[Response_Date]]&lt;Table8[[#This Row],[Start_Date]],Table8[[#This Row],[Response_Date]]&gt;Table8[[#This Row],[End_Date]]),"Review - response outside campaign dates","")</f>
        <v/>
      </c>
      <c r="AD906" t="str">
        <f>IF(Table8[[#This Row],[Campaign_Type]]="","Review - campaign code not found","")</f>
        <v/>
      </c>
    </row>
    <row r="907" spans="1:30" x14ac:dyDescent="0.25">
      <c r="A907" t="s">
        <v>4826</v>
      </c>
      <c r="B907" t="s">
        <v>3235</v>
      </c>
      <c r="C907" t="s">
        <v>3427</v>
      </c>
      <c r="D907" t="s">
        <v>3428</v>
      </c>
      <c r="E907" t="s">
        <v>4</v>
      </c>
      <c r="F907" s="17">
        <v>45488</v>
      </c>
      <c r="G907">
        <v>89.95</v>
      </c>
      <c r="H907" t="s">
        <v>36</v>
      </c>
      <c r="I907" t="s">
        <v>3331</v>
      </c>
      <c r="J907" t="str">
        <f>_xlfn.XLOOKUP(Table8[[#This Row],[Supporter_ID]],tb1_supporters[Supporter_ID ],tb1_supporters[Segment],"")</f>
        <v>One-Time Donor</v>
      </c>
      <c r="K907" t="str">
        <f>_xlfn.XLOOKUP(Table8[[#This Row],[Supporter_ID]],tb1_supporters[Supporter_ID ],tb1_supporters[Acquisition_Source],"")</f>
        <v>Telephone</v>
      </c>
      <c r="L907" t="str">
        <f>_xlfn.XLOOKUP(Table8[[#This Row],[Supporter_ID]],tb1_supporters[Supporter_ID ],tb1_supporters[County],"")</f>
        <v>Leicestershire</v>
      </c>
      <c r="M907" t="str">
        <f>_xlfn.XLOOKUP(Table8[[#This Row],[Supporter_ID]],tb1_supporters[Supporter_ID ],tb1_supporters[Gender],"")</f>
        <v>Female</v>
      </c>
      <c r="N907">
        <f ca="1">_xlfn.XLOOKUP(Table8[[#This Row],[Supporter_ID]],tb1_supporters[Supporter_ID ],tb1_supporters[Age],"")</f>
        <v>80</v>
      </c>
      <c r="O907" t="str">
        <f ca="1">_xlfn.XLOOKUP(Table8[[#This Row],[Supporter_ID]],tb1_supporters[Supporter_ID ],tb1_supporters[Age_Band],"")</f>
        <v>65+</v>
      </c>
      <c r="P907" t="str">
        <f ca="1">IF(Table8[[#This Row],[Age_Band]]="","Unknown",Table8[[#This Row],[Age_Band]])</f>
        <v>65+</v>
      </c>
      <c r="Q907" t="str">
        <f>_xlfn.XLOOKUP(Table8[[#This Row],[Supporter_ID]],tb1_supporters[Supporter_ID ],tb1_supporters[Communication_Preference],"")</f>
        <v>Post</v>
      </c>
      <c r="R907" t="str">
        <f>_xlfn.XLOOKUP(Table8[[#This Row],[Supporter_ID]],tb1_supporters[Supporter_ID ],tb1_supporters[Duplicate_Profile_Flag],"")</f>
        <v/>
      </c>
      <c r="S907" t="str">
        <f>_xlfn.XLOOKUP(Table8[[#This Row],[Supporter_ID]],tb1_supporters[Supporter_ID ],tb1_supporters[Preference_Compliance_Flag],"")</f>
        <v/>
      </c>
      <c r="T907" t="str">
        <f ca="1">IF(Table8[[#This Row],[Age]]="","Review - missing DOB",IF(Table8[[#This Row],[Age]]&gt;TODAY(),"Review - future DOB",IF(Table8[[#This Row],[Age]]=0,"Review -  potential entry error (age 0)","")))</f>
        <v/>
      </c>
      <c r="U907" t="str">
        <f>_xlfn.XLOOKUP(Table8[[#This Row],[Campaign_Code]],tb3_CampaignMaster[Campaign_Code],tb3_CampaignMaster[Campaign_Type],"")</f>
        <v>Event</v>
      </c>
      <c r="V907" t="str">
        <f>_xlfn.XLOOKUP(Table8[[#This Row],[Campaign_Code]],tb3_CampaignMaster[Campaign_Code],tb3_CampaignMaster[Target_Audience],"")</f>
        <v>Major Donors</v>
      </c>
      <c r="W907" s="17">
        <f>_xlfn.XLOOKUP(Table8[[#This Row],[Campaign_Code]],tb3_CampaignMaster[Campaign_Code],tb3_CampaignMaster[Start_Date],"")</f>
        <v>45488</v>
      </c>
      <c r="X907" s="17">
        <f>_xlfn.XLOOKUP(Table8[[#This Row],[Campaign_Code]],tb3_CampaignMaster[Campaign_Code],tb3_CampaignMaster[End_Date],"")</f>
        <v>45488</v>
      </c>
      <c r="Y907">
        <f>_xlfn.XLOOKUP(Table8[[#This Row],[Campaign_Code]],tb3_CampaignMaster[Campaign_Code],tb3_CampaignMaster[Budget_GBP],"")</f>
        <v>45000</v>
      </c>
      <c r="Z907" t="str">
        <f>_xlfn.XLOOKUP(Table8[[#This Row],[Campaign_Code]],tb3_CampaignMaster[Campaign_Code],tb3_CampaignMaster[Primary_Channel],"")</f>
        <v>Direct Mail</v>
      </c>
      <c r="AA907" s="13">
        <f>IF(Table8[[#This Row],[Gift_Aid_Eligible]]="Yes",Table8[[#This Row],[Gift_Amount]]*1.25,Table8[[#This Row],[Gift_Amount]])</f>
        <v>112.4375</v>
      </c>
      <c r="AB907" t="str">
        <f>IF(Table8[[#This Row],[Supporter_ID]]="","Review - missing supporter ID","")</f>
        <v/>
      </c>
      <c r="AC907" t="str">
        <f>IF(OR(Table8[[#This Row],[Response_Date]]&lt;Table8[[#This Row],[Start_Date]],Table8[[#This Row],[Response_Date]]&gt;Table8[[#This Row],[End_Date]]),"Review - response outside campaign dates","")</f>
        <v/>
      </c>
      <c r="AD907" t="str">
        <f>IF(Table8[[#This Row],[Campaign_Type]]="","Review - campaign code not found","")</f>
        <v/>
      </c>
    </row>
    <row r="908" spans="1:30" x14ac:dyDescent="0.25">
      <c r="A908" t="s">
        <v>4827</v>
      </c>
      <c r="B908" t="s">
        <v>2235</v>
      </c>
      <c r="C908" t="s">
        <v>3314</v>
      </c>
      <c r="D908" t="s">
        <v>3315</v>
      </c>
      <c r="E908" t="s">
        <v>33</v>
      </c>
      <c r="F908" s="17">
        <v>45737</v>
      </c>
      <c r="G908">
        <v>14.35</v>
      </c>
      <c r="H908" t="s">
        <v>36</v>
      </c>
      <c r="I908" t="s">
        <v>3318</v>
      </c>
      <c r="J908" t="str">
        <f>_xlfn.XLOOKUP(Table8[[#This Row],[Supporter_ID]],tb1_supporters[Supporter_ID ],tb1_supporters[Segment],"")</f>
        <v>Regular Giver</v>
      </c>
      <c r="K908" t="str">
        <f>_xlfn.XLOOKUP(Table8[[#This Row],[Supporter_ID]],tb1_supporters[Supporter_ID ],tb1_supporters[Acquisition_Source],"")</f>
        <v>Telephone</v>
      </c>
      <c r="L908" t="str">
        <f>_xlfn.XLOOKUP(Table8[[#This Row],[Supporter_ID]],tb1_supporters[Supporter_ID ],tb1_supporters[County],"")</f>
        <v>South Yorkshire</v>
      </c>
      <c r="M908" t="str">
        <f>_xlfn.XLOOKUP(Table8[[#This Row],[Supporter_ID]],tb1_supporters[Supporter_ID ],tb1_supporters[Gender],"")</f>
        <v>Male</v>
      </c>
      <c r="N908">
        <f ca="1">_xlfn.XLOOKUP(Table8[[#This Row],[Supporter_ID]],tb1_supporters[Supporter_ID ],tb1_supporters[Age],"")</f>
        <v>76</v>
      </c>
      <c r="O908" t="str">
        <f ca="1">_xlfn.XLOOKUP(Table8[[#This Row],[Supporter_ID]],tb1_supporters[Supporter_ID ],tb1_supporters[Age_Band],"")</f>
        <v>65+</v>
      </c>
      <c r="P908" t="str">
        <f ca="1">IF(Table8[[#This Row],[Age_Band]]="","Unknown",Table8[[#This Row],[Age_Band]])</f>
        <v>65+</v>
      </c>
      <c r="Q908" t="str">
        <f>_xlfn.XLOOKUP(Table8[[#This Row],[Supporter_ID]],tb1_supporters[Supporter_ID ],tb1_supporters[Communication_Preference],"")</f>
        <v>Email</v>
      </c>
      <c r="R908" t="str">
        <f>_xlfn.XLOOKUP(Table8[[#This Row],[Supporter_ID]],tb1_supporters[Supporter_ID ],tb1_supporters[Duplicate_Profile_Flag],"")</f>
        <v/>
      </c>
      <c r="S908" t="str">
        <f>_xlfn.XLOOKUP(Table8[[#This Row],[Supporter_ID]],tb1_supporters[Supporter_ID ],tb1_supporters[Preference_Compliance_Flag],"")</f>
        <v/>
      </c>
      <c r="T908" t="str">
        <f ca="1">IF(Table8[[#This Row],[Age]]="","Review - missing DOB",IF(Table8[[#This Row],[Age]]&gt;TODAY(),"Review - future DOB",IF(Table8[[#This Row],[Age]]=0,"Review -  potential entry error (age 0)","")))</f>
        <v/>
      </c>
      <c r="U908" t="str">
        <f>_xlfn.XLOOKUP(Table8[[#This Row],[Campaign_Code]],tb3_CampaignMaster[Campaign_Code],tb3_CampaignMaster[Campaign_Type],"")</f>
        <v>Regular Giving</v>
      </c>
      <c r="V908" t="str">
        <f>_xlfn.XLOOKUP(Table8[[#This Row],[Campaign_Code]],tb3_CampaignMaster[Campaign_Code],tb3_CampaignMaster[Target_Audience],"")</f>
        <v>One-time Donors</v>
      </c>
      <c r="W908" s="17">
        <f>_xlfn.XLOOKUP(Table8[[#This Row],[Campaign_Code]],tb3_CampaignMaster[Campaign_Code],tb3_CampaignMaster[Start_Date],"")</f>
        <v>45663</v>
      </c>
      <c r="X908" s="17">
        <f>_xlfn.XLOOKUP(Table8[[#This Row],[Campaign_Code]],tb3_CampaignMaster[Campaign_Code],tb3_CampaignMaster[End_Date],"")</f>
        <v>45747</v>
      </c>
      <c r="Y908">
        <f>_xlfn.XLOOKUP(Table8[[#This Row],[Campaign_Code]],tb3_CampaignMaster[Campaign_Code],tb3_CampaignMaster[Budget_GBP],"")</f>
        <v>10000</v>
      </c>
      <c r="Z908" t="str">
        <f>_xlfn.XLOOKUP(Table8[[#This Row],[Campaign_Code]],tb3_CampaignMaster[Campaign_Code],tb3_CampaignMaster[Primary_Channel],"")</f>
        <v>Telephone</v>
      </c>
      <c r="AA908" s="13">
        <f>IF(Table8[[#This Row],[Gift_Aid_Eligible]]="Yes",Table8[[#This Row],[Gift_Amount]]*1.25,Table8[[#This Row],[Gift_Amount]])</f>
        <v>17.9375</v>
      </c>
      <c r="AB908" t="str">
        <f>IF(Table8[[#This Row],[Supporter_ID]]="","Review - missing supporter ID","")</f>
        <v/>
      </c>
      <c r="AC908" t="str">
        <f>IF(OR(Table8[[#This Row],[Response_Date]]&lt;Table8[[#This Row],[Start_Date]],Table8[[#This Row],[Response_Date]]&gt;Table8[[#This Row],[End_Date]]),"Review - response outside campaign dates","")</f>
        <v/>
      </c>
      <c r="AD908" t="str">
        <f>IF(Table8[[#This Row],[Campaign_Type]]="","Review - campaign code not found","")</f>
        <v/>
      </c>
    </row>
    <row r="909" spans="1:30" x14ac:dyDescent="0.25">
      <c r="A909" t="s">
        <v>4829</v>
      </c>
      <c r="B909" t="s">
        <v>1423</v>
      </c>
      <c r="C909" t="s">
        <v>3314</v>
      </c>
      <c r="D909" t="s">
        <v>3315</v>
      </c>
      <c r="E909" t="s">
        <v>3316</v>
      </c>
      <c r="F909" s="17">
        <v>45679</v>
      </c>
      <c r="G909">
        <v>42.38</v>
      </c>
      <c r="H909" t="s">
        <v>36</v>
      </c>
      <c r="I909" t="s">
        <v>3331</v>
      </c>
      <c r="J909" t="str">
        <f>_xlfn.XLOOKUP(Table8[[#This Row],[Supporter_ID]],tb1_supporters[Supporter_ID ],tb1_supporters[Segment],"")</f>
        <v>Regular Giver</v>
      </c>
      <c r="K909" t="str">
        <f>_xlfn.XLOOKUP(Table8[[#This Row],[Supporter_ID]],tb1_supporters[Supporter_ID ],tb1_supporters[Acquisition_Source],"")</f>
        <v>Direct Mail</v>
      </c>
      <c r="L909" t="str">
        <f>_xlfn.XLOOKUP(Table8[[#This Row],[Supporter_ID]],tb1_supporters[Supporter_ID ],tb1_supporters[County],"")</f>
        <v>West Yorkshire</v>
      </c>
      <c r="M909" t="str">
        <f>_xlfn.XLOOKUP(Table8[[#This Row],[Supporter_ID]],tb1_supporters[Supporter_ID ],tb1_supporters[Gender],"")</f>
        <v>Male</v>
      </c>
      <c r="N909" t="str">
        <f ca="1">_xlfn.XLOOKUP(Table8[[#This Row],[Supporter_ID]],tb1_supporters[Supporter_ID ],tb1_supporters[Age],"")</f>
        <v/>
      </c>
      <c r="O909" t="str">
        <f ca="1">_xlfn.XLOOKUP(Table8[[#This Row],[Supporter_ID]],tb1_supporters[Supporter_ID ],tb1_supporters[Age_Band],"")</f>
        <v/>
      </c>
      <c r="P909" t="str">
        <f ca="1">IF(Table8[[#This Row],[Age_Band]]="","Unknown",Table8[[#This Row],[Age_Band]])</f>
        <v>Unknown</v>
      </c>
      <c r="Q909" t="str">
        <f>_xlfn.XLOOKUP(Table8[[#This Row],[Supporter_ID]],tb1_supporters[Supporter_ID ],tb1_supporters[Communication_Preference],"")</f>
        <v>No Preference</v>
      </c>
      <c r="R909" t="str">
        <f>_xlfn.XLOOKUP(Table8[[#This Row],[Supporter_ID]],tb1_supporters[Supporter_ID ],tb1_supporters[Duplicate_Profile_Flag],"")</f>
        <v/>
      </c>
      <c r="S909" t="str">
        <f>_xlfn.XLOOKUP(Table8[[#This Row],[Supporter_ID]],tb1_supporters[Supporter_ID ],tb1_supporters[Preference_Compliance_Flag],"")</f>
        <v/>
      </c>
      <c r="T909" t="str">
        <f ca="1">IF(Table8[[#This Row],[Age]]="","Review - missing DOB",IF(Table8[[#This Row],[Age]]&gt;TODAY(),"Review - future DOB",IF(Table8[[#This Row],[Age]]=0,"Review -  potential entry error (age 0)","")))</f>
        <v>Review - missing DOB</v>
      </c>
      <c r="U909" t="str">
        <f>_xlfn.XLOOKUP(Table8[[#This Row],[Campaign_Code]],tb3_CampaignMaster[Campaign_Code],tb3_CampaignMaster[Campaign_Type],"")</f>
        <v>Regular Giving</v>
      </c>
      <c r="V909" t="str">
        <f>_xlfn.XLOOKUP(Table8[[#This Row],[Campaign_Code]],tb3_CampaignMaster[Campaign_Code],tb3_CampaignMaster[Target_Audience],"")</f>
        <v>One-time Donors</v>
      </c>
      <c r="W909" s="17">
        <f>_xlfn.XLOOKUP(Table8[[#This Row],[Campaign_Code]],tb3_CampaignMaster[Campaign_Code],tb3_CampaignMaster[Start_Date],"")</f>
        <v>45663</v>
      </c>
      <c r="X909" s="17">
        <f>_xlfn.XLOOKUP(Table8[[#This Row],[Campaign_Code]],tb3_CampaignMaster[Campaign_Code],tb3_CampaignMaster[End_Date],"")</f>
        <v>45747</v>
      </c>
      <c r="Y909">
        <f>_xlfn.XLOOKUP(Table8[[#This Row],[Campaign_Code]],tb3_CampaignMaster[Campaign_Code],tb3_CampaignMaster[Budget_GBP],"")</f>
        <v>10000</v>
      </c>
      <c r="Z909" t="str">
        <f>_xlfn.XLOOKUP(Table8[[#This Row],[Campaign_Code]],tb3_CampaignMaster[Campaign_Code],tb3_CampaignMaster[Primary_Channel],"")</f>
        <v>Telephone</v>
      </c>
      <c r="AA909" s="13">
        <f>IF(Table8[[#This Row],[Gift_Aid_Eligible]]="Yes",Table8[[#This Row],[Gift_Amount]]*1.25,Table8[[#This Row],[Gift_Amount]])</f>
        <v>52.975000000000001</v>
      </c>
      <c r="AB909" t="str">
        <f>IF(Table8[[#This Row],[Supporter_ID]]="","Review - missing supporter ID","")</f>
        <v/>
      </c>
      <c r="AC909" t="str">
        <f>IF(OR(Table8[[#This Row],[Response_Date]]&lt;Table8[[#This Row],[Start_Date]],Table8[[#This Row],[Response_Date]]&gt;Table8[[#This Row],[End_Date]]),"Review - response outside campaign dates","")</f>
        <v/>
      </c>
      <c r="AD909" t="str">
        <f>IF(Table8[[#This Row],[Campaign_Type]]="","Review - campaign code not found","")</f>
        <v/>
      </c>
    </row>
  </sheetData>
  <phoneticPr fontId="6" type="noConversion"/>
  <conditionalFormatting sqref="R2:R909">
    <cfRule type="notContainsBlanks" dxfId="3" priority="4">
      <formula>LEN(TRIM(R2))&gt;0</formula>
    </cfRule>
  </conditionalFormatting>
  <conditionalFormatting sqref="S2:T909">
    <cfRule type="notContainsBlanks" dxfId="2" priority="3">
      <formula>LEN(TRIM(S2))&gt;0</formula>
    </cfRule>
  </conditionalFormatting>
  <conditionalFormatting sqref="AB2:AB909">
    <cfRule type="notContainsBlanks" dxfId="1" priority="2">
      <formula>LEN(TRIM(AB2))&gt;0</formula>
    </cfRule>
  </conditionalFormatting>
  <conditionalFormatting sqref="AC2:AC909">
    <cfRule type="notContainsBlanks" dxfId="0" priority="5">
      <formula>LEN(TRIM(AC2))&gt;0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20A9-E61E-49B7-A874-7935587B4896}">
  <dimension ref="A3:I18"/>
  <sheetViews>
    <sheetView topLeftCell="C1" workbookViewId="0">
      <selection activeCell="D4" sqref="D4"/>
    </sheetView>
  </sheetViews>
  <sheetFormatPr defaultColWidth="8.85546875" defaultRowHeight="15" x14ac:dyDescent="0.25"/>
  <cols>
    <col min="1" max="1" width="30.28515625" bestFit="1" customWidth="1"/>
    <col min="2" max="2" width="14" style="38" bestFit="1" customWidth="1"/>
    <col min="3" max="3" width="10.28515625" bestFit="1" customWidth="1"/>
    <col min="4" max="4" width="9.7109375" style="38" bestFit="1" customWidth="1"/>
    <col min="8" max="8" width="30.28515625" bestFit="1" customWidth="1"/>
    <col min="9" max="9" width="14.7109375" bestFit="1" customWidth="1"/>
  </cols>
  <sheetData>
    <row r="3" spans="1:9" x14ac:dyDescent="0.25">
      <c r="A3" s="11" t="s">
        <v>4914</v>
      </c>
      <c r="B3" s="38" t="s">
        <v>4973</v>
      </c>
      <c r="C3" t="s">
        <v>4974</v>
      </c>
      <c r="D3" s="38" t="s">
        <v>4975</v>
      </c>
      <c r="H3" t="s">
        <v>4914</v>
      </c>
      <c r="I3" s="38" t="s">
        <v>4973</v>
      </c>
    </row>
    <row r="4" spans="1:9" x14ac:dyDescent="0.25">
      <c r="A4" s="12" t="s">
        <v>3325</v>
      </c>
      <c r="B4" s="38">
        <v>109036.06250000009</v>
      </c>
      <c r="C4">
        <v>119</v>
      </c>
      <c r="D4" s="38">
        <v>916.26943277311</v>
      </c>
      <c r="H4" t="s">
        <v>3325</v>
      </c>
      <c r="I4" s="38">
        <v>109036.06250000009</v>
      </c>
    </row>
    <row r="5" spans="1:9" x14ac:dyDescent="0.25">
      <c r="A5" s="12" t="s">
        <v>3427</v>
      </c>
      <c r="B5" s="38">
        <v>66208.055000000037</v>
      </c>
      <c r="C5">
        <v>96</v>
      </c>
      <c r="D5" s="38">
        <v>689.66723958333375</v>
      </c>
      <c r="H5" t="s">
        <v>3427</v>
      </c>
      <c r="I5" s="38">
        <v>66208.055000000037</v>
      </c>
    </row>
    <row r="6" spans="1:9" x14ac:dyDescent="0.25">
      <c r="A6" s="12" t="s">
        <v>3341</v>
      </c>
      <c r="B6" s="38">
        <v>58237.210000000006</v>
      </c>
      <c r="C6">
        <v>113</v>
      </c>
      <c r="D6" s="38">
        <v>515.37353982300885</v>
      </c>
      <c r="H6" t="s">
        <v>3341</v>
      </c>
      <c r="I6" s="38">
        <v>58237.210000000006</v>
      </c>
    </row>
    <row r="7" spans="1:9" x14ac:dyDescent="0.25">
      <c r="A7" s="12" t="s">
        <v>3320</v>
      </c>
      <c r="B7" s="38">
        <v>45578.637500000019</v>
      </c>
      <c r="C7">
        <v>122</v>
      </c>
      <c r="D7" s="38">
        <v>373.59538934426246</v>
      </c>
      <c r="H7" t="s">
        <v>3320</v>
      </c>
      <c r="I7" s="38">
        <v>45578.637500000019</v>
      </c>
    </row>
    <row r="8" spans="1:9" x14ac:dyDescent="0.25">
      <c r="A8" s="12" t="s">
        <v>3367</v>
      </c>
      <c r="B8" s="38">
        <v>33612.587500000001</v>
      </c>
      <c r="C8">
        <v>86</v>
      </c>
      <c r="D8" s="38">
        <v>390.84404069767442</v>
      </c>
      <c r="H8" t="s">
        <v>3367</v>
      </c>
      <c r="I8" s="38">
        <v>33612.587500000001</v>
      </c>
    </row>
    <row r="9" spans="1:9" x14ac:dyDescent="0.25">
      <c r="A9" s="12" t="s">
        <v>3403</v>
      </c>
      <c r="B9" s="38">
        <v>29262.817499999997</v>
      </c>
      <c r="C9">
        <v>86</v>
      </c>
      <c r="D9" s="38">
        <v>340.26531976744184</v>
      </c>
      <c r="H9" t="s">
        <v>3403</v>
      </c>
      <c r="I9" s="38">
        <v>29262.817499999997</v>
      </c>
    </row>
    <row r="10" spans="1:9" x14ac:dyDescent="0.25">
      <c r="A10" s="12" t="s">
        <v>3314</v>
      </c>
      <c r="B10" s="38">
        <v>29077.237499999992</v>
      </c>
      <c r="C10">
        <v>94</v>
      </c>
      <c r="D10" s="38">
        <v>309.33231382978715</v>
      </c>
      <c r="H10" t="s">
        <v>3314</v>
      </c>
      <c r="I10" s="38">
        <v>29077.237499999992</v>
      </c>
    </row>
    <row r="11" spans="1:9" x14ac:dyDescent="0.25">
      <c r="A11" s="12" t="s">
        <v>3336</v>
      </c>
      <c r="B11" s="38">
        <v>27002.600000000002</v>
      </c>
      <c r="C11">
        <v>65</v>
      </c>
      <c r="D11" s="38">
        <v>415.42461538461544</v>
      </c>
      <c r="H11" t="s">
        <v>3336</v>
      </c>
      <c r="I11" s="38">
        <v>27002.600000000002</v>
      </c>
    </row>
    <row r="12" spans="1:9" x14ac:dyDescent="0.25">
      <c r="A12" s="12" t="s">
        <v>3354</v>
      </c>
      <c r="B12" s="38">
        <v>24850.99</v>
      </c>
      <c r="C12">
        <v>77</v>
      </c>
      <c r="D12" s="38">
        <v>322.74012987012986</v>
      </c>
      <c r="H12" t="s">
        <v>3354</v>
      </c>
      <c r="I12" s="38">
        <v>24850.99</v>
      </c>
    </row>
    <row r="13" spans="1:9" x14ac:dyDescent="0.25">
      <c r="A13" s="12" t="s">
        <v>3362</v>
      </c>
      <c r="B13" s="38">
        <v>14098.385</v>
      </c>
      <c r="C13">
        <v>50</v>
      </c>
      <c r="D13" s="38">
        <v>281.96769999999998</v>
      </c>
      <c r="H13" t="s">
        <v>3362</v>
      </c>
      <c r="I13" s="38">
        <v>14098.385</v>
      </c>
    </row>
    <row r="14" spans="1:9" x14ac:dyDescent="0.25">
      <c r="B14"/>
      <c r="D14"/>
    </row>
    <row r="18" spans="7:7" x14ac:dyDescent="0.25">
      <c r="G18" t="s">
        <v>4861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4284-031C-4CD2-A88C-7CB5B9969934}">
  <dimension ref="A1:L16"/>
  <sheetViews>
    <sheetView topLeftCell="A9" workbookViewId="0">
      <selection activeCell="F14" sqref="F14"/>
    </sheetView>
  </sheetViews>
  <sheetFormatPr defaultColWidth="8.85546875" defaultRowHeight="15" x14ac:dyDescent="0.25"/>
  <cols>
    <col min="1" max="1" width="30.28515625" bestFit="1" customWidth="1"/>
    <col min="2" max="2" width="14" style="38" bestFit="1" customWidth="1"/>
    <col min="3" max="3" width="18.140625" style="38" bestFit="1" customWidth="1"/>
    <col min="4" max="4" width="12.7109375" style="39" bestFit="1" customWidth="1"/>
    <col min="9" max="9" width="30.28515625" bestFit="1" customWidth="1"/>
    <col min="10" max="11" width="12" bestFit="1" customWidth="1"/>
  </cols>
  <sheetData>
    <row r="1" spans="1:12" x14ac:dyDescent="0.25">
      <c r="L1" t="s">
        <v>4861</v>
      </c>
    </row>
    <row r="3" spans="1:12" x14ac:dyDescent="0.25">
      <c r="A3" s="11" t="s">
        <v>3306</v>
      </c>
      <c r="B3" s="38" t="s">
        <v>4973</v>
      </c>
      <c r="C3" s="38" t="s">
        <v>4976</v>
      </c>
      <c r="D3" s="40" t="s">
        <v>4977</v>
      </c>
      <c r="I3" t="s">
        <v>3306</v>
      </c>
      <c r="J3" s="41" t="s">
        <v>4977</v>
      </c>
      <c r="K3" s="42"/>
    </row>
    <row r="4" spans="1:12" x14ac:dyDescent="0.25">
      <c r="A4" s="12" t="s">
        <v>3320</v>
      </c>
      <c r="B4" s="38">
        <v>45578.637500000019</v>
      </c>
      <c r="C4" s="38">
        <v>7000</v>
      </c>
      <c r="D4" s="41">
        <f>(B4-C4)/C4</f>
        <v>5.5112339285714311</v>
      </c>
      <c r="I4" t="s">
        <v>3354</v>
      </c>
      <c r="J4" s="41">
        <v>6.100282857142858</v>
      </c>
      <c r="K4" s="42"/>
    </row>
    <row r="5" spans="1:12" x14ac:dyDescent="0.25">
      <c r="A5" s="12" t="s">
        <v>3403</v>
      </c>
      <c r="B5" s="38">
        <v>29262.817499999997</v>
      </c>
      <c r="C5" s="38">
        <v>12000</v>
      </c>
      <c r="D5" s="41">
        <f t="shared" ref="D5:D13" si="0">(B5-C5)/C5</f>
        <v>1.4385681249999998</v>
      </c>
      <c r="I5" t="s">
        <v>3320</v>
      </c>
      <c r="J5" s="41">
        <v>5.5112339285714302</v>
      </c>
      <c r="K5" s="42"/>
    </row>
    <row r="6" spans="1:12" x14ac:dyDescent="0.25">
      <c r="A6" s="12" t="s">
        <v>3341</v>
      </c>
      <c r="B6" s="38">
        <v>58237.210000000006</v>
      </c>
      <c r="C6" s="38">
        <v>20000</v>
      </c>
      <c r="D6" s="41">
        <f t="shared" si="0"/>
        <v>1.9118605000000004</v>
      </c>
      <c r="I6" t="s">
        <v>3325</v>
      </c>
      <c r="J6" s="41">
        <v>3.3614425000000034</v>
      </c>
      <c r="K6" s="42"/>
    </row>
    <row r="7" spans="1:12" x14ac:dyDescent="0.25">
      <c r="A7" s="12" t="s">
        <v>3336</v>
      </c>
      <c r="B7" s="38">
        <v>27002.600000000002</v>
      </c>
      <c r="C7" s="38">
        <v>15000</v>
      </c>
      <c r="D7" s="41">
        <f t="shared" si="0"/>
        <v>0.80017333333333351</v>
      </c>
      <c r="I7" t="s">
        <v>3367</v>
      </c>
      <c r="J7" s="41">
        <v>3.2015734375</v>
      </c>
      <c r="K7" s="42"/>
    </row>
    <row r="8" spans="1:12" x14ac:dyDescent="0.25">
      <c r="A8" s="12" t="s">
        <v>3362</v>
      </c>
      <c r="B8" s="38">
        <v>14098.385</v>
      </c>
      <c r="C8" s="38">
        <v>5000</v>
      </c>
      <c r="D8" s="41">
        <f t="shared" si="0"/>
        <v>1.819677</v>
      </c>
      <c r="I8" t="s">
        <v>3341</v>
      </c>
      <c r="J8" s="41">
        <v>1.9118605</v>
      </c>
      <c r="K8" s="42"/>
    </row>
    <row r="9" spans="1:12" x14ac:dyDescent="0.25">
      <c r="A9" s="12" t="s">
        <v>3314</v>
      </c>
      <c r="B9" s="38">
        <v>29077.237499999992</v>
      </c>
      <c r="C9" s="38">
        <v>10000</v>
      </c>
      <c r="D9" s="41">
        <f t="shared" si="0"/>
        <v>1.9077237499999993</v>
      </c>
      <c r="I9" t="s">
        <v>3314</v>
      </c>
      <c r="J9" s="41">
        <v>1.9077237499999993</v>
      </c>
      <c r="K9" s="42"/>
    </row>
    <row r="10" spans="1:12" x14ac:dyDescent="0.25">
      <c r="A10" s="12" t="s">
        <v>3367</v>
      </c>
      <c r="B10" s="38">
        <v>33612.587500000001</v>
      </c>
      <c r="C10" s="38">
        <v>8000</v>
      </c>
      <c r="D10" s="41">
        <f t="shared" si="0"/>
        <v>3.2015734375</v>
      </c>
      <c r="I10" t="s">
        <v>3362</v>
      </c>
      <c r="J10" s="41">
        <v>1.819677</v>
      </c>
      <c r="K10" s="42"/>
    </row>
    <row r="11" spans="1:12" x14ac:dyDescent="0.25">
      <c r="A11" s="12" t="s">
        <v>3427</v>
      </c>
      <c r="B11" s="38">
        <v>66208.055000000037</v>
      </c>
      <c r="C11" s="38">
        <v>45000</v>
      </c>
      <c r="D11" s="41">
        <f t="shared" si="0"/>
        <v>0.47129011111111191</v>
      </c>
      <c r="I11" t="s">
        <v>3403</v>
      </c>
      <c r="J11" s="41">
        <v>1.4385681249999998</v>
      </c>
      <c r="K11" s="42"/>
    </row>
    <row r="12" spans="1:12" x14ac:dyDescent="0.25">
      <c r="A12" s="12" t="s">
        <v>3354</v>
      </c>
      <c r="B12" s="38">
        <v>24850.99</v>
      </c>
      <c r="C12" s="38">
        <v>3500</v>
      </c>
      <c r="D12" s="41">
        <f t="shared" si="0"/>
        <v>6.100282857142858</v>
      </c>
      <c r="I12" t="s">
        <v>3336</v>
      </c>
      <c r="J12" s="41">
        <v>0.80017333333333351</v>
      </c>
      <c r="K12" s="42"/>
    </row>
    <row r="13" spans="1:12" x14ac:dyDescent="0.25">
      <c r="A13" s="12" t="s">
        <v>3325</v>
      </c>
      <c r="B13" s="38">
        <v>109036.06250000009</v>
      </c>
      <c r="C13" s="38">
        <v>25000</v>
      </c>
      <c r="D13" s="41">
        <f t="shared" si="0"/>
        <v>3.3614425000000034</v>
      </c>
      <c r="I13" t="s">
        <v>3427</v>
      </c>
      <c r="J13" s="41">
        <v>0.47129011111111191</v>
      </c>
      <c r="K13" s="42"/>
    </row>
    <row r="14" spans="1:12" x14ac:dyDescent="0.25">
      <c r="B14"/>
      <c r="C14"/>
    </row>
    <row r="16" spans="1:12" x14ac:dyDescent="0.25">
      <c r="A16" s="46" t="s">
        <v>4986</v>
      </c>
      <c r="B16" s="47"/>
    </row>
  </sheetData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BE87-BD8D-4C9D-AF88-AC83C1F8DA49}">
  <dimension ref="A3:P34"/>
  <sheetViews>
    <sheetView topLeftCell="B1" workbookViewId="0">
      <selection activeCell="Q25" sqref="Q25"/>
    </sheetView>
  </sheetViews>
  <sheetFormatPr defaultColWidth="8.85546875" defaultRowHeight="15" x14ac:dyDescent="0.25"/>
  <cols>
    <col min="1" max="1" width="12.140625" bestFit="1" customWidth="1"/>
    <col min="2" max="2" width="10.28515625" bestFit="1" customWidth="1"/>
    <col min="3" max="3" width="12.7109375" bestFit="1" customWidth="1"/>
    <col min="4" max="4" width="26.28515625" bestFit="1" customWidth="1"/>
    <col min="5" max="5" width="35.140625" bestFit="1" customWidth="1"/>
    <col min="9" max="9" width="12.140625" bestFit="1" customWidth="1"/>
    <col min="10" max="10" width="26.28515625" customWidth="1"/>
  </cols>
  <sheetData>
    <row r="3" spans="1:10" x14ac:dyDescent="0.25">
      <c r="A3" s="11" t="s">
        <v>3308</v>
      </c>
      <c r="B3" t="s">
        <v>4974</v>
      </c>
      <c r="C3" s="43" t="s">
        <v>4978</v>
      </c>
      <c r="D3" s="43" t="s">
        <v>4979</v>
      </c>
      <c r="E3" t="s">
        <v>4983</v>
      </c>
      <c r="I3" t="s">
        <v>3308</v>
      </c>
      <c r="J3" s="43" t="s">
        <v>4979</v>
      </c>
    </row>
    <row r="4" spans="1:10" x14ac:dyDescent="0.25">
      <c r="A4" s="12" t="s">
        <v>4</v>
      </c>
      <c r="B4">
        <v>298</v>
      </c>
      <c r="C4" s="43">
        <v>124311.90000000001</v>
      </c>
      <c r="D4" s="43">
        <v>148770.54249999998</v>
      </c>
      <c r="E4" s="38">
        <v>499.23000838926168</v>
      </c>
      <c r="I4" t="s">
        <v>4</v>
      </c>
      <c r="J4" s="43">
        <v>148770.54249999998</v>
      </c>
    </row>
    <row r="5" spans="1:10" x14ac:dyDescent="0.25">
      <c r="A5" s="12" t="s">
        <v>65</v>
      </c>
      <c r="B5">
        <v>355</v>
      </c>
      <c r="C5" s="43">
        <v>121413.29000000004</v>
      </c>
      <c r="D5" s="43">
        <v>138412.22750000004</v>
      </c>
      <c r="E5" s="38">
        <v>389.89359859154939</v>
      </c>
      <c r="I5" t="s">
        <v>65</v>
      </c>
      <c r="J5" s="43">
        <v>138412.22750000004</v>
      </c>
    </row>
    <row r="6" spans="1:10" x14ac:dyDescent="0.25">
      <c r="A6" s="12" t="s">
        <v>3316</v>
      </c>
      <c r="B6">
        <v>153</v>
      </c>
      <c r="C6" s="43">
        <v>89530.270000000048</v>
      </c>
      <c r="D6" s="43">
        <v>95968.059999999954</v>
      </c>
      <c r="E6" s="38">
        <v>627.24222222222193</v>
      </c>
      <c r="I6" t="s">
        <v>3316</v>
      </c>
      <c r="J6" s="43">
        <v>95968.059999999954</v>
      </c>
    </row>
    <row r="7" spans="1:10" x14ac:dyDescent="0.25">
      <c r="A7" s="12" t="s">
        <v>3338</v>
      </c>
      <c r="B7">
        <v>43</v>
      </c>
      <c r="C7" s="43">
        <v>28073.88</v>
      </c>
      <c r="D7" s="43">
        <v>33698.287500000013</v>
      </c>
      <c r="E7" s="38">
        <v>783.68110465116308</v>
      </c>
      <c r="I7" t="s">
        <v>3338</v>
      </c>
      <c r="J7" s="43">
        <v>33698.287500000013</v>
      </c>
    </row>
    <row r="8" spans="1:10" x14ac:dyDescent="0.25">
      <c r="A8" s="12" t="s">
        <v>91</v>
      </c>
      <c r="B8">
        <v>36</v>
      </c>
      <c r="C8" s="43">
        <v>14363.389999999996</v>
      </c>
      <c r="D8" s="43">
        <v>17777.630000000005</v>
      </c>
      <c r="E8" s="38">
        <v>493.8230555555557</v>
      </c>
      <c r="I8" t="s">
        <v>91</v>
      </c>
      <c r="J8" s="43">
        <v>17777.630000000005</v>
      </c>
    </row>
    <row r="9" spans="1:10" x14ac:dyDescent="0.25">
      <c r="A9" s="12" t="s">
        <v>33</v>
      </c>
      <c r="B9">
        <v>23</v>
      </c>
      <c r="C9" s="43">
        <v>1979.3</v>
      </c>
      <c r="D9" s="43">
        <v>2337.835</v>
      </c>
      <c r="E9" s="38">
        <v>101.645</v>
      </c>
      <c r="I9" t="s">
        <v>33</v>
      </c>
      <c r="J9" s="43">
        <v>2337.835</v>
      </c>
    </row>
    <row r="10" spans="1:10" x14ac:dyDescent="0.25">
      <c r="A10" s="12" t="s">
        <v>4868</v>
      </c>
      <c r="B10">
        <v>908</v>
      </c>
      <c r="C10" s="43">
        <v>379672.0299999998</v>
      </c>
      <c r="D10" s="43">
        <v>436964.58250000019</v>
      </c>
      <c r="E10" s="38">
        <v>481.23852698237908</v>
      </c>
    </row>
    <row r="29" spans="16:16" x14ac:dyDescent="0.25">
      <c r="P29" t="s">
        <v>4861</v>
      </c>
    </row>
    <row r="34" spans="9:9" x14ac:dyDescent="0.25">
      <c r="I34" t="s">
        <v>4984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58D3-4B33-451C-BBAE-38A459467A66}">
  <dimension ref="A3:B11"/>
  <sheetViews>
    <sheetView workbookViewId="0">
      <selection activeCell="D7" sqref="D7"/>
    </sheetView>
  </sheetViews>
  <sheetFormatPr defaultColWidth="8.85546875" defaultRowHeight="15" x14ac:dyDescent="0.25"/>
  <cols>
    <col min="1" max="1" width="15.85546875" bestFit="1" customWidth="1"/>
    <col min="2" max="2" width="14" bestFit="1" customWidth="1"/>
  </cols>
  <sheetData>
    <row r="3" spans="1:2" x14ac:dyDescent="0.25">
      <c r="A3" s="11" t="s">
        <v>4981</v>
      </c>
      <c r="B3" s="43" t="s">
        <v>4973</v>
      </c>
    </row>
    <row r="4" spans="1:2" x14ac:dyDescent="0.25">
      <c r="A4" s="12" t="s">
        <v>192</v>
      </c>
      <c r="B4" s="43">
        <v>288703.38499999978</v>
      </c>
    </row>
    <row r="5" spans="1:2" x14ac:dyDescent="0.25">
      <c r="A5" s="12" t="s">
        <v>4888</v>
      </c>
      <c r="B5" s="43">
        <v>61706.267500000009</v>
      </c>
    </row>
    <row r="6" spans="1:2" x14ac:dyDescent="0.25">
      <c r="A6" s="12" t="s">
        <v>243</v>
      </c>
      <c r="B6" s="43">
        <v>42279.602500000008</v>
      </c>
    </row>
    <row r="7" spans="1:2" x14ac:dyDescent="0.25">
      <c r="A7" s="12" t="s">
        <v>141</v>
      </c>
      <c r="B7" s="43">
        <v>19012.185000000005</v>
      </c>
    </row>
    <row r="8" spans="1:2" x14ac:dyDescent="0.25">
      <c r="A8" s="12" t="s">
        <v>66</v>
      </c>
      <c r="B8" s="43">
        <v>7626.1224999999949</v>
      </c>
    </row>
    <row r="9" spans="1:2" x14ac:dyDescent="0.25">
      <c r="A9" s="12" t="s">
        <v>154</v>
      </c>
      <c r="B9" s="43">
        <v>4894.9474999999984</v>
      </c>
    </row>
    <row r="10" spans="1:2" x14ac:dyDescent="0.25">
      <c r="A10" s="12" t="s">
        <v>50</v>
      </c>
      <c r="B10" s="43">
        <v>2776.6150000000016</v>
      </c>
    </row>
    <row r="11" spans="1:2" x14ac:dyDescent="0.25">
      <c r="A11" s="12" t="s">
        <v>4868</v>
      </c>
      <c r="B11" s="43">
        <v>426999.12499999977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00D9-A054-480A-A7D6-9FE4CFDA8904}">
  <dimension ref="A3:L10"/>
  <sheetViews>
    <sheetView topLeftCell="B4" workbookViewId="0">
      <selection activeCell="R27" sqref="R27"/>
    </sheetView>
  </sheetViews>
  <sheetFormatPr defaultColWidth="8.85546875" defaultRowHeight="15" x14ac:dyDescent="0.25"/>
  <cols>
    <col min="1" max="1" width="16.28515625" bestFit="1" customWidth="1"/>
    <col min="2" max="2" width="14" bestFit="1" customWidth="1"/>
    <col min="11" max="11" width="13.140625" bestFit="1" customWidth="1"/>
    <col min="12" max="12" width="12.28515625" bestFit="1" customWidth="1"/>
  </cols>
  <sheetData>
    <row r="3" spans="1:12" x14ac:dyDescent="0.25">
      <c r="A3" s="11" t="s">
        <v>4867</v>
      </c>
      <c r="B3" s="43" t="s">
        <v>4973</v>
      </c>
    </row>
    <row r="4" spans="1:12" x14ac:dyDescent="0.25">
      <c r="A4" s="12" t="s">
        <v>151</v>
      </c>
      <c r="B4" s="43">
        <v>64927.262499999983</v>
      </c>
      <c r="K4" s="11" t="s">
        <v>4867</v>
      </c>
      <c r="L4" t="s">
        <v>4973</v>
      </c>
    </row>
    <row r="5" spans="1:12" x14ac:dyDescent="0.25">
      <c r="A5" s="12" t="s">
        <v>114</v>
      </c>
      <c r="B5" s="43">
        <v>32750.224999999995</v>
      </c>
      <c r="K5" s="12" t="s">
        <v>1286</v>
      </c>
      <c r="L5" s="43">
        <v>1135.095</v>
      </c>
    </row>
    <row r="6" spans="1:12" x14ac:dyDescent="0.25">
      <c r="A6" s="12" t="s">
        <v>139</v>
      </c>
      <c r="B6" s="43">
        <v>27808.1325</v>
      </c>
      <c r="K6" s="12" t="s">
        <v>651</v>
      </c>
      <c r="L6" s="43">
        <v>1231.1899999999998</v>
      </c>
    </row>
    <row r="7" spans="1:12" x14ac:dyDescent="0.25">
      <c r="A7" s="12" t="s">
        <v>253</v>
      </c>
      <c r="B7" s="43">
        <v>24859.749999999996</v>
      </c>
      <c r="K7" s="12" t="s">
        <v>127</v>
      </c>
      <c r="L7" s="43">
        <v>1421.85</v>
      </c>
    </row>
    <row r="8" spans="1:12" x14ac:dyDescent="0.25">
      <c r="A8" s="12" t="s">
        <v>767</v>
      </c>
      <c r="B8" s="43">
        <v>24157.062500000007</v>
      </c>
      <c r="K8" s="12" t="s">
        <v>320</v>
      </c>
      <c r="L8" s="43">
        <v>1467.5549999999998</v>
      </c>
    </row>
    <row r="9" spans="1:12" x14ac:dyDescent="0.25">
      <c r="A9" s="12" t="s">
        <v>4868</v>
      </c>
      <c r="B9" s="43">
        <v>174502.43249999997</v>
      </c>
      <c r="K9" s="12" t="s">
        <v>297</v>
      </c>
      <c r="L9" s="43">
        <v>2003.8675000000001</v>
      </c>
    </row>
    <row r="10" spans="1:12" x14ac:dyDescent="0.25">
      <c r="K10" s="12" t="s">
        <v>4868</v>
      </c>
      <c r="L10" s="43">
        <v>7259.557499999999</v>
      </c>
    </row>
  </sheetData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EB34-1B7C-4C39-824A-C9A334376AE3}">
  <dimension ref="A3:B8"/>
  <sheetViews>
    <sheetView topLeftCell="A3" workbookViewId="0">
      <selection activeCell="C25" sqref="C25"/>
    </sheetView>
  </sheetViews>
  <sheetFormatPr defaultColWidth="8.85546875" defaultRowHeight="15" x14ac:dyDescent="0.25"/>
  <cols>
    <col min="1" max="1" width="13.140625" bestFit="1" customWidth="1"/>
    <col min="2" max="2" width="12.28515625" bestFit="1" customWidth="1"/>
    <col min="3" max="3" width="20.7109375" bestFit="1" customWidth="1"/>
    <col min="4" max="4" width="10" bestFit="1" customWidth="1"/>
    <col min="5" max="5" width="9" bestFit="1" customWidth="1"/>
    <col min="6" max="6" width="11.28515625" bestFit="1" customWidth="1"/>
  </cols>
  <sheetData>
    <row r="3" spans="1:2" x14ac:dyDescent="0.25">
      <c r="A3" s="11" t="s">
        <v>4867</v>
      </c>
      <c r="B3" t="s">
        <v>4973</v>
      </c>
    </row>
    <row r="4" spans="1:2" x14ac:dyDescent="0.25">
      <c r="A4" s="12" t="s">
        <v>4980</v>
      </c>
      <c r="B4" s="43">
        <v>27482.904999999995</v>
      </c>
    </row>
    <row r="5" spans="1:2" x14ac:dyDescent="0.25">
      <c r="A5" s="12" t="s">
        <v>4940</v>
      </c>
      <c r="B5" s="43">
        <v>118078.85499999998</v>
      </c>
    </row>
    <row r="6" spans="1:2" x14ac:dyDescent="0.25">
      <c r="A6" s="12" t="s">
        <v>4935</v>
      </c>
      <c r="B6" s="43">
        <v>149208.47000000006</v>
      </c>
    </row>
    <row r="7" spans="1:2" x14ac:dyDescent="0.25">
      <c r="A7" s="12" t="s">
        <v>4936</v>
      </c>
      <c r="B7" s="43">
        <v>109077.04250000004</v>
      </c>
    </row>
    <row r="8" spans="1:2" x14ac:dyDescent="0.25">
      <c r="A8" s="12" t="s">
        <v>4868</v>
      </c>
      <c r="B8" s="43">
        <v>403847.27250000008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1C9CD-6E64-4200-8EE0-F0B268A0E0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Supporter_Raw</vt:lpstr>
      <vt:lpstr>CampaignResponses_Raw</vt:lpstr>
      <vt:lpstr>CampaignMaster_Raw</vt:lpstr>
      <vt:lpstr>Supporter_Clean</vt:lpstr>
      <vt:lpstr>CampaignResponses_Clean</vt:lpstr>
      <vt:lpstr>CampaignMaster_Clean</vt:lpstr>
      <vt:lpstr>Audit_Log</vt:lpstr>
      <vt:lpstr>Supporter_Duplicates</vt:lpstr>
      <vt:lpstr>Merged_Analysis</vt:lpstr>
      <vt:lpstr>Campaign_Performance</vt:lpstr>
      <vt:lpstr>Campaign_ROI</vt:lpstr>
      <vt:lpstr>Channel_Performance</vt:lpstr>
      <vt:lpstr>Segment_Performance</vt:lpstr>
      <vt:lpstr>Geography_Analysis</vt:lpstr>
      <vt:lpstr>Age_Demographics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Olatunji</cp:lastModifiedBy>
  <dcterms:created xsi:type="dcterms:W3CDTF">2026-03-06T12:56:33Z</dcterms:created>
  <dcterms:modified xsi:type="dcterms:W3CDTF">2026-05-29T10:56:00Z</dcterms:modified>
</cp:coreProperties>
</file>